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Rede-PCP\06- PCP - COLCHÃO\EXPORTAÇÃO\FOLLOW-UP DIARIO PEDIDOS BRASIL - 2025 - 2026\"/>
    </mc:Choice>
  </mc:AlternateContent>
  <xr:revisionPtr revIDLastSave="0" documentId="13_ncr:1_{73BE25CF-9919-4A5F-ACED-76FDA2FD259D}" xr6:coauthVersionLast="47" xr6:coauthVersionMax="47" xr10:uidLastSave="{00000000-0000-0000-0000-000000000000}"/>
  <bookViews>
    <workbookView xWindow="-110" yWindow="-110" windowWidth="19420" windowHeight="10300" tabRatio="829" xr2:uid="{B1AB8001-39D2-4099-BBB5-E346FEC8B801}"/>
  </bookViews>
  <sheets>
    <sheet name="FOLLOW-UP PEDIDOS" sheetId="2" r:id="rId1"/>
    <sheet name="Detalhes  pedidos" sheetId="1" r:id="rId2"/>
    <sheet name="VOLUME-VALOR-AVRG PRICE" sheetId="6" r:id="rId3"/>
    <sheet name="Sequência interna invoicing" sheetId="3" r:id="rId4"/>
    <sheet name="calculos diversos Flexivel" sheetId="11" r:id="rId5"/>
    <sheet name="S&amp;OP Entregas-Produção" sheetId="10" r:id="rId6"/>
    <sheet name="Inducol" sheetId="7" state="hidden" r:id="rId7"/>
    <sheet name="Dinâmicas" sheetId="4" state="hidden" r:id="rId8"/>
    <sheet name="info geral" sheetId="5" state="hidden" r:id="rId9"/>
  </sheets>
  <definedNames>
    <definedName name="_xlnm.Print_Area" localSheetId="1">Tabela1[#All]</definedName>
    <definedName name="_xlnm.Print_Area" localSheetId="0">'FOLLOW-UP PEDIDOS'!$A$1:$L$50</definedName>
  </definedNames>
  <calcPr calcId="181029"/>
  <pivotCaches>
    <pivotCache cacheId="66" r:id="rId10"/>
    <pivotCache cacheId="67" r:id="rId11"/>
    <pivotCache cacheId="68" r:id="rId12"/>
    <pivotCache cacheId="69" r:id="rId13"/>
    <pivotCache cacheId="7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2" l="1"/>
  <c r="N510" i="1"/>
  <c r="H69" i="2" l="1"/>
  <c r="H68" i="2"/>
  <c r="N509" i="1"/>
  <c r="H60" i="2" l="1"/>
  <c r="D57" i="2" l="1"/>
  <c r="H57" i="2" s="1"/>
  <c r="D56" i="2"/>
  <c r="H56" i="2" s="1"/>
  <c r="D55" i="2"/>
  <c r="H55" i="2" s="1"/>
  <c r="D53" i="2"/>
  <c r="H53" i="2" s="1"/>
  <c r="H67" i="2"/>
  <c r="H66" i="2"/>
  <c r="H65" i="2"/>
  <c r="H64" i="2"/>
  <c r="H63" i="2"/>
  <c r="H62" i="2"/>
  <c r="H61" i="2"/>
  <c r="H59" i="2"/>
  <c r="H58" i="2"/>
  <c r="H54" i="2"/>
  <c r="H52" i="2"/>
  <c r="H51" i="2"/>
  <c r="H50" i="2"/>
  <c r="H49" i="2"/>
  <c r="H48" i="2"/>
  <c r="H47" i="2"/>
  <c r="H44" i="2"/>
  <c r="H43" i="2"/>
  <c r="H37" i="2"/>
  <c r="H22" i="2"/>
  <c r="N508" i="1"/>
  <c r="N507" i="1"/>
  <c r="N506" i="1"/>
  <c r="N505" i="1" l="1"/>
  <c r="N504" i="1"/>
  <c r="N503" i="1"/>
  <c r="N502" i="1" l="1"/>
  <c r="N501" i="1" l="1"/>
  <c r="N500" i="1" l="1"/>
  <c r="N499" i="1" l="1"/>
  <c r="P12" i="11"/>
  <c r="P11" i="11"/>
  <c r="P10" i="11"/>
  <c r="P9" i="11"/>
  <c r="P8" i="11"/>
  <c r="P7" i="11"/>
  <c r="P6" i="11"/>
  <c r="M12" i="11"/>
  <c r="M11" i="11"/>
  <c r="M10" i="11"/>
  <c r="M9" i="11"/>
  <c r="M8" i="11"/>
  <c r="M7" i="11"/>
  <c r="M6" i="11"/>
  <c r="K12" i="11"/>
  <c r="N12" i="11" s="1"/>
  <c r="K11" i="11"/>
  <c r="N11" i="11" s="1"/>
  <c r="K10" i="11"/>
  <c r="N10" i="11" s="1"/>
  <c r="K9" i="11"/>
  <c r="N9" i="11" s="1"/>
  <c r="K8" i="11"/>
  <c r="N8" i="11" s="1"/>
  <c r="K7" i="11"/>
  <c r="N7" i="11" s="1"/>
  <c r="K6" i="11"/>
  <c r="N6" i="11" s="1"/>
  <c r="H13" i="11"/>
  <c r="D3" i="11"/>
  <c r="F12" i="11"/>
  <c r="F11" i="11"/>
  <c r="F10" i="11"/>
  <c r="F9" i="11"/>
  <c r="F8" i="11"/>
  <c r="F7" i="11"/>
  <c r="F6" i="11"/>
  <c r="E12" i="11"/>
  <c r="E11" i="11"/>
  <c r="E10" i="11"/>
  <c r="E9" i="11"/>
  <c r="E8" i="11"/>
  <c r="E7" i="11"/>
  <c r="E6" i="11"/>
  <c r="N498" i="1"/>
  <c r="N497" i="1"/>
  <c r="N496" i="1"/>
  <c r="N495" i="1"/>
  <c r="N494" i="1"/>
  <c r="N493" i="1"/>
  <c r="P13" i="11" l="1"/>
  <c r="M13" i="11"/>
  <c r="N13" i="11"/>
  <c r="K13" i="11"/>
  <c r="K15" i="11" s="1"/>
  <c r="P15" i="11" l="1"/>
  <c r="N14" i="11"/>
  <c r="N15" i="11"/>
  <c r="K14" i="11"/>
  <c r="N492" i="1"/>
  <c r="N491" i="1"/>
  <c r="N490" i="1"/>
  <c r="N489" i="1"/>
  <c r="N488" i="1"/>
  <c r="N487" i="1"/>
  <c r="N486" i="1"/>
  <c r="N485" i="1"/>
  <c r="N484" i="1"/>
  <c r="N483" i="1" l="1"/>
  <c r="N482" i="1"/>
  <c r="N481" i="1"/>
  <c r="H45" i="2" l="1"/>
  <c r="H39" i="2"/>
  <c r="D1" i="2"/>
  <c r="N480" i="1" l="1"/>
  <c r="N479" i="1" l="1"/>
  <c r="N478" i="1" l="1"/>
  <c r="B1" i="10" l="1"/>
  <c r="I71" i="10"/>
  <c r="B71" i="10"/>
  <c r="E63" i="10"/>
  <c r="E71" i="10" s="1"/>
  <c r="N477" i="1" l="1"/>
  <c r="N476" i="1"/>
  <c r="N475" i="1"/>
  <c r="N474" i="1"/>
  <c r="N473" i="1"/>
  <c r="N472" i="1"/>
  <c r="N471" i="1"/>
  <c r="N470" i="1"/>
  <c r="N453" i="1" l="1"/>
  <c r="N469" i="1"/>
  <c r="N468" i="1"/>
  <c r="N467" i="1"/>
  <c r="N466" i="1"/>
  <c r="N465" i="1"/>
  <c r="N464" i="1"/>
  <c r="N463" i="1"/>
  <c r="N462" i="1" l="1"/>
  <c r="N461" i="1" l="1"/>
  <c r="N460" i="1"/>
  <c r="N459" i="1" l="1"/>
  <c r="N458" i="1"/>
  <c r="N457" i="1"/>
  <c r="N456" i="1"/>
  <c r="N455" i="1"/>
  <c r="N454" i="1"/>
  <c r="N452" i="1"/>
  <c r="N451" i="1"/>
  <c r="N450" i="1"/>
  <c r="N449" i="1"/>
  <c r="X414" i="1" l="1"/>
  <c r="X385" i="1"/>
  <c r="N448" i="1" l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 l="1"/>
  <c r="N415" i="1" l="1"/>
  <c r="N414" i="1" l="1"/>
  <c r="N413" i="1"/>
  <c r="N412" i="1"/>
  <c r="N411" i="1" l="1"/>
  <c r="N410" i="1"/>
  <c r="N409" i="1" l="1"/>
  <c r="N408" i="1"/>
  <c r="N407" i="1"/>
  <c r="N406" i="1"/>
  <c r="N405" i="1"/>
  <c r="N404" i="1"/>
  <c r="N403" i="1"/>
  <c r="N402" i="1"/>
  <c r="N401" i="1"/>
  <c r="N400" i="1" l="1"/>
  <c r="N399" i="1" l="1"/>
  <c r="N398" i="1"/>
  <c r="N397" i="1"/>
  <c r="N396" i="1"/>
  <c r="N395" i="1" l="1"/>
  <c r="N394" i="1"/>
  <c r="N393" i="1" l="1"/>
  <c r="N392" i="1" l="1"/>
  <c r="N391" i="1"/>
  <c r="N390" i="1"/>
  <c r="N389" i="1" l="1"/>
  <c r="N388" i="1" l="1"/>
  <c r="N387" i="1" l="1"/>
  <c r="N386" i="1" l="1"/>
  <c r="N385" i="1" l="1"/>
  <c r="N384" i="1"/>
  <c r="N383" i="1"/>
  <c r="N382" i="1"/>
  <c r="Y344" i="1" l="1"/>
  <c r="V378" i="1" l="1"/>
  <c r="N381" i="1" l="1"/>
  <c r="N380" i="1"/>
  <c r="N379" i="1"/>
  <c r="W378" i="1" l="1"/>
  <c r="W377" i="1"/>
  <c r="Y317" i="1"/>
  <c r="W331" i="1"/>
  <c r="W328" i="1"/>
  <c r="X329" i="1"/>
  <c r="X327" i="1"/>
  <c r="X326" i="1"/>
  <c r="W330" i="1"/>
  <c r="W329" i="1"/>
  <c r="W327" i="1"/>
  <c r="W326" i="1"/>
  <c r="W346" i="1"/>
  <c r="W345" i="1"/>
  <c r="W344" i="1"/>
  <c r="W342" i="1"/>
  <c r="W343" i="1"/>
  <c r="W341" i="1"/>
  <c r="W340" i="1"/>
  <c r="W339" i="1"/>
  <c r="W338" i="1"/>
  <c r="W337" i="1"/>
  <c r="V331" i="1"/>
  <c r="V330" i="1"/>
  <c r="V329" i="1"/>
  <c r="V327" i="1"/>
  <c r="V326" i="1"/>
  <c r="V325" i="1"/>
  <c r="V328" i="1"/>
  <c r="N316" i="1"/>
  <c r="AD317" i="1" l="1"/>
  <c r="AE314" i="1" l="1"/>
  <c r="N378" i="1" l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 l="1"/>
  <c r="N349" i="1"/>
  <c r="N348" i="1"/>
  <c r="N347" i="1"/>
  <c r="N346" i="1" l="1"/>
  <c r="N345" i="1"/>
  <c r="N344" i="1"/>
  <c r="N343" i="1"/>
  <c r="N342" i="1"/>
  <c r="N341" i="1"/>
  <c r="N340" i="1"/>
  <c r="N339" i="1"/>
  <c r="N338" i="1"/>
  <c r="N337" i="1"/>
  <c r="N336" i="1" l="1"/>
  <c r="N335" i="1"/>
  <c r="N334" i="1"/>
  <c r="N333" i="1"/>
  <c r="N332" i="1"/>
  <c r="N331" i="1" l="1"/>
  <c r="N330" i="1"/>
  <c r="N329" i="1"/>
  <c r="N328" i="1"/>
  <c r="N327" i="1"/>
  <c r="N326" i="1" l="1"/>
  <c r="N325" i="1"/>
  <c r="N324" i="1"/>
  <c r="N323" i="1"/>
  <c r="N322" i="1"/>
  <c r="N321" i="1"/>
  <c r="N320" i="1"/>
  <c r="N319" i="1" l="1"/>
  <c r="N318" i="1"/>
  <c r="N317" i="1"/>
  <c r="N315" i="1" l="1"/>
  <c r="N314" i="1"/>
  <c r="N313" i="1" l="1"/>
  <c r="N312" i="1"/>
  <c r="N311" i="1"/>
  <c r="N310" i="1"/>
  <c r="N309" i="1"/>
  <c r="N308" i="1"/>
  <c r="N307" i="1"/>
  <c r="N306" i="1"/>
  <c r="N305" i="1"/>
  <c r="N304" i="1"/>
  <c r="N303" i="1" l="1"/>
  <c r="N302" i="1" l="1"/>
  <c r="N301" i="1"/>
  <c r="N300" i="1"/>
  <c r="N299" i="1"/>
  <c r="N298" i="1" l="1"/>
  <c r="N297" i="1"/>
  <c r="N296" i="1"/>
  <c r="N295" i="1"/>
  <c r="N294" i="1"/>
  <c r="N293" i="1"/>
  <c r="N292" i="1"/>
  <c r="N291" i="1"/>
  <c r="N290" i="1"/>
  <c r="N289" i="1"/>
  <c r="N288" i="1"/>
  <c r="N287" i="1"/>
  <c r="N286" i="1"/>
  <c r="J1" i="6" l="1"/>
  <c r="N285" i="1" l="1"/>
  <c r="N284" i="1" l="1"/>
  <c r="N283" i="1"/>
  <c r="N282" i="1"/>
  <c r="N281" i="1"/>
  <c r="N280" i="1" l="1"/>
  <c r="N279" i="1"/>
  <c r="N278" i="1"/>
  <c r="N277" i="1"/>
  <c r="N276" i="1"/>
  <c r="N275" i="1"/>
  <c r="N274" i="1"/>
  <c r="N273" i="1"/>
  <c r="N272" i="1"/>
  <c r="N271" i="1"/>
  <c r="N270" i="1" l="1"/>
  <c r="N269" i="1"/>
  <c r="N268" i="1"/>
  <c r="N267" i="1"/>
  <c r="N266" i="1"/>
  <c r="N265" i="1" l="1"/>
  <c r="N264" i="1"/>
  <c r="N263" i="1"/>
  <c r="N262" i="1" l="1"/>
  <c r="N261" i="1"/>
  <c r="N260" i="1"/>
  <c r="N259" i="1"/>
  <c r="N258" i="1" l="1"/>
  <c r="N257" i="1"/>
  <c r="N256" i="1" l="1"/>
  <c r="N250" i="1" l="1"/>
  <c r="N255" i="1" l="1"/>
  <c r="N254" i="1"/>
  <c r="N253" i="1"/>
  <c r="N252" i="1"/>
  <c r="N251" i="1"/>
  <c r="N249" i="1" l="1"/>
  <c r="N248" i="1"/>
  <c r="N247" i="1"/>
  <c r="N246" i="1"/>
  <c r="N245" i="1"/>
  <c r="N244" i="1" l="1"/>
  <c r="N243" i="1" l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 l="1"/>
  <c r="N227" i="1"/>
  <c r="N226" i="1"/>
  <c r="N225" i="1"/>
  <c r="N224" i="1" l="1"/>
  <c r="N223" i="1" l="1"/>
  <c r="N222" i="1"/>
  <c r="N221" i="1"/>
  <c r="N220" i="1"/>
  <c r="N219" i="1" l="1"/>
  <c r="N218" i="1"/>
  <c r="N217" i="1"/>
  <c r="N216" i="1" l="1"/>
  <c r="N215" i="1"/>
  <c r="N214" i="1"/>
  <c r="N213" i="1"/>
  <c r="N212" i="1"/>
  <c r="N211" i="1"/>
  <c r="N210" i="1" l="1"/>
  <c r="N209" i="1"/>
  <c r="N208" i="1"/>
  <c r="N207" i="1" l="1"/>
  <c r="N206" i="1"/>
  <c r="N205" i="1" l="1"/>
  <c r="N204" i="1"/>
  <c r="N203" i="1"/>
  <c r="N202" i="1"/>
  <c r="N201" i="1"/>
  <c r="N200" i="1"/>
  <c r="N199" i="1" l="1"/>
  <c r="N198" i="1"/>
  <c r="N197" i="1"/>
  <c r="N196" i="1" l="1"/>
  <c r="N195" i="1"/>
  <c r="N194" i="1"/>
  <c r="N193" i="1"/>
  <c r="N192" i="1" l="1"/>
  <c r="N191" i="1"/>
  <c r="N190" i="1"/>
  <c r="N189" i="1"/>
  <c r="N188" i="1"/>
  <c r="N187" i="1"/>
  <c r="N186" i="1"/>
  <c r="N185" i="1"/>
  <c r="N184" i="1" l="1"/>
  <c r="N183" i="1"/>
  <c r="N182" i="1"/>
  <c r="N181" i="1"/>
  <c r="N180" i="1"/>
  <c r="N179" i="1" l="1"/>
  <c r="N178" i="1" l="1"/>
  <c r="N177" i="1"/>
  <c r="N176" i="1"/>
  <c r="N164" i="1"/>
  <c r="N175" i="1"/>
  <c r="N174" i="1"/>
  <c r="N173" i="1"/>
  <c r="N172" i="1"/>
  <c r="N171" i="1"/>
  <c r="N170" i="1"/>
  <c r="N169" i="1"/>
  <c r="N168" i="1"/>
  <c r="N167" i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88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7" i="1"/>
  <c r="N86" i="1"/>
  <c r="N85" i="1"/>
  <c r="N84" i="1"/>
  <c r="N83" i="1"/>
  <c r="N73" i="1"/>
  <c r="N81" i="1"/>
  <c r="N80" i="1"/>
  <c r="N79" i="1"/>
  <c r="N78" i="1"/>
  <c r="G1" i="1"/>
  <c r="N58" i="1"/>
  <c r="N60" i="1"/>
  <c r="N61" i="1"/>
  <c r="N74" i="1"/>
  <c r="N75" i="1"/>
  <c r="N76" i="1"/>
  <c r="N77" i="1"/>
  <c r="D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  <author>Pedro Cipoloni</author>
  </authors>
  <commentList>
    <comment ref="D5" authorId="0" shapeId="0" xr:uid="{A9A9348C-0901-4265-8D56-109682545F8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data ideal +30 dias pedido
media 2026-&gt;40-45 d.</t>
        </r>
      </text>
    </comment>
    <comment ref="G5" authorId="0" shapeId="0" xr:uid="{68FEF0E9-7BA5-460E-B07A-E998ECF74A8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 partir dessa data temos go-ahead para coordenar coleta/envio</t>
        </r>
      </text>
    </comment>
    <comment ref="E13" authorId="0" shapeId="0" xr:uid="{080C0367-2B72-4E07-824C-56E5B810D10A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Antes 9772pedido atualizado com a rodada de ajuste de preços para refleti-los corretamente na entrega-
Alinhado com F&amp;A (13/05/2026)</t>
        </r>
      </text>
    </comment>
    <comment ref="I23" authorId="0" shapeId="0" xr:uid="{D2C13193-3052-4070-849B-A0BCB869B94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46 dias!</t>
        </r>
      </text>
    </comment>
    <comment ref="E64" authorId="1" shapeId="0" xr:uid="{D27CEBDB-976E-493A-9257-EC397F4F9B75}">
      <text>
        <r>
          <rPr>
            <b/>
            <sz val="9"/>
            <color indexed="81"/>
            <rFont val="Segoe UI"/>
            <family val="2"/>
          </rPr>
          <t>Pedro Cipoloni:</t>
        </r>
        <r>
          <rPr>
            <sz val="9"/>
            <color indexed="81"/>
            <rFont val="Segoe UI"/>
            <family val="2"/>
          </rPr>
          <t xml:space="preserve">
Foi nessesario criar um novo pedido com outra operação a 579 e vincular o lote desse pedido 11315 ao novo pedido com a operaçao 579
Novo pedido: 11374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Martinez</author>
  </authors>
  <commentList>
    <comment ref="K29" authorId="0" shapeId="0" xr:uid="{9788A088-58A7-448B-905A-02019DF3EB7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cancelado saldo de 733 por alinhamento feito dia 26/6- documentado. Email em pasta (27/06/25)</t>
        </r>
      </text>
    </comment>
    <comment ref="K67" authorId="0" shapeId="0" xr:uid="{340ECAA1-7D16-478F-958E-FDD793009E6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adicionado +546Mts desse artigo que já estava produzido e parado. O cliente aceitou</t>
        </r>
      </text>
    </comment>
    <comment ref="M72" authorId="0" shapeId="0" xr:uid="{81A6F15E-3062-4B06-B605-814054E4EDC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diferença de preço entre Sistema (2,84) e Proforma (2,88)
Confirmado que houve reajustes de preços pro Cliente no começo do ano. Proseguir com 2,84</t>
        </r>
      </text>
    </comment>
    <comment ref="H75" authorId="0" shapeId="0" xr:uid="{BD40BBC9-8237-4F42-8BAE-BEE2CEFDB42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saldo 241 (3107)</t>
        </r>
      </text>
    </comment>
    <comment ref="G81" authorId="0" shapeId="0" xr:uid="{A9F04FCF-6868-47A4-95A5-60F9F64485E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código em proforma errado. Revisado na tabela</t>
        </r>
      </text>
    </comment>
    <comment ref="H81" authorId="0" shapeId="0" xr:uid="{056E29BC-6ADD-4846-97E4-B0FEFB8FEC4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código em proforma errado. Revisado na tabela</t>
        </r>
      </text>
    </comment>
    <comment ref="K86" authorId="0" shapeId="0" xr:uid="{BCC4C911-1B38-4647-9711-BAEF6591D49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acrescentar +700 do saldo do pedido 6816 (164.25) que foi cancelado--- Cliente não aceita os pedidos 173 e 177-   Ajustar em Pro-forma (2/7)</t>
        </r>
      </text>
    </comment>
    <comment ref="G115" authorId="0" shapeId="0" xr:uid="{4D3CEFAE-85AB-42AE-B009-AC9B4375436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**</t>
        </r>
        <r>
          <rPr>
            <b/>
            <u/>
            <sz val="9"/>
            <color indexed="81"/>
            <rFont val="Tahoma"/>
            <family val="2"/>
          </rPr>
          <t>Producto de revenda</t>
        </r>
        <r>
          <rPr>
            <sz val="9"/>
            <color indexed="81"/>
            <rFont val="Tahoma"/>
            <family val="2"/>
          </rPr>
          <t>.
Revisar fluxo. Encaminhar  e-mail para o Anderson, pois precisa comprar**</t>
        </r>
      </text>
    </comment>
    <comment ref="G121" authorId="0" shapeId="0" xr:uid="{B6472EC5-9218-42D2-9082-44391561ED0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cód. Final 23 discontinuado - Alterado pelo final- 31</t>
        </r>
      </text>
    </comment>
    <comment ref="G175" authorId="0" shapeId="0" xr:uid="{5EA6BFEF-AB9E-4086-BA9A-569E8CAAAB0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código revisado. Correto es  350001-
Pedido 7683 cancelado para criar um pedido com o código certo 350001 - 02920001</t>
        </r>
      </text>
    </comment>
    <comment ref="I175" authorId="0" shapeId="0" xr:uid="{354ECF98-E24F-4D71-9311-2B014428AC2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antes 7683---&gt;
corrigido 7780 (24/7/25)</t>
        </r>
      </text>
    </comment>
    <comment ref="A177" authorId="0" shapeId="0" xr:uid="{FEF17DEF-0125-4ECF-94FD-E2DF566553F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Complemento de 1.500Mts Tela Black (2810013) correspondente ao pedido 7178 que foi encerrado anteriormente com uma entrega de somente 500Mts (solicitação original de 2.000) - Fup Faturamento</t>
        </r>
      </text>
    </comment>
    <comment ref="G177" authorId="0" shapeId="0" xr:uid="{8560B64D-F42B-48B7-85D3-8A1BF23D189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código em proforma errado. Revisado na tabela</t>
        </r>
      </text>
    </comment>
    <comment ref="M185" authorId="0" shapeId="0" xr:uid="{CE09C001-B146-42A7-A5D2-6EE79164FD6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novo artigo -13/08</t>
        </r>
      </text>
    </comment>
    <comment ref="M186" authorId="0" shapeId="0" xr:uid="{BF906894-6BCB-4085-A721-5B1992525DB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cotação novo artigo -13/08</t>
        </r>
      </text>
    </comment>
    <comment ref="K189" authorId="0" shapeId="0" xr:uid="{85B599AA-67AF-4A00-87BA-E7A660E11E8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aumento de 200 a 400mts para seguir minimo de setup - alinhado internamente e em pedido sistema</t>
        </r>
      </text>
    </comment>
    <comment ref="M197" authorId="0" shapeId="0" xr:uid="{F2A31672-01BE-4774-95C4-E63F0EE03DA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em BRL  R$ 
USD 2,89</t>
        </r>
      </text>
    </comment>
    <comment ref="N197" authorId="0" shapeId="0" xr:uid="{AAB9F93C-D874-4870-9B93-07F0B0199B8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VALORES EM BRL</t>
        </r>
      </text>
    </comment>
    <comment ref="M198" authorId="0" shapeId="0" xr:uid="{8ADFB6CB-9E04-402D-9FAC-1E1D588D16C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em BRL  R$ 
USD 2,89</t>
        </r>
      </text>
    </comment>
    <comment ref="M199" authorId="0" shapeId="0" xr:uid="{F3990BA2-6621-4F82-832F-3592358688D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em BRL
USD 3,24</t>
        </r>
      </text>
    </comment>
    <comment ref="K202" authorId="0" shapeId="0" xr:uid="{B7C220C6-CF9F-4F12-8DFF-21F295B9A92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NÃO PRODUZIR - ARTIGO EM STOCK - 2.200MTS</t>
        </r>
      </text>
    </comment>
    <comment ref="H212" authorId="0" shapeId="0" xr:uid="{9F06E5DE-761E-4E90-B3F7-0B2A96AE4E2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Watch Out-Issue na máquina/ revisão sendo feita (1710)
----
Revisado problema de Calidad---
</t>
        </r>
        <r>
          <rPr>
            <b/>
            <sz val="9"/>
            <color indexed="81"/>
            <rFont val="Tahoma"/>
            <family val="2"/>
          </rPr>
          <t>Art cambio de código de 2860016---&gt;2860018</t>
        </r>
      </text>
    </comment>
    <comment ref="M212" authorId="0" shapeId="0" xr:uid="{EF6C7477-A34B-45CB-BAC2-03347AC2518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Cod eliminado/ bloqueado para evitar más problemas. Precio de 2860016 era </t>
        </r>
        <r>
          <rPr>
            <b/>
            <sz val="9"/>
            <color indexed="81"/>
            <rFont val="Tahoma"/>
            <family val="2"/>
          </rPr>
          <t>2,44
Estuvo sujeito a reclam de qualidade - tecido rasga no bordado</t>
        </r>
      </text>
    </comment>
    <comment ref="M217" authorId="0" shapeId="0" xr:uid="{BE82E67B-57C6-4291-B547-4ABF548AD2D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Preço ajustado conforme valor do stock antigo que ele deixou de comprar em janeiro e compra agora (20/10)- Ajustei pedido 8614 manualmente- Proforma atualizada</t>
        </r>
      </text>
    </comment>
    <comment ref="I225" authorId="0" shapeId="0" xr:uid="{DF752E06-18DB-437A-8A4B-2D45F555BB0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novo pedido 01/12-&gt;9070</t>
        </r>
      </text>
    </comment>
    <comment ref="A244" authorId="0" shapeId="0" xr:uid="{D38A1746-8AA1-49B4-BF4A-0B28A12F5B2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complementario para sanar ajuste de codigo revisado por problemas de QA (03/11/2025)</t>
        </r>
      </text>
    </comment>
    <comment ref="H244" authorId="0" shapeId="0" xr:uid="{9AC84E5B-A8D2-41F1-8AAC-1503CDEF245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Watch Out-Issue na máquina/ revisão sendo feita (1710)
----
Revisado problema de Calidad---
</t>
        </r>
        <r>
          <rPr>
            <b/>
            <sz val="9"/>
            <color indexed="81"/>
            <rFont val="Tahoma"/>
            <family val="2"/>
          </rPr>
          <t>Art cambio de código de 2860016---&gt;2860018</t>
        </r>
      </text>
    </comment>
    <comment ref="I251" authorId="0" shapeId="0" xr:uid="{0F1D1D90-5158-462E-96A3-50895F3CB23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Novo pedido 03/12 --&gt; 9075</t>
        </r>
      </text>
    </comment>
    <comment ref="H262" authorId="0" shapeId="0" xr:uid="{8B9C2F8A-4942-48EF-80EC-E0495F98D7E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alteração proforma - muda código final 008 por final 012- devido a confusão do cliente</t>
        </r>
      </text>
    </comment>
    <comment ref="A263" authorId="0" shapeId="0" xr:uid="{FBBE5CBE-B89E-4D56-A2F0-D1F9DCE785C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pdtos novos complemento proforma 220.25 finalmente aprovados e cadastrados (27/11)</t>
        </r>
      </text>
    </comment>
    <comment ref="K279" authorId="0" shapeId="0" xr:uid="{E9520F3D-8DCB-46EC-9530-E6490E717911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prioridade </t>
        </r>
      </text>
    </comment>
    <comment ref="I319" authorId="0" shapeId="0" xr:uid="{048AA743-49D8-434A-958C-0D52130D501F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mantem preço conforme estava no sistema devido a ter sido negociado e assinado antes da divulgação de ajustes</t>
        </r>
      </text>
    </comment>
    <comment ref="I322" authorId="0" shapeId="0" xr:uid="{03BDA594-73B4-4F40-A1AD-A87F0548A819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antes 9772 CXLD para poder refletir ajuste preços programado para junho26</t>
        </r>
      </text>
    </comment>
    <comment ref="M325" authorId="0" shapeId="0" xr:uid="{A9CDBFB8-9680-4119-A575-9C1CABEF45C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producto tuvo problema de calidad -
pruebas realizadas para mejorar el relleno dispararán el precio de este producto para $ 6,21 (32%)-
ver sugerencia de reposición em e-mail de MS (12/06)</t>
        </r>
      </text>
    </comment>
    <comment ref="G350" authorId="0" shapeId="0" xr:uid="{759478EE-CB74-431D-82B6-1077CC0E4F3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Este SKU passara por manutenção nel desenho para buscar reduzir as chances de estourar no bordado. 
O código de produção 3520005 será inativado.
Foi reportado hoje em paralelo esse problema de QA</t>
        </r>
      </text>
    </comment>
    <comment ref="G379" authorId="0" shapeId="0" xr:uid="{6618192A-AF27-435A-BB4E-661D48434980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Houve Alteração no artigo 3370011 para melhorar eficiência da produção- motivado ao atraso e não estar dando certo com 2 trocas de máquinas --
OP atualizada - alterado o consumo dos fios no produto))
troca de maq 16&gt;45&gt;41 o 44 </t>
        </r>
      </text>
    </comment>
    <comment ref="T381" authorId="0" shapeId="0" xr:uid="{91BCB9EC-95F0-4632-B24E-2324BE51DD85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2do grupo de produção por complemento artigos para 6K de cada</t>
        </r>
      </text>
    </comment>
    <comment ref="H383" authorId="0" shapeId="0" xr:uid="{CE378722-C54C-45BC-BDC4-1DA7EFA111F7}">
      <text>
        <r>
          <rPr>
            <b/>
            <sz val="9"/>
            <color indexed="81"/>
            <rFont val="Segoe UI"/>
            <family val="2"/>
          </rPr>
          <t>Mary Martinez:</t>
        </r>
        <r>
          <rPr>
            <sz val="9"/>
            <color indexed="81"/>
            <rFont val="Segoe UI"/>
            <family val="2"/>
          </rPr>
          <t xml:space="preserve">
ATRV na maquina 46 hoje (significado de ATRV amostra feita com outras cores para que os mecânicos tenham em mãos 1 metro da malha para liberação visual do desenho, com isso cabe aos mecânicos garantir apenas gramatura e largura e comparar o visual com este pedaço que ficará na prateleira.</t>
        </r>
      </text>
    </comment>
    <comment ref="K384" authorId="0" shapeId="0" xr:uid="{128798F6-08D7-43D3-B437-07087C89CD4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6.000 originalmente</t>
        </r>
      </text>
    </comment>
    <comment ref="J385" authorId="0" shapeId="0" xr:uid="{123AD3C6-ED00-4DC0-AB8A-1F2040C91038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Ajuste de tela sin Morado-
alteración de precio
(15/06)
diversas pruebas - escogida la versión em azul marino - ver foto em file e emial</t>
        </r>
      </text>
    </comment>
    <comment ref="K385" authorId="0" shapeId="0" xr:uid="{3183A4AD-9CE3-4B62-896D-D8032725CFD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ORIGINALMENTE 3.000
produção até 01/07 / 535- 
foi feito pedido complementar para chegar em 6000mts
</t>
        </r>
      </text>
    </comment>
    <comment ref="M385" authorId="0" shapeId="0" xr:uid="{415385E4-CF78-463C-BD3A-3EA166EF1C19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cliente aceitou a mudança de cor na condição de ficar no preço de 3,92 (16jun)</t>
        </r>
      </text>
    </comment>
    <comment ref="I389" authorId="0" shapeId="0" xr:uid="{058A0DF3-0E4D-49DA-9BE9-11DE7678AC93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actualizao por cambio em estrutura pdto
Anterior 10352 CXLD</t>
        </r>
      </text>
    </comment>
    <comment ref="J392" authorId="0" shapeId="0" xr:uid="{E7B5646F-7CEA-4F81-B0A1-3B6A86BF5FA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redução de GSM solicitada 01/07</t>
        </r>
      </text>
    </comment>
    <comment ref="K396" authorId="0" shapeId="0" xr:uid="{8A57291F-8467-4279-A79C-3CB30E76F72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Expedición 1.232 mts
246%</t>
        </r>
      </text>
    </comment>
    <comment ref="M396" authorId="0" shapeId="0" xr:uid="{97017234-7B40-477B-9D9B-23685B0FE13D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disconto concedido 16jun</t>
        </r>
      </text>
    </comment>
    <comment ref="I410" authorId="0" shapeId="0" xr:uid="{0C3419EB-DEDA-4A2C-9714-67821794CA5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10629 reemplazado x 11275
NF fueron clxd, novo lote tuvo q ser generado y nuevo pedido
</t>
        </r>
      </text>
    </comment>
    <comment ref="I411" authorId="0" shapeId="0" xr:uid="{87DA6E93-4073-4C7B-91AF-B43BF36AD9A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10629 reemplazado x 11275</t>
        </r>
      </text>
    </comment>
    <comment ref="H415" authorId="0" shapeId="0" xr:uid="{78477787-8921-4364-ACD0-4E9E64BA352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Item eliminado de Regal vendido a Multiespumas/ No produzir já na Expedição</t>
        </r>
      </text>
    </comment>
    <comment ref="I415" authorId="0" shapeId="0" xr:uid="{45471CC2-BC3E-4102-9515-586215F9B607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10635 reemplazado x 11275</t>
        </r>
      </text>
    </comment>
    <comment ref="H455" authorId="0" shapeId="0" xr:uid="{A088F6D5-F28C-43C3-B1BC-90F7F56CDDA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os artigos 3660005 e 3660003, não vão ser enviados, por favor remover da transação (Pedro C.)</t>
        </r>
      </text>
    </comment>
    <comment ref="K456" authorId="0" shapeId="0" xr:uid="{62CD934E-F779-4AFA-A926-7BE9A63CD2E6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cliente ajustou para 6.000
(03/09/2026)
Sera criado pedido complementar--&gt; 11316 (04/09)</t>
        </r>
      </text>
    </comment>
    <comment ref="H457" authorId="0" shapeId="0" xr:uid="{6B21052E-3DCE-4650-A648-B4CFF403709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os artigos 3660005 e 3660003, não vão ser enviados, por favor remover da transação (Pedro C.)</t>
        </r>
      </text>
    </comment>
    <comment ref="K459" authorId="0" shapeId="0" xr:uid="{883DE110-7BE5-41DE-803F-9E3D4689F1BE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qtd reduzida para 4.000 (03/09/2026) - pedido ajustado</t>
        </r>
      </text>
    </comment>
    <comment ref="M477" authorId="0" shapeId="0" xr:uid="{EBBE0C69-8CF3-47EF-9515-3449643DAAB2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Anderson via email:  "Ele nos passou uma previsão de entrega em 30 dias 
R$ 5,50/metro."
$1,30 Sistema OK
</t>
        </r>
      </text>
    </comment>
    <comment ref="J484" authorId="0" shapeId="0" xr:uid="{67AA21A3-C2D1-429D-8E4D-B7DB76DC887C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GRIS PERLA</t>
        </r>
      </text>
    </comment>
    <comment ref="A499" authorId="0" shapeId="0" xr:uid="{905488F5-DC82-4A6A-A585-866FB718258A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pedido complementar devido à ajustes em SKUs; mantém entrega consolidada com original 043.26a (04/09/26)</t>
        </r>
      </text>
    </comment>
    <comment ref="A500" authorId="0" shapeId="0" xr:uid="{47E66A8B-588E-4BA1-99EE-CB47AD4BF2B0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Reposição qualidade
NÃO faturar</t>
        </r>
      </text>
    </comment>
    <comment ref="I500" authorId="0" shapeId="0" xr:uid="{ABD40C23-9D72-424A-BAB9-4EAF4B29282B}">
      <text>
        <r>
          <rPr>
            <b/>
            <sz val="9"/>
            <color indexed="81"/>
            <rFont val="Tahoma"/>
            <family val="2"/>
          </rPr>
          <t>Mary Martinez:</t>
        </r>
        <r>
          <rPr>
            <sz val="9"/>
            <color indexed="81"/>
            <rFont val="Tahoma"/>
            <family val="2"/>
          </rPr>
          <t xml:space="preserve">
durante minhas férias aparentemente foi tratado como pdn facturavel por engano-
também foi criado um pedido adicional (11374) por reposição que substitui o 11315  - não há muita documentação clara do acontecido, apenas documentos diversos arquivados na pasta da proforma inefetiva (057.26  que foi cancelada) e o comentario no tab de resumo -   aparentemente houve de ser associada a outra operação, porém no novo pedido está o campo em branco 
**documento para récords históricos, em 24/09/2026  </t>
        </r>
      </text>
    </comment>
  </commentList>
</comments>
</file>

<file path=xl/sharedStrings.xml><?xml version="1.0" encoding="utf-8"?>
<sst xmlns="http://schemas.openxmlformats.org/spreadsheetml/2006/main" count="4998" uniqueCount="1534">
  <si>
    <t>VENDAS INTERNACIONAIS - FLUXO DE PEDIDOS  - DETALHES</t>
  </si>
  <si>
    <t>CLIENTE</t>
  </si>
  <si>
    <t>PAIS</t>
  </si>
  <si>
    <t>NÚM. PEDIDO
TOTVS</t>
  </si>
  <si>
    <t>MTS</t>
  </si>
  <si>
    <t>KGS</t>
  </si>
  <si>
    <t>PREÇO</t>
  </si>
  <si>
    <t>PCP</t>
  </si>
  <si>
    <t>CONTATO</t>
  </si>
  <si>
    <t>E-MAIL</t>
  </si>
  <si>
    <t>FONE</t>
  </si>
  <si>
    <t>157.25</t>
  </si>
  <si>
    <t>David Moreno (Heaven)</t>
  </si>
  <si>
    <t>Bolivia</t>
  </si>
  <si>
    <t>Tela Artic Breeze - Fria / Blanca e Azul</t>
  </si>
  <si>
    <t>Severiano Melgar</t>
  </si>
  <si>
    <t>jefecompras@colchonesheaven.com</t>
  </si>
  <si>
    <t>591 78516162</t>
  </si>
  <si>
    <t>Tela Hexagono / Blanca</t>
  </si>
  <si>
    <t>155.25</t>
  </si>
  <si>
    <t>Inmapol (Industria de la Madera y el Poliuretano)</t>
  </si>
  <si>
    <t>Paraguay</t>
  </si>
  <si>
    <t>Tela Inmapol Artic Breeze</t>
  </si>
  <si>
    <t>Marcos</t>
  </si>
  <si>
    <t>madrisa@inmapol.com.py</t>
  </si>
  <si>
    <t>595 21 942 599</t>
  </si>
  <si>
    <t>Tela Inmapol Coreon</t>
  </si>
  <si>
    <t>Tela Inmapol Biodress</t>
  </si>
  <si>
    <t>Knitting - White / Tela con acabado resistente al pilling</t>
  </si>
  <si>
    <t>Productos Paraiso del Ecuador</t>
  </si>
  <si>
    <t>Ecuador</t>
  </si>
  <si>
    <t>POCKET COIL MAX</t>
  </si>
  <si>
    <t>Maria Jose Camacho</t>
  </si>
  <si>
    <t>comexgye@paraiso.com.ec</t>
  </si>
  <si>
    <t>593 999494115</t>
  </si>
  <si>
    <t>BANDA POCKET COIL MAX</t>
  </si>
  <si>
    <t>PREMIUM PLUS</t>
  </si>
  <si>
    <t>BANDA PREMIUM PLUS</t>
  </si>
  <si>
    <t>SDP6907</t>
  </si>
  <si>
    <t>PARAÍSO BAMBOO PLUS</t>
  </si>
  <si>
    <t>158.25 Rev.2</t>
  </si>
  <si>
    <t>Sea Trading Company SA (MATERASSI)</t>
  </si>
  <si>
    <t>A08182</t>
  </si>
  <si>
    <t>Tela Materassi Blanca</t>
  </si>
  <si>
    <t>Alcibiades Greco</t>
  </si>
  <si>
    <t>unicornio_py@yahoo.es</t>
  </si>
  <si>
    <t>595 982 119084</t>
  </si>
  <si>
    <t>160.25</t>
  </si>
  <si>
    <t>Divino Sociedad Anonima</t>
  </si>
  <si>
    <t>Uruguay</t>
  </si>
  <si>
    <t>254.0012</t>
  </si>
  <si>
    <t>Tela Conexao A07820 240 gsm</t>
  </si>
  <si>
    <t>FRANCO MACHAO</t>
  </si>
  <si>
    <t>franco.machao@divino.com.uy</t>
  </si>
  <si>
    <t>+ 598 (2) 506.1262</t>
  </si>
  <si>
    <t>254.0005</t>
  </si>
  <si>
    <t>Tela A07370 Tampo Geom 100% POLY 240G</t>
  </si>
  <si>
    <t>Tela A07803 Modelo Divino</t>
  </si>
  <si>
    <t>254.0018</t>
  </si>
  <si>
    <t>Tela DIV A07806</t>
  </si>
  <si>
    <t>A08980</t>
  </si>
  <si>
    <t>Tela Conexao A08980 Modelo Divino</t>
  </si>
  <si>
    <t>Tela Folhas - Imagina 15001</t>
  </si>
  <si>
    <t>Tela 72001 Degrade Gris</t>
  </si>
  <si>
    <t>TP ML A10045 280G 2,20L DV U</t>
  </si>
  <si>
    <t>164.25</t>
  </si>
  <si>
    <t>Tela antideslizante Conexao</t>
  </si>
  <si>
    <t>Tela TP ML 132012 340G 2,20L DV U</t>
  </si>
  <si>
    <t>163.25</t>
  </si>
  <si>
    <t>Flex Equipos De Descanso</t>
  </si>
  <si>
    <t>Chile</t>
  </si>
  <si>
    <t>Tela Hojas</t>
  </si>
  <si>
    <t>Paulina Mena</t>
  </si>
  <si>
    <t>paulina.mena@flex.es</t>
  </si>
  <si>
    <t>56 96205 0626</t>
  </si>
  <si>
    <t>Therapeutic - Gray</t>
  </si>
  <si>
    <t>153.25</t>
  </si>
  <si>
    <t>Comercializadora SL Sunlock LTDA</t>
  </si>
  <si>
    <t>2860004</t>
  </si>
  <si>
    <t>TP RETAS DEGRADE</t>
  </si>
  <si>
    <t>Juan Carlos Villarroel</t>
  </si>
  <si>
    <t>jcvillarroel@sunlock.cl</t>
  </si>
  <si>
    <t>(+56) 98529-7739</t>
  </si>
  <si>
    <t>2860013</t>
  </si>
  <si>
    <t>TELA SUNSET</t>
  </si>
  <si>
    <t>2860015</t>
  </si>
  <si>
    <t>TP GRIS</t>
  </si>
  <si>
    <t>SU001</t>
  </si>
  <si>
    <t>SERTAPEDIC</t>
  </si>
  <si>
    <t>159.25</t>
  </si>
  <si>
    <t>Tela Conexao Tela A05171 Square</t>
  </si>
  <si>
    <t>Tela 69001 Contemporáneo</t>
  </si>
  <si>
    <t>Tela TP ML A10045 280G 2,20L DV U</t>
  </si>
  <si>
    <t>Grupo Empresarial Maxi King S.R.L.</t>
  </si>
  <si>
    <t>MAXI KING 1 - BRANCO &amp; AREIA</t>
  </si>
  <si>
    <t>Livio Zozzoli</t>
  </si>
  <si>
    <t>liviozozzoli@maxiking.com.bo</t>
  </si>
  <si>
    <t>(591)76640036</t>
  </si>
  <si>
    <t>MAXI KING 2 - ARENA</t>
  </si>
  <si>
    <t>MAXI KING 3 - BRANCO COM PERLA</t>
  </si>
  <si>
    <t>MAXI KING 4 - AZUL MARINO</t>
  </si>
  <si>
    <t>MAXI KING 5 - GRIS / ARENA / BLANCO</t>
  </si>
  <si>
    <t>170.25</t>
  </si>
  <si>
    <t>TP PARADISE 122034 370G. 2,20 DV U</t>
  </si>
  <si>
    <t>171.25</t>
  </si>
  <si>
    <t>Argentina</t>
  </si>
  <si>
    <t>Tela Caseros - Modelo 1 - Abstrato</t>
  </si>
  <si>
    <t>Rubén Pellegrini</t>
  </si>
  <si>
    <t>distribuidoracaseros@gmail.com</t>
  </si>
  <si>
    <t>54 9 11 4419-8124</t>
  </si>
  <si>
    <t>Tela Caseros - Modelo 2 - Lines</t>
  </si>
  <si>
    <t>Tela Caseros - Modelo 2 - Dots</t>
  </si>
  <si>
    <t>166.25</t>
  </si>
  <si>
    <t>Tela Black - TP ML A09887</t>
  </si>
  <si>
    <t>167.25</t>
  </si>
  <si>
    <t>281.0005</t>
  </si>
  <si>
    <t xml:space="preserve">Sensity - Hojas </t>
  </si>
  <si>
    <t>281.0009</t>
  </si>
  <si>
    <t>172.25</t>
  </si>
  <si>
    <t>Tela Black / 300 GSM</t>
  </si>
  <si>
    <t>Tela Favo Blanco</t>
  </si>
  <si>
    <t>DATA 
PRO-FORMA</t>
  </si>
  <si>
    <t>NA</t>
  </si>
  <si>
    <t>OK</t>
  </si>
  <si>
    <t>INVOIC. SEQ INTERN</t>
  </si>
  <si>
    <t>OBSERV.</t>
  </si>
  <si>
    <t>168.25</t>
  </si>
  <si>
    <t>173.25</t>
  </si>
  <si>
    <t>174.25</t>
  </si>
  <si>
    <t>175.25</t>
  </si>
  <si>
    <t>176.25</t>
  </si>
  <si>
    <t>177.25</t>
  </si>
  <si>
    <t>178.25</t>
  </si>
  <si>
    <t>179.25</t>
  </si>
  <si>
    <t>180.25</t>
  </si>
  <si>
    <t>fev</t>
  </si>
  <si>
    <t>mar</t>
  </si>
  <si>
    <t>abr</t>
  </si>
  <si>
    <t>Soma de TOTAL US$</t>
  </si>
  <si>
    <t>Bruno/ Crystian/Gustavo</t>
  </si>
  <si>
    <t>Programação Maquinas '(C)</t>
  </si>
  <si>
    <t>Soma de MTS</t>
  </si>
  <si>
    <t>VOLUME DE COMPRA X CLIENTE / MÊS</t>
  </si>
  <si>
    <t>Tela Divino - Lino y &amp; Arena</t>
  </si>
  <si>
    <t>TP retas degrade</t>
  </si>
  <si>
    <t>TP Gris</t>
  </si>
  <si>
    <t>181.25</t>
  </si>
  <si>
    <r>
      <t>Tela Black</t>
    </r>
    <r>
      <rPr>
        <sz val="10"/>
        <color rgb="FFFF0000"/>
        <rFont val="Helvetica"/>
      </rPr>
      <t xml:space="preserve"> TP ML A10131</t>
    </r>
  </si>
  <si>
    <t>A10131</t>
  </si>
  <si>
    <t>BED TIME</t>
  </si>
  <si>
    <t>TL86257</t>
  </si>
  <si>
    <t>TL70511</t>
  </si>
  <si>
    <t>TAPA CALM</t>
  </si>
  <si>
    <t>TAPA ENERGY</t>
  </si>
  <si>
    <t>ok</t>
  </si>
  <si>
    <t>mai</t>
  </si>
  <si>
    <t>Total general</t>
  </si>
  <si>
    <t>Etiquetas de fila</t>
  </si>
  <si>
    <t>(Todas)</t>
  </si>
  <si>
    <t>Etiquetas de columna</t>
  </si>
  <si>
    <t>2810009 (1419)</t>
  </si>
  <si>
    <t>Distribuidora Caseros</t>
  </si>
  <si>
    <t>Tela conexão A07820 240 gms</t>
  </si>
  <si>
    <t>Tela Cool Touch 460G-2,10 Colmeia</t>
  </si>
  <si>
    <t>2540012 (1225)</t>
  </si>
  <si>
    <t>OBSERVAÇÃO/PROXIMO PASSO</t>
  </si>
  <si>
    <t/>
  </si>
  <si>
    <t>TP ML 0092193 160Gr 2,10 L</t>
  </si>
  <si>
    <t xml:space="preserve">tela Dual Suenolar 240 2,20 100% PES XN BEGE </t>
  </si>
  <si>
    <t>Nidia Villalba</t>
  </si>
  <si>
    <t>nvillalba@ypsa.com.py</t>
  </si>
  <si>
    <t>595 21 588 8000</t>
  </si>
  <si>
    <t xml:space="preserve">YP  S.A. (Grupo Suenolar) </t>
  </si>
  <si>
    <t>3070002 (Id 4160)</t>
  </si>
  <si>
    <t>0054025 3070002</t>
  </si>
  <si>
    <t>182.25</t>
  </si>
  <si>
    <t>Tela SuperSpuma Dots 1 - Azul</t>
  </si>
  <si>
    <t>Tela SuperSpuma Dots 1 - Roja</t>
  </si>
  <si>
    <t>Tela SuperSpuma Dots 1 - Negra</t>
  </si>
  <si>
    <t>SUPERSPUMA PARAGUAY (SAECA)</t>
  </si>
  <si>
    <t>SUNLOCK SPA</t>
  </si>
  <si>
    <t>A09646</t>
  </si>
  <si>
    <t>TP Dolphin</t>
  </si>
  <si>
    <t>Leticia Roig</t>
  </si>
  <si>
    <t>leticia.roig@superspuma.com</t>
  </si>
  <si>
    <t>595 985 629024</t>
  </si>
  <si>
    <t>---</t>
  </si>
  <si>
    <t>183.25</t>
  </si>
  <si>
    <t>184.25</t>
  </si>
  <si>
    <t>185.25</t>
  </si>
  <si>
    <t>Sebastián Mayo</t>
  </si>
  <si>
    <t>Tela Superkids Rosa</t>
  </si>
  <si>
    <t>Tela Waves Lino</t>
  </si>
  <si>
    <t>Amostras diversas</t>
  </si>
  <si>
    <t>PRO-FORM DATE/ CLIENT  - US$</t>
  </si>
  <si>
    <t>METROS/CLIENTE (VOLUME)</t>
  </si>
  <si>
    <t>A09970 (3701)</t>
  </si>
  <si>
    <t>A009971 (3702)</t>
  </si>
  <si>
    <t>A09969 (3700)</t>
  </si>
  <si>
    <t>A09858 (3274)</t>
  </si>
  <si>
    <t>0080011 (1979)</t>
  </si>
  <si>
    <t>3200010-06</t>
  </si>
  <si>
    <t>&lt;03/02/2025</t>
  </si>
  <si>
    <t>(en blanco)</t>
  </si>
  <si>
    <t>2540017 (1506)</t>
  </si>
  <si>
    <t>Tela Conexao A08980 Modelo Divino 280G 2,10L</t>
  </si>
  <si>
    <t>2540033 (3589)</t>
  </si>
  <si>
    <t>2810005 (1422)</t>
  </si>
  <si>
    <t>Suma de MTS</t>
  </si>
  <si>
    <t>CLIENTES / METROS</t>
  </si>
  <si>
    <t>A10169 (4114)</t>
  </si>
  <si>
    <t>A10168 (4113)</t>
  </si>
  <si>
    <t>INDUCOL</t>
  </si>
  <si>
    <t>José Luis Balderrama</t>
  </si>
  <si>
    <t>inducolsrl@outlook.com</t>
  </si>
  <si>
    <t>591 76971755</t>
  </si>
  <si>
    <t>Invoice 185.25  (18/06)</t>
  </si>
  <si>
    <t>cod. Orig</t>
  </si>
  <si>
    <t>Cod. Nuevos com diseõ y logo</t>
  </si>
  <si>
    <t>2940053 TP ML 0389011 180G 2,20L</t>
  </si>
  <si>
    <t>2940052 TP ML 0418011 180G 2,20L</t>
  </si>
  <si>
    <t>2940051 TP ML 0441021 180G 2,20L</t>
  </si>
  <si>
    <t>2940050 TP ML 0447011 180G 2,20L</t>
  </si>
  <si>
    <t>2940049 TP ML 0449021 180G 2,20L</t>
  </si>
  <si>
    <t>2940048 TP ML 0446031 180G 2,20L</t>
  </si>
  <si>
    <t>2940047 TP ML 0276001 180G 2,20L</t>
  </si>
  <si>
    <t>2940046 TP ML 0271051 180G 2,20L</t>
  </si>
  <si>
    <t>2940045 TP ML 0149101 180G 2,20L</t>
  </si>
  <si>
    <t>2940044 TP ML 0149111 180G 2,20L</t>
  </si>
  <si>
    <t>2940043 TP ML 0263021 180G 2,20L</t>
  </si>
  <si>
    <t>2940042 TP ML 0074101 180G 2,20L</t>
  </si>
  <si>
    <t>2940041 TP ML 0269021 180G 2,20L</t>
  </si>
  <si>
    <t>2940040 TP ML 0147101 180G 2,20L</t>
  </si>
  <si>
    <t>2940039 TP ML 0245061 180G 2,20L</t>
  </si>
  <si>
    <t>2940038 TP ML 0262031 180G 2,20L</t>
  </si>
  <si>
    <t>2940037 TP ML 0076061 180G 2,20L</t>
  </si>
  <si>
    <t>2940036 TP ML 0066011 180G 2,20L</t>
  </si>
  <si>
    <t>2940035 TP ML 0143001 180G 2,20L</t>
  </si>
  <si>
    <t>2940034 TP ML 0408041 180G 2,20L</t>
  </si>
  <si>
    <t>2940033 TP ML 0389011 180G 2,20L</t>
  </si>
  <si>
    <t>2940032 TP ML 0274031 180G 2,20L</t>
  </si>
  <si>
    <t>2940031 TP ML 0072091 180G 2,20L</t>
  </si>
  <si>
    <t>180 2,20 100% PES CM Preto e Branco</t>
  </si>
  <si>
    <t>187.25</t>
  </si>
  <si>
    <t>188.25</t>
  </si>
  <si>
    <t>DESCRIÇÃO</t>
  </si>
  <si>
    <t>189.25</t>
  </si>
  <si>
    <t>Tela Cool Touch A09792 390G 2,20L</t>
  </si>
  <si>
    <t xml:space="preserve">Inclusão </t>
  </si>
  <si>
    <t>2540005</t>
  </si>
  <si>
    <t>2540014</t>
  </si>
  <si>
    <t>2540018</t>
  </si>
  <si>
    <t>2540017</t>
  </si>
  <si>
    <t>2540026</t>
  </si>
  <si>
    <t>2540028</t>
  </si>
  <si>
    <t>2540035</t>
  </si>
  <si>
    <t>0245021</t>
  </si>
  <si>
    <t>2540012 TAMPO RASCUNHOS (A07820) DIVERSAS U</t>
  </si>
  <si>
    <t>2540005 TAMPO GEOMETRICO (A07370) DIVERSAS U</t>
  </si>
  <si>
    <t>2540014 TP ML A05171 300G 2,20L DIVERSAS U</t>
  </si>
  <si>
    <t>2540018 TP ML DIV 7806 240G 2,10L DIVERSAS U</t>
  </si>
  <si>
    <t>2540017 TP ML A08980 280G 2,10L DIVERSAS U</t>
  </si>
  <si>
    <t>2540026 TP ML 0072051 - 280G 2,20L DEGRA DIVERSAS U</t>
  </si>
  <si>
    <t>2540028 TP CORDERO 310G 2,10L 0186002 DIVERSAS U</t>
  </si>
  <si>
    <t>2540035 TP ML A10045 280G 2,20L DV U</t>
  </si>
  <si>
    <t>2540033 TP ML 132012 340G 2,20L DV U</t>
  </si>
  <si>
    <t>2540032 TP ML 245021 240G 2,20L DV U</t>
  </si>
  <si>
    <r>
      <rPr>
        <strike/>
        <sz val="10"/>
        <color theme="1"/>
        <rFont val="Helvetica"/>
      </rPr>
      <t>2540023--</t>
    </r>
    <r>
      <rPr>
        <sz val="10"/>
        <color theme="1"/>
        <rFont val="Helvetica"/>
      </rPr>
      <t>&gt;2540031(3343)</t>
    </r>
  </si>
  <si>
    <t>2540031 TP ML A09792 390G 2,20L DV U</t>
  </si>
  <si>
    <t>190.25</t>
  </si>
  <si>
    <t>191.25</t>
  </si>
  <si>
    <t>TELA T NATURAL BAMBOO/TP PARADISE 122034 370G 2,20</t>
  </si>
  <si>
    <t>Polymax - El Galo</t>
  </si>
  <si>
    <t>CF - Tampo Blue Jasmin A09270</t>
  </si>
  <si>
    <t>circles black a09272</t>
  </si>
  <si>
    <t>95002 - Modelo Gris Escuro</t>
  </si>
  <si>
    <t>Branco e Preto - CM</t>
  </si>
  <si>
    <t>CM - 2810010 - Star White - BRANCO</t>
  </si>
  <si>
    <t>Branco e Preto - CF</t>
  </si>
  <si>
    <t>Branco e Preto - PL</t>
  </si>
  <si>
    <t>A09535 - Preta e Branco - CF (Banda negra pleno)</t>
  </si>
  <si>
    <t xml:space="preserve">XN - A06305 Modelo Original </t>
  </si>
  <si>
    <t>Branco con Azul Marino - XW</t>
  </si>
  <si>
    <t>CF-A06781 - Desert B. Cor Caqui</t>
  </si>
  <si>
    <t>240015 - Diseño color Negro - XW</t>
  </si>
  <si>
    <t>119022 - Diseno color Gris Original - CF</t>
  </si>
  <si>
    <t>291014 - Diseño color Negro - CM</t>
  </si>
  <si>
    <t>CM 292012 - Color Arena</t>
  </si>
  <si>
    <t>CF - BANDA A08205 NEGRO</t>
  </si>
  <si>
    <t>CM - 0094001 BLANCO</t>
  </si>
  <si>
    <t>Diseño TP 0386003</t>
  </si>
  <si>
    <t>180 2,20 100% PES CM BRANCO E PRETO</t>
  </si>
  <si>
    <t>200 2,20 100% PES CM BRANCO E CINZA</t>
  </si>
  <si>
    <t>192.25</t>
  </si>
  <si>
    <t>PARAISO DEL ECUADOR</t>
  </si>
  <si>
    <t>TL98392</t>
  </si>
  <si>
    <t>TL97788</t>
  </si>
  <si>
    <t>TL27565</t>
  </si>
  <si>
    <t>TELA TAPA CALM  (TL86257)</t>
  </si>
  <si>
    <t>TELATRIANGULO GRIS OSCURO 200GR 2,20  BED002</t>
  </si>
  <si>
    <t>TELA ROMBO DEGRADE AZUL 200GR 2,20  BED003</t>
  </si>
  <si>
    <t>TELA CIRCULO GRIS OSCURO 200GR 2,20  BED010</t>
  </si>
  <si>
    <t>3530004  (Bed002)</t>
  </si>
  <si>
    <t>3530003 (Bed003)</t>
  </si>
  <si>
    <t>3530005 (Bed010)</t>
  </si>
  <si>
    <t>A10169 (4114)3530001</t>
  </si>
  <si>
    <t>A10169 (4114) 3530001</t>
  </si>
  <si>
    <t>193.25</t>
  </si>
  <si>
    <t>IND005</t>
  </si>
  <si>
    <t>IND006</t>
  </si>
  <si>
    <t>IND007</t>
  </si>
  <si>
    <t>0260015</t>
  </si>
  <si>
    <t>0269015</t>
  </si>
  <si>
    <t>0408001</t>
  </si>
  <si>
    <t>0239012</t>
  </si>
  <si>
    <t>0416001</t>
  </si>
  <si>
    <t>IND008</t>
  </si>
  <si>
    <t>IND009</t>
  </si>
  <si>
    <t>300 2,20 PES / PE CM BLANCO</t>
  </si>
  <si>
    <t>300 2,20 99% PES 1% PA XN MESCLAAZUL</t>
  </si>
  <si>
    <t>300 2,20 100% PES CM MESCLA Y BLANCO</t>
  </si>
  <si>
    <t>260 2,20 98% PES 2% LINEN CM BEGE Y LINEN</t>
  </si>
  <si>
    <t>300 2,20 100% PES NV MESCLA</t>
  </si>
  <si>
    <t>300 2,20 100% PES CM BLANCO</t>
  </si>
  <si>
    <t>320 2,20 99% PES 1% PUE CM BLANCO</t>
  </si>
  <si>
    <t>360 2,20 100% PES CM GRIS Y BLANCO</t>
  </si>
  <si>
    <t>194.25</t>
  </si>
  <si>
    <t>3530004  (Bed002) (4332)</t>
  </si>
  <si>
    <t>3530003 (Bed003)(4331)</t>
  </si>
  <si>
    <t>TL98392-A10108</t>
  </si>
  <si>
    <t>TL97788-A10104</t>
  </si>
  <si>
    <t>Springwall</t>
  </si>
  <si>
    <t>0094001 Id 5831</t>
  </si>
  <si>
    <t>TELA SPRINGWALL 220 2,20 100% PES CM Branco</t>
  </si>
  <si>
    <t>TP HOJA DE BAMBU</t>
  </si>
  <si>
    <t xml:space="preserve">CLIENTES /  TOTAL US$-MÊS </t>
  </si>
  <si>
    <t>CLIENTES /  TOTALMTS</t>
  </si>
  <si>
    <t>195.25</t>
  </si>
  <si>
    <t>0071061-2940059</t>
  </si>
  <si>
    <t>0414021-2940058</t>
  </si>
  <si>
    <t>0423021-2940057</t>
  </si>
  <si>
    <t>0260025-2940060</t>
  </si>
  <si>
    <t>0269041-2940061</t>
  </si>
  <si>
    <t>0408051-2940062</t>
  </si>
  <si>
    <t>0239022-2940063</t>
  </si>
  <si>
    <t>0416061-2940064</t>
  </si>
  <si>
    <t>0441041 -2940065</t>
  </si>
  <si>
    <t>0389031- 2940066</t>
  </si>
  <si>
    <t>5 ESTRELLAS POR ELLAS-TP 0304002 280G 2,20L</t>
  </si>
  <si>
    <t>BANDA 5 ESTRELLAS POR ELLAS-TP A10230 220G 2,20L</t>
  </si>
  <si>
    <t>PARAISO ROLL -TP 0304002 280G 2,20L</t>
  </si>
  <si>
    <t>ACCESORIOS - 3260019 0274055 220G 2,20L</t>
  </si>
  <si>
    <t>3.260.015 (0122054)</t>
  </si>
  <si>
    <t>POCKET COIL V2- TP 0122054 300G 2,20</t>
  </si>
  <si>
    <t>A10016 (4352)</t>
  </si>
  <si>
    <t>A10230 (4351)</t>
  </si>
  <si>
    <t>03404002 (4355)</t>
  </si>
  <si>
    <t>0274055 (4354)</t>
  </si>
  <si>
    <t>02911084 (4356)</t>
  </si>
  <si>
    <t>0147125 (4357)</t>
  </si>
  <si>
    <t>02920001 Id 5831- 4350</t>
  </si>
  <si>
    <t>3550001 (4350)</t>
  </si>
  <si>
    <t>2810013 (4041)</t>
  </si>
  <si>
    <t>196.25</t>
  </si>
  <si>
    <t>220 2,20 PES XN GRIS  muestra</t>
  </si>
  <si>
    <t>TELA T SENSITY HOJA-2810005 TP FOLHA 240G 2,20L (1121110)</t>
  </si>
  <si>
    <t>197.25</t>
  </si>
  <si>
    <r>
      <t xml:space="preserve">Tela Therapeutic - Gray - </t>
    </r>
    <r>
      <rPr>
        <sz val="10"/>
        <color rgb="FFFF0000"/>
        <rFont val="Helvetica"/>
      </rPr>
      <t>ARTIGO EM STOCK-Não precisa produzir</t>
    </r>
  </si>
  <si>
    <t>32282 (1523)</t>
  </si>
  <si>
    <t>2540014 (3009)</t>
  </si>
  <si>
    <t>2540015 (1226)</t>
  </si>
  <si>
    <t>2540025 (2053)</t>
  </si>
  <si>
    <t>2540035 (3712)</t>
  </si>
  <si>
    <t>2540015 TAMPO PONTILHADOS PRETO (A07803) DIVERSAS U</t>
  </si>
  <si>
    <t>2540025 TP ML 0069001 - 300G 2,20L CONTE DIVERSAS U</t>
  </si>
  <si>
    <r>
      <t>32282 - TELA ANTIDESLIZANTE DIVERSAS U  -</t>
    </r>
    <r>
      <rPr>
        <sz val="10"/>
        <color rgb="FFFF0000"/>
        <rFont val="Helvetica"/>
      </rPr>
      <t>REVENDA</t>
    </r>
  </si>
  <si>
    <t>Ezequiel Lovera</t>
  </si>
  <si>
    <t>compras@springwall.com..ar</t>
  </si>
  <si>
    <t>José Luis Andrango</t>
  </si>
  <si>
    <t>joseandrando@paraiso.com.ec</t>
  </si>
  <si>
    <t>Eliana Garayalde</t>
  </si>
  <si>
    <t>polymax@polymax.com.uy</t>
  </si>
  <si>
    <t>smayo@bedtime.com.ar</t>
  </si>
  <si>
    <t>198.25</t>
  </si>
  <si>
    <t>199.25</t>
  </si>
  <si>
    <t>Simmons Argentina</t>
  </si>
  <si>
    <t>Martin Miller</t>
  </si>
  <si>
    <t>comercial@martinmiller.com.ar</t>
  </si>
  <si>
    <t>320004 (1757)</t>
  </si>
  <si>
    <t>Tela SuperSpuma Dots 1 - Bordó</t>
  </si>
  <si>
    <t>Tela Waves Lino Salmón</t>
  </si>
  <si>
    <t>160 2,10 100% PES PL CINZA ESCURO E BRANCO</t>
  </si>
  <si>
    <t>PRO-FORM
NBR.</t>
  </si>
  <si>
    <t>PROGRAM. 
MÊS</t>
  </si>
  <si>
    <t>Tela Superkids Azul</t>
  </si>
  <si>
    <t xml:space="preserve">TP ML IMPERAL BLACK </t>
  </si>
  <si>
    <t>SAR001&gt;A10097</t>
  </si>
  <si>
    <t>SAR002&gt;A10101</t>
  </si>
  <si>
    <t>TELA SIMMONS GRIS 240GR-2,30L</t>
  </si>
  <si>
    <t>TELA SIMMONS AZUL MARINHO 240GR-2,30L</t>
  </si>
  <si>
    <t>3470004 (4401)</t>
  </si>
  <si>
    <t>3470005 (4402)</t>
  </si>
  <si>
    <t>200.25</t>
  </si>
  <si>
    <t>201.25</t>
  </si>
  <si>
    <t>MES</t>
  </si>
  <si>
    <t>Multiespumas Viscarra</t>
  </si>
  <si>
    <t>Modelo coleção c/ logo novo</t>
  </si>
  <si>
    <t>Bambú</t>
  </si>
  <si>
    <t>Daniel Garnica</t>
  </si>
  <si>
    <t>daniel.garnica@colchonesheaven.com</t>
  </si>
  <si>
    <t>591 75501534</t>
  </si>
  <si>
    <t>Eliezer Garbin</t>
  </si>
  <si>
    <t>(45) 3572-8738</t>
  </si>
  <si>
    <t>FATURASERVAN@HOTMAIL.COM</t>
  </si>
  <si>
    <t>202.25</t>
  </si>
  <si>
    <t>TELA 100% PES BLANCO Y GRIS PERLA 280GR XP</t>
  </si>
  <si>
    <t>0156014</t>
  </si>
  <si>
    <t>0156004</t>
  </si>
  <si>
    <t>0347014</t>
  </si>
  <si>
    <t>TELA 100% PES BLANCO Y  ARENA 280GR XP</t>
  </si>
  <si>
    <t>TELA 100% PES  GRIS OSCURO Y GRIS CLARO 280GR XP</t>
  </si>
  <si>
    <t>3560003 (4449)</t>
  </si>
  <si>
    <t>3560002 (4448)</t>
  </si>
  <si>
    <t>3560001 (4447)</t>
  </si>
  <si>
    <t>SERVAN EXPORT MANUF.</t>
  </si>
  <si>
    <t>Brasil*</t>
  </si>
  <si>
    <t>3370008 (2209)</t>
  </si>
  <si>
    <t>Fondo Café PUFF Ondas/REVENDA ME TP CAFE PUFF</t>
  </si>
  <si>
    <t>Favo Blanco / 3370005 TP ML BOL 180G 2,20L DIVERSAS U</t>
  </si>
  <si>
    <t>PFO (4454)</t>
  </si>
  <si>
    <t>3370007 (2208)</t>
  </si>
  <si>
    <t>3370005 (2206)</t>
  </si>
  <si>
    <t>TELA ANTIDESLIZANTE CONEXÃO DV U</t>
  </si>
  <si>
    <t>TELA TP ML 132012 340G 2,20L DV U</t>
  </si>
  <si>
    <t>203.25</t>
  </si>
  <si>
    <t>2670007 (2566)</t>
  </si>
  <si>
    <t>TL ML BCA MINI JAC 220G 2,10</t>
  </si>
  <si>
    <t>204.25</t>
  </si>
  <si>
    <t>205.25</t>
  </si>
  <si>
    <t>A10016</t>
  </si>
  <si>
    <t>A10230</t>
  </si>
  <si>
    <t>3260016 (4352)</t>
  </si>
  <si>
    <t>3260017 (4351)</t>
  </si>
  <si>
    <t>206.25</t>
  </si>
  <si>
    <t>Tela Therapeutic - Gray</t>
  </si>
  <si>
    <t>TELA T SENSITY HOJA-2810005 TP FOLHA 240G 2,20L</t>
  </si>
  <si>
    <t>208.25</t>
  </si>
  <si>
    <t>TELA THERAPEUTIC GRIS</t>
  </si>
  <si>
    <t>TELA T NATURAL BAMBOO</t>
  </si>
  <si>
    <t>TELA T SENSITY HOJA-</t>
  </si>
  <si>
    <t>2810011 (3378)</t>
  </si>
  <si>
    <t>209.25</t>
  </si>
  <si>
    <t xml:space="preserve">A09686 </t>
  </si>
  <si>
    <t>A10066</t>
  </si>
  <si>
    <t>0091012</t>
  </si>
  <si>
    <t>A09687</t>
  </si>
  <si>
    <t>TP ML A09686 370G 2,20L DIVERSAS U</t>
  </si>
  <si>
    <t>TP BLANCO 100% PES</t>
  </si>
  <si>
    <t>TP ML A09687 / NEW SUNSET</t>
  </si>
  <si>
    <t>Danae Briones</t>
  </si>
  <si>
    <t>210.25</t>
  </si>
  <si>
    <t>2860008 (2000)</t>
  </si>
  <si>
    <t>TP ML GRAY WINDOW</t>
  </si>
  <si>
    <t>TP PES PL CINZA GRIS</t>
  </si>
  <si>
    <t>2860006 (4600)</t>
  </si>
  <si>
    <t>211.25</t>
  </si>
  <si>
    <t>3200008 (1761)</t>
  </si>
  <si>
    <t>TP ML Impulse Gray</t>
  </si>
  <si>
    <t>212.25</t>
  </si>
  <si>
    <t>TOTAL 
US$</t>
  </si>
  <si>
    <t>COLCHONES PRINCE</t>
  </si>
  <si>
    <t>Carlos Nuñez</t>
  </si>
  <si>
    <t>595 992 700278</t>
  </si>
  <si>
    <t>A05853-B</t>
  </si>
  <si>
    <t>A05853-A</t>
  </si>
  <si>
    <t>A05853 (6430)</t>
  </si>
  <si>
    <t>A05853 (6431)</t>
  </si>
  <si>
    <t>TP 100% PES CM BLANCO Y MARRÓN</t>
  </si>
  <si>
    <t>TP 100% PES CM BLANCO Y GRIS PERLA</t>
  </si>
  <si>
    <t>TP 100% PES CM BLANCO Y ARENA</t>
  </si>
  <si>
    <t>TP 100% PES CM BLANCO CON NEGRO</t>
  </si>
  <si>
    <t>2730008 (4613)</t>
  </si>
  <si>
    <t>2730007 (4614)</t>
  </si>
  <si>
    <t>Suma de TOTAL 
US$</t>
  </si>
  <si>
    <t>2730006 (4616)</t>
  </si>
  <si>
    <t>2730005 (4617)</t>
  </si>
  <si>
    <t>TOTAL US$</t>
  </si>
  <si>
    <t>213.25</t>
  </si>
  <si>
    <t>214.25</t>
  </si>
  <si>
    <t>3470003 (3699)</t>
  </si>
  <si>
    <t>3470003 TP ML 301002 260G 2,20L DV U</t>
  </si>
  <si>
    <t>na</t>
  </si>
  <si>
    <t>TELA VANILA 0237005</t>
  </si>
  <si>
    <t>TELA CONEXAO A05171 SQUARE</t>
  </si>
  <si>
    <t>TELA TP LUNA 0070001</t>
  </si>
  <si>
    <t>TELA TP ML 132012</t>
  </si>
  <si>
    <t>2540034 (3711)</t>
  </si>
  <si>
    <t>2540029 (2497)</t>
  </si>
  <si>
    <t>Frazadas Artesanales (La Grande)</t>
  </si>
  <si>
    <t>Perú</t>
  </si>
  <si>
    <t>200 2,10 100% PES CM NEGRO</t>
  </si>
  <si>
    <t>200 2,10 100% PES CM BLANCO</t>
  </si>
  <si>
    <t>200 2,10 100% PES CM BLANCO BRILLANTE</t>
  </si>
  <si>
    <t>200 2,10 100% PES PL MESCLA Y NEGRO/ banda</t>
  </si>
  <si>
    <t>180 2,10 100% PES PL NEGRO Y BLANCO /banda</t>
  </si>
  <si>
    <t>180 2,10 100% PES PL GRIS PERLA Y BLANCO /banda</t>
  </si>
  <si>
    <t>Milagros Grande</t>
  </si>
  <si>
    <t>milagros.grande@grupograndesac.com</t>
  </si>
  <si>
    <t>964 345 341</t>
  </si>
  <si>
    <t>0071001&gt;71071</t>
  </si>
  <si>
    <t>0072031&gt;72101</t>
  </si>
  <si>
    <t>0073011&gt;73101</t>
  </si>
  <si>
    <t>0074011&gt;74201</t>
  </si>
  <si>
    <t>0080001&gt;80081</t>
  </si>
  <si>
    <t>262011&gt;262041</t>
  </si>
  <si>
    <t>0270001&gt;270081</t>
  </si>
  <si>
    <t>0411001&gt;411051</t>
  </si>
  <si>
    <t>0416001&gt;416071</t>
  </si>
  <si>
    <t>0411001&gt;411041</t>
  </si>
  <si>
    <t>0399001&gt;399031</t>
  </si>
  <si>
    <t>A09553&gt;A10344</t>
  </si>
  <si>
    <t>0473001&gt;473003</t>
  </si>
  <si>
    <t>0388001&gt;388043</t>
  </si>
  <si>
    <t>0211001&gt;211013</t>
  </si>
  <si>
    <t>215.25</t>
  </si>
  <si>
    <t>3570001 (4684)</t>
  </si>
  <si>
    <t>3570002 (4685)</t>
  </si>
  <si>
    <t>3570003 (4686)</t>
  </si>
  <si>
    <t>3570004 (4687)</t>
  </si>
  <si>
    <t>3570005 (4688)</t>
  </si>
  <si>
    <t>3570006 (4689)</t>
  </si>
  <si>
    <t>3570007 (4690)</t>
  </si>
  <si>
    <t>3570008 (4691)</t>
  </si>
  <si>
    <t>3570013 (4696)</t>
  </si>
  <si>
    <t>3570014 (4697)</t>
  </si>
  <si>
    <t>3570015 (4698)</t>
  </si>
  <si>
    <t>3570009 (4692)</t>
  </si>
  <si>
    <t>3570010 (4693)</t>
  </si>
  <si>
    <t>3570011 (4694)</t>
  </si>
  <si>
    <t>3570012 (4695)</t>
  </si>
  <si>
    <t>2860016&gt;2860018</t>
  </si>
  <si>
    <r>
      <t>MATELASSE / SERTAPEDIC</t>
    </r>
    <r>
      <rPr>
        <strike/>
        <sz val="10"/>
        <color theme="1"/>
        <rFont val="Helvetica"/>
      </rPr>
      <t xml:space="preserve"> 2860016</t>
    </r>
    <r>
      <rPr>
        <sz val="10"/>
        <color theme="1"/>
        <rFont val="Helvetica"/>
      </rPr>
      <t xml:space="preserve">&gt; </t>
    </r>
    <r>
      <rPr>
        <b/>
        <sz val="10"/>
        <color rgb="FFC00000"/>
        <rFont val="Helvetica"/>
      </rPr>
      <t>A10310 2860018 (4703 Totvs)</t>
    </r>
  </si>
  <si>
    <t>A10310</t>
  </si>
  <si>
    <r>
      <t xml:space="preserve">MATELASSE/SERTAPEDIC </t>
    </r>
    <r>
      <rPr>
        <strike/>
        <sz val="10"/>
        <color theme="1"/>
        <rFont val="Helvetica"/>
      </rPr>
      <t xml:space="preserve"> </t>
    </r>
    <r>
      <rPr>
        <b/>
        <sz val="10"/>
        <color rgb="FFC00000"/>
        <rFont val="Helvetica"/>
      </rPr>
      <t xml:space="preserve">A10310 2860018 </t>
    </r>
  </si>
  <si>
    <t>2860018 (4703)</t>
  </si>
  <si>
    <t>216.25</t>
  </si>
  <si>
    <t>0071001&gt;0071013</t>
  </si>
  <si>
    <t>0149011&gt;'0149003</t>
  </si>
  <si>
    <t>0253003</t>
  </si>
  <si>
    <t>180 2,10 100% PES PL NEGRO &amp;  BLANCO (Id 6491)</t>
  </si>
  <si>
    <t>180 2,10 100% PES PL NEGRO BOLITAS BLANCAS (id 6488)</t>
  </si>
  <si>
    <t>PL 160G 2,10L GRIS ESCURO</t>
  </si>
  <si>
    <t>PL 160G 2,10L NEGRO</t>
  </si>
  <si>
    <t>180 2,10 100% PES PL BLANCO Y ARENA (Id 6619)</t>
  </si>
  <si>
    <t>TELA ANTIDESLIZANTE CONEXÃO</t>
  </si>
  <si>
    <t>TELA 72001 DEGRADE GRIS</t>
  </si>
  <si>
    <t>TELA TP ML 132012 DV U</t>
  </si>
  <si>
    <t>TELA 69001 CONTEMPORÁNEO</t>
  </si>
  <si>
    <t>2540025</t>
  </si>
  <si>
    <t>TP ML A09956 BANDA CAQUI</t>
  </si>
  <si>
    <t>3030071 (4706)</t>
  </si>
  <si>
    <t>3030072 (4707)</t>
  </si>
  <si>
    <t>3030070 (4705)</t>
  </si>
  <si>
    <t>303,0038 (4325)</t>
  </si>
  <si>
    <t>3030060 (3504)</t>
  </si>
  <si>
    <t>A09956</t>
  </si>
  <si>
    <t xml:space="preserve">A09535 </t>
  </si>
  <si>
    <t>303,0040 (3135)</t>
  </si>
  <si>
    <t xml:space="preserve">211.25 </t>
  </si>
  <si>
    <t>217.25</t>
  </si>
  <si>
    <t>1122580&gt;A08996</t>
  </si>
  <si>
    <t>1129159&gt;2810011</t>
  </si>
  <si>
    <t>TELA T GRIS THERAPEUTIC GRIS PL  2,2M/180GR/A08996</t>
  </si>
  <si>
    <t>TELA T NATURAL BAMBOO PARADISE  2,2M/370GR/122034</t>
  </si>
  <si>
    <t>218.25</t>
  </si>
  <si>
    <t>219.25</t>
  </si>
  <si>
    <t>TP FOLHA 240G 2,20L (1121110) DIVERSAS U</t>
  </si>
  <si>
    <t>3430001 (3549)</t>
  </si>
  <si>
    <t>TP ML 87052 220G 2,20L DV U</t>
  </si>
  <si>
    <t>220.25</t>
  </si>
  <si>
    <t>2860004 (1904)</t>
  </si>
  <si>
    <t>A08959</t>
  </si>
  <si>
    <t>TP RETAS DEGRADE 450G 2,20L DIVERSAS U</t>
  </si>
  <si>
    <t>A09647</t>
  </si>
  <si>
    <t>2860012 (2536)</t>
  </si>
  <si>
    <t>TP ML HARMONY ME 440G 2,20L DIVERSAS U</t>
  </si>
  <si>
    <t>220.25 Comp</t>
  </si>
  <si>
    <t>2860021 (4742)</t>
  </si>
  <si>
    <t>2860019 (4740)</t>
  </si>
  <si>
    <t>2860020 (4741)</t>
  </si>
  <si>
    <t>0354001 (id 6704)</t>
  </si>
  <si>
    <t>0427001 (id 6708)</t>
  </si>
  <si>
    <t>0414001 (id 6706)</t>
  </si>
  <si>
    <t>400 2,20 73% PE 27% PES CM BLANCO Arctic s/Logo</t>
  </si>
  <si>
    <t>400 2,20 90% PES 10% CV CM BLANCO</t>
  </si>
  <si>
    <t>380 2,20 99% PES 1% PUE CM BLANCO</t>
  </si>
  <si>
    <t>IMPORTADORA TERRA</t>
  </si>
  <si>
    <t>0153011</t>
  </si>
  <si>
    <t>0245005</t>
  </si>
  <si>
    <t>0524004</t>
  </si>
  <si>
    <t>3580001 (4743)</t>
  </si>
  <si>
    <t>3580002 (4744)</t>
  </si>
  <si>
    <t>3580003 (4745)</t>
  </si>
  <si>
    <t>3580004 (4746)</t>
  </si>
  <si>
    <t>220 2,10 100% PES CM GRIS Y BLANCO</t>
  </si>
  <si>
    <t>240 2,20 100% PES CM ARENA</t>
  </si>
  <si>
    <t>260 2,20 99% PES 1% LINEN CM BLANCO Y ARENA</t>
  </si>
  <si>
    <t xml:space="preserve">440 2,20 66% PES 34% PE XP AZUL Y BLANCO </t>
  </si>
  <si>
    <t>A06747&gt;A10390</t>
  </si>
  <si>
    <t>221.25</t>
  </si>
  <si>
    <t>LAMITEX S.A.</t>
  </si>
  <si>
    <t>222.25</t>
  </si>
  <si>
    <t>Claudio Zarlenga</t>
  </si>
  <si>
    <t>czarlenga@lamitex.com.uy</t>
  </si>
  <si>
    <t>00598 22260206</t>
  </si>
  <si>
    <t>4772 - 3590001</t>
  </si>
  <si>
    <t xml:space="preserve">4775 - 3590002 </t>
  </si>
  <si>
    <t xml:space="preserve">4776 - 3590003 </t>
  </si>
  <si>
    <t xml:space="preserve">4777 - 3590004 </t>
  </si>
  <si>
    <t xml:space="preserve">4778 - 3590005 </t>
  </si>
  <si>
    <t xml:space="preserve">4779 - 3590006 </t>
  </si>
  <si>
    <t xml:space="preserve">4780 - 3590007 </t>
  </si>
  <si>
    <t xml:space="preserve">4781 - 3590008 </t>
  </si>
  <si>
    <t>4773 - 3590009</t>
  </si>
  <si>
    <t>A06917-C &gt; A6917</t>
  </si>
  <si>
    <t>0246015 &gt; 0246015</t>
  </si>
  <si>
    <t>0271001&gt; 0271001</t>
  </si>
  <si>
    <t>0461001 &gt; 0461001</t>
  </si>
  <si>
    <t>0416001 &gt; 0416001</t>
  </si>
  <si>
    <t>A10156 &gt; A10156</t>
  </si>
  <si>
    <t>A10136 &gt; A10136</t>
  </si>
  <si>
    <t>LA005 &gt; A10399</t>
  </si>
  <si>
    <t>1122580&gt; A08996</t>
  </si>
  <si>
    <t>LA003 &gt;A10402</t>
  </si>
  <si>
    <t>440 2,20 99% PES 1% PUE XP GRIS</t>
  </si>
  <si>
    <t xml:space="preserve">340 2,20 100% PES XN NEGRO / GRIS / AZUL </t>
  </si>
  <si>
    <t>340 2,20 100% PES CM GRIS</t>
  </si>
  <si>
    <t>340 2,20 100% PES CM BLANCO</t>
  </si>
  <si>
    <t>240 2,20 100% PES CM BLANCO</t>
  </si>
  <si>
    <t>220 2,20 100% PES CM BLANCO</t>
  </si>
  <si>
    <t xml:space="preserve">200 2,20 100% PES CM BLANCO </t>
  </si>
  <si>
    <t>180 2,10 100% PES PL GRIS</t>
  </si>
  <si>
    <t xml:space="preserve">200 2,10 100% PES CM NEGRO Fire-Retardant s/ Logo  </t>
  </si>
  <si>
    <t>PEDIDO RECEBIDO EM:</t>
  </si>
  <si>
    <t>Ok- aprovado cliente WA 19/12</t>
  </si>
  <si>
    <t xml:space="preserve">2860008 TP ML GRAY WINDOW 380G 2,20L DIVERSAS U </t>
  </si>
  <si>
    <t>A09634</t>
  </si>
  <si>
    <t>TOTVS</t>
  </si>
  <si>
    <t>PEDIDO TOTVS</t>
  </si>
  <si>
    <t>EXPORT - INTERNAL INVOICING SEQUENCE (PRO-FORM)  - 2026</t>
  </si>
  <si>
    <t>003.26</t>
  </si>
  <si>
    <t xml:space="preserve"> Entrega solicitada para semana 26 Janeiro</t>
  </si>
  <si>
    <t>cliente novo - Entrega prioritaria 1ra quinzena Jan 2026</t>
  </si>
  <si>
    <t>COD 
CLIENTE</t>
  </si>
  <si>
    <t>EXPORTAÇÃO - PEDIDOS  - FOLLOW UP - 2026</t>
  </si>
  <si>
    <t>Detalhes info - planilha 2025</t>
  </si>
  <si>
    <t>004.26</t>
  </si>
  <si>
    <t xml:space="preserve">SIMMONS ARGENTINA </t>
  </si>
  <si>
    <t>repetir último pedido</t>
  </si>
  <si>
    <t>cliente solicita para fin de mês</t>
  </si>
  <si>
    <t>005.26</t>
  </si>
  <si>
    <t>006.26</t>
  </si>
  <si>
    <t xml:space="preserve">FLEX CHILE </t>
  </si>
  <si>
    <t>007.26</t>
  </si>
  <si>
    <t>envio de proforma por email - OK aprov cliente/ Março</t>
  </si>
  <si>
    <t>entrega para semana 9 (23 fev.)</t>
  </si>
  <si>
    <t>MATELASSE/SERTAPEDIC  A10310 2860018  300G 2,20A</t>
  </si>
  <si>
    <t>Ok proforma  aprov cliente /Ok  códig0 (16/1)</t>
  </si>
  <si>
    <t>008.26</t>
  </si>
  <si>
    <t>DIVINO</t>
  </si>
  <si>
    <t>009.26</t>
  </si>
  <si>
    <t>TELA ANTIDESLIZANTE CONEXÃO (MATERIAL REVENDA)</t>
  </si>
  <si>
    <t>-</t>
  </si>
  <si>
    <t>Agrd validação cód pdn - agrd aprov. Cliente/ ok</t>
  </si>
  <si>
    <t>Agrd aprovaç cliente/ ok</t>
  </si>
  <si>
    <t>OK proforma  - OK cliente</t>
  </si>
  <si>
    <t>Entrega até semana 9 (23 fev.)</t>
  </si>
  <si>
    <t>A10411 (ID 6852)</t>
  </si>
  <si>
    <t>010.26</t>
  </si>
  <si>
    <t>2810014 (4848)</t>
  </si>
  <si>
    <t>Proforma 30/01-Ok Cods</t>
  </si>
  <si>
    <t>ENTREGA PRIORITARIA JAN 20, espec.  tecido fire-proof / Cotação frete = 1.750 usd (2.000)- Clte novo enviar fitins e amostras junto</t>
  </si>
  <si>
    <t>Pedido Tela Black V2 - A10411 (id 6852) - $3,94-</t>
  </si>
  <si>
    <t>011.26</t>
  </si>
  <si>
    <t>COLCHONES DEL PARAGUAY (PRINCE)</t>
  </si>
  <si>
    <t>Proforma por material Sobras para venda / 3D Proforma Revisada</t>
  </si>
  <si>
    <t>Colchones del Paraguay SRL</t>
  </si>
  <si>
    <t>COLCHONES DEL PARAGUAY</t>
  </si>
  <si>
    <t>Tela Colchones del Paraguay 1 - 220</t>
  </si>
  <si>
    <t>Tela Colchones del Paraguay 2 - 280</t>
  </si>
  <si>
    <t>Tela Colchones del Paraguay 3 - 220</t>
  </si>
  <si>
    <t>Tela Colchones del Paraguay 4 - 280</t>
  </si>
  <si>
    <t>Tela Colchones del Paraguay 5 - 240</t>
  </si>
  <si>
    <t>Tela Colchones del Paraguay 6 - 160</t>
  </si>
  <si>
    <t>Tela Colchones del Paraguay 7 -280</t>
  </si>
  <si>
    <t>Tela Colchones del Paraguay 8 -160</t>
  </si>
  <si>
    <t>Tela Colchones del Paraguay 9 - 180</t>
  </si>
  <si>
    <t>Tela Colchones del Paraguay 10 - 220</t>
  </si>
  <si>
    <t>Tela Colchones del Paraguay 11 - 380</t>
  </si>
  <si>
    <t>Tela Colchones del Paraguay 12 - 160</t>
  </si>
  <si>
    <t>material parado revendido-Nva razón social Prince + Flete</t>
  </si>
  <si>
    <t>Material parado em revenda para nova razao social C. Prince</t>
  </si>
  <si>
    <t>S&amp;OP PEDIDOS</t>
  </si>
  <si>
    <t xml:space="preserve">Finalizado </t>
  </si>
  <si>
    <t>012.26</t>
  </si>
  <si>
    <t>2860011 TP ML DOLPHIN ME 430G 2,20L DIVERSAS U A09646</t>
  </si>
  <si>
    <t>2860003-TP ME DEGRADE 420G 2,20L DIVERSAS U (SERENE)</t>
  </si>
  <si>
    <t>2860004-ME TP RETAS DEGRADE 450G 2,20L (PERFECT SLEEPER)</t>
  </si>
  <si>
    <t>TP ML A09687 350G 2,20L DIVERSAS U (SUNSET)</t>
  </si>
  <si>
    <t>OK- basado en mejoras del flujo de crédito</t>
  </si>
  <si>
    <t>proforma Ok - cliente realizó abono de la deuda hasta feb (47%)</t>
  </si>
  <si>
    <t>MULTIESPUMAS VISCARRA</t>
  </si>
  <si>
    <t>013.26</t>
  </si>
  <si>
    <t>CAFÉ PUFF ONDAS DV U</t>
  </si>
  <si>
    <t>nva proforma material revenda</t>
  </si>
  <si>
    <t>Nva proforma material revenda - café puff onda/precio ajustado em sistema</t>
  </si>
  <si>
    <t>1136968 - 2810014</t>
  </si>
  <si>
    <t>1122580 - 2810009</t>
  </si>
  <si>
    <t>1121110 - 2810005</t>
  </si>
  <si>
    <t>1129159 - 2810011</t>
  </si>
  <si>
    <t>TELA BLACK V.2 - 320 2,20 100% PES NEGRO Y BLANCO</t>
  </si>
  <si>
    <t>014.26</t>
  </si>
  <si>
    <t>nueva proforma 03/03-entrega abril - OK aprov cliente</t>
  </si>
  <si>
    <t>015.26</t>
  </si>
  <si>
    <t xml:space="preserve">defeito de embalagem </t>
  </si>
  <si>
    <t>N/A</t>
  </si>
  <si>
    <t>nueva proforma - código antigo em revisão/OK</t>
  </si>
  <si>
    <t>A9858</t>
  </si>
  <si>
    <t>A09970</t>
  </si>
  <si>
    <t>A09971</t>
  </si>
  <si>
    <t>A09969</t>
  </si>
  <si>
    <t>TELA SUPERKIDS ROSA</t>
  </si>
  <si>
    <t>TELA IMPULSE GRAY</t>
  </si>
  <si>
    <t>TELA IMPERIAL GRAY</t>
  </si>
  <si>
    <t>TELA SUPERSPUMA DOTS AZUL</t>
  </si>
  <si>
    <t>TELA SUPERSPUMA DOTS BORDÓ</t>
  </si>
  <si>
    <t>TELA SUPERSPUMA DOTS NEGRA</t>
  </si>
  <si>
    <t>proforma -ok 06/03</t>
  </si>
  <si>
    <t>SUPERSPUMA DEL PARAGUAY</t>
  </si>
  <si>
    <t>BEDTIME</t>
  </si>
  <si>
    <t>pedido nuevo 10/03</t>
  </si>
  <si>
    <t>A10169</t>
  </si>
  <si>
    <t>A10108</t>
  </si>
  <si>
    <t>3530001  (4114)</t>
  </si>
  <si>
    <t>3530004  (4332)</t>
  </si>
  <si>
    <t>TELATRIANGULO GRIS OSCURO BED002 (A10108)</t>
  </si>
  <si>
    <t xml:space="preserve">DIST. CASEROS  </t>
  </si>
  <si>
    <t>017.26</t>
  </si>
  <si>
    <t xml:space="preserve">POLYMAX - EL GALO </t>
  </si>
  <si>
    <t>018.26</t>
  </si>
  <si>
    <t>0149003</t>
  </si>
  <si>
    <t>pedido nuevo - aprobado x cliente - crédito em revisión</t>
  </si>
  <si>
    <t>POLYMAX EL GALO</t>
  </si>
  <si>
    <t>0071013</t>
  </si>
  <si>
    <t xml:space="preserve">Enviado e n respondido  </t>
  </si>
  <si>
    <t>019.26</t>
  </si>
  <si>
    <t>pedido para entrega en junio</t>
  </si>
  <si>
    <t>pedido para entrega en mayo</t>
  </si>
  <si>
    <t>proforma 18/03 - Entrega em maio</t>
  </si>
  <si>
    <t>proforma 18/03 - Entrega em junho</t>
  </si>
  <si>
    <t>020.26</t>
  </si>
  <si>
    <t xml:space="preserve">maquina 50 (8K mts)| maq 47 (7K)-Start 14/03- OP avulsa| </t>
  </si>
  <si>
    <t>LIMANSKY, S.A.</t>
  </si>
  <si>
    <t>021.26</t>
  </si>
  <si>
    <t>120 Gold 0558004</t>
  </si>
  <si>
    <t>Kingsbury 0555004</t>
  </si>
  <si>
    <t>Kensignton 0403034</t>
  </si>
  <si>
    <t>Bradford 0552001</t>
  </si>
  <si>
    <t>Cabecera L1  A10418</t>
  </si>
  <si>
    <t>Cabecera L2 0566001</t>
  </si>
  <si>
    <t>ESTRUCTURA PREMIUM 360GSM  BLANCO Y BEIGE</t>
  </si>
  <si>
    <t>ESTRUCTURA PREMIUM 400GSM  BEIGE</t>
  </si>
  <si>
    <t>ESTRUCTURA PREMIUM  280GSM BEIGE Y NEGRO</t>
  </si>
  <si>
    <t>ESTRUCTURA PREMIUM 240GSM BLANCO Y LINO</t>
  </si>
  <si>
    <t>ESTRUCTURA CM 280GSM ARENA Y NEGRO</t>
  </si>
  <si>
    <t>ESTRUCTURA PL  180GSM BLANCO Y PERLA</t>
  </si>
  <si>
    <t>ESTRUCTURA CM 220GSM GRIS PERLA</t>
  </si>
  <si>
    <t>ok cliente - agrd cod prod totvs</t>
  </si>
  <si>
    <t>LIMANSKY</t>
  </si>
  <si>
    <t>022.26</t>
  </si>
  <si>
    <t>023.26</t>
  </si>
  <si>
    <t>024.26</t>
  </si>
  <si>
    <t>Brighton A09687&gt;A10420</t>
  </si>
  <si>
    <t>3610003 (4918)</t>
  </si>
  <si>
    <t>3610007 (4922)</t>
  </si>
  <si>
    <t>3610002 (4917)</t>
  </si>
  <si>
    <t>3610004 (4919)</t>
  </si>
  <si>
    <t>3610001 (4916)</t>
  </si>
  <si>
    <t>3610006 (4921)</t>
  </si>
  <si>
    <t>3610005 (4920)</t>
  </si>
  <si>
    <t>pedido nuevo - revisar fecha de entrega estimada | OK CLIENTE-  OK CODIGOS LIBERADOS (23/03)</t>
  </si>
  <si>
    <t>3260015 (3578)</t>
  </si>
  <si>
    <t>3260014 (3398)</t>
  </si>
  <si>
    <t>3260002 (2584)</t>
  </si>
  <si>
    <t xml:space="preserve">3260015 TP 0122054 300G 2,20  (3578) - TP HOJA BAMBOO </t>
  </si>
  <si>
    <t>PARAISO BAMBOO ORIGENES 240 2,20</t>
  </si>
  <si>
    <t>5 ESTRELLAS AZUL (A09741) 200 2,20</t>
  </si>
  <si>
    <t>pedido complementario al 017.26 - se puede consolidar em um camión-OK cod / Cliente</t>
  </si>
  <si>
    <t>COLOR ARENA CM 3030056</t>
  </si>
  <si>
    <t>BLANCO Y NEGRO CF 30033</t>
  </si>
  <si>
    <t>MODELO GRIS OSCURO CF 95002</t>
  </si>
  <si>
    <t xml:space="preserve">BANDA NEGRA - MODELO PLANO </t>
  </si>
  <si>
    <t>BLANCO Y BEIGE 30048</t>
  </si>
  <si>
    <t>BLUE JASMIN A09270  - 3030013</t>
  </si>
  <si>
    <t>BLANCO Y NEGRO CM 16055</t>
  </si>
  <si>
    <t>MARFIL Y BLANCO 3030044</t>
  </si>
  <si>
    <t>BLANCO Y MARRON 3030039</t>
  </si>
  <si>
    <t>TP M A09956 BANDA CAQUI 3030060</t>
  </si>
  <si>
    <t>finalizado produção</t>
  </si>
  <si>
    <t>produzindo- final. 24/03</t>
  </si>
  <si>
    <t>produção Finalizada 24/03, saldo disponível para acabamento.</t>
  </si>
  <si>
    <t>Start 27/03/2026</t>
  </si>
  <si>
    <t>Produzindo -  8.112mts|maq 03 (Start 1903)  - 07/04 - avrg  12peças/día</t>
  </si>
  <si>
    <t xml:space="preserve">Ok </t>
  </si>
  <si>
    <t>OK- basado en mejoras del flujo de crédito| Finalizado</t>
  </si>
  <si>
    <t xml:space="preserve">OBS. </t>
  </si>
  <si>
    <t>Finalizado</t>
  </si>
  <si>
    <t>proforma nova 3/3  ok</t>
  </si>
  <si>
    <t>pdn 1903 (616+104+89)</t>
  </si>
  <si>
    <t>maq 25  - 28/03 - 31/03</t>
  </si>
  <si>
    <t>Produzindo</t>
  </si>
  <si>
    <t>STATUS 
PRODUÇÃO</t>
  </si>
  <si>
    <t>3030056 (3148)</t>
  </si>
  <si>
    <t>3030033 (3131)</t>
  </si>
  <si>
    <t>3030024 (4323)</t>
  </si>
  <si>
    <t>3030040 (3135)</t>
  </si>
  <si>
    <t>3030048 (2418)</t>
  </si>
  <si>
    <t>3030013 (3500)</t>
  </si>
  <si>
    <t>3030026 (3131)</t>
  </si>
  <si>
    <t>3030044 (2433)</t>
  </si>
  <si>
    <t>3030039 (2428)</t>
  </si>
  <si>
    <t>produzindo</t>
  </si>
  <si>
    <t>- final. 24/03</t>
  </si>
  <si>
    <t>maq 48  - 27/03</t>
  </si>
  <si>
    <t>maq 53 - 025/03</t>
  </si>
  <si>
    <t>Entregado</t>
  </si>
  <si>
    <t>STATUS PRODUÇÃO</t>
  </si>
  <si>
    <t>TEXTIL FIBREX</t>
  </si>
  <si>
    <t>TELA CARA NEGRA AMARRE BLANCO, RELLENO NEGRO 220 2,20</t>
  </si>
  <si>
    <t>TELA ARENA, GRIS, BLANCO-BIODRESS S/LOGO 280 2,20</t>
  </si>
  <si>
    <t>26/3 ?</t>
  </si>
  <si>
    <t>025.26</t>
  </si>
  <si>
    <t>3520004   -TP ML 0092193 160Gr 2,10 L</t>
  </si>
  <si>
    <t>OK  cliente 31/03 - códigos ok 01/04</t>
  </si>
  <si>
    <t>022.26 Rev2</t>
  </si>
  <si>
    <t>2940090 TP ML 0148081 180G 2,20L - 7175</t>
  </si>
  <si>
    <t>2940089 TP ML 0149111 180G 2,20L - 7176</t>
  </si>
  <si>
    <t>2940088 TP ML 0157001 180G 2,20L - 7177</t>
  </si>
  <si>
    <t>2940087 TP ML 0239031 180G 2,20L - 7178</t>
  </si>
  <si>
    <t>2940086 TP ML 0240031 180G 2,20L - 7179</t>
  </si>
  <si>
    <t>2940091 TP ML 0246001 180G 2,20L - 7231</t>
  </si>
  <si>
    <t>2940085 TP ML 0251021 180G 2,20L - 7181</t>
  </si>
  <si>
    <t>2940082 TP ML 0260011 180G 2,20L - 7182</t>
  </si>
  <si>
    <t>2940081 TP ML 0262031 180G 2,20L - 7183</t>
  </si>
  <si>
    <t>2940080 TP ML 0264011 180G 2,20L - 7184</t>
  </si>
  <si>
    <t>2940079 TP ML 0269021 180G 2,20L - 7185</t>
  </si>
  <si>
    <t>2940078 TP ML 0269021 180G 2,20L - 7186</t>
  </si>
  <si>
    <t>2940084 TP ML 0399041 180G 2,20L - 7230</t>
  </si>
  <si>
    <t>2940076 TP ML 0416091 180G 2,20L - 7189</t>
  </si>
  <si>
    <t>2940075 TP ML 0418041 180G 2,20L - 7190 </t>
  </si>
  <si>
    <t>2940074 TP ML 0434001 180G 2,20L - 7191</t>
  </si>
  <si>
    <t>2940083 TP ML 0446031 180G 2,20L - 7229</t>
  </si>
  <si>
    <t>2940073 TP ML 0486001 180G 2,20L - 7228</t>
  </si>
  <si>
    <t>2940070 TP ML 0514001 180G 2,20L - 7196</t>
  </si>
  <si>
    <t>2940077 TP ML 0302041 180G 2,20L - 7188</t>
  </si>
  <si>
    <t>2940072 TP ML 0488001 180G 2,20L - 7194</t>
  </si>
  <si>
    <t>2940071 TP ML 0513001 180G 2,20L - 7195</t>
  </si>
  <si>
    <t>2940069 TP ML 0515011 180G 2,20L  - 7227</t>
  </si>
  <si>
    <t>2940068 TP ML 0521051 180G 2,20L - 7198</t>
  </si>
  <si>
    <t>100% PES GRIS</t>
  </si>
  <si>
    <t>100% PES CARA MEZCLA AMARRE NEGRO</t>
  </si>
  <si>
    <t>100% PES CARA MEZCLA AMARRE BLANCO</t>
  </si>
  <si>
    <t>100% PES AZUL MARINO</t>
  </si>
  <si>
    <t>100% PES BLANCO Y GRIS</t>
  </si>
  <si>
    <t>100% PES BLANCO</t>
  </si>
  <si>
    <t>100% PES MEZCLA Y BLANCO</t>
  </si>
  <si>
    <t>100% PES CARA GRIS AMARRE NEGRO</t>
  </si>
  <si>
    <t>100% PES ARENA</t>
  </si>
  <si>
    <t>100% PES CARA GRIS AMARRE BLANCO</t>
  </si>
  <si>
    <t>100% PES CARA ARENA AMARRE BLANCO</t>
  </si>
  <si>
    <t>100% PES CARA MEZCLA, AMARRE NEGRO</t>
  </si>
  <si>
    <t>100% PES CARA MEZCLA, AMARRE BLANCO Y NEGRO</t>
  </si>
  <si>
    <t>100% PESNEGRO Y RIS</t>
  </si>
  <si>
    <t>100% PES CARA AZUL MARINO AMARRE NEGRO</t>
  </si>
  <si>
    <t xml:space="preserve"> Ok cliente - Agrd liberac codigos 31/03 - preços 01/04- ok Totvs</t>
  </si>
  <si>
    <t>400 2,30 PES/PE CM BLANCO - COOLING</t>
  </si>
  <si>
    <t>180 2,20 100% PES CM BLANCO BRILLANTE</t>
  </si>
  <si>
    <t>200 2,20 100% PES CM BLANCO</t>
  </si>
  <si>
    <t>ok cliente - agrd cod prod totvs/OK</t>
  </si>
  <si>
    <t xml:space="preserve">DATA 
PROFORMA/PEDIDO </t>
  </si>
  <si>
    <t>(74126) A10016</t>
  </si>
  <si>
    <r>
      <t>(80079) A10016-A &gt;</t>
    </r>
    <r>
      <rPr>
        <b/>
        <sz val="10"/>
        <color theme="1"/>
        <rFont val="Helvetica"/>
      </rPr>
      <t xml:space="preserve"> A10230</t>
    </r>
  </si>
  <si>
    <t>(89923) 122054</t>
  </si>
  <si>
    <t>(89931) 3260014</t>
  </si>
  <si>
    <t>(74502) A09741</t>
  </si>
  <si>
    <t>016.26 Rv2</t>
  </si>
  <si>
    <t>aprovada a Rv.2 07/04/26</t>
  </si>
  <si>
    <t xml:space="preserve">016.26 </t>
  </si>
  <si>
    <t>0010181/   3520003</t>
  </si>
  <si>
    <t>0074161/   3520001</t>
  </si>
  <si>
    <t>0092193/   3520004</t>
  </si>
  <si>
    <t>OK 07/04</t>
  </si>
  <si>
    <t>DIST. CASEROS</t>
  </si>
  <si>
    <t>0514044)/   3520006</t>
  </si>
  <si>
    <t>0454034/   3520005</t>
  </si>
  <si>
    <t>TELA CASEROS MODELO ABSTRACTO 180G 2,20</t>
  </si>
  <si>
    <t>TELA CASEROS MODELO DOTS 180G 2,20</t>
  </si>
  <si>
    <t>3D com CR</t>
  </si>
  <si>
    <t>OBS SOP</t>
  </si>
  <si>
    <t xml:space="preserve">Enviado </t>
  </si>
  <si>
    <t>ok cliente para coletar pedido</t>
  </si>
  <si>
    <t>015.26 C</t>
  </si>
  <si>
    <t>Item produzido a + / será incluido no transporte - invoice separada-complementar</t>
  </si>
  <si>
    <t>015.26 + C</t>
  </si>
  <si>
    <t>2000 mts excedentes que intentarán colocar em el mismo camión</t>
  </si>
  <si>
    <t>PRIORIDADE-coleta - Acrescc. 2K mts final 01 produzidos/ invoice 13% vs Proforma</t>
  </si>
  <si>
    <t xml:space="preserve">maq 44 -  ate 17/04  </t>
  </si>
  <si>
    <t>maq 41    07/04-  17/04   3.500mts</t>
  </si>
  <si>
    <t>29/04/2026 - maq 46</t>
  </si>
  <si>
    <t>Cliente procura completa 1 camião-F-up data para liberar essa entrega</t>
  </si>
  <si>
    <t>Paró pdn falta de fio preto 30/1 fiado preto/chega ??</t>
  </si>
  <si>
    <t>maq 25 - 1500m  - Expedicão</t>
  </si>
  <si>
    <t>4092  / 3520003</t>
  </si>
  <si>
    <t>4094  / 3520001</t>
  </si>
  <si>
    <t>4955  /  3520006</t>
  </si>
  <si>
    <t>4954  / 3520005</t>
  </si>
  <si>
    <t>4159  / 3520004</t>
  </si>
  <si>
    <t>! Enviar amostra junto !</t>
  </si>
  <si>
    <t>026.26</t>
  </si>
  <si>
    <t>maq 51 - 1971 mts</t>
  </si>
  <si>
    <t>maq 53? - 1636 mts</t>
  </si>
  <si>
    <t>maq 51 - 1423mts</t>
  </si>
  <si>
    <t>maq 53 _- 2227mts</t>
  </si>
  <si>
    <t>maq51 - 31/03</t>
  </si>
  <si>
    <t xml:space="preserve">maq 41  - 25/03 </t>
  </si>
  <si>
    <t>Entrega 27/04</t>
  </si>
  <si>
    <t>maq 50  - 1405mts Expedic</t>
  </si>
  <si>
    <t>maq 40 -  657 mts</t>
  </si>
  <si>
    <t>maq 16 -   524 mts</t>
  </si>
  <si>
    <t>maq 40 - 10-13/04  -1043mts</t>
  </si>
  <si>
    <t>maq 09 - 06-14/04   - 554mts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</si>
  <si>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</si>
  <si>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Enviado</t>
  </si>
  <si>
    <t>maq 52 - 305 pending Acabamento</t>
  </si>
  <si>
    <t xml:space="preserve">Enviar produtos parados tb </t>
  </si>
  <si>
    <r>
      <t>ok a</t>
    </r>
    <r>
      <rPr>
        <b/>
        <sz val="11"/>
        <rFont val="Calibri"/>
        <family val="2"/>
        <scheme val="minor"/>
      </rPr>
      <t>provdo cliente</t>
    </r>
  </si>
  <si>
    <t>3370011 TP ML A10053 180G 2,10L  PL GRIS PERLA</t>
  </si>
  <si>
    <t>TELA GRIS PERLA 180G 2,10 100% PES  PL</t>
  </si>
  <si>
    <t>amostras enviadas</t>
  </si>
  <si>
    <t>ok coleta</t>
  </si>
  <si>
    <t xml:space="preserve"> pdn parada-Hilo recibido23/4</t>
  </si>
  <si>
    <t>05/05/2026 - 9 peças sem etiqueta</t>
  </si>
  <si>
    <t>1106 mts em exped</t>
  </si>
  <si>
    <t>Incluir frete |  atraso x falta de fio</t>
  </si>
  <si>
    <t>peças trocando de maquina</t>
  </si>
  <si>
    <t>INDUSTRIAL REGAL</t>
  </si>
  <si>
    <t>027.26</t>
  </si>
  <si>
    <t>MAQ 23</t>
  </si>
  <si>
    <t>MAQ 43</t>
  </si>
  <si>
    <t xml:space="preserve">024.26 </t>
  </si>
  <si>
    <t>Venezuela</t>
  </si>
  <si>
    <t>220G 2,20 100% PES CM BLANCO Y PERLA</t>
  </si>
  <si>
    <t>220G 2,20 100% PES CM BLANCO Y AZUL</t>
  </si>
  <si>
    <t>180G 2,10 100% PES PL NEGRO (BANDA)</t>
  </si>
  <si>
    <t>LAMITEX</t>
  </si>
  <si>
    <t>028.26</t>
  </si>
  <si>
    <r>
      <t xml:space="preserve">pedido novo / entrega solicitada para </t>
    </r>
    <r>
      <rPr>
        <u/>
        <sz val="9"/>
        <rFont val="Calibri"/>
        <family val="2"/>
        <scheme val="minor"/>
      </rPr>
      <t>maio'26</t>
    </r>
  </si>
  <si>
    <r>
      <t xml:space="preserve">pedido novo / entrega solicitada para </t>
    </r>
    <r>
      <rPr>
        <u/>
        <sz val="9"/>
        <rFont val="Calibri"/>
        <family val="2"/>
        <scheme val="minor"/>
      </rPr>
      <t>junho'26/revisar pedido-&gt;</t>
    </r>
  </si>
  <si>
    <t>feito</t>
  </si>
  <si>
    <t>DIVINO SOCIEDAD ANONIMA</t>
  </si>
  <si>
    <t>material de revenda -</t>
  </si>
  <si>
    <r>
      <t xml:space="preserve">Nuevo pedido tela ignifuga - </t>
    </r>
    <r>
      <rPr>
        <strike/>
        <sz val="11"/>
        <color theme="1"/>
        <rFont val="Calibri"/>
        <family val="2"/>
        <scheme val="minor"/>
      </rPr>
      <t>alinear</t>
    </r>
    <r>
      <rPr>
        <sz val="11"/>
        <color theme="1"/>
        <rFont val="Calibri"/>
        <family val="2"/>
        <scheme val="minor"/>
      </rPr>
      <t xml:space="preserve"> precio final (4,98) OK - entrega semana 29junio- Aprovado cliente</t>
    </r>
  </si>
  <si>
    <t>Combinado de manter preço</t>
  </si>
  <si>
    <t xml:space="preserve">Atraso - 15/5- acabamento </t>
  </si>
  <si>
    <t>troca maq largura inferior</t>
  </si>
  <si>
    <t>029.26</t>
  </si>
  <si>
    <t>PASTA 
CRIADA</t>
  </si>
  <si>
    <t>3390013 (5055)</t>
  </si>
  <si>
    <t>3390014 (5056)</t>
  </si>
  <si>
    <t>3390015 (5057)</t>
  </si>
  <si>
    <t>3390016 (5058)</t>
  </si>
  <si>
    <r>
      <rPr>
        <b/>
        <sz val="11"/>
        <rFont val="Calibri"/>
        <family val="2"/>
        <scheme val="minor"/>
      </rPr>
      <t>cliente nuevo VZLA- Aprovado</t>
    </r>
    <r>
      <rPr>
        <sz val="11"/>
        <rFont val="Calibri"/>
        <family val="2"/>
        <scheme val="minor"/>
      </rPr>
      <t xml:space="preserve"> - proforma basado em cotações CLC 12/05 - ok - liberar cod/crear tab precos/OK</t>
    </r>
  </si>
  <si>
    <t>030.26</t>
  </si>
  <si>
    <t>CUBA - AGT AMERICAN GARMENT TEXTIL</t>
  </si>
  <si>
    <t>maq 46</t>
  </si>
  <si>
    <t>programado</t>
  </si>
  <si>
    <t>Pedido com material de revenda - okpreços</t>
  </si>
  <si>
    <t>Lot Closeout 40K mts ($72.000,40) pay to Jingmei</t>
  </si>
  <si>
    <t>031.26</t>
  </si>
  <si>
    <t>TEC NIPONA PERÚ  (AMAZHEL)</t>
  </si>
  <si>
    <t>material revenda/entrega fornecedor: entre 30-35 dias</t>
  </si>
  <si>
    <t>Mat Revenda</t>
  </si>
  <si>
    <t>maq 52</t>
  </si>
  <si>
    <t>maq 41</t>
  </si>
  <si>
    <t>Enviado - 
Sem resposta</t>
  </si>
  <si>
    <t>coletar</t>
  </si>
  <si>
    <t>AGT - AMERICAN GARMENT TEXTIL</t>
  </si>
  <si>
    <t>Lot Closeout - 2nd quality - 44.000 m &gt; CUBA  **separar /coord coleta</t>
  </si>
  <si>
    <t>CL2 DV</t>
  </si>
  <si>
    <t>016.26</t>
  </si>
  <si>
    <t>Voo sai 22/05</t>
  </si>
  <si>
    <t>Atraso</t>
  </si>
  <si>
    <t>Pedido complementar- Consolidar entrega com 028.26</t>
  </si>
  <si>
    <r>
      <t xml:space="preserve">Cliente nuevo/ cotizado como AMAZHEL / Amostra 150Mts que será comprada - Incluye flete aéreo| </t>
    </r>
    <r>
      <rPr>
        <b/>
        <sz val="11"/>
        <color rgb="FFFF0000"/>
        <rFont val="Calibri"/>
        <family val="2"/>
        <scheme val="minor"/>
      </rPr>
      <t>AGD APROV CLIENTE</t>
    </r>
  </si>
  <si>
    <t>032.26</t>
  </si>
  <si>
    <t>Cuba</t>
  </si>
  <si>
    <t>atraso/troca de maq.</t>
  </si>
  <si>
    <t>Não produção/ separação e coleta</t>
  </si>
  <si>
    <t>Atraso falta fio Perla + problemas com maq / troca maq</t>
  </si>
  <si>
    <t>033.26</t>
  </si>
  <si>
    <t>3760 &gt; 3162</t>
  </si>
  <si>
    <t>AVERAGE PRICE PER CUSTOMER (US$)</t>
  </si>
  <si>
    <t>DATA (2026)</t>
  </si>
  <si>
    <t>MAQ 16&gt;45&gt;41 o 44</t>
  </si>
  <si>
    <t>COLCHONES ATLAS</t>
  </si>
  <si>
    <t>SUNLOCK</t>
  </si>
  <si>
    <t>AVRG PREÇO/M.LIN.</t>
  </si>
  <si>
    <t>(Varios elementos)</t>
  </si>
  <si>
    <t>Nuevo pedido/actualizar precio- OK / aprovado</t>
  </si>
  <si>
    <t>BR Platinum A09686</t>
  </si>
  <si>
    <t>BR Harmony A09647</t>
  </si>
  <si>
    <t>Serta Advant. Dual</t>
  </si>
  <si>
    <t>2860014  (3276)</t>
  </si>
  <si>
    <t>2860014 TP ML A09686 370G DIV U</t>
  </si>
  <si>
    <t>2860012 TP ML HARMONY ME A09647 440G DIV U</t>
  </si>
  <si>
    <t>não iniciado</t>
  </si>
  <si>
    <t>034.26</t>
  </si>
  <si>
    <t>Reposição de qualidade/defeito</t>
  </si>
  <si>
    <t>035.26</t>
  </si>
  <si>
    <t>1122580 / A08996</t>
  </si>
  <si>
    <t>1129159 / 2810011</t>
  </si>
  <si>
    <t>036.26</t>
  </si>
  <si>
    <t>CAMBIO / ESTRUCTURA PREMIUM 400GSM 2,20 BLANCO Y BEIGE (RELLENONEGRO)</t>
  </si>
  <si>
    <r>
      <t>Brighton A09687/A10420&gt;</t>
    </r>
    <r>
      <rPr>
        <b/>
        <sz val="10"/>
        <color rgb="FFC00000"/>
        <rFont val="Helvetica"/>
      </rPr>
      <t>A10512</t>
    </r>
  </si>
  <si>
    <r>
      <rPr>
        <strike/>
        <sz val="10"/>
        <color rgb="FFC00000"/>
        <rFont val="Calibri"/>
        <family val="2"/>
        <scheme val="minor"/>
      </rPr>
      <t>3610003 (4918</t>
    </r>
    <r>
      <rPr>
        <b/>
        <sz val="10"/>
        <color rgb="FFC00000"/>
        <rFont val="Calibri"/>
        <family val="2"/>
        <scheme val="minor"/>
      </rPr>
      <t>)&gt;3610008(5168)</t>
    </r>
  </si>
  <si>
    <t>maq 51</t>
  </si>
  <si>
    <t>nuevo pedido/Ok precios jun26/ OK CLIENTE</t>
  </si>
  <si>
    <t>3200006 (1759)</t>
  </si>
  <si>
    <t>3200014 (3701)</t>
  </si>
  <si>
    <t>3200015 (3702)</t>
  </si>
  <si>
    <t>3200013 (3700)</t>
  </si>
  <si>
    <t>Item alterado (3000mts) por divergencia de diseño, color y estructura/versión final sin morado</t>
  </si>
  <si>
    <t>maq 50</t>
  </si>
  <si>
    <t>037.26</t>
  </si>
  <si>
    <t>ajuste preços 16/06</t>
  </si>
  <si>
    <t>280G 2,20 100% PES CM AZUL MARINO (DARK)</t>
  </si>
  <si>
    <r>
      <t>CAMBIO / Tela Cool Touch</t>
    </r>
    <r>
      <rPr>
        <strike/>
        <sz val="10"/>
        <color theme="1"/>
        <rFont val="Helvetica"/>
      </rPr>
      <t xml:space="preserve"> A09792 </t>
    </r>
    <r>
      <rPr>
        <sz val="10"/>
        <color theme="1"/>
        <rFont val="Helvetica"/>
      </rPr>
      <t>&gt;</t>
    </r>
    <r>
      <rPr>
        <b/>
        <sz val="10"/>
        <color theme="1"/>
        <rFont val="Helvetica"/>
      </rPr>
      <t>A10518</t>
    </r>
    <r>
      <rPr>
        <sz val="10"/>
        <color theme="1"/>
        <rFont val="Helvetica"/>
      </rPr>
      <t xml:space="preserve"> 460G 2,20L</t>
    </r>
  </si>
  <si>
    <t>Pedido de outro articulo - consolidar a entrega com 028.26- alteração pdto 16jun-pedido nuevo 17jun</t>
  </si>
  <si>
    <t>22/6 malha</t>
  </si>
  <si>
    <t>maq 16</t>
  </si>
  <si>
    <t>maq 53</t>
  </si>
  <si>
    <t>maq 3 - entra em maq (4/6) / maq 46 c; test amostra</t>
  </si>
  <si>
    <t>nuevo pedido - reposição de qualidade - mantem preço anterior pedido / NO FACTURAR</t>
  </si>
  <si>
    <t>pedido nuevo para el cliente del pdto ajustado</t>
  </si>
  <si>
    <t>Brighton /A10512</t>
  </si>
  <si>
    <t>ESTRUCTURA PREMIUM 400GSM 2,20 BLANCO Y BEIGE (RELLENONEGRO)</t>
  </si>
  <si>
    <t>pedido nuevo - Ok</t>
  </si>
  <si>
    <t>038.26</t>
  </si>
  <si>
    <t>JULHO</t>
  </si>
  <si>
    <t>039.26</t>
  </si>
  <si>
    <t>FLEX CHILE</t>
  </si>
  <si>
    <t>C.ATLAS</t>
  </si>
  <si>
    <t>ATLAS EAS</t>
  </si>
  <si>
    <t>incluye frete</t>
  </si>
  <si>
    <t>040.26</t>
  </si>
  <si>
    <t>FRAZADAS ARTESANALES</t>
  </si>
  <si>
    <t>PediDo nuevo - precio jun ok- agrd aprov do cliente</t>
  </si>
  <si>
    <t>Nuevo pedido/LIBERAR COD PROD</t>
  </si>
  <si>
    <t xml:space="preserve">Pedido nuevo - liberción cód/ </t>
  </si>
  <si>
    <t>0284001</t>
  </si>
  <si>
    <t>0274005</t>
  </si>
  <si>
    <t>0271001</t>
  </si>
  <si>
    <t>0276005</t>
  </si>
  <si>
    <t>380 2,20 69% PES 31% PE CM ARCTIC BREEZE S/LOGO</t>
  </si>
  <si>
    <t>280 2,20 100% PES XN</t>
  </si>
  <si>
    <t>360 2,20 87% PES 13% CO CM</t>
  </si>
  <si>
    <t>340 2,20 100% PES XP BEIGE</t>
  </si>
  <si>
    <t>041.26</t>
  </si>
  <si>
    <t>0074011  &gt; 0074211</t>
  </si>
  <si>
    <t>0062013 &gt; 0062053</t>
  </si>
  <si>
    <t>3370013 (5218)</t>
  </si>
  <si>
    <t>180G 2,20 100% PES CM NEGRO Y BLANCO</t>
  </si>
  <si>
    <t>200G 2,10 PL GRIS TELA LOGO SUEÑA</t>
  </si>
  <si>
    <t>MULTIESPUMAS</t>
  </si>
  <si>
    <t>FRAZADAS</t>
  </si>
  <si>
    <t>3650004</t>
  </si>
  <si>
    <t>3650003</t>
  </si>
  <si>
    <t>3650002</t>
  </si>
  <si>
    <t>3650001</t>
  </si>
  <si>
    <t>3650005</t>
  </si>
  <si>
    <t>jul</t>
  </si>
  <si>
    <t>0256111</t>
  </si>
  <si>
    <t>0256091</t>
  </si>
  <si>
    <t>0256101</t>
  </si>
  <si>
    <t>0256121</t>
  </si>
  <si>
    <t>0071111</t>
  </si>
  <si>
    <t>0071021</t>
  </si>
  <si>
    <t>0071101</t>
  </si>
  <si>
    <t>0071121</t>
  </si>
  <si>
    <t>0066071</t>
  </si>
  <si>
    <t>0067011</t>
  </si>
  <si>
    <t>0067021</t>
  </si>
  <si>
    <t>0066081</t>
  </si>
  <si>
    <t>0017041</t>
  </si>
  <si>
    <t>0017021</t>
  </si>
  <si>
    <t>0017031</t>
  </si>
  <si>
    <t>0017051</t>
  </si>
  <si>
    <t>0012071</t>
  </si>
  <si>
    <t>0012051</t>
  </si>
  <si>
    <t>0012061</t>
  </si>
  <si>
    <t>0012081</t>
  </si>
  <si>
    <t>0392051</t>
  </si>
  <si>
    <t>0392031</t>
  </si>
  <si>
    <t>0392041</t>
  </si>
  <si>
    <t>0274071</t>
  </si>
  <si>
    <t>0274051</t>
  </si>
  <si>
    <t>0274061</t>
  </si>
  <si>
    <t>0274081</t>
  </si>
  <si>
    <t>A10344</t>
  </si>
  <si>
    <t>0211013</t>
  </si>
  <si>
    <t>0705024</t>
  </si>
  <si>
    <t>0705014</t>
  </si>
  <si>
    <t>0269121</t>
  </si>
  <si>
    <t>0066041</t>
  </si>
  <si>
    <t>A10519</t>
  </si>
  <si>
    <t>pedido complementario - 6K cada/ elimina banda</t>
  </si>
  <si>
    <t>220G 100% PES CM BLANCO Y PERLA</t>
  </si>
  <si>
    <t>220G 100% PES CM BLANCO Y AZUL</t>
  </si>
  <si>
    <t xml:space="preserve">280G 2,20 100% PES CM AMARRE AZUL MARIÑO </t>
  </si>
  <si>
    <t>042.26</t>
  </si>
  <si>
    <r>
      <t xml:space="preserve">2860006 TP </t>
    </r>
    <r>
      <rPr>
        <b/>
        <sz val="10"/>
        <color theme="1"/>
        <rFont val="Helvetica"/>
      </rPr>
      <t>260</t>
    </r>
    <r>
      <rPr>
        <sz val="10"/>
        <color theme="1"/>
        <rFont val="Helvetica"/>
      </rPr>
      <t xml:space="preserve"> 2,10  100% PES PL CINZA GRIS</t>
    </r>
  </si>
  <si>
    <t>026.26 C</t>
  </si>
  <si>
    <t>pedido complementar- Consolidar entrega com 026.26  10310</t>
  </si>
  <si>
    <t>A10496</t>
  </si>
  <si>
    <t>pedido complementar- Consolidar entrega com 039.26 / 10629</t>
  </si>
  <si>
    <t>Banda eliminada 01/07/2026</t>
  </si>
  <si>
    <t>180G 2,20 100% PES BEIGE</t>
  </si>
  <si>
    <t>180G 2,20 100% PES AZUL MARINO</t>
  </si>
  <si>
    <t>180G 2,20 100% PES GRIS</t>
  </si>
  <si>
    <t>180G 2,20 100% PES MARRON</t>
  </si>
  <si>
    <t>BANDA MEZCLA Y NEGRO 200 2,10</t>
  </si>
  <si>
    <t>BANDA MARRON 180 2,10</t>
  </si>
  <si>
    <t>BANDA BEIGE 180 2,10</t>
  </si>
  <si>
    <t>BANDA GRIS 180 2,10</t>
  </si>
  <si>
    <t xml:space="preserve">FRAZADAS ARTESANALES </t>
  </si>
  <si>
    <t>AMAZHEL</t>
  </si>
  <si>
    <t>Pedido nuevo - liberción cód</t>
  </si>
  <si>
    <t>SEA TRADING COMPANY (MATERASSI)</t>
  </si>
  <si>
    <t>Complemento para vender el artículo eliminado por Regal (faixa)</t>
  </si>
  <si>
    <t>GRUPO LIVING</t>
  </si>
  <si>
    <t>2 PROFORMAS COM VARIACION DE UM ARTICULO -  MANTENER SECUENCIA A-B</t>
  </si>
  <si>
    <t>043.26 a</t>
  </si>
  <si>
    <t>043.26 b</t>
  </si>
  <si>
    <t>G. LIVING</t>
  </si>
  <si>
    <t>SEA TRADING</t>
  </si>
  <si>
    <t>044.26</t>
  </si>
  <si>
    <t>180 2,10 100% PES CM NEGRO BANDA</t>
  </si>
  <si>
    <t>180 2,10 100% PES CM BEIGE BANDA</t>
  </si>
  <si>
    <t>180 2,10 100% PES CM GRIS CLARO BANDA</t>
  </si>
  <si>
    <t>0146004</t>
  </si>
  <si>
    <t>A10524</t>
  </si>
  <si>
    <t>A10523</t>
  </si>
  <si>
    <t>A10522</t>
  </si>
  <si>
    <t>045.26</t>
  </si>
  <si>
    <r>
      <t>Cotizaciones em curso para montar proforma final (08/07)/ Ok aprov cliente/</t>
    </r>
    <r>
      <rPr>
        <sz val="11"/>
        <color rgb="FFC00000"/>
        <rFont val="Calibri"/>
        <family val="2"/>
        <scheme val="minor"/>
      </rPr>
      <t xml:space="preserve"> Liberar cód.</t>
    </r>
  </si>
  <si>
    <t>maq 50  sem fio</t>
  </si>
  <si>
    <t>acabado</t>
  </si>
  <si>
    <t>ago?</t>
  </si>
  <si>
    <t>046.26</t>
  </si>
  <si>
    <t>MANTAHUE</t>
  </si>
  <si>
    <t>AGOSTO</t>
  </si>
  <si>
    <t xml:space="preserve"> 2PL</t>
  </si>
  <si>
    <t>3610008 (5168)</t>
  </si>
  <si>
    <t>maq 1</t>
  </si>
  <si>
    <t>maq 23</t>
  </si>
  <si>
    <t>material na expedição   maq 16</t>
  </si>
  <si>
    <t>maq 17</t>
  </si>
  <si>
    <t>ago</t>
  </si>
  <si>
    <t>PIPELINE</t>
  </si>
  <si>
    <t>SUPERESPUMA</t>
  </si>
  <si>
    <t>REGAL</t>
  </si>
  <si>
    <t>AGT -  apenas faturamento/coletar material prod.</t>
  </si>
  <si>
    <t>amostra venda</t>
  </si>
  <si>
    <t>amostra venda CM</t>
  </si>
  <si>
    <t>A08182 (7746)</t>
  </si>
  <si>
    <t>A10529  (7761)</t>
  </si>
  <si>
    <t xml:space="preserve">TELA BLANCA MATERASSI 160G 2,20L 100% PES CM </t>
  </si>
  <si>
    <t>BANDA 420G 2,20 PES EL XP BLANCO</t>
  </si>
  <si>
    <t>BANDA 420G 2,20 99% PES 1% EL XP ARENA</t>
  </si>
  <si>
    <t>BANDA 420G 2,20 99% PES 1% EL XP GRIS PERLA</t>
  </si>
  <si>
    <t>043.26a</t>
  </si>
  <si>
    <t>COLOR LIVING</t>
  </si>
  <si>
    <t>0629011  (ID 7739)</t>
  </si>
  <si>
    <t>0132054 ( ID 6754)</t>
  </si>
  <si>
    <t>522024 (ID 7742)</t>
  </si>
  <si>
    <t>641014 (ID 7743)</t>
  </si>
  <si>
    <t>0613001 (ID 7744)</t>
  </si>
  <si>
    <t>220G 2,20 100% PES CM MEZCLA</t>
  </si>
  <si>
    <t>200G 2,20 100% PES CM ARENA</t>
  </si>
  <si>
    <t>280G 2,20 100% PES XP</t>
  </si>
  <si>
    <t>280G 2,20 100% PES XP CAQUI</t>
  </si>
  <si>
    <t>260G 2,20 100% PES CM NEGRO MELATONINA S/LOGO</t>
  </si>
  <si>
    <t>inclui frete $1310,13 -amostra venda</t>
  </si>
  <si>
    <t>180G 2,10 100% PES NEGRO</t>
  </si>
  <si>
    <t>0068016 (ID7765)</t>
  </si>
  <si>
    <t>0067006 (ID7764)</t>
  </si>
  <si>
    <t>proforma em stand-by por negociación SKU</t>
  </si>
  <si>
    <t>SIMMONS ARG</t>
  </si>
  <si>
    <t>TBC</t>
  </si>
  <si>
    <t>MANTAHUE SPA (HERALDO CASTRO PALMA)</t>
  </si>
  <si>
    <t>052 1101 (5282)</t>
  </si>
  <si>
    <t>AMOSTRA - 320G 2,20 91% PES 9% CO CM BLANCO COREON®</t>
  </si>
  <si>
    <t>AM 7477</t>
  </si>
  <si>
    <t>3420001 (3467)</t>
  </si>
  <si>
    <t>3420002 (5298)</t>
  </si>
  <si>
    <t>3420004 (5300)</t>
  </si>
  <si>
    <t>3420003 (5299)</t>
  </si>
  <si>
    <t>A10540 (7778)</t>
  </si>
  <si>
    <t>A10539  (7768)</t>
  </si>
  <si>
    <t>HERALDO CASTRO PALMA (MANTAHUE SPA)</t>
  </si>
  <si>
    <t>OK - 30% PREPAYMENT OK</t>
  </si>
  <si>
    <t>3670002 (5306)</t>
  </si>
  <si>
    <t>3670001 (5305)</t>
  </si>
  <si>
    <t>repetir utimo pedido +1400 para llegar a 2000</t>
  </si>
  <si>
    <t>Fup falta fio</t>
  </si>
  <si>
    <t>047.26</t>
  </si>
  <si>
    <t>2 PROFORMAS COM VARIACION DE UM ARTICULO -  MANTENER SECUENCIA A-B (escolhido esta versã/ok</t>
  </si>
  <si>
    <t xml:space="preserve">pedido complementar 037.26 </t>
  </si>
  <si>
    <t>0660021(ID 7740)</t>
  </si>
  <si>
    <t>3660004 (5304)</t>
  </si>
  <si>
    <t>3660003 (5303)</t>
  </si>
  <si>
    <t>3660002 (5302)</t>
  </si>
  <si>
    <t>3660001 (5301)</t>
  </si>
  <si>
    <t>3660005 (5308)</t>
  </si>
  <si>
    <t>Amostra faturavel  + frete ($819 + 1310,13)/pauta amostra 2107</t>
  </si>
  <si>
    <t>maq52</t>
  </si>
  <si>
    <t>3660006 (5325)</t>
  </si>
  <si>
    <t>pedido nuevo - agosto/sep entrega 1ros dias</t>
  </si>
  <si>
    <t>sep</t>
  </si>
  <si>
    <t>Fup fio</t>
  </si>
  <si>
    <t>Brighton/A10512</t>
  </si>
  <si>
    <t>120 Gold/0558004</t>
  </si>
  <si>
    <t>Kingsbury/0555004</t>
  </si>
  <si>
    <t>Kensignton/0403034</t>
  </si>
  <si>
    <t>Bradford/0552001</t>
  </si>
  <si>
    <t>Cabecera L1/A10418</t>
  </si>
  <si>
    <t>Cabecera L2/0566001</t>
  </si>
  <si>
    <t>ESTRUCTURA PREMIUM 400GSM  BLANCO Y BEIGE</t>
  </si>
  <si>
    <t>048.26</t>
  </si>
  <si>
    <t>SETEMBRO</t>
  </si>
  <si>
    <t>AVERAGE TICKET</t>
  </si>
  <si>
    <t>0594001</t>
  </si>
  <si>
    <t>maq 44  amostra</t>
  </si>
  <si>
    <t>Atraso / falta de fio</t>
  </si>
  <si>
    <t>3420005 (5328)</t>
  </si>
  <si>
    <t>300G 2,20 100%  PES CM BLANCO</t>
  </si>
  <si>
    <t>Complemento 24/07</t>
  </si>
  <si>
    <t>complemento Troca 27/7</t>
  </si>
  <si>
    <t>3200008 TP ML IMPULSE GRAY 280G 2,10L DIVERSAS U</t>
  </si>
  <si>
    <t>3200006 TP ML IMPERIAL GRAY 280G 2,10L DIVERSAS U</t>
  </si>
  <si>
    <t>21706 TAMPO TRACEJADO CINZA (A04041) DIVERSAS U</t>
  </si>
  <si>
    <t>3200004 TP ML IMPERAL BLACK 350G 2,10L DIVERSAS U</t>
  </si>
  <si>
    <t>410006 - B TAMPO 200,037 - MALHA PRES, C DIVERSAS U</t>
  </si>
  <si>
    <t>3200008  (1761)</t>
  </si>
  <si>
    <t>21706 (1077)</t>
  </si>
  <si>
    <t>3200004 (1757)</t>
  </si>
  <si>
    <t>410006 (697)</t>
  </si>
  <si>
    <t>21706 / A04041</t>
  </si>
  <si>
    <t>10759 / 10879</t>
  </si>
  <si>
    <t>049.26</t>
  </si>
  <si>
    <t>material revenda</t>
  </si>
  <si>
    <t>material revenda - 30 dias entrega fornecedor- manter preço $1,30</t>
  </si>
  <si>
    <t>set</t>
  </si>
  <si>
    <t>material revenda/entrega fornecedor 30dias</t>
  </si>
  <si>
    <t>Cuenta de CLIENTE</t>
  </si>
  <si>
    <t>2300007 230G 2,10L NACIONAL</t>
  </si>
  <si>
    <t>2870007 TP ML A10034 220G 2,20L</t>
  </si>
  <si>
    <t>2870007 (3542)</t>
  </si>
  <si>
    <t>2300007 (1920)</t>
  </si>
  <si>
    <t>elimina troca</t>
  </si>
  <si>
    <t>050.26</t>
  </si>
  <si>
    <t>.</t>
  </si>
  <si>
    <t xml:space="preserve">proforma 27/07 - em stand-by por negociación </t>
  </si>
  <si>
    <t>MANTAHUE SPA  (Heraldo Castro)</t>
  </si>
  <si>
    <t>enviado</t>
  </si>
  <si>
    <t>material revenda - considerar preço de US$ 1,75</t>
  </si>
  <si>
    <t xml:space="preserve">050.26 </t>
  </si>
  <si>
    <t>set-26</t>
  </si>
  <si>
    <t>material de revenda - Anderon ya avisado</t>
  </si>
  <si>
    <t>Set</t>
  </si>
  <si>
    <t>material revenda - entrega pedido em setembro'26</t>
  </si>
  <si>
    <t>051.26</t>
  </si>
  <si>
    <t>052.26</t>
  </si>
  <si>
    <t>actualización de precio - ultima compra jun'25</t>
  </si>
  <si>
    <t>entrega última semana julho -problemas estrada neve</t>
  </si>
  <si>
    <t>pedido novo pdto ajustado/ sem fio enchimento preto/aereo</t>
  </si>
  <si>
    <t>YP S.A.  (Sueñolar)</t>
  </si>
  <si>
    <t>0054025 (ID5495)</t>
  </si>
  <si>
    <t>TELA DUAL SUEÑOLAR 240 2,20 100% PES XN BEIGE</t>
  </si>
  <si>
    <t>ok cliente</t>
  </si>
  <si>
    <t>3070002  (4160)</t>
  </si>
  <si>
    <t>053.26</t>
  </si>
  <si>
    <t>054.26</t>
  </si>
  <si>
    <t>TELA BLACK 2810013 TP ML A10131 310G 2,20L</t>
  </si>
  <si>
    <t>055.26</t>
  </si>
  <si>
    <t>Pedido prioridade para suprir deficit/versão Black comprada x engano</t>
  </si>
  <si>
    <r>
      <t>pedido emergencia 500mts Black anterior final 013 para reponer error cliente/</t>
    </r>
    <r>
      <rPr>
        <b/>
        <sz val="11"/>
        <rFont val="Calibri"/>
        <family val="2"/>
        <scheme val="minor"/>
      </rPr>
      <t>OK</t>
    </r>
  </si>
  <si>
    <t>056.26</t>
  </si>
  <si>
    <t>ESPUMIX</t>
  </si>
  <si>
    <t>YP  S.A.    (SUEÑOLAR)</t>
  </si>
  <si>
    <t>057.26</t>
  </si>
  <si>
    <t>1113672/ A10131(ID5055)</t>
  </si>
  <si>
    <t>TELA BLACK V.2  Legacy-TP ML A10411 320G 2,20L</t>
  </si>
  <si>
    <t>pedido reposición error skus-Black anterior/precio jul25</t>
  </si>
  <si>
    <t>1113672/ A10131</t>
  </si>
  <si>
    <t>out-26</t>
  </si>
  <si>
    <t>Out</t>
  </si>
  <si>
    <t>Entrega solicitada para outubro</t>
  </si>
  <si>
    <t xml:space="preserve">FLEX </t>
  </si>
  <si>
    <t>OUTUBRO</t>
  </si>
  <si>
    <t>FLEX</t>
  </si>
  <si>
    <t xml:space="preserve">nuevo pedido entrega octubre  - email 19/08  </t>
  </si>
  <si>
    <t>BANDA NEGRA  160 2,10  100% PES PL</t>
  </si>
  <si>
    <t>AZUL MARINO Y BLANCO 0068006 160 2,10 100 PES PLS</t>
  </si>
  <si>
    <t>BLUE JASMIN  A09270  160 2,10</t>
  </si>
  <si>
    <t>180G 2,10 100% PES CM BLANCO</t>
  </si>
  <si>
    <t>180G 2,10 100% PES PL BLANCO</t>
  </si>
  <si>
    <t>DISEÑO GRIS ORIGINAL 119022  180 2,10 100% PES PL</t>
  </si>
  <si>
    <t>NEGRO BOLITAS BLANCAS 0149003 180 2,10 100% PES PL</t>
  </si>
  <si>
    <t>NEGRO Y BLANCO 0071013  180 2,10 100% PES PL</t>
  </si>
  <si>
    <t xml:space="preserve">GRIS OSCURO Y BLANCO  160 2,10 100% PES PL </t>
  </si>
  <si>
    <t>Colchones Espumix</t>
  </si>
  <si>
    <t>3710001 (5400)</t>
  </si>
  <si>
    <t>3710002 (5399)</t>
  </si>
  <si>
    <t xml:space="preserve">Suma de DATA ESTIMADA PCP </t>
  </si>
  <si>
    <t>CLIENTES/PROFORMAS PEDIDO</t>
  </si>
  <si>
    <t>entrega semana 30=&gt;20jul/atraso/cotação transport</t>
  </si>
  <si>
    <t>ESPUMIX SPA</t>
  </si>
  <si>
    <t>200G 2,20 100% PES CM BLANCO</t>
  </si>
  <si>
    <t>160G 2,10 100% PES PL BLANCO Y NEGRO</t>
  </si>
  <si>
    <t>200G 2,20 100% PES CM BLANCO Y BLANCO</t>
  </si>
  <si>
    <t>280G 2,20 100%  PES XP BLANCO, GRIS PERLA</t>
  </si>
  <si>
    <t>200G 2,20 100% PES CM BLANCO Y ARENA</t>
  </si>
  <si>
    <t>liberaç código</t>
  </si>
  <si>
    <t>Pedido lote de cierre 2da Calidad - beneficiario JingMei China - entrega em Cuba- separar y pick up| NO AVANZÓ</t>
  </si>
  <si>
    <t>058.26</t>
  </si>
  <si>
    <t>3030074 (5404)</t>
  </si>
  <si>
    <t>3030073 (5403)</t>
  </si>
  <si>
    <t>3030054 (3146)</t>
  </si>
  <si>
    <t>3710003 (5405)</t>
  </si>
  <si>
    <t>3030041 (2430)</t>
  </si>
  <si>
    <t>3030038 ( 4325)</t>
  </si>
  <si>
    <t>Nueva proforma / validando codigos y  precios - ok</t>
  </si>
  <si>
    <t>Nuevo pedido / OK-- PEDIDO FORMALIZADO X EMAIL 19/08</t>
  </si>
  <si>
    <t>3710005 (5408)</t>
  </si>
  <si>
    <t>3710004 (5407)</t>
  </si>
  <si>
    <t>1er pedido- proforma/ OK</t>
  </si>
  <si>
    <t>liberaç códig -ok</t>
  </si>
  <si>
    <t>Revenda material sobra de Regal</t>
  </si>
  <si>
    <t>Revenda sobra Regal</t>
  </si>
  <si>
    <t>poco volume em set - data entrega ajustada solic PCP</t>
  </si>
  <si>
    <t>Proforma</t>
  </si>
  <si>
    <t>Sistema</t>
  </si>
  <si>
    <t xml:space="preserve"> dif.</t>
  </si>
  <si>
    <t>Ix</t>
  </si>
  <si>
    <t>Limansky - diluir valor NC em invoice 047.26</t>
  </si>
  <si>
    <t>Total Proforma</t>
  </si>
  <si>
    <t>pedido</t>
  </si>
  <si>
    <t>Qts</t>
  </si>
  <si>
    <t>Pdn final</t>
  </si>
  <si>
    <t>Pendente</t>
  </si>
  <si>
    <t>CALCULOS VÁRIOS</t>
  </si>
  <si>
    <t>caso revisado 01/09</t>
  </si>
  <si>
    <t>valor proforma</t>
  </si>
  <si>
    <t>valor invoice</t>
  </si>
  <si>
    <t>dif</t>
  </si>
  <si>
    <t>ix</t>
  </si>
  <si>
    <t>dif.</t>
  </si>
  <si>
    <t>Hipotesis</t>
  </si>
  <si>
    <t>preços alinhados</t>
  </si>
  <si>
    <t>Pedido novo-entrega 1ros dias setembro26/ aplica NC001</t>
  </si>
  <si>
    <t>Item eliminado de Regal vendido a Multiespumas/ No produzir já na Expedição/consolida c 039</t>
  </si>
  <si>
    <t>Material revenda / Ok precio $1,30 - R$5,50/ 30 dias prazo fornecedor/ consolida c 039</t>
  </si>
  <si>
    <t>OK /Prioridade coleta/Pdto de stock incluidos em troca (27/07) - pedido complementar para consolidar</t>
  </si>
  <si>
    <t>10629&gt;11275</t>
  </si>
  <si>
    <t>10635&gt;11275</t>
  </si>
  <si>
    <t>059.26</t>
  </si>
  <si>
    <t>ajustes pedido OK</t>
  </si>
  <si>
    <t>Não produzir/4568 em Expedição</t>
  </si>
  <si>
    <t>Não produzir/199 em Expedição</t>
  </si>
  <si>
    <t>ajustes pedido: retomar pdn</t>
  </si>
  <si>
    <t>mts</t>
  </si>
  <si>
    <t>pedido complementar 043.26a</t>
  </si>
  <si>
    <t>10812&gt;11309</t>
  </si>
  <si>
    <t>Amostras faturaveis no pedido/pauta amostra 22/07 \NF CXLD - NOVO PEDIDO INGRESSADO EM SUBSTITUÇÃO</t>
  </si>
  <si>
    <t>NC003.26</t>
  </si>
  <si>
    <t>0454044</t>
  </si>
  <si>
    <t>3520007  (5423)</t>
  </si>
  <si>
    <t>CODE CLIENTE/
INTERNO</t>
  </si>
  <si>
    <t>+1000mts final 0006</t>
  </si>
  <si>
    <t>Pedido de reposição problemas de QA - 1000 mts - SEM facturamento/filed carpeta NCs</t>
  </si>
  <si>
    <t>060.26</t>
  </si>
  <si>
    <t xml:space="preserve">Envio junto ao pedido 059.26 </t>
  </si>
  <si>
    <t>061.26</t>
  </si>
  <si>
    <t>062.26</t>
  </si>
  <si>
    <t xml:space="preserve">061.26 </t>
  </si>
  <si>
    <t>440 2,20 66% PES 34% PE XP AZUL Y BLANCO (COOLING)</t>
  </si>
  <si>
    <t>TL97788 (BED003)</t>
  </si>
  <si>
    <t>TELA TAPA CALM  TL86257 (A10169) 240G</t>
  </si>
  <si>
    <t>TAPA ENERGY 200G</t>
  </si>
  <si>
    <t xml:space="preserve">TELA ROMBO DEGRADE AZUL (A10104) 200G </t>
  </si>
  <si>
    <t>063.26</t>
  </si>
  <si>
    <t>IMPORTADORA TERRA (MOVELPRO SRL)</t>
  </si>
  <si>
    <t>IMPORTADORA TERRA (MOVELPRO)</t>
  </si>
  <si>
    <t>mudança razao social Movelpro SRL</t>
  </si>
  <si>
    <t>Actualizar</t>
  </si>
  <si>
    <t>PEDIDO/MÊS</t>
  </si>
  <si>
    <t>cliente solicita entrega para 1a quinzena setembro (25/08)-entrega parcial?</t>
  </si>
  <si>
    <t>DATA COLETA/
DESPACHO</t>
  </si>
  <si>
    <t>TBD</t>
  </si>
  <si>
    <t>TOTAL METROS PEDIDO</t>
  </si>
  <si>
    <t>DATA IDEAL ENTREGA 
(30 D.)</t>
  </si>
  <si>
    <t>PROFORM -INVOICE
NBR</t>
  </si>
  <si>
    <t xml:space="preserve">DATA 
PROFORMA y/o PEDIDO </t>
  </si>
  <si>
    <t xml:space="preserve">DATA ESTIMADA FINALIZ. 
PCP
</t>
  </si>
  <si>
    <t>DÍAS  ATRASO vs.
IDEAL (30d.)</t>
  </si>
  <si>
    <t>ON HOLD</t>
  </si>
  <si>
    <t>Cliente solicita Entrega para semana de 26 Jan (Semana 5)/Atraso -</t>
  </si>
  <si>
    <t>Entrega até semana 9 (23 fev.)-Consolidar com 006.26 se possível</t>
  </si>
  <si>
    <t>Entrega para 26 fev. (30 días solicitado)-Material revenda. Estimado 25/02</t>
  </si>
  <si>
    <t>Cliente novo - 1 item alterado x divergencia desenho/estrut. (015)</t>
  </si>
  <si>
    <t>pedido ON HOLD. 2a qualidade/ Cuba</t>
  </si>
  <si>
    <t>pedido de reposição QA/ Não faturado ao cliente - aplica NC</t>
  </si>
  <si>
    <t>Tela ignifuga- entrega solicitada para 29/06</t>
  </si>
  <si>
    <t xml:space="preserve">Enviar amostras junto - material de revenda </t>
  </si>
  <si>
    <r>
      <rPr>
        <strike/>
        <sz val="9"/>
        <rFont val="Calibri"/>
        <family val="2"/>
        <scheme val="minor"/>
      </rPr>
      <t xml:space="preserve">pedido on hold x pgo / </t>
    </r>
    <r>
      <rPr>
        <sz val="9"/>
        <rFont val="Calibri"/>
        <family val="2"/>
        <scheme val="minor"/>
      </rPr>
      <t>ok pgto realizado 18sep</t>
    </r>
  </si>
  <si>
    <t>entrega para nov.</t>
  </si>
  <si>
    <t>VERIFICA.
RECEBIMENTO</t>
  </si>
  <si>
    <r>
      <t xml:space="preserve">proforma nova 3/3  ok  | </t>
    </r>
    <r>
      <rPr>
        <sz val="10"/>
        <color rgb="FFC00000"/>
        <rFont val="Calibri"/>
        <family val="2"/>
        <scheme val="minor"/>
      </rPr>
      <t>31/03 maq 51</t>
    </r>
  </si>
  <si>
    <r>
      <t>proforma nova 3/3  ok |</t>
    </r>
    <r>
      <rPr>
        <b/>
        <sz val="10"/>
        <color rgb="FFC00000"/>
        <rFont val="Calibri"/>
        <family val="2"/>
        <scheme val="minor"/>
      </rPr>
      <t>produzindo maq 41</t>
    </r>
  </si>
  <si>
    <r>
      <t>proforma nova 3/3  ok |</t>
    </r>
    <r>
      <rPr>
        <sz val="10"/>
        <color rgb="FFC00000"/>
        <rFont val="Calibri"/>
        <family val="2"/>
        <scheme val="minor"/>
      </rPr>
      <t>30/03 maq 48</t>
    </r>
  </si>
  <si>
    <r>
      <t xml:space="preserve">proforma nova 3/3  ok| </t>
    </r>
    <r>
      <rPr>
        <sz val="10"/>
        <color rgb="FFC00000"/>
        <rFont val="Calibri"/>
        <family val="2"/>
        <scheme val="minor"/>
      </rPr>
      <t>02/04 maq 53</t>
    </r>
  </si>
  <si>
    <r>
      <t>proforma -ok 06/03/</t>
    </r>
    <r>
      <rPr>
        <b/>
        <sz val="10"/>
        <color rgb="FFFF0000"/>
        <rFont val="Calibri"/>
        <family val="2"/>
        <scheme val="minor"/>
      </rPr>
      <t>finalizado pdn 1903 (616+104+89)</t>
    </r>
  </si>
  <si>
    <r>
      <t xml:space="preserve">proforma -ok 06/03| </t>
    </r>
    <r>
      <rPr>
        <b/>
        <sz val="10"/>
        <color rgb="FFC00000"/>
        <rFont val="Calibri"/>
        <family val="2"/>
        <scheme val="minor"/>
      </rPr>
      <t>Produçao 28/03-31/03 maq 25</t>
    </r>
  </si>
  <si>
    <r>
      <rPr>
        <b/>
        <sz val="10"/>
        <rFont val="Calibri"/>
        <family val="2"/>
        <scheme val="minor"/>
      </rPr>
      <t>proforma 18/03 - Entrega em maio</t>
    </r>
    <r>
      <rPr>
        <b/>
        <sz val="10"/>
        <color rgb="FFFF0000"/>
        <rFont val="Calibri"/>
        <family val="2"/>
        <scheme val="minor"/>
      </rPr>
      <t>|</t>
    </r>
    <r>
      <rPr>
        <b/>
        <sz val="10"/>
        <color rgb="FFC00000"/>
        <rFont val="Calibri"/>
        <family val="2"/>
        <scheme val="minor"/>
      </rPr>
      <t xml:space="preserve"> 700mts - produzindo 06/04</t>
    </r>
  </si>
  <si>
    <r>
      <rPr>
        <strike/>
        <sz val="10"/>
        <color rgb="FFC00000"/>
        <rFont val="Calibri"/>
        <family val="2"/>
        <scheme val="minor"/>
      </rPr>
      <t>2540023 (1652)</t>
    </r>
    <r>
      <rPr>
        <sz val="10"/>
        <color rgb="FFC00000"/>
        <rFont val="Calibri"/>
        <family val="2"/>
        <scheme val="minor"/>
      </rPr>
      <t>/2540031(3343)</t>
    </r>
  </si>
  <si>
    <r>
      <t xml:space="preserve">Tela Black - TP ML </t>
    </r>
    <r>
      <rPr>
        <strike/>
        <sz val="10"/>
        <color theme="1"/>
        <rFont val="Calibri"/>
        <family val="2"/>
        <scheme val="minor"/>
      </rPr>
      <t>A09887 (</t>
    </r>
    <r>
      <rPr>
        <sz val="10"/>
        <color theme="1"/>
        <rFont val="Calibri"/>
        <family val="2"/>
        <scheme val="minor"/>
      </rPr>
      <t xml:space="preserve"> TP ML </t>
    </r>
    <r>
      <rPr>
        <sz val="10"/>
        <color rgb="FFFF0000"/>
        <rFont val="Calibri"/>
        <family val="2"/>
        <scheme val="minor"/>
      </rPr>
      <t>A10131</t>
    </r>
    <r>
      <rPr>
        <sz val="10"/>
        <color theme="1"/>
        <rFont val="Calibri"/>
        <family val="2"/>
        <scheme val="minor"/>
      </rPr>
      <t>)</t>
    </r>
  </si>
  <si>
    <r>
      <t>0269005&gt;</t>
    </r>
    <r>
      <rPr>
        <sz val="10"/>
        <color rgb="FFC00000"/>
        <rFont val="Calibri"/>
        <family val="2"/>
        <scheme val="minor"/>
      </rPr>
      <t>2940054</t>
    </r>
  </si>
  <si>
    <r>
      <t>0389001&gt;</t>
    </r>
    <r>
      <rPr>
        <sz val="10"/>
        <color rgb="FFC00000"/>
        <rFont val="Calibri"/>
        <family val="2"/>
        <scheme val="minor"/>
      </rPr>
      <t>2940055</t>
    </r>
  </si>
  <si>
    <r>
      <t>0276005&gt;</t>
    </r>
    <r>
      <rPr>
        <sz val="10"/>
        <color rgb="FFC00000"/>
        <rFont val="Calibri"/>
        <family val="2"/>
        <scheme val="minor"/>
      </rPr>
      <t>2940056</t>
    </r>
  </si>
  <si>
    <r>
      <t xml:space="preserve">32282 - TELA ANTIDESLIZANTE DIVERSAS U - </t>
    </r>
    <r>
      <rPr>
        <b/>
        <sz val="10"/>
        <color rgb="FFFF0000"/>
        <rFont val="Helvetica"/>
      </rPr>
      <t>REVENDA ME TP 32282 -</t>
    </r>
  </si>
  <si>
    <r>
      <t xml:space="preserve">Tela Black -  TP ML </t>
    </r>
    <r>
      <rPr>
        <sz val="10"/>
        <color rgb="FFFF0000"/>
        <rFont val="Calibri"/>
        <family val="2"/>
        <scheme val="minor"/>
      </rPr>
      <t>A10131</t>
    </r>
  </si>
  <si>
    <r>
      <t xml:space="preserve">Ok - hilollegó 23/04 /  </t>
    </r>
    <r>
      <rPr>
        <strike/>
        <sz val="10"/>
        <color rgb="FFFF0000"/>
        <rFont val="Calibri"/>
        <family val="2"/>
        <scheme val="minor"/>
      </rPr>
      <t>Parado</t>
    </r>
    <r>
      <rPr>
        <sz val="10"/>
        <color rgb="FFFF0000"/>
        <rFont val="Calibri"/>
        <family val="2"/>
        <scheme val="minor"/>
      </rPr>
      <t xml:space="preserve">.FALTA DO FIO 221/84 MESCLA ESCURO   - </t>
    </r>
    <r>
      <rPr>
        <sz val="10"/>
        <color rgb="FFC00000"/>
        <rFont val="Calibri"/>
        <family val="2"/>
        <scheme val="minor"/>
      </rPr>
      <t>saldo em sistema 101</t>
    </r>
  </si>
  <si>
    <r>
      <t xml:space="preserve">maq 50/47 </t>
    </r>
    <r>
      <rPr>
        <b/>
        <sz val="10"/>
        <rFont val="Calibri"/>
        <family val="2"/>
        <scheme val="minor"/>
      </rPr>
      <t>(8476m) 15/04 -12654 Expedição (74%)</t>
    </r>
    <r>
      <rPr>
        <sz val="10"/>
        <rFont val="Calibri"/>
        <family val="2"/>
        <scheme val="minor"/>
      </rPr>
      <t xml:space="preserve">     572m malha  +69 acaba    (op668)           |   </t>
    </r>
    <r>
      <rPr>
        <b/>
        <sz val="10"/>
        <rFont val="Calibri"/>
        <family val="2"/>
        <scheme val="minor"/>
      </rPr>
      <t>maq 47 (8524m)- 13/04</t>
    </r>
    <r>
      <rPr>
        <sz val="10"/>
        <rFont val="Calibri"/>
        <family val="2"/>
        <scheme val="minor"/>
      </rPr>
      <t>---</t>
    </r>
    <r>
      <rPr>
        <i/>
        <sz val="10"/>
        <color rgb="FF003400"/>
        <rFont val="Calibri"/>
        <family val="2"/>
        <scheme val="minor"/>
      </rPr>
      <t>80 acaba/377 mts retrabalho - Atraso | 2000 a mais</t>
    </r>
  </si>
  <si>
    <r>
      <t xml:space="preserve">maq 03 -  8.112mts (Start 1903)  - 07/04- </t>
    </r>
    <r>
      <rPr>
        <sz val="10"/>
        <color rgb="FFFF0000"/>
        <rFont val="Calibri"/>
        <family val="2"/>
        <scheme val="minor"/>
      </rPr>
      <t>OP finalizada, material em retrabalho, acabamento, malharia</t>
    </r>
  </si>
  <si>
    <r>
      <t>maq 02 -R -</t>
    </r>
    <r>
      <rPr>
        <b/>
        <sz val="10"/>
        <rFont val="Calibri"/>
        <family val="2"/>
        <scheme val="minor"/>
      </rPr>
      <t>10 peças reprova potemcial 23/04</t>
    </r>
  </si>
  <si>
    <r>
      <rPr>
        <b/>
        <sz val="10"/>
        <rFont val="Calibri"/>
        <family val="2"/>
        <scheme val="minor"/>
      </rPr>
      <t>proforma 18/03 - Entrega em maio</t>
    </r>
    <r>
      <rPr>
        <b/>
        <sz val="11"/>
        <color rgb="FFFF0000"/>
        <rFont val="Calibri"/>
        <family val="2"/>
        <scheme val="minor"/>
      </rPr>
      <t/>
    </r>
  </si>
  <si>
    <r>
      <rPr>
        <sz val="10"/>
        <color rgb="FFFF0000"/>
        <rFont val="Calibri"/>
        <family val="2"/>
        <scheme val="minor"/>
      </rPr>
      <t>Pedido 9772 CXLD x ajuste precios</t>
    </r>
    <r>
      <rPr>
        <sz val="10"/>
        <color rgb="FF7030A0"/>
        <rFont val="Calibri"/>
        <family val="2"/>
        <scheme val="minor"/>
      </rPr>
      <t>/ proforma 18/03 - Entrega em junho/</t>
    </r>
  </si>
  <si>
    <r>
      <t>maq 51 - 13-</t>
    </r>
    <r>
      <rPr>
        <b/>
        <sz val="10"/>
        <rFont val="Calibri"/>
        <family val="2"/>
        <scheme val="minor"/>
      </rPr>
      <t>21/</t>
    </r>
    <r>
      <rPr>
        <sz val="10"/>
        <rFont val="Calibri"/>
        <family val="2"/>
        <scheme val="minor"/>
      </rPr>
      <t xml:space="preserve">04  </t>
    </r>
  </si>
  <si>
    <r>
      <t>maq 02 - 18-</t>
    </r>
    <r>
      <rPr>
        <b/>
        <sz val="10"/>
        <rFont val="Calibri"/>
        <family val="2"/>
        <scheme val="minor"/>
      </rPr>
      <t>28</t>
    </r>
    <r>
      <rPr>
        <sz val="10"/>
        <rFont val="Calibri"/>
        <family val="2"/>
        <scheme val="minor"/>
      </rPr>
      <t>/04 - 500 mts Exped</t>
    </r>
  </si>
  <si>
    <r>
      <t xml:space="preserve">maq 06 - </t>
    </r>
    <r>
      <rPr>
        <b/>
        <sz val="10"/>
        <rFont val="Calibri"/>
        <family val="2"/>
        <scheme val="minor"/>
      </rPr>
      <t>20</t>
    </r>
    <r>
      <rPr>
        <sz val="10"/>
        <rFont val="Calibri"/>
        <family val="2"/>
        <scheme val="minor"/>
      </rPr>
      <t>/04  499mts</t>
    </r>
  </si>
  <si>
    <r>
      <t>maq 46  - 14-</t>
    </r>
    <r>
      <rPr>
        <b/>
        <sz val="10"/>
        <rFont val="Calibri"/>
        <family val="2"/>
        <scheme val="minor"/>
      </rPr>
      <t>20</t>
    </r>
    <r>
      <rPr>
        <sz val="10"/>
        <rFont val="Calibri"/>
        <family val="2"/>
        <scheme val="minor"/>
      </rPr>
      <t>/04 -  531 mts</t>
    </r>
  </si>
  <si>
    <r>
      <t>maq 02 - 16-</t>
    </r>
    <r>
      <rPr>
        <b/>
        <sz val="10"/>
        <rFont val="Calibri"/>
        <family val="2"/>
        <scheme val="minor"/>
      </rPr>
      <t>20</t>
    </r>
    <r>
      <rPr>
        <sz val="10"/>
        <rFont val="Calibri"/>
        <family val="2"/>
        <scheme val="minor"/>
      </rPr>
      <t>/04  - 568Mts</t>
    </r>
  </si>
  <si>
    <r>
      <t>maq 23 - 13-</t>
    </r>
    <r>
      <rPr>
        <b/>
        <sz val="10"/>
        <rFont val="Calibri"/>
        <family val="2"/>
        <scheme val="minor"/>
      </rPr>
      <t>21</t>
    </r>
    <r>
      <rPr>
        <sz val="10"/>
        <rFont val="Calibri"/>
        <family val="2"/>
        <scheme val="minor"/>
      </rPr>
      <t>/04 - 497 mts</t>
    </r>
  </si>
  <si>
    <r>
      <t>TF7218&gt;A10466&gt;</t>
    </r>
    <r>
      <rPr>
        <b/>
        <sz val="10"/>
        <color theme="1"/>
        <rFont val="Helvetica"/>
      </rPr>
      <t>3630003</t>
    </r>
  </si>
  <si>
    <r>
      <t>TF7220&gt;A10467&gt;</t>
    </r>
    <r>
      <rPr>
        <b/>
        <sz val="10"/>
        <color theme="1"/>
        <rFont val="Helvetica"/>
      </rPr>
      <t>3630002</t>
    </r>
  </si>
  <si>
    <r>
      <t>TF7223&gt;A03174&gt;</t>
    </r>
    <r>
      <rPr>
        <b/>
        <sz val="10"/>
        <color theme="1"/>
        <rFont val="Helvetica"/>
      </rPr>
      <t>3630001</t>
    </r>
  </si>
  <si>
    <r>
      <t xml:space="preserve">(id7409) A10053&gt; </t>
    </r>
    <r>
      <rPr>
        <b/>
        <sz val="10"/>
        <color theme="1"/>
        <rFont val="Helvetica"/>
      </rPr>
      <t>3370011</t>
    </r>
  </si>
  <si>
    <r>
      <t xml:space="preserve">0536016 &gt; </t>
    </r>
    <r>
      <rPr>
        <b/>
        <sz val="10"/>
        <color theme="1"/>
        <rFont val="Helvetica"/>
      </rPr>
      <t>3370012</t>
    </r>
  </si>
  <si>
    <r>
      <t xml:space="preserve">7461/ </t>
    </r>
    <r>
      <rPr>
        <b/>
        <sz val="10"/>
        <color theme="1"/>
        <rFont val="Helvetica"/>
      </rPr>
      <t>0269121</t>
    </r>
  </si>
  <si>
    <r>
      <t xml:space="preserve">7452/ </t>
    </r>
    <r>
      <rPr>
        <b/>
        <sz val="10"/>
        <color theme="1"/>
        <rFont val="Helvetica"/>
      </rPr>
      <t>0066041</t>
    </r>
  </si>
  <si>
    <r>
      <t xml:space="preserve">7453 / </t>
    </r>
    <r>
      <rPr>
        <b/>
        <sz val="10"/>
        <color theme="1"/>
        <rFont val="Helvetica"/>
      </rPr>
      <t>A10496</t>
    </r>
  </si>
  <si>
    <r>
      <t>MAQ 16</t>
    </r>
    <r>
      <rPr>
        <sz val="10"/>
        <color theme="1"/>
        <rFont val="Calibri"/>
        <family val="2"/>
        <scheme val="minor"/>
      </rPr>
      <t>&gt;45&gt;41 o 44</t>
    </r>
  </si>
  <si>
    <r>
      <t xml:space="preserve">7417 / </t>
    </r>
    <r>
      <rPr>
        <b/>
        <strike/>
        <sz val="10"/>
        <color theme="1"/>
        <rFont val="Helvetica"/>
      </rPr>
      <t>A10497</t>
    </r>
    <r>
      <rPr>
        <b/>
        <sz val="10"/>
        <color theme="1"/>
        <rFont val="Helvetica"/>
      </rPr>
      <t>&gt; A10519</t>
    </r>
  </si>
  <si>
    <r>
      <t>LA003 &gt;</t>
    </r>
    <r>
      <rPr>
        <b/>
        <sz val="10"/>
        <color theme="1"/>
        <rFont val="Calibri"/>
        <family val="2"/>
        <scheme val="minor"/>
      </rPr>
      <t>A10402</t>
    </r>
  </si>
  <si>
    <r>
      <t xml:space="preserve">Item alterado / </t>
    </r>
    <r>
      <rPr>
        <strike/>
        <sz val="10"/>
        <color theme="1"/>
        <rFont val="Calibri"/>
        <family val="2"/>
        <scheme val="minor"/>
      </rPr>
      <t>Actualizar precio</t>
    </r>
    <r>
      <rPr>
        <sz val="10"/>
        <color theme="1"/>
        <rFont val="Calibri"/>
        <family val="2"/>
        <scheme val="minor"/>
      </rPr>
      <t>/ OK</t>
    </r>
  </si>
  <si>
    <r>
      <t xml:space="preserve">ajustes pedido: </t>
    </r>
    <r>
      <rPr>
        <b/>
        <sz val="10"/>
        <color rgb="FFC00000"/>
        <rFont val="Calibri"/>
        <family val="2"/>
        <scheme val="minor"/>
      </rPr>
      <t>+1000</t>
    </r>
  </si>
  <si>
    <r>
      <t>ajustes pedido:</t>
    </r>
    <r>
      <rPr>
        <b/>
        <sz val="10"/>
        <color rgb="FFC00000"/>
        <rFont val="Calibri"/>
        <family val="2"/>
        <scheme val="minor"/>
      </rPr>
      <t xml:space="preserve"> -1000/pdzir só 608</t>
    </r>
  </si>
  <si>
    <t>TAPA BERLIN (ID3390)</t>
  </si>
  <si>
    <t>BANDA LEXUS (ID5783)</t>
  </si>
  <si>
    <t>TITANIO (ID6488)</t>
  </si>
  <si>
    <t>ULTRA BLACK (ID6491)</t>
  </si>
  <si>
    <t>BANDA VIENA, IMPERIO, CONFORT, INTENSE (ID7918)</t>
  </si>
  <si>
    <t>BANDA /BASE TRENTO, BASE BERLÍN (ID5785)</t>
  </si>
  <si>
    <t>SYMPHONY TAPA (ID1337)</t>
  </si>
  <si>
    <r>
      <t>TELA BLANCA (ID7925)</t>
    </r>
    <r>
      <rPr>
        <b/>
        <sz val="10"/>
        <color theme="1"/>
        <rFont val="Helvetica"/>
      </rPr>
      <t>/0679011</t>
    </r>
  </si>
  <si>
    <r>
      <t xml:space="preserve">TELA BLANCA (ID7939)/ </t>
    </r>
    <r>
      <rPr>
        <b/>
        <sz val="10"/>
        <color theme="1"/>
        <rFont val="Helvetica"/>
      </rPr>
      <t>A10579</t>
    </r>
  </si>
  <si>
    <r>
      <t>FAJA BLACK/</t>
    </r>
    <r>
      <rPr>
        <b/>
        <sz val="10"/>
        <rFont val="Calibri"/>
        <family val="2"/>
      </rPr>
      <t>A10496</t>
    </r>
  </si>
  <si>
    <r>
      <t>E1000/</t>
    </r>
    <r>
      <rPr>
        <b/>
        <sz val="10"/>
        <rFont val="Calibri"/>
        <family val="2"/>
      </rPr>
      <t>0610011</t>
    </r>
    <r>
      <rPr>
        <sz val="10"/>
        <rFont val="Calibri"/>
        <family val="2"/>
      </rPr>
      <t xml:space="preserve"> (7862)</t>
    </r>
  </si>
  <si>
    <r>
      <t>HOTEL/</t>
    </r>
    <r>
      <rPr>
        <b/>
        <sz val="10"/>
        <rFont val="Calibri"/>
        <family val="2"/>
      </rPr>
      <t>A10560</t>
    </r>
    <r>
      <rPr>
        <sz val="10"/>
        <rFont val="Calibri"/>
        <family val="2"/>
      </rPr>
      <t>&gt;ES7921</t>
    </r>
  </si>
  <si>
    <r>
      <t>EQUILIBRIUM/ES7920/</t>
    </r>
    <r>
      <rPr>
        <b/>
        <sz val="10"/>
        <rFont val="Calibri"/>
        <family val="2"/>
      </rPr>
      <t>A10577</t>
    </r>
  </si>
  <si>
    <r>
      <t>LUXORY/</t>
    </r>
    <r>
      <rPr>
        <b/>
        <sz val="10"/>
        <rFont val="Calibri"/>
        <family val="2"/>
      </rPr>
      <t>0601014</t>
    </r>
    <r>
      <rPr>
        <sz val="10"/>
        <rFont val="Calibri"/>
        <family val="2"/>
      </rPr>
      <t xml:space="preserve"> (7863)</t>
    </r>
  </si>
  <si>
    <r>
      <t>BLANCA/ES7923/</t>
    </r>
    <r>
      <rPr>
        <b/>
        <sz val="10"/>
        <rFont val="Calibri"/>
        <family val="2"/>
      </rPr>
      <t>A10578</t>
    </r>
  </si>
  <si>
    <r>
      <t>T. ARENA, GRIS, BLANCO-BIODRESS S/LOGO 280 2,20-</t>
    </r>
    <r>
      <rPr>
        <sz val="10"/>
        <color rgb="FFC00000"/>
        <rFont val="Calibri"/>
        <family val="2"/>
        <scheme val="minor"/>
      </rPr>
      <t>AJUSTE DESENHO</t>
    </r>
  </si>
  <si>
    <t>ANALISIS DE PRECIOS 2026 - FLEX CHILE</t>
  </si>
  <si>
    <t>fronteira 22/9</t>
  </si>
  <si>
    <t>Fup 28/9</t>
  </si>
  <si>
    <r>
      <rPr>
        <strike/>
        <sz val="10"/>
        <rFont val="Helvetica"/>
      </rPr>
      <t>11315</t>
    </r>
    <r>
      <rPr>
        <sz val="10"/>
        <rFont val="Helvetica"/>
      </rPr>
      <t xml:space="preserve"> / 11374</t>
    </r>
  </si>
  <si>
    <t>043.26a complem.</t>
  </si>
  <si>
    <t>043.26compl.</t>
  </si>
  <si>
    <t>043.26</t>
  </si>
  <si>
    <t>043.26 (pedido compl)</t>
  </si>
  <si>
    <t>pedido urgente</t>
  </si>
  <si>
    <t>procesado em mis vacaciones</t>
  </si>
  <si>
    <t>Proforma nova 03/09 - preço autorizado p/Mauricio $1,65 (cotação ID7981- $1,70 )- Agrd aprova cliente/CXLD</t>
  </si>
  <si>
    <t>proforma em progresso- falta preço atualizado - resolvido durante minhas férias</t>
  </si>
  <si>
    <r>
      <rPr>
        <strike/>
        <sz val="11"/>
        <color rgb="FFFF0000"/>
        <rFont val="Calibri"/>
        <family val="2"/>
        <scheme val="minor"/>
      </rPr>
      <t>Reconsideración de proforma 030.26-s</t>
    </r>
    <r>
      <rPr>
        <b/>
        <strike/>
        <sz val="11"/>
        <color rgb="FFFF0000"/>
        <rFont val="Calibri"/>
        <family val="2"/>
        <scheme val="minor"/>
      </rPr>
      <t xml:space="preserve">ólo pdto 2a qualidade-  Agrd aprova./ Follow up/ </t>
    </r>
    <r>
      <rPr>
        <b/>
        <sz val="11"/>
        <color rgb="FFFF0000"/>
        <rFont val="Calibri"/>
        <family val="2"/>
        <scheme val="minor"/>
      </rPr>
      <t>ON HOLD</t>
    </r>
  </si>
  <si>
    <t>pedido complementar- Brighton - sem Fio/coleta re-coordenar</t>
  </si>
  <si>
    <t>046.26+047.26</t>
  </si>
  <si>
    <t>nuevo pedido - sku comprado ult vez em agosto26/ aprovado cliente 25/09</t>
  </si>
  <si>
    <t>0054025 (ID 5495)</t>
  </si>
  <si>
    <t>3070002 (4160)</t>
  </si>
  <si>
    <t>TELA DUAL SUEÑOLAR 240 100% PES XN BEIGE</t>
  </si>
  <si>
    <t>Entrega para 19/10</t>
  </si>
  <si>
    <t>entrega negociada para 19/10</t>
  </si>
  <si>
    <t>064.26</t>
  </si>
  <si>
    <t>COLCHONES PRINCE (c. del paraguay srl)</t>
  </si>
  <si>
    <t>NC-Reposição qualidade Não facturavel|pedido 11315 Cxld (25/09)</t>
  </si>
  <si>
    <t>máquina quebrada - pode demorar</t>
  </si>
  <si>
    <t>nuevo pedido - nuevo SKU - em negociação preço final $2,25/ agrd aprov. Cliente- ajuste CFR</t>
  </si>
  <si>
    <t>3720001 (5459)</t>
  </si>
  <si>
    <t>220G 2,20 80% PES 20% CV CM BLANCO</t>
  </si>
  <si>
    <t>entrega para 16/10 + Frete $620</t>
  </si>
  <si>
    <t>110013 (ID8051)</t>
  </si>
  <si>
    <t>065.26</t>
  </si>
  <si>
    <t>entrega negociada para 16/10</t>
  </si>
  <si>
    <t>CONSOLIDA INVOICE 
DESPACHO?/STATUS INVOIC.</t>
  </si>
  <si>
    <t>saldo negativo pago $37</t>
  </si>
  <si>
    <t>finalizado</t>
  </si>
  <si>
    <t>finalizado  039.26/041.26/049.26</t>
  </si>
  <si>
    <t>on hold</t>
  </si>
  <si>
    <t>finalizado  059.26 + 060.26</t>
  </si>
  <si>
    <t>finalizado 059.26 + 060.26</t>
  </si>
  <si>
    <t>entrega para out- Fup amostras linhas especiais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</si>
</sst>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0_);[Red]\(0.00\)"/>
    <numFmt numFmtId="167" formatCode="_-[$$-409]* #,##0.00_ ;_-[$$-409]* \-#,##0.00\ ;_-[$$-409]* &quot;-&quot;??_ ;_-@_ "/>
    <numFmt numFmtId="168" formatCode="[$-416]mmm\-yy;@"/>
    <numFmt numFmtId="169" formatCode="0.0000"/>
    <numFmt numFmtId="170" formatCode="_(* #,##0_);_(* \(#,##0\);_(* &quot;-&quot;??_);_(@_)"/>
    <numFmt numFmtId="171" formatCode="[$$-45C]#,##0.00"/>
    <numFmt numFmtId="172" formatCode="0.0"/>
    <numFmt numFmtId="173" formatCode="[$-416]dd\-mmm\-yy;@"/>
    <numFmt numFmtId="174" formatCode="0.00000000"/>
    <numFmt numFmtId="175" formatCode="0.0%"/>
  </numFmts>
  <fonts count="1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Helvetica"/>
      <family val="2"/>
    </font>
    <font>
      <sz val="11"/>
      <color theme="1"/>
      <name val="Aptos"/>
      <family val="2"/>
    </font>
    <font>
      <sz val="10"/>
      <color theme="1"/>
      <name val="Helvetica"/>
      <family val="2"/>
    </font>
    <font>
      <b/>
      <sz val="10"/>
      <color rgb="FFFF0000"/>
      <name val="Helvetica"/>
      <family val="2"/>
    </font>
    <font>
      <sz val="10"/>
      <color rgb="FF000000"/>
      <name val="Helvetica"/>
      <family val="2"/>
    </font>
    <font>
      <sz val="10"/>
      <color indexed="8"/>
      <name val="Helvetica"/>
      <family val="2"/>
    </font>
    <font>
      <sz val="10"/>
      <color theme="0" tint="-0.499984740745262"/>
      <name val="Helvetica"/>
      <family val="2"/>
    </font>
    <font>
      <b/>
      <sz val="10"/>
      <color theme="1"/>
      <name val="Helvetica"/>
    </font>
    <font>
      <b/>
      <sz val="11"/>
      <name val="Calibri"/>
      <family val="2"/>
      <scheme val="minor"/>
    </font>
    <font>
      <b/>
      <sz val="10"/>
      <name val="Helvetica"/>
    </font>
    <font>
      <sz val="10"/>
      <color theme="1"/>
      <name val="Helvetica"/>
    </font>
    <font>
      <sz val="10"/>
      <name val="Helvetica"/>
      <family val="2"/>
    </font>
    <font>
      <b/>
      <sz val="10"/>
      <color rgb="FFC00000"/>
      <name val="Helvetica"/>
    </font>
    <font>
      <b/>
      <sz val="10"/>
      <color rgb="FF0070C0"/>
      <name val="Helvetica"/>
    </font>
    <font>
      <b/>
      <sz val="11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030A0"/>
      <name val="Helvetica"/>
    </font>
    <font>
      <sz val="10"/>
      <color theme="1"/>
      <name val="Calibri"/>
      <family val="2"/>
      <scheme val="minor"/>
    </font>
    <font>
      <sz val="10"/>
      <color rgb="FFC00000"/>
      <name val="Helvetic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u/>
      <sz val="11"/>
      <color rgb="FF7030A0"/>
      <name val="Calibri"/>
      <family val="2"/>
      <scheme val="minor"/>
    </font>
    <font>
      <sz val="10"/>
      <color rgb="FFFF0000"/>
      <name val="Helvetica"/>
    </font>
    <font>
      <b/>
      <sz val="10"/>
      <color rgb="FFFF0000"/>
      <name val="Helvetica"/>
    </font>
    <font>
      <b/>
      <sz val="10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rgb="FFC00000"/>
      <name val="Helvetica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indexed="8"/>
      <name val="Helvetica"/>
    </font>
    <font>
      <sz val="10"/>
      <color theme="1"/>
      <name val="Arial"/>
      <family val="2"/>
    </font>
    <font>
      <sz val="10"/>
      <name val="Helvetica"/>
    </font>
    <font>
      <sz val="10"/>
      <color rgb="FF7030A0"/>
      <name val="Helvetica"/>
    </font>
    <font>
      <sz val="9"/>
      <color theme="1"/>
      <name val="Helvetica"/>
    </font>
    <font>
      <strike/>
      <sz val="10"/>
      <color theme="1"/>
      <name val="Helvetica"/>
    </font>
    <font>
      <sz val="9"/>
      <color theme="1"/>
      <name val="Helvetica"/>
      <family val="2"/>
    </font>
    <font>
      <b/>
      <u/>
      <sz val="9"/>
      <color indexed="81"/>
      <name val="Tahoma"/>
      <family val="2"/>
    </font>
    <font>
      <b/>
      <sz val="10"/>
      <color indexed="8"/>
      <name val="Helvetica"/>
    </font>
    <font>
      <b/>
      <sz val="10"/>
      <color rgb="FF590000"/>
      <name val="Helvetica"/>
    </font>
    <font>
      <strike/>
      <sz val="11"/>
      <color rgb="FFFF0000"/>
      <name val="Calibri"/>
      <family val="2"/>
      <scheme val="minor"/>
    </font>
    <font>
      <strike/>
      <sz val="10"/>
      <color rgb="FFFF0000"/>
      <name val="Helvetica"/>
      <family val="2"/>
    </font>
    <font>
      <strike/>
      <sz val="10"/>
      <color rgb="FFFF0000"/>
      <name val="Helvetica"/>
    </font>
    <font>
      <b/>
      <strike/>
      <sz val="11"/>
      <color rgb="FFFF0000"/>
      <name val="Calibri"/>
      <family val="2"/>
      <scheme val="minor"/>
    </font>
    <font>
      <sz val="10"/>
      <color rgb="FFED0000"/>
      <name val="Helvetica"/>
    </font>
    <font>
      <b/>
      <sz val="10"/>
      <color rgb="FFE40000"/>
      <name val="Helvetica"/>
    </font>
    <font>
      <b/>
      <sz val="11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1"/>
      <name val="Helvetica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7030A0"/>
      <name val="Helvetica"/>
      <family val="2"/>
    </font>
    <font>
      <sz val="11"/>
      <color rgb="FF00206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9"/>
      <name val="Calibri"/>
      <family val="2"/>
      <scheme val="minor"/>
    </font>
    <font>
      <sz val="10"/>
      <color theme="1"/>
      <name val="Aptos"/>
      <family val="2"/>
    </font>
    <font>
      <sz val="10"/>
      <color theme="5" tint="-0.499984740745262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trike/>
      <sz val="10"/>
      <color rgb="FFC0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trike/>
      <sz val="1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theme="5" tint="-0.499984740745262"/>
      <name val="Helvetica"/>
    </font>
    <font>
      <sz val="10"/>
      <color theme="5" tint="-0.499984740745262"/>
      <name val="Helvetica"/>
      <family val="2"/>
    </font>
    <font>
      <b/>
      <sz val="10"/>
      <color theme="5" tint="-0.499984740745262"/>
      <name val="Helvetica"/>
    </font>
    <font>
      <sz val="10"/>
      <color rgb="FFC00000"/>
      <name val="Aptos"/>
      <family val="2"/>
    </font>
    <font>
      <b/>
      <sz val="10"/>
      <color rgb="FF00B05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0070C0"/>
      <name val="Helvetica"/>
    </font>
    <font>
      <sz val="10"/>
      <color rgb="FFD40000"/>
      <name val="Helvetica"/>
    </font>
    <font>
      <sz val="10"/>
      <color rgb="FF8E0000"/>
      <name val="Helvetica"/>
    </font>
    <font>
      <strike/>
      <sz val="10"/>
      <name val="Helvetica"/>
    </font>
    <font>
      <b/>
      <strike/>
      <sz val="10"/>
      <color rgb="FFFF0000"/>
      <name val="Calibri"/>
      <family val="2"/>
      <scheme val="minor"/>
    </font>
    <font>
      <strike/>
      <sz val="10"/>
      <color theme="1"/>
      <name val="Helvetica"/>
      <family val="2"/>
    </font>
    <font>
      <strike/>
      <sz val="10"/>
      <color theme="1"/>
      <name val="Aptos"/>
      <family val="2"/>
    </font>
    <font>
      <strike/>
      <sz val="10"/>
      <name val="Helvetica"/>
      <family val="2"/>
    </font>
    <font>
      <b/>
      <strike/>
      <sz val="10"/>
      <color theme="1"/>
      <name val="Helvetica"/>
    </font>
    <font>
      <b/>
      <strike/>
      <sz val="10"/>
      <color theme="1"/>
      <name val="Calibri"/>
      <family val="2"/>
      <scheme val="minor"/>
    </font>
    <font>
      <strike/>
      <sz val="10"/>
      <color rgb="FF000000"/>
      <name val="Helvetica"/>
      <family val="2"/>
    </font>
    <font>
      <strike/>
      <sz val="10"/>
      <color rgb="FFC00000"/>
      <name val="Helvetica"/>
    </font>
    <font>
      <sz val="10"/>
      <color rgb="FF000000"/>
      <name val="Helvetica"/>
    </font>
    <font>
      <strike/>
      <sz val="8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9"/>
      <color theme="0"/>
      <name val="Calibri"/>
      <family val="2"/>
      <scheme val="minor"/>
    </font>
    <font>
      <strike/>
      <sz val="9"/>
      <name val="Calibri"/>
      <family val="2"/>
      <scheme val="minor"/>
    </font>
    <font>
      <b/>
      <u/>
      <sz val="10"/>
      <color rgb="FFC00000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sz val="10"/>
      <color rgb="FF7030A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ED0000"/>
      <name val="Calibri"/>
      <family val="2"/>
      <scheme val="minor"/>
    </font>
    <font>
      <sz val="10"/>
      <color rgb="FF000000"/>
      <name val="Aptos"/>
      <family val="2"/>
    </font>
    <font>
      <b/>
      <sz val="10"/>
      <color rgb="FF005400"/>
      <name val="Calibri"/>
      <family val="2"/>
      <scheme val="minor"/>
    </font>
    <font>
      <strike/>
      <sz val="10"/>
      <color rgb="FFFF0000"/>
      <name val="Aptos"/>
      <family val="2"/>
    </font>
    <font>
      <strike/>
      <sz val="10"/>
      <color rgb="FFFF0000"/>
      <name val="Calibri"/>
      <family val="2"/>
      <scheme val="minor"/>
    </font>
    <font>
      <b/>
      <sz val="10"/>
      <color rgb="FF4E0078"/>
      <name val="Calibri"/>
      <family val="2"/>
      <scheme val="minor"/>
    </font>
    <font>
      <i/>
      <sz val="10"/>
      <color rgb="FF003400"/>
      <name val="Calibri"/>
      <family val="2"/>
      <scheme val="minor"/>
    </font>
    <font>
      <sz val="10"/>
      <color rgb="FFE40000"/>
      <name val="Calibri"/>
      <family val="2"/>
      <scheme val="minor"/>
    </font>
    <font>
      <b/>
      <sz val="10"/>
      <color rgb="FF006B00"/>
      <name val="Calibri"/>
      <family val="2"/>
      <scheme val="minor"/>
    </font>
    <font>
      <sz val="10"/>
      <color rgb="FFB90000"/>
      <name val="Calibri"/>
      <family val="2"/>
      <scheme val="minor"/>
    </font>
    <font>
      <b/>
      <sz val="10"/>
      <color rgb="FFB90000"/>
      <name val="Calibri"/>
      <family val="2"/>
      <scheme val="minor"/>
    </font>
    <font>
      <sz val="10"/>
      <color rgb="FF00340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9">
    <xf numFmtId="0" fontId="0" fillId="0" borderId="0" xfId="0"/>
    <xf numFmtId="0" fontId="3" fillId="0" borderId="0" xfId="0" applyFont="1"/>
    <xf numFmtId="2" fontId="5" fillId="3" borderId="2" xfId="0" applyNumberFormat="1" applyFont="1" applyFill="1" applyBorder="1" applyAlignment="1">
      <alignment horizontal="left"/>
    </xf>
    <xf numFmtId="14" fontId="7" fillId="0" borderId="0" xfId="0" applyNumberFormat="1" applyFont="1" applyAlignment="1" applyProtection="1">
      <alignment horizontal="left"/>
      <protection locked="0" hidden="1"/>
    </xf>
    <xf numFmtId="0" fontId="0" fillId="0" borderId="0" xfId="0" applyAlignment="1">
      <alignment horizontal="left"/>
    </xf>
    <xf numFmtId="0" fontId="8" fillId="0" borderId="0" xfId="0" applyFont="1" applyAlignment="1" applyProtection="1">
      <alignment horizontal="center"/>
      <protection hidden="1"/>
    </xf>
    <xf numFmtId="164" fontId="9" fillId="4" borderId="0" xfId="1" applyNumberFormat="1" applyFont="1" applyFill="1" applyBorder="1" applyAlignment="1" applyProtection="1">
      <alignment horizontal="right" vertical="center" wrapText="1"/>
      <protection hidden="1"/>
    </xf>
    <xf numFmtId="165" fontId="7" fillId="0" borderId="0" xfId="0" applyNumberFormat="1" applyFont="1" applyAlignment="1" applyProtection="1">
      <alignment horizontal="left"/>
      <protection locked="0" hidden="1"/>
    </xf>
    <xf numFmtId="165" fontId="7" fillId="0" borderId="0" xfId="0" applyNumberFormat="1" applyFont="1" applyAlignment="1" applyProtection="1">
      <alignment horizontal="right"/>
      <protection locked="0" hidden="1"/>
    </xf>
    <xf numFmtId="2" fontId="5" fillId="0" borderId="2" xfId="0" applyNumberFormat="1" applyFont="1" applyBorder="1" applyAlignment="1">
      <alignment horizontal="left"/>
    </xf>
    <xf numFmtId="0" fontId="7" fillId="5" borderId="0" xfId="0" applyFont="1" applyFill="1" applyAlignment="1" applyProtection="1">
      <alignment horizontal="left"/>
      <protection hidden="1"/>
    </xf>
    <xf numFmtId="164" fontId="10" fillId="5" borderId="0" xfId="1" applyNumberFormat="1" applyFont="1" applyFill="1" applyBorder="1" applyAlignment="1" applyProtection="1">
      <alignment horizontal="right" vertical="center" wrapText="1"/>
      <protection locked="0" hidden="1"/>
    </xf>
    <xf numFmtId="166" fontId="10" fillId="5" borderId="0" xfId="0" applyNumberFormat="1" applyFont="1" applyFill="1" applyAlignment="1" applyProtection="1">
      <alignment horizontal="right" vertical="center" wrapText="1"/>
      <protection locked="0" hidden="1"/>
    </xf>
    <xf numFmtId="3" fontId="10" fillId="5" borderId="0" xfId="0" applyNumberFormat="1" applyFont="1" applyFill="1" applyAlignment="1" applyProtection="1">
      <alignment horizontal="left" vertical="center"/>
      <protection locked="0" hidden="1"/>
    </xf>
    <xf numFmtId="43" fontId="10" fillId="0" borderId="0" xfId="1" applyFont="1" applyFill="1" applyBorder="1" applyAlignment="1" applyProtection="1">
      <alignment horizontal="right" vertical="center" wrapText="1"/>
      <protection locked="0" hidden="1"/>
    </xf>
    <xf numFmtId="166" fontId="10" fillId="0" borderId="0" xfId="0" applyNumberFormat="1" applyFont="1" applyAlignment="1" applyProtection="1">
      <alignment horizontal="right" vertical="center" wrapText="1"/>
      <protection locked="0" hidden="1"/>
    </xf>
    <xf numFmtId="49" fontId="7" fillId="5" borderId="0" xfId="0" applyNumberFormat="1" applyFont="1" applyFill="1" applyAlignment="1" applyProtection="1">
      <alignment horizontal="left"/>
      <protection hidden="1"/>
    </xf>
    <xf numFmtId="0" fontId="0" fillId="0" borderId="0" xfId="0" applyAlignment="1">
      <alignment horizontal="right"/>
    </xf>
    <xf numFmtId="3" fontId="10" fillId="0" borderId="0" xfId="0" applyNumberFormat="1" applyFont="1" applyAlignment="1" applyProtection="1">
      <alignment horizontal="left" vertical="center"/>
      <protection locked="0" hidden="1"/>
    </xf>
    <xf numFmtId="49" fontId="10" fillId="0" borderId="0" xfId="0" applyNumberFormat="1" applyFont="1" applyAlignment="1" applyProtection="1">
      <alignment horizontal="left" vertical="center"/>
      <protection locked="0" hidden="1"/>
    </xf>
    <xf numFmtId="164" fontId="9" fillId="0" borderId="0" xfId="1" applyNumberFormat="1" applyFont="1" applyFill="1" applyBorder="1" applyAlignment="1" applyProtection="1">
      <alignment horizontal="right" vertical="center" wrapText="1"/>
      <protection hidden="1"/>
    </xf>
    <xf numFmtId="165" fontId="15" fillId="0" borderId="0" xfId="0" applyNumberFormat="1" applyFont="1" applyAlignment="1" applyProtection="1">
      <alignment horizontal="left"/>
      <protection locked="0" hidden="1"/>
    </xf>
    <xf numFmtId="3" fontId="15" fillId="0" borderId="0" xfId="0" applyNumberFormat="1" applyFont="1" applyAlignment="1">
      <alignment horizontal="left"/>
    </xf>
    <xf numFmtId="3" fontId="0" fillId="0" borderId="0" xfId="0" applyNumberFormat="1"/>
    <xf numFmtId="49" fontId="15" fillId="0" borderId="0" xfId="0" applyNumberFormat="1" applyFont="1"/>
    <xf numFmtId="164" fontId="15" fillId="5" borderId="0" xfId="1" applyNumberFormat="1" applyFont="1" applyFill="1" applyBorder="1" applyAlignment="1" applyProtection="1">
      <alignment horizontal="right" vertical="center" wrapText="1"/>
      <protection locked="0" hidden="1"/>
    </xf>
    <xf numFmtId="166" fontId="15" fillId="5" borderId="0" xfId="1" applyNumberFormat="1" applyFont="1" applyFill="1" applyAlignment="1" applyProtection="1">
      <alignment horizontal="right" vertical="center" wrapText="1"/>
      <protection locked="0" hidden="1"/>
    </xf>
    <xf numFmtId="2" fontId="16" fillId="0" borderId="2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43" fontId="15" fillId="0" borderId="0" xfId="1" applyFont="1"/>
    <xf numFmtId="2" fontId="15" fillId="0" borderId="0" xfId="1" applyNumberFormat="1" applyFont="1"/>
    <xf numFmtId="0" fontId="15" fillId="0" borderId="0" xfId="0" applyFont="1" applyAlignment="1" applyProtection="1">
      <alignment horizontal="left"/>
      <protection locked="0" hidden="1"/>
    </xf>
    <xf numFmtId="43" fontId="15" fillId="0" borderId="0" xfId="1" applyFont="1" applyBorder="1"/>
    <xf numFmtId="2" fontId="15" fillId="0" borderId="0" xfId="1" applyNumberFormat="1" applyFont="1" applyBorder="1"/>
    <xf numFmtId="0" fontId="2" fillId="0" borderId="0" xfId="0" applyFont="1"/>
    <xf numFmtId="0" fontId="7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  <xf numFmtId="0" fontId="0" fillId="7" borderId="0" xfId="0" applyFill="1" applyAlignment="1">
      <alignment horizontal="center"/>
    </xf>
    <xf numFmtId="0" fontId="0" fillId="0" borderId="0" xfId="0" pivotButton="1"/>
    <xf numFmtId="167" fontId="0" fillId="0" borderId="0" xfId="0" applyNumberFormat="1"/>
    <xf numFmtId="0" fontId="26" fillId="8" borderId="0" xfId="0" applyFont="1" applyFill="1"/>
    <xf numFmtId="165" fontId="16" fillId="0" borderId="0" xfId="0" applyNumberFormat="1" applyFont="1" applyAlignment="1" applyProtection="1">
      <alignment horizontal="left"/>
      <protection locked="0" hidden="1"/>
    </xf>
    <xf numFmtId="0" fontId="12" fillId="0" borderId="0" xfId="0" applyFont="1" applyAlignment="1">
      <alignment horizontal="left"/>
    </xf>
    <xf numFmtId="43" fontId="12" fillId="9" borderId="0" xfId="1" applyFont="1" applyFill="1"/>
    <xf numFmtId="43" fontId="15" fillId="9" borderId="0" xfId="1" applyFont="1" applyFill="1"/>
    <xf numFmtId="0" fontId="27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2" borderId="0" xfId="0" applyFill="1"/>
    <xf numFmtId="2" fontId="15" fillId="0" borderId="0" xfId="0" applyNumberFormat="1" applyFont="1"/>
    <xf numFmtId="164" fontId="9" fillId="4" borderId="0" xfId="0" applyNumberFormat="1" applyFont="1" applyFill="1" applyAlignment="1" applyProtection="1">
      <alignment horizontal="right" vertical="center" wrapText="1"/>
      <protection hidden="1"/>
    </xf>
    <xf numFmtId="0" fontId="0" fillId="0" borderId="0" xfId="0" applyAlignment="1">
      <alignment horizontal="center"/>
    </xf>
    <xf numFmtId="0" fontId="34" fillId="0" borderId="0" xfId="0" applyFont="1"/>
    <xf numFmtId="43" fontId="33" fillId="0" borderId="0" xfId="1" applyFont="1" applyBorder="1"/>
    <xf numFmtId="164" fontId="23" fillId="0" borderId="0" xfId="1" applyNumberFormat="1" applyFont="1" applyFill="1" applyBorder="1" applyAlignment="1" applyProtection="1">
      <alignment horizontal="right" vertical="center" wrapText="1"/>
      <protection hidden="1"/>
    </xf>
    <xf numFmtId="164" fontId="23" fillId="4" borderId="0" xfId="1" applyNumberFormat="1" applyFont="1" applyFill="1" applyBorder="1" applyAlignment="1" applyProtection="1">
      <alignment horizontal="right" vertical="center" wrapText="1"/>
      <protection hidden="1"/>
    </xf>
    <xf numFmtId="0" fontId="6" fillId="0" borderId="0" xfId="0" applyFont="1"/>
    <xf numFmtId="0" fontId="21" fillId="0" borderId="0" xfId="0" applyFont="1" applyAlignment="1">
      <alignment horizontal="left"/>
    </xf>
    <xf numFmtId="43" fontId="27" fillId="2" borderId="0" xfId="1" applyFont="1" applyFill="1" applyBorder="1"/>
    <xf numFmtId="3" fontId="15" fillId="5" borderId="0" xfId="1" applyNumberFormat="1" applyFont="1" applyFill="1" applyBorder="1" applyAlignment="1" applyProtection="1">
      <alignment horizontal="right"/>
      <protection hidden="1"/>
    </xf>
    <xf numFmtId="0" fontId="0" fillId="0" borderId="0" xfId="0" quotePrefix="1"/>
    <xf numFmtId="2" fontId="27" fillId="0" borderId="0" xfId="0" applyNumberFormat="1" applyFont="1"/>
    <xf numFmtId="2" fontId="15" fillId="0" borderId="0" xfId="0" applyNumberFormat="1" applyFont="1" applyAlignment="1">
      <alignment horizontal="right"/>
    </xf>
    <xf numFmtId="0" fontId="26" fillId="2" borderId="0" xfId="0" applyFont="1" applyFill="1"/>
    <xf numFmtId="0" fontId="19" fillId="2" borderId="0" xfId="0" applyFont="1" applyFill="1"/>
    <xf numFmtId="14" fontId="22" fillId="0" borderId="0" xfId="0" applyNumberFormat="1" applyFont="1" applyAlignment="1">
      <alignment horizontal="center"/>
    </xf>
    <xf numFmtId="164" fontId="23" fillId="0" borderId="0" xfId="1" applyNumberFormat="1" applyFont="1" applyFill="1" applyBorder="1" applyAlignment="1" applyProtection="1">
      <alignment horizontal="right" vertical="center" wrapText="1"/>
      <protection locked="0" hidden="1"/>
    </xf>
    <xf numFmtId="165" fontId="7" fillId="2" borderId="0" xfId="0" applyNumberFormat="1" applyFont="1" applyFill="1" applyAlignment="1" applyProtection="1">
      <alignment horizontal="left"/>
      <protection locked="0" hidden="1"/>
    </xf>
    <xf numFmtId="0" fontId="15" fillId="0" borderId="2" xfId="0" applyFont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39" fillId="0" borderId="0" xfId="0" applyFont="1" applyAlignment="1">
      <alignment horizontal="left" vertical="center"/>
    </xf>
    <xf numFmtId="2" fontId="17" fillId="0" borderId="0" xfId="0" applyNumberFormat="1" applyFont="1"/>
    <xf numFmtId="16" fontId="34" fillId="0" borderId="0" xfId="0" applyNumberFormat="1" applyFont="1" applyAlignment="1">
      <alignment horizontal="left"/>
    </xf>
    <xf numFmtId="0" fontId="15" fillId="0" borderId="0" xfId="0" quotePrefix="1" applyFont="1" applyAlignment="1">
      <alignment horizontal="left"/>
    </xf>
    <xf numFmtId="0" fontId="41" fillId="0" borderId="0" xfId="0" applyFont="1" applyAlignment="1">
      <alignment horizontal="left"/>
    </xf>
    <xf numFmtId="0" fontId="41" fillId="0" borderId="0" xfId="0" quotePrefix="1" applyFont="1" applyAlignment="1">
      <alignment horizontal="left"/>
    </xf>
    <xf numFmtId="168" fontId="7" fillId="0" borderId="0" xfId="0" applyNumberFormat="1" applyFont="1" applyAlignment="1" applyProtection="1">
      <alignment horizontal="center"/>
      <protection hidden="1"/>
    </xf>
    <xf numFmtId="168" fontId="5" fillId="0" borderId="0" xfId="0" applyNumberFormat="1" applyFont="1" applyAlignment="1" applyProtection="1">
      <alignment horizontal="center"/>
      <protection hidden="1"/>
    </xf>
    <xf numFmtId="168" fontId="7" fillId="2" borderId="0" xfId="0" applyNumberFormat="1" applyFont="1" applyFill="1" applyAlignment="1" applyProtection="1">
      <alignment horizontal="center"/>
      <protection hidden="1"/>
    </xf>
    <xf numFmtId="3" fontId="10" fillId="2" borderId="0" xfId="0" applyNumberFormat="1" applyFont="1" applyFill="1" applyAlignment="1" applyProtection="1">
      <alignment horizontal="left" vertical="center"/>
      <protection locked="0" hidden="1"/>
    </xf>
    <xf numFmtId="49" fontId="10" fillId="2" borderId="0" xfId="0" applyNumberFormat="1" applyFont="1" applyFill="1" applyAlignment="1" applyProtection="1">
      <alignment horizontal="left" vertical="center"/>
      <protection locked="0" hidden="1"/>
    </xf>
    <xf numFmtId="43" fontId="15" fillId="2" borderId="0" xfId="1" applyFont="1" applyFill="1" applyBorder="1"/>
    <xf numFmtId="3" fontId="15" fillId="2" borderId="0" xfId="1" applyNumberFormat="1" applyFont="1" applyFill="1" applyBorder="1" applyAlignment="1" applyProtection="1">
      <alignment horizontal="right"/>
      <protection hidden="1"/>
    </xf>
    <xf numFmtId="2" fontId="15" fillId="2" borderId="0" xfId="1" applyNumberFormat="1" applyFont="1" applyFill="1" applyBorder="1"/>
    <xf numFmtId="164" fontId="9" fillId="2" borderId="0" xfId="1" applyNumberFormat="1" applyFont="1" applyFill="1" applyBorder="1" applyAlignment="1" applyProtection="1">
      <alignment horizontal="right" vertical="center" wrapText="1"/>
      <protection hidden="1"/>
    </xf>
    <xf numFmtId="0" fontId="15" fillId="2" borderId="0" xfId="0" applyFont="1" applyFill="1" applyAlignment="1">
      <alignment horizontal="left"/>
    </xf>
    <xf numFmtId="4" fontId="15" fillId="0" borderId="0" xfId="0" applyNumberFormat="1" applyFont="1"/>
    <xf numFmtId="164" fontId="15" fillId="0" borderId="0" xfId="0" applyNumberFormat="1" applyFont="1"/>
    <xf numFmtId="0" fontId="35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169" fontId="15" fillId="0" borderId="0" xfId="0" applyNumberFormat="1" applyFont="1" applyAlignment="1">
      <alignment horizontal="left"/>
    </xf>
    <xf numFmtId="164" fontId="15" fillId="5" borderId="0" xfId="1" applyNumberFormat="1" applyFont="1" applyFill="1" applyBorder="1" applyAlignment="1" applyProtection="1">
      <alignment horizontal="right"/>
      <protection hidden="1"/>
    </xf>
    <xf numFmtId="170" fontId="15" fillId="5" borderId="0" xfId="1" applyNumberFormat="1" applyFont="1" applyFill="1" applyBorder="1" applyAlignment="1" applyProtection="1">
      <alignment horizontal="right"/>
      <protection hidden="1"/>
    </xf>
    <xf numFmtId="2" fontId="15" fillId="5" borderId="0" xfId="0" applyNumberFormat="1" applyFont="1" applyFill="1" applyAlignment="1" applyProtection="1">
      <alignment horizontal="right" vertical="center" wrapText="1"/>
      <protection locked="0" hidden="1"/>
    </xf>
    <xf numFmtId="168" fontId="23" fillId="0" borderId="0" xfId="0" applyNumberFormat="1" applyFont="1" applyAlignment="1" applyProtection="1">
      <alignment horizontal="center"/>
      <protection hidden="1"/>
    </xf>
    <xf numFmtId="165" fontId="40" fillId="0" borderId="0" xfId="0" applyNumberFormat="1" applyFont="1" applyAlignment="1" applyProtection="1">
      <alignment horizontal="left"/>
      <protection locked="0" hidden="1"/>
    </xf>
    <xf numFmtId="2" fontId="41" fillId="3" borderId="3" xfId="0" applyNumberFormat="1" applyFont="1" applyFill="1" applyBorder="1" applyAlignment="1" applyProtection="1">
      <alignment horizontal="left"/>
      <protection locked="0" hidden="1"/>
    </xf>
    <xf numFmtId="3" fontId="21" fillId="0" borderId="0" xfId="0" applyNumberFormat="1" applyFont="1" applyAlignment="1">
      <alignment horizontal="left"/>
    </xf>
    <xf numFmtId="0" fontId="12" fillId="0" borderId="0" xfId="0" quotePrefix="1" applyFont="1" applyAlignment="1">
      <alignment horizontal="left"/>
    </xf>
    <xf numFmtId="0" fontId="33" fillId="2" borderId="0" xfId="0" quotePrefix="1" applyFont="1" applyFill="1" applyAlignment="1">
      <alignment horizontal="left"/>
    </xf>
    <xf numFmtId="166" fontId="15" fillId="0" borderId="0" xfId="0" applyNumberFormat="1" applyFont="1"/>
    <xf numFmtId="0" fontId="28" fillId="2" borderId="0" xfId="0" applyFont="1" applyFill="1" applyAlignment="1">
      <alignment horizontal="left"/>
    </xf>
    <xf numFmtId="0" fontId="10" fillId="5" borderId="0" xfId="0" applyFont="1" applyFill="1" applyAlignment="1" applyProtection="1">
      <alignment horizontal="left" vertic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7" fillId="5" borderId="0" xfId="0" applyFont="1" applyFill="1" applyAlignment="1" applyProtection="1">
      <alignment horizontal="right"/>
      <protection locked="0"/>
    </xf>
    <xf numFmtId="43" fontId="15" fillId="0" borderId="0" xfId="0" applyNumberFormat="1" applyFont="1"/>
    <xf numFmtId="165" fontId="0" fillId="0" borderId="0" xfId="0" applyNumberFormat="1"/>
    <xf numFmtId="43" fontId="15" fillId="0" borderId="0" xfId="1" applyFont="1" applyFill="1" applyBorder="1"/>
    <xf numFmtId="3" fontId="15" fillId="0" borderId="0" xfId="1" applyNumberFormat="1" applyFont="1" applyFill="1" applyBorder="1" applyAlignment="1" applyProtection="1">
      <alignment horizontal="right"/>
      <protection hidden="1"/>
    </xf>
    <xf numFmtId="2" fontId="28" fillId="0" borderId="0" xfId="1" applyNumberFormat="1" applyFont="1" applyFill="1" applyBorder="1"/>
    <xf numFmtId="164" fontId="28" fillId="0" borderId="0" xfId="1" applyNumberFormat="1" applyFont="1" applyFill="1" applyBorder="1" applyAlignment="1" applyProtection="1">
      <alignment horizontal="right" vertical="center" wrapText="1"/>
      <protection hidden="1"/>
    </xf>
    <xf numFmtId="43" fontId="27" fillId="0" borderId="0" xfId="1" applyFont="1" applyFill="1" applyBorder="1"/>
    <xf numFmtId="2" fontId="27" fillId="0" borderId="0" xfId="1" applyNumberFormat="1" applyFont="1" applyFill="1" applyBorder="1"/>
    <xf numFmtId="164" fontId="5" fillId="0" borderId="0" xfId="1" applyNumberFormat="1" applyFont="1" applyFill="1" applyBorder="1" applyAlignment="1" applyProtection="1">
      <alignment horizontal="right" vertical="center" wrapText="1"/>
      <protection hidden="1"/>
    </xf>
    <xf numFmtId="164" fontId="9" fillId="0" borderId="0" xfId="0" applyNumberFormat="1" applyFont="1" applyAlignment="1" applyProtection="1">
      <alignment horizontal="right" vertical="center" wrapText="1"/>
      <protection hidden="1"/>
    </xf>
    <xf numFmtId="49" fontId="38" fillId="0" borderId="0" xfId="0" applyNumberFormat="1" applyFont="1" applyAlignment="1" applyProtection="1">
      <alignment horizontal="left" vertical="center"/>
      <protection locked="0" hidden="1"/>
    </xf>
    <xf numFmtId="0" fontId="27" fillId="0" borderId="0" xfId="0" applyFont="1"/>
    <xf numFmtId="3" fontId="15" fillId="0" borderId="0" xfId="0" applyNumberFormat="1" applyFont="1" applyAlignment="1" applyProtection="1">
      <alignment horizontal="left"/>
      <protection locked="0" hidden="1"/>
    </xf>
    <xf numFmtId="49" fontId="15" fillId="0" borderId="0" xfId="0" applyNumberFormat="1" applyFont="1" applyAlignment="1" applyProtection="1">
      <alignment horizontal="left" vertical="center"/>
      <protection locked="0" hidden="1"/>
    </xf>
    <xf numFmtId="0" fontId="28" fillId="0" borderId="0" xfId="0" applyFont="1"/>
    <xf numFmtId="2" fontId="28" fillId="0" borderId="0" xfId="0" applyNumberFormat="1" applyFont="1"/>
    <xf numFmtId="0" fontId="46" fillId="5" borderId="0" xfId="0" quotePrefix="1" applyFont="1" applyFill="1" applyAlignment="1" applyProtection="1">
      <alignment horizontal="left" vertical="center"/>
      <protection locked="0"/>
    </xf>
    <xf numFmtId="164" fontId="47" fillId="4" borderId="0" xfId="0" applyNumberFormat="1" applyFont="1" applyFill="1" applyAlignment="1" applyProtection="1">
      <alignment horizontal="right" vertical="center" wrapText="1"/>
      <protection hidden="1"/>
    </xf>
    <xf numFmtId="168" fontId="16" fillId="0" borderId="0" xfId="0" applyNumberFormat="1" applyFont="1" applyAlignment="1" applyProtection="1">
      <alignment horizontal="center"/>
      <protection hidden="1"/>
    </xf>
    <xf numFmtId="2" fontId="15" fillId="5" borderId="0" xfId="1" applyNumberFormat="1" applyFont="1" applyFill="1" applyBorder="1" applyAlignment="1" applyProtection="1">
      <alignment horizontal="right"/>
      <protection hidden="1"/>
    </xf>
    <xf numFmtId="0" fontId="15" fillId="5" borderId="0" xfId="1" applyNumberFormat="1" applyFont="1" applyFill="1" applyBorder="1" applyAlignment="1" applyProtection="1">
      <alignment horizontal="right"/>
      <protection hidden="1"/>
    </xf>
    <xf numFmtId="165" fontId="49" fillId="2" borderId="0" xfId="0" applyNumberFormat="1" applyFont="1" applyFill="1" applyAlignment="1" applyProtection="1">
      <alignment horizontal="left"/>
      <protection locked="0" hidden="1"/>
    </xf>
    <xf numFmtId="168" fontId="49" fillId="2" borderId="0" xfId="0" applyNumberFormat="1" applyFont="1" applyFill="1" applyAlignment="1" applyProtection="1">
      <alignment horizontal="center"/>
      <protection hidden="1"/>
    </xf>
    <xf numFmtId="0" fontId="50" fillId="2" borderId="0" xfId="0" applyFont="1" applyFill="1" applyAlignment="1">
      <alignment horizontal="left"/>
    </xf>
    <xf numFmtId="0" fontId="50" fillId="2" borderId="0" xfId="0" applyFont="1" applyFill="1"/>
    <xf numFmtId="3" fontId="50" fillId="2" borderId="0" xfId="1" applyNumberFormat="1" applyFont="1" applyFill="1" applyBorder="1" applyAlignment="1" applyProtection="1">
      <alignment horizontal="right"/>
      <protection hidden="1"/>
    </xf>
    <xf numFmtId="2" fontId="50" fillId="2" borderId="0" xfId="0" applyNumberFormat="1" applyFont="1" applyFill="1"/>
    <xf numFmtId="164" fontId="49" fillId="11" borderId="0" xfId="0" applyNumberFormat="1" applyFont="1" applyFill="1" applyAlignment="1" applyProtection="1">
      <alignment horizontal="right" vertical="center" wrapText="1"/>
      <protection hidden="1"/>
    </xf>
    <xf numFmtId="170" fontId="15" fillId="0" borderId="0" xfId="0" applyNumberFormat="1" applyFont="1"/>
    <xf numFmtId="171" fontId="0" fillId="0" borderId="0" xfId="0" applyNumberFormat="1"/>
    <xf numFmtId="0" fontId="15" fillId="2" borderId="0" xfId="0" applyFont="1" applyFill="1"/>
    <xf numFmtId="2" fontId="52" fillId="0" borderId="0" xfId="0" applyNumberFormat="1" applyFont="1"/>
    <xf numFmtId="49" fontId="10" fillId="5" borderId="0" xfId="0" applyNumberFormat="1" applyFont="1" applyFill="1" applyAlignment="1" applyProtection="1">
      <alignment horizontal="left" vertical="center"/>
      <protection locked="0"/>
    </xf>
    <xf numFmtId="2" fontId="10" fillId="5" borderId="0" xfId="0" applyNumberFormat="1" applyFont="1" applyFill="1" applyAlignment="1" applyProtection="1">
      <alignment horizontal="right" vertical="center" wrapText="1"/>
      <protection locked="0"/>
    </xf>
    <xf numFmtId="0" fontId="40" fillId="0" borderId="0" xfId="0" applyFont="1"/>
    <xf numFmtId="169" fontId="15" fillId="0" borderId="0" xfId="0" applyNumberFormat="1" applyFont="1"/>
    <xf numFmtId="49" fontId="15" fillId="0" borderId="0" xfId="0" applyNumberFormat="1" applyFont="1" applyAlignment="1">
      <alignment horizontal="left"/>
    </xf>
    <xf numFmtId="0" fontId="15" fillId="12" borderId="0" xfId="0" applyFont="1" applyFill="1"/>
    <xf numFmtId="0" fontId="53" fillId="0" borderId="0" xfId="0" applyFont="1"/>
    <xf numFmtId="0" fontId="52" fillId="0" borderId="0" xfId="0" applyFont="1" applyAlignment="1">
      <alignment horizontal="left"/>
    </xf>
    <xf numFmtId="171" fontId="15" fillId="0" borderId="0" xfId="0" applyNumberFormat="1" applyFont="1"/>
    <xf numFmtId="0" fontId="12" fillId="0" borderId="0" xfId="0" applyFont="1"/>
    <xf numFmtId="3" fontId="15" fillId="0" borderId="0" xfId="0" applyNumberFormat="1" applyFont="1"/>
    <xf numFmtId="3" fontId="12" fillId="0" borderId="0" xfId="0" applyNumberFormat="1" applyFont="1"/>
    <xf numFmtId="0" fontId="29" fillId="0" borderId="0" xfId="0" applyFont="1" applyAlignment="1">
      <alignment horizontal="center"/>
    </xf>
    <xf numFmtId="168" fontId="21" fillId="0" borderId="0" xfId="0" applyNumberFormat="1" applyFont="1" applyAlignment="1" applyProtection="1">
      <alignment horizontal="center"/>
      <protection hidden="1"/>
    </xf>
    <xf numFmtId="0" fontId="0" fillId="0" borderId="0" xfId="0" pivotButton="1" applyAlignment="1">
      <alignment horizontal="center"/>
    </xf>
    <xf numFmtId="0" fontId="55" fillId="14" borderId="1" xfId="0" applyFont="1" applyFill="1" applyBorder="1" applyAlignment="1">
      <alignment horizontal="left" wrapText="1"/>
    </xf>
    <xf numFmtId="3" fontId="41" fillId="14" borderId="0" xfId="1" applyNumberFormat="1" applyFont="1" applyFill="1" applyBorder="1" applyAlignment="1" applyProtection="1">
      <alignment horizontal="center"/>
      <protection hidden="1"/>
    </xf>
    <xf numFmtId="0" fontId="13" fillId="0" borderId="0" xfId="0" applyFont="1"/>
    <xf numFmtId="0" fontId="29" fillId="2" borderId="0" xfId="0" applyFont="1" applyFill="1" applyAlignment="1">
      <alignment horizontal="left"/>
    </xf>
    <xf numFmtId="16" fontId="22" fillId="0" borderId="0" xfId="0" applyNumberFormat="1" applyFont="1" applyAlignment="1">
      <alignment horizontal="center"/>
    </xf>
    <xf numFmtId="14" fontId="22" fillId="5" borderId="0" xfId="0" applyNumberFormat="1" applyFont="1" applyFill="1" applyAlignment="1">
      <alignment horizontal="center"/>
    </xf>
    <xf numFmtId="0" fontId="2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8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65" fontId="44" fillId="0" borderId="0" xfId="0" applyNumberFormat="1" applyFont="1" applyAlignment="1" applyProtection="1">
      <alignment horizontal="left"/>
      <protection locked="0" hidden="1"/>
    </xf>
    <xf numFmtId="4" fontId="15" fillId="5" borderId="0" xfId="1" applyNumberFormat="1" applyFont="1" applyFill="1" applyBorder="1" applyAlignment="1" applyProtection="1">
      <alignment horizontal="right"/>
      <protection hidden="1"/>
    </xf>
    <xf numFmtId="0" fontId="22" fillId="0" borderId="2" xfId="0" applyFont="1" applyBorder="1" applyAlignment="1">
      <alignment horizontal="left"/>
    </xf>
    <xf numFmtId="0" fontId="22" fillId="3" borderId="2" xfId="0" applyFont="1" applyFill="1" applyBorder="1"/>
    <xf numFmtId="14" fontId="0" fillId="0" borderId="0" xfId="0" applyNumberFormat="1" applyAlignment="1">
      <alignment horizontal="center"/>
    </xf>
    <xf numFmtId="2" fontId="40" fillId="0" borderId="0" xfId="0" applyNumberFormat="1" applyFont="1" applyAlignment="1" applyProtection="1">
      <alignment horizontal="left"/>
      <protection locked="0" hidden="1"/>
    </xf>
    <xf numFmtId="14" fontId="22" fillId="0" borderId="0" xfId="0" quotePrefix="1" applyNumberFormat="1" applyFont="1" applyAlignment="1">
      <alignment horizontal="center" wrapText="1"/>
    </xf>
    <xf numFmtId="0" fontId="40" fillId="0" borderId="0" xfId="0" applyFont="1" applyAlignment="1" applyProtection="1">
      <alignment horizontal="left"/>
      <protection locked="0" hidden="1"/>
    </xf>
    <xf numFmtId="165" fontId="40" fillId="0" borderId="3" xfId="0" applyNumberFormat="1" applyFont="1" applyBorder="1" applyAlignment="1" applyProtection="1">
      <alignment horizontal="left"/>
      <protection locked="0" hidden="1"/>
    </xf>
    <xf numFmtId="2" fontId="15" fillId="0" borderId="0" xfId="1" applyNumberFormat="1" applyFont="1" applyFill="1" applyBorder="1" applyAlignment="1" applyProtection="1">
      <alignment horizontal="right"/>
      <protection hidden="1"/>
    </xf>
    <xf numFmtId="165" fontId="42" fillId="0" borderId="0" xfId="0" applyNumberFormat="1" applyFont="1" applyAlignment="1" applyProtection="1">
      <alignment horizontal="left"/>
      <protection locked="0" hidden="1"/>
    </xf>
    <xf numFmtId="0" fontId="54" fillId="0" borderId="0" xfId="0" applyFont="1"/>
    <xf numFmtId="165" fontId="56" fillId="0" borderId="0" xfId="0" applyNumberFormat="1" applyFont="1" applyAlignment="1" applyProtection="1">
      <alignment horizontal="right"/>
      <protection locked="0" hidden="1"/>
    </xf>
    <xf numFmtId="0" fontId="5" fillId="0" borderId="0" xfId="0" quotePrefix="1" applyFont="1" applyAlignment="1" applyProtection="1">
      <alignment horizontal="left"/>
      <protection hidden="1"/>
    </xf>
    <xf numFmtId="0" fontId="11" fillId="5" borderId="0" xfId="0" applyFont="1" applyFill="1" applyAlignment="1" applyProtection="1">
      <alignment horizontal="left" vertical="center"/>
      <protection locked="0" hidden="1"/>
    </xf>
    <xf numFmtId="3" fontId="11" fillId="0" borderId="0" xfId="0" applyNumberFormat="1" applyFont="1" applyAlignment="1" applyProtection="1">
      <alignment horizontal="left" vertical="center"/>
      <protection locked="0" hidden="1"/>
    </xf>
    <xf numFmtId="49" fontId="7" fillId="0" borderId="0" xfId="0" applyNumberFormat="1" applyFont="1" applyAlignment="1" applyProtection="1">
      <alignment horizontal="left"/>
      <protection hidden="1"/>
    </xf>
    <xf numFmtId="3" fontId="7" fillId="5" borderId="0" xfId="0" applyNumberFormat="1" applyFont="1" applyFill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3" fontId="16" fillId="5" borderId="0" xfId="0" applyNumberFormat="1" applyFont="1" applyFill="1" applyAlignment="1" applyProtection="1">
      <alignment horizontal="left"/>
      <protection locked="0"/>
    </xf>
    <xf numFmtId="0" fontId="17" fillId="0" borderId="0" xfId="0" applyFont="1" applyAlignment="1">
      <alignment horizontal="left"/>
    </xf>
    <xf numFmtId="0" fontId="59" fillId="3" borderId="2" xfId="0" applyFont="1" applyFill="1" applyBorder="1" applyAlignment="1">
      <alignment horizontal="left"/>
    </xf>
    <xf numFmtId="0" fontId="22" fillId="0" borderId="2" xfId="0" quotePrefix="1" applyFont="1" applyBorder="1" applyAlignment="1">
      <alignment horizontal="left"/>
    </xf>
    <xf numFmtId="1" fontId="15" fillId="0" borderId="0" xfId="0" applyNumberFormat="1" applyFont="1"/>
    <xf numFmtId="0" fontId="61" fillId="0" borderId="0" xfId="0" applyFont="1"/>
    <xf numFmtId="9" fontId="0" fillId="0" borderId="0" xfId="5" applyFont="1"/>
    <xf numFmtId="0" fontId="40" fillId="0" borderId="0" xfId="0" applyFont="1" applyAlignment="1">
      <alignment horizontal="left"/>
    </xf>
    <xf numFmtId="0" fontId="40" fillId="0" borderId="0" xfId="0" quotePrefix="1" applyFont="1" applyAlignment="1">
      <alignment horizontal="left"/>
    </xf>
    <xf numFmtId="0" fontId="37" fillId="2" borderId="0" xfId="0" applyFont="1" applyFill="1"/>
    <xf numFmtId="49" fontId="33" fillId="0" borderId="0" xfId="0" applyNumberFormat="1" applyFont="1"/>
    <xf numFmtId="3" fontId="33" fillId="0" borderId="0" xfId="0" applyNumberFormat="1" applyFont="1"/>
    <xf numFmtId="3" fontId="33" fillId="5" borderId="0" xfId="1" applyNumberFormat="1" applyFont="1" applyFill="1" applyBorder="1" applyAlignment="1" applyProtection="1">
      <alignment horizontal="right"/>
      <protection hidden="1"/>
    </xf>
    <xf numFmtId="2" fontId="33" fillId="0" borderId="0" xfId="0" applyNumberFormat="1" applyFont="1"/>
    <xf numFmtId="164" fontId="33" fillId="4" borderId="0" xfId="0" applyNumberFormat="1" applyFont="1" applyFill="1" applyAlignment="1" applyProtection="1">
      <alignment horizontal="right" vertical="center" wrapText="1"/>
      <protection hidden="1"/>
    </xf>
    <xf numFmtId="0" fontId="63" fillId="0" borderId="0" xfId="0" applyFont="1" applyAlignment="1">
      <alignment horizontal="left"/>
    </xf>
    <xf numFmtId="165" fontId="40" fillId="0" borderId="0" xfId="0" quotePrefix="1" applyNumberFormat="1" applyFont="1" applyAlignment="1" applyProtection="1">
      <alignment horizontal="left"/>
      <protection locked="0" hidden="1"/>
    </xf>
    <xf numFmtId="14" fontId="59" fillId="0" borderId="0" xfId="0" applyNumberFormat="1" applyFont="1" applyAlignment="1">
      <alignment horizontal="left"/>
    </xf>
    <xf numFmtId="14" fontId="22" fillId="0" borderId="0" xfId="0" applyNumberFormat="1" applyFont="1" applyAlignment="1">
      <alignment horizontal="center" wrapText="1"/>
    </xf>
    <xf numFmtId="168" fontId="60" fillId="0" borderId="0" xfId="0" applyNumberFormat="1" applyFont="1" applyAlignment="1" applyProtection="1">
      <alignment horizontal="center"/>
      <protection hidden="1"/>
    </xf>
    <xf numFmtId="0" fontId="15" fillId="0" borderId="2" xfId="0" applyFont="1" applyBorder="1"/>
    <xf numFmtId="14" fontId="59" fillId="2" borderId="0" xfId="0" applyNumberFormat="1" applyFont="1" applyFill="1" applyAlignment="1">
      <alignment horizontal="left"/>
    </xf>
    <xf numFmtId="0" fontId="3" fillId="0" borderId="6" xfId="0" applyFont="1" applyBorder="1"/>
    <xf numFmtId="0" fontId="64" fillId="0" borderId="0" xfId="0" applyFont="1" applyAlignment="1">
      <alignment horizontal="center"/>
    </xf>
    <xf numFmtId="0" fontId="59" fillId="0" borderId="0" xfId="0" applyFont="1" applyAlignment="1">
      <alignment horizontal="left"/>
    </xf>
    <xf numFmtId="0" fontId="63" fillId="0" borderId="0" xfId="0" applyFont="1" applyAlignment="1">
      <alignment horizontal="left" wrapText="1"/>
    </xf>
    <xf numFmtId="0" fontId="67" fillId="0" borderId="0" xfId="0" applyFont="1" applyAlignment="1">
      <alignment horizontal="center" vertical="center"/>
    </xf>
    <xf numFmtId="4" fontId="22" fillId="0" borderId="0" xfId="0" applyNumberFormat="1" applyFont="1" applyAlignment="1">
      <alignment horizontal="left"/>
    </xf>
    <xf numFmtId="3" fontId="22" fillId="0" borderId="0" xfId="0" applyNumberFormat="1" applyFont="1" applyAlignment="1">
      <alignment horizontal="left"/>
    </xf>
    <xf numFmtId="0" fontId="22" fillId="8" borderId="0" xfId="0" applyFont="1" applyFill="1" applyAlignment="1">
      <alignment horizontal="left"/>
    </xf>
    <xf numFmtId="0" fontId="68" fillId="0" borderId="0" xfId="0" applyFont="1" applyAlignment="1">
      <alignment horizontal="left"/>
    </xf>
    <xf numFmtId="2" fontId="12" fillId="0" borderId="0" xfId="0" applyNumberFormat="1" applyFont="1"/>
    <xf numFmtId="164" fontId="7" fillId="4" borderId="0" xfId="0" applyNumberFormat="1" applyFont="1" applyFill="1" applyAlignment="1" applyProtection="1">
      <alignment horizontal="right" vertical="center" wrapText="1"/>
      <protection hidden="1"/>
    </xf>
    <xf numFmtId="0" fontId="0" fillId="7" borderId="0" xfId="0" applyFill="1" applyAlignment="1">
      <alignment horizontal="center" wrapText="1"/>
    </xf>
    <xf numFmtId="0" fontId="64" fillId="8" borderId="0" xfId="0" applyFont="1" applyFill="1" applyAlignment="1">
      <alignment horizontal="center"/>
    </xf>
    <xf numFmtId="14" fontId="22" fillId="10" borderId="0" xfId="0" applyNumberFormat="1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67" fillId="0" borderId="0" xfId="0" applyFont="1" applyAlignment="1">
      <alignment horizontal="center"/>
    </xf>
    <xf numFmtId="0" fontId="65" fillId="2" borderId="0" xfId="0" applyFont="1" applyFill="1" applyAlignment="1">
      <alignment horizontal="left"/>
    </xf>
    <xf numFmtId="14" fontId="64" fillId="0" borderId="0" xfId="0" applyNumberFormat="1" applyFont="1" applyAlignment="1">
      <alignment horizontal="left"/>
    </xf>
    <xf numFmtId="14" fontId="22" fillId="9" borderId="0" xfId="0" applyNumberFormat="1" applyFont="1" applyFill="1" applyAlignment="1">
      <alignment horizontal="left"/>
    </xf>
    <xf numFmtId="14" fontId="62" fillId="0" borderId="0" xfId="0" applyNumberFormat="1" applyFont="1"/>
    <xf numFmtId="0" fontId="3" fillId="0" borderId="0" xfId="0" pivotButton="1" applyFont="1"/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0" fontId="69" fillId="0" borderId="0" xfId="0" applyFont="1" applyAlignment="1">
      <alignment horizontal="left"/>
    </xf>
    <xf numFmtId="0" fontId="22" fillId="2" borderId="0" xfId="0" applyFont="1" applyFill="1" applyAlignment="1">
      <alignment horizontal="left"/>
    </xf>
    <xf numFmtId="2" fontId="15" fillId="2" borderId="0" xfId="0" applyNumberFormat="1" applyFont="1" applyFill="1"/>
    <xf numFmtId="0" fontId="33" fillId="2" borderId="0" xfId="0" applyFont="1" applyFill="1"/>
    <xf numFmtId="0" fontId="33" fillId="2" borderId="0" xfId="0" applyFont="1" applyFill="1" applyAlignment="1">
      <alignment horizontal="left"/>
    </xf>
    <xf numFmtId="0" fontId="67" fillId="2" borderId="0" xfId="0" applyFont="1" applyFill="1" applyAlignment="1">
      <alignment horizontal="center" vertical="center"/>
    </xf>
    <xf numFmtId="14" fontId="22" fillId="2" borderId="0" xfId="0" applyNumberFormat="1" applyFont="1" applyFill="1" applyAlignment="1">
      <alignment horizontal="left"/>
    </xf>
    <xf numFmtId="168" fontId="16" fillId="2" borderId="0" xfId="0" applyNumberFormat="1" applyFont="1" applyFill="1" applyAlignment="1" applyProtection="1">
      <alignment horizontal="center"/>
      <protection hidden="1"/>
    </xf>
    <xf numFmtId="3" fontId="15" fillId="2" borderId="0" xfId="0" applyNumberFormat="1" applyFont="1" applyFill="1"/>
    <xf numFmtId="2" fontId="15" fillId="2" borderId="0" xfId="1" applyNumberFormat="1" applyFont="1" applyFill="1" applyBorder="1" applyAlignment="1" applyProtection="1">
      <alignment horizontal="right"/>
      <protection hidden="1"/>
    </xf>
    <xf numFmtId="164" fontId="9" fillId="11" borderId="0" xfId="0" applyNumberFormat="1" applyFont="1" applyFill="1" applyAlignment="1" applyProtection="1">
      <alignment horizontal="right" vertical="center" wrapText="1"/>
      <protection hidden="1"/>
    </xf>
    <xf numFmtId="172" fontId="15" fillId="5" borderId="0" xfId="1" applyNumberFormat="1" applyFont="1" applyFill="1" applyBorder="1" applyAlignment="1" applyProtection="1">
      <alignment horizontal="right"/>
      <protection hidden="1"/>
    </xf>
    <xf numFmtId="4" fontId="28" fillId="2" borderId="0" xfId="0" applyNumberFormat="1" applyFont="1" applyFill="1"/>
    <xf numFmtId="49" fontId="15" fillId="2" borderId="0" xfId="0" applyNumberFormat="1" applyFont="1" applyFill="1"/>
    <xf numFmtId="4" fontId="15" fillId="2" borderId="0" xfId="1" applyNumberFormat="1" applyFont="1" applyFill="1" applyBorder="1" applyAlignment="1" applyProtection="1">
      <alignment horizontal="right"/>
      <protection hidden="1"/>
    </xf>
    <xf numFmtId="2" fontId="14" fillId="2" borderId="0" xfId="0" applyNumberFormat="1" applyFont="1" applyFill="1"/>
    <xf numFmtId="2" fontId="17" fillId="2" borderId="0" xfId="0" applyNumberFormat="1" applyFont="1" applyFill="1"/>
    <xf numFmtId="0" fontId="64" fillId="0" borderId="0" xfId="0" applyFont="1" applyAlignment="1">
      <alignment horizontal="left"/>
    </xf>
    <xf numFmtId="0" fontId="67" fillId="0" borderId="0" xfId="0" applyFont="1" applyAlignment="1">
      <alignment horizontal="left" vertical="center"/>
    </xf>
    <xf numFmtId="0" fontId="67" fillId="2" borderId="0" xfId="0" applyFont="1" applyFill="1" applyAlignment="1">
      <alignment horizontal="left" vertical="center"/>
    </xf>
    <xf numFmtId="3" fontId="0" fillId="0" borderId="0" xfId="0" applyNumberFormat="1" applyAlignment="1">
      <alignment horizontal="center"/>
    </xf>
    <xf numFmtId="165" fontId="7" fillId="0" borderId="2" xfId="0" applyNumberFormat="1" applyFont="1" applyBorder="1" applyAlignment="1">
      <alignment horizontal="left"/>
    </xf>
    <xf numFmtId="0" fontId="67" fillId="0" borderId="2" xfId="0" applyFont="1" applyBorder="1" applyAlignment="1">
      <alignment horizontal="left" vertical="center"/>
    </xf>
    <xf numFmtId="0" fontId="67" fillId="0" borderId="2" xfId="0" applyFont="1" applyBorder="1" applyAlignment="1">
      <alignment horizontal="center" vertical="center"/>
    </xf>
    <xf numFmtId="168" fontId="16" fillId="0" borderId="2" xfId="0" applyNumberFormat="1" applyFont="1" applyBorder="1" applyAlignment="1">
      <alignment horizontal="center"/>
    </xf>
    <xf numFmtId="0" fontId="71" fillId="0" borderId="0" xfId="0" applyFont="1"/>
    <xf numFmtId="2" fontId="15" fillId="3" borderId="2" xfId="0" applyNumberFormat="1" applyFont="1" applyFill="1" applyBorder="1" applyAlignment="1">
      <alignment horizontal="left"/>
    </xf>
    <xf numFmtId="0" fontId="36" fillId="0" borderId="0" xfId="0" applyFont="1"/>
    <xf numFmtId="0" fontId="72" fillId="0" borderId="0" xfId="0" applyFont="1"/>
    <xf numFmtId="165" fontId="40" fillId="0" borderId="2" xfId="0" applyNumberFormat="1" applyFont="1" applyBorder="1" applyAlignment="1" applyProtection="1">
      <alignment horizontal="left"/>
      <protection locked="0" hidden="1"/>
    </xf>
    <xf numFmtId="0" fontId="36" fillId="0" borderId="0" xfId="0" quotePrefix="1" applyFont="1"/>
    <xf numFmtId="16" fontId="0" fillId="0" borderId="0" xfId="0" applyNumberFormat="1" applyAlignment="1">
      <alignment horizontal="center"/>
    </xf>
    <xf numFmtId="16" fontId="34" fillId="0" borderId="0" xfId="0" applyNumberFormat="1" applyFont="1" applyAlignment="1">
      <alignment horizontal="center"/>
    </xf>
    <xf numFmtId="16" fontId="61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/>
    </xf>
    <xf numFmtId="16" fontId="0" fillId="2" borderId="0" xfId="0" applyNumberFormat="1" applyFill="1" applyAlignment="1">
      <alignment horizontal="center"/>
    </xf>
    <xf numFmtId="16" fontId="36" fillId="0" borderId="0" xfId="0" applyNumberFormat="1" applyFont="1" applyAlignment="1">
      <alignment horizontal="center"/>
    </xf>
    <xf numFmtId="9" fontId="0" fillId="0" borderId="0" xfId="5" applyFont="1" applyAlignment="1">
      <alignment horizontal="center"/>
    </xf>
    <xf numFmtId="0" fontId="12" fillId="0" borderId="0" xfId="0" applyFont="1" applyAlignment="1">
      <alignment horizontal="center"/>
    </xf>
    <xf numFmtId="2" fontId="40" fillId="3" borderId="3" xfId="0" applyNumberFormat="1" applyFont="1" applyFill="1" applyBorder="1" applyAlignment="1" applyProtection="1">
      <alignment horizontal="left"/>
      <protection locked="0" hidden="1"/>
    </xf>
    <xf numFmtId="0" fontId="34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2" fontId="74" fillId="6" borderId="3" xfId="0" applyNumberFormat="1" applyFont="1" applyFill="1" applyBorder="1" applyAlignment="1" applyProtection="1">
      <alignment horizontal="left"/>
      <protection locked="0" hidden="1"/>
    </xf>
    <xf numFmtId="165" fontId="75" fillId="2" borderId="0" xfId="0" applyNumberFormat="1" applyFont="1" applyFill="1" applyAlignment="1" applyProtection="1">
      <alignment horizontal="left"/>
      <protection locked="0" hidden="1"/>
    </xf>
    <xf numFmtId="168" fontId="75" fillId="2" borderId="0" xfId="0" applyNumberFormat="1" applyFont="1" applyFill="1" applyAlignment="1" applyProtection="1">
      <alignment horizontal="center"/>
      <protection hidden="1"/>
    </xf>
    <xf numFmtId="0" fontId="74" fillId="2" borderId="0" xfId="0" quotePrefix="1" applyFont="1" applyFill="1" applyAlignment="1">
      <alignment horizontal="left"/>
    </xf>
    <xf numFmtId="2" fontId="76" fillId="20" borderId="0" xfId="0" applyNumberFormat="1" applyFont="1" applyFill="1"/>
    <xf numFmtId="0" fontId="76" fillId="20" borderId="0" xfId="0" applyFont="1" applyFill="1"/>
    <xf numFmtId="0" fontId="12" fillId="21" borderId="0" xfId="0" applyFont="1" applyFill="1"/>
    <xf numFmtId="2" fontId="15" fillId="21" borderId="0" xfId="0" applyNumberFormat="1" applyFont="1" applyFill="1"/>
    <xf numFmtId="0" fontId="40" fillId="22" borderId="0" xfId="0" applyFont="1" applyFill="1"/>
    <xf numFmtId="2" fontId="14" fillId="22" borderId="0" xfId="0" applyNumberFormat="1" applyFont="1" applyFill="1"/>
    <xf numFmtId="165" fontId="23" fillId="0" borderId="2" xfId="0" applyNumberFormat="1" applyFont="1" applyBorder="1" applyAlignment="1">
      <alignment horizontal="left"/>
    </xf>
    <xf numFmtId="0" fontId="77" fillId="0" borderId="2" xfId="0" applyFont="1" applyBorder="1" applyAlignment="1">
      <alignment horizontal="left" vertical="center"/>
    </xf>
    <xf numFmtId="168" fontId="23" fillId="0" borderId="2" xfId="0" applyNumberFormat="1" applyFont="1" applyBorder="1" applyAlignment="1">
      <alignment horizontal="center"/>
    </xf>
    <xf numFmtId="0" fontId="33" fillId="0" borderId="0" xfId="0" applyFont="1" applyAlignment="1">
      <alignment horizontal="left"/>
    </xf>
    <xf numFmtId="4" fontId="33" fillId="0" borderId="0" xfId="0" applyNumberFormat="1" applyFont="1"/>
    <xf numFmtId="2" fontId="14" fillId="0" borderId="0" xfId="0" applyNumberFormat="1" applyFont="1"/>
    <xf numFmtId="0" fontId="27" fillId="2" borderId="0" xfId="0" applyFont="1" applyFill="1" applyAlignment="1">
      <alignment horizontal="left"/>
    </xf>
    <xf numFmtId="0" fontId="18" fillId="0" borderId="0" xfId="0" applyFont="1"/>
    <xf numFmtId="0" fontId="14" fillId="2" borderId="0" xfId="0" applyFont="1" applyFill="1"/>
    <xf numFmtId="0" fontId="26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59" fillId="0" borderId="0" xfId="0" quotePrefix="1" applyFont="1" applyAlignment="1">
      <alignment horizontal="left"/>
    </xf>
    <xf numFmtId="0" fontId="22" fillId="2" borderId="0" xfId="0" applyFont="1" applyFill="1"/>
    <xf numFmtId="0" fontId="20" fillId="0" borderId="0" xfId="0" applyFont="1"/>
    <xf numFmtId="0" fontId="15" fillId="0" borderId="0" xfId="0" quotePrefix="1" applyFont="1"/>
    <xf numFmtId="0" fontId="58" fillId="0" borderId="0" xfId="0" applyFont="1" applyAlignment="1">
      <alignment horizontal="center"/>
    </xf>
    <xf numFmtId="0" fontId="0" fillId="23" borderId="0" xfId="0" applyFill="1"/>
    <xf numFmtId="2" fontId="40" fillId="0" borderId="0" xfId="0" applyNumberFormat="1" applyFont="1"/>
    <xf numFmtId="0" fontId="0" fillId="24" borderId="0" xfId="0" applyFill="1"/>
    <xf numFmtId="16" fontId="0" fillId="24" borderId="0" xfId="0" applyNumberFormat="1" applyFill="1" applyAlignment="1">
      <alignment horizontal="center"/>
    </xf>
    <xf numFmtId="0" fontId="34" fillId="24" borderId="0" xfId="0" applyFont="1" applyFill="1"/>
    <xf numFmtId="0" fontId="15" fillId="3" borderId="2" xfId="0" applyFont="1" applyFill="1" applyBorder="1"/>
    <xf numFmtId="0" fontId="48" fillId="0" borderId="0" xfId="0" applyFont="1"/>
    <xf numFmtId="16" fontId="48" fillId="0" borderId="0" xfId="0" applyNumberFormat="1" applyFont="1" applyAlignment="1">
      <alignment horizontal="center"/>
    </xf>
    <xf numFmtId="0" fontId="48" fillId="0" borderId="0" xfId="0" quotePrefix="1" applyFont="1"/>
    <xf numFmtId="173" fontId="0" fillId="0" borderId="0" xfId="0" applyNumberFormat="1"/>
    <xf numFmtId="16" fontId="22" fillId="0" borderId="0" xfId="0" applyNumberFormat="1" applyFont="1" applyAlignment="1">
      <alignment horizontal="left"/>
    </xf>
    <xf numFmtId="2" fontId="15" fillId="3" borderId="2" xfId="0" applyNumberFormat="1" applyFont="1" applyFill="1" applyBorder="1" applyAlignment="1" applyProtection="1">
      <alignment horizontal="left"/>
      <protection locked="0" hidden="1"/>
    </xf>
    <xf numFmtId="0" fontId="80" fillId="0" borderId="0" xfId="0" applyFont="1"/>
    <xf numFmtId="0" fontId="51" fillId="0" borderId="0" xfId="0" applyFont="1"/>
    <xf numFmtId="2" fontId="15" fillId="3" borderId="3" xfId="0" applyNumberFormat="1" applyFont="1" applyFill="1" applyBorder="1" applyAlignment="1" applyProtection="1">
      <alignment horizontal="left"/>
      <protection locked="0" hidden="1"/>
    </xf>
    <xf numFmtId="2" fontId="15" fillId="0" borderId="3" xfId="0" applyNumberFormat="1" applyFont="1" applyBorder="1" applyAlignment="1" applyProtection="1">
      <alignment horizontal="left"/>
      <protection locked="0" hidden="1"/>
    </xf>
    <xf numFmtId="2" fontId="27" fillId="6" borderId="2" xfId="0" applyNumberFormat="1" applyFont="1" applyFill="1" applyBorder="1" applyAlignment="1">
      <alignment horizontal="left"/>
    </xf>
    <xf numFmtId="2" fontId="27" fillId="2" borderId="2" xfId="0" applyNumberFormat="1" applyFont="1" applyFill="1" applyBorder="1" applyAlignment="1">
      <alignment horizontal="left"/>
    </xf>
    <xf numFmtId="2" fontId="40" fillId="2" borderId="2" xfId="0" applyNumberFormat="1" applyFont="1" applyFill="1" applyBorder="1" applyAlignment="1">
      <alignment horizontal="left"/>
    </xf>
    <xf numFmtId="2" fontId="15" fillId="0" borderId="2" xfId="0" applyNumberFormat="1" applyFont="1" applyBorder="1" applyAlignment="1">
      <alignment horizontal="left"/>
    </xf>
    <xf numFmtId="2" fontId="40" fillId="0" borderId="2" xfId="0" applyNumberFormat="1" applyFont="1" applyBorder="1" applyAlignment="1">
      <alignment horizontal="left"/>
    </xf>
    <xf numFmtId="2" fontId="33" fillId="0" borderId="3" xfId="0" applyNumberFormat="1" applyFont="1" applyBorder="1" applyAlignment="1" applyProtection="1">
      <alignment horizontal="left"/>
      <protection locked="0" hidden="1"/>
    </xf>
    <xf numFmtId="2" fontId="15" fillId="6" borderId="2" xfId="0" applyNumberFormat="1" applyFont="1" applyFill="1" applyBorder="1" applyAlignment="1" applyProtection="1">
      <alignment horizontal="left"/>
      <protection locked="0" hidden="1"/>
    </xf>
    <xf numFmtId="2" fontId="33" fillId="0" borderId="2" xfId="0" applyNumberFormat="1" applyFont="1" applyBorder="1" applyAlignment="1">
      <alignment horizontal="left"/>
    </xf>
    <xf numFmtId="2" fontId="82" fillId="6" borderId="3" xfId="0" applyNumberFormat="1" applyFont="1" applyFill="1" applyBorder="1" applyAlignment="1" applyProtection="1">
      <alignment horizontal="left"/>
      <protection locked="0" hidden="1"/>
    </xf>
    <xf numFmtId="2" fontId="82" fillId="3" borderId="3" xfId="0" applyNumberFormat="1" applyFont="1" applyFill="1" applyBorder="1" applyAlignment="1" applyProtection="1">
      <alignment horizontal="left"/>
      <protection locked="0" hidden="1"/>
    </xf>
    <xf numFmtId="2" fontId="15" fillId="2" borderId="3" xfId="0" applyNumberFormat="1" applyFont="1" applyFill="1" applyBorder="1" applyAlignment="1" applyProtection="1">
      <alignment horizontal="left"/>
      <protection locked="0" hidden="1"/>
    </xf>
    <xf numFmtId="2" fontId="83" fillId="0" borderId="3" xfId="0" applyNumberFormat="1" applyFont="1" applyBorder="1" applyAlignment="1" applyProtection="1">
      <alignment horizontal="left"/>
      <protection locked="0" hidden="1"/>
    </xf>
    <xf numFmtId="2" fontId="40" fillId="0" borderId="3" xfId="0" applyNumberFormat="1" applyFont="1" applyBorder="1" applyAlignment="1" applyProtection="1">
      <alignment horizontal="left"/>
      <protection locked="0" hidden="1"/>
    </xf>
    <xf numFmtId="2" fontId="50" fillId="6" borderId="3" xfId="0" applyNumberFormat="1" applyFont="1" applyFill="1" applyBorder="1" applyAlignment="1" applyProtection="1">
      <alignment horizontal="left"/>
      <protection locked="0" hidden="1"/>
    </xf>
    <xf numFmtId="2" fontId="33" fillId="3" borderId="3" xfId="0" applyNumberFormat="1" applyFont="1" applyFill="1" applyBorder="1" applyAlignment="1" applyProtection="1">
      <alignment horizontal="left"/>
      <protection locked="0" hidden="1"/>
    </xf>
    <xf numFmtId="2" fontId="84" fillId="3" borderId="3" xfId="0" applyNumberFormat="1" applyFont="1" applyFill="1" applyBorder="1" applyAlignment="1" applyProtection="1">
      <alignment horizontal="left"/>
      <protection locked="0" hidden="1"/>
    </xf>
    <xf numFmtId="2" fontId="15" fillId="13" borderId="3" xfId="0" applyNumberFormat="1" applyFont="1" applyFill="1" applyBorder="1" applyAlignment="1" applyProtection="1">
      <alignment horizontal="left"/>
      <protection locked="0" hidden="1"/>
    </xf>
    <xf numFmtId="2" fontId="40" fillId="6" borderId="3" xfId="0" applyNumberFormat="1" applyFont="1" applyFill="1" applyBorder="1" applyAlignment="1" applyProtection="1">
      <alignment horizontal="left"/>
      <protection locked="0" hidden="1"/>
    </xf>
    <xf numFmtId="2" fontId="41" fillId="13" borderId="2" xfId="0" applyNumberFormat="1" applyFont="1" applyFill="1" applyBorder="1" applyAlignment="1" applyProtection="1">
      <alignment horizontal="left"/>
      <protection locked="0" hidden="1"/>
    </xf>
    <xf numFmtId="2" fontId="41" fillId="0" borderId="2" xfId="0" applyNumberFormat="1" applyFont="1" applyBorder="1" applyAlignment="1">
      <alignment horizontal="left"/>
    </xf>
    <xf numFmtId="0" fontId="51" fillId="2" borderId="0" xfId="0" applyFont="1" applyFill="1"/>
    <xf numFmtId="0" fontId="22" fillId="0" borderId="0" xfId="5" applyNumberFormat="1" applyFont="1" applyBorder="1" applyAlignment="1">
      <alignment horizontal="left"/>
    </xf>
    <xf numFmtId="2" fontId="85" fillId="0" borderId="3" xfId="0" applyNumberFormat="1" applyFont="1" applyBorder="1" applyAlignment="1" applyProtection="1">
      <alignment horizontal="left"/>
      <protection locked="0" hidden="1"/>
    </xf>
    <xf numFmtId="165" fontId="87" fillId="0" borderId="0" xfId="0" applyNumberFormat="1" applyFont="1" applyAlignment="1" applyProtection="1">
      <alignment horizontal="left"/>
      <protection locked="0" hidden="1"/>
    </xf>
    <xf numFmtId="0" fontId="88" fillId="0" borderId="0" xfId="0" applyFont="1" applyAlignment="1">
      <alignment horizontal="center"/>
    </xf>
    <xf numFmtId="14" fontId="73" fillId="0" borderId="0" xfId="0" applyNumberFormat="1" applyFont="1" applyAlignment="1">
      <alignment horizontal="left"/>
    </xf>
    <xf numFmtId="168" fontId="89" fillId="0" borderId="0" xfId="0" applyNumberFormat="1" applyFont="1" applyAlignment="1" applyProtection="1">
      <alignment horizontal="center"/>
      <protection hidden="1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0" fontId="43" fillId="0" borderId="0" xfId="0" applyFont="1"/>
    <xf numFmtId="0" fontId="90" fillId="0" borderId="0" xfId="0" applyFont="1"/>
    <xf numFmtId="164" fontId="92" fillId="4" borderId="0" xfId="0" applyNumberFormat="1" applyFont="1" applyFill="1" applyAlignment="1" applyProtection="1">
      <alignment horizontal="right" vertical="center" wrapText="1"/>
      <protection hidden="1"/>
    </xf>
    <xf numFmtId="3" fontId="93" fillId="0" borderId="0" xfId="0" applyNumberFormat="1" applyFont="1"/>
    <xf numFmtId="0" fontId="35" fillId="0" borderId="0" xfId="0" applyFont="1" applyAlignment="1">
      <alignment horizontal="center"/>
    </xf>
    <xf numFmtId="14" fontId="81" fillId="0" borderId="0" xfId="0" applyNumberFormat="1" applyFont="1" applyAlignment="1">
      <alignment horizontal="left" wrapText="1"/>
    </xf>
    <xf numFmtId="165" fontId="5" fillId="0" borderId="0" xfId="0" applyNumberFormat="1" applyFont="1" applyAlignment="1" applyProtection="1">
      <alignment horizontal="left"/>
      <protection locked="0" hidden="1"/>
    </xf>
    <xf numFmtId="14" fontId="64" fillId="0" borderId="0" xfId="0" applyNumberFormat="1" applyFont="1" applyAlignment="1">
      <alignment horizontal="left" wrapText="1"/>
    </xf>
    <xf numFmtId="4" fontId="0" fillId="0" borderId="0" xfId="0" applyNumberFormat="1"/>
    <xf numFmtId="174" fontId="0" fillId="0" borderId="0" xfId="0" applyNumberFormat="1"/>
    <xf numFmtId="175" fontId="0" fillId="0" borderId="0" xfId="5" applyNumberFormat="1" applyFont="1"/>
    <xf numFmtId="3" fontId="3" fillId="0" borderId="0" xfId="0" applyNumberFormat="1" applyFont="1"/>
    <xf numFmtId="1" fontId="0" fillId="0" borderId="0" xfId="0" applyNumberFormat="1"/>
    <xf numFmtId="9" fontId="0" fillId="2" borderId="0" xfId="5" applyFont="1" applyFill="1"/>
    <xf numFmtId="3" fontId="17" fillId="0" borderId="0" xfId="0" applyNumberFormat="1" applyFont="1"/>
    <xf numFmtId="0" fontId="22" fillId="0" borderId="0" xfId="0" quotePrefix="1" applyFont="1" applyAlignment="1">
      <alignment horizontal="left"/>
    </xf>
    <xf numFmtId="0" fontId="34" fillId="2" borderId="0" xfId="0" applyFont="1" applyFill="1"/>
    <xf numFmtId="0" fontId="33" fillId="0" borderId="0" xfId="0" quotePrefix="1" applyFont="1" applyAlignment="1">
      <alignment horizontal="left"/>
    </xf>
    <xf numFmtId="2" fontId="12" fillId="3" borderId="3" xfId="0" applyNumberFormat="1" applyFont="1" applyFill="1" applyBorder="1" applyAlignment="1" applyProtection="1">
      <alignment horizontal="left"/>
      <protection locked="0" hidden="1"/>
    </xf>
    <xf numFmtId="49" fontId="15" fillId="5" borderId="0" xfId="1" applyNumberFormat="1" applyFont="1" applyFill="1" applyBorder="1" applyAlignment="1" applyProtection="1">
      <alignment horizontal="right"/>
      <protection hidden="1"/>
    </xf>
    <xf numFmtId="0" fontId="36" fillId="2" borderId="0" xfId="0" applyFont="1" applyFill="1"/>
    <xf numFmtId="0" fontId="94" fillId="16" borderId="5" xfId="0" applyFont="1" applyFill="1" applyBorder="1"/>
    <xf numFmtId="0" fontId="19" fillId="14" borderId="1" xfId="0" applyFont="1" applyFill="1" applyBorder="1" applyAlignment="1">
      <alignment horizontal="center" wrapText="1"/>
    </xf>
    <xf numFmtId="0" fontId="19" fillId="14" borderId="1" xfId="0" applyFont="1" applyFill="1" applyBorder="1" applyAlignment="1">
      <alignment horizontal="center"/>
    </xf>
    <xf numFmtId="168" fontId="16" fillId="3" borderId="2" xfId="0" applyNumberFormat="1" applyFont="1" applyFill="1" applyBorder="1" applyAlignment="1">
      <alignment horizontal="center"/>
    </xf>
    <xf numFmtId="168" fontId="5" fillId="3" borderId="2" xfId="0" applyNumberFormat="1" applyFont="1" applyFill="1" applyBorder="1" applyAlignment="1">
      <alignment horizontal="center"/>
    </xf>
    <xf numFmtId="0" fontId="27" fillId="3" borderId="8" xfId="0" applyFont="1" applyFill="1" applyBorder="1"/>
    <xf numFmtId="0" fontId="15" fillId="3" borderId="8" xfId="0" applyFont="1" applyFill="1" applyBorder="1"/>
    <xf numFmtId="0" fontId="19" fillId="14" borderId="3" xfId="0" applyFont="1" applyFill="1" applyBorder="1" applyAlignment="1">
      <alignment horizontal="center" wrapText="1"/>
    </xf>
    <xf numFmtId="0" fontId="0" fillId="0" borderId="7" xfId="0" applyBorder="1"/>
    <xf numFmtId="0" fontId="2" fillId="0" borderId="7" xfId="0" applyFont="1" applyBorder="1"/>
    <xf numFmtId="0" fontId="34" fillId="3" borderId="2" xfId="0" applyFont="1" applyFill="1" applyBorder="1" applyAlignment="1">
      <alignment horizontal="left"/>
    </xf>
    <xf numFmtId="0" fontId="34" fillId="0" borderId="2" xfId="0" applyFont="1" applyBorder="1" applyAlignment="1">
      <alignment horizontal="left"/>
    </xf>
    <xf numFmtId="14" fontId="95" fillId="0" borderId="0" xfId="0" applyNumberFormat="1" applyFont="1" applyAlignment="1">
      <alignment horizontal="left" wrapText="1"/>
    </xf>
    <xf numFmtId="14" fontId="57" fillId="0" borderId="0" xfId="0" applyNumberFormat="1" applyFont="1" applyAlignment="1">
      <alignment horizontal="left"/>
    </xf>
    <xf numFmtId="0" fontId="22" fillId="0" borderId="0" xfId="0" applyFont="1"/>
    <xf numFmtId="14" fontId="96" fillId="0" borderId="0" xfId="0" applyNumberFormat="1" applyFont="1" applyAlignment="1">
      <alignment horizontal="left"/>
    </xf>
    <xf numFmtId="14" fontId="59" fillId="0" borderId="0" xfId="0" applyNumberFormat="1" applyFont="1" applyAlignment="1">
      <alignment horizontal="left" wrapText="1"/>
    </xf>
    <xf numFmtId="165" fontId="85" fillId="0" borderId="0" xfId="0" applyNumberFormat="1" applyFont="1" applyAlignment="1" applyProtection="1">
      <alignment horizontal="left"/>
      <protection locked="0" hidden="1"/>
    </xf>
    <xf numFmtId="0" fontId="73" fillId="0" borderId="0" xfId="0" applyFont="1" applyAlignment="1">
      <alignment horizontal="left"/>
    </xf>
    <xf numFmtId="14" fontId="59" fillId="0" borderId="0" xfId="0" applyNumberFormat="1" applyFont="1" applyAlignment="1">
      <alignment horizontal="center" wrapText="1"/>
    </xf>
    <xf numFmtId="14" fontId="79" fillId="10" borderId="0" xfId="0" applyNumberFormat="1" applyFont="1" applyFill="1" applyAlignment="1">
      <alignment horizontal="center" wrapText="1"/>
    </xf>
    <xf numFmtId="22" fontId="98" fillId="0" borderId="0" xfId="0" applyNumberFormat="1" applyFont="1" applyAlignment="1">
      <alignment horizontal="center"/>
    </xf>
    <xf numFmtId="14" fontId="79" fillId="2" borderId="0" xfId="0" applyNumberFormat="1" applyFont="1" applyFill="1" applyAlignment="1">
      <alignment horizontal="left"/>
    </xf>
    <xf numFmtId="0" fontId="20" fillId="25" borderId="0" xfId="0" applyFont="1" applyFill="1" applyAlignment="1">
      <alignment horizontal="center" wrapText="1"/>
    </xf>
    <xf numFmtId="0" fontId="22" fillId="25" borderId="0" xfId="0" applyFont="1" applyFill="1" applyAlignment="1">
      <alignment horizontal="center" vertical="center" wrapText="1"/>
    </xf>
    <xf numFmtId="0" fontId="20" fillId="25" borderId="0" xfId="0" applyFont="1" applyFill="1" applyAlignment="1">
      <alignment horizontal="center" vertical="center" wrapText="1"/>
    </xf>
    <xf numFmtId="2" fontId="40" fillId="3" borderId="0" xfId="0" applyNumberFormat="1" applyFont="1" applyFill="1" applyAlignment="1" applyProtection="1">
      <alignment horizontal="left"/>
      <protection locked="0" hidden="1"/>
    </xf>
    <xf numFmtId="22" fontId="63" fillId="0" borderId="0" xfId="0" applyNumberFormat="1" applyFont="1" applyAlignment="1">
      <alignment horizontal="left"/>
    </xf>
    <xf numFmtId="22" fontId="34" fillId="0" borderId="0" xfId="0" applyNumberFormat="1" applyFont="1" applyAlignment="1">
      <alignment horizontal="left"/>
    </xf>
    <xf numFmtId="0" fontId="40" fillId="0" borderId="0" xfId="0" applyFont="1" applyAlignment="1" applyProtection="1">
      <alignment horizontal="left"/>
      <protection hidden="1"/>
    </xf>
    <xf numFmtId="0" fontId="85" fillId="0" borderId="0" xfId="0" applyFont="1" applyAlignment="1" applyProtection="1">
      <alignment horizontal="left"/>
      <protection hidden="1"/>
    </xf>
    <xf numFmtId="14" fontId="35" fillId="0" borderId="0" xfId="0" applyNumberFormat="1" applyFont="1"/>
    <xf numFmtId="3" fontId="7" fillId="0" borderId="0" xfId="0" applyNumberFormat="1" applyFont="1" applyAlignment="1" applyProtection="1">
      <alignment horizontal="right"/>
      <protection hidden="1"/>
    </xf>
    <xf numFmtId="3" fontId="15" fillId="0" borderId="0" xfId="0" applyNumberFormat="1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3" fontId="87" fillId="0" borderId="0" xfId="0" applyNumberFormat="1" applyFont="1" applyAlignment="1" applyProtection="1">
      <alignment horizontal="right"/>
      <protection hidden="1"/>
    </xf>
    <xf numFmtId="0" fontId="57" fillId="25" borderId="0" xfId="0" applyFont="1" applyFill="1" applyAlignment="1">
      <alignment horizontal="center" wrapText="1"/>
    </xf>
    <xf numFmtId="0" fontId="59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/>
    </xf>
    <xf numFmtId="0" fontId="57" fillId="2" borderId="0" xfId="0" applyFont="1" applyFill="1" applyAlignment="1">
      <alignment horizontal="left"/>
    </xf>
    <xf numFmtId="0" fontId="59" fillId="2" borderId="0" xfId="0" applyFont="1" applyFill="1" applyAlignment="1">
      <alignment horizontal="left"/>
    </xf>
    <xf numFmtId="0" fontId="63" fillId="0" borderId="0" xfId="0" applyFont="1"/>
    <xf numFmtId="0" fontId="63" fillId="0" borderId="0" xfId="0" applyFont="1" applyAlignment="1">
      <alignment horizontal="center"/>
    </xf>
    <xf numFmtId="0" fontId="63" fillId="2" borderId="0" xfId="0" applyFont="1" applyFill="1" applyAlignment="1">
      <alignment horizontal="left"/>
    </xf>
    <xf numFmtId="0" fontId="63" fillId="0" borderId="0" xfId="0" quotePrefix="1" applyFont="1" applyAlignment="1">
      <alignment horizontal="left"/>
    </xf>
    <xf numFmtId="165" fontId="0" fillId="0" borderId="0" xfId="0" applyNumberFormat="1" applyAlignment="1" applyProtection="1">
      <alignment horizontal="left"/>
      <protection locked="0" hidden="1"/>
    </xf>
    <xf numFmtId="0" fontId="100" fillId="0" borderId="0" xfId="0" applyFont="1"/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55" fillId="14" borderId="0" xfId="0" applyFont="1" applyFill="1" applyAlignment="1">
      <alignment horizontal="center"/>
    </xf>
    <xf numFmtId="0" fontId="55" fillId="14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/>
    </xf>
    <xf numFmtId="0" fontId="55" fillId="17" borderId="0" xfId="0" applyFont="1" applyFill="1" applyAlignment="1">
      <alignment horizontal="center" wrapText="1"/>
    </xf>
    <xf numFmtId="0" fontId="55" fillId="17" borderId="1" xfId="0" applyFont="1" applyFill="1" applyBorder="1" applyAlignment="1">
      <alignment horizontal="center" wrapText="1"/>
    </xf>
    <xf numFmtId="9" fontId="22" fillId="0" borderId="0" xfId="5" applyFont="1"/>
    <xf numFmtId="0" fontId="67" fillId="0" borderId="0" xfId="0" applyFont="1" applyAlignment="1">
      <alignment vertical="center"/>
    </xf>
    <xf numFmtId="2" fontId="22" fillId="0" borderId="0" xfId="0" applyNumberFormat="1" applyFont="1" applyAlignment="1">
      <alignment horizontal="right"/>
    </xf>
    <xf numFmtId="0" fontId="81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59" fillId="0" borderId="0" xfId="0" applyFont="1"/>
    <xf numFmtId="0" fontId="57" fillId="0" borderId="0" xfId="0" applyFont="1"/>
    <xf numFmtId="0" fontId="65" fillId="0" borderId="0" xfId="0" applyFont="1"/>
    <xf numFmtId="0" fontId="58" fillId="0" borderId="0" xfId="0" applyFont="1"/>
    <xf numFmtId="0" fontId="97" fillId="0" borderId="0" xfId="0" applyFont="1" applyAlignment="1">
      <alignment horizontal="center"/>
    </xf>
    <xf numFmtId="0" fontId="81" fillId="2" borderId="0" xfId="0" applyFont="1" applyFill="1" applyAlignment="1">
      <alignment horizontal="left"/>
    </xf>
    <xf numFmtId="3" fontId="81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left"/>
    </xf>
    <xf numFmtId="0" fontId="64" fillId="0" borderId="0" xfId="0" applyFont="1"/>
    <xf numFmtId="0" fontId="29" fillId="0" borderId="0" xfId="0" applyFont="1"/>
    <xf numFmtId="0" fontId="20" fillId="9" borderId="0" xfId="0" applyFont="1" applyFill="1"/>
    <xf numFmtId="16" fontId="59" fillId="0" borderId="0" xfId="0" applyNumberFormat="1" applyFont="1" applyAlignment="1">
      <alignment horizontal="left"/>
    </xf>
    <xf numFmtId="0" fontId="29" fillId="0" borderId="2" xfId="0" applyFont="1" applyBorder="1"/>
    <xf numFmtId="0" fontId="20" fillId="0" borderId="2" xfId="0" applyFont="1" applyBorder="1"/>
    <xf numFmtId="16" fontId="58" fillId="0" borderId="0" xfId="0" applyNumberFormat="1" applyFont="1" applyAlignment="1">
      <alignment horizontal="left"/>
    </xf>
    <xf numFmtId="16" fontId="58" fillId="9" borderId="0" xfId="0" applyNumberFormat="1" applyFont="1" applyFill="1" applyAlignment="1">
      <alignment horizontal="left"/>
    </xf>
    <xf numFmtId="0" fontId="58" fillId="9" borderId="0" xfId="0" applyFont="1" applyFill="1"/>
    <xf numFmtId="0" fontId="58" fillId="0" borderId="2" xfId="0" applyFont="1" applyBorder="1"/>
    <xf numFmtId="0" fontId="103" fillId="0" borderId="0" xfId="0" applyFont="1"/>
    <xf numFmtId="0" fontId="55" fillId="0" borderId="0" xfId="0" applyFont="1"/>
    <xf numFmtId="0" fontId="22" fillId="2" borderId="0" xfId="0" applyFont="1" applyFill="1" applyAlignment="1">
      <alignment horizontal="right"/>
    </xf>
    <xf numFmtId="0" fontId="67" fillId="0" borderId="0" xfId="0" applyFont="1"/>
    <xf numFmtId="0" fontId="104" fillId="0" borderId="0" xfId="2" applyFont="1"/>
    <xf numFmtId="0" fontId="103" fillId="0" borderId="0" xfId="0" applyFont="1" applyAlignment="1">
      <alignment horizontal="left"/>
    </xf>
    <xf numFmtId="3" fontId="64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0" fontId="22" fillId="0" borderId="0" xfId="0" quotePrefix="1" applyFont="1"/>
    <xf numFmtId="0" fontId="105" fillId="0" borderId="0" xfId="0" applyFont="1" applyAlignment="1">
      <alignment horizontal="left"/>
    </xf>
    <xf numFmtId="165" fontId="22" fillId="0" borderId="0" xfId="0" applyNumberFormat="1" applyFont="1"/>
    <xf numFmtId="165" fontId="20" fillId="0" borderId="0" xfId="0" applyNumberFormat="1" applyFont="1"/>
    <xf numFmtId="0" fontId="106" fillId="0" borderId="0" xfId="0" applyFont="1"/>
    <xf numFmtId="0" fontId="107" fillId="2" borderId="0" xfId="0" applyFont="1" applyFill="1" applyAlignment="1">
      <alignment horizontal="center"/>
    </xf>
    <xf numFmtId="0" fontId="108" fillId="2" borderId="0" xfId="0" applyFont="1" applyFill="1" applyAlignment="1">
      <alignment horizontal="left" vertical="center"/>
    </xf>
    <xf numFmtId="0" fontId="108" fillId="2" borderId="0" xfId="0" applyFont="1" applyFill="1" applyAlignment="1">
      <alignment horizontal="center" vertical="center"/>
    </xf>
    <xf numFmtId="14" fontId="109" fillId="2" borderId="0" xfId="0" applyNumberFormat="1" applyFont="1" applyFill="1" applyAlignment="1">
      <alignment horizontal="left"/>
    </xf>
    <xf numFmtId="0" fontId="109" fillId="2" borderId="0" xfId="0" applyFont="1" applyFill="1" applyAlignment="1">
      <alignment horizontal="left"/>
    </xf>
    <xf numFmtId="0" fontId="86" fillId="2" borderId="0" xfId="0" applyFont="1" applyFill="1" applyAlignment="1">
      <alignment horizontal="center"/>
    </xf>
    <xf numFmtId="0" fontId="109" fillId="2" borderId="0" xfId="0" applyFont="1" applyFill="1"/>
    <xf numFmtId="0" fontId="109" fillId="2" borderId="0" xfId="0" applyFont="1" applyFill="1" applyAlignment="1">
      <alignment horizontal="right"/>
    </xf>
    <xf numFmtId="0" fontId="109" fillId="0" borderId="0" xfId="0" applyFont="1" applyAlignment="1">
      <alignment horizontal="right"/>
    </xf>
    <xf numFmtId="0" fontId="86" fillId="2" borderId="0" xfId="0" applyFont="1" applyFill="1" applyAlignment="1">
      <alignment horizontal="right"/>
    </xf>
    <xf numFmtId="0" fontId="20" fillId="12" borderId="0" xfId="0" applyFont="1" applyFill="1" applyAlignment="1">
      <alignment horizontal="center"/>
    </xf>
    <xf numFmtId="0" fontId="20" fillId="0" borderId="0" xfId="0" quotePrefix="1" applyFont="1"/>
    <xf numFmtId="0" fontId="20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169" fontId="12" fillId="2" borderId="0" xfId="0" applyNumberFormat="1" applyFont="1" applyFill="1" applyAlignment="1">
      <alignment horizontal="left"/>
    </xf>
    <xf numFmtId="3" fontId="105" fillId="0" borderId="0" xfId="0" applyNumberFormat="1" applyFont="1" applyAlignment="1">
      <alignment horizontal="left"/>
    </xf>
    <xf numFmtId="0" fontId="59" fillId="0" borderId="4" xfId="0" applyFont="1" applyBorder="1"/>
    <xf numFmtId="0" fontId="20" fillId="17" borderId="0" xfId="0" applyFont="1" applyFill="1"/>
    <xf numFmtId="0" fontId="10" fillId="5" borderId="0" xfId="0" applyFont="1" applyFill="1" applyAlignment="1" applyProtection="1">
      <alignment horizontal="left"/>
      <protection locked="0"/>
    </xf>
    <xf numFmtId="0" fontId="57" fillId="17" borderId="0" xfId="0" applyFont="1" applyFill="1"/>
    <xf numFmtId="0" fontId="110" fillId="17" borderId="0" xfId="0" applyFont="1" applyFill="1"/>
    <xf numFmtId="16" fontId="65" fillId="2" borderId="0" xfId="0" applyNumberFormat="1" applyFont="1" applyFill="1" applyAlignment="1">
      <alignment horizontal="left"/>
    </xf>
    <xf numFmtId="0" fontId="55" fillId="17" borderId="0" xfId="0" applyFont="1" applyFill="1"/>
    <xf numFmtId="0" fontId="22" fillId="15" borderId="0" xfId="0" applyFont="1" applyFill="1"/>
    <xf numFmtId="9" fontId="112" fillId="2" borderId="0" xfId="5" applyFont="1" applyFill="1"/>
    <xf numFmtId="0" fontId="7" fillId="5" borderId="2" xfId="0" applyFont="1" applyFill="1" applyBorder="1" applyAlignment="1">
      <alignment horizontal="left"/>
    </xf>
    <xf numFmtId="0" fontId="113" fillId="0" borderId="0" xfId="0" applyFont="1"/>
    <xf numFmtId="16" fontId="59" fillId="2" borderId="0" xfId="0" applyNumberFormat="1" applyFont="1" applyFill="1" applyAlignment="1">
      <alignment horizontal="left"/>
    </xf>
    <xf numFmtId="9" fontId="64" fillId="2" borderId="0" xfId="5" applyFont="1" applyFill="1"/>
    <xf numFmtId="0" fontId="113" fillId="17" borderId="0" xfId="0" applyFont="1" applyFill="1"/>
    <xf numFmtId="0" fontId="22" fillId="9" borderId="0" xfId="0" applyFont="1" applyFill="1"/>
    <xf numFmtId="0" fontId="103" fillId="9" borderId="0" xfId="0" applyFont="1" applyFill="1"/>
    <xf numFmtId="0" fontId="29" fillId="9" borderId="0" xfId="0" applyFont="1" applyFill="1"/>
    <xf numFmtId="16" fontId="57" fillId="0" borderId="0" xfId="0" applyNumberFormat="1" applyFont="1" applyAlignment="1">
      <alignment horizontal="left"/>
    </xf>
    <xf numFmtId="16" fontId="59" fillId="18" borderId="0" xfId="0" applyNumberFormat="1" applyFont="1" applyFill="1" applyAlignment="1">
      <alignment horizontal="left"/>
    </xf>
    <xf numFmtId="0" fontId="114" fillId="0" borderId="0" xfId="0" applyFont="1"/>
    <xf numFmtId="9" fontId="65" fillId="0" borderId="0" xfId="5" applyFont="1" applyFill="1"/>
    <xf numFmtId="0" fontId="115" fillId="19" borderId="0" xfId="0" applyFont="1" applyFill="1"/>
    <xf numFmtId="0" fontId="22" fillId="0" borderId="0" xfId="5" applyNumberFormat="1" applyFont="1"/>
    <xf numFmtId="0" fontId="64" fillId="2" borderId="0" xfId="0" applyFont="1" applyFill="1"/>
    <xf numFmtId="9" fontId="65" fillId="2" borderId="0" xfId="5" applyFont="1" applyFill="1"/>
    <xf numFmtId="9" fontId="116" fillId="0" borderId="0" xfId="5" applyFont="1"/>
    <xf numFmtId="0" fontId="115" fillId="17" borderId="0" xfId="0" applyFont="1" applyFill="1"/>
    <xf numFmtId="0" fontId="105" fillId="0" borderId="0" xfId="0" applyFont="1"/>
    <xf numFmtId="0" fontId="55" fillId="2" borderId="0" xfId="0" applyFont="1" applyFill="1"/>
    <xf numFmtId="0" fontId="117" fillId="0" borderId="0" xfId="0" applyFont="1"/>
    <xf numFmtId="0" fontId="58" fillId="17" borderId="0" xfId="0" applyFont="1" applyFill="1"/>
    <xf numFmtId="16" fontId="58" fillId="2" borderId="0" xfId="0" applyNumberFormat="1" applyFont="1" applyFill="1" applyAlignment="1">
      <alignment horizontal="left"/>
    </xf>
    <xf numFmtId="0" fontId="29" fillId="2" borderId="0" xfId="0" applyFont="1" applyFill="1"/>
    <xf numFmtId="0" fontId="65" fillId="2" borderId="0" xfId="0" applyFont="1" applyFill="1"/>
    <xf numFmtId="0" fontId="20" fillId="2" borderId="0" xfId="0" applyFont="1" applyFill="1"/>
    <xf numFmtId="9" fontId="22" fillId="0" borderId="0" xfId="5" applyFont="1" applyAlignment="1">
      <alignment horizontal="center"/>
    </xf>
    <xf numFmtId="0" fontId="88" fillId="0" borderId="0" xfId="0" applyFont="1" applyAlignment="1">
      <alignment horizontal="left" vertical="center"/>
    </xf>
    <xf numFmtId="0" fontId="91" fillId="0" borderId="0" xfId="0" applyFont="1" applyAlignment="1">
      <alignment horizontal="center"/>
    </xf>
    <xf numFmtId="0" fontId="73" fillId="0" borderId="0" xfId="0" applyFont="1"/>
    <xf numFmtId="0" fontId="67" fillId="0" borderId="0" xfId="0" applyFont="1" applyAlignment="1">
      <alignment horizontal="left"/>
    </xf>
    <xf numFmtId="14" fontId="22" fillId="0" borderId="2" xfId="0" applyNumberFormat="1" applyFont="1" applyBorder="1" applyAlignment="1">
      <alignment horizontal="left"/>
    </xf>
    <xf numFmtId="14" fontId="64" fillId="0" borderId="2" xfId="0" applyNumberFormat="1" applyFont="1" applyBorder="1" applyAlignment="1">
      <alignment horizontal="left"/>
    </xf>
    <xf numFmtId="14" fontId="68" fillId="2" borderId="0" xfId="0" applyNumberFormat="1" applyFont="1" applyFill="1" applyAlignment="1">
      <alignment horizontal="left"/>
    </xf>
    <xf numFmtId="0" fontId="68" fillId="2" borderId="0" xfId="0" applyFont="1" applyFill="1" applyAlignment="1">
      <alignment horizontal="left"/>
    </xf>
    <xf numFmtId="0" fontId="20" fillId="8" borderId="0" xfId="0" applyFont="1" applyFill="1" applyAlignment="1">
      <alignment horizontal="center"/>
    </xf>
    <xf numFmtId="9" fontId="59" fillId="0" borderId="0" xfId="0" applyNumberFormat="1" applyFont="1"/>
    <xf numFmtId="9" fontId="65" fillId="0" borderId="0" xfId="0" applyNumberFormat="1" applyFont="1"/>
    <xf numFmtId="9" fontId="65" fillId="0" borderId="0" xfId="5" applyFont="1"/>
    <xf numFmtId="0" fontId="58" fillId="2" borderId="0" xfId="0" applyFont="1" applyFill="1" applyAlignment="1">
      <alignment horizontal="center"/>
    </xf>
    <xf numFmtId="0" fontId="118" fillId="16" borderId="5" xfId="0" applyFont="1" applyFill="1" applyBorder="1" applyAlignment="1">
      <alignment horizontal="left"/>
    </xf>
    <xf numFmtId="0" fontId="118" fillId="0" borderId="5" xfId="0" applyFont="1" applyBorder="1" applyAlignment="1">
      <alignment horizontal="left"/>
    </xf>
    <xf numFmtId="0" fontId="78" fillId="25" borderId="0" xfId="0" applyFont="1" applyFill="1" applyAlignment="1">
      <alignment horizontal="center" vertical="center" wrapText="1"/>
    </xf>
    <xf numFmtId="0" fontId="55" fillId="25" borderId="0" xfId="0" applyFont="1" applyFill="1" applyAlignment="1">
      <alignment horizontal="center" vertical="top" wrapText="1"/>
    </xf>
    <xf numFmtId="0" fontId="120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14" fontId="29" fillId="0" borderId="0" xfId="0" applyNumberFormat="1" applyFont="1" applyAlignment="1">
      <alignment horizontal="left" wrapText="1"/>
    </xf>
    <xf numFmtId="0" fontId="7" fillId="0" borderId="0" xfId="0" applyFont="1" applyAlignment="1" applyProtection="1">
      <alignment horizontal="center"/>
      <protection locked="0" hidden="1"/>
    </xf>
    <xf numFmtId="3" fontId="17" fillId="2" borderId="0" xfId="0" applyNumberFormat="1" applyFont="1" applyFill="1"/>
    <xf numFmtId="0" fontId="20" fillId="8" borderId="0" xfId="0" applyFont="1" applyFill="1" applyAlignment="1">
      <alignment horizontal="left"/>
    </xf>
    <xf numFmtId="22" fontId="55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22" fontId="57" fillId="0" borderId="0" xfId="0" applyNumberFormat="1" applyFont="1" applyAlignment="1">
      <alignment horizontal="center"/>
    </xf>
    <xf numFmtId="165" fontId="104" fillId="0" borderId="0" xfId="2" quotePrefix="1" applyNumberFormat="1" applyFont="1" applyFill="1" applyAlignment="1" applyProtection="1">
      <alignment horizontal="right"/>
      <protection locked="0" hidden="1"/>
    </xf>
    <xf numFmtId="22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Font="1" applyAlignment="1" applyProtection="1">
      <alignment horizontal="left"/>
      <protection locked="0" hidden="1"/>
    </xf>
  </cellXfs>
  <cellStyles count="9">
    <cellStyle name="Hipervínculo" xfId="2" builtinId="8"/>
    <cellStyle name="Millares" xfId="1" builtinId="3"/>
    <cellStyle name="Millares 2" xfId="3" xr:uid="{171A9411-FA52-4492-8FF4-53C5A1FA3807}"/>
    <cellStyle name="Millares 2 2" xfId="8" xr:uid="{BEC78220-91A9-4377-AEAD-676E90447308}"/>
    <cellStyle name="Millares 3" xfId="4" xr:uid="{1E74F7B6-39E4-4290-8171-3FF9AFCB9B99}"/>
    <cellStyle name="Millares 4" xfId="6" xr:uid="{3E2B6F66-B0D4-4614-AEAE-3FE29E0E682F}"/>
    <cellStyle name="Millares 5" xfId="7" xr:uid="{8388626C-2663-4CCB-B4F9-722BDA79445C}"/>
    <cellStyle name="Normal" xfId="0" builtinId="0"/>
    <cellStyle name="Porcentaje" xfId="5" builtinId="5"/>
  </cellStyles>
  <dxfs count="159"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[$$-409]* #,##0.00_ ;_-[$$-409]* \-#,##0.00\ ;_-[$$-409]* &quot;-&quot;??_ ;_-@_ "/>
    </dxf>
    <dxf>
      <numFmt numFmtId="173" formatCode="[$-416]dd\-mmm\-yy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C00000"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1" formatCode="[$$-45C]#,##0.00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C00000"/>
      </font>
    </dxf>
    <dxf>
      <font>
        <color rgb="FFC00000"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theme="2" tint="-0.749992370372631"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alignment horizontal="right"/>
    </dxf>
    <dxf>
      <fill>
        <patternFill patternType="solid">
          <bgColor rgb="FFFFFF00"/>
        </patternFill>
      </fill>
    </dxf>
    <dxf>
      <font>
        <b/>
        <outline val="0"/>
        <shadow val="0"/>
        <vertAlign val="baseline"/>
        <sz val="10"/>
      </font>
    </dxf>
    <dxf>
      <font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</dxf>
    <dxf>
      <font>
        <outline val="0"/>
        <shadow val="0"/>
        <vertAlign val="baseline"/>
        <sz val="10"/>
      </font>
    </dxf>
    <dxf>
      <font>
        <outline val="0"/>
        <shadow val="0"/>
        <vertAlign val="baseline"/>
        <sz val="10"/>
      </font>
    </dxf>
    <dxf>
      <font>
        <outline val="0"/>
        <shadow val="0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family val="2"/>
        <scheme val="none"/>
      </font>
      <numFmt numFmtId="164" formatCode="_(* #,##0.00_);_(* \(#,##0.00\);_(* &quot;-&quot;??_);_(@_)"/>
      <fill>
        <patternFill patternType="solid">
          <fgColor rgb="FF000000"/>
          <bgColor rgb="FFFFFFFF"/>
        </patternFill>
      </fill>
      <alignment horizontal="right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</dxf>
    <dxf>
      <font>
        <b/>
        <outline val="0"/>
        <shadow val="0"/>
        <vertAlign val="baseline"/>
        <sz val="10"/>
      </font>
      <alignment horizontal="center" textRotation="0" indent="0" justifyLastLine="0" shrinkToFit="0" readingOrder="0"/>
    </dxf>
    <dxf>
      <font>
        <outline val="0"/>
        <shadow val="0"/>
        <vertAlign val="baseline"/>
        <sz val="10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Helvetica"/>
        <family val="2"/>
        <scheme val="none"/>
      </font>
      <numFmt numFmtId="168" formatCode="[$-416]mmm\-yy;@"/>
      <alignment horizontal="left" vertical="bottom" textRotation="0" wrapText="0" indent="0" justifyLastLine="0" shrinkToFit="0" readingOrder="0"/>
      <protection locked="1" hidden="1"/>
    </dxf>
    <dxf>
      <font>
        <outline val="0"/>
        <shadow val="0"/>
        <vertAlign val="baseline"/>
        <sz val="10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5" formatCode="0.000"/>
      <alignment horizontal="left" vertical="bottom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scheme val="none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  <protection locked="0" hidden="1"/>
    </dxf>
    <dxf>
      <font>
        <outline val="0"/>
        <shadow val="0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5" formatCode="0.000"/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0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strike val="0"/>
        <outline val="0"/>
        <shadow val="0"/>
        <u val="none"/>
        <vertAlign val="baseline"/>
        <sz val="10"/>
      </font>
      <numFmt numFmtId="19" formatCode="dd/mm/yyyy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76" formatCode="mmmm\,\ yyyy;@"/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Helvetica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"/>
        <scheme val="none"/>
      </font>
      <numFmt numFmtId="19" formatCode="dd/mm/yyyy"/>
      <alignment horizontal="left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0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5" formatCode="0.000"/>
      <alignment horizontal="left" vertical="bottom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5" formatCode="0.000"/>
      <alignment horizontal="left" vertical="bottom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numFmt numFmtId="165" formatCode="0.000"/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"/>
        <scheme val="none"/>
      </font>
      <numFmt numFmtId="165" formatCode="0.000"/>
      <alignment horizontal="left" vertical="bottom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  <color rgb="FFFFFF00"/>
      <color rgb="FFFF0000"/>
      <color rgb="FFFF33CC"/>
      <color rgb="FFDDDDDD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</c:strLit>
          </c:cat>
          <c:val>
            <c:numLit>
              <c:formatCode>General</c:formatCode>
              <c:ptCount val="11"/>
              <c:pt idx="0">
                <c:v>13445</c:v>
              </c:pt>
              <c:pt idx="1">
                <c:v>11029.5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25926</c:v>
              </c:pt>
              <c:pt idx="7">
                <c:v>2335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740-4BD8-BDFA-91934780538E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</c:strLit>
          </c:cat>
          <c: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115980</c:v>
              </c:pt>
              <c:pt idx="3">
                <c:v>0</c:v>
              </c:pt>
              <c:pt idx="4">
                <c:v>20154</c:v>
              </c:pt>
              <c:pt idx="5">
                <c:v>5906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740-4BD8-BDFA-91934780538E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</c:strLit>
          </c:cat>
          <c:val>
            <c:numLit>
              <c:formatCode>General</c:formatCode>
              <c:ptCount val="11"/>
              <c:pt idx="0">
                <c:v>9275</c:v>
              </c:pt>
              <c:pt idx="1">
                <c:v>5250</c:v>
              </c:pt>
              <c:pt idx="2">
                <c:v>60005</c:v>
              </c:pt>
              <c:pt idx="3">
                <c:v>17406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36990</c:v>
              </c:pt>
              <c:pt idx="9">
                <c:v>11680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740-4BD8-BDFA-91934780538E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</c:strLit>
          </c:cat>
          <c: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13061</c:v>
              </c:pt>
              <c:pt idx="3">
                <c:v>3375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1105</c:v>
              </c:pt>
            </c:numLit>
          </c:val>
          <c:extLst>
            <c:ext xmlns:c16="http://schemas.microsoft.com/office/drawing/2014/chart" uri="{C3380CC4-5D6E-409C-BE32-E72D297353CC}">
              <c16:uniqueId val="{00000000-F557-44B5-928D-12C3F2A6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93936"/>
        <c:axId val="51092976"/>
      </c:barChart>
      <c:catAx>
        <c:axId val="510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2976"/>
        <c:crosses val="autoZero"/>
        <c:auto val="1"/>
        <c:lblAlgn val="ctr"/>
        <c:lblOffset val="100"/>
        <c:noMultiLvlLbl val="0"/>
      </c:catAx>
      <c:valAx>
        <c:axId val="510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fev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13445</c:v>
              </c:pt>
              <c:pt idx="1">
                <c:v>11029.5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25926</c:v>
              </c:pt>
              <c:pt idx="7">
                <c:v>2335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365-4444-AA4D-894EFA3F9265}"/>
            </c:ext>
          </c:extLst>
        </c:ser>
        <c:ser>
          <c:idx val="1"/>
          <c:order val="1"/>
          <c:tx>
            <c:v>mar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115980</c:v>
              </c:pt>
              <c:pt idx="3">
                <c:v>0</c:v>
              </c:pt>
              <c:pt idx="4">
                <c:v>20154</c:v>
              </c:pt>
              <c:pt idx="5">
                <c:v>5906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365-4444-AA4D-894EFA3F9265}"/>
            </c:ext>
          </c:extLst>
        </c:ser>
        <c:ser>
          <c:idx val="2"/>
          <c:order val="2"/>
          <c:tx>
            <c:v>abr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9275</c:v>
              </c:pt>
              <c:pt idx="1">
                <c:v>5250</c:v>
              </c:pt>
              <c:pt idx="2">
                <c:v>60005</c:v>
              </c:pt>
              <c:pt idx="3">
                <c:v>17406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36990</c:v>
              </c:pt>
              <c:pt idx="9">
                <c:v>11680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365-4444-AA4D-894EFA3F9265}"/>
            </c:ext>
          </c:extLst>
        </c:ser>
        <c:ser>
          <c:idx val="3"/>
          <c:order val="3"/>
          <c:tx>
            <c:v>mai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13061</c:v>
              </c:pt>
              <c:pt idx="3">
                <c:v>10735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1105</c:v>
              </c:pt>
              <c:pt idx="11">
                <c:v>12178</c:v>
              </c:pt>
              <c:pt idx="12">
                <c:v>4543</c:v>
              </c:pt>
            </c:numLit>
          </c:val>
          <c:extLst>
            <c:ext xmlns:c16="http://schemas.microsoft.com/office/drawing/2014/chart" uri="{C3380CC4-5D6E-409C-BE32-E72D297353CC}">
              <c16:uniqueId val="{00000003-F365-4444-AA4D-894EFA3F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93936"/>
        <c:axId val="51092976"/>
      </c:barChart>
      <c:catAx>
        <c:axId val="510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2976"/>
        <c:crosses val="autoZero"/>
        <c:auto val="1"/>
        <c:lblAlgn val="ctr"/>
        <c:lblOffset val="100"/>
        <c:noMultiLvlLbl val="0"/>
      </c:catAx>
      <c:valAx>
        <c:axId val="510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fev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13445</c:v>
              </c:pt>
              <c:pt idx="1">
                <c:v>11029.5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25926</c:v>
              </c:pt>
              <c:pt idx="7">
                <c:v>2335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B3-4F9C-AC78-081C95F8B74B}"/>
            </c:ext>
          </c:extLst>
        </c:ser>
        <c:ser>
          <c:idx val="1"/>
          <c:order val="1"/>
          <c:tx>
            <c:v>mar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115980</c:v>
              </c:pt>
              <c:pt idx="3">
                <c:v>0</c:v>
              </c:pt>
              <c:pt idx="4">
                <c:v>20154</c:v>
              </c:pt>
              <c:pt idx="5">
                <c:v>5906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CB3-4F9C-AC78-081C95F8B74B}"/>
            </c:ext>
          </c:extLst>
        </c:ser>
        <c:ser>
          <c:idx val="2"/>
          <c:order val="2"/>
          <c:tx>
            <c:v>abr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9275</c:v>
              </c:pt>
              <c:pt idx="1">
                <c:v>5250</c:v>
              </c:pt>
              <c:pt idx="2">
                <c:v>60005</c:v>
              </c:pt>
              <c:pt idx="3">
                <c:v>17406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36990</c:v>
              </c:pt>
              <c:pt idx="9">
                <c:v>11680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CB3-4F9C-AC78-081C95F8B74B}"/>
            </c:ext>
          </c:extLst>
        </c:ser>
        <c:ser>
          <c:idx val="3"/>
          <c:order val="3"/>
          <c:tx>
            <c:v>mai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Comercializadora SL Sunlock LTDA</c:v>
              </c:pt>
              <c:pt idx="1">
                <c:v>David Moreno (Heaven)</c:v>
              </c:pt>
              <c:pt idx="2">
                <c:v>Divino Sociedad Anonima</c:v>
              </c:pt>
              <c:pt idx="3">
                <c:v>Flex Equipos De Descanso</c:v>
              </c:pt>
              <c:pt idx="4">
                <c:v>Grupo Empresarial Maxi King S.R.L.</c:v>
              </c:pt>
              <c:pt idx="5">
                <c:v>Inmapol (Industria de la Madera y el Poliuretano)</c:v>
              </c:pt>
              <c:pt idx="6">
                <c:v>Productos Paraiso del Ecuador</c:v>
              </c:pt>
              <c:pt idx="7">
                <c:v>Sea Trading Company SA (MATERASSI)</c:v>
              </c:pt>
              <c:pt idx="8">
                <c:v>BED TIME</c:v>
              </c:pt>
              <c:pt idx="9">
                <c:v>Distribuidora Caseros</c:v>
              </c:pt>
              <c:pt idx="10">
                <c:v>YP  S.A. (Grupo Suenolar) </c:v>
              </c:pt>
              <c:pt idx="11">
                <c:v>SUPERSPUMA PARAGUAY (SAECA)</c:v>
              </c:pt>
              <c:pt idx="12">
                <c:v>SUNLOCK SPA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13061</c:v>
              </c:pt>
              <c:pt idx="3">
                <c:v>10735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1105</c:v>
              </c:pt>
              <c:pt idx="11">
                <c:v>12178</c:v>
              </c:pt>
              <c:pt idx="12">
                <c:v>4543</c:v>
              </c:pt>
            </c:numLit>
          </c:val>
          <c:extLst>
            <c:ext xmlns:c16="http://schemas.microsoft.com/office/drawing/2014/chart" uri="{C3380CC4-5D6E-409C-BE32-E72D297353CC}">
              <c16:uniqueId val="{00000003-ECB3-4F9C-AC78-081C95F8B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93936"/>
        <c:axId val="51092976"/>
      </c:barChart>
      <c:catAx>
        <c:axId val="510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2976"/>
        <c:crosses val="autoZero"/>
        <c:auto val="1"/>
        <c:lblAlgn val="ctr"/>
        <c:lblOffset val="100"/>
        <c:noMultiLvlLbl val="0"/>
      </c:catAx>
      <c:valAx>
        <c:axId val="510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76200</xdr:rowOff>
    </xdr:from>
    <xdr:to>
      <xdr:col>34</xdr:col>
      <xdr:colOff>152400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23FF71-9392-B17B-E266-E546177E2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</xdr:row>
      <xdr:rowOff>76200</xdr:rowOff>
    </xdr:from>
    <xdr:to>
      <xdr:col>27</xdr:col>
      <xdr:colOff>152400</xdr:colOff>
      <xdr:row>23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BD79A5-94AE-4220-9D68-47EA42779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</xdr:row>
      <xdr:rowOff>76200</xdr:rowOff>
    </xdr:from>
    <xdr:to>
      <xdr:col>27</xdr:col>
      <xdr:colOff>152400</xdr:colOff>
      <xdr:row>23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536A93C-FEB3-429C-B683-E13FCB6A2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y.martinez\Documents\PEDIDOS%20CLIENTES\Back-up%20de%20pedidos\C&#243;pia%20de%20PEDIDOS-FOLLOW_UP-V2-%20Fx-%20Venciment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5810.726377662038" createdVersion="8" refreshedVersion="8" minRefreshableVersion="3" recordCount="81" xr:uid="{96F6805D-3EE3-48D1-B4A3-ACF8ACE9F623}">
  <cacheSource type="worksheet">
    <worksheetSource name="Tabela1" r:id="rId2"/>
  </cacheSource>
  <cacheFields count="18">
    <cacheField name="PRO-FORM_x000a_ INVOICE NBR." numFmtId="2">
      <sharedItems containsBlank="1"/>
    </cacheField>
    <cacheField name="CLIENTE" numFmtId="0">
      <sharedItems containsBlank="1" count="15">
        <s v="David Moreno (Heaven)"/>
        <s v="Inmapol (Industria de la Madera y el Poliuretano)"/>
        <s v="Productos Paraiso del Ecuador"/>
        <s v="Sea Trading Company SA (MATERASSI)"/>
        <s v="Divino Sociedad Anonima"/>
        <s v="Flex Equipos De Descanso"/>
        <s v="Comercializadora SL Sunlock LTDA"/>
        <s v="Grupo Empresarial Maxi King S.R.L."/>
        <s v="Distribuidora Caseros"/>
        <s v="BED TIME"/>
        <s v="YP  S.A. (Grupo Suenolar) "/>
        <s v="SUPERSPUMA PARAGUAY (SAECA)"/>
        <s v="SUNLOCK SPA"/>
        <m/>
        <s v="Distribuidora Caseiros" u="1"/>
      </sharedItems>
    </cacheField>
    <cacheField name="PAIS" numFmtId="0">
      <sharedItems containsBlank="1" count="7">
        <s v="Bolivia"/>
        <s v="Paraguay"/>
        <s v="Ecuador"/>
        <s v="Uruguay"/>
        <s v="Chile"/>
        <s v="Argentina"/>
        <m/>
      </sharedItems>
    </cacheField>
    <cacheField name="DATA PRO-FORMA" numFmtId="14">
      <sharedItems containsNonDate="0" containsDate="1" containsString="0" containsBlank="1" minDate="2025-02-03T00:00:00" maxDate="2025-05-30T00:00:00" count="23">
        <d v="2025-02-13T00:00:00"/>
        <d v="2025-03-06T00:00:00"/>
        <d v="2025-02-24T00:00:00"/>
        <d v="2025-02-06T00:00:00"/>
        <d v="2025-03-13T00:00:00"/>
        <d v="2025-04-09T00:00:00"/>
        <d v="2025-04-07T00:00:00"/>
        <d v="2025-02-03T00:00:00"/>
        <d v="2025-03-27T00:00:00"/>
        <d v="2025-03-26T00:00:00"/>
        <d v="2025-04-14T00:00:00"/>
        <d v="2025-04-16T00:00:00"/>
        <d v="2025-04-22T00:00:00"/>
        <d v="2025-04-24T00:00:00"/>
        <d v="2025-04-25T00:00:00"/>
        <d v="2025-04-28T00:00:00"/>
        <d v="2025-04-29T00:00:00"/>
        <d v="2025-05-06T00:00:00"/>
        <d v="2025-05-15T00:00:00"/>
        <d v="2025-05-19T00:00:00"/>
        <d v="2025-05-28T00:00:00"/>
        <d v="2025-05-29T00:00:00"/>
        <m/>
      </sharedItems>
      <fieldGroup par="17"/>
    </cacheField>
    <cacheField name="PROGRAM. MÊS" numFmtId="0">
      <sharedItems containsDate="1" containsBlank="1" containsMixedTypes="1" minDate="2025-06-01T00:00:00" maxDate="2025-06-02T00:00:00"/>
    </cacheField>
    <cacheField name="CODE/_x000a_FICHA TECNICA" numFmtId="0">
      <sharedItems containsBlank="1" containsMixedTypes="1" containsNumber="1" containsInteger="1" minValue="1705" maxValue="3520004"/>
    </cacheField>
    <cacheField name="COD. TOTVS" numFmtId="0">
      <sharedItems containsBlank="1" containsMixedTypes="1" containsNumber="1" containsInteger="1" minValue="1705" maxValue="3200015"/>
    </cacheField>
    <cacheField name="NÚM. PEDIDO_x000a_TOTVS" numFmtId="0">
      <sharedItems containsBlank="1" containsMixedTypes="1" containsNumber="1" containsInteger="1" minValue="6752" maxValue="7179"/>
    </cacheField>
    <cacheField name="DESCRIPÇÃO" numFmtId="0">
      <sharedItems containsBlank="1"/>
    </cacheField>
    <cacheField name="MTS" numFmtId="0">
      <sharedItems containsString="0" containsBlank="1" containsNumber="1" containsInteger="1" minValue="100" maxValue="13000"/>
    </cacheField>
    <cacheField name="KGS" numFmtId="3">
      <sharedItems containsBlank="1" containsMixedTypes="1" containsNumber="1" containsInteger="1" minValue="200" maxValue="7000"/>
    </cacheField>
    <cacheField name="PREÇO" numFmtId="0">
      <sharedItems containsBlank="1" containsMixedTypes="1" containsNumber="1" minValue="1.2" maxValue="6.49"/>
    </cacheField>
    <cacheField name="TOTAL US$" numFmtId="0">
      <sharedItems containsString="0" containsBlank="1" containsNumber="1" minValue="1100" maxValue="26000"/>
    </cacheField>
    <cacheField name="CONTATO" numFmtId="0">
      <sharedItems containsBlank="1"/>
    </cacheField>
    <cacheField name="E-MAIL" numFmtId="0">
      <sharedItems containsBlank="1"/>
    </cacheField>
    <cacheField name="FONE" numFmtId="0">
      <sharedItems containsBlank="1"/>
    </cacheField>
    <cacheField name="Dias (DATA PRO-FORMA)" numFmtId="0" databaseField="0">
      <fieldGroup base="3">
        <rangePr groupBy="days" startDate="2025-02-03T00:00:00" endDate="2025-05-30T00:00:00"/>
        <groupItems count="368">
          <s v="&lt;03/02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05/2025"/>
        </groupItems>
      </fieldGroup>
    </cacheField>
    <cacheField name="Meses (DATA PRO-FORMA)" numFmtId="0" databaseField="0">
      <fieldGroup base="3">
        <rangePr groupBy="months" startDate="2025-02-03T00:00:00" endDate="2025-05-30T00:00:00"/>
        <groupItems count="14">
          <s v="&lt;03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62.393976620369" createdVersion="8" refreshedVersion="8" minRefreshableVersion="3" recordCount="56" xr:uid="{662C935B-165A-4494-AB84-9A4F5C59AD51}">
  <cacheSource type="worksheet">
    <worksheetSource name="Tabela13"/>
  </cacheSource>
  <cacheFields count="18">
    <cacheField name="PROFORM /INVOICE_x000a_NBR" numFmtId="0">
      <sharedItems count="56">
        <s v="025.26"/>
        <s v="034.26"/>
        <s v="028.26"/>
        <s v="222.25"/>
        <s v="031.26"/>
        <s v="003.26"/>
        <s v="005.26"/>
        <s v="019.26"/>
        <s v="007.26"/>
        <s v="027.26"/>
        <s v="217.25"/>
        <s v="221.25"/>
        <s v="009.26"/>
        <s v="008.26"/>
        <s v="006.26"/>
        <s v="010.26"/>
        <s v="032.26"/>
        <s v="016.26 Rv2"/>
        <s v="024.26"/>
        <s v="022.26 Rev2"/>
        <s v="020.26"/>
        <s v="004.26"/>
        <s v="015.26 + C"/>
        <s v="014.26"/>
        <s v="012.26"/>
        <s v="013.26"/>
        <s v="011.26"/>
        <s v="017.26"/>
        <s v="021.26"/>
        <s v="018.26"/>
        <s v="023.26"/>
        <s v="035.26"/>
        <s v="038.26"/>
        <s v="036.26"/>
        <s v="026.26"/>
        <s v="037.26"/>
        <s v="026.26 C"/>
        <s v="039.26"/>
        <s v="041.26"/>
        <s v="033.26"/>
        <s v="029.26"/>
        <s v="040.26"/>
        <s v="042.26"/>
        <s v="044.26"/>
        <s v="046.26"/>
        <s v="043.26a"/>
        <s v="030.26"/>
        <s v="047.26"/>
        <s v="049.26"/>
        <s v="050.26"/>
        <s v="051.26"/>
        <s v="055.26"/>
        <s v="052.26"/>
        <s v="054.26"/>
        <s v="053.26"/>
        <s v="056.26"/>
      </sharedItems>
    </cacheField>
    <cacheField name="CLIENTE" numFmtId="165">
      <sharedItems count="25">
        <s v="MULTIESPUMAS VISCARRA"/>
        <s v="LIMANSKY"/>
        <s v="DIVINO"/>
        <s v="Flex Equipos De Descanso"/>
        <s v="SUNLOCK SPA"/>
        <s v="LAMITEX S.A."/>
        <s v="COLCHONES DEL PARAGUAY"/>
        <s v="DIST. CASEROS"/>
        <s v="TEXTIL FIBREX"/>
        <s v="INDUCOL"/>
        <s v="SIMMONS ARGENTINA "/>
        <s v="BEDTIME"/>
        <s v="SUPERSPUMA DEL PARAGUAY"/>
        <s v="POLYMAX EL GALO"/>
        <s v="PARAISO DEL ECUADOR"/>
        <s v="INDUSTRIAL REGAL"/>
        <s v="ATLAS EAS"/>
        <s v="TEC NIPONA PERÚ  (AMAZHEL)"/>
        <s v="FRAZADAS ARTESANALES "/>
        <s v="SEA TRADING"/>
        <s v="MANTAHUE SPA  (Heraldo Castro)"/>
        <s v="COLOR LIVING"/>
        <s v="AGT - AMERICAN GARMENT TEXTIL"/>
        <s v="YP  S.A.    (SUEÑOLAR)"/>
        <s v="ESPUMIX SPA"/>
      </sharedItems>
    </cacheField>
    <cacheField name="DATA _x000a_PROFORMA/PEDIDO " numFmtId="14">
      <sharedItems containsSemiMixedTypes="0" containsNonDate="0" containsDate="1" containsString="0" minDate="2025-11-10T00:00:00" maxDate="2026-08-27T00:00:00" count="45">
        <d v="2026-04-29T00:00:00"/>
        <d v="2026-06-11T00:00:00"/>
        <d v="2026-05-15T00:00:00"/>
        <d v="2025-12-11T00:00:00"/>
        <d v="2026-05-25T00:00:00"/>
        <d v="2025-12-19T00:00:00"/>
        <d v="2026-01-09T00:00:00"/>
        <d v="2026-03-18T00:00:00"/>
        <d v="2026-01-16T00:00:00"/>
        <d v="2026-05-14T00:00:00"/>
        <d v="2025-11-10T00:00:00"/>
        <d v="2026-01-30T00:00:00"/>
        <d v="2026-01-26T00:00:00"/>
        <d v="2026-02-13T00:00:00"/>
        <d v="2026-06-09T00:00:00"/>
        <d v="2026-04-06T00:00:00"/>
        <d v="2026-03-31T00:00:00"/>
        <d v="2026-03-25T00:00:00"/>
        <d v="2026-03-19T00:00:00"/>
        <d v="2026-03-10T00:00:00"/>
        <d v="2026-03-06T00:00:00"/>
        <d v="2026-02-25T00:00:00"/>
        <d v="2026-03-03T00:00:00"/>
        <d v="2026-02-24T00:00:00"/>
        <d v="2026-03-13T00:00:00"/>
        <d v="2026-03-20T00:00:00"/>
        <d v="2026-05-24T00:00:00"/>
        <d v="2026-06-12T00:00:00"/>
        <d v="2026-06-23T00:00:00"/>
        <d v="2026-06-26T00:00:00"/>
        <d v="2026-07-01T00:00:00"/>
        <d v="2026-06-24T00:00:00"/>
        <d v="2026-06-29T00:00:00"/>
        <d v="2026-07-07T00:00:00"/>
        <d v="2026-07-10T00:00:00"/>
        <d v="2026-07-17T00:00:00"/>
        <d v="2026-05-21T00:00:00"/>
        <d v="2026-07-21T00:00:00"/>
        <d v="2026-07-28T00:00:00"/>
        <d v="2026-08-10T00:00:00"/>
        <d v="2026-08-12T00:00:00"/>
        <d v="2026-08-20T00:00:00"/>
        <d v="2026-08-21T00:00:00"/>
        <d v="2026-08-26T00:00:00"/>
        <d v="2026-08-25T00:00:00"/>
      </sharedItems>
    </cacheField>
    <cacheField name="DATA DE ENVIO - 30 D_x000a_STATUS" numFmtId="14">
      <sharedItems containsDate="1" containsMixedTypes="1" minDate="2026-07-10T00:00:00" maxDate="2026-10-14T00:00:00"/>
    </cacheField>
    <cacheField name="NÚM. PEDIDO_x000a_TOTVS" numFmtId="0">
      <sharedItems containsBlank="1" containsMixedTypes="1" containsNumber="1" containsInteger="1" minValue="8863" maxValue="11137"/>
    </cacheField>
    <cacheField name="TOTAL METROS" numFmtId="0">
      <sharedItems containsSemiMixedTypes="0" containsString="0" containsNumber="1" containsInteger="1" minValue="150" maxValue="44000"/>
    </cacheField>
    <cacheField name="DATA ESTIMADA PCP _x000a_(PDN/ACAB./MALH.)" numFmtId="0">
      <sharedItems containsDate="1" containsMixedTypes="1" minDate="2026-02-04T00:00:00" maxDate="2026-10-14T00:00:00"/>
    </cacheField>
    <cacheField name="DÍAS _x000a_ATRASO vs._x000a_PCP" numFmtId="0">
      <sharedItems containsMixedTypes="1" containsNumber="1" containsInteger="1" minValue="-14" maxValue="11"/>
    </cacheField>
    <cacheField name="SEPARAÇÃO_x000a_ EXPEDIÇÃO/ _x000a_ROMANEIO" numFmtId="0">
      <sharedItems containsBlank="1"/>
    </cacheField>
    <cacheField name="FATURAMENTO" numFmtId="0">
      <sharedItems containsBlank="1"/>
    </cacheField>
    <cacheField name="INVOICE/_x000a_PACK LIST" numFmtId="0">
      <sharedItems containsBlank="1"/>
    </cacheField>
    <cacheField name="CERT. _x000a_ORIGEM" numFmtId="0">
      <sharedItems containsBlank="1"/>
    </cacheField>
    <cacheField name="COLETA/_x000a_DESPACHO" numFmtId="14">
      <sharedItems containsDate="1" containsBlank="1" containsMixedTypes="1" minDate="2026-02-06T00:00:00" maxDate="2026-09-15T00:00:00"/>
    </cacheField>
    <cacheField name="TRANSPORT" numFmtId="0">
      <sharedItems containsBlank="1"/>
    </cacheField>
    <cacheField name="PREVISÃO/DATA_x000a_ENTREGA" numFmtId="0">
      <sharedItems containsDate="1" containsBlank="1" containsMixedTypes="1" minDate="2026-02-01T00:00:00" maxDate="2026-09-23T00:00:00"/>
    </cacheField>
    <cacheField name="CHECK-UP_x000a_RECEBIMENTO" numFmtId="0">
      <sharedItems containsBlank="1"/>
    </cacheField>
    <cacheField name="INVOICE _x000a_DESPACHO 1º/2ºenvio " numFmtId="0">
      <sharedItems containsBlank="1"/>
    </cacheField>
    <cacheField name="OBSERVAÇÃO/PROXIMO PASS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4.412656250002" createdVersion="6" refreshedVersion="8" minRefreshableVersion="3" recordCount="386" xr:uid="{1E1276FD-57D5-4D00-AC5F-64F9A4EFC6B7}">
  <cacheSource type="worksheet">
    <worksheetSource ref="A4:T390" sheet="Detalhes  pedidos"/>
  </cacheSource>
  <cacheFields count="20">
    <cacheField name="PRO-FORM_x000a_NBR." numFmtId="0">
      <sharedItems/>
    </cacheField>
    <cacheField name="CLIENTE" numFmtId="0">
      <sharedItems containsBlank="1" count="32">
        <s v="David Moreno (Heaven)"/>
        <s v="Inmapol (Industria de la Madera y el Poliuretano)"/>
        <s v="Productos Paraiso del Ecuador"/>
        <s v="Sea Trading Company SA (MATERASSI)"/>
        <s v="Divino Sociedad Anonima"/>
        <s v="Flex Equipos De Descanso"/>
        <s v="Comercializadora SL Sunlock LTDA"/>
        <s v="Grupo Empresarial Maxi King S.R.L."/>
        <s v="Distribuidora Caseros"/>
        <s v="BED TIME"/>
        <s v="YP  S.A. (Grupo Suenolar) "/>
        <s v="SUPERSPUMA PARAGUAY (SAECA)"/>
        <s v="SUNLOCK SPA"/>
        <s v="INDUCOL"/>
        <s v="Polymax - El Galo"/>
        <s v="PARAISO DEL ECUADOR"/>
        <s v="Springwall"/>
        <s v="Simmons Argentina"/>
        <s v="Multiespumas Viscarra"/>
        <s v="SERVAN EXPORT MANUF."/>
        <s v="COLCHONES PRINCE"/>
        <s v="Frazadas Artesanales (La Grande)"/>
        <s v="IMPORTADORA TERRA"/>
        <s v="LAMITEX S.A."/>
        <s v="SIMMONS ARGENTINA "/>
        <s v="Colchones del Paraguay SRL"/>
        <s v="BEDTIME"/>
        <s v="LIMANSKY, S.A."/>
        <s v="TEXTIL FIBREX"/>
        <s v="INDUSTRIAL REGAL"/>
        <s v="AGT - AMERICAN GARMENT TEXTIL"/>
        <m u="1"/>
      </sharedItems>
    </cacheField>
    <cacheField name="PAIS" numFmtId="0">
      <sharedItems containsBlank="1" count="11">
        <s v="Bolivia"/>
        <s v="Paraguay"/>
        <s v="Ecuador"/>
        <s v="Uruguay"/>
        <s v="Chile"/>
        <s v="Argentina"/>
        <s v="Brasil*"/>
        <s v="Perú"/>
        <s v="Venezuela"/>
        <s v="Cuba"/>
        <m u="1"/>
      </sharedItems>
    </cacheField>
    <cacheField name="COD _x000a_CLIENTE" numFmtId="0">
      <sharedItems containsString="0" containsBlank="1" containsNumber="1" containsInteger="1" minValue="316" maxValue="2171"/>
    </cacheField>
    <cacheField name="DATA _x000a_PRO-FORMA" numFmtId="14">
      <sharedItems containsSemiMixedTypes="0" containsNonDate="0" containsDate="1" containsString="0" minDate="2025-02-03T00:00:00" maxDate="2026-06-10T00:00:00" count="80">
        <d v="2025-02-13T00:00:00"/>
        <d v="2025-03-06T00:00:00"/>
        <d v="2025-02-24T00:00:00"/>
        <d v="2025-02-06T00:00:00"/>
        <d v="2025-03-13T00:00:00"/>
        <d v="2025-04-09T00:00:00"/>
        <d v="2025-04-07T00:00:00"/>
        <d v="2025-02-03T00:00:00"/>
        <d v="2025-03-27T00:00:00"/>
        <d v="2025-03-26T00:00:00"/>
        <d v="2025-04-14T00:00:00"/>
        <d v="2025-04-16T00:00:00"/>
        <d v="2025-04-22T00:00:00"/>
        <d v="2025-04-24T00:00:00"/>
        <d v="2025-04-25T00:00:00"/>
        <d v="2025-04-28T00:00:00"/>
        <d v="2025-04-29T00:00:00"/>
        <d v="2025-05-06T00:00:00"/>
        <d v="2025-05-15T00:00:00"/>
        <d v="2025-05-19T00:00:00"/>
        <d v="2025-05-28T00:00:00"/>
        <d v="2025-05-29T00:00:00"/>
        <d v="2025-06-02T00:00:00"/>
        <d v="2025-06-18T00:00:00"/>
        <d v="2025-07-03T00:00:00"/>
        <d v="2025-07-06T00:00:00"/>
        <d v="2025-07-10T00:00:00"/>
        <d v="2025-07-14T00:00:00"/>
        <d v="2025-07-15T00:00:00"/>
        <d v="2025-07-23T00:00:00"/>
        <d v="2025-07-25T00:00:00"/>
        <d v="2025-08-06T00:00:00"/>
        <d v="2025-08-11T00:00:00"/>
        <d v="2025-08-12T00:00:00"/>
        <d v="2025-08-21T00:00:00"/>
        <d v="2025-08-25T00:00:00"/>
        <d v="2025-09-04T00:00:00"/>
        <d v="2025-09-09T00:00:00"/>
        <d v="2025-09-12T00:00:00"/>
        <d v="2025-09-17T00:00:00"/>
        <d v="2025-09-24T00:00:00"/>
        <d v="2025-09-25T00:00:00"/>
        <d v="2025-10-07T00:00:00"/>
        <d v="2025-10-08T00:00:00"/>
        <d v="2025-10-09T00:00:00"/>
        <d v="2025-10-21T00:00:00"/>
        <d v="2025-10-20T00:00:00"/>
        <d v="2025-11-03T00:00:00"/>
        <d v="2025-11-07T00:00:00"/>
        <d v="2025-11-10T00:00:00"/>
        <d v="2025-11-18T00:00:00"/>
        <d v="2025-11-24T00:00:00"/>
        <d v="2025-11-27T00:00:00"/>
        <d v="2025-12-11T00:00:00"/>
        <d v="2025-12-19T00:00:00"/>
        <d v="2026-01-09T00:00:00"/>
        <d v="2026-01-16T00:00:00"/>
        <d v="2026-01-26T00:00:00"/>
        <d v="2026-01-30T00:00:00"/>
        <d v="2026-02-13T00:00:00"/>
        <d v="2026-02-24T00:00:00"/>
        <d v="2026-02-25T00:00:00"/>
        <d v="2026-03-03T00:00:00"/>
        <d v="2026-03-06T00:00:00"/>
        <d v="2026-03-10T00:00:00"/>
        <d v="2026-04-15T00:00:00"/>
        <d v="2026-03-13T00:00:00"/>
        <d v="2026-03-18T00:00:00"/>
        <d v="2026-03-19T00:00:00"/>
        <d v="2026-03-20T00:00:00"/>
        <d v="2026-04-06T00:00:00"/>
        <d v="2026-03-25T00:00:00"/>
        <d v="2026-03-31T00:00:00"/>
        <d v="2026-04-29T00:00:00"/>
        <d v="2026-05-13T00:00:00"/>
        <d v="2026-05-14T00:00:00"/>
        <d v="2026-05-15T00:00:00"/>
        <d v="2026-05-21T00:00:00"/>
        <d v="2026-05-25T00:00:00"/>
        <d v="2026-06-09T00:00:00"/>
      </sharedItems>
    </cacheField>
    <cacheField name="PROGRAM. _x000a_MÊS" numFmtId="168">
      <sharedItems containsSemiMixedTypes="0" containsNonDate="0" containsDate="1" containsString="0" minDate="2025-04-01T00:00:00" maxDate="2026-08-02T00:00:00"/>
    </cacheField>
    <cacheField name="CODE CLIENTE/_x000a_INTERNO" numFmtId="0">
      <sharedItems containsMixedTypes="1" containsNumber="1" minValue="303.00130000000001" maxValue="3520004"/>
    </cacheField>
    <cacheField name="TOTVS" numFmtId="0">
      <sharedItems containsBlank="1" containsMixedTypes="1" containsNumber="1" containsInteger="1" minValue="650" maxValue="3370008"/>
    </cacheField>
    <cacheField name="PEDIDO TOTVS" numFmtId="0">
      <sharedItems containsMixedTypes="1" containsNumber="1" containsInteger="1" minValue="6752" maxValue="10529"/>
    </cacheField>
    <cacheField name="DESCRIÇÃO" numFmtId="0">
      <sharedItems/>
    </cacheField>
    <cacheField name="MTS" numFmtId="0">
      <sharedItems containsString="0" containsBlank="1" containsNumber="1" containsInteger="1" minValue="113" maxValue="44000"/>
    </cacheField>
    <cacheField name="KGS" numFmtId="0">
      <sharedItems containsString="0" containsBlank="1" containsNumber="1" minValue="40" maxValue="14256"/>
    </cacheField>
    <cacheField name="PREÇO" numFmtId="0">
      <sharedItems containsString="0" containsBlank="1" containsNumber="1" minValue="1.3" maxValue="7.91"/>
    </cacheField>
    <cacheField name="TOTAL _x000a_US$" numFmtId="0">
      <sharedItems containsSemiMixedTypes="0" containsString="0" containsNumber="1" minValue="0" maxValue="67760"/>
    </cacheField>
    <cacheField name="CONTATO" numFmtId="0">
      <sharedItems containsBlank="1"/>
    </cacheField>
    <cacheField name="E-MAIL" numFmtId="0">
      <sharedItems containsBlank="1"/>
    </cacheField>
    <cacheField name="FONE" numFmtId="0">
      <sharedItems containsBlank="1"/>
    </cacheField>
    <cacheField name="OBS. " numFmtId="0">
      <sharedItems containsBlank="1"/>
    </cacheField>
    <cacheField name="STATUS _x000a_PRODUÇÃO" numFmtId="0">
      <sharedItems containsBlank="1"/>
    </cacheField>
    <cacheField name="OBS SOP" numFmtId="0">
      <sharedItems containsDate="1" containsBlank="1" containsMixedTypes="1" minDate="2026-03-24T00:00:00" maxDate="2026-08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5.489951620373" createdVersion="8" refreshedVersion="8" minRefreshableVersion="3" recordCount="506" xr:uid="{1D1A454C-2F0A-4037-A74A-3DCC341BF0AD}">
  <cacheSource type="worksheet">
    <worksheetSource name="Tabela1"/>
  </cacheSource>
  <cacheFields count="19">
    <cacheField name="PRO-FORM_x000a_NBR." numFmtId="0">
      <sharedItems containsBlank="1" count="132">
        <s v="157.25"/>
        <s v="155.25"/>
        <s v="158.25 Rev.2"/>
        <s v="160.25"/>
        <s v="164.25"/>
        <s v="163.25"/>
        <s v="153.25"/>
        <s v="159.25"/>
        <s v="170.25"/>
        <s v="171.25"/>
        <s v="166.25"/>
        <s v="167.25"/>
        <s v="172.25"/>
        <s v="173.25"/>
        <s v="174.25"/>
        <s v="175.25"/>
        <s v="176.25"/>
        <s v="168.25"/>
        <s v="177.25"/>
        <s v="178.25"/>
        <s v="179.25"/>
        <s v="180.25"/>
        <s v="181.25"/>
        <s v="182.25"/>
        <s v="183.25"/>
        <s v="184.25"/>
        <s v="185.25"/>
        <s v="188.25"/>
        <s v="189.25"/>
        <s v="187.25"/>
        <s v="190.25"/>
        <s v="191.25"/>
        <s v="192.25"/>
        <s v="193.25"/>
        <s v="194.25"/>
        <s v="195.25"/>
        <s v="196.25"/>
        <s v="197.25"/>
        <s v="198.25"/>
        <s v="199.25"/>
        <s v="200.25"/>
        <s v="201.25"/>
        <s v="202.25"/>
        <s v="203.25"/>
        <s v="205.25"/>
        <s v="206.25"/>
        <s v="208.25"/>
        <s v="209.25"/>
        <s v="210.25"/>
        <s v="211.25"/>
        <s v="204.25"/>
        <s v="213.25"/>
        <s v="214.25"/>
        <s v="212.25"/>
        <s v="215.25"/>
        <s v="216.25"/>
        <s v="211.25 "/>
        <s v="217.25"/>
        <s v="219.25"/>
        <s v="220.25"/>
        <s v="220.25 Comp"/>
        <s v="218.25"/>
        <s v="222.25"/>
        <s v="221.25"/>
        <s v="003.26"/>
        <s v="004.26"/>
        <s v="005.26"/>
        <s v="006.26"/>
        <s v="007.26"/>
        <s v="008.26"/>
        <s v="009.26"/>
        <s v="010.26"/>
        <s v="011.26"/>
        <s v="012.26"/>
        <s v="013.26"/>
        <s v="014.26"/>
        <s v="015.26"/>
        <s v="015.26 C"/>
        <s v="017.26"/>
        <s v="018.26"/>
        <s v="019.26"/>
        <s v="020.26"/>
        <s v="023.26"/>
        <s v="021.26"/>
        <s v="016.26 Rv2"/>
        <s v="022.26 Rev2"/>
        <s v="024.26"/>
        <s v="025.26"/>
        <s v="026.26"/>
        <s v="027.26"/>
        <s v="028.26"/>
        <s v="030.26"/>
        <s v="031.26"/>
        <s v="032.26"/>
        <s v="034.26"/>
        <s v="035.26"/>
        <s v="036.26"/>
        <s v="037.26"/>
        <s v="038.26"/>
        <s v="033.26"/>
        <s v="039.26"/>
        <s v="026.26 C"/>
        <s v="041.26"/>
        <s v="029.26"/>
        <s v="040.26"/>
        <s v="042.26"/>
        <s v="043.26a"/>
        <s v="044.26"/>
        <s v="046.26"/>
        <s v="047.26"/>
        <s v="049.26"/>
        <s v="050.26 "/>
        <s v="051.26"/>
        <s v="055.26"/>
        <s v="052.26"/>
        <s v="054.26"/>
        <s v="053.26"/>
        <s v="056.26"/>
        <s v="043.26a complem."/>
        <s v="NC003.26"/>
        <s v="059.26"/>
        <s v="060.26"/>
        <s v="061.26"/>
        <s v="062.26"/>
        <s v="063.26"/>
        <s v="064.26"/>
        <m u="1"/>
        <s v="043.26c" u="1"/>
        <s v="059.56" u="1"/>
        <s v="017.25" u="1"/>
        <s v="016.26" u="1"/>
        <s v="003.25" u="1"/>
      </sharedItems>
    </cacheField>
    <cacheField name="CLIENTE" numFmtId="0">
      <sharedItems containsBlank="1" count="46">
        <s v="David Moreno (Heaven)"/>
        <s v="Inmapol (Industria de la Madera y el Poliuretano)"/>
        <s v="Productos Paraiso del Ecuador"/>
        <s v="Sea Trading Company SA (MATERASSI)"/>
        <s v="Divino Sociedad Anonima"/>
        <s v="Flex Equipos De Descanso"/>
        <s v="Comercializadora SL Sunlock LTDA"/>
        <s v="Grupo Empresarial Maxi King S.R.L."/>
        <s v="Distribuidora Caseros"/>
        <s v="BED TIME"/>
        <s v="YP  S.A. (Grupo Suenolar) "/>
        <s v="SUPERSPUMA PARAGUAY (SAECA)"/>
        <s v="SUNLOCK SPA"/>
        <s v="INDUCOL"/>
        <s v="Polymax - El Galo"/>
        <s v="PARAISO DEL ECUADOR"/>
        <s v="Springwall"/>
        <s v="Simmons Argentina"/>
        <s v="Multiespumas Viscarra"/>
        <s v="SERVAN EXPORT MANUF."/>
        <s v="COLCHONES PRINCE"/>
        <s v="Frazadas Artesanales (La Grande)"/>
        <s v="IMPORTADORA TERRA"/>
        <s v="LAMITEX S.A."/>
        <s v="SIMMONS ARGENTINA "/>
        <s v="Colchones del Paraguay SRL"/>
        <s v="BEDTIME"/>
        <s v="LIMANSKY, S.A."/>
        <s v="TEXTIL FIBREX"/>
        <s v="INDUSTRIAL REGAL"/>
        <s v="AGT - AMERICAN GARMENT TEXTIL"/>
        <s v="ATLAS EAS"/>
        <s v="TEC NIPONA PERÚ  (AMAZHEL)"/>
        <s v="SEA TRADING"/>
        <s v="COLOR LIVING"/>
        <s v="MANTAHUE SPA (HERALDO CASTRO PALMA)"/>
        <s v="YP S.A.  (Sueñolar)"/>
        <s v="Colchones Espumix"/>
        <s v="IMPORTADORA TERRA (MOVELPRO)"/>
        <m u="1"/>
        <s v="(MANTAHUE) HERALDO CASTRO PALMA" u="1"/>
        <s v="Cuba " u="1"/>
        <s v="AGT - AMERICAN GARMENT Cuba " u="1"/>
        <s v=" " u="1"/>
        <s v="TEC NIPONA ( AMAZHEL)" u="1"/>
        <s v="SERVA EXPORT MANUF." u="1"/>
      </sharedItems>
    </cacheField>
    <cacheField name="PAIS" numFmtId="0">
      <sharedItems containsBlank="1" count="12">
        <s v="Bolivia"/>
        <s v="Paraguay"/>
        <s v="Ecuador"/>
        <s v="Uruguay"/>
        <s v="Chile"/>
        <s v="Argentina"/>
        <s v="Brasil*"/>
        <s v="Perú"/>
        <s v="Venezuela"/>
        <s v="Cuba"/>
        <m u="1"/>
        <s v="Brasil" u="1"/>
      </sharedItems>
    </cacheField>
    <cacheField name="COD _x000a_CLIENTE" numFmtId="0">
      <sharedItems containsString="0" containsBlank="1" containsNumber="1" containsInteger="1" minValue="316" maxValue="2272"/>
    </cacheField>
    <cacheField name="DATA _x000a_PRO-FORMA" numFmtId="14">
      <sharedItems containsSemiMixedTypes="0" containsNonDate="0" containsDate="1" containsString="0" minDate="2025-02-03T00:00:00" maxDate="2026-09-29T00:00:00"/>
    </cacheField>
    <cacheField name="PROGRAM. _x000a_MÊS" numFmtId="168">
      <sharedItems containsDate="1" containsBlank="1" containsMixedTypes="1" minDate="2025-04-01T00:00:00" maxDate="2026-08-02T00:00:00" count="20"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6-01T00:00:00"/>
        <d v="2026-05-01T00:00:00"/>
        <d v="2026-08-01T00:00:00"/>
        <d v="2026-07-01T00:00:00"/>
        <s v="set-26"/>
        <s v="out-26"/>
        <m u="1"/>
      </sharedItems>
    </cacheField>
    <cacheField name="CODE CLIENTE/_x000a_INTERNO" numFmtId="0">
      <sharedItems containsMixedTypes="1" containsNumber="1" minValue="303.00130000000001" maxValue="3520004"/>
    </cacheField>
    <cacheField name="TOTVS" numFmtId="0">
      <sharedItems containsBlank="1" containsMixedTypes="1" containsNumber="1" containsInteger="1" minValue="650" maxValue="3650012"/>
    </cacheField>
    <cacheField name="PEDIDO TOTVS" numFmtId="0">
      <sharedItems containsMixedTypes="1" containsNumber="1" containsInteger="1" minValue="6752" maxValue="11454"/>
    </cacheField>
    <cacheField name="DESCRIÇÃO" numFmtId="0">
      <sharedItems/>
    </cacheField>
    <cacheField name="MTS" numFmtId="0">
      <sharedItems containsString="0" containsBlank="1" containsNumber="1" containsInteger="1" minValue="100" maxValue="44000"/>
    </cacheField>
    <cacheField name="KGS" numFmtId="0">
      <sharedItems containsBlank="1" containsMixedTypes="1" containsNumber="1" minValue="40" maxValue="14256"/>
    </cacheField>
    <cacheField name="PREÇO" numFmtId="0">
      <sharedItems containsString="0" containsBlank="1" containsNumber="1" minValue="1.3" maxValue="7.91"/>
    </cacheField>
    <cacheField name="TOTAL _x000a_US$" numFmtId="0">
      <sharedItems containsSemiMixedTypes="0" containsString="0" containsNumber="1" minValue="0" maxValue="67760"/>
    </cacheField>
    <cacheField name="CONTATO" numFmtId="0">
      <sharedItems containsBlank="1"/>
    </cacheField>
    <cacheField name="E-MAIL" numFmtId="0">
      <sharedItems containsBlank="1"/>
    </cacheField>
    <cacheField name="FONE" numFmtId="0">
      <sharedItems containsBlank="1"/>
    </cacheField>
    <cacheField name="OBS. " numFmtId="0">
      <sharedItems containsBlank="1"/>
    </cacheField>
    <cacheField name="STATUS _x000a_PRODU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5.490062152778" createdVersion="8" refreshedVersion="8" minRefreshableVersion="3" recordCount="473" xr:uid="{6FDA37AC-7A01-4DB8-9761-7B967AC902F3}">
  <cacheSource type="worksheet">
    <worksheetSource ref="A4:T477" sheet="Detalhes  pedidos"/>
  </cacheSource>
  <cacheFields count="20">
    <cacheField name="PRO-FORM_x000a_NBR." numFmtId="0">
      <sharedItems/>
    </cacheField>
    <cacheField name="CLIENTE" numFmtId="0">
      <sharedItems count="36">
        <s v="David Moreno (Heaven)"/>
        <s v="Inmapol (Industria de la Madera y el Poliuretano)"/>
        <s v="Productos Paraiso del Ecuador"/>
        <s v="Sea Trading Company SA (MATERASSI)"/>
        <s v="Divino Sociedad Anonima"/>
        <s v="Flex Equipos De Descanso"/>
        <s v="Comercializadora SL Sunlock LTDA"/>
        <s v="Grupo Empresarial Maxi King S.R.L."/>
        <s v="Distribuidora Caseros"/>
        <s v="BED TIME"/>
        <s v="YP  S.A. (Grupo Suenolar) "/>
        <s v="SUPERSPUMA PARAGUAY (SAECA)"/>
        <s v="SUNLOCK SPA"/>
        <s v="INDUCOL"/>
        <s v="Polymax - El Galo"/>
        <s v="PARAISO DEL ECUADOR"/>
        <s v="Springwall"/>
        <s v="Simmons Argentina"/>
        <s v="Multiespumas Viscarra"/>
        <s v="SERVAN EXPORT MANUF."/>
        <s v="COLCHONES PRINCE"/>
        <s v="Frazadas Artesanales (La Grande)"/>
        <s v="IMPORTADORA TERRA"/>
        <s v="LAMITEX S.A."/>
        <s v="SIMMONS ARGENTINA "/>
        <s v="Colchones del Paraguay SRL"/>
        <s v="BEDTIME"/>
        <s v="LIMANSKY, S.A."/>
        <s v="TEXTIL FIBREX"/>
        <s v="INDUSTRIAL REGAL"/>
        <s v="AGT - AMERICAN GARMENT TEXTIL"/>
        <s v="ATLAS EAS"/>
        <s v="TEC NIPONA PERÚ  (AMAZHEL)"/>
        <s v="SEA TRADING"/>
        <s v="COLOR LIVING"/>
        <s v="MANTAHUE SPA (HERALDO CASTRO PALMA)"/>
      </sharedItems>
    </cacheField>
    <cacheField name="PAIS" numFmtId="0">
      <sharedItems/>
    </cacheField>
    <cacheField name="COD _x000a_CLIENTE" numFmtId="0">
      <sharedItems containsString="0" containsBlank="1" containsNumber="1" containsInteger="1" minValue="316" maxValue="2238"/>
    </cacheField>
    <cacheField name="DATA _x000a_PRO-FORMA" numFmtId="14">
      <sharedItems containsSemiMixedTypes="0" containsNonDate="0" containsDate="1" containsString="0" minDate="2025-02-03T00:00:00" maxDate="2026-07-30T00:00:00"/>
    </cacheField>
    <cacheField name="PROGRAM. _x000a_MÊS" numFmtId="168">
      <sharedItems containsSemiMixedTypes="0" containsNonDate="0" containsDate="1" containsString="0" minDate="2025-04-01T00:00:00" maxDate="2026-08-02T00:00:00"/>
    </cacheField>
    <cacheField name="CODE CLIENTE/_x000a_INTERNO" numFmtId="0">
      <sharedItems containsMixedTypes="1" containsNumber="1" minValue="303.00130000000001" maxValue="3520004"/>
    </cacheField>
    <cacheField name="TOTVS" numFmtId="0">
      <sharedItems containsBlank="1" containsMixedTypes="1" containsNumber="1" containsInteger="1" minValue="650" maxValue="3650012" count="364">
        <s v="NA"/>
        <n v="326004"/>
        <n v="326005"/>
        <n v="326001"/>
        <n v="326003"/>
        <s v="SDP6907"/>
        <s v="A08182"/>
        <s v="254.0012"/>
        <s v="254.0005"/>
        <n v="32370"/>
        <s v="254.0018"/>
        <s v="A08980"/>
        <n v="35004"/>
        <n v="35032"/>
        <n v="258064"/>
        <n v="32282"/>
        <n v="32232"/>
        <n v="32390"/>
        <n v="2540017"/>
        <n v="132012"/>
        <n v="2810005"/>
        <n v="2810009"/>
        <m/>
        <n v="32313"/>
        <n v="32341"/>
        <n v="32372"/>
        <n v="35031"/>
        <n v="35145"/>
        <n v="122034"/>
        <s v="281.0005"/>
        <s v="281.0009"/>
        <n v="2540036"/>
        <n v="2860004"/>
        <n v="2860013"/>
        <n v="2860015"/>
        <s v="A10169 (4114)"/>
        <s v="A10168 (4113)"/>
        <n v="2810013"/>
        <s v="2810009 (1419)"/>
        <s v="2540012 (1225)"/>
        <s v="2540023 (1652)/2540031(3343)"/>
        <s v="3070002 (Id 4160)"/>
        <n v="3200014"/>
        <n v="3200015"/>
        <n v="3200013"/>
        <n v="3200011"/>
        <s v="3200010-06"/>
        <n v="2860011"/>
        <n v="1705"/>
        <s v="2810005 (1422)"/>
        <s v="2540017 (1506)"/>
        <s v="2540033 (3589)"/>
        <n v="2540031"/>
        <n v="4259"/>
        <n v="4258"/>
        <n v="4257"/>
        <n v="4256"/>
        <n v="4255"/>
        <n v="4254"/>
        <n v="4253"/>
        <n v="4252"/>
        <n v="4251"/>
        <n v="4250"/>
        <n v="4249"/>
        <n v="4248"/>
        <n v="4247"/>
        <n v="4246"/>
        <n v="4245"/>
        <n v="4244"/>
        <n v="4243"/>
        <n v="4242"/>
        <n v="4241"/>
        <n v="4240"/>
        <n v="4239"/>
        <n v="4238"/>
        <n v="4237"/>
        <n v="4267"/>
        <n v="4266"/>
        <n v="4265"/>
        <n v="1523"/>
        <n v="1225"/>
        <n v="1236"/>
        <n v="3009"/>
        <n v="1504"/>
        <n v="1506"/>
        <n v="1652"/>
        <n v="2054"/>
        <n v="1219"/>
        <n v="3712"/>
        <n v="3589"/>
        <n v="2952"/>
        <n v="2810011"/>
        <n v="3500"/>
        <n v="4322"/>
        <n v="4323"/>
        <n v="3131"/>
        <n v="4324"/>
        <n v="3136"/>
        <n v="3132"/>
        <n v="3133"/>
        <n v="4325"/>
        <n v="3135"/>
        <n v="4326"/>
        <n v="4327"/>
        <n v="3138"/>
        <n v="3144"/>
        <n v="3146"/>
        <n v="3147"/>
        <n v="3148"/>
        <n v="3505"/>
        <n v="3511"/>
        <n v="3652"/>
        <n v="4329"/>
        <n v="4328"/>
        <s v="A10169 (4114)3530001"/>
        <s v="3530004  (Bed002)"/>
        <s v="3530003 (Bed003)"/>
        <s v="3530005 (Bed010)"/>
        <s v="A10169 (4114) 3530001"/>
        <s v="3530004  (Bed002) (4332)"/>
        <s v="3530003 (Bed003)(4331)"/>
        <n v="3260016"/>
        <n v="3260017"/>
        <n v="3260018"/>
        <n v="3260019"/>
        <s v="3.260.015 (0122054)"/>
        <n v="3260020"/>
        <n v="3260021"/>
        <s v="0071061-2940059"/>
        <s v="0414021-2940058"/>
        <s v="0423021-2940057"/>
        <s v="0260025-2940060"/>
        <s v="0269041-2940061"/>
        <s v="0408051-2940062"/>
        <s v="0239022-2940063"/>
        <s v="0416061-2940064"/>
        <s v="0441041 -2940065"/>
        <s v="0389031- 2940066"/>
        <s v="3550001 (4350)"/>
        <s v="2810013 (4041)"/>
        <s v="32282 (1523)"/>
        <s v="2540014 (3009)"/>
        <s v="2540015 (1226)"/>
        <s v="2540025 (2053)"/>
        <s v="2540035 (3712)"/>
        <s v="3470004 (4401)"/>
        <s v="3470005 (4402)"/>
        <n v="3200012"/>
        <n v="3200004"/>
        <n v="3370008"/>
        <n v="4454"/>
        <n v="2208"/>
        <n v="2206"/>
        <s v="3560003 (4449)"/>
        <s v="3560002 (4448)"/>
        <s v="3560001 (4447)"/>
        <s v="2670007 (2566)"/>
        <s v="3260016 (4352)"/>
        <s v="3260017 (4351)"/>
        <s v="2810011 (3378)"/>
        <n v="2860014"/>
        <s v="2860016&gt;2860018"/>
        <n v="2860017"/>
        <s v="2860008 (2000)"/>
        <s v="2860006 (4600)"/>
        <s v="3200008 (1761)"/>
        <s v="0080011 (1979)"/>
        <s v="320004 (1757)"/>
        <s v="2730008 (4613)"/>
        <s v="2730007 (4614)"/>
        <s v="2730006 (4616)"/>
        <s v="2730005 (4617)"/>
        <s v="3470003 (3699)"/>
        <s v="2540034 (3711)"/>
        <s v="2540029 (2497)"/>
        <s v="3570001 (4684)"/>
        <s v="3570002 (4685)"/>
        <s v="3570003 (4686)"/>
        <s v="3570004 (4687)"/>
        <s v="3570005 (4688)"/>
        <s v="3570006 (4689)"/>
        <s v="3570007 (4690)"/>
        <s v="3570008 (4691)"/>
        <s v="3570013 (4696)"/>
        <s v="3570014 (4697)"/>
        <s v="3570015 (4698)"/>
        <s v="3570009 (4692)"/>
        <s v="3570010 (4693)"/>
        <s v="3570011 (4694)"/>
        <s v="3570012 (4695)"/>
        <s v="2860018 (4703)"/>
        <s v="3030071 (4706)"/>
        <s v="3030072 (4707)"/>
        <s v="303,0038 (4325)"/>
        <s v="303,0040 (3135)"/>
        <s v="3030070 (4705)"/>
        <s v="3030060 (3504)"/>
        <n v="2053"/>
        <s v="3430001 (3549)"/>
        <s v="2860004 (1904)"/>
        <s v="2860012 (2536)"/>
        <s v="2860021 (4742)"/>
        <s v="2860019 (4740)"/>
        <s v="2860020 (4741)"/>
        <s v="3580001 (4743)"/>
        <s v="3580002 (4744)"/>
        <s v="3580003 (4745)"/>
        <s v="3580004 (4746)"/>
        <s v="4772 - 3590001"/>
        <s v="4775 - 3590002 "/>
        <s v="4776 - 3590003 "/>
        <s v="4777 - 3590004 "/>
        <s v="4778 - 3590005 "/>
        <s v="4779 - 3590006 "/>
        <s v="4780 - 3590007 "/>
        <s v="4781 - 3590008 "/>
        <s v="4773 - 3590009"/>
        <n v="2860012"/>
        <s v="2810014 (4848)"/>
        <n v="650"/>
        <n v="3815"/>
        <n v="3801"/>
        <n v="3813"/>
        <n v="3814"/>
        <n v="3811"/>
        <n v="1852"/>
        <n v="3699"/>
        <n v="1095"/>
        <n v="2535"/>
        <n v="1903"/>
        <n v="1904"/>
        <n v="3275"/>
        <n v="3200008"/>
        <n v="3200006"/>
        <s v="3530001  (4114)"/>
        <s v="3530004  (4332)"/>
        <s v="3610003 (4918)"/>
        <s v="3610007 (4922)"/>
        <s v="3610002 (4917)"/>
        <s v="3610004 (4919)"/>
        <s v="3610001 (4916)"/>
        <s v="3610006 (4921)"/>
        <s v="3610005 (4920)"/>
        <s v="3260015 (3578)"/>
        <s v="3260014 (3398)"/>
        <s v="3260002 (2584)"/>
        <s v="3030056 (3148)"/>
        <s v="3030033 (3131)"/>
        <s v="3030024 (4323)"/>
        <s v="3030040 (3135)"/>
        <s v="3030048 (2418)"/>
        <s v="3030013 (3500)"/>
        <s v="3030026 (3131)"/>
        <s v="3030044 (2433)"/>
        <s v="3030039 (2428)"/>
        <s v="4092  / 3520003"/>
        <s v="4094  / 3520001"/>
        <s v="4955  /  3520006"/>
        <s v="4954  / 3520005"/>
        <s v="4159  / 3520004"/>
        <n v="4952"/>
        <n v="4951"/>
        <n v="4950"/>
        <n v="4949"/>
        <n v="4948"/>
        <n v="4956"/>
        <n v="4947"/>
        <n v="4944"/>
        <n v="4943"/>
        <n v="4942"/>
        <n v="4941"/>
        <n v="4940"/>
        <n v="4946"/>
        <n v="4938"/>
        <n v="4937"/>
        <n v="4936"/>
        <n v="4945"/>
        <n v="4932"/>
        <n v="4931"/>
        <n v="4930"/>
        <n v="4929"/>
        <n v="4928"/>
        <n v="4927"/>
        <n v="4939"/>
        <n v="4959"/>
        <n v="4958"/>
        <n v="4957"/>
        <s v="3760 &gt; 3162"/>
        <n v="5045"/>
        <s v="3390013 (5055)"/>
        <s v="3390014 (5056)"/>
        <s v="3390015 (5057)"/>
        <s v="3390016 (5058)"/>
        <n v="1706"/>
        <n v="5176"/>
        <s v="2860014  (3276)"/>
        <s v="3610003 (4918)&gt;3610008(5168)"/>
        <s v="3200006 (1759)"/>
        <s v="3200014 (3701)"/>
        <s v="3200015 (3702)"/>
        <s v="3200013 (3700)"/>
        <s v="3610008 (5168)"/>
        <s v="3650004"/>
        <s v="3650003"/>
        <s v="3650002"/>
        <s v="3650001"/>
        <s v="3650005"/>
        <n v="3650012"/>
        <n v="3650011"/>
        <n v="3650010"/>
        <s v="3370013 (5218)"/>
        <s v="3370008 (2209)"/>
        <s v="052 1101 (5282)"/>
        <n v="3570016"/>
        <n v="3570017"/>
        <n v="3570018"/>
        <n v="3570019"/>
        <n v="3570020"/>
        <n v="3570021"/>
        <n v="3570022"/>
        <n v="3570023"/>
        <n v="3570024"/>
        <n v="3570025"/>
        <n v="3570026"/>
        <n v="3570027"/>
        <n v="3570028"/>
        <n v="3570029"/>
        <n v="3570030"/>
        <n v="3570031"/>
        <n v="3570032"/>
        <n v="3570033"/>
        <n v="3570034"/>
        <n v="3570035"/>
        <n v="3570036"/>
        <n v="3570037"/>
        <n v="3570038"/>
        <n v="3570039"/>
        <n v="3570040"/>
        <n v="3570041"/>
        <n v="3570042"/>
        <n v="3570043"/>
        <n v="3570009"/>
        <n v="3570012"/>
        <n v="3570045"/>
        <n v="3570044"/>
        <s v="3420001 (3467)"/>
        <s v="3420002 (5298)"/>
        <s v="3420004 (5300)"/>
        <s v="3420003 (5299)"/>
        <s v="3420005 (5328)"/>
        <s v="3660004 (5304)"/>
        <s v="3660005 (5308)"/>
        <s v="3660006 (5325)"/>
        <s v="3660003 (5303)"/>
        <s v="3660002 (5302)"/>
        <s v="3660001 (5301)"/>
        <s v="3670002 (5306)"/>
        <s v="3670001 (5305)"/>
        <s v="3200008  (1761)"/>
        <s v="2300007 (1920)"/>
        <s v="21706 (1077)"/>
        <s v="3200004 (1757)"/>
        <s v="2870007 (3542)"/>
        <s v="410006 (697)"/>
      </sharedItems>
    </cacheField>
    <cacheField name="PEDIDO TOTVS" numFmtId="0">
      <sharedItems containsMixedTypes="1" containsNumber="1" containsInteger="1" minValue="6752" maxValue="11275" count="110">
        <s v="NA"/>
        <n v="6816"/>
        <n v="6752"/>
        <n v="6868"/>
        <n v="6881"/>
        <n v="6875"/>
        <n v="6880"/>
        <n v="6882"/>
        <n v="6940"/>
        <n v="6954"/>
        <n v="6949"/>
        <n v="7015"/>
        <n v="7068"/>
        <n v="7095"/>
        <n v="7211"/>
        <n v="7173"/>
        <n v="7178"/>
        <n v="7179"/>
        <n v="7234"/>
        <n v="7235"/>
        <n v="7442"/>
        <n v="7503"/>
        <n v="7630"/>
        <n v="7523"/>
        <n v="7672"/>
        <n v="7673"/>
        <n v="7758"/>
        <n v="7763"/>
        <n v="7780"/>
        <n v="7777"/>
        <n v="7797"/>
        <n v="8123"/>
        <n v="8154"/>
        <n v="8172"/>
        <n v="8155"/>
        <n v="8315"/>
        <n v="8312"/>
        <n v="8348"/>
        <n v="8353"/>
        <n v="8387"/>
        <n v="8598"/>
        <n v="8465"/>
        <n v="8509"/>
        <n v="8569"/>
        <n v="8609"/>
        <n v="8614"/>
        <n v="8681"/>
        <n v="8726"/>
        <n v="8727"/>
        <n v="8773"/>
        <n v="8798"/>
        <n v="8811"/>
        <n v="8799"/>
        <n v="8863"/>
        <n v="8953"/>
        <n v="9030"/>
        <n v="9035"/>
        <n v="9037"/>
        <n v="9124"/>
        <n v="9125"/>
        <n v="9157"/>
        <n v="9176"/>
        <n v="9177"/>
        <n v="9206"/>
        <n v="9207"/>
        <n v="9233"/>
        <n v="9246"/>
        <n v="9469"/>
        <n v="9522"/>
        <n v="9534"/>
        <n v="9634"/>
        <n v="9691"/>
        <n v="9695"/>
        <n v="10042"/>
        <n v="9747"/>
        <n v="9771"/>
        <n v="10299"/>
        <n v="9776"/>
        <n v="9777"/>
        <n v="9778"/>
        <n v="9942"/>
        <n v="9802"/>
        <n v="9939"/>
        <n v="10169"/>
        <n v="10310"/>
        <n v="10308"/>
        <n v="10309"/>
        <n v="10344"/>
        <n v="10529"/>
        <n v="10497"/>
        <n v="10499"/>
        <n v="10506"/>
        <n v="10514"/>
        <n v="10572"/>
        <n v="10609"/>
        <n v="10756"/>
        <n v="11275"/>
        <n v="10634"/>
        <n v="10700"/>
        <n v="10759"/>
        <s v="10812&gt;11309"/>
        <n v="10822"/>
        <n v="10814"/>
        <n v="10820"/>
        <n v="10856"/>
        <n v="10879"/>
        <n v="10882"/>
        <n v="10629" u="1"/>
        <n v="10635" u="1"/>
        <n v="10812" u="1"/>
      </sharedItems>
    </cacheField>
    <cacheField name="DESCRIÇÃO" numFmtId="0">
      <sharedItems/>
    </cacheField>
    <cacheField name="MTS" numFmtId="0">
      <sharedItems containsString="0" containsBlank="1" containsNumber="1" containsInteger="1" minValue="100" maxValue="44000"/>
    </cacheField>
    <cacheField name="KGS" numFmtId="0">
      <sharedItems containsString="0" containsBlank="1" containsNumber="1" minValue="40" maxValue="14256"/>
    </cacheField>
    <cacheField name="PREÇO" numFmtId="0">
      <sharedItems containsString="0" containsBlank="1" containsNumber="1" minValue="1.3" maxValue="7.91"/>
    </cacheField>
    <cacheField name="TOTAL _x000a_US$" numFmtId="0">
      <sharedItems containsSemiMixedTypes="0" containsString="0" containsNumber="1" minValue="0" maxValue="67760"/>
    </cacheField>
    <cacheField name="CONTATO" numFmtId="0">
      <sharedItems containsBlank="1"/>
    </cacheField>
    <cacheField name="E-MAIL" numFmtId="0">
      <sharedItems containsBlank="1"/>
    </cacheField>
    <cacheField name="FONE" numFmtId="0">
      <sharedItems containsBlank="1"/>
    </cacheField>
    <cacheField name="OBS. " numFmtId="0">
      <sharedItems containsBlank="1"/>
    </cacheField>
    <cacheField name="STATUS _x000a_PRODUÇÃO" numFmtId="0">
      <sharedItems containsBlank="1" count="9">
        <m/>
        <s v="produzindo"/>
        <s v="Entregado"/>
        <s v="Finalizado"/>
        <s v="não iniciado"/>
        <s v="Atraso"/>
        <s v="programado"/>
        <s v="Mat Revenda"/>
        <s v="coletar"/>
      </sharedItems>
    </cacheField>
    <cacheField name="OBS SOP" numFmtId="0">
      <sharedItems containsDate="1" containsBlank="1" containsMixedTypes="1" minDate="2026-03-24T00:00:00" maxDate="1900-01-10T00:00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157.25"/>
    <x v="0"/>
    <x v="0"/>
    <x v="0"/>
    <s v="abril/2025"/>
    <n v="357001"/>
    <m/>
    <m/>
    <s v="Tela Artic Breeze - Fria / Blanca e Azul"/>
    <n v="2150"/>
    <n v="1300"/>
    <n v="3.99"/>
    <n v="8578.5"/>
    <s v="Severiano Melgar"/>
    <s v="jefecompras@colchonesheaven.com"/>
    <s v="591 78516162"/>
  </r>
  <r>
    <s v="157.25"/>
    <x v="0"/>
    <x v="0"/>
    <x v="0"/>
    <s v="abril/2025"/>
    <n v="3370009"/>
    <m/>
    <m/>
    <s v="Tela Hexagono / Blanca"/>
    <n v="1290"/>
    <n v="600"/>
    <n v="1.9"/>
    <n v="2451"/>
    <s v="Severiano Melgar"/>
    <s v="jefecompras@colchonesheaven.com"/>
    <s v="591 78516162"/>
  </r>
  <r>
    <s v="155.25"/>
    <x v="1"/>
    <x v="1"/>
    <x v="1"/>
    <s v="abril/2025"/>
    <n v="356001"/>
    <m/>
    <m/>
    <s v="Tela Inmapol Artic Breeze"/>
    <n v="400"/>
    <n v="200"/>
    <n v="3.99"/>
    <n v="1596"/>
    <s v="Marcos"/>
    <s v="madrisa@inmapol.com.py"/>
    <s v="595 21 942 599"/>
  </r>
  <r>
    <s v="155.25"/>
    <x v="1"/>
    <x v="1"/>
    <x v="1"/>
    <s v="abril/2025"/>
    <n v="80001"/>
    <m/>
    <m/>
    <s v="Tela Inmapol Coreon"/>
    <n v="400"/>
    <n v="200"/>
    <n v="3.7"/>
    <n v="1480"/>
    <s v="Marcos"/>
    <s v="madrisa@inmapol.com.py"/>
    <s v="595 21 942 599"/>
  </r>
  <r>
    <s v="155.25"/>
    <x v="1"/>
    <x v="1"/>
    <x v="1"/>
    <s v="abril/2025"/>
    <n v="91012"/>
    <m/>
    <m/>
    <s v="Tela Inmapol Biodress"/>
    <n v="400"/>
    <n v="200"/>
    <n v="3.4"/>
    <n v="1360"/>
    <s v="Marcos"/>
    <s v="madrisa@inmapol.com.py"/>
    <s v="595 21 942 599"/>
  </r>
  <r>
    <s v="155.25"/>
    <x v="1"/>
    <x v="1"/>
    <x v="1"/>
    <s v="abril/2025"/>
    <n v="97012"/>
    <m/>
    <m/>
    <s v="Knitting - White / Tela con acabado resistente al pilling"/>
    <n v="700"/>
    <n v="450"/>
    <n v="2.1"/>
    <n v="1470"/>
    <s v="Marcos"/>
    <s v="madrisa@inmapol.com.py"/>
    <s v="595 21 942 599"/>
  </r>
  <r>
    <s v="155.25"/>
    <x v="2"/>
    <x v="2"/>
    <x v="2"/>
    <s v="abril/2025"/>
    <n v="74117"/>
    <n v="326004"/>
    <s v="."/>
    <s v="POCKET COIL MAX"/>
    <n v="1000"/>
    <n v="600"/>
    <n v="3.28"/>
    <n v="3280"/>
    <s v="Maria Jose Camacho"/>
    <s v="comexgye@paraiso.com.ec"/>
    <s v="593 999494115"/>
  </r>
  <r>
    <s v="155.25"/>
    <x v="2"/>
    <x v="2"/>
    <x v="2"/>
    <s v="abril/2025"/>
    <n v="89014"/>
    <n v="326005"/>
    <s v="."/>
    <s v="BANDA POCKET COIL MAX"/>
    <n v="700"/>
    <n v="300"/>
    <n v="1.86"/>
    <n v="1302"/>
    <s v="Maria Jose Camacho"/>
    <s v="comexgye@paraiso.com.ec"/>
    <s v="593 999494115"/>
  </r>
  <r>
    <s v="155.25"/>
    <x v="2"/>
    <x v="2"/>
    <x v="2"/>
    <s v="abril/2025"/>
    <n v="89093"/>
    <n v="326001"/>
    <s v="."/>
    <s v="PREMIUM PLUS"/>
    <n v="5000"/>
    <n v="3000"/>
    <n v="2.14"/>
    <n v="10700"/>
    <s v="Maria Jose Camacho"/>
    <s v="comexgye@paraiso.com.ec"/>
    <s v="593 999494115"/>
  </r>
  <r>
    <s v="155.25"/>
    <x v="2"/>
    <x v="2"/>
    <x v="2"/>
    <s v="abril/2025"/>
    <n v="80071"/>
    <n v="326003"/>
    <s v="."/>
    <s v="BANDA PREMIUM PLUS"/>
    <n v="1800"/>
    <n v="1000"/>
    <n v="2.58"/>
    <n v="4644"/>
    <s v="Maria Jose Camacho"/>
    <s v="comexgye@paraiso.com.ec"/>
    <s v="593 999494115"/>
  </r>
  <r>
    <s v="155.25"/>
    <x v="2"/>
    <x v="2"/>
    <x v="2"/>
    <s v="abril/2025"/>
    <n v="89931"/>
    <s v="SDP6907"/>
    <s v="."/>
    <s v="PARAÍSO BAMBOO PLUS"/>
    <n v="2500"/>
    <n v="1300"/>
    <n v="2.4"/>
    <n v="6000"/>
    <s v="Maria Jose Camacho"/>
    <s v="comexgye@paraiso.com.ec"/>
    <s v="593 999494115"/>
  </r>
  <r>
    <s v="158.25 Rev.2"/>
    <x v="3"/>
    <x v="1"/>
    <x v="3"/>
    <s v="abril/2025"/>
    <s v="A08182"/>
    <s v="A08182"/>
    <s v="."/>
    <s v="Tela Materassi Blanca"/>
    <n v="1500"/>
    <n v="800"/>
    <n v="1.57"/>
    <n v="2335"/>
    <s v="Alcibiades Greco"/>
    <s v="unicornio_py@yahoo.es"/>
    <s v="595 982 119084"/>
  </r>
  <r>
    <s v="160.25"/>
    <x v="4"/>
    <x v="3"/>
    <x v="4"/>
    <s v="abril/2025"/>
    <n v="32313"/>
    <s v="254.0012"/>
    <s v="."/>
    <s v="Tela Conexao A07820 240 gsm"/>
    <n v="4000"/>
    <n v="3200"/>
    <n v="2.84"/>
    <n v="11360"/>
    <s v="FRANCO MACHAO"/>
    <s v="franco.machao@divino.com.uy"/>
    <s v="+ 598 (2) 506.1262"/>
  </r>
  <r>
    <s v="160.25"/>
    <x v="4"/>
    <x v="3"/>
    <x v="4"/>
    <s v="abril/2025"/>
    <n v="32232"/>
    <s v="254.0005"/>
    <s v="."/>
    <s v="Tela A07370 Tampo Geom 100% POLY 240G"/>
    <n v="2000"/>
    <n v="1500"/>
    <n v="3.29"/>
    <n v="6580"/>
    <s v="FRANCO MACHAO"/>
    <s v="franco.machao@divino.com.uy"/>
    <s v="+ 598 (2) 506.1262"/>
  </r>
  <r>
    <s v="160.25"/>
    <x v="4"/>
    <x v="3"/>
    <x v="4"/>
    <s v="abril/2025"/>
    <n v="32370"/>
    <n v="32370"/>
    <s v="."/>
    <s v="Tela A07803 Modelo Divino"/>
    <n v="1200"/>
    <n v="1000"/>
    <n v="2.88"/>
    <n v="3456"/>
    <s v="FRANCO MACHAO"/>
    <s v="franco.machao@divino.com.uy"/>
    <s v="+ 598 (2) 506.1262"/>
  </r>
  <r>
    <s v="160.25"/>
    <x v="4"/>
    <x v="3"/>
    <x v="4"/>
    <s v="abril/2025"/>
    <n v="32390"/>
    <s v="254.0018"/>
    <s v="."/>
    <s v="Tela DIV A07806"/>
    <n v="3000"/>
    <n v="1900"/>
    <n v="2.81"/>
    <n v="8430"/>
    <s v="FRANCO MACHAO"/>
    <s v="franco.machao@divino.com.uy"/>
    <s v="+ 598 (2) 506.1262"/>
  </r>
  <r>
    <s v="160.25"/>
    <x v="4"/>
    <x v="3"/>
    <x v="4"/>
    <s v="abril/2025"/>
    <n v="32372"/>
    <s v="A08980"/>
    <m/>
    <s v="Tela Conexao A08980 Modelo Divino"/>
    <n v="3000"/>
    <n v="1900"/>
    <n v="3.33"/>
    <n v="9990"/>
    <s v="FRANCO MACHAO"/>
    <s v="franco.machao@divino.com.uy"/>
    <s v="+ 598 (2) 506.1262"/>
  </r>
  <r>
    <s v="160.25"/>
    <x v="4"/>
    <x v="3"/>
    <x v="4"/>
    <s v="abril/2025"/>
    <n v="35004"/>
    <n v="35004"/>
    <m/>
    <s v="Tela Folhas - Imagina 15001"/>
    <n v="1000"/>
    <n v="600"/>
    <n v="3.67"/>
    <n v="3670"/>
    <s v="FRANCO MACHAO"/>
    <s v="franco.machao@divino.com.uy"/>
    <s v="+ 598 (2) 506.1262"/>
  </r>
  <r>
    <s v="160.25"/>
    <x v="4"/>
    <x v="3"/>
    <x v="4"/>
    <s v="abril/2025"/>
    <n v="35032"/>
    <n v="35032"/>
    <m/>
    <s v="Tela 72001 Degrade Gris"/>
    <n v="800"/>
    <n v="450"/>
    <n v="3.11"/>
    <n v="2488"/>
    <s v="FRANCO MACHAO"/>
    <s v="franco.machao@divino.com.uy"/>
    <s v="+ 598 (2) 506.1262"/>
  </r>
  <r>
    <s v="160.25"/>
    <x v="4"/>
    <x v="3"/>
    <x v="4"/>
    <s v="abril/2025"/>
    <n v="35145"/>
    <n v="258064"/>
    <m/>
    <s v="TP ML A10045 280G 2,20L DV U"/>
    <n v="4000"/>
    <n v="3200"/>
    <n v="3.2"/>
    <n v="12800"/>
    <s v="FRANCO MACHAO"/>
    <s v="franco.machao@divino.com.uy"/>
    <s v="+ 598 (2) 506.1262"/>
  </r>
  <r>
    <s v="164.25"/>
    <x v="4"/>
    <x v="3"/>
    <x v="5"/>
    <s v="maio/2025"/>
    <n v="32282"/>
    <n v="32282"/>
    <s v="."/>
    <s v="Tela antideslizante Conexao"/>
    <n v="2000"/>
    <n v="1200"/>
    <n v="1.51"/>
    <n v="3020"/>
    <s v="FRANCO MACHAO"/>
    <s v="franco.machao@divino.com.uy"/>
    <s v="+ 598 (2) 506.1262"/>
  </r>
  <r>
    <s v="164.25"/>
    <x v="4"/>
    <x v="3"/>
    <x v="5"/>
    <s v="maio/2025"/>
    <n v="32232"/>
    <n v="32232"/>
    <s v="."/>
    <s v="Tela A07370 Tampo Geom 100% POLY 240G"/>
    <n v="3500"/>
    <n v="2000"/>
    <n v="3.29"/>
    <n v="11515"/>
    <s v="FRANCO MACHAO"/>
    <s v="franco.machao@divino.com.uy"/>
    <s v="+ 598 (2) 506.1262"/>
  </r>
  <r>
    <s v="164.25"/>
    <x v="4"/>
    <x v="3"/>
    <x v="5"/>
    <s v="maio/2025"/>
    <n v="32370"/>
    <n v="32370"/>
    <s v="."/>
    <s v="Tela A07803 Modelo Divino"/>
    <n v="2000"/>
    <n v="1200"/>
    <n v="3"/>
    <n v="6000"/>
    <s v="FRANCO MACHAO"/>
    <s v="franco.machao@divino.com.uy"/>
    <s v="+ 598 (2) 506.1262"/>
  </r>
  <r>
    <s v="164.25"/>
    <x v="4"/>
    <x v="3"/>
    <x v="5"/>
    <s v="maio/2025"/>
    <n v="32390"/>
    <n v="32390"/>
    <s v="."/>
    <s v="Tela DIV A07806"/>
    <n v="4000"/>
    <n v="2200"/>
    <n v="2.81"/>
    <n v="11240"/>
    <s v="FRANCO MACHAO"/>
    <s v="franco.machao@divino.com.uy"/>
    <s v="+ 598 (2) 506.1262"/>
  </r>
  <r>
    <s v="164.25"/>
    <x v="4"/>
    <x v="3"/>
    <x v="5"/>
    <s v="maio/2025"/>
    <n v="32372"/>
    <n v="32372"/>
    <s v="."/>
    <s v="Tela Conexao A08980 Modelo Divino"/>
    <n v="4000"/>
    <n v="2200"/>
    <n v="3.33"/>
    <n v="13320"/>
    <s v="FRANCO MACHAO"/>
    <s v="franco.machao@divino.com.uy"/>
    <s v="+ 598 (2) 506.1262"/>
  </r>
  <r>
    <s v="164.25"/>
    <x v="4"/>
    <x v="3"/>
    <x v="5"/>
    <s v="maio/2025"/>
    <n v="35004"/>
    <n v="35004"/>
    <s v="."/>
    <s v="Tela Folhas - Imagina 15001"/>
    <n v="1000"/>
    <n v="500"/>
    <n v="3.67"/>
    <n v="3670"/>
    <s v="FRANCO MACHAO"/>
    <s v="franco.machao@divino.com.uy"/>
    <s v="+ 598 (2) 506.1262"/>
  </r>
  <r>
    <s v="164.25"/>
    <x v="4"/>
    <x v="3"/>
    <x v="5"/>
    <s v="maio/25"/>
    <n v="35149"/>
    <n v="132012"/>
    <s v="."/>
    <s v="Tela TP ML 132012 340G 2,20L DV U"/>
    <n v="1800"/>
    <n v="1300"/>
    <n v="4.2"/>
    <n v="7560"/>
    <s v="FRANCO MACHAO"/>
    <s v="franco.machao@divino.com.uy"/>
    <s v="+ 598 (2) 506.1262"/>
  </r>
  <r>
    <s v="163.25"/>
    <x v="5"/>
    <x v="4"/>
    <x v="6"/>
    <s v="maio/2025"/>
    <n v="1121110"/>
    <n v="2810005"/>
    <n v="6752"/>
    <s v="Tela Hojas"/>
    <n v="500"/>
    <n v="300"/>
    <n v="2.83"/>
    <n v="1415"/>
    <s v="Paulina Mena"/>
    <s v="paulina.mena@flex.es"/>
    <s v="56 96205 0626"/>
  </r>
  <r>
    <s v="163.25"/>
    <x v="5"/>
    <x v="4"/>
    <x v="6"/>
    <s v="maio/2025"/>
    <n v="1122580"/>
    <n v="2810009"/>
    <n v="6752"/>
    <s v="Therapeutic - Gray"/>
    <n v="1700"/>
    <n v="800"/>
    <n v="2.25"/>
    <n v="3825"/>
    <s v="Paulina Mena"/>
    <s v="paulina.mena@flex.es"/>
    <s v="56 96205 0626"/>
  </r>
  <r>
    <s v="153.25"/>
    <x v="6"/>
    <x v="4"/>
    <x v="7"/>
    <s v="abril/2025"/>
    <s v="2860004"/>
    <m/>
    <m/>
    <s v="TP RETAS DEGRADE"/>
    <n v="1000"/>
    <n v="500"/>
    <n v="4.3"/>
    <n v="4300"/>
    <s v="Juan Carlos Villarroel"/>
    <s v="jcvillarroel@sunlock.cl"/>
    <s v="(+56) 98529-7739"/>
  </r>
  <r>
    <s v="153.25"/>
    <x v="6"/>
    <x v="4"/>
    <x v="7"/>
    <s v="abril/2025"/>
    <s v="2860013"/>
    <m/>
    <m/>
    <s v="TELA SUNSET"/>
    <n v="700"/>
    <n v="400"/>
    <n v="4.75"/>
    <n v="3325"/>
    <s v="Juan Carlos Villarroel"/>
    <s v="jcvillarroel@sunlock.cl"/>
    <s v="(+56) 98529-7739"/>
  </r>
  <r>
    <s v="153.25"/>
    <x v="6"/>
    <x v="4"/>
    <x v="7"/>
    <s v="abril/2025"/>
    <s v="2860015"/>
    <m/>
    <m/>
    <s v="TP GRIS"/>
    <n v="700"/>
    <n v="400"/>
    <n v="5.2"/>
    <n v="3640"/>
    <s v="Juan Carlos Villarroel"/>
    <s v="jcvillarroel@sunlock.cl"/>
    <s v="(+56) 98529-7739"/>
  </r>
  <r>
    <s v="153.25"/>
    <x v="6"/>
    <x v="4"/>
    <x v="7"/>
    <s v="abril/2025"/>
    <s v="SU001"/>
    <m/>
    <m/>
    <s v="SERTAPEDIC"/>
    <n v="1000"/>
    <n v="500"/>
    <n v="2.1800000000000002"/>
    <n v="2180"/>
    <s v="Juan Carlos Villarroel"/>
    <s v="jcvillarroel@sunlock.cl"/>
    <s v="(+56) 98529-7739"/>
  </r>
  <r>
    <s v="159.25"/>
    <x v="4"/>
    <x v="3"/>
    <x v="8"/>
    <s v="abril/2025"/>
    <n v="32282"/>
    <n v="32282"/>
    <m/>
    <s v="Tela antideslizante Conexao"/>
    <n v="2000"/>
    <n v="1000"/>
    <n v="1.51"/>
    <n v="3020"/>
    <s v="FRANCO MACHAO"/>
    <s v="franco.machao@divino.com.uy"/>
    <s v="+ 598 (2) 506.1262"/>
  </r>
  <r>
    <s v="159.25"/>
    <x v="4"/>
    <x v="3"/>
    <x v="8"/>
    <s v="abril/2025"/>
    <n v="32313"/>
    <n v="32313"/>
    <m/>
    <s v="Tela Conexao A07820 240 gsm"/>
    <n v="2000"/>
    <n v="1200"/>
    <n v="2.88"/>
    <n v="5760"/>
    <s v="FRANCO MACHAO"/>
    <s v="franco.machao@divino.com.uy"/>
    <s v="+ 598 (2) 506.1262"/>
  </r>
  <r>
    <s v="159.25"/>
    <x v="4"/>
    <x v="3"/>
    <x v="8"/>
    <s v="abril/2025"/>
    <n v="32232"/>
    <n v="32232"/>
    <m/>
    <s v="Tela A07370 Tampo Geom 100% POLY 240G"/>
    <n v="2500"/>
    <n v="1300"/>
    <n v="3.29"/>
    <n v="8225"/>
    <s v="FRANCO MACHAO"/>
    <s v="franco.machao@divino.com.uy"/>
    <s v="+ 598 (2) 506.1262"/>
  </r>
  <r>
    <s v="159.25"/>
    <x v="4"/>
    <x v="3"/>
    <x v="8"/>
    <s v="abril/2025"/>
    <n v="32341"/>
    <n v="32341"/>
    <m/>
    <s v="Tela Conexao Tela A05171 Square"/>
    <n v="500"/>
    <n v="230"/>
    <n v="4.3"/>
    <n v="2150"/>
    <s v="FRANCO MACHAO"/>
    <s v="franco.machao@divino.com.uy"/>
    <s v="+ 598 (2) 506.1262"/>
  </r>
  <r>
    <s v="159.25"/>
    <x v="4"/>
    <x v="3"/>
    <x v="8"/>
    <s v="abril/2025"/>
    <n v="32370"/>
    <n v="32370"/>
    <m/>
    <s v="Tela A07803 Modelo Divino"/>
    <n v="1200"/>
    <n v="500"/>
    <n v="3"/>
    <n v="3600"/>
    <s v="FRANCO MACHAO"/>
    <s v="franco.machao@divino.com.uy"/>
    <s v="+ 598 (2) 506.1262"/>
  </r>
  <r>
    <s v="159.25"/>
    <x v="4"/>
    <x v="3"/>
    <x v="8"/>
    <s v="abril/2025"/>
    <n v="32390"/>
    <n v="32390"/>
    <m/>
    <s v="Tela DIV A07806"/>
    <n v="2000"/>
    <n v="1200"/>
    <n v="2.81"/>
    <n v="5620"/>
    <s v="FRANCO MACHAO"/>
    <s v="franco.machao@divino.com.uy"/>
    <s v="+ 598 (2) 506.1262"/>
  </r>
  <r>
    <s v="159.25"/>
    <x v="4"/>
    <x v="3"/>
    <x v="8"/>
    <s v="abril/2025"/>
    <n v="32372"/>
    <n v="32372"/>
    <m/>
    <s v="Tela Conexao A08980 Modelo Divino"/>
    <n v="2000"/>
    <n v="1200"/>
    <n v="3.33"/>
    <n v="6660"/>
    <s v="FRANCO MACHAO"/>
    <s v="franco.machao@divino.com.uy"/>
    <s v="+ 598 (2) 506.1262"/>
  </r>
  <r>
    <s v="159.25"/>
    <x v="4"/>
    <x v="3"/>
    <x v="8"/>
    <s v="abril/2025"/>
    <n v="35004"/>
    <n v="35004"/>
    <m/>
    <s v="Tela Folhas - Imagina 15001"/>
    <n v="800"/>
    <n v="600"/>
    <n v="3.67"/>
    <n v="2936"/>
    <s v="FRANCO MACHAO"/>
    <s v="franco.machao@divino.com.uy"/>
    <s v="+ 598 (2) 506.1262"/>
  </r>
  <r>
    <s v="159.25"/>
    <x v="4"/>
    <x v="3"/>
    <x v="8"/>
    <s v="abril/2025"/>
    <n v="35031"/>
    <n v="35031"/>
    <m/>
    <s v="Tela 69001 Contemporáneo"/>
    <n v="600"/>
    <n v="350"/>
    <n v="3.4"/>
    <n v="2040"/>
    <s v="FRANCO MACHAO"/>
    <s v="franco.machao@divino.com.uy"/>
    <s v="+ 598 (2) 506.1262"/>
  </r>
  <r>
    <s v="159.25"/>
    <x v="4"/>
    <x v="3"/>
    <x v="8"/>
    <s v="abril/2025"/>
    <n v="35032"/>
    <n v="35032"/>
    <m/>
    <s v="Tela 72001 Degrade Gris"/>
    <n v="1000"/>
    <n v="800"/>
    <n v="3.2"/>
    <n v="3200"/>
    <s v="FRANCO MACHAO"/>
    <s v="franco.machao@divino.com.uy"/>
    <s v="+ 598 (2) 506.1262"/>
  </r>
  <r>
    <s v="159.25"/>
    <x v="4"/>
    <x v="3"/>
    <x v="8"/>
    <s v="abril/2025"/>
    <n v="35145"/>
    <n v="35145"/>
    <m/>
    <s v="Tela TP ML A10045 280G 2,20L DV U"/>
    <n v="4500"/>
    <n v="3000"/>
    <n v="3.11"/>
    <n v="13995"/>
    <s v="FRANCO MACHAO"/>
    <s v="franco.machao@divino.com.uy"/>
    <s v="+ 598 (2) 506.1262"/>
  </r>
  <r>
    <s v="163.25"/>
    <x v="7"/>
    <x v="0"/>
    <x v="9"/>
    <s v="abril/2025"/>
    <n v="439001"/>
    <m/>
    <m/>
    <s v="MAXI KING 1 - BRANCO &amp; AREIA"/>
    <n v="3000"/>
    <n v="2200"/>
    <n v="1.45"/>
    <n v="4350"/>
    <s v="Livio Zozzoli"/>
    <s v="liviozozzoli@maxiking.com.bo"/>
    <s v="(591)76640036"/>
  </r>
  <r>
    <s v="163.25"/>
    <x v="7"/>
    <x v="0"/>
    <x v="9"/>
    <s v="abril/2025"/>
    <n v="407001"/>
    <m/>
    <m/>
    <s v="MAXI KING 2 - ARENA"/>
    <n v="2000"/>
    <n v="1900"/>
    <n v="1.49"/>
    <n v="2980"/>
    <s v="Livio Zozzoli"/>
    <s v="liviozozzoli@maxiking.com.bo"/>
    <s v="(591)76640036"/>
  </r>
  <r>
    <s v="163.25"/>
    <x v="7"/>
    <x v="0"/>
    <x v="9"/>
    <s v="abril/2025"/>
    <n v="446001"/>
    <m/>
    <m/>
    <s v="MAXI KING 3 - BRANCO COM PERLA"/>
    <n v="3000"/>
    <n v="2200"/>
    <n v="1.52"/>
    <n v="4560"/>
    <s v="Livio Zozzoli"/>
    <s v="liviozozzoli@maxiking.com.bo"/>
    <s v="(591)76640036"/>
  </r>
  <r>
    <s v="163.25"/>
    <x v="7"/>
    <x v="0"/>
    <x v="9"/>
    <s v="abril/2025"/>
    <n v="428001"/>
    <m/>
    <m/>
    <s v="MAXI KING 4 - AZUL MARINO"/>
    <n v="3000"/>
    <n v="2200"/>
    <n v="1.53"/>
    <n v="4590"/>
    <s v="Livio Zozzoli"/>
    <s v="liviozozzoli@maxiking.com.bo"/>
    <s v="(591)76640036"/>
  </r>
  <r>
    <s v="163.25"/>
    <x v="7"/>
    <x v="0"/>
    <x v="9"/>
    <s v="abril/2025"/>
    <n v="434004"/>
    <m/>
    <m/>
    <s v="MAXI KING 5 - GRIS / ARENA / BLANCO"/>
    <n v="2200"/>
    <n v="1700"/>
    <n v="1.67"/>
    <n v="3674"/>
    <s v="Livio Zozzoli"/>
    <s v="liviozozzoli@maxiking.com.bo"/>
    <s v="(591)76640036"/>
  </r>
  <r>
    <s v="170.25"/>
    <x v="5"/>
    <x v="4"/>
    <x v="10"/>
    <s v="abril/2025"/>
    <n v="2010011"/>
    <m/>
    <n v="6868"/>
    <s v="TP PARADISE 122034 370G. 2,20 DV U"/>
    <n v="400"/>
    <n v="300"/>
    <n v="4.8499999999999996"/>
    <n v="1940"/>
    <s v="Paulina Mena"/>
    <s v="paulina.mena@flex.es"/>
    <s v="56 96205 0626"/>
  </r>
  <r>
    <s v="171.25"/>
    <x v="8"/>
    <x v="5"/>
    <x v="11"/>
    <s v="maio/2025"/>
    <n v="10001"/>
    <m/>
    <n v="6881"/>
    <s v="Tela Caseros - Modelo 1 - Abstrato"/>
    <n v="2000"/>
    <n v="1500"/>
    <n v="1.57"/>
    <n v="3140"/>
    <s v="Rubén Pellegrini"/>
    <s v="distribuidoracaseros@gmail.com"/>
    <s v="54 9 11 4419-8124"/>
  </r>
  <r>
    <s v="171.25"/>
    <x v="8"/>
    <x v="5"/>
    <x v="11"/>
    <s v="maio/2025"/>
    <n v="66003"/>
    <m/>
    <n v="6881"/>
    <s v="Tela Caseros - Modelo 2 - Lines"/>
    <n v="1000"/>
    <n v="700"/>
    <n v="1.57"/>
    <n v="1570"/>
    <s v="Rubén Pellegrini"/>
    <s v="distribuidoracaseros@gmail.com"/>
    <s v="54 9 11 4419-8124"/>
  </r>
  <r>
    <s v="171.25"/>
    <x v="8"/>
    <x v="5"/>
    <x v="11"/>
    <s v="maio/2025"/>
    <n v="740011"/>
    <m/>
    <n v="6881"/>
    <s v="Tela Caseros - Modelo 2 - Dots"/>
    <n v="1000"/>
    <n v="700"/>
    <n v="1.57"/>
    <n v="1570"/>
    <s v="Rubén Pellegrini"/>
    <s v="distribuidoracaseros@gmail.com"/>
    <s v="54 9 11 4419-8124"/>
  </r>
  <r>
    <s v="171.25"/>
    <x v="8"/>
    <x v="5"/>
    <x v="11"/>
    <s v="maio/2025"/>
    <n v="3520004"/>
    <m/>
    <n v="6881"/>
    <s v="TP ML 0092193 160Gr 2,10 L"/>
    <n v="4500"/>
    <m/>
    <n v="1.2"/>
    <n v="5400"/>
    <s v="Rubén Pellegrini"/>
    <s v="distribuidoracaseros@gmail.com"/>
    <s v="54 9 11 4419-8124"/>
  </r>
  <r>
    <s v="166.25"/>
    <x v="5"/>
    <x v="4"/>
    <x v="6"/>
    <s v="abril/2025"/>
    <s v="A10131"/>
    <n v="2810013"/>
    <n v="6875"/>
    <s v="Tela Black - TP ML A09887"/>
    <n v="500"/>
    <n v="300"/>
    <n v="3.68"/>
    <n v="1840"/>
    <s v="Paulina Mena"/>
    <s v="paulina.mena@flex.es"/>
    <s v="56 96205 0626"/>
  </r>
  <r>
    <s v="167.25"/>
    <x v="5"/>
    <x v="4"/>
    <x v="12"/>
    <s v="maio/2025"/>
    <n v="1121110"/>
    <s v="281.0005"/>
    <n v="6880"/>
    <s v="Sensity - Hojas "/>
    <n v="1200"/>
    <n v="300"/>
    <n v="2.83"/>
    <n v="3396"/>
    <s v="Paulina Mena"/>
    <s v="paulina.mena@flex.es"/>
    <s v="56 96205 0626"/>
  </r>
  <r>
    <s v="167.25"/>
    <x v="5"/>
    <x v="4"/>
    <x v="12"/>
    <s v="maio/2025"/>
    <n v="1122580"/>
    <s v="281.0009"/>
    <n v="6880"/>
    <s v="Therapeutic - Gray"/>
    <n v="1400"/>
    <n v="600"/>
    <n v="2.25"/>
    <n v="3150"/>
    <s v="Paulina Mena"/>
    <s v="paulina.mena@flex.es"/>
    <s v="56 96205 0626"/>
  </r>
  <r>
    <s v="172.25"/>
    <x v="0"/>
    <x v="0"/>
    <x v="11"/>
    <s v="maio/2025"/>
    <n v="3370001"/>
    <m/>
    <n v="6882"/>
    <s v="Tela Black / 300 GSM"/>
    <n v="1000"/>
    <n v="900"/>
    <n v="3.4"/>
    <n v="3400"/>
    <s v="Severiano Melgar"/>
    <s v="jefecompras@colchonesheaven.com"/>
    <s v="591 78516162"/>
  </r>
  <r>
    <s v="172.25"/>
    <x v="0"/>
    <x v="0"/>
    <x v="11"/>
    <s v="maio/2025"/>
    <n v="3370005"/>
    <m/>
    <n v="6882"/>
    <s v="Tela Favo Blanco"/>
    <n v="1000"/>
    <n v="900"/>
    <n v="1.85"/>
    <n v="1850"/>
    <s v="Severiano Melgar"/>
    <s v="jefecompras@colchonesheaven.com"/>
    <s v="591 78516162"/>
  </r>
  <r>
    <s v="173.25"/>
    <x v="4"/>
    <x v="3"/>
    <x v="13"/>
    <s v="maio/2025"/>
    <n v="245051"/>
    <n v="245051"/>
    <n v="6816"/>
    <s v="Tela Divino - Lino y &amp; Arena"/>
    <n v="1000"/>
    <n v="600"/>
    <n v="3.68"/>
    <n v="3680"/>
    <s v="FRANCO MACHAO"/>
    <s v="franco.machao@divino.com.uy"/>
    <s v="+ 598 (2) 506.1262"/>
  </r>
  <r>
    <s v="174.25"/>
    <x v="6"/>
    <x v="4"/>
    <x v="14"/>
    <s v="maio/2025"/>
    <n v="2860004"/>
    <n v="2860004"/>
    <n v="6940"/>
    <s v="TP retas degrade"/>
    <n v="1000"/>
    <n v="600"/>
    <n v="4.3"/>
    <n v="4300"/>
    <s v="Juan Carlos Villarroel"/>
    <s v="jcvillarroel@sunlock.cl"/>
    <s v="(+56) 98529-7739"/>
  </r>
  <r>
    <s v="174.25"/>
    <x v="6"/>
    <x v="4"/>
    <x v="14"/>
    <s v="maio/2025"/>
    <n v="2860013"/>
    <n v="2860013"/>
    <n v="6940"/>
    <s v="TELA SUNSET"/>
    <n v="500"/>
    <n v="300"/>
    <n v="4.75"/>
    <n v="2375"/>
    <s v="Juan Carlos Villarroel"/>
    <s v="jcvillarroel@sunlock.cl"/>
    <s v="(+56) 98529-7739"/>
  </r>
  <r>
    <s v="174.25"/>
    <x v="6"/>
    <x v="4"/>
    <x v="14"/>
    <s v="maio/2025"/>
    <n v="2860015"/>
    <n v="2860015"/>
    <n v="6940"/>
    <s v="TP Gris"/>
    <n v="1046"/>
    <n v="300"/>
    <n v="5.2"/>
    <n v="2600"/>
    <s v="Juan Carlos Villarroel"/>
    <s v="jcvillarroel@sunlock.cl"/>
    <s v="(+56) 98529-7739"/>
  </r>
  <r>
    <s v="175.25"/>
    <x v="9"/>
    <x v="5"/>
    <x v="15"/>
    <s v="maio/2025"/>
    <s v="TL86257"/>
    <s v="TL86257"/>
    <n v="6954"/>
    <s v="TAPA CALM"/>
    <n v="13000"/>
    <n v="7000"/>
    <n v="2"/>
    <n v="26000"/>
    <s v="NA"/>
    <s v="Sebastián Mayo"/>
    <s v="NA"/>
  </r>
  <r>
    <s v="175.25"/>
    <x v="9"/>
    <x v="5"/>
    <x v="15"/>
    <s v="maio/2025"/>
    <s v="TL70511"/>
    <s v="TL70511"/>
    <n v="6954"/>
    <s v="TAPA ENERGY"/>
    <n v="7000"/>
    <n v="3000"/>
    <n v="1.57"/>
    <n v="10990"/>
    <s v="NA"/>
    <s v="Sebastián Mayo"/>
    <s v="NA"/>
  </r>
  <r>
    <s v="176.25"/>
    <x v="5"/>
    <x v="4"/>
    <x v="16"/>
    <s v="maio/2025"/>
    <s v="A10131"/>
    <n v="2810013"/>
    <n v="6949"/>
    <s v="Tela Black TP ML A10131"/>
    <n v="500"/>
    <n v="300"/>
    <n v="3.68"/>
    <n v="1840"/>
    <s v="Paulina Mena"/>
    <s v="paulina.mena@flex.es"/>
    <s v="56 96205 0626"/>
  </r>
  <r>
    <s v="168.25"/>
    <x v="5"/>
    <x v="4"/>
    <x v="17"/>
    <s v="maio/2025"/>
    <n v="112258"/>
    <s v="2810009 (1419)"/>
    <n v="7015"/>
    <s v="Therapeutic - Gray"/>
    <n v="1500"/>
    <n v="1000"/>
    <n v="2.25"/>
    <n v="3375"/>
    <s v="Paulina Mena"/>
    <s v="paulina.mena@flex.es"/>
    <s v="56 96205 0626"/>
  </r>
  <r>
    <s v="177.25"/>
    <x v="4"/>
    <x v="3"/>
    <x v="18"/>
    <d v="2025-06-01T00:00:00"/>
    <n v="32313"/>
    <s v="2540012 (1225)"/>
    <n v="7068"/>
    <s v="Tela conexão A07820 240 gms"/>
    <n v="4000"/>
    <n v="2500"/>
    <n v="2.84"/>
    <n v="11360"/>
    <s v="FRANCO MACHAO"/>
    <s v="franco.machao@divino.com.uy"/>
    <s v="+ 598 (2) 506.1262"/>
  </r>
  <r>
    <s v="177.25"/>
    <x v="4"/>
    <x v="3"/>
    <x v="18"/>
    <d v="2025-06-01T00:00:00"/>
    <n v="35003"/>
    <s v="2540023 (1652)"/>
    <n v="7068"/>
    <s v="Tela Cool Touch 460G-2,10 Colmeia"/>
    <n v="300"/>
    <n v="300"/>
    <n v="5.67"/>
    <n v="1701"/>
    <s v="FRANCO MACHAO"/>
    <s v="franco.machao@divino.com.uy"/>
    <s v="+ 598 (2) 506.1262"/>
  </r>
  <r>
    <s v="178.25"/>
    <x v="10"/>
    <x v="1"/>
    <x v="19"/>
    <d v="2025-06-01T00:00:00"/>
    <s v="0054025 3070002"/>
    <s v="3070002 (Id 4160)"/>
    <n v="7095"/>
    <s v="tela Dual Suenolar 240 2,20 100% PES XN BEGE "/>
    <n v="500"/>
    <n v="280"/>
    <n v="2.21"/>
    <n v="1105"/>
    <s v="Nidia Villalba"/>
    <s v="nvillalba@ypsa.com.py"/>
    <s v="595 21 588 8000"/>
  </r>
  <r>
    <s v="179.25"/>
    <x v="11"/>
    <x v="1"/>
    <x v="20"/>
    <d v="2025-06-01T00:00:00"/>
    <s v="A09970"/>
    <n v="3200014"/>
    <n v="7151"/>
    <s v="Tela SuperSpuma Dots 1 - Azul"/>
    <n v="1500"/>
    <n v="1300"/>
    <n v="1.44"/>
    <n v="2160"/>
    <s v="Leticia Roig"/>
    <s v="leticia.roig@superspuma.com"/>
    <s v="595 985 629024"/>
  </r>
  <r>
    <s v="179.25"/>
    <x v="11"/>
    <x v="1"/>
    <x v="20"/>
    <d v="2025-06-01T00:00:00"/>
    <s v="A009971"/>
    <n v="3200015"/>
    <n v="7151"/>
    <s v="Tela SuperSpuma Dots 1 - Roja"/>
    <n v="1700"/>
    <n v="1500"/>
    <n v="2.2799999999999998"/>
    <n v="3875.9999999999995"/>
    <s v="Leticia Roig"/>
    <s v="leticia.roig@superspuma.com"/>
    <s v="595 985 629024"/>
  </r>
  <r>
    <s v="179.25"/>
    <x v="11"/>
    <x v="1"/>
    <x v="20"/>
    <d v="2025-06-01T00:00:00"/>
    <s v="A09969"/>
    <n v="3200013"/>
    <n v="7151"/>
    <s v="Tela SuperSpuma Dots 1 - Negra"/>
    <n v="1600"/>
    <n v="1350"/>
    <n v="1.37"/>
    <n v="2192"/>
    <s v="Leticia Roig"/>
    <s v="leticia.roig@superspuma.com"/>
    <s v="595 985 629024"/>
  </r>
  <r>
    <s v="179.25"/>
    <x v="11"/>
    <x v="1"/>
    <x v="21"/>
    <d v="2025-06-01T00:00:00"/>
    <s v="A09858"/>
    <n v="3200011"/>
    <m/>
    <s v="Tela Superkids Rosa"/>
    <n v="500"/>
    <n v="300"/>
    <n v="2.2000000000000002"/>
    <n v="1100"/>
    <s v="Leticia Roig"/>
    <s v="leticia.roig@superspuma.com"/>
    <s v="595 985 629024"/>
  </r>
  <r>
    <s v="179.25"/>
    <x v="11"/>
    <x v="1"/>
    <x v="21"/>
    <d v="2025-06-01T00:00:00"/>
    <s v="0080011"/>
    <m/>
    <m/>
    <s v="Tela Waves Lino"/>
    <n v="600"/>
    <n v="350"/>
    <n v="4.75"/>
    <n v="2850"/>
    <s v="Leticia Roig"/>
    <s v="leticia.roig@superspuma.com"/>
    <s v="595 985 629024"/>
  </r>
  <r>
    <s v="180.25"/>
    <x v="12"/>
    <x v="4"/>
    <x v="20"/>
    <d v="2025-06-01T00:00:00"/>
    <s v="A09646"/>
    <n v="2860011"/>
    <n v="7173"/>
    <s v="TP Dolphin"/>
    <n v="700"/>
    <n v="500"/>
    <n v="6.49"/>
    <n v="4543"/>
    <s v="Juan Carlos Villarroel"/>
    <s v="jcvillarroel@sunlock.cl"/>
    <s v="(+56) 98529-7739"/>
  </r>
  <r>
    <s v="181.25"/>
    <x v="5"/>
    <x v="4"/>
    <x v="21"/>
    <d v="2025-06-01T00:00:00"/>
    <s v="A10131"/>
    <n v="2810013"/>
    <n v="7178"/>
    <s v="Tela Black - TP ML A09887 ( TP ML A10131)"/>
    <n v="2000"/>
    <n v="1350"/>
    <n v="3.68"/>
    <n v="7360"/>
    <s v="Paulina Mena"/>
    <s v="paulina.mena@flex.es"/>
    <s v="56 96205 0626"/>
  </r>
  <r>
    <s v="182.25"/>
    <x v="9"/>
    <x v="5"/>
    <x v="21"/>
    <s v="maio/2025"/>
    <n v="1705"/>
    <n v="1705"/>
    <n v="7179"/>
    <s v="Amostras diversas"/>
    <n v="100"/>
    <s v="NA"/>
    <s v="NA"/>
    <m/>
    <s v="NA"/>
    <s v="Sebastián Mayo"/>
    <s v="NA"/>
  </r>
  <r>
    <m/>
    <x v="13"/>
    <x v="6"/>
    <x v="22"/>
    <m/>
    <m/>
    <m/>
    <m/>
    <m/>
    <m/>
    <m/>
    <m/>
    <m/>
    <m/>
    <m/>
    <m/>
  </r>
  <r>
    <m/>
    <x v="13"/>
    <x v="6"/>
    <x v="22"/>
    <m/>
    <m/>
    <m/>
    <m/>
    <m/>
    <m/>
    <m/>
    <m/>
    <m/>
    <m/>
    <m/>
    <m/>
  </r>
  <r>
    <m/>
    <x v="13"/>
    <x v="6"/>
    <x v="22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s v="Finalizado "/>
    <n v="10169"/>
    <n v="5000"/>
    <d v="2026-06-05T00:00:00"/>
    <s v="feito"/>
    <s v="ok"/>
    <s v="ok"/>
    <s v="ok"/>
    <s v="ok"/>
    <d v="2026-06-10T00:00:00"/>
    <s v="Amizade (2214)"/>
    <m/>
    <m/>
    <m/>
    <s v="atraso/troca de maq."/>
  </r>
  <r>
    <x v="1"/>
    <x v="1"/>
    <x v="1"/>
    <s v="Finalizado "/>
    <n v="10499"/>
    <n v="600"/>
    <d v="2026-06-18T00:00:00"/>
    <s v="feito"/>
    <s v="ok"/>
    <s v="ok"/>
    <s v="ok"/>
    <s v="assinar"/>
    <d v="2026-06-18T00:00:00"/>
    <s v="TSA Log (1029) / lalamove"/>
    <m/>
    <m/>
    <m/>
    <s v="pedido de reposição QA/ Não faturado ao cliente - aplica NC"/>
  </r>
  <r>
    <x v="2"/>
    <x v="2"/>
    <x v="2"/>
    <s v="Finalizado "/>
    <n v="10309"/>
    <n v="8000"/>
    <d v="2026-06-30T00:00:00"/>
    <s v="feito"/>
    <m/>
    <m/>
    <m/>
    <m/>
    <s v="-"/>
    <m/>
    <m/>
    <s v="-"/>
    <m/>
    <s v="material revenda/entrega fornecedor: entre 30-35 dias"/>
  </r>
  <r>
    <x v="3"/>
    <x v="3"/>
    <x v="3"/>
    <s v="Finalizado "/>
    <n v="9124"/>
    <n v="1300"/>
    <d v="2026-02-06T00:00:00"/>
    <s v="feito"/>
    <s v="ok"/>
    <s v="ok"/>
    <s v="ok"/>
    <s v="assinar"/>
    <s v="-"/>
    <s v="Transfere (1134)"/>
    <d v="2026-02-24T00:00:00"/>
    <s v="ok"/>
    <s v="222.25"/>
    <s v="Cliente solicita Entrega para semana de 26 Jan (Semana 5)/Atraso -"/>
  </r>
  <r>
    <x v="4"/>
    <x v="2"/>
    <x v="4"/>
    <s v="Finalizado "/>
    <n v="10529"/>
    <n v="1000"/>
    <d v="2026-06-30T00:00:00"/>
    <s v="feito"/>
    <m/>
    <m/>
    <m/>
    <m/>
    <s v="-"/>
    <m/>
    <m/>
    <s v="-"/>
    <s v="028.26"/>
    <s v="Pedido complementar- Consolidar entrega com 028.26"/>
  </r>
  <r>
    <x v="5"/>
    <x v="4"/>
    <x v="5"/>
    <s v="Finalizado "/>
    <n v="9157"/>
    <n v="1000"/>
    <d v="2026-02-06T00:00:00"/>
    <s v="feito"/>
    <s v="ok"/>
    <s v="ok"/>
    <s v="ok"/>
    <s v="ok"/>
    <d v="2026-02-20T00:00:00"/>
    <s v="VENTO (1049)"/>
    <d v="2026-03-02T00:00:00"/>
    <s v="ok"/>
    <s v="003.26"/>
    <s v="defeito de embalagem "/>
  </r>
  <r>
    <x v="6"/>
    <x v="4"/>
    <x v="6"/>
    <s v="Finalizado "/>
    <n v="9177"/>
    <n v="1000"/>
    <d v="2026-02-10T00:00:00"/>
    <s v="feito"/>
    <s v="ok"/>
    <s v="ok"/>
    <s v="ok"/>
    <s v="ok"/>
    <d v="2026-02-20T00:00:00"/>
    <s v="VENTO (1049)"/>
    <d v="2026-03-02T00:00:00"/>
    <s v="ok"/>
    <s v="003.26"/>
    <s v="defeito de embalagem "/>
  </r>
  <r>
    <x v="7"/>
    <x v="3"/>
    <x v="7"/>
    <s v="Finalizado "/>
    <n v="10299"/>
    <n v="3500"/>
    <d v="2026-07-07T00:00:00"/>
    <s v="feito"/>
    <m/>
    <m/>
    <m/>
    <m/>
    <d v="2026-07-08T00:00:00"/>
    <s v="Andesur (718)"/>
    <m/>
    <s v="-"/>
    <m/>
    <s v="pedido novo / entrega solicitada para junho'26/revisar pedido-&gt;"/>
  </r>
  <r>
    <x v="8"/>
    <x v="4"/>
    <x v="8"/>
    <s v="Finalizado "/>
    <n v="9207"/>
    <n v="1300"/>
    <d v="2026-02-10T00:00:00"/>
    <s v="feito"/>
    <s v="ok"/>
    <s v="ok"/>
    <s v="ok"/>
    <s v="ok"/>
    <d v="2026-02-20T00:00:00"/>
    <s v="VENTO (1049)"/>
    <d v="2026-03-02T00:00:00"/>
    <s v="ok"/>
    <s v="003.26"/>
    <s v="defeito de embalagem "/>
  </r>
  <r>
    <x v="9"/>
    <x v="5"/>
    <x v="9"/>
    <s v="Finalizado "/>
    <n v="10308"/>
    <n v="2000"/>
    <d v="2026-07-08T00:00:00"/>
    <s v="feito"/>
    <m/>
    <m/>
    <m/>
    <m/>
    <d v="2026-07-10T00:00:00"/>
    <s v="Tranfere (1134)"/>
    <m/>
    <s v="-"/>
    <m/>
    <s v="Tela ignifuga- entrega solicitada para 29/06"/>
  </r>
  <r>
    <x v="10"/>
    <x v="3"/>
    <x v="10"/>
    <s v="Finalizado "/>
    <n v="8863"/>
    <n v="2200"/>
    <s v="ok"/>
    <s v="feito"/>
    <s v="ok"/>
    <s v="ok"/>
    <s v="ok"/>
    <s v="ok"/>
    <d v="2026-02-24T00:00:00"/>
    <s v="BTR (621)"/>
    <s v="29/02/2026"/>
    <s v="ok"/>
    <s v="217.25"/>
    <s v="Detalhes info - planilha 2025"/>
  </r>
  <r>
    <x v="11"/>
    <x v="5"/>
    <x v="3"/>
    <s v="Finalizado "/>
    <n v="9125"/>
    <n v="5900"/>
    <d v="2026-02-04T00:00:00"/>
    <s v="feito"/>
    <s v="ok"/>
    <s v="ok"/>
    <s v="ok"/>
    <s v="ok"/>
    <d v="2026-02-06T00:00:00"/>
    <s v="Tranfere (1134)"/>
    <n v="46071"/>
    <s v="ok"/>
    <s v="221.25"/>
    <s v="ENTREGA PRIORITARIA JAN 20, espec.  tecido fire-proof / Cotação frete = 1.750 usd (2.000)- Clte novo enviar fitins e amostras junto"/>
  </r>
  <r>
    <x v="12"/>
    <x v="3"/>
    <x v="11"/>
    <s v="Finalizado "/>
    <n v="9246"/>
    <n v="500"/>
    <d v="2026-02-10T00:00:00"/>
    <s v="feito"/>
    <s v="ok"/>
    <s v="ok"/>
    <s v="ok"/>
    <s v="ok"/>
    <d v="2026-02-24T00:00:00"/>
    <s v="Andesur (718)"/>
    <d v="2026-03-09T00:00:00"/>
    <s v="Enviado e n respondido  "/>
    <s v="006.26"/>
    <s v="Entrega até semana 9 (23 fev.)-Consolidar com 006.26 se possível"/>
  </r>
  <r>
    <x v="13"/>
    <x v="2"/>
    <x v="12"/>
    <s v="Finalizado "/>
    <n v="9233"/>
    <n v="8000"/>
    <d v="2026-02-25T00:00:00"/>
    <s v="feito"/>
    <s v="ok"/>
    <s v="ok"/>
    <s v="ok"/>
    <s v="ok"/>
    <d v="2026-02-26T00:00:00"/>
    <s v="Boette (802)"/>
    <d v="2026-03-04T00:00:00"/>
    <s v="Enviado e n respondido  "/>
    <s v="008.26"/>
    <s v="Entrega para 26 fev. (30 días solicitado)-Material revenda. Estimado 25/02"/>
  </r>
  <r>
    <x v="14"/>
    <x v="3"/>
    <x v="8"/>
    <s v="Finalizado "/>
    <n v="9206"/>
    <n v="1000"/>
    <d v="2026-02-10T00:00:00"/>
    <s v="feito"/>
    <s v="ok"/>
    <s v="ok"/>
    <s v="ok"/>
    <s v="ok"/>
    <d v="2026-02-24T00:00:00"/>
    <s v="Andesur (718)"/>
    <d v="2026-03-09T00:00:00"/>
    <s v="Enviado e n respondido  "/>
    <s v="006.26"/>
    <s v="Entrega até semana 9 (23 fev.)"/>
  </r>
  <r>
    <x v="15"/>
    <x v="6"/>
    <x v="13"/>
    <s v="Finalizado "/>
    <n v="9469"/>
    <n v="3121"/>
    <s v="N/A"/>
    <s v="feito"/>
    <s v="ok"/>
    <s v="ok"/>
    <s v="ok"/>
    <s v="ok"/>
    <d v="2026-02-24T00:00:00"/>
    <s v="BTR (621)"/>
    <d v="2026-03-10T00:00:00"/>
    <s v="ok"/>
    <m/>
    <s v="Material parado em revenda para nova razao social C. Prince"/>
  </r>
  <r>
    <x v="16"/>
    <x v="4"/>
    <x v="14"/>
    <d v="2026-07-10T00:00:00"/>
    <n v="10497"/>
    <n v="2500"/>
    <d v="2026-07-13T00:00:00"/>
    <n v="3"/>
    <m/>
    <m/>
    <m/>
    <m/>
    <s v="Agrd pagto"/>
    <m/>
    <s v="on-hold"/>
    <m/>
    <m/>
    <s v="pedido on hold / F-upesquema de pgto"/>
  </r>
  <r>
    <x v="17"/>
    <x v="7"/>
    <x v="15"/>
    <s v="Finalizado "/>
    <n v="9942"/>
    <n v="7000"/>
    <d v="2026-05-14T00:00:00"/>
    <s v="feito"/>
    <s v="ok"/>
    <s v="ok"/>
    <s v="ok"/>
    <s v="ok"/>
    <d v="2026-05-22T00:00:00"/>
    <s v="VENTO (1049)"/>
    <d v="2026-06-03T00:00:00"/>
    <s v="-"/>
    <s v="016.26"/>
    <s v="peças trocando de maquina"/>
  </r>
  <r>
    <x v="18"/>
    <x v="8"/>
    <x v="16"/>
    <s v="Finalizado "/>
    <n v="9939"/>
    <n v="4500"/>
    <d v="2026-05-13T00:00:00"/>
    <s v="feito"/>
    <s v="ok"/>
    <s v="ok"/>
    <s v="ok"/>
    <s v="ok"/>
    <d v="2026-05-13T00:00:00"/>
    <s v="Transmaas (1762)"/>
    <d v="2026-05-19T00:00:00"/>
    <s v="Enviado - _x000a_Sem resposta"/>
    <s v="024.26 "/>
    <s v="amostras enviadas"/>
  </r>
  <r>
    <x v="19"/>
    <x v="9"/>
    <x v="17"/>
    <s v="Finalizado "/>
    <n v="9802"/>
    <n v="12000"/>
    <d v="2026-04-29T00:00:00"/>
    <s v="feito"/>
    <s v="ok"/>
    <s v="ok"/>
    <s v="ok"/>
    <s v="ok"/>
    <d v="2026-05-06T00:00:00"/>
    <s v="CDL (2162)"/>
    <d v="2026-05-12T00:00:00"/>
    <s v="ok"/>
    <s v="022.26"/>
    <s v="Enviar produtos parados tb "/>
  </r>
  <r>
    <x v="20"/>
    <x v="1"/>
    <x v="18"/>
    <s v="Finalizado "/>
    <n v="9776"/>
    <n v="24200"/>
    <d v="2026-04-27T00:00:00"/>
    <s v="feito"/>
    <s v="ok"/>
    <s v="ok"/>
    <s v="ok"/>
    <s v="ok"/>
    <d v="2026-05-01T00:00:00"/>
    <s v="Borrota"/>
    <d v="2026-05-08T00:00:00"/>
    <s v="ok"/>
    <s v="020.26"/>
    <s v="! Enviar amostra junto !"/>
  </r>
  <r>
    <x v="21"/>
    <x v="10"/>
    <x v="6"/>
    <s v="Finalizado "/>
    <n v="9176"/>
    <n v="12000"/>
    <d v="2026-02-19T00:00:00"/>
    <s v="feito"/>
    <s v="ok"/>
    <s v="ok"/>
    <s v="ok"/>
    <s v="ok"/>
    <d v="2026-03-06T00:00:00"/>
    <s v="Craft - Belmar (1946)"/>
    <d v="2026-03-17T00:00:00"/>
    <s v="ok"/>
    <s v="004.26"/>
    <m/>
  </r>
  <r>
    <x v="22"/>
    <x v="11"/>
    <x v="19"/>
    <s v="Finalizado "/>
    <n v="9695"/>
    <n v="27000"/>
    <d v="2026-04-17T00:00:00"/>
    <s v="feito"/>
    <s v="ok"/>
    <s v="ok"/>
    <s v="ok"/>
    <s v="ok"/>
    <d v="2026-04-17T00:00:00"/>
    <s v="Transmass (1762)"/>
    <d v="2026-04-23T00:00:00"/>
    <s v="ok"/>
    <m/>
    <s v="PRIORIDADE-coleta - Acrescc. 2K mts final 01 produzidos/ invoice 13% vs Proforma"/>
  </r>
  <r>
    <x v="23"/>
    <x v="12"/>
    <x v="20"/>
    <s v="Finalizado "/>
    <n v="9691"/>
    <n v="4100"/>
    <d v="2026-03-31T00:00:00"/>
    <s v="feito"/>
    <s v="ok"/>
    <s v="ok"/>
    <s v="ok"/>
    <s v="ok"/>
    <d v="2026-04-14T00:00:00"/>
    <s v="Duchico (1609) "/>
    <d v="2026-04-27T00:00:00"/>
    <s v="Enviado"/>
    <m/>
    <s v="ok cliente para coletar pedido"/>
  </r>
  <r>
    <x v="24"/>
    <x v="0"/>
    <x v="21"/>
    <s v="Finalizado "/>
    <n v="9534"/>
    <n v="5000"/>
    <d v="2026-03-27T00:00:00"/>
    <s v="feito"/>
    <s v="ok"/>
    <s v="ok"/>
    <s v="ok"/>
    <s v="ok"/>
    <d v="2026-04-07T00:00:00"/>
    <s v="Santa cruz (2145)"/>
    <s v="-"/>
    <s v="-"/>
    <m/>
    <s v="Enviar amostras junto - material de revenda "/>
  </r>
  <r>
    <x v="25"/>
    <x v="3"/>
    <x v="22"/>
    <s v="Finalizado "/>
    <n v="9634"/>
    <n v="3200"/>
    <d v="2026-03-31T00:00:00"/>
    <s v="feito"/>
    <s v="ok"/>
    <s v="ok"/>
    <s v="ok"/>
    <s v="ok"/>
    <d v="2026-04-27T00:00:00"/>
    <s v="Andesur (718)"/>
    <d v="2026-05-06T00:00:00"/>
    <s v="Enviado"/>
    <s v="013.26"/>
    <s v="Cliente procura completa 1 camião-F-up data para liberar essa entrega"/>
  </r>
  <r>
    <x v="26"/>
    <x v="4"/>
    <x v="23"/>
    <s v="Finalizado "/>
    <n v="9522"/>
    <n v="3500"/>
    <d v="2026-04-28T00:00:00"/>
    <s v="feito"/>
    <s v="ok"/>
    <s v="ok"/>
    <s v="ok"/>
    <s v="ok"/>
    <d v="2026-05-06T00:00:00"/>
    <s v="TSA Log (1029)"/>
    <d v="2026-05-18T00:00:00"/>
    <s v="ok"/>
    <s v="011.26"/>
    <s v="Incluir frete |  atraso x falta de fio"/>
  </r>
  <r>
    <x v="27"/>
    <x v="13"/>
    <x v="24"/>
    <s v="Finalizado "/>
    <n v="9747"/>
    <n v="5000"/>
    <d v="2026-04-28T00:00:00"/>
    <s v="feito"/>
    <s v="ok"/>
    <s v="ok"/>
    <s v="ok"/>
    <s v="ok"/>
    <d v="2026-05-06T00:00:00"/>
    <s v="Transfere (1134)"/>
    <d v="2026-05-15T00:00:00"/>
    <s v="ok"/>
    <s v="017.26"/>
    <s v="amostras enviadas"/>
  </r>
  <r>
    <x v="28"/>
    <x v="13"/>
    <x v="18"/>
    <s v="Finalizado "/>
    <n v="9778"/>
    <n v="7100"/>
    <d v="2026-04-28T00:00:00"/>
    <s v="feito"/>
    <s v="ok"/>
    <s v="ok"/>
    <s v="ok"/>
    <s v="ok"/>
    <d v="2026-05-06T00:00:00"/>
    <s v="Transfere (1134)"/>
    <d v="2026-05-15T00:00:00"/>
    <s v="ok"/>
    <s v="017.26"/>
    <s v="amostras enviadas"/>
  </r>
  <r>
    <x v="29"/>
    <x v="3"/>
    <x v="7"/>
    <s v="Finalizado "/>
    <n v="9771"/>
    <n v="3100"/>
    <d v="2026-05-13T00:00:00"/>
    <s v="feito"/>
    <s v="ok"/>
    <s v="ok"/>
    <s v="ok"/>
    <s v="ok"/>
    <d v="2026-05-21T00:00:00"/>
    <s v="Andesur (718)"/>
    <d v="2026-02-01T00:00:00"/>
    <s v="Enviado"/>
    <s v="018.26"/>
    <s v="pedido novo / entrega solicitada para maio'26"/>
  </r>
  <r>
    <x v="30"/>
    <x v="14"/>
    <x v="25"/>
    <s v="Finalizado "/>
    <n v="9777"/>
    <n v="3500"/>
    <d v="2026-05-07T00:00:00"/>
    <s v="feito"/>
    <s v="ok"/>
    <s v="ok"/>
    <s v="ok"/>
    <s v="ok"/>
    <d v="2026-05-19T00:00:00"/>
    <s v="DC Logistics (959)"/>
    <d v="2026-05-23T00:00:00"/>
    <s v="Enviado"/>
    <s v="023.26"/>
    <s v="Voo sai 22/05"/>
  </r>
  <r>
    <x v="31"/>
    <x v="3"/>
    <x v="1"/>
    <d v="2026-07-20T00:00:00"/>
    <n v="10506"/>
    <n v="1500"/>
    <d v="2026-07-20T00:00:00"/>
    <n v="0"/>
    <m/>
    <m/>
    <m/>
    <m/>
    <d v="2026-08-28T00:00:00"/>
    <m/>
    <m/>
    <m/>
    <m/>
    <s v="entrega semana 30=&gt;20jul/atraso/cotação transport"/>
  </r>
  <r>
    <x v="32"/>
    <x v="3"/>
    <x v="26"/>
    <s v="Enviado "/>
    <n v="10609"/>
    <n v="1000"/>
    <d v="2026-07-21T00:00:00"/>
    <n v="0"/>
    <m/>
    <m/>
    <m/>
    <m/>
    <d v="2026-08-12T00:00:00"/>
    <m/>
    <m/>
    <m/>
    <m/>
    <s v="entrega última semana julho -problemas estrada neve"/>
  </r>
  <r>
    <x v="33"/>
    <x v="12"/>
    <x v="27"/>
    <d v="2026-07-23T00:00:00"/>
    <n v="10514"/>
    <n v="3650"/>
    <d v="2026-07-23T00:00:00"/>
    <n v="0"/>
    <m/>
    <m/>
    <m/>
    <m/>
    <d v="2026-08-04T00:00:00"/>
    <s v="Duchico (1609) "/>
    <s v="em transito"/>
    <m/>
    <m/>
    <m/>
  </r>
  <r>
    <x v="34"/>
    <x v="15"/>
    <x v="2"/>
    <s v="Enviado "/>
    <n v="10310"/>
    <n v="12000"/>
    <d v="2026-08-21T00:00:00"/>
    <n v="0"/>
    <m/>
    <m/>
    <m/>
    <m/>
    <d v="2026-08-20T00:00:00"/>
    <m/>
    <d v="2026-09-22T00:00:00"/>
    <s v="-"/>
    <m/>
    <s v="Cliente novo - 1 item alterado x divergencia desenho/estrut. (015)"/>
  </r>
  <r>
    <x v="35"/>
    <x v="1"/>
    <x v="28"/>
    <s v="Enviado "/>
    <n v="10572"/>
    <n v="600"/>
    <d v="2026-08-14T00:00:00"/>
    <n v="0"/>
    <m/>
    <m/>
    <m/>
    <m/>
    <d v="2026-08-14T00:00:00"/>
    <s v="aereo"/>
    <m/>
    <m/>
    <m/>
    <s v="pedido novo pdto ajustado/ sem fio enchimento preto/aereo"/>
  </r>
  <r>
    <x v="36"/>
    <x v="15"/>
    <x v="2"/>
    <s v="Enviado "/>
    <n v="10634"/>
    <n v="6000"/>
    <d v="2026-08-21T00:00:00"/>
    <n v="0"/>
    <m/>
    <m/>
    <m/>
    <m/>
    <d v="2026-08-20T00:00:00"/>
    <m/>
    <d v="2026-09-22T00:00:00"/>
    <m/>
    <s v="026.26"/>
    <s v="pedido complementar- Consolidar entrega com 026.26  10310"/>
  </r>
  <r>
    <x v="37"/>
    <x v="0"/>
    <x v="29"/>
    <d v="2026-07-30T00:00:00"/>
    <n v="10629"/>
    <n v="2500"/>
    <d v="2026-07-30T00:00:00"/>
    <n v="0"/>
    <m/>
    <m/>
    <m/>
    <m/>
    <d v="2026-08-26T00:00:00"/>
    <m/>
    <m/>
    <m/>
    <s v="039.26/041.26"/>
    <m/>
  </r>
  <r>
    <x v="38"/>
    <x v="0"/>
    <x v="30"/>
    <d v="2026-07-30T00:00:00"/>
    <n v="10635"/>
    <n v="1000"/>
    <d v="2026-07-30T00:00:00"/>
    <n v="0"/>
    <m/>
    <m/>
    <m/>
    <m/>
    <d v="2026-08-26T00:00:00"/>
    <m/>
    <m/>
    <m/>
    <s v="039.26/041.26/049.26"/>
    <s v="pedido complementar- Consolidar entrega com 039.26 / 10629"/>
  </r>
  <r>
    <x v="39"/>
    <x v="16"/>
    <x v="31"/>
    <d v="2026-07-31T00:00:00"/>
    <n v="10756"/>
    <n v="4000"/>
    <d v="2026-08-11T00:00:00"/>
    <n v="11"/>
    <m/>
    <m/>
    <m/>
    <m/>
    <d v="2026-08-24T00:00:00"/>
    <m/>
    <m/>
    <m/>
    <m/>
    <s v="Atraso / falta de fio"/>
  </r>
  <r>
    <x v="40"/>
    <x v="17"/>
    <x v="2"/>
    <s v="Finalizado "/>
    <n v="10700"/>
    <n v="150"/>
    <d v="2026-07-31T00:00:00"/>
    <n v="0"/>
    <m/>
    <m/>
    <m/>
    <m/>
    <s v="enviado"/>
    <m/>
    <m/>
    <m/>
    <m/>
    <s v="Amostra faturavel  + frete ($819 + 1310,13)/pauta amostra 2107"/>
  </r>
  <r>
    <x v="41"/>
    <x v="18"/>
    <x v="32"/>
    <d v="2026-08-15T00:00:00"/>
    <s v="10759 / 10879"/>
    <n v="22000"/>
    <d v="2026-08-21T00:00:00"/>
    <n v="6"/>
    <m/>
    <m/>
    <m/>
    <m/>
    <d v="2026-09-14T00:00:00"/>
    <m/>
    <m/>
    <m/>
    <m/>
    <s v="Prioridade coleta/Pdto de stock incluidos em troca (27/07) - pedido complementar para consolidar"/>
  </r>
  <r>
    <x v="42"/>
    <x v="19"/>
    <x v="33"/>
    <d v="2026-08-18T00:00:00"/>
    <n v="10812"/>
    <n v="1300"/>
    <d v="2026-08-24T00:00:00"/>
    <n v="6"/>
    <m/>
    <m/>
    <m/>
    <m/>
    <s v="31/08 ? "/>
    <m/>
    <m/>
    <m/>
    <m/>
    <s v="Amostras faturaveis no pedido/pauta amostra 22/07 "/>
  </r>
  <r>
    <x v="43"/>
    <x v="20"/>
    <x v="34"/>
    <d v="2026-08-18T00:00:00"/>
    <n v="10814"/>
    <n v="6000"/>
    <d v="2026-08-29T00:00:00"/>
    <n v="11"/>
    <m/>
    <m/>
    <m/>
    <m/>
    <d v="2026-08-27T00:00:00"/>
    <m/>
    <m/>
    <m/>
    <m/>
    <m/>
  </r>
  <r>
    <x v="44"/>
    <x v="1"/>
    <x v="35"/>
    <d v="2026-08-18T00:00:00"/>
    <n v="10820"/>
    <n v="1400"/>
    <d v="2026-08-24T00:00:00"/>
    <n v="6"/>
    <m/>
    <m/>
    <m/>
    <m/>
    <d v="2026-08-31T00:00:00"/>
    <m/>
    <m/>
    <m/>
    <s v="046.26 + 047 ?"/>
    <s v="pedido complementar- Brighton - sem Fio"/>
  </r>
  <r>
    <x v="45"/>
    <x v="21"/>
    <x v="33"/>
    <d v="2026-09-15T00:00:00"/>
    <n v="10822"/>
    <n v="30000"/>
    <d v="2026-09-15T00:00:00"/>
    <n v="0"/>
    <m/>
    <m/>
    <m/>
    <m/>
    <m/>
    <m/>
    <m/>
    <m/>
    <m/>
    <s v="cliente solicita entrega para 1a quinzena setembro (25/08)"/>
  </r>
  <r>
    <x v="46"/>
    <x v="22"/>
    <x v="36"/>
    <d v="2026-07-22T00:00:00"/>
    <n v="10344"/>
    <n v="44000"/>
    <d v="2026-07-22T00:00:00"/>
    <n v="0"/>
    <s v="julho?"/>
    <m/>
    <m/>
    <m/>
    <s v="Agrd booking/ TBD"/>
    <m/>
    <m/>
    <m/>
    <m/>
    <s v="Agrd Booking / Separar produto segunda qualidade - venda Cuba/coleta estimada 1a semana junho"/>
  </r>
  <r>
    <x v="47"/>
    <x v="1"/>
    <x v="37"/>
    <d v="2026-09-02T00:00:00"/>
    <n v="10856"/>
    <n v="25200"/>
    <d v="2026-08-24T00:00:00"/>
    <n v="-9"/>
    <m/>
    <m/>
    <m/>
    <m/>
    <d v="2026-08-31T00:00:00"/>
    <m/>
    <m/>
    <m/>
    <s v="046.26 + 047 ?"/>
    <s v="Pedido novo-entrega 1ros dias setembro26"/>
  </r>
  <r>
    <x v="48"/>
    <x v="0"/>
    <x v="38"/>
    <d v="2026-09-04T00:00:00"/>
    <n v="10822"/>
    <n v="3000"/>
    <d v="2026-08-26T00:00:00"/>
    <n v="-9"/>
    <m/>
    <m/>
    <m/>
    <m/>
    <d v="2026-08-26T00:00:00"/>
    <m/>
    <m/>
    <m/>
    <s v="039.26/041.26/049.26"/>
    <s v="material revenda/entrega fornecedor 30dias"/>
  </r>
  <r>
    <x v="49"/>
    <x v="2"/>
    <x v="39"/>
    <d v="2026-09-10T00:00:00"/>
    <n v="10946"/>
    <n v="5000"/>
    <d v="2026-09-10T00:00:00"/>
    <n v="0"/>
    <m/>
    <m/>
    <m/>
    <m/>
    <m/>
    <m/>
    <m/>
    <m/>
    <m/>
    <s v="material revenda - entrega pedido em setembro'26"/>
  </r>
  <r>
    <x v="50"/>
    <x v="23"/>
    <x v="40"/>
    <d v="2026-09-14T00:00:00"/>
    <n v="10963"/>
    <n v="1000"/>
    <d v="2026-08-31T00:00:00"/>
    <n v="-14"/>
    <m/>
    <m/>
    <m/>
    <m/>
    <m/>
    <m/>
    <m/>
    <m/>
    <m/>
    <m/>
  </r>
  <r>
    <x v="51"/>
    <x v="3"/>
    <x v="41"/>
    <d v="2026-08-31T00:00:00"/>
    <n v="11048"/>
    <n v="500"/>
    <d v="2026-08-31T00:00:00"/>
    <n v="0"/>
    <m/>
    <m/>
    <m/>
    <m/>
    <m/>
    <m/>
    <m/>
    <m/>
    <m/>
    <s v="Pedido prioridade para suprir deficit/versão Black comprada x engano"/>
  </r>
  <r>
    <x v="52"/>
    <x v="3"/>
    <x v="42"/>
    <d v="2026-09-21T00:00:00"/>
    <n v="11136"/>
    <n v="2500"/>
    <d v="2026-09-21T00:00:00"/>
    <n v="0"/>
    <m/>
    <m/>
    <m/>
    <m/>
    <m/>
    <m/>
    <m/>
    <m/>
    <m/>
    <m/>
  </r>
  <r>
    <x v="53"/>
    <x v="3"/>
    <x v="42"/>
    <d v="2026-10-13T00:00:00"/>
    <n v="11137"/>
    <n v="1000"/>
    <d v="2026-10-13T00:00:00"/>
    <n v="0"/>
    <m/>
    <m/>
    <m/>
    <m/>
    <m/>
    <m/>
    <m/>
    <m/>
    <m/>
    <s v="Entrega solicitada para outubro"/>
  </r>
  <r>
    <x v="54"/>
    <x v="13"/>
    <x v="43"/>
    <d v="2026-10-05T00:00:00"/>
    <m/>
    <n v="10400"/>
    <d v="2026-10-05T00:00:00"/>
    <n v="0"/>
    <m/>
    <m/>
    <m/>
    <m/>
    <m/>
    <m/>
    <m/>
    <m/>
    <m/>
    <s v="em progresso"/>
  </r>
  <r>
    <x v="55"/>
    <x v="24"/>
    <x v="44"/>
    <d v="2026-10-04T00:00:00"/>
    <m/>
    <n v="15500"/>
    <d v="2026-10-04T00:00:00"/>
    <n v="0"/>
    <m/>
    <m/>
    <m/>
    <m/>
    <m/>
    <m/>
    <m/>
    <m/>
    <m/>
    <s v="em progress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s v="157.25"/>
    <x v="0"/>
    <x v="0"/>
    <m/>
    <x v="0"/>
    <d v="2025-04-01T00:00:00"/>
    <n v="357001"/>
    <s v="NA"/>
    <s v="NA"/>
    <s v="Tela Artic Breeze - Fria / Blanca e Azul"/>
    <m/>
    <m/>
    <m/>
    <n v="8578.5"/>
    <s v="Severiano Melgar"/>
    <s v="jefecompras@colchonesheaven.com"/>
    <s v="591 78516162"/>
    <s v=" Entrega solicitada para semana 26 Janeiro"/>
    <m/>
    <m/>
  </r>
  <r>
    <s v="157.25"/>
    <x v="0"/>
    <x v="0"/>
    <m/>
    <x v="0"/>
    <d v="2025-04-01T00:00:00"/>
    <n v="3370009"/>
    <s v="NA"/>
    <s v="NA"/>
    <s v="Tela Hexagono / Blanca"/>
    <m/>
    <m/>
    <m/>
    <n v="2451"/>
    <s v="Severiano Melgar"/>
    <s v="jefecompras@colchonesheaven.com"/>
    <s v="591 78516162"/>
    <s v="cliente novo - Entrega prioritaria 1ra quinzena Jan 2026"/>
    <m/>
    <m/>
  </r>
  <r>
    <s v="155.25"/>
    <x v="1"/>
    <x v="1"/>
    <m/>
    <x v="1"/>
    <d v="2025-04-01T00:00:00"/>
    <n v="356001"/>
    <s v="NA"/>
    <s v="NA"/>
    <s v="Tela Inmapol Artic Breeze"/>
    <m/>
    <m/>
    <m/>
    <n v="1596"/>
    <s v="Marcos"/>
    <s v="madrisa@inmapol.com.py"/>
    <s v="595 21 942 599"/>
    <m/>
    <m/>
    <m/>
  </r>
  <r>
    <s v="155.25"/>
    <x v="1"/>
    <x v="1"/>
    <m/>
    <x v="1"/>
    <d v="2025-04-01T00:00:00"/>
    <n v="80001"/>
    <s v="NA"/>
    <s v="NA"/>
    <s v="Tela Inmapol Coreon"/>
    <m/>
    <m/>
    <m/>
    <n v="1480"/>
    <s v="Marcos"/>
    <s v="madrisa@inmapol.com.py"/>
    <s v="595 21 942 599"/>
    <m/>
    <m/>
    <m/>
  </r>
  <r>
    <s v="155.25"/>
    <x v="1"/>
    <x v="1"/>
    <m/>
    <x v="1"/>
    <d v="2025-04-01T00:00:00"/>
    <n v="91012"/>
    <s v="NA"/>
    <s v="NA"/>
    <s v="Tela Inmapol Biodress"/>
    <m/>
    <m/>
    <m/>
    <n v="1360"/>
    <s v="Marcos"/>
    <s v="madrisa@inmapol.com.py"/>
    <s v="595 21 942 599"/>
    <m/>
    <m/>
    <m/>
  </r>
  <r>
    <s v="155.25"/>
    <x v="1"/>
    <x v="1"/>
    <m/>
    <x v="1"/>
    <d v="2025-04-01T00:00:00"/>
    <n v="97012"/>
    <s v="NA"/>
    <s v="NA"/>
    <s v="Knitting - White / Tela con acabado resistente al pilling"/>
    <m/>
    <m/>
    <m/>
    <n v="1470"/>
    <s v="Marcos"/>
    <s v="madrisa@inmapol.com.py"/>
    <s v="595 21 942 599"/>
    <m/>
    <m/>
    <m/>
  </r>
  <r>
    <s v="155.25"/>
    <x v="2"/>
    <x v="2"/>
    <m/>
    <x v="2"/>
    <d v="2025-04-01T00:00:00"/>
    <n v="74117"/>
    <n v="326004"/>
    <s v="NA"/>
    <s v="POCKET COIL MAX"/>
    <m/>
    <m/>
    <m/>
    <n v="3280"/>
    <s v="Maria Jose Camacho"/>
    <s v="comexgye@paraiso.com.ec"/>
    <s v="593 999494115"/>
    <m/>
    <m/>
    <m/>
  </r>
  <r>
    <s v="155.25"/>
    <x v="2"/>
    <x v="2"/>
    <m/>
    <x v="2"/>
    <d v="2025-04-01T00:00:00"/>
    <n v="89014"/>
    <n v="326005"/>
    <s v="NA"/>
    <s v="BANDA POCKET COIL MAX"/>
    <m/>
    <m/>
    <m/>
    <n v="1302"/>
    <s v="Maria Jose Camacho"/>
    <s v="comexgye@paraiso.com.ec"/>
    <s v="593 999494115"/>
    <m/>
    <m/>
    <m/>
  </r>
  <r>
    <s v="155.25"/>
    <x v="2"/>
    <x v="2"/>
    <m/>
    <x v="2"/>
    <d v="2025-04-01T00:00:00"/>
    <n v="89093"/>
    <n v="326001"/>
    <s v="NA"/>
    <s v="PREMIUM PLUS"/>
    <m/>
    <m/>
    <m/>
    <n v="10700"/>
    <s v="Maria Jose Camacho"/>
    <s v="comexgye@paraiso.com.ec"/>
    <s v="593 999494115"/>
    <m/>
    <m/>
    <m/>
  </r>
  <r>
    <s v="155.25"/>
    <x v="2"/>
    <x v="2"/>
    <m/>
    <x v="2"/>
    <d v="2025-04-01T00:00:00"/>
    <n v="80071"/>
    <n v="326003"/>
    <s v="NA"/>
    <s v="BANDA PREMIUM PLUS"/>
    <m/>
    <m/>
    <m/>
    <n v="4644"/>
    <s v="Maria Jose Camacho"/>
    <s v="comexgye@paraiso.com.ec"/>
    <s v="593 999494115"/>
    <s v="cliente novo - Entrega prioritaria 1ra quinzena Jan 2026"/>
    <m/>
    <m/>
  </r>
  <r>
    <s v="155.25"/>
    <x v="2"/>
    <x v="2"/>
    <m/>
    <x v="2"/>
    <d v="2025-04-01T00:00:00"/>
    <n v="89931"/>
    <s v="SDP6907"/>
    <s v="NA"/>
    <s v="PARAÍSO BAMBOO PLUS"/>
    <m/>
    <m/>
    <m/>
    <n v="6000"/>
    <s v="Maria Jose Camacho"/>
    <s v="comexgye@paraiso.com.ec"/>
    <s v="593 999494115"/>
    <m/>
    <m/>
    <m/>
  </r>
  <r>
    <s v="158.25 Rev.2"/>
    <x v="3"/>
    <x v="1"/>
    <m/>
    <x v="3"/>
    <d v="2025-04-01T00:00:00"/>
    <s v="A08182"/>
    <s v="A08182"/>
    <s v="NA"/>
    <s v="Tela Materassi Blanca"/>
    <m/>
    <m/>
    <m/>
    <n v="2335"/>
    <s v="Alcibiades Greco"/>
    <s v="unicornio_py@yahoo.es"/>
    <s v="595 982 119084"/>
    <s v="cliente solicita para fin de mês"/>
    <m/>
    <m/>
  </r>
  <r>
    <s v="160.25"/>
    <x v="4"/>
    <x v="3"/>
    <m/>
    <x v="4"/>
    <d v="2025-04-01T00:00:00"/>
    <n v="32313"/>
    <s v="254.0012"/>
    <s v="NA"/>
    <s v="Tela Conexao A07820 240 gsm"/>
    <m/>
    <m/>
    <m/>
    <n v="11360"/>
    <s v="FRANCO MACHAO"/>
    <s v="franco.machao@divino.com.uy"/>
    <s v="+ 598 (2) 506.1262"/>
    <m/>
    <m/>
    <m/>
  </r>
  <r>
    <s v="160.25"/>
    <x v="4"/>
    <x v="3"/>
    <m/>
    <x v="4"/>
    <d v="2025-04-01T00:00:00"/>
    <n v="32232"/>
    <s v="254.0005"/>
    <s v="NA"/>
    <s v="Tela A07370 Tampo Geom 100% POLY 240G"/>
    <m/>
    <m/>
    <m/>
    <n v="6580"/>
    <s v="FRANCO MACHAO"/>
    <s v="franco.machao@divino.com.uy"/>
    <s v="+ 598 (2) 506.1262"/>
    <s v="entrega para semana 9 (23 fev.)"/>
    <m/>
    <m/>
  </r>
  <r>
    <s v="160.25"/>
    <x v="4"/>
    <x v="3"/>
    <m/>
    <x v="4"/>
    <d v="2025-04-01T00:00:00"/>
    <n v="32370"/>
    <n v="32370"/>
    <s v="NA"/>
    <s v="Tela A07803 Modelo Divino"/>
    <m/>
    <m/>
    <m/>
    <n v="3456"/>
    <s v="FRANCO MACHAO"/>
    <s v="franco.machao@divino.com.uy"/>
    <s v="+ 598 (2) 506.1262"/>
    <s v="Agrd validação cód pdn - agrd aprov. Cliente/ ok"/>
    <m/>
    <m/>
  </r>
  <r>
    <s v="160.25"/>
    <x v="4"/>
    <x v="3"/>
    <m/>
    <x v="4"/>
    <d v="2025-04-01T00:00:00"/>
    <n v="32390"/>
    <s v="254.0018"/>
    <s v="NA"/>
    <s v="Tela DIV A07806"/>
    <m/>
    <m/>
    <m/>
    <n v="8430"/>
    <s v="FRANCO MACHAO"/>
    <s v="franco.machao@divino.com.uy"/>
    <s v="+ 598 (2) 506.1262"/>
    <s v="Agrd aprovaç cliente/ ok"/>
    <m/>
    <m/>
  </r>
  <r>
    <s v="160.25"/>
    <x v="4"/>
    <x v="3"/>
    <m/>
    <x v="4"/>
    <d v="2025-04-01T00:00:00"/>
    <n v="32372"/>
    <s v="A08980"/>
    <s v="NA"/>
    <s v="Tela Conexao A08980 Modelo Divino"/>
    <m/>
    <m/>
    <m/>
    <n v="9990"/>
    <s v="FRANCO MACHAO"/>
    <s v="franco.machao@divino.com.uy"/>
    <s v="+ 598 (2) 506.1262"/>
    <s v="Proforma 30/01-Ok Cods"/>
    <m/>
    <m/>
  </r>
  <r>
    <s v="160.25"/>
    <x v="4"/>
    <x v="3"/>
    <m/>
    <x v="4"/>
    <d v="2025-04-01T00:00:00"/>
    <n v="35004"/>
    <n v="35004"/>
    <s v="NA"/>
    <s v="Tela Folhas - Imagina 15001"/>
    <m/>
    <m/>
    <m/>
    <n v="3670"/>
    <s v="FRANCO MACHAO"/>
    <s v="franco.machao@divino.com.uy"/>
    <s v="+ 598 (2) 506.1262"/>
    <s v="material parado revendido-Nva razón social Prince + Flete"/>
    <m/>
    <m/>
  </r>
  <r>
    <s v="160.25"/>
    <x v="4"/>
    <x v="3"/>
    <m/>
    <x v="4"/>
    <d v="2025-04-01T00:00:00"/>
    <n v="35032"/>
    <n v="35032"/>
    <s v="NA"/>
    <s v="Tela 72001 Degrade Gris"/>
    <m/>
    <m/>
    <m/>
    <n v="2488"/>
    <s v="FRANCO MACHAO"/>
    <s v="franco.machao@divino.com.uy"/>
    <s v="+ 598 (2) 506.1262"/>
    <s v="material parado revendido-Nva razón social Prince + Flete"/>
    <m/>
    <m/>
  </r>
  <r>
    <s v="160.25"/>
    <x v="4"/>
    <x v="3"/>
    <m/>
    <x v="4"/>
    <d v="2025-04-01T00:00:00"/>
    <n v="35145"/>
    <n v="258064"/>
    <s v="NA"/>
    <s v="TP ML A10045 280G 2,20L DV U"/>
    <m/>
    <m/>
    <m/>
    <n v="1280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2282"/>
    <n v="32282"/>
    <n v="6816"/>
    <s v="Tela antideslizante Conexao"/>
    <m/>
    <m/>
    <m/>
    <n v="302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2232"/>
    <n v="32232"/>
    <n v="6816"/>
    <s v="Tela A07370 Tampo Geom 100% POLY 240G"/>
    <m/>
    <m/>
    <m/>
    <n v="11515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2370"/>
    <n v="32370"/>
    <n v="6816"/>
    <s v="Tela A07803 Modelo Divino"/>
    <m/>
    <m/>
    <m/>
    <n v="600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2390"/>
    <n v="32390"/>
    <n v="6816"/>
    <s v="Tela DIV A07806"/>
    <m/>
    <m/>
    <m/>
    <n v="1124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2372"/>
    <n v="2540017"/>
    <n v="6816"/>
    <s v="Tela Conexao A08980 Modelo Divino"/>
    <m/>
    <m/>
    <m/>
    <n v="1332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5004"/>
    <n v="35004"/>
    <n v="6816"/>
    <s v="Tela Folhas - Imagina 15001"/>
    <m/>
    <m/>
    <m/>
    <n v="3670"/>
    <s v="FRANCO MACHAO"/>
    <s v="franco.machao@divino.com.uy"/>
    <s v="+ 598 (2) 506.1262"/>
    <s v="material parado revendido-Nva razón social Prince + Flete"/>
    <m/>
    <m/>
  </r>
  <r>
    <s v="164.25"/>
    <x v="4"/>
    <x v="3"/>
    <m/>
    <x v="5"/>
    <d v="2025-05-01T00:00:00"/>
    <n v="35149"/>
    <n v="132012"/>
    <n v="6816"/>
    <s v="Tela TP ML 132012 340G 2,20L DV U"/>
    <m/>
    <m/>
    <m/>
    <n v="7560"/>
    <s v="FRANCO MACHAO"/>
    <s v="franco.machao@divino.com.uy"/>
    <s v="+ 598 (2) 506.1262"/>
    <s v="material parado revendido-Nva razón social Prince + Flete"/>
    <m/>
    <m/>
  </r>
  <r>
    <s v="163.25"/>
    <x v="5"/>
    <x v="4"/>
    <m/>
    <x v="6"/>
    <d v="2025-05-01T00:00:00"/>
    <n v="1121110"/>
    <n v="2810005"/>
    <n v="6752"/>
    <s v="Tela Hojas"/>
    <m/>
    <m/>
    <m/>
    <n v="1415"/>
    <s v="Paulina Mena"/>
    <s v="paulina.mena@flex.es"/>
    <s v="56 96205 0626"/>
    <s v="material parado revendido-Nva razón social Prince + Flete"/>
    <m/>
    <m/>
  </r>
  <r>
    <s v="163.25"/>
    <x v="5"/>
    <x v="4"/>
    <m/>
    <x v="6"/>
    <d v="2025-05-01T00:00:00"/>
    <n v="1122580"/>
    <n v="2810009"/>
    <n v="6752"/>
    <s v="Therapeutic - Gray"/>
    <m/>
    <m/>
    <m/>
    <n v="3825"/>
    <s v="Paulina Mena"/>
    <s v="paulina.mena@flex.es"/>
    <s v="56 96205 0626"/>
    <s v="material parado revendido-Nva razón social Prince + Flete"/>
    <m/>
    <m/>
  </r>
  <r>
    <s v="153.25"/>
    <x v="6"/>
    <x v="4"/>
    <m/>
    <x v="7"/>
    <d v="2025-04-01T00:00:00"/>
    <s v="2860004"/>
    <m/>
    <s v="NA"/>
    <s v="TP RETAS DEGRADE"/>
    <m/>
    <m/>
    <m/>
    <n v="4300"/>
    <s v="Juan Carlos Villarroel"/>
    <s v="jcvillarroel@sunlock.cl"/>
    <s v="(+56) 98529-7739"/>
    <s v="produzindo- final. 24/03"/>
    <s v="produzindo"/>
    <s v="- final. 24/03"/>
  </r>
  <r>
    <s v="153.25"/>
    <x v="6"/>
    <x v="4"/>
    <m/>
    <x v="7"/>
    <d v="2025-04-01T00:00:00"/>
    <s v="2860013"/>
    <m/>
    <s v="NA"/>
    <s v="TELA SUNSET"/>
    <m/>
    <m/>
    <m/>
    <n v="3325"/>
    <s v="Juan Carlos Villarroel"/>
    <s v="jcvillarroel@sunlock.cl"/>
    <s v="(+56) 98529-7739"/>
    <s v="OK- basado en mejoras del flujo de crédito"/>
    <m/>
    <m/>
  </r>
  <r>
    <s v="153.25"/>
    <x v="6"/>
    <x v="4"/>
    <m/>
    <x v="7"/>
    <d v="2025-04-01T00:00:00"/>
    <s v="2860015"/>
    <m/>
    <s v="NA"/>
    <s v="TP GRIS"/>
    <m/>
    <m/>
    <m/>
    <n v="3640"/>
    <s v="Juan Carlos Villarroel"/>
    <s v="jcvillarroel@sunlock.cl"/>
    <s v="(+56) 98529-7739"/>
    <s v="OK- basado en mejoras del flujo de crédito| Finalizado"/>
    <m/>
    <m/>
  </r>
  <r>
    <s v="153.25"/>
    <x v="6"/>
    <x v="4"/>
    <m/>
    <x v="7"/>
    <d v="2025-04-01T00:00:00"/>
    <s v="SU001"/>
    <m/>
    <s v="NA"/>
    <s v="SERTAPEDIC"/>
    <m/>
    <m/>
    <m/>
    <n v="2180"/>
    <s v="Juan Carlos Villarroel"/>
    <s v="jcvillarroel@sunlock.cl"/>
    <s v="(+56) 98529-7739"/>
    <s v="finalizado produção"/>
    <m/>
    <m/>
  </r>
  <r>
    <s v="159.25"/>
    <x v="4"/>
    <x v="3"/>
    <m/>
    <x v="8"/>
    <d v="2025-04-01T00:00:00"/>
    <n v="32282"/>
    <n v="32282"/>
    <s v="NA"/>
    <s v="Tela antideslizante Conexao"/>
    <m/>
    <m/>
    <m/>
    <n v="3020"/>
    <s v="FRANCO MACHAO"/>
    <s v="franco.machao@divino.com.uy"/>
    <s v="+ 598 (2) 506.1262"/>
    <s v="nva proforma material revenda"/>
    <m/>
    <m/>
  </r>
  <r>
    <s v="159.25"/>
    <x v="4"/>
    <x v="3"/>
    <m/>
    <x v="8"/>
    <d v="2025-04-01T00:00:00"/>
    <n v="32313"/>
    <n v="32313"/>
    <s v="NA"/>
    <s v="Tela Conexao A07820 240 gsm"/>
    <m/>
    <m/>
    <m/>
    <n v="5760"/>
    <s v="FRANCO MACHAO"/>
    <s v="franco.machao@divino.com.uy"/>
    <s v="+ 598 (2) 506.1262"/>
    <s v="proforma nova 3/3  ok  | 31/03 maq 51"/>
    <m/>
    <m/>
  </r>
  <r>
    <s v="159.25"/>
    <x v="4"/>
    <x v="3"/>
    <m/>
    <x v="8"/>
    <d v="2025-04-01T00:00:00"/>
    <n v="32232"/>
    <n v="32232"/>
    <s v="NA"/>
    <s v="Tela A07370 Tampo Geom 100% POLY 240G"/>
    <m/>
    <m/>
    <m/>
    <n v="8225"/>
    <s v="FRANCO MACHAO"/>
    <s v="franco.machao@divino.com.uy"/>
    <s v="+ 598 (2) 506.1262"/>
    <s v="proforma nova 3/3  ok |produzindo maq 41"/>
    <m/>
    <m/>
  </r>
  <r>
    <s v="159.25"/>
    <x v="4"/>
    <x v="3"/>
    <m/>
    <x v="8"/>
    <d v="2025-04-01T00:00:00"/>
    <n v="32341"/>
    <n v="32341"/>
    <s v="NA"/>
    <s v="Tela Conexao Tela A05171 Square"/>
    <m/>
    <m/>
    <m/>
    <n v="2150"/>
    <s v="FRANCO MACHAO"/>
    <s v="franco.machao@divino.com.uy"/>
    <s v="+ 598 (2) 506.1262"/>
    <s v="proforma nova 3/3  ok |30/03 maq 48"/>
    <m/>
    <m/>
  </r>
  <r>
    <s v="159.25"/>
    <x v="4"/>
    <x v="3"/>
    <m/>
    <x v="8"/>
    <d v="2025-04-01T00:00:00"/>
    <n v="32370"/>
    <n v="32370"/>
    <s v="NA"/>
    <s v="Tela A07803 Modelo Divino"/>
    <m/>
    <m/>
    <m/>
    <n v="3600"/>
    <s v="FRANCO MACHAO"/>
    <s v="franco.machao@divino.com.uy"/>
    <s v="+ 598 (2) 506.1262"/>
    <s v="proforma nova 3/3  ok| 02/04 maq 53"/>
    <m/>
    <m/>
  </r>
  <r>
    <s v="159.25"/>
    <x v="4"/>
    <x v="3"/>
    <m/>
    <x v="8"/>
    <d v="2025-04-01T00:00:00"/>
    <n v="32390"/>
    <n v="32390"/>
    <s v="NA"/>
    <s v="Tela DIV A07806"/>
    <m/>
    <m/>
    <m/>
    <n v="5620"/>
    <s v="FRANCO MACHAO"/>
    <s v="franco.machao@divino.com.uy"/>
    <s v="+ 598 (2) 506.1262"/>
    <s v="proforma -ok 06/03/finalizado pdn 1903 (616+104+89)"/>
    <m/>
    <m/>
  </r>
  <r>
    <s v="159.25"/>
    <x v="4"/>
    <x v="3"/>
    <m/>
    <x v="8"/>
    <d v="2025-04-01T00:00:00"/>
    <n v="32372"/>
    <n v="32372"/>
    <s v="NA"/>
    <s v="Tela Conexao A08980 Modelo Divino"/>
    <m/>
    <m/>
    <m/>
    <n v="6660"/>
    <s v="FRANCO MACHAO"/>
    <s v="franco.machao@divino.com.uy"/>
    <s v="+ 598 (2) 506.1262"/>
    <s v="proforma -ok 06/03"/>
    <m/>
    <m/>
  </r>
  <r>
    <s v="159.25"/>
    <x v="4"/>
    <x v="3"/>
    <m/>
    <x v="8"/>
    <d v="2025-04-01T00:00:00"/>
    <n v="35004"/>
    <n v="35004"/>
    <s v="NA"/>
    <s v="Tela Folhas - Imagina 15001"/>
    <m/>
    <m/>
    <m/>
    <n v="2936"/>
    <s v="FRANCO MACHAO"/>
    <s v="franco.machao@divino.com.uy"/>
    <s v="+ 598 (2) 506.1262"/>
    <s v="Start 27/03/2026"/>
    <m/>
    <m/>
  </r>
  <r>
    <s v="159.25"/>
    <x v="4"/>
    <x v="3"/>
    <m/>
    <x v="8"/>
    <d v="2025-04-01T00:00:00"/>
    <n v="35031"/>
    <n v="35031"/>
    <s v="NA"/>
    <s v="Tela 69001 Contemporáneo"/>
    <m/>
    <m/>
    <m/>
    <n v="2040"/>
    <s v="FRANCO MACHAO"/>
    <s v="franco.machao@divino.com.uy"/>
    <s v="+ 598 (2) 506.1262"/>
    <s v="proforma -ok 06/03| Produçao 28/03-31/03 maq 25"/>
    <m/>
    <m/>
  </r>
  <r>
    <s v="159.25"/>
    <x v="4"/>
    <x v="3"/>
    <m/>
    <x v="8"/>
    <d v="2025-04-01T00:00:00"/>
    <n v="35032"/>
    <n v="35032"/>
    <s v="NA"/>
    <s v="Tela 72001 Degrade Gris"/>
    <m/>
    <m/>
    <m/>
    <n v="3200"/>
    <s v="FRANCO MACHAO"/>
    <s v="franco.machao@divino.com.uy"/>
    <s v="+ 598 (2) 506.1262"/>
    <s v="produção Finalizada 24/03, saldo disponível para acabamento."/>
    <m/>
    <m/>
  </r>
  <r>
    <s v="159.25"/>
    <x v="4"/>
    <x v="3"/>
    <m/>
    <x v="8"/>
    <d v="2025-04-01T00:00:00"/>
    <n v="35145"/>
    <n v="35145"/>
    <s v="NA"/>
    <s v="Tela TP ML A10045 280G 2,20L DV U"/>
    <m/>
    <m/>
    <m/>
    <n v="13995"/>
    <s v="FRANCO MACHAO"/>
    <s v="franco.machao@divino.com.uy"/>
    <s v="+ 598 (2) 506.1262"/>
    <s v="proforma -ok 06/03"/>
    <m/>
    <m/>
  </r>
  <r>
    <s v="163.25"/>
    <x v="7"/>
    <x v="0"/>
    <m/>
    <x v="9"/>
    <d v="2025-04-01T00:00:00"/>
    <n v="439001"/>
    <m/>
    <s v="NA"/>
    <s v="MAXI KING 1 - BRANCO &amp; AREIA"/>
    <m/>
    <m/>
    <m/>
    <n v="4350"/>
    <s v="Livio Zozzoli"/>
    <s v="liviozozzoli@maxiking.com.bo"/>
    <s v="(591)76640036"/>
    <s v="maquina 50 (8K mts)| maq 47 (7K)-Start 14/03- OP avulsa| "/>
    <m/>
    <m/>
  </r>
  <r>
    <s v="163.25"/>
    <x v="7"/>
    <x v="0"/>
    <m/>
    <x v="9"/>
    <d v="2025-04-01T00:00:00"/>
    <n v="407001"/>
    <m/>
    <s v="NA"/>
    <s v="MAXI KING 2 - ARENA"/>
    <m/>
    <m/>
    <m/>
    <n v="2980"/>
    <s v="Livio Zozzoli"/>
    <s v="liviozozzoli@maxiking.com.bo"/>
    <s v="(591)76640036"/>
    <s v="Produzindo -  8.112mts|maq 03 (Start 1903)  - 07/04 - avrg  12peças/día"/>
    <m/>
    <m/>
  </r>
  <r>
    <s v="163.25"/>
    <x v="7"/>
    <x v="0"/>
    <m/>
    <x v="9"/>
    <d v="2025-04-01T00:00:00"/>
    <n v="446001"/>
    <m/>
    <s v="NA"/>
    <s v="MAXI KING 3 - BRANCO COM PERLA"/>
    <m/>
    <m/>
    <m/>
    <n v="4560"/>
    <s v="Livio Zozzoli"/>
    <s v="liviozozzoli@maxiking.com.bo"/>
    <s v="(591)76640036"/>
    <m/>
    <m/>
    <m/>
  </r>
  <r>
    <s v="163.25"/>
    <x v="7"/>
    <x v="0"/>
    <m/>
    <x v="9"/>
    <d v="2025-04-01T00:00:00"/>
    <n v="428001"/>
    <m/>
    <s v="NA"/>
    <s v="MAXI KING 4 - AZUL MARINO"/>
    <m/>
    <m/>
    <m/>
    <n v="4590"/>
    <s v="Livio Zozzoli"/>
    <s v="liviozozzoli@maxiking.com.bo"/>
    <s v="(591)76640036"/>
    <m/>
    <m/>
    <m/>
  </r>
  <r>
    <s v="163.25"/>
    <x v="7"/>
    <x v="0"/>
    <m/>
    <x v="9"/>
    <d v="2025-04-01T00:00:00"/>
    <n v="434004"/>
    <m/>
    <s v="NA"/>
    <s v="MAXI KING 5 - GRIS / ARENA / BLANCO"/>
    <m/>
    <m/>
    <m/>
    <n v="3674"/>
    <s v="Livio Zozzoli"/>
    <s v="liviozozzoli@maxiking.com.bo"/>
    <s v="(591)76640036"/>
    <s v="proforma 18/03 - Entrega em maio"/>
    <m/>
    <m/>
  </r>
  <r>
    <s v="170.25"/>
    <x v="5"/>
    <x v="4"/>
    <m/>
    <x v="10"/>
    <d v="2025-04-01T00:00:00"/>
    <n v="2010011"/>
    <m/>
    <n v="6868"/>
    <s v="TP PARADISE 122034 370G. 2,20 DV U"/>
    <m/>
    <m/>
    <m/>
    <n v="1940"/>
    <s v="Paulina Mena"/>
    <s v="paulina.mena@flex.es"/>
    <s v="56 96205 0626"/>
    <s v="proforma 18/03 - Entrega em maio"/>
    <m/>
    <m/>
  </r>
  <r>
    <s v="171.25"/>
    <x v="8"/>
    <x v="5"/>
    <m/>
    <x v="11"/>
    <d v="2025-05-01T00:00:00"/>
    <n v="10001"/>
    <m/>
    <n v="6881"/>
    <s v="Tela Caseros - Modelo 1 - Abstrato"/>
    <m/>
    <m/>
    <m/>
    <n v="3140"/>
    <s v="Rubén Pellegrini"/>
    <s v="distribuidoracaseros@gmail.com"/>
    <s v="54 9 11 4419-8124"/>
    <s v="proforma 18/03 - Entrega em maio| 700mts - produzindo 06/04"/>
    <m/>
    <m/>
  </r>
  <r>
    <s v="171.25"/>
    <x v="8"/>
    <x v="5"/>
    <m/>
    <x v="11"/>
    <d v="2025-05-01T00:00:00"/>
    <n v="66003"/>
    <m/>
    <n v="6881"/>
    <s v="Tela Caseros - Modelo 2 - Lines"/>
    <m/>
    <m/>
    <m/>
    <n v="1570"/>
    <s v="Rubén Pellegrini"/>
    <s v="distribuidoracaseros@gmail.com"/>
    <s v="54 9 11 4419-8124"/>
    <s v="proforma 18/03 - Entrega em junho"/>
    <m/>
    <m/>
  </r>
  <r>
    <s v="171.25"/>
    <x v="8"/>
    <x v="5"/>
    <m/>
    <x v="11"/>
    <d v="2025-05-01T00:00:00"/>
    <n v="740011"/>
    <m/>
    <n v="6881"/>
    <s v="Tela Caseros - Modelo 2 - Dots"/>
    <m/>
    <m/>
    <m/>
    <n v="1570"/>
    <s v="Rubén Pellegrini"/>
    <s v="distribuidoracaseros@gmail.com"/>
    <s v="54 9 11 4419-8124"/>
    <s v="proforma 18/03 - Entrega em junho"/>
    <m/>
    <m/>
  </r>
  <r>
    <s v="171.25"/>
    <x v="8"/>
    <x v="5"/>
    <m/>
    <x v="11"/>
    <d v="2025-05-01T00:00:00"/>
    <n v="3520004"/>
    <m/>
    <n v="6881"/>
    <s v="TP ML 0092193 160Gr 2,10 L"/>
    <m/>
    <m/>
    <m/>
    <n v="0"/>
    <s v="Rubén Pellegrini"/>
    <s v="distribuidoracaseros@gmail.com"/>
    <s v="54 9 11 4419-8124"/>
    <s v="proforma 18/03 - Entrega em junho"/>
    <m/>
    <m/>
  </r>
  <r>
    <s v="166.25"/>
    <x v="5"/>
    <x v="4"/>
    <m/>
    <x v="6"/>
    <d v="2025-05-01T00:00:00"/>
    <n v="122034"/>
    <n v="122034"/>
    <n v="6875"/>
    <s v="Tela Black - TP ML A09887"/>
    <m/>
    <m/>
    <m/>
    <n v="1840"/>
    <s v="Paulina Mena"/>
    <s v="paulina.mena@flex.es"/>
    <s v="56 96205 0626"/>
    <s v="ok cliente - agrd cod prod totvs"/>
    <m/>
    <m/>
  </r>
  <r>
    <s v="167.25"/>
    <x v="5"/>
    <x v="4"/>
    <m/>
    <x v="12"/>
    <d v="2025-05-01T00:00:00"/>
    <n v="1121110"/>
    <s v="281.0005"/>
    <n v="6880"/>
    <s v="Sensity - Hojas "/>
    <m/>
    <m/>
    <m/>
    <n v="0"/>
    <s v="Paulina Mena"/>
    <s v="paulina.mena@flex.es"/>
    <s v="56 96205 0626"/>
    <s v="ok cliente - agrd cod prod totvs"/>
    <m/>
    <m/>
  </r>
  <r>
    <s v="167.25"/>
    <x v="5"/>
    <x v="4"/>
    <m/>
    <x v="12"/>
    <d v="2025-05-01T00:00:00"/>
    <n v="1122580"/>
    <s v="281.0009"/>
    <n v="6880"/>
    <s v="Therapeutic - Gray"/>
    <m/>
    <m/>
    <m/>
    <n v="0"/>
    <s v="Paulina Mena"/>
    <s v="paulina.mena@flex.es"/>
    <s v="56 96205 0626"/>
    <s v="ok cliente - agrd cod prod totvs"/>
    <m/>
    <m/>
  </r>
  <r>
    <s v="172.25"/>
    <x v="0"/>
    <x v="0"/>
    <m/>
    <x v="11"/>
    <d v="2025-05-01T00:00:00"/>
    <n v="3370001"/>
    <m/>
    <n v="6882"/>
    <s v="Tela Black / 300 GSM"/>
    <m/>
    <m/>
    <m/>
    <n v="3400"/>
    <s v="Severiano Melgar"/>
    <s v="jefecompras@colchonesheaven.com"/>
    <s v="591 78516162"/>
    <s v="ok cliente - agrd cod prod totvs"/>
    <m/>
    <m/>
  </r>
  <r>
    <s v="172.25"/>
    <x v="0"/>
    <x v="0"/>
    <m/>
    <x v="11"/>
    <d v="2025-05-01T00:00:00"/>
    <n v="3370005"/>
    <m/>
    <n v="6882"/>
    <s v="Tela Favo Blanco"/>
    <m/>
    <m/>
    <m/>
    <n v="1850"/>
    <s v="Severiano Melgar"/>
    <s v="jefecompras@colchonesheaven.com"/>
    <s v="591 78516162"/>
    <s v="ok cliente - agrd cod prod totvs"/>
    <m/>
    <m/>
  </r>
  <r>
    <s v="173.25"/>
    <x v="4"/>
    <x v="3"/>
    <m/>
    <x v="13"/>
    <d v="2025-06-01T00:00:00"/>
    <n v="245051"/>
    <n v="2540036"/>
    <n v="6816"/>
    <s v="Tela Divino - Lino y &amp; Arena"/>
    <m/>
    <m/>
    <m/>
    <n v="3680"/>
    <s v="FRANCO MACHAO"/>
    <s v="franco.machao@divino.com.uy"/>
    <s v="+ 598 (2) 506.1262"/>
    <s v="ok cliente - agrd cod prod totvs"/>
    <m/>
    <m/>
  </r>
  <r>
    <s v="174.25"/>
    <x v="6"/>
    <x v="4"/>
    <m/>
    <x v="14"/>
    <d v="2025-05-01T00:00:00"/>
    <n v="2860004"/>
    <n v="2860004"/>
    <n v="6940"/>
    <s v="TP retas degrade"/>
    <m/>
    <m/>
    <m/>
    <n v="4300"/>
    <s v="Juan Carlos Villarroel"/>
    <s v="jcvillarroel@sunlock.cl"/>
    <s v="(+56) 98529-7739"/>
    <s v="ok cliente - agrd cod prod totvs"/>
    <m/>
    <m/>
  </r>
  <r>
    <s v="174.25"/>
    <x v="6"/>
    <x v="4"/>
    <m/>
    <x v="14"/>
    <d v="2025-05-01T00:00:00"/>
    <n v="2860013"/>
    <n v="2860013"/>
    <n v="6940"/>
    <s v="TELA SUNSET"/>
    <m/>
    <m/>
    <m/>
    <n v="2375"/>
    <s v="Juan Carlos Villarroel"/>
    <s v="jcvillarroel@sunlock.cl"/>
    <s v="(+56) 98529-7739"/>
    <m/>
    <m/>
    <m/>
  </r>
  <r>
    <s v="174.25"/>
    <x v="6"/>
    <x v="4"/>
    <m/>
    <x v="14"/>
    <d v="2025-05-01T00:00:00"/>
    <n v="2860015"/>
    <n v="2860015"/>
    <n v="6940"/>
    <s v="TP Gris"/>
    <m/>
    <m/>
    <m/>
    <n v="2600"/>
    <s v="Juan Carlos Villarroel"/>
    <s v="jcvillarroel@sunlock.cl"/>
    <s v="(+56) 98529-7739"/>
    <m/>
    <m/>
    <m/>
  </r>
  <r>
    <s v="175.25"/>
    <x v="9"/>
    <x v="5"/>
    <m/>
    <x v="15"/>
    <d v="2025-05-01T00:00:00"/>
    <s v="TL86257"/>
    <s v="A10169 (4114)"/>
    <n v="6954"/>
    <s v="TAPA CALM"/>
    <m/>
    <m/>
    <m/>
    <n v="26000"/>
    <s v="NA"/>
    <s v="NA"/>
    <s v="NA"/>
    <m/>
    <m/>
    <m/>
  </r>
  <r>
    <s v="175.25"/>
    <x v="9"/>
    <x v="5"/>
    <m/>
    <x v="15"/>
    <d v="2025-05-01T00:00:00"/>
    <s v="TL70511"/>
    <s v="A10168 (4113)"/>
    <n v="6954"/>
    <s v="TAPA ENERGY"/>
    <m/>
    <m/>
    <m/>
    <n v="10990"/>
    <s v="NA"/>
    <s v="NA"/>
    <s v="NA"/>
    <m/>
    <m/>
    <m/>
  </r>
  <r>
    <s v="176.25"/>
    <x v="5"/>
    <x v="4"/>
    <m/>
    <x v="16"/>
    <d v="2025-05-01T00:00:00"/>
    <s v="A10131"/>
    <n v="2810013"/>
    <n v="6949"/>
    <s v="Tela Black TP ML A10131"/>
    <m/>
    <m/>
    <m/>
    <n v="1840"/>
    <s v="Paulina Mena"/>
    <s v="paulina.mena@flex.es"/>
    <s v="56 96205 0626"/>
    <m/>
    <m/>
    <m/>
  </r>
  <r>
    <s v="168.25"/>
    <x v="5"/>
    <x v="4"/>
    <m/>
    <x v="17"/>
    <d v="2025-05-01T00:00:00"/>
    <n v="112258"/>
    <s v="2810009 (1419)"/>
    <n v="7015"/>
    <s v="Therapeutic - Gray"/>
    <m/>
    <m/>
    <m/>
    <n v="3375"/>
    <s v="Paulina Mena"/>
    <s v="paulina.mena@flex.es"/>
    <s v="56 96205 0626"/>
    <m/>
    <m/>
    <m/>
  </r>
  <r>
    <s v="177.25"/>
    <x v="4"/>
    <x v="3"/>
    <m/>
    <x v="18"/>
    <d v="2025-06-01T00:00:00"/>
    <n v="32313"/>
    <s v="2540012 (1225)"/>
    <n v="7068"/>
    <s v="Tela conexão A07820 240 gms"/>
    <m/>
    <m/>
    <m/>
    <n v="11360"/>
    <s v="FRANCO MACHAO"/>
    <s v="franco.machao@divino.com.uy"/>
    <s v="+ 598 (2) 506.1262"/>
    <m/>
    <m/>
    <m/>
  </r>
  <r>
    <s v="177.25"/>
    <x v="4"/>
    <x v="3"/>
    <m/>
    <x v="18"/>
    <d v="2025-06-01T00:00:00"/>
    <n v="35003"/>
    <s v="2540023 (1652)/2540031(3343)"/>
    <n v="7068"/>
    <s v="Tela Cool Touch 460G-2,10 Colmeia"/>
    <m/>
    <m/>
    <m/>
    <n v="0"/>
    <s v="FRANCO MACHAO"/>
    <s v="franco.machao@divino.com.uy"/>
    <s v="+ 598 (2) 506.1262"/>
    <m/>
    <m/>
    <m/>
  </r>
  <r>
    <s v="178.25"/>
    <x v="10"/>
    <x v="1"/>
    <m/>
    <x v="19"/>
    <d v="2025-06-01T00:00:00"/>
    <s v="0054025 3070002"/>
    <s v="3070002 (Id 4160)"/>
    <n v="7095"/>
    <s v="tela Dual Suenolar 240 2,20 100% PES XN BEGE "/>
    <m/>
    <m/>
    <m/>
    <n v="0"/>
    <s v="Nidia Villalba"/>
    <s v="nvillalba@ypsa.com.py"/>
    <s v="595 21 588 8000"/>
    <m/>
    <m/>
    <m/>
  </r>
  <r>
    <s v="179.25"/>
    <x v="11"/>
    <x v="1"/>
    <m/>
    <x v="20"/>
    <d v="2025-06-01T00:00:00"/>
    <s v="A09970 (3701)"/>
    <n v="3200014"/>
    <n v="7211"/>
    <s v="Tela SuperSpuma Dots 1 - Azul"/>
    <m/>
    <m/>
    <m/>
    <n v="0"/>
    <s v="Leticia Roig"/>
    <s v="leticia.roig@superspuma.com"/>
    <s v="595 985 629024"/>
    <m/>
    <m/>
    <m/>
  </r>
  <r>
    <s v="179.25"/>
    <x v="11"/>
    <x v="1"/>
    <m/>
    <x v="20"/>
    <d v="2025-06-01T00:00:00"/>
    <s v="A009971 (3702)"/>
    <n v="3200015"/>
    <n v="7211"/>
    <s v="Tela SuperSpuma Dots 1 - Roja"/>
    <m/>
    <m/>
    <m/>
    <n v="0"/>
    <s v="Leticia Roig"/>
    <s v="leticia.roig@superspuma.com"/>
    <s v="595 985 629024"/>
    <m/>
    <m/>
    <m/>
  </r>
  <r>
    <s v="179.25"/>
    <x v="11"/>
    <x v="1"/>
    <m/>
    <x v="20"/>
    <d v="2025-06-01T00:00:00"/>
    <s v="A09969 (3700)"/>
    <n v="3200013"/>
    <n v="7211"/>
    <s v="Tela SuperSpuma Dots 1 - Negra"/>
    <m/>
    <m/>
    <m/>
    <n v="0"/>
    <s v="Leticia Roig"/>
    <s v="leticia.roig@superspuma.com"/>
    <s v="595 985 629024"/>
    <m/>
    <m/>
    <m/>
  </r>
  <r>
    <s v="179.25"/>
    <x v="11"/>
    <x v="1"/>
    <m/>
    <x v="21"/>
    <d v="2025-06-01T00:00:00"/>
    <s v="A09858 (3274)"/>
    <n v="3200011"/>
    <n v="7211"/>
    <s v="Tela Superkids Rosa"/>
    <m/>
    <m/>
    <m/>
    <n v="0"/>
    <s v="Leticia Roig"/>
    <s v="leticia.roig@superspuma.com"/>
    <s v="595 985 629024"/>
    <m/>
    <m/>
    <m/>
  </r>
  <r>
    <s v="179.25"/>
    <x v="11"/>
    <x v="1"/>
    <m/>
    <x v="21"/>
    <d v="2025-06-01T00:00:00"/>
    <s v="0080011 (1979)"/>
    <s v="3200010-06"/>
    <n v="7211"/>
    <s v="Tela Waves Lino"/>
    <m/>
    <m/>
    <m/>
    <n v="0"/>
    <s v="Leticia Roig"/>
    <s v="leticia.roig@superspuma.com"/>
    <s v="595 985 629024"/>
    <m/>
    <m/>
    <m/>
  </r>
  <r>
    <s v="180.25"/>
    <x v="12"/>
    <x v="4"/>
    <m/>
    <x v="20"/>
    <d v="2025-06-01T00:00:00"/>
    <s v="A09646"/>
    <n v="2860011"/>
    <n v="7173"/>
    <s v="TP Dolphin"/>
    <m/>
    <m/>
    <m/>
    <n v="0"/>
    <s v="Juan Carlos Villarroel"/>
    <s v="jcvillarroel@sunlock.cl"/>
    <s v="(+56) 98529-7739"/>
    <m/>
    <m/>
    <m/>
  </r>
  <r>
    <s v="181.25"/>
    <x v="5"/>
    <x v="4"/>
    <m/>
    <x v="21"/>
    <d v="2025-06-01T00:00:00"/>
    <s v="A10131"/>
    <n v="2810013"/>
    <n v="7178"/>
    <s v="Tela Black - TP ML A09887 ( TP ML A10131)"/>
    <m/>
    <m/>
    <m/>
    <n v="0"/>
    <s v="Paulina Mena"/>
    <s v="paulina.mena@flex.es"/>
    <s v="56 96205 0626"/>
    <m/>
    <m/>
    <s v=""/>
  </r>
  <r>
    <s v="182.25"/>
    <x v="9"/>
    <x v="5"/>
    <m/>
    <x v="21"/>
    <d v="2025-05-01T00:00:00"/>
    <n v="1705"/>
    <n v="1705"/>
    <n v="7179"/>
    <s v="Amostras diversas"/>
    <m/>
    <m/>
    <m/>
    <n v="0"/>
    <s v="NA"/>
    <s v="Sebastián Mayo"/>
    <s v="NA"/>
    <m/>
    <m/>
    <m/>
  </r>
  <r>
    <s v="183.25"/>
    <x v="5"/>
    <x v="4"/>
    <m/>
    <x v="22"/>
    <d v="2025-06-01T00:00:00"/>
    <n v="1122580"/>
    <s v="2810009 (1419)"/>
    <n v="7234"/>
    <s v="Therapeutic - Gray"/>
    <m/>
    <m/>
    <m/>
    <n v="0"/>
    <s v="Paulina Mena"/>
    <s v="paulina.mena@flex.es"/>
    <s v="56 96205 0626"/>
    <m/>
    <m/>
    <m/>
  </r>
  <r>
    <s v="183.25"/>
    <x v="5"/>
    <x v="4"/>
    <m/>
    <x v="22"/>
    <d v="2025-06-01T00:00:00"/>
    <n v="1121110"/>
    <s v="2810005 (1422)"/>
    <n v="7234"/>
    <s v="Tela Hojas"/>
    <m/>
    <m/>
    <m/>
    <n v="0"/>
    <s v="Paulina Mena"/>
    <s v="paulina.mena@flex.es"/>
    <s v="56 96205 0626"/>
    <m/>
    <m/>
    <m/>
  </r>
  <r>
    <s v="184.25"/>
    <x v="4"/>
    <x v="3"/>
    <m/>
    <x v="22"/>
    <d v="2025-06-01T00:00:00"/>
    <n v="32313"/>
    <s v="2540012 (1225)"/>
    <n v="7235"/>
    <s v="Tela Conexao A07820 240 gsm"/>
    <m/>
    <m/>
    <m/>
    <n v="0"/>
    <s v="FRANCO MACHAO"/>
    <s v="franco.machao@divino.com.uy"/>
    <s v="+ 598 (2) 506.1262"/>
    <m/>
    <m/>
    <m/>
  </r>
  <r>
    <s v="184.25"/>
    <x v="4"/>
    <x v="3"/>
    <m/>
    <x v="22"/>
    <d v="2025-06-01T00:00:00"/>
    <n v="32372"/>
    <s v="2540017 (1506)"/>
    <n v="7235"/>
    <s v="Tela Conexao A08980 Modelo Divino 280G 2,10L"/>
    <m/>
    <m/>
    <m/>
    <n v="0"/>
    <s v="FRANCO MACHAO"/>
    <s v="franco.machao@divino.com.uy"/>
    <s v="+ 598 (2) 506.1262"/>
    <m/>
    <m/>
    <m/>
  </r>
  <r>
    <s v="184.25"/>
    <x v="4"/>
    <x v="3"/>
    <m/>
    <x v="22"/>
    <d v="2025-06-01T00:00:00"/>
    <n v="35149"/>
    <s v="2540033 (3589)"/>
    <n v="7235"/>
    <s v="Tela TP ML 132012 340G 2,20L DV U"/>
    <m/>
    <m/>
    <m/>
    <n v="0"/>
    <s v="FRANCO MACHAO"/>
    <s v="franco.machao@divino.com.uy"/>
    <s v="+ 598 (2) 506.1262"/>
    <m/>
    <m/>
    <m/>
  </r>
  <r>
    <s v="184.25"/>
    <x v="4"/>
    <x v="3"/>
    <m/>
    <x v="22"/>
    <d v="2025-06-01T00:00:00"/>
    <n v="2540031"/>
    <n v="2540031"/>
    <n v="7235"/>
    <s v="Tela Cool Touch A09792 390G 2,20L"/>
    <m/>
    <m/>
    <m/>
    <n v="0"/>
    <s v="Inclusão "/>
    <s v=""/>
    <m/>
    <m/>
    <m/>
    <m/>
  </r>
  <r>
    <s v="185.25"/>
    <x v="13"/>
    <x v="0"/>
    <m/>
    <x v="23"/>
    <d v="2025-07-01T00:00:00"/>
    <n v="389011"/>
    <n v="4259"/>
    <n v="7442"/>
    <s v="2940053 TP ML 03890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18011"/>
    <n v="4258"/>
    <n v="7442"/>
    <s v="2940052 TP ML 04180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41021"/>
    <n v="4257"/>
    <n v="7442"/>
    <s v="2940051 TP ML 044102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47011"/>
    <n v="4256"/>
    <n v="7442"/>
    <s v="2940050 TP ML 04470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49021"/>
    <n v="4255"/>
    <n v="7442"/>
    <s v="2940049 TP ML 044902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46031"/>
    <n v="4254"/>
    <n v="7442"/>
    <s v="2940048 TP ML 044603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76001"/>
    <n v="4253"/>
    <n v="7442"/>
    <s v="2940047 TP ML 027600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71051"/>
    <n v="4252"/>
    <n v="7442"/>
    <s v="2940046 TP ML 027105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149101"/>
    <n v="4251"/>
    <n v="7442"/>
    <s v="2940045 TP ML 014910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149111"/>
    <n v="4250"/>
    <n v="7442"/>
    <s v="2940044 TP ML 01491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63021"/>
    <n v="4249"/>
    <n v="7442"/>
    <s v="2940043 TP ML 026302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74101"/>
    <n v="4248"/>
    <n v="7442"/>
    <s v="2940042 TP ML 007410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69021"/>
    <n v="4247"/>
    <n v="7442"/>
    <s v="2940041 TP ML 026902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147101"/>
    <n v="4246"/>
    <n v="7442"/>
    <s v="2940040 TP ML 014710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45061"/>
    <n v="4245"/>
    <n v="7442"/>
    <s v="2940039 TP ML 024506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62031"/>
    <n v="4244"/>
    <n v="7442"/>
    <s v="2940038 TP ML 026203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76061"/>
    <n v="4243"/>
    <n v="7442"/>
    <s v="2940037 TP ML 007606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66011"/>
    <n v="4242"/>
    <n v="7442"/>
    <s v="2940036 TP ML 00660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143001"/>
    <n v="4241"/>
    <n v="7442"/>
    <s v="2940035 TP ML 014300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408041"/>
    <n v="4240"/>
    <n v="7442"/>
    <s v="2940034 TP ML 040804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389011"/>
    <n v="4239"/>
    <n v="7442"/>
    <s v="2940033 TP ML 038901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274031"/>
    <n v="4238"/>
    <n v="7442"/>
    <s v="2940032 TP ML 027403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n v="72091"/>
    <n v="4237"/>
    <n v="7442"/>
    <s v="2940031 TP ML 0072091 180G 2,20L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s v="0269005&gt;2940054"/>
    <n v="4267"/>
    <n v="7442"/>
    <s v="180 2,20 100% PES CM Preto e Branco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s v="0389001&gt;2940055"/>
    <n v="4266"/>
    <n v="7442"/>
    <s v="180 2,20 100% PES CM Preto e Branco"/>
    <m/>
    <m/>
    <m/>
    <n v="0"/>
    <s v="José Luis Balderrama"/>
    <s v="inducolsrl@outlook.com"/>
    <s v="591 76971755"/>
    <m/>
    <m/>
    <m/>
  </r>
  <r>
    <s v="185.25"/>
    <x v="13"/>
    <x v="0"/>
    <m/>
    <x v="23"/>
    <d v="2025-07-01T00:00:00"/>
    <s v="0276005&gt;2940056"/>
    <n v="4265"/>
    <n v="7442"/>
    <s v="180 2,20 100% PES CM Preto e Branco"/>
    <m/>
    <m/>
    <m/>
    <n v="0"/>
    <s v="José Luis Balderrama"/>
    <s v="inducolsrl@outlook.com"/>
    <s v="591 76971755"/>
    <m/>
    <m/>
    <m/>
  </r>
  <r>
    <s v="188.25"/>
    <x v="4"/>
    <x v="3"/>
    <m/>
    <x v="24"/>
    <d v="2025-07-01T00:00:00"/>
    <n v="32282"/>
    <n v="1523"/>
    <n v="7503"/>
    <s v="32282 - TELA ANTIDESLIZANTE DIVERSAS U - REVENDA ME TP 32282 -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n v="2540012"/>
    <n v="1225"/>
    <n v="7503"/>
    <s v="2540012 TAMPO RASCUNHOS (A07820)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05"/>
    <n v="1236"/>
    <n v="7503"/>
    <s v="2540005 TAMPO GEOMETRICO (A07370)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14"/>
    <n v="3009"/>
    <n v="7503"/>
    <s v="2540014 TP ML A05171 300G 2,20L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18"/>
    <n v="1504"/>
    <n v="7503"/>
    <s v="2540018 TP ML DIV 7806 240G 2,10L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17"/>
    <n v="1506"/>
    <n v="7503"/>
    <s v="2540017 TP ML A08980 280G 2,10L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23--&gt;2540031(3343)"/>
    <n v="1652"/>
    <n v="7503"/>
    <s v="2540031 TP ML A09792 390G 2,20L DV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26"/>
    <n v="2054"/>
    <n v="7503"/>
    <s v="2540026 TP ML 0072051 - 280G 2,20L DEGRA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28"/>
    <n v="1219"/>
    <n v="7503"/>
    <s v="2540028 TP CORDERO 310G 2,10L 0186002 DIVERSAS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2540035"/>
    <n v="3712"/>
    <n v="7503"/>
    <s v="2540035 TP ML A10045 280G 2,20L DV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n v="2540033"/>
    <n v="3589"/>
    <n v="7503"/>
    <s v="2540033 TP ML 132012 340G 2,20L DV U"/>
    <m/>
    <m/>
    <m/>
    <n v="0"/>
    <s v="FRANCO MACHAO"/>
    <s v="franco.machao@divino.com.uy"/>
    <s v="+ 598 (2) 506.1262"/>
    <m/>
    <m/>
    <m/>
  </r>
  <r>
    <s v="188.25"/>
    <x v="4"/>
    <x v="3"/>
    <m/>
    <x v="24"/>
    <d v="2025-07-01T00:00:00"/>
    <s v="0245021"/>
    <n v="2952"/>
    <n v="7503"/>
    <s v="2540032 TP ML 245021 240G 2,20L DV U"/>
    <m/>
    <m/>
    <m/>
    <n v="0"/>
    <s v="FRANCO MACHAO"/>
    <s v="franco.machao@divino.com.uy"/>
    <s v="+ 598 (2) 506.1262"/>
    <m/>
    <m/>
    <m/>
  </r>
  <r>
    <s v="189.25"/>
    <x v="5"/>
    <x v="4"/>
    <m/>
    <x v="25"/>
    <d v="2025-07-01T00:00:00"/>
    <n v="1129159"/>
    <n v="2810011"/>
    <n v="7630"/>
    <s v="TELA T NATURAL BAMBOO/TP PARADISE 122034 370G 2,20"/>
    <m/>
    <m/>
    <m/>
    <n v="0"/>
    <s v="Paulina Mena"/>
    <m/>
    <m/>
    <m/>
    <m/>
    <m/>
  </r>
  <r>
    <s v="187.25"/>
    <x v="14"/>
    <x v="3"/>
    <m/>
    <x v="26"/>
    <d v="2025-07-01T00:00:00"/>
    <n v="303.00130000000001"/>
    <n v="3500"/>
    <n v="7523"/>
    <s v="CF - Tampo Blue Jasmin A09270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150000000002"/>
    <n v="4322"/>
    <n v="7523"/>
    <s v="circles black a09272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240000000002"/>
    <n v="4323"/>
    <n v="7523"/>
    <s v="95002 - Modelo Gris Escur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259999999997"/>
    <n v="3131"/>
    <n v="7523"/>
    <s v="Branco e Preto - CM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279999999998"/>
    <n v="4324"/>
    <n v="7523"/>
    <s v="Branco e Preto - CM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319999999999"/>
    <n v="3136"/>
    <n v="7523"/>
    <s v="CM - 2810010 - Star White - BRANC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330000000002"/>
    <n v="3132"/>
    <n v="7523"/>
    <s v="Branco e Preto - CF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360000000001"/>
    <n v="3133"/>
    <n v="7523"/>
    <s v="Branco e Preto - PL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0038"/>
    <n v="4325"/>
    <n v="7523"/>
    <s v="160 2,10 100% PES PL CINZA ESCURO E BRANC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400000000002"/>
    <n v="3135"/>
    <n v="7523"/>
    <s v="A09535 - Preta e Branco - CF (Banda negra pleno)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450000000001"/>
    <n v="4326"/>
    <n v="7523"/>
    <s v="XN - A06305 Modelo Original 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459999999998"/>
    <n v="4327"/>
    <n v="7523"/>
    <s v="Branco con Azul Marino - XW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5"/>
    <n v="3138"/>
    <n v="7523"/>
    <s v="CF-A06781 - Desert B. Cor Caqui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52"/>
    <n v="3144"/>
    <n v="7523"/>
    <s v="240015 - Diseño color Negro - XW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540000000001"/>
    <n v="3146"/>
    <n v="7523"/>
    <s v="119022 - Diseno color Gris Original - CF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549999999998"/>
    <n v="3147"/>
    <n v="7523"/>
    <s v="291014 - Diseño color Negro - CM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560000000002"/>
    <n v="3148"/>
    <n v="7523"/>
    <s v="CM 292012 - Color Arena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61"/>
    <n v="3505"/>
    <n v="7523"/>
    <s v="CF - BANDA A08205 NEGR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659999999999"/>
    <n v="3511"/>
    <n v="7523"/>
    <s v="CM - 0094001 BLANC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670000000002"/>
    <n v="3652"/>
    <n v="7523"/>
    <s v="Diseño TP 0386003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689999999997"/>
    <n v="4329"/>
    <n v="7523"/>
    <s v="180 2,20 100% PES CM BRANCO E PRETO"/>
    <m/>
    <m/>
    <m/>
    <n v="0"/>
    <s v="Eliana Garayalde"/>
    <s v="polymax@polymax.com.uy"/>
    <m/>
    <m/>
    <m/>
    <m/>
  </r>
  <r>
    <s v="187.25"/>
    <x v="14"/>
    <x v="3"/>
    <m/>
    <x v="26"/>
    <d v="2025-07-01T00:00:00"/>
    <n v="303.0068"/>
    <n v="4328"/>
    <n v="7523"/>
    <s v="200 2,20 100% PES CM BRANCO E CINZA"/>
    <m/>
    <m/>
    <m/>
    <n v="0"/>
    <s v="Eliana Garayalde"/>
    <s v="polymax@polymax.com.uy"/>
    <m/>
    <m/>
    <m/>
    <m/>
  </r>
  <r>
    <s v="190.25"/>
    <x v="9"/>
    <x v="5"/>
    <m/>
    <x v="27"/>
    <d v="2025-07-01T00:00:00"/>
    <s v="TL86257"/>
    <s v="A10169 (4114)3530001"/>
    <n v="7672"/>
    <s v="TELA TAPA CALM  (TL86257)"/>
    <m/>
    <m/>
    <m/>
    <n v="0"/>
    <s v="Sebastián Mayo"/>
    <s v="smayo@bedtime.com.ar"/>
    <m/>
    <m/>
    <m/>
    <m/>
  </r>
  <r>
    <s v="190.25"/>
    <x v="9"/>
    <x v="5"/>
    <m/>
    <x v="27"/>
    <d v="2025-07-01T00:00:00"/>
    <s v="TL98392"/>
    <s v="3530004  (Bed002)"/>
    <n v="7672"/>
    <s v="TELATRIANGULO GRIS OSCURO 200GR 2,20  BED002"/>
    <m/>
    <m/>
    <m/>
    <n v="0"/>
    <s v="Sebastián Mayo"/>
    <s v="smayo@bedtime.com.ar"/>
    <m/>
    <m/>
    <m/>
    <m/>
  </r>
  <r>
    <s v="190.25"/>
    <x v="9"/>
    <x v="5"/>
    <m/>
    <x v="27"/>
    <d v="2025-07-01T00:00:00"/>
    <s v="TL97788"/>
    <s v="3530003 (Bed003)"/>
    <n v="7672"/>
    <s v="TELA ROMBO DEGRADE AZUL 200GR 2,20  BED003"/>
    <m/>
    <m/>
    <m/>
    <n v="0"/>
    <s v="Sebastián Mayo"/>
    <s v="smayo@bedtime.com.ar"/>
    <m/>
    <m/>
    <m/>
    <m/>
  </r>
  <r>
    <s v="190.25"/>
    <x v="9"/>
    <x v="5"/>
    <m/>
    <x v="27"/>
    <d v="2025-07-01T00:00:00"/>
    <s v="TL27565"/>
    <s v="3530005 (Bed010)"/>
    <n v="7672"/>
    <s v="TELA CIRCULO GRIS OSCURO 200GR 2,20  BED010"/>
    <m/>
    <m/>
    <m/>
    <n v="0"/>
    <s v="Sebastián Mayo"/>
    <s v="smayo@bedtime.com.ar"/>
    <m/>
    <m/>
    <m/>
    <m/>
  </r>
  <r>
    <s v="191.25"/>
    <x v="9"/>
    <x v="5"/>
    <m/>
    <x v="27"/>
    <d v="2025-08-01T00:00:00"/>
    <s v="TL86257"/>
    <s v="A10169 (4114) 3530001"/>
    <n v="7673"/>
    <s v="TELA TAPA CALM  (TL86257)"/>
    <m/>
    <m/>
    <m/>
    <n v="0"/>
    <s v="Sebastián Mayo"/>
    <s v="smayo@bedtime.com.ar"/>
    <m/>
    <m/>
    <m/>
    <m/>
  </r>
  <r>
    <s v="191.25"/>
    <x v="9"/>
    <x v="5"/>
    <m/>
    <x v="27"/>
    <d v="2025-08-01T00:00:00"/>
    <s v="TL98392-A10108"/>
    <s v="3530004  (Bed002) (4332)"/>
    <n v="7673"/>
    <s v="TELATRIANGULO GRIS OSCURO 200GR 2,20  BED002"/>
    <m/>
    <m/>
    <m/>
    <n v="0"/>
    <s v="Sebastián Mayo"/>
    <s v="smayo@bedtime.com.ar"/>
    <m/>
    <m/>
    <m/>
    <m/>
  </r>
  <r>
    <s v="191.25"/>
    <x v="9"/>
    <x v="5"/>
    <m/>
    <x v="27"/>
    <d v="2025-08-01T00:00:00"/>
    <s v="TL97788-A10104"/>
    <s v="3530003 (Bed003)(4331)"/>
    <n v="7673"/>
    <s v="TELA ROMBO DEGRADE AZUL 200GR 2,20  BED003"/>
    <m/>
    <m/>
    <m/>
    <n v="0"/>
    <s v="Sebastián Mayo"/>
    <s v="smayo@bedtime.com.ar"/>
    <m/>
    <m/>
    <m/>
    <m/>
  </r>
  <r>
    <s v="191.25"/>
    <x v="9"/>
    <x v="5"/>
    <m/>
    <x v="27"/>
    <d v="2025-08-01T00:00:00"/>
    <s v="TL27565"/>
    <s v="3530005 (Bed010)"/>
    <n v="7673"/>
    <s v="TELA CIRCULO GRIS OSCURO 200GR 2,20  BED010"/>
    <m/>
    <m/>
    <m/>
    <n v="0"/>
    <s v="Sebastián Mayo"/>
    <s v="smayo@bedtime.com.ar"/>
    <m/>
    <m/>
    <m/>
    <m/>
  </r>
  <r>
    <s v="192.25"/>
    <x v="15"/>
    <x v="2"/>
    <m/>
    <x v="27"/>
    <d v="2025-07-01T00:00:00"/>
    <s v="A10016 (4352)"/>
    <n v="3260016"/>
    <n v="7758"/>
    <s v="5 ESTRELLAS POR ELLAS-TP 0304002 280G 2,20L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s v="A10230 (4351)"/>
    <n v="3260017"/>
    <n v="7758"/>
    <s v="BANDA 5 ESTRELLAS POR ELLAS-TP A10230 220G 2,20L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s v="03404002 (4355)"/>
    <n v="3260018"/>
    <n v="7758"/>
    <s v="PARAISO ROLL -TP 0304002 280G 2,20L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s v="0274055 (4354)"/>
    <n v="3260019"/>
    <n v="7758"/>
    <s v="ACCESORIOS - 3260019 0274055 220G 2,20L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n v="3260015"/>
    <s v="3.260.015 (0122054)"/>
    <n v="7758"/>
    <s v="POCKET COIL V2- TP 0122054 300G 2,20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s v="02911084 (4356)"/>
    <n v="3260020"/>
    <n v="7758"/>
    <s v="220 2,20 PES XN GRIS  muestra"/>
    <m/>
    <m/>
    <m/>
    <n v="0"/>
    <s v="José Luis Andrango"/>
    <s v="joseandrando@paraiso.com.ec"/>
    <m/>
    <m/>
    <m/>
    <m/>
  </r>
  <r>
    <s v="192.25"/>
    <x v="15"/>
    <x v="2"/>
    <m/>
    <x v="27"/>
    <d v="2025-07-01T00:00:00"/>
    <s v="0147125 (4357)"/>
    <n v="3260021"/>
    <n v="7758"/>
    <s v="TP HOJA DE BAMBU"/>
    <m/>
    <m/>
    <m/>
    <n v="0"/>
    <s v="José Luis Andrango"/>
    <s v="joseandrando@paraiso.com.ec"/>
    <m/>
    <m/>
    <m/>
    <m/>
  </r>
  <r>
    <s v="193.25"/>
    <x v="13"/>
    <x v="0"/>
    <m/>
    <x v="27"/>
    <d v="2025-07-01T00:00:00"/>
    <s v="IND005"/>
    <s v="0071061-2940059"/>
    <n v="7763"/>
    <s v="300 2,20 PES / PE CM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IND006"/>
    <s v="0414021-2940058"/>
    <n v="7763"/>
    <s v="300 2,20 PES / PE CM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IND007"/>
    <s v="0423021-2940057"/>
    <n v="7763"/>
    <s v="300 2,20 PES / PE CM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0260015"/>
    <s v="0260025-2940060"/>
    <n v="7763"/>
    <s v="300 2,20 99% PES 1% PA XN MESCLAAZUL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0269015"/>
    <s v="0269041-2940061"/>
    <n v="7763"/>
    <s v="300 2,20 100% PES CM MESCLA Y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0408001"/>
    <s v="0408051-2940062"/>
    <n v="7763"/>
    <s v="260 2,20 98% PES 2% LINEN CM BEGE Y LINEN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0239012"/>
    <s v="0239022-2940063"/>
    <n v="7763"/>
    <s v="300 2,20 100% PES NV MESCLA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0416001"/>
    <s v="0416061-2940064"/>
    <n v="7763"/>
    <s v="300 2,20 100% PES CM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IND008"/>
    <s v="0441041 -2940065"/>
    <n v="7763"/>
    <s v="320 2,20 99% PES 1% PUE CM BLANCO"/>
    <m/>
    <m/>
    <m/>
    <n v="0"/>
    <s v="José Luis Balderrama"/>
    <s v="inducolsrl@outlook.com"/>
    <m/>
    <m/>
    <m/>
    <m/>
  </r>
  <r>
    <s v="193.25"/>
    <x v="13"/>
    <x v="0"/>
    <m/>
    <x v="27"/>
    <d v="2025-07-01T00:00:00"/>
    <s v="IND009"/>
    <s v="0389031- 2940066"/>
    <n v="7763"/>
    <s v="360 2,20 100% PES CM GRIS Y BLANCO"/>
    <m/>
    <m/>
    <m/>
    <n v="0"/>
    <s v="José Luis Balderrama"/>
    <s v="inducolsrl@outlook.com"/>
    <m/>
    <m/>
    <m/>
    <m/>
  </r>
  <r>
    <s v="194.25"/>
    <x v="16"/>
    <x v="5"/>
    <m/>
    <x v="28"/>
    <d v="2025-07-01T00:00:00"/>
    <s v="0094001 Id 5831"/>
    <s v="3550001 (4350)"/>
    <n v="7780"/>
    <s v="TELA SPRINGWALL 220 2,20 100% PES CM Branco"/>
    <m/>
    <m/>
    <m/>
    <n v="0"/>
    <s v="Ezequiel Lovera"/>
    <s v="compras@springwall.com..ar"/>
    <m/>
    <m/>
    <m/>
    <m/>
  </r>
  <r>
    <s v="195.25"/>
    <x v="16"/>
    <x v="5"/>
    <m/>
    <x v="29"/>
    <d v="2025-07-01T00:00:00"/>
    <s v="02920001 Id 5831- 4350"/>
    <s v="3550001 (4350)"/>
    <n v="7777"/>
    <s v="TELA SPRINGWALL 220 2,20 100% PES CM Branco"/>
    <m/>
    <m/>
    <m/>
    <n v="0"/>
    <s v="Ezequiel Lovera"/>
    <s v="compras@springwall.com..ar"/>
    <m/>
    <m/>
    <m/>
    <m/>
  </r>
  <r>
    <s v="181.25"/>
    <x v="5"/>
    <x v="4"/>
    <m/>
    <x v="30"/>
    <d v="2025-07-01T00:00:00"/>
    <s v="A10131"/>
    <s v="2810013 (4041)"/>
    <n v="7797"/>
    <s v="Tela Black -  TP ML A10131"/>
    <m/>
    <m/>
    <m/>
    <n v="0"/>
    <s v="Paulina Mena"/>
    <s v="paulina.mena@flex.es"/>
    <s v="56 96205 0626"/>
    <m/>
    <m/>
    <m/>
  </r>
  <r>
    <s v="196.25"/>
    <x v="5"/>
    <x v="4"/>
    <m/>
    <x v="31"/>
    <d v="2025-08-01T00:00:00"/>
    <n v="1121110"/>
    <s v="2810005 (1422)"/>
    <n v="8123"/>
    <s v="TELA T SENSITY HOJA-2810005 TP FOLHA 240G 2,20L (1121110)"/>
    <m/>
    <m/>
    <m/>
    <n v="0"/>
    <s v="Paulina Mena"/>
    <s v="paulina.mena@flex.es"/>
    <s v="56 96205 0626"/>
    <m/>
    <m/>
    <m/>
  </r>
  <r>
    <s v="196.25"/>
    <x v="5"/>
    <x v="4"/>
    <m/>
    <x v="31"/>
    <d v="2025-08-01T00:00:00"/>
    <n v="1122580"/>
    <s v="2810009 (1419)"/>
    <n v="8123"/>
    <s v="Tela Therapeutic - Gray - ARTIGO EM STOCK-Não precisa produzir"/>
    <m/>
    <m/>
    <m/>
    <n v="0"/>
    <s v="Paulina Mena"/>
    <s v="paulina.mena@flex.es"/>
    <s v="56 96205 0626"/>
    <m/>
    <m/>
    <m/>
  </r>
  <r>
    <s v="197.25"/>
    <x v="4"/>
    <x v="3"/>
    <m/>
    <x v="32"/>
    <d v="2025-08-01T00:00:00"/>
    <n v="32282"/>
    <s v="32282 (1523)"/>
    <n v="8154"/>
    <s v="32282 - TELA ANTIDESLIZANTE DIVERSAS U  -REVENDA"/>
    <m/>
    <m/>
    <m/>
    <n v="0"/>
    <s v="FRANCO MACHAO"/>
    <s v="franco.machao@divino.com.uy"/>
    <s v="+ 598 (2) 506.1262"/>
    <m/>
    <m/>
    <m/>
  </r>
  <r>
    <s v="197.25"/>
    <x v="4"/>
    <x v="3"/>
    <m/>
    <x v="32"/>
    <d v="2025-08-01T00:00:00"/>
    <n v="32341"/>
    <s v="2540014 (3009)"/>
    <n v="8154"/>
    <s v="2540014 TP ML A05171 300G 2,20L DIVERSAS U"/>
    <m/>
    <m/>
    <m/>
    <n v="0"/>
    <s v="FRANCO MACHAO"/>
    <s v="franco.machao@divino.com.uy"/>
    <s v="+ 598 (2) 506.1262"/>
    <m/>
    <m/>
    <m/>
  </r>
  <r>
    <s v="197.25"/>
    <x v="4"/>
    <x v="3"/>
    <m/>
    <x v="32"/>
    <d v="2025-08-01T00:00:00"/>
    <n v="32370"/>
    <s v="2540015 (1226)"/>
    <n v="8154"/>
    <s v="2540015 TAMPO PONTILHADOS PRETO (A07803) DIVERSAS U"/>
    <m/>
    <m/>
    <m/>
    <n v="0"/>
    <s v="FRANCO MACHAO"/>
    <s v="franco.machao@divino.com.uy"/>
    <s v="+ 598 (2) 506.1262"/>
    <m/>
    <m/>
    <m/>
  </r>
  <r>
    <s v="197.25"/>
    <x v="4"/>
    <x v="3"/>
    <m/>
    <x v="32"/>
    <d v="2025-08-01T00:00:00"/>
    <n v="35031"/>
    <s v="2540025 (2053)"/>
    <n v="8154"/>
    <s v="2540025 TP ML 0069001 - 300G 2,20L CONTE DIVERSAS U"/>
    <m/>
    <m/>
    <m/>
    <n v="0"/>
    <s v="FRANCO MACHAO"/>
    <s v="franco.machao@divino.com.uy"/>
    <s v="+ 598 (2) 506.1262"/>
    <m/>
    <m/>
    <m/>
  </r>
  <r>
    <s v="197.25"/>
    <x v="4"/>
    <x v="3"/>
    <m/>
    <x v="32"/>
    <d v="2025-08-01T00:00:00"/>
    <n v="35145"/>
    <s v="2540035 (3712)"/>
    <n v="8154"/>
    <s v="2540035 TP ML A10045 280G 2,20L DV U"/>
    <m/>
    <m/>
    <m/>
    <n v="0"/>
    <s v="FRANCO MACHAO"/>
    <s v="franco.machao@divino.com.uy"/>
    <s v="+ 598 (2) 506.1262"/>
    <m/>
    <m/>
    <m/>
  </r>
  <r>
    <s v="198.25"/>
    <x v="17"/>
    <x v="5"/>
    <m/>
    <x v="32"/>
    <d v="2025-08-01T00:00:00"/>
    <s v="SAR001&gt;A10097"/>
    <s v="3470004 (4401)"/>
    <n v="8172"/>
    <s v="TELA SIMMONS GRIS 240GR-2,30L"/>
    <m/>
    <m/>
    <m/>
    <n v="0"/>
    <s v="Martin Miller"/>
    <s v="comercial@martinmiller.com.ar"/>
    <m/>
    <m/>
    <m/>
    <m/>
  </r>
  <r>
    <s v="198.25"/>
    <x v="17"/>
    <x v="5"/>
    <m/>
    <x v="32"/>
    <d v="2025-08-01T00:00:00"/>
    <s v="SAR002&gt;A10101"/>
    <s v="3470005 (4402)"/>
    <n v="8172"/>
    <s v="TELA SIMMONS AZUL MARINHO 240GR-2,30L"/>
    <m/>
    <m/>
    <m/>
    <n v="0"/>
    <s v="Martin Miller"/>
    <s v="comercial@martinmiller.com.ar"/>
    <m/>
    <m/>
    <m/>
    <m/>
  </r>
  <r>
    <s v="199.25"/>
    <x v="11"/>
    <x v="1"/>
    <m/>
    <x v="33"/>
    <d v="2025-08-01T00:00:00"/>
    <s v="A09970 (3701)"/>
    <n v="3200014"/>
    <n v="8155"/>
    <s v="Tela SuperSpuma Dots 1 - Azul"/>
    <m/>
    <m/>
    <m/>
    <n v="0"/>
    <s v="Leticia Roig"/>
    <s v="leticia.roig@superspuma.com"/>
    <s v="595 985 629024"/>
    <m/>
    <m/>
    <m/>
  </r>
  <r>
    <s v="199.25"/>
    <x v="11"/>
    <x v="1"/>
    <m/>
    <x v="33"/>
    <d v="2025-08-01T00:00:00"/>
    <s v="A009971 (3702)"/>
    <n v="3200015"/>
    <n v="8155"/>
    <s v="Tela SuperSpuma Dots 1 - Bordó"/>
    <m/>
    <m/>
    <m/>
    <n v="0"/>
    <s v="Leticia Roig"/>
    <s v="leticia.roig@superspuma.com"/>
    <s v="595 985 629024"/>
    <m/>
    <m/>
    <m/>
  </r>
  <r>
    <s v="199.25"/>
    <x v="11"/>
    <x v="1"/>
    <m/>
    <x v="33"/>
    <d v="2025-08-01T00:00:00"/>
    <s v="A09969 (3700)"/>
    <n v="3200013"/>
    <n v="8155"/>
    <s v="Tela SuperSpuma Dots 1 - Negra"/>
    <m/>
    <m/>
    <m/>
    <n v="0"/>
    <s v="Leticia Roig"/>
    <s v="leticia.roig@superspuma.com"/>
    <s v="595 985 629024"/>
    <m/>
    <m/>
    <m/>
  </r>
  <r>
    <s v="199.25"/>
    <x v="11"/>
    <x v="1"/>
    <m/>
    <x v="33"/>
    <d v="2025-08-01T00:00:00"/>
    <s v="A09858 (3274)"/>
    <n v="3200012"/>
    <n v="8155"/>
    <s v="Tela Superkids Azul"/>
    <m/>
    <m/>
    <m/>
    <n v="0"/>
    <s v="Leticia Roig"/>
    <s v="leticia.roig@superspuma.com"/>
    <s v="595 985 629024"/>
    <m/>
    <m/>
    <m/>
  </r>
  <r>
    <s v="199.25"/>
    <x v="11"/>
    <x v="1"/>
    <m/>
    <x v="33"/>
    <d v="2025-08-01T00:00:00"/>
    <s v="0080011 (1979)"/>
    <s v="3200010-06"/>
    <n v="8155"/>
    <s v="Tela Waves Lino Salmón"/>
    <m/>
    <m/>
    <m/>
    <n v="0"/>
    <s v="Leticia Roig"/>
    <s v="leticia.roig@superspuma.com"/>
    <s v="595 985 629024"/>
    <m/>
    <m/>
    <m/>
  </r>
  <r>
    <s v="199.25"/>
    <x v="11"/>
    <x v="1"/>
    <m/>
    <x v="33"/>
    <d v="2025-08-01T00:00:00"/>
    <s v="320004 (1757)"/>
    <n v="3200004"/>
    <n v="8155"/>
    <s v="TP ML IMPERAL BLACK "/>
    <m/>
    <m/>
    <m/>
    <n v="0"/>
    <s v="Leticia Roig"/>
    <s v="leticia.roig@superspuma.com"/>
    <s v="595 985 629024"/>
    <m/>
    <m/>
    <m/>
  </r>
  <r>
    <s v="200.25"/>
    <x v="18"/>
    <x v="1"/>
    <m/>
    <x v="34"/>
    <d v="2025-09-01T00:00:00"/>
    <s v="3370008 (2209)"/>
    <n v="3370008"/>
    <n v="8315"/>
    <s v="Modelo coleção c/ logo novo"/>
    <m/>
    <m/>
    <m/>
    <n v="0"/>
    <s v="Daniel Garnica"/>
    <s v="daniel.garnica@colchonesheaven.com"/>
    <s v="591 75501534"/>
    <m/>
    <m/>
    <m/>
  </r>
  <r>
    <s v="200.25"/>
    <x v="18"/>
    <x v="1"/>
    <m/>
    <x v="34"/>
    <d v="2025-09-01T00:00:00"/>
    <s v="PFO (4454)"/>
    <n v="4454"/>
    <n v="8315"/>
    <s v="Fondo Café PUFF Ondas/REVENDA ME TP CAFE PUFF"/>
    <m/>
    <m/>
    <m/>
    <n v="0"/>
    <s v="Daniel Garnica"/>
    <s v="daniel.garnica@colchonesheaven.com"/>
    <s v="591 75501534"/>
    <m/>
    <m/>
    <m/>
  </r>
  <r>
    <s v="200.25"/>
    <x v="18"/>
    <x v="1"/>
    <m/>
    <x v="34"/>
    <d v="2025-09-01T00:00:00"/>
    <s v="3370007 (2208)"/>
    <n v="2208"/>
    <n v="8315"/>
    <s v="Bambú"/>
    <m/>
    <m/>
    <m/>
    <n v="0"/>
    <s v="Daniel Garnica"/>
    <s v="daniel.garnica@colchonesheaven.com"/>
    <s v="591 75501534"/>
    <m/>
    <m/>
    <m/>
  </r>
  <r>
    <s v="200.25"/>
    <x v="18"/>
    <x v="1"/>
    <m/>
    <x v="34"/>
    <d v="2025-09-01T00:00:00"/>
    <s v="3370005 (2206)"/>
    <n v="2206"/>
    <n v="8315"/>
    <s v="Favo Blanco / 3370005 TP ML BOL 180G 2,20L DIVERSAS U"/>
    <m/>
    <m/>
    <m/>
    <n v="0"/>
    <s v="Daniel Garnica"/>
    <s v="daniel.garnica@colchonesheaven.com"/>
    <s v="591 75501534"/>
    <m/>
    <m/>
    <m/>
  </r>
  <r>
    <s v="201.25"/>
    <x v="19"/>
    <x v="6"/>
    <m/>
    <x v="35"/>
    <d v="2025-09-01T00:00:00"/>
    <s v="0156014"/>
    <s v="3560003 (4449)"/>
    <n v="8312"/>
    <s v="TELA 100% PES BLANCO Y GRIS PERLA 280GR XP"/>
    <m/>
    <m/>
    <m/>
    <n v="0"/>
    <s v="Eliezer Garbin"/>
    <s v="FATURASERVAN@HOTMAIL.COM"/>
    <s v="(45) 3572-8738"/>
    <m/>
    <m/>
    <m/>
  </r>
  <r>
    <s v="201.25"/>
    <x v="19"/>
    <x v="6"/>
    <m/>
    <x v="35"/>
    <d v="2025-09-01T00:00:00"/>
    <s v="0156004"/>
    <s v="3560002 (4448)"/>
    <n v="8312"/>
    <s v="TELA 100% PES BLANCO Y  ARENA 280GR XP"/>
    <m/>
    <m/>
    <m/>
    <n v="0"/>
    <s v="Eliezer Garbin"/>
    <s v="FATURASERVAN@HOTMAIL.COM"/>
    <s v="(45) 3572-8738"/>
    <m/>
    <m/>
    <m/>
  </r>
  <r>
    <s v="201.25"/>
    <x v="19"/>
    <x v="6"/>
    <m/>
    <x v="35"/>
    <d v="2025-09-01T00:00:00"/>
    <s v="0347014"/>
    <s v="3560001 (4447)"/>
    <n v="8312"/>
    <s v="TELA 100% PES  GRIS OSCURO Y GRIS CLARO 280GR XP"/>
    <m/>
    <m/>
    <m/>
    <n v="0"/>
    <s v="Eliezer Garbin"/>
    <s v="FATURASERVAN@HOTMAIL.COM"/>
    <s v="(45) 3572-8738"/>
    <m/>
    <m/>
    <m/>
  </r>
  <r>
    <s v="202.25"/>
    <x v="4"/>
    <x v="3"/>
    <m/>
    <x v="36"/>
    <d v="2025-09-01T00:00:00"/>
    <n v="32282"/>
    <s v="32282 (1523)"/>
    <n v="8348"/>
    <s v="TELA ANTIDESLIZANTE CONEXÃO DV U"/>
    <m/>
    <m/>
    <m/>
    <n v="0"/>
    <s v="FRANCO MACHAO"/>
    <s v="franco.machao@divino.com.uy"/>
    <s v="+ 598 (2) 506.1262"/>
    <m/>
    <m/>
    <m/>
  </r>
  <r>
    <s v="202.25"/>
    <x v="4"/>
    <x v="3"/>
    <m/>
    <x v="36"/>
    <d v="2025-09-01T00:00:00"/>
    <n v="35149"/>
    <s v="2540033 (3589)"/>
    <n v="8348"/>
    <s v="TELA TP ML 132012 340G 2,20L DV U"/>
    <m/>
    <m/>
    <m/>
    <n v="0"/>
    <s v="FRANCO MACHAO"/>
    <s v="franco.machao@divino.com.uy"/>
    <s v="+ 598 (2) 506.1262"/>
    <m/>
    <m/>
    <m/>
  </r>
  <r>
    <s v="202.25"/>
    <x v="4"/>
    <x v="3"/>
    <m/>
    <x v="36"/>
    <d v="2025-09-01T00:00:00"/>
    <n v="2540012"/>
    <s v="2540012 (1225)"/>
    <n v="8348"/>
    <s v="2540012 TAMPO RASCUNHOS (A07820) DIVERSAS U"/>
    <m/>
    <m/>
    <m/>
    <n v="0"/>
    <s v="FRANCO MACHAO"/>
    <s v="franco.machao@divino.com.uy"/>
    <s v="+ 598 (2) 506.1262"/>
    <m/>
    <m/>
    <m/>
  </r>
  <r>
    <s v="203.25"/>
    <x v="1"/>
    <x v="1"/>
    <m/>
    <x v="37"/>
    <d v="2025-09-01T00:00:00"/>
    <n v="2670007"/>
    <s v="2670007 (2566)"/>
    <n v="8353"/>
    <s v="TL ML BCA MINI JAC 220G 2,10"/>
    <m/>
    <m/>
    <m/>
    <n v="0"/>
    <s v="Marcos"/>
    <s v="madrisa@inmapol.com.py"/>
    <s v="595 21 942 599"/>
    <m/>
    <m/>
    <m/>
  </r>
  <r>
    <s v="205.25"/>
    <x v="15"/>
    <x v="2"/>
    <m/>
    <x v="38"/>
    <d v="2025-09-01T00:00:00"/>
    <s v="A10016"/>
    <s v="3260016 (4352)"/>
    <n v="8387"/>
    <s v="5 ESTRELLAS POR ELLAS-TP 0304002 280G 2,20L"/>
    <m/>
    <m/>
    <m/>
    <n v="0"/>
    <s v="José Luis Andrango"/>
    <s v="joseandrando@paraiso.com.ec"/>
    <m/>
    <m/>
    <m/>
    <m/>
  </r>
  <r>
    <s v="205.25"/>
    <x v="15"/>
    <x v="2"/>
    <m/>
    <x v="38"/>
    <d v="2025-09-01T00:00:00"/>
    <s v="A10230"/>
    <s v="3260017 (4351)"/>
    <n v="8387"/>
    <s v="BANDA 5 ESTRELLAS POR ELLAS-TP A10230 220G 2,20L"/>
    <m/>
    <m/>
    <m/>
    <n v="0"/>
    <s v="José Luis Andrango"/>
    <s v="joseandrando@paraiso.com.ec"/>
    <m/>
    <m/>
    <m/>
    <m/>
  </r>
  <r>
    <s v="206.25"/>
    <x v="5"/>
    <x v="4"/>
    <m/>
    <x v="39"/>
    <d v="2025-09-01T00:00:00"/>
    <n v="1122580"/>
    <s v="2810009 (1419)"/>
    <n v="8598"/>
    <s v="Tela Therapeutic - Gray"/>
    <m/>
    <m/>
    <m/>
    <n v="0"/>
    <s v="Danae Briones"/>
    <m/>
    <s v="56 96205 0626"/>
    <m/>
    <m/>
    <m/>
  </r>
  <r>
    <s v="206.25"/>
    <x v="5"/>
    <x v="4"/>
    <m/>
    <x v="39"/>
    <d v="2025-09-01T00:00:00"/>
    <n v="1121110"/>
    <s v="2810005 (1422)"/>
    <n v="8465"/>
    <s v="TELA T SENSITY HOJA-2810005 TP FOLHA 240G 2,20L"/>
    <m/>
    <m/>
    <m/>
    <n v="0"/>
    <s v="Paulina Mena"/>
    <s v="paulina.mena@flex.es"/>
    <s v="56 96205 0626"/>
    <m/>
    <m/>
    <m/>
  </r>
  <r>
    <s v="208.25"/>
    <x v="5"/>
    <x v="4"/>
    <m/>
    <x v="40"/>
    <d v="2025-09-01T00:00:00"/>
    <n v="1122580"/>
    <s v="2810009 (1419)"/>
    <n v="8509"/>
    <s v="TELA THERAPEUTIC GRIS"/>
    <m/>
    <m/>
    <m/>
    <n v="0"/>
    <s v="Paulina Mena"/>
    <s v="paulina.mena@flex.es"/>
    <s v="56 96205 0626"/>
    <m/>
    <m/>
    <m/>
  </r>
  <r>
    <s v="208.25"/>
    <x v="5"/>
    <x v="4"/>
    <m/>
    <x v="40"/>
    <d v="2025-09-01T00:00:00"/>
    <n v="1129159"/>
    <s v="2810011 (3378)"/>
    <n v="8509"/>
    <s v="TELA T NATURAL BAMBOO"/>
    <m/>
    <m/>
    <m/>
    <n v="0"/>
    <s v="Paulina Mena"/>
    <s v="paulina.mena@flex.es"/>
    <s v="56 96205 0626"/>
    <m/>
    <m/>
    <m/>
  </r>
  <r>
    <s v="208.25"/>
    <x v="5"/>
    <x v="4"/>
    <m/>
    <x v="40"/>
    <d v="2025-09-01T00:00:00"/>
    <n v="1121110"/>
    <s v="2810005 (1422)"/>
    <n v="8509"/>
    <s v="TELA T SENSITY HOJA-"/>
    <m/>
    <m/>
    <m/>
    <n v="0"/>
    <s v="Paulina Mena"/>
    <s v="paulina.mena@flex.es"/>
    <s v="56 96205 0626"/>
    <m/>
    <m/>
    <m/>
  </r>
  <r>
    <s v="209.25"/>
    <x v="12"/>
    <x v="4"/>
    <m/>
    <x v="41"/>
    <d v="2025-10-01T00:00:00"/>
    <s v="A09686 "/>
    <n v="2860014"/>
    <n v="8569"/>
    <s v="TP ML A09686 370G 2,20L DIVERSAS U"/>
    <m/>
    <m/>
    <m/>
    <n v="0"/>
    <s v="Juan Carlos Villarroel"/>
    <s v="jcvillarroel@sunlock.cl"/>
    <s v="(+56) 98529-7739"/>
    <m/>
    <m/>
    <m/>
  </r>
  <r>
    <s v="209.25"/>
    <x v="12"/>
    <x v="4"/>
    <m/>
    <x v="41"/>
    <d v="2025-10-01T00:00:00"/>
    <s v="A10066"/>
    <s v="2860016&gt;2860018"/>
    <n v="8569"/>
    <s v="MATELASSE / SERTAPEDIC 2860016&gt; A10310 2860018 (4703 Totvs)"/>
    <m/>
    <m/>
    <m/>
    <n v="0"/>
    <s v="Juan Carlos Villarroel"/>
    <s v="jcvillarroel@sunlock.cl"/>
    <s v="(+56) 98529-7739"/>
    <m/>
    <m/>
    <m/>
  </r>
  <r>
    <s v="209.25"/>
    <x v="12"/>
    <x v="4"/>
    <m/>
    <x v="41"/>
    <d v="2025-10-01T00:00:00"/>
    <s v="0091012"/>
    <n v="2860017"/>
    <n v="8569"/>
    <s v="TP BLANCO 100% PES"/>
    <m/>
    <m/>
    <m/>
    <n v="0"/>
    <s v="Juan Carlos Villarroel"/>
    <s v="jcvillarroel@sunlock.cl"/>
    <s v="(+56) 98529-7739"/>
    <m/>
    <m/>
    <m/>
  </r>
  <r>
    <s v="209.25"/>
    <x v="12"/>
    <x v="4"/>
    <m/>
    <x v="41"/>
    <d v="2025-10-01T00:00:00"/>
    <s v="A09687"/>
    <n v="2860013"/>
    <n v="8569"/>
    <s v="TP ML A09687 / NEW SUNSET"/>
    <m/>
    <m/>
    <m/>
    <n v="0"/>
    <s v="Juan Carlos Villarroel"/>
    <s v="jcvillarroel@sunlock.cl"/>
    <s v="(+56) 98529-7739"/>
    <m/>
    <m/>
    <m/>
  </r>
  <r>
    <s v="210.25"/>
    <x v="12"/>
    <x v="4"/>
    <m/>
    <x v="42"/>
    <d v="2025-10-01T00:00:00"/>
    <n v="2860008"/>
    <s v="2860008 (2000)"/>
    <n v="8609"/>
    <s v="TP ML GRAY WINDOW"/>
    <m/>
    <m/>
    <m/>
    <n v="0"/>
    <s v="Juan Carlos Villarroel"/>
    <s v="jcvillarroel@sunlock.cl"/>
    <s v="(+56) 98529-7739"/>
    <m/>
    <m/>
    <m/>
  </r>
  <r>
    <s v="210.25"/>
    <x v="12"/>
    <x v="4"/>
    <m/>
    <x v="42"/>
    <d v="2025-10-01T00:00:00"/>
    <n v="2860006"/>
    <s v="2860006 (4600)"/>
    <n v="8609"/>
    <s v="TP PES PL CINZA GRIS"/>
    <m/>
    <m/>
    <m/>
    <n v="0"/>
    <s v="Juan Carlos Villarroel"/>
    <s v="jcvillarroel@sunlock.cl"/>
    <s v="(+56) 98529-7739"/>
    <m/>
    <m/>
    <m/>
  </r>
  <r>
    <s v="211.25"/>
    <x v="11"/>
    <x v="1"/>
    <m/>
    <x v="43"/>
    <d v="2025-11-01T00:00:00"/>
    <n v="3200008"/>
    <s v="3200008 (1761)"/>
    <n v="8614"/>
    <s v="TP ML Impulse Gray"/>
    <m/>
    <m/>
    <m/>
    <n v="0"/>
    <s v="Leticia Roig"/>
    <s v="leticia.roig@superspuma.com"/>
    <s v="595 985 629024"/>
    <m/>
    <m/>
    <m/>
  </r>
  <r>
    <s v="211.25"/>
    <x v="11"/>
    <x v="1"/>
    <m/>
    <x v="43"/>
    <d v="2025-11-01T00:00:00"/>
    <s v="3200010-06"/>
    <s v="0080011 (1979)"/>
    <n v="8614"/>
    <s v="Tela Waves Lino Salmón"/>
    <m/>
    <m/>
    <m/>
    <n v="0"/>
    <s v="Leticia Roig"/>
    <s v="leticia.roig@superspuma.com"/>
    <s v="595 985 629024"/>
    <m/>
    <m/>
    <m/>
  </r>
  <r>
    <s v="211.25"/>
    <x v="11"/>
    <x v="1"/>
    <m/>
    <x v="43"/>
    <d v="2025-11-01T00:00:00"/>
    <n v="3200004"/>
    <s v="320004 (1757)"/>
    <n v="8614"/>
    <s v="TP ML IMPERAL BLACK "/>
    <m/>
    <m/>
    <m/>
    <n v="0"/>
    <s v="Leticia Roig"/>
    <s v="leticia.roig@superspuma.com"/>
    <s v="595 985 629024"/>
    <m/>
    <m/>
    <m/>
  </r>
  <r>
    <s v="204.25"/>
    <x v="20"/>
    <x v="1"/>
    <m/>
    <x v="44"/>
    <d v="2025-10-01T00:00:00"/>
    <s v="A05853-B"/>
    <s v="2730008 (4613)"/>
    <n v="8681"/>
    <s v="TP 100% PES CM BLANCO Y MARRÓN"/>
    <m/>
    <m/>
    <m/>
    <n v="0"/>
    <s v="Carlos Nuñez"/>
    <s v="NA"/>
    <s v="595 992 700278"/>
    <m/>
    <m/>
    <m/>
  </r>
  <r>
    <s v="204.25"/>
    <x v="20"/>
    <x v="1"/>
    <m/>
    <x v="44"/>
    <d v="2025-10-01T00:00:00"/>
    <s v="A05853-A"/>
    <s v="2730007 (4614)"/>
    <n v="8681"/>
    <s v="TP 100% PES CM BLANCO Y GRIS PERLA"/>
    <m/>
    <m/>
    <m/>
    <n v="0"/>
    <s v="Carlos Nuñez"/>
    <s v="NA"/>
    <s v="595 992 700278"/>
    <m/>
    <m/>
    <m/>
  </r>
  <r>
    <s v="204.25"/>
    <x v="20"/>
    <x v="1"/>
    <m/>
    <x v="44"/>
    <d v="2025-10-01T00:00:00"/>
    <s v="A05853 (6430)"/>
    <s v="2730006 (4616)"/>
    <n v="8681"/>
    <s v="TP 100% PES CM BLANCO Y ARENA"/>
    <m/>
    <m/>
    <m/>
    <n v="0"/>
    <s v="Carlos Nuñez"/>
    <s v="NA"/>
    <s v="595 992 700278"/>
    <m/>
    <m/>
    <m/>
  </r>
  <r>
    <s v="204.25"/>
    <x v="20"/>
    <x v="1"/>
    <m/>
    <x v="44"/>
    <d v="2025-10-01T00:00:00"/>
    <s v="A05853 (6431)"/>
    <s v="2730005 (4617)"/>
    <n v="8681"/>
    <s v="TP 100% PES CM BLANCO CON NEGRO"/>
    <m/>
    <m/>
    <m/>
    <n v="0"/>
    <s v="Carlos Nuñez"/>
    <s v="NA"/>
    <s v="595 992 700278"/>
    <m/>
    <m/>
    <m/>
  </r>
  <r>
    <s v="213.25"/>
    <x v="17"/>
    <x v="5"/>
    <m/>
    <x v="45"/>
    <d v="2025-10-01T00:00:00"/>
    <n v="301002"/>
    <s v="3470003 (3699)"/>
    <n v="8726"/>
    <s v="3470003 TP ML 301002 260G 2,20L DV U"/>
    <m/>
    <m/>
    <m/>
    <n v="0"/>
    <s v="Martin Miller"/>
    <s v="comercial@martinmiller.com.ar"/>
    <s v="NA"/>
    <m/>
    <m/>
    <m/>
  </r>
  <r>
    <s v="214.25"/>
    <x v="4"/>
    <x v="3"/>
    <m/>
    <x v="45"/>
    <d v="2025-11-01T00:00:00"/>
    <n v="35148"/>
    <s v="2540034 (3711)"/>
    <n v="8727"/>
    <s v="TELA VANILA 0237005"/>
    <m/>
    <m/>
    <m/>
    <n v="0"/>
    <s v="FRANCO MACHAO"/>
    <s v="franco.machao@divino.com.uy"/>
    <s v="+ 598 (2) 506.1262"/>
    <m/>
    <m/>
    <m/>
  </r>
  <r>
    <s v="214.25"/>
    <x v="4"/>
    <x v="3"/>
    <m/>
    <x v="45"/>
    <d v="2025-11-01T00:00:00"/>
    <n v="32341"/>
    <s v="2540014 (3009)"/>
    <n v="8727"/>
    <s v="TELA CONEXAO A05171 SQUARE"/>
    <m/>
    <m/>
    <m/>
    <n v="0"/>
    <s v="FRANCO MACHAO"/>
    <s v="franco.machao@divino.com.uy"/>
    <s v="+ 598 (2) 506.1262"/>
    <m/>
    <m/>
    <m/>
  </r>
  <r>
    <s v="214.25"/>
    <x v="4"/>
    <x v="3"/>
    <m/>
    <x v="45"/>
    <d v="2025-11-01T00:00:00"/>
    <n v="35082"/>
    <s v="2540029 (2497)"/>
    <n v="8727"/>
    <s v="TELA TP LUNA 0070001"/>
    <m/>
    <m/>
    <m/>
    <n v="0"/>
    <s v="FRANCO MACHAO"/>
    <s v="franco.machao@divino.com.uy"/>
    <s v="+ 598 (2) 506.1262"/>
    <m/>
    <m/>
    <m/>
  </r>
  <r>
    <s v="214.25"/>
    <x v="4"/>
    <x v="3"/>
    <m/>
    <x v="45"/>
    <d v="2025-11-01T00:00:00"/>
    <n v="35149"/>
    <s v="2540033 (3589)"/>
    <n v="8727"/>
    <s v="TELA TP ML 132012"/>
    <m/>
    <m/>
    <m/>
    <n v="0"/>
    <s v="FRANCO MACHAO"/>
    <s v="franco.machao@divino.com.uy"/>
    <s v="+ 598 (2) 506.1262"/>
    <m/>
    <m/>
    <m/>
  </r>
  <r>
    <s v="212.25"/>
    <x v="21"/>
    <x v="7"/>
    <m/>
    <x v="46"/>
    <d v="2025-11-01T00:00:00"/>
    <s v="0071001&gt;71071"/>
    <s v="3570001 (4684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072031&gt;72101"/>
    <s v="3570002 (4685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073011&gt;73101"/>
    <s v="3570003 (4686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074011&gt;74201"/>
    <s v="3570004 (4687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080001&gt;80081"/>
    <s v="3570005 (4688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262011&gt;262041"/>
    <s v="3570006 (4689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270001&gt;270081"/>
    <s v="3570007 (4690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411001&gt;411051"/>
    <s v="3570008 (4691)"/>
    <n v="8773"/>
    <s v="200 2,10 100% PES CM NEGR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416001&gt;416071"/>
    <s v="3570013 (4696)"/>
    <n v="8773"/>
    <s v="200 2,10 100% PES CM BLANC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411001&gt;411041"/>
    <s v="3570014 (4697)"/>
    <n v="8773"/>
    <s v="200 2,10 100% PES CM BLANCO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399001&gt;399031"/>
    <s v="3570015 (4698)"/>
    <n v="8773"/>
    <s v="200 2,10 100% PES CM BLANCO BRILLANTE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A09553&gt;A10344"/>
    <s v="3570009 (4692)"/>
    <n v="8773"/>
    <s v="200 2,10 100% PES PL MESCLA Y NEGRO/ banda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473001&gt;473003"/>
    <s v="3570010 (4693)"/>
    <n v="8773"/>
    <s v="180 2,10 100% PES PL NEGRO Y BLANCO /banda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388001&gt;388043"/>
    <s v="3570011 (4694)"/>
    <n v="8773"/>
    <s v="180 2,10 100% PES PL NEGRO Y BLANCO /banda"/>
    <m/>
    <m/>
    <m/>
    <n v="0"/>
    <s v="Milagros Grande"/>
    <s v="milagros.grande@grupograndesac.com"/>
    <s v="964 345 341"/>
    <m/>
    <m/>
    <m/>
  </r>
  <r>
    <s v="212.25"/>
    <x v="21"/>
    <x v="7"/>
    <m/>
    <x v="46"/>
    <d v="2025-11-01T00:00:00"/>
    <s v="0211001&gt;211013"/>
    <s v="3570012 (4695)"/>
    <n v="8773"/>
    <s v="180 2,10 100% PES PL GRIS PERLA Y BLANCO /banda"/>
    <m/>
    <m/>
    <m/>
    <n v="0"/>
    <s v="Milagros Grande"/>
    <s v="milagros.grande@grupograndesac.com"/>
    <s v="964 345 341"/>
    <m/>
    <m/>
    <m/>
  </r>
  <r>
    <s v="209.25"/>
    <x v="12"/>
    <x v="4"/>
    <m/>
    <x v="41"/>
    <d v="2025-10-01T00:00:00"/>
    <s v="A10310"/>
    <s v="2860018 (4703)"/>
    <n v="8798"/>
    <s v="MATELASSE/SERTAPEDIC  A10310 2860018 "/>
    <m/>
    <m/>
    <m/>
    <n v="0"/>
    <s v="---"/>
    <s v="---"/>
    <s v="---"/>
    <m/>
    <m/>
    <m/>
  </r>
  <r>
    <s v="215.25"/>
    <x v="14"/>
    <x v="3"/>
    <m/>
    <x v="47"/>
    <d v="2025-11-01T00:00:00"/>
    <s v="0071001&gt;0071013"/>
    <s v="3030071 (4706)"/>
    <n v="8811"/>
    <s v="180 2,10 100% PES PL NEGRO &amp;  BLANCO (Id 6491)"/>
    <m/>
    <m/>
    <m/>
    <n v="0"/>
    <s v="Eliana Garayalde"/>
    <s v="polymax@polymax.com.uy"/>
    <s v="---"/>
    <m/>
    <m/>
    <m/>
  </r>
  <r>
    <s v="215.25"/>
    <x v="14"/>
    <x v="3"/>
    <m/>
    <x v="47"/>
    <d v="2025-11-01T00:00:00"/>
    <s v="0149011&gt;'0149003"/>
    <s v="3030072 (4707)"/>
    <n v="8811"/>
    <s v="180 2,10 100% PES PL NEGRO BOLITAS BLANCAS (id 6488)"/>
    <m/>
    <m/>
    <m/>
    <n v="0"/>
    <s v="Eliana Garayalde"/>
    <s v="polymax@polymax.com.uy"/>
    <s v="---"/>
    <m/>
    <m/>
    <m/>
  </r>
  <r>
    <s v="215.25"/>
    <x v="14"/>
    <x v="3"/>
    <m/>
    <x v="47"/>
    <d v="2025-11-01T00:00:00"/>
    <s v="A09535 "/>
    <s v="303,0038 (4325)"/>
    <n v="8811"/>
    <s v="PL 160G 2,10L GRIS ESCURO"/>
    <m/>
    <m/>
    <m/>
    <n v="0"/>
    <s v="Eliana Garayalde"/>
    <s v="polymax@polymax.com.uy"/>
    <s v="---"/>
    <m/>
    <m/>
    <m/>
  </r>
  <r>
    <s v="215.25"/>
    <x v="14"/>
    <x v="3"/>
    <m/>
    <x v="47"/>
    <d v="2025-11-01T00:00:00"/>
    <s v="A09535 "/>
    <s v="303,0040 (3135)"/>
    <n v="8811"/>
    <s v="PL 160G 2,10L NEGRO"/>
    <m/>
    <m/>
    <m/>
    <n v="0"/>
    <s v="Eliana Garayalde"/>
    <s v="polymax@polymax.com.uy"/>
    <s v="---"/>
    <m/>
    <m/>
    <m/>
  </r>
  <r>
    <s v="215.25"/>
    <x v="14"/>
    <x v="3"/>
    <m/>
    <x v="47"/>
    <d v="2025-11-01T00:00:00"/>
    <s v="0253003"/>
    <s v="3030070 (4705)"/>
    <n v="8811"/>
    <s v="180 2,10 100% PES PL BLANCO Y ARENA (Id 6619)"/>
    <m/>
    <m/>
    <m/>
    <n v="0"/>
    <s v="Eliana Garayalde"/>
    <s v="polymax@polymax.com.uy"/>
    <s v="---"/>
    <m/>
    <m/>
    <m/>
  </r>
  <r>
    <s v="215.25"/>
    <x v="14"/>
    <x v="3"/>
    <m/>
    <x v="47"/>
    <d v="2025-11-01T00:00:00"/>
    <s v="A09956"/>
    <s v="3030060 (3504)"/>
    <n v="8811"/>
    <s v="TP ML A09956 BANDA CAQUI"/>
    <m/>
    <m/>
    <m/>
    <n v="0"/>
    <s v="Eliana Garayalde"/>
    <s v="polymax@polymax.com.uy"/>
    <s v="---"/>
    <m/>
    <m/>
    <m/>
  </r>
  <r>
    <s v="216.25"/>
    <x v="4"/>
    <x v="3"/>
    <m/>
    <x v="47"/>
    <d v="2025-11-01T00:00:00"/>
    <n v="32282"/>
    <n v="1523"/>
    <n v="8799"/>
    <s v="TELA ANTIDESLIZANTE CONEXÃO"/>
    <m/>
    <m/>
    <m/>
    <n v="0"/>
    <s v="FRANCO MACHAO"/>
    <s v="franco.machao@divino.com.uy"/>
    <s v="+ 598 (2) 506.1262"/>
    <m/>
    <m/>
    <m/>
  </r>
  <r>
    <s v="216.25"/>
    <x v="4"/>
    <x v="3"/>
    <m/>
    <x v="47"/>
    <d v="2025-11-01T00:00:00"/>
    <n v="2540014"/>
    <n v="3009"/>
    <n v="8799"/>
    <s v="TELA CONEXAO A05171 SQUARE"/>
    <m/>
    <m/>
    <m/>
    <n v="0"/>
    <s v="FRANCO MACHAO"/>
    <s v="franco.machao@divino.com.uy"/>
    <s v="+ 598 (2) 506.1262"/>
    <m/>
    <m/>
    <m/>
  </r>
  <r>
    <s v="216.25"/>
    <x v="4"/>
    <x v="3"/>
    <m/>
    <x v="47"/>
    <d v="2025-11-01T00:00:00"/>
    <s v="2540026"/>
    <n v="2054"/>
    <n v="8799"/>
    <s v="TELA 72001 DEGRADE GRIS"/>
    <m/>
    <m/>
    <m/>
    <n v="0"/>
    <s v="FRANCO MACHAO"/>
    <s v="franco.machao@divino.com.uy"/>
    <s v="+ 598 (2) 506.1262"/>
    <m/>
    <m/>
    <m/>
  </r>
  <r>
    <s v="216.25"/>
    <x v="4"/>
    <x v="3"/>
    <m/>
    <x v="47"/>
    <d v="2025-11-01T00:00:00"/>
    <n v="2540033"/>
    <n v="3589"/>
    <n v="8799"/>
    <s v="TELA TP ML 132012 DV U"/>
    <m/>
    <m/>
    <m/>
    <n v="0"/>
    <s v="FRANCO MACHAO"/>
    <s v="franco.machao@divino.com.uy"/>
    <s v="+ 598 (2) 506.1262"/>
    <m/>
    <m/>
    <m/>
  </r>
  <r>
    <s v="216.25"/>
    <x v="4"/>
    <x v="3"/>
    <m/>
    <x v="47"/>
    <d v="2025-11-01T00:00:00"/>
    <s v="2540025"/>
    <n v="2053"/>
    <n v="8799"/>
    <s v="TELA 69001 CONTEMPORÁNEO"/>
    <m/>
    <m/>
    <m/>
    <n v="0"/>
    <s v="FRANCO MACHAO"/>
    <s v="franco.machao@divino.com.uy"/>
    <s v="+ 598 (2) 506.1262"/>
    <m/>
    <m/>
    <m/>
  </r>
  <r>
    <s v="211.25 "/>
    <x v="11"/>
    <x v="1"/>
    <m/>
    <x v="48"/>
    <d v="2025-11-01T00:00:00"/>
    <s v="A09970 (3701)"/>
    <n v="3200014"/>
    <n v="8614"/>
    <s v="Tela SuperSpuma Dots 1 - Azul"/>
    <m/>
    <m/>
    <m/>
    <n v="0"/>
    <s v="Leticia Roig"/>
    <s v="leticia.roig@superspuma.com"/>
    <s v="595 985 629024"/>
    <m/>
    <m/>
    <m/>
  </r>
  <r>
    <s v="217.25"/>
    <x v="5"/>
    <x v="4"/>
    <m/>
    <x v="49"/>
    <d v="2025-11-01T00:00:00"/>
    <s v="1122580&gt;A08996"/>
    <s v="2810009 (1419)"/>
    <n v="8863"/>
    <s v="TELA T GRIS THERAPEUTIC GRIS PL  2,2M/180GR/A08996"/>
    <m/>
    <m/>
    <m/>
    <n v="0"/>
    <s v="Paulina Mena"/>
    <s v="paulina.mena@flex.es"/>
    <s v="56 96205 0626"/>
    <m/>
    <m/>
    <m/>
  </r>
  <r>
    <s v="217.25"/>
    <x v="5"/>
    <x v="4"/>
    <m/>
    <x v="49"/>
    <d v="2025-11-01T00:00:00"/>
    <s v="1129159&gt;2810011"/>
    <s v="2810011 (3378)"/>
    <n v="8863"/>
    <s v="TELA T NATURAL BAMBOO PARADISE  2,2M/370GR/122034"/>
    <m/>
    <m/>
    <m/>
    <n v="0"/>
    <s v="Paulina Mena"/>
    <s v="paulina.mena@flex.es"/>
    <s v="56 96205 0626"/>
    <m/>
    <m/>
    <m/>
  </r>
  <r>
    <s v="219.25"/>
    <x v="20"/>
    <x v="1"/>
    <m/>
    <x v="50"/>
    <d v="2025-11-01T00:00:00"/>
    <n v="1121110"/>
    <s v="2810005 (1422)"/>
    <n v="8953"/>
    <s v="TP FOLHA 240G 2,20L (1121110) DIVERSAS U"/>
    <m/>
    <m/>
    <m/>
    <n v="0"/>
    <s v="Carlos Nuñez"/>
    <s v="NA"/>
    <s v="595 992 700278"/>
    <m/>
    <m/>
    <m/>
  </r>
  <r>
    <s v="219.25"/>
    <x v="20"/>
    <x v="1"/>
    <m/>
    <x v="50"/>
    <d v="2025-11-01T00:00:00"/>
    <n v="87052"/>
    <s v="3430001 (3549)"/>
    <n v="8953"/>
    <s v="TP ML 87052 220G 2,20L DV U"/>
    <m/>
    <m/>
    <m/>
    <n v="0"/>
    <s v="Carlos Nuñez"/>
    <s v="NA"/>
    <s v="595 992 700278"/>
    <m/>
    <m/>
    <m/>
  </r>
  <r>
    <s v="220.25"/>
    <x v="12"/>
    <x v="4"/>
    <m/>
    <x v="51"/>
    <d v="2025-12-01T00:00:00"/>
    <s v="A08959"/>
    <s v="2860004 (1904)"/>
    <n v="9030"/>
    <s v="TP RETAS DEGRADE 450G 2,20L DIVERSAS U"/>
    <m/>
    <m/>
    <m/>
    <n v="0"/>
    <s v="Juan Carlos Villarroel"/>
    <m/>
    <m/>
    <m/>
    <m/>
    <m/>
  </r>
  <r>
    <s v="220.25"/>
    <x v="12"/>
    <x v="4"/>
    <m/>
    <x v="51"/>
    <d v="2025-12-01T00:00:00"/>
    <s v="A09647"/>
    <s v="2860012 (2536)"/>
    <n v="9030"/>
    <s v="TP ML HARMONY ME 440G 2,20L DIVERSAS U"/>
    <m/>
    <m/>
    <m/>
    <n v="0"/>
    <s v="Juan Carlos Villarroel"/>
    <m/>
    <m/>
    <m/>
    <m/>
    <m/>
  </r>
  <r>
    <s v="220.25 Comp"/>
    <x v="12"/>
    <x v="4"/>
    <m/>
    <x v="51"/>
    <d v="2025-12-01T00:00:00"/>
    <s v="0354001 (id 6704)"/>
    <s v="2860021 (4742)"/>
    <n v="9035"/>
    <s v="400 2,20 73% PE 27% PES CM BLANCO Arctic s/Logo"/>
    <m/>
    <m/>
    <m/>
    <n v="0"/>
    <s v="Juan Carlos Villarroel"/>
    <m/>
    <m/>
    <m/>
    <m/>
    <m/>
  </r>
  <r>
    <s v="220.25 Comp"/>
    <x v="12"/>
    <x v="4"/>
    <m/>
    <x v="51"/>
    <d v="2025-12-01T00:00:00"/>
    <s v="0427001 (id 6708)"/>
    <s v="2860019 (4740)"/>
    <n v="9035"/>
    <s v="400 2,20 90% PES 10% CV CM BLANCO"/>
    <m/>
    <m/>
    <m/>
    <n v="0"/>
    <s v="Juan Carlos Villarroel"/>
    <m/>
    <m/>
    <m/>
    <m/>
    <m/>
  </r>
  <r>
    <s v="220.25 Comp"/>
    <x v="12"/>
    <x v="4"/>
    <m/>
    <x v="51"/>
    <d v="2025-12-01T00:00:00"/>
    <s v="0414001 (id 6706)"/>
    <s v="2860020 (4741)"/>
    <n v="9035"/>
    <s v="380 2,20 99% PES 1% PUE CM BLANCO"/>
    <m/>
    <m/>
    <m/>
    <n v="0"/>
    <s v="Juan Carlos Villarroel"/>
    <m/>
    <m/>
    <m/>
    <m/>
    <m/>
  </r>
  <r>
    <s v="218.25"/>
    <x v="22"/>
    <x v="0"/>
    <m/>
    <x v="52"/>
    <d v="2025-12-01T00:00:00"/>
    <s v="A06747&gt;A10390"/>
    <s v="3580001 (4743)"/>
    <n v="9037"/>
    <s v="220 2,10 100% PES CM GRIS Y BLANCO"/>
    <m/>
    <m/>
    <m/>
    <n v="0"/>
    <s v="NA"/>
    <m/>
    <m/>
    <m/>
    <m/>
    <m/>
  </r>
  <r>
    <s v="218.25"/>
    <x v="22"/>
    <x v="0"/>
    <m/>
    <x v="52"/>
    <d v="2025-12-01T00:00:00"/>
    <s v="0153011"/>
    <s v="3580002 (4744)"/>
    <n v="9037"/>
    <s v="240 2,20 100% PES CM ARENA"/>
    <m/>
    <m/>
    <m/>
    <n v="0"/>
    <s v="NA"/>
    <m/>
    <m/>
    <m/>
    <m/>
    <m/>
  </r>
  <r>
    <s v="218.25"/>
    <x v="22"/>
    <x v="0"/>
    <m/>
    <x v="52"/>
    <d v="2025-12-01T00:00:00"/>
    <s v="0245005"/>
    <s v="3580003 (4745)"/>
    <n v="9037"/>
    <s v="260 2,20 99% PES 1% LINEN CM BLANCO Y ARENA"/>
    <m/>
    <m/>
    <m/>
    <n v="0"/>
    <s v="NA"/>
    <m/>
    <m/>
    <m/>
    <m/>
    <m/>
  </r>
  <r>
    <s v="218.25"/>
    <x v="22"/>
    <x v="0"/>
    <m/>
    <x v="52"/>
    <d v="2025-12-01T00:00:00"/>
    <s v="0524004"/>
    <s v="3580004 (4746)"/>
    <n v="9037"/>
    <s v="440 2,20 66% PES 34% PE XP AZUL Y BLANCO "/>
    <m/>
    <m/>
    <m/>
    <n v="0"/>
    <s v="NA"/>
    <m/>
    <m/>
    <m/>
    <m/>
    <m/>
  </r>
  <r>
    <s v="222.25"/>
    <x v="5"/>
    <x v="4"/>
    <n v="448"/>
    <x v="53"/>
    <d v="2026-01-01T00:00:00"/>
    <s v="1122580&gt; A08996"/>
    <s v="2810009 (1419)"/>
    <n v="9124"/>
    <s v="TELA T GRIS THERAPEUTIC GRIS PL  2,2M/180GR/A08996"/>
    <n v="1300"/>
    <n v="866"/>
    <n v="2.25"/>
    <n v="2925"/>
    <s v="Paulina Mena"/>
    <s v="paulina.mena@flex.es"/>
    <s v="56 96205 0626"/>
    <s v=" Entrega solicitada para semana 26 Janeiro"/>
    <s v="Entregado"/>
    <m/>
  </r>
  <r>
    <s v="221.25"/>
    <x v="23"/>
    <x v="3"/>
    <n v="2049"/>
    <x v="53"/>
    <d v="2026-01-01T00:00:00"/>
    <s v="A06917-C &gt; A6917"/>
    <s v="4772 - 3590001"/>
    <n v="9125"/>
    <s v="440 2,20 99% PES 1% PUE XP GRIS"/>
    <n v="500"/>
    <n v="264"/>
    <n v="4.95"/>
    <n v="2475"/>
    <s v="Claudio Zarlenga"/>
    <s v="czarlenga@lamitex.com.uy"/>
    <s v="00598 22260206"/>
    <s v="cliente novo - Entrega prioritaria 1ra quinzena Jan 2026"/>
    <s v="Entregado"/>
    <m/>
  </r>
  <r>
    <s v="221.25"/>
    <x v="23"/>
    <x v="3"/>
    <n v="2049"/>
    <x v="53"/>
    <d v="2026-01-01T00:00:00"/>
    <s v="0246015 &gt; 0246015"/>
    <s v="4775 - 3590002 "/>
    <n v="9125"/>
    <s v="340 2,20 100% PES XN NEGRO / GRIS / AZUL "/>
    <n v="500"/>
    <n v="204"/>
    <n v="4.75"/>
    <n v="2375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0271001&gt; 0271001"/>
    <s v="4776 - 3590003 "/>
    <n v="9125"/>
    <s v="340 2,20 100% PES CM GRIS"/>
    <n v="500"/>
    <n v="204"/>
    <n v="3.52"/>
    <n v="1760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0461001 &gt; 0461001"/>
    <s v="4777 - 3590004 "/>
    <n v="9125"/>
    <s v="340 2,20 100% PES CM BLANCO"/>
    <n v="500"/>
    <n v="204"/>
    <n v="3.51"/>
    <n v="1755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0416001 &gt; 0416001"/>
    <s v="4778 - 3590005 "/>
    <n v="9125"/>
    <s v="240 2,20 100% PES CM BLANCO"/>
    <n v="500"/>
    <n v="150"/>
    <n v="2.2200000000000002"/>
    <n v="1110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A10156 &gt; A10156"/>
    <s v="4779 - 3590006 "/>
    <n v="9125"/>
    <s v="220 2,20 100% PES CM BLANCO"/>
    <n v="500"/>
    <n v="135"/>
    <n v="1.97"/>
    <n v="985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A10136 &gt; A10136"/>
    <s v="4780 - 3590007 "/>
    <n v="9125"/>
    <s v="200 2,20 100% PES CM BLANCO "/>
    <n v="500"/>
    <n v="120"/>
    <n v="1.9"/>
    <n v="950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LA005 &gt; A10399"/>
    <s v="4781 - 3590008 "/>
    <n v="9125"/>
    <s v="180 2,10 100% PES PL GRIS"/>
    <n v="400"/>
    <n v="110"/>
    <n v="1.5"/>
    <n v="600"/>
    <s v="Claudio Zarlenga"/>
    <s v="czarlenga@lamitex.com.uy"/>
    <s v="00598 22260206"/>
    <m/>
    <s v="Entregado"/>
    <m/>
  </r>
  <r>
    <s v="221.25"/>
    <x v="23"/>
    <x v="3"/>
    <n v="2049"/>
    <x v="53"/>
    <d v="2026-01-01T00:00:00"/>
    <s v="LA003 &gt;A10402"/>
    <s v="4773 - 3590009"/>
    <n v="9125"/>
    <s v="200 2,10 100% PES CM NEGRO Fire-Retardant s/ Logo  "/>
    <n v="2000"/>
    <n v="1200"/>
    <n v="4.9800000000000004"/>
    <n v="9960"/>
    <s v="Claudio Zarlenga"/>
    <s v="czarlenga@lamitex.com.uy"/>
    <s v="00598 22260206"/>
    <s v="cliente novo - Entrega prioritaria 1ra quinzena Jan 2026"/>
    <s v="Entregado"/>
    <m/>
  </r>
  <r>
    <s v="003.26"/>
    <x v="12"/>
    <x v="4"/>
    <n v="1372"/>
    <x v="54"/>
    <d v="2026-01-01T00:00:00"/>
    <s v="A09634"/>
    <s v="2860008 (2000)"/>
    <n v="9157"/>
    <s v="2860008 TP ML GRAY WINDOW 380G 2,20L DIVERSAS U "/>
    <n v="1000"/>
    <n v="600"/>
    <n v="5.17"/>
    <n v="5170"/>
    <m/>
    <m/>
    <m/>
    <m/>
    <s v="Entregado"/>
    <m/>
  </r>
  <r>
    <s v="004.26"/>
    <x v="24"/>
    <x v="5"/>
    <n v="993"/>
    <x v="55"/>
    <d v="2026-01-01T00:00:00"/>
    <n v="301002"/>
    <s v="3470003 (3699)"/>
    <n v="9176"/>
    <s v="3470003 TP ML 301002 260G 2,20L DV U"/>
    <n v="12000"/>
    <n v="6000"/>
    <n v="1.83"/>
    <n v="21960"/>
    <m/>
    <m/>
    <m/>
    <s v="cliente solicita para fin de mês"/>
    <s v="Entregado"/>
    <m/>
  </r>
  <r>
    <s v="005.26"/>
    <x v="12"/>
    <x v="4"/>
    <n v="1372"/>
    <x v="55"/>
    <d v="2026-01-01T00:00:00"/>
    <s v="A09647"/>
    <n v="2860012"/>
    <n v="9177"/>
    <s v="TP ML HARMONY ME 440G 2,20L DIVERSAS U"/>
    <n v="1000"/>
    <n v="1036"/>
    <n v="6.49"/>
    <n v="6490"/>
    <m/>
    <m/>
    <m/>
    <m/>
    <s v="Entregado"/>
    <m/>
  </r>
  <r>
    <s v="006.26"/>
    <x v="5"/>
    <x v="4"/>
    <n v="448"/>
    <x v="56"/>
    <d v="2026-02-01T00:00:00"/>
    <n v="1122580"/>
    <s v="2810009 (1419)"/>
    <n v="9206"/>
    <s v="TELA T GRIS THERAPEUTIC GRIS PL  2,2M/180GR/A08996"/>
    <n v="1000"/>
    <n v="666"/>
    <n v="2.25"/>
    <n v="2250"/>
    <m/>
    <m/>
    <m/>
    <s v="entrega para semana 9 (23 fev.)"/>
    <s v="Entregado"/>
    <m/>
  </r>
  <r>
    <s v="007.26"/>
    <x v="12"/>
    <x v="4"/>
    <n v="1372"/>
    <x v="56"/>
    <d v="2026-02-01T00:00:00"/>
    <s v="A10310"/>
    <s v="2860018 (4703)"/>
    <n v="9207"/>
    <s v="MATELASSE/SERTAPEDIC  A10310 2860018  300G 2,20A"/>
    <n v="1300"/>
    <n v="780"/>
    <n v="2.98"/>
    <n v="3874"/>
    <m/>
    <m/>
    <m/>
    <s v="Agrd validação cód pdn - agrd aprov. Cliente/ ok"/>
    <s v="Entregado"/>
    <m/>
  </r>
  <r>
    <s v="008.26"/>
    <x v="4"/>
    <x v="3"/>
    <n v="316"/>
    <x v="57"/>
    <d v="2026-02-01T00:00:00"/>
    <n v="32282"/>
    <n v="1523"/>
    <n v="9233"/>
    <s v="TELA ANTIDESLIZANTE CONEXÃO (MATERIAL REVENDA)"/>
    <n v="8000"/>
    <n v="6400"/>
    <n v="1.51"/>
    <n v="12080"/>
    <m/>
    <m/>
    <m/>
    <s v="Agrd aprovaç cliente/ ok"/>
    <s v="Entregado"/>
    <m/>
  </r>
  <r>
    <s v="009.26"/>
    <x v="5"/>
    <x v="4"/>
    <n v="448"/>
    <x v="58"/>
    <d v="2026-02-01T00:00:00"/>
    <s v="A10411 (ID 6852)"/>
    <s v="2810014 (4848)"/>
    <n v="9246"/>
    <s v="TELA BLACK V.2  Legacy-TP ML A10411 320G 2,20L"/>
    <n v="500"/>
    <n v="352"/>
    <n v="3.94"/>
    <n v="1970"/>
    <m/>
    <m/>
    <m/>
    <s v="Proforma 30/01-Ok Cods"/>
    <s v="Entregado"/>
    <m/>
  </r>
  <r>
    <s v="010.26"/>
    <x v="25"/>
    <x v="1"/>
    <n v="2096"/>
    <x v="59"/>
    <d v="2026-03-01T00:00:00"/>
    <n v="110013"/>
    <n v="650"/>
    <n v="9469"/>
    <s v="Tela Colchones del Paraguay 1 - 220"/>
    <n v="940"/>
    <n v="454"/>
    <n v="1.5"/>
    <n v="1410"/>
    <m/>
    <m/>
    <m/>
    <s v="material parado revendido-Nva razón social Prince + Flete"/>
    <s v="Entregado"/>
    <m/>
  </r>
  <r>
    <s v="010.26"/>
    <x v="25"/>
    <x v="1"/>
    <n v="2096"/>
    <x v="59"/>
    <d v="2026-03-01T00:00:00"/>
    <n v="340047"/>
    <n v="3815"/>
    <n v="9469"/>
    <s v="Tela Colchones del Paraguay 2 - 280"/>
    <n v="308"/>
    <n v="190"/>
    <n v="1.5"/>
    <n v="462"/>
    <m/>
    <m/>
    <m/>
    <s v="material parado revendido-Nva razón social Prince + Flete"/>
    <s v="Entregado"/>
    <m/>
  </r>
  <r>
    <s v="010.26"/>
    <x v="25"/>
    <x v="1"/>
    <n v="2096"/>
    <x v="59"/>
    <d v="2026-03-01T00:00:00"/>
    <n v="3480004"/>
    <n v="3801"/>
    <n v="9469"/>
    <s v="Tela Colchones del Paraguay 3 - 220"/>
    <n v="279"/>
    <n v="135"/>
    <n v="1.5"/>
    <n v="418.5"/>
    <m/>
    <m/>
    <m/>
    <s v="material parado revendido-Nva razón social Prince + Flete"/>
    <s v="Entregado"/>
    <m/>
  </r>
  <r>
    <s v="010.26"/>
    <x v="25"/>
    <x v="1"/>
    <n v="2096"/>
    <x v="59"/>
    <d v="2026-03-01T00:00:00"/>
    <n v="340046"/>
    <n v="3813"/>
    <n v="9469"/>
    <s v="Tela Colchones del Paraguay 4 - 280"/>
    <n v="271"/>
    <n v="167"/>
    <n v="1.5"/>
    <n v="406.5"/>
    <m/>
    <m/>
    <m/>
    <s v="material parado revendido-Nva razón social Prince + Flete"/>
    <s v="Entregado"/>
    <m/>
  </r>
  <r>
    <s v="010.26"/>
    <x v="25"/>
    <x v="1"/>
    <n v="2096"/>
    <x v="59"/>
    <d v="2026-03-01T00:00:00"/>
    <n v="2940034"/>
    <n v="4240"/>
    <n v="9469"/>
    <s v="Tela Colchones del Paraguay 5 - 240"/>
    <n v="260"/>
    <n v="137"/>
    <n v="1.5"/>
    <n v="390"/>
    <m/>
    <m/>
    <m/>
    <s v="material parado revendido-Nva razón social Prince + Flete"/>
    <s v="Entregado"/>
    <m/>
  </r>
  <r>
    <s v="010.26"/>
    <x v="25"/>
    <x v="1"/>
    <n v="2096"/>
    <x v="59"/>
    <d v="2026-03-01T00:00:00"/>
    <n v="340048"/>
    <n v="3814"/>
    <n v="9469"/>
    <s v="Tela Colchones del Paraguay 6 - 160"/>
    <n v="178"/>
    <n v="63"/>
    <n v="1.5"/>
    <n v="267"/>
    <m/>
    <m/>
    <m/>
    <s v="material parado revendido-Nva razón social Prince + Flete"/>
    <s v="Entregado"/>
    <m/>
  </r>
  <r>
    <s v="010.26"/>
    <x v="25"/>
    <x v="1"/>
    <n v="2096"/>
    <x v="59"/>
    <d v="2026-03-01T00:00:00"/>
    <n v="2540005"/>
    <n v="1236"/>
    <n v="9469"/>
    <s v="Tela Colchones del Paraguay 7 -280"/>
    <n v="180"/>
    <n v="111"/>
    <n v="1.5"/>
    <n v="270"/>
    <m/>
    <m/>
    <m/>
    <s v="material parado revendido-Nva razón social Prince + Flete"/>
    <s v="Entregado"/>
    <m/>
  </r>
  <r>
    <s v="010.26"/>
    <x v="25"/>
    <x v="1"/>
    <n v="2096"/>
    <x v="59"/>
    <d v="2026-03-01T00:00:00"/>
    <n v="2540018"/>
    <n v="1504"/>
    <n v="9469"/>
    <s v="Tela Colchones del Paraguay 8 -160"/>
    <n v="181"/>
    <n v="64"/>
    <n v="1.5"/>
    <n v="271.5"/>
    <m/>
    <m/>
    <m/>
    <s v="material parado revendido-Nva razón social Prince + Flete"/>
    <s v="Entregado"/>
    <m/>
  </r>
  <r>
    <s v="010.26"/>
    <x v="25"/>
    <x v="1"/>
    <n v="2096"/>
    <x v="59"/>
    <d v="2026-03-01T00:00:00"/>
    <n v="340044"/>
    <n v="3811"/>
    <n v="9469"/>
    <s v="Tela Colchones del Paraguay 9 - 180"/>
    <n v="148"/>
    <n v="59"/>
    <n v="1.5"/>
    <n v="222"/>
    <m/>
    <m/>
    <m/>
    <s v="material parado revendido-Nva razón social Prince + Flete"/>
    <s v="Entregado"/>
    <m/>
  </r>
  <r>
    <s v="010.26"/>
    <x v="25"/>
    <x v="1"/>
    <n v="2096"/>
    <x v="59"/>
    <d v="2026-03-01T00:00:00"/>
    <n v="280018"/>
    <n v="1852"/>
    <n v="9469"/>
    <s v="Tela Colchones del Paraguay 10 - 220"/>
    <n v="145"/>
    <n v="454"/>
    <n v="1.5"/>
    <n v="217.5"/>
    <m/>
    <m/>
    <m/>
    <s v="material parado revendido-Nva razón social Prince + Flete"/>
    <s v="Entregado"/>
    <m/>
  </r>
  <r>
    <s v="010.26"/>
    <x v="25"/>
    <x v="1"/>
    <n v="2096"/>
    <x v="59"/>
    <d v="2026-03-01T00:00:00"/>
    <n v="3470003"/>
    <n v="3699"/>
    <n v="9469"/>
    <s v="Tela Colchones del Paraguay 11 - 380"/>
    <n v="118"/>
    <n v="99"/>
    <n v="1.5"/>
    <n v="177"/>
    <m/>
    <m/>
    <m/>
    <s v="material parado revendido-Nva razón social Prince + Flete"/>
    <s v="Entregado"/>
    <m/>
  </r>
  <r>
    <s v="010.26"/>
    <x v="25"/>
    <x v="1"/>
    <n v="2096"/>
    <x v="59"/>
    <d v="2026-03-01T00:00:00"/>
    <n v="2620001"/>
    <n v="1095"/>
    <n v="9469"/>
    <s v="Tela Colchones del Paraguay 12 - 160"/>
    <n v="113"/>
    <n v="40"/>
    <n v="1.5"/>
    <n v="169.5"/>
    <m/>
    <m/>
    <m/>
    <s v="material parado revendido-Nva razón social Prince + Flete"/>
    <s v="Entregado"/>
    <m/>
  </r>
  <r>
    <s v="011.26"/>
    <x v="12"/>
    <x v="4"/>
    <n v="1372"/>
    <x v="60"/>
    <d v="2026-03-01T00:00:00"/>
    <n v="2860011"/>
    <n v="2535"/>
    <n v="9522"/>
    <s v="2860011 TP ML DOLPHIN ME 430G 2,20L DIVERSAS U A09646"/>
    <n v="1000"/>
    <n v="946"/>
    <n v="6.49"/>
    <n v="6490"/>
    <m/>
    <m/>
    <m/>
    <s v=" pdn parada-Hilo recibido23/4"/>
    <s v="Entregado"/>
    <s v="Ok - hilollegó 23/04 /  Parado.FALTA DO FIO 221/84 MESCLA ESCURO   - saldo em sistema 101"/>
  </r>
  <r>
    <s v="011.26"/>
    <x v="12"/>
    <x v="4"/>
    <n v="1372"/>
    <x v="60"/>
    <d v="2026-03-01T00:00:00"/>
    <n v="2860003"/>
    <n v="1903"/>
    <n v="9522"/>
    <s v="2860003-TP ME DEGRADE 420G 2,20L DIVERSAS U (SERENE)"/>
    <n v="1000"/>
    <n v="924"/>
    <n v="6.76"/>
    <n v="6760"/>
    <m/>
    <m/>
    <m/>
    <s v="OK- basado en mejoras del flujo de crédito"/>
    <s v="Entregado"/>
    <s v="ok coleta"/>
  </r>
  <r>
    <s v="011.26"/>
    <x v="12"/>
    <x v="4"/>
    <n v="1372"/>
    <x v="60"/>
    <d v="2026-03-01T00:00:00"/>
    <n v="2860004"/>
    <n v="1904"/>
    <n v="9522"/>
    <s v="2860004-ME TP RETAS DEGRADE 450G 2,20L (PERFECT SLEEPER)"/>
    <n v="1000"/>
    <n v="990"/>
    <n v="4.3"/>
    <n v="4300"/>
    <m/>
    <m/>
    <m/>
    <s v="OK- basado en mejoras del flujo de crédito"/>
    <s v="Entregado"/>
    <s v="ok coleta"/>
  </r>
  <r>
    <s v="011.26"/>
    <x v="12"/>
    <x v="4"/>
    <n v="1372"/>
    <x v="60"/>
    <d v="2026-03-01T00:00:00"/>
    <n v="2860013"/>
    <n v="3275"/>
    <n v="9522"/>
    <s v="TP ML A09687 350G 2,20L DIVERSAS U (SUNSET)"/>
    <n v="500"/>
    <n v="385"/>
    <n v="4.75"/>
    <n v="2375"/>
    <m/>
    <m/>
    <m/>
    <m/>
    <s v="Entregado"/>
    <s v="ok coleta"/>
  </r>
  <r>
    <s v="012.26"/>
    <x v="18"/>
    <x v="0"/>
    <n v="1897"/>
    <x v="61"/>
    <d v="2026-03-01T00:00:00"/>
    <s v="PFO (4454)"/>
    <n v="4454"/>
    <n v="9534"/>
    <s v="CAFÉ PUFF ONDAS DV U"/>
    <n v="5000"/>
    <n v="1980"/>
    <n v="1.3"/>
    <n v="6500"/>
    <m/>
    <m/>
    <m/>
    <s v="nva proforma material revenda"/>
    <s v="Entregado"/>
    <d v="2026-04-06T00:00:00"/>
  </r>
  <r>
    <s v="013.26"/>
    <x v="5"/>
    <x v="4"/>
    <n v="448"/>
    <x v="62"/>
    <d v="2026-03-01T00:00:00"/>
    <s v="1136968 - 2810014"/>
    <s v="2810014 (4848)"/>
    <n v="9634"/>
    <s v="TELA BLACK V.2 - 320 2,20 100% PES NEGRO Y BLANCO"/>
    <n v="800"/>
    <n v="563"/>
    <n v="3.94"/>
    <n v="3152"/>
    <m/>
    <m/>
    <m/>
    <s v="proforma nova 3/3  ok"/>
    <s v="Entregado"/>
    <s v="maq51 - 31/03"/>
  </r>
  <r>
    <s v="013.26"/>
    <x v="5"/>
    <x v="4"/>
    <n v="448"/>
    <x v="62"/>
    <d v="2026-03-01T00:00:00"/>
    <s v="1122580 - 2810009"/>
    <s v="2810009 (1419)"/>
    <n v="9634"/>
    <s v="TELA T GRIS THERAPEUTIC GRIS PL  2,2M/180GR/A08996"/>
    <n v="1200"/>
    <n v="475"/>
    <n v="2.25"/>
    <n v="2700"/>
    <m/>
    <m/>
    <m/>
    <s v="proforma nova 3/3  ok"/>
    <s v="Entregado"/>
    <s v="maq 41  - 25/03 "/>
  </r>
  <r>
    <s v="013.26"/>
    <x v="5"/>
    <x v="4"/>
    <n v="448"/>
    <x v="62"/>
    <d v="2026-03-01T00:00:00"/>
    <s v="1121110 - 2810005"/>
    <s v="2810005 (1422)"/>
    <n v="9634"/>
    <s v="TP FOLHA 240G 2,20L (1121110) DIVERSAS U"/>
    <n v="700"/>
    <n v="400"/>
    <n v="2.83"/>
    <n v="1981"/>
    <m/>
    <m/>
    <m/>
    <s v="proforma nova 3/3  ok"/>
    <s v="Entregado"/>
    <s v="maq 48  - 27/03"/>
  </r>
  <r>
    <s v="013.26"/>
    <x v="5"/>
    <x v="4"/>
    <n v="448"/>
    <x v="62"/>
    <d v="2026-03-01T00:00:00"/>
    <s v="1129159 - 2810011"/>
    <s v="2810011 (3378)"/>
    <n v="9634"/>
    <s v="TELA T NATURAL BAMBOO PARADISE  2,2M/370GR/122034"/>
    <n v="500"/>
    <n v="326"/>
    <n v="4.8499999999999996"/>
    <n v="2425"/>
    <m/>
    <m/>
    <m/>
    <s v="proforma nova 3/3  ok"/>
    <s v="Entregado"/>
    <s v="maq 53 - 025/03"/>
  </r>
  <r>
    <s v="014.26"/>
    <x v="11"/>
    <x v="1"/>
    <n v="620"/>
    <x v="63"/>
    <d v="2026-03-01T00:00:00"/>
    <s v="A9858"/>
    <n v="3200011"/>
    <n v="9691"/>
    <s v="TELA SUPERKIDS ROSA"/>
    <n v="600"/>
    <n v="1320"/>
    <n v="2.2000000000000002"/>
    <n v="1320"/>
    <m/>
    <m/>
    <m/>
    <s v="proforma -ok 06/03"/>
    <s v="Entregado"/>
    <s v="pdn 1903 (616+104+89)"/>
  </r>
  <r>
    <s v="014.26"/>
    <x v="11"/>
    <x v="1"/>
    <n v="620"/>
    <x v="63"/>
    <d v="2026-03-01T00:00:00"/>
    <n v="2114"/>
    <n v="3200008"/>
    <n v="9691"/>
    <s v="TELA IMPULSE GRAY"/>
    <n v="400"/>
    <n v="1192"/>
    <n v="2.87"/>
    <n v="1148"/>
    <m/>
    <m/>
    <m/>
    <s v="proforma -ok 06/03"/>
    <s v="Entregado"/>
    <s v="26/3 ?"/>
  </r>
  <r>
    <s v="014.26"/>
    <x v="11"/>
    <x v="1"/>
    <n v="620"/>
    <x v="63"/>
    <d v="2026-03-01T00:00:00"/>
    <n v="7094"/>
    <n v="3200006"/>
    <n v="9691"/>
    <s v="TELA IMPERIAL GRAY"/>
    <n v="400"/>
    <n v="235"/>
    <n v="3.06"/>
    <n v="1224"/>
    <m/>
    <m/>
    <m/>
    <m/>
    <s v="Entregado"/>
    <n v="46108"/>
  </r>
  <r>
    <s v="014.26"/>
    <x v="11"/>
    <x v="1"/>
    <n v="620"/>
    <x v="63"/>
    <d v="2026-03-01T00:00:00"/>
    <s v="A09970"/>
    <n v="3200014"/>
    <n v="9691"/>
    <s v="TELA SUPERSPUMA DOTS AZUL"/>
    <n v="1000"/>
    <n v="1440"/>
    <n v="1.44"/>
    <n v="1440"/>
    <m/>
    <m/>
    <m/>
    <m/>
    <s v="Entregado"/>
    <s v="maq 25  - 28/03 - 31/03"/>
  </r>
  <r>
    <s v="014.26"/>
    <x v="11"/>
    <x v="1"/>
    <n v="620"/>
    <x v="63"/>
    <d v="2026-03-01T00:00:00"/>
    <s v="A09971"/>
    <n v="3200015"/>
    <n v="9691"/>
    <s v="TELA SUPERSPUMA DOTS BORDÓ"/>
    <n v="800"/>
    <n v="1823.9999999999998"/>
    <n v="2.2799999999999998"/>
    <n v="1823.9999999999998"/>
    <m/>
    <m/>
    <m/>
    <m/>
    <s v="Entregado"/>
    <d v="2026-03-24T00:00:00"/>
  </r>
  <r>
    <s v="014.26"/>
    <x v="11"/>
    <x v="1"/>
    <n v="620"/>
    <x v="63"/>
    <d v="2026-03-01T00:00:00"/>
    <s v="A09969"/>
    <n v="3200013"/>
    <n v="9691"/>
    <s v="TELA SUPERSPUMA DOTS NEGRA"/>
    <n v="900"/>
    <n v="1233"/>
    <n v="1.37"/>
    <n v="1233"/>
    <m/>
    <m/>
    <m/>
    <m/>
    <s v="Entregado"/>
    <m/>
  </r>
  <r>
    <s v="015.26"/>
    <x v="26"/>
    <x v="5"/>
    <n v="1690"/>
    <x v="64"/>
    <d v="2026-04-01T00:00:00"/>
    <s v="A10169"/>
    <s v="3530001  (4114)"/>
    <n v="9695"/>
    <s v="TELA TAPA CALM  (TL86257)"/>
    <n v="17000"/>
    <n v="8568"/>
    <n v="2"/>
    <n v="34000"/>
    <m/>
    <m/>
    <m/>
    <m/>
    <s v="Entregado"/>
    <s v="maq 50/47 (8476m) 15/04 -12654 Expedição (74%)     572m malha  +69 acaba    (op668)           |   maq 47 (8524m)- 13/04---80 acaba/377 mts retrabalho - Atraso | 2000 a mais"/>
  </r>
  <r>
    <s v="015.26"/>
    <x v="26"/>
    <x v="5"/>
    <n v="1690"/>
    <x v="64"/>
    <d v="2026-04-01T00:00:00"/>
    <s v="A10108"/>
    <s v="3530004  (4332)"/>
    <n v="9695"/>
    <s v="TELATRIANGULO GRIS OSCURO BED002 (A10108)"/>
    <n v="8000"/>
    <n v="3520"/>
    <n v="1.77"/>
    <n v="14160"/>
    <m/>
    <m/>
    <m/>
    <m/>
    <s v="Entregado"/>
    <s v="maq 03 -  8.112mts (Start 1903)  - 07/04- OP finalizada, material em retrabalho, acabamento, malharia"/>
  </r>
  <r>
    <s v="015.26 C"/>
    <x v="26"/>
    <x v="5"/>
    <n v="1690"/>
    <x v="65"/>
    <d v="2026-04-01T00:00:00"/>
    <s v="A10169"/>
    <s v="3530001  (4114)"/>
    <n v="10042"/>
    <s v="TELA TAPA CALM  (TL86257)"/>
    <n v="2000"/>
    <m/>
    <n v="2"/>
    <n v="4000"/>
    <m/>
    <m/>
    <m/>
    <s v="Item produzido a + / será incluido no transporte - invoice separada-complementar"/>
    <s v="Entregado"/>
    <s v="2000 mts excedentes que intentarán colocar em el mismo camión"/>
  </r>
  <r>
    <s v="017.26"/>
    <x v="14"/>
    <x v="3"/>
    <n v="1034"/>
    <x v="66"/>
    <d v="2026-04-01T00:00:00"/>
    <s v="0149003"/>
    <s v="3030072 (4707)"/>
    <n v="9747"/>
    <s v="180 2,10 100% PES PL NEGRO BOLITAS BLANCAS (id 6488)"/>
    <n v="3500"/>
    <n v="1323"/>
    <n v="1.7"/>
    <n v="5950"/>
    <m/>
    <m/>
    <m/>
    <m/>
    <s v="Entregado"/>
    <s v="maq 02 -R -10 peças reprova potemcial 23/04"/>
  </r>
  <r>
    <s v="017.26"/>
    <x v="14"/>
    <x v="3"/>
    <n v="1034"/>
    <x v="66"/>
    <d v="2026-04-01T00:00:00"/>
    <s v="0071013"/>
    <s v="3030071 (4706)"/>
    <n v="9747"/>
    <s v="180 2,10 100% PES PL NEGRO &amp;  BLANCO (Id 6491)"/>
    <n v="1500"/>
    <n v="567"/>
    <n v="1.7"/>
    <n v="2550"/>
    <m/>
    <m/>
    <m/>
    <m/>
    <s v="Entregado"/>
    <s v="maq 25 - 1500m  - Expedicão"/>
  </r>
  <r>
    <s v="018.26"/>
    <x v="5"/>
    <x v="4"/>
    <n v="448"/>
    <x v="67"/>
    <d v="2026-04-01T00:00:00"/>
    <n v="1136968"/>
    <s v="2810014 (4848)"/>
    <n v="9771"/>
    <s v="TELA BLACK V.2 - 320 2,20 100% PES NEGRO Y BLANCO"/>
    <n v="500"/>
    <n v="352"/>
    <n v="3.94"/>
    <n v="1970"/>
    <m/>
    <m/>
    <m/>
    <s v="proforma 18/03 - Entrega em maio"/>
    <s v="Finalizado"/>
    <m/>
  </r>
  <r>
    <s v="018.26"/>
    <x v="5"/>
    <x v="4"/>
    <n v="448"/>
    <x v="67"/>
    <d v="2026-04-01T00:00:00"/>
    <n v="1122580"/>
    <s v="2810009 (1419)"/>
    <n v="9771"/>
    <s v="TELA T GRIS THERAPEUTIC GRIS PL  2,2M/180GR/A08996"/>
    <n v="2000"/>
    <n v="792"/>
    <n v="2.25"/>
    <n v="4500"/>
    <m/>
    <m/>
    <m/>
    <s v="proforma 18/03 - Entrega em maio"/>
    <s v="Finalizado"/>
    <m/>
  </r>
  <r>
    <s v="018.26"/>
    <x v="5"/>
    <x v="4"/>
    <n v="448"/>
    <x v="67"/>
    <d v="2026-04-01T00:00:00"/>
    <n v="1121110"/>
    <s v="2810005 (1422)"/>
    <n v="9771"/>
    <s v="TP FOLHA 240G 2,20L (1121110) DIVERSAS U"/>
    <n v="600"/>
    <n v="317"/>
    <n v="2.83"/>
    <n v="1698"/>
    <m/>
    <m/>
    <m/>
    <s v="proforma 18/03 - Entrega em maio"/>
    <s v="Finalizado"/>
    <m/>
  </r>
  <r>
    <s v="019.26"/>
    <x v="5"/>
    <x v="4"/>
    <n v="448"/>
    <x v="67"/>
    <d v="2026-06-01T00:00:00"/>
    <n v="1136968"/>
    <s v="2810014 (4848)"/>
    <n v="10299"/>
    <s v="TELA BLACK V.2 - 320 2,20 100% PES NEGRO Y BLANCO"/>
    <n v="500"/>
    <n v="352"/>
    <n v="4.4800000000000004"/>
    <n v="2240"/>
    <m/>
    <m/>
    <m/>
    <s v="Pedido 9772 CXLD x ajuste precios/ proforma 18/03 - Entrega em junho/"/>
    <s v="Finalizado"/>
    <s v="maq 52"/>
  </r>
  <r>
    <s v="019.26"/>
    <x v="5"/>
    <x v="4"/>
    <n v="448"/>
    <x v="67"/>
    <d v="2026-06-01T00:00:00"/>
    <n v="1122580"/>
    <s v="2810009 (1419)"/>
    <n v="10299"/>
    <s v="TELA T GRIS THERAPEUTIC GRIS PL  2,2M/180GR/A08996"/>
    <n v="2500"/>
    <n v="990"/>
    <n v="2.56"/>
    <n v="6400"/>
    <m/>
    <m/>
    <m/>
    <s v="Pedido 9772 CXLD x ajuste precios/ proforma 18/03 - Entrega em junho/"/>
    <s v="não iniciado"/>
    <s v="maq 41"/>
  </r>
  <r>
    <s v="019.26"/>
    <x v="5"/>
    <x v="4"/>
    <n v="448"/>
    <x v="67"/>
    <d v="2026-06-01T00:00:00"/>
    <n v="1129159"/>
    <s v="2810011 (3378)"/>
    <n v="10299"/>
    <s v="TELA T NATURAL BAMBOO PARADISE  2,2M/370GR/122034"/>
    <n v="500"/>
    <n v="407"/>
    <n v="5.52"/>
    <n v="2760"/>
    <m/>
    <m/>
    <m/>
    <s v="Pedido 9772 CXLD x ajuste precios/ proforma 18/03 - Entrega em junho/"/>
    <s v="Finalizado"/>
    <s v="maq 52"/>
  </r>
  <r>
    <s v="020.26"/>
    <x v="27"/>
    <x v="5"/>
    <n v="1832"/>
    <x v="68"/>
    <d v="2026-04-01T00:00:00"/>
    <s v="Brighton A09687&gt;A10420"/>
    <s v="3610003 (4918)"/>
    <n v="9776"/>
    <s v="ESTRUCTURA PREMIUM 360GSM  BLANCO Y BEIGE"/>
    <n v="2000"/>
    <n v="1584"/>
    <n v="4.68"/>
    <n v="9360"/>
    <m/>
    <m/>
    <m/>
    <s v="ok cliente - agrd cod prod totvs/OK"/>
    <s v="Entregado"/>
    <s v="maq 51 - 1971 mts"/>
  </r>
  <r>
    <s v="020.26"/>
    <x v="27"/>
    <x v="5"/>
    <n v="1832"/>
    <x v="68"/>
    <d v="2026-04-01T00:00:00"/>
    <s v="120 Gold 0558004"/>
    <s v="3610007 (4922)"/>
    <n v="9776"/>
    <s v="ESTRUCTURA PREMIUM 400GSM  BEIGE"/>
    <n v="2000"/>
    <n v="1760"/>
    <n v="6.8"/>
    <n v="13600"/>
    <m/>
    <m/>
    <m/>
    <s v="ok cliente - agrd cod prod totvs/OK"/>
    <s v="Entregado"/>
    <s v="maq 53? - 1636 mts"/>
  </r>
  <r>
    <s v="020.26"/>
    <x v="27"/>
    <x v="5"/>
    <n v="1832"/>
    <x v="68"/>
    <d v="2026-04-01T00:00:00"/>
    <s v="Kingsbury 0555004"/>
    <s v="3610002 (4917)"/>
    <n v="9776"/>
    <s v="ESTRUCTURA PREMIUM  280GSM BEIGE Y NEGRO"/>
    <n v="2000"/>
    <n v="1232"/>
    <n v="3.22"/>
    <n v="6440"/>
    <m/>
    <m/>
    <m/>
    <s v="ok cliente - agrd cod prod totvs/OK"/>
    <s v="Entregado"/>
    <s v="maq 51 - 1423mts"/>
  </r>
  <r>
    <s v="020.26"/>
    <x v="27"/>
    <x v="5"/>
    <n v="1832"/>
    <x v="68"/>
    <d v="2026-04-01T00:00:00"/>
    <s v="Kensignton 0403034"/>
    <s v="3610004 (4919)"/>
    <n v="9776"/>
    <s v="ESTRUCTURA PREMIUM 240GSM BLANCO Y LINO"/>
    <n v="2000"/>
    <n v="1056"/>
    <n v="3.34"/>
    <n v="6680"/>
    <m/>
    <m/>
    <m/>
    <s v="ok cliente - agrd cod prod totvs/OK"/>
    <s v="Entregado"/>
    <s v="maq 53 _- 2227mts"/>
  </r>
  <r>
    <s v="020.26"/>
    <x v="27"/>
    <x v="5"/>
    <n v="1832"/>
    <x v="68"/>
    <d v="2026-04-01T00:00:00"/>
    <s v="Bradford 0552001"/>
    <s v="3610001 (4916)"/>
    <n v="9776"/>
    <s v="ESTRUCTURA CM 280GSM ARENA Y NEGRO"/>
    <n v="3200"/>
    <n v="1971.2"/>
    <n v="3.05"/>
    <n v="9760"/>
    <m/>
    <m/>
    <m/>
    <s v="ok cliente - agrd cod prod totvs/OK"/>
    <s v="Entregado"/>
    <s v="maq 51 - 13-21/04  "/>
  </r>
  <r>
    <s v="020.26"/>
    <x v="27"/>
    <x v="5"/>
    <n v="1832"/>
    <x v="68"/>
    <d v="2026-04-01T00:00:00"/>
    <s v="Cabecera L1  A10418"/>
    <s v="3610006 (4921)"/>
    <n v="9776"/>
    <s v="ESTRUCTURA PL  180GSM BLANCO Y PERLA"/>
    <n v="5000"/>
    <n v="1890"/>
    <n v="1.78"/>
    <n v="8900"/>
    <m/>
    <m/>
    <m/>
    <s v="ok cliente - agrd cod prod totvs/OK"/>
    <s v="Entregado"/>
    <s v="maq 41    07/04-  17/04   3.500mts"/>
  </r>
  <r>
    <s v="020.26"/>
    <x v="27"/>
    <x v="5"/>
    <n v="1832"/>
    <x v="68"/>
    <d v="2026-04-01T00:00:00"/>
    <s v="Cabecera L2 0566001"/>
    <s v="3610005 (4920)"/>
    <n v="9776"/>
    <s v="ESTRUCTURA CM 220GSM GRIS PERLA"/>
    <n v="8000"/>
    <n v="3872"/>
    <n v="2.15"/>
    <n v="17200"/>
    <m/>
    <m/>
    <m/>
    <s v="ok cliente - agrd cod prod totvs/OK"/>
    <s v="Entregado"/>
    <s v="maq 44 -  ate 17/04  "/>
  </r>
  <r>
    <s v="023.26"/>
    <x v="15"/>
    <x v="2"/>
    <n v="996"/>
    <x v="69"/>
    <d v="2026-04-01T00:00:00"/>
    <s v="(74126) A10016"/>
    <s v="3260016 (4352)"/>
    <n v="9777"/>
    <s v="5 ESTRELLAS POR ELLAS-TP 0304002 280G 2,20L"/>
    <n v="800"/>
    <n v="493"/>
    <n v="2.33"/>
    <n v="1864"/>
    <m/>
    <m/>
    <m/>
    <m/>
    <s v="Finalizado"/>
    <d v="2026-05-04T00:00:00"/>
  </r>
  <r>
    <s v="023.26"/>
    <x v="15"/>
    <x v="2"/>
    <n v="996"/>
    <x v="69"/>
    <d v="2026-04-01T00:00:00"/>
    <s v="(80079) A10016-A &gt; A10230"/>
    <s v="3260017 (4351)"/>
    <n v="9777"/>
    <s v="BANDA 5 ESTRELLAS POR ELLAS-TP A10230 220G 2,20L"/>
    <n v="500"/>
    <n v="242"/>
    <n v="2.02"/>
    <n v="1010"/>
    <m/>
    <m/>
    <m/>
    <m/>
    <s v="Finalizado"/>
    <d v="2026-05-04T00:00:00"/>
  </r>
  <r>
    <s v="023.26"/>
    <x v="15"/>
    <x v="2"/>
    <n v="996"/>
    <x v="69"/>
    <d v="2026-04-01T00:00:00"/>
    <s v="(89923) 122054"/>
    <s v="3260015 (3578)"/>
    <n v="9777"/>
    <s v="3260015 TP 0122054 300G 2,20  (3578) - TP HOJA BAMBOO "/>
    <n v="500"/>
    <n v="330"/>
    <n v="3"/>
    <n v="1500"/>
    <m/>
    <m/>
    <m/>
    <m/>
    <s v="Finalizado"/>
    <d v="2026-05-04T00:00:00"/>
  </r>
  <r>
    <s v="023.26"/>
    <x v="15"/>
    <x v="2"/>
    <n v="996"/>
    <x v="69"/>
    <d v="2026-04-01T00:00:00"/>
    <s v="(89931) 3260014"/>
    <s v="3260014 (3398)"/>
    <n v="9777"/>
    <s v="PARAISO BAMBOO ORIGENES 240 2,20"/>
    <n v="1200"/>
    <n v="633.6"/>
    <n v="2.4"/>
    <n v="2880"/>
    <m/>
    <m/>
    <m/>
    <m/>
    <s v="Finalizado"/>
    <d v="2026-05-04T00:00:00"/>
  </r>
  <r>
    <s v="023.26"/>
    <x v="15"/>
    <x v="2"/>
    <n v="996"/>
    <x v="69"/>
    <d v="2026-04-01T00:00:00"/>
    <s v="(74502) A09741"/>
    <s v="3260002 (2584)"/>
    <n v="9777"/>
    <s v="5 ESTRELLAS AZUL (A09741) 200 2,20"/>
    <n v="500"/>
    <n v="403"/>
    <n v="2.1800000000000002"/>
    <n v="1090"/>
    <m/>
    <m/>
    <m/>
    <m/>
    <s v="Finalizado"/>
    <d v="2026-04-23T00:00:00"/>
  </r>
  <r>
    <s v="021.26"/>
    <x v="14"/>
    <x v="3"/>
    <n v="1034"/>
    <x v="68"/>
    <d v="2026-04-01T00:00:00"/>
    <n v="3030056"/>
    <s v="3030056 (3148)"/>
    <n v="9778"/>
    <s v="COLOR ARENA CM 3030056"/>
    <n v="1000"/>
    <n v="396"/>
    <n v="2.06"/>
    <n v="2060"/>
    <m/>
    <m/>
    <m/>
    <m/>
    <s v="Entregado"/>
    <s v="maq 50  - 1405mts Expedic"/>
  </r>
  <r>
    <s v="021.26"/>
    <x v="14"/>
    <x v="3"/>
    <n v="1034"/>
    <x v="68"/>
    <d v="2026-04-01T00:00:00"/>
    <n v="3030033"/>
    <s v="3030033 (3131)"/>
    <n v="9778"/>
    <s v="BLANCO Y NEGRO CF 30033"/>
    <n v="1200"/>
    <n v="475.2"/>
    <n v="1.44"/>
    <n v="1728"/>
    <m/>
    <m/>
    <m/>
    <m/>
    <s v="Entregado"/>
    <s v="maq 02 - 18-28/04 - 500 mts Exped"/>
  </r>
  <r>
    <s v="021.26"/>
    <x v="14"/>
    <x v="3"/>
    <n v="1034"/>
    <x v="68"/>
    <d v="2026-04-01T00:00:00"/>
    <n v="3030024"/>
    <s v="3030024 (4323)"/>
    <n v="9778"/>
    <s v="MODELO GRIS OSCURO CF 95002"/>
    <n v="500"/>
    <n v="200"/>
    <n v="2.13"/>
    <n v="1065"/>
    <m/>
    <m/>
    <m/>
    <m/>
    <s v="Entregado"/>
    <s v="maq 40 -  657 mts"/>
  </r>
  <r>
    <s v="021.26"/>
    <x v="14"/>
    <x v="3"/>
    <n v="1034"/>
    <x v="68"/>
    <d v="2026-04-01T00:00:00"/>
    <n v="3030040"/>
    <s v="3030040 (3135)"/>
    <n v="9778"/>
    <s v="BANDA NEGRA - MODELO PLANO "/>
    <n v="500"/>
    <n v="180"/>
    <n v="1.6"/>
    <n v="800"/>
    <m/>
    <m/>
    <m/>
    <m/>
    <s v="Entregado"/>
    <s v="maq 16 -   524 mts"/>
  </r>
  <r>
    <s v="021.26"/>
    <x v="14"/>
    <x v="3"/>
    <n v="1034"/>
    <x v="68"/>
    <d v="2026-04-01T00:00:00"/>
    <n v="3030048"/>
    <s v="3030048 (2418)"/>
    <n v="9778"/>
    <s v="BLANCO Y BEIGE 30048"/>
    <n v="500"/>
    <n v="210"/>
    <n v="2.2799999999999998"/>
    <n v="1140"/>
    <m/>
    <m/>
    <m/>
    <m/>
    <s v="Entregado"/>
    <s v="maq 06 - 20/04  499mts"/>
  </r>
  <r>
    <s v="021.26"/>
    <x v="14"/>
    <x v="3"/>
    <n v="1034"/>
    <x v="68"/>
    <d v="2026-04-01T00:00:00"/>
    <n v="3030013"/>
    <s v="3030013 (3500)"/>
    <n v="9778"/>
    <s v="BLUE JASMIN A09270  - 3030013"/>
    <n v="1000"/>
    <n v="440"/>
    <n v="1.7"/>
    <n v="1700"/>
    <m/>
    <m/>
    <m/>
    <m/>
    <s v="Entregado"/>
    <s v="maq 40 - 10-13/04  -1043mts"/>
  </r>
  <r>
    <s v="021.26"/>
    <x v="14"/>
    <x v="3"/>
    <n v="1034"/>
    <x v="68"/>
    <d v="2026-04-01T00:00:00"/>
    <n v="3030026"/>
    <s v="3030026 (3131)"/>
    <n v="9778"/>
    <s v="BLANCO Y NEGRO CM 16055"/>
    <n v="500"/>
    <n v="170"/>
    <n v="1.81"/>
    <n v="905"/>
    <m/>
    <m/>
    <m/>
    <m/>
    <s v="Entregado"/>
    <s v="maq 46  - 14-20/04 -  531 mts"/>
  </r>
  <r>
    <s v="021.26"/>
    <x v="14"/>
    <x v="3"/>
    <n v="1034"/>
    <x v="68"/>
    <d v="2026-04-01T00:00:00"/>
    <n v="3030044"/>
    <s v="3030044 (2433)"/>
    <n v="9778"/>
    <s v="MARFIL Y BLANCO 3030044"/>
    <n v="800"/>
    <n v="268.8"/>
    <n v="2.2000000000000002"/>
    <n v="1760.0000000000002"/>
    <m/>
    <m/>
    <m/>
    <m/>
    <s v="Entregado"/>
    <s v="maq 02 - 16-20/04  - 568Mts"/>
  </r>
  <r>
    <s v="021.26"/>
    <x v="14"/>
    <x v="3"/>
    <n v="1034"/>
    <x v="68"/>
    <d v="2026-04-01T00:00:00"/>
    <n v="3030039"/>
    <s v="3030039 (2428)"/>
    <n v="9778"/>
    <s v="BLANCO Y MARRON 3030039"/>
    <n v="500"/>
    <n v="168"/>
    <n v="2.2000000000000002"/>
    <n v="1100"/>
    <m/>
    <m/>
    <m/>
    <m/>
    <s v="Entregado"/>
    <s v="maq 23 - 13-21/04 - 497 mts"/>
  </r>
  <r>
    <s v="021.26"/>
    <x v="14"/>
    <x v="3"/>
    <n v="1034"/>
    <x v="68"/>
    <d v="2026-04-01T00:00:00"/>
    <n v="3030060"/>
    <s v="3030060 (3504)"/>
    <n v="9778"/>
    <s v="TP M A09956 BANDA CAQUI 3030060"/>
    <n v="600"/>
    <n v="226.8"/>
    <n v="1.5"/>
    <n v="900"/>
    <m/>
    <m/>
    <m/>
    <m/>
    <s v="Entregado"/>
    <s v="maq 09 - 06-14/04   - 554mts"/>
  </r>
  <r>
    <s v="016.26 Rv2"/>
    <x v="8"/>
    <x v="5"/>
    <n v="1575"/>
    <x v="70"/>
    <d v="2026-04-01T00:00:00"/>
    <s v="0010181/   3520003"/>
    <s v="4092  / 3520003"/>
    <n v="9942"/>
    <s v="TELA CASEROS MODELO ABSTRACTO 180G 2,20"/>
    <n v="2000"/>
    <n v="792"/>
    <n v="1.77"/>
    <n v="3540"/>
    <m/>
    <m/>
    <m/>
    <s v="OK 07/04"/>
    <s v="Finalizado"/>
    <d v="2026-05-15T00:00:00"/>
  </r>
  <r>
    <s v="016.26 Rv2"/>
    <x v="8"/>
    <x v="5"/>
    <n v="1575"/>
    <x v="70"/>
    <d v="2026-04-01T00:00:00"/>
    <s v="0074161/   3520001"/>
    <s v="4094  / 3520001"/>
    <n v="9942"/>
    <s v="TELA CASEROS MODELO DOTS 180G 2,20"/>
    <n v="1000"/>
    <n v="396"/>
    <n v="1.77"/>
    <n v="1770"/>
    <m/>
    <m/>
    <m/>
    <s v="OK 07/04"/>
    <s v="Finalizado"/>
    <s v="Atraso - 15/5- acabamento "/>
  </r>
  <r>
    <s v="016.26 Rv2"/>
    <x v="8"/>
    <x v="5"/>
    <n v="1575"/>
    <x v="70"/>
    <d v="2026-04-01T00:00:00"/>
    <s v="0514044)/   3520006"/>
    <s v="4955  /  3520006"/>
    <n v="9942"/>
    <s v="TELA CARA NEGRA AMARRE BLANCO, RELLENO NEGRO 220 2,20"/>
    <n v="1000"/>
    <n v="484"/>
    <n v="2.63"/>
    <n v="2630"/>
    <m/>
    <m/>
    <m/>
    <s v="OK 07/04"/>
    <s v="Finalizado"/>
    <d v="2026-05-15T00:00:00"/>
  </r>
  <r>
    <s v="016.26 Rv2"/>
    <x v="8"/>
    <x v="5"/>
    <n v="1575"/>
    <x v="70"/>
    <d v="2026-04-01T00:00:00"/>
    <s v="0454034/   3520005"/>
    <s v="4954  / 3520005"/>
    <n v="9942"/>
    <s v="TELA ARENA, GRIS, BLANCO-BIODRESS S/LOGO 280 2,20"/>
    <n v="1000"/>
    <n v="616"/>
    <n v="3.89"/>
    <n v="3890"/>
    <m/>
    <m/>
    <m/>
    <s v="OK 07/04"/>
    <s v="Finalizado"/>
    <d v="2026-05-15T00:00:00"/>
  </r>
  <r>
    <s v="016.26 Rv2"/>
    <x v="8"/>
    <x v="5"/>
    <n v="1575"/>
    <x v="70"/>
    <d v="2026-04-01T00:00:00"/>
    <s v="0092193/   3520004"/>
    <s v="4159  / 3520004"/>
    <n v="9942"/>
    <s v="3520004   -TP ML 0092193 160Gr 2,10 L"/>
    <n v="2000"/>
    <n v="336"/>
    <n v="1.77"/>
    <n v="3540"/>
    <m/>
    <m/>
    <m/>
    <s v="OK 07/04"/>
    <s v="Finalizado"/>
    <d v="2026-05-15T00:00:00"/>
  </r>
  <r>
    <s v="022.26 Rev2"/>
    <x v="13"/>
    <x v="0"/>
    <n v="534"/>
    <x v="71"/>
    <d v="2026-04-01T00:00:00"/>
    <n v="2940090"/>
    <n v="4952"/>
    <n v="9802"/>
    <s v="2940090 TP ML 0148081 180G 2,20L - 7175"/>
    <n v="500"/>
    <n v="198"/>
    <n v="1.96"/>
    <n v="980"/>
    <m/>
    <m/>
    <m/>
    <s v="100% PES CARA MEZCLA, AMARRE NEGRO"/>
    <s v="Entregado"/>
    <d v="2026-04-29T00:00:00"/>
  </r>
  <r>
    <s v="022.26 Rev2"/>
    <x v="13"/>
    <x v="0"/>
    <n v="534"/>
    <x v="71"/>
    <d v="2026-04-01T00:00:00"/>
    <n v="2940089"/>
    <n v="4951"/>
    <n v="9802"/>
    <s v="2940089 TP ML 0149111 180G 2,20L - 7176"/>
    <n v="500"/>
    <n v="198"/>
    <n v="1.92"/>
    <n v="960"/>
    <m/>
    <m/>
    <m/>
    <s v="100% PES CARA MEZCLA, AMARRE BLANCO Y NEGRO"/>
    <s v="Entregado"/>
    <d v="2026-04-29T00:00:00"/>
  </r>
  <r>
    <s v="022.26 Rev2"/>
    <x v="13"/>
    <x v="0"/>
    <n v="534"/>
    <x v="71"/>
    <d v="2026-04-01T00:00:00"/>
    <n v="2940088"/>
    <n v="4950"/>
    <n v="9802"/>
    <s v="2940088 TP ML 0157001 180G 2,20L - 7177"/>
    <n v="500"/>
    <n v="198"/>
    <n v="1.91"/>
    <n v="955"/>
    <m/>
    <m/>
    <m/>
    <s v="100% PES GRIS"/>
    <s v="Entregado"/>
    <d v="2026-04-29T00:00:00"/>
  </r>
  <r>
    <s v="022.26 Rev2"/>
    <x v="13"/>
    <x v="0"/>
    <n v="534"/>
    <x v="71"/>
    <d v="2026-04-01T00:00:00"/>
    <n v="2940087"/>
    <n v="4949"/>
    <n v="9802"/>
    <s v="2940087 TP ML 0239031 180G 2,20L - 7178"/>
    <n v="500"/>
    <n v="198"/>
    <n v="1.91"/>
    <n v="955"/>
    <m/>
    <m/>
    <m/>
    <s v="100% PES BLANCO"/>
    <s v="Entregado"/>
    <d v="2026-04-29T00:00:00"/>
  </r>
  <r>
    <s v="022.26 Rev2"/>
    <x v="13"/>
    <x v="0"/>
    <n v="534"/>
    <x v="71"/>
    <d v="2026-04-01T00:00:00"/>
    <n v="2940086"/>
    <n v="4948"/>
    <n v="9802"/>
    <s v="2940086 TP ML 0240031 180G 2,20L - 7179"/>
    <n v="500"/>
    <n v="198"/>
    <n v="1.95"/>
    <n v="975"/>
    <m/>
    <m/>
    <m/>
    <s v="100% PESNEGRO Y RIS"/>
    <s v="Entregado"/>
    <d v="2026-04-29T00:00:00"/>
  </r>
  <r>
    <s v="022.26 Rev2"/>
    <x v="13"/>
    <x v="0"/>
    <n v="534"/>
    <x v="71"/>
    <d v="2026-04-01T00:00:00"/>
    <n v="2940091"/>
    <n v="4956"/>
    <n v="9802"/>
    <s v="2940091 TP ML 0246001 180G 2,20L - 7231"/>
    <n v="500"/>
    <n v="198"/>
    <n v="1.92"/>
    <n v="960"/>
    <m/>
    <m/>
    <m/>
    <s v="100% PES BLANCO Y GRIS"/>
    <s v="Entregado"/>
    <d v="2026-04-29T00:00:00"/>
  </r>
  <r>
    <s v="022.26 Rev2"/>
    <x v="13"/>
    <x v="0"/>
    <n v="534"/>
    <x v="71"/>
    <d v="2026-04-01T00:00:00"/>
    <n v="2940085"/>
    <n v="4947"/>
    <n v="9802"/>
    <s v="2940085 TP ML 0251021 180G 2,20L - 7181"/>
    <n v="500"/>
    <n v="198"/>
    <n v="2.0099999999999998"/>
    <n v="1004.9999999999999"/>
    <m/>
    <m/>
    <m/>
    <s v="100% PES AZUL MARINO"/>
    <s v="Entregado"/>
    <d v="2026-04-29T00:00:00"/>
  </r>
  <r>
    <s v="022.26 Rev2"/>
    <x v="13"/>
    <x v="0"/>
    <n v="534"/>
    <x v="71"/>
    <d v="2026-04-01T00:00:00"/>
    <n v="2940082"/>
    <n v="4944"/>
    <n v="9802"/>
    <s v="2940082 TP ML 0260011 180G 2,20L - 7182"/>
    <n v="500"/>
    <n v="198"/>
    <n v="2.04"/>
    <n v="1020"/>
    <m/>
    <m/>
    <m/>
    <s v="100% PES CARA AZUL MARINO AMARRE NEGRO"/>
    <s v="Entregado"/>
    <d v="2026-04-29T00:00:00"/>
  </r>
  <r>
    <s v="022.26 Rev2"/>
    <x v="13"/>
    <x v="0"/>
    <n v="534"/>
    <x v="71"/>
    <d v="2026-04-01T00:00:00"/>
    <n v="2940081"/>
    <n v="4943"/>
    <n v="9802"/>
    <s v="2940081 TP ML 0262031 180G 2,20L - 7183"/>
    <n v="500"/>
    <n v="198"/>
    <n v="1.92"/>
    <n v="960"/>
    <m/>
    <m/>
    <m/>
    <s v="100% PES GRIS"/>
    <s v="Entregado"/>
    <d v="2026-04-29T00:00:00"/>
  </r>
  <r>
    <s v="022.26 Rev2"/>
    <x v="13"/>
    <x v="0"/>
    <n v="534"/>
    <x v="71"/>
    <d v="2026-04-01T00:00:00"/>
    <n v="2940080"/>
    <n v="4942"/>
    <n v="9802"/>
    <s v="2940080 TP ML 0264011 180G 2,20L - 7184"/>
    <n v="500"/>
    <n v="198"/>
    <n v="1.92"/>
    <n v="960"/>
    <m/>
    <m/>
    <m/>
    <s v="100% PES CARA MEZCLA AMARRE NEGRO"/>
    <s v="Entregado"/>
    <d v="2026-04-29T00:00:00"/>
  </r>
  <r>
    <s v="022.26 Rev2"/>
    <x v="13"/>
    <x v="0"/>
    <n v="534"/>
    <x v="71"/>
    <d v="2026-04-01T00:00:00"/>
    <n v="2940079"/>
    <n v="4941"/>
    <n v="9802"/>
    <s v="2940079 TP ML 0269021 180G 2,20L - 7185"/>
    <n v="500"/>
    <n v="198"/>
    <n v="1.88"/>
    <n v="940"/>
    <m/>
    <m/>
    <m/>
    <s v="100% PES CARA MEZCLA AMARRE BLANCO"/>
    <s v="Entregado"/>
    <d v="2026-04-29T00:00:00"/>
  </r>
  <r>
    <s v="022.26 Rev2"/>
    <x v="13"/>
    <x v="0"/>
    <n v="534"/>
    <x v="71"/>
    <d v="2026-04-01T00:00:00"/>
    <n v="2940078"/>
    <n v="4940"/>
    <n v="9802"/>
    <s v="2940078 TP ML 0269021 180G 2,20L - 7186"/>
    <n v="500"/>
    <n v="198"/>
    <n v="2.0099999999999998"/>
    <n v="1004.9999999999999"/>
    <m/>
    <m/>
    <m/>
    <s v="100% PES AZUL MARINO"/>
    <s v="Entregado"/>
    <s v="29/04/2026 - maq 46"/>
  </r>
  <r>
    <s v="022.26 Rev2"/>
    <x v="13"/>
    <x v="0"/>
    <n v="534"/>
    <x v="71"/>
    <d v="2026-04-01T00:00:00"/>
    <n v="2940084"/>
    <n v="4946"/>
    <n v="9802"/>
    <s v="2940084 TP ML 0399041 180G 2,20L - 7230"/>
    <n v="500"/>
    <n v="198"/>
    <n v="1.92"/>
    <n v="960"/>
    <m/>
    <m/>
    <m/>
    <s v="100% PES BLANCO Y GRIS"/>
    <s v="Entregado"/>
    <d v="2026-04-29T00:00:00"/>
  </r>
  <r>
    <s v="022.26 Rev2"/>
    <x v="13"/>
    <x v="0"/>
    <n v="534"/>
    <x v="71"/>
    <d v="2026-04-01T00:00:00"/>
    <n v="2940076"/>
    <n v="4938"/>
    <n v="9802"/>
    <s v="2940076 TP ML 0416091 180G 2,20L - 7189"/>
    <n v="500"/>
    <n v="198"/>
    <n v="1.92"/>
    <n v="960"/>
    <m/>
    <m/>
    <m/>
    <s v="100% PES BLANCO"/>
    <s v="Entregado"/>
    <d v="2026-04-29T00:00:00"/>
  </r>
  <r>
    <s v="022.26 Rev2"/>
    <x v="13"/>
    <x v="0"/>
    <n v="534"/>
    <x v="71"/>
    <d v="2026-04-01T00:00:00"/>
    <n v="2940075"/>
    <n v="4937"/>
    <n v="9802"/>
    <s v="2940075 TP ML 0418041 180G 2,20L - 7190 "/>
    <n v="500"/>
    <n v="198"/>
    <n v="1.91"/>
    <n v="955"/>
    <m/>
    <m/>
    <m/>
    <s v="100% PES BLANCO"/>
    <s v="Entregado"/>
    <d v="2026-04-29T00:00:00"/>
  </r>
  <r>
    <s v="022.26 Rev2"/>
    <x v="13"/>
    <x v="0"/>
    <n v="534"/>
    <x v="71"/>
    <d v="2026-04-01T00:00:00"/>
    <n v="2940074"/>
    <n v="4936"/>
    <n v="9802"/>
    <s v="2940074 TP ML 0434001 180G 2,20L - 7191"/>
    <n v="500"/>
    <n v="198"/>
    <n v="1.88"/>
    <n v="940"/>
    <m/>
    <m/>
    <m/>
    <s v="100% PES MEZCLA Y BLANCO"/>
    <s v="Entregado"/>
    <d v="2026-04-29T00:00:00"/>
  </r>
  <r>
    <s v="022.26 Rev2"/>
    <x v="13"/>
    <x v="0"/>
    <n v="534"/>
    <x v="71"/>
    <d v="2026-04-01T00:00:00"/>
    <n v="2940083"/>
    <n v="4945"/>
    <n v="9802"/>
    <s v="2940083 TP ML 0446031 180G 2,20L - 7229"/>
    <n v="500"/>
    <n v="198"/>
    <n v="1.92"/>
    <n v="960"/>
    <m/>
    <m/>
    <m/>
    <s v="100% PES BLANCO Y GRIS"/>
    <s v="Entregado"/>
    <d v="2026-04-29T00:00:00"/>
  </r>
  <r>
    <s v="022.26 Rev2"/>
    <x v="13"/>
    <x v="0"/>
    <n v="534"/>
    <x v="71"/>
    <d v="2026-04-01T00:00:00"/>
    <n v="2940073"/>
    <n v="4932"/>
    <n v="9802"/>
    <s v="2940073 TP ML 0486001 180G 2,20L - 7228"/>
    <n v="500"/>
    <n v="198"/>
    <n v="1.92"/>
    <n v="960"/>
    <m/>
    <m/>
    <m/>
    <s v="100% PES BLANCO Y GRIS"/>
    <s v="Entregado"/>
    <d v="2026-04-29T00:00:00"/>
  </r>
  <r>
    <s v="022.26 Rev2"/>
    <x v="13"/>
    <x v="0"/>
    <n v="534"/>
    <x v="71"/>
    <d v="2026-04-01T00:00:00"/>
    <n v="2940072"/>
    <n v="4931"/>
    <n v="9802"/>
    <s v="2940072 TP ML 0488001 180G 2,20L - 7194"/>
    <n v="500"/>
    <n v="198"/>
    <n v="1.95"/>
    <n v="975"/>
    <m/>
    <m/>
    <m/>
    <s v="100% PES CARA GRIS AMARRE NEGRO"/>
    <s v="Entregado"/>
    <d v="2026-04-29T00:00:00"/>
  </r>
  <r>
    <s v="022.26 Rev2"/>
    <x v="13"/>
    <x v="0"/>
    <n v="534"/>
    <x v="71"/>
    <d v="2026-04-01T00:00:00"/>
    <n v="2940071"/>
    <n v="4930"/>
    <n v="9802"/>
    <s v="2940071 TP ML 0513001 180G 2,20L - 7195"/>
    <n v="500"/>
    <n v="198"/>
    <n v="1.94"/>
    <n v="970"/>
    <m/>
    <m/>
    <m/>
    <s v="100% PES ARENA"/>
    <s v="Entregado"/>
    <d v="2026-04-29T00:00:00"/>
  </r>
  <r>
    <s v="022.26 Rev2"/>
    <x v="13"/>
    <x v="0"/>
    <n v="534"/>
    <x v="71"/>
    <d v="2026-04-01T00:00:00"/>
    <n v="2940070"/>
    <n v="4929"/>
    <n v="9802"/>
    <s v="2940070 TP ML 0514001 180G 2,20L - 7196"/>
    <n v="500"/>
    <n v="198"/>
    <n v="1.93"/>
    <n v="965"/>
    <m/>
    <m/>
    <m/>
    <s v="100% PES CARA GRIS AMARRE BLANCO"/>
    <s v="Entregado"/>
    <d v="2026-04-29T00:00:00"/>
  </r>
  <r>
    <s v="022.26 Rev2"/>
    <x v="13"/>
    <x v="0"/>
    <n v="534"/>
    <x v="71"/>
    <d v="2026-04-01T00:00:00"/>
    <n v="2940069"/>
    <n v="4928"/>
    <n v="9802"/>
    <s v="2940069 TP ML 0515011 180G 2,20L  - 7227"/>
    <n v="500"/>
    <n v="198"/>
    <n v="1.92"/>
    <n v="960"/>
    <m/>
    <m/>
    <m/>
    <s v="100% PES BLANCO Y GRIS"/>
    <s v="Entregado"/>
    <d v="2026-04-29T00:00:00"/>
  </r>
  <r>
    <s v="022.26 Rev2"/>
    <x v="13"/>
    <x v="0"/>
    <n v="534"/>
    <x v="71"/>
    <d v="2026-04-01T00:00:00"/>
    <n v="2940068"/>
    <n v="4927"/>
    <n v="9802"/>
    <s v="2940068 TP ML 0521051 180G 2,20L - 7198"/>
    <n v="500"/>
    <n v="198"/>
    <n v="1.93"/>
    <n v="965"/>
    <m/>
    <m/>
    <m/>
    <s v="100% PES GRIS"/>
    <s v="Entregado"/>
    <d v="2026-04-29T00:00:00"/>
  </r>
  <r>
    <s v="022.26 Rev2"/>
    <x v="13"/>
    <x v="0"/>
    <n v="534"/>
    <x v="71"/>
    <d v="2026-04-01T00:00:00"/>
    <n v="2940077"/>
    <n v="4939"/>
    <n v="9802"/>
    <s v="2940077 TP ML 0302041 180G 2,20L - 7188"/>
    <n v="500"/>
    <n v="198"/>
    <n v="1.92"/>
    <n v="960"/>
    <m/>
    <m/>
    <m/>
    <s v="100% PES CARA ARENA AMARRE BLANCO"/>
    <s v="Entregado"/>
    <d v="2026-04-29T00:00:00"/>
  </r>
  <r>
    <s v="024.26"/>
    <x v="28"/>
    <x v="5"/>
    <n v="2138"/>
    <x v="72"/>
    <d v="2026-04-01T00:00:00"/>
    <s v="TF7218&gt;A10466&gt;3630003"/>
    <n v="4959"/>
    <n v="9939"/>
    <s v="400 2,30 PES/PE CM BLANCO - COOLING"/>
    <n v="1500"/>
    <n v="1380"/>
    <n v="7.6"/>
    <n v="11400"/>
    <m/>
    <m/>
    <m/>
    <s v="3D com CR"/>
    <s v="Finalizado"/>
    <s v="maq 52 - 305 pending Acabamento"/>
  </r>
  <r>
    <s v="024.26"/>
    <x v="28"/>
    <x v="5"/>
    <n v="2138"/>
    <x v="72"/>
    <d v="2026-04-01T00:00:00"/>
    <s v="TF7220&gt;A10467&gt;3630002"/>
    <n v="4958"/>
    <n v="9939"/>
    <s v="180 2,20 100% PES CM BLANCO BRILLANTE"/>
    <n v="1500"/>
    <n v="594"/>
    <n v="2.14"/>
    <n v="3210"/>
    <m/>
    <m/>
    <m/>
    <s v="3D com CR"/>
    <s v="Finalizado"/>
    <s v="05/05/2026 - 9 peças sem etiqueta"/>
  </r>
  <r>
    <s v="024.26"/>
    <x v="28"/>
    <x v="5"/>
    <n v="2138"/>
    <x v="72"/>
    <d v="2026-04-01T00:00:00"/>
    <s v="TF7223&gt;A03174&gt;3630001"/>
    <n v="4957"/>
    <n v="9939"/>
    <s v="200 2,20 100% PES CM BLANCO"/>
    <n v="1500"/>
    <n v="660"/>
    <n v="2.31"/>
    <n v="3465"/>
    <m/>
    <m/>
    <m/>
    <s v="3D com CR"/>
    <s v="Finalizado"/>
    <s v="1106 mts em exped"/>
  </r>
  <r>
    <s v="025.26"/>
    <x v="18"/>
    <x v="0"/>
    <n v="1897"/>
    <x v="73"/>
    <d v="2026-05-01T00:00:00"/>
    <s v="(id7409) A10053&gt; 3370011"/>
    <s v="3760 &gt; 3162"/>
    <n v="10169"/>
    <s v="3370011 TP ML A10053 180G 2,10L  PL GRIS PERLA"/>
    <n v="2500"/>
    <n v="945"/>
    <n v="1.96"/>
    <n v="4900"/>
    <m/>
    <m/>
    <m/>
    <m/>
    <s v="Atraso"/>
    <d v="2026-06-03T00:00:00"/>
  </r>
  <r>
    <s v="025.26"/>
    <x v="18"/>
    <x v="0"/>
    <n v="1897"/>
    <x v="73"/>
    <d v="2026-05-01T00:00:00"/>
    <s v="0536016 &gt; 3370012"/>
    <n v="5045"/>
    <n v="10169"/>
    <s v="TELA GRIS PERLA 180G 2,10 100% PES  PL"/>
    <n v="1000"/>
    <n v="378"/>
    <n v="1.82"/>
    <n v="1820"/>
    <m/>
    <m/>
    <m/>
    <m/>
    <s v="Finalizado"/>
    <d v="2026-05-16T00:00:00"/>
  </r>
  <r>
    <s v="025.26"/>
    <x v="18"/>
    <x v="0"/>
    <n v="1897"/>
    <x v="73"/>
    <d v="2026-05-01T00:00:00"/>
    <n v="3370005"/>
    <n v="2206"/>
    <n v="10169"/>
    <s v="Favo Blanco / 3370005 TP ML BOL 180G 2,20L DIVERSAS U"/>
    <n v="1500"/>
    <n v="594"/>
    <n v="1.98"/>
    <n v="2970"/>
    <m/>
    <m/>
    <m/>
    <m/>
    <s v="Finalizado"/>
    <d v="2026-07-15T00:00:00"/>
  </r>
  <r>
    <s v="026.26"/>
    <x v="29"/>
    <x v="8"/>
    <n v="2171"/>
    <x v="74"/>
    <d v="2026-08-01T00:00:00"/>
    <s v="7461/ 0269121"/>
    <s v="3390013 (5055)"/>
    <n v="10310"/>
    <s v="220G 2,20 100% PES CM BLANCO Y PERLA"/>
    <n v="4000"/>
    <n v="1936"/>
    <n v="2.0099999999999998"/>
    <n v="8039.9999999999991"/>
    <m/>
    <m/>
    <m/>
    <m/>
    <s v="produzindo"/>
    <d v="2026-07-15T00:00:00"/>
  </r>
  <r>
    <s v="026.26"/>
    <x v="29"/>
    <x v="8"/>
    <n v="2171"/>
    <x v="74"/>
    <d v="2026-08-01T00:00:00"/>
    <s v="7452/ 0066041"/>
    <s v="3390014 (5056)"/>
    <n v="10310"/>
    <s v="220G 2,20 100% PES CM BLANCO Y AZUL"/>
    <n v="5000"/>
    <n v="2420"/>
    <n v="2.0099999999999998"/>
    <n v="10049.999999999998"/>
    <m/>
    <m/>
    <m/>
    <m/>
    <s v="produzindo"/>
    <d v="2026-07-15T00:00:00"/>
  </r>
  <r>
    <s v="026.26"/>
    <x v="29"/>
    <x v="8"/>
    <n v="2171"/>
    <x v="74"/>
    <d v="2026-08-01T00:00:00"/>
    <s v="7453 / A10496"/>
    <s v="3390015 (5057)"/>
    <n v="10310"/>
    <s v=""/>
    <m/>
    <n v="2268"/>
    <n v="1.65"/>
    <n v="0"/>
    <m/>
    <m/>
    <m/>
    <s v="Banda eliminada 01/07/2026"/>
    <s v="produzindo"/>
    <d v="2026-07-15T00:00:00"/>
  </r>
  <r>
    <s v="026.26"/>
    <x v="29"/>
    <x v="8"/>
    <n v="2171"/>
    <x v="74"/>
    <d v="2026-08-01T00:00:00"/>
    <s v="7417 / A10497&gt; A10519"/>
    <s v="3390016 (5058)"/>
    <n v="10310"/>
    <s v="280G 2,20 100% PES CM AZUL MARINO (DARK)"/>
    <n v="3000"/>
    <n v="1848"/>
    <n v="3.92"/>
    <n v="11760"/>
    <m/>
    <m/>
    <m/>
    <s v="Item alterado (3000mts) por divergencia de diseño, color y estructura/versión final sin morado"/>
    <s v="Atraso"/>
    <d v="2026-07-31T00:00:00"/>
  </r>
  <r>
    <s v="027.26"/>
    <x v="23"/>
    <x v="3"/>
    <n v="2049"/>
    <x v="75"/>
    <d v="2026-06-01T00:00:00"/>
    <s v="LA003 &gt;A10402"/>
    <s v="4773 - 3590009"/>
    <n v="10308"/>
    <s v="200 2,10 100% PES CM NEGRO Fire-Retardant s/ Logo  "/>
    <n v="2000"/>
    <n v="840"/>
    <n v="4.9800000000000004"/>
    <n v="9960"/>
    <m/>
    <m/>
    <m/>
    <s v="Combinado de manter preço"/>
    <s v="programado"/>
    <d v="2026-06-15T00:00:00"/>
  </r>
  <r>
    <s v="028.26"/>
    <x v="4"/>
    <x v="3"/>
    <n v="316"/>
    <x v="76"/>
    <d v="2026-06-01T00:00:00"/>
    <n v="32282"/>
    <n v="1523"/>
    <n v="10309"/>
    <s v="TELA ANTIDESLIZANTE CONEXÃO (MATERIAL REVENDA)"/>
    <n v="8000"/>
    <n v="2592"/>
    <n v="1.75"/>
    <n v="14000"/>
    <m/>
    <m/>
    <m/>
    <s v="material de revenda -"/>
    <s v="Mat Revenda"/>
    <d v="2026-06-24T00:00:00"/>
  </r>
  <r>
    <s v="030.26"/>
    <x v="30"/>
    <x v="9"/>
    <n v="1164"/>
    <x v="77"/>
    <d v="2026-05-01T00:00:00"/>
    <s v="CL2 DV"/>
    <n v="1706"/>
    <n v="10344"/>
    <s v="Lot Closeout - 2nd quality - 44.000 m &gt; CUBA  **separar /coord coleta"/>
    <n v="44000"/>
    <n v="14256"/>
    <n v="1.54"/>
    <n v="67760"/>
    <m/>
    <m/>
    <m/>
    <s v="Lot Closeout 40K mts ($72.000,40) pay to Jingmei"/>
    <s v="coletar"/>
    <d v="2026-06-22T00:00:00"/>
  </r>
  <r>
    <s v="031.26"/>
    <x v="4"/>
    <x v="3"/>
    <n v="316"/>
    <x v="78"/>
    <d v="2026-06-01T00:00:00"/>
    <n v="2540037"/>
    <n v="5176"/>
    <n v="10529"/>
    <s v="CAMBIO / Tela Cool Touch A09792 &gt;A10518 460G 2,20L"/>
    <n v="1000"/>
    <n v="858"/>
    <n v="7.91"/>
    <n v="7910"/>
    <m/>
    <m/>
    <m/>
    <s v="Item alterado / Actualizar precio/ OK"/>
    <s v="produzindo"/>
    <s v="22/6 malha"/>
  </r>
  <r>
    <s v="032.26"/>
    <x v="12"/>
    <x v="4"/>
    <n v="1372"/>
    <x v="79"/>
    <d v="2026-06-01T00:00:00"/>
    <s v="BR Platinum A09686"/>
    <s v="2860014  (3276)"/>
    <n v="10497"/>
    <s v="2860014 TP ML A09686 370G DIV U"/>
    <n v="500"/>
    <n v="407"/>
    <n v="7.1"/>
    <n v="3550"/>
    <m/>
    <m/>
    <m/>
    <m/>
    <s v="Finalizado"/>
    <d v="2026-07-10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x v="0"/>
    <x v="0"/>
    <x v="0"/>
    <m/>
    <d v="2025-02-13T00:00:00"/>
    <x v="0"/>
    <n v="357001"/>
    <s v="NA"/>
    <s v="NA"/>
    <s v="Tela Artic Breeze - Fria / Blanca e Azul"/>
    <m/>
    <m/>
    <m/>
    <n v="8578.5"/>
    <s v="Severiano Melgar"/>
    <s v="jefecompras@colchonesheaven.com"/>
    <s v="591 78516162"/>
    <s v=" Entrega solicitada para semana 26 Janeiro"/>
    <m/>
  </r>
  <r>
    <x v="0"/>
    <x v="0"/>
    <x v="0"/>
    <m/>
    <d v="2025-02-13T00:00:00"/>
    <x v="0"/>
    <n v="3370009"/>
    <s v="NA"/>
    <s v="NA"/>
    <s v="Tela Hexagono / Blanca"/>
    <m/>
    <m/>
    <m/>
    <n v="2451"/>
    <s v="Severiano Melgar"/>
    <s v="jefecompras@colchonesheaven.com"/>
    <s v="591 78516162"/>
    <s v="cliente novo - Entrega prioritaria 1ra quinzena Jan 2026"/>
    <m/>
  </r>
  <r>
    <x v="1"/>
    <x v="1"/>
    <x v="1"/>
    <m/>
    <d v="2025-03-06T00:00:00"/>
    <x v="0"/>
    <n v="356001"/>
    <s v="NA"/>
    <s v="NA"/>
    <s v="Tela Inmapol Artic Breeze"/>
    <m/>
    <m/>
    <m/>
    <n v="1596"/>
    <s v="Marcos"/>
    <s v="madrisa@inmapol.com.py"/>
    <s v="595 21 942 599"/>
    <m/>
    <m/>
  </r>
  <r>
    <x v="1"/>
    <x v="1"/>
    <x v="1"/>
    <m/>
    <d v="2025-03-06T00:00:00"/>
    <x v="0"/>
    <n v="80001"/>
    <s v="NA"/>
    <s v="NA"/>
    <s v="Tela Inmapol Coreon"/>
    <m/>
    <m/>
    <m/>
    <n v="1480"/>
    <s v="Marcos"/>
    <s v="madrisa@inmapol.com.py"/>
    <s v="595 21 942 599"/>
    <m/>
    <m/>
  </r>
  <r>
    <x v="1"/>
    <x v="1"/>
    <x v="1"/>
    <m/>
    <d v="2025-03-06T00:00:00"/>
    <x v="0"/>
    <n v="91012"/>
    <s v="NA"/>
    <s v="NA"/>
    <s v="Tela Inmapol Biodress"/>
    <m/>
    <m/>
    <m/>
    <n v="1360"/>
    <s v="Marcos"/>
    <s v="madrisa@inmapol.com.py"/>
    <s v="595 21 942 599"/>
    <m/>
    <m/>
  </r>
  <r>
    <x v="1"/>
    <x v="1"/>
    <x v="1"/>
    <m/>
    <d v="2025-03-06T00:00:00"/>
    <x v="0"/>
    <n v="97012"/>
    <s v="NA"/>
    <s v="NA"/>
    <s v="Knitting - White / Tela con acabado resistente al pilling"/>
    <m/>
    <m/>
    <m/>
    <n v="1470"/>
    <s v="Marcos"/>
    <s v="madrisa@inmapol.com.py"/>
    <s v="595 21 942 599"/>
    <m/>
    <m/>
  </r>
  <r>
    <x v="1"/>
    <x v="2"/>
    <x v="2"/>
    <m/>
    <d v="2025-02-24T00:00:00"/>
    <x v="0"/>
    <n v="74117"/>
    <n v="326004"/>
    <s v="NA"/>
    <s v="POCKET COIL MAX"/>
    <m/>
    <m/>
    <m/>
    <n v="3280"/>
    <s v="Maria Jose Camacho"/>
    <s v="comexgye@paraiso.com.ec"/>
    <s v="593 999494115"/>
    <m/>
    <m/>
  </r>
  <r>
    <x v="1"/>
    <x v="2"/>
    <x v="2"/>
    <m/>
    <d v="2025-02-24T00:00:00"/>
    <x v="0"/>
    <n v="89014"/>
    <n v="326005"/>
    <s v="NA"/>
    <s v="BANDA POCKET COIL MAX"/>
    <m/>
    <m/>
    <m/>
    <n v="1302"/>
    <s v="Maria Jose Camacho"/>
    <s v="comexgye@paraiso.com.ec"/>
    <s v="593 999494115"/>
    <m/>
    <m/>
  </r>
  <r>
    <x v="1"/>
    <x v="2"/>
    <x v="2"/>
    <m/>
    <d v="2025-02-24T00:00:00"/>
    <x v="0"/>
    <n v="89093"/>
    <n v="326001"/>
    <s v="NA"/>
    <s v="PREMIUM PLUS"/>
    <m/>
    <m/>
    <m/>
    <n v="10700"/>
    <s v="Maria Jose Camacho"/>
    <s v="comexgye@paraiso.com.ec"/>
    <s v="593 999494115"/>
    <m/>
    <m/>
  </r>
  <r>
    <x v="1"/>
    <x v="2"/>
    <x v="2"/>
    <m/>
    <d v="2025-02-24T00:00:00"/>
    <x v="0"/>
    <n v="80071"/>
    <n v="326003"/>
    <s v="NA"/>
    <s v="BANDA PREMIUM PLUS"/>
    <m/>
    <m/>
    <m/>
    <n v="4644"/>
    <s v="Maria Jose Camacho"/>
    <s v="comexgye@paraiso.com.ec"/>
    <s v="593 999494115"/>
    <s v="cliente novo - Entrega prioritaria 1ra quinzena Jan 2026"/>
    <m/>
  </r>
  <r>
    <x v="1"/>
    <x v="2"/>
    <x v="2"/>
    <m/>
    <d v="2025-02-24T00:00:00"/>
    <x v="0"/>
    <n v="89931"/>
    <s v="SDP6907"/>
    <s v="NA"/>
    <s v="PARAÍSO BAMBOO PLUS"/>
    <m/>
    <m/>
    <m/>
    <n v="6000"/>
    <s v="Maria Jose Camacho"/>
    <s v="comexgye@paraiso.com.ec"/>
    <s v="593 999494115"/>
    <m/>
    <m/>
  </r>
  <r>
    <x v="2"/>
    <x v="3"/>
    <x v="1"/>
    <m/>
    <d v="2025-02-06T00:00:00"/>
    <x v="0"/>
    <s v="A08182"/>
    <s v="A08182"/>
    <s v="NA"/>
    <s v="Tela Materassi Blanca"/>
    <m/>
    <m/>
    <m/>
    <n v="2335"/>
    <s v="Alcibiades Greco"/>
    <s v="unicornio_py@yahoo.es"/>
    <s v="595 982 119084"/>
    <s v="cliente solicita para fin de mês"/>
    <m/>
  </r>
  <r>
    <x v="3"/>
    <x v="4"/>
    <x v="3"/>
    <m/>
    <d v="2025-03-13T00:00:00"/>
    <x v="0"/>
    <n v="32313"/>
    <s v="254.0012"/>
    <s v="NA"/>
    <s v="Tela Conexao A07820 240 gsm"/>
    <m/>
    <m/>
    <m/>
    <n v="11360"/>
    <s v="FRANCO MACHAO"/>
    <s v="franco.machao@divino.com.uy"/>
    <s v="+ 598 (2) 506.1262"/>
    <m/>
    <m/>
  </r>
  <r>
    <x v="3"/>
    <x v="4"/>
    <x v="3"/>
    <m/>
    <d v="2025-03-13T00:00:00"/>
    <x v="0"/>
    <n v="32232"/>
    <s v="254.0005"/>
    <s v="NA"/>
    <s v="Tela A07370 Tampo Geom 100% POLY 240G"/>
    <m/>
    <m/>
    <m/>
    <n v="6580"/>
    <s v="FRANCO MACHAO"/>
    <s v="franco.machao@divino.com.uy"/>
    <s v="+ 598 (2) 506.1262"/>
    <s v="entrega para semana 9 (23 fev.)"/>
    <m/>
  </r>
  <r>
    <x v="3"/>
    <x v="4"/>
    <x v="3"/>
    <m/>
    <d v="2025-03-13T00:00:00"/>
    <x v="0"/>
    <n v="32370"/>
    <n v="32370"/>
    <s v="NA"/>
    <s v="Tela A07803 Modelo Divino"/>
    <m/>
    <m/>
    <m/>
    <n v="3456"/>
    <s v="FRANCO MACHAO"/>
    <s v="franco.machao@divino.com.uy"/>
    <s v="+ 598 (2) 506.1262"/>
    <s v="Agrd validação cód pdn - agrd aprov. Cliente/ ok"/>
    <m/>
  </r>
  <r>
    <x v="3"/>
    <x v="4"/>
    <x v="3"/>
    <m/>
    <d v="2025-03-13T00:00:00"/>
    <x v="0"/>
    <n v="32390"/>
    <s v="254.0018"/>
    <s v="NA"/>
    <s v="Tela DIV A07806"/>
    <m/>
    <m/>
    <m/>
    <n v="8430"/>
    <s v="FRANCO MACHAO"/>
    <s v="franco.machao@divino.com.uy"/>
    <s v="+ 598 (2) 506.1262"/>
    <s v="Agrd aprovaç cliente/ ok"/>
    <m/>
  </r>
  <r>
    <x v="3"/>
    <x v="4"/>
    <x v="3"/>
    <m/>
    <d v="2025-03-13T00:00:00"/>
    <x v="0"/>
    <n v="32372"/>
    <s v="A08980"/>
    <s v="NA"/>
    <s v="Tela Conexao A08980 Modelo Divino"/>
    <m/>
    <m/>
    <m/>
    <n v="9990"/>
    <s v="FRANCO MACHAO"/>
    <s v="franco.machao@divino.com.uy"/>
    <s v="+ 598 (2) 506.1262"/>
    <s v="Proforma 30/01-Ok Cods"/>
    <m/>
  </r>
  <r>
    <x v="3"/>
    <x v="4"/>
    <x v="3"/>
    <m/>
    <d v="2025-03-13T00:00:00"/>
    <x v="0"/>
    <n v="35004"/>
    <n v="35004"/>
    <s v="NA"/>
    <s v="Tela Folhas - Imagina 15001"/>
    <m/>
    <m/>
    <m/>
    <n v="3670"/>
    <s v="FRANCO MACHAO"/>
    <s v="franco.machao@divino.com.uy"/>
    <s v="+ 598 (2) 506.1262"/>
    <s v="material parado revendido-Nva razón social Prince + Flete"/>
    <m/>
  </r>
  <r>
    <x v="3"/>
    <x v="4"/>
    <x v="3"/>
    <m/>
    <d v="2025-03-13T00:00:00"/>
    <x v="0"/>
    <n v="35032"/>
    <n v="35032"/>
    <s v="NA"/>
    <s v="Tela 72001 Degrade Gris"/>
    <m/>
    <m/>
    <m/>
    <n v="2488"/>
    <s v="FRANCO MACHAO"/>
    <s v="franco.machao@divino.com.uy"/>
    <s v="+ 598 (2) 506.1262"/>
    <s v="material parado revendido-Nva razón social Prince + Flete"/>
    <m/>
  </r>
  <r>
    <x v="3"/>
    <x v="4"/>
    <x v="3"/>
    <m/>
    <d v="2025-03-13T00:00:00"/>
    <x v="0"/>
    <n v="35145"/>
    <n v="258064"/>
    <s v="NA"/>
    <s v="TP ML A10045 280G 2,20L DV U"/>
    <m/>
    <m/>
    <m/>
    <n v="1280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2282"/>
    <n v="32282"/>
    <n v="6816"/>
    <s v="Tela antideslizante Conexao"/>
    <m/>
    <m/>
    <m/>
    <n v="302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2232"/>
    <n v="32232"/>
    <n v="6816"/>
    <s v="Tela A07370 Tampo Geom 100% POLY 240G"/>
    <m/>
    <m/>
    <m/>
    <n v="11515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2370"/>
    <n v="32370"/>
    <n v="6816"/>
    <s v="Tela A07803 Modelo Divino"/>
    <m/>
    <m/>
    <m/>
    <n v="600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2390"/>
    <n v="32390"/>
    <n v="6816"/>
    <s v="Tela DIV A07806"/>
    <m/>
    <m/>
    <m/>
    <n v="1124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2372"/>
    <n v="2540017"/>
    <n v="6816"/>
    <s v="Tela Conexao A08980 Modelo Divino"/>
    <m/>
    <m/>
    <m/>
    <n v="1332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5004"/>
    <n v="35004"/>
    <n v="6816"/>
    <s v="Tela Folhas - Imagina 15001"/>
    <m/>
    <m/>
    <m/>
    <n v="3670"/>
    <s v="FRANCO MACHAO"/>
    <s v="franco.machao@divino.com.uy"/>
    <s v="+ 598 (2) 506.1262"/>
    <s v="material parado revendido-Nva razón social Prince + Flete"/>
    <m/>
  </r>
  <r>
    <x v="4"/>
    <x v="4"/>
    <x v="3"/>
    <m/>
    <d v="2025-04-09T00:00:00"/>
    <x v="1"/>
    <n v="35149"/>
    <n v="132012"/>
    <n v="6816"/>
    <s v="Tela TP ML 132012 340G 2,20L DV U"/>
    <m/>
    <m/>
    <m/>
    <n v="7560"/>
    <s v="FRANCO MACHAO"/>
    <s v="franco.machao@divino.com.uy"/>
    <s v="+ 598 (2) 506.1262"/>
    <s v="material parado revendido-Nva razón social Prince + Flete"/>
    <m/>
  </r>
  <r>
    <x v="5"/>
    <x v="5"/>
    <x v="4"/>
    <m/>
    <d v="2025-04-07T00:00:00"/>
    <x v="1"/>
    <n v="1121110"/>
    <n v="2810005"/>
    <n v="6752"/>
    <s v="Tela Hojas"/>
    <m/>
    <m/>
    <m/>
    <n v="1415"/>
    <s v="Paulina Mena"/>
    <s v="paulina.mena@flex.es"/>
    <s v="56 96205 0626"/>
    <s v="material parado revendido-Nva razón social Prince + Flete"/>
    <m/>
  </r>
  <r>
    <x v="5"/>
    <x v="5"/>
    <x v="4"/>
    <m/>
    <d v="2025-04-07T00:00:00"/>
    <x v="1"/>
    <n v="1122580"/>
    <n v="2810009"/>
    <n v="6752"/>
    <s v="Therapeutic - Gray"/>
    <m/>
    <m/>
    <m/>
    <n v="3825"/>
    <s v="Paulina Mena"/>
    <s v="paulina.mena@flex.es"/>
    <s v="56 96205 0626"/>
    <s v="material parado revendido-Nva razón social Prince + Flete"/>
    <m/>
  </r>
  <r>
    <x v="6"/>
    <x v="6"/>
    <x v="4"/>
    <m/>
    <d v="2025-02-03T00:00:00"/>
    <x v="0"/>
    <s v="2860004"/>
    <m/>
    <s v="NA"/>
    <s v="TP RETAS DEGRADE"/>
    <m/>
    <m/>
    <m/>
    <n v="4300"/>
    <s v="Juan Carlos Villarroel"/>
    <s v="jcvillarroel@sunlock.cl"/>
    <s v="(+56) 98529-7739"/>
    <s v="produzindo- final. 24/03"/>
    <s v="produzindo"/>
  </r>
  <r>
    <x v="6"/>
    <x v="6"/>
    <x v="4"/>
    <m/>
    <d v="2025-02-03T00:00:00"/>
    <x v="0"/>
    <s v="2860013"/>
    <m/>
    <s v="NA"/>
    <s v="TELA SUNSET"/>
    <m/>
    <m/>
    <m/>
    <n v="3325"/>
    <s v="Juan Carlos Villarroel"/>
    <s v="jcvillarroel@sunlock.cl"/>
    <s v="(+56) 98529-7739"/>
    <s v="OK- basado en mejoras del flujo de crédito"/>
    <m/>
  </r>
  <r>
    <x v="6"/>
    <x v="6"/>
    <x v="4"/>
    <m/>
    <d v="2025-02-03T00:00:00"/>
    <x v="0"/>
    <s v="2860015"/>
    <m/>
    <s v="NA"/>
    <s v="TP GRIS"/>
    <m/>
    <m/>
    <m/>
    <n v="3640"/>
    <s v="Juan Carlos Villarroel"/>
    <s v="jcvillarroel@sunlock.cl"/>
    <s v="(+56) 98529-7739"/>
    <s v="OK- basado en mejoras del flujo de crédito| Finalizado"/>
    <m/>
  </r>
  <r>
    <x v="6"/>
    <x v="6"/>
    <x v="4"/>
    <m/>
    <d v="2025-02-03T00:00:00"/>
    <x v="0"/>
    <s v="SU001"/>
    <m/>
    <s v="NA"/>
    <s v="SERTAPEDIC"/>
    <m/>
    <m/>
    <m/>
    <n v="2180"/>
    <s v="Juan Carlos Villarroel"/>
    <s v="jcvillarroel@sunlock.cl"/>
    <s v="(+56) 98529-7739"/>
    <s v="finalizado produção"/>
    <m/>
  </r>
  <r>
    <x v="7"/>
    <x v="4"/>
    <x v="3"/>
    <m/>
    <d v="2025-03-27T00:00:00"/>
    <x v="0"/>
    <n v="32282"/>
    <n v="32282"/>
    <s v="NA"/>
    <s v="Tela antideslizante Conexao"/>
    <m/>
    <m/>
    <m/>
    <n v="3020"/>
    <s v="FRANCO MACHAO"/>
    <s v="franco.machao@divino.com.uy"/>
    <s v="+ 598 (2) 506.1262"/>
    <s v="nva proforma material revenda"/>
    <m/>
  </r>
  <r>
    <x v="7"/>
    <x v="4"/>
    <x v="3"/>
    <m/>
    <d v="2025-03-27T00:00:00"/>
    <x v="0"/>
    <n v="32313"/>
    <n v="32313"/>
    <s v="NA"/>
    <s v="Tela Conexao A07820 240 gsm"/>
    <m/>
    <m/>
    <m/>
    <n v="5760"/>
    <s v="FRANCO MACHAO"/>
    <s v="franco.machao@divino.com.uy"/>
    <s v="+ 598 (2) 506.1262"/>
    <s v="proforma nova 3/3  ok  | 31/03 maq 51"/>
    <m/>
  </r>
  <r>
    <x v="7"/>
    <x v="4"/>
    <x v="3"/>
    <m/>
    <d v="2025-03-27T00:00:00"/>
    <x v="0"/>
    <n v="32232"/>
    <n v="32232"/>
    <s v="NA"/>
    <s v="Tela A07370 Tampo Geom 100% POLY 240G"/>
    <m/>
    <m/>
    <m/>
    <n v="8225"/>
    <s v="FRANCO MACHAO"/>
    <s v="franco.machao@divino.com.uy"/>
    <s v="+ 598 (2) 506.1262"/>
    <s v="proforma nova 3/3  ok |produzindo maq 41"/>
    <m/>
  </r>
  <r>
    <x v="7"/>
    <x v="4"/>
    <x v="3"/>
    <m/>
    <d v="2025-03-27T00:00:00"/>
    <x v="0"/>
    <n v="32341"/>
    <n v="32341"/>
    <s v="NA"/>
    <s v="Tela Conexao Tela A05171 Square"/>
    <m/>
    <m/>
    <m/>
    <n v="2150"/>
    <s v="FRANCO MACHAO"/>
    <s v="franco.machao@divino.com.uy"/>
    <s v="+ 598 (2) 506.1262"/>
    <s v="proforma nova 3/3  ok |30/03 maq 48"/>
    <m/>
  </r>
  <r>
    <x v="7"/>
    <x v="4"/>
    <x v="3"/>
    <m/>
    <d v="2025-03-27T00:00:00"/>
    <x v="0"/>
    <n v="32370"/>
    <n v="32370"/>
    <s v="NA"/>
    <s v="Tela A07803 Modelo Divino"/>
    <m/>
    <m/>
    <m/>
    <n v="3600"/>
    <s v="FRANCO MACHAO"/>
    <s v="franco.machao@divino.com.uy"/>
    <s v="+ 598 (2) 506.1262"/>
    <s v="proforma nova 3/3  ok| 02/04 maq 53"/>
    <m/>
  </r>
  <r>
    <x v="7"/>
    <x v="4"/>
    <x v="3"/>
    <m/>
    <d v="2025-03-27T00:00:00"/>
    <x v="0"/>
    <n v="32390"/>
    <n v="32390"/>
    <s v="NA"/>
    <s v="Tela DIV A07806"/>
    <m/>
    <m/>
    <m/>
    <n v="5620"/>
    <s v="FRANCO MACHAO"/>
    <s v="franco.machao@divino.com.uy"/>
    <s v="+ 598 (2) 506.1262"/>
    <s v="proforma -ok 06/03/finalizado pdn 1903 (616+104+89)"/>
    <m/>
  </r>
  <r>
    <x v="7"/>
    <x v="4"/>
    <x v="3"/>
    <m/>
    <d v="2025-03-27T00:00:00"/>
    <x v="0"/>
    <n v="32372"/>
    <n v="32372"/>
    <s v="NA"/>
    <s v="Tela Conexao A08980 Modelo Divino"/>
    <m/>
    <m/>
    <m/>
    <n v="6660"/>
    <s v="FRANCO MACHAO"/>
    <s v="franco.machao@divino.com.uy"/>
    <s v="+ 598 (2) 506.1262"/>
    <s v="proforma -ok 06/03"/>
    <m/>
  </r>
  <r>
    <x v="7"/>
    <x v="4"/>
    <x v="3"/>
    <m/>
    <d v="2025-03-27T00:00:00"/>
    <x v="0"/>
    <n v="35004"/>
    <n v="35004"/>
    <s v="NA"/>
    <s v="Tela Folhas - Imagina 15001"/>
    <m/>
    <m/>
    <m/>
    <n v="2936"/>
    <s v="FRANCO MACHAO"/>
    <s v="franco.machao@divino.com.uy"/>
    <s v="+ 598 (2) 506.1262"/>
    <s v="Start 27/03/2026"/>
    <m/>
  </r>
  <r>
    <x v="7"/>
    <x v="4"/>
    <x v="3"/>
    <m/>
    <d v="2025-03-27T00:00:00"/>
    <x v="0"/>
    <n v="35031"/>
    <n v="35031"/>
    <s v="NA"/>
    <s v="Tela 69001 Contemporáneo"/>
    <m/>
    <m/>
    <m/>
    <n v="2040"/>
    <s v="FRANCO MACHAO"/>
    <s v="franco.machao@divino.com.uy"/>
    <s v="+ 598 (2) 506.1262"/>
    <s v="proforma -ok 06/03| Produçao 28/03-31/03 maq 25"/>
    <m/>
  </r>
  <r>
    <x v="7"/>
    <x v="4"/>
    <x v="3"/>
    <m/>
    <d v="2025-03-27T00:00:00"/>
    <x v="0"/>
    <n v="35032"/>
    <n v="35032"/>
    <s v="NA"/>
    <s v="Tela 72001 Degrade Gris"/>
    <m/>
    <m/>
    <m/>
    <n v="3200"/>
    <s v="FRANCO MACHAO"/>
    <s v="franco.machao@divino.com.uy"/>
    <s v="+ 598 (2) 506.1262"/>
    <s v="produção Finalizada 24/03, saldo disponível para acabamento."/>
    <m/>
  </r>
  <r>
    <x v="7"/>
    <x v="4"/>
    <x v="3"/>
    <m/>
    <d v="2025-03-27T00:00:00"/>
    <x v="0"/>
    <n v="35145"/>
    <n v="35145"/>
    <s v="NA"/>
    <s v="Tela TP ML A10045 280G 2,20L DV U"/>
    <m/>
    <m/>
    <m/>
    <n v="13995"/>
    <s v="FRANCO MACHAO"/>
    <s v="franco.machao@divino.com.uy"/>
    <s v="+ 598 (2) 506.1262"/>
    <s v="proforma -ok 06/03"/>
    <m/>
  </r>
  <r>
    <x v="5"/>
    <x v="7"/>
    <x v="0"/>
    <m/>
    <d v="2025-03-26T00:00:00"/>
    <x v="0"/>
    <n v="439001"/>
    <m/>
    <s v="NA"/>
    <s v="MAXI KING 1 - BRANCO &amp; AREIA"/>
    <m/>
    <m/>
    <m/>
    <n v="4350"/>
    <s v="Livio Zozzoli"/>
    <s v="liviozozzoli@maxiking.com.bo"/>
    <s v="(591)76640036"/>
    <s v="maquina 50 (8K mts)| maq 47 (7K)-Start 14/03- OP avulsa| "/>
    <m/>
  </r>
  <r>
    <x v="5"/>
    <x v="7"/>
    <x v="0"/>
    <m/>
    <d v="2025-03-26T00:00:00"/>
    <x v="0"/>
    <n v="407001"/>
    <m/>
    <s v="NA"/>
    <s v="MAXI KING 2 - ARENA"/>
    <m/>
    <m/>
    <m/>
    <n v="2980"/>
    <s v="Livio Zozzoli"/>
    <s v="liviozozzoli@maxiking.com.bo"/>
    <s v="(591)76640036"/>
    <s v="Produzindo -  8.112mts|maq 03 (Start 1903)  - 07/04 - avrg  12peças/día"/>
    <m/>
  </r>
  <r>
    <x v="5"/>
    <x v="7"/>
    <x v="0"/>
    <m/>
    <d v="2025-03-26T00:00:00"/>
    <x v="0"/>
    <n v="446001"/>
    <m/>
    <s v="NA"/>
    <s v="MAXI KING 3 - BRANCO COM PERLA"/>
    <m/>
    <m/>
    <m/>
    <n v="4560"/>
    <s v="Livio Zozzoli"/>
    <s v="liviozozzoli@maxiking.com.bo"/>
    <s v="(591)76640036"/>
    <m/>
    <m/>
  </r>
  <r>
    <x v="5"/>
    <x v="7"/>
    <x v="0"/>
    <m/>
    <d v="2025-03-26T00:00:00"/>
    <x v="0"/>
    <n v="428001"/>
    <m/>
    <s v="NA"/>
    <s v="MAXI KING 4 - AZUL MARINO"/>
    <m/>
    <m/>
    <m/>
    <n v="4590"/>
    <s v="Livio Zozzoli"/>
    <s v="liviozozzoli@maxiking.com.bo"/>
    <s v="(591)76640036"/>
    <m/>
    <m/>
  </r>
  <r>
    <x v="5"/>
    <x v="7"/>
    <x v="0"/>
    <m/>
    <d v="2025-03-26T00:00:00"/>
    <x v="0"/>
    <n v="434004"/>
    <m/>
    <s v="NA"/>
    <s v="MAXI KING 5 - GRIS / ARENA / BLANCO"/>
    <m/>
    <m/>
    <m/>
    <n v="3674"/>
    <s v="Livio Zozzoli"/>
    <s v="liviozozzoli@maxiking.com.bo"/>
    <s v="(591)76640036"/>
    <s v="proforma 18/03 - Entrega em maio"/>
    <m/>
  </r>
  <r>
    <x v="8"/>
    <x v="5"/>
    <x v="4"/>
    <m/>
    <d v="2025-04-14T00:00:00"/>
    <x v="0"/>
    <n v="2010011"/>
    <m/>
    <n v="6868"/>
    <s v="TP PARADISE 122034 370G. 2,20 DV U"/>
    <m/>
    <m/>
    <m/>
    <n v="1940"/>
    <s v="Paulina Mena"/>
    <s v="paulina.mena@flex.es"/>
    <s v="56 96205 0626"/>
    <s v="proforma 18/03 - Entrega em maio"/>
    <m/>
  </r>
  <r>
    <x v="9"/>
    <x v="8"/>
    <x v="5"/>
    <m/>
    <d v="2025-04-16T00:00:00"/>
    <x v="1"/>
    <n v="10001"/>
    <m/>
    <n v="6881"/>
    <s v="Tela Caseros - Modelo 1 - Abstrato"/>
    <m/>
    <m/>
    <m/>
    <n v="3140"/>
    <s v="Rubén Pellegrini"/>
    <s v="distribuidoracaseros@gmail.com"/>
    <s v="54 9 11 4419-8124"/>
    <s v="proforma 18/03 - Entrega em maio| 700mts - produzindo 06/04"/>
    <m/>
  </r>
  <r>
    <x v="9"/>
    <x v="8"/>
    <x v="5"/>
    <m/>
    <d v="2025-04-16T00:00:00"/>
    <x v="1"/>
    <n v="66003"/>
    <m/>
    <n v="6881"/>
    <s v="Tela Caseros - Modelo 2 - Lines"/>
    <m/>
    <m/>
    <m/>
    <n v="1570"/>
    <s v="Rubén Pellegrini"/>
    <s v="distribuidoracaseros@gmail.com"/>
    <s v="54 9 11 4419-8124"/>
    <s v="proforma 18/03 - Entrega em junho"/>
    <m/>
  </r>
  <r>
    <x v="9"/>
    <x v="8"/>
    <x v="5"/>
    <m/>
    <d v="2025-04-16T00:00:00"/>
    <x v="1"/>
    <n v="740011"/>
    <m/>
    <n v="6881"/>
    <s v="Tela Caseros - Modelo 2 - Dots"/>
    <m/>
    <m/>
    <m/>
    <n v="1570"/>
    <s v="Rubén Pellegrini"/>
    <s v="distribuidoracaseros@gmail.com"/>
    <s v="54 9 11 4419-8124"/>
    <s v="proforma 18/03 - Entrega em junho"/>
    <m/>
  </r>
  <r>
    <x v="9"/>
    <x v="8"/>
    <x v="5"/>
    <m/>
    <d v="2025-04-16T00:00:00"/>
    <x v="1"/>
    <n v="3520004"/>
    <m/>
    <n v="6881"/>
    <s v="TP ML 0092193 160Gr 2,10 L"/>
    <m/>
    <m/>
    <m/>
    <n v="0"/>
    <s v="Rubén Pellegrini"/>
    <s v="distribuidoracaseros@gmail.com"/>
    <s v="54 9 11 4419-8124"/>
    <s v="proforma 18/03 - Entrega em junho"/>
    <m/>
  </r>
  <r>
    <x v="10"/>
    <x v="5"/>
    <x v="4"/>
    <m/>
    <d v="2025-04-07T00:00:00"/>
    <x v="1"/>
    <n v="122034"/>
    <n v="122034"/>
    <n v="6875"/>
    <s v="Tela Black - TP ML A09887"/>
    <m/>
    <m/>
    <m/>
    <n v="1840"/>
    <s v="Paulina Mena"/>
    <s v="paulina.mena@flex.es"/>
    <s v="56 96205 0626"/>
    <s v="ok cliente - agrd cod prod totvs"/>
    <m/>
  </r>
  <r>
    <x v="11"/>
    <x v="5"/>
    <x v="4"/>
    <m/>
    <d v="2025-04-22T00:00:00"/>
    <x v="1"/>
    <n v="1121110"/>
    <s v="281.0005"/>
    <n v="6880"/>
    <s v="Sensity - Hojas "/>
    <m/>
    <m/>
    <m/>
    <n v="0"/>
    <s v="Paulina Mena"/>
    <s v="paulina.mena@flex.es"/>
    <s v="56 96205 0626"/>
    <s v="ok cliente - agrd cod prod totvs"/>
    <m/>
  </r>
  <r>
    <x v="11"/>
    <x v="5"/>
    <x v="4"/>
    <m/>
    <d v="2025-04-22T00:00:00"/>
    <x v="1"/>
    <n v="1122580"/>
    <s v="281.0009"/>
    <n v="6880"/>
    <s v="Therapeutic - Gray"/>
    <m/>
    <m/>
    <m/>
    <n v="0"/>
    <s v="Paulina Mena"/>
    <s v="paulina.mena@flex.es"/>
    <s v="56 96205 0626"/>
    <s v="ok cliente - agrd cod prod totvs"/>
    <m/>
  </r>
  <r>
    <x v="12"/>
    <x v="0"/>
    <x v="0"/>
    <m/>
    <d v="2025-04-16T00:00:00"/>
    <x v="1"/>
    <n v="3370001"/>
    <m/>
    <n v="6882"/>
    <s v="Tela Black / 300 GSM"/>
    <m/>
    <m/>
    <m/>
    <n v="3400"/>
    <s v="Severiano Melgar"/>
    <s v="jefecompras@colchonesheaven.com"/>
    <s v="591 78516162"/>
    <s v="ok cliente - agrd cod prod totvs"/>
    <m/>
  </r>
  <r>
    <x v="12"/>
    <x v="0"/>
    <x v="0"/>
    <m/>
    <d v="2025-04-16T00:00:00"/>
    <x v="1"/>
    <n v="3370005"/>
    <m/>
    <n v="6882"/>
    <s v="Tela Favo Blanco"/>
    <m/>
    <m/>
    <m/>
    <n v="1850"/>
    <s v="Severiano Melgar"/>
    <s v="jefecompras@colchonesheaven.com"/>
    <s v="591 78516162"/>
    <s v="ok cliente - agrd cod prod totvs"/>
    <m/>
  </r>
  <r>
    <x v="13"/>
    <x v="4"/>
    <x v="3"/>
    <m/>
    <d v="2025-04-24T00:00:00"/>
    <x v="2"/>
    <n v="245051"/>
    <n v="2540036"/>
    <n v="6816"/>
    <s v="Tela Divino - Lino y &amp; Arena"/>
    <m/>
    <m/>
    <m/>
    <n v="3680"/>
    <s v="FRANCO MACHAO"/>
    <s v="franco.machao@divino.com.uy"/>
    <s v="+ 598 (2) 506.1262"/>
    <s v="ok cliente - agrd cod prod totvs"/>
    <m/>
  </r>
  <r>
    <x v="14"/>
    <x v="6"/>
    <x v="4"/>
    <m/>
    <d v="2025-04-25T00:00:00"/>
    <x v="1"/>
    <n v="2860004"/>
    <n v="2860004"/>
    <n v="6940"/>
    <s v="TP retas degrade"/>
    <m/>
    <m/>
    <m/>
    <n v="4300"/>
    <s v="Juan Carlos Villarroel"/>
    <s v="jcvillarroel@sunlock.cl"/>
    <s v="(+56) 98529-7739"/>
    <s v="ok cliente - agrd cod prod totvs"/>
    <m/>
  </r>
  <r>
    <x v="14"/>
    <x v="6"/>
    <x v="4"/>
    <m/>
    <d v="2025-04-25T00:00:00"/>
    <x v="1"/>
    <n v="2860013"/>
    <n v="2860013"/>
    <n v="6940"/>
    <s v="TELA SUNSET"/>
    <m/>
    <m/>
    <m/>
    <n v="2375"/>
    <s v="Juan Carlos Villarroel"/>
    <s v="jcvillarroel@sunlock.cl"/>
    <s v="(+56) 98529-7739"/>
    <m/>
    <m/>
  </r>
  <r>
    <x v="14"/>
    <x v="6"/>
    <x v="4"/>
    <m/>
    <d v="2025-04-25T00:00:00"/>
    <x v="1"/>
    <n v="2860015"/>
    <n v="2860015"/>
    <n v="6940"/>
    <s v="TP Gris"/>
    <m/>
    <m/>
    <m/>
    <n v="2600"/>
    <s v="Juan Carlos Villarroel"/>
    <s v="jcvillarroel@sunlock.cl"/>
    <s v="(+56) 98529-7739"/>
    <m/>
    <m/>
  </r>
  <r>
    <x v="15"/>
    <x v="9"/>
    <x v="5"/>
    <m/>
    <d v="2025-04-28T00:00:00"/>
    <x v="1"/>
    <s v="TL86257"/>
    <s v="A10169 (4114)"/>
    <n v="6954"/>
    <s v="TAPA CALM"/>
    <m/>
    <m/>
    <m/>
    <n v="26000"/>
    <s v="NA"/>
    <s v="NA"/>
    <s v="NA"/>
    <m/>
    <m/>
  </r>
  <r>
    <x v="15"/>
    <x v="9"/>
    <x v="5"/>
    <m/>
    <d v="2025-04-28T00:00:00"/>
    <x v="1"/>
    <s v="TL70511"/>
    <s v="A10168 (4113)"/>
    <n v="6954"/>
    <s v="TAPA ENERGY"/>
    <m/>
    <m/>
    <m/>
    <n v="10990"/>
    <s v="NA"/>
    <s v="NA"/>
    <s v="NA"/>
    <m/>
    <m/>
  </r>
  <r>
    <x v="16"/>
    <x v="5"/>
    <x v="4"/>
    <m/>
    <d v="2025-04-29T00:00:00"/>
    <x v="1"/>
    <s v="A10131"/>
    <n v="2810013"/>
    <n v="6949"/>
    <s v="Tela Black TP ML A10131"/>
    <m/>
    <m/>
    <m/>
    <n v="1840"/>
    <s v="Paulina Mena"/>
    <s v="paulina.mena@flex.es"/>
    <s v="56 96205 0626"/>
    <m/>
    <m/>
  </r>
  <r>
    <x v="17"/>
    <x v="5"/>
    <x v="4"/>
    <m/>
    <d v="2025-05-06T00:00:00"/>
    <x v="1"/>
    <n v="112258"/>
    <s v="2810009 (1419)"/>
    <n v="7015"/>
    <s v="Therapeutic - Gray"/>
    <m/>
    <m/>
    <m/>
    <n v="3375"/>
    <s v="Paulina Mena"/>
    <s v="paulina.mena@flex.es"/>
    <s v="56 96205 0626"/>
    <m/>
    <m/>
  </r>
  <r>
    <x v="18"/>
    <x v="4"/>
    <x v="3"/>
    <m/>
    <d v="2025-05-15T00:00:00"/>
    <x v="2"/>
    <n v="32313"/>
    <s v="2540012 (1225)"/>
    <n v="7068"/>
    <s v="Tela conexão A07820 240 gms"/>
    <m/>
    <m/>
    <m/>
    <n v="11360"/>
    <s v="FRANCO MACHAO"/>
    <s v="franco.machao@divino.com.uy"/>
    <s v="+ 598 (2) 506.1262"/>
    <m/>
    <m/>
  </r>
  <r>
    <x v="18"/>
    <x v="4"/>
    <x v="3"/>
    <m/>
    <d v="2025-05-15T00:00:00"/>
    <x v="2"/>
    <n v="35003"/>
    <s v="2540023 (1652)/2540031(3343)"/>
    <n v="7068"/>
    <s v="Tela Cool Touch 460G-2,10 Colmeia"/>
    <m/>
    <m/>
    <m/>
    <n v="0"/>
    <s v="FRANCO MACHAO"/>
    <s v="franco.machao@divino.com.uy"/>
    <s v="+ 598 (2) 506.1262"/>
    <m/>
    <m/>
  </r>
  <r>
    <x v="19"/>
    <x v="10"/>
    <x v="1"/>
    <m/>
    <d v="2025-05-19T00:00:00"/>
    <x v="2"/>
    <s v="0054025 3070002"/>
    <s v="3070002 (Id 4160)"/>
    <n v="7095"/>
    <s v="tela Dual Suenolar 240 2,20 100% PES XN BEGE "/>
    <m/>
    <m/>
    <m/>
    <n v="0"/>
    <s v="Nidia Villalba"/>
    <s v="nvillalba@ypsa.com.py"/>
    <s v="595 21 588 8000"/>
    <m/>
    <m/>
  </r>
  <r>
    <x v="20"/>
    <x v="11"/>
    <x v="1"/>
    <m/>
    <d v="2025-05-28T00:00:00"/>
    <x v="2"/>
    <s v="A09970 (3701)"/>
    <n v="3200014"/>
    <n v="7211"/>
    <s v="Tela SuperSpuma Dots 1 - Azul"/>
    <m/>
    <m/>
    <m/>
    <n v="0"/>
    <s v="Leticia Roig"/>
    <s v="leticia.roig@superspuma.com"/>
    <s v="595 985 629024"/>
    <m/>
    <m/>
  </r>
  <r>
    <x v="20"/>
    <x v="11"/>
    <x v="1"/>
    <m/>
    <d v="2025-05-28T00:00:00"/>
    <x v="2"/>
    <s v="A009971 (3702)"/>
    <n v="3200015"/>
    <n v="7211"/>
    <s v="Tela SuperSpuma Dots 1 - Roja"/>
    <m/>
    <m/>
    <m/>
    <n v="0"/>
    <s v="Leticia Roig"/>
    <s v="leticia.roig@superspuma.com"/>
    <s v="595 985 629024"/>
    <m/>
    <m/>
  </r>
  <r>
    <x v="20"/>
    <x v="11"/>
    <x v="1"/>
    <m/>
    <d v="2025-05-28T00:00:00"/>
    <x v="2"/>
    <s v="A09969 (3700)"/>
    <n v="3200013"/>
    <n v="7211"/>
    <s v="Tela SuperSpuma Dots 1 - Negra"/>
    <m/>
    <m/>
    <m/>
    <n v="0"/>
    <s v="Leticia Roig"/>
    <s v="leticia.roig@superspuma.com"/>
    <s v="595 985 629024"/>
    <m/>
    <m/>
  </r>
  <r>
    <x v="20"/>
    <x v="11"/>
    <x v="1"/>
    <m/>
    <d v="2025-05-29T00:00:00"/>
    <x v="2"/>
    <s v="A09858 (3274)"/>
    <n v="3200011"/>
    <n v="7211"/>
    <s v="Tela Superkids Rosa"/>
    <m/>
    <m/>
    <m/>
    <n v="0"/>
    <s v="Leticia Roig"/>
    <s v="leticia.roig@superspuma.com"/>
    <s v="595 985 629024"/>
    <m/>
    <m/>
  </r>
  <r>
    <x v="20"/>
    <x v="11"/>
    <x v="1"/>
    <m/>
    <d v="2025-05-29T00:00:00"/>
    <x v="2"/>
    <s v="0080011 (1979)"/>
    <s v="3200010-06"/>
    <n v="7211"/>
    <s v="Tela Waves Lino"/>
    <m/>
    <m/>
    <m/>
    <n v="0"/>
    <s v="Leticia Roig"/>
    <s v="leticia.roig@superspuma.com"/>
    <s v="595 985 629024"/>
    <m/>
    <m/>
  </r>
  <r>
    <x v="21"/>
    <x v="12"/>
    <x v="4"/>
    <m/>
    <d v="2025-05-28T00:00:00"/>
    <x v="2"/>
    <s v="A09646"/>
    <n v="2860011"/>
    <n v="7173"/>
    <s v="TP Dolphin"/>
    <m/>
    <m/>
    <m/>
    <n v="0"/>
    <s v="Juan Carlos Villarroel"/>
    <s v="jcvillarroel@sunlock.cl"/>
    <s v="(+56) 98529-7739"/>
    <m/>
    <m/>
  </r>
  <r>
    <x v="22"/>
    <x v="5"/>
    <x v="4"/>
    <m/>
    <d v="2025-05-29T00:00:00"/>
    <x v="2"/>
    <s v="A10131"/>
    <n v="2810013"/>
    <n v="7178"/>
    <s v="Tela Black - TP ML A09887 ( TP ML A10131)"/>
    <m/>
    <m/>
    <m/>
    <n v="0"/>
    <s v="Paulina Mena"/>
    <s v="paulina.mena@flex.es"/>
    <s v="56 96205 0626"/>
    <m/>
    <m/>
  </r>
  <r>
    <x v="23"/>
    <x v="9"/>
    <x v="5"/>
    <m/>
    <d v="2025-05-29T00:00:00"/>
    <x v="1"/>
    <n v="1705"/>
    <n v="1705"/>
    <n v="7179"/>
    <s v="Amostras diversas"/>
    <m/>
    <m/>
    <m/>
    <n v="0"/>
    <s v="NA"/>
    <s v="Sebastián Mayo"/>
    <s v="NA"/>
    <m/>
    <m/>
  </r>
  <r>
    <x v="24"/>
    <x v="5"/>
    <x v="4"/>
    <m/>
    <d v="2025-06-02T00:00:00"/>
    <x v="2"/>
    <n v="1122580"/>
    <s v="2810009 (1419)"/>
    <n v="7234"/>
    <s v="Therapeutic - Gray"/>
    <m/>
    <m/>
    <m/>
    <n v="0"/>
    <s v="Paulina Mena"/>
    <s v="paulina.mena@flex.es"/>
    <s v="56 96205 0626"/>
    <m/>
    <m/>
  </r>
  <r>
    <x v="24"/>
    <x v="5"/>
    <x v="4"/>
    <m/>
    <d v="2025-06-02T00:00:00"/>
    <x v="2"/>
    <n v="1121110"/>
    <s v="2810005 (1422)"/>
    <n v="7234"/>
    <s v="Tela Hojas"/>
    <m/>
    <m/>
    <m/>
    <n v="0"/>
    <s v="Paulina Mena"/>
    <s v="paulina.mena@flex.es"/>
    <s v="56 96205 0626"/>
    <m/>
    <m/>
  </r>
  <r>
    <x v="25"/>
    <x v="4"/>
    <x v="3"/>
    <m/>
    <d v="2025-06-02T00:00:00"/>
    <x v="2"/>
    <n v="32313"/>
    <s v="2540012 (1225)"/>
    <n v="7235"/>
    <s v="Tela Conexao A07820 240 gsm"/>
    <m/>
    <m/>
    <m/>
    <n v="0"/>
    <s v="FRANCO MACHAO"/>
    <s v="franco.machao@divino.com.uy"/>
    <s v="+ 598 (2) 506.1262"/>
    <m/>
    <m/>
  </r>
  <r>
    <x v="25"/>
    <x v="4"/>
    <x v="3"/>
    <m/>
    <d v="2025-06-02T00:00:00"/>
    <x v="2"/>
    <n v="32372"/>
    <s v="2540017 (1506)"/>
    <n v="7235"/>
    <s v="Tela Conexao A08980 Modelo Divino 280G 2,10L"/>
    <m/>
    <m/>
    <m/>
    <n v="0"/>
    <s v="FRANCO MACHAO"/>
    <s v="franco.machao@divino.com.uy"/>
    <s v="+ 598 (2) 506.1262"/>
    <m/>
    <m/>
  </r>
  <r>
    <x v="25"/>
    <x v="4"/>
    <x v="3"/>
    <m/>
    <d v="2025-06-02T00:00:00"/>
    <x v="2"/>
    <n v="35149"/>
    <s v="2540033 (3589)"/>
    <n v="7235"/>
    <s v="Tela TP ML 132012 340G 2,20L DV U"/>
    <m/>
    <m/>
    <m/>
    <n v="0"/>
    <s v="FRANCO MACHAO"/>
    <s v="franco.machao@divino.com.uy"/>
    <s v="+ 598 (2) 506.1262"/>
    <m/>
    <m/>
  </r>
  <r>
    <x v="25"/>
    <x v="4"/>
    <x v="3"/>
    <m/>
    <d v="2025-06-02T00:00:00"/>
    <x v="2"/>
    <n v="2540031"/>
    <n v="2540031"/>
    <n v="7235"/>
    <s v="Tela Cool Touch A09792 390G 2,20L"/>
    <m/>
    <m/>
    <m/>
    <n v="0"/>
    <s v="Inclusão "/>
    <s v=""/>
    <m/>
    <m/>
    <m/>
  </r>
  <r>
    <x v="26"/>
    <x v="13"/>
    <x v="0"/>
    <m/>
    <d v="2025-06-18T00:00:00"/>
    <x v="3"/>
    <n v="389011"/>
    <n v="4259"/>
    <n v="7442"/>
    <s v="2940053 TP ML 03890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18011"/>
    <n v="4258"/>
    <n v="7442"/>
    <s v="2940052 TP ML 04180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41021"/>
    <n v="4257"/>
    <n v="7442"/>
    <s v="2940051 TP ML 044102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47011"/>
    <n v="4256"/>
    <n v="7442"/>
    <s v="2940050 TP ML 04470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49021"/>
    <n v="4255"/>
    <n v="7442"/>
    <s v="2940049 TP ML 044902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46031"/>
    <n v="4254"/>
    <n v="7442"/>
    <s v="2940048 TP ML 044603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76001"/>
    <n v="4253"/>
    <n v="7442"/>
    <s v="2940047 TP ML 027600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71051"/>
    <n v="4252"/>
    <n v="7442"/>
    <s v="2940046 TP ML 027105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149101"/>
    <n v="4251"/>
    <n v="7442"/>
    <s v="2940045 TP ML 014910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149111"/>
    <n v="4250"/>
    <n v="7442"/>
    <s v="2940044 TP ML 01491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63021"/>
    <n v="4249"/>
    <n v="7442"/>
    <s v="2940043 TP ML 026302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74101"/>
    <n v="4248"/>
    <n v="7442"/>
    <s v="2940042 TP ML 007410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69021"/>
    <n v="4247"/>
    <n v="7442"/>
    <s v="2940041 TP ML 026902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147101"/>
    <n v="4246"/>
    <n v="7442"/>
    <s v="2940040 TP ML 014710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45061"/>
    <n v="4245"/>
    <n v="7442"/>
    <s v="2940039 TP ML 024506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62031"/>
    <n v="4244"/>
    <n v="7442"/>
    <s v="2940038 TP ML 026203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76061"/>
    <n v="4243"/>
    <n v="7442"/>
    <s v="2940037 TP ML 007606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66011"/>
    <n v="4242"/>
    <n v="7442"/>
    <s v="2940036 TP ML 00660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143001"/>
    <n v="4241"/>
    <n v="7442"/>
    <s v="2940035 TP ML 014300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408041"/>
    <n v="4240"/>
    <n v="7442"/>
    <s v="2940034 TP ML 040804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389011"/>
    <n v="4239"/>
    <n v="7442"/>
    <s v="2940033 TP ML 038901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274031"/>
    <n v="4238"/>
    <n v="7442"/>
    <s v="2940032 TP ML 027403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n v="72091"/>
    <n v="4237"/>
    <n v="7442"/>
    <s v="2940031 TP ML 0072091 180G 2,20L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s v="0269005&gt;2940054"/>
    <n v="4267"/>
    <n v="7442"/>
    <s v="180 2,20 100% PES CM Preto e Branco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s v="0389001&gt;2940055"/>
    <n v="4266"/>
    <n v="7442"/>
    <s v="180 2,20 100% PES CM Preto e Branco"/>
    <m/>
    <m/>
    <m/>
    <n v="0"/>
    <s v="José Luis Balderrama"/>
    <s v="inducolsrl@outlook.com"/>
    <s v="591 76971755"/>
    <m/>
    <m/>
  </r>
  <r>
    <x v="26"/>
    <x v="13"/>
    <x v="0"/>
    <m/>
    <d v="2025-06-18T00:00:00"/>
    <x v="3"/>
    <s v="0276005&gt;2940056"/>
    <n v="4265"/>
    <n v="7442"/>
    <s v="180 2,20 100% PES CM Preto e Branco"/>
    <m/>
    <m/>
    <m/>
    <n v="0"/>
    <s v="José Luis Balderrama"/>
    <s v="inducolsrl@outlook.com"/>
    <s v="591 76971755"/>
    <m/>
    <m/>
  </r>
  <r>
    <x v="27"/>
    <x v="4"/>
    <x v="3"/>
    <m/>
    <d v="2025-07-03T00:00:00"/>
    <x v="3"/>
    <n v="32282"/>
    <n v="1523"/>
    <n v="7503"/>
    <s v="32282 - TELA ANTIDESLIZANTE DIVERSAS U - REVENDA ME TP 32282 -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n v="2540012"/>
    <n v="1225"/>
    <n v="7503"/>
    <s v="2540012 TAMPO RASCUNHOS (A07820)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05"/>
    <n v="1236"/>
    <n v="7503"/>
    <s v="2540005 TAMPO GEOMETRICO (A07370)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14"/>
    <n v="3009"/>
    <n v="7503"/>
    <s v="2540014 TP ML A05171 300G 2,20L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18"/>
    <n v="1504"/>
    <n v="7503"/>
    <s v="2540018 TP ML DIV 7806 240G 2,10L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17"/>
    <n v="1506"/>
    <n v="7503"/>
    <s v="2540017 TP ML A08980 280G 2,10L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23--&gt;2540031(3343)"/>
    <n v="1652"/>
    <n v="7503"/>
    <s v="2540031 TP ML A09792 390G 2,20L DV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26"/>
    <n v="2054"/>
    <n v="7503"/>
    <s v="2540026 TP ML 0072051 - 280G 2,20L DEGRA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28"/>
    <n v="1219"/>
    <n v="7503"/>
    <s v="2540028 TP CORDERO 310G 2,10L 0186002 DIVERSAS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2540035"/>
    <n v="3712"/>
    <n v="7503"/>
    <s v="2540035 TP ML A10045 280G 2,20L DV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n v="2540033"/>
    <n v="3589"/>
    <n v="7503"/>
    <s v="2540033 TP ML 132012 340G 2,20L DV U"/>
    <m/>
    <m/>
    <m/>
    <n v="0"/>
    <s v="FRANCO MACHAO"/>
    <s v="franco.machao@divino.com.uy"/>
    <s v="+ 598 (2) 506.1262"/>
    <m/>
    <m/>
  </r>
  <r>
    <x v="27"/>
    <x v="4"/>
    <x v="3"/>
    <m/>
    <d v="2025-07-03T00:00:00"/>
    <x v="3"/>
    <s v="0245021"/>
    <n v="2952"/>
    <n v="7503"/>
    <s v="2540032 TP ML 245021 240G 2,20L DV U"/>
    <m/>
    <m/>
    <m/>
    <n v="0"/>
    <s v="FRANCO MACHAO"/>
    <s v="franco.machao@divino.com.uy"/>
    <s v="+ 598 (2) 506.1262"/>
    <m/>
    <m/>
  </r>
  <r>
    <x v="28"/>
    <x v="5"/>
    <x v="4"/>
    <m/>
    <d v="2025-07-06T00:00:00"/>
    <x v="3"/>
    <n v="1129159"/>
    <n v="2810011"/>
    <n v="7630"/>
    <s v="TELA T NATURAL BAMBOO/TP PARADISE 122034 370G 2,20"/>
    <m/>
    <m/>
    <m/>
    <n v="0"/>
    <s v="Paulina Mena"/>
    <m/>
    <m/>
    <m/>
    <m/>
  </r>
  <r>
    <x v="29"/>
    <x v="14"/>
    <x v="3"/>
    <m/>
    <d v="2025-07-10T00:00:00"/>
    <x v="3"/>
    <n v="303.00130000000001"/>
    <n v="3500"/>
    <n v="7523"/>
    <s v="CF - Tampo Blue Jasmin A09270"/>
    <m/>
    <m/>
    <m/>
    <n v="0"/>
    <s v="Eliana Garayalde"/>
    <s v="polymax@polymax.com.uy"/>
    <m/>
    <m/>
    <m/>
  </r>
  <r>
    <x v="29"/>
    <x v="14"/>
    <x v="3"/>
    <m/>
    <d v="2025-07-10T00:00:00"/>
    <x v="3"/>
    <n v="303.00150000000002"/>
    <n v="4322"/>
    <n v="7523"/>
    <s v="circles black a09272"/>
    <m/>
    <m/>
    <m/>
    <n v="0"/>
    <s v="Eliana Garayalde"/>
    <s v="polymax@polymax.com.uy"/>
    <m/>
    <m/>
    <m/>
  </r>
  <r>
    <x v="29"/>
    <x v="14"/>
    <x v="3"/>
    <m/>
    <d v="2025-07-10T00:00:00"/>
    <x v="3"/>
    <n v="303.00240000000002"/>
    <n v="4323"/>
    <n v="7523"/>
    <s v="95002 - Modelo Gris Escuro"/>
    <m/>
    <m/>
    <m/>
    <n v="0"/>
    <s v="Eliana Garayalde"/>
    <s v="polymax@polymax.com.uy"/>
    <m/>
    <m/>
    <m/>
  </r>
  <r>
    <x v="29"/>
    <x v="14"/>
    <x v="3"/>
    <m/>
    <d v="2025-07-10T00:00:00"/>
    <x v="3"/>
    <n v="303.00259999999997"/>
    <n v="3131"/>
    <n v="7523"/>
    <s v="Branco e Preto - CM"/>
    <m/>
    <m/>
    <m/>
    <n v="0"/>
    <s v="Eliana Garayalde"/>
    <s v="polymax@polymax.com.uy"/>
    <m/>
    <m/>
    <m/>
  </r>
  <r>
    <x v="29"/>
    <x v="14"/>
    <x v="3"/>
    <m/>
    <d v="2025-07-10T00:00:00"/>
    <x v="3"/>
    <n v="303.00279999999998"/>
    <n v="4324"/>
    <n v="7523"/>
    <s v="Branco e Preto - CM"/>
    <m/>
    <m/>
    <m/>
    <n v="0"/>
    <s v="Eliana Garayalde"/>
    <s v="polymax@polymax.com.uy"/>
    <m/>
    <m/>
    <m/>
  </r>
  <r>
    <x v="29"/>
    <x v="14"/>
    <x v="3"/>
    <m/>
    <d v="2025-07-10T00:00:00"/>
    <x v="3"/>
    <n v="303.00319999999999"/>
    <n v="3136"/>
    <n v="7523"/>
    <s v="CM - 2810010 - Star White - BRANCO"/>
    <m/>
    <m/>
    <m/>
    <n v="0"/>
    <s v="Eliana Garayalde"/>
    <s v="polymax@polymax.com.uy"/>
    <m/>
    <m/>
    <m/>
  </r>
  <r>
    <x v="29"/>
    <x v="14"/>
    <x v="3"/>
    <m/>
    <d v="2025-07-10T00:00:00"/>
    <x v="3"/>
    <n v="303.00330000000002"/>
    <n v="3132"/>
    <n v="7523"/>
    <s v="Branco e Preto - CF"/>
    <m/>
    <m/>
    <m/>
    <n v="0"/>
    <s v="Eliana Garayalde"/>
    <s v="polymax@polymax.com.uy"/>
    <m/>
    <m/>
    <m/>
  </r>
  <r>
    <x v="29"/>
    <x v="14"/>
    <x v="3"/>
    <m/>
    <d v="2025-07-10T00:00:00"/>
    <x v="3"/>
    <n v="303.00360000000001"/>
    <n v="3133"/>
    <n v="7523"/>
    <s v="Branco e Preto - PL"/>
    <m/>
    <m/>
    <m/>
    <n v="0"/>
    <s v="Eliana Garayalde"/>
    <s v="polymax@polymax.com.uy"/>
    <m/>
    <m/>
    <m/>
  </r>
  <r>
    <x v="29"/>
    <x v="14"/>
    <x v="3"/>
    <m/>
    <d v="2025-07-10T00:00:00"/>
    <x v="3"/>
    <n v="3030038"/>
    <n v="4325"/>
    <n v="7523"/>
    <s v="160 2,10 100% PES PL CINZA ESCURO E BRANCO"/>
    <m/>
    <m/>
    <m/>
    <n v="0"/>
    <s v="Eliana Garayalde"/>
    <s v="polymax@polymax.com.uy"/>
    <m/>
    <m/>
    <m/>
  </r>
  <r>
    <x v="29"/>
    <x v="14"/>
    <x v="3"/>
    <m/>
    <d v="2025-07-10T00:00:00"/>
    <x v="3"/>
    <n v="303.00400000000002"/>
    <n v="3135"/>
    <n v="7523"/>
    <s v="A09535 - Preta e Branco - CF (Banda negra pleno)"/>
    <m/>
    <m/>
    <m/>
    <n v="0"/>
    <s v="Eliana Garayalde"/>
    <s v="polymax@polymax.com.uy"/>
    <m/>
    <m/>
    <m/>
  </r>
  <r>
    <x v="29"/>
    <x v="14"/>
    <x v="3"/>
    <m/>
    <d v="2025-07-10T00:00:00"/>
    <x v="3"/>
    <n v="303.00450000000001"/>
    <n v="4326"/>
    <n v="7523"/>
    <s v="XN - A06305 Modelo Original "/>
    <m/>
    <m/>
    <m/>
    <n v="0"/>
    <s v="Eliana Garayalde"/>
    <s v="polymax@polymax.com.uy"/>
    <m/>
    <m/>
    <m/>
  </r>
  <r>
    <x v="29"/>
    <x v="14"/>
    <x v="3"/>
    <m/>
    <d v="2025-07-10T00:00:00"/>
    <x v="3"/>
    <n v="303.00459999999998"/>
    <n v="4327"/>
    <n v="7523"/>
    <s v="Branco con Azul Marino - XW"/>
    <m/>
    <m/>
    <m/>
    <n v="0"/>
    <s v="Eliana Garayalde"/>
    <s v="polymax@polymax.com.uy"/>
    <m/>
    <m/>
    <m/>
  </r>
  <r>
    <x v="29"/>
    <x v="14"/>
    <x v="3"/>
    <m/>
    <d v="2025-07-10T00:00:00"/>
    <x v="3"/>
    <n v="303.005"/>
    <n v="3138"/>
    <n v="7523"/>
    <s v="CF-A06781 - Desert B. Cor Caqui"/>
    <m/>
    <m/>
    <m/>
    <n v="0"/>
    <s v="Eliana Garayalde"/>
    <s v="polymax@polymax.com.uy"/>
    <m/>
    <m/>
    <m/>
  </r>
  <r>
    <x v="29"/>
    <x v="14"/>
    <x v="3"/>
    <m/>
    <d v="2025-07-10T00:00:00"/>
    <x v="3"/>
    <n v="303.0052"/>
    <n v="3144"/>
    <n v="7523"/>
    <s v="240015 - Diseño color Negro - XW"/>
    <m/>
    <m/>
    <m/>
    <n v="0"/>
    <s v="Eliana Garayalde"/>
    <s v="polymax@polymax.com.uy"/>
    <m/>
    <m/>
    <m/>
  </r>
  <r>
    <x v="29"/>
    <x v="14"/>
    <x v="3"/>
    <m/>
    <d v="2025-07-10T00:00:00"/>
    <x v="3"/>
    <n v="303.00540000000001"/>
    <n v="3146"/>
    <n v="7523"/>
    <s v="119022 - Diseno color Gris Original - CF"/>
    <m/>
    <m/>
    <m/>
    <n v="0"/>
    <s v="Eliana Garayalde"/>
    <s v="polymax@polymax.com.uy"/>
    <m/>
    <m/>
    <m/>
  </r>
  <r>
    <x v="29"/>
    <x v="14"/>
    <x v="3"/>
    <m/>
    <d v="2025-07-10T00:00:00"/>
    <x v="3"/>
    <n v="303.00549999999998"/>
    <n v="3147"/>
    <n v="7523"/>
    <s v="291014 - Diseño color Negro - CM"/>
    <m/>
    <m/>
    <m/>
    <n v="0"/>
    <s v="Eliana Garayalde"/>
    <s v="polymax@polymax.com.uy"/>
    <m/>
    <m/>
    <m/>
  </r>
  <r>
    <x v="29"/>
    <x v="14"/>
    <x v="3"/>
    <m/>
    <d v="2025-07-10T00:00:00"/>
    <x v="3"/>
    <n v="303.00560000000002"/>
    <n v="3148"/>
    <n v="7523"/>
    <s v="CM 292012 - Color Arena"/>
    <m/>
    <m/>
    <m/>
    <n v="0"/>
    <s v="Eliana Garayalde"/>
    <s v="polymax@polymax.com.uy"/>
    <m/>
    <m/>
    <m/>
  </r>
  <r>
    <x v="29"/>
    <x v="14"/>
    <x v="3"/>
    <m/>
    <d v="2025-07-10T00:00:00"/>
    <x v="3"/>
    <n v="303.0061"/>
    <n v="3505"/>
    <n v="7523"/>
    <s v="CF - BANDA A08205 NEGRO"/>
    <m/>
    <m/>
    <m/>
    <n v="0"/>
    <s v="Eliana Garayalde"/>
    <s v="polymax@polymax.com.uy"/>
    <m/>
    <m/>
    <m/>
  </r>
  <r>
    <x v="29"/>
    <x v="14"/>
    <x v="3"/>
    <m/>
    <d v="2025-07-10T00:00:00"/>
    <x v="3"/>
    <n v="303.00659999999999"/>
    <n v="3511"/>
    <n v="7523"/>
    <s v="CM - 0094001 BLANCO"/>
    <m/>
    <m/>
    <m/>
    <n v="0"/>
    <s v="Eliana Garayalde"/>
    <s v="polymax@polymax.com.uy"/>
    <m/>
    <m/>
    <m/>
  </r>
  <r>
    <x v="29"/>
    <x v="14"/>
    <x v="3"/>
    <m/>
    <d v="2025-07-10T00:00:00"/>
    <x v="3"/>
    <n v="303.00670000000002"/>
    <n v="3652"/>
    <n v="7523"/>
    <s v="Diseño TP 0386003"/>
    <m/>
    <m/>
    <m/>
    <n v="0"/>
    <s v="Eliana Garayalde"/>
    <s v="polymax@polymax.com.uy"/>
    <m/>
    <m/>
    <m/>
  </r>
  <r>
    <x v="29"/>
    <x v="14"/>
    <x v="3"/>
    <m/>
    <d v="2025-07-10T00:00:00"/>
    <x v="3"/>
    <n v="303.00689999999997"/>
    <n v="4329"/>
    <n v="7523"/>
    <s v="180 2,20 100% PES CM BRANCO E PRETO"/>
    <m/>
    <m/>
    <m/>
    <n v="0"/>
    <s v="Eliana Garayalde"/>
    <s v="polymax@polymax.com.uy"/>
    <m/>
    <m/>
    <m/>
  </r>
  <r>
    <x v="29"/>
    <x v="14"/>
    <x v="3"/>
    <m/>
    <d v="2025-07-10T00:00:00"/>
    <x v="3"/>
    <n v="303.0068"/>
    <n v="4328"/>
    <n v="7523"/>
    <s v="200 2,20 100% PES CM BRANCO E CINZA"/>
    <m/>
    <m/>
    <m/>
    <n v="0"/>
    <s v="Eliana Garayalde"/>
    <s v="polymax@polymax.com.uy"/>
    <m/>
    <m/>
    <m/>
  </r>
  <r>
    <x v="30"/>
    <x v="9"/>
    <x v="5"/>
    <m/>
    <d v="2025-07-14T00:00:00"/>
    <x v="3"/>
    <s v="TL86257"/>
    <s v="A10169 (4114)3530001"/>
    <n v="7672"/>
    <s v="TELA TAPA CALM  (TL86257)"/>
    <m/>
    <m/>
    <m/>
    <n v="0"/>
    <s v="Sebastián Mayo"/>
    <s v="smayo@bedtime.com.ar"/>
    <m/>
    <m/>
    <m/>
  </r>
  <r>
    <x v="30"/>
    <x v="9"/>
    <x v="5"/>
    <m/>
    <d v="2025-07-14T00:00:00"/>
    <x v="3"/>
    <s v="TL98392"/>
    <s v="3530004  (Bed002)"/>
    <n v="7672"/>
    <s v="TELATRIANGULO GRIS OSCURO 200GR 2,20  BED002"/>
    <m/>
    <m/>
    <m/>
    <n v="0"/>
    <s v="Sebastián Mayo"/>
    <s v="smayo@bedtime.com.ar"/>
    <m/>
    <m/>
    <m/>
  </r>
  <r>
    <x v="30"/>
    <x v="9"/>
    <x v="5"/>
    <m/>
    <d v="2025-07-14T00:00:00"/>
    <x v="3"/>
    <s v="TL97788"/>
    <s v="3530003 (Bed003)"/>
    <n v="7672"/>
    <s v="TELA ROMBO DEGRADE AZUL 200GR 2,20  BED003"/>
    <m/>
    <m/>
    <m/>
    <n v="0"/>
    <s v="Sebastián Mayo"/>
    <s v="smayo@bedtime.com.ar"/>
    <m/>
    <m/>
    <m/>
  </r>
  <r>
    <x v="30"/>
    <x v="9"/>
    <x v="5"/>
    <m/>
    <d v="2025-07-14T00:00:00"/>
    <x v="3"/>
    <s v="TL27565"/>
    <s v="3530005 (Bed010)"/>
    <n v="7672"/>
    <s v="TELA CIRCULO GRIS OSCURO 200GR 2,20  BED010"/>
    <m/>
    <m/>
    <m/>
    <n v="0"/>
    <s v="Sebastián Mayo"/>
    <s v="smayo@bedtime.com.ar"/>
    <m/>
    <m/>
    <m/>
  </r>
  <r>
    <x v="31"/>
    <x v="9"/>
    <x v="5"/>
    <m/>
    <d v="2025-07-14T00:00:00"/>
    <x v="4"/>
    <s v="TL86257"/>
    <s v="A10169 (4114) 3530001"/>
    <n v="7673"/>
    <s v="TELA TAPA CALM  (TL86257)"/>
    <m/>
    <m/>
    <m/>
    <n v="0"/>
    <s v="Sebastián Mayo"/>
    <s v="smayo@bedtime.com.ar"/>
    <m/>
    <m/>
    <m/>
  </r>
  <r>
    <x v="31"/>
    <x v="9"/>
    <x v="5"/>
    <m/>
    <d v="2025-07-14T00:00:00"/>
    <x v="4"/>
    <s v="TL98392-A10108"/>
    <s v="3530004  (Bed002) (4332)"/>
    <n v="7673"/>
    <s v="TELATRIANGULO GRIS OSCURO 200GR 2,20  BED002"/>
    <m/>
    <m/>
    <m/>
    <n v="0"/>
    <s v="Sebastián Mayo"/>
    <s v="smayo@bedtime.com.ar"/>
    <m/>
    <m/>
    <m/>
  </r>
  <r>
    <x v="31"/>
    <x v="9"/>
    <x v="5"/>
    <m/>
    <d v="2025-07-14T00:00:00"/>
    <x v="4"/>
    <s v="TL97788-A10104"/>
    <s v="3530003 (Bed003)(4331)"/>
    <n v="7673"/>
    <s v="TELA ROMBO DEGRADE AZUL 200GR 2,20  BED003"/>
    <m/>
    <m/>
    <m/>
    <n v="0"/>
    <s v="Sebastián Mayo"/>
    <s v="smayo@bedtime.com.ar"/>
    <m/>
    <m/>
    <m/>
  </r>
  <r>
    <x v="31"/>
    <x v="9"/>
    <x v="5"/>
    <m/>
    <d v="2025-07-14T00:00:00"/>
    <x v="4"/>
    <s v="TL27565"/>
    <s v="3530005 (Bed010)"/>
    <n v="7673"/>
    <s v="TELA CIRCULO GRIS OSCURO 200GR 2,20  BED010"/>
    <m/>
    <m/>
    <m/>
    <n v="0"/>
    <s v="Sebastián Mayo"/>
    <s v="smayo@bedtime.com.ar"/>
    <m/>
    <m/>
    <m/>
  </r>
  <r>
    <x v="32"/>
    <x v="15"/>
    <x v="2"/>
    <m/>
    <d v="2025-07-14T00:00:00"/>
    <x v="3"/>
    <s v="A10016 (4352)"/>
    <n v="3260016"/>
    <n v="7758"/>
    <s v="5 ESTRELLAS POR ELLAS-TP 0304002 280G 2,20L"/>
    <m/>
    <m/>
    <m/>
    <n v="0"/>
    <s v="José Luis Andrango"/>
    <s v="joseandrando@paraiso.com.ec"/>
    <m/>
    <m/>
    <m/>
  </r>
  <r>
    <x v="32"/>
    <x v="15"/>
    <x v="2"/>
    <m/>
    <d v="2025-07-14T00:00:00"/>
    <x v="3"/>
    <s v="A10230 (4351)"/>
    <n v="3260017"/>
    <n v="7758"/>
    <s v="BANDA 5 ESTRELLAS POR ELLAS-TP A10230 220G 2,20L"/>
    <m/>
    <m/>
    <m/>
    <n v="0"/>
    <s v="José Luis Andrango"/>
    <s v="joseandrando@paraiso.com.ec"/>
    <m/>
    <m/>
    <m/>
  </r>
  <r>
    <x v="32"/>
    <x v="15"/>
    <x v="2"/>
    <m/>
    <d v="2025-07-14T00:00:00"/>
    <x v="3"/>
    <s v="03404002 (4355)"/>
    <n v="3260018"/>
    <n v="7758"/>
    <s v="PARAISO ROLL -TP 0304002 280G 2,20L"/>
    <m/>
    <m/>
    <m/>
    <n v="0"/>
    <s v="José Luis Andrango"/>
    <s v="joseandrando@paraiso.com.ec"/>
    <m/>
    <m/>
    <m/>
  </r>
  <r>
    <x v="32"/>
    <x v="15"/>
    <x v="2"/>
    <m/>
    <d v="2025-07-14T00:00:00"/>
    <x v="3"/>
    <s v="0274055 (4354)"/>
    <n v="3260019"/>
    <n v="7758"/>
    <s v="ACCESORIOS - 3260019 0274055 220G 2,20L"/>
    <m/>
    <m/>
    <m/>
    <n v="0"/>
    <s v="José Luis Andrango"/>
    <s v="joseandrando@paraiso.com.ec"/>
    <m/>
    <m/>
    <m/>
  </r>
  <r>
    <x v="32"/>
    <x v="15"/>
    <x v="2"/>
    <m/>
    <d v="2025-07-14T00:00:00"/>
    <x v="3"/>
    <n v="3260015"/>
    <s v="3.260.015 (0122054)"/>
    <n v="7758"/>
    <s v="POCKET COIL V2- TP 0122054 300G 2,20"/>
    <m/>
    <m/>
    <m/>
    <n v="0"/>
    <s v="José Luis Andrango"/>
    <s v="joseandrando@paraiso.com.ec"/>
    <m/>
    <m/>
    <m/>
  </r>
  <r>
    <x v="32"/>
    <x v="15"/>
    <x v="2"/>
    <m/>
    <d v="2025-07-14T00:00:00"/>
    <x v="3"/>
    <s v="02911084 (4356)"/>
    <n v="3260020"/>
    <n v="7758"/>
    <s v="220 2,20 PES XN GRIS  muestra"/>
    <m/>
    <m/>
    <m/>
    <n v="0"/>
    <s v="José Luis Andrango"/>
    <s v="joseandrando@paraiso.com.ec"/>
    <m/>
    <m/>
    <m/>
  </r>
  <r>
    <x v="32"/>
    <x v="15"/>
    <x v="2"/>
    <m/>
    <d v="2025-07-14T00:00:00"/>
    <x v="3"/>
    <s v="0147125 (4357)"/>
    <n v="3260021"/>
    <n v="7758"/>
    <s v="TP HOJA DE BAMBU"/>
    <m/>
    <m/>
    <m/>
    <n v="0"/>
    <s v="José Luis Andrango"/>
    <s v="joseandrando@paraiso.com.ec"/>
    <m/>
    <m/>
    <m/>
  </r>
  <r>
    <x v="33"/>
    <x v="13"/>
    <x v="0"/>
    <m/>
    <d v="2025-07-14T00:00:00"/>
    <x v="3"/>
    <s v="IND005"/>
    <s v="0071061-2940059"/>
    <n v="7763"/>
    <s v="300 2,20 PES / PE CM BLANCO"/>
    <m/>
    <m/>
    <m/>
    <n v="0"/>
    <s v="José Luis Balderrama"/>
    <s v="inducolsrl@outlook.com"/>
    <m/>
    <m/>
    <m/>
  </r>
  <r>
    <x v="33"/>
    <x v="13"/>
    <x v="0"/>
    <m/>
    <d v="2025-07-14T00:00:00"/>
    <x v="3"/>
    <s v="IND006"/>
    <s v="0414021-2940058"/>
    <n v="7763"/>
    <s v="300 2,20 PES / PE CM BLANCO"/>
    <m/>
    <m/>
    <m/>
    <n v="0"/>
    <s v="José Luis Balderrama"/>
    <s v="inducolsrl@outlook.com"/>
    <m/>
    <m/>
    <m/>
  </r>
  <r>
    <x v="33"/>
    <x v="13"/>
    <x v="0"/>
    <m/>
    <d v="2025-07-14T00:00:00"/>
    <x v="3"/>
    <s v="IND007"/>
    <s v="0423021-2940057"/>
    <n v="7763"/>
    <s v="300 2,20 PES / PE CM BLANCO"/>
    <m/>
    <m/>
    <m/>
    <n v="0"/>
    <s v="José Luis Balderrama"/>
    <s v="inducolsrl@outlook.com"/>
    <m/>
    <m/>
    <m/>
  </r>
  <r>
    <x v="33"/>
    <x v="13"/>
    <x v="0"/>
    <m/>
    <d v="2025-07-14T00:00:00"/>
    <x v="3"/>
    <s v="0260015"/>
    <s v="0260025-2940060"/>
    <n v="7763"/>
    <s v="300 2,20 99% PES 1% PA XN MESCLAAZUL"/>
    <m/>
    <m/>
    <m/>
    <n v="0"/>
    <s v="José Luis Balderrama"/>
    <s v="inducolsrl@outlook.com"/>
    <m/>
    <m/>
    <m/>
  </r>
  <r>
    <x v="33"/>
    <x v="13"/>
    <x v="0"/>
    <m/>
    <d v="2025-07-14T00:00:00"/>
    <x v="3"/>
    <s v="0269015"/>
    <s v="0269041-2940061"/>
    <n v="7763"/>
    <s v="300 2,20 100% PES CM MESCLA Y BLANCO"/>
    <m/>
    <m/>
    <m/>
    <n v="0"/>
    <s v="José Luis Balderrama"/>
    <s v="inducolsrl@outlook.com"/>
    <m/>
    <m/>
    <m/>
  </r>
  <r>
    <x v="33"/>
    <x v="13"/>
    <x v="0"/>
    <m/>
    <d v="2025-07-14T00:00:00"/>
    <x v="3"/>
    <s v="0408001"/>
    <s v="0408051-2940062"/>
    <n v="7763"/>
    <s v="260 2,20 98% PES 2% LINEN CM BEGE Y LINEN"/>
    <m/>
    <m/>
    <m/>
    <n v="0"/>
    <s v="José Luis Balderrama"/>
    <s v="inducolsrl@outlook.com"/>
    <m/>
    <m/>
    <m/>
  </r>
  <r>
    <x v="33"/>
    <x v="13"/>
    <x v="0"/>
    <m/>
    <d v="2025-07-14T00:00:00"/>
    <x v="3"/>
    <s v="0239012"/>
    <s v="0239022-2940063"/>
    <n v="7763"/>
    <s v="300 2,20 100% PES NV MESCLA"/>
    <m/>
    <m/>
    <m/>
    <n v="0"/>
    <s v="José Luis Balderrama"/>
    <s v="inducolsrl@outlook.com"/>
    <m/>
    <m/>
    <m/>
  </r>
  <r>
    <x v="33"/>
    <x v="13"/>
    <x v="0"/>
    <m/>
    <d v="2025-07-14T00:00:00"/>
    <x v="3"/>
    <s v="0416001"/>
    <s v="0416061-2940064"/>
    <n v="7763"/>
    <s v="300 2,20 100% PES CM BLANCO"/>
    <m/>
    <m/>
    <m/>
    <n v="0"/>
    <s v="José Luis Balderrama"/>
    <s v="inducolsrl@outlook.com"/>
    <m/>
    <m/>
    <m/>
  </r>
  <r>
    <x v="33"/>
    <x v="13"/>
    <x v="0"/>
    <m/>
    <d v="2025-07-14T00:00:00"/>
    <x v="3"/>
    <s v="IND008"/>
    <s v="0441041 -2940065"/>
    <n v="7763"/>
    <s v="320 2,20 99% PES 1% PUE CM BLANCO"/>
    <m/>
    <m/>
    <m/>
    <n v="0"/>
    <s v="José Luis Balderrama"/>
    <s v="inducolsrl@outlook.com"/>
    <m/>
    <m/>
    <m/>
  </r>
  <r>
    <x v="33"/>
    <x v="13"/>
    <x v="0"/>
    <m/>
    <d v="2025-07-14T00:00:00"/>
    <x v="3"/>
    <s v="IND009"/>
    <s v="0389031- 2940066"/>
    <n v="7763"/>
    <s v="360 2,20 100% PES CM GRIS Y BLANCO"/>
    <m/>
    <m/>
    <m/>
    <n v="0"/>
    <s v="José Luis Balderrama"/>
    <s v="inducolsrl@outlook.com"/>
    <m/>
    <m/>
    <m/>
  </r>
  <r>
    <x v="34"/>
    <x v="16"/>
    <x v="5"/>
    <m/>
    <d v="2025-07-15T00:00:00"/>
    <x v="3"/>
    <s v="0094001 Id 5831"/>
    <s v="3550001 (4350)"/>
    <n v="7780"/>
    <s v="TELA SPRINGWALL 220 2,20 100% PES CM Branco"/>
    <m/>
    <m/>
    <m/>
    <n v="0"/>
    <s v="Ezequiel Lovera"/>
    <s v="compras@springwall.com..ar"/>
    <m/>
    <m/>
    <m/>
  </r>
  <r>
    <x v="35"/>
    <x v="16"/>
    <x v="5"/>
    <m/>
    <d v="2025-07-23T00:00:00"/>
    <x v="3"/>
    <s v="02920001 Id 5831- 4350"/>
    <s v="3550001 (4350)"/>
    <n v="7777"/>
    <s v="TELA SPRINGWALL 220 2,20 100% PES CM Branco"/>
    <m/>
    <m/>
    <m/>
    <n v="0"/>
    <s v="Ezequiel Lovera"/>
    <s v="compras@springwall.com..ar"/>
    <m/>
    <m/>
    <m/>
  </r>
  <r>
    <x v="22"/>
    <x v="5"/>
    <x v="4"/>
    <m/>
    <d v="2025-07-25T00:00:00"/>
    <x v="3"/>
    <s v="A10131"/>
    <s v="2810013 (4041)"/>
    <n v="7797"/>
    <s v="Tela Black -  TP ML A10131"/>
    <m/>
    <m/>
    <m/>
    <n v="0"/>
    <s v="Paulina Mena"/>
    <s v="paulina.mena@flex.es"/>
    <s v="56 96205 0626"/>
    <m/>
    <m/>
  </r>
  <r>
    <x v="36"/>
    <x v="5"/>
    <x v="4"/>
    <m/>
    <d v="2025-08-06T00:00:00"/>
    <x v="4"/>
    <n v="1121110"/>
    <s v="2810005 (1422)"/>
    <n v="8123"/>
    <s v="TELA T SENSITY HOJA-2810005 TP FOLHA 240G 2,20L (1121110)"/>
    <m/>
    <m/>
    <m/>
    <n v="0"/>
    <s v="Paulina Mena"/>
    <s v="paulina.mena@flex.es"/>
    <s v="56 96205 0626"/>
    <m/>
    <m/>
  </r>
  <r>
    <x v="36"/>
    <x v="5"/>
    <x v="4"/>
    <m/>
    <d v="2025-08-06T00:00:00"/>
    <x v="4"/>
    <n v="1122580"/>
    <s v="2810009 (1419)"/>
    <n v="8123"/>
    <s v="Tela Therapeutic - Gray - ARTIGO EM STOCK-Não precisa produzir"/>
    <m/>
    <m/>
    <m/>
    <n v="0"/>
    <s v="Paulina Mena"/>
    <s v="paulina.mena@flex.es"/>
    <s v="56 96205 0626"/>
    <m/>
    <m/>
  </r>
  <r>
    <x v="37"/>
    <x v="4"/>
    <x v="3"/>
    <m/>
    <d v="2025-08-11T00:00:00"/>
    <x v="4"/>
    <n v="32282"/>
    <s v="32282 (1523)"/>
    <n v="8154"/>
    <s v="32282 - TELA ANTIDESLIZANTE DIVERSAS U  -REVENDA"/>
    <m/>
    <m/>
    <m/>
    <n v="0"/>
    <s v="FRANCO MACHAO"/>
    <s v="franco.machao@divino.com.uy"/>
    <s v="+ 598 (2) 506.1262"/>
    <m/>
    <m/>
  </r>
  <r>
    <x v="37"/>
    <x v="4"/>
    <x v="3"/>
    <m/>
    <d v="2025-08-11T00:00:00"/>
    <x v="4"/>
    <n v="32341"/>
    <s v="2540014 (3009)"/>
    <n v="8154"/>
    <s v="2540014 TP ML A05171 300G 2,20L DIVERSAS U"/>
    <m/>
    <m/>
    <m/>
    <n v="0"/>
    <s v="FRANCO MACHAO"/>
    <s v="franco.machao@divino.com.uy"/>
    <s v="+ 598 (2) 506.1262"/>
    <m/>
    <m/>
  </r>
  <r>
    <x v="37"/>
    <x v="4"/>
    <x v="3"/>
    <m/>
    <d v="2025-08-11T00:00:00"/>
    <x v="4"/>
    <n v="32370"/>
    <s v="2540015 (1226)"/>
    <n v="8154"/>
    <s v="2540015 TAMPO PONTILHADOS PRETO (A07803) DIVERSAS U"/>
    <m/>
    <m/>
    <m/>
    <n v="0"/>
    <s v="FRANCO MACHAO"/>
    <s v="franco.machao@divino.com.uy"/>
    <s v="+ 598 (2) 506.1262"/>
    <m/>
    <m/>
  </r>
  <r>
    <x v="37"/>
    <x v="4"/>
    <x v="3"/>
    <m/>
    <d v="2025-08-11T00:00:00"/>
    <x v="4"/>
    <n v="35031"/>
    <s v="2540025 (2053)"/>
    <n v="8154"/>
    <s v="2540025 TP ML 0069001 - 300G 2,20L CONTE DIVERSAS U"/>
    <m/>
    <m/>
    <m/>
    <n v="0"/>
    <s v="FRANCO MACHAO"/>
    <s v="franco.machao@divino.com.uy"/>
    <s v="+ 598 (2) 506.1262"/>
    <m/>
    <m/>
  </r>
  <r>
    <x v="37"/>
    <x v="4"/>
    <x v="3"/>
    <m/>
    <d v="2025-08-11T00:00:00"/>
    <x v="4"/>
    <n v="35145"/>
    <s v="2540035 (3712)"/>
    <n v="8154"/>
    <s v="2540035 TP ML A10045 280G 2,20L DV U"/>
    <m/>
    <m/>
    <m/>
    <n v="0"/>
    <s v="FRANCO MACHAO"/>
    <s v="franco.machao@divino.com.uy"/>
    <s v="+ 598 (2) 506.1262"/>
    <m/>
    <m/>
  </r>
  <r>
    <x v="38"/>
    <x v="17"/>
    <x v="5"/>
    <m/>
    <d v="2025-08-11T00:00:00"/>
    <x v="4"/>
    <s v="SAR001&gt;A10097"/>
    <s v="3470004 (4401)"/>
    <n v="8172"/>
    <s v="TELA SIMMONS GRIS 240GR-2,30L"/>
    <m/>
    <m/>
    <m/>
    <n v="0"/>
    <s v="Martin Miller"/>
    <s v="comercial@martinmiller.com.ar"/>
    <m/>
    <m/>
    <m/>
  </r>
  <r>
    <x v="38"/>
    <x v="17"/>
    <x v="5"/>
    <m/>
    <d v="2025-08-11T00:00:00"/>
    <x v="4"/>
    <s v="SAR002&gt;A10101"/>
    <s v="3470005 (4402)"/>
    <n v="8172"/>
    <s v="TELA SIMMONS AZUL MARINHO 240GR-2,30L"/>
    <m/>
    <m/>
    <m/>
    <n v="0"/>
    <s v="Martin Miller"/>
    <s v="comercial@martinmiller.com.ar"/>
    <m/>
    <m/>
    <m/>
  </r>
  <r>
    <x v="39"/>
    <x v="11"/>
    <x v="1"/>
    <m/>
    <d v="2025-08-12T00:00:00"/>
    <x v="4"/>
    <s v="A09970 (3701)"/>
    <n v="3200014"/>
    <n v="8155"/>
    <s v="Tela SuperSpuma Dots 1 - Azul"/>
    <m/>
    <m/>
    <m/>
    <n v="0"/>
    <s v="Leticia Roig"/>
    <s v="leticia.roig@superspuma.com"/>
    <s v="595 985 629024"/>
    <m/>
    <m/>
  </r>
  <r>
    <x v="39"/>
    <x v="11"/>
    <x v="1"/>
    <m/>
    <d v="2025-08-12T00:00:00"/>
    <x v="4"/>
    <s v="A009971 (3702)"/>
    <n v="3200015"/>
    <n v="8155"/>
    <s v="Tela SuperSpuma Dots 1 - Bordó"/>
    <m/>
    <m/>
    <m/>
    <n v="0"/>
    <s v="Leticia Roig"/>
    <s v="leticia.roig@superspuma.com"/>
    <s v="595 985 629024"/>
    <m/>
    <m/>
  </r>
  <r>
    <x v="39"/>
    <x v="11"/>
    <x v="1"/>
    <m/>
    <d v="2025-08-12T00:00:00"/>
    <x v="4"/>
    <s v="A09969 (3700)"/>
    <n v="3200013"/>
    <n v="8155"/>
    <s v="Tela SuperSpuma Dots 1 - Negra"/>
    <m/>
    <m/>
    <m/>
    <n v="0"/>
    <s v="Leticia Roig"/>
    <s v="leticia.roig@superspuma.com"/>
    <s v="595 985 629024"/>
    <m/>
    <m/>
  </r>
  <r>
    <x v="39"/>
    <x v="11"/>
    <x v="1"/>
    <m/>
    <d v="2025-08-12T00:00:00"/>
    <x v="4"/>
    <s v="A09858 (3274)"/>
    <n v="3200012"/>
    <n v="8155"/>
    <s v="Tela Superkids Azul"/>
    <m/>
    <m/>
    <m/>
    <n v="0"/>
    <s v="Leticia Roig"/>
    <s v="leticia.roig@superspuma.com"/>
    <s v="595 985 629024"/>
    <m/>
    <m/>
  </r>
  <r>
    <x v="39"/>
    <x v="11"/>
    <x v="1"/>
    <m/>
    <d v="2025-08-12T00:00:00"/>
    <x v="4"/>
    <s v="0080011 (1979)"/>
    <s v="3200010-06"/>
    <n v="8155"/>
    <s v="Tela Waves Lino Salmón"/>
    <m/>
    <m/>
    <m/>
    <n v="0"/>
    <s v="Leticia Roig"/>
    <s v="leticia.roig@superspuma.com"/>
    <s v="595 985 629024"/>
    <m/>
    <m/>
  </r>
  <r>
    <x v="39"/>
    <x v="11"/>
    <x v="1"/>
    <m/>
    <d v="2025-08-12T00:00:00"/>
    <x v="4"/>
    <s v="320004 (1757)"/>
    <n v="3200004"/>
    <n v="8155"/>
    <s v="TP ML IMPERAL BLACK "/>
    <m/>
    <m/>
    <m/>
    <n v="0"/>
    <s v="Leticia Roig"/>
    <s v="leticia.roig@superspuma.com"/>
    <s v="595 985 629024"/>
    <m/>
    <m/>
  </r>
  <r>
    <x v="40"/>
    <x v="18"/>
    <x v="1"/>
    <m/>
    <d v="2025-08-21T00:00:00"/>
    <x v="5"/>
    <s v="3370008 (2209)"/>
    <n v="3370008"/>
    <n v="8315"/>
    <s v="Modelo coleção c/ logo novo"/>
    <m/>
    <m/>
    <m/>
    <n v="0"/>
    <s v="Daniel Garnica"/>
    <s v="daniel.garnica@colchonesheaven.com"/>
    <s v="591 75501534"/>
    <m/>
    <m/>
  </r>
  <r>
    <x v="40"/>
    <x v="18"/>
    <x v="1"/>
    <m/>
    <d v="2025-08-21T00:00:00"/>
    <x v="5"/>
    <s v="PFO (4454)"/>
    <n v="4454"/>
    <n v="8315"/>
    <s v="Fondo Café PUFF Ondas/REVENDA ME TP CAFE PUFF"/>
    <m/>
    <m/>
    <m/>
    <n v="0"/>
    <s v="Daniel Garnica"/>
    <s v="daniel.garnica@colchonesheaven.com"/>
    <s v="591 75501534"/>
    <m/>
    <m/>
  </r>
  <r>
    <x v="40"/>
    <x v="18"/>
    <x v="1"/>
    <m/>
    <d v="2025-08-21T00:00:00"/>
    <x v="5"/>
    <s v="3370007 (2208)"/>
    <n v="2208"/>
    <n v="8315"/>
    <s v="Bambú"/>
    <m/>
    <m/>
    <m/>
    <n v="0"/>
    <s v="Daniel Garnica"/>
    <s v="daniel.garnica@colchonesheaven.com"/>
    <s v="591 75501534"/>
    <m/>
    <m/>
  </r>
  <r>
    <x v="40"/>
    <x v="18"/>
    <x v="1"/>
    <m/>
    <d v="2025-08-21T00:00:00"/>
    <x v="5"/>
    <s v="3370005 (2206)"/>
    <n v="2206"/>
    <n v="8315"/>
    <s v="Favo Blanco / 3370005 TP ML BOL 180G 2,20L DIVERSAS U"/>
    <m/>
    <m/>
    <m/>
    <n v="0"/>
    <s v="Daniel Garnica"/>
    <s v="daniel.garnica@colchonesheaven.com"/>
    <s v="591 75501534"/>
    <m/>
    <m/>
  </r>
  <r>
    <x v="41"/>
    <x v="19"/>
    <x v="6"/>
    <m/>
    <d v="2025-08-25T00:00:00"/>
    <x v="5"/>
    <s v="0156014"/>
    <s v="3560003 (4449)"/>
    <n v="8312"/>
    <s v="TELA 100% PES BLANCO Y GRIS PERLA 280GR XP"/>
    <m/>
    <m/>
    <m/>
    <n v="0"/>
    <s v="Eliezer Garbin"/>
    <s v="FATURASERVAN@HOTMAIL.COM"/>
    <s v="(45) 3572-8738"/>
    <m/>
    <m/>
  </r>
  <r>
    <x v="41"/>
    <x v="19"/>
    <x v="6"/>
    <m/>
    <d v="2025-08-25T00:00:00"/>
    <x v="5"/>
    <s v="0156004"/>
    <s v="3560002 (4448)"/>
    <n v="8312"/>
    <s v="TELA 100% PES BLANCO Y  ARENA 280GR XP"/>
    <m/>
    <m/>
    <m/>
    <n v="0"/>
    <s v="Eliezer Garbin"/>
    <s v="FATURASERVAN@HOTMAIL.COM"/>
    <s v="(45) 3572-8738"/>
    <m/>
    <m/>
  </r>
  <r>
    <x v="41"/>
    <x v="19"/>
    <x v="6"/>
    <m/>
    <d v="2025-08-25T00:00:00"/>
    <x v="5"/>
    <s v="0347014"/>
    <s v="3560001 (4447)"/>
    <n v="8312"/>
    <s v="TELA 100% PES  GRIS OSCURO Y GRIS CLARO 280GR XP"/>
    <m/>
    <m/>
    <m/>
    <n v="0"/>
    <s v="Eliezer Garbin"/>
    <s v="FATURASERVAN@HOTMAIL.COM"/>
    <s v="(45) 3572-8738"/>
    <m/>
    <m/>
  </r>
  <r>
    <x v="42"/>
    <x v="4"/>
    <x v="3"/>
    <m/>
    <d v="2025-09-04T00:00:00"/>
    <x v="5"/>
    <n v="32282"/>
    <s v="32282 (1523)"/>
    <n v="8348"/>
    <s v="TELA ANTIDESLIZANTE CONEXÃO DV U"/>
    <m/>
    <m/>
    <m/>
    <n v="0"/>
    <s v="FRANCO MACHAO"/>
    <s v="franco.machao@divino.com.uy"/>
    <s v="+ 598 (2) 506.1262"/>
    <m/>
    <m/>
  </r>
  <r>
    <x v="42"/>
    <x v="4"/>
    <x v="3"/>
    <m/>
    <d v="2025-09-04T00:00:00"/>
    <x v="5"/>
    <n v="35149"/>
    <s v="2540033 (3589)"/>
    <n v="8348"/>
    <s v="TELA TP ML 132012 340G 2,20L DV U"/>
    <m/>
    <m/>
    <m/>
    <n v="0"/>
    <s v="FRANCO MACHAO"/>
    <s v="franco.machao@divino.com.uy"/>
    <s v="+ 598 (2) 506.1262"/>
    <m/>
    <m/>
  </r>
  <r>
    <x v="42"/>
    <x v="4"/>
    <x v="3"/>
    <m/>
    <d v="2025-09-04T00:00:00"/>
    <x v="5"/>
    <n v="2540012"/>
    <s v="2540012 (1225)"/>
    <n v="8348"/>
    <s v="2540012 TAMPO RASCUNHOS (A07820) DIVERSAS U"/>
    <m/>
    <m/>
    <m/>
    <n v="0"/>
    <s v="FRANCO MACHAO"/>
    <s v="franco.machao@divino.com.uy"/>
    <s v="+ 598 (2) 506.1262"/>
    <m/>
    <m/>
  </r>
  <r>
    <x v="43"/>
    <x v="1"/>
    <x v="1"/>
    <m/>
    <d v="2025-09-09T00:00:00"/>
    <x v="5"/>
    <n v="2670007"/>
    <s v="2670007 (2566)"/>
    <n v="8353"/>
    <s v="TL ML BCA MINI JAC 220G 2,10"/>
    <m/>
    <m/>
    <m/>
    <n v="0"/>
    <s v="Marcos"/>
    <s v="madrisa@inmapol.com.py"/>
    <s v="595 21 942 599"/>
    <m/>
    <m/>
  </r>
  <r>
    <x v="44"/>
    <x v="15"/>
    <x v="2"/>
    <m/>
    <d v="2025-09-12T00:00:00"/>
    <x v="5"/>
    <s v="A10016"/>
    <s v="3260016 (4352)"/>
    <n v="8387"/>
    <s v="5 ESTRELLAS POR ELLAS-TP 0304002 280G 2,20L"/>
    <m/>
    <m/>
    <m/>
    <n v="0"/>
    <s v="José Luis Andrango"/>
    <s v="joseandrando@paraiso.com.ec"/>
    <m/>
    <m/>
    <m/>
  </r>
  <r>
    <x v="44"/>
    <x v="15"/>
    <x v="2"/>
    <m/>
    <d v="2025-09-12T00:00:00"/>
    <x v="5"/>
    <s v="A10230"/>
    <s v="3260017 (4351)"/>
    <n v="8387"/>
    <s v="BANDA 5 ESTRELLAS POR ELLAS-TP A10230 220G 2,20L"/>
    <m/>
    <m/>
    <m/>
    <n v="0"/>
    <s v="José Luis Andrango"/>
    <s v="joseandrando@paraiso.com.ec"/>
    <m/>
    <m/>
    <m/>
  </r>
  <r>
    <x v="45"/>
    <x v="5"/>
    <x v="4"/>
    <m/>
    <d v="2025-09-17T00:00:00"/>
    <x v="5"/>
    <n v="1122580"/>
    <s v="2810009 (1419)"/>
    <n v="8598"/>
    <s v="Tela Therapeutic - Gray"/>
    <m/>
    <m/>
    <m/>
    <n v="0"/>
    <s v="Danae Briones"/>
    <m/>
    <s v="56 96205 0626"/>
    <m/>
    <m/>
  </r>
  <r>
    <x v="45"/>
    <x v="5"/>
    <x v="4"/>
    <m/>
    <d v="2025-09-17T00:00:00"/>
    <x v="5"/>
    <n v="1121110"/>
    <s v="2810005 (1422)"/>
    <n v="8465"/>
    <s v="TELA T SENSITY HOJA-2810005 TP FOLHA 240G 2,20L"/>
    <m/>
    <m/>
    <m/>
    <n v="0"/>
    <s v="Paulina Mena"/>
    <s v="paulina.mena@flex.es"/>
    <s v="56 96205 0626"/>
    <m/>
    <m/>
  </r>
  <r>
    <x v="46"/>
    <x v="5"/>
    <x v="4"/>
    <m/>
    <d v="2025-09-24T00:00:00"/>
    <x v="5"/>
    <n v="1122580"/>
    <s v="2810009 (1419)"/>
    <n v="8509"/>
    <s v="TELA THERAPEUTIC GRIS"/>
    <m/>
    <m/>
    <m/>
    <n v="0"/>
    <s v="Paulina Mena"/>
    <s v="paulina.mena@flex.es"/>
    <s v="56 96205 0626"/>
    <m/>
    <m/>
  </r>
  <r>
    <x v="46"/>
    <x v="5"/>
    <x v="4"/>
    <m/>
    <d v="2025-09-24T00:00:00"/>
    <x v="5"/>
    <n v="1129159"/>
    <s v="2810011 (3378)"/>
    <n v="8509"/>
    <s v="TELA T NATURAL BAMBOO"/>
    <m/>
    <m/>
    <m/>
    <n v="0"/>
    <s v="Paulina Mena"/>
    <s v="paulina.mena@flex.es"/>
    <s v="56 96205 0626"/>
    <m/>
    <m/>
  </r>
  <r>
    <x v="46"/>
    <x v="5"/>
    <x v="4"/>
    <m/>
    <d v="2025-09-24T00:00:00"/>
    <x v="5"/>
    <n v="1121110"/>
    <s v="2810005 (1422)"/>
    <n v="8509"/>
    <s v="TELA T SENSITY HOJA-"/>
    <m/>
    <m/>
    <m/>
    <n v="0"/>
    <s v="Paulina Mena"/>
    <s v="paulina.mena@flex.es"/>
    <s v="56 96205 0626"/>
    <m/>
    <m/>
  </r>
  <r>
    <x v="47"/>
    <x v="12"/>
    <x v="4"/>
    <m/>
    <d v="2025-09-25T00:00:00"/>
    <x v="6"/>
    <s v="A09686 "/>
    <n v="2860014"/>
    <n v="8569"/>
    <s v="TP ML A09686 370G 2,20L DIVERSAS U"/>
    <m/>
    <m/>
    <m/>
    <n v="0"/>
    <s v="Juan Carlos Villarroel"/>
    <s v="jcvillarroel@sunlock.cl"/>
    <s v="(+56) 98529-7739"/>
    <m/>
    <m/>
  </r>
  <r>
    <x v="47"/>
    <x v="12"/>
    <x v="4"/>
    <m/>
    <d v="2025-09-25T00:00:00"/>
    <x v="6"/>
    <s v="A10066"/>
    <s v="2860016&gt;2860018"/>
    <n v="8569"/>
    <s v="MATELASSE / SERTAPEDIC 2860016&gt; A10310 2860018 (4703 Totvs)"/>
    <m/>
    <m/>
    <m/>
    <n v="0"/>
    <s v="Juan Carlos Villarroel"/>
    <s v="jcvillarroel@sunlock.cl"/>
    <s v="(+56) 98529-7739"/>
    <m/>
    <m/>
  </r>
  <r>
    <x v="47"/>
    <x v="12"/>
    <x v="4"/>
    <m/>
    <d v="2025-09-25T00:00:00"/>
    <x v="6"/>
    <s v="0091012"/>
    <n v="2860017"/>
    <n v="8569"/>
    <s v="TP BLANCO 100% PES"/>
    <m/>
    <m/>
    <m/>
    <n v="0"/>
    <s v="Juan Carlos Villarroel"/>
    <s v="jcvillarroel@sunlock.cl"/>
    <s v="(+56) 98529-7739"/>
    <m/>
    <m/>
  </r>
  <r>
    <x v="47"/>
    <x v="12"/>
    <x v="4"/>
    <m/>
    <d v="2025-09-25T00:00:00"/>
    <x v="6"/>
    <s v="A09687"/>
    <n v="2860013"/>
    <n v="8569"/>
    <s v="TP ML A09687 / NEW SUNSET"/>
    <m/>
    <m/>
    <m/>
    <n v="0"/>
    <s v="Juan Carlos Villarroel"/>
    <s v="jcvillarroel@sunlock.cl"/>
    <s v="(+56) 98529-7739"/>
    <m/>
    <m/>
  </r>
  <r>
    <x v="48"/>
    <x v="12"/>
    <x v="4"/>
    <m/>
    <d v="2025-10-07T00:00:00"/>
    <x v="6"/>
    <n v="2860008"/>
    <s v="2860008 (2000)"/>
    <n v="8609"/>
    <s v="TP ML GRAY WINDOW"/>
    <m/>
    <m/>
    <m/>
    <n v="0"/>
    <s v="Juan Carlos Villarroel"/>
    <s v="jcvillarroel@sunlock.cl"/>
    <s v="(+56) 98529-7739"/>
    <m/>
    <m/>
  </r>
  <r>
    <x v="48"/>
    <x v="12"/>
    <x v="4"/>
    <m/>
    <d v="2025-10-07T00:00:00"/>
    <x v="6"/>
    <n v="2860006"/>
    <s v="2860006 (4600)"/>
    <n v="8609"/>
    <s v="TP PES PL CINZA GRIS"/>
    <m/>
    <m/>
    <m/>
    <n v="0"/>
    <s v="Juan Carlos Villarroel"/>
    <s v="jcvillarroel@sunlock.cl"/>
    <s v="(+56) 98529-7739"/>
    <m/>
    <m/>
  </r>
  <r>
    <x v="49"/>
    <x v="11"/>
    <x v="1"/>
    <m/>
    <d v="2025-10-08T00:00:00"/>
    <x v="7"/>
    <n v="3200008"/>
    <s v="3200008 (1761)"/>
    <n v="8614"/>
    <s v="TP ML Impulse Gray"/>
    <m/>
    <m/>
    <m/>
    <n v="0"/>
    <s v="Leticia Roig"/>
    <s v="leticia.roig@superspuma.com"/>
    <s v="595 985 629024"/>
    <m/>
    <m/>
  </r>
  <r>
    <x v="49"/>
    <x v="11"/>
    <x v="1"/>
    <m/>
    <d v="2025-10-08T00:00:00"/>
    <x v="7"/>
    <s v="3200010-06"/>
    <s v="0080011 (1979)"/>
    <n v="8614"/>
    <s v="Tela Waves Lino Salmón"/>
    <m/>
    <m/>
    <m/>
    <n v="0"/>
    <s v="Leticia Roig"/>
    <s v="leticia.roig@superspuma.com"/>
    <s v="595 985 629024"/>
    <m/>
    <m/>
  </r>
  <r>
    <x v="49"/>
    <x v="11"/>
    <x v="1"/>
    <m/>
    <d v="2025-10-08T00:00:00"/>
    <x v="7"/>
    <n v="3200004"/>
    <s v="320004 (1757)"/>
    <n v="8614"/>
    <s v="TP ML IMPERAL BLACK "/>
    <m/>
    <m/>
    <m/>
    <n v="0"/>
    <s v="Leticia Roig"/>
    <s v="leticia.roig@superspuma.com"/>
    <s v="595 985 629024"/>
    <m/>
    <m/>
  </r>
  <r>
    <x v="50"/>
    <x v="20"/>
    <x v="1"/>
    <m/>
    <d v="2025-10-09T00:00:00"/>
    <x v="6"/>
    <s v="A05853-B"/>
    <s v="2730008 (4613)"/>
    <n v="8681"/>
    <s v="TP 100% PES CM BLANCO Y MARRÓN"/>
    <m/>
    <m/>
    <m/>
    <n v="0"/>
    <s v="Carlos Nuñez"/>
    <s v="NA"/>
    <s v="595 992 700278"/>
    <m/>
    <m/>
  </r>
  <r>
    <x v="50"/>
    <x v="20"/>
    <x v="1"/>
    <m/>
    <d v="2025-10-09T00:00:00"/>
    <x v="6"/>
    <s v="A05853-A"/>
    <s v="2730007 (4614)"/>
    <n v="8681"/>
    <s v="TP 100% PES CM BLANCO Y GRIS PERLA"/>
    <m/>
    <m/>
    <m/>
    <n v="0"/>
    <s v="Carlos Nuñez"/>
    <s v="NA"/>
    <s v="595 992 700278"/>
    <m/>
    <m/>
  </r>
  <r>
    <x v="50"/>
    <x v="20"/>
    <x v="1"/>
    <m/>
    <d v="2025-10-09T00:00:00"/>
    <x v="6"/>
    <s v="A05853 (6430)"/>
    <s v="2730006 (4616)"/>
    <n v="8681"/>
    <s v="TP 100% PES CM BLANCO Y ARENA"/>
    <m/>
    <m/>
    <m/>
    <n v="0"/>
    <s v="Carlos Nuñez"/>
    <s v="NA"/>
    <s v="595 992 700278"/>
    <m/>
    <m/>
  </r>
  <r>
    <x v="50"/>
    <x v="20"/>
    <x v="1"/>
    <m/>
    <d v="2025-10-09T00:00:00"/>
    <x v="6"/>
    <s v="A05853 (6431)"/>
    <s v="2730005 (4617)"/>
    <n v="8681"/>
    <s v="TP 100% PES CM BLANCO CON NEGRO"/>
    <m/>
    <m/>
    <m/>
    <n v="0"/>
    <s v="Carlos Nuñez"/>
    <s v="NA"/>
    <s v="595 992 700278"/>
    <m/>
    <m/>
  </r>
  <r>
    <x v="51"/>
    <x v="17"/>
    <x v="5"/>
    <m/>
    <d v="2025-10-21T00:00:00"/>
    <x v="6"/>
    <n v="301002"/>
    <s v="3470003 (3699)"/>
    <n v="8726"/>
    <s v="3470003 TP ML 301002 260G 2,20L DV U"/>
    <m/>
    <m/>
    <m/>
    <n v="0"/>
    <s v="Martin Miller"/>
    <s v="comercial@martinmiller.com.ar"/>
    <s v="NA"/>
    <m/>
    <m/>
  </r>
  <r>
    <x v="52"/>
    <x v="4"/>
    <x v="3"/>
    <m/>
    <d v="2025-10-21T00:00:00"/>
    <x v="7"/>
    <n v="35148"/>
    <s v="2540034 (3711)"/>
    <n v="8727"/>
    <s v="TELA VANILA 0237005"/>
    <m/>
    <m/>
    <m/>
    <n v="0"/>
    <s v="FRANCO MACHAO"/>
    <s v="franco.machao@divino.com.uy"/>
    <s v="+ 598 (2) 506.1262"/>
    <m/>
    <m/>
  </r>
  <r>
    <x v="52"/>
    <x v="4"/>
    <x v="3"/>
    <m/>
    <d v="2025-10-21T00:00:00"/>
    <x v="7"/>
    <n v="32341"/>
    <s v="2540014 (3009)"/>
    <n v="8727"/>
    <s v="TELA CONEXAO A05171 SQUARE"/>
    <m/>
    <m/>
    <m/>
    <n v="0"/>
    <s v="FRANCO MACHAO"/>
    <s v="franco.machao@divino.com.uy"/>
    <s v="+ 598 (2) 506.1262"/>
    <m/>
    <m/>
  </r>
  <r>
    <x v="52"/>
    <x v="4"/>
    <x v="3"/>
    <m/>
    <d v="2025-10-21T00:00:00"/>
    <x v="7"/>
    <n v="35082"/>
    <s v="2540029 (2497)"/>
    <n v="8727"/>
    <s v="TELA TP LUNA 0070001"/>
    <m/>
    <m/>
    <m/>
    <n v="0"/>
    <s v="FRANCO MACHAO"/>
    <s v="franco.machao@divino.com.uy"/>
    <s v="+ 598 (2) 506.1262"/>
    <m/>
    <m/>
  </r>
  <r>
    <x v="52"/>
    <x v="4"/>
    <x v="3"/>
    <m/>
    <d v="2025-10-21T00:00:00"/>
    <x v="7"/>
    <n v="35149"/>
    <s v="2540033 (3589)"/>
    <n v="8727"/>
    <s v="TELA TP ML 132012"/>
    <m/>
    <m/>
    <m/>
    <n v="0"/>
    <s v="FRANCO MACHAO"/>
    <s v="franco.machao@divino.com.uy"/>
    <s v="+ 598 (2) 506.1262"/>
    <m/>
    <m/>
  </r>
  <r>
    <x v="53"/>
    <x v="21"/>
    <x v="7"/>
    <m/>
    <d v="2025-10-20T00:00:00"/>
    <x v="7"/>
    <s v="0071001&gt;71071"/>
    <s v="3570001 (4684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072031&gt;72101"/>
    <s v="3570002 (4685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073011&gt;73101"/>
    <s v="3570003 (4686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074011&gt;74201"/>
    <s v="3570004 (4687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080001&gt;80081"/>
    <s v="3570005 (4688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262011&gt;262041"/>
    <s v="3570006 (4689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270001&gt;270081"/>
    <s v="3570007 (4690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411001&gt;411051"/>
    <s v="3570008 (4691)"/>
    <n v="8773"/>
    <s v="200 2,10 100% PES CM NEGR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416001&gt;416071"/>
    <s v="3570013 (4696)"/>
    <n v="8773"/>
    <s v="200 2,10 100% PES CM BLANC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411001&gt;411041"/>
    <s v="3570014 (4697)"/>
    <n v="8773"/>
    <s v="200 2,10 100% PES CM BLANCO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399001&gt;399031"/>
    <s v="3570015 (4698)"/>
    <n v="8773"/>
    <s v="200 2,10 100% PES CM BLANCO BRILLANTE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A09553&gt;A10344"/>
    <s v="3570009 (4692)"/>
    <n v="8773"/>
    <s v="200 2,10 100% PES PL MESCLA Y NEGRO/ banda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473001&gt;473003"/>
    <s v="3570010 (4693)"/>
    <n v="8773"/>
    <s v="180 2,10 100% PES PL NEGRO Y BLANCO /banda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388001&gt;388043"/>
    <s v="3570011 (4694)"/>
    <n v="8773"/>
    <s v="180 2,10 100% PES PL NEGRO Y BLANCO /banda"/>
    <m/>
    <m/>
    <m/>
    <n v="0"/>
    <s v="Milagros Grande"/>
    <s v="milagros.grande@grupograndesac.com"/>
    <s v="964 345 341"/>
    <m/>
    <m/>
  </r>
  <r>
    <x v="53"/>
    <x v="21"/>
    <x v="7"/>
    <m/>
    <d v="2025-10-20T00:00:00"/>
    <x v="7"/>
    <s v="0211001&gt;211013"/>
    <s v="3570012 (4695)"/>
    <n v="8773"/>
    <s v="180 2,10 100% PES PL GRIS PERLA Y BLANCO /banda"/>
    <m/>
    <m/>
    <m/>
    <n v="0"/>
    <s v="Milagros Grande"/>
    <s v="milagros.grande@grupograndesac.com"/>
    <s v="964 345 341"/>
    <m/>
    <m/>
  </r>
  <r>
    <x v="47"/>
    <x v="12"/>
    <x v="4"/>
    <m/>
    <d v="2025-09-25T00:00:00"/>
    <x v="6"/>
    <s v="A10310"/>
    <s v="2860018 (4703)"/>
    <n v="8798"/>
    <s v="MATELASSE/SERTAPEDIC  A10310 2860018 "/>
    <m/>
    <m/>
    <m/>
    <n v="0"/>
    <s v="---"/>
    <s v="---"/>
    <s v="---"/>
    <m/>
    <m/>
  </r>
  <r>
    <x v="54"/>
    <x v="14"/>
    <x v="3"/>
    <m/>
    <d v="2025-11-03T00:00:00"/>
    <x v="7"/>
    <s v="0071001&gt;0071013"/>
    <s v="3030071 (4706)"/>
    <n v="8811"/>
    <s v="180 2,10 100% PES PL NEGRO &amp;  BLANCO (Id 6491)"/>
    <m/>
    <m/>
    <m/>
    <n v="0"/>
    <s v="Eliana Garayalde"/>
    <s v="polymax@polymax.com.uy"/>
    <s v="---"/>
    <m/>
    <m/>
  </r>
  <r>
    <x v="54"/>
    <x v="14"/>
    <x v="3"/>
    <m/>
    <d v="2025-11-03T00:00:00"/>
    <x v="7"/>
    <s v="0149011&gt;'0149003"/>
    <s v="3030072 (4707)"/>
    <n v="8811"/>
    <s v="180 2,10 100% PES PL NEGRO BOLITAS BLANCAS (id 6488)"/>
    <m/>
    <m/>
    <m/>
    <n v="0"/>
    <s v="Eliana Garayalde"/>
    <s v="polymax@polymax.com.uy"/>
    <s v="---"/>
    <m/>
    <m/>
  </r>
  <r>
    <x v="54"/>
    <x v="14"/>
    <x v="3"/>
    <m/>
    <d v="2025-11-03T00:00:00"/>
    <x v="7"/>
    <s v="A09535 "/>
    <s v="303,0038 (4325)"/>
    <n v="8811"/>
    <s v="PL 160G 2,10L GRIS ESCURO"/>
    <m/>
    <m/>
    <m/>
    <n v="0"/>
    <s v="Eliana Garayalde"/>
    <s v="polymax@polymax.com.uy"/>
    <s v="---"/>
    <m/>
    <m/>
  </r>
  <r>
    <x v="54"/>
    <x v="14"/>
    <x v="3"/>
    <m/>
    <d v="2025-11-03T00:00:00"/>
    <x v="7"/>
    <s v="A09535 "/>
    <s v="303,0040 (3135)"/>
    <n v="8811"/>
    <s v="PL 160G 2,10L NEGRO"/>
    <m/>
    <m/>
    <m/>
    <n v="0"/>
    <s v="Eliana Garayalde"/>
    <s v="polymax@polymax.com.uy"/>
    <s v="---"/>
    <m/>
    <m/>
  </r>
  <r>
    <x v="54"/>
    <x v="14"/>
    <x v="3"/>
    <m/>
    <d v="2025-11-03T00:00:00"/>
    <x v="7"/>
    <s v="0253003"/>
    <s v="3030070 (4705)"/>
    <n v="8811"/>
    <s v="180 2,10 100% PES PL BLANCO Y ARENA (Id 6619)"/>
    <m/>
    <m/>
    <m/>
    <n v="0"/>
    <s v="Eliana Garayalde"/>
    <s v="polymax@polymax.com.uy"/>
    <s v="---"/>
    <m/>
    <m/>
  </r>
  <r>
    <x v="54"/>
    <x v="14"/>
    <x v="3"/>
    <m/>
    <d v="2025-11-03T00:00:00"/>
    <x v="7"/>
    <s v="A09956"/>
    <s v="3030060 (3504)"/>
    <n v="8811"/>
    <s v="TP ML A09956 BANDA CAQUI"/>
    <m/>
    <m/>
    <m/>
    <n v="0"/>
    <s v="Eliana Garayalde"/>
    <s v="polymax@polymax.com.uy"/>
    <s v="---"/>
    <m/>
    <m/>
  </r>
  <r>
    <x v="55"/>
    <x v="4"/>
    <x v="3"/>
    <m/>
    <d v="2025-11-03T00:00:00"/>
    <x v="7"/>
    <n v="32282"/>
    <n v="1523"/>
    <n v="8799"/>
    <s v="TELA ANTIDESLIZANTE CONEXÃO"/>
    <m/>
    <m/>
    <m/>
    <n v="0"/>
    <s v="FRANCO MACHAO"/>
    <s v="franco.machao@divino.com.uy"/>
    <s v="+ 598 (2) 506.1262"/>
    <m/>
    <m/>
  </r>
  <r>
    <x v="55"/>
    <x v="4"/>
    <x v="3"/>
    <m/>
    <d v="2025-11-03T00:00:00"/>
    <x v="7"/>
    <n v="2540014"/>
    <n v="3009"/>
    <n v="8799"/>
    <s v="TELA CONEXAO A05171 SQUARE"/>
    <m/>
    <m/>
    <m/>
    <n v="0"/>
    <s v="FRANCO MACHAO"/>
    <s v="franco.machao@divino.com.uy"/>
    <s v="+ 598 (2) 506.1262"/>
    <m/>
    <m/>
  </r>
  <r>
    <x v="55"/>
    <x v="4"/>
    <x v="3"/>
    <m/>
    <d v="2025-11-03T00:00:00"/>
    <x v="7"/>
    <s v="2540026"/>
    <n v="2054"/>
    <n v="8799"/>
    <s v="TELA 72001 DEGRADE GRIS"/>
    <m/>
    <m/>
    <m/>
    <n v="0"/>
    <s v="FRANCO MACHAO"/>
    <s v="franco.machao@divino.com.uy"/>
    <s v="+ 598 (2) 506.1262"/>
    <m/>
    <m/>
  </r>
  <r>
    <x v="55"/>
    <x v="4"/>
    <x v="3"/>
    <m/>
    <d v="2025-11-03T00:00:00"/>
    <x v="7"/>
    <n v="2540033"/>
    <n v="3589"/>
    <n v="8799"/>
    <s v="TELA TP ML 132012 DV U"/>
    <m/>
    <m/>
    <m/>
    <n v="0"/>
    <s v="FRANCO MACHAO"/>
    <s v="franco.machao@divino.com.uy"/>
    <s v="+ 598 (2) 506.1262"/>
    <m/>
    <m/>
  </r>
  <r>
    <x v="55"/>
    <x v="4"/>
    <x v="3"/>
    <m/>
    <d v="2025-11-03T00:00:00"/>
    <x v="7"/>
    <s v="2540025"/>
    <n v="2053"/>
    <n v="8799"/>
    <s v="TELA 69001 CONTEMPORÁNEO"/>
    <m/>
    <m/>
    <m/>
    <n v="0"/>
    <s v="FRANCO MACHAO"/>
    <s v="franco.machao@divino.com.uy"/>
    <s v="+ 598 (2) 506.1262"/>
    <m/>
    <m/>
  </r>
  <r>
    <x v="56"/>
    <x v="11"/>
    <x v="1"/>
    <m/>
    <d v="2025-11-07T00:00:00"/>
    <x v="7"/>
    <s v="A09970 (3701)"/>
    <n v="3200014"/>
    <n v="8614"/>
    <s v="Tela SuperSpuma Dots 1 - Azul"/>
    <m/>
    <m/>
    <m/>
    <n v="0"/>
    <s v="Leticia Roig"/>
    <s v="leticia.roig@superspuma.com"/>
    <s v="595 985 629024"/>
    <m/>
    <m/>
  </r>
  <r>
    <x v="57"/>
    <x v="5"/>
    <x v="4"/>
    <m/>
    <d v="2025-11-10T00:00:00"/>
    <x v="7"/>
    <s v="1122580&gt;A08996"/>
    <s v="2810009 (1419)"/>
    <n v="8863"/>
    <s v="TELA T GRIS THERAPEUTIC GRIS PL  2,2M/180GR/A08996"/>
    <m/>
    <m/>
    <m/>
    <n v="0"/>
    <s v="Paulina Mena"/>
    <s v="paulina.mena@flex.es"/>
    <s v="56 96205 0626"/>
    <m/>
    <m/>
  </r>
  <r>
    <x v="57"/>
    <x v="5"/>
    <x v="4"/>
    <m/>
    <d v="2025-11-10T00:00:00"/>
    <x v="7"/>
    <s v="1129159&gt;2810011"/>
    <s v="2810011 (3378)"/>
    <n v="8863"/>
    <s v="TELA T NATURAL BAMBOO PARADISE  2,2M/370GR/122034"/>
    <m/>
    <m/>
    <m/>
    <n v="0"/>
    <s v="Paulina Mena"/>
    <s v="paulina.mena@flex.es"/>
    <s v="56 96205 0626"/>
    <m/>
    <m/>
  </r>
  <r>
    <x v="58"/>
    <x v="20"/>
    <x v="1"/>
    <m/>
    <d v="2025-11-18T00:00:00"/>
    <x v="7"/>
    <n v="1121110"/>
    <s v="2810005 (1422)"/>
    <n v="8953"/>
    <s v="TP FOLHA 240G 2,20L (1121110) DIVERSAS U"/>
    <m/>
    <m/>
    <m/>
    <n v="0"/>
    <s v="Carlos Nuñez"/>
    <s v="NA"/>
    <s v="595 992 700278"/>
    <m/>
    <m/>
  </r>
  <r>
    <x v="58"/>
    <x v="20"/>
    <x v="1"/>
    <m/>
    <d v="2025-11-18T00:00:00"/>
    <x v="7"/>
    <n v="87052"/>
    <s v="3430001 (3549)"/>
    <n v="8953"/>
    <s v="TP ML 87052 220G 2,20L DV U"/>
    <m/>
    <m/>
    <m/>
    <n v="0"/>
    <s v="Carlos Nuñez"/>
    <s v="NA"/>
    <s v="595 992 700278"/>
    <m/>
    <m/>
  </r>
  <r>
    <x v="59"/>
    <x v="12"/>
    <x v="4"/>
    <m/>
    <d v="2025-11-24T00:00:00"/>
    <x v="8"/>
    <s v="A08959"/>
    <s v="2860004 (1904)"/>
    <n v="9030"/>
    <s v="TP RETAS DEGRADE 450G 2,20L DIVERSAS U"/>
    <m/>
    <m/>
    <m/>
    <n v="0"/>
    <s v="Juan Carlos Villarroel"/>
    <m/>
    <m/>
    <m/>
    <m/>
  </r>
  <r>
    <x v="59"/>
    <x v="12"/>
    <x v="4"/>
    <m/>
    <d v="2025-11-24T00:00:00"/>
    <x v="8"/>
    <s v="A09647"/>
    <s v="2860012 (2536)"/>
    <n v="9030"/>
    <s v="TP ML HARMONY ME 440G 2,20L DIVERSAS U"/>
    <m/>
    <m/>
    <m/>
    <n v="0"/>
    <s v="Juan Carlos Villarroel"/>
    <m/>
    <m/>
    <m/>
    <m/>
  </r>
  <r>
    <x v="60"/>
    <x v="12"/>
    <x v="4"/>
    <m/>
    <d v="2025-11-24T00:00:00"/>
    <x v="8"/>
    <s v="0354001 (id 6704)"/>
    <s v="2860021 (4742)"/>
    <n v="9035"/>
    <s v="400 2,20 73% PE 27% PES CM BLANCO Arctic s/Logo"/>
    <m/>
    <m/>
    <m/>
    <n v="0"/>
    <s v="Juan Carlos Villarroel"/>
    <m/>
    <m/>
    <m/>
    <m/>
  </r>
  <r>
    <x v="60"/>
    <x v="12"/>
    <x v="4"/>
    <m/>
    <d v="2025-11-24T00:00:00"/>
    <x v="8"/>
    <s v="0427001 (id 6708)"/>
    <s v="2860019 (4740)"/>
    <n v="9035"/>
    <s v="400 2,20 90% PES 10% CV CM BLANCO"/>
    <m/>
    <m/>
    <m/>
    <n v="0"/>
    <s v="Juan Carlos Villarroel"/>
    <m/>
    <m/>
    <m/>
    <m/>
  </r>
  <r>
    <x v="60"/>
    <x v="12"/>
    <x v="4"/>
    <m/>
    <d v="2025-11-24T00:00:00"/>
    <x v="8"/>
    <s v="0414001 (id 6706)"/>
    <s v="2860020 (4741)"/>
    <n v="9035"/>
    <s v="380 2,20 99% PES 1% PUE CM BLANCO"/>
    <m/>
    <m/>
    <m/>
    <n v="0"/>
    <s v="Juan Carlos Villarroel"/>
    <m/>
    <m/>
    <m/>
    <m/>
  </r>
  <r>
    <x v="61"/>
    <x v="22"/>
    <x v="0"/>
    <m/>
    <d v="2025-11-27T00:00:00"/>
    <x v="8"/>
    <s v="A06747&gt;A10390"/>
    <s v="3580001 (4743)"/>
    <n v="9037"/>
    <s v="220 2,10 100% PES CM GRIS Y BLANCO"/>
    <m/>
    <m/>
    <m/>
    <n v="0"/>
    <s v="NA"/>
    <m/>
    <m/>
    <m/>
    <m/>
  </r>
  <r>
    <x v="61"/>
    <x v="22"/>
    <x v="0"/>
    <m/>
    <d v="2025-11-27T00:00:00"/>
    <x v="8"/>
    <s v="0153011"/>
    <s v="3580002 (4744)"/>
    <n v="9037"/>
    <s v="240 2,20 100% PES CM ARENA"/>
    <m/>
    <m/>
    <m/>
    <n v="0"/>
    <s v="NA"/>
    <m/>
    <m/>
    <m/>
    <m/>
  </r>
  <r>
    <x v="61"/>
    <x v="22"/>
    <x v="0"/>
    <m/>
    <d v="2025-11-27T00:00:00"/>
    <x v="8"/>
    <s v="0245005"/>
    <s v="3580003 (4745)"/>
    <n v="9037"/>
    <s v="260 2,20 99% PES 1% LINEN CM BLANCO Y ARENA"/>
    <m/>
    <m/>
    <m/>
    <n v="0"/>
    <s v="NA"/>
    <m/>
    <m/>
    <m/>
    <m/>
  </r>
  <r>
    <x v="61"/>
    <x v="22"/>
    <x v="0"/>
    <m/>
    <d v="2025-11-27T00:00:00"/>
    <x v="8"/>
    <s v="0524004"/>
    <s v="3580004 (4746)"/>
    <n v="9037"/>
    <s v="440 2,20 66% PES 34% PE XP AZUL Y BLANCO "/>
    <m/>
    <m/>
    <m/>
    <n v="0"/>
    <s v="NA"/>
    <m/>
    <m/>
    <m/>
    <m/>
  </r>
  <r>
    <x v="62"/>
    <x v="5"/>
    <x v="4"/>
    <n v="448"/>
    <d v="2025-12-11T00:00:00"/>
    <x v="9"/>
    <s v="1122580&gt; A08996"/>
    <s v="2810009 (1419)"/>
    <n v="9124"/>
    <s v="TELA T GRIS THERAPEUTIC GRIS PL  2,2M/180GR/A08996"/>
    <n v="1300"/>
    <n v="866"/>
    <n v="2.25"/>
    <n v="2925"/>
    <s v="Paulina Mena"/>
    <s v="paulina.mena@flex.es"/>
    <s v="56 96205 0626"/>
    <s v=" Entrega solicitada para semana 26 Janeiro"/>
    <s v="Entregado"/>
  </r>
  <r>
    <x v="63"/>
    <x v="23"/>
    <x v="3"/>
    <n v="2049"/>
    <d v="2025-12-11T00:00:00"/>
    <x v="9"/>
    <s v="A06917-C &gt; A6917"/>
    <s v="4772 - 3590001"/>
    <n v="9125"/>
    <s v="440 2,20 99% PES 1% PUE XP GRIS"/>
    <n v="500"/>
    <n v="264"/>
    <n v="4.95"/>
    <n v="2475"/>
    <s v="Claudio Zarlenga"/>
    <s v="czarlenga@lamitex.com.uy"/>
    <s v="00598 22260206"/>
    <s v="cliente novo - Entrega prioritaria 1ra quinzena Jan 2026"/>
    <s v="Entregado"/>
  </r>
  <r>
    <x v="63"/>
    <x v="23"/>
    <x v="3"/>
    <n v="2049"/>
    <d v="2025-12-11T00:00:00"/>
    <x v="9"/>
    <s v="0246015 &gt; 0246015"/>
    <s v="4775 - 3590002 "/>
    <n v="9125"/>
    <s v="340 2,20 100% PES XN NEGRO / GRIS / AZUL "/>
    <n v="500"/>
    <n v="204"/>
    <n v="4.75"/>
    <n v="2375"/>
    <s v="Claudio Zarlenga"/>
    <s v="czarlenga@lamitex.com.uy"/>
    <s v="00598 22260206"/>
    <m/>
    <s v="Entregado"/>
  </r>
  <r>
    <x v="63"/>
    <x v="23"/>
    <x v="3"/>
    <n v="2049"/>
    <d v="2025-12-11T00:00:00"/>
    <x v="9"/>
    <s v="0271001&gt; 0271001"/>
    <s v="4776 - 3590003 "/>
    <n v="9125"/>
    <s v="340 2,20 100% PES CM GRIS"/>
    <n v="500"/>
    <n v="204"/>
    <n v="3.52"/>
    <n v="1760"/>
    <s v="Claudio Zarlenga"/>
    <s v="czarlenga@lamitex.com.uy"/>
    <s v="00598 22260206"/>
    <m/>
    <s v="Entregado"/>
  </r>
  <r>
    <x v="63"/>
    <x v="23"/>
    <x v="3"/>
    <n v="2049"/>
    <d v="2025-12-11T00:00:00"/>
    <x v="9"/>
    <s v="0461001 &gt; 0461001"/>
    <s v="4777 - 3590004 "/>
    <n v="9125"/>
    <s v="340 2,20 100% PES CM BLANCO"/>
    <n v="500"/>
    <n v="204"/>
    <n v="3.51"/>
    <n v="1755"/>
    <s v="Claudio Zarlenga"/>
    <s v="czarlenga@lamitex.com.uy"/>
    <s v="00598 22260206"/>
    <m/>
    <s v="Entregado"/>
  </r>
  <r>
    <x v="63"/>
    <x v="23"/>
    <x v="3"/>
    <n v="2049"/>
    <d v="2025-12-11T00:00:00"/>
    <x v="9"/>
    <s v="0416001 &gt; 0416001"/>
    <s v="4778 - 3590005 "/>
    <n v="9125"/>
    <s v="240 2,20 100% PES CM BLANCO"/>
    <n v="500"/>
    <n v="150"/>
    <n v="2.2200000000000002"/>
    <n v="1110"/>
    <s v="Claudio Zarlenga"/>
    <s v="czarlenga@lamitex.com.uy"/>
    <s v="00598 22260206"/>
    <m/>
    <s v="Entregado"/>
  </r>
  <r>
    <x v="63"/>
    <x v="23"/>
    <x v="3"/>
    <n v="2049"/>
    <d v="2025-12-11T00:00:00"/>
    <x v="9"/>
    <s v="A10156 &gt; A10156"/>
    <s v="4779 - 3590006 "/>
    <n v="9125"/>
    <s v="220 2,20 100% PES CM BLANCO"/>
    <n v="500"/>
    <n v="135"/>
    <n v="1.97"/>
    <n v="985"/>
    <s v="Claudio Zarlenga"/>
    <s v="czarlenga@lamitex.com.uy"/>
    <s v="00598 22260206"/>
    <m/>
    <s v="Entregado"/>
  </r>
  <r>
    <x v="63"/>
    <x v="23"/>
    <x v="3"/>
    <n v="2049"/>
    <d v="2025-12-11T00:00:00"/>
    <x v="9"/>
    <s v="A10136 &gt; A10136"/>
    <s v="4780 - 3590007 "/>
    <n v="9125"/>
    <s v="200 2,20 100% PES CM BLANCO "/>
    <n v="500"/>
    <n v="120"/>
    <n v="1.9"/>
    <n v="950"/>
    <s v="Claudio Zarlenga"/>
    <s v="czarlenga@lamitex.com.uy"/>
    <s v="00598 22260206"/>
    <m/>
    <s v="Entregado"/>
  </r>
  <r>
    <x v="63"/>
    <x v="23"/>
    <x v="3"/>
    <n v="2049"/>
    <d v="2025-12-11T00:00:00"/>
    <x v="9"/>
    <s v="LA005 &gt; A10399"/>
    <s v="4781 - 3590008 "/>
    <n v="9125"/>
    <s v="180 2,10 100% PES PL GRIS"/>
    <n v="400"/>
    <n v="110"/>
    <n v="1.5"/>
    <n v="600"/>
    <s v="Claudio Zarlenga"/>
    <s v="czarlenga@lamitex.com.uy"/>
    <s v="00598 22260206"/>
    <m/>
    <s v="Entregado"/>
  </r>
  <r>
    <x v="63"/>
    <x v="23"/>
    <x v="3"/>
    <n v="2049"/>
    <d v="2025-12-11T00:00:00"/>
    <x v="9"/>
    <s v="LA003 &gt;A10402"/>
    <s v="4773 - 3590009"/>
    <n v="9125"/>
    <s v="200 2,10 100% PES CM NEGRO Fire-Retardant s/ Logo  "/>
    <n v="2000"/>
    <n v="1200"/>
    <n v="4.9800000000000004"/>
    <n v="9960"/>
    <s v="Claudio Zarlenga"/>
    <s v="czarlenga@lamitex.com.uy"/>
    <s v="00598 22260206"/>
    <s v="cliente novo - Entrega prioritaria 1ra quinzena Jan 2026"/>
    <s v="Entregado"/>
  </r>
  <r>
    <x v="64"/>
    <x v="12"/>
    <x v="4"/>
    <n v="1372"/>
    <d v="2025-12-19T00:00:00"/>
    <x v="9"/>
    <s v="A09634"/>
    <s v="2860008 (2000)"/>
    <n v="9157"/>
    <s v="2860008 TP ML GRAY WINDOW 380G 2,20L DIVERSAS U "/>
    <n v="1000"/>
    <n v="600"/>
    <n v="5.17"/>
    <n v="5170"/>
    <m/>
    <m/>
    <m/>
    <m/>
    <s v="Entregado"/>
  </r>
  <r>
    <x v="65"/>
    <x v="24"/>
    <x v="5"/>
    <n v="993"/>
    <d v="2026-01-09T00:00:00"/>
    <x v="9"/>
    <n v="301002"/>
    <s v="3470003 (3699)"/>
    <n v="9176"/>
    <s v="3470003 TP ML 301002 260G 2,20L DV U"/>
    <n v="12000"/>
    <n v="6000"/>
    <n v="1.83"/>
    <n v="21960"/>
    <m/>
    <m/>
    <m/>
    <s v="cliente solicita para fin de mês"/>
    <s v="Entregado"/>
  </r>
  <r>
    <x v="66"/>
    <x v="12"/>
    <x v="4"/>
    <n v="1372"/>
    <d v="2026-01-09T00:00:00"/>
    <x v="9"/>
    <s v="A09647"/>
    <n v="2860012"/>
    <n v="9177"/>
    <s v="TP ML HARMONY ME 440G 2,20L DIVERSAS U"/>
    <n v="1000"/>
    <n v="1036"/>
    <n v="6.49"/>
    <n v="6490"/>
    <m/>
    <m/>
    <m/>
    <m/>
    <s v="Entregado"/>
  </r>
  <r>
    <x v="67"/>
    <x v="5"/>
    <x v="4"/>
    <n v="448"/>
    <d v="2026-01-16T00:00:00"/>
    <x v="10"/>
    <n v="1122580"/>
    <s v="2810009 (1419)"/>
    <n v="9206"/>
    <s v="TELA T GRIS THERAPEUTIC GRIS PL  2,2M/180GR/A08996"/>
    <n v="1000"/>
    <n v="666"/>
    <n v="2.25"/>
    <n v="2250"/>
    <m/>
    <m/>
    <m/>
    <s v="entrega para semana 9 (23 fev.)"/>
    <s v="Entregado"/>
  </r>
  <r>
    <x v="68"/>
    <x v="12"/>
    <x v="4"/>
    <n v="1372"/>
    <d v="2026-01-16T00:00:00"/>
    <x v="10"/>
    <s v="A10310"/>
    <s v="2860018 (4703)"/>
    <n v="9207"/>
    <s v="MATELASSE/SERTAPEDIC  A10310 2860018  300G 2,20A"/>
    <n v="1300"/>
    <n v="780"/>
    <n v="2.98"/>
    <n v="3874"/>
    <m/>
    <m/>
    <m/>
    <s v="Agrd validação cód pdn - agrd aprov. Cliente/ ok"/>
    <s v="Entregado"/>
  </r>
  <r>
    <x v="69"/>
    <x v="4"/>
    <x v="3"/>
    <n v="316"/>
    <d v="2026-01-26T00:00:00"/>
    <x v="10"/>
    <n v="32282"/>
    <n v="1523"/>
    <n v="9233"/>
    <s v="TELA ANTIDESLIZANTE CONEXÃO (MATERIAL REVENDA)"/>
    <n v="8000"/>
    <n v="6400"/>
    <n v="1.51"/>
    <n v="12080"/>
    <m/>
    <m/>
    <m/>
    <s v="Agrd aprovaç cliente/ ok"/>
    <s v="Entregado"/>
  </r>
  <r>
    <x v="70"/>
    <x v="5"/>
    <x v="4"/>
    <n v="448"/>
    <d v="2026-01-30T00:00:00"/>
    <x v="10"/>
    <s v="A10411 (ID 6852)"/>
    <s v="2810014 (4848)"/>
    <n v="9246"/>
    <s v="TELA BLACK V.2  Legacy-TP ML A10411 320G 2,20L"/>
    <n v="500"/>
    <n v="352"/>
    <n v="3.94"/>
    <n v="1970"/>
    <m/>
    <m/>
    <m/>
    <s v="Proforma 30/01-Ok Cods"/>
    <s v="Entregado"/>
  </r>
  <r>
    <x v="71"/>
    <x v="25"/>
    <x v="1"/>
    <n v="2096"/>
    <d v="2026-02-13T00:00:00"/>
    <x v="11"/>
    <n v="110013"/>
    <n v="650"/>
    <n v="9469"/>
    <s v="Tela Colchones del Paraguay 1 - 220"/>
    <n v="940"/>
    <n v="454"/>
    <n v="1.5"/>
    <n v="1410"/>
    <m/>
    <m/>
    <m/>
    <s v="material parado revendido-Nva razón social Prince + Flete"/>
    <s v="Entregado"/>
  </r>
  <r>
    <x v="71"/>
    <x v="25"/>
    <x v="1"/>
    <n v="2096"/>
    <d v="2026-02-13T00:00:00"/>
    <x v="11"/>
    <n v="340047"/>
    <n v="3815"/>
    <n v="9469"/>
    <s v="Tela Colchones del Paraguay 2 - 280"/>
    <n v="308"/>
    <n v="190"/>
    <n v="1.5"/>
    <n v="462"/>
    <m/>
    <m/>
    <m/>
    <s v="material parado revendido-Nva razón social Prince + Flete"/>
    <s v="Entregado"/>
  </r>
  <r>
    <x v="71"/>
    <x v="25"/>
    <x v="1"/>
    <n v="2096"/>
    <d v="2026-02-13T00:00:00"/>
    <x v="11"/>
    <n v="3480004"/>
    <n v="3801"/>
    <n v="9469"/>
    <s v="Tela Colchones del Paraguay 3 - 220"/>
    <n v="279"/>
    <n v="135"/>
    <n v="1.5"/>
    <n v="418.5"/>
    <m/>
    <m/>
    <m/>
    <s v="material parado revendido-Nva razón social Prince + Flete"/>
    <s v="Entregado"/>
  </r>
  <r>
    <x v="71"/>
    <x v="25"/>
    <x v="1"/>
    <n v="2096"/>
    <d v="2026-02-13T00:00:00"/>
    <x v="11"/>
    <n v="340046"/>
    <n v="3813"/>
    <n v="9469"/>
    <s v="Tela Colchones del Paraguay 4 - 280"/>
    <n v="271"/>
    <n v="167"/>
    <n v="1.5"/>
    <n v="406.5"/>
    <m/>
    <m/>
    <m/>
    <s v="material parado revendido-Nva razón social Prince + Flete"/>
    <s v="Entregado"/>
  </r>
  <r>
    <x v="71"/>
    <x v="25"/>
    <x v="1"/>
    <n v="2096"/>
    <d v="2026-02-13T00:00:00"/>
    <x v="11"/>
    <n v="2940034"/>
    <n v="4240"/>
    <n v="9469"/>
    <s v="Tela Colchones del Paraguay 5 - 240"/>
    <n v="260"/>
    <n v="137"/>
    <n v="1.5"/>
    <n v="390"/>
    <m/>
    <m/>
    <m/>
    <s v="material parado revendido-Nva razón social Prince + Flete"/>
    <s v="Entregado"/>
  </r>
  <r>
    <x v="71"/>
    <x v="25"/>
    <x v="1"/>
    <n v="2096"/>
    <d v="2026-02-13T00:00:00"/>
    <x v="11"/>
    <n v="340048"/>
    <n v="3814"/>
    <n v="9469"/>
    <s v="Tela Colchones del Paraguay 6 - 160"/>
    <n v="178"/>
    <n v="63"/>
    <n v="1.5"/>
    <n v="267"/>
    <m/>
    <m/>
    <m/>
    <s v="material parado revendido-Nva razón social Prince + Flete"/>
    <s v="Entregado"/>
  </r>
  <r>
    <x v="71"/>
    <x v="25"/>
    <x v="1"/>
    <n v="2096"/>
    <d v="2026-02-13T00:00:00"/>
    <x v="11"/>
    <n v="2540005"/>
    <n v="1236"/>
    <n v="9469"/>
    <s v="Tela Colchones del Paraguay 7 -280"/>
    <n v="180"/>
    <n v="111"/>
    <n v="1.5"/>
    <n v="270"/>
    <m/>
    <m/>
    <m/>
    <s v="material parado revendido-Nva razón social Prince + Flete"/>
    <s v="Entregado"/>
  </r>
  <r>
    <x v="71"/>
    <x v="25"/>
    <x v="1"/>
    <n v="2096"/>
    <d v="2026-02-13T00:00:00"/>
    <x v="11"/>
    <n v="2540018"/>
    <n v="1504"/>
    <n v="9469"/>
    <s v="Tela Colchones del Paraguay 8 -160"/>
    <n v="181"/>
    <n v="64"/>
    <n v="1.5"/>
    <n v="271.5"/>
    <m/>
    <m/>
    <m/>
    <s v="material parado revendido-Nva razón social Prince + Flete"/>
    <s v="Entregado"/>
  </r>
  <r>
    <x v="71"/>
    <x v="25"/>
    <x v="1"/>
    <n v="2096"/>
    <d v="2026-02-13T00:00:00"/>
    <x v="11"/>
    <n v="340044"/>
    <n v="3811"/>
    <n v="9469"/>
    <s v="Tela Colchones del Paraguay 9 - 180"/>
    <n v="148"/>
    <n v="59"/>
    <n v="1.5"/>
    <n v="222"/>
    <m/>
    <m/>
    <m/>
    <s v="material parado revendido-Nva razón social Prince + Flete"/>
    <s v="Entregado"/>
  </r>
  <r>
    <x v="71"/>
    <x v="25"/>
    <x v="1"/>
    <n v="2096"/>
    <d v="2026-02-13T00:00:00"/>
    <x v="11"/>
    <n v="280018"/>
    <n v="1852"/>
    <n v="9469"/>
    <s v="Tela Colchones del Paraguay 10 - 220"/>
    <n v="145"/>
    <n v="454"/>
    <n v="1.5"/>
    <n v="217.5"/>
    <m/>
    <m/>
    <m/>
    <s v="material parado revendido-Nva razón social Prince + Flete"/>
    <s v="Entregado"/>
  </r>
  <r>
    <x v="71"/>
    <x v="25"/>
    <x v="1"/>
    <n v="2096"/>
    <d v="2026-02-13T00:00:00"/>
    <x v="11"/>
    <n v="3470003"/>
    <n v="3699"/>
    <n v="9469"/>
    <s v="Tela Colchones del Paraguay 11 - 380"/>
    <n v="118"/>
    <n v="99"/>
    <n v="1.5"/>
    <n v="177"/>
    <m/>
    <m/>
    <m/>
    <s v="material parado revendido-Nva razón social Prince + Flete"/>
    <s v="Entregado"/>
  </r>
  <r>
    <x v="71"/>
    <x v="25"/>
    <x v="1"/>
    <n v="2096"/>
    <d v="2026-02-13T00:00:00"/>
    <x v="11"/>
    <n v="2620001"/>
    <n v="1095"/>
    <n v="9469"/>
    <s v="Tela Colchones del Paraguay 12 - 160"/>
    <n v="113"/>
    <n v="40"/>
    <n v="1.5"/>
    <n v="169.5"/>
    <m/>
    <m/>
    <m/>
    <s v="material parado revendido-Nva razón social Prince + Flete"/>
    <s v="Entregado"/>
  </r>
  <r>
    <x v="72"/>
    <x v="12"/>
    <x v="4"/>
    <n v="1372"/>
    <d v="2026-02-24T00:00:00"/>
    <x v="11"/>
    <n v="2860011"/>
    <n v="2535"/>
    <n v="9522"/>
    <s v="2860011 TP ML DOLPHIN ME 430G 2,20L DIVERSAS U A09646"/>
    <n v="1000"/>
    <n v="946"/>
    <n v="6.49"/>
    <n v="6490"/>
    <m/>
    <m/>
    <m/>
    <s v=" pdn parada-Hilo recibido23/4"/>
    <s v="Entregado"/>
  </r>
  <r>
    <x v="72"/>
    <x v="12"/>
    <x v="4"/>
    <n v="1372"/>
    <d v="2026-02-24T00:00:00"/>
    <x v="11"/>
    <n v="2860003"/>
    <n v="1903"/>
    <n v="9522"/>
    <s v="2860003-TP ME DEGRADE 420G 2,20L DIVERSAS U (SERENE)"/>
    <n v="1000"/>
    <n v="924"/>
    <n v="6.76"/>
    <n v="6760"/>
    <m/>
    <m/>
    <m/>
    <s v="OK- basado en mejoras del flujo de crédito"/>
    <s v="Entregado"/>
  </r>
  <r>
    <x v="72"/>
    <x v="12"/>
    <x v="4"/>
    <n v="1372"/>
    <d v="2026-02-24T00:00:00"/>
    <x v="11"/>
    <n v="2860004"/>
    <n v="1904"/>
    <n v="9522"/>
    <s v="2860004-ME TP RETAS DEGRADE 450G 2,20L (PERFECT SLEEPER)"/>
    <n v="1000"/>
    <n v="990"/>
    <n v="4.3"/>
    <n v="4300"/>
    <m/>
    <m/>
    <m/>
    <s v="OK- basado en mejoras del flujo de crédito"/>
    <s v="Entregado"/>
  </r>
  <r>
    <x v="72"/>
    <x v="12"/>
    <x v="4"/>
    <n v="1372"/>
    <d v="2026-02-24T00:00:00"/>
    <x v="11"/>
    <n v="2860013"/>
    <n v="3275"/>
    <n v="9522"/>
    <s v="TP ML A09687 350G 2,20L DIVERSAS U (SUNSET)"/>
    <n v="500"/>
    <n v="385"/>
    <n v="4.75"/>
    <n v="2375"/>
    <m/>
    <m/>
    <m/>
    <m/>
    <s v="Entregado"/>
  </r>
  <r>
    <x v="73"/>
    <x v="18"/>
    <x v="0"/>
    <n v="1897"/>
    <d v="2026-02-25T00:00:00"/>
    <x v="11"/>
    <s v="PFO (4454)"/>
    <n v="4454"/>
    <n v="9534"/>
    <s v="CAFÉ PUFF ONDAS DV U"/>
    <n v="5000"/>
    <n v="1980"/>
    <n v="1.3"/>
    <n v="6500"/>
    <m/>
    <m/>
    <m/>
    <s v="nva proforma material revenda"/>
    <s v="Entregado"/>
  </r>
  <r>
    <x v="74"/>
    <x v="5"/>
    <x v="4"/>
    <n v="448"/>
    <d v="2026-03-03T00:00:00"/>
    <x v="11"/>
    <s v="1136968 - 2810014"/>
    <s v="2810014 (4848)"/>
    <n v="9634"/>
    <s v="TELA BLACK V.2 - 320 2,20 100% PES NEGRO Y BLANCO"/>
    <n v="800"/>
    <n v="563"/>
    <n v="3.94"/>
    <n v="3152"/>
    <m/>
    <m/>
    <m/>
    <s v="proforma nova 3/3  ok"/>
    <s v="Entregado"/>
  </r>
  <r>
    <x v="74"/>
    <x v="5"/>
    <x v="4"/>
    <n v="448"/>
    <d v="2026-03-03T00:00:00"/>
    <x v="11"/>
    <s v="1122580 - 2810009"/>
    <s v="2810009 (1419)"/>
    <n v="9634"/>
    <s v="TELA T GRIS THERAPEUTIC GRIS PL  2,2M/180GR/A08996"/>
    <n v="1200"/>
    <n v="475"/>
    <n v="2.25"/>
    <n v="2700"/>
    <m/>
    <m/>
    <m/>
    <s v="proforma nova 3/3  ok"/>
    <s v="Entregado"/>
  </r>
  <r>
    <x v="74"/>
    <x v="5"/>
    <x v="4"/>
    <n v="448"/>
    <d v="2026-03-03T00:00:00"/>
    <x v="11"/>
    <s v="1121110 - 2810005"/>
    <s v="2810005 (1422)"/>
    <n v="9634"/>
    <s v="TP FOLHA 240G 2,20L (1121110) DIVERSAS U"/>
    <n v="700"/>
    <n v="400"/>
    <n v="2.83"/>
    <n v="1981"/>
    <m/>
    <m/>
    <m/>
    <s v="proforma nova 3/3  ok"/>
    <s v="Entregado"/>
  </r>
  <r>
    <x v="74"/>
    <x v="5"/>
    <x v="4"/>
    <n v="448"/>
    <d v="2026-03-03T00:00:00"/>
    <x v="11"/>
    <s v="1129159 - 2810011"/>
    <s v="2810011 (3378)"/>
    <n v="9634"/>
    <s v="TELA T NATURAL BAMBOO PARADISE  2,2M/370GR/122034"/>
    <n v="500"/>
    <n v="326"/>
    <n v="4.8499999999999996"/>
    <n v="2425"/>
    <m/>
    <m/>
    <m/>
    <s v="proforma nova 3/3  ok"/>
    <s v="Entregado"/>
  </r>
  <r>
    <x v="75"/>
    <x v="11"/>
    <x v="1"/>
    <n v="620"/>
    <d v="2026-03-06T00:00:00"/>
    <x v="11"/>
    <s v="A9858"/>
    <n v="3200011"/>
    <n v="9691"/>
    <s v="TELA SUPERKIDS ROSA"/>
    <n v="600"/>
    <n v="1320"/>
    <n v="2.2000000000000002"/>
    <n v="1320"/>
    <m/>
    <m/>
    <m/>
    <s v="proforma -ok 06/03"/>
    <s v="Entregado"/>
  </r>
  <r>
    <x v="75"/>
    <x v="11"/>
    <x v="1"/>
    <n v="620"/>
    <d v="2026-03-06T00:00:00"/>
    <x v="11"/>
    <n v="2114"/>
    <n v="3200008"/>
    <n v="9691"/>
    <s v="TELA IMPULSE GRAY"/>
    <n v="400"/>
    <n v="1192"/>
    <n v="2.87"/>
    <n v="1148"/>
    <m/>
    <m/>
    <m/>
    <s v="proforma -ok 06/03"/>
    <s v="Entregado"/>
  </r>
  <r>
    <x v="75"/>
    <x v="11"/>
    <x v="1"/>
    <n v="620"/>
    <d v="2026-03-06T00:00:00"/>
    <x v="11"/>
    <n v="7094"/>
    <n v="3200006"/>
    <n v="9691"/>
    <s v="TELA IMPERIAL GRAY"/>
    <n v="400"/>
    <n v="235"/>
    <n v="3.06"/>
    <n v="1224"/>
    <m/>
    <m/>
    <m/>
    <m/>
    <s v="Entregado"/>
  </r>
  <r>
    <x v="75"/>
    <x v="11"/>
    <x v="1"/>
    <n v="620"/>
    <d v="2026-03-06T00:00:00"/>
    <x v="11"/>
    <s v="A09970"/>
    <n v="3200014"/>
    <n v="9691"/>
    <s v="TELA SUPERSPUMA DOTS AZUL"/>
    <n v="1000"/>
    <n v="1440"/>
    <n v="1.44"/>
    <n v="1440"/>
    <m/>
    <m/>
    <m/>
    <m/>
    <s v="Entregado"/>
  </r>
  <r>
    <x v="75"/>
    <x v="11"/>
    <x v="1"/>
    <n v="620"/>
    <d v="2026-03-06T00:00:00"/>
    <x v="11"/>
    <s v="A09971"/>
    <n v="3200015"/>
    <n v="9691"/>
    <s v="TELA SUPERSPUMA DOTS BORDÓ"/>
    <n v="800"/>
    <n v="1823.9999999999998"/>
    <n v="2.2799999999999998"/>
    <n v="1823.9999999999998"/>
    <m/>
    <m/>
    <m/>
    <m/>
    <s v="Entregado"/>
  </r>
  <r>
    <x v="75"/>
    <x v="11"/>
    <x v="1"/>
    <n v="620"/>
    <d v="2026-03-06T00:00:00"/>
    <x v="11"/>
    <s v="A09969"/>
    <n v="3200013"/>
    <n v="9691"/>
    <s v="TELA SUPERSPUMA DOTS NEGRA"/>
    <n v="900"/>
    <n v="1233"/>
    <n v="1.37"/>
    <n v="1233"/>
    <m/>
    <m/>
    <m/>
    <m/>
    <s v="Entregado"/>
  </r>
  <r>
    <x v="76"/>
    <x v="26"/>
    <x v="5"/>
    <n v="1690"/>
    <d v="2026-03-10T00:00:00"/>
    <x v="12"/>
    <s v="A10169"/>
    <s v="3530001  (4114)"/>
    <n v="9695"/>
    <s v="TELA TAPA CALM  (TL86257)"/>
    <n v="17000"/>
    <n v="8568"/>
    <n v="2"/>
    <n v="34000"/>
    <m/>
    <m/>
    <m/>
    <m/>
    <s v="Entregado"/>
  </r>
  <r>
    <x v="76"/>
    <x v="26"/>
    <x v="5"/>
    <n v="1690"/>
    <d v="2026-03-10T00:00:00"/>
    <x v="12"/>
    <s v="A10108"/>
    <s v="3530004  (4332)"/>
    <n v="9695"/>
    <s v="TELATRIANGULO GRIS OSCURO BED002 (A10108)"/>
    <n v="8000"/>
    <n v="3520"/>
    <n v="1.77"/>
    <n v="14160"/>
    <m/>
    <m/>
    <m/>
    <m/>
    <s v="Entregado"/>
  </r>
  <r>
    <x v="77"/>
    <x v="26"/>
    <x v="5"/>
    <n v="1690"/>
    <d v="2026-04-15T00:00:00"/>
    <x v="12"/>
    <s v="A10169"/>
    <s v="3530001  (4114)"/>
    <n v="10042"/>
    <s v="TELA TAPA CALM  (TL86257)"/>
    <n v="2000"/>
    <m/>
    <n v="2"/>
    <n v="4000"/>
    <m/>
    <m/>
    <m/>
    <s v="Item produzido a + / será incluido no transporte - invoice separada-complementar"/>
    <s v="Entregado"/>
  </r>
  <r>
    <x v="78"/>
    <x v="14"/>
    <x v="3"/>
    <n v="1034"/>
    <d v="2026-03-13T00:00:00"/>
    <x v="12"/>
    <s v="0149003"/>
    <s v="3030072 (4707)"/>
    <n v="9747"/>
    <s v="180 2,10 100% PES PL NEGRO BOLITAS BLANCAS (id 6488)"/>
    <n v="3500"/>
    <n v="1323"/>
    <n v="1.7"/>
    <n v="5950"/>
    <m/>
    <m/>
    <m/>
    <m/>
    <s v="Entregado"/>
  </r>
  <r>
    <x v="78"/>
    <x v="14"/>
    <x v="3"/>
    <n v="1034"/>
    <d v="2026-03-13T00:00:00"/>
    <x v="12"/>
    <s v="0071013"/>
    <s v="3030071 (4706)"/>
    <n v="9747"/>
    <s v="180 2,10 100% PES PL NEGRO &amp;  BLANCO (Id 6491)"/>
    <n v="1500"/>
    <n v="567"/>
    <n v="1.7"/>
    <n v="2550"/>
    <m/>
    <m/>
    <m/>
    <m/>
    <s v="Entregado"/>
  </r>
  <r>
    <x v="79"/>
    <x v="5"/>
    <x v="4"/>
    <n v="448"/>
    <d v="2026-03-18T00:00:00"/>
    <x v="12"/>
    <n v="1136968"/>
    <s v="2810014 (4848)"/>
    <n v="9771"/>
    <s v="TELA BLACK V.2 - 320 2,20 100% PES NEGRO Y BLANCO"/>
    <n v="500"/>
    <n v="352"/>
    <n v="3.94"/>
    <n v="1970"/>
    <m/>
    <m/>
    <m/>
    <s v="proforma 18/03 - Entrega em maio"/>
    <s v="Finalizado"/>
  </r>
  <r>
    <x v="79"/>
    <x v="5"/>
    <x v="4"/>
    <n v="448"/>
    <d v="2026-03-18T00:00:00"/>
    <x v="12"/>
    <n v="1122580"/>
    <s v="2810009 (1419)"/>
    <n v="9771"/>
    <s v="TELA T GRIS THERAPEUTIC GRIS PL  2,2M/180GR/A08996"/>
    <n v="2000"/>
    <n v="792"/>
    <n v="2.25"/>
    <n v="4500"/>
    <m/>
    <m/>
    <m/>
    <s v="proforma 18/03 - Entrega em maio"/>
    <s v="Finalizado"/>
  </r>
  <r>
    <x v="79"/>
    <x v="5"/>
    <x v="4"/>
    <n v="448"/>
    <d v="2026-03-18T00:00:00"/>
    <x v="12"/>
    <n v="1121110"/>
    <s v="2810005 (1422)"/>
    <n v="9771"/>
    <s v="TP FOLHA 240G 2,20L (1121110) DIVERSAS U"/>
    <n v="600"/>
    <n v="317"/>
    <n v="2.83"/>
    <n v="1698"/>
    <m/>
    <m/>
    <m/>
    <s v="proforma 18/03 - Entrega em maio"/>
    <s v="Finalizado"/>
  </r>
  <r>
    <x v="80"/>
    <x v="5"/>
    <x v="4"/>
    <n v="448"/>
    <d v="2026-03-18T00:00:00"/>
    <x v="13"/>
    <n v="1136968"/>
    <s v="2810014 (4848)"/>
    <n v="10299"/>
    <s v="TELA BLACK V.2 - 320 2,20 100% PES NEGRO Y BLANCO"/>
    <n v="500"/>
    <n v="352"/>
    <n v="4.4800000000000004"/>
    <n v="2240"/>
    <m/>
    <m/>
    <m/>
    <s v="Pedido 9772 CXLD x ajuste precios/ proforma 18/03 - Entrega em junho/"/>
    <s v="Finalizado"/>
  </r>
  <r>
    <x v="80"/>
    <x v="5"/>
    <x v="4"/>
    <n v="448"/>
    <d v="2026-03-18T00:00:00"/>
    <x v="13"/>
    <n v="1122580"/>
    <s v="2810009 (1419)"/>
    <n v="10299"/>
    <s v="TELA T GRIS THERAPEUTIC GRIS PL  2,2M/180GR/A08996"/>
    <n v="2500"/>
    <n v="990"/>
    <n v="2.56"/>
    <n v="6400"/>
    <m/>
    <m/>
    <m/>
    <s v="Pedido 9772 CXLD x ajuste precios/ proforma 18/03 - Entrega em junho/"/>
    <s v="não iniciado"/>
  </r>
  <r>
    <x v="80"/>
    <x v="5"/>
    <x v="4"/>
    <n v="448"/>
    <d v="2026-03-18T00:00:00"/>
    <x v="13"/>
    <n v="1129159"/>
    <s v="2810011 (3378)"/>
    <n v="10299"/>
    <s v="TELA T NATURAL BAMBOO PARADISE  2,2M/370GR/122034"/>
    <n v="500"/>
    <n v="407"/>
    <n v="5.52"/>
    <n v="2760"/>
    <m/>
    <m/>
    <m/>
    <s v="Pedido 9772 CXLD x ajuste precios/ proforma 18/03 - Entrega em junho/"/>
    <s v="Finalizado"/>
  </r>
  <r>
    <x v="81"/>
    <x v="27"/>
    <x v="5"/>
    <n v="1832"/>
    <d v="2026-03-19T00:00:00"/>
    <x v="12"/>
    <s v="Brighton A09687&gt;A10420"/>
    <s v="3610003 (4918)"/>
    <n v="9776"/>
    <s v="ESTRUCTURA PREMIUM 360GSM  BLANCO Y BEIGE"/>
    <n v="2000"/>
    <n v="1584"/>
    <n v="4.68"/>
    <n v="9360"/>
    <m/>
    <m/>
    <m/>
    <s v="ok cliente - agrd cod prod totvs/OK"/>
    <s v="Entregado"/>
  </r>
  <r>
    <x v="81"/>
    <x v="27"/>
    <x v="5"/>
    <n v="1832"/>
    <d v="2026-03-19T00:00:00"/>
    <x v="12"/>
    <s v="120 Gold 0558004"/>
    <s v="3610007 (4922)"/>
    <n v="9776"/>
    <s v="ESTRUCTURA PREMIUM 400GSM  BEIGE"/>
    <n v="2000"/>
    <n v="1760"/>
    <n v="6.8"/>
    <n v="13600"/>
    <m/>
    <m/>
    <m/>
    <s v="ok cliente - agrd cod prod totvs/OK"/>
    <s v="Entregado"/>
  </r>
  <r>
    <x v="81"/>
    <x v="27"/>
    <x v="5"/>
    <n v="1832"/>
    <d v="2026-03-19T00:00:00"/>
    <x v="12"/>
    <s v="Kingsbury 0555004"/>
    <s v="3610002 (4917)"/>
    <n v="9776"/>
    <s v="ESTRUCTURA PREMIUM  280GSM BEIGE Y NEGRO"/>
    <n v="2000"/>
    <n v="1232"/>
    <n v="3.22"/>
    <n v="6440"/>
    <m/>
    <m/>
    <m/>
    <s v="ok cliente - agrd cod prod totvs/OK"/>
    <s v="Entregado"/>
  </r>
  <r>
    <x v="81"/>
    <x v="27"/>
    <x v="5"/>
    <n v="1832"/>
    <d v="2026-03-19T00:00:00"/>
    <x v="12"/>
    <s v="Kensignton 0403034"/>
    <s v="3610004 (4919)"/>
    <n v="9776"/>
    <s v="ESTRUCTURA PREMIUM 240GSM BLANCO Y LINO"/>
    <n v="2000"/>
    <n v="1056"/>
    <n v="3.34"/>
    <n v="6680"/>
    <m/>
    <m/>
    <m/>
    <s v="ok cliente - agrd cod prod totvs/OK"/>
    <s v="Entregado"/>
  </r>
  <r>
    <x v="81"/>
    <x v="27"/>
    <x v="5"/>
    <n v="1832"/>
    <d v="2026-03-19T00:00:00"/>
    <x v="12"/>
    <s v="Bradford 0552001"/>
    <s v="3610001 (4916)"/>
    <n v="9776"/>
    <s v="ESTRUCTURA CM 280GSM ARENA Y NEGRO"/>
    <n v="3200"/>
    <n v="1971.2"/>
    <n v="3.05"/>
    <n v="9760"/>
    <m/>
    <m/>
    <m/>
    <s v="ok cliente - agrd cod prod totvs/OK"/>
    <s v="Entregado"/>
  </r>
  <r>
    <x v="81"/>
    <x v="27"/>
    <x v="5"/>
    <n v="1832"/>
    <d v="2026-03-19T00:00:00"/>
    <x v="12"/>
    <s v="Cabecera L1  A10418"/>
    <s v="3610006 (4921)"/>
    <n v="9776"/>
    <s v="ESTRUCTURA PL  180GSM BLANCO Y PERLA"/>
    <n v="5000"/>
    <n v="1890"/>
    <n v="1.78"/>
    <n v="8900"/>
    <m/>
    <m/>
    <m/>
    <s v="ok cliente - agrd cod prod totvs/OK"/>
    <s v="Entregado"/>
  </r>
  <r>
    <x v="81"/>
    <x v="27"/>
    <x v="5"/>
    <n v="1832"/>
    <d v="2026-03-19T00:00:00"/>
    <x v="12"/>
    <s v="Cabecera L2 0566001"/>
    <s v="3610005 (4920)"/>
    <n v="9776"/>
    <s v="ESTRUCTURA CM 220GSM GRIS PERLA"/>
    <n v="8000"/>
    <n v="3872"/>
    <n v="2.15"/>
    <n v="17200"/>
    <m/>
    <m/>
    <m/>
    <s v="ok cliente - agrd cod prod totvs/OK"/>
    <s v="Entregado"/>
  </r>
  <r>
    <x v="82"/>
    <x v="15"/>
    <x v="2"/>
    <n v="996"/>
    <d v="2026-03-20T00:00:00"/>
    <x v="12"/>
    <s v="(74126) A10016"/>
    <s v="3260016 (4352)"/>
    <n v="9777"/>
    <s v="5 ESTRELLAS POR ELLAS-TP 0304002 280G 2,20L"/>
    <n v="800"/>
    <n v="493"/>
    <n v="2.33"/>
    <n v="1864"/>
    <m/>
    <m/>
    <m/>
    <m/>
    <s v="Finalizado"/>
  </r>
  <r>
    <x v="82"/>
    <x v="15"/>
    <x v="2"/>
    <n v="996"/>
    <d v="2026-03-20T00:00:00"/>
    <x v="12"/>
    <s v="(80079) A10016-A &gt; A10230"/>
    <s v="3260017 (4351)"/>
    <n v="9777"/>
    <s v="BANDA 5 ESTRELLAS POR ELLAS-TP A10230 220G 2,20L"/>
    <n v="500"/>
    <n v="242"/>
    <n v="2.02"/>
    <n v="1010"/>
    <m/>
    <m/>
    <m/>
    <m/>
    <s v="Finalizado"/>
  </r>
  <r>
    <x v="82"/>
    <x v="15"/>
    <x v="2"/>
    <n v="996"/>
    <d v="2026-03-20T00:00:00"/>
    <x v="12"/>
    <s v="(89923) 122054"/>
    <s v="3260015 (3578)"/>
    <n v="9777"/>
    <s v="3260015 TP 0122054 300G 2,20  (3578) - TP HOJA BAMBOO "/>
    <n v="500"/>
    <n v="330"/>
    <n v="3"/>
    <n v="1500"/>
    <m/>
    <m/>
    <m/>
    <m/>
    <s v="Finalizado"/>
  </r>
  <r>
    <x v="82"/>
    <x v="15"/>
    <x v="2"/>
    <n v="996"/>
    <d v="2026-03-20T00:00:00"/>
    <x v="12"/>
    <s v="(89931) 3260014"/>
    <s v="3260014 (3398)"/>
    <n v="9777"/>
    <s v="PARAISO BAMBOO ORIGENES 240 2,20"/>
    <n v="1200"/>
    <n v="633.6"/>
    <n v="2.4"/>
    <n v="2880"/>
    <m/>
    <m/>
    <m/>
    <m/>
    <s v="Finalizado"/>
  </r>
  <r>
    <x v="82"/>
    <x v="15"/>
    <x v="2"/>
    <n v="996"/>
    <d v="2026-03-20T00:00:00"/>
    <x v="12"/>
    <s v="(74502) A09741"/>
    <s v="3260002 (2584)"/>
    <n v="9777"/>
    <s v="5 ESTRELLAS AZUL (A09741) 200 2,20"/>
    <n v="500"/>
    <n v="403"/>
    <n v="2.1800000000000002"/>
    <n v="1090"/>
    <m/>
    <m/>
    <m/>
    <m/>
    <s v="Finalizado"/>
  </r>
  <r>
    <x v="83"/>
    <x v="14"/>
    <x v="3"/>
    <n v="1034"/>
    <d v="2026-03-19T00:00:00"/>
    <x v="12"/>
    <n v="3030056"/>
    <s v="3030056 (3148)"/>
    <n v="9778"/>
    <s v="COLOR ARENA CM 3030056"/>
    <n v="1000"/>
    <n v="396"/>
    <n v="2.06"/>
    <n v="2060"/>
    <m/>
    <m/>
    <m/>
    <m/>
    <s v="Entregado"/>
  </r>
  <r>
    <x v="83"/>
    <x v="14"/>
    <x v="3"/>
    <n v="1034"/>
    <d v="2026-03-19T00:00:00"/>
    <x v="12"/>
    <n v="3030033"/>
    <s v="3030033 (3131)"/>
    <n v="9778"/>
    <s v="BLANCO Y NEGRO CF 30033"/>
    <n v="1200"/>
    <n v="475.2"/>
    <n v="1.44"/>
    <n v="1728"/>
    <m/>
    <m/>
    <m/>
    <m/>
    <s v="Entregado"/>
  </r>
  <r>
    <x v="83"/>
    <x v="14"/>
    <x v="3"/>
    <n v="1034"/>
    <d v="2026-03-19T00:00:00"/>
    <x v="12"/>
    <n v="3030024"/>
    <s v="3030024 (4323)"/>
    <n v="9778"/>
    <s v="MODELO GRIS OSCURO CF 95002"/>
    <n v="500"/>
    <n v="200"/>
    <n v="2.13"/>
    <n v="1065"/>
    <m/>
    <m/>
    <m/>
    <m/>
    <s v="Entregado"/>
  </r>
  <r>
    <x v="83"/>
    <x v="14"/>
    <x v="3"/>
    <n v="1034"/>
    <d v="2026-03-19T00:00:00"/>
    <x v="12"/>
    <n v="3030040"/>
    <s v="3030040 (3135)"/>
    <n v="9778"/>
    <s v="BANDA NEGRA - MODELO PLANO "/>
    <n v="500"/>
    <n v="180"/>
    <n v="1.6"/>
    <n v="800"/>
    <m/>
    <m/>
    <m/>
    <m/>
    <s v="Entregado"/>
  </r>
  <r>
    <x v="83"/>
    <x v="14"/>
    <x v="3"/>
    <n v="1034"/>
    <d v="2026-03-19T00:00:00"/>
    <x v="12"/>
    <n v="3030048"/>
    <s v="3030048 (2418)"/>
    <n v="9778"/>
    <s v="BLANCO Y BEIGE 30048"/>
    <n v="500"/>
    <n v="210"/>
    <n v="2.2799999999999998"/>
    <n v="1140"/>
    <m/>
    <m/>
    <m/>
    <m/>
    <s v="Entregado"/>
  </r>
  <r>
    <x v="83"/>
    <x v="14"/>
    <x v="3"/>
    <n v="1034"/>
    <d v="2026-03-19T00:00:00"/>
    <x v="12"/>
    <n v="3030013"/>
    <s v="3030013 (3500)"/>
    <n v="9778"/>
    <s v="BLUE JASMIN A09270  - 3030013"/>
    <n v="1000"/>
    <n v="440"/>
    <n v="1.7"/>
    <n v="1700"/>
    <m/>
    <m/>
    <m/>
    <m/>
    <s v="Entregado"/>
  </r>
  <r>
    <x v="83"/>
    <x v="14"/>
    <x v="3"/>
    <n v="1034"/>
    <d v="2026-03-19T00:00:00"/>
    <x v="12"/>
    <n v="3030026"/>
    <s v="3030026 (3131)"/>
    <n v="9778"/>
    <s v="BLANCO Y NEGRO CM 16055"/>
    <n v="500"/>
    <n v="170"/>
    <n v="1.81"/>
    <n v="905"/>
    <m/>
    <m/>
    <m/>
    <m/>
    <s v="Entregado"/>
  </r>
  <r>
    <x v="83"/>
    <x v="14"/>
    <x v="3"/>
    <n v="1034"/>
    <d v="2026-03-19T00:00:00"/>
    <x v="12"/>
    <n v="3030044"/>
    <s v="3030044 (2433)"/>
    <n v="9778"/>
    <s v="MARFIL Y BLANCO 3030044"/>
    <n v="800"/>
    <n v="268.8"/>
    <n v="2.2000000000000002"/>
    <n v="1760.0000000000002"/>
    <m/>
    <m/>
    <m/>
    <m/>
    <s v="Entregado"/>
  </r>
  <r>
    <x v="83"/>
    <x v="14"/>
    <x v="3"/>
    <n v="1034"/>
    <d v="2026-03-19T00:00:00"/>
    <x v="12"/>
    <n v="3030039"/>
    <s v="3030039 (2428)"/>
    <n v="9778"/>
    <s v="BLANCO Y MARRON 3030039"/>
    <n v="500"/>
    <n v="168"/>
    <n v="2.2000000000000002"/>
    <n v="1100"/>
    <m/>
    <m/>
    <m/>
    <m/>
    <s v="Entregado"/>
  </r>
  <r>
    <x v="83"/>
    <x v="14"/>
    <x v="3"/>
    <n v="1034"/>
    <d v="2026-03-19T00:00:00"/>
    <x v="12"/>
    <n v="3030060"/>
    <s v="3030060 (3504)"/>
    <n v="9778"/>
    <s v="TP M A09956 BANDA CAQUI 3030060"/>
    <n v="600"/>
    <n v="226.8"/>
    <n v="1.5"/>
    <n v="900"/>
    <m/>
    <m/>
    <m/>
    <m/>
    <s v="Entregado"/>
  </r>
  <r>
    <x v="84"/>
    <x v="8"/>
    <x v="5"/>
    <n v="1575"/>
    <d v="2026-04-06T00:00:00"/>
    <x v="12"/>
    <s v="0010181/   3520003"/>
    <s v="4092  / 3520003"/>
    <n v="9942"/>
    <s v="TELA CASEROS MODELO ABSTRACTO 180G 2,20"/>
    <n v="2000"/>
    <n v="792"/>
    <n v="1.77"/>
    <n v="3540"/>
    <m/>
    <m/>
    <m/>
    <s v="OK 07/04"/>
    <s v="Finalizado"/>
  </r>
  <r>
    <x v="84"/>
    <x v="8"/>
    <x v="5"/>
    <n v="1575"/>
    <d v="2026-04-06T00:00:00"/>
    <x v="12"/>
    <s v="0074161/   3520001"/>
    <s v="4094  / 3520001"/>
    <n v="9942"/>
    <s v="TELA CASEROS MODELO DOTS 180G 2,20"/>
    <n v="1000"/>
    <n v="396"/>
    <n v="1.77"/>
    <n v="1770"/>
    <m/>
    <m/>
    <m/>
    <s v="OK 07/04"/>
    <s v="Finalizado"/>
  </r>
  <r>
    <x v="84"/>
    <x v="8"/>
    <x v="5"/>
    <n v="1575"/>
    <d v="2026-04-06T00:00:00"/>
    <x v="12"/>
    <s v="0514044)/   3520006"/>
    <s v="4955  /  3520006"/>
    <n v="9942"/>
    <s v="TELA CARA NEGRA AMARRE BLANCO, RELLENO NEGRO 220 2,20"/>
    <n v="1000"/>
    <n v="484"/>
    <n v="2.63"/>
    <n v="2630"/>
    <m/>
    <m/>
    <m/>
    <s v="OK 07/04"/>
    <s v="Finalizado"/>
  </r>
  <r>
    <x v="84"/>
    <x v="8"/>
    <x v="5"/>
    <n v="1575"/>
    <d v="2026-04-06T00:00:00"/>
    <x v="12"/>
    <s v="0454034/   3520005"/>
    <s v="4954  / 3520005"/>
    <n v="9942"/>
    <s v="TELA ARENA, GRIS, BLANCO-BIODRESS S/LOGO 280 2,20"/>
    <n v="1000"/>
    <n v="616"/>
    <n v="3.89"/>
    <n v="3890"/>
    <m/>
    <m/>
    <m/>
    <s v="OK 07/04"/>
    <s v="Finalizado"/>
  </r>
  <r>
    <x v="84"/>
    <x v="8"/>
    <x v="5"/>
    <n v="1575"/>
    <d v="2026-04-06T00:00:00"/>
    <x v="12"/>
    <s v="0092193/   3520004"/>
    <s v="4159  / 3520004"/>
    <n v="9942"/>
    <s v="3520004   -TP ML 0092193 160Gr 2,10 L"/>
    <n v="2000"/>
    <n v="336"/>
    <n v="1.77"/>
    <n v="3540"/>
    <m/>
    <m/>
    <m/>
    <s v="OK 07/04"/>
    <s v="Finalizado"/>
  </r>
  <r>
    <x v="85"/>
    <x v="13"/>
    <x v="0"/>
    <n v="534"/>
    <d v="2026-03-25T00:00:00"/>
    <x v="12"/>
    <n v="2940090"/>
    <n v="4952"/>
    <n v="9802"/>
    <s v="2940090 TP ML 0148081 180G 2,20L - 7175"/>
    <n v="500"/>
    <n v="198"/>
    <n v="1.96"/>
    <n v="980"/>
    <m/>
    <m/>
    <m/>
    <s v="100% PES CARA MEZCLA, AMARRE NEGRO"/>
    <s v="Entregado"/>
  </r>
  <r>
    <x v="85"/>
    <x v="13"/>
    <x v="0"/>
    <n v="534"/>
    <d v="2026-03-25T00:00:00"/>
    <x v="12"/>
    <n v="2940089"/>
    <n v="4951"/>
    <n v="9802"/>
    <s v="2940089 TP ML 0149111 180G 2,20L - 7176"/>
    <n v="500"/>
    <n v="198"/>
    <n v="1.92"/>
    <n v="960"/>
    <m/>
    <m/>
    <m/>
    <s v="100% PES CARA MEZCLA, AMARRE BLANCO Y NEGRO"/>
    <s v="Entregado"/>
  </r>
  <r>
    <x v="85"/>
    <x v="13"/>
    <x v="0"/>
    <n v="534"/>
    <d v="2026-03-25T00:00:00"/>
    <x v="12"/>
    <n v="2940088"/>
    <n v="4950"/>
    <n v="9802"/>
    <s v="2940088 TP ML 0157001 180G 2,20L - 7177"/>
    <n v="500"/>
    <n v="198"/>
    <n v="1.91"/>
    <n v="955"/>
    <m/>
    <m/>
    <m/>
    <s v="100% PES GRIS"/>
    <s v="Entregado"/>
  </r>
  <r>
    <x v="85"/>
    <x v="13"/>
    <x v="0"/>
    <n v="534"/>
    <d v="2026-03-25T00:00:00"/>
    <x v="12"/>
    <n v="2940087"/>
    <n v="4949"/>
    <n v="9802"/>
    <s v="2940087 TP ML 0239031 180G 2,20L - 7178"/>
    <n v="500"/>
    <n v="198"/>
    <n v="1.91"/>
    <n v="955"/>
    <m/>
    <m/>
    <m/>
    <s v="100% PES BLANCO"/>
    <s v="Entregado"/>
  </r>
  <r>
    <x v="85"/>
    <x v="13"/>
    <x v="0"/>
    <n v="534"/>
    <d v="2026-03-25T00:00:00"/>
    <x v="12"/>
    <n v="2940086"/>
    <n v="4948"/>
    <n v="9802"/>
    <s v="2940086 TP ML 0240031 180G 2,20L - 7179"/>
    <n v="500"/>
    <n v="198"/>
    <n v="1.95"/>
    <n v="975"/>
    <m/>
    <m/>
    <m/>
    <s v="100% PESNEGRO Y RIS"/>
    <s v="Entregado"/>
  </r>
  <r>
    <x v="85"/>
    <x v="13"/>
    <x v="0"/>
    <n v="534"/>
    <d v="2026-03-25T00:00:00"/>
    <x v="12"/>
    <n v="2940091"/>
    <n v="4956"/>
    <n v="9802"/>
    <s v="2940091 TP ML 0246001 180G 2,20L - 7231"/>
    <n v="500"/>
    <n v="198"/>
    <n v="1.92"/>
    <n v="960"/>
    <m/>
    <m/>
    <m/>
    <s v="100% PES BLANCO Y GRIS"/>
    <s v="Entregado"/>
  </r>
  <r>
    <x v="85"/>
    <x v="13"/>
    <x v="0"/>
    <n v="534"/>
    <d v="2026-03-25T00:00:00"/>
    <x v="12"/>
    <n v="2940085"/>
    <n v="4947"/>
    <n v="9802"/>
    <s v="2940085 TP ML 0251021 180G 2,20L - 7181"/>
    <n v="500"/>
    <n v="198"/>
    <n v="2.0099999999999998"/>
    <n v="1004.9999999999999"/>
    <m/>
    <m/>
    <m/>
    <s v="100% PES AZUL MARINO"/>
    <s v="Entregado"/>
  </r>
  <r>
    <x v="85"/>
    <x v="13"/>
    <x v="0"/>
    <n v="534"/>
    <d v="2026-03-25T00:00:00"/>
    <x v="12"/>
    <n v="2940082"/>
    <n v="4944"/>
    <n v="9802"/>
    <s v="2940082 TP ML 0260011 180G 2,20L - 7182"/>
    <n v="500"/>
    <n v="198"/>
    <n v="2.04"/>
    <n v="1020"/>
    <m/>
    <m/>
    <m/>
    <s v="100% PES CARA AZUL MARINO AMARRE NEGRO"/>
    <s v="Entregado"/>
  </r>
  <r>
    <x v="85"/>
    <x v="13"/>
    <x v="0"/>
    <n v="534"/>
    <d v="2026-03-25T00:00:00"/>
    <x v="12"/>
    <n v="2940081"/>
    <n v="4943"/>
    <n v="9802"/>
    <s v="2940081 TP ML 0262031 180G 2,20L - 7183"/>
    <n v="500"/>
    <n v="198"/>
    <n v="1.92"/>
    <n v="960"/>
    <m/>
    <m/>
    <m/>
    <s v="100% PES GRIS"/>
    <s v="Entregado"/>
  </r>
  <r>
    <x v="85"/>
    <x v="13"/>
    <x v="0"/>
    <n v="534"/>
    <d v="2026-03-25T00:00:00"/>
    <x v="12"/>
    <n v="2940080"/>
    <n v="4942"/>
    <n v="9802"/>
    <s v="2940080 TP ML 0264011 180G 2,20L - 7184"/>
    <n v="500"/>
    <n v="198"/>
    <n v="1.92"/>
    <n v="960"/>
    <m/>
    <m/>
    <m/>
    <s v="100% PES CARA MEZCLA AMARRE NEGRO"/>
    <s v="Entregado"/>
  </r>
  <r>
    <x v="85"/>
    <x v="13"/>
    <x v="0"/>
    <n v="534"/>
    <d v="2026-03-25T00:00:00"/>
    <x v="12"/>
    <n v="2940079"/>
    <n v="4941"/>
    <n v="9802"/>
    <s v="2940079 TP ML 0269021 180G 2,20L - 7185"/>
    <n v="500"/>
    <n v="198"/>
    <n v="1.88"/>
    <n v="940"/>
    <m/>
    <m/>
    <m/>
    <s v="100% PES CARA MEZCLA AMARRE BLANCO"/>
    <s v="Entregado"/>
  </r>
  <r>
    <x v="85"/>
    <x v="13"/>
    <x v="0"/>
    <n v="534"/>
    <d v="2026-03-25T00:00:00"/>
    <x v="12"/>
    <n v="2940078"/>
    <n v="4940"/>
    <n v="9802"/>
    <s v="2940078 TP ML 0269021 180G 2,20L - 7186"/>
    <n v="500"/>
    <n v="198"/>
    <n v="2.0099999999999998"/>
    <n v="1004.9999999999999"/>
    <m/>
    <m/>
    <m/>
    <s v="100% PES AZUL MARINO"/>
    <s v="Entregado"/>
  </r>
  <r>
    <x v="85"/>
    <x v="13"/>
    <x v="0"/>
    <n v="534"/>
    <d v="2026-03-25T00:00:00"/>
    <x v="12"/>
    <n v="2940084"/>
    <n v="4946"/>
    <n v="9802"/>
    <s v="2940084 TP ML 0399041 180G 2,20L - 7230"/>
    <n v="500"/>
    <n v="198"/>
    <n v="1.92"/>
    <n v="960"/>
    <m/>
    <m/>
    <m/>
    <s v="100% PES BLANCO Y GRIS"/>
    <s v="Entregado"/>
  </r>
  <r>
    <x v="85"/>
    <x v="13"/>
    <x v="0"/>
    <n v="534"/>
    <d v="2026-03-25T00:00:00"/>
    <x v="12"/>
    <n v="2940076"/>
    <n v="4938"/>
    <n v="9802"/>
    <s v="2940076 TP ML 0416091 180G 2,20L - 7189"/>
    <n v="500"/>
    <n v="198"/>
    <n v="1.92"/>
    <n v="960"/>
    <m/>
    <m/>
    <m/>
    <s v="100% PES BLANCO"/>
    <s v="Entregado"/>
  </r>
  <r>
    <x v="85"/>
    <x v="13"/>
    <x v="0"/>
    <n v="534"/>
    <d v="2026-03-25T00:00:00"/>
    <x v="12"/>
    <n v="2940075"/>
    <n v="4937"/>
    <n v="9802"/>
    <s v="2940075 TP ML 0418041 180G 2,20L - 7190 "/>
    <n v="500"/>
    <n v="198"/>
    <n v="1.91"/>
    <n v="955"/>
    <m/>
    <m/>
    <m/>
    <s v="100% PES BLANCO"/>
    <s v="Entregado"/>
  </r>
  <r>
    <x v="85"/>
    <x v="13"/>
    <x v="0"/>
    <n v="534"/>
    <d v="2026-03-25T00:00:00"/>
    <x v="12"/>
    <n v="2940074"/>
    <n v="4936"/>
    <n v="9802"/>
    <s v="2940074 TP ML 0434001 180G 2,20L - 7191"/>
    <n v="500"/>
    <n v="198"/>
    <n v="1.88"/>
    <n v="940"/>
    <m/>
    <m/>
    <m/>
    <s v="100% PES MEZCLA Y BLANCO"/>
    <s v="Entregado"/>
  </r>
  <r>
    <x v="85"/>
    <x v="13"/>
    <x v="0"/>
    <n v="534"/>
    <d v="2026-03-25T00:00:00"/>
    <x v="12"/>
    <n v="2940083"/>
    <n v="4945"/>
    <n v="9802"/>
    <s v="2940083 TP ML 0446031 180G 2,20L - 7229"/>
    <n v="500"/>
    <n v="198"/>
    <n v="1.92"/>
    <n v="960"/>
    <m/>
    <m/>
    <m/>
    <s v="100% PES BLANCO Y GRIS"/>
    <s v="Entregado"/>
  </r>
  <r>
    <x v="85"/>
    <x v="13"/>
    <x v="0"/>
    <n v="534"/>
    <d v="2026-03-25T00:00:00"/>
    <x v="12"/>
    <n v="2940073"/>
    <n v="4932"/>
    <n v="9802"/>
    <s v="2940073 TP ML 0486001 180G 2,20L - 7228"/>
    <n v="500"/>
    <n v="198"/>
    <n v="1.92"/>
    <n v="960"/>
    <m/>
    <m/>
    <m/>
    <s v="100% PES BLANCO Y GRIS"/>
    <s v="Entregado"/>
  </r>
  <r>
    <x v="85"/>
    <x v="13"/>
    <x v="0"/>
    <n v="534"/>
    <d v="2026-03-25T00:00:00"/>
    <x v="12"/>
    <n v="2940072"/>
    <n v="4931"/>
    <n v="9802"/>
    <s v="2940072 TP ML 0488001 180G 2,20L - 7194"/>
    <n v="500"/>
    <n v="198"/>
    <n v="1.95"/>
    <n v="975"/>
    <m/>
    <m/>
    <m/>
    <s v="100% PES CARA GRIS AMARRE NEGRO"/>
    <s v="Entregado"/>
  </r>
  <r>
    <x v="85"/>
    <x v="13"/>
    <x v="0"/>
    <n v="534"/>
    <d v="2026-03-25T00:00:00"/>
    <x v="12"/>
    <n v="2940071"/>
    <n v="4930"/>
    <n v="9802"/>
    <s v="2940071 TP ML 0513001 180G 2,20L - 7195"/>
    <n v="500"/>
    <n v="198"/>
    <n v="1.94"/>
    <n v="970"/>
    <m/>
    <m/>
    <m/>
    <s v="100% PES ARENA"/>
    <s v="Entregado"/>
  </r>
  <r>
    <x v="85"/>
    <x v="13"/>
    <x v="0"/>
    <n v="534"/>
    <d v="2026-03-25T00:00:00"/>
    <x v="12"/>
    <n v="2940070"/>
    <n v="4929"/>
    <n v="9802"/>
    <s v="2940070 TP ML 0514001 180G 2,20L - 7196"/>
    <n v="500"/>
    <n v="198"/>
    <n v="1.93"/>
    <n v="965"/>
    <m/>
    <m/>
    <m/>
    <s v="100% PES CARA GRIS AMARRE BLANCO"/>
    <s v="Entregado"/>
  </r>
  <r>
    <x v="85"/>
    <x v="13"/>
    <x v="0"/>
    <n v="534"/>
    <d v="2026-03-25T00:00:00"/>
    <x v="12"/>
    <n v="2940069"/>
    <n v="4928"/>
    <n v="9802"/>
    <s v="2940069 TP ML 0515011 180G 2,20L  - 7227"/>
    <n v="500"/>
    <n v="198"/>
    <n v="1.92"/>
    <n v="960"/>
    <m/>
    <m/>
    <m/>
    <s v="100% PES BLANCO Y GRIS"/>
    <s v="Entregado"/>
  </r>
  <r>
    <x v="85"/>
    <x v="13"/>
    <x v="0"/>
    <n v="534"/>
    <d v="2026-03-25T00:00:00"/>
    <x v="12"/>
    <n v="2940068"/>
    <n v="4927"/>
    <n v="9802"/>
    <s v="2940068 TP ML 0521051 180G 2,20L - 7198"/>
    <n v="500"/>
    <n v="198"/>
    <n v="1.93"/>
    <n v="965"/>
    <m/>
    <m/>
    <m/>
    <s v="100% PES GRIS"/>
    <s v="Entregado"/>
  </r>
  <r>
    <x v="85"/>
    <x v="13"/>
    <x v="0"/>
    <n v="534"/>
    <d v="2026-03-25T00:00:00"/>
    <x v="12"/>
    <n v="2940077"/>
    <n v="4939"/>
    <n v="9802"/>
    <s v="2940077 TP ML 0302041 180G 2,20L - 7188"/>
    <n v="500"/>
    <n v="198"/>
    <n v="1.92"/>
    <n v="960"/>
    <m/>
    <m/>
    <m/>
    <s v="100% PES CARA ARENA AMARRE BLANCO"/>
    <s v="Entregado"/>
  </r>
  <r>
    <x v="86"/>
    <x v="28"/>
    <x v="5"/>
    <n v="2138"/>
    <d v="2026-03-31T00:00:00"/>
    <x v="12"/>
    <s v="TF7218&gt;A10466&gt;3630003"/>
    <n v="4959"/>
    <n v="9939"/>
    <s v="400 2,30 PES/PE CM BLANCO - COOLING"/>
    <n v="1500"/>
    <n v="1380"/>
    <n v="7.6"/>
    <n v="11400"/>
    <m/>
    <m/>
    <m/>
    <s v="3D com CR"/>
    <s v="Finalizado"/>
  </r>
  <r>
    <x v="86"/>
    <x v="28"/>
    <x v="5"/>
    <n v="2138"/>
    <d v="2026-03-31T00:00:00"/>
    <x v="12"/>
    <s v="TF7220&gt;A10467&gt;3630002"/>
    <n v="4958"/>
    <n v="9939"/>
    <s v="180 2,20 100% PES CM BLANCO BRILLANTE"/>
    <n v="1500"/>
    <n v="594"/>
    <n v="2.14"/>
    <n v="3210"/>
    <m/>
    <m/>
    <m/>
    <s v="3D com CR"/>
    <s v="Finalizado"/>
  </r>
  <r>
    <x v="86"/>
    <x v="28"/>
    <x v="5"/>
    <n v="2138"/>
    <d v="2026-03-31T00:00:00"/>
    <x v="12"/>
    <s v="TF7223&gt;A03174&gt;3630001"/>
    <n v="4957"/>
    <n v="9939"/>
    <s v="200 2,20 100% PES CM BLANCO"/>
    <n v="1500"/>
    <n v="660"/>
    <n v="2.31"/>
    <n v="3465"/>
    <m/>
    <m/>
    <m/>
    <s v="3D com CR"/>
    <s v="Finalizado"/>
  </r>
  <r>
    <x v="87"/>
    <x v="18"/>
    <x v="0"/>
    <n v="1897"/>
    <d v="2026-04-29T00:00:00"/>
    <x v="14"/>
    <s v="(id7409) A10053&gt; 3370011"/>
    <s v="3760 &gt; 3162"/>
    <n v="10169"/>
    <s v="3370011 TP ML A10053 180G 2,10L  PL GRIS PERLA"/>
    <n v="2500"/>
    <n v="945"/>
    <n v="1.96"/>
    <n v="4900"/>
    <m/>
    <m/>
    <m/>
    <m/>
    <s v="Atraso"/>
  </r>
  <r>
    <x v="87"/>
    <x v="18"/>
    <x v="0"/>
    <n v="1897"/>
    <d v="2026-04-29T00:00:00"/>
    <x v="14"/>
    <s v="0536016 &gt; 3370012"/>
    <n v="5045"/>
    <n v="10169"/>
    <s v="TELA GRIS PERLA 180G 2,10 100% PES  PL"/>
    <n v="1000"/>
    <n v="378"/>
    <n v="1.82"/>
    <n v="1820"/>
    <m/>
    <m/>
    <m/>
    <m/>
    <s v="Finalizado"/>
  </r>
  <r>
    <x v="87"/>
    <x v="18"/>
    <x v="0"/>
    <n v="1897"/>
    <d v="2026-04-29T00:00:00"/>
    <x v="14"/>
    <n v="3370005"/>
    <n v="2206"/>
    <n v="10169"/>
    <s v="Favo Blanco / 3370005 TP ML BOL 180G 2,20L DIVERSAS U"/>
    <n v="1500"/>
    <n v="594"/>
    <n v="1.98"/>
    <n v="2970"/>
    <m/>
    <m/>
    <m/>
    <m/>
    <s v="Finalizado"/>
  </r>
  <r>
    <x v="88"/>
    <x v="29"/>
    <x v="8"/>
    <n v="2171"/>
    <d v="2026-05-13T00:00:00"/>
    <x v="15"/>
    <s v="7461/ 0269121"/>
    <s v="3390013 (5055)"/>
    <n v="10310"/>
    <s v="220G 2,20 100% PES CM BLANCO Y PERLA"/>
    <n v="4000"/>
    <n v="1936"/>
    <n v="2.0099999999999998"/>
    <n v="8039.9999999999991"/>
    <m/>
    <m/>
    <m/>
    <m/>
    <s v="produzindo"/>
  </r>
  <r>
    <x v="88"/>
    <x v="29"/>
    <x v="8"/>
    <n v="2171"/>
    <d v="2026-05-13T00:00:00"/>
    <x v="15"/>
    <s v="7452/ 0066041"/>
    <s v="3390014 (5056)"/>
    <n v="10310"/>
    <s v="220G 2,20 100% PES CM BLANCO Y AZUL"/>
    <n v="5000"/>
    <n v="2420"/>
    <n v="2.0099999999999998"/>
    <n v="10049.999999999998"/>
    <m/>
    <m/>
    <m/>
    <m/>
    <s v="produzindo"/>
  </r>
  <r>
    <x v="88"/>
    <x v="29"/>
    <x v="8"/>
    <n v="2171"/>
    <d v="2026-05-13T00:00:00"/>
    <x v="15"/>
    <s v="7453 / A10496"/>
    <s v="3390015 (5057)"/>
    <n v="10310"/>
    <s v=""/>
    <m/>
    <n v="2268"/>
    <n v="1.65"/>
    <n v="0"/>
    <m/>
    <m/>
    <m/>
    <s v="Banda eliminada 01/07/2026"/>
    <s v="produzindo"/>
  </r>
  <r>
    <x v="88"/>
    <x v="29"/>
    <x v="8"/>
    <n v="2171"/>
    <d v="2026-05-13T00:00:00"/>
    <x v="15"/>
    <s v="7417 / A10497&gt; A10519"/>
    <s v="3390016 (5058)"/>
    <n v="10310"/>
    <s v="280G 2,20 100% PES CM AZUL MARINO (DARK)"/>
    <n v="3000"/>
    <n v="1848"/>
    <n v="3.92"/>
    <n v="11760"/>
    <m/>
    <m/>
    <m/>
    <s v="Item alterado (3000mts) por divergencia de diseño, color y estructura/versión final sin morado"/>
    <s v="Atraso"/>
  </r>
  <r>
    <x v="89"/>
    <x v="23"/>
    <x v="3"/>
    <n v="2049"/>
    <d v="2026-05-14T00:00:00"/>
    <x v="13"/>
    <s v="LA003 &gt;A10402"/>
    <s v="4773 - 3590009"/>
    <n v="10308"/>
    <s v="200 2,10 100% PES CM NEGRO Fire-Retardant s/ Logo  "/>
    <n v="2000"/>
    <n v="840"/>
    <n v="4.9800000000000004"/>
    <n v="9960"/>
    <m/>
    <m/>
    <m/>
    <s v="Combinado de manter preço"/>
    <s v="programado"/>
  </r>
  <r>
    <x v="90"/>
    <x v="4"/>
    <x v="3"/>
    <n v="316"/>
    <d v="2026-05-15T00:00:00"/>
    <x v="13"/>
    <n v="32282"/>
    <n v="1523"/>
    <n v="10309"/>
    <s v="TELA ANTIDESLIZANTE CONEXÃO (MATERIAL REVENDA)"/>
    <n v="8000"/>
    <n v="2592"/>
    <n v="1.75"/>
    <n v="14000"/>
    <m/>
    <m/>
    <m/>
    <s v="material de revenda -"/>
    <s v="Mat Revenda"/>
  </r>
  <r>
    <x v="91"/>
    <x v="30"/>
    <x v="9"/>
    <n v="1164"/>
    <d v="2026-05-21T00:00:00"/>
    <x v="14"/>
    <s v="CL2 DV"/>
    <n v="1706"/>
    <n v="10344"/>
    <s v="Lot Closeout - 2nd quality - 44.000 m &gt; CUBA  **separar /coord coleta"/>
    <n v="44000"/>
    <n v="14256"/>
    <n v="1.54"/>
    <n v="67760"/>
    <m/>
    <m/>
    <m/>
    <s v="Lot Closeout 40K mts ($72.000,40) pay to Jingmei"/>
    <s v="coletar"/>
  </r>
  <r>
    <x v="92"/>
    <x v="4"/>
    <x v="3"/>
    <n v="316"/>
    <d v="2026-05-25T00:00:00"/>
    <x v="13"/>
    <n v="2540037"/>
    <n v="5176"/>
    <n v="10529"/>
    <s v="CAMBIO / Tela Cool Touch A09792 &gt;A10518 460G 2,20L"/>
    <n v="1000"/>
    <n v="858"/>
    <n v="7.91"/>
    <n v="7910"/>
    <m/>
    <m/>
    <m/>
    <s v="Item alterado / Actualizar precio/ OK"/>
    <s v="produzindo"/>
  </r>
  <r>
    <x v="93"/>
    <x v="12"/>
    <x v="4"/>
    <n v="1372"/>
    <d v="2026-06-09T00:00:00"/>
    <x v="13"/>
    <s v="BR Platinum A09686"/>
    <s v="2860014  (3276)"/>
    <n v="10497"/>
    <s v="2860014 TP ML A09686 370G DIV U"/>
    <n v="500"/>
    <n v="407"/>
    <n v="7.1"/>
    <n v="3550"/>
    <m/>
    <m/>
    <m/>
    <m/>
    <s v="Finalizado"/>
  </r>
  <r>
    <x v="93"/>
    <x v="12"/>
    <x v="4"/>
    <n v="1372"/>
    <d v="2026-06-09T00:00:00"/>
    <x v="13"/>
    <s v="BR Harmony A09647"/>
    <s v="2860012 (2536)"/>
    <n v="10497"/>
    <s v="2860012 TP ML HARMONY ME A09647 440G DIV U"/>
    <n v="500"/>
    <n v="484"/>
    <n v="7.43"/>
    <n v="3715"/>
    <m/>
    <m/>
    <m/>
    <m/>
    <s v="Finalizado"/>
  </r>
  <r>
    <x v="93"/>
    <x v="12"/>
    <x v="4"/>
    <n v="1372"/>
    <d v="2026-06-09T00:00:00"/>
    <x v="13"/>
    <s v="Serta Advant. Dual"/>
    <s v="2860006 (4600)"/>
    <n v="10497"/>
    <s v="2860006 TP 260 2,10  100% PES PL CINZA GRIS"/>
    <n v="1500"/>
    <n v="1134"/>
    <n v="5.2"/>
    <n v="7800"/>
    <m/>
    <m/>
    <m/>
    <m/>
    <s v="Finalizado"/>
  </r>
  <r>
    <x v="94"/>
    <x v="27"/>
    <x v="5"/>
    <n v="1832"/>
    <d v="2026-06-11T00:00:00"/>
    <x v="13"/>
    <s v="Brighton A09687/A10420&gt;A10512"/>
    <s v="3610003 (4918)&gt;3610008(5168)"/>
    <n v="10499"/>
    <s v="CAMBIO / ESTRUCTURA PREMIUM 400GSM 2,20 BLANCO Y BEIGE (RELLENONEGRO)"/>
    <n v="600"/>
    <n v="475.2"/>
    <n v="4.68"/>
    <n v="2808"/>
    <m/>
    <m/>
    <m/>
    <s v="Reposição de qualidade/defeito"/>
    <s v="Finalizado"/>
  </r>
  <r>
    <x v="95"/>
    <x v="5"/>
    <x v="4"/>
    <n v="448"/>
    <d v="2026-06-11T00:00:00"/>
    <x v="16"/>
    <s v="1122580 / A08996"/>
    <s v="2810009 (1419)"/>
    <n v="10506"/>
    <s v="TELA T GRIS THERAPEUTIC GRIS PL  2,2M/180GR/A08996"/>
    <n v="1000"/>
    <n v="396"/>
    <n v="2.56"/>
    <n v="2560"/>
    <m/>
    <m/>
    <m/>
    <m/>
    <s v="Finalizado"/>
  </r>
  <r>
    <x v="95"/>
    <x v="5"/>
    <x v="4"/>
    <n v="448"/>
    <d v="2026-06-11T00:00:00"/>
    <x v="16"/>
    <s v="1129159 / 2810011"/>
    <s v="2810011 (3378)"/>
    <n v="10506"/>
    <s v="TELA T NATURAL BAMBOO PARADISE  2,2M/370GR/122034"/>
    <n v="500"/>
    <n v="407"/>
    <n v="5.52"/>
    <n v="2760"/>
    <m/>
    <m/>
    <m/>
    <m/>
    <s v="Finalizado"/>
  </r>
  <r>
    <x v="96"/>
    <x v="11"/>
    <x v="1"/>
    <n v="620"/>
    <d v="2026-06-12T00:00:00"/>
    <x v="16"/>
    <n v="7094"/>
    <s v="3200006 (1759)"/>
    <n v="10514"/>
    <s v="TELA IMPERIAL GRAY"/>
    <n v="500"/>
    <n v="189"/>
    <n v="3.01"/>
    <n v="1505"/>
    <m/>
    <m/>
    <m/>
    <s v="ajuste preços 16/06"/>
    <s v="Finalizado"/>
  </r>
  <r>
    <x v="96"/>
    <x v="11"/>
    <x v="1"/>
    <n v="620"/>
    <d v="2026-06-12T00:00:00"/>
    <x v="16"/>
    <s v="A09970"/>
    <s v="3200014 (3701)"/>
    <n v="10514"/>
    <s v="TELA SUPERSPUMA DOTS AZUL"/>
    <n v="700"/>
    <n v="264.60000000000002"/>
    <n v="1.56"/>
    <n v="1092"/>
    <m/>
    <m/>
    <m/>
    <s v="ajuste preços 16/06"/>
    <s v="Finalizado"/>
  </r>
  <r>
    <x v="96"/>
    <x v="11"/>
    <x v="1"/>
    <n v="620"/>
    <d v="2026-06-12T00:00:00"/>
    <x v="16"/>
    <s v="A09971"/>
    <s v="3200015 (3702)"/>
    <n v="10514"/>
    <s v="TELA SUPERSPUMA DOTS BORDÓ"/>
    <n v="550"/>
    <n v="207.9"/>
    <n v="2.58"/>
    <n v="1419"/>
    <m/>
    <m/>
    <m/>
    <s v="ajuste preços 16/06"/>
    <s v="Finalizado"/>
  </r>
  <r>
    <x v="96"/>
    <x v="11"/>
    <x v="1"/>
    <n v="620"/>
    <d v="2026-06-12T00:00:00"/>
    <x v="16"/>
    <s v="A09969"/>
    <s v="3200013 (3700)"/>
    <n v="10514"/>
    <s v="TELA SUPERSPUMA DOTS NEGRA"/>
    <n v="1900"/>
    <n v="718.2"/>
    <n v="1.5"/>
    <n v="2850"/>
    <m/>
    <m/>
    <m/>
    <s v="ajuste preços 16/06"/>
    <s v="Finalizado"/>
  </r>
  <r>
    <x v="97"/>
    <x v="27"/>
    <x v="5"/>
    <n v="1832"/>
    <d v="2026-06-23T00:00:00"/>
    <x v="16"/>
    <s v="Brighton /A10512"/>
    <s v="3610008 (5168)"/>
    <n v="10572"/>
    <s v="ESTRUCTURA PREMIUM 400GSM 2,20 BLANCO Y BEIGE (RELLENONEGRO)"/>
    <n v="600"/>
    <n v="528"/>
    <n v="5.89"/>
    <n v="3534"/>
    <m/>
    <m/>
    <m/>
    <s v="pedido nuevo - Ok"/>
    <s v="Finalizado"/>
  </r>
  <r>
    <x v="98"/>
    <x v="5"/>
    <x v="4"/>
    <n v="448"/>
    <d v="2026-06-24T00:00:00"/>
    <x v="16"/>
    <n v="1136968"/>
    <s v="2810014 (4848)"/>
    <n v="10609"/>
    <s v="TELA BLACK V.2 - 320 2,20 100% PES NEGRO Y BLANCO"/>
    <n v="1000"/>
    <n v="704"/>
    <n v="4.4800000000000004"/>
    <n v="4480"/>
    <m/>
    <m/>
    <m/>
    <s v="ok"/>
    <s v="Finalizado"/>
  </r>
  <r>
    <x v="99"/>
    <x v="31"/>
    <x v="1"/>
    <n v="1081"/>
    <d v="2026-06-24T00:00:00"/>
    <x v="16"/>
    <s v="0284001"/>
    <s v="3650004"/>
    <n v="10756"/>
    <s v="380 2,20 69% PES 31% PE CM ARCTIC BREEZE S/LOGO"/>
    <n v="500"/>
    <n v="418"/>
    <n v="7.34"/>
    <n v="3670"/>
    <m/>
    <m/>
    <m/>
    <s v="incluye frete"/>
    <s v="não iniciado"/>
  </r>
  <r>
    <x v="99"/>
    <x v="31"/>
    <x v="1"/>
    <n v="1081"/>
    <d v="2026-06-24T00:00:00"/>
    <x v="16"/>
    <s v="0274005"/>
    <s v="3650003"/>
    <n v="10756"/>
    <s v="280 2,20 100% PES XN"/>
    <n v="500"/>
    <n v="308"/>
    <n v="3.25"/>
    <n v="1625"/>
    <m/>
    <m/>
    <m/>
    <s v="incluye frete"/>
    <s v="Finalizado"/>
  </r>
  <r>
    <x v="99"/>
    <x v="31"/>
    <x v="1"/>
    <n v="1081"/>
    <d v="2026-06-24T00:00:00"/>
    <x v="16"/>
    <s v="0271001"/>
    <s v="3650002"/>
    <n v="10756"/>
    <s v="360 2,20 87% PES 13% CO CM"/>
    <n v="500"/>
    <n v="396"/>
    <n v="4.75"/>
    <n v="2375"/>
    <m/>
    <m/>
    <m/>
    <s v="incluye frete"/>
    <s v="não iniciado"/>
  </r>
  <r>
    <x v="99"/>
    <x v="31"/>
    <x v="1"/>
    <n v="1081"/>
    <d v="2026-06-24T00:00:00"/>
    <x v="16"/>
    <s v="0146004"/>
    <s v="3650001"/>
    <n v="10756"/>
    <s v="340 2,20 100% PES XP BEIGE"/>
    <n v="500"/>
    <n v="374"/>
    <n v="3.01"/>
    <n v="1505"/>
    <m/>
    <m/>
    <m/>
    <s v="incluye frete"/>
    <s v="Finalizado"/>
  </r>
  <r>
    <x v="99"/>
    <x v="31"/>
    <x v="1"/>
    <n v="1081"/>
    <d v="2026-06-24T00:00:00"/>
    <x v="16"/>
    <s v="0276005"/>
    <s v="3650005"/>
    <n v="10756"/>
    <s v="280 2,20 100% PES XN"/>
    <n v="500"/>
    <n v="308"/>
    <n v="3.07"/>
    <n v="1535"/>
    <m/>
    <m/>
    <m/>
    <s v="incluye frete"/>
    <s v="Finalizado"/>
  </r>
  <r>
    <x v="99"/>
    <x v="31"/>
    <x v="1"/>
    <n v="1081"/>
    <d v="2026-06-24T00:00:00"/>
    <x v="16"/>
    <s v="A10524"/>
    <n v="3650012"/>
    <n v="10756"/>
    <s v="180 2,10 100% PES CM NEGRO BANDA"/>
    <n v="500"/>
    <n v="189"/>
    <n v="1.53"/>
    <n v="765"/>
    <m/>
    <m/>
    <m/>
    <s v="incluye frete"/>
    <s v="Finalizado"/>
  </r>
  <r>
    <x v="99"/>
    <x v="31"/>
    <x v="1"/>
    <n v="1081"/>
    <d v="2026-06-24T00:00:00"/>
    <x v="16"/>
    <s v="A10523"/>
    <n v="3650011"/>
    <n v="10756"/>
    <s v="180 2,10 100% PES CM BEIGE BANDA"/>
    <n v="500"/>
    <n v="189"/>
    <n v="1.53"/>
    <n v="765"/>
    <m/>
    <m/>
    <m/>
    <s v="incluye frete"/>
    <s v="Finalizado"/>
  </r>
  <r>
    <x v="99"/>
    <x v="31"/>
    <x v="1"/>
    <n v="1081"/>
    <d v="2026-06-24T00:00:00"/>
    <x v="16"/>
    <s v="A10522"/>
    <n v="3650010"/>
    <n v="10756"/>
    <s v="180 2,10 100% PES CM GRIS CLARO BANDA"/>
    <n v="500"/>
    <n v="189"/>
    <n v="1.53"/>
    <n v="765"/>
    <m/>
    <m/>
    <m/>
    <s v="incluye frete"/>
    <s v="Finalizado"/>
  </r>
  <r>
    <x v="100"/>
    <x v="18"/>
    <x v="0"/>
    <n v="1897"/>
    <d v="2026-06-24T00:00:00"/>
    <x v="16"/>
    <s v="0074011  &gt; 0074211"/>
    <s v="3370013 (5218)"/>
    <n v="11275"/>
    <s v="180G 2,20 100% PES CM NEGRO Y BLANCO"/>
    <n v="1000"/>
    <n v="396"/>
    <n v="1.71"/>
    <n v="1710"/>
    <m/>
    <m/>
    <m/>
    <m/>
    <s v="Finalizado"/>
  </r>
  <r>
    <x v="100"/>
    <x v="18"/>
    <x v="0"/>
    <n v="1897"/>
    <d v="2026-06-24T00:00:00"/>
    <x v="16"/>
    <s v="0062013 &gt; 0062053"/>
    <s v="3370008 (2209)"/>
    <n v="11275"/>
    <s v="200G 2,10 PL GRIS TELA LOGO SUEÑA"/>
    <n v="1500"/>
    <n v="630"/>
    <n v="1.94"/>
    <n v="2910"/>
    <m/>
    <m/>
    <m/>
    <m/>
    <s v="Finalizado"/>
  </r>
  <r>
    <x v="101"/>
    <x v="29"/>
    <x v="8"/>
    <n v="2171"/>
    <d v="2026-07-01T00:00:00"/>
    <x v="16"/>
    <s v="0269121"/>
    <s v="3390013 (5055)"/>
    <n v="10634"/>
    <s v="220G 100% PES CM BLANCO Y PERLA"/>
    <n v="2000"/>
    <n v="919.6"/>
    <n v="2.0099999999999998"/>
    <n v="4019.9999999999995"/>
    <m/>
    <m/>
    <m/>
    <s v="pedido complementario - 6K cada/ elimina banda"/>
    <s v="não iniciado"/>
  </r>
  <r>
    <x v="101"/>
    <x v="29"/>
    <x v="8"/>
    <n v="2171"/>
    <d v="2026-07-01T00:00:00"/>
    <x v="16"/>
    <s v="0066041"/>
    <s v="3390014 (5056)"/>
    <n v="10634"/>
    <s v="220G 100% PES CM BLANCO Y AZUL"/>
    <n v="1000"/>
    <n v="290.39999999999998"/>
    <n v="2.0099999999999998"/>
    <n v="2009.9999999999998"/>
    <m/>
    <m/>
    <m/>
    <s v="pedido complementario - 6K cada/ elimina banda"/>
    <s v="Finalizado"/>
  </r>
  <r>
    <x v="101"/>
    <x v="29"/>
    <x v="8"/>
    <n v="2171"/>
    <d v="2026-07-01T00:00:00"/>
    <x v="16"/>
    <s v="A10519"/>
    <s v="3390016 (5058)"/>
    <n v="10634"/>
    <s v="280G 2,20 100% PES CM AMARRE AZUL MARIÑO "/>
    <n v="3000"/>
    <n v="3388"/>
    <n v="3.92"/>
    <n v="11760"/>
    <m/>
    <m/>
    <m/>
    <s v="pedido complementario - 6K cada/ elimina banda"/>
    <s v="Atraso"/>
  </r>
  <r>
    <x v="102"/>
    <x v="18"/>
    <x v="0"/>
    <n v="1897"/>
    <d v="2026-07-01T00:00:00"/>
    <x v="16"/>
    <s v="A10496"/>
    <s v="3390015 (5057)"/>
    <n v="11275"/>
    <s v="180G 2,10 100% PES PL NEGRO (BANDA)"/>
    <n v="1000"/>
    <n v="378"/>
    <n v="1.65"/>
    <n v="1650"/>
    <m/>
    <m/>
    <m/>
    <s v="Item eliminado de Regal vendido a Multiespumas/ No produzir já na Expedição/consolida c 039"/>
    <s v="produzindo"/>
  </r>
  <r>
    <x v="103"/>
    <x v="32"/>
    <x v="7"/>
    <n v="2184"/>
    <d v="2026-05-15T00:00:00"/>
    <x v="16"/>
    <s v="AM 7477"/>
    <s v="052 1101 (5282)"/>
    <n v="10700"/>
    <s v="AMOSTRA - 320G 2,20 91% PES 9% CO CM BLANCO COREON®"/>
    <n v="150"/>
    <n v="92.4"/>
    <n v="5.46"/>
    <n v="819"/>
    <m/>
    <m/>
    <m/>
    <s v="inclui frete $1310,13 -amostra venda"/>
    <s v="não iniciado"/>
  </r>
  <r>
    <x v="104"/>
    <x v="21"/>
    <x v="7"/>
    <n v="1958"/>
    <d v="2026-06-29T00:00:00"/>
    <x v="16"/>
    <s v="0256111"/>
    <n v="3570016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256091"/>
    <n v="3570017"/>
    <n v="10759"/>
    <s v="180G 2,20 100% PES AZUL MARINO"/>
    <n v="500"/>
    <n v="198"/>
    <n v="1.76"/>
    <n v="880"/>
    <m/>
    <m/>
    <m/>
    <m/>
    <s v="não iniciado"/>
  </r>
  <r>
    <x v="104"/>
    <x v="21"/>
    <x v="7"/>
    <n v="1958"/>
    <d v="2026-06-29T00:00:00"/>
    <x v="16"/>
    <s v="0256101"/>
    <n v="3570018"/>
    <n v="10759"/>
    <s v="180G 2,20 100% PES GRIS"/>
    <n v="500"/>
    <n v="198"/>
    <n v="1.73"/>
    <n v="865"/>
    <m/>
    <m/>
    <m/>
    <m/>
    <s v="não iniciado"/>
  </r>
  <r>
    <x v="104"/>
    <x v="21"/>
    <x v="7"/>
    <n v="1958"/>
    <d v="2026-06-29T00:00:00"/>
    <x v="16"/>
    <s v="0256121"/>
    <n v="3570019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071111"/>
    <n v="3570020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071021"/>
    <n v="3570021"/>
    <n v="10759"/>
    <s v="180G 2,20 100% PES AZUL MARINO"/>
    <m/>
    <n v="198"/>
    <n v="1.76"/>
    <n v="0"/>
    <m/>
    <m/>
    <m/>
    <s v="elimina troca"/>
    <s v="não iniciado"/>
  </r>
  <r>
    <x v="104"/>
    <x v="21"/>
    <x v="7"/>
    <n v="1958"/>
    <d v="2026-06-29T00:00:00"/>
    <x v="16"/>
    <s v="0071101"/>
    <n v="3570022"/>
    <n v="10759"/>
    <s v="180G 2,20 100% PES GRIS"/>
    <n v="500"/>
    <n v="198"/>
    <n v="1.73"/>
    <n v="865"/>
    <m/>
    <m/>
    <m/>
    <m/>
    <s v="não iniciado"/>
  </r>
  <r>
    <x v="104"/>
    <x v="21"/>
    <x v="7"/>
    <n v="1958"/>
    <d v="2026-06-29T00:00:00"/>
    <x v="16"/>
    <s v="0071121"/>
    <n v="3570023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066071"/>
    <n v="3570024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067011"/>
    <n v="3570025"/>
    <n v="10759"/>
    <s v="180G 2,20 100% PES AZUL MARINO"/>
    <n v="500"/>
    <n v="198"/>
    <n v="1.76"/>
    <n v="880"/>
    <m/>
    <m/>
    <m/>
    <m/>
    <s v="não iniciado"/>
  </r>
  <r>
    <x v="104"/>
    <x v="21"/>
    <x v="7"/>
    <n v="1958"/>
    <d v="2026-06-29T00:00:00"/>
    <x v="16"/>
    <s v="0067021"/>
    <n v="3570026"/>
    <n v="10759"/>
    <s v="180G 2,20 100% PES GRIS"/>
    <m/>
    <n v="198"/>
    <n v="1.73"/>
    <n v="0"/>
    <m/>
    <m/>
    <m/>
    <s v="elimina troca"/>
    <s v="não iniciado"/>
  </r>
  <r>
    <x v="104"/>
    <x v="21"/>
    <x v="7"/>
    <n v="1958"/>
    <d v="2026-06-29T00:00:00"/>
    <x v="16"/>
    <s v="0066081"/>
    <n v="3570027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017041"/>
    <n v="3570028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017021"/>
    <n v="3570029"/>
    <n v="10759"/>
    <s v="180G 2,20 100% PES AZUL MARINO"/>
    <m/>
    <n v="198"/>
    <n v="1.76"/>
    <n v="0"/>
    <m/>
    <m/>
    <m/>
    <s v="elimina troca"/>
    <s v="não iniciado"/>
  </r>
  <r>
    <x v="104"/>
    <x v="21"/>
    <x v="7"/>
    <n v="1958"/>
    <d v="2026-06-29T00:00:00"/>
    <x v="16"/>
    <s v="0017031"/>
    <n v="3570030"/>
    <n v="10759"/>
    <s v="180G 2,20 100% PES GRIS"/>
    <m/>
    <n v="198"/>
    <n v="1.73"/>
    <n v="0"/>
    <m/>
    <m/>
    <m/>
    <s v="elimina troca"/>
    <s v="não iniciado"/>
  </r>
  <r>
    <x v="104"/>
    <x v="21"/>
    <x v="7"/>
    <n v="1958"/>
    <d v="2026-06-29T00:00:00"/>
    <x v="16"/>
    <s v="0017051"/>
    <n v="3570031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012071"/>
    <n v="3570032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012051"/>
    <n v="3570033"/>
    <n v="10759"/>
    <s v="180G 2,20 100% PES AZUL MARINO"/>
    <n v="500"/>
    <n v="198"/>
    <n v="1.76"/>
    <n v="880"/>
    <m/>
    <m/>
    <m/>
    <m/>
    <s v="não iniciado"/>
  </r>
  <r>
    <x v="104"/>
    <x v="21"/>
    <x v="7"/>
    <n v="1958"/>
    <d v="2026-06-29T00:00:00"/>
    <x v="16"/>
    <s v="0012061"/>
    <n v="3570034"/>
    <n v="10759"/>
    <s v="180G 2,20 100% PES GRIS"/>
    <m/>
    <n v="198"/>
    <n v="1.73"/>
    <n v="0"/>
    <m/>
    <m/>
    <m/>
    <s v="elimina troca"/>
    <s v="não iniciado"/>
  </r>
  <r>
    <x v="104"/>
    <x v="21"/>
    <x v="7"/>
    <n v="1958"/>
    <d v="2026-06-29T00:00:00"/>
    <x v="16"/>
    <s v="0012081"/>
    <n v="3570035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392051"/>
    <n v="3570036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392031"/>
    <n v="3570037"/>
    <n v="10759"/>
    <s v="180G 2,20 100% PES AZUL MARINO"/>
    <n v="500"/>
    <n v="198"/>
    <n v="1.76"/>
    <n v="880"/>
    <m/>
    <m/>
    <m/>
    <m/>
    <s v="não iniciado"/>
  </r>
  <r>
    <x v="104"/>
    <x v="21"/>
    <x v="7"/>
    <n v="1958"/>
    <d v="2026-06-29T00:00:00"/>
    <x v="16"/>
    <s v="0392041"/>
    <n v="3570038"/>
    <n v="10759"/>
    <s v="180G 2,20 100% PES GRIS"/>
    <n v="500"/>
    <n v="198"/>
    <n v="1.73"/>
    <n v="865"/>
    <m/>
    <m/>
    <m/>
    <m/>
    <s v="não iniciado"/>
  </r>
  <r>
    <x v="104"/>
    <x v="21"/>
    <x v="7"/>
    <n v="1958"/>
    <d v="2026-06-29T00:00:00"/>
    <x v="16"/>
    <s v="0392031"/>
    <n v="3570039"/>
    <n v="10759"/>
    <s v="180G 2,20 100% PES MARRON"/>
    <n v="500"/>
    <n v="198"/>
    <n v="1.84"/>
    <n v="920"/>
    <m/>
    <m/>
    <m/>
    <m/>
    <s v="não iniciado"/>
  </r>
  <r>
    <x v="104"/>
    <x v="21"/>
    <x v="7"/>
    <n v="1958"/>
    <d v="2026-06-29T00:00:00"/>
    <x v="16"/>
    <s v="0274071"/>
    <n v="3570040"/>
    <n v="10759"/>
    <s v="180G 2,20 100% PES BEIGE"/>
    <n v="500"/>
    <n v="198"/>
    <n v="1.66"/>
    <n v="830"/>
    <m/>
    <m/>
    <m/>
    <m/>
    <s v="não iniciado"/>
  </r>
  <r>
    <x v="104"/>
    <x v="21"/>
    <x v="7"/>
    <n v="1958"/>
    <d v="2026-06-29T00:00:00"/>
    <x v="16"/>
    <s v="0274051"/>
    <n v="3570041"/>
    <n v="10759"/>
    <s v="180G 2,20 100% PES AZUL MARINO"/>
    <m/>
    <n v="198"/>
    <n v="1.76"/>
    <n v="0"/>
    <m/>
    <m/>
    <m/>
    <s v="elimina troca"/>
    <s v="não iniciado"/>
  </r>
  <r>
    <x v="104"/>
    <x v="21"/>
    <x v="7"/>
    <n v="1958"/>
    <d v="2026-06-29T00:00:00"/>
    <x v="16"/>
    <s v="0274061"/>
    <n v="3570042"/>
    <n v="10759"/>
    <s v="180G 2,20 100% PES GRIS"/>
    <n v="500"/>
    <n v="198"/>
    <n v="1.73"/>
    <n v="865"/>
    <m/>
    <m/>
    <m/>
    <m/>
    <s v="não iniciado"/>
  </r>
  <r>
    <x v="104"/>
    <x v="21"/>
    <x v="7"/>
    <n v="1958"/>
    <d v="2026-06-29T00:00:00"/>
    <x v="16"/>
    <s v="0274081"/>
    <n v="3570043"/>
    <n v="10759"/>
    <s v="180G 2,20 100% PES MARRON"/>
    <m/>
    <n v="198"/>
    <n v="1.84"/>
    <n v="0"/>
    <m/>
    <m/>
    <m/>
    <s v="elimina troca"/>
    <s v="não iniciado"/>
  </r>
  <r>
    <x v="104"/>
    <x v="21"/>
    <x v="7"/>
    <n v="1958"/>
    <d v="2026-06-29T00:00:00"/>
    <x v="16"/>
    <s v="A10344"/>
    <n v="3570009"/>
    <n v="10759"/>
    <s v="BANDA MEZCLA Y NEGRO 200 2,10"/>
    <n v="2000"/>
    <n v="840"/>
    <n v="1.93"/>
    <n v="3860"/>
    <m/>
    <m/>
    <m/>
    <m/>
    <s v="não iniciado"/>
  </r>
  <r>
    <x v="104"/>
    <x v="21"/>
    <x v="7"/>
    <n v="1958"/>
    <d v="2026-06-29T00:00:00"/>
    <x v="16"/>
    <s v="0211013"/>
    <n v="3570012"/>
    <n v="10759"/>
    <s v="BANDA MARRON 180 2,10"/>
    <n v="2000"/>
    <n v="756"/>
    <n v="1.71"/>
    <n v="3420"/>
    <m/>
    <m/>
    <m/>
    <m/>
    <s v="não iniciado"/>
  </r>
  <r>
    <x v="104"/>
    <x v="21"/>
    <x v="7"/>
    <n v="1958"/>
    <d v="2026-06-29T00:00:00"/>
    <x v="16"/>
    <s v="0705024"/>
    <n v="3570045"/>
    <n v="10759"/>
    <s v="BANDA BEIGE 180 2,10"/>
    <n v="2000"/>
    <n v="756"/>
    <n v="1.58"/>
    <n v="3160"/>
    <m/>
    <m/>
    <m/>
    <m/>
    <s v="não iniciado"/>
  </r>
  <r>
    <x v="104"/>
    <x v="21"/>
    <x v="7"/>
    <n v="1958"/>
    <d v="2026-06-29T00:00:00"/>
    <x v="16"/>
    <s v="0705014"/>
    <n v="3570044"/>
    <n v="10759"/>
    <s v="BANDA GRIS 180 2,10"/>
    <n v="2000"/>
    <n v="756"/>
    <n v="1.75"/>
    <n v="3500"/>
    <m/>
    <m/>
    <m/>
    <m/>
    <s v="não iniciado"/>
  </r>
  <r>
    <x v="105"/>
    <x v="33"/>
    <x v="1"/>
    <n v="1468"/>
    <d v="2026-07-07T00:00:00"/>
    <x v="15"/>
    <s v="A08182 (7746)"/>
    <s v="3420001 (3467)"/>
    <s v="10812&gt;11309"/>
    <s v="TELA BLANCA MATERASSI 160G 2,20L 100% PES CM "/>
    <n v="500"/>
    <n v="352"/>
    <n v="1.71"/>
    <n v="855"/>
    <m/>
    <m/>
    <m/>
    <m/>
    <s v="Finalizado"/>
  </r>
  <r>
    <x v="105"/>
    <x v="33"/>
    <x v="1"/>
    <n v="1468"/>
    <d v="2026-07-07T00:00:00"/>
    <x v="15"/>
    <s v="A10540 (7778)"/>
    <s v="3420002 (5298)"/>
    <s v="10812&gt;11309"/>
    <s v="BANDA 420G 2,20 PES EL XP BLANCO"/>
    <n v="100"/>
    <n v="88.2"/>
    <n v="4.55"/>
    <n v="455"/>
    <m/>
    <m/>
    <m/>
    <s v="amostra venda"/>
    <s v="Finalizado"/>
  </r>
  <r>
    <x v="105"/>
    <x v="33"/>
    <x v="1"/>
    <n v="1468"/>
    <d v="2026-07-07T00:00:00"/>
    <x v="15"/>
    <s v="A10529  (7761)"/>
    <s v="3420004 (5300)"/>
    <s v="10812&gt;11309"/>
    <s v="BANDA 420G 2,20 99% PES 1% EL XP ARENA"/>
    <n v="100"/>
    <n v="92.4"/>
    <n v="4.49"/>
    <n v="449"/>
    <m/>
    <m/>
    <m/>
    <s v="amostra venda"/>
    <s v="Finalizado"/>
  </r>
  <r>
    <x v="105"/>
    <x v="33"/>
    <x v="1"/>
    <n v="1468"/>
    <d v="2026-07-07T00:00:00"/>
    <x v="15"/>
    <s v="A10539  (7768)"/>
    <s v="3420003 (5299)"/>
    <s v="10812&gt;11309"/>
    <s v="BANDA 420G 2,20 99% PES 1% EL XP GRIS PERLA"/>
    <n v="100"/>
    <n v="92.4"/>
    <n v="4.6100000000000003"/>
    <n v="461.00000000000006"/>
    <m/>
    <m/>
    <m/>
    <s v="amostra venda"/>
    <s v="Finalizado"/>
  </r>
  <r>
    <x v="105"/>
    <x v="33"/>
    <x v="1"/>
    <n v="1468"/>
    <d v="2026-07-23T00:00:00"/>
    <x v="15"/>
    <s v="0594001"/>
    <s v="3420005 (5328)"/>
    <s v="10812&gt;11309"/>
    <s v="300G 2,20 100%  PES CM BLANCO"/>
    <n v="500"/>
    <m/>
    <n v="2.48"/>
    <n v="1240"/>
    <m/>
    <m/>
    <m/>
    <s v="Complemento 24/07"/>
    <s v="Finalizado"/>
  </r>
  <r>
    <x v="106"/>
    <x v="34"/>
    <x v="5"/>
    <n v="1952"/>
    <d v="2026-07-07T00:00:00"/>
    <x v="15"/>
    <s v="0629011  (ID 7739)"/>
    <s v="3660004 (5304)"/>
    <n v="10822"/>
    <s v="220G 2,20 100% PES CM MEZCLA"/>
    <n v="5000"/>
    <n v="2420"/>
    <n v="2.0499999999999998"/>
    <n v="10250"/>
    <m/>
    <m/>
    <m/>
    <s v="ajustes pedido OK"/>
    <s v="Finalizado"/>
  </r>
  <r>
    <x v="106"/>
    <x v="34"/>
    <x v="5"/>
    <n v="1952"/>
    <d v="2026-07-07T00:00:00"/>
    <x v="15"/>
    <s v="0660021(ID 7740)"/>
    <s v="3660005 (5308)"/>
    <n v="10822"/>
    <s v="200G 2,20 100% PES CM ARENA"/>
    <n v="5000"/>
    <n v="2200"/>
    <n v="1.95"/>
    <n v="9750"/>
    <m/>
    <m/>
    <m/>
    <s v="Não produzir/4568 em Expedição"/>
    <s v="Finalizado"/>
  </r>
  <r>
    <x v="106"/>
    <x v="34"/>
    <x v="5"/>
    <n v="1952"/>
    <d v="2026-07-07T00:00:00"/>
    <x v="15"/>
    <s v="0132054 ( ID 6754)"/>
    <s v="3660006 (5325)"/>
    <n v="10822"/>
    <s v="280G 2,20 100% PES XP"/>
    <n v="5000"/>
    <n v="3080"/>
    <n v="3.19"/>
    <n v="15950"/>
    <m/>
    <m/>
    <m/>
    <s v="ajustes pedido: +1000"/>
    <s v="produzindo"/>
  </r>
  <r>
    <x v="106"/>
    <x v="34"/>
    <x v="5"/>
    <n v="1952"/>
    <d v="2026-07-07T00:00:00"/>
    <x v="15"/>
    <s v="522024 (ID 7742)"/>
    <s v="3660003 (5303)"/>
    <n v="10822"/>
    <s v="280G 2,20 100% PES XP CAQUI"/>
    <n v="5000"/>
    <n v="3080"/>
    <n v="3.7"/>
    <n v="18500"/>
    <m/>
    <m/>
    <m/>
    <s v="Não produzir/199 em Expedição"/>
    <s v="Finalizado"/>
  </r>
  <r>
    <x v="106"/>
    <x v="34"/>
    <x v="5"/>
    <n v="1952"/>
    <d v="2026-07-07T00:00:00"/>
    <x v="15"/>
    <s v="641014 (ID 7743)"/>
    <s v="3660002 (5302)"/>
    <n v="10822"/>
    <s v="280G 2,20 100% PES XP"/>
    <n v="5000"/>
    <n v="3080"/>
    <n v="3.53"/>
    <n v="17650"/>
    <m/>
    <m/>
    <m/>
    <s v="ajustes pedido: retomar pdn"/>
    <s v="produzindo"/>
  </r>
  <r>
    <x v="106"/>
    <x v="34"/>
    <x v="5"/>
    <n v="1952"/>
    <d v="2026-07-07T00:00:00"/>
    <x v="15"/>
    <s v="0613001 (ID 7744)"/>
    <s v="3660001 (5301)"/>
    <n v="10822"/>
    <s v="260G 2,20 100% PES CM NEGRO MELATONINA S/LOGO"/>
    <n v="4000"/>
    <n v="2860"/>
    <n v="4.54"/>
    <n v="18160"/>
    <m/>
    <m/>
    <m/>
    <s v="ajustes pedido: -1000/pdzir só 608"/>
    <s v="produzindo"/>
  </r>
  <r>
    <x v="107"/>
    <x v="35"/>
    <x v="4"/>
    <n v="2238"/>
    <d v="2026-07-10T00:00:00"/>
    <x v="15"/>
    <s v="0068016 (ID7765)"/>
    <s v="3670002 (5306)"/>
    <n v="10814"/>
    <s v="180G 2,10 100% PES NEGRO"/>
    <n v="3000"/>
    <n v="1890"/>
    <n v="1.75"/>
    <n v="5250"/>
    <m/>
    <m/>
    <m/>
    <m/>
    <s v="produzindo"/>
  </r>
  <r>
    <x v="107"/>
    <x v="35"/>
    <x v="4"/>
    <n v="2238"/>
    <d v="2026-07-10T00:00:00"/>
    <x v="15"/>
    <s v="0067006 (ID7764)"/>
    <s v="3670001 (5305)"/>
    <n v="10814"/>
    <s v="180G 2,10 100% PES NEGRO"/>
    <n v="3000"/>
    <n v="2100"/>
    <n v="1.75"/>
    <n v="5250"/>
    <m/>
    <m/>
    <m/>
    <m/>
    <s v="produzindo"/>
  </r>
  <r>
    <x v="108"/>
    <x v="27"/>
    <x v="5"/>
    <n v="1832"/>
    <d v="2026-07-17T00:00:00"/>
    <x v="15"/>
    <s v="Brighton /A10512"/>
    <s v="3610008 (5168)"/>
    <n v="10820"/>
    <s v="ESTRUCTURA PREMIUM 400GSM 2,20 BLANCO Y BEIGE (RELLENONEGRO)"/>
    <n v="1400"/>
    <n v="1232"/>
    <n v="5.89"/>
    <n v="8246"/>
    <m/>
    <m/>
    <m/>
    <s v="pedido complementar 037.26 "/>
    <s v="Finalizado"/>
  </r>
  <r>
    <x v="109"/>
    <x v="27"/>
    <x v="5"/>
    <n v="1832"/>
    <d v="2026-07-21T00:00:00"/>
    <x v="15"/>
    <s v="Brighton/A10512"/>
    <s v="3610008 (5168)"/>
    <n v="10856"/>
    <s v="ESTRUCTURA PREMIUM 400GSM  BLANCO Y BEIGE"/>
    <n v="3000"/>
    <n v="2640"/>
    <n v="5.89"/>
    <n v="17670"/>
    <m/>
    <m/>
    <m/>
    <s v="ok"/>
    <s v="Finalizado"/>
  </r>
  <r>
    <x v="109"/>
    <x v="27"/>
    <x v="5"/>
    <n v="1832"/>
    <d v="2026-07-21T00:00:00"/>
    <x v="15"/>
    <s v="120 Gold/0558004"/>
    <s v="3610007 (4922)"/>
    <n v="10856"/>
    <s v="ESTRUCTURA PREMIUM 400GSM  BEIGE"/>
    <n v="2000"/>
    <n v="1760"/>
    <n v="6.8"/>
    <n v="13600"/>
    <m/>
    <m/>
    <m/>
    <m/>
    <s v="Finalizado"/>
  </r>
  <r>
    <x v="109"/>
    <x v="27"/>
    <x v="5"/>
    <n v="1832"/>
    <d v="2026-07-21T00:00:00"/>
    <x v="15"/>
    <s v="Kingsbury/0555004"/>
    <s v="3610002 (4917)"/>
    <n v="10856"/>
    <s v="ESTRUCTURA PREMIUM  280GSM BEIGE Y NEGRO"/>
    <n v="2000"/>
    <n v="1232"/>
    <n v="3.22"/>
    <n v="6440"/>
    <m/>
    <m/>
    <m/>
    <m/>
    <s v="Finalizado"/>
  </r>
  <r>
    <x v="109"/>
    <x v="27"/>
    <x v="5"/>
    <n v="1832"/>
    <d v="2026-07-21T00:00:00"/>
    <x v="15"/>
    <s v="Kensignton/0403034"/>
    <s v="3610004 (4919)"/>
    <n v="10856"/>
    <s v="ESTRUCTURA PREMIUM 240GSM BLANCO Y LINO"/>
    <n v="2000"/>
    <n v="1056"/>
    <n v="3.34"/>
    <n v="6680"/>
    <m/>
    <m/>
    <m/>
    <m/>
    <s v="Finalizado"/>
  </r>
  <r>
    <x v="109"/>
    <x v="27"/>
    <x v="5"/>
    <n v="1832"/>
    <d v="2026-07-21T00:00:00"/>
    <x v="15"/>
    <s v="Bradford/0552001"/>
    <s v="3610001 (4916)"/>
    <n v="10856"/>
    <s v="ESTRUCTURA CM 280GSM ARENA Y NEGRO"/>
    <n v="3200"/>
    <n v="1971.2"/>
    <n v="3.05"/>
    <n v="9760"/>
    <m/>
    <m/>
    <m/>
    <m/>
    <s v="Finalizado"/>
  </r>
  <r>
    <x v="109"/>
    <x v="27"/>
    <x v="5"/>
    <n v="1832"/>
    <d v="2026-07-21T00:00:00"/>
    <x v="15"/>
    <s v="Cabecera L1/A10418"/>
    <s v="3610006 (4921)"/>
    <n v="10856"/>
    <s v="ESTRUCTURA PL  180GSM BLANCO Y PERLA"/>
    <n v="5000"/>
    <n v="1980"/>
    <n v="1.78"/>
    <n v="8900"/>
    <m/>
    <m/>
    <m/>
    <m/>
    <s v="Finalizado"/>
  </r>
  <r>
    <x v="109"/>
    <x v="27"/>
    <x v="5"/>
    <n v="1832"/>
    <d v="2026-07-21T00:00:00"/>
    <x v="15"/>
    <s v="Cabecera L2/0566001"/>
    <s v="3610005 (4920)"/>
    <n v="10856"/>
    <s v="ESTRUCTURA CM 220GSM GRIS PERLA"/>
    <n v="8000"/>
    <n v="3872"/>
    <n v="2.15"/>
    <n v="17200"/>
    <m/>
    <m/>
    <m/>
    <m/>
    <s v="Finalizado"/>
  </r>
  <r>
    <x v="104"/>
    <x v="21"/>
    <x v="7"/>
    <n v="1958"/>
    <d v="2026-07-27T00:00:00"/>
    <x v="15"/>
    <n v="3200008"/>
    <s v="3200008  (1761)"/>
    <n v="10879"/>
    <s v="3200008 TP ML IMPULSE GRAY 280G 2,10L DIVERSAS U"/>
    <n v="500"/>
    <m/>
    <n v="1.76"/>
    <n v="880"/>
    <m/>
    <m/>
    <m/>
    <s v="complemento Troca 27/7"/>
    <s v="coletar"/>
  </r>
  <r>
    <x v="104"/>
    <x v="21"/>
    <x v="7"/>
    <n v="1958"/>
    <d v="2026-07-27T00:00:00"/>
    <x v="15"/>
    <s v="na"/>
    <s v="2300007 (1920)"/>
    <n v="10879"/>
    <s v="2300007 230G 2,10L NACIONAL"/>
    <n v="500"/>
    <m/>
    <n v="1.73"/>
    <n v="865"/>
    <m/>
    <m/>
    <m/>
    <s v="complemento Troca 27/7"/>
    <s v="coletar"/>
  </r>
  <r>
    <x v="104"/>
    <x v="21"/>
    <x v="7"/>
    <n v="1958"/>
    <d v="2026-07-27T00:00:00"/>
    <x v="15"/>
    <n v="3200006"/>
    <s v="3200006 (1759)"/>
    <n v="10879"/>
    <s v="3200006 TP ML IMPERIAL GRAY 280G 2,10L DIVERSAS U"/>
    <n v="500"/>
    <m/>
    <n v="1.76"/>
    <n v="880"/>
    <m/>
    <m/>
    <m/>
    <s v="complemento Troca 27/7"/>
    <s v="coletar"/>
  </r>
  <r>
    <x v="104"/>
    <x v="21"/>
    <x v="7"/>
    <n v="1958"/>
    <d v="2026-07-27T00:00:00"/>
    <x v="15"/>
    <s v="21706 / A04041"/>
    <s v="21706 (1077)"/>
    <n v="10879"/>
    <s v="21706 TAMPO TRACEJADO CINZA (A04041) DIVERSAS U"/>
    <n v="500"/>
    <m/>
    <n v="1.73"/>
    <n v="865"/>
    <m/>
    <m/>
    <m/>
    <s v="complemento Troca 27/7"/>
    <s v="coletar"/>
  </r>
  <r>
    <x v="104"/>
    <x v="21"/>
    <x v="7"/>
    <n v="1958"/>
    <d v="2026-07-27T00:00:00"/>
    <x v="15"/>
    <n v="3200004"/>
    <s v="3200004 (1757)"/>
    <n v="10879"/>
    <s v="3200004 TP ML IMPERAL BLACK 350G 2,10L DIVERSAS U"/>
    <n v="500"/>
    <m/>
    <n v="1.73"/>
    <n v="865"/>
    <m/>
    <m/>
    <m/>
    <s v="complemento Troca 27/7"/>
    <s v="coletar"/>
  </r>
  <r>
    <x v="104"/>
    <x v="21"/>
    <x v="7"/>
    <n v="1958"/>
    <d v="2026-07-27T00:00:00"/>
    <x v="15"/>
    <s v="na"/>
    <s v="2870007 (3542)"/>
    <n v="10879"/>
    <s v="2870007 TP ML A10034 220G 2,20L"/>
    <n v="500"/>
    <m/>
    <n v="1.76"/>
    <n v="880"/>
    <m/>
    <m/>
    <m/>
    <s v="complemento Troca 27/7"/>
    <s v="coletar"/>
  </r>
  <r>
    <x v="104"/>
    <x v="21"/>
    <x v="7"/>
    <n v="1958"/>
    <d v="2026-07-27T00:00:00"/>
    <x v="15"/>
    <n v="410006"/>
    <s v="410006 (697)"/>
    <n v="10879"/>
    <s v="410006 - B TAMPO 200,037 - MALHA PRES, C DIVERSAS U"/>
    <n v="500"/>
    <m/>
    <n v="1.84"/>
    <n v="920"/>
    <m/>
    <m/>
    <m/>
    <s v="complemento Troca 27/7"/>
    <s v="coletar"/>
  </r>
  <r>
    <x v="110"/>
    <x v="18"/>
    <x v="0"/>
    <n v="1897"/>
    <d v="2026-07-29T00:00:00"/>
    <x v="15"/>
    <s v="PFO (4454)"/>
    <n v="4454"/>
    <n v="10882"/>
    <s v="CAFÉ PUFF ONDAS DV U"/>
    <n v="5000"/>
    <m/>
    <n v="1.3"/>
    <n v="6500"/>
    <m/>
    <m/>
    <m/>
    <s v="Material revenda / Ok precio $1,30 - R$5,50/ 30 dias prazo fornecedor/ consolida c 039"/>
    <s v="Mat Revenda"/>
  </r>
  <r>
    <x v="111"/>
    <x v="4"/>
    <x v="3"/>
    <n v="316"/>
    <d v="2026-08-10T00:00:00"/>
    <x v="17"/>
    <n v="32282"/>
    <n v="1523"/>
    <n v="10946"/>
    <s v="TELA ANTIDESLIZANTE CONEXÃO (MATERIAL REVENDA)"/>
    <n v="5000"/>
    <m/>
    <n v="1.75"/>
    <n v="8750"/>
    <m/>
    <m/>
    <m/>
    <s v="material de revenda - Anderon ya avisado"/>
    <s v="Mat Revenda"/>
  </r>
  <r>
    <x v="112"/>
    <x v="36"/>
    <x v="1"/>
    <n v="729"/>
    <d v="2026-08-12T00:00:00"/>
    <x v="17"/>
    <s v="0054025 (ID5495)"/>
    <s v="3070002  (4160)"/>
    <n v="10963"/>
    <s v="TELA DUAL SUEÑOLAR 240 2,20 100% PES XN BEIGE"/>
    <n v="1000"/>
    <n v="369.6"/>
    <n v="2.4"/>
    <n v="2400"/>
    <m/>
    <m/>
    <m/>
    <s v="ok cliente"/>
    <s v="não iniciado"/>
  </r>
  <r>
    <x v="113"/>
    <x v="5"/>
    <x v="4"/>
    <n v="448"/>
    <d v="2026-08-20T00:00:00"/>
    <x v="15"/>
    <s v="1113672/ A10131(ID5055)"/>
    <s v="2810013 (4041)"/>
    <n v="11048"/>
    <s v="TELA BLACK 2810013 TP ML A10131 310G 2,20L"/>
    <n v="500"/>
    <m/>
    <n v="4.1900000000000004"/>
    <n v="2095"/>
    <m/>
    <m/>
    <m/>
    <s v="pedido reposición error skus-Black anterior/precio jul25"/>
    <s v="não iniciado"/>
  </r>
  <r>
    <x v="114"/>
    <x v="5"/>
    <x v="4"/>
    <n v="448"/>
    <d v="2026-08-20T00:00:00"/>
    <x v="17"/>
    <s v="1122580 / A08996"/>
    <s v="2810009 (1419)"/>
    <n v="11136"/>
    <s v="TELA T GRIS THERAPEUTIC GRIS PL  2,2M/180GR/A08996"/>
    <n v="500"/>
    <m/>
    <n v="2.56"/>
    <n v="1280"/>
    <m/>
    <m/>
    <m/>
    <m/>
    <s v="não iniciado"/>
  </r>
  <r>
    <x v="114"/>
    <x v="5"/>
    <x v="4"/>
    <n v="448"/>
    <d v="2026-08-20T00:00:00"/>
    <x v="17"/>
    <s v="1113672/ A10131"/>
    <s v="2810013 (4041)"/>
    <n v="11136"/>
    <s v="TELA BLACK 2810013 TP ML A10131 310G 2,20L"/>
    <n v="2000"/>
    <m/>
    <n v="4.1900000000000004"/>
    <n v="8380"/>
    <m/>
    <m/>
    <m/>
    <m/>
    <s v="produzindo"/>
  </r>
  <r>
    <x v="115"/>
    <x v="5"/>
    <x v="4"/>
    <n v="448"/>
    <d v="2026-08-19T00:00:00"/>
    <x v="18"/>
    <s v="1122580 / A08996"/>
    <s v="2810009 (1419)"/>
    <n v="11137"/>
    <s v="TELA T GRIS THERAPEUTIC GRIS PL  2,2M/180GR/A08996"/>
    <n v="1000"/>
    <m/>
    <n v="2.56"/>
    <n v="2560"/>
    <m/>
    <m/>
    <m/>
    <m/>
    <s v="não iniciado"/>
  </r>
  <r>
    <x v="116"/>
    <x v="14"/>
    <x v="3"/>
    <n v="1034"/>
    <d v="2026-08-26T00:00:00"/>
    <x v="17"/>
    <s v="TAPA BERLIN (ID3390)"/>
    <s v="3030054 (3146)"/>
    <n v="11186"/>
    <s v="DISEÑO GRIS ORIGINAL 119022  180 2,10 100% PES PL"/>
    <n v="900"/>
    <m/>
    <n v="2.0699999999999998"/>
    <n v="1862.9999999999998"/>
    <m/>
    <m/>
    <m/>
    <m/>
    <s v="não iniciado"/>
  </r>
  <r>
    <x v="116"/>
    <x v="14"/>
    <x v="3"/>
    <n v="1034"/>
    <d v="2026-08-26T00:00:00"/>
    <x v="17"/>
    <s v="BANDA LEXUS (ID5783)"/>
    <s v="3030040 (3135)"/>
    <n v="11186"/>
    <s v="BANDA NEGRA  160 2,10  100% PES PL"/>
    <n v="1000"/>
    <m/>
    <n v="1.82"/>
    <n v="1820"/>
    <m/>
    <m/>
    <m/>
    <m/>
    <s v="Finalizado"/>
  </r>
  <r>
    <x v="116"/>
    <x v="14"/>
    <x v="3"/>
    <n v="1034"/>
    <d v="2026-08-26T00:00:00"/>
    <x v="17"/>
    <s v="TITANIO (ID6488)"/>
    <s v="3030072 (4707)"/>
    <n v="11186"/>
    <s v="NEGRO BOLITAS BLANCAS 0149003 180 2,10 100% PES PL"/>
    <n v="1500"/>
    <m/>
    <n v="1.93"/>
    <n v="2895"/>
    <m/>
    <m/>
    <m/>
    <m/>
    <s v="não iniciado"/>
  </r>
  <r>
    <x v="116"/>
    <x v="14"/>
    <x v="3"/>
    <n v="1034"/>
    <d v="2026-08-26T00:00:00"/>
    <x v="17"/>
    <s v="ULTRA BLACK (ID6491)"/>
    <s v="3030071 (4706)"/>
    <n v="11186"/>
    <s v="NEGRO Y BLANCO 0071013  180 2,10 100% PES PL"/>
    <n v="1500"/>
    <m/>
    <n v="1.93"/>
    <n v="2895"/>
    <m/>
    <m/>
    <m/>
    <m/>
    <s v="produzindo"/>
  </r>
  <r>
    <x v="116"/>
    <x v="14"/>
    <x v="3"/>
    <n v="1034"/>
    <d v="2026-08-26T00:00:00"/>
    <x v="17"/>
    <s v="BANDA VIENA, IMPERIO, CONFORT, INTENSE (ID7918)"/>
    <s v="3030041 (2430)"/>
    <n v="11186"/>
    <s v="AZUL MARINO Y BLANCO 0068006 160 2,10 100 PES PLS"/>
    <n v="500"/>
    <m/>
    <n v="1.93"/>
    <n v="965"/>
    <m/>
    <m/>
    <m/>
    <m/>
    <s v="não iniciado"/>
  </r>
  <r>
    <x v="116"/>
    <x v="14"/>
    <x v="3"/>
    <n v="1034"/>
    <d v="2026-08-26T00:00:00"/>
    <x v="17"/>
    <s v="BANDA /BASE TRENTO, BASE BERLÍN (ID5785)"/>
    <s v="3030038 ( 4325)"/>
    <n v="11186"/>
    <s v="GRIS OSCURO Y BLANCO  160 2,10 100% PES PL "/>
    <n v="500"/>
    <m/>
    <n v="1.9"/>
    <n v="950"/>
    <m/>
    <m/>
    <m/>
    <m/>
    <s v="não iniciado"/>
  </r>
  <r>
    <x v="116"/>
    <x v="14"/>
    <x v="3"/>
    <n v="1034"/>
    <d v="2026-08-26T00:00:00"/>
    <x v="17"/>
    <s v="SYMPHONY TAPA (ID1337)"/>
    <s v="3030013 (3500)"/>
    <n v="11186"/>
    <s v="BLUE JASMIN  A09270  160 2,10"/>
    <n v="1000"/>
    <m/>
    <n v="1.93"/>
    <n v="1930"/>
    <m/>
    <m/>
    <m/>
    <m/>
    <s v="não iniciado"/>
  </r>
  <r>
    <x v="116"/>
    <x v="14"/>
    <x v="3"/>
    <n v="1034"/>
    <d v="2026-08-26T00:00:00"/>
    <x v="17"/>
    <s v="TELA BLANCA (ID7925)/0679011"/>
    <s v="3030074 (5404)"/>
    <n v="11186"/>
    <s v="180G 2,10 100% PES CM BLANCO"/>
    <n v="1500"/>
    <m/>
    <n v="1.75"/>
    <n v="2625"/>
    <m/>
    <m/>
    <m/>
    <s v="liberaç código"/>
    <s v="não iniciado"/>
  </r>
  <r>
    <x v="116"/>
    <x v="14"/>
    <x v="3"/>
    <n v="1034"/>
    <d v="2026-08-26T00:00:00"/>
    <x v="17"/>
    <s v="TELA BLANCA (ID7939)/ A10579"/>
    <s v="3030073 (5403)"/>
    <n v="11186"/>
    <s v="180G 2,10 100% PES PL BLANCO"/>
    <n v="2000"/>
    <m/>
    <n v="1.65"/>
    <n v="3300"/>
    <m/>
    <m/>
    <m/>
    <s v="liberaç código"/>
    <s v="produzindo"/>
  </r>
  <r>
    <x v="117"/>
    <x v="37"/>
    <x v="4"/>
    <n v="2272"/>
    <d v="2026-08-25T00:00:00"/>
    <x v="17"/>
    <s v="FAJA BLACK/A10496"/>
    <s v="3390015 (5057)"/>
    <n v="11239"/>
    <s v="180G 2,10 100% PES PL NEGRO (BANDA)"/>
    <n v="3000"/>
    <m/>
    <n v="1.65"/>
    <n v="4950"/>
    <m/>
    <m/>
    <m/>
    <s v="Revenda sobra Regal"/>
    <s v="coletar"/>
  </r>
  <r>
    <x v="117"/>
    <x v="37"/>
    <x v="4"/>
    <n v="2272"/>
    <d v="2026-08-25T00:00:00"/>
    <x v="17"/>
    <s v="E1000/0610011 (7862)"/>
    <s v="3710001 (5400)"/>
    <n v="11239"/>
    <s v="200G 2,20 100% PES CM BLANCO"/>
    <n v="5000"/>
    <m/>
    <n v="1.7"/>
    <n v="8500"/>
    <m/>
    <m/>
    <m/>
    <m/>
    <s v="não iniciado"/>
  </r>
  <r>
    <x v="117"/>
    <x v="37"/>
    <x v="4"/>
    <n v="2272"/>
    <d v="2026-08-25T00:00:00"/>
    <x v="17"/>
    <s v="HOTEL/A10560&gt;ES7921"/>
    <s v="3710003 (5405)"/>
    <n v="11239"/>
    <s v="160G 2,10 100% PES PL BLANCO Y NEGRO"/>
    <n v="2000"/>
    <m/>
    <n v="1.74"/>
    <n v="3480"/>
    <m/>
    <m/>
    <m/>
    <s v="liberaç códig -ok"/>
    <s v="Finalizado"/>
  </r>
  <r>
    <x v="117"/>
    <x v="37"/>
    <x v="4"/>
    <n v="2272"/>
    <d v="2026-08-25T00:00:00"/>
    <x v="17"/>
    <s v="EQUILIBRIUM/ES7920/A10577"/>
    <s v="3710005 (5408)"/>
    <n v="11239"/>
    <s v="200G 2,20 100% PES CM BLANCO Y BLANCO"/>
    <n v="2500"/>
    <m/>
    <n v="1.97"/>
    <n v="4925"/>
    <m/>
    <m/>
    <m/>
    <s v="liberaç códig -ok"/>
    <s v="Finalizado"/>
  </r>
  <r>
    <x v="117"/>
    <x v="37"/>
    <x v="4"/>
    <n v="2272"/>
    <d v="2026-08-25T00:00:00"/>
    <x v="17"/>
    <s v="LUXORY/0601014 (7863)"/>
    <s v="3710002 (5399)"/>
    <n v="11239"/>
    <s v="280G 2,20 100%  PES XP BLANCO, GRIS PERLA"/>
    <n v="1500"/>
    <m/>
    <n v="2.4300000000000002"/>
    <n v="3645.0000000000005"/>
    <m/>
    <m/>
    <m/>
    <m/>
    <s v="produzindo"/>
  </r>
  <r>
    <x v="117"/>
    <x v="37"/>
    <x v="4"/>
    <n v="2272"/>
    <d v="2026-08-25T00:00:00"/>
    <x v="17"/>
    <s v="BLANCA/ES7923/A10578"/>
    <s v="3710004 (5407)"/>
    <n v="11239"/>
    <s v="200G 2,20 100% PES CM BLANCO Y ARENA"/>
    <n v="1500"/>
    <m/>
    <n v="1.95"/>
    <n v="2925"/>
    <m/>
    <m/>
    <m/>
    <s v="liberaç códig -ok"/>
    <s v="não iniciado"/>
  </r>
  <r>
    <x v="118"/>
    <x v="34"/>
    <x v="5"/>
    <n v="1952"/>
    <d v="2026-09-04T00:00:00"/>
    <x v="17"/>
    <s v="0132054 ( ID 6754)"/>
    <s v="3660006 (5325)"/>
    <n v="11316"/>
    <s v="280G 2,20 100% PES XP"/>
    <n v="1000"/>
    <m/>
    <n v="3.19"/>
    <n v="3190"/>
    <m/>
    <m/>
    <m/>
    <s v="pedido complementar 043.26a"/>
    <s v="Finalizado"/>
  </r>
  <r>
    <x v="119"/>
    <x v="8"/>
    <x v="5"/>
    <n v="1575"/>
    <d v="2026-09-04T00:00:00"/>
    <x v="17"/>
    <s v="0454044"/>
    <s v="3520007  (5423)"/>
    <n v="11315"/>
    <s v="T. ARENA, GRIS, BLANCO-BIODRESS S/LOGO 280 2,20-AJUSTE DESENHO"/>
    <n v="1000"/>
    <m/>
    <n v="3.89"/>
    <n v="3890"/>
    <m/>
    <m/>
    <m/>
    <s v="Reposição de qualidade/defeito"/>
    <s v="não iniciado"/>
  </r>
  <r>
    <x v="120"/>
    <x v="38"/>
    <x v="0"/>
    <n v="1937"/>
    <d v="2026-09-09T00:00:00"/>
    <x v="17"/>
    <s v="0524004"/>
    <s v="3580004 (4746)"/>
    <n v="11324"/>
    <s v="440 2,20 66% PES 34% PE XP AZUL Y BLANCO (COOLING)"/>
    <n v="2000"/>
    <m/>
    <n v="7.8"/>
    <n v="15600"/>
    <m/>
    <m/>
    <m/>
    <m/>
    <s v="não iniciado"/>
  </r>
  <r>
    <x v="121"/>
    <x v="38"/>
    <x v="0"/>
    <n v="1937"/>
    <d v="2026-09-14T00:00:00"/>
    <x v="17"/>
    <s v="0245005"/>
    <s v="3580003 (4745)"/>
    <n v="11355"/>
    <s v="260 2,20 99% PES 1% LINEN CM BLANCO Y ARENA"/>
    <n v="1000"/>
    <s v="440 2,20 66% PES 34% PE XP AZUL Y BLANCO (COOLING)"/>
    <n v="2.91"/>
    <n v="2910"/>
    <m/>
    <m/>
    <m/>
    <m/>
    <s v="não iniciado"/>
  </r>
  <r>
    <x v="122"/>
    <x v="26"/>
    <x v="5"/>
    <m/>
    <d v="2026-09-17T00:00:00"/>
    <x v="17"/>
    <s v="TL86257"/>
    <s v="3530001  (4114)"/>
    <n v="11363"/>
    <s v="TELA TAPA CALM  TL86257 (A10169) 240G"/>
    <n v="15000"/>
    <s v="TELA TAPA CALM  (TL86257)"/>
    <n v="2"/>
    <n v="30000"/>
    <m/>
    <m/>
    <m/>
    <m/>
    <s v="não iniciado"/>
  </r>
  <r>
    <x v="122"/>
    <x v="26"/>
    <x v="5"/>
    <m/>
    <d v="2026-09-17T00:00:00"/>
    <x v="17"/>
    <s v="TL70511"/>
    <n v="3530002"/>
    <n v="11363"/>
    <s v="TAPA ENERGY 200G"/>
    <n v="3000"/>
    <m/>
    <n v="1.57"/>
    <n v="4710"/>
    <m/>
    <m/>
    <m/>
    <m/>
    <s v="não iniciado"/>
  </r>
  <r>
    <x v="122"/>
    <x v="26"/>
    <x v="5"/>
    <m/>
    <d v="2026-09-17T00:00:00"/>
    <x v="17"/>
    <s v="TL97788 (BED003)"/>
    <n v="3530003"/>
    <n v="11363"/>
    <s v="TELA ROMBO DEGRADE AZUL (A10104) 200G "/>
    <n v="5000"/>
    <m/>
    <n v="1.82"/>
    <n v="9100"/>
    <m/>
    <m/>
    <m/>
    <m/>
    <s v="não iniciado"/>
  </r>
  <r>
    <x v="123"/>
    <x v="26"/>
    <x v="5"/>
    <m/>
    <d v="2026-09-17T00:00:00"/>
    <x v="18"/>
    <s v="TL86257"/>
    <s v="3530001  (4114)"/>
    <n v="11364"/>
    <s v="TELA TAPA CALM  TL86257 (A10169) 240G"/>
    <n v="15000"/>
    <m/>
    <n v="2"/>
    <n v="30000"/>
    <m/>
    <m/>
    <m/>
    <m/>
    <s v="não iniciado"/>
  </r>
  <r>
    <x v="123"/>
    <x v="26"/>
    <x v="5"/>
    <m/>
    <d v="2026-09-17T00:00:00"/>
    <x v="18"/>
    <s v="TL70511"/>
    <n v="3530002"/>
    <n v="11364"/>
    <s v="TAPA ENERGY 200G"/>
    <n v="3000"/>
    <m/>
    <n v="1.57"/>
    <n v="4710"/>
    <m/>
    <m/>
    <m/>
    <m/>
    <s v="não iniciado"/>
  </r>
  <r>
    <x v="123"/>
    <x v="26"/>
    <x v="5"/>
    <m/>
    <d v="2026-09-17T00:00:00"/>
    <x v="18"/>
    <s v="TL97788 (BED003)"/>
    <n v="3530003"/>
    <n v="11364"/>
    <s v="TELA ROMBO DEGRADE AZUL (A10104) 200G "/>
    <n v="3000"/>
    <m/>
    <n v="1.82"/>
    <n v="5460"/>
    <m/>
    <m/>
    <m/>
    <m/>
    <s v="não iniciado"/>
  </r>
  <r>
    <x v="124"/>
    <x v="36"/>
    <x v="1"/>
    <n v="729"/>
    <d v="2026-09-24T00:00:00"/>
    <x v="18"/>
    <s v="0054025 (ID 5495)"/>
    <s v="3070002 (4160)"/>
    <n v="11446"/>
    <s v="TELA DUAL SUEÑOLAR 240 100% PES XN BEIGE"/>
    <n v="4000"/>
    <m/>
    <n v="2.4"/>
    <n v="9600"/>
    <m/>
    <m/>
    <m/>
    <s v="Entrega para 19/10"/>
    <s v="não iniciado"/>
  </r>
  <r>
    <x v="125"/>
    <x v="25"/>
    <x v="1"/>
    <n v="2096"/>
    <d v="2026-09-28T00:00:00"/>
    <x v="18"/>
    <s v="110013 (ID8051)"/>
    <s v="3720001 (5459)"/>
    <n v="11454"/>
    <s v="220G 2,20 80% PES 20% CV CM BLANCO"/>
    <n v="3000"/>
    <m/>
    <n v="2.25"/>
    <n v="6750"/>
    <m/>
    <m/>
    <m/>
    <s v="entrega para 16/10 + Frete $620"/>
    <s v="não iniciad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s v="157.25"/>
    <x v="0"/>
    <s v="Bolivia"/>
    <m/>
    <d v="2025-02-13T00:00:00"/>
    <d v="2025-04-01T00:00:00"/>
    <n v="357001"/>
    <x v="0"/>
    <x v="0"/>
    <s v="Tela Artic Breeze - Fria / Blanca e Azul"/>
    <m/>
    <m/>
    <m/>
    <n v="8578.5"/>
    <s v="Severiano Melgar"/>
    <s v="jefecompras@colchonesheaven.com"/>
    <s v="591 78516162"/>
    <s v=" Entrega solicitada para semana 26 Janeiro"/>
    <x v="0"/>
    <m/>
  </r>
  <r>
    <s v="157.25"/>
    <x v="0"/>
    <s v="Bolivia"/>
    <m/>
    <d v="2025-02-13T00:00:00"/>
    <d v="2025-04-01T00:00:00"/>
    <n v="3370009"/>
    <x v="0"/>
    <x v="0"/>
    <s v="Tela Hexagono / Blanca"/>
    <m/>
    <m/>
    <m/>
    <n v="2451"/>
    <s v="Severiano Melgar"/>
    <s v="jefecompras@colchonesheaven.com"/>
    <s v="591 78516162"/>
    <s v="cliente novo - Entrega prioritaria 1ra quinzena Jan 2026"/>
    <x v="0"/>
    <m/>
  </r>
  <r>
    <s v="155.25"/>
    <x v="1"/>
    <s v="Paraguay"/>
    <m/>
    <d v="2025-03-06T00:00:00"/>
    <d v="2025-04-01T00:00:00"/>
    <n v="356001"/>
    <x v="0"/>
    <x v="0"/>
    <s v="Tela Inmapol Artic Breeze"/>
    <m/>
    <m/>
    <m/>
    <n v="1596"/>
    <s v="Marcos"/>
    <s v="madrisa@inmapol.com.py"/>
    <s v="595 21 942 599"/>
    <m/>
    <x v="0"/>
    <m/>
  </r>
  <r>
    <s v="155.25"/>
    <x v="1"/>
    <s v="Paraguay"/>
    <m/>
    <d v="2025-03-06T00:00:00"/>
    <d v="2025-04-01T00:00:00"/>
    <n v="80001"/>
    <x v="0"/>
    <x v="0"/>
    <s v="Tela Inmapol Coreon"/>
    <m/>
    <m/>
    <m/>
    <n v="1480"/>
    <s v="Marcos"/>
    <s v="madrisa@inmapol.com.py"/>
    <s v="595 21 942 599"/>
    <m/>
    <x v="0"/>
    <m/>
  </r>
  <r>
    <s v="155.25"/>
    <x v="1"/>
    <s v="Paraguay"/>
    <m/>
    <d v="2025-03-06T00:00:00"/>
    <d v="2025-04-01T00:00:00"/>
    <n v="91012"/>
    <x v="0"/>
    <x v="0"/>
    <s v="Tela Inmapol Biodress"/>
    <m/>
    <m/>
    <m/>
    <n v="1360"/>
    <s v="Marcos"/>
    <s v="madrisa@inmapol.com.py"/>
    <s v="595 21 942 599"/>
    <m/>
    <x v="0"/>
    <m/>
  </r>
  <r>
    <s v="155.25"/>
    <x v="1"/>
    <s v="Paraguay"/>
    <m/>
    <d v="2025-03-06T00:00:00"/>
    <d v="2025-04-01T00:00:00"/>
    <n v="97012"/>
    <x v="0"/>
    <x v="0"/>
    <s v="Knitting - White / Tela con acabado resistente al pilling"/>
    <m/>
    <m/>
    <m/>
    <n v="1470"/>
    <s v="Marcos"/>
    <s v="madrisa@inmapol.com.py"/>
    <s v="595 21 942 599"/>
    <m/>
    <x v="0"/>
    <m/>
  </r>
  <r>
    <s v="155.25"/>
    <x v="2"/>
    <s v="Ecuador"/>
    <m/>
    <d v="2025-02-24T00:00:00"/>
    <d v="2025-04-01T00:00:00"/>
    <n v="74117"/>
    <x v="1"/>
    <x v="0"/>
    <s v="POCKET COIL MAX"/>
    <m/>
    <m/>
    <m/>
    <n v="3280"/>
    <s v="Maria Jose Camacho"/>
    <s v="comexgye@paraiso.com.ec"/>
    <s v="593 999494115"/>
    <m/>
    <x v="0"/>
    <m/>
  </r>
  <r>
    <s v="155.25"/>
    <x v="2"/>
    <s v="Ecuador"/>
    <m/>
    <d v="2025-02-24T00:00:00"/>
    <d v="2025-04-01T00:00:00"/>
    <n v="89014"/>
    <x v="2"/>
    <x v="0"/>
    <s v="BANDA POCKET COIL MAX"/>
    <m/>
    <m/>
    <m/>
    <n v="1302"/>
    <s v="Maria Jose Camacho"/>
    <s v="comexgye@paraiso.com.ec"/>
    <s v="593 999494115"/>
    <m/>
    <x v="0"/>
    <m/>
  </r>
  <r>
    <s v="155.25"/>
    <x v="2"/>
    <s v="Ecuador"/>
    <m/>
    <d v="2025-02-24T00:00:00"/>
    <d v="2025-04-01T00:00:00"/>
    <n v="89093"/>
    <x v="3"/>
    <x v="0"/>
    <s v="PREMIUM PLUS"/>
    <m/>
    <m/>
    <m/>
    <n v="10700"/>
    <s v="Maria Jose Camacho"/>
    <s v="comexgye@paraiso.com.ec"/>
    <s v="593 999494115"/>
    <m/>
    <x v="0"/>
    <m/>
  </r>
  <r>
    <s v="155.25"/>
    <x v="2"/>
    <s v="Ecuador"/>
    <m/>
    <d v="2025-02-24T00:00:00"/>
    <d v="2025-04-01T00:00:00"/>
    <n v="80071"/>
    <x v="4"/>
    <x v="0"/>
    <s v="BANDA PREMIUM PLUS"/>
    <m/>
    <m/>
    <m/>
    <n v="4644"/>
    <s v="Maria Jose Camacho"/>
    <s v="comexgye@paraiso.com.ec"/>
    <s v="593 999494115"/>
    <s v="cliente novo - Entrega prioritaria 1ra quinzena Jan 2026"/>
    <x v="0"/>
    <m/>
  </r>
  <r>
    <s v="155.25"/>
    <x v="2"/>
    <s v="Ecuador"/>
    <m/>
    <d v="2025-02-24T00:00:00"/>
    <d v="2025-04-01T00:00:00"/>
    <n v="89931"/>
    <x v="5"/>
    <x v="0"/>
    <s v="PARAÍSO BAMBOO PLUS"/>
    <m/>
    <m/>
    <m/>
    <n v="6000"/>
    <s v="Maria Jose Camacho"/>
    <s v="comexgye@paraiso.com.ec"/>
    <s v="593 999494115"/>
    <m/>
    <x v="0"/>
    <m/>
  </r>
  <r>
    <s v="158.25 Rev.2"/>
    <x v="3"/>
    <s v="Paraguay"/>
    <m/>
    <d v="2025-02-06T00:00:00"/>
    <d v="2025-04-01T00:00:00"/>
    <s v="A08182"/>
    <x v="6"/>
    <x v="0"/>
    <s v="Tela Materassi Blanca"/>
    <m/>
    <m/>
    <m/>
    <n v="2335"/>
    <s v="Alcibiades Greco"/>
    <s v="unicornio_py@yahoo.es"/>
    <s v="595 982 119084"/>
    <s v="cliente solicita para fin de mês"/>
    <x v="0"/>
    <m/>
  </r>
  <r>
    <s v="160.25"/>
    <x v="4"/>
    <s v="Uruguay"/>
    <m/>
    <d v="2025-03-13T00:00:00"/>
    <d v="2025-04-01T00:00:00"/>
    <n v="32313"/>
    <x v="7"/>
    <x v="0"/>
    <s v="Tela Conexao A07820 240 gsm"/>
    <m/>
    <m/>
    <m/>
    <n v="11360"/>
    <s v="FRANCO MACHAO"/>
    <s v="franco.machao@divino.com.uy"/>
    <s v="+ 598 (2) 506.1262"/>
    <m/>
    <x v="0"/>
    <m/>
  </r>
  <r>
    <s v="160.25"/>
    <x v="4"/>
    <s v="Uruguay"/>
    <m/>
    <d v="2025-03-13T00:00:00"/>
    <d v="2025-04-01T00:00:00"/>
    <n v="32232"/>
    <x v="8"/>
    <x v="0"/>
    <s v="Tela A07370 Tampo Geom 100% POLY 240G"/>
    <m/>
    <m/>
    <m/>
    <n v="6580"/>
    <s v="FRANCO MACHAO"/>
    <s v="franco.machao@divino.com.uy"/>
    <s v="+ 598 (2) 506.1262"/>
    <s v="entrega para semana 9 (23 fev.)"/>
    <x v="0"/>
    <m/>
  </r>
  <r>
    <s v="160.25"/>
    <x v="4"/>
    <s v="Uruguay"/>
    <m/>
    <d v="2025-03-13T00:00:00"/>
    <d v="2025-04-01T00:00:00"/>
    <n v="32370"/>
    <x v="9"/>
    <x v="0"/>
    <s v="Tela A07803 Modelo Divino"/>
    <m/>
    <m/>
    <m/>
    <n v="3456"/>
    <s v="FRANCO MACHAO"/>
    <s v="franco.machao@divino.com.uy"/>
    <s v="+ 598 (2) 506.1262"/>
    <s v="Agrd validação cód pdn - agrd aprov. Cliente/ ok"/>
    <x v="0"/>
    <m/>
  </r>
  <r>
    <s v="160.25"/>
    <x v="4"/>
    <s v="Uruguay"/>
    <m/>
    <d v="2025-03-13T00:00:00"/>
    <d v="2025-04-01T00:00:00"/>
    <n v="32390"/>
    <x v="10"/>
    <x v="0"/>
    <s v="Tela DIV A07806"/>
    <m/>
    <m/>
    <m/>
    <n v="8430"/>
    <s v="FRANCO MACHAO"/>
    <s v="franco.machao@divino.com.uy"/>
    <s v="+ 598 (2) 506.1262"/>
    <s v="Agrd aprovaç cliente/ ok"/>
    <x v="0"/>
    <m/>
  </r>
  <r>
    <s v="160.25"/>
    <x v="4"/>
    <s v="Uruguay"/>
    <m/>
    <d v="2025-03-13T00:00:00"/>
    <d v="2025-04-01T00:00:00"/>
    <n v="32372"/>
    <x v="11"/>
    <x v="0"/>
    <s v="Tela Conexao A08980 Modelo Divino"/>
    <m/>
    <m/>
    <m/>
    <n v="9990"/>
    <s v="FRANCO MACHAO"/>
    <s v="franco.machao@divino.com.uy"/>
    <s v="+ 598 (2) 506.1262"/>
    <s v="Proforma 30/01-Ok Cods"/>
    <x v="0"/>
    <m/>
  </r>
  <r>
    <s v="160.25"/>
    <x v="4"/>
    <s v="Uruguay"/>
    <m/>
    <d v="2025-03-13T00:00:00"/>
    <d v="2025-04-01T00:00:00"/>
    <n v="35004"/>
    <x v="12"/>
    <x v="0"/>
    <s v="Tela Folhas - Imagina 15001"/>
    <m/>
    <m/>
    <m/>
    <n v="3670"/>
    <s v="FRANCO MACHAO"/>
    <s v="franco.machao@divino.com.uy"/>
    <s v="+ 598 (2) 506.1262"/>
    <s v="material parado revendido-Nva razón social Prince + Flete"/>
    <x v="0"/>
    <m/>
  </r>
  <r>
    <s v="160.25"/>
    <x v="4"/>
    <s v="Uruguay"/>
    <m/>
    <d v="2025-03-13T00:00:00"/>
    <d v="2025-04-01T00:00:00"/>
    <n v="35032"/>
    <x v="13"/>
    <x v="0"/>
    <s v="Tela 72001 Degrade Gris"/>
    <m/>
    <m/>
    <m/>
    <n v="2488"/>
    <s v="FRANCO MACHAO"/>
    <s v="franco.machao@divino.com.uy"/>
    <s v="+ 598 (2) 506.1262"/>
    <s v="material parado revendido-Nva razón social Prince + Flete"/>
    <x v="0"/>
    <m/>
  </r>
  <r>
    <s v="160.25"/>
    <x v="4"/>
    <s v="Uruguay"/>
    <m/>
    <d v="2025-03-13T00:00:00"/>
    <d v="2025-04-01T00:00:00"/>
    <n v="35145"/>
    <x v="14"/>
    <x v="0"/>
    <s v="TP ML A10045 280G 2,20L DV U"/>
    <m/>
    <m/>
    <m/>
    <n v="1280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2282"/>
    <x v="15"/>
    <x v="1"/>
    <s v="Tela antideslizante Conexao"/>
    <m/>
    <m/>
    <m/>
    <n v="302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2232"/>
    <x v="16"/>
    <x v="1"/>
    <s v="Tela A07370 Tampo Geom 100% POLY 240G"/>
    <m/>
    <m/>
    <m/>
    <n v="11515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2370"/>
    <x v="9"/>
    <x v="1"/>
    <s v="Tela A07803 Modelo Divino"/>
    <m/>
    <m/>
    <m/>
    <n v="600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2390"/>
    <x v="17"/>
    <x v="1"/>
    <s v="Tela DIV A07806"/>
    <m/>
    <m/>
    <m/>
    <n v="1124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2372"/>
    <x v="18"/>
    <x v="1"/>
    <s v="Tela Conexao A08980 Modelo Divino"/>
    <m/>
    <m/>
    <m/>
    <n v="1332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5004"/>
    <x v="12"/>
    <x v="1"/>
    <s v="Tela Folhas - Imagina 15001"/>
    <m/>
    <m/>
    <m/>
    <n v="3670"/>
    <s v="FRANCO MACHAO"/>
    <s v="franco.machao@divino.com.uy"/>
    <s v="+ 598 (2) 506.1262"/>
    <s v="material parado revendido-Nva razón social Prince + Flete"/>
    <x v="0"/>
    <m/>
  </r>
  <r>
    <s v="164.25"/>
    <x v="4"/>
    <s v="Uruguay"/>
    <m/>
    <d v="2025-04-09T00:00:00"/>
    <d v="2025-05-01T00:00:00"/>
    <n v="35149"/>
    <x v="19"/>
    <x v="1"/>
    <s v="Tela TP ML 132012 340G 2,20L DV U"/>
    <m/>
    <m/>
    <m/>
    <n v="7560"/>
    <s v="FRANCO MACHAO"/>
    <s v="franco.machao@divino.com.uy"/>
    <s v="+ 598 (2) 506.1262"/>
    <s v="material parado revendido-Nva razón social Prince + Flete"/>
    <x v="0"/>
    <m/>
  </r>
  <r>
    <s v="163.25"/>
    <x v="5"/>
    <s v="Chile"/>
    <m/>
    <d v="2025-04-07T00:00:00"/>
    <d v="2025-05-01T00:00:00"/>
    <n v="1121110"/>
    <x v="20"/>
    <x v="2"/>
    <s v="Tela Hojas"/>
    <m/>
    <m/>
    <m/>
    <n v="1415"/>
    <s v="Paulina Mena"/>
    <s v="paulina.mena@flex.es"/>
    <s v="56 96205 0626"/>
    <s v="material parado revendido-Nva razón social Prince + Flete"/>
    <x v="0"/>
    <m/>
  </r>
  <r>
    <s v="163.25"/>
    <x v="5"/>
    <s v="Chile"/>
    <m/>
    <d v="2025-04-07T00:00:00"/>
    <d v="2025-05-01T00:00:00"/>
    <n v="1122580"/>
    <x v="21"/>
    <x v="2"/>
    <s v="Therapeutic - Gray"/>
    <m/>
    <m/>
    <m/>
    <n v="3825"/>
    <s v="Paulina Mena"/>
    <s v="paulina.mena@flex.es"/>
    <s v="56 96205 0626"/>
    <s v="material parado revendido-Nva razón social Prince + Flete"/>
    <x v="0"/>
    <m/>
  </r>
  <r>
    <s v="153.25"/>
    <x v="6"/>
    <s v="Chile"/>
    <m/>
    <d v="2025-02-03T00:00:00"/>
    <d v="2025-04-01T00:00:00"/>
    <s v="2860004"/>
    <x v="22"/>
    <x v="0"/>
    <s v="TP RETAS DEGRADE"/>
    <m/>
    <m/>
    <m/>
    <n v="4300"/>
    <s v="Juan Carlos Villarroel"/>
    <s v="jcvillarroel@sunlock.cl"/>
    <s v="(+56) 98529-7739"/>
    <s v="produzindo- final. 24/03"/>
    <x v="1"/>
    <s v="- final. 24/03"/>
  </r>
  <r>
    <s v="153.25"/>
    <x v="6"/>
    <s v="Chile"/>
    <m/>
    <d v="2025-02-03T00:00:00"/>
    <d v="2025-04-01T00:00:00"/>
    <s v="2860013"/>
    <x v="22"/>
    <x v="0"/>
    <s v="TELA SUNSET"/>
    <m/>
    <m/>
    <m/>
    <n v="3325"/>
    <s v="Juan Carlos Villarroel"/>
    <s v="jcvillarroel@sunlock.cl"/>
    <s v="(+56) 98529-7739"/>
    <s v="OK- basado en mejoras del flujo de crédito"/>
    <x v="0"/>
    <m/>
  </r>
  <r>
    <s v="153.25"/>
    <x v="6"/>
    <s v="Chile"/>
    <m/>
    <d v="2025-02-03T00:00:00"/>
    <d v="2025-04-01T00:00:00"/>
    <s v="2860015"/>
    <x v="22"/>
    <x v="0"/>
    <s v="TP GRIS"/>
    <m/>
    <m/>
    <m/>
    <n v="3640"/>
    <s v="Juan Carlos Villarroel"/>
    <s v="jcvillarroel@sunlock.cl"/>
    <s v="(+56) 98529-7739"/>
    <s v="OK- basado en mejoras del flujo de crédito| Finalizado"/>
    <x v="0"/>
    <m/>
  </r>
  <r>
    <s v="153.25"/>
    <x v="6"/>
    <s v="Chile"/>
    <m/>
    <d v="2025-02-03T00:00:00"/>
    <d v="2025-04-01T00:00:00"/>
    <s v="SU001"/>
    <x v="22"/>
    <x v="0"/>
    <s v="SERTAPEDIC"/>
    <m/>
    <m/>
    <m/>
    <n v="2180"/>
    <s v="Juan Carlos Villarroel"/>
    <s v="jcvillarroel@sunlock.cl"/>
    <s v="(+56) 98529-7739"/>
    <s v="finalizado produção"/>
    <x v="0"/>
    <m/>
  </r>
  <r>
    <s v="159.25"/>
    <x v="4"/>
    <s v="Uruguay"/>
    <m/>
    <d v="2025-03-27T00:00:00"/>
    <d v="2025-04-01T00:00:00"/>
    <n v="32282"/>
    <x v="15"/>
    <x v="0"/>
    <s v="Tela antideslizante Conexao"/>
    <m/>
    <m/>
    <m/>
    <n v="3020"/>
    <s v="FRANCO MACHAO"/>
    <s v="franco.machao@divino.com.uy"/>
    <s v="+ 598 (2) 506.1262"/>
    <s v="nva proforma material revenda"/>
    <x v="0"/>
    <m/>
  </r>
  <r>
    <s v="159.25"/>
    <x v="4"/>
    <s v="Uruguay"/>
    <m/>
    <d v="2025-03-27T00:00:00"/>
    <d v="2025-04-01T00:00:00"/>
    <n v="32313"/>
    <x v="23"/>
    <x v="0"/>
    <s v="Tela Conexao A07820 240 gsm"/>
    <m/>
    <m/>
    <m/>
    <n v="5760"/>
    <s v="FRANCO MACHAO"/>
    <s v="franco.machao@divino.com.uy"/>
    <s v="+ 598 (2) 506.1262"/>
    <s v="proforma nova 3/3  ok  | 31/03 maq 51"/>
    <x v="0"/>
    <m/>
  </r>
  <r>
    <s v="159.25"/>
    <x v="4"/>
    <s v="Uruguay"/>
    <m/>
    <d v="2025-03-27T00:00:00"/>
    <d v="2025-04-01T00:00:00"/>
    <n v="32232"/>
    <x v="16"/>
    <x v="0"/>
    <s v="Tela A07370 Tampo Geom 100% POLY 240G"/>
    <m/>
    <m/>
    <m/>
    <n v="8225"/>
    <s v="FRANCO MACHAO"/>
    <s v="franco.machao@divino.com.uy"/>
    <s v="+ 598 (2) 506.1262"/>
    <s v="proforma nova 3/3  ok |produzindo maq 41"/>
    <x v="0"/>
    <m/>
  </r>
  <r>
    <s v="159.25"/>
    <x v="4"/>
    <s v="Uruguay"/>
    <m/>
    <d v="2025-03-27T00:00:00"/>
    <d v="2025-04-01T00:00:00"/>
    <n v="32341"/>
    <x v="24"/>
    <x v="0"/>
    <s v="Tela Conexao Tela A05171 Square"/>
    <m/>
    <m/>
    <m/>
    <n v="2150"/>
    <s v="FRANCO MACHAO"/>
    <s v="franco.machao@divino.com.uy"/>
    <s v="+ 598 (2) 506.1262"/>
    <s v="proforma nova 3/3  ok |30/03 maq 48"/>
    <x v="0"/>
    <m/>
  </r>
  <r>
    <s v="159.25"/>
    <x v="4"/>
    <s v="Uruguay"/>
    <m/>
    <d v="2025-03-27T00:00:00"/>
    <d v="2025-04-01T00:00:00"/>
    <n v="32370"/>
    <x v="9"/>
    <x v="0"/>
    <s v="Tela A07803 Modelo Divino"/>
    <m/>
    <m/>
    <m/>
    <n v="3600"/>
    <s v="FRANCO MACHAO"/>
    <s v="franco.machao@divino.com.uy"/>
    <s v="+ 598 (2) 506.1262"/>
    <s v="proforma nova 3/3  ok| 02/04 maq 53"/>
    <x v="0"/>
    <m/>
  </r>
  <r>
    <s v="159.25"/>
    <x v="4"/>
    <s v="Uruguay"/>
    <m/>
    <d v="2025-03-27T00:00:00"/>
    <d v="2025-04-01T00:00:00"/>
    <n v="32390"/>
    <x v="17"/>
    <x v="0"/>
    <s v="Tela DIV A07806"/>
    <m/>
    <m/>
    <m/>
    <n v="5620"/>
    <s v="FRANCO MACHAO"/>
    <s v="franco.machao@divino.com.uy"/>
    <s v="+ 598 (2) 506.1262"/>
    <s v="proforma -ok 06/03/finalizado pdn 1903 (616+104+89)"/>
    <x v="0"/>
    <m/>
  </r>
  <r>
    <s v="159.25"/>
    <x v="4"/>
    <s v="Uruguay"/>
    <m/>
    <d v="2025-03-27T00:00:00"/>
    <d v="2025-04-01T00:00:00"/>
    <n v="32372"/>
    <x v="25"/>
    <x v="0"/>
    <s v="Tela Conexao A08980 Modelo Divino"/>
    <m/>
    <m/>
    <m/>
    <n v="6660"/>
    <s v="FRANCO MACHAO"/>
    <s v="franco.machao@divino.com.uy"/>
    <s v="+ 598 (2) 506.1262"/>
    <s v="proforma -ok 06/03"/>
    <x v="0"/>
    <m/>
  </r>
  <r>
    <s v="159.25"/>
    <x v="4"/>
    <s v="Uruguay"/>
    <m/>
    <d v="2025-03-27T00:00:00"/>
    <d v="2025-04-01T00:00:00"/>
    <n v="35004"/>
    <x v="12"/>
    <x v="0"/>
    <s v="Tela Folhas - Imagina 15001"/>
    <m/>
    <m/>
    <m/>
    <n v="2936"/>
    <s v="FRANCO MACHAO"/>
    <s v="franco.machao@divino.com.uy"/>
    <s v="+ 598 (2) 506.1262"/>
    <s v="Start 27/03/2026"/>
    <x v="0"/>
    <m/>
  </r>
  <r>
    <s v="159.25"/>
    <x v="4"/>
    <s v="Uruguay"/>
    <m/>
    <d v="2025-03-27T00:00:00"/>
    <d v="2025-04-01T00:00:00"/>
    <n v="35031"/>
    <x v="26"/>
    <x v="0"/>
    <s v="Tela 69001 Contemporáneo"/>
    <m/>
    <m/>
    <m/>
    <n v="2040"/>
    <s v="FRANCO MACHAO"/>
    <s v="franco.machao@divino.com.uy"/>
    <s v="+ 598 (2) 506.1262"/>
    <s v="proforma -ok 06/03| Produçao 28/03-31/03 maq 25"/>
    <x v="0"/>
    <m/>
  </r>
  <r>
    <s v="159.25"/>
    <x v="4"/>
    <s v="Uruguay"/>
    <m/>
    <d v="2025-03-27T00:00:00"/>
    <d v="2025-04-01T00:00:00"/>
    <n v="35032"/>
    <x v="13"/>
    <x v="0"/>
    <s v="Tela 72001 Degrade Gris"/>
    <m/>
    <m/>
    <m/>
    <n v="3200"/>
    <s v="FRANCO MACHAO"/>
    <s v="franco.machao@divino.com.uy"/>
    <s v="+ 598 (2) 506.1262"/>
    <s v="produção Finalizada 24/03, saldo disponível para acabamento."/>
    <x v="0"/>
    <m/>
  </r>
  <r>
    <s v="159.25"/>
    <x v="4"/>
    <s v="Uruguay"/>
    <m/>
    <d v="2025-03-27T00:00:00"/>
    <d v="2025-04-01T00:00:00"/>
    <n v="35145"/>
    <x v="27"/>
    <x v="0"/>
    <s v="Tela TP ML A10045 280G 2,20L DV U"/>
    <m/>
    <m/>
    <m/>
    <n v="13995"/>
    <s v="FRANCO MACHAO"/>
    <s v="franco.machao@divino.com.uy"/>
    <s v="+ 598 (2) 506.1262"/>
    <s v="proforma -ok 06/03"/>
    <x v="0"/>
    <m/>
  </r>
  <r>
    <s v="163.25"/>
    <x v="7"/>
    <s v="Bolivia"/>
    <m/>
    <d v="2025-03-26T00:00:00"/>
    <d v="2025-04-01T00:00:00"/>
    <n v="439001"/>
    <x v="22"/>
    <x v="0"/>
    <s v="MAXI KING 1 - BRANCO &amp; AREIA"/>
    <m/>
    <m/>
    <m/>
    <n v="4350"/>
    <s v="Livio Zozzoli"/>
    <s v="liviozozzoli@maxiking.com.bo"/>
    <s v="(591)76640036"/>
    <s v="maquina 50 (8K mts)| maq 47 (7K)-Start 14/03- OP avulsa| "/>
    <x v="0"/>
    <m/>
  </r>
  <r>
    <s v="163.25"/>
    <x v="7"/>
    <s v="Bolivia"/>
    <m/>
    <d v="2025-03-26T00:00:00"/>
    <d v="2025-04-01T00:00:00"/>
    <n v="407001"/>
    <x v="22"/>
    <x v="0"/>
    <s v="MAXI KING 2 - ARENA"/>
    <m/>
    <m/>
    <m/>
    <n v="2980"/>
    <s v="Livio Zozzoli"/>
    <s v="liviozozzoli@maxiking.com.bo"/>
    <s v="(591)76640036"/>
    <s v="Produzindo -  8.112mts|maq 03 (Start 1903)  - 07/04 - avrg  12peças/día"/>
    <x v="0"/>
    <m/>
  </r>
  <r>
    <s v="163.25"/>
    <x v="7"/>
    <s v="Bolivia"/>
    <m/>
    <d v="2025-03-26T00:00:00"/>
    <d v="2025-04-01T00:00:00"/>
    <n v="446001"/>
    <x v="22"/>
    <x v="0"/>
    <s v="MAXI KING 3 - BRANCO COM PERLA"/>
    <m/>
    <m/>
    <m/>
    <n v="4560"/>
    <s v="Livio Zozzoli"/>
    <s v="liviozozzoli@maxiking.com.bo"/>
    <s v="(591)76640036"/>
    <m/>
    <x v="0"/>
    <m/>
  </r>
  <r>
    <s v="163.25"/>
    <x v="7"/>
    <s v="Bolivia"/>
    <m/>
    <d v="2025-03-26T00:00:00"/>
    <d v="2025-04-01T00:00:00"/>
    <n v="428001"/>
    <x v="22"/>
    <x v="0"/>
    <s v="MAXI KING 4 - AZUL MARINO"/>
    <m/>
    <m/>
    <m/>
    <n v="4590"/>
    <s v="Livio Zozzoli"/>
    <s v="liviozozzoli@maxiking.com.bo"/>
    <s v="(591)76640036"/>
    <m/>
    <x v="0"/>
    <m/>
  </r>
  <r>
    <s v="163.25"/>
    <x v="7"/>
    <s v="Bolivia"/>
    <m/>
    <d v="2025-03-26T00:00:00"/>
    <d v="2025-04-01T00:00:00"/>
    <n v="434004"/>
    <x v="22"/>
    <x v="0"/>
    <s v="MAXI KING 5 - GRIS / ARENA / BLANCO"/>
    <m/>
    <m/>
    <m/>
    <n v="3674"/>
    <s v="Livio Zozzoli"/>
    <s v="liviozozzoli@maxiking.com.bo"/>
    <s v="(591)76640036"/>
    <s v="proforma 18/03 - Entrega em maio"/>
    <x v="0"/>
    <m/>
  </r>
  <r>
    <s v="170.25"/>
    <x v="5"/>
    <s v="Chile"/>
    <m/>
    <d v="2025-04-14T00:00:00"/>
    <d v="2025-04-01T00:00:00"/>
    <n v="2010011"/>
    <x v="22"/>
    <x v="3"/>
    <s v="TP PARADISE 122034 370G. 2,20 DV U"/>
    <m/>
    <m/>
    <m/>
    <n v="1940"/>
    <s v="Paulina Mena"/>
    <s v="paulina.mena@flex.es"/>
    <s v="56 96205 0626"/>
    <s v="proforma 18/03 - Entrega em maio"/>
    <x v="0"/>
    <m/>
  </r>
  <r>
    <s v="171.25"/>
    <x v="8"/>
    <s v="Argentina"/>
    <m/>
    <d v="2025-04-16T00:00:00"/>
    <d v="2025-05-01T00:00:00"/>
    <n v="10001"/>
    <x v="22"/>
    <x v="4"/>
    <s v="Tela Caseros - Modelo 1 - Abstrato"/>
    <m/>
    <m/>
    <m/>
    <n v="3140"/>
    <s v="Rubén Pellegrini"/>
    <s v="distribuidoracaseros@gmail.com"/>
    <s v="54 9 11 4419-8124"/>
    <s v="proforma 18/03 - Entrega em maio| 700mts - produzindo 06/04"/>
    <x v="0"/>
    <m/>
  </r>
  <r>
    <s v="171.25"/>
    <x v="8"/>
    <s v="Argentina"/>
    <m/>
    <d v="2025-04-16T00:00:00"/>
    <d v="2025-05-01T00:00:00"/>
    <n v="66003"/>
    <x v="22"/>
    <x v="4"/>
    <s v="Tela Caseros - Modelo 2 - Lines"/>
    <m/>
    <m/>
    <m/>
    <n v="1570"/>
    <s v="Rubén Pellegrini"/>
    <s v="distribuidoracaseros@gmail.com"/>
    <s v="54 9 11 4419-8124"/>
    <s v="proforma 18/03 - Entrega em junho"/>
    <x v="0"/>
    <m/>
  </r>
  <r>
    <s v="171.25"/>
    <x v="8"/>
    <s v="Argentina"/>
    <m/>
    <d v="2025-04-16T00:00:00"/>
    <d v="2025-05-01T00:00:00"/>
    <n v="740011"/>
    <x v="22"/>
    <x v="4"/>
    <s v="Tela Caseros - Modelo 2 - Dots"/>
    <m/>
    <m/>
    <m/>
    <n v="1570"/>
    <s v="Rubén Pellegrini"/>
    <s v="distribuidoracaseros@gmail.com"/>
    <s v="54 9 11 4419-8124"/>
    <s v="proforma 18/03 - Entrega em junho"/>
    <x v="0"/>
    <m/>
  </r>
  <r>
    <s v="171.25"/>
    <x v="8"/>
    <s v="Argentina"/>
    <m/>
    <d v="2025-04-16T00:00:00"/>
    <d v="2025-05-01T00:00:00"/>
    <n v="3520004"/>
    <x v="22"/>
    <x v="4"/>
    <s v="TP ML 0092193 160Gr 2,10 L"/>
    <m/>
    <m/>
    <m/>
    <n v="0"/>
    <s v="Rubén Pellegrini"/>
    <s v="distribuidoracaseros@gmail.com"/>
    <s v="54 9 11 4419-8124"/>
    <s v="proforma 18/03 - Entrega em junho"/>
    <x v="0"/>
    <m/>
  </r>
  <r>
    <s v="166.25"/>
    <x v="5"/>
    <s v="Chile"/>
    <m/>
    <d v="2025-04-07T00:00:00"/>
    <d v="2025-05-01T00:00:00"/>
    <n v="122034"/>
    <x v="28"/>
    <x v="5"/>
    <s v="Tela Black - TP ML A09887"/>
    <m/>
    <m/>
    <m/>
    <n v="1840"/>
    <s v="Paulina Mena"/>
    <s v="paulina.mena@flex.es"/>
    <s v="56 96205 0626"/>
    <s v="ok cliente - agrd cod prod totvs"/>
    <x v="0"/>
    <m/>
  </r>
  <r>
    <s v="167.25"/>
    <x v="5"/>
    <s v="Chile"/>
    <m/>
    <d v="2025-04-22T00:00:00"/>
    <d v="2025-05-01T00:00:00"/>
    <n v="1121110"/>
    <x v="29"/>
    <x v="6"/>
    <s v="Sensity - Hojas "/>
    <m/>
    <m/>
    <m/>
    <n v="0"/>
    <s v="Paulina Mena"/>
    <s v="paulina.mena@flex.es"/>
    <s v="56 96205 0626"/>
    <s v="ok cliente - agrd cod prod totvs"/>
    <x v="0"/>
    <m/>
  </r>
  <r>
    <s v="167.25"/>
    <x v="5"/>
    <s v="Chile"/>
    <m/>
    <d v="2025-04-22T00:00:00"/>
    <d v="2025-05-01T00:00:00"/>
    <n v="1122580"/>
    <x v="30"/>
    <x v="6"/>
    <s v="Therapeutic - Gray"/>
    <m/>
    <m/>
    <m/>
    <n v="0"/>
    <s v="Paulina Mena"/>
    <s v="paulina.mena@flex.es"/>
    <s v="56 96205 0626"/>
    <s v="ok cliente - agrd cod prod totvs"/>
    <x v="0"/>
    <m/>
  </r>
  <r>
    <s v="172.25"/>
    <x v="0"/>
    <s v="Bolivia"/>
    <m/>
    <d v="2025-04-16T00:00:00"/>
    <d v="2025-05-01T00:00:00"/>
    <n v="3370001"/>
    <x v="22"/>
    <x v="7"/>
    <s v="Tela Black / 300 GSM"/>
    <m/>
    <m/>
    <m/>
    <n v="3400"/>
    <s v="Severiano Melgar"/>
    <s v="jefecompras@colchonesheaven.com"/>
    <s v="591 78516162"/>
    <s v="ok cliente - agrd cod prod totvs"/>
    <x v="0"/>
    <m/>
  </r>
  <r>
    <s v="172.25"/>
    <x v="0"/>
    <s v="Bolivia"/>
    <m/>
    <d v="2025-04-16T00:00:00"/>
    <d v="2025-05-01T00:00:00"/>
    <n v="3370005"/>
    <x v="22"/>
    <x v="7"/>
    <s v="Tela Favo Blanco"/>
    <m/>
    <m/>
    <m/>
    <n v="1850"/>
    <s v="Severiano Melgar"/>
    <s v="jefecompras@colchonesheaven.com"/>
    <s v="591 78516162"/>
    <s v="ok cliente - agrd cod prod totvs"/>
    <x v="0"/>
    <m/>
  </r>
  <r>
    <s v="173.25"/>
    <x v="4"/>
    <s v="Uruguay"/>
    <m/>
    <d v="2025-04-24T00:00:00"/>
    <d v="2025-06-01T00:00:00"/>
    <n v="245051"/>
    <x v="31"/>
    <x v="1"/>
    <s v="Tela Divino - Lino y &amp; Arena"/>
    <m/>
    <m/>
    <m/>
    <n v="3680"/>
    <s v="FRANCO MACHAO"/>
    <s v="franco.machao@divino.com.uy"/>
    <s v="+ 598 (2) 506.1262"/>
    <s v="ok cliente - agrd cod prod totvs"/>
    <x v="0"/>
    <m/>
  </r>
  <r>
    <s v="174.25"/>
    <x v="6"/>
    <s v="Chile"/>
    <m/>
    <d v="2025-04-25T00:00:00"/>
    <d v="2025-05-01T00:00:00"/>
    <n v="2860004"/>
    <x v="32"/>
    <x v="8"/>
    <s v="TP retas degrade"/>
    <m/>
    <m/>
    <m/>
    <n v="4300"/>
    <s v="Juan Carlos Villarroel"/>
    <s v="jcvillarroel@sunlock.cl"/>
    <s v="(+56) 98529-7739"/>
    <s v="ok cliente - agrd cod prod totvs"/>
    <x v="0"/>
    <m/>
  </r>
  <r>
    <s v="174.25"/>
    <x v="6"/>
    <s v="Chile"/>
    <m/>
    <d v="2025-04-25T00:00:00"/>
    <d v="2025-05-01T00:00:00"/>
    <n v="2860013"/>
    <x v="33"/>
    <x v="8"/>
    <s v="TELA SUNSET"/>
    <m/>
    <m/>
    <m/>
    <n v="2375"/>
    <s v="Juan Carlos Villarroel"/>
    <s v="jcvillarroel@sunlock.cl"/>
    <s v="(+56) 98529-7739"/>
    <m/>
    <x v="0"/>
    <m/>
  </r>
  <r>
    <s v="174.25"/>
    <x v="6"/>
    <s v="Chile"/>
    <m/>
    <d v="2025-04-25T00:00:00"/>
    <d v="2025-05-01T00:00:00"/>
    <n v="2860015"/>
    <x v="34"/>
    <x v="8"/>
    <s v="TP Gris"/>
    <m/>
    <m/>
    <m/>
    <n v="2600"/>
    <s v="Juan Carlos Villarroel"/>
    <s v="jcvillarroel@sunlock.cl"/>
    <s v="(+56) 98529-7739"/>
    <m/>
    <x v="0"/>
    <m/>
  </r>
  <r>
    <s v="175.25"/>
    <x v="9"/>
    <s v="Argentina"/>
    <m/>
    <d v="2025-04-28T00:00:00"/>
    <d v="2025-05-01T00:00:00"/>
    <s v="TL86257"/>
    <x v="35"/>
    <x v="9"/>
    <s v="TAPA CALM"/>
    <m/>
    <m/>
    <m/>
    <n v="26000"/>
    <s v="NA"/>
    <s v="NA"/>
    <s v="NA"/>
    <m/>
    <x v="0"/>
    <m/>
  </r>
  <r>
    <s v="175.25"/>
    <x v="9"/>
    <s v="Argentina"/>
    <m/>
    <d v="2025-04-28T00:00:00"/>
    <d v="2025-05-01T00:00:00"/>
    <s v="TL70511"/>
    <x v="36"/>
    <x v="9"/>
    <s v="TAPA ENERGY"/>
    <m/>
    <m/>
    <m/>
    <n v="10990"/>
    <s v="NA"/>
    <s v="NA"/>
    <s v="NA"/>
    <m/>
    <x v="0"/>
    <m/>
  </r>
  <r>
    <s v="176.25"/>
    <x v="5"/>
    <s v="Chile"/>
    <m/>
    <d v="2025-04-29T00:00:00"/>
    <d v="2025-05-01T00:00:00"/>
    <s v="A10131"/>
    <x v="37"/>
    <x v="10"/>
    <s v="Tela Black TP ML A10131"/>
    <m/>
    <m/>
    <m/>
    <n v="1840"/>
    <s v="Paulina Mena"/>
    <s v="paulina.mena@flex.es"/>
    <s v="56 96205 0626"/>
    <m/>
    <x v="0"/>
    <m/>
  </r>
  <r>
    <s v="168.25"/>
    <x v="5"/>
    <s v="Chile"/>
    <m/>
    <d v="2025-05-06T00:00:00"/>
    <d v="2025-05-01T00:00:00"/>
    <n v="112258"/>
    <x v="38"/>
    <x v="11"/>
    <s v="Therapeutic - Gray"/>
    <m/>
    <m/>
    <m/>
    <n v="3375"/>
    <s v="Paulina Mena"/>
    <s v="paulina.mena@flex.es"/>
    <s v="56 96205 0626"/>
    <m/>
    <x v="0"/>
    <m/>
  </r>
  <r>
    <s v="177.25"/>
    <x v="4"/>
    <s v="Uruguay"/>
    <m/>
    <d v="2025-05-15T00:00:00"/>
    <d v="2025-06-01T00:00:00"/>
    <n v="32313"/>
    <x v="39"/>
    <x v="12"/>
    <s v="Tela conexão A07820 240 gms"/>
    <m/>
    <m/>
    <m/>
    <n v="11360"/>
    <s v="FRANCO MACHAO"/>
    <s v="franco.machao@divino.com.uy"/>
    <s v="+ 598 (2) 506.1262"/>
    <m/>
    <x v="0"/>
    <m/>
  </r>
  <r>
    <s v="177.25"/>
    <x v="4"/>
    <s v="Uruguay"/>
    <m/>
    <d v="2025-05-15T00:00:00"/>
    <d v="2025-06-01T00:00:00"/>
    <n v="35003"/>
    <x v="40"/>
    <x v="12"/>
    <s v="Tela Cool Touch 460G-2,10 Colmeia"/>
    <m/>
    <m/>
    <m/>
    <n v="0"/>
    <s v="FRANCO MACHAO"/>
    <s v="franco.machao@divino.com.uy"/>
    <s v="+ 598 (2) 506.1262"/>
    <m/>
    <x v="0"/>
    <m/>
  </r>
  <r>
    <s v="178.25"/>
    <x v="10"/>
    <s v="Paraguay"/>
    <m/>
    <d v="2025-05-19T00:00:00"/>
    <d v="2025-06-01T00:00:00"/>
    <s v="0054025 3070002"/>
    <x v="41"/>
    <x v="13"/>
    <s v="tela Dual Suenolar 240 2,20 100% PES XN BEGE "/>
    <m/>
    <m/>
    <m/>
    <n v="0"/>
    <s v="Nidia Villalba"/>
    <s v="nvillalba@ypsa.com.py"/>
    <s v="595 21 588 8000"/>
    <m/>
    <x v="0"/>
    <m/>
  </r>
  <r>
    <s v="179.25"/>
    <x v="11"/>
    <s v="Paraguay"/>
    <m/>
    <d v="2025-05-28T00:00:00"/>
    <d v="2025-06-01T00:00:00"/>
    <s v="A09970 (3701)"/>
    <x v="42"/>
    <x v="14"/>
    <s v="Tela SuperSpuma Dots 1 - Azul"/>
    <m/>
    <m/>
    <m/>
    <n v="0"/>
    <s v="Leticia Roig"/>
    <s v="leticia.roig@superspuma.com"/>
    <s v="595 985 629024"/>
    <m/>
    <x v="0"/>
    <m/>
  </r>
  <r>
    <s v="179.25"/>
    <x v="11"/>
    <s v="Paraguay"/>
    <m/>
    <d v="2025-05-28T00:00:00"/>
    <d v="2025-06-01T00:00:00"/>
    <s v="A009971 (3702)"/>
    <x v="43"/>
    <x v="14"/>
    <s v="Tela SuperSpuma Dots 1 - Roja"/>
    <m/>
    <m/>
    <m/>
    <n v="0"/>
    <s v="Leticia Roig"/>
    <s v="leticia.roig@superspuma.com"/>
    <s v="595 985 629024"/>
    <m/>
    <x v="0"/>
    <m/>
  </r>
  <r>
    <s v="179.25"/>
    <x v="11"/>
    <s v="Paraguay"/>
    <m/>
    <d v="2025-05-28T00:00:00"/>
    <d v="2025-06-01T00:00:00"/>
    <s v="A09969 (3700)"/>
    <x v="44"/>
    <x v="14"/>
    <s v="Tela SuperSpuma Dots 1 - Negra"/>
    <m/>
    <m/>
    <m/>
    <n v="0"/>
    <s v="Leticia Roig"/>
    <s v="leticia.roig@superspuma.com"/>
    <s v="595 985 629024"/>
    <m/>
    <x v="0"/>
    <m/>
  </r>
  <r>
    <s v="179.25"/>
    <x v="11"/>
    <s v="Paraguay"/>
    <m/>
    <d v="2025-05-29T00:00:00"/>
    <d v="2025-06-01T00:00:00"/>
    <s v="A09858 (3274)"/>
    <x v="45"/>
    <x v="14"/>
    <s v="Tela Superkids Rosa"/>
    <m/>
    <m/>
    <m/>
    <n v="0"/>
    <s v="Leticia Roig"/>
    <s v="leticia.roig@superspuma.com"/>
    <s v="595 985 629024"/>
    <m/>
    <x v="0"/>
    <m/>
  </r>
  <r>
    <s v="179.25"/>
    <x v="11"/>
    <s v="Paraguay"/>
    <m/>
    <d v="2025-05-29T00:00:00"/>
    <d v="2025-06-01T00:00:00"/>
    <s v="0080011 (1979)"/>
    <x v="46"/>
    <x v="14"/>
    <s v="Tela Waves Lino"/>
    <m/>
    <m/>
    <m/>
    <n v="0"/>
    <s v="Leticia Roig"/>
    <s v="leticia.roig@superspuma.com"/>
    <s v="595 985 629024"/>
    <m/>
    <x v="0"/>
    <m/>
  </r>
  <r>
    <s v="180.25"/>
    <x v="12"/>
    <s v="Chile"/>
    <m/>
    <d v="2025-05-28T00:00:00"/>
    <d v="2025-06-01T00:00:00"/>
    <s v="A09646"/>
    <x v="47"/>
    <x v="15"/>
    <s v="TP Dolphin"/>
    <m/>
    <m/>
    <m/>
    <n v="0"/>
    <s v="Juan Carlos Villarroel"/>
    <s v="jcvillarroel@sunlock.cl"/>
    <s v="(+56) 98529-7739"/>
    <m/>
    <x v="0"/>
    <m/>
  </r>
  <r>
    <s v="181.25"/>
    <x v="5"/>
    <s v="Chile"/>
    <m/>
    <d v="2025-05-29T00:00:00"/>
    <d v="2025-06-01T00:00:00"/>
    <s v="A10131"/>
    <x v="37"/>
    <x v="16"/>
    <s v="Tela Black - TP ML A09887 ( TP ML A10131)"/>
    <m/>
    <m/>
    <m/>
    <n v="0"/>
    <s v="Paulina Mena"/>
    <s v="paulina.mena@flex.es"/>
    <s v="56 96205 0626"/>
    <m/>
    <x v="0"/>
    <s v=""/>
  </r>
  <r>
    <s v="182.25"/>
    <x v="9"/>
    <s v="Argentina"/>
    <m/>
    <d v="2025-05-29T00:00:00"/>
    <d v="2025-05-01T00:00:00"/>
    <n v="1705"/>
    <x v="48"/>
    <x v="17"/>
    <s v="Amostras diversas"/>
    <m/>
    <m/>
    <m/>
    <n v="0"/>
    <s v="NA"/>
    <s v="Sebastián Mayo"/>
    <s v="NA"/>
    <m/>
    <x v="0"/>
    <m/>
  </r>
  <r>
    <s v="183.25"/>
    <x v="5"/>
    <s v="Chile"/>
    <m/>
    <d v="2025-06-02T00:00:00"/>
    <d v="2025-06-01T00:00:00"/>
    <n v="1122580"/>
    <x v="38"/>
    <x v="18"/>
    <s v="Therapeutic - Gray"/>
    <m/>
    <m/>
    <m/>
    <n v="0"/>
    <s v="Paulina Mena"/>
    <s v="paulina.mena@flex.es"/>
    <s v="56 96205 0626"/>
    <m/>
    <x v="0"/>
    <m/>
  </r>
  <r>
    <s v="183.25"/>
    <x v="5"/>
    <s v="Chile"/>
    <m/>
    <d v="2025-06-02T00:00:00"/>
    <d v="2025-06-01T00:00:00"/>
    <n v="1121110"/>
    <x v="49"/>
    <x v="18"/>
    <s v="Tela Hojas"/>
    <m/>
    <m/>
    <m/>
    <n v="0"/>
    <s v="Paulina Mena"/>
    <s v="paulina.mena@flex.es"/>
    <s v="56 96205 0626"/>
    <m/>
    <x v="0"/>
    <m/>
  </r>
  <r>
    <s v="184.25"/>
    <x v="4"/>
    <s v="Uruguay"/>
    <m/>
    <d v="2025-06-02T00:00:00"/>
    <d v="2025-06-01T00:00:00"/>
    <n v="32313"/>
    <x v="39"/>
    <x v="19"/>
    <s v="Tela Conexao A07820 240 gsm"/>
    <m/>
    <m/>
    <m/>
    <n v="0"/>
    <s v="FRANCO MACHAO"/>
    <s v="franco.machao@divino.com.uy"/>
    <s v="+ 598 (2) 506.1262"/>
    <m/>
    <x v="0"/>
    <m/>
  </r>
  <r>
    <s v="184.25"/>
    <x v="4"/>
    <s v="Uruguay"/>
    <m/>
    <d v="2025-06-02T00:00:00"/>
    <d v="2025-06-01T00:00:00"/>
    <n v="32372"/>
    <x v="50"/>
    <x v="19"/>
    <s v="Tela Conexao A08980 Modelo Divino 280G 2,10L"/>
    <m/>
    <m/>
    <m/>
    <n v="0"/>
    <s v="FRANCO MACHAO"/>
    <s v="franco.machao@divino.com.uy"/>
    <s v="+ 598 (2) 506.1262"/>
    <m/>
    <x v="0"/>
    <m/>
  </r>
  <r>
    <s v="184.25"/>
    <x v="4"/>
    <s v="Uruguay"/>
    <m/>
    <d v="2025-06-02T00:00:00"/>
    <d v="2025-06-01T00:00:00"/>
    <n v="35149"/>
    <x v="51"/>
    <x v="19"/>
    <s v="Tela TP ML 132012 340G 2,20L DV U"/>
    <m/>
    <m/>
    <m/>
    <n v="0"/>
    <s v="FRANCO MACHAO"/>
    <s v="franco.machao@divino.com.uy"/>
    <s v="+ 598 (2) 506.1262"/>
    <m/>
    <x v="0"/>
    <m/>
  </r>
  <r>
    <s v="184.25"/>
    <x v="4"/>
    <s v="Uruguay"/>
    <m/>
    <d v="2025-06-02T00:00:00"/>
    <d v="2025-06-01T00:00:00"/>
    <n v="2540031"/>
    <x v="52"/>
    <x v="19"/>
    <s v="Tela Cool Touch A09792 390G 2,20L"/>
    <m/>
    <m/>
    <m/>
    <n v="0"/>
    <s v="Inclusão "/>
    <s v=""/>
    <m/>
    <m/>
    <x v="0"/>
    <m/>
  </r>
  <r>
    <s v="185.25"/>
    <x v="13"/>
    <s v="Bolivia"/>
    <m/>
    <d v="2025-06-18T00:00:00"/>
    <d v="2025-07-01T00:00:00"/>
    <n v="389011"/>
    <x v="53"/>
    <x v="20"/>
    <s v="2940053 TP ML 03890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18011"/>
    <x v="54"/>
    <x v="20"/>
    <s v="2940052 TP ML 04180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41021"/>
    <x v="55"/>
    <x v="20"/>
    <s v="2940051 TP ML 044102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47011"/>
    <x v="56"/>
    <x v="20"/>
    <s v="2940050 TP ML 04470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49021"/>
    <x v="57"/>
    <x v="20"/>
    <s v="2940049 TP ML 044902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46031"/>
    <x v="58"/>
    <x v="20"/>
    <s v="2940048 TP ML 044603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76001"/>
    <x v="59"/>
    <x v="20"/>
    <s v="2940047 TP ML 027600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71051"/>
    <x v="60"/>
    <x v="20"/>
    <s v="2940046 TP ML 027105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149101"/>
    <x v="61"/>
    <x v="20"/>
    <s v="2940045 TP ML 014910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149111"/>
    <x v="62"/>
    <x v="20"/>
    <s v="2940044 TP ML 01491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63021"/>
    <x v="63"/>
    <x v="20"/>
    <s v="2940043 TP ML 026302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74101"/>
    <x v="64"/>
    <x v="20"/>
    <s v="2940042 TP ML 007410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69021"/>
    <x v="65"/>
    <x v="20"/>
    <s v="2940041 TP ML 026902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147101"/>
    <x v="66"/>
    <x v="20"/>
    <s v="2940040 TP ML 014710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45061"/>
    <x v="67"/>
    <x v="20"/>
    <s v="2940039 TP ML 024506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62031"/>
    <x v="68"/>
    <x v="20"/>
    <s v="2940038 TP ML 026203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76061"/>
    <x v="69"/>
    <x v="20"/>
    <s v="2940037 TP ML 007606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66011"/>
    <x v="70"/>
    <x v="20"/>
    <s v="2940036 TP ML 00660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143001"/>
    <x v="71"/>
    <x v="20"/>
    <s v="2940035 TP ML 014300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408041"/>
    <x v="72"/>
    <x v="20"/>
    <s v="2940034 TP ML 040804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389011"/>
    <x v="73"/>
    <x v="20"/>
    <s v="2940033 TP ML 038901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274031"/>
    <x v="74"/>
    <x v="20"/>
    <s v="2940032 TP ML 027403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n v="72091"/>
    <x v="75"/>
    <x v="20"/>
    <s v="2940031 TP ML 0072091 180G 2,20L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s v="0269005&gt;2940054"/>
    <x v="76"/>
    <x v="20"/>
    <s v="180 2,20 100% PES CM Preto e Branco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s v="0389001&gt;2940055"/>
    <x v="77"/>
    <x v="20"/>
    <s v="180 2,20 100% PES CM Preto e Branco"/>
    <m/>
    <m/>
    <m/>
    <n v="0"/>
    <s v="José Luis Balderrama"/>
    <s v="inducolsrl@outlook.com"/>
    <s v="591 76971755"/>
    <m/>
    <x v="0"/>
    <m/>
  </r>
  <r>
    <s v="185.25"/>
    <x v="13"/>
    <s v="Bolivia"/>
    <m/>
    <d v="2025-06-18T00:00:00"/>
    <d v="2025-07-01T00:00:00"/>
    <s v="0276005&gt;2940056"/>
    <x v="78"/>
    <x v="20"/>
    <s v="180 2,20 100% PES CM Preto e Branco"/>
    <m/>
    <m/>
    <m/>
    <n v="0"/>
    <s v="José Luis Balderrama"/>
    <s v="inducolsrl@outlook.com"/>
    <s v="591 76971755"/>
    <m/>
    <x v="0"/>
    <m/>
  </r>
  <r>
    <s v="188.25"/>
    <x v="4"/>
    <s v="Uruguay"/>
    <m/>
    <d v="2025-07-03T00:00:00"/>
    <d v="2025-07-01T00:00:00"/>
    <n v="32282"/>
    <x v="79"/>
    <x v="21"/>
    <s v="32282 - TELA ANTIDESLIZANTE DIVERSAS U - REVENDA ME TP 32282 -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n v="2540012"/>
    <x v="80"/>
    <x v="21"/>
    <s v="2540012 TAMPO RASCUNHOS (A07820)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05"/>
    <x v="81"/>
    <x v="21"/>
    <s v="2540005 TAMPO GEOMETRICO (A07370)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14"/>
    <x v="82"/>
    <x v="21"/>
    <s v="2540014 TP ML A05171 300G 2,20L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18"/>
    <x v="83"/>
    <x v="21"/>
    <s v="2540018 TP ML DIV 7806 240G 2,10L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17"/>
    <x v="84"/>
    <x v="21"/>
    <s v="2540017 TP ML A08980 280G 2,10L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23--&gt;2540031(3343)"/>
    <x v="85"/>
    <x v="21"/>
    <s v="2540031 TP ML A09792 390G 2,20L DV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26"/>
    <x v="86"/>
    <x v="21"/>
    <s v="2540026 TP ML 0072051 - 280G 2,20L DEGRA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28"/>
    <x v="87"/>
    <x v="21"/>
    <s v="2540028 TP CORDERO 310G 2,10L 0186002 DIVERSAS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2540035"/>
    <x v="88"/>
    <x v="21"/>
    <s v="2540035 TP ML A10045 280G 2,20L DV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n v="2540033"/>
    <x v="89"/>
    <x v="21"/>
    <s v="2540033 TP ML 132012 340G 2,20L DV U"/>
    <m/>
    <m/>
    <m/>
    <n v="0"/>
    <s v="FRANCO MACHAO"/>
    <s v="franco.machao@divino.com.uy"/>
    <s v="+ 598 (2) 506.1262"/>
    <m/>
    <x v="0"/>
    <m/>
  </r>
  <r>
    <s v="188.25"/>
    <x v="4"/>
    <s v="Uruguay"/>
    <m/>
    <d v="2025-07-03T00:00:00"/>
    <d v="2025-07-01T00:00:00"/>
    <s v="0245021"/>
    <x v="90"/>
    <x v="21"/>
    <s v="2540032 TP ML 245021 240G 2,20L DV U"/>
    <m/>
    <m/>
    <m/>
    <n v="0"/>
    <s v="FRANCO MACHAO"/>
    <s v="franco.machao@divino.com.uy"/>
    <s v="+ 598 (2) 506.1262"/>
    <m/>
    <x v="0"/>
    <m/>
  </r>
  <r>
    <s v="189.25"/>
    <x v="5"/>
    <s v="Chile"/>
    <m/>
    <d v="2025-07-06T00:00:00"/>
    <d v="2025-07-01T00:00:00"/>
    <n v="1129159"/>
    <x v="91"/>
    <x v="22"/>
    <s v="TELA T NATURAL BAMBOO/TP PARADISE 122034 370G 2,20"/>
    <m/>
    <m/>
    <m/>
    <n v="0"/>
    <s v="Paulina Mena"/>
    <m/>
    <m/>
    <m/>
    <x v="0"/>
    <m/>
  </r>
  <r>
    <s v="187.25"/>
    <x v="14"/>
    <s v="Uruguay"/>
    <m/>
    <d v="2025-07-10T00:00:00"/>
    <d v="2025-07-01T00:00:00"/>
    <n v="303.00130000000001"/>
    <x v="92"/>
    <x v="23"/>
    <s v="CF - Tampo Blue Jasmin A09270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150000000002"/>
    <x v="93"/>
    <x v="23"/>
    <s v="circles black a09272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240000000002"/>
    <x v="94"/>
    <x v="23"/>
    <s v="95002 - Modelo Gris Escur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259999999997"/>
    <x v="95"/>
    <x v="23"/>
    <s v="Branco e Preto - CM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279999999998"/>
    <x v="96"/>
    <x v="23"/>
    <s v="Branco e Preto - CM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319999999999"/>
    <x v="97"/>
    <x v="23"/>
    <s v="CM - 2810010 - Star White - BRANC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330000000002"/>
    <x v="98"/>
    <x v="23"/>
    <s v="Branco e Preto - CF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360000000001"/>
    <x v="99"/>
    <x v="23"/>
    <s v="Branco e Preto - PL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0038"/>
    <x v="100"/>
    <x v="23"/>
    <s v="160 2,10 100% PES PL CINZA ESCURO E BRANC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400000000002"/>
    <x v="101"/>
    <x v="23"/>
    <s v="A09535 - Preta e Branco - CF (Banda negra pleno)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450000000001"/>
    <x v="102"/>
    <x v="23"/>
    <s v="XN - A06305 Modelo Original 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459999999998"/>
    <x v="103"/>
    <x v="23"/>
    <s v="Branco con Azul Marino - XW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5"/>
    <x v="104"/>
    <x v="23"/>
    <s v="CF-A06781 - Desert B. Cor Caqui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52"/>
    <x v="105"/>
    <x v="23"/>
    <s v="240015 - Diseño color Negro - XW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540000000001"/>
    <x v="106"/>
    <x v="23"/>
    <s v="119022 - Diseno color Gris Original - CF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549999999998"/>
    <x v="107"/>
    <x v="23"/>
    <s v="291014 - Diseño color Negro - CM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560000000002"/>
    <x v="108"/>
    <x v="23"/>
    <s v="CM 292012 - Color Arena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61"/>
    <x v="109"/>
    <x v="23"/>
    <s v="CF - BANDA A08205 NEGR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659999999999"/>
    <x v="110"/>
    <x v="23"/>
    <s v="CM - 0094001 BLANC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670000000002"/>
    <x v="111"/>
    <x v="23"/>
    <s v="Diseño TP 0386003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689999999997"/>
    <x v="112"/>
    <x v="23"/>
    <s v="180 2,20 100% PES CM BRANCO E PRETO"/>
    <m/>
    <m/>
    <m/>
    <n v="0"/>
    <s v="Eliana Garayalde"/>
    <s v="polymax@polymax.com.uy"/>
    <m/>
    <m/>
    <x v="0"/>
    <m/>
  </r>
  <r>
    <s v="187.25"/>
    <x v="14"/>
    <s v="Uruguay"/>
    <m/>
    <d v="2025-07-10T00:00:00"/>
    <d v="2025-07-01T00:00:00"/>
    <n v="303.0068"/>
    <x v="113"/>
    <x v="23"/>
    <s v="200 2,20 100% PES CM BRANCO E CINZA"/>
    <m/>
    <m/>
    <m/>
    <n v="0"/>
    <s v="Eliana Garayalde"/>
    <s v="polymax@polymax.com.uy"/>
    <m/>
    <m/>
    <x v="0"/>
    <m/>
  </r>
  <r>
    <s v="190.25"/>
    <x v="9"/>
    <s v="Argentina"/>
    <m/>
    <d v="2025-07-14T00:00:00"/>
    <d v="2025-07-01T00:00:00"/>
    <s v="TL86257"/>
    <x v="114"/>
    <x v="24"/>
    <s v="TELA TAPA CALM  (TL86257)"/>
    <m/>
    <m/>
    <m/>
    <n v="0"/>
    <s v="Sebastián Mayo"/>
    <s v="smayo@bedtime.com.ar"/>
    <m/>
    <m/>
    <x v="0"/>
    <m/>
  </r>
  <r>
    <s v="190.25"/>
    <x v="9"/>
    <s v="Argentina"/>
    <m/>
    <d v="2025-07-14T00:00:00"/>
    <d v="2025-07-01T00:00:00"/>
    <s v="TL98392"/>
    <x v="115"/>
    <x v="24"/>
    <s v="TELATRIANGULO GRIS OSCURO 200GR 2,20  BED002"/>
    <m/>
    <m/>
    <m/>
    <n v="0"/>
    <s v="Sebastián Mayo"/>
    <s v="smayo@bedtime.com.ar"/>
    <m/>
    <m/>
    <x v="0"/>
    <m/>
  </r>
  <r>
    <s v="190.25"/>
    <x v="9"/>
    <s v="Argentina"/>
    <m/>
    <d v="2025-07-14T00:00:00"/>
    <d v="2025-07-01T00:00:00"/>
    <s v="TL97788"/>
    <x v="116"/>
    <x v="24"/>
    <s v="TELA ROMBO DEGRADE AZUL 200GR 2,20  BED003"/>
    <m/>
    <m/>
    <m/>
    <n v="0"/>
    <s v="Sebastián Mayo"/>
    <s v="smayo@bedtime.com.ar"/>
    <m/>
    <m/>
    <x v="0"/>
    <m/>
  </r>
  <r>
    <s v="190.25"/>
    <x v="9"/>
    <s v="Argentina"/>
    <m/>
    <d v="2025-07-14T00:00:00"/>
    <d v="2025-07-01T00:00:00"/>
    <s v="TL27565"/>
    <x v="117"/>
    <x v="24"/>
    <s v="TELA CIRCULO GRIS OSCURO 200GR 2,20  BED010"/>
    <m/>
    <m/>
    <m/>
    <n v="0"/>
    <s v="Sebastián Mayo"/>
    <s v="smayo@bedtime.com.ar"/>
    <m/>
    <m/>
    <x v="0"/>
    <m/>
  </r>
  <r>
    <s v="191.25"/>
    <x v="9"/>
    <s v="Argentina"/>
    <m/>
    <d v="2025-07-14T00:00:00"/>
    <d v="2025-08-01T00:00:00"/>
    <s v="TL86257"/>
    <x v="118"/>
    <x v="25"/>
    <s v="TELA TAPA CALM  (TL86257)"/>
    <m/>
    <m/>
    <m/>
    <n v="0"/>
    <s v="Sebastián Mayo"/>
    <s v="smayo@bedtime.com.ar"/>
    <m/>
    <m/>
    <x v="0"/>
    <m/>
  </r>
  <r>
    <s v="191.25"/>
    <x v="9"/>
    <s v="Argentina"/>
    <m/>
    <d v="2025-07-14T00:00:00"/>
    <d v="2025-08-01T00:00:00"/>
    <s v="TL98392-A10108"/>
    <x v="119"/>
    <x v="25"/>
    <s v="TELATRIANGULO GRIS OSCURO 200GR 2,20  BED002"/>
    <m/>
    <m/>
    <m/>
    <n v="0"/>
    <s v="Sebastián Mayo"/>
    <s v="smayo@bedtime.com.ar"/>
    <m/>
    <m/>
    <x v="0"/>
    <m/>
  </r>
  <r>
    <s v="191.25"/>
    <x v="9"/>
    <s v="Argentina"/>
    <m/>
    <d v="2025-07-14T00:00:00"/>
    <d v="2025-08-01T00:00:00"/>
    <s v="TL97788-A10104"/>
    <x v="120"/>
    <x v="25"/>
    <s v="TELA ROMBO DEGRADE AZUL 200GR 2,20  BED003"/>
    <m/>
    <m/>
    <m/>
    <n v="0"/>
    <s v="Sebastián Mayo"/>
    <s v="smayo@bedtime.com.ar"/>
    <m/>
    <m/>
    <x v="0"/>
    <m/>
  </r>
  <r>
    <s v="191.25"/>
    <x v="9"/>
    <s v="Argentina"/>
    <m/>
    <d v="2025-07-14T00:00:00"/>
    <d v="2025-08-01T00:00:00"/>
    <s v="TL27565"/>
    <x v="117"/>
    <x v="25"/>
    <s v="TELA CIRCULO GRIS OSCURO 200GR 2,20  BED010"/>
    <m/>
    <m/>
    <m/>
    <n v="0"/>
    <s v="Sebastián Mayo"/>
    <s v="smayo@bedtime.com.ar"/>
    <m/>
    <m/>
    <x v="0"/>
    <m/>
  </r>
  <r>
    <s v="192.25"/>
    <x v="15"/>
    <s v="Ecuador"/>
    <m/>
    <d v="2025-07-14T00:00:00"/>
    <d v="2025-07-01T00:00:00"/>
    <s v="A10016 (4352)"/>
    <x v="121"/>
    <x v="26"/>
    <s v="5 ESTRELLAS POR ELLAS-TP 0304002 280G 2,20L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s v="A10230 (4351)"/>
    <x v="122"/>
    <x v="26"/>
    <s v="BANDA 5 ESTRELLAS POR ELLAS-TP A10230 220G 2,20L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s v="03404002 (4355)"/>
    <x v="123"/>
    <x v="26"/>
    <s v="PARAISO ROLL -TP 0304002 280G 2,20L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s v="0274055 (4354)"/>
    <x v="124"/>
    <x v="26"/>
    <s v="ACCESORIOS - 3260019 0274055 220G 2,20L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n v="3260015"/>
    <x v="125"/>
    <x v="26"/>
    <s v="POCKET COIL V2- TP 0122054 300G 2,20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s v="02911084 (4356)"/>
    <x v="126"/>
    <x v="26"/>
    <s v="220 2,20 PES XN GRIS  muestra"/>
    <m/>
    <m/>
    <m/>
    <n v="0"/>
    <s v="José Luis Andrango"/>
    <s v="joseandrando@paraiso.com.ec"/>
    <m/>
    <m/>
    <x v="0"/>
    <m/>
  </r>
  <r>
    <s v="192.25"/>
    <x v="15"/>
    <s v="Ecuador"/>
    <m/>
    <d v="2025-07-14T00:00:00"/>
    <d v="2025-07-01T00:00:00"/>
    <s v="0147125 (4357)"/>
    <x v="127"/>
    <x v="26"/>
    <s v="TP HOJA DE BAMBU"/>
    <m/>
    <m/>
    <m/>
    <n v="0"/>
    <s v="José Luis Andrango"/>
    <s v="joseandrando@paraiso.com.ec"/>
    <m/>
    <m/>
    <x v="0"/>
    <m/>
  </r>
  <r>
    <s v="193.25"/>
    <x v="13"/>
    <s v="Bolivia"/>
    <m/>
    <d v="2025-07-14T00:00:00"/>
    <d v="2025-07-01T00:00:00"/>
    <s v="IND005"/>
    <x v="128"/>
    <x v="27"/>
    <s v="300 2,20 PES / PE CM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IND006"/>
    <x v="129"/>
    <x v="27"/>
    <s v="300 2,20 PES / PE CM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IND007"/>
    <x v="130"/>
    <x v="27"/>
    <s v="300 2,20 PES / PE CM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0260015"/>
    <x v="131"/>
    <x v="27"/>
    <s v="300 2,20 99% PES 1% PA XN MESCLAAZUL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0269015"/>
    <x v="132"/>
    <x v="27"/>
    <s v="300 2,20 100% PES CM MESCLA Y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0408001"/>
    <x v="133"/>
    <x v="27"/>
    <s v="260 2,20 98% PES 2% LINEN CM BEGE Y LINEN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0239012"/>
    <x v="134"/>
    <x v="27"/>
    <s v="300 2,20 100% PES NV MESCLA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0416001"/>
    <x v="135"/>
    <x v="27"/>
    <s v="300 2,20 100% PES CM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IND008"/>
    <x v="136"/>
    <x v="27"/>
    <s v="320 2,20 99% PES 1% PUE CM BLANCO"/>
    <m/>
    <m/>
    <m/>
    <n v="0"/>
    <s v="José Luis Balderrama"/>
    <s v="inducolsrl@outlook.com"/>
    <m/>
    <m/>
    <x v="0"/>
    <m/>
  </r>
  <r>
    <s v="193.25"/>
    <x v="13"/>
    <s v="Bolivia"/>
    <m/>
    <d v="2025-07-14T00:00:00"/>
    <d v="2025-07-01T00:00:00"/>
    <s v="IND009"/>
    <x v="137"/>
    <x v="27"/>
    <s v="360 2,20 100% PES CM GRIS Y BLANCO"/>
    <m/>
    <m/>
    <m/>
    <n v="0"/>
    <s v="José Luis Balderrama"/>
    <s v="inducolsrl@outlook.com"/>
    <m/>
    <m/>
    <x v="0"/>
    <m/>
  </r>
  <r>
    <s v="194.25"/>
    <x v="16"/>
    <s v="Argentina"/>
    <m/>
    <d v="2025-07-15T00:00:00"/>
    <d v="2025-07-01T00:00:00"/>
    <s v="0094001 Id 5831"/>
    <x v="138"/>
    <x v="28"/>
    <s v="TELA SPRINGWALL 220 2,20 100% PES CM Branco"/>
    <m/>
    <m/>
    <m/>
    <n v="0"/>
    <s v="Ezequiel Lovera"/>
    <s v="compras@springwall.com..ar"/>
    <m/>
    <m/>
    <x v="0"/>
    <m/>
  </r>
  <r>
    <s v="195.25"/>
    <x v="16"/>
    <s v="Argentina"/>
    <m/>
    <d v="2025-07-23T00:00:00"/>
    <d v="2025-07-01T00:00:00"/>
    <s v="02920001 Id 5831- 4350"/>
    <x v="138"/>
    <x v="29"/>
    <s v="TELA SPRINGWALL 220 2,20 100% PES CM Branco"/>
    <m/>
    <m/>
    <m/>
    <n v="0"/>
    <s v="Ezequiel Lovera"/>
    <s v="compras@springwall.com..ar"/>
    <m/>
    <m/>
    <x v="0"/>
    <m/>
  </r>
  <r>
    <s v="181.25"/>
    <x v="5"/>
    <s v="Chile"/>
    <m/>
    <d v="2025-07-25T00:00:00"/>
    <d v="2025-07-01T00:00:00"/>
    <s v="A10131"/>
    <x v="139"/>
    <x v="30"/>
    <s v="Tela Black -  TP ML A10131"/>
    <m/>
    <m/>
    <m/>
    <n v="0"/>
    <s v="Paulina Mena"/>
    <s v="paulina.mena@flex.es"/>
    <s v="56 96205 0626"/>
    <m/>
    <x v="0"/>
    <m/>
  </r>
  <r>
    <s v="196.25"/>
    <x v="5"/>
    <s v="Chile"/>
    <m/>
    <d v="2025-08-06T00:00:00"/>
    <d v="2025-08-01T00:00:00"/>
    <n v="1121110"/>
    <x v="49"/>
    <x v="31"/>
    <s v="TELA T SENSITY HOJA-2810005 TP FOLHA 240G 2,20L (1121110)"/>
    <m/>
    <m/>
    <m/>
    <n v="0"/>
    <s v="Paulina Mena"/>
    <s v="paulina.mena@flex.es"/>
    <s v="56 96205 0626"/>
    <m/>
    <x v="0"/>
    <m/>
  </r>
  <r>
    <s v="196.25"/>
    <x v="5"/>
    <s v="Chile"/>
    <m/>
    <d v="2025-08-06T00:00:00"/>
    <d v="2025-08-01T00:00:00"/>
    <n v="1122580"/>
    <x v="38"/>
    <x v="31"/>
    <s v="Tela Therapeutic - Gray - ARTIGO EM STOCK-Não precisa produzir"/>
    <m/>
    <m/>
    <m/>
    <n v="0"/>
    <s v="Paulina Mena"/>
    <s v="paulina.mena@flex.es"/>
    <s v="56 96205 0626"/>
    <m/>
    <x v="0"/>
    <m/>
  </r>
  <r>
    <s v="197.25"/>
    <x v="4"/>
    <s v="Uruguay"/>
    <m/>
    <d v="2025-08-11T00:00:00"/>
    <d v="2025-08-01T00:00:00"/>
    <n v="32282"/>
    <x v="140"/>
    <x v="32"/>
    <s v="32282 - TELA ANTIDESLIZANTE DIVERSAS U  -REVENDA"/>
    <m/>
    <m/>
    <m/>
    <n v="0"/>
    <s v="FRANCO MACHAO"/>
    <s v="franco.machao@divino.com.uy"/>
    <s v="+ 598 (2) 506.1262"/>
    <m/>
    <x v="0"/>
    <m/>
  </r>
  <r>
    <s v="197.25"/>
    <x v="4"/>
    <s v="Uruguay"/>
    <m/>
    <d v="2025-08-11T00:00:00"/>
    <d v="2025-08-01T00:00:00"/>
    <n v="32341"/>
    <x v="141"/>
    <x v="32"/>
    <s v="2540014 TP ML A05171 300G 2,20L DIVERSAS U"/>
    <m/>
    <m/>
    <m/>
    <n v="0"/>
    <s v="FRANCO MACHAO"/>
    <s v="franco.machao@divino.com.uy"/>
    <s v="+ 598 (2) 506.1262"/>
    <m/>
    <x v="0"/>
    <m/>
  </r>
  <r>
    <s v="197.25"/>
    <x v="4"/>
    <s v="Uruguay"/>
    <m/>
    <d v="2025-08-11T00:00:00"/>
    <d v="2025-08-01T00:00:00"/>
    <n v="32370"/>
    <x v="142"/>
    <x v="32"/>
    <s v="2540015 TAMPO PONTILHADOS PRETO (A07803) DIVERSAS U"/>
    <m/>
    <m/>
    <m/>
    <n v="0"/>
    <s v="FRANCO MACHAO"/>
    <s v="franco.machao@divino.com.uy"/>
    <s v="+ 598 (2) 506.1262"/>
    <m/>
    <x v="0"/>
    <m/>
  </r>
  <r>
    <s v="197.25"/>
    <x v="4"/>
    <s v="Uruguay"/>
    <m/>
    <d v="2025-08-11T00:00:00"/>
    <d v="2025-08-01T00:00:00"/>
    <n v="35031"/>
    <x v="143"/>
    <x v="32"/>
    <s v="2540025 TP ML 0069001 - 300G 2,20L CONTE DIVERSAS U"/>
    <m/>
    <m/>
    <m/>
    <n v="0"/>
    <s v="FRANCO MACHAO"/>
    <s v="franco.machao@divino.com.uy"/>
    <s v="+ 598 (2) 506.1262"/>
    <m/>
    <x v="0"/>
    <m/>
  </r>
  <r>
    <s v="197.25"/>
    <x v="4"/>
    <s v="Uruguay"/>
    <m/>
    <d v="2025-08-11T00:00:00"/>
    <d v="2025-08-01T00:00:00"/>
    <n v="35145"/>
    <x v="144"/>
    <x v="32"/>
    <s v="2540035 TP ML A10045 280G 2,20L DV U"/>
    <m/>
    <m/>
    <m/>
    <n v="0"/>
    <s v="FRANCO MACHAO"/>
    <s v="franco.machao@divino.com.uy"/>
    <s v="+ 598 (2) 506.1262"/>
    <m/>
    <x v="0"/>
    <m/>
  </r>
  <r>
    <s v="198.25"/>
    <x v="17"/>
    <s v="Argentina"/>
    <m/>
    <d v="2025-08-11T00:00:00"/>
    <d v="2025-08-01T00:00:00"/>
    <s v="SAR001&gt;A10097"/>
    <x v="145"/>
    <x v="33"/>
    <s v="TELA SIMMONS GRIS 240GR-2,30L"/>
    <m/>
    <m/>
    <m/>
    <n v="0"/>
    <s v="Martin Miller"/>
    <s v="comercial@martinmiller.com.ar"/>
    <m/>
    <m/>
    <x v="0"/>
    <m/>
  </r>
  <r>
    <s v="198.25"/>
    <x v="17"/>
    <s v="Argentina"/>
    <m/>
    <d v="2025-08-11T00:00:00"/>
    <d v="2025-08-01T00:00:00"/>
    <s v="SAR002&gt;A10101"/>
    <x v="146"/>
    <x v="33"/>
    <s v="TELA SIMMONS AZUL MARINHO 240GR-2,30L"/>
    <m/>
    <m/>
    <m/>
    <n v="0"/>
    <s v="Martin Miller"/>
    <s v="comercial@martinmiller.com.ar"/>
    <m/>
    <m/>
    <x v="0"/>
    <m/>
  </r>
  <r>
    <s v="199.25"/>
    <x v="11"/>
    <s v="Paraguay"/>
    <m/>
    <d v="2025-08-12T00:00:00"/>
    <d v="2025-08-01T00:00:00"/>
    <s v="A09970 (3701)"/>
    <x v="42"/>
    <x v="34"/>
    <s v="Tela SuperSpuma Dots 1 - Azul"/>
    <m/>
    <m/>
    <m/>
    <n v="0"/>
    <s v="Leticia Roig"/>
    <s v="leticia.roig@superspuma.com"/>
    <s v="595 985 629024"/>
    <m/>
    <x v="0"/>
    <m/>
  </r>
  <r>
    <s v="199.25"/>
    <x v="11"/>
    <s v="Paraguay"/>
    <m/>
    <d v="2025-08-12T00:00:00"/>
    <d v="2025-08-01T00:00:00"/>
    <s v="A009971 (3702)"/>
    <x v="43"/>
    <x v="34"/>
    <s v="Tela SuperSpuma Dots 1 - Bordó"/>
    <m/>
    <m/>
    <m/>
    <n v="0"/>
    <s v="Leticia Roig"/>
    <s v="leticia.roig@superspuma.com"/>
    <s v="595 985 629024"/>
    <m/>
    <x v="0"/>
    <m/>
  </r>
  <r>
    <s v="199.25"/>
    <x v="11"/>
    <s v="Paraguay"/>
    <m/>
    <d v="2025-08-12T00:00:00"/>
    <d v="2025-08-01T00:00:00"/>
    <s v="A09969 (3700)"/>
    <x v="44"/>
    <x v="34"/>
    <s v="Tela SuperSpuma Dots 1 - Negra"/>
    <m/>
    <m/>
    <m/>
    <n v="0"/>
    <s v="Leticia Roig"/>
    <s v="leticia.roig@superspuma.com"/>
    <s v="595 985 629024"/>
    <m/>
    <x v="0"/>
    <m/>
  </r>
  <r>
    <s v="199.25"/>
    <x v="11"/>
    <s v="Paraguay"/>
    <m/>
    <d v="2025-08-12T00:00:00"/>
    <d v="2025-08-01T00:00:00"/>
    <s v="A09858 (3274)"/>
    <x v="147"/>
    <x v="34"/>
    <s v="Tela Superkids Azul"/>
    <m/>
    <m/>
    <m/>
    <n v="0"/>
    <s v="Leticia Roig"/>
    <s v="leticia.roig@superspuma.com"/>
    <s v="595 985 629024"/>
    <m/>
    <x v="0"/>
    <m/>
  </r>
  <r>
    <s v="199.25"/>
    <x v="11"/>
    <s v="Paraguay"/>
    <m/>
    <d v="2025-08-12T00:00:00"/>
    <d v="2025-08-01T00:00:00"/>
    <s v="0080011 (1979)"/>
    <x v="46"/>
    <x v="34"/>
    <s v="Tela Waves Lino Salmón"/>
    <m/>
    <m/>
    <m/>
    <n v="0"/>
    <s v="Leticia Roig"/>
    <s v="leticia.roig@superspuma.com"/>
    <s v="595 985 629024"/>
    <m/>
    <x v="0"/>
    <m/>
  </r>
  <r>
    <s v="199.25"/>
    <x v="11"/>
    <s v="Paraguay"/>
    <m/>
    <d v="2025-08-12T00:00:00"/>
    <d v="2025-08-01T00:00:00"/>
    <s v="320004 (1757)"/>
    <x v="148"/>
    <x v="34"/>
    <s v="TP ML IMPERAL BLACK "/>
    <m/>
    <m/>
    <m/>
    <n v="0"/>
    <s v="Leticia Roig"/>
    <s v="leticia.roig@superspuma.com"/>
    <s v="595 985 629024"/>
    <m/>
    <x v="0"/>
    <m/>
  </r>
  <r>
    <s v="200.25"/>
    <x v="18"/>
    <s v="Paraguay"/>
    <m/>
    <d v="2025-08-21T00:00:00"/>
    <d v="2025-09-01T00:00:00"/>
    <s v="3370008 (2209)"/>
    <x v="149"/>
    <x v="35"/>
    <s v="Modelo coleção c/ logo novo"/>
    <m/>
    <m/>
    <m/>
    <n v="0"/>
    <s v="Daniel Garnica"/>
    <s v="daniel.garnica@colchonesheaven.com"/>
    <s v="591 75501534"/>
    <m/>
    <x v="0"/>
    <m/>
  </r>
  <r>
    <s v="200.25"/>
    <x v="18"/>
    <s v="Paraguay"/>
    <m/>
    <d v="2025-08-21T00:00:00"/>
    <d v="2025-09-01T00:00:00"/>
    <s v="PFO (4454)"/>
    <x v="150"/>
    <x v="35"/>
    <s v="Fondo Café PUFF Ondas/REVENDA ME TP CAFE PUFF"/>
    <m/>
    <m/>
    <m/>
    <n v="0"/>
    <s v="Daniel Garnica"/>
    <s v="daniel.garnica@colchonesheaven.com"/>
    <s v="591 75501534"/>
    <m/>
    <x v="0"/>
    <m/>
  </r>
  <r>
    <s v="200.25"/>
    <x v="18"/>
    <s v="Paraguay"/>
    <m/>
    <d v="2025-08-21T00:00:00"/>
    <d v="2025-09-01T00:00:00"/>
    <s v="3370007 (2208)"/>
    <x v="151"/>
    <x v="35"/>
    <s v="Bambú"/>
    <m/>
    <m/>
    <m/>
    <n v="0"/>
    <s v="Daniel Garnica"/>
    <s v="daniel.garnica@colchonesheaven.com"/>
    <s v="591 75501534"/>
    <m/>
    <x v="0"/>
    <m/>
  </r>
  <r>
    <s v="200.25"/>
    <x v="18"/>
    <s v="Paraguay"/>
    <m/>
    <d v="2025-08-21T00:00:00"/>
    <d v="2025-09-01T00:00:00"/>
    <s v="3370005 (2206)"/>
    <x v="152"/>
    <x v="35"/>
    <s v="Favo Blanco / 3370005 TP ML BOL 180G 2,20L DIVERSAS U"/>
    <m/>
    <m/>
    <m/>
    <n v="0"/>
    <s v="Daniel Garnica"/>
    <s v="daniel.garnica@colchonesheaven.com"/>
    <s v="591 75501534"/>
    <m/>
    <x v="0"/>
    <m/>
  </r>
  <r>
    <s v="201.25"/>
    <x v="19"/>
    <s v="Brasil*"/>
    <m/>
    <d v="2025-08-25T00:00:00"/>
    <d v="2025-09-01T00:00:00"/>
    <s v="0156014"/>
    <x v="153"/>
    <x v="36"/>
    <s v="TELA 100% PES BLANCO Y GRIS PERLA 280GR XP"/>
    <m/>
    <m/>
    <m/>
    <n v="0"/>
    <s v="Eliezer Garbin"/>
    <s v="FATURASERVAN@HOTMAIL.COM"/>
    <s v="(45) 3572-8738"/>
    <m/>
    <x v="0"/>
    <m/>
  </r>
  <r>
    <s v="201.25"/>
    <x v="19"/>
    <s v="Brasil*"/>
    <m/>
    <d v="2025-08-25T00:00:00"/>
    <d v="2025-09-01T00:00:00"/>
    <s v="0156004"/>
    <x v="154"/>
    <x v="36"/>
    <s v="TELA 100% PES BLANCO Y  ARENA 280GR XP"/>
    <m/>
    <m/>
    <m/>
    <n v="0"/>
    <s v="Eliezer Garbin"/>
    <s v="FATURASERVAN@HOTMAIL.COM"/>
    <s v="(45) 3572-8738"/>
    <m/>
    <x v="0"/>
    <m/>
  </r>
  <r>
    <s v="201.25"/>
    <x v="19"/>
    <s v="Brasil*"/>
    <m/>
    <d v="2025-08-25T00:00:00"/>
    <d v="2025-09-01T00:00:00"/>
    <s v="0347014"/>
    <x v="155"/>
    <x v="36"/>
    <s v="TELA 100% PES  GRIS OSCURO Y GRIS CLARO 280GR XP"/>
    <m/>
    <m/>
    <m/>
    <n v="0"/>
    <s v="Eliezer Garbin"/>
    <s v="FATURASERVAN@HOTMAIL.COM"/>
    <s v="(45) 3572-8738"/>
    <m/>
    <x v="0"/>
    <m/>
  </r>
  <r>
    <s v="202.25"/>
    <x v="4"/>
    <s v="Uruguay"/>
    <m/>
    <d v="2025-09-04T00:00:00"/>
    <d v="2025-09-01T00:00:00"/>
    <n v="32282"/>
    <x v="140"/>
    <x v="37"/>
    <s v="TELA ANTIDESLIZANTE CONEXÃO DV U"/>
    <m/>
    <m/>
    <m/>
    <n v="0"/>
    <s v="FRANCO MACHAO"/>
    <s v="franco.machao@divino.com.uy"/>
    <s v="+ 598 (2) 506.1262"/>
    <m/>
    <x v="0"/>
    <m/>
  </r>
  <r>
    <s v="202.25"/>
    <x v="4"/>
    <s v="Uruguay"/>
    <m/>
    <d v="2025-09-04T00:00:00"/>
    <d v="2025-09-01T00:00:00"/>
    <n v="35149"/>
    <x v="51"/>
    <x v="37"/>
    <s v="TELA TP ML 132012 340G 2,20L DV U"/>
    <m/>
    <m/>
    <m/>
    <n v="0"/>
    <s v="FRANCO MACHAO"/>
    <s v="franco.machao@divino.com.uy"/>
    <s v="+ 598 (2) 506.1262"/>
    <m/>
    <x v="0"/>
    <m/>
  </r>
  <r>
    <s v="202.25"/>
    <x v="4"/>
    <s v="Uruguay"/>
    <m/>
    <d v="2025-09-04T00:00:00"/>
    <d v="2025-09-01T00:00:00"/>
    <n v="2540012"/>
    <x v="39"/>
    <x v="37"/>
    <s v="2540012 TAMPO RASCUNHOS (A07820) DIVERSAS U"/>
    <m/>
    <m/>
    <m/>
    <n v="0"/>
    <s v="FRANCO MACHAO"/>
    <s v="franco.machao@divino.com.uy"/>
    <s v="+ 598 (2) 506.1262"/>
    <m/>
    <x v="0"/>
    <m/>
  </r>
  <r>
    <s v="203.25"/>
    <x v="1"/>
    <s v="Paraguay"/>
    <m/>
    <d v="2025-09-09T00:00:00"/>
    <d v="2025-09-01T00:00:00"/>
    <n v="2670007"/>
    <x v="156"/>
    <x v="38"/>
    <s v="TL ML BCA MINI JAC 220G 2,10"/>
    <m/>
    <m/>
    <m/>
    <n v="0"/>
    <s v="Marcos"/>
    <s v="madrisa@inmapol.com.py"/>
    <s v="595 21 942 599"/>
    <m/>
    <x v="0"/>
    <m/>
  </r>
  <r>
    <s v="205.25"/>
    <x v="15"/>
    <s v="Ecuador"/>
    <m/>
    <d v="2025-09-12T00:00:00"/>
    <d v="2025-09-01T00:00:00"/>
    <s v="A10016"/>
    <x v="157"/>
    <x v="39"/>
    <s v="5 ESTRELLAS POR ELLAS-TP 0304002 280G 2,20L"/>
    <m/>
    <m/>
    <m/>
    <n v="0"/>
    <s v="José Luis Andrango"/>
    <s v="joseandrando@paraiso.com.ec"/>
    <m/>
    <m/>
    <x v="0"/>
    <m/>
  </r>
  <r>
    <s v="205.25"/>
    <x v="15"/>
    <s v="Ecuador"/>
    <m/>
    <d v="2025-09-12T00:00:00"/>
    <d v="2025-09-01T00:00:00"/>
    <s v="A10230"/>
    <x v="158"/>
    <x v="39"/>
    <s v="BANDA 5 ESTRELLAS POR ELLAS-TP A10230 220G 2,20L"/>
    <m/>
    <m/>
    <m/>
    <n v="0"/>
    <s v="José Luis Andrango"/>
    <s v="joseandrando@paraiso.com.ec"/>
    <m/>
    <m/>
    <x v="0"/>
    <m/>
  </r>
  <r>
    <s v="206.25"/>
    <x v="5"/>
    <s v="Chile"/>
    <m/>
    <d v="2025-09-17T00:00:00"/>
    <d v="2025-09-01T00:00:00"/>
    <n v="1122580"/>
    <x v="38"/>
    <x v="40"/>
    <s v="Tela Therapeutic - Gray"/>
    <m/>
    <m/>
    <m/>
    <n v="0"/>
    <s v="Danae Briones"/>
    <m/>
    <s v="56 96205 0626"/>
    <m/>
    <x v="0"/>
    <m/>
  </r>
  <r>
    <s v="206.25"/>
    <x v="5"/>
    <s v="Chile"/>
    <m/>
    <d v="2025-09-17T00:00:00"/>
    <d v="2025-09-01T00:00:00"/>
    <n v="1121110"/>
    <x v="49"/>
    <x v="41"/>
    <s v="TELA T SENSITY HOJA-2810005 TP FOLHA 240G 2,20L"/>
    <m/>
    <m/>
    <m/>
    <n v="0"/>
    <s v="Paulina Mena"/>
    <s v="paulina.mena@flex.es"/>
    <s v="56 96205 0626"/>
    <m/>
    <x v="0"/>
    <m/>
  </r>
  <r>
    <s v="208.25"/>
    <x v="5"/>
    <s v="Chile"/>
    <m/>
    <d v="2025-09-24T00:00:00"/>
    <d v="2025-09-01T00:00:00"/>
    <n v="1122580"/>
    <x v="38"/>
    <x v="42"/>
    <s v="TELA THERAPEUTIC GRIS"/>
    <m/>
    <m/>
    <m/>
    <n v="0"/>
    <s v="Paulina Mena"/>
    <s v="paulina.mena@flex.es"/>
    <s v="56 96205 0626"/>
    <m/>
    <x v="0"/>
    <m/>
  </r>
  <r>
    <s v="208.25"/>
    <x v="5"/>
    <s v="Chile"/>
    <m/>
    <d v="2025-09-24T00:00:00"/>
    <d v="2025-09-01T00:00:00"/>
    <n v="1129159"/>
    <x v="159"/>
    <x v="42"/>
    <s v="TELA T NATURAL BAMBOO"/>
    <m/>
    <m/>
    <m/>
    <n v="0"/>
    <s v="Paulina Mena"/>
    <s v="paulina.mena@flex.es"/>
    <s v="56 96205 0626"/>
    <m/>
    <x v="0"/>
    <m/>
  </r>
  <r>
    <s v="208.25"/>
    <x v="5"/>
    <s v="Chile"/>
    <m/>
    <d v="2025-09-24T00:00:00"/>
    <d v="2025-09-01T00:00:00"/>
    <n v="1121110"/>
    <x v="49"/>
    <x v="42"/>
    <s v="TELA T SENSITY HOJA-"/>
    <m/>
    <m/>
    <m/>
    <n v="0"/>
    <s v="Paulina Mena"/>
    <s v="paulina.mena@flex.es"/>
    <s v="56 96205 0626"/>
    <m/>
    <x v="0"/>
    <m/>
  </r>
  <r>
    <s v="209.25"/>
    <x v="12"/>
    <s v="Chile"/>
    <m/>
    <d v="2025-09-25T00:00:00"/>
    <d v="2025-10-01T00:00:00"/>
    <s v="A09686 "/>
    <x v="160"/>
    <x v="43"/>
    <s v="TP ML A09686 370G 2,20L DIVERSAS U"/>
    <m/>
    <m/>
    <m/>
    <n v="0"/>
    <s v="Juan Carlos Villarroel"/>
    <s v="jcvillarroel@sunlock.cl"/>
    <s v="(+56) 98529-7739"/>
    <m/>
    <x v="0"/>
    <m/>
  </r>
  <r>
    <s v="209.25"/>
    <x v="12"/>
    <s v="Chile"/>
    <m/>
    <d v="2025-09-25T00:00:00"/>
    <d v="2025-10-01T00:00:00"/>
    <s v="A10066"/>
    <x v="161"/>
    <x v="43"/>
    <s v="MATELASSE / SERTAPEDIC 2860016&gt; A10310 2860018 (4703 Totvs)"/>
    <m/>
    <m/>
    <m/>
    <n v="0"/>
    <s v="Juan Carlos Villarroel"/>
    <s v="jcvillarroel@sunlock.cl"/>
    <s v="(+56) 98529-7739"/>
    <m/>
    <x v="0"/>
    <m/>
  </r>
  <r>
    <s v="209.25"/>
    <x v="12"/>
    <s v="Chile"/>
    <m/>
    <d v="2025-09-25T00:00:00"/>
    <d v="2025-10-01T00:00:00"/>
    <s v="0091012"/>
    <x v="162"/>
    <x v="43"/>
    <s v="TP BLANCO 100% PES"/>
    <m/>
    <m/>
    <m/>
    <n v="0"/>
    <s v="Juan Carlos Villarroel"/>
    <s v="jcvillarroel@sunlock.cl"/>
    <s v="(+56) 98529-7739"/>
    <m/>
    <x v="0"/>
    <m/>
  </r>
  <r>
    <s v="209.25"/>
    <x v="12"/>
    <s v="Chile"/>
    <m/>
    <d v="2025-09-25T00:00:00"/>
    <d v="2025-10-01T00:00:00"/>
    <s v="A09687"/>
    <x v="33"/>
    <x v="43"/>
    <s v="TP ML A09687 / NEW SUNSET"/>
    <m/>
    <m/>
    <m/>
    <n v="0"/>
    <s v="Juan Carlos Villarroel"/>
    <s v="jcvillarroel@sunlock.cl"/>
    <s v="(+56) 98529-7739"/>
    <m/>
    <x v="0"/>
    <m/>
  </r>
  <r>
    <s v="210.25"/>
    <x v="12"/>
    <s v="Chile"/>
    <m/>
    <d v="2025-10-07T00:00:00"/>
    <d v="2025-10-01T00:00:00"/>
    <n v="2860008"/>
    <x v="163"/>
    <x v="44"/>
    <s v="TP ML GRAY WINDOW"/>
    <m/>
    <m/>
    <m/>
    <n v="0"/>
    <s v="Juan Carlos Villarroel"/>
    <s v="jcvillarroel@sunlock.cl"/>
    <s v="(+56) 98529-7739"/>
    <m/>
    <x v="0"/>
    <m/>
  </r>
  <r>
    <s v="210.25"/>
    <x v="12"/>
    <s v="Chile"/>
    <m/>
    <d v="2025-10-07T00:00:00"/>
    <d v="2025-10-01T00:00:00"/>
    <n v="2860006"/>
    <x v="164"/>
    <x v="44"/>
    <s v="TP PES PL CINZA GRIS"/>
    <m/>
    <m/>
    <m/>
    <n v="0"/>
    <s v="Juan Carlos Villarroel"/>
    <s v="jcvillarroel@sunlock.cl"/>
    <s v="(+56) 98529-7739"/>
    <m/>
    <x v="0"/>
    <m/>
  </r>
  <r>
    <s v="211.25"/>
    <x v="11"/>
    <s v="Paraguay"/>
    <m/>
    <d v="2025-10-08T00:00:00"/>
    <d v="2025-11-01T00:00:00"/>
    <n v="3200008"/>
    <x v="165"/>
    <x v="45"/>
    <s v="TP ML Impulse Gray"/>
    <m/>
    <m/>
    <m/>
    <n v="0"/>
    <s v="Leticia Roig"/>
    <s v="leticia.roig@superspuma.com"/>
    <s v="595 985 629024"/>
    <m/>
    <x v="0"/>
    <m/>
  </r>
  <r>
    <s v="211.25"/>
    <x v="11"/>
    <s v="Paraguay"/>
    <m/>
    <d v="2025-10-08T00:00:00"/>
    <d v="2025-11-01T00:00:00"/>
    <s v="3200010-06"/>
    <x v="166"/>
    <x v="45"/>
    <s v="Tela Waves Lino Salmón"/>
    <m/>
    <m/>
    <m/>
    <n v="0"/>
    <s v="Leticia Roig"/>
    <s v="leticia.roig@superspuma.com"/>
    <s v="595 985 629024"/>
    <m/>
    <x v="0"/>
    <m/>
  </r>
  <r>
    <s v="211.25"/>
    <x v="11"/>
    <s v="Paraguay"/>
    <m/>
    <d v="2025-10-08T00:00:00"/>
    <d v="2025-11-01T00:00:00"/>
    <n v="3200004"/>
    <x v="167"/>
    <x v="45"/>
    <s v="TP ML IMPERAL BLACK "/>
    <m/>
    <m/>
    <m/>
    <n v="0"/>
    <s v="Leticia Roig"/>
    <s v="leticia.roig@superspuma.com"/>
    <s v="595 985 629024"/>
    <m/>
    <x v="0"/>
    <m/>
  </r>
  <r>
    <s v="204.25"/>
    <x v="20"/>
    <s v="Paraguay"/>
    <m/>
    <d v="2025-10-09T00:00:00"/>
    <d v="2025-10-01T00:00:00"/>
    <s v="A05853-B"/>
    <x v="168"/>
    <x v="46"/>
    <s v="TP 100% PES CM BLANCO Y MARRÓN"/>
    <m/>
    <m/>
    <m/>
    <n v="0"/>
    <s v="Carlos Nuñez"/>
    <s v="NA"/>
    <s v="595 992 700278"/>
    <m/>
    <x v="0"/>
    <m/>
  </r>
  <r>
    <s v="204.25"/>
    <x v="20"/>
    <s v="Paraguay"/>
    <m/>
    <d v="2025-10-09T00:00:00"/>
    <d v="2025-10-01T00:00:00"/>
    <s v="A05853-A"/>
    <x v="169"/>
    <x v="46"/>
    <s v="TP 100% PES CM BLANCO Y GRIS PERLA"/>
    <m/>
    <m/>
    <m/>
    <n v="0"/>
    <s v="Carlos Nuñez"/>
    <s v="NA"/>
    <s v="595 992 700278"/>
    <m/>
    <x v="0"/>
    <m/>
  </r>
  <r>
    <s v="204.25"/>
    <x v="20"/>
    <s v="Paraguay"/>
    <m/>
    <d v="2025-10-09T00:00:00"/>
    <d v="2025-10-01T00:00:00"/>
    <s v="A05853 (6430)"/>
    <x v="170"/>
    <x v="46"/>
    <s v="TP 100% PES CM BLANCO Y ARENA"/>
    <m/>
    <m/>
    <m/>
    <n v="0"/>
    <s v="Carlos Nuñez"/>
    <s v="NA"/>
    <s v="595 992 700278"/>
    <m/>
    <x v="0"/>
    <m/>
  </r>
  <r>
    <s v="204.25"/>
    <x v="20"/>
    <s v="Paraguay"/>
    <m/>
    <d v="2025-10-09T00:00:00"/>
    <d v="2025-10-01T00:00:00"/>
    <s v="A05853 (6431)"/>
    <x v="171"/>
    <x v="46"/>
    <s v="TP 100% PES CM BLANCO CON NEGRO"/>
    <m/>
    <m/>
    <m/>
    <n v="0"/>
    <s v="Carlos Nuñez"/>
    <s v="NA"/>
    <s v="595 992 700278"/>
    <m/>
    <x v="0"/>
    <m/>
  </r>
  <r>
    <s v="213.25"/>
    <x v="17"/>
    <s v="Argentina"/>
    <m/>
    <d v="2025-10-21T00:00:00"/>
    <d v="2025-10-01T00:00:00"/>
    <n v="301002"/>
    <x v="172"/>
    <x v="47"/>
    <s v="3470003 TP ML 301002 260G 2,20L DV U"/>
    <m/>
    <m/>
    <m/>
    <n v="0"/>
    <s v="Martin Miller"/>
    <s v="comercial@martinmiller.com.ar"/>
    <s v="NA"/>
    <m/>
    <x v="0"/>
    <m/>
  </r>
  <r>
    <s v="214.25"/>
    <x v="4"/>
    <s v="Uruguay"/>
    <m/>
    <d v="2025-10-21T00:00:00"/>
    <d v="2025-11-01T00:00:00"/>
    <n v="35148"/>
    <x v="173"/>
    <x v="48"/>
    <s v="TELA VANILA 0237005"/>
    <m/>
    <m/>
    <m/>
    <n v="0"/>
    <s v="FRANCO MACHAO"/>
    <s v="franco.machao@divino.com.uy"/>
    <s v="+ 598 (2) 506.1262"/>
    <m/>
    <x v="0"/>
    <m/>
  </r>
  <r>
    <s v="214.25"/>
    <x v="4"/>
    <s v="Uruguay"/>
    <m/>
    <d v="2025-10-21T00:00:00"/>
    <d v="2025-11-01T00:00:00"/>
    <n v="32341"/>
    <x v="141"/>
    <x v="48"/>
    <s v="TELA CONEXAO A05171 SQUARE"/>
    <m/>
    <m/>
    <m/>
    <n v="0"/>
    <s v="FRANCO MACHAO"/>
    <s v="franco.machao@divino.com.uy"/>
    <s v="+ 598 (2) 506.1262"/>
    <m/>
    <x v="0"/>
    <m/>
  </r>
  <r>
    <s v="214.25"/>
    <x v="4"/>
    <s v="Uruguay"/>
    <m/>
    <d v="2025-10-21T00:00:00"/>
    <d v="2025-11-01T00:00:00"/>
    <n v="35082"/>
    <x v="174"/>
    <x v="48"/>
    <s v="TELA TP LUNA 0070001"/>
    <m/>
    <m/>
    <m/>
    <n v="0"/>
    <s v="FRANCO MACHAO"/>
    <s v="franco.machao@divino.com.uy"/>
    <s v="+ 598 (2) 506.1262"/>
    <m/>
    <x v="0"/>
    <m/>
  </r>
  <r>
    <s v="214.25"/>
    <x v="4"/>
    <s v="Uruguay"/>
    <m/>
    <d v="2025-10-21T00:00:00"/>
    <d v="2025-11-01T00:00:00"/>
    <n v="35149"/>
    <x v="51"/>
    <x v="48"/>
    <s v="TELA TP ML 132012"/>
    <m/>
    <m/>
    <m/>
    <n v="0"/>
    <s v="FRANCO MACHAO"/>
    <s v="franco.machao@divino.com.uy"/>
    <s v="+ 598 (2) 506.1262"/>
    <m/>
    <x v="0"/>
    <m/>
  </r>
  <r>
    <s v="212.25"/>
    <x v="21"/>
    <s v="Perú"/>
    <m/>
    <d v="2025-10-20T00:00:00"/>
    <d v="2025-11-01T00:00:00"/>
    <s v="0071001&gt;71071"/>
    <x v="175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072031&gt;72101"/>
    <x v="176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073011&gt;73101"/>
    <x v="177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074011&gt;74201"/>
    <x v="178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080001&gt;80081"/>
    <x v="179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262011&gt;262041"/>
    <x v="180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270001&gt;270081"/>
    <x v="181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411001&gt;411051"/>
    <x v="182"/>
    <x v="49"/>
    <s v="200 2,10 100% PES CM NEGR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416001&gt;416071"/>
    <x v="183"/>
    <x v="49"/>
    <s v="200 2,10 100% PES CM BLANC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411001&gt;411041"/>
    <x v="184"/>
    <x v="49"/>
    <s v="200 2,10 100% PES CM BLANCO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399001&gt;399031"/>
    <x v="185"/>
    <x v="49"/>
    <s v="200 2,10 100% PES CM BLANCO BRILLANTE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A09553&gt;A10344"/>
    <x v="186"/>
    <x v="49"/>
    <s v="200 2,10 100% PES PL MESCLA Y NEGRO/ banda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473001&gt;473003"/>
    <x v="187"/>
    <x v="49"/>
    <s v="180 2,10 100% PES PL NEGRO Y BLANCO /banda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388001&gt;388043"/>
    <x v="188"/>
    <x v="49"/>
    <s v="180 2,10 100% PES PL NEGRO Y BLANCO /banda"/>
    <m/>
    <m/>
    <m/>
    <n v="0"/>
    <s v="Milagros Grande"/>
    <s v="milagros.grande@grupograndesac.com"/>
    <s v="964 345 341"/>
    <m/>
    <x v="0"/>
    <m/>
  </r>
  <r>
    <s v="212.25"/>
    <x v="21"/>
    <s v="Perú"/>
    <m/>
    <d v="2025-10-20T00:00:00"/>
    <d v="2025-11-01T00:00:00"/>
    <s v="0211001&gt;211013"/>
    <x v="189"/>
    <x v="49"/>
    <s v="180 2,10 100% PES PL GRIS PERLA Y BLANCO /banda"/>
    <m/>
    <m/>
    <m/>
    <n v="0"/>
    <s v="Milagros Grande"/>
    <s v="milagros.grande@grupograndesac.com"/>
    <s v="964 345 341"/>
    <m/>
    <x v="0"/>
    <m/>
  </r>
  <r>
    <s v="209.25"/>
    <x v="12"/>
    <s v="Chile"/>
    <m/>
    <d v="2025-09-25T00:00:00"/>
    <d v="2025-10-01T00:00:00"/>
    <s v="A10310"/>
    <x v="190"/>
    <x v="50"/>
    <s v="MATELASSE/SERTAPEDIC  A10310 2860018 "/>
    <m/>
    <m/>
    <m/>
    <n v="0"/>
    <s v="---"/>
    <s v="---"/>
    <s v="---"/>
    <m/>
    <x v="0"/>
    <m/>
  </r>
  <r>
    <s v="215.25"/>
    <x v="14"/>
    <s v="Uruguay"/>
    <m/>
    <d v="2025-11-03T00:00:00"/>
    <d v="2025-11-01T00:00:00"/>
    <s v="0071001&gt;0071013"/>
    <x v="191"/>
    <x v="51"/>
    <s v="180 2,10 100% PES PL NEGRO &amp;  BLANCO (Id 6491)"/>
    <m/>
    <m/>
    <m/>
    <n v="0"/>
    <s v="Eliana Garayalde"/>
    <s v="polymax@polymax.com.uy"/>
    <s v="---"/>
    <m/>
    <x v="0"/>
    <m/>
  </r>
  <r>
    <s v="215.25"/>
    <x v="14"/>
    <s v="Uruguay"/>
    <m/>
    <d v="2025-11-03T00:00:00"/>
    <d v="2025-11-01T00:00:00"/>
    <s v="0149011&gt;'0149003"/>
    <x v="192"/>
    <x v="51"/>
    <s v="180 2,10 100% PES PL NEGRO BOLITAS BLANCAS (id 6488)"/>
    <m/>
    <m/>
    <m/>
    <n v="0"/>
    <s v="Eliana Garayalde"/>
    <s v="polymax@polymax.com.uy"/>
    <s v="---"/>
    <m/>
    <x v="0"/>
    <m/>
  </r>
  <r>
    <s v="215.25"/>
    <x v="14"/>
    <s v="Uruguay"/>
    <m/>
    <d v="2025-11-03T00:00:00"/>
    <d v="2025-11-01T00:00:00"/>
    <s v="A09535 "/>
    <x v="193"/>
    <x v="51"/>
    <s v="PL 160G 2,10L GRIS ESCURO"/>
    <m/>
    <m/>
    <m/>
    <n v="0"/>
    <s v="Eliana Garayalde"/>
    <s v="polymax@polymax.com.uy"/>
    <s v="---"/>
    <m/>
    <x v="0"/>
    <m/>
  </r>
  <r>
    <s v="215.25"/>
    <x v="14"/>
    <s v="Uruguay"/>
    <m/>
    <d v="2025-11-03T00:00:00"/>
    <d v="2025-11-01T00:00:00"/>
    <s v="A09535 "/>
    <x v="194"/>
    <x v="51"/>
    <s v="PL 160G 2,10L NEGRO"/>
    <m/>
    <m/>
    <m/>
    <n v="0"/>
    <s v="Eliana Garayalde"/>
    <s v="polymax@polymax.com.uy"/>
    <s v="---"/>
    <m/>
    <x v="0"/>
    <m/>
  </r>
  <r>
    <s v="215.25"/>
    <x v="14"/>
    <s v="Uruguay"/>
    <m/>
    <d v="2025-11-03T00:00:00"/>
    <d v="2025-11-01T00:00:00"/>
    <s v="0253003"/>
    <x v="195"/>
    <x v="51"/>
    <s v="180 2,10 100% PES PL BLANCO Y ARENA (Id 6619)"/>
    <m/>
    <m/>
    <m/>
    <n v="0"/>
    <s v="Eliana Garayalde"/>
    <s v="polymax@polymax.com.uy"/>
    <s v="---"/>
    <m/>
    <x v="0"/>
    <m/>
  </r>
  <r>
    <s v="215.25"/>
    <x v="14"/>
    <s v="Uruguay"/>
    <m/>
    <d v="2025-11-03T00:00:00"/>
    <d v="2025-11-01T00:00:00"/>
    <s v="A09956"/>
    <x v="196"/>
    <x v="51"/>
    <s v="TP ML A09956 BANDA CAQUI"/>
    <m/>
    <m/>
    <m/>
    <n v="0"/>
    <s v="Eliana Garayalde"/>
    <s v="polymax@polymax.com.uy"/>
    <s v="---"/>
    <m/>
    <x v="0"/>
    <m/>
  </r>
  <r>
    <s v="216.25"/>
    <x v="4"/>
    <s v="Uruguay"/>
    <m/>
    <d v="2025-11-03T00:00:00"/>
    <d v="2025-11-01T00:00:00"/>
    <n v="32282"/>
    <x v="79"/>
    <x v="52"/>
    <s v="TELA ANTIDESLIZANTE CONEXÃO"/>
    <m/>
    <m/>
    <m/>
    <n v="0"/>
    <s v="FRANCO MACHAO"/>
    <s v="franco.machao@divino.com.uy"/>
    <s v="+ 598 (2) 506.1262"/>
    <m/>
    <x v="0"/>
    <m/>
  </r>
  <r>
    <s v="216.25"/>
    <x v="4"/>
    <s v="Uruguay"/>
    <m/>
    <d v="2025-11-03T00:00:00"/>
    <d v="2025-11-01T00:00:00"/>
    <n v="2540014"/>
    <x v="82"/>
    <x v="52"/>
    <s v="TELA CONEXAO A05171 SQUARE"/>
    <m/>
    <m/>
    <m/>
    <n v="0"/>
    <s v="FRANCO MACHAO"/>
    <s v="franco.machao@divino.com.uy"/>
    <s v="+ 598 (2) 506.1262"/>
    <m/>
    <x v="0"/>
    <m/>
  </r>
  <r>
    <s v="216.25"/>
    <x v="4"/>
    <s v="Uruguay"/>
    <m/>
    <d v="2025-11-03T00:00:00"/>
    <d v="2025-11-01T00:00:00"/>
    <s v="2540026"/>
    <x v="86"/>
    <x v="52"/>
    <s v="TELA 72001 DEGRADE GRIS"/>
    <m/>
    <m/>
    <m/>
    <n v="0"/>
    <s v="FRANCO MACHAO"/>
    <s v="franco.machao@divino.com.uy"/>
    <s v="+ 598 (2) 506.1262"/>
    <m/>
    <x v="0"/>
    <m/>
  </r>
  <r>
    <s v="216.25"/>
    <x v="4"/>
    <s v="Uruguay"/>
    <m/>
    <d v="2025-11-03T00:00:00"/>
    <d v="2025-11-01T00:00:00"/>
    <n v="2540033"/>
    <x v="89"/>
    <x v="52"/>
    <s v="TELA TP ML 132012 DV U"/>
    <m/>
    <m/>
    <m/>
    <n v="0"/>
    <s v="FRANCO MACHAO"/>
    <s v="franco.machao@divino.com.uy"/>
    <s v="+ 598 (2) 506.1262"/>
    <m/>
    <x v="0"/>
    <m/>
  </r>
  <r>
    <s v="216.25"/>
    <x v="4"/>
    <s v="Uruguay"/>
    <m/>
    <d v="2025-11-03T00:00:00"/>
    <d v="2025-11-01T00:00:00"/>
    <s v="2540025"/>
    <x v="197"/>
    <x v="52"/>
    <s v="TELA 69001 CONTEMPORÁNEO"/>
    <m/>
    <m/>
    <m/>
    <n v="0"/>
    <s v="FRANCO MACHAO"/>
    <s v="franco.machao@divino.com.uy"/>
    <s v="+ 598 (2) 506.1262"/>
    <m/>
    <x v="0"/>
    <m/>
  </r>
  <r>
    <s v="211.25 "/>
    <x v="11"/>
    <s v="Paraguay"/>
    <m/>
    <d v="2025-11-07T00:00:00"/>
    <d v="2025-11-01T00:00:00"/>
    <s v="A09970 (3701)"/>
    <x v="42"/>
    <x v="45"/>
    <s v="Tela SuperSpuma Dots 1 - Azul"/>
    <m/>
    <m/>
    <m/>
    <n v="0"/>
    <s v="Leticia Roig"/>
    <s v="leticia.roig@superspuma.com"/>
    <s v="595 985 629024"/>
    <m/>
    <x v="0"/>
    <m/>
  </r>
  <r>
    <s v="217.25"/>
    <x v="5"/>
    <s v="Chile"/>
    <m/>
    <d v="2025-11-10T00:00:00"/>
    <d v="2025-11-01T00:00:00"/>
    <s v="1122580&gt;A08996"/>
    <x v="38"/>
    <x v="53"/>
    <s v="TELA T GRIS THERAPEUTIC GRIS PL  2,2M/180GR/A08996"/>
    <m/>
    <m/>
    <m/>
    <n v="0"/>
    <s v="Paulina Mena"/>
    <s v="paulina.mena@flex.es"/>
    <s v="56 96205 0626"/>
    <m/>
    <x v="0"/>
    <m/>
  </r>
  <r>
    <s v="217.25"/>
    <x v="5"/>
    <s v="Chile"/>
    <m/>
    <d v="2025-11-10T00:00:00"/>
    <d v="2025-11-01T00:00:00"/>
    <s v="1129159&gt;2810011"/>
    <x v="159"/>
    <x v="53"/>
    <s v="TELA T NATURAL BAMBOO PARADISE  2,2M/370GR/122034"/>
    <m/>
    <m/>
    <m/>
    <n v="0"/>
    <s v="Paulina Mena"/>
    <s v="paulina.mena@flex.es"/>
    <s v="56 96205 0626"/>
    <m/>
    <x v="0"/>
    <m/>
  </r>
  <r>
    <s v="219.25"/>
    <x v="20"/>
    <s v="Paraguay"/>
    <m/>
    <d v="2025-11-18T00:00:00"/>
    <d v="2025-11-01T00:00:00"/>
    <n v="1121110"/>
    <x v="49"/>
    <x v="54"/>
    <s v="TP FOLHA 240G 2,20L (1121110) DIVERSAS U"/>
    <m/>
    <m/>
    <m/>
    <n v="0"/>
    <s v="Carlos Nuñez"/>
    <s v="NA"/>
    <s v="595 992 700278"/>
    <m/>
    <x v="0"/>
    <m/>
  </r>
  <r>
    <s v="219.25"/>
    <x v="20"/>
    <s v="Paraguay"/>
    <m/>
    <d v="2025-11-18T00:00:00"/>
    <d v="2025-11-01T00:00:00"/>
    <n v="87052"/>
    <x v="198"/>
    <x v="54"/>
    <s v="TP ML 87052 220G 2,20L DV U"/>
    <m/>
    <m/>
    <m/>
    <n v="0"/>
    <s v="Carlos Nuñez"/>
    <s v="NA"/>
    <s v="595 992 700278"/>
    <m/>
    <x v="0"/>
    <m/>
  </r>
  <r>
    <s v="220.25"/>
    <x v="12"/>
    <s v="Chile"/>
    <m/>
    <d v="2025-11-24T00:00:00"/>
    <d v="2025-12-01T00:00:00"/>
    <s v="A08959"/>
    <x v="199"/>
    <x v="55"/>
    <s v="TP RETAS DEGRADE 450G 2,20L DIVERSAS U"/>
    <m/>
    <m/>
    <m/>
    <n v="0"/>
    <s v="Juan Carlos Villarroel"/>
    <m/>
    <m/>
    <m/>
    <x v="0"/>
    <m/>
  </r>
  <r>
    <s v="220.25"/>
    <x v="12"/>
    <s v="Chile"/>
    <m/>
    <d v="2025-11-24T00:00:00"/>
    <d v="2025-12-01T00:00:00"/>
    <s v="A09647"/>
    <x v="200"/>
    <x v="55"/>
    <s v="TP ML HARMONY ME 440G 2,20L DIVERSAS U"/>
    <m/>
    <m/>
    <m/>
    <n v="0"/>
    <s v="Juan Carlos Villarroel"/>
    <m/>
    <m/>
    <m/>
    <x v="0"/>
    <m/>
  </r>
  <r>
    <s v="220.25 Comp"/>
    <x v="12"/>
    <s v="Chile"/>
    <m/>
    <d v="2025-11-24T00:00:00"/>
    <d v="2025-12-01T00:00:00"/>
    <s v="0354001 (id 6704)"/>
    <x v="201"/>
    <x v="56"/>
    <s v="400 2,20 73% PE 27% PES CM BLANCO Arctic s/Logo"/>
    <m/>
    <m/>
    <m/>
    <n v="0"/>
    <s v="Juan Carlos Villarroel"/>
    <m/>
    <m/>
    <m/>
    <x v="0"/>
    <m/>
  </r>
  <r>
    <s v="220.25 Comp"/>
    <x v="12"/>
    <s v="Chile"/>
    <m/>
    <d v="2025-11-24T00:00:00"/>
    <d v="2025-12-01T00:00:00"/>
    <s v="0427001 (id 6708)"/>
    <x v="202"/>
    <x v="56"/>
    <s v="400 2,20 90% PES 10% CV CM BLANCO"/>
    <m/>
    <m/>
    <m/>
    <n v="0"/>
    <s v="Juan Carlos Villarroel"/>
    <m/>
    <m/>
    <m/>
    <x v="0"/>
    <m/>
  </r>
  <r>
    <s v="220.25 Comp"/>
    <x v="12"/>
    <s v="Chile"/>
    <m/>
    <d v="2025-11-24T00:00:00"/>
    <d v="2025-12-01T00:00:00"/>
    <s v="0414001 (id 6706)"/>
    <x v="203"/>
    <x v="56"/>
    <s v="380 2,20 99% PES 1% PUE CM BLANCO"/>
    <m/>
    <m/>
    <m/>
    <n v="0"/>
    <s v="Juan Carlos Villarroel"/>
    <m/>
    <m/>
    <m/>
    <x v="0"/>
    <m/>
  </r>
  <r>
    <s v="218.25"/>
    <x v="22"/>
    <s v="Bolivia"/>
    <m/>
    <d v="2025-11-27T00:00:00"/>
    <d v="2025-12-01T00:00:00"/>
    <s v="A06747&gt;A10390"/>
    <x v="204"/>
    <x v="57"/>
    <s v="220 2,10 100% PES CM GRIS Y BLANCO"/>
    <m/>
    <m/>
    <m/>
    <n v="0"/>
    <s v="NA"/>
    <m/>
    <m/>
    <m/>
    <x v="0"/>
    <m/>
  </r>
  <r>
    <s v="218.25"/>
    <x v="22"/>
    <s v="Bolivia"/>
    <m/>
    <d v="2025-11-27T00:00:00"/>
    <d v="2025-12-01T00:00:00"/>
    <s v="0153011"/>
    <x v="205"/>
    <x v="57"/>
    <s v="240 2,20 100% PES CM ARENA"/>
    <m/>
    <m/>
    <m/>
    <n v="0"/>
    <s v="NA"/>
    <m/>
    <m/>
    <m/>
    <x v="0"/>
    <m/>
  </r>
  <r>
    <s v="218.25"/>
    <x v="22"/>
    <s v="Bolivia"/>
    <m/>
    <d v="2025-11-27T00:00:00"/>
    <d v="2025-12-01T00:00:00"/>
    <s v="0245005"/>
    <x v="206"/>
    <x v="57"/>
    <s v="260 2,20 99% PES 1% LINEN CM BLANCO Y ARENA"/>
    <m/>
    <m/>
    <m/>
    <n v="0"/>
    <s v="NA"/>
    <m/>
    <m/>
    <m/>
    <x v="0"/>
    <m/>
  </r>
  <r>
    <s v="218.25"/>
    <x v="22"/>
    <s v="Bolivia"/>
    <m/>
    <d v="2025-11-27T00:00:00"/>
    <d v="2025-12-01T00:00:00"/>
    <s v="0524004"/>
    <x v="207"/>
    <x v="57"/>
    <s v="440 2,20 66% PES 34% PE XP AZUL Y BLANCO "/>
    <m/>
    <m/>
    <m/>
    <n v="0"/>
    <s v="NA"/>
    <m/>
    <m/>
    <m/>
    <x v="0"/>
    <m/>
  </r>
  <r>
    <s v="222.25"/>
    <x v="5"/>
    <s v="Chile"/>
    <n v="448"/>
    <d v="2025-12-11T00:00:00"/>
    <d v="2026-01-01T00:00:00"/>
    <s v="1122580&gt; A08996"/>
    <x v="38"/>
    <x v="58"/>
    <s v="TELA T GRIS THERAPEUTIC GRIS PL  2,2M/180GR/A08996"/>
    <n v="1300"/>
    <n v="866"/>
    <n v="2.25"/>
    <n v="2925"/>
    <s v="Paulina Mena"/>
    <s v="paulina.mena@flex.es"/>
    <s v="56 96205 0626"/>
    <s v=" Entrega solicitada para semana 26 Janeiro"/>
    <x v="2"/>
    <m/>
  </r>
  <r>
    <s v="221.25"/>
    <x v="23"/>
    <s v="Uruguay"/>
    <n v="2049"/>
    <d v="2025-12-11T00:00:00"/>
    <d v="2026-01-01T00:00:00"/>
    <s v="A06917-C &gt; A6917"/>
    <x v="208"/>
    <x v="59"/>
    <s v="440 2,20 99% PES 1% PUE XP GRIS"/>
    <n v="500"/>
    <n v="264"/>
    <n v="4.95"/>
    <n v="2475"/>
    <s v="Claudio Zarlenga"/>
    <s v="czarlenga@lamitex.com.uy"/>
    <s v="00598 22260206"/>
    <s v="cliente novo - Entrega prioritaria 1ra quinzena Jan 2026"/>
    <x v="2"/>
    <m/>
  </r>
  <r>
    <s v="221.25"/>
    <x v="23"/>
    <s v="Uruguay"/>
    <n v="2049"/>
    <d v="2025-12-11T00:00:00"/>
    <d v="2026-01-01T00:00:00"/>
    <s v="0246015 &gt; 0246015"/>
    <x v="209"/>
    <x v="59"/>
    <s v="340 2,20 100% PES XN NEGRO / GRIS / AZUL "/>
    <n v="500"/>
    <n v="204"/>
    <n v="4.75"/>
    <n v="2375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0271001&gt; 0271001"/>
    <x v="210"/>
    <x v="59"/>
    <s v="340 2,20 100% PES CM GRIS"/>
    <n v="500"/>
    <n v="204"/>
    <n v="3.52"/>
    <n v="1760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0461001 &gt; 0461001"/>
    <x v="211"/>
    <x v="59"/>
    <s v="340 2,20 100% PES CM BLANCO"/>
    <n v="500"/>
    <n v="204"/>
    <n v="3.51"/>
    <n v="1755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0416001 &gt; 0416001"/>
    <x v="212"/>
    <x v="59"/>
    <s v="240 2,20 100% PES CM BLANCO"/>
    <n v="500"/>
    <n v="150"/>
    <n v="2.2200000000000002"/>
    <n v="1110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A10156 &gt; A10156"/>
    <x v="213"/>
    <x v="59"/>
    <s v="220 2,20 100% PES CM BLANCO"/>
    <n v="500"/>
    <n v="135"/>
    <n v="1.97"/>
    <n v="985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A10136 &gt; A10136"/>
    <x v="214"/>
    <x v="59"/>
    <s v="200 2,20 100% PES CM BLANCO "/>
    <n v="500"/>
    <n v="120"/>
    <n v="1.9"/>
    <n v="950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LA005 &gt; A10399"/>
    <x v="215"/>
    <x v="59"/>
    <s v="180 2,10 100% PES PL GRIS"/>
    <n v="400"/>
    <n v="110"/>
    <n v="1.5"/>
    <n v="600"/>
    <s v="Claudio Zarlenga"/>
    <s v="czarlenga@lamitex.com.uy"/>
    <s v="00598 22260206"/>
    <m/>
    <x v="2"/>
    <m/>
  </r>
  <r>
    <s v="221.25"/>
    <x v="23"/>
    <s v="Uruguay"/>
    <n v="2049"/>
    <d v="2025-12-11T00:00:00"/>
    <d v="2026-01-01T00:00:00"/>
    <s v="LA003 &gt;A10402"/>
    <x v="216"/>
    <x v="59"/>
    <s v="200 2,10 100% PES CM NEGRO Fire-Retardant s/ Logo  "/>
    <n v="2000"/>
    <n v="1200"/>
    <n v="4.9800000000000004"/>
    <n v="9960"/>
    <s v="Claudio Zarlenga"/>
    <s v="czarlenga@lamitex.com.uy"/>
    <s v="00598 22260206"/>
    <s v="cliente novo - Entrega prioritaria 1ra quinzena Jan 2026"/>
    <x v="2"/>
    <m/>
  </r>
  <r>
    <s v="003.26"/>
    <x v="12"/>
    <s v="Chile"/>
    <n v="1372"/>
    <d v="2025-12-19T00:00:00"/>
    <d v="2026-01-01T00:00:00"/>
    <s v="A09634"/>
    <x v="163"/>
    <x v="60"/>
    <s v="2860008 TP ML GRAY WINDOW 380G 2,20L DIVERSAS U "/>
    <n v="1000"/>
    <n v="600"/>
    <n v="5.17"/>
    <n v="5170"/>
    <m/>
    <m/>
    <m/>
    <m/>
    <x v="2"/>
    <m/>
  </r>
  <r>
    <s v="004.26"/>
    <x v="24"/>
    <s v="Argentina"/>
    <n v="993"/>
    <d v="2026-01-09T00:00:00"/>
    <d v="2026-01-01T00:00:00"/>
    <n v="301002"/>
    <x v="172"/>
    <x v="61"/>
    <s v="3470003 TP ML 301002 260G 2,20L DV U"/>
    <n v="12000"/>
    <n v="6000"/>
    <n v="1.83"/>
    <n v="21960"/>
    <m/>
    <m/>
    <m/>
    <s v="cliente solicita para fin de mês"/>
    <x v="2"/>
    <m/>
  </r>
  <r>
    <s v="005.26"/>
    <x v="12"/>
    <s v="Chile"/>
    <n v="1372"/>
    <d v="2026-01-09T00:00:00"/>
    <d v="2026-01-01T00:00:00"/>
    <s v="A09647"/>
    <x v="217"/>
    <x v="62"/>
    <s v="TP ML HARMONY ME 440G 2,20L DIVERSAS U"/>
    <n v="1000"/>
    <n v="1036"/>
    <n v="6.49"/>
    <n v="6490"/>
    <m/>
    <m/>
    <m/>
    <m/>
    <x v="2"/>
    <m/>
  </r>
  <r>
    <s v="006.26"/>
    <x v="5"/>
    <s v="Chile"/>
    <n v="448"/>
    <d v="2026-01-16T00:00:00"/>
    <d v="2026-02-01T00:00:00"/>
    <n v="1122580"/>
    <x v="38"/>
    <x v="63"/>
    <s v="TELA T GRIS THERAPEUTIC GRIS PL  2,2M/180GR/A08996"/>
    <n v="1000"/>
    <n v="666"/>
    <n v="2.25"/>
    <n v="2250"/>
    <m/>
    <m/>
    <m/>
    <s v="entrega para semana 9 (23 fev.)"/>
    <x v="2"/>
    <m/>
  </r>
  <r>
    <s v="007.26"/>
    <x v="12"/>
    <s v="Chile"/>
    <n v="1372"/>
    <d v="2026-01-16T00:00:00"/>
    <d v="2026-02-01T00:00:00"/>
    <s v="A10310"/>
    <x v="190"/>
    <x v="64"/>
    <s v="MATELASSE/SERTAPEDIC  A10310 2860018  300G 2,20A"/>
    <n v="1300"/>
    <n v="780"/>
    <n v="2.98"/>
    <n v="3874"/>
    <m/>
    <m/>
    <m/>
    <s v="Agrd validação cód pdn - agrd aprov. Cliente/ ok"/>
    <x v="2"/>
    <m/>
  </r>
  <r>
    <s v="008.26"/>
    <x v="4"/>
    <s v="Uruguay"/>
    <n v="316"/>
    <d v="2026-01-26T00:00:00"/>
    <d v="2026-02-01T00:00:00"/>
    <n v="32282"/>
    <x v="79"/>
    <x v="65"/>
    <s v="TELA ANTIDESLIZANTE CONEXÃO (MATERIAL REVENDA)"/>
    <n v="8000"/>
    <n v="6400"/>
    <n v="1.51"/>
    <n v="12080"/>
    <m/>
    <m/>
    <m/>
    <s v="Agrd aprovaç cliente/ ok"/>
    <x v="2"/>
    <m/>
  </r>
  <r>
    <s v="009.26"/>
    <x v="5"/>
    <s v="Chile"/>
    <n v="448"/>
    <d v="2026-01-30T00:00:00"/>
    <d v="2026-02-01T00:00:00"/>
    <s v="A10411 (ID 6852)"/>
    <x v="218"/>
    <x v="66"/>
    <s v="TELA BLACK V.2  Legacy-TP ML A10411 320G 2,20L"/>
    <n v="500"/>
    <n v="352"/>
    <n v="3.94"/>
    <n v="1970"/>
    <m/>
    <m/>
    <m/>
    <s v="Proforma 30/01-Ok Cods"/>
    <x v="2"/>
    <m/>
  </r>
  <r>
    <s v="010.26"/>
    <x v="25"/>
    <s v="Paraguay"/>
    <n v="2096"/>
    <d v="2026-02-13T00:00:00"/>
    <d v="2026-03-01T00:00:00"/>
    <n v="110013"/>
    <x v="219"/>
    <x v="67"/>
    <s v="Tela Colchones del Paraguay 1 - 220"/>
    <n v="940"/>
    <n v="454"/>
    <n v="1.5"/>
    <n v="1410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0047"/>
    <x v="220"/>
    <x v="67"/>
    <s v="Tela Colchones del Paraguay 2 - 280"/>
    <n v="308"/>
    <n v="190"/>
    <n v="1.5"/>
    <n v="462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80004"/>
    <x v="221"/>
    <x v="67"/>
    <s v="Tela Colchones del Paraguay 3 - 220"/>
    <n v="279"/>
    <n v="135"/>
    <n v="1.5"/>
    <n v="418.5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0046"/>
    <x v="222"/>
    <x v="67"/>
    <s v="Tela Colchones del Paraguay 4 - 280"/>
    <n v="271"/>
    <n v="167"/>
    <n v="1.5"/>
    <n v="406.5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2940034"/>
    <x v="72"/>
    <x v="67"/>
    <s v="Tela Colchones del Paraguay 5 - 240"/>
    <n v="260"/>
    <n v="137"/>
    <n v="1.5"/>
    <n v="390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0048"/>
    <x v="223"/>
    <x v="67"/>
    <s v="Tela Colchones del Paraguay 6 - 160"/>
    <n v="178"/>
    <n v="63"/>
    <n v="1.5"/>
    <n v="267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2540005"/>
    <x v="81"/>
    <x v="67"/>
    <s v="Tela Colchones del Paraguay 7 -280"/>
    <n v="180"/>
    <n v="111"/>
    <n v="1.5"/>
    <n v="270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2540018"/>
    <x v="83"/>
    <x v="67"/>
    <s v="Tela Colchones del Paraguay 8 -160"/>
    <n v="181"/>
    <n v="64"/>
    <n v="1.5"/>
    <n v="271.5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0044"/>
    <x v="224"/>
    <x v="67"/>
    <s v="Tela Colchones del Paraguay 9 - 180"/>
    <n v="148"/>
    <n v="59"/>
    <n v="1.5"/>
    <n v="222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280018"/>
    <x v="225"/>
    <x v="67"/>
    <s v="Tela Colchones del Paraguay 10 - 220"/>
    <n v="145"/>
    <n v="454"/>
    <n v="1.5"/>
    <n v="217.5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3470003"/>
    <x v="226"/>
    <x v="67"/>
    <s v="Tela Colchones del Paraguay 11 - 380"/>
    <n v="118"/>
    <n v="99"/>
    <n v="1.5"/>
    <n v="177"/>
    <m/>
    <m/>
    <m/>
    <s v="material parado revendido-Nva razón social Prince + Flete"/>
    <x v="2"/>
    <m/>
  </r>
  <r>
    <s v="010.26"/>
    <x v="25"/>
    <s v="Paraguay"/>
    <n v="2096"/>
    <d v="2026-02-13T00:00:00"/>
    <d v="2026-03-01T00:00:00"/>
    <n v="2620001"/>
    <x v="227"/>
    <x v="67"/>
    <s v="Tela Colchones del Paraguay 12 - 160"/>
    <n v="113"/>
    <n v="40"/>
    <n v="1.5"/>
    <n v="169.5"/>
    <m/>
    <m/>
    <m/>
    <s v="material parado revendido-Nva razón social Prince + Flete"/>
    <x v="2"/>
    <m/>
  </r>
  <r>
    <s v="011.26"/>
    <x v="12"/>
    <s v="Chile"/>
    <n v="1372"/>
    <d v="2026-02-24T00:00:00"/>
    <d v="2026-03-01T00:00:00"/>
    <n v="2860011"/>
    <x v="228"/>
    <x v="68"/>
    <s v="2860011 TP ML DOLPHIN ME 430G 2,20L DIVERSAS U A09646"/>
    <n v="1000"/>
    <n v="946"/>
    <n v="6.49"/>
    <n v="6490"/>
    <m/>
    <m/>
    <m/>
    <s v=" pdn parada-Hilo recibido23/4"/>
    <x v="2"/>
    <s v="Ok - hilollegó 23/04 /  Parado.FALTA DO FIO 221/84 MESCLA ESCURO   - saldo em sistema 101"/>
  </r>
  <r>
    <s v="011.26"/>
    <x v="12"/>
    <s v="Chile"/>
    <n v="1372"/>
    <d v="2026-02-24T00:00:00"/>
    <d v="2026-03-01T00:00:00"/>
    <n v="2860003"/>
    <x v="229"/>
    <x v="68"/>
    <s v="2860003-TP ME DEGRADE 420G 2,20L DIVERSAS U (SERENE)"/>
    <n v="1000"/>
    <n v="924"/>
    <n v="6.76"/>
    <n v="6760"/>
    <m/>
    <m/>
    <m/>
    <s v="OK- basado en mejoras del flujo de crédito"/>
    <x v="2"/>
    <s v="ok coleta"/>
  </r>
  <r>
    <s v="011.26"/>
    <x v="12"/>
    <s v="Chile"/>
    <n v="1372"/>
    <d v="2026-02-24T00:00:00"/>
    <d v="2026-03-01T00:00:00"/>
    <n v="2860004"/>
    <x v="230"/>
    <x v="68"/>
    <s v="2860004-ME TP RETAS DEGRADE 450G 2,20L (PERFECT SLEEPER)"/>
    <n v="1000"/>
    <n v="990"/>
    <n v="4.3"/>
    <n v="4300"/>
    <m/>
    <m/>
    <m/>
    <s v="OK- basado en mejoras del flujo de crédito"/>
    <x v="2"/>
    <s v="ok coleta"/>
  </r>
  <r>
    <s v="011.26"/>
    <x v="12"/>
    <s v="Chile"/>
    <n v="1372"/>
    <d v="2026-02-24T00:00:00"/>
    <d v="2026-03-01T00:00:00"/>
    <n v="2860013"/>
    <x v="231"/>
    <x v="68"/>
    <s v="TP ML A09687 350G 2,20L DIVERSAS U (SUNSET)"/>
    <n v="500"/>
    <n v="385"/>
    <n v="4.75"/>
    <n v="2375"/>
    <m/>
    <m/>
    <m/>
    <m/>
    <x v="2"/>
    <s v="ok coleta"/>
  </r>
  <r>
    <s v="012.26"/>
    <x v="18"/>
    <s v="Bolivia"/>
    <n v="1897"/>
    <d v="2026-02-25T00:00:00"/>
    <d v="2026-03-01T00:00:00"/>
    <s v="PFO (4454)"/>
    <x v="150"/>
    <x v="69"/>
    <s v="CAFÉ PUFF ONDAS DV U"/>
    <n v="5000"/>
    <n v="1980"/>
    <n v="1.3"/>
    <n v="6500"/>
    <m/>
    <m/>
    <m/>
    <s v="nva proforma material revenda"/>
    <x v="2"/>
    <d v="2026-04-06T00:00:00"/>
  </r>
  <r>
    <s v="013.26"/>
    <x v="5"/>
    <s v="Chile"/>
    <n v="448"/>
    <d v="2026-03-03T00:00:00"/>
    <d v="2026-03-01T00:00:00"/>
    <s v="1136968 - 2810014"/>
    <x v="218"/>
    <x v="70"/>
    <s v="TELA BLACK V.2 - 320 2,20 100% PES NEGRO Y BLANCO"/>
    <n v="800"/>
    <n v="563"/>
    <n v="3.94"/>
    <n v="3152"/>
    <m/>
    <m/>
    <m/>
    <s v="proforma nova 3/3  ok"/>
    <x v="2"/>
    <s v="maq51 - 31/03"/>
  </r>
  <r>
    <s v="013.26"/>
    <x v="5"/>
    <s v="Chile"/>
    <n v="448"/>
    <d v="2026-03-03T00:00:00"/>
    <d v="2026-03-01T00:00:00"/>
    <s v="1122580 - 2810009"/>
    <x v="38"/>
    <x v="70"/>
    <s v="TELA T GRIS THERAPEUTIC GRIS PL  2,2M/180GR/A08996"/>
    <n v="1200"/>
    <n v="475"/>
    <n v="2.25"/>
    <n v="2700"/>
    <m/>
    <m/>
    <m/>
    <s v="proforma nova 3/3  ok"/>
    <x v="2"/>
    <s v="maq 41  - 25/03 "/>
  </r>
  <r>
    <s v="013.26"/>
    <x v="5"/>
    <s v="Chile"/>
    <n v="448"/>
    <d v="2026-03-03T00:00:00"/>
    <d v="2026-03-01T00:00:00"/>
    <s v="1121110 - 2810005"/>
    <x v="49"/>
    <x v="70"/>
    <s v="TP FOLHA 240G 2,20L (1121110) DIVERSAS U"/>
    <n v="700"/>
    <n v="400"/>
    <n v="2.83"/>
    <n v="1981"/>
    <m/>
    <m/>
    <m/>
    <s v="proforma nova 3/3  ok"/>
    <x v="2"/>
    <s v="maq 48  - 27/03"/>
  </r>
  <r>
    <s v="013.26"/>
    <x v="5"/>
    <s v="Chile"/>
    <n v="448"/>
    <d v="2026-03-03T00:00:00"/>
    <d v="2026-03-01T00:00:00"/>
    <s v="1129159 - 2810011"/>
    <x v="159"/>
    <x v="70"/>
    <s v="TELA T NATURAL BAMBOO PARADISE  2,2M/370GR/122034"/>
    <n v="500"/>
    <n v="326"/>
    <n v="4.8499999999999996"/>
    <n v="2425"/>
    <m/>
    <m/>
    <m/>
    <s v="proforma nova 3/3  ok"/>
    <x v="2"/>
    <s v="maq 53 - 025/03"/>
  </r>
  <r>
    <s v="014.26"/>
    <x v="11"/>
    <s v="Paraguay"/>
    <n v="620"/>
    <d v="2026-03-06T00:00:00"/>
    <d v="2026-03-01T00:00:00"/>
    <s v="A9858"/>
    <x v="45"/>
    <x v="71"/>
    <s v="TELA SUPERKIDS ROSA"/>
    <n v="600"/>
    <n v="1320"/>
    <n v="2.2000000000000002"/>
    <n v="1320"/>
    <m/>
    <m/>
    <m/>
    <s v="proforma -ok 06/03"/>
    <x v="2"/>
    <s v="pdn 1903 (616+104+89)"/>
  </r>
  <r>
    <s v="014.26"/>
    <x v="11"/>
    <s v="Paraguay"/>
    <n v="620"/>
    <d v="2026-03-06T00:00:00"/>
    <d v="2026-03-01T00:00:00"/>
    <n v="2114"/>
    <x v="232"/>
    <x v="71"/>
    <s v="TELA IMPULSE GRAY"/>
    <n v="400"/>
    <n v="1192"/>
    <n v="2.87"/>
    <n v="1148"/>
    <m/>
    <m/>
    <m/>
    <s v="proforma -ok 06/03"/>
    <x v="2"/>
    <s v="26/3 ?"/>
  </r>
  <r>
    <s v="014.26"/>
    <x v="11"/>
    <s v="Paraguay"/>
    <n v="620"/>
    <d v="2026-03-06T00:00:00"/>
    <d v="2026-03-01T00:00:00"/>
    <n v="7094"/>
    <x v="233"/>
    <x v="71"/>
    <s v="TELA IMPERIAL GRAY"/>
    <n v="400"/>
    <n v="235"/>
    <n v="3.06"/>
    <n v="1224"/>
    <m/>
    <m/>
    <m/>
    <m/>
    <x v="2"/>
    <n v="46108"/>
  </r>
  <r>
    <s v="014.26"/>
    <x v="11"/>
    <s v="Paraguay"/>
    <n v="620"/>
    <d v="2026-03-06T00:00:00"/>
    <d v="2026-03-01T00:00:00"/>
    <s v="A09970"/>
    <x v="42"/>
    <x v="71"/>
    <s v="TELA SUPERSPUMA DOTS AZUL"/>
    <n v="1000"/>
    <n v="1440"/>
    <n v="1.44"/>
    <n v="1440"/>
    <m/>
    <m/>
    <m/>
    <m/>
    <x v="2"/>
    <s v="maq 25  - 28/03 - 31/03"/>
  </r>
  <r>
    <s v="014.26"/>
    <x v="11"/>
    <s v="Paraguay"/>
    <n v="620"/>
    <d v="2026-03-06T00:00:00"/>
    <d v="2026-03-01T00:00:00"/>
    <s v="A09971"/>
    <x v="43"/>
    <x v="71"/>
    <s v="TELA SUPERSPUMA DOTS BORDÓ"/>
    <n v="800"/>
    <n v="1823.9999999999998"/>
    <n v="2.2799999999999998"/>
    <n v="1823.9999999999998"/>
    <m/>
    <m/>
    <m/>
    <m/>
    <x v="2"/>
    <d v="2026-03-24T00:00:00"/>
  </r>
  <r>
    <s v="014.26"/>
    <x v="11"/>
    <s v="Paraguay"/>
    <n v="620"/>
    <d v="2026-03-06T00:00:00"/>
    <d v="2026-03-01T00:00:00"/>
    <s v="A09969"/>
    <x v="44"/>
    <x v="71"/>
    <s v="TELA SUPERSPUMA DOTS NEGRA"/>
    <n v="900"/>
    <n v="1233"/>
    <n v="1.37"/>
    <n v="1233"/>
    <m/>
    <m/>
    <m/>
    <m/>
    <x v="2"/>
    <m/>
  </r>
  <r>
    <s v="015.26"/>
    <x v="26"/>
    <s v="Argentina"/>
    <n v="1690"/>
    <d v="2026-03-10T00:00:00"/>
    <d v="2026-04-01T00:00:00"/>
    <s v="A10169"/>
    <x v="234"/>
    <x v="72"/>
    <s v="TELA TAPA CALM  (TL86257)"/>
    <n v="17000"/>
    <n v="8568"/>
    <n v="2"/>
    <n v="34000"/>
    <m/>
    <m/>
    <m/>
    <m/>
    <x v="2"/>
    <s v="maq 50/47 (8476m) 15/04 -12654 Expedição (74%)     572m malha  +69 acaba    (op668)           |   maq 47 (8524m)- 13/04---80 acaba/377 mts retrabalho - Atraso | 2000 a mais"/>
  </r>
  <r>
    <s v="015.26"/>
    <x v="26"/>
    <s v="Argentina"/>
    <n v="1690"/>
    <d v="2026-03-10T00:00:00"/>
    <d v="2026-04-01T00:00:00"/>
    <s v="A10108"/>
    <x v="235"/>
    <x v="72"/>
    <s v="TELATRIANGULO GRIS OSCURO BED002 (A10108)"/>
    <n v="8000"/>
    <n v="3520"/>
    <n v="1.77"/>
    <n v="14160"/>
    <m/>
    <m/>
    <m/>
    <m/>
    <x v="2"/>
    <s v="maq 03 -  8.112mts (Start 1903)  - 07/04- OP finalizada, material em retrabalho, acabamento, malharia"/>
  </r>
  <r>
    <s v="015.26 C"/>
    <x v="26"/>
    <s v="Argentina"/>
    <n v="1690"/>
    <d v="2026-04-15T00:00:00"/>
    <d v="2026-04-01T00:00:00"/>
    <s v="A10169"/>
    <x v="234"/>
    <x v="73"/>
    <s v="TELA TAPA CALM  (TL86257)"/>
    <n v="2000"/>
    <m/>
    <n v="2"/>
    <n v="4000"/>
    <m/>
    <m/>
    <m/>
    <s v="Item produzido a + / será incluido no transporte - invoice separada-complementar"/>
    <x v="2"/>
    <s v="2000 mts excedentes que intentarán colocar em el mismo camión"/>
  </r>
  <r>
    <s v="017.26"/>
    <x v="14"/>
    <s v="Uruguay"/>
    <n v="1034"/>
    <d v="2026-03-13T00:00:00"/>
    <d v="2026-04-01T00:00:00"/>
    <s v="0149003"/>
    <x v="192"/>
    <x v="74"/>
    <s v="180 2,10 100% PES PL NEGRO BOLITAS BLANCAS (id 6488)"/>
    <n v="3500"/>
    <n v="1323"/>
    <n v="1.7"/>
    <n v="5950"/>
    <m/>
    <m/>
    <m/>
    <m/>
    <x v="2"/>
    <s v="maq 02 -R -10 peças reprova potemcial 23/04"/>
  </r>
  <r>
    <s v="017.26"/>
    <x v="14"/>
    <s v="Uruguay"/>
    <n v="1034"/>
    <d v="2026-03-13T00:00:00"/>
    <d v="2026-04-01T00:00:00"/>
    <s v="0071013"/>
    <x v="191"/>
    <x v="74"/>
    <s v="180 2,10 100% PES PL NEGRO &amp;  BLANCO (Id 6491)"/>
    <n v="1500"/>
    <n v="567"/>
    <n v="1.7"/>
    <n v="2550"/>
    <m/>
    <m/>
    <m/>
    <m/>
    <x v="2"/>
    <s v="maq 25 - 1500m  - Expedicão"/>
  </r>
  <r>
    <s v="018.26"/>
    <x v="5"/>
    <s v="Chile"/>
    <n v="448"/>
    <d v="2026-03-18T00:00:00"/>
    <d v="2026-04-01T00:00:00"/>
    <n v="1136968"/>
    <x v="218"/>
    <x v="75"/>
    <s v="TELA BLACK V.2 - 320 2,20 100% PES NEGRO Y BLANCO"/>
    <n v="500"/>
    <n v="352"/>
    <n v="3.94"/>
    <n v="1970"/>
    <m/>
    <m/>
    <m/>
    <s v="proforma 18/03 - Entrega em maio"/>
    <x v="3"/>
    <m/>
  </r>
  <r>
    <s v="018.26"/>
    <x v="5"/>
    <s v="Chile"/>
    <n v="448"/>
    <d v="2026-03-18T00:00:00"/>
    <d v="2026-04-01T00:00:00"/>
    <n v="1122580"/>
    <x v="38"/>
    <x v="75"/>
    <s v="TELA T GRIS THERAPEUTIC GRIS PL  2,2M/180GR/A08996"/>
    <n v="2000"/>
    <n v="792"/>
    <n v="2.25"/>
    <n v="4500"/>
    <m/>
    <m/>
    <m/>
    <s v="proforma 18/03 - Entrega em maio"/>
    <x v="3"/>
    <m/>
  </r>
  <r>
    <s v="018.26"/>
    <x v="5"/>
    <s v="Chile"/>
    <n v="448"/>
    <d v="2026-03-18T00:00:00"/>
    <d v="2026-04-01T00:00:00"/>
    <n v="1121110"/>
    <x v="49"/>
    <x v="75"/>
    <s v="TP FOLHA 240G 2,20L (1121110) DIVERSAS U"/>
    <n v="600"/>
    <n v="317"/>
    <n v="2.83"/>
    <n v="1698"/>
    <m/>
    <m/>
    <m/>
    <s v="proforma 18/03 - Entrega em maio"/>
    <x v="3"/>
    <m/>
  </r>
  <r>
    <s v="019.26"/>
    <x v="5"/>
    <s v="Chile"/>
    <n v="448"/>
    <d v="2026-03-18T00:00:00"/>
    <d v="2026-06-01T00:00:00"/>
    <n v="1136968"/>
    <x v="218"/>
    <x v="76"/>
    <s v="TELA BLACK V.2 - 320 2,20 100% PES NEGRO Y BLANCO"/>
    <n v="500"/>
    <n v="352"/>
    <n v="4.4800000000000004"/>
    <n v="2240"/>
    <m/>
    <m/>
    <m/>
    <s v="Pedido 9772 CXLD x ajuste precios/ proforma 18/03 - Entrega em junho/"/>
    <x v="3"/>
    <s v="maq 52"/>
  </r>
  <r>
    <s v="019.26"/>
    <x v="5"/>
    <s v="Chile"/>
    <n v="448"/>
    <d v="2026-03-18T00:00:00"/>
    <d v="2026-06-01T00:00:00"/>
    <n v="1122580"/>
    <x v="38"/>
    <x v="76"/>
    <s v="TELA T GRIS THERAPEUTIC GRIS PL  2,2M/180GR/A08996"/>
    <n v="2500"/>
    <n v="990"/>
    <n v="2.56"/>
    <n v="6400"/>
    <m/>
    <m/>
    <m/>
    <s v="Pedido 9772 CXLD x ajuste precios/ proforma 18/03 - Entrega em junho/"/>
    <x v="4"/>
    <s v="maq 41"/>
  </r>
  <r>
    <s v="019.26"/>
    <x v="5"/>
    <s v="Chile"/>
    <n v="448"/>
    <d v="2026-03-18T00:00:00"/>
    <d v="2026-06-01T00:00:00"/>
    <n v="1129159"/>
    <x v="159"/>
    <x v="76"/>
    <s v="TELA T NATURAL BAMBOO PARADISE  2,2M/370GR/122034"/>
    <n v="500"/>
    <n v="407"/>
    <n v="5.52"/>
    <n v="2760"/>
    <m/>
    <m/>
    <m/>
    <s v="Pedido 9772 CXLD x ajuste precios/ proforma 18/03 - Entrega em junho/"/>
    <x v="3"/>
    <s v="maq 52"/>
  </r>
  <r>
    <s v="020.26"/>
    <x v="27"/>
    <s v="Argentina"/>
    <n v="1832"/>
    <d v="2026-03-19T00:00:00"/>
    <d v="2026-04-01T00:00:00"/>
    <s v="Brighton A09687&gt;A10420"/>
    <x v="236"/>
    <x v="77"/>
    <s v="ESTRUCTURA PREMIUM 360GSM  BLANCO Y BEIGE"/>
    <n v="2000"/>
    <n v="1584"/>
    <n v="4.68"/>
    <n v="9360"/>
    <m/>
    <m/>
    <m/>
    <s v="ok cliente - agrd cod prod totvs/OK"/>
    <x v="2"/>
    <s v="maq 51 - 1971 mts"/>
  </r>
  <r>
    <s v="020.26"/>
    <x v="27"/>
    <s v="Argentina"/>
    <n v="1832"/>
    <d v="2026-03-19T00:00:00"/>
    <d v="2026-04-01T00:00:00"/>
    <s v="120 Gold 0558004"/>
    <x v="237"/>
    <x v="77"/>
    <s v="ESTRUCTURA PREMIUM 400GSM  BEIGE"/>
    <n v="2000"/>
    <n v="1760"/>
    <n v="6.8"/>
    <n v="13600"/>
    <m/>
    <m/>
    <m/>
    <s v="ok cliente - agrd cod prod totvs/OK"/>
    <x v="2"/>
    <s v="maq 53? - 1636 mts"/>
  </r>
  <r>
    <s v="020.26"/>
    <x v="27"/>
    <s v="Argentina"/>
    <n v="1832"/>
    <d v="2026-03-19T00:00:00"/>
    <d v="2026-04-01T00:00:00"/>
    <s v="Kingsbury 0555004"/>
    <x v="238"/>
    <x v="77"/>
    <s v="ESTRUCTURA PREMIUM  280GSM BEIGE Y NEGRO"/>
    <n v="2000"/>
    <n v="1232"/>
    <n v="3.22"/>
    <n v="6440"/>
    <m/>
    <m/>
    <m/>
    <s v="ok cliente - agrd cod prod totvs/OK"/>
    <x v="2"/>
    <s v="maq 51 - 1423mts"/>
  </r>
  <r>
    <s v="020.26"/>
    <x v="27"/>
    <s v="Argentina"/>
    <n v="1832"/>
    <d v="2026-03-19T00:00:00"/>
    <d v="2026-04-01T00:00:00"/>
    <s v="Kensignton 0403034"/>
    <x v="239"/>
    <x v="77"/>
    <s v="ESTRUCTURA PREMIUM 240GSM BLANCO Y LINO"/>
    <n v="2000"/>
    <n v="1056"/>
    <n v="3.34"/>
    <n v="6680"/>
    <m/>
    <m/>
    <m/>
    <s v="ok cliente - agrd cod prod totvs/OK"/>
    <x v="2"/>
    <s v="maq 53 _- 2227mts"/>
  </r>
  <r>
    <s v="020.26"/>
    <x v="27"/>
    <s v="Argentina"/>
    <n v="1832"/>
    <d v="2026-03-19T00:00:00"/>
    <d v="2026-04-01T00:00:00"/>
    <s v="Bradford 0552001"/>
    <x v="240"/>
    <x v="77"/>
    <s v="ESTRUCTURA CM 280GSM ARENA Y NEGRO"/>
    <n v="3200"/>
    <n v="1971.2"/>
    <n v="3.05"/>
    <n v="9760"/>
    <m/>
    <m/>
    <m/>
    <s v="ok cliente - agrd cod prod totvs/OK"/>
    <x v="2"/>
    <s v="maq 51 - 13-21/04  "/>
  </r>
  <r>
    <s v="020.26"/>
    <x v="27"/>
    <s v="Argentina"/>
    <n v="1832"/>
    <d v="2026-03-19T00:00:00"/>
    <d v="2026-04-01T00:00:00"/>
    <s v="Cabecera L1  A10418"/>
    <x v="241"/>
    <x v="77"/>
    <s v="ESTRUCTURA PL  180GSM BLANCO Y PERLA"/>
    <n v="5000"/>
    <n v="1890"/>
    <n v="1.78"/>
    <n v="8900"/>
    <m/>
    <m/>
    <m/>
    <s v="ok cliente - agrd cod prod totvs/OK"/>
    <x v="2"/>
    <s v="maq 41    07/04-  17/04   3.500mts"/>
  </r>
  <r>
    <s v="020.26"/>
    <x v="27"/>
    <s v="Argentina"/>
    <n v="1832"/>
    <d v="2026-03-19T00:00:00"/>
    <d v="2026-04-01T00:00:00"/>
    <s v="Cabecera L2 0566001"/>
    <x v="242"/>
    <x v="77"/>
    <s v="ESTRUCTURA CM 220GSM GRIS PERLA"/>
    <n v="8000"/>
    <n v="3872"/>
    <n v="2.15"/>
    <n v="17200"/>
    <m/>
    <m/>
    <m/>
    <s v="ok cliente - agrd cod prod totvs/OK"/>
    <x v="2"/>
    <s v="maq 44 -  ate 17/04  "/>
  </r>
  <r>
    <s v="023.26"/>
    <x v="15"/>
    <s v="Ecuador"/>
    <n v="996"/>
    <d v="2026-03-20T00:00:00"/>
    <d v="2026-04-01T00:00:00"/>
    <s v="(74126) A10016"/>
    <x v="157"/>
    <x v="78"/>
    <s v="5 ESTRELLAS POR ELLAS-TP 0304002 280G 2,20L"/>
    <n v="800"/>
    <n v="493"/>
    <n v="2.33"/>
    <n v="1864"/>
    <m/>
    <m/>
    <m/>
    <m/>
    <x v="3"/>
    <d v="2026-05-04T00:00:00"/>
  </r>
  <r>
    <s v="023.26"/>
    <x v="15"/>
    <s v="Ecuador"/>
    <n v="996"/>
    <d v="2026-03-20T00:00:00"/>
    <d v="2026-04-01T00:00:00"/>
    <s v="(80079) A10016-A &gt; A10230"/>
    <x v="158"/>
    <x v="78"/>
    <s v="BANDA 5 ESTRELLAS POR ELLAS-TP A10230 220G 2,20L"/>
    <n v="500"/>
    <n v="242"/>
    <n v="2.02"/>
    <n v="1010"/>
    <m/>
    <m/>
    <m/>
    <m/>
    <x v="3"/>
    <d v="2026-05-04T00:00:00"/>
  </r>
  <r>
    <s v="023.26"/>
    <x v="15"/>
    <s v="Ecuador"/>
    <n v="996"/>
    <d v="2026-03-20T00:00:00"/>
    <d v="2026-04-01T00:00:00"/>
    <s v="(89923) 122054"/>
    <x v="243"/>
    <x v="78"/>
    <s v="3260015 TP 0122054 300G 2,20  (3578) - TP HOJA BAMBOO "/>
    <n v="500"/>
    <n v="330"/>
    <n v="3"/>
    <n v="1500"/>
    <m/>
    <m/>
    <m/>
    <m/>
    <x v="3"/>
    <d v="2026-05-04T00:00:00"/>
  </r>
  <r>
    <s v="023.26"/>
    <x v="15"/>
    <s v="Ecuador"/>
    <n v="996"/>
    <d v="2026-03-20T00:00:00"/>
    <d v="2026-04-01T00:00:00"/>
    <s v="(89931) 3260014"/>
    <x v="244"/>
    <x v="78"/>
    <s v="PARAISO BAMBOO ORIGENES 240 2,20"/>
    <n v="1200"/>
    <n v="633.6"/>
    <n v="2.4"/>
    <n v="2880"/>
    <m/>
    <m/>
    <m/>
    <m/>
    <x v="3"/>
    <d v="2026-05-04T00:00:00"/>
  </r>
  <r>
    <s v="023.26"/>
    <x v="15"/>
    <s v="Ecuador"/>
    <n v="996"/>
    <d v="2026-03-20T00:00:00"/>
    <d v="2026-04-01T00:00:00"/>
    <s v="(74502) A09741"/>
    <x v="245"/>
    <x v="78"/>
    <s v="5 ESTRELLAS AZUL (A09741) 200 2,20"/>
    <n v="500"/>
    <n v="403"/>
    <n v="2.1800000000000002"/>
    <n v="1090"/>
    <m/>
    <m/>
    <m/>
    <m/>
    <x v="3"/>
    <d v="2026-04-23T00:00:00"/>
  </r>
  <r>
    <s v="021.26"/>
    <x v="14"/>
    <s v="Uruguay"/>
    <n v="1034"/>
    <d v="2026-03-19T00:00:00"/>
    <d v="2026-04-01T00:00:00"/>
    <n v="3030056"/>
    <x v="246"/>
    <x v="79"/>
    <s v="COLOR ARENA CM 3030056"/>
    <n v="1000"/>
    <n v="396"/>
    <n v="2.06"/>
    <n v="2060"/>
    <m/>
    <m/>
    <m/>
    <m/>
    <x v="2"/>
    <s v="maq 50  - 1405mts Expedic"/>
  </r>
  <r>
    <s v="021.26"/>
    <x v="14"/>
    <s v="Uruguay"/>
    <n v="1034"/>
    <d v="2026-03-19T00:00:00"/>
    <d v="2026-04-01T00:00:00"/>
    <n v="3030033"/>
    <x v="247"/>
    <x v="79"/>
    <s v="BLANCO Y NEGRO CF 30033"/>
    <n v="1200"/>
    <n v="475.2"/>
    <n v="1.44"/>
    <n v="1728"/>
    <m/>
    <m/>
    <m/>
    <m/>
    <x v="2"/>
    <s v="maq 02 - 18-28/04 - 500 mts Exped"/>
  </r>
  <r>
    <s v="021.26"/>
    <x v="14"/>
    <s v="Uruguay"/>
    <n v="1034"/>
    <d v="2026-03-19T00:00:00"/>
    <d v="2026-04-01T00:00:00"/>
    <n v="3030024"/>
    <x v="248"/>
    <x v="79"/>
    <s v="MODELO GRIS OSCURO CF 95002"/>
    <n v="500"/>
    <n v="200"/>
    <n v="2.13"/>
    <n v="1065"/>
    <m/>
    <m/>
    <m/>
    <m/>
    <x v="2"/>
    <s v="maq 40 -  657 mts"/>
  </r>
  <r>
    <s v="021.26"/>
    <x v="14"/>
    <s v="Uruguay"/>
    <n v="1034"/>
    <d v="2026-03-19T00:00:00"/>
    <d v="2026-04-01T00:00:00"/>
    <n v="3030040"/>
    <x v="249"/>
    <x v="79"/>
    <s v="BANDA NEGRA - MODELO PLANO "/>
    <n v="500"/>
    <n v="180"/>
    <n v="1.6"/>
    <n v="800"/>
    <m/>
    <m/>
    <m/>
    <m/>
    <x v="2"/>
    <s v="maq 16 -   524 mts"/>
  </r>
  <r>
    <s v="021.26"/>
    <x v="14"/>
    <s v="Uruguay"/>
    <n v="1034"/>
    <d v="2026-03-19T00:00:00"/>
    <d v="2026-04-01T00:00:00"/>
    <n v="3030048"/>
    <x v="250"/>
    <x v="79"/>
    <s v="BLANCO Y BEIGE 30048"/>
    <n v="500"/>
    <n v="210"/>
    <n v="2.2799999999999998"/>
    <n v="1140"/>
    <m/>
    <m/>
    <m/>
    <m/>
    <x v="2"/>
    <s v="maq 06 - 20/04  499mts"/>
  </r>
  <r>
    <s v="021.26"/>
    <x v="14"/>
    <s v="Uruguay"/>
    <n v="1034"/>
    <d v="2026-03-19T00:00:00"/>
    <d v="2026-04-01T00:00:00"/>
    <n v="3030013"/>
    <x v="251"/>
    <x v="79"/>
    <s v="BLUE JASMIN A09270  - 3030013"/>
    <n v="1000"/>
    <n v="440"/>
    <n v="1.7"/>
    <n v="1700"/>
    <m/>
    <m/>
    <m/>
    <m/>
    <x v="2"/>
    <s v="maq 40 - 10-13/04  -1043mts"/>
  </r>
  <r>
    <s v="021.26"/>
    <x v="14"/>
    <s v="Uruguay"/>
    <n v="1034"/>
    <d v="2026-03-19T00:00:00"/>
    <d v="2026-04-01T00:00:00"/>
    <n v="3030026"/>
    <x v="252"/>
    <x v="79"/>
    <s v="BLANCO Y NEGRO CM 16055"/>
    <n v="500"/>
    <n v="170"/>
    <n v="1.81"/>
    <n v="905"/>
    <m/>
    <m/>
    <m/>
    <m/>
    <x v="2"/>
    <s v="maq 46  - 14-20/04 -  531 mts"/>
  </r>
  <r>
    <s v="021.26"/>
    <x v="14"/>
    <s v="Uruguay"/>
    <n v="1034"/>
    <d v="2026-03-19T00:00:00"/>
    <d v="2026-04-01T00:00:00"/>
    <n v="3030044"/>
    <x v="253"/>
    <x v="79"/>
    <s v="MARFIL Y BLANCO 3030044"/>
    <n v="800"/>
    <n v="268.8"/>
    <n v="2.2000000000000002"/>
    <n v="1760.0000000000002"/>
    <m/>
    <m/>
    <m/>
    <m/>
    <x v="2"/>
    <s v="maq 02 - 16-20/04  - 568Mts"/>
  </r>
  <r>
    <s v="021.26"/>
    <x v="14"/>
    <s v="Uruguay"/>
    <n v="1034"/>
    <d v="2026-03-19T00:00:00"/>
    <d v="2026-04-01T00:00:00"/>
    <n v="3030039"/>
    <x v="254"/>
    <x v="79"/>
    <s v="BLANCO Y MARRON 3030039"/>
    <n v="500"/>
    <n v="168"/>
    <n v="2.2000000000000002"/>
    <n v="1100"/>
    <m/>
    <m/>
    <m/>
    <m/>
    <x v="2"/>
    <s v="maq 23 - 13-21/04 - 497 mts"/>
  </r>
  <r>
    <s v="021.26"/>
    <x v="14"/>
    <s v="Uruguay"/>
    <n v="1034"/>
    <d v="2026-03-19T00:00:00"/>
    <d v="2026-04-01T00:00:00"/>
    <n v="3030060"/>
    <x v="196"/>
    <x v="79"/>
    <s v="TP M A09956 BANDA CAQUI 3030060"/>
    <n v="600"/>
    <n v="226.8"/>
    <n v="1.5"/>
    <n v="900"/>
    <m/>
    <m/>
    <m/>
    <m/>
    <x v="2"/>
    <s v="maq 09 - 06-14/04   - 554mts"/>
  </r>
  <r>
    <s v="016.26 Rv2"/>
    <x v="8"/>
    <s v="Argentina"/>
    <n v="1575"/>
    <d v="2026-04-06T00:00:00"/>
    <d v="2026-04-01T00:00:00"/>
    <s v="0010181/   3520003"/>
    <x v="255"/>
    <x v="80"/>
    <s v="TELA CASEROS MODELO ABSTRACTO 180G 2,20"/>
    <n v="2000"/>
    <n v="792"/>
    <n v="1.77"/>
    <n v="3540"/>
    <m/>
    <m/>
    <m/>
    <s v="OK 07/04"/>
    <x v="3"/>
    <d v="2026-05-15T00:00:00"/>
  </r>
  <r>
    <s v="016.26 Rv2"/>
    <x v="8"/>
    <s v="Argentina"/>
    <n v="1575"/>
    <d v="2026-04-06T00:00:00"/>
    <d v="2026-04-01T00:00:00"/>
    <s v="0074161/   3520001"/>
    <x v="256"/>
    <x v="80"/>
    <s v="TELA CASEROS MODELO DOTS 180G 2,20"/>
    <n v="1000"/>
    <n v="396"/>
    <n v="1.77"/>
    <n v="1770"/>
    <m/>
    <m/>
    <m/>
    <s v="OK 07/04"/>
    <x v="3"/>
    <s v="Atraso - 15/5- acabamento "/>
  </r>
  <r>
    <s v="016.26 Rv2"/>
    <x v="8"/>
    <s v="Argentina"/>
    <n v="1575"/>
    <d v="2026-04-06T00:00:00"/>
    <d v="2026-04-01T00:00:00"/>
    <s v="0514044)/   3520006"/>
    <x v="257"/>
    <x v="80"/>
    <s v="TELA CARA NEGRA AMARRE BLANCO, RELLENO NEGRO 220 2,20"/>
    <n v="1000"/>
    <n v="484"/>
    <n v="2.63"/>
    <n v="2630"/>
    <m/>
    <m/>
    <m/>
    <s v="OK 07/04"/>
    <x v="3"/>
    <d v="2026-05-15T00:00:00"/>
  </r>
  <r>
    <s v="016.26 Rv2"/>
    <x v="8"/>
    <s v="Argentina"/>
    <n v="1575"/>
    <d v="2026-04-06T00:00:00"/>
    <d v="2026-04-01T00:00:00"/>
    <s v="0454034/   3520005"/>
    <x v="258"/>
    <x v="80"/>
    <s v="TELA ARENA, GRIS, BLANCO-BIODRESS S/LOGO 280 2,20"/>
    <n v="1000"/>
    <n v="616"/>
    <n v="3.89"/>
    <n v="3890"/>
    <m/>
    <m/>
    <m/>
    <s v="OK 07/04"/>
    <x v="3"/>
    <d v="2026-05-15T00:00:00"/>
  </r>
  <r>
    <s v="016.26 Rv2"/>
    <x v="8"/>
    <s v="Argentina"/>
    <n v="1575"/>
    <d v="2026-04-06T00:00:00"/>
    <d v="2026-04-01T00:00:00"/>
    <s v="0092193/   3520004"/>
    <x v="259"/>
    <x v="80"/>
    <s v="3520004   -TP ML 0092193 160Gr 2,10 L"/>
    <n v="2000"/>
    <n v="336"/>
    <n v="1.77"/>
    <n v="3540"/>
    <m/>
    <m/>
    <m/>
    <s v="OK 07/04"/>
    <x v="3"/>
    <d v="2026-05-15T00:00:00"/>
  </r>
  <r>
    <s v="022.26 Rev2"/>
    <x v="13"/>
    <s v="Bolivia"/>
    <n v="534"/>
    <d v="2026-03-25T00:00:00"/>
    <d v="2026-04-01T00:00:00"/>
    <n v="2940090"/>
    <x v="260"/>
    <x v="81"/>
    <s v="2940090 TP ML 0148081 180G 2,20L - 7175"/>
    <n v="500"/>
    <n v="198"/>
    <n v="1.96"/>
    <n v="980"/>
    <m/>
    <m/>
    <m/>
    <s v="100% PES CARA MEZCLA, AMARRE NEGRO"/>
    <x v="2"/>
    <d v="2026-04-29T00:00:00"/>
  </r>
  <r>
    <s v="022.26 Rev2"/>
    <x v="13"/>
    <s v="Bolivia"/>
    <n v="534"/>
    <d v="2026-03-25T00:00:00"/>
    <d v="2026-04-01T00:00:00"/>
    <n v="2940089"/>
    <x v="261"/>
    <x v="81"/>
    <s v="2940089 TP ML 0149111 180G 2,20L - 7176"/>
    <n v="500"/>
    <n v="198"/>
    <n v="1.92"/>
    <n v="960"/>
    <m/>
    <m/>
    <m/>
    <s v="100% PES CARA MEZCLA, AMARRE BLANCO Y NEGRO"/>
    <x v="2"/>
    <d v="2026-04-29T00:00:00"/>
  </r>
  <r>
    <s v="022.26 Rev2"/>
    <x v="13"/>
    <s v="Bolivia"/>
    <n v="534"/>
    <d v="2026-03-25T00:00:00"/>
    <d v="2026-04-01T00:00:00"/>
    <n v="2940088"/>
    <x v="262"/>
    <x v="81"/>
    <s v="2940088 TP ML 0157001 180G 2,20L - 7177"/>
    <n v="500"/>
    <n v="198"/>
    <n v="1.91"/>
    <n v="955"/>
    <m/>
    <m/>
    <m/>
    <s v="100% PES GRIS"/>
    <x v="2"/>
    <d v="2026-04-29T00:00:00"/>
  </r>
  <r>
    <s v="022.26 Rev2"/>
    <x v="13"/>
    <s v="Bolivia"/>
    <n v="534"/>
    <d v="2026-03-25T00:00:00"/>
    <d v="2026-04-01T00:00:00"/>
    <n v="2940087"/>
    <x v="263"/>
    <x v="81"/>
    <s v="2940087 TP ML 0239031 180G 2,20L - 7178"/>
    <n v="500"/>
    <n v="198"/>
    <n v="1.91"/>
    <n v="955"/>
    <m/>
    <m/>
    <m/>
    <s v="100% PES BLANCO"/>
    <x v="2"/>
    <d v="2026-04-29T00:00:00"/>
  </r>
  <r>
    <s v="022.26 Rev2"/>
    <x v="13"/>
    <s v="Bolivia"/>
    <n v="534"/>
    <d v="2026-03-25T00:00:00"/>
    <d v="2026-04-01T00:00:00"/>
    <n v="2940086"/>
    <x v="264"/>
    <x v="81"/>
    <s v="2940086 TP ML 0240031 180G 2,20L - 7179"/>
    <n v="500"/>
    <n v="198"/>
    <n v="1.95"/>
    <n v="975"/>
    <m/>
    <m/>
    <m/>
    <s v="100% PESNEGRO Y RIS"/>
    <x v="2"/>
    <d v="2026-04-29T00:00:00"/>
  </r>
  <r>
    <s v="022.26 Rev2"/>
    <x v="13"/>
    <s v="Bolivia"/>
    <n v="534"/>
    <d v="2026-03-25T00:00:00"/>
    <d v="2026-04-01T00:00:00"/>
    <n v="2940091"/>
    <x v="265"/>
    <x v="81"/>
    <s v="2940091 TP ML 0246001 180G 2,20L - 7231"/>
    <n v="500"/>
    <n v="198"/>
    <n v="1.92"/>
    <n v="960"/>
    <m/>
    <m/>
    <m/>
    <s v="100% PES BLANCO Y GRIS"/>
    <x v="2"/>
    <d v="2026-04-29T00:00:00"/>
  </r>
  <r>
    <s v="022.26 Rev2"/>
    <x v="13"/>
    <s v="Bolivia"/>
    <n v="534"/>
    <d v="2026-03-25T00:00:00"/>
    <d v="2026-04-01T00:00:00"/>
    <n v="2940085"/>
    <x v="266"/>
    <x v="81"/>
    <s v="2940085 TP ML 0251021 180G 2,20L - 7181"/>
    <n v="500"/>
    <n v="198"/>
    <n v="2.0099999999999998"/>
    <n v="1004.9999999999999"/>
    <m/>
    <m/>
    <m/>
    <s v="100% PES AZUL MARINO"/>
    <x v="2"/>
    <d v="2026-04-29T00:00:00"/>
  </r>
  <r>
    <s v="022.26 Rev2"/>
    <x v="13"/>
    <s v="Bolivia"/>
    <n v="534"/>
    <d v="2026-03-25T00:00:00"/>
    <d v="2026-04-01T00:00:00"/>
    <n v="2940082"/>
    <x v="267"/>
    <x v="81"/>
    <s v="2940082 TP ML 0260011 180G 2,20L - 7182"/>
    <n v="500"/>
    <n v="198"/>
    <n v="2.04"/>
    <n v="1020"/>
    <m/>
    <m/>
    <m/>
    <s v="100% PES CARA AZUL MARINO AMARRE NEGRO"/>
    <x v="2"/>
    <d v="2026-04-29T00:00:00"/>
  </r>
  <r>
    <s v="022.26 Rev2"/>
    <x v="13"/>
    <s v="Bolivia"/>
    <n v="534"/>
    <d v="2026-03-25T00:00:00"/>
    <d v="2026-04-01T00:00:00"/>
    <n v="2940081"/>
    <x v="268"/>
    <x v="81"/>
    <s v="2940081 TP ML 0262031 180G 2,20L - 7183"/>
    <n v="500"/>
    <n v="198"/>
    <n v="1.92"/>
    <n v="960"/>
    <m/>
    <m/>
    <m/>
    <s v="100% PES GRIS"/>
    <x v="2"/>
    <d v="2026-04-29T00:00:00"/>
  </r>
  <r>
    <s v="022.26 Rev2"/>
    <x v="13"/>
    <s v="Bolivia"/>
    <n v="534"/>
    <d v="2026-03-25T00:00:00"/>
    <d v="2026-04-01T00:00:00"/>
    <n v="2940080"/>
    <x v="269"/>
    <x v="81"/>
    <s v="2940080 TP ML 0264011 180G 2,20L - 7184"/>
    <n v="500"/>
    <n v="198"/>
    <n v="1.92"/>
    <n v="960"/>
    <m/>
    <m/>
    <m/>
    <s v="100% PES CARA MEZCLA AMARRE NEGRO"/>
    <x v="2"/>
    <d v="2026-04-29T00:00:00"/>
  </r>
  <r>
    <s v="022.26 Rev2"/>
    <x v="13"/>
    <s v="Bolivia"/>
    <n v="534"/>
    <d v="2026-03-25T00:00:00"/>
    <d v="2026-04-01T00:00:00"/>
    <n v="2940079"/>
    <x v="270"/>
    <x v="81"/>
    <s v="2940079 TP ML 0269021 180G 2,20L - 7185"/>
    <n v="500"/>
    <n v="198"/>
    <n v="1.88"/>
    <n v="940"/>
    <m/>
    <m/>
    <m/>
    <s v="100% PES CARA MEZCLA AMARRE BLANCO"/>
    <x v="2"/>
    <d v="2026-04-29T00:00:00"/>
  </r>
  <r>
    <s v="022.26 Rev2"/>
    <x v="13"/>
    <s v="Bolivia"/>
    <n v="534"/>
    <d v="2026-03-25T00:00:00"/>
    <d v="2026-04-01T00:00:00"/>
    <n v="2940078"/>
    <x v="271"/>
    <x v="81"/>
    <s v="2940078 TP ML 0269021 180G 2,20L - 7186"/>
    <n v="500"/>
    <n v="198"/>
    <n v="2.0099999999999998"/>
    <n v="1004.9999999999999"/>
    <m/>
    <m/>
    <m/>
    <s v="100% PES AZUL MARINO"/>
    <x v="2"/>
    <s v="29/04/2026 - maq 46"/>
  </r>
  <r>
    <s v="022.26 Rev2"/>
    <x v="13"/>
    <s v="Bolivia"/>
    <n v="534"/>
    <d v="2026-03-25T00:00:00"/>
    <d v="2026-04-01T00:00:00"/>
    <n v="2940084"/>
    <x v="272"/>
    <x v="81"/>
    <s v="2940084 TP ML 0399041 180G 2,20L - 7230"/>
    <n v="500"/>
    <n v="198"/>
    <n v="1.92"/>
    <n v="960"/>
    <m/>
    <m/>
    <m/>
    <s v="100% PES BLANCO Y GRIS"/>
    <x v="2"/>
    <d v="2026-04-29T00:00:00"/>
  </r>
  <r>
    <s v="022.26 Rev2"/>
    <x v="13"/>
    <s v="Bolivia"/>
    <n v="534"/>
    <d v="2026-03-25T00:00:00"/>
    <d v="2026-04-01T00:00:00"/>
    <n v="2940076"/>
    <x v="273"/>
    <x v="81"/>
    <s v="2940076 TP ML 0416091 180G 2,20L - 7189"/>
    <n v="500"/>
    <n v="198"/>
    <n v="1.92"/>
    <n v="960"/>
    <m/>
    <m/>
    <m/>
    <s v="100% PES BLANCO"/>
    <x v="2"/>
    <d v="2026-04-29T00:00:00"/>
  </r>
  <r>
    <s v="022.26 Rev2"/>
    <x v="13"/>
    <s v="Bolivia"/>
    <n v="534"/>
    <d v="2026-03-25T00:00:00"/>
    <d v="2026-04-01T00:00:00"/>
    <n v="2940075"/>
    <x v="274"/>
    <x v="81"/>
    <s v="2940075 TP ML 0418041 180G 2,20L - 7190 "/>
    <n v="500"/>
    <n v="198"/>
    <n v="1.91"/>
    <n v="955"/>
    <m/>
    <m/>
    <m/>
    <s v="100% PES BLANCO"/>
    <x v="2"/>
    <d v="2026-04-29T00:00:00"/>
  </r>
  <r>
    <s v="022.26 Rev2"/>
    <x v="13"/>
    <s v="Bolivia"/>
    <n v="534"/>
    <d v="2026-03-25T00:00:00"/>
    <d v="2026-04-01T00:00:00"/>
    <n v="2940074"/>
    <x v="275"/>
    <x v="81"/>
    <s v="2940074 TP ML 0434001 180G 2,20L - 7191"/>
    <n v="500"/>
    <n v="198"/>
    <n v="1.88"/>
    <n v="940"/>
    <m/>
    <m/>
    <m/>
    <s v="100% PES MEZCLA Y BLANCO"/>
    <x v="2"/>
    <d v="2026-04-29T00:00:00"/>
  </r>
  <r>
    <s v="022.26 Rev2"/>
    <x v="13"/>
    <s v="Bolivia"/>
    <n v="534"/>
    <d v="2026-03-25T00:00:00"/>
    <d v="2026-04-01T00:00:00"/>
    <n v="2940083"/>
    <x v="276"/>
    <x v="81"/>
    <s v="2940083 TP ML 0446031 180G 2,20L - 7229"/>
    <n v="500"/>
    <n v="198"/>
    <n v="1.92"/>
    <n v="960"/>
    <m/>
    <m/>
    <m/>
    <s v="100% PES BLANCO Y GRIS"/>
    <x v="2"/>
    <d v="2026-04-29T00:00:00"/>
  </r>
  <r>
    <s v="022.26 Rev2"/>
    <x v="13"/>
    <s v="Bolivia"/>
    <n v="534"/>
    <d v="2026-03-25T00:00:00"/>
    <d v="2026-04-01T00:00:00"/>
    <n v="2940073"/>
    <x v="277"/>
    <x v="81"/>
    <s v="2940073 TP ML 0486001 180G 2,20L - 7228"/>
    <n v="500"/>
    <n v="198"/>
    <n v="1.92"/>
    <n v="960"/>
    <m/>
    <m/>
    <m/>
    <s v="100% PES BLANCO Y GRIS"/>
    <x v="2"/>
    <d v="2026-04-29T00:00:00"/>
  </r>
  <r>
    <s v="022.26 Rev2"/>
    <x v="13"/>
    <s v="Bolivia"/>
    <n v="534"/>
    <d v="2026-03-25T00:00:00"/>
    <d v="2026-04-01T00:00:00"/>
    <n v="2940072"/>
    <x v="278"/>
    <x v="81"/>
    <s v="2940072 TP ML 0488001 180G 2,20L - 7194"/>
    <n v="500"/>
    <n v="198"/>
    <n v="1.95"/>
    <n v="975"/>
    <m/>
    <m/>
    <m/>
    <s v="100% PES CARA GRIS AMARRE NEGRO"/>
    <x v="2"/>
    <d v="2026-04-29T00:00:00"/>
  </r>
  <r>
    <s v="022.26 Rev2"/>
    <x v="13"/>
    <s v="Bolivia"/>
    <n v="534"/>
    <d v="2026-03-25T00:00:00"/>
    <d v="2026-04-01T00:00:00"/>
    <n v="2940071"/>
    <x v="279"/>
    <x v="81"/>
    <s v="2940071 TP ML 0513001 180G 2,20L - 7195"/>
    <n v="500"/>
    <n v="198"/>
    <n v="1.94"/>
    <n v="970"/>
    <m/>
    <m/>
    <m/>
    <s v="100% PES ARENA"/>
    <x v="2"/>
    <d v="2026-04-29T00:00:00"/>
  </r>
  <r>
    <s v="022.26 Rev2"/>
    <x v="13"/>
    <s v="Bolivia"/>
    <n v="534"/>
    <d v="2026-03-25T00:00:00"/>
    <d v="2026-04-01T00:00:00"/>
    <n v="2940070"/>
    <x v="280"/>
    <x v="81"/>
    <s v="2940070 TP ML 0514001 180G 2,20L - 7196"/>
    <n v="500"/>
    <n v="198"/>
    <n v="1.93"/>
    <n v="965"/>
    <m/>
    <m/>
    <m/>
    <s v="100% PES CARA GRIS AMARRE BLANCO"/>
    <x v="2"/>
    <d v="2026-04-29T00:00:00"/>
  </r>
  <r>
    <s v="022.26 Rev2"/>
    <x v="13"/>
    <s v="Bolivia"/>
    <n v="534"/>
    <d v="2026-03-25T00:00:00"/>
    <d v="2026-04-01T00:00:00"/>
    <n v="2940069"/>
    <x v="281"/>
    <x v="81"/>
    <s v="2940069 TP ML 0515011 180G 2,20L  - 7227"/>
    <n v="500"/>
    <n v="198"/>
    <n v="1.92"/>
    <n v="960"/>
    <m/>
    <m/>
    <m/>
    <s v="100% PES BLANCO Y GRIS"/>
    <x v="2"/>
    <d v="2026-04-29T00:00:00"/>
  </r>
  <r>
    <s v="022.26 Rev2"/>
    <x v="13"/>
    <s v="Bolivia"/>
    <n v="534"/>
    <d v="2026-03-25T00:00:00"/>
    <d v="2026-04-01T00:00:00"/>
    <n v="2940068"/>
    <x v="282"/>
    <x v="81"/>
    <s v="2940068 TP ML 0521051 180G 2,20L - 7198"/>
    <n v="500"/>
    <n v="198"/>
    <n v="1.93"/>
    <n v="965"/>
    <m/>
    <m/>
    <m/>
    <s v="100% PES GRIS"/>
    <x v="2"/>
    <d v="2026-04-29T00:00:00"/>
  </r>
  <r>
    <s v="022.26 Rev2"/>
    <x v="13"/>
    <s v="Bolivia"/>
    <n v="534"/>
    <d v="2026-03-25T00:00:00"/>
    <d v="2026-04-01T00:00:00"/>
    <n v="2940077"/>
    <x v="283"/>
    <x v="81"/>
    <s v="2940077 TP ML 0302041 180G 2,20L - 7188"/>
    <n v="500"/>
    <n v="198"/>
    <n v="1.92"/>
    <n v="960"/>
    <m/>
    <m/>
    <m/>
    <s v="100% PES CARA ARENA AMARRE BLANCO"/>
    <x v="2"/>
    <d v="2026-04-29T00:00:00"/>
  </r>
  <r>
    <s v="024.26"/>
    <x v="28"/>
    <s v="Argentina"/>
    <n v="2138"/>
    <d v="2026-03-31T00:00:00"/>
    <d v="2026-04-01T00:00:00"/>
    <s v="TF7218&gt;A10466&gt;3630003"/>
    <x v="284"/>
    <x v="82"/>
    <s v="400 2,30 PES/PE CM BLANCO - COOLING"/>
    <n v="1500"/>
    <n v="1380"/>
    <n v="7.6"/>
    <n v="11400"/>
    <m/>
    <m/>
    <m/>
    <s v="3D com CR"/>
    <x v="3"/>
    <s v="maq 52 - 305 pending Acabamento"/>
  </r>
  <r>
    <s v="024.26"/>
    <x v="28"/>
    <s v="Argentina"/>
    <n v="2138"/>
    <d v="2026-03-31T00:00:00"/>
    <d v="2026-04-01T00:00:00"/>
    <s v="TF7220&gt;A10467&gt;3630002"/>
    <x v="285"/>
    <x v="82"/>
    <s v="180 2,20 100% PES CM BLANCO BRILLANTE"/>
    <n v="1500"/>
    <n v="594"/>
    <n v="2.14"/>
    <n v="3210"/>
    <m/>
    <m/>
    <m/>
    <s v="3D com CR"/>
    <x v="3"/>
    <s v="05/05/2026 - 9 peças sem etiqueta"/>
  </r>
  <r>
    <s v="024.26"/>
    <x v="28"/>
    <s v="Argentina"/>
    <n v="2138"/>
    <d v="2026-03-31T00:00:00"/>
    <d v="2026-04-01T00:00:00"/>
    <s v="TF7223&gt;A03174&gt;3630001"/>
    <x v="286"/>
    <x v="82"/>
    <s v="200 2,20 100% PES CM BLANCO"/>
    <n v="1500"/>
    <n v="660"/>
    <n v="2.31"/>
    <n v="3465"/>
    <m/>
    <m/>
    <m/>
    <s v="3D com CR"/>
    <x v="3"/>
    <s v="1106 mts em exped"/>
  </r>
  <r>
    <s v="025.26"/>
    <x v="18"/>
    <s v="Bolivia"/>
    <n v="1897"/>
    <d v="2026-04-29T00:00:00"/>
    <d v="2026-05-01T00:00:00"/>
    <s v="(id7409) A10053&gt; 3370011"/>
    <x v="287"/>
    <x v="83"/>
    <s v="3370011 TP ML A10053 180G 2,10L  PL GRIS PERLA"/>
    <n v="2500"/>
    <n v="945"/>
    <n v="1.96"/>
    <n v="4900"/>
    <m/>
    <m/>
    <m/>
    <m/>
    <x v="5"/>
    <d v="2026-06-03T00:00:00"/>
  </r>
  <r>
    <s v="025.26"/>
    <x v="18"/>
    <s v="Bolivia"/>
    <n v="1897"/>
    <d v="2026-04-29T00:00:00"/>
    <d v="2026-05-01T00:00:00"/>
    <s v="0536016 &gt; 3370012"/>
    <x v="288"/>
    <x v="83"/>
    <s v="TELA GRIS PERLA 180G 2,10 100% PES  PL"/>
    <n v="1000"/>
    <n v="378"/>
    <n v="1.82"/>
    <n v="1820"/>
    <m/>
    <m/>
    <m/>
    <m/>
    <x v="3"/>
    <d v="2026-05-16T00:00:00"/>
  </r>
  <r>
    <s v="025.26"/>
    <x v="18"/>
    <s v="Bolivia"/>
    <n v="1897"/>
    <d v="2026-04-29T00:00:00"/>
    <d v="2026-05-01T00:00:00"/>
    <n v="3370005"/>
    <x v="152"/>
    <x v="83"/>
    <s v="Favo Blanco / 3370005 TP ML BOL 180G 2,20L DIVERSAS U"/>
    <n v="1500"/>
    <n v="594"/>
    <n v="1.98"/>
    <n v="2970"/>
    <m/>
    <m/>
    <m/>
    <m/>
    <x v="3"/>
    <d v="2026-07-15T00:00:00"/>
  </r>
  <r>
    <s v="026.26"/>
    <x v="29"/>
    <s v="Venezuela"/>
    <n v="2171"/>
    <d v="2026-05-13T00:00:00"/>
    <d v="2026-08-01T00:00:00"/>
    <s v="7461/ 0269121"/>
    <x v="289"/>
    <x v="84"/>
    <s v="220G 2,20 100% PES CM BLANCO Y PERLA"/>
    <n v="4000"/>
    <n v="1936"/>
    <n v="2.0099999999999998"/>
    <n v="8039.9999999999991"/>
    <m/>
    <m/>
    <m/>
    <m/>
    <x v="1"/>
    <d v="2026-07-15T00:00:00"/>
  </r>
  <r>
    <s v="026.26"/>
    <x v="29"/>
    <s v="Venezuela"/>
    <n v="2171"/>
    <d v="2026-05-13T00:00:00"/>
    <d v="2026-08-01T00:00:00"/>
    <s v="7452/ 0066041"/>
    <x v="290"/>
    <x v="84"/>
    <s v="220G 2,20 100% PES CM BLANCO Y AZUL"/>
    <n v="5000"/>
    <n v="2420"/>
    <n v="2.0099999999999998"/>
    <n v="10049.999999999998"/>
    <m/>
    <m/>
    <m/>
    <m/>
    <x v="1"/>
    <d v="2026-07-15T00:00:00"/>
  </r>
  <r>
    <s v="026.26"/>
    <x v="29"/>
    <s v="Venezuela"/>
    <n v="2171"/>
    <d v="2026-05-13T00:00:00"/>
    <d v="2026-08-01T00:00:00"/>
    <s v="7453 / A10496"/>
    <x v="291"/>
    <x v="84"/>
    <s v=""/>
    <m/>
    <n v="2268"/>
    <n v="1.65"/>
    <n v="0"/>
    <m/>
    <m/>
    <m/>
    <s v="Banda eliminada 01/07/2026"/>
    <x v="1"/>
    <d v="2026-07-15T00:00:00"/>
  </r>
  <r>
    <s v="026.26"/>
    <x v="29"/>
    <s v="Venezuela"/>
    <n v="2171"/>
    <d v="2026-05-13T00:00:00"/>
    <d v="2026-08-01T00:00:00"/>
    <s v="7417 / A10497&gt; A10519"/>
    <x v="292"/>
    <x v="84"/>
    <s v="280G 2,20 100% PES CM AZUL MARINO (DARK)"/>
    <n v="3000"/>
    <n v="1848"/>
    <n v="3.92"/>
    <n v="11760"/>
    <m/>
    <m/>
    <m/>
    <s v="Item alterado (3000mts) por divergencia de diseño, color y estructura/versión final sin morado"/>
    <x v="5"/>
    <d v="2026-07-31T00:00:00"/>
  </r>
  <r>
    <s v="027.26"/>
    <x v="23"/>
    <s v="Uruguay"/>
    <n v="2049"/>
    <d v="2026-05-14T00:00:00"/>
    <d v="2026-06-01T00:00:00"/>
    <s v="LA003 &gt;A10402"/>
    <x v="216"/>
    <x v="85"/>
    <s v="200 2,10 100% PES CM NEGRO Fire-Retardant s/ Logo  "/>
    <n v="2000"/>
    <n v="840"/>
    <n v="4.9800000000000004"/>
    <n v="9960"/>
    <m/>
    <m/>
    <m/>
    <s v="Combinado de manter preço"/>
    <x v="6"/>
    <d v="2026-06-15T00:00:00"/>
  </r>
  <r>
    <s v="028.26"/>
    <x v="4"/>
    <s v="Uruguay"/>
    <n v="316"/>
    <d v="2026-05-15T00:00:00"/>
    <d v="2026-06-01T00:00:00"/>
    <n v="32282"/>
    <x v="79"/>
    <x v="86"/>
    <s v="TELA ANTIDESLIZANTE CONEXÃO (MATERIAL REVENDA)"/>
    <n v="8000"/>
    <n v="2592"/>
    <n v="1.75"/>
    <n v="14000"/>
    <m/>
    <m/>
    <m/>
    <s v="material de revenda -"/>
    <x v="7"/>
    <d v="2026-06-24T00:00:00"/>
  </r>
  <r>
    <s v="030.26"/>
    <x v="30"/>
    <s v="Cuba"/>
    <n v="1164"/>
    <d v="2026-05-21T00:00:00"/>
    <d v="2026-05-01T00:00:00"/>
    <s v="CL2 DV"/>
    <x v="293"/>
    <x v="87"/>
    <s v="Lot Closeout - 2nd quality - 44.000 m &gt; CUBA  **separar /coord coleta"/>
    <n v="44000"/>
    <n v="14256"/>
    <n v="1.54"/>
    <n v="67760"/>
    <m/>
    <m/>
    <m/>
    <s v="Lot Closeout 40K mts ($72.000,40) pay to Jingmei"/>
    <x v="8"/>
    <d v="2026-06-22T00:00:00"/>
  </r>
  <r>
    <s v="031.26"/>
    <x v="4"/>
    <s v="Uruguay"/>
    <n v="316"/>
    <d v="2026-05-25T00:00:00"/>
    <d v="2026-06-01T00:00:00"/>
    <n v="2540037"/>
    <x v="294"/>
    <x v="88"/>
    <s v="CAMBIO / Tela Cool Touch A09792 &gt;A10518 460G 2,20L"/>
    <n v="1000"/>
    <n v="858"/>
    <n v="7.91"/>
    <n v="7910"/>
    <m/>
    <m/>
    <m/>
    <s v="Item alterado / Actualizar precio/ OK"/>
    <x v="1"/>
    <s v="22/6 malha"/>
  </r>
  <r>
    <s v="032.26"/>
    <x v="12"/>
    <s v="Chile"/>
    <n v="1372"/>
    <d v="2026-06-09T00:00:00"/>
    <d v="2026-06-01T00:00:00"/>
    <s v="BR Platinum A09686"/>
    <x v="295"/>
    <x v="89"/>
    <s v="2860014 TP ML A09686 370G DIV U"/>
    <n v="500"/>
    <n v="407"/>
    <n v="7.1"/>
    <n v="3550"/>
    <m/>
    <m/>
    <m/>
    <m/>
    <x v="3"/>
    <d v="2026-07-10T00:00:00"/>
  </r>
  <r>
    <s v="032.26"/>
    <x v="12"/>
    <s v="Chile"/>
    <n v="1372"/>
    <d v="2026-06-09T00:00:00"/>
    <d v="2026-06-01T00:00:00"/>
    <s v="BR Harmony A09647"/>
    <x v="200"/>
    <x v="89"/>
    <s v="2860012 TP ML HARMONY ME A09647 440G DIV U"/>
    <n v="500"/>
    <n v="484"/>
    <n v="7.43"/>
    <n v="3715"/>
    <m/>
    <m/>
    <m/>
    <m/>
    <x v="3"/>
    <d v="2026-07-10T00:00:00"/>
  </r>
  <r>
    <s v="032.26"/>
    <x v="12"/>
    <s v="Chile"/>
    <n v="1372"/>
    <d v="2026-06-09T00:00:00"/>
    <d v="2026-06-01T00:00:00"/>
    <s v="Serta Advant. Dual"/>
    <x v="164"/>
    <x v="89"/>
    <s v="2860006 TP 260 2,10  100% PES PL CINZA GRIS"/>
    <n v="1500"/>
    <n v="1134"/>
    <n v="5.2"/>
    <n v="7800"/>
    <m/>
    <m/>
    <m/>
    <m/>
    <x v="3"/>
    <d v="2026-07-01T00:00:00"/>
  </r>
  <r>
    <s v="034.26"/>
    <x v="27"/>
    <s v="Argentina"/>
    <n v="1832"/>
    <d v="2026-06-11T00:00:00"/>
    <d v="2026-06-01T00:00:00"/>
    <s v="Brighton A09687/A10420&gt;A10512"/>
    <x v="296"/>
    <x v="90"/>
    <s v="CAMBIO / ESTRUCTURA PREMIUM 400GSM 2,20 BLANCO Y BEIGE (RELLENONEGRO)"/>
    <n v="600"/>
    <n v="475.2"/>
    <n v="4.68"/>
    <n v="2808"/>
    <m/>
    <m/>
    <m/>
    <s v="Reposição de qualidade/defeito"/>
    <x v="3"/>
    <d v="2026-06-19T00:00:00"/>
  </r>
  <r>
    <s v="035.26"/>
    <x v="5"/>
    <s v="Chile"/>
    <n v="448"/>
    <d v="2026-06-11T00:00:00"/>
    <d v="2026-07-01T00:00:00"/>
    <s v="1122580 / A08996"/>
    <x v="38"/>
    <x v="91"/>
    <s v="TELA T GRIS THERAPEUTIC GRIS PL  2,2M/180GR/A08996"/>
    <n v="1000"/>
    <n v="396"/>
    <n v="2.56"/>
    <n v="2560"/>
    <m/>
    <m/>
    <m/>
    <m/>
    <x v="3"/>
    <d v="2026-07-20T00:00:00"/>
  </r>
  <r>
    <s v="035.26"/>
    <x v="5"/>
    <s v="Chile"/>
    <n v="448"/>
    <d v="2026-06-11T00:00:00"/>
    <d v="2026-07-01T00:00:00"/>
    <s v="1129159 / 2810011"/>
    <x v="159"/>
    <x v="91"/>
    <s v="TELA T NATURAL BAMBOO PARADISE  2,2M/370GR/122034"/>
    <n v="500"/>
    <n v="407"/>
    <n v="5.52"/>
    <n v="2760"/>
    <m/>
    <m/>
    <m/>
    <m/>
    <x v="3"/>
    <d v="2026-07-20T00:00:00"/>
  </r>
  <r>
    <s v="036.26"/>
    <x v="11"/>
    <s v="Paraguay"/>
    <n v="620"/>
    <d v="2026-06-12T00:00:00"/>
    <d v="2026-07-01T00:00:00"/>
    <n v="7094"/>
    <x v="297"/>
    <x v="92"/>
    <s v="TELA IMPERIAL GRAY"/>
    <n v="500"/>
    <n v="189"/>
    <n v="3.01"/>
    <n v="1505"/>
    <m/>
    <m/>
    <m/>
    <s v="ajuste preços 16/06"/>
    <x v="3"/>
    <s v="jul"/>
  </r>
  <r>
    <s v="036.26"/>
    <x v="11"/>
    <s v="Paraguay"/>
    <n v="620"/>
    <d v="2026-06-12T00:00:00"/>
    <d v="2026-07-01T00:00:00"/>
    <s v="A09970"/>
    <x v="298"/>
    <x v="92"/>
    <s v="TELA SUPERSPUMA DOTS AZUL"/>
    <n v="700"/>
    <n v="264.60000000000002"/>
    <n v="1.56"/>
    <n v="1092"/>
    <m/>
    <m/>
    <m/>
    <s v="ajuste preços 16/06"/>
    <x v="3"/>
    <s v="jul"/>
  </r>
  <r>
    <s v="036.26"/>
    <x v="11"/>
    <s v="Paraguay"/>
    <n v="620"/>
    <d v="2026-06-12T00:00:00"/>
    <d v="2026-07-01T00:00:00"/>
    <s v="A09971"/>
    <x v="299"/>
    <x v="92"/>
    <s v="TELA SUPERSPUMA DOTS BORDÓ"/>
    <n v="550"/>
    <n v="207.9"/>
    <n v="2.58"/>
    <n v="1419"/>
    <m/>
    <m/>
    <m/>
    <s v="ajuste preços 16/06"/>
    <x v="3"/>
    <s v="jul"/>
  </r>
  <r>
    <s v="036.26"/>
    <x v="11"/>
    <s v="Paraguay"/>
    <n v="620"/>
    <d v="2026-06-12T00:00:00"/>
    <d v="2026-07-01T00:00:00"/>
    <s v="A09969"/>
    <x v="300"/>
    <x v="92"/>
    <s v="TELA SUPERSPUMA DOTS NEGRA"/>
    <n v="1900"/>
    <n v="718.2"/>
    <n v="1.5"/>
    <n v="2850"/>
    <m/>
    <m/>
    <m/>
    <s v="ajuste preços 16/06"/>
    <x v="3"/>
    <s v="jul"/>
  </r>
  <r>
    <s v="037.26"/>
    <x v="27"/>
    <s v="Argentina"/>
    <n v="1832"/>
    <d v="2026-06-23T00:00:00"/>
    <d v="2026-07-01T00:00:00"/>
    <s v="Brighton /A10512"/>
    <x v="301"/>
    <x v="93"/>
    <s v="ESTRUCTURA PREMIUM 400GSM 2,20 BLANCO Y BEIGE (RELLENONEGRO)"/>
    <n v="600"/>
    <n v="528"/>
    <n v="5.89"/>
    <n v="3534"/>
    <m/>
    <m/>
    <m/>
    <s v="pedido nuevo - Ok"/>
    <x v="3"/>
    <d v="2026-07-21T00:00:00"/>
  </r>
  <r>
    <s v="038.26"/>
    <x v="5"/>
    <s v="Chile"/>
    <n v="448"/>
    <d v="2026-06-24T00:00:00"/>
    <d v="2026-07-01T00:00:00"/>
    <n v="1136968"/>
    <x v="218"/>
    <x v="94"/>
    <s v="TELA BLACK V.2 - 320 2,20 100% PES NEGRO Y BLANCO"/>
    <n v="1000"/>
    <n v="704"/>
    <n v="4.4800000000000004"/>
    <n v="4480"/>
    <m/>
    <m/>
    <m/>
    <s v="ok"/>
    <x v="3"/>
    <d v="2026-07-31T00:00:00"/>
  </r>
  <r>
    <s v="033.26"/>
    <x v="31"/>
    <s v="Paraguay"/>
    <n v="1081"/>
    <d v="2026-06-24T00:00:00"/>
    <d v="2026-07-01T00:00:00"/>
    <s v="0284001"/>
    <x v="302"/>
    <x v="95"/>
    <s v="380 2,20 69% PES 31% PE CM ARCTIC BREEZE S/LOGO"/>
    <n v="500"/>
    <n v="418"/>
    <n v="7.34"/>
    <n v="3670"/>
    <m/>
    <m/>
    <m/>
    <s v="incluye frete"/>
    <x v="4"/>
    <d v="2026-07-31T00:00:00"/>
  </r>
  <r>
    <s v="033.26"/>
    <x v="31"/>
    <s v="Paraguay"/>
    <n v="1081"/>
    <d v="2026-06-24T00:00:00"/>
    <d v="2026-07-01T00:00:00"/>
    <s v="0274005"/>
    <x v="303"/>
    <x v="95"/>
    <s v="280 2,20 100% PES XN"/>
    <n v="500"/>
    <n v="308"/>
    <n v="3.25"/>
    <n v="1625"/>
    <m/>
    <m/>
    <m/>
    <s v="incluye frete"/>
    <x v="3"/>
    <d v="2026-07-31T00:00:00"/>
  </r>
  <r>
    <s v="033.26"/>
    <x v="31"/>
    <s v="Paraguay"/>
    <n v="1081"/>
    <d v="2026-06-24T00:00:00"/>
    <d v="2026-07-01T00:00:00"/>
    <s v="0271001"/>
    <x v="304"/>
    <x v="95"/>
    <s v="360 2,20 87% PES 13% CO CM"/>
    <n v="500"/>
    <n v="396"/>
    <n v="4.75"/>
    <n v="2375"/>
    <m/>
    <m/>
    <m/>
    <s v="incluye frete"/>
    <x v="4"/>
    <d v="2026-07-31T00:00:00"/>
  </r>
  <r>
    <s v="033.26"/>
    <x v="31"/>
    <s v="Paraguay"/>
    <n v="1081"/>
    <d v="2026-06-24T00:00:00"/>
    <d v="2026-07-01T00:00:00"/>
    <s v="0146004"/>
    <x v="305"/>
    <x v="95"/>
    <s v="340 2,20 100% PES XP BEIGE"/>
    <n v="500"/>
    <n v="374"/>
    <n v="3.01"/>
    <n v="1505"/>
    <m/>
    <m/>
    <m/>
    <s v="incluye frete"/>
    <x v="3"/>
    <d v="2026-07-31T00:00:00"/>
  </r>
  <r>
    <s v="033.26"/>
    <x v="31"/>
    <s v="Paraguay"/>
    <n v="1081"/>
    <d v="2026-06-24T00:00:00"/>
    <d v="2026-07-01T00:00:00"/>
    <s v="0276005"/>
    <x v="306"/>
    <x v="95"/>
    <s v="280 2,20 100% PES XN"/>
    <n v="500"/>
    <n v="308"/>
    <n v="3.07"/>
    <n v="1535"/>
    <m/>
    <m/>
    <m/>
    <s v="incluye frete"/>
    <x v="3"/>
    <d v="2026-07-31T00:00:00"/>
  </r>
  <r>
    <s v="033.26"/>
    <x v="31"/>
    <s v="Paraguay"/>
    <n v="1081"/>
    <d v="2026-06-24T00:00:00"/>
    <d v="2026-07-01T00:00:00"/>
    <s v="A10524"/>
    <x v="307"/>
    <x v="95"/>
    <s v="180 2,10 100% PES CM NEGRO BANDA"/>
    <n v="500"/>
    <n v="189"/>
    <n v="1.53"/>
    <n v="765"/>
    <m/>
    <m/>
    <m/>
    <s v="incluye frete"/>
    <x v="3"/>
    <d v="2026-07-31T00:00:00"/>
  </r>
  <r>
    <s v="033.26"/>
    <x v="31"/>
    <s v="Paraguay"/>
    <n v="1081"/>
    <d v="2026-06-24T00:00:00"/>
    <d v="2026-07-01T00:00:00"/>
    <s v="A10523"/>
    <x v="308"/>
    <x v="95"/>
    <s v="180 2,10 100% PES CM BEIGE BANDA"/>
    <n v="500"/>
    <n v="189"/>
    <n v="1.53"/>
    <n v="765"/>
    <m/>
    <m/>
    <m/>
    <s v="incluye frete"/>
    <x v="3"/>
    <d v="2026-07-31T00:00:00"/>
  </r>
  <r>
    <s v="033.26"/>
    <x v="31"/>
    <s v="Paraguay"/>
    <n v="1081"/>
    <d v="2026-06-24T00:00:00"/>
    <d v="2026-07-01T00:00:00"/>
    <s v="A10522"/>
    <x v="309"/>
    <x v="95"/>
    <s v="180 2,10 100% PES CM GRIS CLARO BANDA"/>
    <n v="500"/>
    <n v="189"/>
    <n v="1.53"/>
    <n v="765"/>
    <m/>
    <m/>
    <m/>
    <s v="incluye frete"/>
    <x v="3"/>
    <d v="2026-07-31T00:00:00"/>
  </r>
  <r>
    <s v="039.26"/>
    <x v="18"/>
    <s v="Bolivia"/>
    <n v="1897"/>
    <d v="2026-06-24T00:00:00"/>
    <d v="2026-07-01T00:00:00"/>
    <s v="0074011  &gt; 0074211"/>
    <x v="310"/>
    <x v="96"/>
    <s v="180G 2,20 100% PES CM NEGRO Y BLANCO"/>
    <n v="1000"/>
    <n v="396"/>
    <n v="1.71"/>
    <n v="1710"/>
    <m/>
    <m/>
    <m/>
    <m/>
    <x v="3"/>
    <s v="jul"/>
  </r>
  <r>
    <s v="039.26"/>
    <x v="18"/>
    <s v="Bolivia"/>
    <n v="1897"/>
    <d v="2026-06-24T00:00:00"/>
    <d v="2026-07-01T00:00:00"/>
    <s v="0062013 &gt; 0062053"/>
    <x v="311"/>
    <x v="96"/>
    <s v="200G 2,10 PL GRIS TELA LOGO SUEÑA"/>
    <n v="1500"/>
    <n v="630"/>
    <n v="1.94"/>
    <n v="2910"/>
    <m/>
    <m/>
    <m/>
    <m/>
    <x v="3"/>
    <s v="jul"/>
  </r>
  <r>
    <s v="026.26 C"/>
    <x v="29"/>
    <s v="Venezuela"/>
    <n v="2171"/>
    <d v="2026-07-01T00:00:00"/>
    <d v="2026-07-01T00:00:00"/>
    <s v="0269121"/>
    <x v="289"/>
    <x v="97"/>
    <s v="220G 100% PES CM BLANCO Y PERLA"/>
    <n v="2000"/>
    <n v="919.6"/>
    <n v="2.0099999999999998"/>
    <n v="4019.9999999999995"/>
    <m/>
    <m/>
    <m/>
    <s v="pedido complementario - 6K cada/ elimina banda"/>
    <x v="4"/>
    <s v="jul"/>
  </r>
  <r>
    <s v="026.26 C"/>
    <x v="29"/>
    <s v="Venezuela"/>
    <n v="2171"/>
    <d v="2026-07-01T00:00:00"/>
    <d v="2026-07-01T00:00:00"/>
    <s v="0066041"/>
    <x v="290"/>
    <x v="97"/>
    <s v="220G 100% PES CM BLANCO Y AZUL"/>
    <n v="1000"/>
    <n v="290.39999999999998"/>
    <n v="2.0099999999999998"/>
    <n v="2009.9999999999998"/>
    <m/>
    <m/>
    <m/>
    <s v="pedido complementario - 6K cada/ elimina banda"/>
    <x v="3"/>
    <s v="jul"/>
  </r>
  <r>
    <s v="026.26 C"/>
    <x v="29"/>
    <s v="Venezuela"/>
    <n v="2171"/>
    <d v="2026-07-01T00:00:00"/>
    <d v="2026-07-01T00:00:00"/>
    <s v="A10519"/>
    <x v="292"/>
    <x v="97"/>
    <s v="280G 2,20 100% PES CM AMARRE AZUL MARIÑO "/>
    <n v="3000"/>
    <n v="3388"/>
    <n v="3.92"/>
    <n v="11760"/>
    <m/>
    <m/>
    <m/>
    <s v="pedido complementario - 6K cada/ elimina banda"/>
    <x v="5"/>
    <s v="ago?"/>
  </r>
  <r>
    <s v="041.26"/>
    <x v="18"/>
    <s v="Bolivia"/>
    <n v="1897"/>
    <d v="2026-07-01T00:00:00"/>
    <d v="2026-07-01T00:00:00"/>
    <s v="A10496"/>
    <x v="291"/>
    <x v="96"/>
    <s v="180G 2,10 100% PES PL NEGRO (BANDA)"/>
    <n v="1000"/>
    <n v="378"/>
    <n v="1.65"/>
    <n v="1650"/>
    <m/>
    <m/>
    <m/>
    <s v="Item eliminado de Regal vendido a Multiespumas/ No produzir já na Expedição/consolida c 039"/>
    <x v="1"/>
    <s v="jul"/>
  </r>
  <r>
    <s v="029.26"/>
    <x v="32"/>
    <s v="Perú"/>
    <n v="2184"/>
    <d v="2026-05-15T00:00:00"/>
    <d v="2026-07-01T00:00:00"/>
    <s v="AM 7477"/>
    <x v="312"/>
    <x v="98"/>
    <s v="AMOSTRA - 320G 2,20 91% PES 9% CO CM BLANCO COREON®"/>
    <n v="150"/>
    <n v="92.4"/>
    <n v="5.46"/>
    <n v="819"/>
    <m/>
    <m/>
    <m/>
    <s v="inclui frete $1310,13 -amostra venda"/>
    <x v="4"/>
    <d v="2026-07-21T00:00:00"/>
  </r>
  <r>
    <s v="040.26"/>
    <x v="21"/>
    <s v="Perú"/>
    <n v="1958"/>
    <d v="2026-06-29T00:00:00"/>
    <d v="2026-07-01T00:00:00"/>
    <s v="0256111"/>
    <x v="313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256091"/>
    <x v="314"/>
    <x v="99"/>
    <s v="180G 2,20 100% PES AZUL MARINO"/>
    <n v="500"/>
    <n v="198"/>
    <n v="1.76"/>
    <n v="880"/>
    <m/>
    <m/>
    <m/>
    <m/>
    <x v="4"/>
    <s v="ago"/>
  </r>
  <r>
    <s v="040.26"/>
    <x v="21"/>
    <s v="Perú"/>
    <n v="1958"/>
    <d v="2026-06-29T00:00:00"/>
    <d v="2026-07-01T00:00:00"/>
    <s v="0256101"/>
    <x v="315"/>
    <x v="99"/>
    <s v="180G 2,20 100% PES GRIS"/>
    <n v="500"/>
    <n v="198"/>
    <n v="1.73"/>
    <n v="865"/>
    <m/>
    <m/>
    <m/>
    <m/>
    <x v="4"/>
    <s v="ago"/>
  </r>
  <r>
    <s v="040.26"/>
    <x v="21"/>
    <s v="Perú"/>
    <n v="1958"/>
    <d v="2026-06-29T00:00:00"/>
    <d v="2026-07-01T00:00:00"/>
    <s v="0256121"/>
    <x v="316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071111"/>
    <x v="317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071021"/>
    <x v="318"/>
    <x v="99"/>
    <s v="180G 2,20 100% PES AZUL MARINO"/>
    <m/>
    <n v="198"/>
    <n v="1.76"/>
    <n v="0"/>
    <m/>
    <m/>
    <m/>
    <s v="elimina troca"/>
    <x v="4"/>
    <s v="ago"/>
  </r>
  <r>
    <s v="040.26"/>
    <x v="21"/>
    <s v="Perú"/>
    <n v="1958"/>
    <d v="2026-06-29T00:00:00"/>
    <d v="2026-07-01T00:00:00"/>
    <s v="0071101"/>
    <x v="319"/>
    <x v="99"/>
    <s v="180G 2,20 100% PES GRIS"/>
    <n v="500"/>
    <n v="198"/>
    <n v="1.73"/>
    <n v="865"/>
    <m/>
    <m/>
    <m/>
    <m/>
    <x v="4"/>
    <s v="ago"/>
  </r>
  <r>
    <s v="040.26"/>
    <x v="21"/>
    <s v="Perú"/>
    <n v="1958"/>
    <d v="2026-06-29T00:00:00"/>
    <d v="2026-07-01T00:00:00"/>
    <s v="0071121"/>
    <x v="320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066071"/>
    <x v="321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067011"/>
    <x v="322"/>
    <x v="99"/>
    <s v="180G 2,20 100% PES AZUL MARINO"/>
    <n v="500"/>
    <n v="198"/>
    <n v="1.76"/>
    <n v="880"/>
    <m/>
    <m/>
    <m/>
    <m/>
    <x v="4"/>
    <s v="ago"/>
  </r>
  <r>
    <s v="040.26"/>
    <x v="21"/>
    <s v="Perú"/>
    <n v="1958"/>
    <d v="2026-06-29T00:00:00"/>
    <d v="2026-07-01T00:00:00"/>
    <s v="0067021"/>
    <x v="323"/>
    <x v="99"/>
    <s v="180G 2,20 100% PES GRIS"/>
    <m/>
    <n v="198"/>
    <n v="1.73"/>
    <n v="0"/>
    <m/>
    <m/>
    <m/>
    <s v="elimina troca"/>
    <x v="4"/>
    <s v="ago"/>
  </r>
  <r>
    <s v="040.26"/>
    <x v="21"/>
    <s v="Perú"/>
    <n v="1958"/>
    <d v="2026-06-29T00:00:00"/>
    <d v="2026-07-01T00:00:00"/>
    <s v="0066081"/>
    <x v="324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017041"/>
    <x v="325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017021"/>
    <x v="326"/>
    <x v="99"/>
    <s v="180G 2,20 100% PES AZUL MARINO"/>
    <m/>
    <n v="198"/>
    <n v="1.76"/>
    <n v="0"/>
    <m/>
    <m/>
    <m/>
    <s v="elimina troca"/>
    <x v="4"/>
    <s v="ago"/>
  </r>
  <r>
    <s v="040.26"/>
    <x v="21"/>
    <s v="Perú"/>
    <n v="1958"/>
    <d v="2026-06-29T00:00:00"/>
    <d v="2026-07-01T00:00:00"/>
    <s v="0017031"/>
    <x v="327"/>
    <x v="99"/>
    <s v="180G 2,20 100% PES GRIS"/>
    <m/>
    <n v="198"/>
    <n v="1.73"/>
    <n v="0"/>
    <m/>
    <m/>
    <m/>
    <s v="elimina troca"/>
    <x v="4"/>
    <s v="ago"/>
  </r>
  <r>
    <s v="040.26"/>
    <x v="21"/>
    <s v="Perú"/>
    <n v="1958"/>
    <d v="2026-06-29T00:00:00"/>
    <d v="2026-07-01T00:00:00"/>
    <s v="0017051"/>
    <x v="328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012071"/>
    <x v="329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012051"/>
    <x v="330"/>
    <x v="99"/>
    <s v="180G 2,20 100% PES AZUL MARINO"/>
    <n v="500"/>
    <n v="198"/>
    <n v="1.76"/>
    <n v="880"/>
    <m/>
    <m/>
    <m/>
    <m/>
    <x v="4"/>
    <s v="ago"/>
  </r>
  <r>
    <s v="040.26"/>
    <x v="21"/>
    <s v="Perú"/>
    <n v="1958"/>
    <d v="2026-06-29T00:00:00"/>
    <d v="2026-07-01T00:00:00"/>
    <s v="0012061"/>
    <x v="331"/>
    <x v="99"/>
    <s v="180G 2,20 100% PES GRIS"/>
    <m/>
    <n v="198"/>
    <n v="1.73"/>
    <n v="0"/>
    <m/>
    <m/>
    <m/>
    <s v="elimina troca"/>
    <x v="4"/>
    <s v="ago"/>
  </r>
  <r>
    <s v="040.26"/>
    <x v="21"/>
    <s v="Perú"/>
    <n v="1958"/>
    <d v="2026-06-29T00:00:00"/>
    <d v="2026-07-01T00:00:00"/>
    <s v="0012081"/>
    <x v="332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392051"/>
    <x v="333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392031"/>
    <x v="334"/>
    <x v="99"/>
    <s v="180G 2,20 100% PES AZUL MARINO"/>
    <n v="500"/>
    <n v="198"/>
    <n v="1.76"/>
    <n v="880"/>
    <m/>
    <m/>
    <m/>
    <m/>
    <x v="4"/>
    <s v="ago"/>
  </r>
  <r>
    <s v="040.26"/>
    <x v="21"/>
    <s v="Perú"/>
    <n v="1958"/>
    <d v="2026-06-29T00:00:00"/>
    <d v="2026-07-01T00:00:00"/>
    <s v="0392041"/>
    <x v="335"/>
    <x v="99"/>
    <s v="180G 2,20 100% PES GRIS"/>
    <n v="500"/>
    <n v="198"/>
    <n v="1.73"/>
    <n v="865"/>
    <m/>
    <m/>
    <m/>
    <m/>
    <x v="4"/>
    <s v="ago"/>
  </r>
  <r>
    <s v="040.26"/>
    <x v="21"/>
    <s v="Perú"/>
    <n v="1958"/>
    <d v="2026-06-29T00:00:00"/>
    <d v="2026-07-01T00:00:00"/>
    <s v="0392031"/>
    <x v="336"/>
    <x v="99"/>
    <s v="180G 2,20 100% PES MARRON"/>
    <n v="500"/>
    <n v="198"/>
    <n v="1.84"/>
    <n v="920"/>
    <m/>
    <m/>
    <m/>
    <m/>
    <x v="4"/>
    <s v="ago"/>
  </r>
  <r>
    <s v="040.26"/>
    <x v="21"/>
    <s v="Perú"/>
    <n v="1958"/>
    <d v="2026-06-29T00:00:00"/>
    <d v="2026-07-01T00:00:00"/>
    <s v="0274071"/>
    <x v="337"/>
    <x v="99"/>
    <s v="180G 2,20 100% PES BEIGE"/>
    <n v="500"/>
    <n v="198"/>
    <n v="1.66"/>
    <n v="830"/>
    <m/>
    <m/>
    <m/>
    <m/>
    <x v="4"/>
    <s v="ago"/>
  </r>
  <r>
    <s v="040.26"/>
    <x v="21"/>
    <s v="Perú"/>
    <n v="1958"/>
    <d v="2026-06-29T00:00:00"/>
    <d v="2026-07-01T00:00:00"/>
    <s v="0274051"/>
    <x v="338"/>
    <x v="99"/>
    <s v="180G 2,20 100% PES AZUL MARINO"/>
    <m/>
    <n v="198"/>
    <n v="1.76"/>
    <n v="0"/>
    <m/>
    <m/>
    <m/>
    <s v="elimina troca"/>
    <x v="4"/>
    <s v="ago"/>
  </r>
  <r>
    <s v="040.26"/>
    <x v="21"/>
    <s v="Perú"/>
    <n v="1958"/>
    <d v="2026-06-29T00:00:00"/>
    <d v="2026-07-01T00:00:00"/>
    <s v="0274061"/>
    <x v="339"/>
    <x v="99"/>
    <s v="180G 2,20 100% PES GRIS"/>
    <n v="500"/>
    <n v="198"/>
    <n v="1.73"/>
    <n v="865"/>
    <m/>
    <m/>
    <m/>
    <m/>
    <x v="4"/>
    <s v="ago"/>
  </r>
  <r>
    <s v="040.26"/>
    <x v="21"/>
    <s v="Perú"/>
    <n v="1958"/>
    <d v="2026-06-29T00:00:00"/>
    <d v="2026-07-01T00:00:00"/>
    <s v="0274081"/>
    <x v="340"/>
    <x v="99"/>
    <s v="180G 2,20 100% PES MARRON"/>
    <m/>
    <n v="198"/>
    <n v="1.84"/>
    <n v="0"/>
    <m/>
    <m/>
    <m/>
    <s v="elimina troca"/>
    <x v="4"/>
    <s v="ago"/>
  </r>
  <r>
    <s v="040.26"/>
    <x v="21"/>
    <s v="Perú"/>
    <n v="1958"/>
    <d v="2026-06-29T00:00:00"/>
    <d v="2026-07-01T00:00:00"/>
    <s v="A10344"/>
    <x v="341"/>
    <x v="99"/>
    <s v="BANDA MEZCLA Y NEGRO 200 2,10"/>
    <n v="2000"/>
    <n v="840"/>
    <n v="1.93"/>
    <n v="3860"/>
    <m/>
    <m/>
    <m/>
    <m/>
    <x v="4"/>
    <s v="ago"/>
  </r>
  <r>
    <s v="040.26"/>
    <x v="21"/>
    <s v="Perú"/>
    <n v="1958"/>
    <d v="2026-06-29T00:00:00"/>
    <d v="2026-07-01T00:00:00"/>
    <s v="0211013"/>
    <x v="342"/>
    <x v="99"/>
    <s v="BANDA MARRON 180 2,10"/>
    <n v="2000"/>
    <n v="756"/>
    <n v="1.71"/>
    <n v="3420"/>
    <m/>
    <m/>
    <m/>
    <m/>
    <x v="4"/>
    <s v="ago"/>
  </r>
  <r>
    <s v="040.26"/>
    <x v="21"/>
    <s v="Perú"/>
    <n v="1958"/>
    <d v="2026-06-29T00:00:00"/>
    <d v="2026-07-01T00:00:00"/>
    <s v="0705024"/>
    <x v="343"/>
    <x v="99"/>
    <s v="BANDA BEIGE 180 2,10"/>
    <n v="2000"/>
    <n v="756"/>
    <n v="1.58"/>
    <n v="3160"/>
    <m/>
    <m/>
    <m/>
    <m/>
    <x v="4"/>
    <s v="ago"/>
  </r>
  <r>
    <s v="040.26"/>
    <x v="21"/>
    <s v="Perú"/>
    <n v="1958"/>
    <d v="2026-06-29T00:00:00"/>
    <d v="2026-07-01T00:00:00"/>
    <s v="0705014"/>
    <x v="344"/>
    <x v="99"/>
    <s v="BANDA GRIS 180 2,10"/>
    <n v="2000"/>
    <n v="756"/>
    <n v="1.75"/>
    <n v="3500"/>
    <m/>
    <m/>
    <m/>
    <m/>
    <x v="4"/>
    <s v="ago"/>
  </r>
  <r>
    <s v="042.26"/>
    <x v="33"/>
    <s v="Paraguay"/>
    <n v="1468"/>
    <d v="2026-07-07T00:00:00"/>
    <d v="2026-08-01T00:00:00"/>
    <s v="A08182 (7746)"/>
    <x v="345"/>
    <x v="100"/>
    <s v="TELA BLANCA MATERASSI 160G 2,20L 100% PES CM "/>
    <n v="500"/>
    <n v="352"/>
    <n v="1.71"/>
    <n v="855"/>
    <m/>
    <m/>
    <m/>
    <m/>
    <x v="3"/>
    <s v="ago"/>
  </r>
  <r>
    <s v="042.26"/>
    <x v="33"/>
    <s v="Paraguay"/>
    <n v="1468"/>
    <d v="2026-07-07T00:00:00"/>
    <d v="2026-08-01T00:00:00"/>
    <s v="A10540 (7778)"/>
    <x v="346"/>
    <x v="100"/>
    <s v="BANDA 420G 2,20 PES EL XP BLANCO"/>
    <n v="100"/>
    <n v="88.2"/>
    <n v="4.55"/>
    <n v="455"/>
    <m/>
    <m/>
    <m/>
    <s v="amostra venda"/>
    <x v="3"/>
    <d v="2026-07-22T00:00:00"/>
  </r>
  <r>
    <s v="042.26"/>
    <x v="33"/>
    <s v="Paraguay"/>
    <n v="1468"/>
    <d v="2026-07-07T00:00:00"/>
    <d v="2026-08-01T00:00:00"/>
    <s v="A10529  (7761)"/>
    <x v="347"/>
    <x v="100"/>
    <s v="BANDA 420G 2,20 99% PES 1% EL XP ARENA"/>
    <n v="100"/>
    <n v="92.4"/>
    <n v="4.49"/>
    <n v="449"/>
    <m/>
    <m/>
    <m/>
    <s v="amostra venda"/>
    <x v="3"/>
    <d v="2026-07-22T00:00:00"/>
  </r>
  <r>
    <s v="042.26"/>
    <x v="33"/>
    <s v="Paraguay"/>
    <n v="1468"/>
    <d v="2026-07-07T00:00:00"/>
    <d v="2026-08-01T00:00:00"/>
    <s v="A10539  (7768)"/>
    <x v="348"/>
    <x v="100"/>
    <s v="BANDA 420G 2,20 99% PES 1% EL XP GRIS PERLA"/>
    <n v="100"/>
    <n v="92.4"/>
    <n v="4.6100000000000003"/>
    <n v="461.00000000000006"/>
    <m/>
    <m/>
    <m/>
    <s v="amostra venda"/>
    <x v="3"/>
    <d v="2026-07-22T00:00:00"/>
  </r>
  <r>
    <s v="042.26"/>
    <x v="33"/>
    <s v="Paraguay"/>
    <n v="1468"/>
    <d v="2026-07-23T00:00:00"/>
    <d v="2026-08-01T00:00:00"/>
    <s v="0594001"/>
    <x v="349"/>
    <x v="100"/>
    <s v="300G 2,20 100%  PES CM BLANCO"/>
    <n v="500"/>
    <m/>
    <n v="2.48"/>
    <n v="1240"/>
    <m/>
    <m/>
    <m/>
    <s v="Complemento 24/07"/>
    <x v="3"/>
    <m/>
  </r>
  <r>
    <s v="043.26a"/>
    <x v="34"/>
    <s v="Argentina"/>
    <n v="1952"/>
    <d v="2026-07-07T00:00:00"/>
    <d v="2026-08-01T00:00:00"/>
    <s v="0629011  (ID 7739)"/>
    <x v="350"/>
    <x v="101"/>
    <s v="220G 2,20 100% PES CM MEZCLA"/>
    <n v="5000"/>
    <n v="2420"/>
    <n v="2.0499999999999998"/>
    <n v="10250"/>
    <m/>
    <m/>
    <m/>
    <s v="ajustes pedido OK"/>
    <x v="3"/>
    <n v="5101"/>
  </r>
  <r>
    <s v="043.26a"/>
    <x v="34"/>
    <s v="Argentina"/>
    <n v="1952"/>
    <d v="2026-07-07T00:00:00"/>
    <d v="2026-08-01T00:00:00"/>
    <s v="0660021(ID 7740)"/>
    <x v="351"/>
    <x v="101"/>
    <s v="200G 2,20 100% PES CM ARENA"/>
    <n v="5000"/>
    <n v="2200"/>
    <n v="1.95"/>
    <n v="9750"/>
    <m/>
    <m/>
    <m/>
    <s v="Não produzir/4568 em Expedição"/>
    <x v="3"/>
    <n v="4568"/>
  </r>
  <r>
    <s v="043.26a"/>
    <x v="34"/>
    <s v="Argentina"/>
    <n v="1952"/>
    <d v="2026-07-07T00:00:00"/>
    <d v="2026-08-01T00:00:00"/>
    <s v="0132054 ( ID 6754)"/>
    <x v="352"/>
    <x v="101"/>
    <s v="280G 2,20 100% PES XP"/>
    <n v="5000"/>
    <n v="3080"/>
    <n v="3.19"/>
    <n v="15950"/>
    <m/>
    <m/>
    <m/>
    <s v="ajustes pedido: +1000"/>
    <x v="1"/>
    <n v="966"/>
  </r>
  <r>
    <s v="043.26a"/>
    <x v="34"/>
    <s v="Argentina"/>
    <n v="1952"/>
    <d v="2026-07-07T00:00:00"/>
    <d v="2026-08-01T00:00:00"/>
    <s v="522024 (ID 7742)"/>
    <x v="353"/>
    <x v="101"/>
    <s v="280G 2,20 100% PES XP CAQUI"/>
    <n v="5000"/>
    <n v="3080"/>
    <n v="3.7"/>
    <n v="18500"/>
    <m/>
    <m/>
    <m/>
    <s v="Não produzir/199 em Expedição"/>
    <x v="3"/>
    <n v="199"/>
  </r>
  <r>
    <s v="043.26a"/>
    <x v="34"/>
    <s v="Argentina"/>
    <n v="1952"/>
    <d v="2026-07-07T00:00:00"/>
    <d v="2026-08-01T00:00:00"/>
    <s v="641014 (ID 7743)"/>
    <x v="354"/>
    <x v="101"/>
    <s v="280G 2,20 100% PES XP"/>
    <n v="5000"/>
    <n v="3080"/>
    <n v="3.53"/>
    <n v="17650"/>
    <m/>
    <m/>
    <m/>
    <s v="ajustes pedido: retomar pdn"/>
    <x v="1"/>
    <n v="1796"/>
  </r>
  <r>
    <s v="043.26a"/>
    <x v="34"/>
    <s v="Argentina"/>
    <n v="1952"/>
    <d v="2026-07-07T00:00:00"/>
    <d v="2026-08-01T00:00:00"/>
    <s v="0613001 (ID 7744)"/>
    <x v="355"/>
    <x v="101"/>
    <s v="260G 2,20 100% PES CM NEGRO MELATONINA S/LOGO"/>
    <n v="4000"/>
    <n v="2860"/>
    <n v="4.54"/>
    <n v="18160"/>
    <m/>
    <m/>
    <m/>
    <s v="ajustes pedido: -1000/pdzir só 608"/>
    <x v="1"/>
    <n v="3392"/>
  </r>
  <r>
    <s v="044.26"/>
    <x v="35"/>
    <s v="Chile"/>
    <n v="2238"/>
    <d v="2026-07-10T00:00:00"/>
    <d v="2026-08-01T00:00:00"/>
    <s v="0068016 (ID7765)"/>
    <x v="356"/>
    <x v="102"/>
    <s v="180G 2,10 100% PES NEGRO"/>
    <n v="3000"/>
    <n v="1890"/>
    <n v="1.75"/>
    <n v="5250"/>
    <m/>
    <m/>
    <m/>
    <m/>
    <x v="1"/>
    <s v="ago"/>
  </r>
  <r>
    <s v="044.26"/>
    <x v="35"/>
    <s v="Chile"/>
    <n v="2238"/>
    <d v="2026-07-10T00:00:00"/>
    <d v="2026-08-01T00:00:00"/>
    <s v="0067006 (ID7764)"/>
    <x v="357"/>
    <x v="102"/>
    <s v="180G 2,10 100% PES NEGRO"/>
    <n v="3000"/>
    <n v="2100"/>
    <n v="1.75"/>
    <n v="5250"/>
    <m/>
    <m/>
    <m/>
    <m/>
    <x v="1"/>
    <s v="ago"/>
  </r>
  <r>
    <s v="046.26"/>
    <x v="27"/>
    <s v="Argentina"/>
    <n v="1832"/>
    <d v="2026-07-17T00:00:00"/>
    <d v="2026-08-01T00:00:00"/>
    <s v="Brighton /A10512"/>
    <x v="301"/>
    <x v="103"/>
    <s v="ESTRUCTURA PREMIUM 400GSM 2,20 BLANCO Y BEIGE (RELLENONEGRO)"/>
    <n v="1400"/>
    <n v="1232"/>
    <n v="5.89"/>
    <n v="8246"/>
    <m/>
    <m/>
    <m/>
    <s v="pedido complementar 037.26 "/>
    <x v="3"/>
    <s v="Fup falta fio"/>
  </r>
  <r>
    <s v="047.26"/>
    <x v="27"/>
    <s v="Argentina"/>
    <n v="1832"/>
    <d v="2026-07-21T00:00:00"/>
    <d v="2026-08-01T00:00:00"/>
    <s v="Brighton/A10512"/>
    <x v="301"/>
    <x v="104"/>
    <s v="ESTRUCTURA PREMIUM 400GSM  BLANCO Y BEIGE"/>
    <n v="3000"/>
    <n v="2640"/>
    <n v="5.89"/>
    <n v="17670"/>
    <m/>
    <m/>
    <m/>
    <s v="ok"/>
    <x v="3"/>
    <s v="sep"/>
  </r>
  <r>
    <s v="047.26"/>
    <x v="27"/>
    <s v="Argentina"/>
    <n v="1832"/>
    <d v="2026-07-21T00:00:00"/>
    <d v="2026-08-01T00:00:00"/>
    <s v="120 Gold/0558004"/>
    <x v="237"/>
    <x v="104"/>
    <s v="ESTRUCTURA PREMIUM 400GSM  BEIGE"/>
    <n v="2000"/>
    <n v="1760"/>
    <n v="6.8"/>
    <n v="13600"/>
    <m/>
    <m/>
    <m/>
    <m/>
    <x v="3"/>
    <s v="sep"/>
  </r>
  <r>
    <s v="047.26"/>
    <x v="27"/>
    <s v="Argentina"/>
    <n v="1832"/>
    <d v="2026-07-21T00:00:00"/>
    <d v="2026-08-01T00:00:00"/>
    <s v="Kingsbury/0555004"/>
    <x v="238"/>
    <x v="104"/>
    <s v="ESTRUCTURA PREMIUM  280GSM BEIGE Y NEGRO"/>
    <n v="2000"/>
    <n v="1232"/>
    <n v="3.22"/>
    <n v="6440"/>
    <m/>
    <m/>
    <m/>
    <m/>
    <x v="3"/>
    <s v="sep"/>
  </r>
  <r>
    <s v="047.26"/>
    <x v="27"/>
    <s v="Argentina"/>
    <n v="1832"/>
    <d v="2026-07-21T00:00:00"/>
    <d v="2026-08-01T00:00:00"/>
    <s v="Kensignton/0403034"/>
    <x v="239"/>
    <x v="104"/>
    <s v="ESTRUCTURA PREMIUM 240GSM BLANCO Y LINO"/>
    <n v="2000"/>
    <n v="1056"/>
    <n v="3.34"/>
    <n v="6680"/>
    <m/>
    <m/>
    <m/>
    <m/>
    <x v="3"/>
    <s v="sep"/>
  </r>
  <r>
    <s v="047.26"/>
    <x v="27"/>
    <s v="Argentina"/>
    <n v="1832"/>
    <d v="2026-07-21T00:00:00"/>
    <d v="2026-08-01T00:00:00"/>
    <s v="Bradford/0552001"/>
    <x v="240"/>
    <x v="104"/>
    <s v="ESTRUCTURA CM 280GSM ARENA Y NEGRO"/>
    <n v="3200"/>
    <n v="1971.2"/>
    <n v="3.05"/>
    <n v="9760"/>
    <m/>
    <m/>
    <m/>
    <m/>
    <x v="3"/>
    <s v="sep"/>
  </r>
  <r>
    <s v="047.26"/>
    <x v="27"/>
    <s v="Argentina"/>
    <n v="1832"/>
    <d v="2026-07-21T00:00:00"/>
    <d v="2026-08-01T00:00:00"/>
    <s v="Cabecera L1/A10418"/>
    <x v="241"/>
    <x v="104"/>
    <s v="ESTRUCTURA PL  180GSM BLANCO Y PERLA"/>
    <n v="5000"/>
    <n v="1980"/>
    <n v="1.78"/>
    <n v="8900"/>
    <m/>
    <m/>
    <m/>
    <m/>
    <x v="3"/>
    <s v="sep"/>
  </r>
  <r>
    <s v="047.26"/>
    <x v="27"/>
    <s v="Argentina"/>
    <n v="1832"/>
    <d v="2026-07-21T00:00:00"/>
    <d v="2026-08-01T00:00:00"/>
    <s v="Cabecera L2/0566001"/>
    <x v="242"/>
    <x v="104"/>
    <s v="ESTRUCTURA CM 220GSM GRIS PERLA"/>
    <n v="8000"/>
    <n v="3872"/>
    <n v="2.15"/>
    <n v="17200"/>
    <m/>
    <m/>
    <m/>
    <m/>
    <x v="3"/>
    <s v="sep"/>
  </r>
  <r>
    <s v="040.26"/>
    <x v="21"/>
    <s v="Perú"/>
    <n v="1958"/>
    <d v="2026-07-27T00:00:00"/>
    <d v="2026-08-01T00:00:00"/>
    <n v="3200008"/>
    <x v="358"/>
    <x v="105"/>
    <s v="3200008 TP ML IMPULSE GRAY 280G 2,10L DIVERSAS U"/>
    <n v="500"/>
    <m/>
    <n v="1.76"/>
    <n v="880"/>
    <m/>
    <m/>
    <m/>
    <s v="complemento Troca 27/7"/>
    <x v="8"/>
    <m/>
  </r>
  <r>
    <s v="040.26"/>
    <x v="21"/>
    <s v="Perú"/>
    <n v="1958"/>
    <d v="2026-07-27T00:00:00"/>
    <d v="2026-08-01T00:00:00"/>
    <s v="na"/>
    <x v="359"/>
    <x v="105"/>
    <s v="2300007 230G 2,10L NACIONAL"/>
    <n v="500"/>
    <m/>
    <n v="1.73"/>
    <n v="865"/>
    <m/>
    <m/>
    <m/>
    <s v="complemento Troca 27/7"/>
    <x v="8"/>
    <m/>
  </r>
  <r>
    <s v="040.26"/>
    <x v="21"/>
    <s v="Perú"/>
    <n v="1958"/>
    <d v="2026-07-27T00:00:00"/>
    <d v="2026-08-01T00:00:00"/>
    <n v="3200006"/>
    <x v="297"/>
    <x v="105"/>
    <s v="3200006 TP ML IMPERIAL GRAY 280G 2,10L DIVERSAS U"/>
    <n v="500"/>
    <m/>
    <n v="1.76"/>
    <n v="880"/>
    <m/>
    <m/>
    <m/>
    <s v="complemento Troca 27/7"/>
    <x v="8"/>
    <m/>
  </r>
  <r>
    <s v="040.26"/>
    <x v="21"/>
    <s v="Perú"/>
    <n v="1958"/>
    <d v="2026-07-27T00:00:00"/>
    <d v="2026-08-01T00:00:00"/>
    <s v="21706 / A04041"/>
    <x v="360"/>
    <x v="105"/>
    <s v="21706 TAMPO TRACEJADO CINZA (A04041) DIVERSAS U"/>
    <n v="500"/>
    <m/>
    <n v="1.73"/>
    <n v="865"/>
    <m/>
    <m/>
    <m/>
    <s v="complemento Troca 27/7"/>
    <x v="8"/>
    <m/>
  </r>
  <r>
    <s v="040.26"/>
    <x v="21"/>
    <s v="Perú"/>
    <n v="1958"/>
    <d v="2026-07-27T00:00:00"/>
    <d v="2026-08-01T00:00:00"/>
    <n v="3200004"/>
    <x v="361"/>
    <x v="105"/>
    <s v="3200004 TP ML IMPERAL BLACK 350G 2,10L DIVERSAS U"/>
    <n v="500"/>
    <m/>
    <n v="1.73"/>
    <n v="865"/>
    <m/>
    <m/>
    <m/>
    <s v="complemento Troca 27/7"/>
    <x v="8"/>
    <m/>
  </r>
  <r>
    <s v="040.26"/>
    <x v="21"/>
    <s v="Perú"/>
    <n v="1958"/>
    <d v="2026-07-27T00:00:00"/>
    <d v="2026-08-01T00:00:00"/>
    <s v="na"/>
    <x v="362"/>
    <x v="105"/>
    <s v="2870007 TP ML A10034 220G 2,20L"/>
    <n v="500"/>
    <m/>
    <n v="1.76"/>
    <n v="880"/>
    <m/>
    <m/>
    <m/>
    <s v="complemento Troca 27/7"/>
    <x v="8"/>
    <m/>
  </r>
  <r>
    <s v="040.26"/>
    <x v="21"/>
    <s v="Perú"/>
    <n v="1958"/>
    <d v="2026-07-27T00:00:00"/>
    <d v="2026-08-01T00:00:00"/>
    <n v="410006"/>
    <x v="363"/>
    <x v="105"/>
    <s v="410006 - B TAMPO 200,037 - MALHA PRES, C DIVERSAS U"/>
    <n v="500"/>
    <m/>
    <n v="1.84"/>
    <n v="920"/>
    <m/>
    <m/>
    <m/>
    <s v="complemento Troca 27/7"/>
    <x v="8"/>
    <m/>
  </r>
  <r>
    <s v="049.26"/>
    <x v="18"/>
    <s v="Bolivia"/>
    <n v="1897"/>
    <d v="2026-07-29T00:00:00"/>
    <d v="2026-08-01T00:00:00"/>
    <s v="PFO (4454)"/>
    <x v="150"/>
    <x v="106"/>
    <s v="CAFÉ PUFF ONDAS DV U"/>
    <n v="5000"/>
    <m/>
    <n v="1.3"/>
    <n v="6500"/>
    <m/>
    <m/>
    <m/>
    <s v="Material revenda / Ok precio $1,30 - R$5,50/ 30 dias prazo fornecedor/ consolida c 039"/>
    <x v="7"/>
    <s v="s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912D5-E5AF-470D-B571-2876D6806136}" name="TablaDinámica1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LIENTES /  TOTAL US$-MÊS " colHeaderCaption="TOTAL US$">
  <location ref="G3:M25" firstHeaderRow="1" firstDataRow="2" firstDataCol="1" rowPageCount="1" colPageCount="1"/>
  <pivotFields count="19">
    <pivotField axis="axisRow" showAll="0">
      <items count="133">
        <item x="6"/>
        <item x="1"/>
        <item x="0"/>
        <item x="2"/>
        <item x="7"/>
        <item x="3"/>
        <item x="5"/>
        <item x="4"/>
        <item x="10"/>
        <item x="11"/>
        <item x="17"/>
        <item x="8"/>
        <item x="9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9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26"/>
        <item x="48"/>
        <item x="49"/>
        <item x="50"/>
        <item x="51"/>
        <item x="52"/>
        <item sd="0" x="53"/>
        <item x="54"/>
        <item x="55"/>
        <item x="56"/>
        <item x="57"/>
        <item x="58"/>
        <item x="59"/>
        <item x="60"/>
        <item x="61"/>
        <item x="62"/>
        <item x="63"/>
        <item m="1" x="131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129"/>
        <item x="78"/>
        <item x="79"/>
        <item x="80"/>
        <item x="81"/>
        <item x="83"/>
        <item x="82"/>
        <item m="1" x="130"/>
        <item x="85"/>
        <item x="86"/>
        <item x="84"/>
        <item x="77"/>
        <item x="87"/>
        <item x="88"/>
        <item x="89"/>
        <item x="90"/>
        <item x="103"/>
        <item x="91"/>
        <item x="92"/>
        <item x="93"/>
        <item x="94"/>
        <item x="95"/>
        <item x="96"/>
        <item x="97"/>
        <item x="98"/>
        <item x="99"/>
        <item x="100"/>
        <item x="104"/>
        <item x="101"/>
        <item x="102"/>
        <item x="105"/>
        <item x="106"/>
        <item x="107"/>
        <item x="108"/>
        <item x="109"/>
        <item x="110"/>
        <item x="111"/>
        <item x="112"/>
        <item x="114"/>
        <item x="113"/>
        <item x="115"/>
        <item x="116"/>
        <item x="117"/>
        <item m="1" x="127"/>
        <item m="1" x="128"/>
        <item x="119"/>
        <item x="120"/>
        <item x="121"/>
        <item x="122"/>
        <item x="123"/>
        <item x="118"/>
        <item x="124"/>
        <item x="125"/>
        <item t="default"/>
      </items>
    </pivotField>
    <pivotField axis="axisRow" showAll="0">
      <items count="47">
        <item sd="0" x="9"/>
        <item sd="0" x="6"/>
        <item sd="0" x="0"/>
        <item sd="0" x="8"/>
        <item sd="0" x="4"/>
        <item sd="0" x="5"/>
        <item sd="0" x="7"/>
        <item sd="0" x="1"/>
        <item sd="0" x="2"/>
        <item sd="0" x="3"/>
        <item sd="0" x="12"/>
        <item sd="0" x="11"/>
        <item sd="0" x="10"/>
        <item sd="0" m="1" x="39"/>
        <item sd="0" x="13"/>
        <item h="1" m="1" x="43"/>
        <item sd="0" x="14"/>
        <item sd="0" x="15"/>
        <item sd="0" x="16"/>
        <item sd="0" x="17"/>
        <item sd="0" x="18"/>
        <item m="1" x="4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m="1" x="44"/>
        <item m="1" x="41"/>
        <item m="1" x="42"/>
        <item sd="0" x="30"/>
        <item sd="0" x="31"/>
        <item sd="0" x="32"/>
        <item sd="0" x="33"/>
        <item sd="0" x="34"/>
        <item sd="0" m="1" x="40"/>
        <item sd="0" x="35"/>
        <item sd="0" x="36"/>
        <item sd="0" x="37"/>
        <item h="1" x="38"/>
        <item t="default"/>
      </items>
    </pivotField>
    <pivotField axis="axisPage" multipleItemSelectionAllowed="1" showAll="0">
      <items count="13">
        <item x="5"/>
        <item x="0"/>
        <item x="4"/>
        <item x="2"/>
        <item x="1"/>
        <item x="3"/>
        <item m="1" x="10"/>
        <item h="1" m="1" x="11"/>
        <item x="6"/>
        <item x="7"/>
        <item x="8"/>
        <item x="9"/>
        <item t="default"/>
      </items>
    </pivotField>
    <pivotField showAll="0"/>
    <pivotField numFmtId="14" showAll="0"/>
    <pivotField axis="axisCol" numFmtId="168" showAll="0">
      <items count="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x="13"/>
        <item x="16"/>
        <item x="15"/>
        <item x="17"/>
        <item h="1" m="1" x="19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0"/>
  </rowFields>
  <rowItems count="21">
    <i>
      <x v="3"/>
    </i>
    <i>
      <x v="4"/>
    </i>
    <i>
      <x v="5"/>
    </i>
    <i>
      <x v="10"/>
    </i>
    <i>
      <x v="11"/>
    </i>
    <i>
      <x v="16"/>
    </i>
    <i>
      <x v="20"/>
    </i>
    <i>
      <x v="24"/>
    </i>
    <i>
      <x v="26"/>
    </i>
    <i>
      <x v="28"/>
    </i>
    <i>
      <x v="29"/>
    </i>
    <i>
      <x v="30"/>
    </i>
    <i>
      <x v="32"/>
    </i>
    <i>
      <x v="37"/>
    </i>
    <i>
      <x v="38"/>
    </i>
    <i>
      <x v="39"/>
    </i>
    <i>
      <x v="40"/>
    </i>
    <i>
      <x v="42"/>
    </i>
    <i>
      <x v="43"/>
    </i>
    <i>
      <x v="44"/>
    </i>
    <i t="grand">
      <x/>
    </i>
  </rowItems>
  <colFields count="1">
    <field x="5"/>
  </colFields>
  <colItems count="6">
    <i>
      <x v="14"/>
    </i>
    <i>
      <x v="15"/>
    </i>
    <i>
      <x v="16"/>
    </i>
    <i>
      <x v="17"/>
    </i>
    <i>
      <x v="19"/>
    </i>
    <i t="grand">
      <x/>
    </i>
  </colItems>
  <pageFields count="1">
    <pageField fld="2" hier="-1"/>
  </pageFields>
  <dataFields count="1">
    <dataField name="Suma de TOTAL _x000a_US$" fld="13" baseField="0" baseItem="0"/>
  </dataFields>
  <formats count="14">
    <format dxfId="81">
      <pivotArea field="1" type="button" dataOnly="0" labelOnly="1" outline="0" axis="axisRow" fieldPosition="0"/>
    </format>
    <format dxfId="80">
      <pivotArea outline="0" collapsedLevelsAreSubtotals="1" fieldPosition="0"/>
    </format>
    <format dxfId="79">
      <pivotArea outline="0" collapsedLevelsAreSubtotals="1" fieldPosition="0">
        <references count="1">
          <reference field="5" count="0" selected="0"/>
        </references>
      </pivotArea>
    </format>
    <format dxfId="78">
      <pivotArea dataOnly="0" labelOnly="1" outline="0" fieldPosition="0">
        <references count="1">
          <reference field="2" count="0"/>
        </references>
      </pivotArea>
    </format>
    <format dxfId="77">
      <pivotArea field="5" type="button" dataOnly="0" labelOnly="1" outline="0" axis="axisCol" fieldPosition="0"/>
    </format>
    <format dxfId="76">
      <pivotArea type="topRight" dataOnly="0" labelOnly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  <format dxfId="73">
      <pivotArea type="origin" dataOnly="0" labelOnly="1" outline="0" fieldPosition="0"/>
    </format>
    <format dxfId="72">
      <pivotArea dataOnly="0" labelOnly="1" fieldPosition="0">
        <references count="2">
          <reference field="0" count="1">
            <x v="90"/>
          </reference>
          <reference field="1" count="1" selected="0">
            <x v="29"/>
          </reference>
        </references>
      </pivotArea>
    </format>
    <format dxfId="71">
      <pivotArea dataOnly="0" labelOnly="1" fieldPosition="0">
        <references count="2">
          <reference field="0" count="1">
            <x v="90"/>
          </reference>
          <reference field="1" count="1" selected="0">
            <x v="29"/>
          </reference>
        </references>
      </pivotArea>
    </format>
    <format dxfId="70">
      <pivotArea collapsedLevelsAreSubtotals="1" fieldPosition="0">
        <references count="3">
          <reference field="0" count="1">
            <x v="90"/>
          </reference>
          <reference field="1" count="1" selected="0">
            <x v="29"/>
          </reference>
          <reference field="5" count="4" selected="0">
            <x v="9"/>
            <x v="10"/>
            <x v="11"/>
            <x v="12"/>
          </reference>
        </references>
      </pivotArea>
    </format>
    <format dxfId="69">
      <pivotArea field="5" grandRow="1" outline="0" collapsedLevelsAreSubtotals="1" axis="axisCol" fieldPosition="0">
        <references count="1">
          <reference field="5" count="2" selected="0">
            <x v="12"/>
            <x v="13"/>
          </reference>
        </references>
      </pivotArea>
    </format>
    <format dxfId="68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E4E87-48A7-42C6-8CB8-9667D75967DA}" name="TablaDinámica2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 / METROS" colHeaderCaption="PROGRAMA MÊS">
  <location ref="A3:B43" firstHeaderRow="1" firstDataRow="1" firstDataCol="1" rowPageCount="1" colPageCount="1"/>
  <pivotFields count="19">
    <pivotField showAll="0"/>
    <pivotField axis="axisRow" showAll="0">
      <items count="47">
        <item sd="0" x="9"/>
        <item sd="0" x="6"/>
        <item sd="0" x="0"/>
        <item sd="0" x="8"/>
        <item sd="0" x="4"/>
        <item sd="0" x="5"/>
        <item sd="0" x="7"/>
        <item sd="0" x="1"/>
        <item sd="0" x="2"/>
        <item sd="0" x="3"/>
        <item sd="0" x="12"/>
        <item sd="0" x="11"/>
        <item sd="0" x="10"/>
        <item m="1" x="39"/>
        <item sd="0" x="13"/>
        <item m="1" x="43"/>
        <item sd="0" x="14"/>
        <item x="15"/>
        <item x="16"/>
        <item x="17"/>
        <item x="18"/>
        <item m="1" x="45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44"/>
        <item m="1" x="41"/>
        <item m="1" x="42"/>
        <item x="30"/>
        <item x="31"/>
        <item x="32"/>
        <item x="33"/>
        <item x="34"/>
        <item m="1" x="40"/>
        <item x="35"/>
        <item x="36"/>
        <item x="37"/>
        <item x="38"/>
        <item t="default"/>
      </items>
    </pivotField>
    <pivotField axis="axisPage" multipleItemSelectionAllowed="1" showAll="0">
      <items count="13">
        <item x="5"/>
        <item x="0"/>
        <item x="4"/>
        <item x="2"/>
        <item x="1"/>
        <item x="3"/>
        <item m="1" x="10"/>
        <item m="1" x="11"/>
        <item x="6"/>
        <item x="7"/>
        <item x="8"/>
        <item x="9"/>
        <item t="default"/>
      </items>
    </pivotField>
    <pivotField showAll="0"/>
    <pivotField numFmtId="14" showAll="0"/>
    <pivotField numFmtId="168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2" hier="-1"/>
  </pageFields>
  <dataFields count="1">
    <dataField name="Suma de MTS" fld="10" baseField="0" baseItem="0" numFmtId="3"/>
  </dataFields>
  <formats count="7">
    <format dxfId="88">
      <pivotArea collapsedLevelsAreSubtotals="1" fieldPosition="0">
        <references count="1">
          <reference field="1" count="0"/>
        </references>
      </pivotArea>
    </format>
    <format dxfId="87">
      <pivotArea grandRow="1" outline="0" collapsedLevelsAreSubtotals="1" fieldPosition="0"/>
    </format>
    <format dxfId="86">
      <pivotArea field="1" type="button" dataOnly="0" labelOnly="1" outline="0" axis="axisRow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dataOnly="0" labelOnly="1" outline="0" fieldPosition="0">
        <references count="1">
          <reference field="2" count="0"/>
        </references>
      </pivotArea>
    </format>
    <format dxfId="82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014B4-4E8E-4506-9E79-44E97BE9E250}" name="TablaDinámica3" cacheId="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LIENTES /  TOTALMTS" colHeaderCaption="MES">
  <location ref="W3:AC25" firstHeaderRow="1" firstDataRow="2" firstDataCol="1" rowPageCount="1" colPageCount="1"/>
  <pivotFields count="19">
    <pivotField axis="axisRow" showAll="0">
      <items count="133">
        <item m="1" x="131"/>
        <item x="64"/>
        <item x="65"/>
        <item x="66"/>
        <item x="67"/>
        <item x="68"/>
        <item x="69"/>
        <item x="6"/>
        <item x="1"/>
        <item x="0"/>
        <item x="2"/>
        <item x="7"/>
        <item x="3"/>
        <item x="5"/>
        <item x="4"/>
        <item x="10"/>
        <item x="11"/>
        <item x="17"/>
        <item x="8"/>
        <item x="9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9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0"/>
        <item x="44"/>
        <item x="45"/>
        <item x="46"/>
        <item x="47"/>
        <item x="48"/>
        <item x="49"/>
        <item x="56"/>
        <item x="53"/>
        <item x="51"/>
        <item x="52"/>
        <item x="54"/>
        <item x="55"/>
        <item x="57"/>
        <item x="61"/>
        <item x="58"/>
        <item x="59"/>
        <item x="60"/>
        <item x="63"/>
        <item x="62"/>
        <item m="1" x="126"/>
        <item x="70"/>
        <item x="71"/>
        <item x="72"/>
        <item x="73"/>
        <item x="74"/>
        <item x="75"/>
        <item x="76"/>
        <item m="1" x="129"/>
        <item x="78"/>
        <item x="79"/>
        <item x="80"/>
        <item x="81"/>
        <item x="83"/>
        <item x="82"/>
        <item m="1" x="130"/>
        <item x="85"/>
        <item x="86"/>
        <item x="84"/>
        <item x="77"/>
        <item x="87"/>
        <item x="88"/>
        <item x="89"/>
        <item x="90"/>
        <item x="103"/>
        <item x="91"/>
        <item x="92"/>
        <item x="93"/>
        <item x="94"/>
        <item x="95"/>
        <item x="96"/>
        <item x="97"/>
        <item x="98"/>
        <item x="99"/>
        <item x="100"/>
        <item x="104"/>
        <item x="101"/>
        <item x="102"/>
        <item x="105"/>
        <item x="106"/>
        <item x="107"/>
        <item x="108"/>
        <item x="109"/>
        <item x="110"/>
        <item x="111"/>
        <item x="112"/>
        <item x="114"/>
        <item x="113"/>
        <item x="115"/>
        <item x="116"/>
        <item x="117"/>
        <item m="1" x="127"/>
        <item m="1" x="128"/>
        <item x="119"/>
        <item x="120"/>
        <item x="121"/>
        <item x="122"/>
        <item x="123"/>
        <item x="118"/>
        <item x="124"/>
        <item x="125"/>
        <item t="default"/>
      </items>
    </pivotField>
    <pivotField axis="axisRow" showAll="0">
      <items count="47">
        <item sd="0" x="9"/>
        <item sd="0" x="6"/>
        <item sd="0" x="0"/>
        <item sd="0" x="8"/>
        <item sd="0" x="4"/>
        <item sd="0" x="5"/>
        <item sd="0" x="7"/>
        <item sd="0" x="1"/>
        <item sd="0" x="2"/>
        <item sd="0" x="3"/>
        <item sd="0" x="12"/>
        <item sd="0" x="11"/>
        <item sd="0" x="10"/>
        <item sd="0" m="1" x="39"/>
        <item sd="0" x="13"/>
        <item h="1" m="1" x="43"/>
        <item sd="0" x="14"/>
        <item sd="0" x="15"/>
        <item sd="0" x="16"/>
        <item sd="0" x="17"/>
        <item sd="0" x="18"/>
        <item m="1" x="4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m="1" x="44"/>
        <item m="1" x="41"/>
        <item m="1" x="42"/>
        <item sd="0" x="30"/>
        <item sd="0" x="31"/>
        <item sd="0" x="32"/>
        <item sd="0" x="33"/>
        <item sd="0" x="34"/>
        <item sd="0" m="1" x="40"/>
        <item sd="0" x="35"/>
        <item sd="0" x="36"/>
        <item sd="0" x="37"/>
        <item h="1" x="38"/>
        <item t="default"/>
      </items>
    </pivotField>
    <pivotField axis="axisPage" multipleItemSelectionAllowed="1" showAll="0">
      <items count="13">
        <item x="5"/>
        <item x="0"/>
        <item x="4"/>
        <item x="2"/>
        <item x="1"/>
        <item x="3"/>
        <item m="1" x="10"/>
        <item h="1" m="1" x="11"/>
        <item x="6"/>
        <item x="7"/>
        <item x="8"/>
        <item x="9"/>
        <item t="default"/>
      </items>
    </pivotField>
    <pivotField showAll="0"/>
    <pivotField numFmtId="14" showAll="0"/>
    <pivotField axis="axisCol" numFmtId="168" showAll="0">
      <items count="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x="13"/>
        <item x="16"/>
        <item x="15"/>
        <item x="17"/>
        <item h="1" m="1" x="19"/>
        <item x="1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21">
    <i>
      <x v="3"/>
    </i>
    <i>
      <x v="4"/>
    </i>
    <i>
      <x v="5"/>
    </i>
    <i>
      <x v="10"/>
    </i>
    <i>
      <x v="11"/>
    </i>
    <i>
      <x v="16"/>
    </i>
    <i>
      <x v="20"/>
    </i>
    <i>
      <x v="24"/>
    </i>
    <i>
      <x v="26"/>
    </i>
    <i>
      <x v="28"/>
    </i>
    <i>
      <x v="29"/>
    </i>
    <i>
      <x v="30"/>
    </i>
    <i>
      <x v="32"/>
    </i>
    <i>
      <x v="37"/>
    </i>
    <i>
      <x v="38"/>
    </i>
    <i>
      <x v="39"/>
    </i>
    <i>
      <x v="40"/>
    </i>
    <i>
      <x v="42"/>
    </i>
    <i>
      <x v="43"/>
    </i>
    <i>
      <x v="44"/>
    </i>
    <i t="grand">
      <x/>
    </i>
  </rowItems>
  <colFields count="1">
    <field x="5"/>
  </colFields>
  <colItems count="6">
    <i>
      <x v="14"/>
    </i>
    <i>
      <x v="15"/>
    </i>
    <i>
      <x v="16"/>
    </i>
    <i>
      <x v="17"/>
    </i>
    <i>
      <x v="19"/>
    </i>
    <i t="grand">
      <x/>
    </i>
  </colItems>
  <pageFields count="1">
    <pageField fld="2" hier="-1"/>
  </pageFields>
  <dataFields count="1">
    <dataField name="Suma de MTS" fld="10" baseField="0" baseItem="0" numFmtId="3"/>
  </dataFields>
  <formats count="14">
    <format dxfId="102">
      <pivotArea field="1" type="button" dataOnly="0" labelOnly="1" outline="0" axis="axisRow" fieldPosition="0"/>
    </format>
    <format dxfId="101">
      <pivotArea outline="0" collapsedLevelsAreSubtotals="1" fieldPosition="0"/>
    </format>
    <format dxfId="100">
      <pivotArea outline="0" collapsedLevelsAreSubtotals="1" fieldPosition="0">
        <references count="1">
          <reference field="5" count="0" selected="0"/>
        </references>
      </pivotArea>
    </format>
    <format dxfId="99">
      <pivotArea dataOnly="0" labelOnly="1" outline="0" fieldPosition="0">
        <references count="1">
          <reference field="2" count="0"/>
        </references>
      </pivotArea>
    </format>
    <format dxfId="98">
      <pivotArea field="5" type="button" dataOnly="0" labelOnly="1" outline="0" axis="axisCol" fieldPosition="0"/>
    </format>
    <format dxfId="97">
      <pivotArea type="topRight" dataOnly="0" labelOnly="1" outline="0" fieldPosition="0"/>
    </format>
    <format dxfId="96">
      <pivotArea dataOnly="0" labelOnly="1" fieldPosition="0">
        <references count="1">
          <reference field="5" count="0"/>
        </references>
      </pivotArea>
    </format>
    <format dxfId="95">
      <pivotArea dataOnly="0" labelOnly="1" grandCol="1" outline="0" fieldPosition="0"/>
    </format>
    <format dxfId="94">
      <pivotArea type="origin" dataOnly="0" labelOnly="1" outline="0" fieldPosition="0"/>
    </format>
    <format dxfId="93">
      <pivotArea collapsedLevelsAreSubtotals="1" fieldPosition="0">
        <references count="3">
          <reference field="0" count="1">
            <x v="90"/>
          </reference>
          <reference field="1" count="1" selected="0">
            <x v="29"/>
          </reference>
          <reference field="5" count="4" selected="0">
            <x v="9"/>
            <x v="10"/>
            <x v="11"/>
            <x v="12"/>
          </reference>
        </references>
      </pivotArea>
    </format>
    <format dxfId="92">
      <pivotArea dataOnly="0" labelOnly="1" fieldPosition="0">
        <references count="2">
          <reference field="0" count="1">
            <x v="90"/>
          </reference>
          <reference field="1" count="1" selected="0">
            <x v="29"/>
          </reference>
        </references>
      </pivotArea>
    </format>
    <format dxfId="91">
      <pivotArea collapsedLevelsAreSubtotals="1" fieldPosition="0">
        <references count="3">
          <reference field="0" count="1">
            <x v="90"/>
          </reference>
          <reference field="1" count="1" selected="0">
            <x v="29"/>
          </reference>
          <reference field="5" count="4" selected="0">
            <x v="9"/>
            <x v="10"/>
            <x v="11"/>
            <x v="12"/>
          </reference>
        </references>
      </pivotArea>
    </format>
    <format dxfId="90">
      <pivotArea dataOnly="0" labelOnly="1" fieldPosition="0">
        <references count="2">
          <reference field="0" count="1">
            <x v="90"/>
          </reference>
          <reference field="1" count="1" selected="0">
            <x v="29"/>
          </reference>
        </references>
      </pivotArea>
    </format>
    <format dxfId="89">
      <pivotArea field="5" grandRow="1" outline="0" collapsedLevelsAreSubtotals="1" axis="axisCol" fieldPosition="0">
        <references count="1">
          <reference field="5" count="2" selected="0"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F1106-428D-4EFA-8FC6-0CCC8F5FC76A}" name="Tabela dinâmica1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AVERAGE PRICE PER CUSTOMER (US$)">
  <location ref="G53:H71" firstHeaderRow="1" firstDataRow="1" firstDataCol="1" rowPageCount="2" colPageCount="1"/>
  <pivotFields count="20">
    <pivotField showAll="0"/>
    <pivotField axis="axisRow" showAll="0" sortType="descending">
      <items count="33">
        <item x="30"/>
        <item x="9"/>
        <item x="26"/>
        <item x="25"/>
        <item x="20"/>
        <item x="6"/>
        <item x="0"/>
        <item x="8"/>
        <item x="4"/>
        <item x="5"/>
        <item x="21"/>
        <item x="7"/>
        <item x="22"/>
        <item x="13"/>
        <item x="29"/>
        <item x="1"/>
        <item x="23"/>
        <item x="27"/>
        <item x="18"/>
        <item x="15"/>
        <item x="14"/>
        <item x="2"/>
        <item x="3"/>
        <item x="19"/>
        <item x="17"/>
        <item x="24"/>
        <item x="16"/>
        <item x="12"/>
        <item x="11"/>
        <item x="28"/>
        <item x="10"/>
        <item m="1"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2">
        <item x="5"/>
        <item x="0"/>
        <item x="6"/>
        <item x="4"/>
        <item x="9"/>
        <item x="2"/>
        <item x="1"/>
        <item x="7"/>
        <item x="3"/>
        <item x="8"/>
        <item m="1" x="10"/>
        <item t="default"/>
      </items>
    </pivotField>
    <pivotField showAll="0"/>
    <pivotField name="DATA (2026)" axis="axisPage" multipleItemSelectionAllowed="1" showAll="0">
      <items count="81">
        <item h="1" x="7"/>
        <item h="1" x="3"/>
        <item h="1" x="0"/>
        <item h="1" x="2"/>
        <item h="1" x="1"/>
        <item h="1" x="4"/>
        <item h="1" x="9"/>
        <item h="1" x="8"/>
        <item h="1" x="6"/>
        <item h="1" x="5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6"/>
        <item h="1" x="45"/>
        <item h="1" x="47"/>
        <item h="1" x="48"/>
        <item h="1" x="49"/>
        <item h="1" x="50"/>
        <item h="1" x="51"/>
        <item h="1" x="52"/>
        <item h="1" x="53"/>
        <item h="1"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1"/>
        <item x="72"/>
        <item x="70"/>
        <item x="65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 v="27"/>
    </i>
    <i>
      <x v="16"/>
    </i>
    <i>
      <x v="29"/>
    </i>
    <i>
      <x v="8"/>
    </i>
    <i>
      <x v="17"/>
    </i>
    <i>
      <x v="9"/>
    </i>
    <i>
      <x v="14"/>
    </i>
    <i>
      <x v="19"/>
    </i>
    <i>
      <x v="7"/>
    </i>
    <i>
      <x v="28"/>
    </i>
    <i>
      <x v="13"/>
    </i>
    <i>
      <x v="2"/>
    </i>
    <i>
      <x v="20"/>
    </i>
    <i>
      <x v="25"/>
    </i>
    <i>
      <x v="18"/>
    </i>
    <i>
      <x/>
    </i>
    <i>
      <x v="3"/>
    </i>
    <i t="grand">
      <x/>
    </i>
  </rowItems>
  <colItems count="1">
    <i/>
  </colItems>
  <pageFields count="2">
    <pageField fld="2" hier="-1"/>
    <pageField fld="4" hier="-1"/>
  </pageFields>
  <dataFields count="1">
    <dataField name="AVRG PREÇO/M.LIN." fld="12" subtotal="average" baseField="1" baseItem="0"/>
  </dataFields>
  <formats count="11">
    <format dxfId="113">
      <pivotArea field="1" type="button" dataOnly="0" labelOnly="1" outline="0" axis="axisRow" fieldPosition="0"/>
    </format>
    <format dxfId="112">
      <pivotArea collapsedLevelsAreSubtotals="1" fieldPosition="0">
        <references count="1">
          <reference field="1" count="0"/>
        </references>
      </pivotArea>
    </format>
    <format dxfId="111">
      <pivotArea collapsedLevelsAreSubtotals="1" fieldPosition="0">
        <references count="1">
          <reference field="1" count="0"/>
        </references>
      </pivotArea>
    </format>
    <format dxfId="110">
      <pivotArea grandRow="1" outline="0" collapsedLevelsAreSubtotals="1" fieldPosition="0"/>
    </format>
    <format dxfId="109">
      <pivotArea field="4" type="button" dataOnly="0" labelOnly="1" outline="0" axis="axisPage" fieldPosition="1"/>
    </format>
    <format dxfId="108">
      <pivotArea field="2" type="button" dataOnly="0" labelOnly="1" outline="0" axis="axisPage" fieldPosition="0"/>
    </format>
    <format dxfId="107">
      <pivotArea outline="0" collapsedLevelsAreSubtotals="1" fieldPosition="0"/>
    </format>
    <format dxfId="106">
      <pivotArea dataOnly="0" labelOnly="1" fieldPosition="0">
        <references count="1">
          <reference field="1" count="5">
            <x v="8"/>
            <x v="9"/>
            <x v="16"/>
            <x v="17"/>
            <x v="29"/>
          </reference>
        </references>
      </pivotArea>
    </format>
    <format dxfId="105">
      <pivotArea dataOnly="0" labelOnly="1" fieldPosition="0">
        <references count="1">
          <reference field="1" count="5">
            <x v="8"/>
            <x v="9"/>
            <x v="16"/>
            <x v="17"/>
            <x v="29"/>
          </reference>
        </references>
      </pivotArea>
    </format>
    <format dxfId="104">
      <pivotArea dataOnly="0" labelOnly="1" fieldPosition="0">
        <references count="1">
          <reference field="1" count="1">
            <x v="27"/>
          </reference>
        </references>
      </pivotArea>
    </format>
    <format dxfId="103">
      <pivotArea dataOnly="0" labelOnly="1" fieldPosition="0">
        <references count="1">
          <reference field="1" count="4">
            <x v="7"/>
            <x v="14"/>
            <x v="19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31115-6420-49EB-BA35-CFE92F785A05}" name="TablaDinámica2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/PROFORMAS PEDIDO">
  <location ref="N3:O18" firstHeaderRow="1" firstDataRow="1" firstDataCol="1" rowPageCount="1" colPageCount="1"/>
  <pivotFields count="18">
    <pivotField axis="axisRow" showAll="0">
      <items count="57">
        <item x="5"/>
        <item x="21"/>
        <item x="6"/>
        <item x="14"/>
        <item x="8"/>
        <item x="13"/>
        <item x="12"/>
        <item x="15"/>
        <item x="26"/>
        <item x="24"/>
        <item x="25"/>
        <item x="23"/>
        <item x="22"/>
        <item x="17"/>
        <item x="27"/>
        <item x="29"/>
        <item x="7"/>
        <item x="20"/>
        <item x="28"/>
        <item x="19"/>
        <item x="30"/>
        <item x="18"/>
        <item x="0"/>
        <item x="34"/>
        <item x="36"/>
        <item x="9"/>
        <item x="2"/>
        <item x="40"/>
        <item x="46"/>
        <item x="4"/>
        <item x="16"/>
        <item x="39"/>
        <item x="1"/>
        <item x="31"/>
        <item x="33"/>
        <item x="35"/>
        <item x="32"/>
        <item x="37"/>
        <item x="41"/>
        <item x="38"/>
        <item x="42"/>
        <item x="45"/>
        <item x="43"/>
        <item x="44"/>
        <item x="47"/>
        <item x="48"/>
        <item x="49"/>
        <item x="50"/>
        <item x="52"/>
        <item x="53"/>
        <item x="51"/>
        <item x="10"/>
        <item x="11"/>
        <item x="3"/>
        <item x="54"/>
        <item x="55"/>
        <item t="default"/>
      </items>
    </pivotField>
    <pivotField axis="axisRow" showAll="0" sortType="ascending">
      <items count="26">
        <item sd="0" x="22"/>
        <item sd="0" x="16"/>
        <item x="11"/>
        <item sd="0" x="6"/>
        <item sd="0" x="21"/>
        <item x="7"/>
        <item sd="0" x="2"/>
        <item sd="0" x="3"/>
        <item sd="0" x="18"/>
        <item sd="0" x="9"/>
        <item sd="0" x="15"/>
        <item sd="0" x="5"/>
        <item sd="0" x="1"/>
        <item sd="0" x="20"/>
        <item sd="0" x="0"/>
        <item sd="0" x="14"/>
        <item sd="0" x="13"/>
        <item sd="0" x="19"/>
        <item sd="0" x="10"/>
        <item sd="0" x="4"/>
        <item sd="0" x="12"/>
        <item sd="0" x="17"/>
        <item x="8"/>
        <item sd="0" x="23"/>
        <item sd="0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umFmtId="14" multipleItemSelectionAllowed="1" showAll="0">
      <items count="46">
        <item h="1" x="10"/>
        <item h="1" x="3"/>
        <item h="1" x="5"/>
        <item h="1" x="6"/>
        <item h="1" x="8"/>
        <item h="1" x="12"/>
        <item h="1" x="11"/>
        <item h="1" x="13"/>
        <item h="1" x="23"/>
        <item h="1" x="21"/>
        <item h="1" x="22"/>
        <item h="1" x="20"/>
        <item h="1" x="19"/>
        <item h="1" x="24"/>
        <item h="1" x="7"/>
        <item h="1" x="18"/>
        <item h="1" x="25"/>
        <item h="1" x="17"/>
        <item h="1" x="16"/>
        <item h="1" x="15"/>
        <item x="0"/>
        <item h="1" x="9"/>
        <item h="1" x="2"/>
        <item h="1" x="36"/>
        <item x="26"/>
        <item x="4"/>
        <item x="14"/>
        <item x="1"/>
        <item x="27"/>
        <item x="28"/>
        <item x="31"/>
        <item x="29"/>
        <item x="32"/>
        <item x="30"/>
        <item x="33"/>
        <item x="34"/>
        <item x="35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5">
    <i>
      <x v="19"/>
    </i>
    <i>
      <x v="20"/>
    </i>
    <i>
      <x v="1"/>
    </i>
    <i>
      <x v="8"/>
    </i>
    <i>
      <x v="17"/>
    </i>
    <i>
      <x v="13"/>
    </i>
    <i>
      <x v="23"/>
    </i>
    <i>
      <x v="4"/>
    </i>
    <i>
      <x v="24"/>
    </i>
    <i>
      <x v="16"/>
    </i>
    <i>
      <x v="6"/>
    </i>
    <i>
      <x v="14"/>
    </i>
    <i>
      <x v="12"/>
    </i>
    <i>
      <x v="7"/>
    </i>
    <i t="grand">
      <x/>
    </i>
  </rowItems>
  <colItems count="1">
    <i/>
  </colItems>
  <pageFields count="1">
    <pageField fld="2" hier="-1"/>
  </pageFields>
  <dataFields count="1">
    <dataField name="Suma de DATA ESTIMADA PCP " fld="6" baseField="0" baseItem="53"/>
  </dataFields>
  <formats count="2">
    <format dxfId="59">
      <pivotArea dataOnly="0" labelOnly="1" outline="0" axis="axisValues" fieldPosition="0"/>
    </format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C94CA-DDF6-49F2-8750-4FFC2DB73E1F}" name="TablaDinámica1" cacheId="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STATUS PRODUÇÃO">
  <location ref="A3:K41" firstHeaderRow="1" firstDataRow="2" firstDataCol="1"/>
  <pivotFields count="20">
    <pivotField showAll="0"/>
    <pivotField axis="axisRow" dataField="1" showAll="0">
      <items count="37">
        <item sd="0" x="30"/>
        <item sd="0" x="31"/>
        <item sd="0" x="9"/>
        <item sd="0" x="26"/>
        <item sd="0" x="25"/>
        <item sd="0" x="20"/>
        <item sd="0" x="34"/>
        <item sd="0" x="6"/>
        <item sd="0" x="0"/>
        <item sd="0" x="8"/>
        <item sd="0" x="4"/>
        <item sd="0" x="5"/>
        <item sd="0" x="21"/>
        <item sd="0" x="7"/>
        <item sd="0" x="22"/>
        <item sd="0" x="13"/>
        <item sd="0" x="29"/>
        <item sd="0" x="1"/>
        <item sd="0" x="23"/>
        <item sd="0" x="27"/>
        <item sd="0" x="35"/>
        <item sd="0" x="18"/>
        <item sd="0" x="15"/>
        <item sd="0" x="14"/>
        <item sd="0" x="2"/>
        <item sd="0" x="33"/>
        <item sd="0" x="3"/>
        <item sd="0" x="19"/>
        <item sd="0" x="17"/>
        <item sd="0" x="24"/>
        <item sd="0" x="16"/>
        <item sd="0" x="12"/>
        <item sd="0" x="11"/>
        <item sd="0" x="32"/>
        <item sd="0" x="28"/>
        <item sd="0" x="10"/>
        <item t="default"/>
      </items>
    </pivotField>
    <pivotField showAll="0"/>
    <pivotField showAll="0"/>
    <pivotField numFmtId="14" showAll="0"/>
    <pivotField numFmtId="168" showAll="0"/>
    <pivotField showAll="0"/>
    <pivotField axis="axisRow" showAll="0">
      <items count="365">
        <item x="219"/>
        <item x="227"/>
        <item x="87"/>
        <item x="80"/>
        <item x="81"/>
        <item x="83"/>
        <item x="84"/>
        <item x="79"/>
        <item x="85"/>
        <item x="48"/>
        <item x="293"/>
        <item x="225"/>
        <item x="229"/>
        <item x="230"/>
        <item x="197"/>
        <item x="86"/>
        <item x="152"/>
        <item x="151"/>
        <item x="228"/>
        <item x="90"/>
        <item x="82"/>
        <item x="95"/>
        <item x="98"/>
        <item x="99"/>
        <item x="101"/>
        <item x="97"/>
        <item x="104"/>
        <item x="105"/>
        <item x="106"/>
        <item x="107"/>
        <item x="108"/>
        <item x="231"/>
        <item x="92"/>
        <item x="109"/>
        <item x="110"/>
        <item x="89"/>
        <item x="111"/>
        <item x="226"/>
        <item x="88"/>
        <item x="221"/>
        <item x="224"/>
        <item x="222"/>
        <item x="223"/>
        <item x="220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78"/>
        <item x="77"/>
        <item x="76"/>
        <item x="93"/>
        <item x="94"/>
        <item x="96"/>
        <item x="100"/>
        <item x="102"/>
        <item x="103"/>
        <item x="113"/>
        <item x="112"/>
        <item x="150"/>
        <item x="282"/>
        <item x="281"/>
        <item x="280"/>
        <item x="279"/>
        <item x="278"/>
        <item x="277"/>
        <item x="275"/>
        <item x="274"/>
        <item x="273"/>
        <item x="283"/>
        <item x="271"/>
        <item x="270"/>
        <item x="269"/>
        <item x="268"/>
        <item x="267"/>
        <item x="276"/>
        <item x="272"/>
        <item x="266"/>
        <item x="264"/>
        <item x="263"/>
        <item x="262"/>
        <item x="261"/>
        <item x="260"/>
        <item x="265"/>
        <item x="286"/>
        <item x="285"/>
        <item x="284"/>
        <item x="288"/>
        <item x="294"/>
        <item x="16"/>
        <item x="15"/>
        <item x="23"/>
        <item x="24"/>
        <item x="9"/>
        <item x="25"/>
        <item x="17"/>
        <item x="12"/>
        <item x="26"/>
        <item x="13"/>
        <item x="27"/>
        <item x="28"/>
        <item x="19"/>
        <item x="14"/>
        <item x="3"/>
        <item x="4"/>
        <item x="1"/>
        <item x="2"/>
        <item x="18"/>
        <item x="52"/>
        <item x="31"/>
        <item x="20"/>
        <item x="21"/>
        <item x="91"/>
        <item x="37"/>
        <item x="32"/>
        <item x="47"/>
        <item x="217"/>
        <item x="33"/>
        <item x="160"/>
        <item x="34"/>
        <item x="162"/>
        <item x="148"/>
        <item x="233"/>
        <item x="232"/>
        <item x="45"/>
        <item x="147"/>
        <item x="44"/>
        <item x="42"/>
        <item x="43"/>
        <item x="121"/>
        <item x="122"/>
        <item x="123"/>
        <item x="124"/>
        <item x="126"/>
        <item x="127"/>
        <item x="149"/>
        <item x="341"/>
        <item x="34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4"/>
        <item x="343"/>
        <item x="309"/>
        <item x="308"/>
        <item x="307"/>
        <item x="128"/>
        <item x="166"/>
        <item x="134"/>
        <item x="131"/>
        <item x="132"/>
        <item x="137"/>
        <item x="133"/>
        <item x="129"/>
        <item x="135"/>
        <item x="130"/>
        <item x="136"/>
        <item x="312"/>
        <item x="360"/>
        <item x="8"/>
        <item x="7"/>
        <item x="10"/>
        <item x="39"/>
        <item x="141"/>
        <item x="142"/>
        <item x="50"/>
        <item x="40"/>
        <item x="143"/>
        <item x="174"/>
        <item x="51"/>
        <item x="173"/>
        <item x="144"/>
        <item x="156"/>
        <item x="171"/>
        <item x="170"/>
        <item x="169"/>
        <item x="168"/>
        <item x="29"/>
        <item x="30"/>
        <item x="49"/>
        <item x="38"/>
        <item x="159"/>
        <item x="139"/>
        <item x="218"/>
        <item x="199"/>
        <item x="164"/>
        <item x="163"/>
        <item x="200"/>
        <item x="295"/>
        <item x="161"/>
        <item x="190"/>
        <item x="202"/>
        <item x="203"/>
        <item x="201"/>
        <item x="125"/>
        <item x="193"/>
        <item x="194"/>
        <item x="251"/>
        <item x="248"/>
        <item x="252"/>
        <item x="247"/>
        <item x="254"/>
        <item x="249"/>
        <item x="253"/>
        <item x="250"/>
        <item x="246"/>
        <item x="196"/>
        <item x="195"/>
        <item x="191"/>
        <item x="192"/>
        <item x="41"/>
        <item x="361"/>
        <item x="297"/>
        <item x="358"/>
        <item x="165"/>
        <item x="46"/>
        <item x="300"/>
        <item x="298"/>
        <item x="299"/>
        <item x="167"/>
        <item x="140"/>
        <item x="245"/>
        <item x="244"/>
        <item x="243"/>
        <item x="157"/>
        <item x="158"/>
        <item x="311"/>
        <item x="310"/>
        <item x="289"/>
        <item x="290"/>
        <item x="291"/>
        <item x="292"/>
        <item x="345"/>
        <item x="346"/>
        <item x="348"/>
        <item x="347"/>
        <item x="349"/>
        <item x="198"/>
        <item x="172"/>
        <item x="145"/>
        <item x="146"/>
        <item x="234"/>
        <item x="116"/>
        <item x="120"/>
        <item x="235"/>
        <item x="115"/>
        <item x="119"/>
        <item x="117"/>
        <item x="138"/>
        <item x="155"/>
        <item x="154"/>
        <item x="153"/>
        <item x="175"/>
        <item x="176"/>
        <item x="177"/>
        <item x="178"/>
        <item x="179"/>
        <item x="180"/>
        <item x="181"/>
        <item x="182"/>
        <item x="186"/>
        <item x="187"/>
        <item x="188"/>
        <item x="189"/>
        <item x="183"/>
        <item x="184"/>
        <item x="185"/>
        <item x="204"/>
        <item x="205"/>
        <item x="206"/>
        <item x="207"/>
        <item x="240"/>
        <item x="238"/>
        <item x="236"/>
        <item x="296"/>
        <item x="239"/>
        <item x="242"/>
        <item x="241"/>
        <item x="237"/>
        <item x="301"/>
        <item x="305"/>
        <item x="304"/>
        <item x="303"/>
        <item x="302"/>
        <item x="306"/>
        <item x="355"/>
        <item x="354"/>
        <item x="353"/>
        <item x="350"/>
        <item x="351"/>
        <item x="352"/>
        <item x="357"/>
        <item x="356"/>
        <item x="287"/>
        <item x="255"/>
        <item x="256"/>
        <item x="363"/>
        <item x="259"/>
        <item x="208"/>
        <item x="216"/>
        <item x="209"/>
        <item x="210"/>
        <item x="211"/>
        <item x="212"/>
        <item x="213"/>
        <item x="214"/>
        <item x="215"/>
        <item x="258"/>
        <item x="257"/>
        <item x="6"/>
        <item x="11"/>
        <item x="36"/>
        <item x="35"/>
        <item x="118"/>
        <item x="114"/>
        <item x="0"/>
        <item x="5"/>
        <item x="22"/>
        <item x="359"/>
        <item x="362"/>
        <item t="default"/>
      </items>
    </pivotField>
    <pivotField axis="axisRow" showAll="0">
      <items count="111">
        <item x="2"/>
        <item x="1"/>
        <item x="3"/>
        <item x="5"/>
        <item x="6"/>
        <item x="4"/>
        <item x="7"/>
        <item x="8"/>
        <item x="10"/>
        <item x="9"/>
        <item x="11"/>
        <item x="12"/>
        <item x="13"/>
        <item x="15"/>
        <item x="16"/>
        <item x="17"/>
        <item x="14"/>
        <item x="18"/>
        <item x="19"/>
        <item x="20"/>
        <item x="21"/>
        <item x="23"/>
        <item x="22"/>
        <item x="24"/>
        <item x="25"/>
        <item x="26"/>
        <item x="27"/>
        <item x="29"/>
        <item x="28"/>
        <item x="30"/>
        <item x="31"/>
        <item x="32"/>
        <item x="34"/>
        <item x="33"/>
        <item x="36"/>
        <item x="35"/>
        <item x="37"/>
        <item x="38"/>
        <item x="39"/>
        <item x="41"/>
        <item x="42"/>
        <item x="43"/>
        <item x="40"/>
        <item x="44"/>
        <item x="45"/>
        <item x="46"/>
        <item x="47"/>
        <item x="48"/>
        <item x="49"/>
        <item x="50"/>
        <item x="52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7"/>
        <item x="78"/>
        <item x="79"/>
        <item x="81"/>
        <item x="82"/>
        <item x="80"/>
        <item x="73"/>
        <item x="83"/>
        <item x="76"/>
        <item x="85"/>
        <item x="86"/>
        <item x="84"/>
        <item x="87"/>
        <item x="89"/>
        <item x="90"/>
        <item x="91"/>
        <item x="92"/>
        <item x="88"/>
        <item x="93"/>
        <item x="94"/>
        <item m="1" x="107"/>
        <item x="97"/>
        <item m="1" x="108"/>
        <item x="98"/>
        <item x="95"/>
        <item x="99"/>
        <item m="1" x="109"/>
        <item x="102"/>
        <item x="103"/>
        <item x="101"/>
        <item x="104"/>
        <item x="105"/>
        <item x="106"/>
        <item x="0"/>
        <item x="96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5"/>
        <item x="8"/>
        <item x="2"/>
        <item x="3"/>
        <item x="7"/>
        <item x="4"/>
        <item x="1"/>
        <item x="6"/>
        <item x="0"/>
        <item t="default"/>
      </items>
    </pivotField>
    <pivotField showAll="0"/>
  </pivotFields>
  <rowFields count="3">
    <field x="1"/>
    <field x="8"/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uenta de CLIENTE" fld="1" subtotal="count" baseField="0" baseItem="0"/>
  </dataFields>
  <formats count="5">
    <format dxfId="64">
      <pivotArea outline="0" collapsedLevelsAreSubtotals="1" fieldPosition="0"/>
    </format>
    <format dxfId="63">
      <pivotArea field="18" type="button" dataOnly="0" labelOnly="1" outline="0" axis="axisCol" fieldPosition="0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18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909AC-AA70-470D-A4AD-C1657402ADE2}" name="TablaDinámica2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O22" firstHeaderRow="1" firstDataRow="4" firstDataCol="1" rowPageCount="1" colPageCount="1"/>
  <pivotFields count="18">
    <pivotField showAll="0"/>
    <pivotField axis="axisRow" showAll="0">
      <items count="16">
        <item x="6"/>
        <item x="0"/>
        <item m="1" x="14"/>
        <item x="4"/>
        <item x="5"/>
        <item x="7"/>
        <item x="1"/>
        <item x="2"/>
        <item x="3"/>
        <item x="13"/>
        <item x="9"/>
        <item x="8"/>
        <item x="10"/>
        <item x="11"/>
        <item x="12"/>
        <item t="default"/>
      </items>
    </pivotField>
    <pivotField axis="axisPage" multipleItemSelectionAllowed="1" showAll="0">
      <items count="8">
        <item x="5"/>
        <item x="0"/>
        <item x="4"/>
        <item x="2"/>
        <item x="1"/>
        <item x="3"/>
        <item x="6"/>
        <item t="default"/>
      </items>
    </pivotField>
    <pivotField axis="axisCol" showAll="0">
      <items count="24">
        <item x="7"/>
        <item x="3"/>
        <item x="0"/>
        <item x="2"/>
        <item x="1"/>
        <item x="4"/>
        <item x="9"/>
        <item x="8"/>
        <item x="6"/>
        <item x="5"/>
        <item x="10"/>
        <item x="11"/>
        <item x="12"/>
        <item x="2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17"/>
    <field x="16"/>
    <field x="3"/>
  </colFields>
  <colItems count="6">
    <i>
      <x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Soma de MTS" fld="9" baseField="0" baseItem="0" numFmtId="3"/>
  </dataFields>
  <formats count="5">
    <format dxfId="56">
      <pivotArea outline="0" collapsedLevelsAreSubtotals="1" fieldPosition="0"/>
    </format>
    <format dxfId="55">
      <pivotArea dataOnly="0" labelOnly="1" fieldPosition="0">
        <references count="1">
          <reference field="17" count="1">
            <x v="2"/>
          </reference>
        </references>
      </pivotArea>
    </format>
    <format dxfId="54">
      <pivotArea dataOnly="0" labelOnly="1" fieldPosition="0">
        <references count="1">
          <reference field="17" count="1">
            <x v="3"/>
          </reference>
        </references>
      </pivotArea>
    </format>
    <format dxfId="53">
      <pivotArea dataOnly="0" labelOnly="1" fieldPosition="0">
        <references count="1">
          <reference field="17" count="1">
            <x v="4"/>
          </reference>
        </references>
      </pivotArea>
    </format>
    <format dxfId="5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90C4C-2D91-42B2-80BB-51E85F4CE364}" name="TablaDinámica1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G22" firstHeaderRow="1" firstDataRow="4" firstDataCol="1" rowPageCount="1" colPageCount="1"/>
  <pivotFields count="18">
    <pivotField showAll="0"/>
    <pivotField axis="axisRow" showAll="0">
      <items count="16">
        <item x="6"/>
        <item x="0"/>
        <item m="1" x="14"/>
        <item x="4"/>
        <item x="5"/>
        <item x="7"/>
        <item x="1"/>
        <item x="2"/>
        <item x="3"/>
        <item x="13"/>
        <item x="9"/>
        <item x="8"/>
        <item x="10"/>
        <item x="11"/>
        <item x="12"/>
        <item t="default"/>
      </items>
    </pivotField>
    <pivotField axis="axisPage" multipleItemSelectionAllowed="1" showAll="0">
      <items count="8">
        <item x="5"/>
        <item x="0"/>
        <item x="4"/>
        <item x="2"/>
        <item x="1"/>
        <item x="3"/>
        <item x="6"/>
        <item t="default"/>
      </items>
    </pivotField>
    <pivotField axis="axisCol" showAll="0">
      <items count="24">
        <item x="7"/>
        <item x="3"/>
        <item x="0"/>
        <item x="2"/>
        <item x="1"/>
        <item x="4"/>
        <item x="9"/>
        <item x="8"/>
        <item x="6"/>
        <item x="5"/>
        <item x="10"/>
        <item x="11"/>
        <item x="12"/>
        <item x="2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17"/>
    <field x="16"/>
    <field x="3"/>
  </colFields>
  <colItems count="6">
    <i>
      <x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Soma de TOTAL US$" fld="12" baseField="0" baseItem="0" numFmtId="167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56991-1AA3-4448-83BD-F6D1F34F3E59}" name="Tabela13" displayName="Tabela13" ref="A5:L70" totalsRowShown="0" headerRowDxfId="158" dataDxfId="157">
  <autoFilter ref="A5:L70" xr:uid="{C1E56991-1AA3-4448-83BD-F6D1F34F3E59}">
    <filterColumn colId="2">
      <filters>
        <dateGroupItem year="2026" dateTimeGrouping="year"/>
      </filters>
    </filterColumn>
    <filterColumn colId="3">
      <filters>
        <dateGroupItem year="2026" dateTimeGrouping="year"/>
      </filters>
    </filterColumn>
    <filterColumn colId="8">
      <filters>
        <filter val="ON HOLD"/>
        <filter val="TBC"/>
        <filter val="TBD"/>
        <dateGroupItem year="2026" month="9" dateTimeGrouping="month"/>
      </filters>
    </filterColumn>
    <filterColumn colId="10">
      <filters blank="1">
        <filter val="043.26"/>
        <filter val="043.26 (pedido compl)"/>
        <filter val="046.26+047.26"/>
        <filter val="on hold"/>
      </filters>
    </filterColumn>
  </autoFilter>
  <sortState xmlns:xlrd2="http://schemas.microsoft.com/office/spreadsheetml/2017/richdata2" ref="A6:L52">
    <sortCondition ref="G5:G52"/>
  </sortState>
  <tableColumns count="12">
    <tableColumn id="1" xr3:uid="{9313470B-6539-4C39-A6DD-FEE5BAA5DC7C}" name="PROFORM -INVOICE_x000a_NBR" dataDxfId="156" totalsRowDxfId="155"/>
    <tableColumn id="7" xr3:uid="{923A14F0-1F72-40CB-8998-25D52F776BB7}" name="CLIENTE" dataDxfId="154" totalsRowDxfId="153"/>
    <tableColumn id="3" xr3:uid="{851F424A-BF2E-40A1-A199-054DC668B6AA}" name="DATA _x000a_PROFORMA y/o PEDIDO " dataDxfId="152" totalsRowDxfId="151"/>
    <tableColumn id="13" xr3:uid="{5DA42F3B-5AA7-45E3-957E-49959FA2580A}" name="DATA IDEAL ENTREGA _x000a_(30 D.)" dataDxfId="150"/>
    <tableColumn id="8" xr3:uid="{759DB444-C702-44AE-8C16-DE3D66902C9E}" name="NÚM. PEDIDO_x000a_TOTVS" dataDxfId="149" totalsRowDxfId="148"/>
    <tableColumn id="5" xr3:uid="{9A0BBA60-98F7-4B1A-88B3-716C75AD5CA0}" name="TOTAL METROS PEDIDO" dataDxfId="147" totalsRowDxfId="146">
      <calculatedColumnFormula>VLOOKUP(Tabela13[[#This Row],[PROFORM -INVOICE
NBR]],'VOLUME-VALOR-AVRG PRICE'!A1:B47,2,0)</calculatedColumnFormula>
    </tableColumn>
    <tableColumn id="12" xr3:uid="{6F534700-C70D-4F83-B2B1-423E82EA18FD}" name="DATA ESTIMADA FINALIZ. _x000a_PCP_x000a_" dataDxfId="145" totalsRowDxfId="144"/>
    <tableColumn id="19" xr3:uid="{AB40E169-4F4E-4A87-933C-675C6C811E09}" name="DÍAS  ATRASO vs._x000a_IDEAL (30d.)" dataDxfId="143" totalsRowDxfId="142"/>
    <tableColumn id="15" xr3:uid="{AB5F47CA-BF00-47BB-8CF8-B63263689960}" name="DATA COLETA/_x000a_DESPACHO" dataDxfId="141" totalsRowDxfId="140"/>
    <tableColumn id="11" xr3:uid="{94992827-BBC6-4200-B47D-E44BC07CC101}" name="VERIFICA._x000a_RECEBIMENTO" totalsRowDxfId="139"/>
    <tableColumn id="17" xr3:uid="{2D7A75B6-6944-4B59-8B41-D47E6C387BAB}" name="CONSOLIDA INVOICE _x000a_DESPACHO?/STATUS INVOIC." dataDxfId="138" totalsRowDxfId="137"/>
    <tableColumn id="4" xr3:uid="{B032B65F-E020-4165-BA69-CCB52191C37B}" name="OBSERVAÇÃO/PROXIMO PASSO" dataDxfId="136" totalsRowDxfId="135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577DF-8AD2-47D6-9860-FE0D7415F8C1}" name="Tabela1" displayName="Tabela1" ref="A4:S510" totalsRowShown="0" headerRowDxfId="134" dataDxfId="133">
  <autoFilter ref="A4:S510" xr:uid="{981F99F4-2411-48A2-89D3-3ADE2BB8309B}">
    <filterColumn colId="4">
      <filters blank="1">
        <dateGroupItem year="2026" dateTimeGrouping="year"/>
      </filters>
    </filterColumn>
  </autoFilter>
  <sortState xmlns:xlrd2="http://schemas.microsoft.com/office/spreadsheetml/2017/richdata2" ref="A270:S280">
    <sortCondition descending="1" ref="A4:A281"/>
  </sortState>
  <tableColumns count="19">
    <tableColumn id="1" xr3:uid="{46B331DC-6EE8-469F-A769-4F44783A1C1E}" name="PRO-FORM_x000a_NBR." dataDxfId="132"/>
    <tableColumn id="4" xr3:uid="{0256D1C7-3282-4CC0-9947-49F132481199}" name="CLIENTE" dataDxfId="131"/>
    <tableColumn id="2" xr3:uid="{124DC3AB-B515-41F0-8C96-77DFF8BF5BE7}" name="PAIS" dataDxfId="130"/>
    <tableColumn id="13" xr3:uid="{A48BAA6A-2740-445A-8977-DC4080D4A099}" name="COD _x000a_CLIENTE" dataDxfId="129"/>
    <tableColumn id="3" xr3:uid="{9D00C633-2D26-4F5B-8FA4-97C9B647BD03}" name="DATA _x000a_PRO-FORMA" dataDxfId="128"/>
    <tableColumn id="19" xr3:uid="{4ADEC5E0-B698-471C-BB6D-9233DCE89576}" name="PROGRAM. _x000a_MÊS" dataDxfId="127"/>
    <tableColumn id="5" xr3:uid="{C49B9801-2D41-4862-81B2-9E4230196AA1}" name="CODE CLIENTE/_x000a_INTERNO" dataDxfId="126"/>
    <tableColumn id="6" xr3:uid="{005EEBDC-F460-439B-A718-8D91E0C0C16E}" name="TOTVS" dataDxfId="125"/>
    <tableColumn id="20" xr3:uid="{47C7FD65-6873-49BA-9402-CD0FC67F42D2}" name="PEDIDO TOTVS" dataDxfId="124"/>
    <tableColumn id="7" xr3:uid="{A10421F5-56EC-4D6C-99B8-2F0951E95204}" name="DESCRIÇÃO" dataDxfId="123"/>
    <tableColumn id="8" xr3:uid="{8C6DAF74-EC7B-4D2A-BBAA-7F954B87739D}" name="MTS" dataDxfId="122"/>
    <tableColumn id="9" xr3:uid="{00B9BEB5-A90A-4D69-BE34-1A0F6BA62011}" name="KGS" dataDxfId="121"/>
    <tableColumn id="10" xr3:uid="{24C49205-4C29-4CC4-BEA6-84F65264296F}" name="PREÇO" dataDxfId="120"/>
    <tableColumn id="11" xr3:uid="{B03A8901-7D9C-4EE4-AF76-AF710EB45805}" name="TOTAL _x000a_US$" dataDxfId="119"/>
    <tableColumn id="16" xr3:uid="{BE73E3CF-9A31-4476-8DCA-CB119CFF377F}" name="CONTATO" dataDxfId="118"/>
    <tableColumn id="17" xr3:uid="{0BB3A3CA-61B1-40F5-8E8F-00DBADBC5982}" name="E-MAIL" dataDxfId="117"/>
    <tableColumn id="18" xr3:uid="{536028D9-C711-4E5E-88ED-672139C66F18}" name="FONE" dataDxfId="116"/>
    <tableColumn id="14" xr3:uid="{337650D9-8965-43A7-8F97-48F62CB42F9C}" name="OBS. " dataDxfId="115"/>
    <tableColumn id="12" xr3:uid="{E4E931BA-6E46-43DC-A734-929E6680C57C}" name="STATUS _x000a_PRODUÇÃO" dataDxfId="11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F0C37-D00A-4D7C-AE83-5B2BB69C7705}" name="Tabela545" displayName="Tabela545" ref="A3:E68" totalsRowShown="0" headerRowDxfId="67">
  <autoFilter ref="A3:E68" xr:uid="{134F0C37-D00A-4D7C-AE83-5B2BB69C7705}"/>
  <tableColumns count="5">
    <tableColumn id="1" xr3:uid="{4FF774DF-70EF-4288-92F7-F8E5C8FB1A3E}" name="INVOIC. SEQ INTERN"/>
    <tableColumn id="2" xr3:uid="{C41A4880-93BA-4A8B-96C0-8CF0980506B6}" name="CLIENTE"/>
    <tableColumn id="5" xr3:uid="{02861B03-9F2C-464E-92FF-965C54191581}" name="PEDIDO RECEBIDO EM:" dataDxfId="66"/>
    <tableColumn id="3" xr3:uid="{5175721E-775A-458F-AE47-F568A38B4947}" name="PASTA _x000a_CRIADA"/>
    <tableColumn id="4" xr3:uid="{BE3D41C3-8485-4B9A-A757-640B047FB18E}" name="OBSERV." dataDxfId="6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EE59CB-BD46-4068-B01E-E8A1D52588B8}">
  <we:reference id="wa200010925" version="1.0.1.0" store="es-ES" storeType="OMEX"/>
  <we:alternateReferences>
    <we:reference id="WA200010925" version="1.0.1.0" store="WA20001092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inducolsrl@outlook.com" TargetMode="External"/><Relationship Id="rId117" Type="http://schemas.openxmlformats.org/officeDocument/2006/relationships/hyperlink" Target="mailto:czarlenga@lamitex.com.uy" TargetMode="External"/><Relationship Id="rId21" Type="http://schemas.openxmlformats.org/officeDocument/2006/relationships/hyperlink" Target="mailto:inducolsrl@outlook.com" TargetMode="External"/><Relationship Id="rId42" Type="http://schemas.openxmlformats.org/officeDocument/2006/relationships/hyperlink" Target="mailto:joseandrando@paraiso.com.ec" TargetMode="External"/><Relationship Id="rId47" Type="http://schemas.openxmlformats.org/officeDocument/2006/relationships/hyperlink" Target="mailto:polymax@polymax.com.uy" TargetMode="External"/><Relationship Id="rId63" Type="http://schemas.openxmlformats.org/officeDocument/2006/relationships/hyperlink" Target="mailto:polymax@polymax.com.uy" TargetMode="External"/><Relationship Id="rId68" Type="http://schemas.openxmlformats.org/officeDocument/2006/relationships/hyperlink" Target="mailto:polymax@polymax.com.uy" TargetMode="External"/><Relationship Id="rId84" Type="http://schemas.openxmlformats.org/officeDocument/2006/relationships/hyperlink" Target="mailto:leticia.roig@superspuma.com" TargetMode="External"/><Relationship Id="rId89" Type="http://schemas.openxmlformats.org/officeDocument/2006/relationships/hyperlink" Target="mailto:milagros.grande@grupograndesac.com" TargetMode="External"/><Relationship Id="rId112" Type="http://schemas.openxmlformats.org/officeDocument/2006/relationships/hyperlink" Target="mailto:czarlenga@lamitex.com.uy" TargetMode="External"/><Relationship Id="rId16" Type="http://schemas.openxmlformats.org/officeDocument/2006/relationships/hyperlink" Target="mailto:inducolsrl@outlook.com" TargetMode="External"/><Relationship Id="rId107" Type="http://schemas.openxmlformats.org/officeDocument/2006/relationships/hyperlink" Target="mailto:polymax@polymax.com.uy" TargetMode="External"/><Relationship Id="rId11" Type="http://schemas.openxmlformats.org/officeDocument/2006/relationships/hyperlink" Target="mailto:inducolsrl@outlook.com" TargetMode="External"/><Relationship Id="rId32" Type="http://schemas.openxmlformats.org/officeDocument/2006/relationships/hyperlink" Target="mailto:inducolsrl@outlook.com" TargetMode="External"/><Relationship Id="rId37" Type="http://schemas.openxmlformats.org/officeDocument/2006/relationships/hyperlink" Target="mailto:compras@springwall.com..ar" TargetMode="External"/><Relationship Id="rId53" Type="http://schemas.openxmlformats.org/officeDocument/2006/relationships/hyperlink" Target="mailto:polymax@polymax.com.uy" TargetMode="External"/><Relationship Id="rId58" Type="http://schemas.openxmlformats.org/officeDocument/2006/relationships/hyperlink" Target="mailto:polymax@polymax.com.uy" TargetMode="External"/><Relationship Id="rId74" Type="http://schemas.openxmlformats.org/officeDocument/2006/relationships/hyperlink" Target="mailto:leticia.roig@superspuma.com" TargetMode="External"/><Relationship Id="rId79" Type="http://schemas.openxmlformats.org/officeDocument/2006/relationships/hyperlink" Target="mailto:daniel.garnica@colchonesheaven.com" TargetMode="External"/><Relationship Id="rId102" Type="http://schemas.openxmlformats.org/officeDocument/2006/relationships/hyperlink" Target="mailto:polymax@polymax.com.uy" TargetMode="External"/><Relationship Id="rId5" Type="http://schemas.openxmlformats.org/officeDocument/2006/relationships/hyperlink" Target="mailto:jefecompras@colchonesheaven.com" TargetMode="External"/><Relationship Id="rId90" Type="http://schemas.openxmlformats.org/officeDocument/2006/relationships/hyperlink" Target="mailto:milagros.grande@grupograndesac.com" TargetMode="External"/><Relationship Id="rId95" Type="http://schemas.openxmlformats.org/officeDocument/2006/relationships/hyperlink" Target="mailto:milagros.grande@grupograndesac.com" TargetMode="External"/><Relationship Id="rId22" Type="http://schemas.openxmlformats.org/officeDocument/2006/relationships/hyperlink" Target="mailto:inducolsrl@outlook.com" TargetMode="External"/><Relationship Id="rId27" Type="http://schemas.openxmlformats.org/officeDocument/2006/relationships/hyperlink" Target="mailto:inducolsrl@outlook.com" TargetMode="External"/><Relationship Id="rId43" Type="http://schemas.openxmlformats.org/officeDocument/2006/relationships/hyperlink" Target="mailto:joseandrando@paraiso.com.ec" TargetMode="External"/><Relationship Id="rId48" Type="http://schemas.openxmlformats.org/officeDocument/2006/relationships/hyperlink" Target="mailto:polymax@polymax.com.uy" TargetMode="External"/><Relationship Id="rId64" Type="http://schemas.openxmlformats.org/officeDocument/2006/relationships/hyperlink" Target="mailto:polymax@polymax.com.uy" TargetMode="External"/><Relationship Id="rId69" Type="http://schemas.openxmlformats.org/officeDocument/2006/relationships/hyperlink" Target="mailto:comercial@martinmiller.com.ar" TargetMode="External"/><Relationship Id="rId113" Type="http://schemas.openxmlformats.org/officeDocument/2006/relationships/hyperlink" Target="mailto:czarlenga@lamitex.com.uy" TargetMode="External"/><Relationship Id="rId118" Type="http://schemas.openxmlformats.org/officeDocument/2006/relationships/printerSettings" Target="../printerSettings/printerSettings2.bin"/><Relationship Id="rId80" Type="http://schemas.openxmlformats.org/officeDocument/2006/relationships/hyperlink" Target="mailto:daniel.garnica@colchonesheaven.com" TargetMode="External"/><Relationship Id="rId85" Type="http://schemas.openxmlformats.org/officeDocument/2006/relationships/hyperlink" Target="mailto:leticia.roig@superspuma.com" TargetMode="External"/><Relationship Id="rId12" Type="http://schemas.openxmlformats.org/officeDocument/2006/relationships/hyperlink" Target="mailto:inducolsrl@outlook.com" TargetMode="External"/><Relationship Id="rId17" Type="http://schemas.openxmlformats.org/officeDocument/2006/relationships/hyperlink" Target="mailto:inducolsrl@outlook.com" TargetMode="External"/><Relationship Id="rId33" Type="http://schemas.openxmlformats.org/officeDocument/2006/relationships/hyperlink" Target="mailto:inducolsrl@outlook.com" TargetMode="External"/><Relationship Id="rId38" Type="http://schemas.openxmlformats.org/officeDocument/2006/relationships/hyperlink" Target="mailto:inducolsrl@outlook.com" TargetMode="External"/><Relationship Id="rId59" Type="http://schemas.openxmlformats.org/officeDocument/2006/relationships/hyperlink" Target="mailto:polymax@polymax.com.uy" TargetMode="External"/><Relationship Id="rId103" Type="http://schemas.openxmlformats.org/officeDocument/2006/relationships/hyperlink" Target="mailto:polymax@polymax.com.uy" TargetMode="External"/><Relationship Id="rId108" Type="http://schemas.openxmlformats.org/officeDocument/2006/relationships/hyperlink" Target="mailto:leticia.roig@superspuma.com" TargetMode="External"/><Relationship Id="rId54" Type="http://schemas.openxmlformats.org/officeDocument/2006/relationships/hyperlink" Target="mailto:polymax@polymax.com.uy" TargetMode="External"/><Relationship Id="rId70" Type="http://schemas.openxmlformats.org/officeDocument/2006/relationships/hyperlink" Target="mailto:comercial@martinmiller.com.ar" TargetMode="External"/><Relationship Id="rId75" Type="http://schemas.openxmlformats.org/officeDocument/2006/relationships/hyperlink" Target="mailto:leticia.roig@superspuma.com" TargetMode="External"/><Relationship Id="rId91" Type="http://schemas.openxmlformats.org/officeDocument/2006/relationships/hyperlink" Target="mailto:milagros.grande@grupograndesac.com" TargetMode="External"/><Relationship Id="rId96" Type="http://schemas.openxmlformats.org/officeDocument/2006/relationships/hyperlink" Target="mailto:milagros.grande@grupograndesac.com" TargetMode="External"/><Relationship Id="rId1" Type="http://schemas.openxmlformats.org/officeDocument/2006/relationships/hyperlink" Target="mailto:leticia.roig@superspuma.com" TargetMode="External"/><Relationship Id="rId6" Type="http://schemas.openxmlformats.org/officeDocument/2006/relationships/hyperlink" Target="mailto:jefecompras@colchonesheaven.com" TargetMode="External"/><Relationship Id="rId23" Type="http://schemas.openxmlformats.org/officeDocument/2006/relationships/hyperlink" Target="mailto:inducolsrl@outlook.com" TargetMode="External"/><Relationship Id="rId28" Type="http://schemas.openxmlformats.org/officeDocument/2006/relationships/hyperlink" Target="mailto:inducolsrl@outlook.com" TargetMode="External"/><Relationship Id="rId49" Type="http://schemas.openxmlformats.org/officeDocument/2006/relationships/hyperlink" Target="mailto:polymax@polymax.com.uy" TargetMode="External"/><Relationship Id="rId114" Type="http://schemas.openxmlformats.org/officeDocument/2006/relationships/hyperlink" Target="mailto:czarlenga@lamitex.com.uy" TargetMode="External"/><Relationship Id="rId119" Type="http://schemas.openxmlformats.org/officeDocument/2006/relationships/vmlDrawing" Target="../drawings/vmlDrawing2.vml"/><Relationship Id="rId44" Type="http://schemas.openxmlformats.org/officeDocument/2006/relationships/hyperlink" Target="mailto:joseandrando@paraiso.com.ec" TargetMode="External"/><Relationship Id="rId60" Type="http://schemas.openxmlformats.org/officeDocument/2006/relationships/hyperlink" Target="mailto:polymax@polymax.com.uy" TargetMode="External"/><Relationship Id="rId65" Type="http://schemas.openxmlformats.org/officeDocument/2006/relationships/hyperlink" Target="mailto:polymax@polymax.com.uy" TargetMode="External"/><Relationship Id="rId81" Type="http://schemas.openxmlformats.org/officeDocument/2006/relationships/hyperlink" Target="mailto:joseandrando@paraiso.com.ec" TargetMode="External"/><Relationship Id="rId86" Type="http://schemas.openxmlformats.org/officeDocument/2006/relationships/hyperlink" Target="mailto:comercial@martinmiller.com.ar" TargetMode="External"/><Relationship Id="rId4" Type="http://schemas.openxmlformats.org/officeDocument/2006/relationships/hyperlink" Target="mailto:jefecompras@colchonesheaven.com" TargetMode="External"/><Relationship Id="rId9" Type="http://schemas.openxmlformats.org/officeDocument/2006/relationships/hyperlink" Target="mailto:leticia.roig@superspuma.com" TargetMode="External"/><Relationship Id="rId13" Type="http://schemas.openxmlformats.org/officeDocument/2006/relationships/hyperlink" Target="mailto:inducolsrl@outlook.com" TargetMode="External"/><Relationship Id="rId18" Type="http://schemas.openxmlformats.org/officeDocument/2006/relationships/hyperlink" Target="mailto:inducolsrl@outlook.com" TargetMode="External"/><Relationship Id="rId39" Type="http://schemas.openxmlformats.org/officeDocument/2006/relationships/hyperlink" Target="mailto:inducolsrl@outlook.com" TargetMode="External"/><Relationship Id="rId109" Type="http://schemas.openxmlformats.org/officeDocument/2006/relationships/hyperlink" Target="mailto:czarlenga@lamitex.com.uy" TargetMode="External"/><Relationship Id="rId34" Type="http://schemas.openxmlformats.org/officeDocument/2006/relationships/hyperlink" Target="mailto:inducolsrl@outlook.com" TargetMode="External"/><Relationship Id="rId50" Type="http://schemas.openxmlformats.org/officeDocument/2006/relationships/hyperlink" Target="mailto:polymax@polymax.com.uy" TargetMode="External"/><Relationship Id="rId55" Type="http://schemas.openxmlformats.org/officeDocument/2006/relationships/hyperlink" Target="mailto:polymax@polymax.com.uy" TargetMode="External"/><Relationship Id="rId76" Type="http://schemas.openxmlformats.org/officeDocument/2006/relationships/hyperlink" Target="mailto:leticia.roig@superspuma.com" TargetMode="External"/><Relationship Id="rId97" Type="http://schemas.openxmlformats.org/officeDocument/2006/relationships/hyperlink" Target="mailto:milagros.grande@grupograndesac.com" TargetMode="External"/><Relationship Id="rId104" Type="http://schemas.openxmlformats.org/officeDocument/2006/relationships/hyperlink" Target="mailto:polymax@polymax.com.uy" TargetMode="External"/><Relationship Id="rId120" Type="http://schemas.openxmlformats.org/officeDocument/2006/relationships/table" Target="../tables/table2.xml"/><Relationship Id="rId7" Type="http://schemas.openxmlformats.org/officeDocument/2006/relationships/hyperlink" Target="mailto:jefecompras@colchonesheaven.com" TargetMode="External"/><Relationship Id="rId71" Type="http://schemas.openxmlformats.org/officeDocument/2006/relationships/hyperlink" Target="mailto:leticia.roig@superspuma.com" TargetMode="External"/><Relationship Id="rId92" Type="http://schemas.openxmlformats.org/officeDocument/2006/relationships/hyperlink" Target="mailto:milagros.grande@grupograndesac.com" TargetMode="External"/><Relationship Id="rId2" Type="http://schemas.openxmlformats.org/officeDocument/2006/relationships/hyperlink" Target="mailto:leticia.roig@superspuma.com" TargetMode="External"/><Relationship Id="rId29" Type="http://schemas.openxmlformats.org/officeDocument/2006/relationships/hyperlink" Target="mailto:inducolsrl@outlook.com" TargetMode="External"/><Relationship Id="rId24" Type="http://schemas.openxmlformats.org/officeDocument/2006/relationships/hyperlink" Target="mailto:inducolsrl@outlook.com" TargetMode="External"/><Relationship Id="rId40" Type="http://schemas.openxmlformats.org/officeDocument/2006/relationships/hyperlink" Target="mailto:joseandrando@paraiso.com.ec" TargetMode="External"/><Relationship Id="rId45" Type="http://schemas.openxmlformats.org/officeDocument/2006/relationships/hyperlink" Target="mailto:joseandrando@paraiso.com.ec" TargetMode="External"/><Relationship Id="rId66" Type="http://schemas.openxmlformats.org/officeDocument/2006/relationships/hyperlink" Target="mailto:polymax@polymax.com.uy" TargetMode="External"/><Relationship Id="rId87" Type="http://schemas.openxmlformats.org/officeDocument/2006/relationships/hyperlink" Target="mailto:milagros.grande@grupograndesac.com" TargetMode="External"/><Relationship Id="rId110" Type="http://schemas.openxmlformats.org/officeDocument/2006/relationships/hyperlink" Target="mailto:czarlenga@lamitex.com.uy" TargetMode="External"/><Relationship Id="rId115" Type="http://schemas.openxmlformats.org/officeDocument/2006/relationships/hyperlink" Target="mailto:czarlenga@lamitex.com.uy" TargetMode="External"/><Relationship Id="rId61" Type="http://schemas.openxmlformats.org/officeDocument/2006/relationships/hyperlink" Target="mailto:polymax@polymax.com.uy" TargetMode="External"/><Relationship Id="rId82" Type="http://schemas.openxmlformats.org/officeDocument/2006/relationships/hyperlink" Target="mailto:joseandrando@paraiso.com.ec" TargetMode="External"/><Relationship Id="rId19" Type="http://schemas.openxmlformats.org/officeDocument/2006/relationships/hyperlink" Target="mailto:inducolsrl@outlook.com" TargetMode="External"/><Relationship Id="rId14" Type="http://schemas.openxmlformats.org/officeDocument/2006/relationships/hyperlink" Target="mailto:inducolsrl@outlook.com" TargetMode="External"/><Relationship Id="rId30" Type="http://schemas.openxmlformats.org/officeDocument/2006/relationships/hyperlink" Target="mailto:inducolsrl@outlook.com" TargetMode="External"/><Relationship Id="rId35" Type="http://schemas.openxmlformats.org/officeDocument/2006/relationships/hyperlink" Target="mailto:inducolsrl@outlook.com" TargetMode="External"/><Relationship Id="rId56" Type="http://schemas.openxmlformats.org/officeDocument/2006/relationships/hyperlink" Target="mailto:polymax@polymax.com.uy" TargetMode="External"/><Relationship Id="rId77" Type="http://schemas.openxmlformats.org/officeDocument/2006/relationships/hyperlink" Target="mailto:daniel.garnica@colchonesheaven.com" TargetMode="External"/><Relationship Id="rId100" Type="http://schemas.openxmlformats.org/officeDocument/2006/relationships/hyperlink" Target="mailto:milagros.grande@grupograndesac.com" TargetMode="External"/><Relationship Id="rId105" Type="http://schemas.openxmlformats.org/officeDocument/2006/relationships/hyperlink" Target="mailto:polymax@polymax.com.uy" TargetMode="External"/><Relationship Id="rId8" Type="http://schemas.openxmlformats.org/officeDocument/2006/relationships/hyperlink" Target="mailto:leticia.roig@superspuma.com" TargetMode="External"/><Relationship Id="rId51" Type="http://schemas.openxmlformats.org/officeDocument/2006/relationships/hyperlink" Target="mailto:polymax@polymax.com.uy" TargetMode="External"/><Relationship Id="rId72" Type="http://schemas.openxmlformats.org/officeDocument/2006/relationships/hyperlink" Target="mailto:leticia.roig@superspuma.com" TargetMode="External"/><Relationship Id="rId93" Type="http://schemas.openxmlformats.org/officeDocument/2006/relationships/hyperlink" Target="mailto:milagros.grande@grupograndesac.com" TargetMode="External"/><Relationship Id="rId98" Type="http://schemas.openxmlformats.org/officeDocument/2006/relationships/hyperlink" Target="mailto:milagros.grande@grupograndesac.com" TargetMode="External"/><Relationship Id="rId121" Type="http://schemas.openxmlformats.org/officeDocument/2006/relationships/comments" Target="../comments2.xml"/><Relationship Id="rId3" Type="http://schemas.openxmlformats.org/officeDocument/2006/relationships/hyperlink" Target="mailto:leticia.roig@superspuma.com" TargetMode="External"/><Relationship Id="rId25" Type="http://schemas.openxmlformats.org/officeDocument/2006/relationships/hyperlink" Target="mailto:inducolsrl@outlook.com" TargetMode="External"/><Relationship Id="rId46" Type="http://schemas.openxmlformats.org/officeDocument/2006/relationships/hyperlink" Target="mailto:joseandrando@paraiso.com.ec" TargetMode="External"/><Relationship Id="rId67" Type="http://schemas.openxmlformats.org/officeDocument/2006/relationships/hyperlink" Target="mailto:polymax@polymax.com.uy" TargetMode="External"/><Relationship Id="rId116" Type="http://schemas.openxmlformats.org/officeDocument/2006/relationships/hyperlink" Target="mailto:czarlenga@lamitex.com.uy" TargetMode="External"/><Relationship Id="rId20" Type="http://schemas.openxmlformats.org/officeDocument/2006/relationships/hyperlink" Target="mailto:inducolsrl@outlook.com" TargetMode="External"/><Relationship Id="rId41" Type="http://schemas.openxmlformats.org/officeDocument/2006/relationships/hyperlink" Target="mailto:joseandrando@paraiso.com.ec" TargetMode="External"/><Relationship Id="rId62" Type="http://schemas.openxmlformats.org/officeDocument/2006/relationships/hyperlink" Target="mailto:polymax@polymax.com.uy" TargetMode="External"/><Relationship Id="rId83" Type="http://schemas.openxmlformats.org/officeDocument/2006/relationships/hyperlink" Target="mailto:leticia.roig@superspuma.com" TargetMode="External"/><Relationship Id="rId88" Type="http://schemas.openxmlformats.org/officeDocument/2006/relationships/hyperlink" Target="mailto:milagros.grande@grupograndesac.com" TargetMode="External"/><Relationship Id="rId111" Type="http://schemas.openxmlformats.org/officeDocument/2006/relationships/hyperlink" Target="mailto:czarlenga@lamitex.com.uy" TargetMode="External"/><Relationship Id="rId15" Type="http://schemas.openxmlformats.org/officeDocument/2006/relationships/hyperlink" Target="mailto:inducolsrl@outlook.com" TargetMode="External"/><Relationship Id="rId36" Type="http://schemas.openxmlformats.org/officeDocument/2006/relationships/hyperlink" Target="mailto:compras@springwall.com..ar" TargetMode="External"/><Relationship Id="rId57" Type="http://schemas.openxmlformats.org/officeDocument/2006/relationships/hyperlink" Target="mailto:polymax@polymax.com.uy" TargetMode="External"/><Relationship Id="rId106" Type="http://schemas.openxmlformats.org/officeDocument/2006/relationships/hyperlink" Target="mailto:polymax@polymax.com.uy" TargetMode="External"/><Relationship Id="rId10" Type="http://schemas.openxmlformats.org/officeDocument/2006/relationships/hyperlink" Target="mailto:inducolsrl@outlook.com" TargetMode="External"/><Relationship Id="rId31" Type="http://schemas.openxmlformats.org/officeDocument/2006/relationships/hyperlink" Target="mailto:inducolsrl@outlook.com" TargetMode="External"/><Relationship Id="rId52" Type="http://schemas.openxmlformats.org/officeDocument/2006/relationships/hyperlink" Target="mailto:polymax@polymax.com.uy" TargetMode="External"/><Relationship Id="rId73" Type="http://schemas.openxmlformats.org/officeDocument/2006/relationships/hyperlink" Target="mailto:leticia.roig@superspuma.com" TargetMode="External"/><Relationship Id="rId78" Type="http://schemas.openxmlformats.org/officeDocument/2006/relationships/hyperlink" Target="mailto:daniel.garnica@colchonesheaven.com" TargetMode="External"/><Relationship Id="rId94" Type="http://schemas.openxmlformats.org/officeDocument/2006/relationships/hyperlink" Target="mailto:milagros.grande@grupograndesac.com" TargetMode="External"/><Relationship Id="rId99" Type="http://schemas.openxmlformats.org/officeDocument/2006/relationships/hyperlink" Target="mailto:milagros.grande@grupograndesac.com" TargetMode="External"/><Relationship Id="rId101" Type="http://schemas.openxmlformats.org/officeDocument/2006/relationships/hyperlink" Target="mailto:milagros.grande@grupograndesac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AD6A-8946-4BEC-914A-43591508DC9B}">
  <sheetPr>
    <tabColor rgb="FFFFFF00"/>
    <pageSetUpPr fitToPage="1"/>
  </sheetPr>
  <dimension ref="A1:L70"/>
  <sheetViews>
    <sheetView showGridLines="0" tabSelected="1" zoomScale="90" zoomScaleNormal="90" workbookViewId="0">
      <pane xSplit="8" ySplit="5" topLeftCell="I50" activePane="bottomRight" state="frozen"/>
      <selection pane="topRight" activeCell="I1" sqref="I1"/>
      <selection pane="bottomLeft" activeCell="A8" sqref="A8"/>
      <selection pane="bottomRight" activeCell="J73" sqref="J73"/>
    </sheetView>
  </sheetViews>
  <sheetFormatPr baseColWidth="10" defaultColWidth="9.453125" defaultRowHeight="14.5" x14ac:dyDescent="0.35"/>
  <cols>
    <col min="1" max="1" width="10.54296875" style="56" customWidth="1"/>
    <col min="2" max="2" width="29.6328125" customWidth="1"/>
    <col min="3" max="4" width="13.08984375" customWidth="1"/>
    <col min="5" max="5" width="14.26953125" style="93" customWidth="1"/>
    <col min="6" max="6" width="11.26953125" customWidth="1"/>
    <col min="7" max="7" width="15.54296875" style="56" customWidth="1"/>
    <col min="8" max="8" width="14.08984375" style="55" customWidth="1"/>
    <col min="9" max="9" width="13.453125" customWidth="1"/>
    <col min="10" max="10" width="13.81640625" customWidth="1"/>
    <col min="11" max="11" width="17.81640625" style="4" customWidth="1"/>
    <col min="12" max="12" width="50.453125" style="407" customWidth="1"/>
  </cols>
  <sheetData>
    <row r="1" spans="1:12" ht="13.5" customHeight="1" x14ac:dyDescent="0.35">
      <c r="A1" s="533" t="s">
        <v>654</v>
      </c>
      <c r="B1" s="533"/>
      <c r="C1" s="533"/>
      <c r="D1" s="532">
        <f ca="1">NOW()</f>
        <v>46296.603949305558</v>
      </c>
      <c r="E1" s="532"/>
    </row>
    <row r="2" spans="1:12" ht="6" customHeight="1" x14ac:dyDescent="0.35">
      <c r="A2" s="93"/>
      <c r="B2" s="92"/>
      <c r="C2" s="291"/>
      <c r="D2" s="385" t="s">
        <v>1281</v>
      </c>
      <c r="E2" s="391"/>
    </row>
    <row r="3" spans="1:12" ht="12.75" customHeight="1" x14ac:dyDescent="0.35">
      <c r="A3" s="270"/>
      <c r="B3" s="347"/>
      <c r="C3" s="51"/>
      <c r="D3" s="378"/>
      <c r="E3" s="392"/>
      <c r="F3" s="395"/>
      <c r="I3" s="378"/>
    </row>
    <row r="4" spans="1:12" ht="4.5" customHeight="1" x14ac:dyDescent="0.35">
      <c r="A4" s="270"/>
      <c r="B4" s="347"/>
      <c r="C4" s="51"/>
      <c r="E4" s="392"/>
      <c r="F4" s="395"/>
    </row>
    <row r="5" spans="1:12" ht="41" customHeight="1" x14ac:dyDescent="0.35">
      <c r="A5" s="400" t="s">
        <v>1422</v>
      </c>
      <c r="B5" s="387" t="s">
        <v>1</v>
      </c>
      <c r="C5" s="387" t="s">
        <v>1423</v>
      </c>
      <c r="D5" s="524" t="s">
        <v>1421</v>
      </c>
      <c r="E5" s="400" t="s">
        <v>3</v>
      </c>
      <c r="F5" s="387" t="s">
        <v>1420</v>
      </c>
      <c r="G5" s="525" t="s">
        <v>1424</v>
      </c>
      <c r="H5" s="388" t="s">
        <v>1425</v>
      </c>
      <c r="I5" s="389" t="s">
        <v>1418</v>
      </c>
      <c r="J5" s="387" t="s">
        <v>1437</v>
      </c>
      <c r="K5" s="387" t="s">
        <v>1526</v>
      </c>
      <c r="L5" s="388" t="s">
        <v>165</v>
      </c>
    </row>
    <row r="6" spans="1:12" ht="15" hidden="1" customHeight="1" x14ac:dyDescent="0.35">
      <c r="A6" s="201" t="s">
        <v>841</v>
      </c>
      <c r="B6" s="99" t="s">
        <v>711</v>
      </c>
      <c r="C6" s="41">
        <v>46141</v>
      </c>
      <c r="D6" s="202" t="s">
        <v>703</v>
      </c>
      <c r="E6" s="393">
        <v>10169</v>
      </c>
      <c r="F6" s="396">
        <v>5000</v>
      </c>
      <c r="G6" s="202">
        <v>46178</v>
      </c>
      <c r="H6" s="219" t="s">
        <v>968</v>
      </c>
      <c r="I6" s="203">
        <v>46183</v>
      </c>
      <c r="J6" s="39"/>
      <c r="K6" s="40"/>
      <c r="L6" s="200" t="s">
        <v>1006</v>
      </c>
    </row>
    <row r="7" spans="1:12" ht="18" hidden="1" customHeight="1" x14ac:dyDescent="0.35">
      <c r="A7" s="99" t="s">
        <v>1026</v>
      </c>
      <c r="B7" s="7" t="s">
        <v>778</v>
      </c>
      <c r="C7" s="41">
        <v>46184</v>
      </c>
      <c r="D7" s="202" t="s">
        <v>703</v>
      </c>
      <c r="E7" s="393">
        <v>10499</v>
      </c>
      <c r="F7" s="396">
        <v>600</v>
      </c>
      <c r="G7" s="202">
        <v>46191</v>
      </c>
      <c r="H7" s="219" t="s">
        <v>968</v>
      </c>
      <c r="I7" s="203">
        <v>46191</v>
      </c>
      <c r="J7" s="161"/>
      <c r="K7" s="40"/>
      <c r="L7" s="200" t="s">
        <v>1432</v>
      </c>
    </row>
    <row r="8" spans="1:12" ht="18.649999999999999" hidden="1" customHeight="1" x14ac:dyDescent="0.35">
      <c r="A8" s="99" t="s">
        <v>965</v>
      </c>
      <c r="B8" s="99" t="s">
        <v>669</v>
      </c>
      <c r="C8" s="41">
        <v>46157</v>
      </c>
      <c r="D8" s="202" t="s">
        <v>703</v>
      </c>
      <c r="E8" s="393">
        <v>10309</v>
      </c>
      <c r="F8" s="396">
        <v>8000</v>
      </c>
      <c r="G8" s="202">
        <v>46203</v>
      </c>
      <c r="H8" s="219" t="s">
        <v>968</v>
      </c>
      <c r="I8" s="203" t="s">
        <v>672</v>
      </c>
      <c r="J8" s="39" t="s">
        <v>672</v>
      </c>
      <c r="K8" s="40"/>
      <c r="L8" s="200" t="s">
        <v>990</v>
      </c>
    </row>
    <row r="9" spans="1:12" ht="15" hidden="1" customHeight="1" x14ac:dyDescent="0.35">
      <c r="A9" s="99" t="s">
        <v>611</v>
      </c>
      <c r="B9" s="166" t="s">
        <v>69</v>
      </c>
      <c r="C9" s="41">
        <v>46002</v>
      </c>
      <c r="D9" s="202" t="s">
        <v>703</v>
      </c>
      <c r="E9" s="393">
        <v>9124</v>
      </c>
      <c r="F9" s="397">
        <v>1300</v>
      </c>
      <c r="G9" s="202">
        <v>46059</v>
      </c>
      <c r="H9" s="208" t="s">
        <v>968</v>
      </c>
      <c r="I9" s="203" t="s">
        <v>672</v>
      </c>
      <c r="J9" s="160" t="s">
        <v>154</v>
      </c>
      <c r="K9" s="40" t="s">
        <v>611</v>
      </c>
      <c r="L9" s="200" t="s">
        <v>1427</v>
      </c>
    </row>
    <row r="10" spans="1:12" ht="18.75" hidden="1" customHeight="1" x14ac:dyDescent="0.35">
      <c r="A10" s="99" t="s">
        <v>988</v>
      </c>
      <c r="B10" s="99" t="s">
        <v>669</v>
      </c>
      <c r="C10" s="41">
        <v>46167</v>
      </c>
      <c r="D10" s="202" t="s">
        <v>703</v>
      </c>
      <c r="E10" s="393">
        <v>10529</v>
      </c>
      <c r="F10" s="396">
        <v>1000</v>
      </c>
      <c r="G10" s="202">
        <v>46203</v>
      </c>
      <c r="H10" s="219" t="s">
        <v>968</v>
      </c>
      <c r="I10" s="203" t="s">
        <v>672</v>
      </c>
      <c r="J10" s="39" t="s">
        <v>672</v>
      </c>
      <c r="K10" s="223" t="s">
        <v>965</v>
      </c>
      <c r="L10" s="200" t="s">
        <v>1002</v>
      </c>
    </row>
    <row r="11" spans="1:12" ht="15" hidden="1" customHeight="1" x14ac:dyDescent="0.35">
      <c r="A11" s="174" t="s">
        <v>650</v>
      </c>
      <c r="B11" s="166" t="s">
        <v>180</v>
      </c>
      <c r="C11" s="41">
        <v>46010</v>
      </c>
      <c r="D11" s="202" t="s">
        <v>703</v>
      </c>
      <c r="E11" s="393">
        <v>9157</v>
      </c>
      <c r="F11" s="397">
        <v>1000</v>
      </c>
      <c r="G11" s="202">
        <v>46059</v>
      </c>
      <c r="H11" s="208" t="s">
        <v>968</v>
      </c>
      <c r="I11" s="203">
        <v>46073</v>
      </c>
      <c r="J11" s="160" t="s">
        <v>154</v>
      </c>
      <c r="K11" s="40" t="s">
        <v>650</v>
      </c>
      <c r="L11" s="408" t="s">
        <v>724</v>
      </c>
    </row>
    <row r="12" spans="1:12" ht="15" hidden="1" customHeight="1" x14ac:dyDescent="0.35">
      <c r="A12" s="390" t="s">
        <v>660</v>
      </c>
      <c r="B12" s="166" t="s">
        <v>180</v>
      </c>
      <c r="C12" s="41">
        <v>46031</v>
      </c>
      <c r="D12" s="202" t="s">
        <v>703</v>
      </c>
      <c r="E12" s="393">
        <v>9177</v>
      </c>
      <c r="F12" s="397">
        <v>1000</v>
      </c>
      <c r="G12" s="202">
        <v>46063</v>
      </c>
      <c r="H12" s="208" t="s">
        <v>968</v>
      </c>
      <c r="I12" s="203">
        <v>46073</v>
      </c>
      <c r="J12" s="160" t="s">
        <v>154</v>
      </c>
      <c r="K12" s="40" t="s">
        <v>650</v>
      </c>
      <c r="L12" s="408" t="s">
        <v>724</v>
      </c>
    </row>
    <row r="13" spans="1:12" ht="18" hidden="1" customHeight="1" x14ac:dyDescent="0.35">
      <c r="A13" s="99" t="s">
        <v>755</v>
      </c>
      <c r="B13" s="99" t="s">
        <v>69</v>
      </c>
      <c r="C13" s="41">
        <v>46099</v>
      </c>
      <c r="D13" s="202" t="s">
        <v>703</v>
      </c>
      <c r="E13" s="393">
        <v>10299</v>
      </c>
      <c r="F13" s="396">
        <v>3500</v>
      </c>
      <c r="G13" s="202">
        <v>46210</v>
      </c>
      <c r="H13" s="219" t="s">
        <v>968</v>
      </c>
      <c r="I13" s="383">
        <v>46211</v>
      </c>
      <c r="J13" s="39" t="s">
        <v>672</v>
      </c>
      <c r="K13" s="40"/>
      <c r="L13" s="200" t="s">
        <v>967</v>
      </c>
    </row>
    <row r="14" spans="1:12" ht="15" hidden="1" customHeight="1" x14ac:dyDescent="0.35">
      <c r="A14" s="173" t="s">
        <v>663</v>
      </c>
      <c r="B14" s="166" t="s">
        <v>180</v>
      </c>
      <c r="C14" s="41">
        <v>46038</v>
      </c>
      <c r="D14" s="202" t="s">
        <v>703</v>
      </c>
      <c r="E14" s="393">
        <v>9207</v>
      </c>
      <c r="F14" s="398">
        <v>1300</v>
      </c>
      <c r="G14" s="202">
        <v>46063</v>
      </c>
      <c r="H14" s="208" t="s">
        <v>968</v>
      </c>
      <c r="I14" s="203">
        <v>46073</v>
      </c>
      <c r="J14" s="160" t="s">
        <v>154</v>
      </c>
      <c r="K14" s="40" t="s">
        <v>650</v>
      </c>
      <c r="L14" s="408" t="s">
        <v>724</v>
      </c>
    </row>
    <row r="15" spans="1:12" ht="15.75" hidden="1" customHeight="1" x14ac:dyDescent="0.35">
      <c r="A15" s="99" t="s">
        <v>956</v>
      </c>
      <c r="B15" s="99" t="s">
        <v>610</v>
      </c>
      <c r="C15" s="41">
        <v>46156</v>
      </c>
      <c r="D15" s="202" t="s">
        <v>703</v>
      </c>
      <c r="E15" s="393">
        <v>10308</v>
      </c>
      <c r="F15" s="396">
        <v>2000</v>
      </c>
      <c r="G15" s="202">
        <v>46211</v>
      </c>
      <c r="H15" s="219" t="s">
        <v>968</v>
      </c>
      <c r="I15" s="383">
        <v>46213</v>
      </c>
      <c r="J15" s="39" t="s">
        <v>672</v>
      </c>
      <c r="K15" s="40"/>
      <c r="L15" s="200" t="s">
        <v>1433</v>
      </c>
    </row>
    <row r="16" spans="1:12" ht="15" hidden="1" customHeight="1" x14ac:dyDescent="0.35">
      <c r="A16" s="99" t="s">
        <v>569</v>
      </c>
      <c r="B16" s="7" t="s">
        <v>69</v>
      </c>
      <c r="C16" s="41">
        <v>45971</v>
      </c>
      <c r="D16" s="202" t="s">
        <v>703</v>
      </c>
      <c r="E16" s="393">
        <v>8863</v>
      </c>
      <c r="F16" s="397">
        <v>2200</v>
      </c>
      <c r="G16" s="209" t="s">
        <v>154</v>
      </c>
      <c r="H16" s="208" t="s">
        <v>968</v>
      </c>
      <c r="I16" s="203">
        <v>46077</v>
      </c>
      <c r="J16" s="39" t="s">
        <v>154</v>
      </c>
      <c r="K16" s="38" t="s">
        <v>569</v>
      </c>
      <c r="L16" s="200" t="s">
        <v>655</v>
      </c>
    </row>
    <row r="17" spans="1:12" ht="15" hidden="1" customHeight="1" x14ac:dyDescent="0.35">
      <c r="A17" s="99" t="s">
        <v>609</v>
      </c>
      <c r="B17" s="166" t="s">
        <v>610</v>
      </c>
      <c r="C17" s="41">
        <v>46002</v>
      </c>
      <c r="D17" s="202" t="s">
        <v>703</v>
      </c>
      <c r="E17" s="393">
        <v>9125</v>
      </c>
      <c r="F17" s="397">
        <v>5900</v>
      </c>
      <c r="G17" s="202">
        <v>46057</v>
      </c>
      <c r="H17" s="208" t="s">
        <v>968</v>
      </c>
      <c r="I17" s="203">
        <v>46059</v>
      </c>
      <c r="J17" s="160" t="s">
        <v>154</v>
      </c>
      <c r="K17" s="40" t="s">
        <v>609</v>
      </c>
      <c r="L17" s="409" t="s">
        <v>681</v>
      </c>
    </row>
    <row r="18" spans="1:12" ht="15" hidden="1" customHeight="1" x14ac:dyDescent="0.35">
      <c r="A18" s="99" t="s">
        <v>670</v>
      </c>
      <c r="B18" s="166" t="s">
        <v>69</v>
      </c>
      <c r="C18" s="41">
        <v>46052</v>
      </c>
      <c r="D18" s="202" t="s">
        <v>703</v>
      </c>
      <c r="E18" s="393">
        <v>9246</v>
      </c>
      <c r="F18" s="396">
        <v>500</v>
      </c>
      <c r="G18" s="202">
        <v>46063</v>
      </c>
      <c r="H18" s="208" t="s">
        <v>968</v>
      </c>
      <c r="I18" s="203">
        <v>46077</v>
      </c>
      <c r="J18" s="160" t="s">
        <v>754</v>
      </c>
      <c r="K18" s="40" t="s">
        <v>661</v>
      </c>
      <c r="L18" s="200" t="s">
        <v>1428</v>
      </c>
    </row>
    <row r="19" spans="1:12" hidden="1" x14ac:dyDescent="0.35">
      <c r="A19" s="99" t="s">
        <v>668</v>
      </c>
      <c r="B19" s="166" t="s">
        <v>669</v>
      </c>
      <c r="C19" s="41">
        <v>46048</v>
      </c>
      <c r="D19" s="202" t="s">
        <v>703</v>
      </c>
      <c r="E19" s="393">
        <v>9233</v>
      </c>
      <c r="F19" s="396">
        <v>8000</v>
      </c>
      <c r="G19" s="202">
        <v>46078</v>
      </c>
      <c r="H19" s="208" t="s">
        <v>968</v>
      </c>
      <c r="I19" s="203">
        <v>46079</v>
      </c>
      <c r="J19" s="160" t="s">
        <v>754</v>
      </c>
      <c r="K19" s="40" t="s">
        <v>668</v>
      </c>
      <c r="L19" s="200" t="s">
        <v>1429</v>
      </c>
    </row>
    <row r="20" spans="1:12" ht="17.25" hidden="1" customHeight="1" x14ac:dyDescent="0.35">
      <c r="A20" s="171" t="s">
        <v>661</v>
      </c>
      <c r="B20" s="166" t="s">
        <v>69</v>
      </c>
      <c r="C20" s="41">
        <v>46038</v>
      </c>
      <c r="D20" s="202" t="s">
        <v>703</v>
      </c>
      <c r="E20" s="393">
        <v>9206</v>
      </c>
      <c r="F20" s="398">
        <v>1000</v>
      </c>
      <c r="G20" s="202">
        <v>46063</v>
      </c>
      <c r="H20" s="208" t="s">
        <v>968</v>
      </c>
      <c r="I20" s="203">
        <v>46077</v>
      </c>
      <c r="J20" s="160" t="s">
        <v>754</v>
      </c>
      <c r="K20" s="40" t="s">
        <v>661</v>
      </c>
      <c r="L20" s="200" t="s">
        <v>676</v>
      </c>
    </row>
    <row r="21" spans="1:12" hidden="1" x14ac:dyDescent="0.35">
      <c r="A21" s="99" t="s">
        <v>678</v>
      </c>
      <c r="B21" s="166" t="s">
        <v>687</v>
      </c>
      <c r="C21" s="41">
        <v>46066</v>
      </c>
      <c r="D21" s="202" t="s">
        <v>703</v>
      </c>
      <c r="E21" s="393">
        <v>9469</v>
      </c>
      <c r="F21" s="396">
        <v>3121</v>
      </c>
      <c r="G21" s="202" t="s">
        <v>725</v>
      </c>
      <c r="H21" s="208" t="s">
        <v>968</v>
      </c>
      <c r="I21" s="203">
        <v>46077</v>
      </c>
      <c r="J21" s="160" t="s">
        <v>154</v>
      </c>
      <c r="K21" s="40"/>
      <c r="L21" s="200" t="s">
        <v>701</v>
      </c>
    </row>
    <row r="22" spans="1:12" ht="21.65" customHeight="1" x14ac:dyDescent="0.35">
      <c r="A22" s="99" t="s">
        <v>1004</v>
      </c>
      <c r="B22" s="411" t="s">
        <v>180</v>
      </c>
      <c r="C22" s="41">
        <v>46182</v>
      </c>
      <c r="D22" s="202">
        <v>46213</v>
      </c>
      <c r="E22" s="393">
        <v>10497</v>
      </c>
      <c r="F22" s="396">
        <v>2500</v>
      </c>
      <c r="G22" s="202">
        <v>46233</v>
      </c>
      <c r="H22" s="401">
        <f>Tabela13[[#This Row],[DATA IDEAL ENTREGA 
(30 D.)]]-Tabela13[[#This Row],[DATA ESTIMADA FINALIZ. 
PCP
]]</f>
        <v>-20</v>
      </c>
      <c r="I22" s="380">
        <v>46293</v>
      </c>
      <c r="J22" s="41"/>
      <c r="K22" s="40"/>
      <c r="L22" s="200" t="s">
        <v>1435</v>
      </c>
    </row>
    <row r="23" spans="1:12" hidden="1" x14ac:dyDescent="0.35">
      <c r="A23" s="99" t="s">
        <v>895</v>
      </c>
      <c r="B23" s="99" t="s">
        <v>902</v>
      </c>
      <c r="C23" s="41">
        <v>46118</v>
      </c>
      <c r="D23" s="41" t="s">
        <v>703</v>
      </c>
      <c r="E23" s="393">
        <v>9942</v>
      </c>
      <c r="F23" s="396">
        <v>7000</v>
      </c>
      <c r="G23" s="202">
        <v>46156</v>
      </c>
      <c r="H23" s="208" t="s">
        <v>968</v>
      </c>
      <c r="I23" s="203">
        <v>46164</v>
      </c>
      <c r="J23" s="39" t="s">
        <v>672</v>
      </c>
      <c r="K23" s="40" t="s">
        <v>999</v>
      </c>
      <c r="L23" s="200" t="s">
        <v>954</v>
      </c>
    </row>
    <row r="24" spans="1:12" ht="15" hidden="1" customHeight="1" x14ac:dyDescent="0.35">
      <c r="A24" s="99" t="s">
        <v>781</v>
      </c>
      <c r="B24" s="7" t="s">
        <v>837</v>
      </c>
      <c r="C24" s="41">
        <v>46112</v>
      </c>
      <c r="D24" s="202" t="s">
        <v>703</v>
      </c>
      <c r="E24" s="393">
        <v>9939</v>
      </c>
      <c r="F24" s="396">
        <v>4500</v>
      </c>
      <c r="G24" s="202">
        <v>46155</v>
      </c>
      <c r="H24" s="219" t="s">
        <v>968</v>
      </c>
      <c r="I24" s="203">
        <v>46155</v>
      </c>
      <c r="J24" s="221" t="s">
        <v>994</v>
      </c>
      <c r="K24" s="40" t="s">
        <v>959</v>
      </c>
      <c r="L24" s="200" t="s">
        <v>948</v>
      </c>
    </row>
    <row r="25" spans="1:12" ht="18" hidden="1" customHeight="1" x14ac:dyDescent="0.35">
      <c r="A25" s="99" t="s">
        <v>844</v>
      </c>
      <c r="B25" s="21" t="s">
        <v>212</v>
      </c>
      <c r="C25" s="41">
        <v>46106</v>
      </c>
      <c r="D25" s="202" t="s">
        <v>703</v>
      </c>
      <c r="E25" s="393">
        <v>9802</v>
      </c>
      <c r="F25" s="396">
        <v>12000</v>
      </c>
      <c r="G25" s="202">
        <v>46141</v>
      </c>
      <c r="H25" s="208" t="s">
        <v>968</v>
      </c>
      <c r="I25" s="203">
        <v>46148</v>
      </c>
      <c r="J25" s="39" t="s">
        <v>154</v>
      </c>
      <c r="K25" s="40" t="s">
        <v>779</v>
      </c>
      <c r="L25" s="200" t="s">
        <v>944</v>
      </c>
    </row>
    <row r="26" spans="1:12" hidden="1" x14ac:dyDescent="0.35">
      <c r="A26" s="99" t="s">
        <v>760</v>
      </c>
      <c r="B26" s="21" t="s">
        <v>778</v>
      </c>
      <c r="C26" s="41">
        <v>46100</v>
      </c>
      <c r="D26" s="202" t="s">
        <v>703</v>
      </c>
      <c r="E26" s="393">
        <v>9776</v>
      </c>
      <c r="F26" s="396">
        <v>24200</v>
      </c>
      <c r="G26" s="202">
        <v>46139</v>
      </c>
      <c r="H26" s="208" t="s">
        <v>968</v>
      </c>
      <c r="I26" s="69">
        <v>46143</v>
      </c>
      <c r="J26" s="39" t="s">
        <v>154</v>
      </c>
      <c r="K26" s="40" t="s">
        <v>760</v>
      </c>
      <c r="L26" s="200" t="s">
        <v>927</v>
      </c>
    </row>
    <row r="27" spans="1:12" hidden="1" x14ac:dyDescent="0.35">
      <c r="A27" s="56" t="s">
        <v>656</v>
      </c>
      <c r="B27" s="7" t="s">
        <v>657</v>
      </c>
      <c r="C27" s="41">
        <v>46031</v>
      </c>
      <c r="D27" s="202" t="s">
        <v>703</v>
      </c>
      <c r="E27" s="393">
        <v>9176</v>
      </c>
      <c r="F27" s="397">
        <v>12000</v>
      </c>
      <c r="G27" s="202">
        <v>46072</v>
      </c>
      <c r="H27" s="208" t="s">
        <v>968</v>
      </c>
      <c r="I27" s="69">
        <v>46087</v>
      </c>
      <c r="J27" s="160" t="s">
        <v>154</v>
      </c>
      <c r="K27" s="40" t="s">
        <v>656</v>
      </c>
      <c r="L27" s="200"/>
    </row>
    <row r="28" spans="1:12" hidden="1" x14ac:dyDescent="0.35">
      <c r="A28" s="99" t="s">
        <v>913</v>
      </c>
      <c r="B28" s="21" t="s">
        <v>739</v>
      </c>
      <c r="C28" s="41">
        <v>46091</v>
      </c>
      <c r="D28" s="202" t="s">
        <v>703</v>
      </c>
      <c r="E28" s="393">
        <v>9695</v>
      </c>
      <c r="F28" s="396">
        <v>27000</v>
      </c>
      <c r="G28" s="377">
        <v>46129</v>
      </c>
      <c r="H28" s="208" t="s">
        <v>968</v>
      </c>
      <c r="I28" s="69">
        <v>46129</v>
      </c>
      <c r="J28" s="39" t="s">
        <v>154</v>
      </c>
      <c r="K28" s="40"/>
      <c r="L28" s="200" t="s">
        <v>915</v>
      </c>
    </row>
    <row r="29" spans="1:12" hidden="1" x14ac:dyDescent="0.35">
      <c r="A29" s="99" t="s">
        <v>721</v>
      </c>
      <c r="B29" s="176" t="s">
        <v>738</v>
      </c>
      <c r="C29" s="41">
        <v>46087</v>
      </c>
      <c r="D29" s="202" t="s">
        <v>703</v>
      </c>
      <c r="E29" s="393">
        <v>9691</v>
      </c>
      <c r="F29" s="396">
        <v>4100</v>
      </c>
      <c r="G29" s="377">
        <v>46112</v>
      </c>
      <c r="H29" s="208" t="s">
        <v>968</v>
      </c>
      <c r="I29" s="69">
        <v>46126</v>
      </c>
      <c r="J29" s="160" t="s">
        <v>942</v>
      </c>
      <c r="K29" s="40"/>
      <c r="L29" s="200" t="s">
        <v>910</v>
      </c>
    </row>
    <row r="30" spans="1:12" hidden="1" x14ac:dyDescent="0.35">
      <c r="A30" s="99" t="s">
        <v>704</v>
      </c>
      <c r="B30" s="21" t="s">
        <v>711</v>
      </c>
      <c r="C30" s="41">
        <v>46078</v>
      </c>
      <c r="D30" s="202" t="s">
        <v>703</v>
      </c>
      <c r="E30" s="393">
        <v>9534</v>
      </c>
      <c r="F30" s="396">
        <v>5000</v>
      </c>
      <c r="G30" s="377">
        <v>46108</v>
      </c>
      <c r="H30" s="208" t="s">
        <v>968</v>
      </c>
      <c r="I30" s="172">
        <v>46119</v>
      </c>
      <c r="J30" s="39" t="s">
        <v>672</v>
      </c>
      <c r="K30" s="40"/>
      <c r="L30" s="210" t="s">
        <v>1434</v>
      </c>
    </row>
    <row r="31" spans="1:12" hidden="1" x14ac:dyDescent="0.35">
      <c r="A31" s="99" t="s">
        <v>712</v>
      </c>
      <c r="B31" s="176" t="s">
        <v>69</v>
      </c>
      <c r="C31" s="41">
        <v>46084</v>
      </c>
      <c r="D31" s="202" t="s">
        <v>703</v>
      </c>
      <c r="E31" s="393">
        <v>9634</v>
      </c>
      <c r="F31" s="396">
        <v>3200</v>
      </c>
      <c r="G31" s="202">
        <v>46112</v>
      </c>
      <c r="H31" s="208" t="s">
        <v>968</v>
      </c>
      <c r="I31" s="69">
        <v>46139</v>
      </c>
      <c r="J31" s="160" t="s">
        <v>942</v>
      </c>
      <c r="K31" s="40" t="s">
        <v>712</v>
      </c>
      <c r="L31" s="200" t="s">
        <v>919</v>
      </c>
    </row>
    <row r="32" spans="1:12" hidden="1" x14ac:dyDescent="0.35">
      <c r="A32" s="99" t="s">
        <v>683</v>
      </c>
      <c r="B32" s="21" t="s">
        <v>180</v>
      </c>
      <c r="C32" s="41">
        <v>46077</v>
      </c>
      <c r="D32" s="202" t="s">
        <v>703</v>
      </c>
      <c r="E32" s="393">
        <v>9522</v>
      </c>
      <c r="F32" s="396">
        <v>3500</v>
      </c>
      <c r="G32" s="202">
        <v>46140</v>
      </c>
      <c r="H32" s="208" t="s">
        <v>968</v>
      </c>
      <c r="I32" s="203">
        <v>46148</v>
      </c>
      <c r="J32" s="39" t="s">
        <v>154</v>
      </c>
      <c r="K32" s="40" t="s">
        <v>683</v>
      </c>
      <c r="L32" s="210" t="s">
        <v>953</v>
      </c>
    </row>
    <row r="33" spans="1:12" hidden="1" x14ac:dyDescent="0.35">
      <c r="A33" s="99" t="s">
        <v>747</v>
      </c>
      <c r="B33" s="21" t="s">
        <v>752</v>
      </c>
      <c r="C33" s="41">
        <v>46094</v>
      </c>
      <c r="D33" s="202" t="s">
        <v>703</v>
      </c>
      <c r="E33" s="393">
        <v>9747</v>
      </c>
      <c r="F33" s="396">
        <v>5000</v>
      </c>
      <c r="G33" s="202">
        <v>46140</v>
      </c>
      <c r="H33" s="208" t="s">
        <v>968</v>
      </c>
      <c r="I33" s="203">
        <v>46148</v>
      </c>
      <c r="J33" s="39" t="s">
        <v>154</v>
      </c>
      <c r="K33" s="40" t="s">
        <v>747</v>
      </c>
      <c r="L33" s="200" t="s">
        <v>948</v>
      </c>
    </row>
    <row r="34" spans="1:12" hidden="1" x14ac:dyDescent="0.35">
      <c r="A34" s="99" t="s">
        <v>763</v>
      </c>
      <c r="B34" s="21" t="s">
        <v>752</v>
      </c>
      <c r="C34" s="41">
        <v>46100</v>
      </c>
      <c r="D34" s="202" t="s">
        <v>703</v>
      </c>
      <c r="E34" s="393">
        <v>9778</v>
      </c>
      <c r="F34" s="396">
        <v>7100</v>
      </c>
      <c r="G34" s="202">
        <v>46140</v>
      </c>
      <c r="H34" s="208" t="s">
        <v>968</v>
      </c>
      <c r="I34" s="203">
        <v>46148</v>
      </c>
      <c r="J34" s="39" t="s">
        <v>154</v>
      </c>
      <c r="K34" s="40" t="s">
        <v>747</v>
      </c>
      <c r="L34" s="200" t="s">
        <v>948</v>
      </c>
    </row>
    <row r="35" spans="1:12" hidden="1" x14ac:dyDescent="0.35">
      <c r="A35" s="99" t="s">
        <v>749</v>
      </c>
      <c r="B35" s="21" t="s">
        <v>69</v>
      </c>
      <c r="C35" s="41">
        <v>46099</v>
      </c>
      <c r="D35" s="41" t="s">
        <v>703</v>
      </c>
      <c r="E35" s="393">
        <v>9771</v>
      </c>
      <c r="F35" s="396">
        <v>3100</v>
      </c>
      <c r="G35" s="202">
        <v>46155</v>
      </c>
      <c r="H35" s="219" t="s">
        <v>968</v>
      </c>
      <c r="I35" s="220">
        <v>46163</v>
      </c>
      <c r="J35" s="39" t="s">
        <v>942</v>
      </c>
      <c r="K35" s="40" t="s">
        <v>749</v>
      </c>
      <c r="L35" s="200" t="s">
        <v>966</v>
      </c>
    </row>
    <row r="36" spans="1:12" hidden="1" x14ac:dyDescent="0.35">
      <c r="A36" s="99" t="s">
        <v>780</v>
      </c>
      <c r="B36" s="21" t="s">
        <v>294</v>
      </c>
      <c r="C36" s="41">
        <v>46101</v>
      </c>
      <c r="D36" s="41" t="s">
        <v>703</v>
      </c>
      <c r="E36" s="393">
        <v>9777</v>
      </c>
      <c r="F36" s="396">
        <v>3500</v>
      </c>
      <c r="G36" s="202">
        <v>46149</v>
      </c>
      <c r="H36" s="219" t="s">
        <v>968</v>
      </c>
      <c r="I36" s="220">
        <v>46161</v>
      </c>
      <c r="J36" s="39" t="s">
        <v>942</v>
      </c>
      <c r="K36" s="40" t="s">
        <v>780</v>
      </c>
      <c r="L36" s="200" t="s">
        <v>1000</v>
      </c>
    </row>
    <row r="37" spans="1:12" ht="17.5" hidden="1" customHeight="1" x14ac:dyDescent="0.35">
      <c r="A37" s="99" t="s">
        <v>1028</v>
      </c>
      <c r="B37" s="411" t="s">
        <v>69</v>
      </c>
      <c r="C37" s="41">
        <v>46184</v>
      </c>
      <c r="D37" s="380">
        <v>46215</v>
      </c>
      <c r="E37" s="393">
        <v>10506</v>
      </c>
      <c r="F37" s="396">
        <v>1500</v>
      </c>
      <c r="G37" s="202">
        <v>46223</v>
      </c>
      <c r="H37" s="401">
        <f>Tabela13[[#This Row],[DATA IDEAL ENTREGA 
(30 D.)]]-Tabela13[[#This Row],[DATA ESTIMADA FINALIZ. 
PCP
]]</f>
        <v>-8</v>
      </c>
      <c r="I37" s="380">
        <v>46262</v>
      </c>
      <c r="J37" s="41"/>
      <c r="K37" s="40" t="s">
        <v>1528</v>
      </c>
      <c r="L37" s="200" t="s">
        <v>1336</v>
      </c>
    </row>
    <row r="38" spans="1:12" ht="23.15" hidden="1" customHeight="1" x14ac:dyDescent="0.35">
      <c r="A38" s="99" t="s">
        <v>1057</v>
      </c>
      <c r="B38" s="99" t="s">
        <v>69</v>
      </c>
      <c r="C38" s="41">
        <v>46166</v>
      </c>
      <c r="D38" s="202" t="s">
        <v>909</v>
      </c>
      <c r="E38" s="393">
        <v>10609</v>
      </c>
      <c r="F38" s="396">
        <v>1000</v>
      </c>
      <c r="G38" s="202">
        <v>46224</v>
      </c>
      <c r="H38" s="402">
        <v>0</v>
      </c>
      <c r="I38" s="350">
        <v>46265</v>
      </c>
      <c r="J38" s="39"/>
      <c r="K38" s="40"/>
      <c r="L38" s="200" t="s">
        <v>1294</v>
      </c>
    </row>
    <row r="39" spans="1:12" ht="16.5" hidden="1" customHeight="1" x14ac:dyDescent="0.35">
      <c r="A39" s="99" t="s">
        <v>1031</v>
      </c>
      <c r="B39" s="99" t="s">
        <v>738</v>
      </c>
      <c r="C39" s="41">
        <v>46185</v>
      </c>
      <c r="D39" s="386" t="s">
        <v>909</v>
      </c>
      <c r="E39" s="393">
        <v>10514</v>
      </c>
      <c r="F39" s="396">
        <v>3650</v>
      </c>
      <c r="G39" s="377">
        <v>46226</v>
      </c>
      <c r="H39" s="402" t="e">
        <f>Tabela13[[#This Row],[DATA ESTIMADA FINALIZ. 
PCP
]]-Tabela13[[#This Row],[DATA IDEAL ENTREGA 
(30 D.)]]</f>
        <v>#VALUE!</v>
      </c>
      <c r="I39" s="348">
        <v>46238</v>
      </c>
      <c r="K39" s="40"/>
      <c r="L39" s="408"/>
    </row>
    <row r="40" spans="1:12" ht="16.5" hidden="1" customHeight="1" x14ac:dyDescent="0.35">
      <c r="A40" s="99" t="s">
        <v>928</v>
      </c>
      <c r="B40" s="99" t="s">
        <v>955</v>
      </c>
      <c r="C40" s="41">
        <v>46157</v>
      </c>
      <c r="D40" s="202" t="s">
        <v>909</v>
      </c>
      <c r="E40" s="393">
        <v>10310</v>
      </c>
      <c r="F40" s="396">
        <v>12000</v>
      </c>
      <c r="G40" s="202">
        <v>46255</v>
      </c>
      <c r="H40" s="402">
        <v>0</v>
      </c>
      <c r="I40" s="348">
        <v>46254</v>
      </c>
      <c r="J40" s="39" t="s">
        <v>672</v>
      </c>
      <c r="K40" s="40"/>
      <c r="L40" s="200" t="s">
        <v>1430</v>
      </c>
    </row>
    <row r="41" spans="1:12" ht="16.5" hidden="1" customHeight="1" x14ac:dyDescent="0.35">
      <c r="A41" s="99" t="s">
        <v>1043</v>
      </c>
      <c r="B41" s="99" t="s">
        <v>778</v>
      </c>
      <c r="C41" s="41">
        <v>46196</v>
      </c>
      <c r="D41" s="202" t="s">
        <v>909</v>
      </c>
      <c r="E41" s="393">
        <v>10572</v>
      </c>
      <c r="F41" s="396">
        <v>600</v>
      </c>
      <c r="G41" s="202">
        <v>46248</v>
      </c>
      <c r="H41" s="402">
        <v>0</v>
      </c>
      <c r="I41" s="348">
        <v>46248</v>
      </c>
      <c r="J41" s="39"/>
      <c r="K41" s="40"/>
      <c r="L41" s="200" t="s">
        <v>1295</v>
      </c>
    </row>
    <row r="42" spans="1:12" ht="16.5" hidden="1" customHeight="1" x14ac:dyDescent="0.35">
      <c r="A42" s="99" t="s">
        <v>1131</v>
      </c>
      <c r="B42" s="99" t="s">
        <v>955</v>
      </c>
      <c r="C42" s="41">
        <v>46157</v>
      </c>
      <c r="D42" s="202" t="s">
        <v>909</v>
      </c>
      <c r="E42" s="393">
        <v>10634</v>
      </c>
      <c r="F42" s="396">
        <v>6000</v>
      </c>
      <c r="G42" s="202">
        <v>46255</v>
      </c>
      <c r="H42" s="402">
        <v>0</v>
      </c>
      <c r="I42" s="348">
        <v>46254</v>
      </c>
      <c r="J42" s="39"/>
      <c r="K42" s="293" t="s">
        <v>928</v>
      </c>
      <c r="L42" s="408" t="s">
        <v>1132</v>
      </c>
    </row>
    <row r="43" spans="1:12" ht="16.5" hidden="1" customHeight="1" x14ac:dyDescent="0.35">
      <c r="A43" s="99" t="s">
        <v>1059</v>
      </c>
      <c r="B43" s="411" t="s">
        <v>711</v>
      </c>
      <c r="C43" s="41">
        <v>46199</v>
      </c>
      <c r="D43" s="202">
        <v>46229</v>
      </c>
      <c r="E43" s="393" t="s">
        <v>1384</v>
      </c>
      <c r="F43" s="396">
        <v>2500</v>
      </c>
      <c r="G43" s="202">
        <v>46286</v>
      </c>
      <c r="H43" s="401">
        <f>Tabela13[[#This Row],[DATA IDEAL ENTREGA 
(30 D.)]]-Tabela13[[#This Row],[DATA ESTIMADA FINALIZ. 
PCP
]]</f>
        <v>-57</v>
      </c>
      <c r="I43" s="380">
        <v>46274</v>
      </c>
      <c r="J43" s="40" t="s">
        <v>1495</v>
      </c>
      <c r="K43" s="40" t="s">
        <v>1529</v>
      </c>
      <c r="L43" s="200"/>
    </row>
    <row r="44" spans="1:12" ht="16.5" hidden="1" customHeight="1" x14ac:dyDescent="0.35">
      <c r="A44" s="171" t="s">
        <v>1077</v>
      </c>
      <c r="B44" s="411" t="s">
        <v>711</v>
      </c>
      <c r="C44" s="41">
        <v>46204</v>
      </c>
      <c r="D44" s="202">
        <v>46235</v>
      </c>
      <c r="E44" s="393" t="s">
        <v>1385</v>
      </c>
      <c r="F44" s="396">
        <v>1000</v>
      </c>
      <c r="G44" s="202">
        <v>46289</v>
      </c>
      <c r="H44" s="401">
        <f>Tabela13[[#This Row],[DATA IDEAL ENTREGA 
(30 D.)]]-Tabela13[[#This Row],[DATA ESTIMADA FINALIZ. 
PCP
]]</f>
        <v>-54</v>
      </c>
      <c r="I44" s="380">
        <v>46274</v>
      </c>
      <c r="J44" s="40" t="s">
        <v>1495</v>
      </c>
      <c r="K44" s="40" t="s">
        <v>1529</v>
      </c>
      <c r="L44" s="408" t="s">
        <v>1134</v>
      </c>
    </row>
    <row r="45" spans="1:12" ht="16.5" hidden="1" customHeight="1" x14ac:dyDescent="0.35">
      <c r="A45" s="259" t="s">
        <v>1009</v>
      </c>
      <c r="B45" s="99" t="s">
        <v>1062</v>
      </c>
      <c r="C45" s="41">
        <v>46197</v>
      </c>
      <c r="D45" s="386" t="s">
        <v>909</v>
      </c>
      <c r="E45" s="393">
        <v>10756</v>
      </c>
      <c r="F45" s="396">
        <v>4000</v>
      </c>
      <c r="G45" s="377">
        <v>46245</v>
      </c>
      <c r="H45" s="402" t="e">
        <f>Tabela13[[#This Row],[DATA ESTIMADA FINALIZ. 
PCP
]]-Tabela13[[#This Row],[DATA IDEAL ENTREGA 
(30 D.)]]</f>
        <v>#VALUE!</v>
      </c>
      <c r="I45" s="350" t="s">
        <v>154</v>
      </c>
      <c r="J45" s="39"/>
      <c r="K45" s="40"/>
      <c r="L45" s="200" t="s">
        <v>1253</v>
      </c>
    </row>
    <row r="46" spans="1:12" ht="16.5" hidden="1" customHeight="1" x14ac:dyDescent="0.35">
      <c r="A46" s="99" t="s">
        <v>975</v>
      </c>
      <c r="B46" s="21" t="s">
        <v>989</v>
      </c>
      <c r="C46" s="41">
        <v>46157</v>
      </c>
      <c r="D46" s="206" t="s">
        <v>703</v>
      </c>
      <c r="E46" s="393">
        <v>10700</v>
      </c>
      <c r="F46" s="396">
        <v>150</v>
      </c>
      <c r="G46" s="377">
        <v>46234</v>
      </c>
      <c r="H46" s="208">
        <v>0</v>
      </c>
      <c r="I46" s="384" t="s">
        <v>1284</v>
      </c>
      <c r="J46" s="69"/>
      <c r="K46" s="40"/>
      <c r="L46" s="200" t="s">
        <v>1234</v>
      </c>
    </row>
    <row r="47" spans="1:12" ht="16.5" hidden="1" customHeight="1" x14ac:dyDescent="0.35">
      <c r="A47" s="99" t="s">
        <v>1064</v>
      </c>
      <c r="B47" s="411" t="s">
        <v>1144</v>
      </c>
      <c r="C47" s="41">
        <v>46202</v>
      </c>
      <c r="D47" s="202">
        <v>46249</v>
      </c>
      <c r="E47" s="393" t="s">
        <v>1268</v>
      </c>
      <c r="F47" s="396">
        <v>22000</v>
      </c>
      <c r="G47" s="202">
        <v>46288</v>
      </c>
      <c r="H47" s="401">
        <f>Tabela13[[#This Row],[DATA IDEAL ENTREGA 
(30 D.)]]-Tabela13[[#This Row],[DATA ESTIMADA FINALIZ. 
PCP
]]</f>
        <v>-39</v>
      </c>
      <c r="I47" s="380">
        <v>46288</v>
      </c>
      <c r="J47" s="41"/>
      <c r="K47" s="40" t="s">
        <v>1528</v>
      </c>
      <c r="L47" s="210" t="s">
        <v>1383</v>
      </c>
    </row>
    <row r="48" spans="1:12" ht="16.5" hidden="1" customHeight="1" x14ac:dyDescent="0.35">
      <c r="A48" s="99" t="s">
        <v>1129</v>
      </c>
      <c r="B48" s="411" t="s">
        <v>1154</v>
      </c>
      <c r="C48" s="41">
        <v>46210</v>
      </c>
      <c r="D48" s="202">
        <v>46241</v>
      </c>
      <c r="E48" s="393" t="s">
        <v>1393</v>
      </c>
      <c r="F48" s="396">
        <v>1300</v>
      </c>
      <c r="G48" s="202">
        <v>46258</v>
      </c>
      <c r="H48" s="401">
        <f>Tabela13[[#This Row],[DATA IDEAL ENTREGA 
(30 D.)]]-Tabela13[[#This Row],[DATA ESTIMADA FINALIZ. 
PCP
]]</f>
        <v>-17</v>
      </c>
      <c r="I48" s="380">
        <v>46265</v>
      </c>
      <c r="J48" s="69"/>
      <c r="K48" s="40"/>
      <c r="L48" s="210" t="s">
        <v>1394</v>
      </c>
    </row>
    <row r="49" spans="1:12" ht="16.5" hidden="1" customHeight="1" x14ac:dyDescent="0.35">
      <c r="A49" s="99" t="s">
        <v>1155</v>
      </c>
      <c r="B49" s="411" t="s">
        <v>1283</v>
      </c>
      <c r="C49" s="41">
        <v>46213</v>
      </c>
      <c r="D49" s="202">
        <v>46252</v>
      </c>
      <c r="E49" s="393">
        <v>10814</v>
      </c>
      <c r="F49" s="396">
        <v>6000</v>
      </c>
      <c r="G49" s="202">
        <v>46269</v>
      </c>
      <c r="H49" s="401">
        <f>Tabela13[[#This Row],[DATA IDEAL ENTREGA 
(30 D.)]]-Tabela13[[#This Row],[DATA ESTIMADA FINALIZ. 
PCP
]]</f>
        <v>-17</v>
      </c>
      <c r="I49" s="380">
        <v>46269</v>
      </c>
      <c r="J49" s="41" t="s">
        <v>1496</v>
      </c>
      <c r="K49" s="40" t="s">
        <v>1528</v>
      </c>
      <c r="L49" s="200"/>
    </row>
    <row r="50" spans="1:12" x14ac:dyDescent="0.35">
      <c r="A50" s="99" t="s">
        <v>1168</v>
      </c>
      <c r="B50" s="411" t="s">
        <v>778</v>
      </c>
      <c r="C50" s="41">
        <v>46220</v>
      </c>
      <c r="D50" s="202">
        <v>46252</v>
      </c>
      <c r="E50" s="393">
        <v>10820</v>
      </c>
      <c r="F50" s="396">
        <v>1400</v>
      </c>
      <c r="G50" s="202">
        <v>46265</v>
      </c>
      <c r="H50" s="401">
        <f>Tabela13[[#This Row],[DATA IDEAL ENTREGA 
(30 D.)]]-Tabela13[[#This Row],[DATA ESTIMADA FINALIZ. 
PCP
]]</f>
        <v>-13</v>
      </c>
      <c r="I50" s="380">
        <v>46293</v>
      </c>
      <c r="J50" s="41"/>
      <c r="K50" s="40" t="s">
        <v>1508</v>
      </c>
      <c r="L50" s="200" t="s">
        <v>1507</v>
      </c>
    </row>
    <row r="51" spans="1:12" x14ac:dyDescent="0.35">
      <c r="A51" s="99" t="s">
        <v>1190</v>
      </c>
      <c r="B51" s="411" t="s">
        <v>1191</v>
      </c>
      <c r="C51" s="41">
        <v>46210</v>
      </c>
      <c r="D51" s="202">
        <v>46280</v>
      </c>
      <c r="E51" s="393">
        <v>10822</v>
      </c>
      <c r="F51" s="396">
        <v>29000</v>
      </c>
      <c r="G51" s="377">
        <v>46295</v>
      </c>
      <c r="H51" s="401">
        <f>Tabela13[[#This Row],[DATA IDEAL ENTREGA 
(30 D.)]]-Tabela13[[#This Row],[DATA ESTIMADA FINALIZ. 
PCP
]]</f>
        <v>-15</v>
      </c>
      <c r="I51" s="380">
        <v>46295</v>
      </c>
      <c r="J51" s="41"/>
      <c r="K51" s="40" t="s">
        <v>1500</v>
      </c>
      <c r="L51" s="200" t="s">
        <v>1417</v>
      </c>
    </row>
    <row r="52" spans="1:12" ht="15" customHeight="1" x14ac:dyDescent="0.35">
      <c r="A52" s="381" t="s">
        <v>982</v>
      </c>
      <c r="B52" s="411" t="s">
        <v>996</v>
      </c>
      <c r="C52" s="339">
        <v>46163</v>
      </c>
      <c r="D52" s="379">
        <v>46194</v>
      </c>
      <c r="E52" s="394">
        <v>10344</v>
      </c>
      <c r="F52" s="399">
        <v>44000</v>
      </c>
      <c r="G52" s="379">
        <v>46195</v>
      </c>
      <c r="H52" s="401">
        <f>Tabela13[[#This Row],[DATA IDEAL ENTREGA 
(30 D.)]]-Tabela13[[#This Row],[DATA ESTIMADA FINALIZ. 
PCP
]]</f>
        <v>-1</v>
      </c>
      <c r="I52" s="376" t="s">
        <v>1426</v>
      </c>
      <c r="J52" s="339"/>
      <c r="K52" s="382" t="s">
        <v>1530</v>
      </c>
      <c r="L52" s="200" t="s">
        <v>1431</v>
      </c>
    </row>
    <row r="53" spans="1:12" x14ac:dyDescent="0.35">
      <c r="A53" s="99" t="s">
        <v>1225</v>
      </c>
      <c r="B53" s="411" t="s">
        <v>778</v>
      </c>
      <c r="C53" s="41">
        <v>46224</v>
      </c>
      <c r="D53" s="202">
        <f>Tabela13[[#This Row],[DATA 
PROFORMA y/o PEDIDO ]]+30</f>
        <v>46254</v>
      </c>
      <c r="E53" s="393">
        <v>10856</v>
      </c>
      <c r="F53" s="396">
        <v>25200</v>
      </c>
      <c r="G53" s="202">
        <v>46283</v>
      </c>
      <c r="H53" s="401">
        <f>Tabela13[[#This Row],[DATA IDEAL ENTREGA 
(30 D.)]]-Tabela13[[#This Row],[DATA ESTIMADA FINALIZ. 
PCP
]]</f>
        <v>-29</v>
      </c>
      <c r="I53" s="380">
        <v>46293</v>
      </c>
      <c r="J53" s="41"/>
      <c r="K53" s="40" t="s">
        <v>1508</v>
      </c>
      <c r="L53" s="200" t="s">
        <v>1380</v>
      </c>
    </row>
    <row r="54" spans="1:12" hidden="1" x14ac:dyDescent="0.35">
      <c r="A54" s="99" t="s">
        <v>1269</v>
      </c>
      <c r="B54" s="411" t="s">
        <v>711</v>
      </c>
      <c r="C54" s="41">
        <v>46231</v>
      </c>
      <c r="D54" s="202">
        <v>46260</v>
      </c>
      <c r="E54" s="393">
        <v>10822</v>
      </c>
      <c r="F54" s="396">
        <v>3000</v>
      </c>
      <c r="G54" s="202">
        <v>46260</v>
      </c>
      <c r="H54" s="401">
        <f>Tabela13[[#This Row],[DATA IDEAL ENTREGA 
(30 D.)]]-Tabela13[[#This Row],[DATA ESTIMADA FINALIZ. 
PCP
]]</f>
        <v>0</v>
      </c>
      <c r="I54" s="380">
        <v>46274</v>
      </c>
      <c r="J54" s="40" t="s">
        <v>1495</v>
      </c>
      <c r="K54" s="40" t="s">
        <v>1529</v>
      </c>
      <c r="L54" s="200" t="s">
        <v>1273</v>
      </c>
    </row>
    <row r="55" spans="1:12" hidden="1" x14ac:dyDescent="0.35">
      <c r="A55" s="99" t="s">
        <v>1280</v>
      </c>
      <c r="B55" s="411" t="s">
        <v>669</v>
      </c>
      <c r="C55" s="41">
        <v>46244</v>
      </c>
      <c r="D55" s="202">
        <f>Tabela13[[#This Row],[DATA 
PROFORMA y/o PEDIDO ]]+30</f>
        <v>46274</v>
      </c>
      <c r="E55" s="393">
        <v>10946</v>
      </c>
      <c r="F55" s="396">
        <v>5000</v>
      </c>
      <c r="G55" s="202">
        <v>46276</v>
      </c>
      <c r="H55" s="401">
        <f>Tabela13[[#This Row],[DATA IDEAL ENTREGA 
(30 D.)]]-Tabela13[[#This Row],[DATA ESTIMADA FINALIZ. 
PCP
]]</f>
        <v>-2</v>
      </c>
      <c r="I55" s="380">
        <v>46276</v>
      </c>
      <c r="J55" s="41"/>
      <c r="K55" s="40" t="s">
        <v>1528</v>
      </c>
      <c r="L55" s="200" t="s">
        <v>1290</v>
      </c>
    </row>
    <row r="56" spans="1:12" hidden="1" x14ac:dyDescent="0.35">
      <c r="A56" s="171" t="s">
        <v>1291</v>
      </c>
      <c r="B56" s="411" t="s">
        <v>1309</v>
      </c>
      <c r="C56" s="41">
        <v>46246</v>
      </c>
      <c r="D56" s="202">
        <f>Tabela13[[#This Row],[DATA 
PROFORMA y/o PEDIDO ]]+30</f>
        <v>46276</v>
      </c>
      <c r="E56" s="393">
        <v>10963</v>
      </c>
      <c r="F56" s="396">
        <v>1000</v>
      </c>
      <c r="G56" s="202">
        <v>46274</v>
      </c>
      <c r="H56" s="401">
        <f>Tabela13[[#This Row],[DATA IDEAL ENTREGA 
(30 D.)]]-Tabela13[[#This Row],[DATA ESTIMADA FINALIZ. 
PCP
]]</f>
        <v>2</v>
      </c>
      <c r="I56" s="380">
        <v>46274</v>
      </c>
      <c r="J56" s="41"/>
      <c r="K56" s="40" t="s">
        <v>1528</v>
      </c>
      <c r="L56" s="200" t="s">
        <v>1527</v>
      </c>
    </row>
    <row r="57" spans="1:12" hidden="1" x14ac:dyDescent="0.35">
      <c r="A57" s="99" t="s">
        <v>1304</v>
      </c>
      <c r="B57" s="411" t="s">
        <v>69</v>
      </c>
      <c r="C57" s="41">
        <v>46254</v>
      </c>
      <c r="D57" s="202">
        <f>Tabela13[[#This Row],[DATA 
PROFORMA y/o PEDIDO ]]+30</f>
        <v>46284</v>
      </c>
      <c r="E57" s="393">
        <v>11048</v>
      </c>
      <c r="F57" s="396">
        <v>500</v>
      </c>
      <c r="G57" s="202">
        <v>46265</v>
      </c>
      <c r="H57" s="401">
        <f>Tabela13[[#This Row],[DATA IDEAL ENTREGA 
(30 D.)]]-Tabela13[[#This Row],[DATA ESTIMADA FINALIZ. 
PCP
]]</f>
        <v>19</v>
      </c>
      <c r="I57" s="380">
        <v>46265</v>
      </c>
      <c r="J57" s="69"/>
      <c r="K57" s="40"/>
      <c r="L57" s="210" t="s">
        <v>1305</v>
      </c>
    </row>
    <row r="58" spans="1:12" x14ac:dyDescent="0.35">
      <c r="A58" s="99" t="s">
        <v>1292</v>
      </c>
      <c r="B58" s="411" t="s">
        <v>69</v>
      </c>
      <c r="C58" s="41">
        <v>46255</v>
      </c>
      <c r="D58" s="202">
        <v>46286</v>
      </c>
      <c r="E58" s="393">
        <v>11136</v>
      </c>
      <c r="F58" s="396">
        <v>2500</v>
      </c>
      <c r="G58" s="377">
        <v>46295</v>
      </c>
      <c r="H58" s="401">
        <f>Tabela13[[#This Row],[DATA IDEAL ENTREGA 
(30 D.)]]-Tabela13[[#This Row],[DATA ESTIMADA FINALIZ. 
PCP
]]</f>
        <v>-9</v>
      </c>
      <c r="I58" s="528" t="s">
        <v>1208</v>
      </c>
      <c r="J58" s="4"/>
      <c r="K58" s="40"/>
      <c r="L58" s="200" t="s">
        <v>1518</v>
      </c>
    </row>
    <row r="59" spans="1:12" x14ac:dyDescent="0.35">
      <c r="A59" s="99" t="s">
        <v>1302</v>
      </c>
      <c r="B59" s="411" t="s">
        <v>69</v>
      </c>
      <c r="C59" s="41">
        <v>46255</v>
      </c>
      <c r="D59" s="202">
        <v>46308</v>
      </c>
      <c r="E59" s="393">
        <v>11137</v>
      </c>
      <c r="F59" s="396">
        <v>1000</v>
      </c>
      <c r="G59" s="202">
        <v>46308</v>
      </c>
      <c r="H59" s="401">
        <f>Tabela13[[#This Row],[DATA IDEAL ENTREGA 
(30 D.)]]-Tabela13[[#This Row],[DATA ESTIMADA FINALIZ. 
PCP
]]</f>
        <v>0</v>
      </c>
      <c r="I59" s="380" t="s">
        <v>1419</v>
      </c>
      <c r="J59" s="4"/>
      <c r="K59" s="40"/>
      <c r="L59" s="200" t="s">
        <v>1317</v>
      </c>
    </row>
    <row r="60" spans="1:12" hidden="1" x14ac:dyDescent="0.35">
      <c r="A60" s="99" t="s">
        <v>1304</v>
      </c>
      <c r="B60" s="411" t="s">
        <v>69</v>
      </c>
      <c r="C60" s="41">
        <v>46254</v>
      </c>
      <c r="D60" s="202">
        <v>46286</v>
      </c>
      <c r="E60" s="393">
        <v>11048</v>
      </c>
      <c r="F60" s="396">
        <v>500</v>
      </c>
      <c r="G60" s="202">
        <v>46265</v>
      </c>
      <c r="H60" s="401">
        <f>Tabela13[[#This Row],[DATA IDEAL ENTREGA 
(30 D.)]]-Tabela13[[#This Row],[DATA ESTIMADA FINALIZ. 
PCP
]]</f>
        <v>21</v>
      </c>
      <c r="I60" s="380">
        <v>46268</v>
      </c>
      <c r="J60" s="4"/>
      <c r="K60" s="40" t="s">
        <v>1528</v>
      </c>
      <c r="L60" s="200" t="s">
        <v>1502</v>
      </c>
    </row>
    <row r="61" spans="1:12" x14ac:dyDescent="0.35">
      <c r="A61" s="99" t="s">
        <v>1301</v>
      </c>
      <c r="B61" s="411" t="s">
        <v>752</v>
      </c>
      <c r="C61" s="41">
        <v>46260</v>
      </c>
      <c r="D61" s="202">
        <v>46293</v>
      </c>
      <c r="E61" s="393">
        <v>11186</v>
      </c>
      <c r="F61" s="396">
        <v>10400</v>
      </c>
      <c r="G61" s="202">
        <v>46295</v>
      </c>
      <c r="H61" s="401">
        <f>Tabela13[[#This Row],[DATA IDEAL ENTREGA 
(30 D.)]]-Tabela13[[#This Row],[DATA ESTIMADA FINALIZ. 
PCP
]]</f>
        <v>-2</v>
      </c>
      <c r="I61" s="380">
        <v>46295</v>
      </c>
      <c r="J61" s="4"/>
      <c r="K61" s="40"/>
      <c r="L61" s="200" t="s">
        <v>1360</v>
      </c>
    </row>
    <row r="62" spans="1:12" x14ac:dyDescent="0.35">
      <c r="A62" s="99" t="s">
        <v>1307</v>
      </c>
      <c r="B62" s="538" t="s">
        <v>1337</v>
      </c>
      <c r="C62" s="41">
        <v>46259</v>
      </c>
      <c r="D62" s="202">
        <v>46293</v>
      </c>
      <c r="E62" s="393">
        <v>11239</v>
      </c>
      <c r="F62" s="396">
        <v>15500</v>
      </c>
      <c r="G62" s="377">
        <v>46295</v>
      </c>
      <c r="H62" s="401">
        <f>Tabela13[[#This Row],[DATA IDEAL ENTREGA 
(30 D.)]]-Tabela13[[#This Row],[DATA ESTIMADA FINALIZ. 
PCP
]]</f>
        <v>-2</v>
      </c>
      <c r="I62" s="380">
        <v>46295</v>
      </c>
      <c r="J62" s="4"/>
      <c r="K62" s="40"/>
      <c r="L62" s="200" t="s">
        <v>1360</v>
      </c>
    </row>
    <row r="63" spans="1:12" x14ac:dyDescent="0.35">
      <c r="A63" s="171" t="s">
        <v>1499</v>
      </c>
      <c r="B63" s="538" t="s">
        <v>1191</v>
      </c>
      <c r="C63" s="41">
        <v>46269</v>
      </c>
      <c r="D63" s="202">
        <v>46280</v>
      </c>
      <c r="E63" s="393">
        <v>11316</v>
      </c>
      <c r="F63" s="396">
        <v>1000</v>
      </c>
      <c r="G63" s="377">
        <v>46295</v>
      </c>
      <c r="H63" s="401">
        <f>Tabela13[[#This Row],[DATA IDEAL ENTREGA 
(30 D.)]]-Tabela13[[#This Row],[DATA ESTIMADA FINALIZ. 
PCP
]]</f>
        <v>-15</v>
      </c>
      <c r="I63" s="380">
        <v>46295</v>
      </c>
      <c r="J63" s="4"/>
      <c r="K63" s="40" t="s">
        <v>1501</v>
      </c>
      <c r="L63" s="410" t="s">
        <v>1399</v>
      </c>
    </row>
    <row r="64" spans="1:12" x14ac:dyDescent="0.35">
      <c r="A64" s="171" t="s">
        <v>1395</v>
      </c>
      <c r="B64" s="411" t="s">
        <v>161</v>
      </c>
      <c r="C64" s="41">
        <v>46269</v>
      </c>
      <c r="D64" s="202">
        <v>46290</v>
      </c>
      <c r="E64" s="393" t="s">
        <v>1497</v>
      </c>
      <c r="F64" s="396">
        <v>1000</v>
      </c>
      <c r="G64" s="202">
        <v>46290</v>
      </c>
      <c r="H64" s="401">
        <f>Tabela13[[#This Row],[DATA IDEAL ENTREGA 
(30 D.)]]-Tabela13[[#This Row],[DATA ESTIMADA FINALIZ. 
PCP
]]</f>
        <v>0</v>
      </c>
      <c r="I64" s="202">
        <v>46287</v>
      </c>
      <c r="J64" s="4"/>
      <c r="K64" s="40"/>
      <c r="L64" s="200" t="s">
        <v>1517</v>
      </c>
    </row>
    <row r="65" spans="1:12" hidden="1" x14ac:dyDescent="0.35">
      <c r="A65" s="99" t="s">
        <v>1386</v>
      </c>
      <c r="B65" t="s">
        <v>1413</v>
      </c>
      <c r="C65" s="41">
        <v>46274</v>
      </c>
      <c r="D65" s="202">
        <v>46286</v>
      </c>
      <c r="E65" s="393">
        <v>11324</v>
      </c>
      <c r="F65" s="396">
        <v>2000</v>
      </c>
      <c r="G65" s="202">
        <v>46290</v>
      </c>
      <c r="H65" s="401">
        <f>Tabela13[[#This Row],[DATA IDEAL ENTREGA 
(30 D.)]]-Tabela13[[#This Row],[DATA ESTIMADA FINALIZ. 
PCP
]]</f>
        <v>-4</v>
      </c>
      <c r="I65" s="380">
        <v>46289</v>
      </c>
      <c r="J65" s="4"/>
      <c r="K65" s="40" t="s">
        <v>1532</v>
      </c>
      <c r="L65" s="200" t="s">
        <v>1414</v>
      </c>
    </row>
    <row r="66" spans="1:12" hidden="1" x14ac:dyDescent="0.35">
      <c r="A66" s="99" t="s">
        <v>1401</v>
      </c>
      <c r="B66" t="s">
        <v>1413</v>
      </c>
      <c r="C66" s="41">
        <v>46279</v>
      </c>
      <c r="D66" s="202">
        <v>46286</v>
      </c>
      <c r="E66" s="393">
        <v>11355</v>
      </c>
      <c r="F66" s="396">
        <v>1000</v>
      </c>
      <c r="G66" s="202">
        <v>46290</v>
      </c>
      <c r="H66" s="401">
        <f>Tabela13[[#This Row],[DATA IDEAL ENTREGA 
(30 D.)]]-Tabela13[[#This Row],[DATA ESTIMADA FINALIZ. 
PCP
]]</f>
        <v>-4</v>
      </c>
      <c r="I66" s="380">
        <v>46289</v>
      </c>
      <c r="J66" s="4"/>
      <c r="K66" s="40" t="s">
        <v>1531</v>
      </c>
      <c r="L66" s="200" t="s">
        <v>1402</v>
      </c>
    </row>
    <row r="67" spans="1:12" x14ac:dyDescent="0.35">
      <c r="A67" s="99" t="s">
        <v>1405</v>
      </c>
      <c r="B67" s="411" t="s">
        <v>739</v>
      </c>
      <c r="C67" s="41">
        <v>46282</v>
      </c>
      <c r="D67" s="202">
        <v>46308</v>
      </c>
      <c r="E67" s="393">
        <v>11363</v>
      </c>
      <c r="F67" s="396">
        <v>23000</v>
      </c>
      <c r="G67" s="202">
        <v>46308</v>
      </c>
      <c r="H67" s="401">
        <f>Tabela13[[#This Row],[DATA IDEAL ENTREGA 
(30 D.)]]-Tabela13[[#This Row],[DATA ESTIMADA FINALIZ. 
PCP
]]</f>
        <v>0</v>
      </c>
      <c r="I67" s="380" t="s">
        <v>1419</v>
      </c>
      <c r="J67" s="4"/>
      <c r="K67" s="40"/>
      <c r="L67" s="200" t="s">
        <v>1533</v>
      </c>
    </row>
    <row r="68" spans="1:12" x14ac:dyDescent="0.35">
      <c r="A68" s="99" t="s">
        <v>1404</v>
      </c>
      <c r="B68" s="411" t="s">
        <v>739</v>
      </c>
      <c r="C68" s="41">
        <v>46282</v>
      </c>
      <c r="D68" s="202">
        <v>46336</v>
      </c>
      <c r="E68" s="393">
        <v>11364</v>
      </c>
      <c r="F68" s="396">
        <v>21000</v>
      </c>
      <c r="G68" s="202">
        <v>46336</v>
      </c>
      <c r="H68" s="401">
        <f>Tabela13[[#This Row],[DATA IDEAL ENTREGA 
(30 D.)]]-Tabela13[[#This Row],[DATA ESTIMADA FINALIZ. 
PCP
]]</f>
        <v>0</v>
      </c>
      <c r="I68" s="380" t="s">
        <v>1419</v>
      </c>
      <c r="J68" s="4"/>
      <c r="K68" s="40"/>
      <c r="L68" s="200" t="s">
        <v>1436</v>
      </c>
    </row>
    <row r="69" spans="1:12" x14ac:dyDescent="0.35">
      <c r="A69" s="312" t="s">
        <v>1411</v>
      </c>
      <c r="B69" s="7" t="s">
        <v>1309</v>
      </c>
      <c r="C69" s="41">
        <v>46289</v>
      </c>
      <c r="D69" s="202">
        <v>46314</v>
      </c>
      <c r="E69" s="393">
        <v>11446</v>
      </c>
      <c r="F69" s="396">
        <v>4000</v>
      </c>
      <c r="G69" s="202">
        <v>46314</v>
      </c>
      <c r="H69" s="401">
        <f>Tabela13[[#This Row],[DATA IDEAL ENTREGA 
(30 D.)]]-Tabela13[[#This Row],[DATA ESTIMADA FINALIZ. 
PCP
]]</f>
        <v>0</v>
      </c>
      <c r="I69" s="380" t="s">
        <v>1419</v>
      </c>
      <c r="K69" s="40"/>
      <c r="L69" s="526" t="s">
        <v>1514</v>
      </c>
    </row>
    <row r="70" spans="1:12" x14ac:dyDescent="0.35">
      <c r="A70" s="99" t="s">
        <v>1515</v>
      </c>
      <c r="B70" s="7" t="s">
        <v>687</v>
      </c>
      <c r="C70" s="41">
        <v>46293</v>
      </c>
      <c r="D70" s="202">
        <v>46311</v>
      </c>
      <c r="E70" s="393">
        <v>11454</v>
      </c>
      <c r="F70" s="396">
        <v>3000</v>
      </c>
      <c r="G70" s="202">
        <v>46311</v>
      </c>
      <c r="H70" s="401">
        <f>Tabela13[[#This Row],[DATA IDEAL ENTREGA 
(30 D.)]]-Tabela13[[#This Row],[DATA ESTIMADA FINALIZ. 
PCP
]]</f>
        <v>0</v>
      </c>
      <c r="I70" s="380" t="s">
        <v>1419</v>
      </c>
      <c r="K70" s="40"/>
      <c r="L70" s="526" t="s">
        <v>1525</v>
      </c>
    </row>
  </sheetData>
  <mergeCells count="2">
    <mergeCell ref="D1:E1"/>
    <mergeCell ref="A1:C1"/>
  </mergeCells>
  <phoneticPr fontId="32" type="noConversion"/>
  <conditionalFormatting sqref="I6:I21 I23:I25 I35:I36">
    <cfRule type="expression" dxfId="51" priority="287">
      <formula>$I6-$D$1&lt;=2</formula>
    </cfRule>
    <cfRule type="expression" dxfId="50" priority="288">
      <formula>$I6-$D$1&lt;=5</formula>
    </cfRule>
  </conditionalFormatting>
  <dataValidations count="1">
    <dataValidation allowBlank="1" showErrorMessage="1" sqref="J1:J1048576" xr:uid="{71BC75C4-8D95-46E6-9CC0-5A95115A4FD7}"/>
  </dataValidations>
  <printOptions horizontalCentered="1"/>
  <pageMargins left="0.11811023622047245" right="0.11811023622047245" top="1.1811023622047245" bottom="0.39370078740157483" header="0.31496062992125984" footer="0.31496062992125984"/>
  <pageSetup paperSize="9" scale="54" orientation="landscape" blackAndWhite="1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64D229A-3902-4985-A409-5EE90830F3F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Flags" iconId="0"/>
              <x14:cfIcon iconSet="3Flags" iconId="2"/>
              <x14:cfIcon iconSet="3Flags" iconId="0"/>
            </x14:iconSet>
          </x14:cfRule>
          <xm:sqref>H22:H70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9976-2335-43AD-A7E0-34A0171FE3D9}">
  <dimension ref="A1:AE510"/>
  <sheetViews>
    <sheetView showGridLines="0" zoomScale="90" zoomScaleNormal="90" workbookViewId="0">
      <pane xSplit="9" ySplit="280" topLeftCell="J503" activePane="bottomRight" state="frozen"/>
      <selection pane="topRight" activeCell="J1" sqref="J1"/>
      <selection pane="bottomLeft" activeCell="A281" sqref="A281"/>
      <selection pane="bottomRight" activeCell="B510" sqref="B510"/>
    </sheetView>
  </sheetViews>
  <sheetFormatPr baseColWidth="10" defaultColWidth="9.453125" defaultRowHeight="13" x14ac:dyDescent="0.3"/>
  <cols>
    <col min="1" max="1" width="12.90625" style="378" customWidth="1"/>
    <col min="2" max="2" width="24.453125" style="378" customWidth="1"/>
    <col min="3" max="3" width="9.6328125" style="40" customWidth="1"/>
    <col min="4" max="4" width="8.26953125" style="39" customWidth="1"/>
    <col min="5" max="5" width="10.36328125" style="378" customWidth="1"/>
    <col min="6" max="6" width="8.7265625" style="378" customWidth="1"/>
    <col min="7" max="7" width="16.1796875" style="40" customWidth="1"/>
    <col min="8" max="8" width="13.26953125" style="40" customWidth="1"/>
    <col min="9" max="9" width="9.1796875" style="38" customWidth="1"/>
    <col min="10" max="10" width="36.453125" style="378" customWidth="1"/>
    <col min="11" max="11" width="6.7265625" style="378" customWidth="1"/>
    <col min="12" max="12" width="9.26953125" style="63" hidden="1" customWidth="1"/>
    <col min="13" max="13" width="6.81640625" style="378" customWidth="1"/>
    <col min="14" max="14" width="9.81640625" style="378" customWidth="1"/>
    <col min="15" max="15" width="18" style="378" hidden="1" customWidth="1"/>
    <col min="16" max="16" width="24.54296875" style="378" hidden="1" customWidth="1"/>
    <col min="17" max="17" width="17.54296875" style="378" hidden="1" customWidth="1"/>
    <col min="18" max="18" width="39.81640625" style="378" customWidth="1"/>
    <col min="19" max="19" width="17.453125" style="295" customWidth="1"/>
    <col min="20" max="20" width="9.26953125" style="209" customWidth="1"/>
    <col min="21" max="21" width="12.81640625" style="378" customWidth="1"/>
    <col min="22" max="22" width="7" style="378" customWidth="1"/>
    <col min="23" max="23" width="10.453125" style="378" bestFit="1" customWidth="1"/>
    <col min="24" max="16384" width="9.453125" style="378"/>
  </cols>
  <sheetData>
    <row r="1" spans="1:28" x14ac:dyDescent="0.3">
      <c r="A1" s="412" t="s">
        <v>0</v>
      </c>
      <c r="G1" s="534">
        <f ca="1">NOW()</f>
        <v>46296.603949305558</v>
      </c>
      <c r="H1" s="534"/>
      <c r="P1" s="295"/>
      <c r="Q1" s="295"/>
      <c r="R1" s="295"/>
    </row>
    <row r="2" spans="1:28" ht="10" customHeight="1" x14ac:dyDescent="0.3">
      <c r="B2" s="295"/>
      <c r="C2" s="163"/>
      <c r="D2" s="38"/>
      <c r="O2" s="295"/>
      <c r="P2" s="295"/>
      <c r="Q2" s="295"/>
      <c r="R2" s="295"/>
    </row>
    <row r="3" spans="1:28" ht="10" customHeight="1" x14ac:dyDescent="0.3">
      <c r="A3" s="413">
        <v>1</v>
      </c>
      <c r="B3" s="413">
        <v>2</v>
      </c>
      <c r="C3" s="414">
        <v>3</v>
      </c>
      <c r="D3" s="413"/>
      <c r="E3" s="413">
        <v>4</v>
      </c>
      <c r="F3" s="413">
        <v>5</v>
      </c>
      <c r="G3" s="414">
        <v>6</v>
      </c>
      <c r="H3" s="414">
        <v>7</v>
      </c>
      <c r="I3" s="415">
        <v>8</v>
      </c>
      <c r="J3" s="413">
        <v>9</v>
      </c>
      <c r="K3" s="413">
        <v>10</v>
      </c>
      <c r="L3" s="413">
        <v>11</v>
      </c>
      <c r="M3" s="413">
        <v>12</v>
      </c>
      <c r="N3" s="413">
        <v>13</v>
      </c>
      <c r="O3" s="413">
        <v>14</v>
      </c>
      <c r="P3" s="413">
        <v>15</v>
      </c>
      <c r="Q3" s="413">
        <v>16</v>
      </c>
      <c r="R3" s="413"/>
      <c r="S3" s="415"/>
      <c r="V3" s="378" t="s">
        <v>941</v>
      </c>
    </row>
    <row r="4" spans="1:28" ht="42.75" customHeight="1" thickBot="1" x14ac:dyDescent="0.35">
      <c r="A4" s="156" t="s">
        <v>392</v>
      </c>
      <c r="B4" s="416" t="s">
        <v>1</v>
      </c>
      <c r="C4" s="416" t="s">
        <v>2</v>
      </c>
      <c r="D4" s="417" t="s">
        <v>653</v>
      </c>
      <c r="E4" s="417" t="s">
        <v>121</v>
      </c>
      <c r="F4" s="417" t="s">
        <v>393</v>
      </c>
      <c r="G4" s="417" t="s">
        <v>1398</v>
      </c>
      <c r="H4" s="417" t="s">
        <v>647</v>
      </c>
      <c r="I4" s="417" t="s">
        <v>648</v>
      </c>
      <c r="J4" s="416" t="s">
        <v>245</v>
      </c>
      <c r="K4" s="416" t="s">
        <v>4</v>
      </c>
      <c r="L4" s="157" t="s">
        <v>5</v>
      </c>
      <c r="M4" s="417" t="s">
        <v>6</v>
      </c>
      <c r="N4" s="417" t="s">
        <v>469</v>
      </c>
      <c r="O4" s="418" t="s">
        <v>8</v>
      </c>
      <c r="P4" s="418" t="s">
        <v>9</v>
      </c>
      <c r="Q4" s="418" t="s">
        <v>10</v>
      </c>
      <c r="R4" s="527" t="s">
        <v>815</v>
      </c>
      <c r="S4" s="419" t="s">
        <v>821</v>
      </c>
      <c r="T4" s="420" t="s">
        <v>908</v>
      </c>
      <c r="AB4" s="421"/>
    </row>
    <row r="5" spans="1:28" hidden="1" x14ac:dyDescent="0.3">
      <c r="A5" s="2" t="s">
        <v>11</v>
      </c>
      <c r="B5" s="422" t="s">
        <v>12</v>
      </c>
      <c r="C5" s="248" t="s">
        <v>13</v>
      </c>
      <c r="D5" s="211"/>
      <c r="E5" s="3">
        <v>45701</v>
      </c>
      <c r="F5" s="80">
        <v>45748</v>
      </c>
      <c r="G5" s="40">
        <v>357001</v>
      </c>
      <c r="H5" s="179" t="s">
        <v>122</v>
      </c>
      <c r="I5" s="5" t="s">
        <v>122</v>
      </c>
      <c r="J5" s="378" t="s">
        <v>14</v>
      </c>
      <c r="K5" s="423"/>
      <c r="M5" s="423"/>
      <c r="N5" s="6">
        <v>8578.5</v>
      </c>
      <c r="O5" s="7" t="s">
        <v>15</v>
      </c>
      <c r="P5" s="8" t="s">
        <v>16</v>
      </c>
      <c r="Q5" s="8" t="s">
        <v>17</v>
      </c>
      <c r="R5" s="378" t="s">
        <v>651</v>
      </c>
    </row>
    <row r="6" spans="1:28" hidden="1" x14ac:dyDescent="0.3">
      <c r="A6" s="9" t="s">
        <v>11</v>
      </c>
      <c r="B6" s="422" t="s">
        <v>12</v>
      </c>
      <c r="C6" s="248" t="s">
        <v>13</v>
      </c>
      <c r="D6" s="211"/>
      <c r="E6" s="3">
        <v>45701</v>
      </c>
      <c r="F6" s="80">
        <v>45748</v>
      </c>
      <c r="G6" s="40">
        <v>3370009</v>
      </c>
      <c r="H6" s="179" t="s">
        <v>122</v>
      </c>
      <c r="I6" s="5" t="s">
        <v>122</v>
      </c>
      <c r="J6" s="378" t="s">
        <v>18</v>
      </c>
      <c r="K6" s="423"/>
      <c r="M6" s="423"/>
      <c r="N6" s="6">
        <v>2451</v>
      </c>
      <c r="O6" s="7" t="s">
        <v>15</v>
      </c>
      <c r="P6" s="8" t="s">
        <v>16</v>
      </c>
      <c r="Q6" s="8" t="s">
        <v>17</v>
      </c>
      <c r="R6" s="378" t="s">
        <v>652</v>
      </c>
    </row>
    <row r="7" spans="1:28" hidden="1" x14ac:dyDescent="0.3">
      <c r="A7" s="2" t="s">
        <v>19</v>
      </c>
      <c r="B7" s="422" t="s">
        <v>20</v>
      </c>
      <c r="C7" s="248" t="s">
        <v>21</v>
      </c>
      <c r="D7" s="211"/>
      <c r="E7" s="41">
        <v>45722</v>
      </c>
      <c r="F7" s="80">
        <v>45748</v>
      </c>
      <c r="G7" s="213">
        <v>356001</v>
      </c>
      <c r="H7" s="179" t="s">
        <v>122</v>
      </c>
      <c r="I7" s="5" t="s">
        <v>122</v>
      </c>
      <c r="J7" s="10" t="s">
        <v>22</v>
      </c>
      <c r="K7" s="423"/>
      <c r="M7" s="12"/>
      <c r="N7" s="11">
        <v>1596</v>
      </c>
      <c r="O7" s="422" t="s">
        <v>23</v>
      </c>
      <c r="P7" s="378" t="s">
        <v>24</v>
      </c>
      <c r="Q7" s="8" t="s">
        <v>25</v>
      </c>
    </row>
    <row r="8" spans="1:28" hidden="1" x14ac:dyDescent="0.3">
      <c r="A8" s="9" t="s">
        <v>19</v>
      </c>
      <c r="B8" s="422" t="s">
        <v>20</v>
      </c>
      <c r="C8" s="248" t="s">
        <v>21</v>
      </c>
      <c r="D8" s="211"/>
      <c r="E8" s="41">
        <v>45722</v>
      </c>
      <c r="F8" s="80">
        <v>45748</v>
      </c>
      <c r="G8" s="213">
        <v>80001</v>
      </c>
      <c r="H8" s="179" t="s">
        <v>122</v>
      </c>
      <c r="I8" s="5" t="s">
        <v>122</v>
      </c>
      <c r="J8" s="10" t="s">
        <v>26</v>
      </c>
      <c r="K8" s="423"/>
      <c r="M8" s="12"/>
      <c r="N8" s="11">
        <v>1480</v>
      </c>
      <c r="O8" s="422" t="s">
        <v>23</v>
      </c>
      <c r="P8" s="378" t="s">
        <v>24</v>
      </c>
      <c r="Q8" s="8" t="s">
        <v>25</v>
      </c>
    </row>
    <row r="9" spans="1:28" hidden="1" x14ac:dyDescent="0.3">
      <c r="A9" s="2" t="s">
        <v>19</v>
      </c>
      <c r="B9" s="422" t="s">
        <v>20</v>
      </c>
      <c r="C9" s="248" t="s">
        <v>21</v>
      </c>
      <c r="D9" s="211"/>
      <c r="E9" s="41">
        <v>45722</v>
      </c>
      <c r="F9" s="80">
        <v>45748</v>
      </c>
      <c r="G9" s="213">
        <v>91012</v>
      </c>
      <c r="H9" s="179" t="s">
        <v>122</v>
      </c>
      <c r="I9" s="5" t="s">
        <v>122</v>
      </c>
      <c r="J9" s="10" t="s">
        <v>27</v>
      </c>
      <c r="K9" s="423"/>
      <c r="M9" s="12"/>
      <c r="N9" s="11">
        <v>1360</v>
      </c>
      <c r="O9" s="422" t="s">
        <v>23</v>
      </c>
      <c r="P9" s="378" t="s">
        <v>24</v>
      </c>
      <c r="Q9" s="8" t="s">
        <v>25</v>
      </c>
    </row>
    <row r="10" spans="1:28" hidden="1" x14ac:dyDescent="0.3">
      <c r="A10" s="9" t="s">
        <v>19</v>
      </c>
      <c r="B10" s="422" t="s">
        <v>20</v>
      </c>
      <c r="C10" s="248" t="s">
        <v>21</v>
      </c>
      <c r="D10" s="211"/>
      <c r="E10" s="41">
        <v>45722</v>
      </c>
      <c r="F10" s="80">
        <v>45748</v>
      </c>
      <c r="G10" s="213">
        <v>97012</v>
      </c>
      <c r="H10" s="179" t="s">
        <v>122</v>
      </c>
      <c r="I10" s="5" t="s">
        <v>122</v>
      </c>
      <c r="J10" s="10" t="s">
        <v>28</v>
      </c>
      <c r="K10" s="423"/>
      <c r="M10" s="12"/>
      <c r="N10" s="11">
        <v>1470</v>
      </c>
      <c r="O10" s="422" t="s">
        <v>23</v>
      </c>
      <c r="P10" s="378" t="s">
        <v>24</v>
      </c>
      <c r="Q10" s="8" t="s">
        <v>25</v>
      </c>
    </row>
    <row r="11" spans="1:28" hidden="1" x14ac:dyDescent="0.3">
      <c r="A11" s="2" t="s">
        <v>19</v>
      </c>
      <c r="B11" s="422" t="s">
        <v>29</v>
      </c>
      <c r="C11" s="248" t="s">
        <v>30</v>
      </c>
      <c r="D11" s="211"/>
      <c r="E11" s="41">
        <v>45712</v>
      </c>
      <c r="F11" s="80">
        <v>45748</v>
      </c>
      <c r="G11" s="13">
        <v>74117</v>
      </c>
      <c r="H11" s="180">
        <v>326004</v>
      </c>
      <c r="I11" s="5" t="s">
        <v>122</v>
      </c>
      <c r="J11" s="40" t="s">
        <v>31</v>
      </c>
      <c r="K11" s="14"/>
      <c r="M11" s="15"/>
      <c r="N11" s="11">
        <v>3280</v>
      </c>
      <c r="O11" s="16" t="s">
        <v>32</v>
      </c>
      <c r="P11" s="378" t="s">
        <v>33</v>
      </c>
      <c r="Q11" s="8" t="s">
        <v>34</v>
      </c>
    </row>
    <row r="12" spans="1:28" hidden="1" x14ac:dyDescent="0.3">
      <c r="A12" s="9" t="s">
        <v>19</v>
      </c>
      <c r="B12" s="422" t="s">
        <v>29</v>
      </c>
      <c r="C12" s="248" t="s">
        <v>30</v>
      </c>
      <c r="D12" s="211"/>
      <c r="E12" s="41">
        <v>45712</v>
      </c>
      <c r="F12" s="80">
        <v>45748</v>
      </c>
      <c r="G12" s="13">
        <v>89014</v>
      </c>
      <c r="H12" s="180">
        <v>326005</v>
      </c>
      <c r="I12" s="5" t="s">
        <v>122</v>
      </c>
      <c r="J12" s="40" t="s">
        <v>35</v>
      </c>
      <c r="K12" s="14"/>
      <c r="M12" s="15"/>
      <c r="N12" s="11">
        <v>1302</v>
      </c>
      <c r="O12" s="16" t="s">
        <v>32</v>
      </c>
      <c r="P12" s="378" t="s">
        <v>33</v>
      </c>
      <c r="Q12" s="8" t="s">
        <v>34</v>
      </c>
    </row>
    <row r="13" spans="1:28" hidden="1" x14ac:dyDescent="0.3">
      <c r="A13" s="2" t="s">
        <v>19</v>
      </c>
      <c r="B13" s="422" t="s">
        <v>29</v>
      </c>
      <c r="C13" s="248" t="s">
        <v>30</v>
      </c>
      <c r="D13" s="211"/>
      <c r="E13" s="41">
        <v>45712</v>
      </c>
      <c r="F13" s="80">
        <v>45748</v>
      </c>
      <c r="G13" s="13">
        <v>89093</v>
      </c>
      <c r="H13" s="180">
        <v>326001</v>
      </c>
      <c r="I13" s="5" t="s">
        <v>122</v>
      </c>
      <c r="J13" s="40" t="s">
        <v>36</v>
      </c>
      <c r="K13" s="14"/>
      <c r="M13" s="15"/>
      <c r="N13" s="11">
        <v>10700</v>
      </c>
      <c r="O13" s="16" t="s">
        <v>32</v>
      </c>
      <c r="P13" s="378" t="s">
        <v>33</v>
      </c>
      <c r="Q13" s="8" t="s">
        <v>34</v>
      </c>
    </row>
    <row r="14" spans="1:28" hidden="1" x14ac:dyDescent="0.3">
      <c r="A14" s="9" t="s">
        <v>19</v>
      </c>
      <c r="B14" s="422" t="s">
        <v>29</v>
      </c>
      <c r="C14" s="248" t="s">
        <v>30</v>
      </c>
      <c r="D14" s="211"/>
      <c r="E14" s="41">
        <v>45712</v>
      </c>
      <c r="F14" s="80">
        <v>45748</v>
      </c>
      <c r="G14" s="13">
        <v>80071</v>
      </c>
      <c r="H14" s="180">
        <v>326003</v>
      </c>
      <c r="I14" s="5" t="s">
        <v>122</v>
      </c>
      <c r="J14" s="40" t="s">
        <v>37</v>
      </c>
      <c r="K14" s="14"/>
      <c r="M14" s="15"/>
      <c r="N14" s="11">
        <v>4644</v>
      </c>
      <c r="O14" s="16" t="s">
        <v>32</v>
      </c>
      <c r="P14" s="378" t="s">
        <v>33</v>
      </c>
      <c r="Q14" s="8" t="s">
        <v>34</v>
      </c>
      <c r="R14" s="378" t="s">
        <v>652</v>
      </c>
    </row>
    <row r="15" spans="1:28" hidden="1" x14ac:dyDescent="0.3">
      <c r="A15" s="2" t="s">
        <v>19</v>
      </c>
      <c r="B15" s="422" t="s">
        <v>29</v>
      </c>
      <c r="C15" s="248" t="s">
        <v>30</v>
      </c>
      <c r="D15" s="211"/>
      <c r="E15" s="41">
        <v>45712</v>
      </c>
      <c r="F15" s="80">
        <v>45748</v>
      </c>
      <c r="G15" s="13">
        <v>89931</v>
      </c>
      <c r="H15" s="180" t="s">
        <v>38</v>
      </c>
      <c r="I15" s="5" t="s">
        <v>122</v>
      </c>
      <c r="J15" s="40" t="s">
        <v>39</v>
      </c>
      <c r="K15" s="14"/>
      <c r="M15" s="15"/>
      <c r="N15" s="11">
        <v>6000</v>
      </c>
      <c r="O15" s="16" t="s">
        <v>32</v>
      </c>
      <c r="P15" s="378" t="s">
        <v>33</v>
      </c>
      <c r="Q15" s="8" t="s">
        <v>34</v>
      </c>
    </row>
    <row r="16" spans="1:28" hidden="1" x14ac:dyDescent="0.3">
      <c r="A16" s="9" t="s">
        <v>40</v>
      </c>
      <c r="B16" s="422" t="s">
        <v>41</v>
      </c>
      <c r="C16" s="248" t="s">
        <v>21</v>
      </c>
      <c r="D16" s="211"/>
      <c r="E16" s="41">
        <v>45694</v>
      </c>
      <c r="F16" s="80">
        <v>45748</v>
      </c>
      <c r="G16" s="40" t="s">
        <v>42</v>
      </c>
      <c r="H16" s="424" t="s">
        <v>42</v>
      </c>
      <c r="I16" s="5" t="s">
        <v>122</v>
      </c>
      <c r="J16" s="378" t="s">
        <v>43</v>
      </c>
      <c r="K16" s="423"/>
      <c r="M16" s="423"/>
      <c r="N16" s="423">
        <v>2335</v>
      </c>
      <c r="O16" s="378" t="s">
        <v>44</v>
      </c>
      <c r="P16" s="378" t="s">
        <v>45</v>
      </c>
      <c r="Q16" s="425" t="s">
        <v>46</v>
      </c>
      <c r="R16" s="378" t="s">
        <v>659</v>
      </c>
    </row>
    <row r="17" spans="1:19" hidden="1" x14ac:dyDescent="0.3">
      <c r="A17" s="2" t="s">
        <v>47</v>
      </c>
      <c r="B17" s="422" t="s">
        <v>48</v>
      </c>
      <c r="C17" s="248" t="s">
        <v>49</v>
      </c>
      <c r="D17" s="211"/>
      <c r="E17" s="41">
        <v>45729</v>
      </c>
      <c r="F17" s="80">
        <v>45748</v>
      </c>
      <c r="G17" s="18">
        <v>32313</v>
      </c>
      <c r="H17" s="424" t="s">
        <v>50</v>
      </c>
      <c r="I17" s="5" t="s">
        <v>122</v>
      </c>
      <c r="J17" s="19" t="s">
        <v>51</v>
      </c>
      <c r="K17" s="14"/>
      <c r="M17" s="15"/>
      <c r="N17" s="20">
        <v>11360</v>
      </c>
      <c r="O17" s="378" t="s">
        <v>52</v>
      </c>
      <c r="P17" s="378" t="s">
        <v>53</v>
      </c>
      <c r="Q17" s="425" t="s">
        <v>54</v>
      </c>
    </row>
    <row r="18" spans="1:19" hidden="1" x14ac:dyDescent="0.3">
      <c r="A18" s="9" t="s">
        <v>47</v>
      </c>
      <c r="B18" s="422" t="s">
        <v>48</v>
      </c>
      <c r="C18" s="248" t="s">
        <v>49</v>
      </c>
      <c r="D18" s="211"/>
      <c r="E18" s="41">
        <v>45729</v>
      </c>
      <c r="F18" s="80">
        <v>45748</v>
      </c>
      <c r="G18" s="18">
        <v>32232</v>
      </c>
      <c r="H18" s="424" t="s">
        <v>55</v>
      </c>
      <c r="I18" s="5" t="s">
        <v>122</v>
      </c>
      <c r="J18" s="19" t="s">
        <v>56</v>
      </c>
      <c r="K18" s="14"/>
      <c r="M18" s="15"/>
      <c r="N18" s="20">
        <v>6580</v>
      </c>
      <c r="O18" s="378" t="s">
        <v>52</v>
      </c>
      <c r="P18" s="378" t="s">
        <v>53</v>
      </c>
      <c r="Q18" s="425" t="s">
        <v>54</v>
      </c>
      <c r="R18" s="378" t="s">
        <v>665</v>
      </c>
    </row>
    <row r="19" spans="1:19" hidden="1" x14ac:dyDescent="0.3">
      <c r="A19" s="2" t="s">
        <v>47</v>
      </c>
      <c r="B19" s="422" t="s">
        <v>48</v>
      </c>
      <c r="C19" s="248" t="s">
        <v>49</v>
      </c>
      <c r="D19" s="211"/>
      <c r="E19" s="41">
        <v>45729</v>
      </c>
      <c r="F19" s="80">
        <v>45748</v>
      </c>
      <c r="G19" s="18">
        <v>32370</v>
      </c>
      <c r="H19" s="424">
        <v>32370</v>
      </c>
      <c r="I19" s="5" t="s">
        <v>122</v>
      </c>
      <c r="J19" s="19" t="s">
        <v>57</v>
      </c>
      <c r="K19" s="14"/>
      <c r="M19" s="15"/>
      <c r="N19" s="20">
        <v>3456</v>
      </c>
      <c r="O19" s="378" t="s">
        <v>52</v>
      </c>
      <c r="P19" s="378" t="s">
        <v>53</v>
      </c>
      <c r="Q19" s="425" t="s">
        <v>54</v>
      </c>
      <c r="R19" s="426" t="s">
        <v>673</v>
      </c>
      <c r="S19" s="427"/>
    </row>
    <row r="20" spans="1:19" hidden="1" x14ac:dyDescent="0.3">
      <c r="A20" s="9" t="s">
        <v>47</v>
      </c>
      <c r="B20" s="422" t="s">
        <v>48</v>
      </c>
      <c r="C20" s="248" t="s">
        <v>49</v>
      </c>
      <c r="D20" s="211"/>
      <c r="E20" s="41">
        <v>45729</v>
      </c>
      <c r="F20" s="80">
        <v>45748</v>
      </c>
      <c r="G20" s="18">
        <v>32390</v>
      </c>
      <c r="H20" s="424" t="s">
        <v>58</v>
      </c>
      <c r="I20" s="5" t="s">
        <v>122</v>
      </c>
      <c r="J20" s="19" t="s">
        <v>59</v>
      </c>
      <c r="K20" s="14"/>
      <c r="M20" s="15"/>
      <c r="N20" s="20">
        <v>8430</v>
      </c>
      <c r="O20" s="378" t="s">
        <v>52</v>
      </c>
      <c r="P20" s="378" t="s">
        <v>53</v>
      </c>
      <c r="Q20" s="425" t="s">
        <v>54</v>
      </c>
      <c r="R20" s="378" t="s">
        <v>674</v>
      </c>
    </row>
    <row r="21" spans="1:19" hidden="1" x14ac:dyDescent="0.3">
      <c r="A21" s="2" t="s">
        <v>47</v>
      </c>
      <c r="B21" s="422" t="s">
        <v>48</v>
      </c>
      <c r="C21" s="248" t="s">
        <v>49</v>
      </c>
      <c r="D21" s="211"/>
      <c r="E21" s="41">
        <v>45729</v>
      </c>
      <c r="F21" s="80">
        <v>45748</v>
      </c>
      <c r="G21" s="18">
        <v>32372</v>
      </c>
      <c r="H21" s="424" t="s">
        <v>60</v>
      </c>
      <c r="I21" s="5" t="s">
        <v>122</v>
      </c>
      <c r="J21" s="19" t="s">
        <v>61</v>
      </c>
      <c r="K21" s="14"/>
      <c r="M21" s="15"/>
      <c r="N21" s="20">
        <v>9990</v>
      </c>
      <c r="O21" s="378" t="s">
        <v>52</v>
      </c>
      <c r="P21" s="378" t="s">
        <v>53</v>
      </c>
      <c r="Q21" s="425" t="s">
        <v>54</v>
      </c>
      <c r="R21" s="428" t="s">
        <v>680</v>
      </c>
      <c r="S21" s="429"/>
    </row>
    <row r="22" spans="1:19" hidden="1" x14ac:dyDescent="0.3">
      <c r="A22" s="9" t="s">
        <v>47</v>
      </c>
      <c r="B22" s="422" t="s">
        <v>48</v>
      </c>
      <c r="C22" s="248" t="s">
        <v>49</v>
      </c>
      <c r="D22" s="211"/>
      <c r="E22" s="41">
        <v>45729</v>
      </c>
      <c r="F22" s="80">
        <v>45748</v>
      </c>
      <c r="G22" s="18">
        <v>35004</v>
      </c>
      <c r="H22" s="424">
        <v>35004</v>
      </c>
      <c r="I22" s="5" t="s">
        <v>122</v>
      </c>
      <c r="J22" s="19" t="s">
        <v>62</v>
      </c>
      <c r="K22" s="14"/>
      <c r="M22" s="15"/>
      <c r="N22" s="20">
        <v>3670</v>
      </c>
      <c r="O22" s="378" t="s">
        <v>52</v>
      </c>
      <c r="P22" s="378" t="s">
        <v>53</v>
      </c>
      <c r="Q22" s="425" t="s">
        <v>54</v>
      </c>
      <c r="R22" s="378" t="s">
        <v>700</v>
      </c>
    </row>
    <row r="23" spans="1:19" hidden="1" x14ac:dyDescent="0.3">
      <c r="A23" s="2" t="s">
        <v>47</v>
      </c>
      <c r="B23" s="422" t="s">
        <v>48</v>
      </c>
      <c r="C23" s="248" t="s">
        <v>49</v>
      </c>
      <c r="D23" s="211"/>
      <c r="E23" s="41">
        <v>45729</v>
      </c>
      <c r="F23" s="80">
        <v>45748</v>
      </c>
      <c r="G23" s="18">
        <v>35032</v>
      </c>
      <c r="H23" s="424">
        <v>35032</v>
      </c>
      <c r="I23" s="5" t="s">
        <v>122</v>
      </c>
      <c r="J23" s="19" t="s">
        <v>63</v>
      </c>
      <c r="K23" s="14"/>
      <c r="M23" s="15"/>
      <c r="N23" s="20">
        <v>2488</v>
      </c>
      <c r="O23" s="378" t="s">
        <v>52</v>
      </c>
      <c r="P23" s="378" t="s">
        <v>53</v>
      </c>
      <c r="Q23" s="425" t="s">
        <v>54</v>
      </c>
      <c r="R23" s="378" t="s">
        <v>700</v>
      </c>
    </row>
    <row r="24" spans="1:19" hidden="1" x14ac:dyDescent="0.3">
      <c r="A24" s="9" t="s">
        <v>47</v>
      </c>
      <c r="B24" s="422" t="s">
        <v>48</v>
      </c>
      <c r="C24" s="248" t="s">
        <v>49</v>
      </c>
      <c r="D24" s="211"/>
      <c r="E24" s="41">
        <v>45729</v>
      </c>
      <c r="F24" s="80">
        <v>45748</v>
      </c>
      <c r="G24" s="18">
        <v>35145</v>
      </c>
      <c r="H24" s="424">
        <v>258064</v>
      </c>
      <c r="I24" s="5" t="s">
        <v>122</v>
      </c>
      <c r="J24" s="19" t="s">
        <v>64</v>
      </c>
      <c r="K24" s="14"/>
      <c r="M24" s="15"/>
      <c r="N24" s="20">
        <v>12800</v>
      </c>
      <c r="O24" s="378" t="s">
        <v>52</v>
      </c>
      <c r="P24" s="378" t="s">
        <v>53</v>
      </c>
      <c r="Q24" s="425" t="s">
        <v>54</v>
      </c>
      <c r="R24" s="378" t="s">
        <v>700</v>
      </c>
    </row>
    <row r="25" spans="1:19" hidden="1" x14ac:dyDescent="0.3">
      <c r="A25" s="314" t="s">
        <v>65</v>
      </c>
      <c r="B25" s="422" t="s">
        <v>48</v>
      </c>
      <c r="C25" s="248" t="s">
        <v>49</v>
      </c>
      <c r="D25" s="211"/>
      <c r="E25" s="41">
        <v>45756</v>
      </c>
      <c r="F25" s="81">
        <v>45778</v>
      </c>
      <c r="G25" s="18">
        <v>32282</v>
      </c>
      <c r="H25" s="181">
        <v>32282</v>
      </c>
      <c r="I25" s="430">
        <v>6816</v>
      </c>
      <c r="J25" s="19" t="s">
        <v>66</v>
      </c>
      <c r="K25" s="14"/>
      <c r="M25" s="15"/>
      <c r="N25" s="20">
        <v>3020</v>
      </c>
      <c r="O25" s="378" t="s">
        <v>52</v>
      </c>
      <c r="P25" s="378" t="s">
        <v>53</v>
      </c>
      <c r="Q25" s="425" t="s">
        <v>54</v>
      </c>
      <c r="R25" s="378" t="s">
        <v>700</v>
      </c>
    </row>
    <row r="26" spans="1:19" hidden="1" x14ac:dyDescent="0.3">
      <c r="A26" s="315" t="s">
        <v>65</v>
      </c>
      <c r="B26" s="422" t="s">
        <v>48</v>
      </c>
      <c r="C26" s="248" t="s">
        <v>49</v>
      </c>
      <c r="D26" s="211"/>
      <c r="E26" s="41">
        <v>45756</v>
      </c>
      <c r="F26" s="81">
        <v>45778</v>
      </c>
      <c r="G26" s="18">
        <v>32232</v>
      </c>
      <c r="H26" s="181">
        <v>32232</v>
      </c>
      <c r="I26" s="430">
        <v>6816</v>
      </c>
      <c r="J26" s="19" t="s">
        <v>56</v>
      </c>
      <c r="K26" s="14"/>
      <c r="M26" s="15"/>
      <c r="N26" s="20">
        <v>11515</v>
      </c>
      <c r="O26" s="378" t="s">
        <v>52</v>
      </c>
      <c r="P26" s="378" t="s">
        <v>53</v>
      </c>
      <c r="Q26" s="425" t="s">
        <v>54</v>
      </c>
      <c r="R26" s="378" t="s">
        <v>700</v>
      </c>
    </row>
    <row r="27" spans="1:19" hidden="1" x14ac:dyDescent="0.3">
      <c r="A27" s="314" t="s">
        <v>65</v>
      </c>
      <c r="B27" s="422" t="s">
        <v>48</v>
      </c>
      <c r="C27" s="248" t="s">
        <v>49</v>
      </c>
      <c r="D27" s="211"/>
      <c r="E27" s="41">
        <v>45756</v>
      </c>
      <c r="F27" s="81">
        <v>45778</v>
      </c>
      <c r="G27" s="18">
        <v>32370</v>
      </c>
      <c r="H27" s="181">
        <v>32370</v>
      </c>
      <c r="I27" s="430">
        <v>6816</v>
      </c>
      <c r="J27" s="19" t="s">
        <v>57</v>
      </c>
      <c r="K27" s="14"/>
      <c r="M27" s="15"/>
      <c r="N27" s="20">
        <v>6000</v>
      </c>
      <c r="O27" s="378" t="s">
        <v>52</v>
      </c>
      <c r="P27" s="378" t="s">
        <v>53</v>
      </c>
      <c r="Q27" s="425" t="s">
        <v>54</v>
      </c>
      <c r="R27" s="378" t="s">
        <v>700</v>
      </c>
    </row>
    <row r="28" spans="1:19" hidden="1" x14ac:dyDescent="0.3">
      <c r="A28" s="315" t="s">
        <v>65</v>
      </c>
      <c r="B28" s="422" t="s">
        <v>48</v>
      </c>
      <c r="C28" s="248" t="s">
        <v>49</v>
      </c>
      <c r="D28" s="211"/>
      <c r="E28" s="41">
        <v>45756</v>
      </c>
      <c r="F28" s="81">
        <v>45778</v>
      </c>
      <c r="G28" s="18">
        <v>32390</v>
      </c>
      <c r="H28" s="181">
        <v>32390</v>
      </c>
      <c r="I28" s="430">
        <v>6816</v>
      </c>
      <c r="J28" s="19" t="s">
        <v>59</v>
      </c>
      <c r="K28" s="14"/>
      <c r="M28" s="15"/>
      <c r="N28" s="20">
        <v>11240</v>
      </c>
      <c r="O28" s="378" t="s">
        <v>52</v>
      </c>
      <c r="P28" s="378" t="s">
        <v>53</v>
      </c>
      <c r="Q28" s="425" t="s">
        <v>54</v>
      </c>
      <c r="R28" s="378" t="s">
        <v>700</v>
      </c>
    </row>
    <row r="29" spans="1:19" hidden="1" x14ac:dyDescent="0.3">
      <c r="A29" s="314" t="s">
        <v>65</v>
      </c>
      <c r="B29" s="422" t="s">
        <v>48</v>
      </c>
      <c r="C29" s="248" t="s">
        <v>49</v>
      </c>
      <c r="D29" s="211"/>
      <c r="E29" s="41">
        <v>45756</v>
      </c>
      <c r="F29" s="81">
        <v>45778</v>
      </c>
      <c r="G29" s="18">
        <v>32372</v>
      </c>
      <c r="H29" s="431">
        <v>2540017</v>
      </c>
      <c r="I29" s="430">
        <v>6816</v>
      </c>
      <c r="J29" s="19" t="s">
        <v>61</v>
      </c>
      <c r="K29" s="14"/>
      <c r="M29" s="15"/>
      <c r="N29" s="20">
        <v>13320</v>
      </c>
      <c r="O29" s="378" t="s">
        <v>52</v>
      </c>
      <c r="P29" s="378" t="s">
        <v>53</v>
      </c>
      <c r="Q29" s="425" t="s">
        <v>54</v>
      </c>
      <c r="R29" s="378" t="s">
        <v>700</v>
      </c>
    </row>
    <row r="30" spans="1:19" hidden="1" x14ac:dyDescent="0.3">
      <c r="A30" s="315" t="s">
        <v>65</v>
      </c>
      <c r="B30" s="422" t="s">
        <v>48</v>
      </c>
      <c r="C30" s="248" t="s">
        <v>49</v>
      </c>
      <c r="D30" s="211"/>
      <c r="E30" s="41">
        <v>45756</v>
      </c>
      <c r="F30" s="81">
        <v>45778</v>
      </c>
      <c r="G30" s="18">
        <v>35004</v>
      </c>
      <c r="H30" s="181">
        <v>35004</v>
      </c>
      <c r="I30" s="430">
        <v>6816</v>
      </c>
      <c r="J30" s="19" t="s">
        <v>62</v>
      </c>
      <c r="K30" s="14"/>
      <c r="M30" s="15"/>
      <c r="N30" s="20">
        <v>3670</v>
      </c>
      <c r="O30" s="378" t="s">
        <v>52</v>
      </c>
      <c r="P30" s="378" t="s">
        <v>53</v>
      </c>
      <c r="Q30" s="425" t="s">
        <v>54</v>
      </c>
      <c r="R30" s="378" t="s">
        <v>700</v>
      </c>
    </row>
    <row r="31" spans="1:19" hidden="1" x14ac:dyDescent="0.3">
      <c r="A31" s="314" t="s">
        <v>65</v>
      </c>
      <c r="B31" s="422" t="s">
        <v>48</v>
      </c>
      <c r="C31" s="248" t="s">
        <v>49</v>
      </c>
      <c r="D31" s="211"/>
      <c r="E31" s="41">
        <v>45756</v>
      </c>
      <c r="F31" s="81">
        <v>45778</v>
      </c>
      <c r="G31" s="18">
        <v>35149</v>
      </c>
      <c r="H31" s="181">
        <v>132012</v>
      </c>
      <c r="I31" s="430">
        <v>6816</v>
      </c>
      <c r="J31" s="19" t="s">
        <v>67</v>
      </c>
      <c r="K31" s="14"/>
      <c r="M31" s="15"/>
      <c r="N31" s="20">
        <v>7560</v>
      </c>
      <c r="O31" s="378" t="s">
        <v>52</v>
      </c>
      <c r="P31" s="378" t="s">
        <v>53</v>
      </c>
      <c r="Q31" s="425" t="s">
        <v>54</v>
      </c>
      <c r="R31" s="378" t="s">
        <v>700</v>
      </c>
    </row>
    <row r="32" spans="1:19" hidden="1" x14ac:dyDescent="0.3">
      <c r="A32" s="315" t="s">
        <v>68</v>
      </c>
      <c r="B32" s="378" t="s">
        <v>69</v>
      </c>
      <c r="C32" s="248" t="s">
        <v>70</v>
      </c>
      <c r="D32" s="211"/>
      <c r="E32" s="41">
        <v>45754</v>
      </c>
      <c r="F32" s="81">
        <v>45778</v>
      </c>
      <c r="G32" s="40">
        <v>1121110</v>
      </c>
      <c r="H32" s="424">
        <v>2810005</v>
      </c>
      <c r="I32" s="404">
        <v>6752</v>
      </c>
      <c r="J32" s="378" t="s">
        <v>71</v>
      </c>
      <c r="K32" s="14"/>
      <c r="N32" s="20">
        <v>1415</v>
      </c>
      <c r="O32" s="378" t="s">
        <v>72</v>
      </c>
      <c r="P32" s="378" t="s">
        <v>73</v>
      </c>
      <c r="Q32" s="425" t="s">
        <v>74</v>
      </c>
      <c r="R32" s="378" t="s">
        <v>700</v>
      </c>
    </row>
    <row r="33" spans="1:20" hidden="1" x14ac:dyDescent="0.3">
      <c r="A33" s="315" t="s">
        <v>68</v>
      </c>
      <c r="B33" s="378" t="s">
        <v>69</v>
      </c>
      <c r="C33" s="248" t="s">
        <v>70</v>
      </c>
      <c r="D33" s="211"/>
      <c r="E33" s="41">
        <v>45754</v>
      </c>
      <c r="F33" s="81">
        <v>45778</v>
      </c>
      <c r="G33" s="40">
        <v>1122580</v>
      </c>
      <c r="H33" s="432">
        <v>2810009</v>
      </c>
      <c r="I33" s="404">
        <v>6752</v>
      </c>
      <c r="J33" s="378" t="s">
        <v>75</v>
      </c>
      <c r="K33" s="14"/>
      <c r="N33" s="20">
        <v>3825</v>
      </c>
      <c r="O33" s="378" t="s">
        <v>72</v>
      </c>
      <c r="P33" s="378" t="s">
        <v>73</v>
      </c>
      <c r="Q33" s="425" t="s">
        <v>74</v>
      </c>
      <c r="R33" s="378" t="s">
        <v>700</v>
      </c>
    </row>
    <row r="34" spans="1:20" hidden="1" x14ac:dyDescent="0.3">
      <c r="A34" s="2" t="s">
        <v>76</v>
      </c>
      <c r="B34" s="378" t="s">
        <v>77</v>
      </c>
      <c r="C34" s="248" t="s">
        <v>70</v>
      </c>
      <c r="D34" s="211"/>
      <c r="E34" s="41">
        <v>45691</v>
      </c>
      <c r="F34" s="80">
        <v>45748</v>
      </c>
      <c r="G34" s="433" t="s">
        <v>78</v>
      </c>
      <c r="I34" s="38" t="s">
        <v>122</v>
      </c>
      <c r="J34" s="378" t="s">
        <v>79</v>
      </c>
      <c r="K34" s="11"/>
      <c r="M34" s="12"/>
      <c r="N34" s="6">
        <v>4300</v>
      </c>
      <c r="O34" s="378" t="s">
        <v>80</v>
      </c>
      <c r="P34" s="378" t="s">
        <v>81</v>
      </c>
      <c r="Q34" s="425" t="s">
        <v>82</v>
      </c>
      <c r="R34" s="428" t="s">
        <v>809</v>
      </c>
      <c r="S34" s="429" t="s">
        <v>831</v>
      </c>
      <c r="T34" s="209" t="s">
        <v>832</v>
      </c>
    </row>
    <row r="35" spans="1:20" hidden="1" x14ac:dyDescent="0.3">
      <c r="A35" s="9" t="s">
        <v>76</v>
      </c>
      <c r="B35" s="378" t="s">
        <v>77</v>
      </c>
      <c r="C35" s="248" t="s">
        <v>70</v>
      </c>
      <c r="D35" s="211"/>
      <c r="E35" s="41">
        <v>45691</v>
      </c>
      <c r="F35" s="80">
        <v>45748</v>
      </c>
      <c r="G35" s="433" t="s">
        <v>83</v>
      </c>
      <c r="I35" s="38" t="s">
        <v>122</v>
      </c>
      <c r="J35" s="378" t="s">
        <v>84</v>
      </c>
      <c r="K35" s="11"/>
      <c r="M35" s="12"/>
      <c r="N35" s="6">
        <v>3325</v>
      </c>
      <c r="O35" s="378" t="s">
        <v>80</v>
      </c>
      <c r="P35" s="378" t="s">
        <v>81</v>
      </c>
      <c r="Q35" s="425" t="s">
        <v>82</v>
      </c>
      <c r="R35" s="378" t="s">
        <v>709</v>
      </c>
    </row>
    <row r="36" spans="1:20" hidden="1" x14ac:dyDescent="0.3">
      <c r="A36" s="2" t="s">
        <v>76</v>
      </c>
      <c r="B36" s="378" t="s">
        <v>77</v>
      </c>
      <c r="C36" s="248" t="s">
        <v>70</v>
      </c>
      <c r="D36" s="211"/>
      <c r="E36" s="41">
        <v>45691</v>
      </c>
      <c r="F36" s="80">
        <v>45748</v>
      </c>
      <c r="G36" s="433" t="s">
        <v>85</v>
      </c>
      <c r="I36" s="38" t="s">
        <v>122</v>
      </c>
      <c r="J36" s="378" t="s">
        <v>86</v>
      </c>
      <c r="K36" s="11"/>
      <c r="M36" s="12"/>
      <c r="N36" s="6">
        <v>3640</v>
      </c>
      <c r="O36" s="378" t="s">
        <v>80</v>
      </c>
      <c r="P36" s="378" t="s">
        <v>81</v>
      </c>
      <c r="Q36" s="425" t="s">
        <v>82</v>
      </c>
      <c r="R36" s="434" t="s">
        <v>814</v>
      </c>
      <c r="S36" s="435"/>
    </row>
    <row r="37" spans="1:20" hidden="1" x14ac:dyDescent="0.3">
      <c r="A37" s="9" t="s">
        <v>76</v>
      </c>
      <c r="B37" s="378" t="s">
        <v>77</v>
      </c>
      <c r="C37" s="248" t="s">
        <v>70</v>
      </c>
      <c r="D37" s="211"/>
      <c r="E37" s="41">
        <v>45691</v>
      </c>
      <c r="F37" s="80">
        <v>45748</v>
      </c>
      <c r="G37" s="433" t="s">
        <v>87</v>
      </c>
      <c r="I37" s="38" t="s">
        <v>122</v>
      </c>
      <c r="J37" s="378" t="s">
        <v>88</v>
      </c>
      <c r="K37" s="11"/>
      <c r="M37" s="12"/>
      <c r="N37" s="6">
        <v>2180</v>
      </c>
      <c r="O37" s="378" t="s">
        <v>80</v>
      </c>
      <c r="P37" s="378" t="s">
        <v>81</v>
      </c>
      <c r="Q37" s="425" t="s">
        <v>82</v>
      </c>
      <c r="R37" s="428" t="s">
        <v>808</v>
      </c>
      <c r="S37" s="429"/>
    </row>
    <row r="38" spans="1:20" hidden="1" x14ac:dyDescent="0.3">
      <c r="A38" s="316" t="s">
        <v>89</v>
      </c>
      <c r="B38" s="21" t="s">
        <v>48</v>
      </c>
      <c r="C38" s="248" t="s">
        <v>49</v>
      </c>
      <c r="D38" s="211"/>
      <c r="E38" s="41">
        <v>45743</v>
      </c>
      <c r="F38" s="80">
        <v>45748</v>
      </c>
      <c r="G38" s="22">
        <v>32282</v>
      </c>
      <c r="H38" s="213">
        <v>32282</v>
      </c>
      <c r="I38" s="38" t="s">
        <v>122</v>
      </c>
      <c r="J38" s="24" t="s">
        <v>66</v>
      </c>
      <c r="K38" s="25"/>
      <c r="M38" s="26"/>
      <c r="N38" s="6">
        <v>3020</v>
      </c>
      <c r="O38" s="378" t="s">
        <v>52</v>
      </c>
      <c r="P38" s="378" t="s">
        <v>53</v>
      </c>
      <c r="Q38" s="425" t="s">
        <v>54</v>
      </c>
      <c r="R38" s="378" t="s">
        <v>714</v>
      </c>
    </row>
    <row r="39" spans="1:20" hidden="1" x14ac:dyDescent="0.3">
      <c r="A39" s="27" t="s">
        <v>89</v>
      </c>
      <c r="B39" s="21" t="s">
        <v>48</v>
      </c>
      <c r="C39" s="248" t="s">
        <v>49</v>
      </c>
      <c r="D39" s="211"/>
      <c r="E39" s="41">
        <v>45743</v>
      </c>
      <c r="F39" s="80">
        <v>45748</v>
      </c>
      <c r="G39" s="22">
        <v>32313</v>
      </c>
      <c r="H39" s="213">
        <v>32313</v>
      </c>
      <c r="I39" s="38" t="s">
        <v>122</v>
      </c>
      <c r="J39" s="24" t="s">
        <v>51</v>
      </c>
      <c r="K39" s="25"/>
      <c r="M39" s="26"/>
      <c r="N39" s="6">
        <v>5760</v>
      </c>
      <c r="O39" s="378" t="s">
        <v>52</v>
      </c>
      <c r="P39" s="378" t="s">
        <v>53</v>
      </c>
      <c r="Q39" s="425" t="s">
        <v>54</v>
      </c>
      <c r="R39" s="378" t="s">
        <v>1438</v>
      </c>
      <c r="S39" s="436"/>
      <c r="T39" s="437"/>
    </row>
    <row r="40" spans="1:20" hidden="1" x14ac:dyDescent="0.3">
      <c r="A40" s="27" t="s">
        <v>89</v>
      </c>
      <c r="B40" s="21" t="s">
        <v>48</v>
      </c>
      <c r="C40" s="248" t="s">
        <v>49</v>
      </c>
      <c r="D40" s="211"/>
      <c r="E40" s="41">
        <v>45743</v>
      </c>
      <c r="F40" s="80">
        <v>45748</v>
      </c>
      <c r="G40" s="22">
        <v>32232</v>
      </c>
      <c r="H40" s="213">
        <v>32232</v>
      </c>
      <c r="I40" s="38" t="s">
        <v>122</v>
      </c>
      <c r="J40" s="24" t="s">
        <v>56</v>
      </c>
      <c r="K40" s="25"/>
      <c r="M40" s="26"/>
      <c r="N40" s="6">
        <v>8225</v>
      </c>
      <c r="O40" s="378" t="s">
        <v>52</v>
      </c>
      <c r="P40" s="378" t="s">
        <v>53</v>
      </c>
      <c r="Q40" s="425" t="s">
        <v>54</v>
      </c>
      <c r="R40" s="295" t="s">
        <v>1439</v>
      </c>
      <c r="S40" s="436"/>
    </row>
    <row r="41" spans="1:20" hidden="1" x14ac:dyDescent="0.3">
      <c r="A41" s="27" t="s">
        <v>89</v>
      </c>
      <c r="B41" s="21" t="s">
        <v>48</v>
      </c>
      <c r="C41" s="248" t="s">
        <v>49</v>
      </c>
      <c r="D41" s="211"/>
      <c r="E41" s="41">
        <v>45743</v>
      </c>
      <c r="F41" s="80">
        <v>45748</v>
      </c>
      <c r="G41" s="22">
        <v>32341</v>
      </c>
      <c r="H41" s="213">
        <v>32341</v>
      </c>
      <c r="I41" s="38" t="s">
        <v>122</v>
      </c>
      <c r="J41" s="24" t="s">
        <v>90</v>
      </c>
      <c r="K41" s="25"/>
      <c r="M41" s="26"/>
      <c r="N41" s="6">
        <v>2150</v>
      </c>
      <c r="O41" s="378" t="s">
        <v>52</v>
      </c>
      <c r="P41" s="378" t="s">
        <v>53</v>
      </c>
      <c r="Q41" s="425" t="s">
        <v>54</v>
      </c>
      <c r="R41" s="378" t="s">
        <v>1440</v>
      </c>
      <c r="S41" s="436"/>
    </row>
    <row r="42" spans="1:20" hidden="1" x14ac:dyDescent="0.3">
      <c r="A42" s="27" t="s">
        <v>89</v>
      </c>
      <c r="B42" s="21" t="s">
        <v>48</v>
      </c>
      <c r="C42" s="248" t="s">
        <v>49</v>
      </c>
      <c r="D42" s="211"/>
      <c r="E42" s="41">
        <v>45743</v>
      </c>
      <c r="F42" s="80">
        <v>45748</v>
      </c>
      <c r="G42" s="22">
        <v>32370</v>
      </c>
      <c r="H42" s="213">
        <v>32370</v>
      </c>
      <c r="I42" s="38" t="s">
        <v>122</v>
      </c>
      <c r="J42" s="24" t="s">
        <v>57</v>
      </c>
      <c r="K42" s="25"/>
      <c r="M42" s="26"/>
      <c r="N42" s="6">
        <v>3600</v>
      </c>
      <c r="O42" s="378" t="s">
        <v>52</v>
      </c>
      <c r="P42" s="378" t="s">
        <v>53</v>
      </c>
      <c r="Q42" s="425" t="s">
        <v>54</v>
      </c>
      <c r="R42" s="378" t="s">
        <v>1441</v>
      </c>
      <c r="S42" s="436"/>
      <c r="T42" s="438"/>
    </row>
    <row r="43" spans="1:20" hidden="1" x14ac:dyDescent="0.3">
      <c r="A43" s="27" t="s">
        <v>89</v>
      </c>
      <c r="B43" s="21" t="s">
        <v>48</v>
      </c>
      <c r="C43" s="248" t="s">
        <v>49</v>
      </c>
      <c r="D43" s="211"/>
      <c r="E43" s="41">
        <v>45743</v>
      </c>
      <c r="F43" s="80">
        <v>45748</v>
      </c>
      <c r="G43" s="22">
        <v>32390</v>
      </c>
      <c r="H43" s="213">
        <v>32390</v>
      </c>
      <c r="I43" s="38" t="s">
        <v>122</v>
      </c>
      <c r="J43" s="24" t="s">
        <v>59</v>
      </c>
      <c r="K43" s="25"/>
      <c r="M43" s="26"/>
      <c r="N43" s="6">
        <v>5620</v>
      </c>
      <c r="O43" s="378" t="s">
        <v>52</v>
      </c>
      <c r="P43" s="378" t="s">
        <v>53</v>
      </c>
      <c r="Q43" s="425" t="s">
        <v>54</v>
      </c>
      <c r="R43" s="378" t="s">
        <v>1442</v>
      </c>
      <c r="S43" s="436"/>
      <c r="T43" s="439"/>
    </row>
    <row r="44" spans="1:20" hidden="1" x14ac:dyDescent="0.3">
      <c r="A44" s="27" t="s">
        <v>89</v>
      </c>
      <c r="B44" s="21" t="s">
        <v>48</v>
      </c>
      <c r="C44" s="248" t="s">
        <v>49</v>
      </c>
      <c r="D44" s="211"/>
      <c r="E44" s="41">
        <v>45743</v>
      </c>
      <c r="F44" s="80">
        <v>45748</v>
      </c>
      <c r="G44" s="22">
        <v>32372</v>
      </c>
      <c r="H44" s="213">
        <v>32372</v>
      </c>
      <c r="I44" s="38" t="s">
        <v>122</v>
      </c>
      <c r="J44" s="24" t="s">
        <v>61</v>
      </c>
      <c r="K44" s="25"/>
      <c r="M44" s="26"/>
      <c r="N44" s="6">
        <v>6660</v>
      </c>
      <c r="O44" s="378" t="s">
        <v>52</v>
      </c>
      <c r="P44" s="378" t="s">
        <v>53</v>
      </c>
      <c r="Q44" s="425" t="s">
        <v>54</v>
      </c>
      <c r="R44" s="378" t="s">
        <v>737</v>
      </c>
    </row>
    <row r="45" spans="1:20" hidden="1" x14ac:dyDescent="0.3">
      <c r="A45" s="27" t="s">
        <v>89</v>
      </c>
      <c r="B45" s="21" t="s">
        <v>48</v>
      </c>
      <c r="C45" s="248" t="s">
        <v>49</v>
      </c>
      <c r="D45" s="211"/>
      <c r="E45" s="41">
        <v>45743</v>
      </c>
      <c r="F45" s="80">
        <v>45748</v>
      </c>
      <c r="G45" s="22">
        <v>35004</v>
      </c>
      <c r="H45" s="213">
        <v>35004</v>
      </c>
      <c r="I45" s="38" t="s">
        <v>122</v>
      </c>
      <c r="J45" s="24" t="s">
        <v>62</v>
      </c>
      <c r="K45" s="25"/>
      <c r="M45" s="26"/>
      <c r="N45" s="6">
        <v>2936</v>
      </c>
      <c r="O45" s="378" t="s">
        <v>52</v>
      </c>
      <c r="P45" s="378" t="s">
        <v>53</v>
      </c>
      <c r="Q45" s="425" t="s">
        <v>54</v>
      </c>
      <c r="R45" s="440" t="s">
        <v>811</v>
      </c>
      <c r="S45" s="441"/>
      <c r="T45" s="437"/>
    </row>
    <row r="46" spans="1:20" hidden="1" x14ac:dyDescent="0.3">
      <c r="A46" s="27" t="s">
        <v>89</v>
      </c>
      <c r="B46" s="21" t="s">
        <v>48</v>
      </c>
      <c r="C46" s="248" t="s">
        <v>49</v>
      </c>
      <c r="D46" s="211"/>
      <c r="E46" s="41">
        <v>45743</v>
      </c>
      <c r="F46" s="80">
        <v>45748</v>
      </c>
      <c r="G46" s="22">
        <v>35031</v>
      </c>
      <c r="H46" s="213">
        <v>35031</v>
      </c>
      <c r="I46" s="38" t="s">
        <v>122</v>
      </c>
      <c r="J46" s="24" t="s">
        <v>91</v>
      </c>
      <c r="K46" s="25"/>
      <c r="M46" s="26"/>
      <c r="N46" s="6">
        <v>2040</v>
      </c>
      <c r="O46" s="378" t="s">
        <v>52</v>
      </c>
      <c r="P46" s="378" t="s">
        <v>53</v>
      </c>
      <c r="Q46" s="425" t="s">
        <v>54</v>
      </c>
      <c r="R46" s="429" t="s">
        <v>1443</v>
      </c>
      <c r="S46" s="442"/>
      <c r="T46" s="443"/>
    </row>
    <row r="47" spans="1:20" hidden="1" x14ac:dyDescent="0.3">
      <c r="A47" s="27" t="s">
        <v>89</v>
      </c>
      <c r="B47" s="21" t="s">
        <v>48</v>
      </c>
      <c r="C47" s="248" t="s">
        <v>49</v>
      </c>
      <c r="D47" s="211"/>
      <c r="E47" s="41">
        <v>45743</v>
      </c>
      <c r="F47" s="80">
        <v>45748</v>
      </c>
      <c r="G47" s="22">
        <v>35032</v>
      </c>
      <c r="H47" s="213">
        <v>35032</v>
      </c>
      <c r="I47" s="38" t="s">
        <v>122</v>
      </c>
      <c r="J47" s="24" t="s">
        <v>63</v>
      </c>
      <c r="K47" s="25"/>
      <c r="M47" s="26"/>
      <c r="N47" s="6">
        <v>3200</v>
      </c>
      <c r="O47" s="378" t="s">
        <v>52</v>
      </c>
      <c r="P47" s="378" t="s">
        <v>53</v>
      </c>
      <c r="Q47" s="425" t="s">
        <v>54</v>
      </c>
      <c r="R47" s="429" t="s">
        <v>810</v>
      </c>
      <c r="S47" s="442"/>
      <c r="T47" s="443"/>
    </row>
    <row r="48" spans="1:20" hidden="1" x14ac:dyDescent="0.3">
      <c r="A48" s="27" t="s">
        <v>89</v>
      </c>
      <c r="B48" s="21" t="s">
        <v>48</v>
      </c>
      <c r="C48" s="248" t="s">
        <v>49</v>
      </c>
      <c r="D48" s="211"/>
      <c r="E48" s="41">
        <v>45743</v>
      </c>
      <c r="F48" s="80">
        <v>45748</v>
      </c>
      <c r="G48" s="22">
        <v>35145</v>
      </c>
      <c r="H48" s="213">
        <v>35145</v>
      </c>
      <c r="I48" s="38" t="s">
        <v>122</v>
      </c>
      <c r="J48" s="24" t="s">
        <v>92</v>
      </c>
      <c r="K48" s="25"/>
      <c r="M48" s="26"/>
      <c r="N48" s="6">
        <v>13995</v>
      </c>
      <c r="O48" s="378" t="s">
        <v>52</v>
      </c>
      <c r="P48" s="378" t="s">
        <v>53</v>
      </c>
      <c r="Q48" s="425" t="s">
        <v>54</v>
      </c>
      <c r="R48" s="378" t="s">
        <v>737</v>
      </c>
    </row>
    <row r="49" spans="1:19" hidden="1" x14ac:dyDescent="0.3">
      <c r="A49" s="317" t="s">
        <v>68</v>
      </c>
      <c r="B49" s="7" t="s">
        <v>93</v>
      </c>
      <c r="C49" s="248" t="s">
        <v>13</v>
      </c>
      <c r="D49" s="211"/>
      <c r="E49" s="41">
        <v>45742</v>
      </c>
      <c r="F49" s="80">
        <v>45748</v>
      </c>
      <c r="G49" s="47">
        <v>439001</v>
      </c>
      <c r="I49" s="38" t="s">
        <v>122</v>
      </c>
      <c r="J49" s="29" t="s">
        <v>94</v>
      </c>
      <c r="K49" s="48"/>
      <c r="M49" s="31"/>
      <c r="N49" s="6">
        <v>4350</v>
      </c>
      <c r="O49" s="378" t="s">
        <v>95</v>
      </c>
      <c r="P49" s="378" t="s">
        <v>96</v>
      </c>
      <c r="Q49" s="425" t="s">
        <v>97</v>
      </c>
      <c r="R49" s="429" t="s">
        <v>761</v>
      </c>
      <c r="S49" s="442"/>
    </row>
    <row r="50" spans="1:19" hidden="1" x14ac:dyDescent="0.3">
      <c r="A50" s="317" t="s">
        <v>68</v>
      </c>
      <c r="B50" s="7" t="s">
        <v>93</v>
      </c>
      <c r="C50" s="248" t="s">
        <v>13</v>
      </c>
      <c r="D50" s="211"/>
      <c r="E50" s="41">
        <v>45742</v>
      </c>
      <c r="F50" s="80">
        <v>45748</v>
      </c>
      <c r="G50" s="28">
        <v>407001</v>
      </c>
      <c r="I50" s="38" t="s">
        <v>122</v>
      </c>
      <c r="J50" s="29" t="s">
        <v>98</v>
      </c>
      <c r="K50" s="49"/>
      <c r="M50" s="31"/>
      <c r="N50" s="6">
        <v>2980</v>
      </c>
      <c r="O50" s="378" t="s">
        <v>95</v>
      </c>
      <c r="P50" s="378" t="s">
        <v>96</v>
      </c>
      <c r="Q50" s="425" t="s">
        <v>97</v>
      </c>
      <c r="R50" s="429" t="s">
        <v>812</v>
      </c>
      <c r="S50" s="442"/>
    </row>
    <row r="51" spans="1:19" hidden="1" x14ac:dyDescent="0.3">
      <c r="A51" s="317" t="s">
        <v>68</v>
      </c>
      <c r="B51" s="7" t="s">
        <v>93</v>
      </c>
      <c r="C51" s="248" t="s">
        <v>13</v>
      </c>
      <c r="D51" s="211"/>
      <c r="E51" s="41">
        <v>45742</v>
      </c>
      <c r="F51" s="80">
        <v>45748</v>
      </c>
      <c r="G51" s="28">
        <v>446001</v>
      </c>
      <c r="I51" s="38" t="s">
        <v>122</v>
      </c>
      <c r="J51" s="29" t="s">
        <v>99</v>
      </c>
      <c r="K51" s="49"/>
      <c r="M51" s="31"/>
      <c r="N51" s="6">
        <v>4560</v>
      </c>
      <c r="O51" s="378" t="s">
        <v>95</v>
      </c>
      <c r="P51" s="378" t="s">
        <v>96</v>
      </c>
      <c r="Q51" s="425" t="s">
        <v>97</v>
      </c>
    </row>
    <row r="52" spans="1:19" hidden="1" x14ac:dyDescent="0.3">
      <c r="A52" s="317" t="s">
        <v>68</v>
      </c>
      <c r="B52" s="7" t="s">
        <v>93</v>
      </c>
      <c r="C52" s="248" t="s">
        <v>13</v>
      </c>
      <c r="D52" s="211"/>
      <c r="E52" s="41">
        <v>45742</v>
      </c>
      <c r="F52" s="80">
        <v>45748</v>
      </c>
      <c r="G52" s="28">
        <v>428001</v>
      </c>
      <c r="I52" s="38" t="s">
        <v>122</v>
      </c>
      <c r="J52" s="29" t="s">
        <v>100</v>
      </c>
      <c r="K52" s="49"/>
      <c r="M52" s="31"/>
      <c r="N52" s="6">
        <v>4590</v>
      </c>
      <c r="O52" s="378" t="s">
        <v>95</v>
      </c>
      <c r="P52" s="378" t="s">
        <v>96</v>
      </c>
      <c r="Q52" s="425" t="s">
        <v>97</v>
      </c>
    </row>
    <row r="53" spans="1:19" hidden="1" x14ac:dyDescent="0.3">
      <c r="A53" s="317" t="s">
        <v>68</v>
      </c>
      <c r="B53" s="7" t="s">
        <v>93</v>
      </c>
      <c r="C53" s="248" t="s">
        <v>13</v>
      </c>
      <c r="D53" s="211"/>
      <c r="E53" s="41">
        <v>45742</v>
      </c>
      <c r="F53" s="80">
        <v>45748</v>
      </c>
      <c r="G53" s="28">
        <v>434004</v>
      </c>
      <c r="I53" s="38" t="s">
        <v>122</v>
      </c>
      <c r="J53" s="29" t="s">
        <v>101</v>
      </c>
      <c r="K53" s="49"/>
      <c r="M53" s="31"/>
      <c r="N53" s="6">
        <v>3674</v>
      </c>
      <c r="O53" s="378" t="s">
        <v>95</v>
      </c>
      <c r="P53" s="378" t="s">
        <v>96</v>
      </c>
      <c r="Q53" s="425" t="s">
        <v>97</v>
      </c>
      <c r="R53" s="378" t="s">
        <v>758</v>
      </c>
    </row>
    <row r="54" spans="1:19" hidden="1" x14ac:dyDescent="0.3">
      <c r="A54" s="318" t="s">
        <v>102</v>
      </c>
      <c r="B54" s="21" t="s">
        <v>69</v>
      </c>
      <c r="C54" s="248" t="s">
        <v>70</v>
      </c>
      <c r="D54" s="211"/>
      <c r="E54" s="41">
        <v>45761</v>
      </c>
      <c r="F54" s="80">
        <v>45748</v>
      </c>
      <c r="G54" s="50">
        <v>2010011</v>
      </c>
      <c r="I54" s="38">
        <v>6868</v>
      </c>
      <c r="J54" s="29" t="s">
        <v>103</v>
      </c>
      <c r="K54" s="30"/>
      <c r="M54" s="31"/>
      <c r="N54" s="6">
        <v>1940</v>
      </c>
      <c r="O54" s="378" t="s">
        <v>72</v>
      </c>
      <c r="P54" s="378" t="s">
        <v>73</v>
      </c>
      <c r="Q54" s="425" t="s">
        <v>74</v>
      </c>
      <c r="R54" s="378" t="s">
        <v>758</v>
      </c>
    </row>
    <row r="55" spans="1:19" hidden="1" x14ac:dyDescent="0.3">
      <c r="A55" s="319" t="s">
        <v>104</v>
      </c>
      <c r="B55" s="32" t="s">
        <v>161</v>
      </c>
      <c r="C55" s="248" t="s">
        <v>105</v>
      </c>
      <c r="D55" s="211"/>
      <c r="E55" s="41">
        <v>45763</v>
      </c>
      <c r="F55" s="80">
        <v>45778</v>
      </c>
      <c r="G55" s="40">
        <v>10001</v>
      </c>
      <c r="I55" s="38">
        <v>6881</v>
      </c>
      <c r="J55" s="29" t="s">
        <v>106</v>
      </c>
      <c r="K55" s="33"/>
      <c r="M55" s="34"/>
      <c r="N55" s="6">
        <v>3140</v>
      </c>
      <c r="O55" s="378" t="s">
        <v>107</v>
      </c>
      <c r="P55" s="378" t="s">
        <v>108</v>
      </c>
      <c r="Q55" s="425" t="s">
        <v>109</v>
      </c>
      <c r="R55" s="429" t="s">
        <v>1444</v>
      </c>
      <c r="S55" s="442"/>
    </row>
    <row r="56" spans="1:19" hidden="1" x14ac:dyDescent="0.3">
      <c r="A56" s="319" t="s">
        <v>104</v>
      </c>
      <c r="B56" s="32" t="s">
        <v>161</v>
      </c>
      <c r="C56" s="248" t="s">
        <v>105</v>
      </c>
      <c r="D56" s="211"/>
      <c r="E56" s="41">
        <v>45763</v>
      </c>
      <c r="F56" s="80">
        <v>45778</v>
      </c>
      <c r="G56" s="28">
        <v>66003</v>
      </c>
      <c r="I56" s="38">
        <v>6881</v>
      </c>
      <c r="J56" s="29" t="s">
        <v>110</v>
      </c>
      <c r="K56" s="33"/>
      <c r="M56" s="34"/>
      <c r="N56" s="6">
        <v>1570</v>
      </c>
      <c r="O56" s="378" t="s">
        <v>107</v>
      </c>
      <c r="P56" s="378" t="s">
        <v>108</v>
      </c>
      <c r="Q56" s="425" t="s">
        <v>109</v>
      </c>
      <c r="R56" s="444" t="s">
        <v>759</v>
      </c>
      <c r="S56" s="445"/>
    </row>
    <row r="57" spans="1:19" hidden="1" x14ac:dyDescent="0.3">
      <c r="A57" s="319" t="s">
        <v>104</v>
      </c>
      <c r="B57" s="32" t="s">
        <v>161</v>
      </c>
      <c r="C57" s="248" t="s">
        <v>105</v>
      </c>
      <c r="D57" s="211"/>
      <c r="E57" s="41">
        <v>45763</v>
      </c>
      <c r="F57" s="80">
        <v>45778</v>
      </c>
      <c r="G57" s="28">
        <v>740011</v>
      </c>
      <c r="I57" s="38">
        <v>6881</v>
      </c>
      <c r="J57" s="29" t="s">
        <v>111</v>
      </c>
      <c r="K57" s="33"/>
      <c r="M57" s="34"/>
      <c r="N57" s="6">
        <v>1570</v>
      </c>
      <c r="O57" s="378" t="s">
        <v>107</v>
      </c>
      <c r="P57" s="378" t="s">
        <v>108</v>
      </c>
      <c r="Q57" s="425" t="s">
        <v>109</v>
      </c>
      <c r="R57" s="444" t="s">
        <v>759</v>
      </c>
      <c r="S57" s="445"/>
    </row>
    <row r="58" spans="1:19" hidden="1" x14ac:dyDescent="0.3">
      <c r="A58" s="320" t="s">
        <v>104</v>
      </c>
      <c r="B58" s="32" t="s">
        <v>161</v>
      </c>
      <c r="C58" s="248" t="s">
        <v>105</v>
      </c>
      <c r="D58" s="211"/>
      <c r="E58" s="41">
        <v>45763</v>
      </c>
      <c r="F58" s="80">
        <v>45778</v>
      </c>
      <c r="G58" s="28">
        <v>3520004</v>
      </c>
      <c r="I58" s="38">
        <v>6881</v>
      </c>
      <c r="J58" s="29" t="s">
        <v>167</v>
      </c>
      <c r="K58" s="33"/>
      <c r="M58" s="34"/>
      <c r="N58" s="6">
        <f>Tabela1[[#This Row],[PREÇO]]*Tabela1[[#This Row],[MTS]]</f>
        <v>0</v>
      </c>
      <c r="O58" s="378" t="s">
        <v>107</v>
      </c>
      <c r="P58" s="378" t="s">
        <v>108</v>
      </c>
      <c r="Q58" s="425" t="s">
        <v>109</v>
      </c>
      <c r="R58" s="444" t="s">
        <v>759</v>
      </c>
      <c r="S58" s="445"/>
    </row>
    <row r="59" spans="1:19" hidden="1" x14ac:dyDescent="0.3">
      <c r="A59" s="321" t="s">
        <v>112</v>
      </c>
      <c r="B59" s="378" t="s">
        <v>69</v>
      </c>
      <c r="C59" s="248" t="s">
        <v>70</v>
      </c>
      <c r="D59" s="211"/>
      <c r="E59" s="41">
        <v>45754</v>
      </c>
      <c r="F59" s="80">
        <v>45778</v>
      </c>
      <c r="G59" s="40">
        <v>122034</v>
      </c>
      <c r="H59" s="424">
        <v>122034</v>
      </c>
      <c r="I59" s="38">
        <v>6875</v>
      </c>
      <c r="J59" s="378" t="s">
        <v>113</v>
      </c>
      <c r="K59" s="14"/>
      <c r="M59" s="428"/>
      <c r="N59" s="20">
        <v>1840</v>
      </c>
      <c r="O59" s="378" t="s">
        <v>72</v>
      </c>
      <c r="P59" s="378" t="s">
        <v>73</v>
      </c>
      <c r="Q59" s="425" t="s">
        <v>74</v>
      </c>
      <c r="R59" s="378" t="s">
        <v>777</v>
      </c>
    </row>
    <row r="60" spans="1:19" hidden="1" x14ac:dyDescent="0.3">
      <c r="A60" s="322" t="s">
        <v>114</v>
      </c>
      <c r="B60" s="7" t="s">
        <v>69</v>
      </c>
      <c r="C60" s="248" t="s">
        <v>70</v>
      </c>
      <c r="D60" s="211"/>
      <c r="E60" s="41">
        <v>45769</v>
      </c>
      <c r="F60" s="80">
        <v>45778</v>
      </c>
      <c r="G60" s="36">
        <v>1121110</v>
      </c>
      <c r="H60" s="182" t="s">
        <v>115</v>
      </c>
      <c r="I60" s="38">
        <v>6880</v>
      </c>
      <c r="J60" s="36" t="s">
        <v>116</v>
      </c>
      <c r="K60" s="70"/>
      <c r="M60" s="34"/>
      <c r="N60" s="58">
        <f>Tabela1[[#This Row],[MTS]]*Tabela1[[#This Row],[PREÇO]]</f>
        <v>0</v>
      </c>
      <c r="O60" s="378" t="s">
        <v>72</v>
      </c>
      <c r="P60" s="378" t="s">
        <v>73</v>
      </c>
      <c r="Q60" s="425" t="s">
        <v>74</v>
      </c>
      <c r="R60" s="378" t="s">
        <v>777</v>
      </c>
    </row>
    <row r="61" spans="1:19" hidden="1" x14ac:dyDescent="0.3">
      <c r="A61" s="322" t="s">
        <v>114</v>
      </c>
      <c r="B61" s="7" t="s">
        <v>69</v>
      </c>
      <c r="C61" s="248" t="s">
        <v>70</v>
      </c>
      <c r="D61" s="211"/>
      <c r="E61" s="41">
        <v>45769</v>
      </c>
      <c r="F61" s="80">
        <v>45778</v>
      </c>
      <c r="G61" s="36">
        <v>1122580</v>
      </c>
      <c r="H61" s="182" t="s">
        <v>117</v>
      </c>
      <c r="I61" s="37">
        <v>6880</v>
      </c>
      <c r="J61" s="36" t="s">
        <v>75</v>
      </c>
      <c r="K61" s="57"/>
      <c r="M61" s="34"/>
      <c r="N61" s="59">
        <f>Tabela1[[#This Row],[PREÇO]]*Tabela1[[#This Row],[MTS]]</f>
        <v>0</v>
      </c>
      <c r="O61" s="378" t="s">
        <v>72</v>
      </c>
      <c r="P61" s="378" t="s">
        <v>73</v>
      </c>
      <c r="Q61" s="425" t="s">
        <v>74</v>
      </c>
      <c r="R61" s="378" t="s">
        <v>777</v>
      </c>
    </row>
    <row r="62" spans="1:19" hidden="1" x14ac:dyDescent="0.3">
      <c r="A62" s="323" t="s">
        <v>118</v>
      </c>
      <c r="B62" s="7" t="s">
        <v>12</v>
      </c>
      <c r="C62" s="248" t="s">
        <v>13</v>
      </c>
      <c r="D62" s="211"/>
      <c r="E62" s="41">
        <v>45763</v>
      </c>
      <c r="F62" s="80">
        <v>45778</v>
      </c>
      <c r="G62" s="22">
        <v>3370001</v>
      </c>
      <c r="I62" s="38">
        <v>6882</v>
      </c>
      <c r="J62" s="29" t="s">
        <v>119</v>
      </c>
      <c r="K62" s="33"/>
      <c r="M62" s="34"/>
      <c r="N62" s="6">
        <v>3400</v>
      </c>
      <c r="O62" s="378" t="s">
        <v>15</v>
      </c>
      <c r="P62" s="8" t="s">
        <v>16</v>
      </c>
      <c r="Q62" s="8" t="s">
        <v>17</v>
      </c>
      <c r="R62" s="378" t="s">
        <v>777</v>
      </c>
    </row>
    <row r="63" spans="1:19" hidden="1" x14ac:dyDescent="0.3">
      <c r="A63" s="323" t="s">
        <v>118</v>
      </c>
      <c r="B63" s="7" t="s">
        <v>12</v>
      </c>
      <c r="C63" s="248" t="s">
        <v>13</v>
      </c>
      <c r="D63" s="211"/>
      <c r="E63" s="41">
        <v>45763</v>
      </c>
      <c r="F63" s="80">
        <v>45778</v>
      </c>
      <c r="G63" s="22">
        <v>3370005</v>
      </c>
      <c r="I63" s="38">
        <v>6882</v>
      </c>
      <c r="J63" s="29" t="s">
        <v>120</v>
      </c>
      <c r="K63" s="33"/>
      <c r="M63" s="34"/>
      <c r="N63" s="6">
        <v>1850</v>
      </c>
      <c r="O63" s="378" t="s">
        <v>15</v>
      </c>
      <c r="P63" s="8" t="s">
        <v>16</v>
      </c>
      <c r="Q63" s="8" t="s">
        <v>17</v>
      </c>
      <c r="R63" s="378" t="s">
        <v>777</v>
      </c>
    </row>
    <row r="64" spans="1:19" ht="15.75" hidden="1" customHeight="1" x14ac:dyDescent="0.3">
      <c r="A64" s="324" t="s">
        <v>127</v>
      </c>
      <c r="B64" s="71" t="s">
        <v>48</v>
      </c>
      <c r="C64" s="249" t="s">
        <v>49</v>
      </c>
      <c r="D64" s="235"/>
      <c r="E64" s="236">
        <v>45771</v>
      </c>
      <c r="F64" s="82">
        <v>45809</v>
      </c>
      <c r="G64" s="83">
        <v>245051</v>
      </c>
      <c r="H64" s="84">
        <v>2540036</v>
      </c>
      <c r="I64" s="418">
        <v>6816</v>
      </c>
      <c r="J64" s="84" t="s">
        <v>143</v>
      </c>
      <c r="K64" s="85"/>
      <c r="L64" s="86"/>
      <c r="M64" s="87"/>
      <c r="N64" s="88">
        <v>3680</v>
      </c>
      <c r="O64" s="294" t="s">
        <v>52</v>
      </c>
      <c r="P64" s="294" t="s">
        <v>53</v>
      </c>
      <c r="Q64" s="446" t="s">
        <v>54</v>
      </c>
      <c r="R64" s="378" t="s">
        <v>777</v>
      </c>
    </row>
    <row r="65" spans="1:19" hidden="1" x14ac:dyDescent="0.3">
      <c r="A65" s="312" t="s">
        <v>128</v>
      </c>
      <c r="B65" s="7" t="s">
        <v>77</v>
      </c>
      <c r="C65" s="248" t="s">
        <v>70</v>
      </c>
      <c r="D65" s="211"/>
      <c r="E65" s="41">
        <v>45772</v>
      </c>
      <c r="F65" s="80">
        <v>45778</v>
      </c>
      <c r="G65" s="28">
        <v>2860004</v>
      </c>
      <c r="H65" s="28">
        <v>2860004</v>
      </c>
      <c r="I65" s="38">
        <v>6940</v>
      </c>
      <c r="J65" s="29" t="s">
        <v>144</v>
      </c>
      <c r="K65" s="33"/>
      <c r="M65" s="34"/>
      <c r="N65" s="6">
        <v>4300</v>
      </c>
      <c r="O65" s="378" t="s">
        <v>80</v>
      </c>
      <c r="P65" s="378" t="s">
        <v>81</v>
      </c>
      <c r="Q65" s="425" t="s">
        <v>82</v>
      </c>
      <c r="R65" s="378" t="s">
        <v>777</v>
      </c>
    </row>
    <row r="66" spans="1:19" hidden="1" x14ac:dyDescent="0.3">
      <c r="A66" s="312" t="s">
        <v>128</v>
      </c>
      <c r="B66" s="7" t="s">
        <v>77</v>
      </c>
      <c r="C66" s="248" t="s">
        <v>70</v>
      </c>
      <c r="D66" s="211"/>
      <c r="E66" s="41">
        <v>45772</v>
      </c>
      <c r="F66" s="80">
        <v>45778</v>
      </c>
      <c r="G66" s="28">
        <v>2860013</v>
      </c>
      <c r="H66" s="28">
        <v>2860013</v>
      </c>
      <c r="I66" s="38">
        <v>6940</v>
      </c>
      <c r="J66" s="29" t="s">
        <v>84</v>
      </c>
      <c r="K66" s="33"/>
      <c r="M66" s="34"/>
      <c r="N66" s="6">
        <v>2375</v>
      </c>
      <c r="O66" s="378" t="s">
        <v>80</v>
      </c>
      <c r="P66" s="378" t="s">
        <v>81</v>
      </c>
      <c r="Q66" s="425" t="s">
        <v>82</v>
      </c>
      <c r="R66" s="428"/>
      <c r="S66" s="429"/>
    </row>
    <row r="67" spans="1:19" hidden="1" x14ac:dyDescent="0.3">
      <c r="A67" s="312" t="s">
        <v>128</v>
      </c>
      <c r="B67" s="7" t="s">
        <v>77</v>
      </c>
      <c r="C67" s="248" t="s">
        <v>70</v>
      </c>
      <c r="D67" s="211"/>
      <c r="E67" s="41">
        <v>45772</v>
      </c>
      <c r="F67" s="80">
        <v>45778</v>
      </c>
      <c r="G67" s="28">
        <v>2860015</v>
      </c>
      <c r="H67" s="28">
        <v>2860015</v>
      </c>
      <c r="I67" s="38">
        <v>6940</v>
      </c>
      <c r="J67" s="29" t="s">
        <v>145</v>
      </c>
      <c r="K67" s="62"/>
      <c r="M67" s="34"/>
      <c r="N67" s="6">
        <v>2600</v>
      </c>
      <c r="O67" s="378" t="s">
        <v>80</v>
      </c>
      <c r="P67" s="378" t="s">
        <v>81</v>
      </c>
      <c r="Q67" s="425" t="s">
        <v>82</v>
      </c>
    </row>
    <row r="68" spans="1:19" hidden="1" x14ac:dyDescent="0.3">
      <c r="A68" s="269" t="s">
        <v>129</v>
      </c>
      <c r="B68" s="7" t="s">
        <v>149</v>
      </c>
      <c r="C68" s="248" t="s">
        <v>105</v>
      </c>
      <c r="D68" s="211"/>
      <c r="E68" s="41">
        <v>45775</v>
      </c>
      <c r="F68" s="80">
        <v>45778</v>
      </c>
      <c r="G68" s="28" t="s">
        <v>150</v>
      </c>
      <c r="H68" s="292" t="s">
        <v>210</v>
      </c>
      <c r="I68" s="38">
        <v>6954</v>
      </c>
      <c r="J68" s="29" t="s">
        <v>152</v>
      </c>
      <c r="K68" s="33"/>
      <c r="M68" s="34"/>
      <c r="N68" s="6">
        <v>26000</v>
      </c>
      <c r="O68" s="378" t="s">
        <v>122</v>
      </c>
      <c r="P68" s="378" t="s">
        <v>122</v>
      </c>
      <c r="Q68" s="378" t="s">
        <v>122</v>
      </c>
    </row>
    <row r="69" spans="1:19" hidden="1" x14ac:dyDescent="0.3">
      <c r="A69" s="269" t="s">
        <v>129</v>
      </c>
      <c r="B69" s="7" t="s">
        <v>149</v>
      </c>
      <c r="C69" s="248" t="s">
        <v>105</v>
      </c>
      <c r="D69" s="211"/>
      <c r="E69" s="41">
        <v>45775</v>
      </c>
      <c r="F69" s="80">
        <v>45778</v>
      </c>
      <c r="G69" s="28" t="s">
        <v>151</v>
      </c>
      <c r="H69" s="292" t="s">
        <v>211</v>
      </c>
      <c r="I69" s="38">
        <v>6954</v>
      </c>
      <c r="J69" s="29" t="s">
        <v>153</v>
      </c>
      <c r="K69" s="33"/>
      <c r="M69" s="34"/>
      <c r="N69" s="6">
        <v>10990</v>
      </c>
      <c r="O69" s="378" t="s">
        <v>122</v>
      </c>
      <c r="P69" s="378" t="s">
        <v>122</v>
      </c>
      <c r="Q69" s="378" t="s">
        <v>122</v>
      </c>
    </row>
    <row r="70" spans="1:19" hidden="1" x14ac:dyDescent="0.3">
      <c r="A70" s="312" t="s">
        <v>130</v>
      </c>
      <c r="B70" s="378" t="s">
        <v>69</v>
      </c>
      <c r="C70" s="248" t="s">
        <v>70</v>
      </c>
      <c r="D70" s="211"/>
      <c r="E70" s="41">
        <v>45776</v>
      </c>
      <c r="F70" s="80">
        <v>45778</v>
      </c>
      <c r="G70" s="50" t="s">
        <v>148</v>
      </c>
      <c r="H70" s="292">
        <v>2810013</v>
      </c>
      <c r="I70" s="38">
        <v>6949</v>
      </c>
      <c r="J70" s="29" t="s">
        <v>147</v>
      </c>
      <c r="K70" s="33"/>
      <c r="M70" s="34"/>
      <c r="N70" s="6">
        <v>1840</v>
      </c>
      <c r="O70" s="378" t="s">
        <v>72</v>
      </c>
      <c r="P70" s="378" t="s">
        <v>73</v>
      </c>
      <c r="Q70" s="425" t="s">
        <v>74</v>
      </c>
    </row>
    <row r="71" spans="1:19" hidden="1" x14ac:dyDescent="0.3">
      <c r="A71" s="312" t="s">
        <v>126</v>
      </c>
      <c r="B71" s="378" t="s">
        <v>69</v>
      </c>
      <c r="C71" s="248" t="s">
        <v>70</v>
      </c>
      <c r="D71" s="211"/>
      <c r="E71" s="41">
        <v>45783</v>
      </c>
      <c r="F71" s="80">
        <v>45778</v>
      </c>
      <c r="G71" s="40">
        <v>112258</v>
      </c>
      <c r="H71" s="28" t="s">
        <v>160</v>
      </c>
      <c r="I71" s="38">
        <v>7015</v>
      </c>
      <c r="J71" s="378" t="s">
        <v>75</v>
      </c>
      <c r="K71" s="33"/>
      <c r="M71" s="34"/>
      <c r="N71" s="6">
        <v>3375</v>
      </c>
      <c r="O71" s="378" t="s">
        <v>72</v>
      </c>
      <c r="P71" s="378" t="s">
        <v>73</v>
      </c>
      <c r="Q71" s="425" t="s">
        <v>74</v>
      </c>
    </row>
    <row r="72" spans="1:19" hidden="1" x14ac:dyDescent="0.3">
      <c r="A72" s="313" t="s">
        <v>131</v>
      </c>
      <c r="B72" s="7" t="s">
        <v>48</v>
      </c>
      <c r="C72" s="248" t="s">
        <v>49</v>
      </c>
      <c r="D72" s="211"/>
      <c r="E72" s="41">
        <v>45792</v>
      </c>
      <c r="F72" s="80">
        <v>45809</v>
      </c>
      <c r="G72" s="28">
        <v>32313</v>
      </c>
      <c r="H72" s="247" t="s">
        <v>164</v>
      </c>
      <c r="I72" s="404">
        <v>7068</v>
      </c>
      <c r="J72" s="29" t="s">
        <v>162</v>
      </c>
      <c r="K72" s="111"/>
      <c r="L72" s="112"/>
      <c r="M72" s="113"/>
      <c r="N72" s="114">
        <v>11360</v>
      </c>
      <c r="O72" s="378" t="s">
        <v>52</v>
      </c>
      <c r="P72" s="378" t="s">
        <v>53</v>
      </c>
      <c r="Q72" s="425" t="s">
        <v>54</v>
      </c>
    </row>
    <row r="73" spans="1:19" hidden="1" x14ac:dyDescent="0.3">
      <c r="A73" s="313" t="s">
        <v>131</v>
      </c>
      <c r="B73" s="7" t="s">
        <v>48</v>
      </c>
      <c r="C73" s="248" t="s">
        <v>49</v>
      </c>
      <c r="D73" s="211"/>
      <c r="E73" s="41">
        <v>45792</v>
      </c>
      <c r="F73" s="80">
        <v>45809</v>
      </c>
      <c r="G73" s="28">
        <v>35003</v>
      </c>
      <c r="H73" s="247" t="s">
        <v>1445</v>
      </c>
      <c r="I73" s="404">
        <v>7068</v>
      </c>
      <c r="J73" s="29" t="s">
        <v>163</v>
      </c>
      <c r="K73" s="115"/>
      <c r="L73" s="112"/>
      <c r="M73" s="116"/>
      <c r="N73" s="117">
        <f>Tabela1[[#This Row],[MTS]]*Tabela1[[#This Row],[PREÇO]]</f>
        <v>0</v>
      </c>
      <c r="O73" s="378" t="s">
        <v>52</v>
      </c>
      <c r="P73" s="378" t="s">
        <v>53</v>
      </c>
      <c r="Q73" s="425" t="s">
        <v>54</v>
      </c>
    </row>
    <row r="74" spans="1:19" hidden="1" x14ac:dyDescent="0.3">
      <c r="A74" s="312" t="s">
        <v>132</v>
      </c>
      <c r="B74" s="447" t="s">
        <v>172</v>
      </c>
      <c r="C74" s="248" t="s">
        <v>21</v>
      </c>
      <c r="D74" s="211"/>
      <c r="E74" s="41">
        <v>45796</v>
      </c>
      <c r="F74" s="80">
        <v>45809</v>
      </c>
      <c r="G74" s="77" t="s">
        <v>174</v>
      </c>
      <c r="H74" s="77" t="s">
        <v>173</v>
      </c>
      <c r="I74" s="38">
        <v>7095</v>
      </c>
      <c r="J74" s="29" t="s">
        <v>168</v>
      </c>
      <c r="K74" s="29"/>
      <c r="M74" s="53"/>
      <c r="N74" s="54">
        <f>Tabela1[[#This Row],[PREÇO]]*Tabela1[[#This Row],[MTS]]</f>
        <v>0</v>
      </c>
      <c r="O74" s="378" t="s">
        <v>169</v>
      </c>
      <c r="P74" s="378" t="s">
        <v>170</v>
      </c>
      <c r="Q74" s="425" t="s">
        <v>171</v>
      </c>
    </row>
    <row r="75" spans="1:19" hidden="1" x14ac:dyDescent="0.3">
      <c r="A75" s="100" t="s">
        <v>133</v>
      </c>
      <c r="B75" s="378" t="s">
        <v>179</v>
      </c>
      <c r="C75" s="248" t="s">
        <v>21</v>
      </c>
      <c r="D75" s="211"/>
      <c r="E75" s="41">
        <v>45805</v>
      </c>
      <c r="F75" s="80">
        <v>45809</v>
      </c>
      <c r="G75" s="78" t="s">
        <v>196</v>
      </c>
      <c r="H75" s="247">
        <v>3200014</v>
      </c>
      <c r="I75" s="38">
        <v>7211</v>
      </c>
      <c r="J75" s="29" t="s">
        <v>176</v>
      </c>
      <c r="K75" s="29"/>
      <c r="M75" s="65"/>
      <c r="N75" s="54">
        <f>Tabela1[[#This Row],[PREÇO]]*Tabela1[[#This Row],[MTS]]</f>
        <v>0</v>
      </c>
      <c r="O75" s="378" t="s">
        <v>183</v>
      </c>
      <c r="P75" s="448" t="s">
        <v>184</v>
      </c>
      <c r="Q75" s="378" t="s">
        <v>185</v>
      </c>
    </row>
    <row r="76" spans="1:19" hidden="1" x14ac:dyDescent="0.3">
      <c r="A76" s="100" t="s">
        <v>133</v>
      </c>
      <c r="B76" s="378" t="s">
        <v>179</v>
      </c>
      <c r="C76" s="248" t="s">
        <v>21</v>
      </c>
      <c r="D76" s="211"/>
      <c r="E76" s="41">
        <v>45805</v>
      </c>
      <c r="F76" s="80">
        <v>45809</v>
      </c>
      <c r="G76" s="78" t="s">
        <v>197</v>
      </c>
      <c r="H76" s="40">
        <v>3200015</v>
      </c>
      <c r="I76" s="38">
        <v>7211</v>
      </c>
      <c r="J76" s="29" t="s">
        <v>177</v>
      </c>
      <c r="K76" s="29"/>
      <c r="M76" s="65"/>
      <c r="N76" s="54">
        <f>Tabela1[[#This Row],[PREÇO]]*Tabela1[[#This Row],[MTS]]</f>
        <v>0</v>
      </c>
      <c r="O76" s="378" t="s">
        <v>183</v>
      </c>
      <c r="P76" s="448" t="s">
        <v>184</v>
      </c>
      <c r="Q76" s="378" t="s">
        <v>185</v>
      </c>
    </row>
    <row r="77" spans="1:19" hidden="1" x14ac:dyDescent="0.3">
      <c r="A77" s="100" t="s">
        <v>133</v>
      </c>
      <c r="B77" s="378" t="s">
        <v>179</v>
      </c>
      <c r="C77" s="248" t="s">
        <v>21</v>
      </c>
      <c r="D77" s="211"/>
      <c r="E77" s="41">
        <v>45805</v>
      </c>
      <c r="F77" s="80">
        <v>45809</v>
      </c>
      <c r="G77" s="78" t="s">
        <v>198</v>
      </c>
      <c r="H77" s="40">
        <v>3200013</v>
      </c>
      <c r="I77" s="38">
        <v>7211</v>
      </c>
      <c r="J77" s="29" t="s">
        <v>178</v>
      </c>
      <c r="K77" s="29"/>
      <c r="M77" s="65"/>
      <c r="N77" s="54">
        <f>Tabela1[[#This Row],[PREÇO]]*Tabela1[[#This Row],[MTS]]</f>
        <v>0</v>
      </c>
      <c r="O77" s="378" t="s">
        <v>183</v>
      </c>
      <c r="P77" s="448" t="s">
        <v>184</v>
      </c>
      <c r="Q77" s="378" t="s">
        <v>185</v>
      </c>
    </row>
    <row r="78" spans="1:19" hidden="1" x14ac:dyDescent="0.3">
      <c r="A78" s="100" t="s">
        <v>133</v>
      </c>
      <c r="B78" s="378" t="s">
        <v>179</v>
      </c>
      <c r="C78" s="248" t="s">
        <v>21</v>
      </c>
      <c r="D78" s="211"/>
      <c r="E78" s="41">
        <v>45806</v>
      </c>
      <c r="F78" s="80">
        <v>45809</v>
      </c>
      <c r="G78" s="78" t="s">
        <v>199</v>
      </c>
      <c r="H78" s="449">
        <v>3200011</v>
      </c>
      <c r="I78" s="38">
        <v>7211</v>
      </c>
      <c r="J78" s="29" t="s">
        <v>191</v>
      </c>
      <c r="K78" s="29"/>
      <c r="M78" s="65"/>
      <c r="N78" s="54">
        <f>Tabela1[[#This Row],[PREÇO]]*Tabela1[[#This Row],[MTS]]</f>
        <v>0</v>
      </c>
      <c r="O78" s="378" t="s">
        <v>183</v>
      </c>
      <c r="P78" s="448" t="s">
        <v>184</v>
      </c>
      <c r="Q78" s="378" t="s">
        <v>185</v>
      </c>
    </row>
    <row r="79" spans="1:19" hidden="1" x14ac:dyDescent="0.3">
      <c r="A79" s="100" t="s">
        <v>133</v>
      </c>
      <c r="B79" s="378" t="s">
        <v>179</v>
      </c>
      <c r="C79" s="248" t="s">
        <v>21</v>
      </c>
      <c r="D79" s="211"/>
      <c r="E79" s="41">
        <v>45806</v>
      </c>
      <c r="F79" s="80">
        <v>45809</v>
      </c>
      <c r="G79" s="79" t="s">
        <v>200</v>
      </c>
      <c r="H79" s="449" t="s">
        <v>201</v>
      </c>
      <c r="I79" s="38">
        <v>7211</v>
      </c>
      <c r="J79" s="29" t="s">
        <v>192</v>
      </c>
      <c r="K79" s="29"/>
      <c r="M79" s="65"/>
      <c r="N79" s="54">
        <f>Tabela1[[#This Row],[PREÇO]]*Tabela1[[#This Row],[MTS]]</f>
        <v>0</v>
      </c>
      <c r="O79" s="378" t="s">
        <v>183</v>
      </c>
      <c r="P79" s="448" t="s">
        <v>184</v>
      </c>
      <c r="Q79" s="378" t="s">
        <v>185</v>
      </c>
    </row>
    <row r="80" spans="1:19" hidden="1" x14ac:dyDescent="0.3">
      <c r="A80" s="312" t="s">
        <v>134</v>
      </c>
      <c r="B80" s="7" t="s">
        <v>180</v>
      </c>
      <c r="C80" s="248" t="s">
        <v>70</v>
      </c>
      <c r="D80" s="211"/>
      <c r="E80" s="41">
        <v>45805</v>
      </c>
      <c r="F80" s="80">
        <v>45809</v>
      </c>
      <c r="G80" s="28" t="s">
        <v>181</v>
      </c>
      <c r="H80" s="40">
        <v>2860011</v>
      </c>
      <c r="I80" s="38">
        <v>7173</v>
      </c>
      <c r="J80" s="29" t="s">
        <v>182</v>
      </c>
      <c r="K80" s="29"/>
      <c r="M80" s="53"/>
      <c r="N80" s="54">
        <f>Tabela1[[#This Row],[PREÇO]]*Tabela1[[#This Row],[MTS]]</f>
        <v>0</v>
      </c>
      <c r="O80" s="378" t="s">
        <v>80</v>
      </c>
      <c r="P80" s="378" t="s">
        <v>81</v>
      </c>
      <c r="Q80" s="425" t="s">
        <v>82</v>
      </c>
    </row>
    <row r="81" spans="1:21" ht="18.75" hidden="1" customHeight="1" x14ac:dyDescent="0.3">
      <c r="A81" s="312" t="s">
        <v>146</v>
      </c>
      <c r="B81" s="7" t="s">
        <v>69</v>
      </c>
      <c r="C81" s="248" t="s">
        <v>70</v>
      </c>
      <c r="D81" s="211"/>
      <c r="E81" s="41">
        <v>45806</v>
      </c>
      <c r="F81" s="80">
        <v>45809</v>
      </c>
      <c r="G81" s="50" t="s">
        <v>148</v>
      </c>
      <c r="H81" s="292">
        <v>2810013</v>
      </c>
      <c r="I81" s="38">
        <v>7178</v>
      </c>
      <c r="J81" s="378" t="s">
        <v>1446</v>
      </c>
      <c r="K81" s="29"/>
      <c r="M81" s="53"/>
      <c r="N81" s="54">
        <f>Tabela1[[#This Row],[PREÇO]]*Tabela1[[#This Row],[MTS]]</f>
        <v>0</v>
      </c>
      <c r="O81" s="378" t="s">
        <v>72</v>
      </c>
      <c r="P81" s="378" t="s">
        <v>73</v>
      </c>
      <c r="Q81" s="425" t="s">
        <v>74</v>
      </c>
      <c r="T81" s="535" t="s">
        <v>166</v>
      </c>
      <c r="U81" s="535"/>
    </row>
    <row r="82" spans="1:21" hidden="1" x14ac:dyDescent="0.3">
      <c r="A82" s="312" t="s">
        <v>175</v>
      </c>
      <c r="B82" s="7" t="s">
        <v>149</v>
      </c>
      <c r="C82" s="248" t="s">
        <v>105</v>
      </c>
      <c r="D82" s="211"/>
      <c r="E82" s="41">
        <v>45806</v>
      </c>
      <c r="F82" s="80">
        <v>45778</v>
      </c>
      <c r="G82" s="28">
        <v>1705</v>
      </c>
      <c r="H82" s="247">
        <v>1705</v>
      </c>
      <c r="I82" s="38">
        <v>7179</v>
      </c>
      <c r="J82" s="29" t="s">
        <v>193</v>
      </c>
      <c r="K82" s="29"/>
      <c r="M82" s="66"/>
      <c r="N82" s="6">
        <v>0</v>
      </c>
      <c r="O82" s="378" t="s">
        <v>122</v>
      </c>
      <c r="P82" s="378" t="s">
        <v>190</v>
      </c>
      <c r="Q82" s="378" t="s">
        <v>122</v>
      </c>
    </row>
    <row r="83" spans="1:21" hidden="1" x14ac:dyDescent="0.3">
      <c r="A83" s="312" t="s">
        <v>187</v>
      </c>
      <c r="B83" s="7" t="s">
        <v>69</v>
      </c>
      <c r="C83" s="248" t="s">
        <v>70</v>
      </c>
      <c r="D83" s="211"/>
      <c r="E83" s="41">
        <v>45810</v>
      </c>
      <c r="F83" s="80">
        <v>45809</v>
      </c>
      <c r="G83" s="40">
        <v>1122580</v>
      </c>
      <c r="H83" s="450" t="s">
        <v>160</v>
      </c>
      <c r="I83" s="38">
        <v>7234</v>
      </c>
      <c r="J83" s="29" t="s">
        <v>75</v>
      </c>
      <c r="K83" s="29"/>
      <c r="M83" s="53"/>
      <c r="N83" s="54">
        <f>Tabela1[[#This Row],[PREÇO]]*Tabela1[[#This Row],[MTS]]</f>
        <v>0</v>
      </c>
      <c r="O83" s="378" t="s">
        <v>72</v>
      </c>
      <c r="P83" s="378" t="s">
        <v>73</v>
      </c>
      <c r="Q83" s="425" t="s">
        <v>74</v>
      </c>
    </row>
    <row r="84" spans="1:21" hidden="1" x14ac:dyDescent="0.3">
      <c r="A84" s="312" t="s">
        <v>187</v>
      </c>
      <c r="B84" s="7" t="s">
        <v>69</v>
      </c>
      <c r="C84" s="248" t="s">
        <v>70</v>
      </c>
      <c r="D84" s="211"/>
      <c r="E84" s="41">
        <v>45810</v>
      </c>
      <c r="F84" s="80">
        <v>45809</v>
      </c>
      <c r="G84" s="40">
        <v>1121110</v>
      </c>
      <c r="H84" s="247" t="s">
        <v>207</v>
      </c>
      <c r="I84" s="38">
        <v>7234</v>
      </c>
      <c r="J84" s="29" t="s">
        <v>71</v>
      </c>
      <c r="K84" s="29"/>
      <c r="M84" s="53"/>
      <c r="N84" s="54">
        <f>Tabela1[[#This Row],[PREÇO]]*Tabela1[[#This Row],[MTS]]</f>
        <v>0</v>
      </c>
      <c r="O84" s="378" t="s">
        <v>72</v>
      </c>
      <c r="P84" s="378" t="s">
        <v>73</v>
      </c>
      <c r="Q84" s="425" t="s">
        <v>74</v>
      </c>
      <c r="R84" s="425"/>
      <c r="S84" s="451"/>
    </row>
    <row r="85" spans="1:21" hidden="1" x14ac:dyDescent="0.3">
      <c r="A85" s="313" t="s">
        <v>188</v>
      </c>
      <c r="B85" s="7" t="s">
        <v>48</v>
      </c>
      <c r="C85" s="248" t="s">
        <v>49</v>
      </c>
      <c r="D85" s="211"/>
      <c r="E85" s="41">
        <v>45810</v>
      </c>
      <c r="F85" s="80">
        <v>45809</v>
      </c>
      <c r="G85" s="22">
        <v>32313</v>
      </c>
      <c r="H85" s="247" t="s">
        <v>164</v>
      </c>
      <c r="I85" s="38">
        <v>7235</v>
      </c>
      <c r="J85" s="24" t="s">
        <v>51</v>
      </c>
      <c r="K85" s="29"/>
      <c r="L85" s="112"/>
      <c r="M85" s="53"/>
      <c r="N85" s="118">
        <f>Tabela1[[#This Row],[PREÇO]]*Tabela1[[#This Row],[MTS]]</f>
        <v>0</v>
      </c>
      <c r="O85" s="378" t="s">
        <v>52</v>
      </c>
      <c r="P85" s="378" t="s">
        <v>53</v>
      </c>
      <c r="Q85" s="425" t="s">
        <v>54</v>
      </c>
      <c r="R85" s="425"/>
      <c r="S85" s="451"/>
    </row>
    <row r="86" spans="1:21" hidden="1" x14ac:dyDescent="0.3">
      <c r="A86" s="313" t="s">
        <v>188</v>
      </c>
      <c r="B86" s="7" t="s">
        <v>48</v>
      </c>
      <c r="C86" s="248" t="s">
        <v>49</v>
      </c>
      <c r="D86" s="211"/>
      <c r="E86" s="41">
        <v>45810</v>
      </c>
      <c r="F86" s="80">
        <v>45809</v>
      </c>
      <c r="G86" s="18">
        <v>32372</v>
      </c>
      <c r="H86" s="247" t="s">
        <v>204</v>
      </c>
      <c r="I86" s="38">
        <v>7235</v>
      </c>
      <c r="J86" s="119" t="s">
        <v>205</v>
      </c>
      <c r="K86" s="120"/>
      <c r="L86" s="112"/>
      <c r="M86" s="53"/>
      <c r="N86" s="118">
        <f>Tabela1[[#This Row],[PREÇO]]*Tabela1[[#This Row],[MTS]]</f>
        <v>0</v>
      </c>
      <c r="O86" s="378" t="s">
        <v>52</v>
      </c>
      <c r="P86" s="378" t="s">
        <v>53</v>
      </c>
      <c r="Q86" s="425" t="s">
        <v>54</v>
      </c>
      <c r="R86" s="425"/>
      <c r="S86" s="451"/>
    </row>
    <row r="87" spans="1:21" hidden="1" x14ac:dyDescent="0.3">
      <c r="A87" s="313" t="s">
        <v>188</v>
      </c>
      <c r="B87" s="7" t="s">
        <v>48</v>
      </c>
      <c r="C87" s="248" t="s">
        <v>49</v>
      </c>
      <c r="D87" s="211"/>
      <c r="E87" s="41">
        <v>45810</v>
      </c>
      <c r="F87" s="80">
        <v>45809</v>
      </c>
      <c r="G87" s="18">
        <v>35149</v>
      </c>
      <c r="H87" s="247" t="s">
        <v>206</v>
      </c>
      <c r="I87" s="38">
        <v>7235</v>
      </c>
      <c r="J87" s="119" t="s">
        <v>67</v>
      </c>
      <c r="K87" s="29"/>
      <c r="L87" s="112"/>
      <c r="M87" s="53"/>
      <c r="N87" s="118">
        <f>Tabela1[[#This Row],[PREÇO]]*Tabela1[[#This Row],[MTS]]</f>
        <v>0</v>
      </c>
      <c r="O87" s="378" t="s">
        <v>52</v>
      </c>
      <c r="P87" s="378" t="s">
        <v>53</v>
      </c>
      <c r="Q87" s="425" t="s">
        <v>54</v>
      </c>
      <c r="R87" s="425"/>
      <c r="S87" s="451"/>
    </row>
    <row r="88" spans="1:21" hidden="1" x14ac:dyDescent="0.3">
      <c r="A88" s="313" t="s">
        <v>188</v>
      </c>
      <c r="B88" s="7" t="s">
        <v>48</v>
      </c>
      <c r="C88" s="248" t="s">
        <v>49</v>
      </c>
      <c r="D88" s="211"/>
      <c r="E88" s="41">
        <v>45810</v>
      </c>
      <c r="F88" s="80">
        <v>45809</v>
      </c>
      <c r="G88" s="121">
        <v>2540031</v>
      </c>
      <c r="H88" s="121">
        <v>2540031</v>
      </c>
      <c r="I88" s="38">
        <v>7235</v>
      </c>
      <c r="J88" s="122" t="s">
        <v>247</v>
      </c>
      <c r="K88" s="29"/>
      <c r="L88" s="112"/>
      <c r="M88" s="53"/>
      <c r="N88" s="118">
        <f>Tabela1[[#This Row],[PREÇO]]*Tabela1[[#This Row],[MTS]]</f>
        <v>0</v>
      </c>
      <c r="O88" s="378" t="s">
        <v>248</v>
      </c>
      <c r="P88" s="452" t="s">
        <v>166</v>
      </c>
      <c r="Q88" s="425"/>
      <c r="R88" s="425"/>
      <c r="S88" s="451"/>
    </row>
    <row r="89" spans="1:21" hidden="1" x14ac:dyDescent="0.3">
      <c r="A89" s="312" t="s">
        <v>189</v>
      </c>
      <c r="B89" s="7" t="s">
        <v>212</v>
      </c>
      <c r="C89" s="248" t="s">
        <v>13</v>
      </c>
      <c r="D89" s="211"/>
      <c r="E89" s="41">
        <v>45826</v>
      </c>
      <c r="F89" s="80">
        <v>45839</v>
      </c>
      <c r="G89" s="40">
        <v>389011</v>
      </c>
      <c r="H89" s="40">
        <v>4259</v>
      </c>
      <c r="I89" s="38">
        <v>7442</v>
      </c>
      <c r="J89" s="74" t="s">
        <v>219</v>
      </c>
      <c r="K89" s="29"/>
      <c r="M89" s="53"/>
      <c r="N89" s="54">
        <f>Tabela1[[#This Row],[PREÇO]]*Tabela1[[#This Row],[MTS]]</f>
        <v>0</v>
      </c>
      <c r="O89" s="378" t="s">
        <v>213</v>
      </c>
      <c r="P89" s="448" t="s">
        <v>214</v>
      </c>
      <c r="Q89" s="378" t="s">
        <v>215</v>
      </c>
    </row>
    <row r="90" spans="1:21" hidden="1" x14ac:dyDescent="0.3">
      <c r="A90" s="312" t="s">
        <v>189</v>
      </c>
      <c r="B90" s="7" t="s">
        <v>212</v>
      </c>
      <c r="C90" s="248" t="s">
        <v>13</v>
      </c>
      <c r="D90" s="211"/>
      <c r="E90" s="41">
        <v>45826</v>
      </c>
      <c r="F90" s="80">
        <v>45839</v>
      </c>
      <c r="G90" s="40">
        <v>418011</v>
      </c>
      <c r="H90" s="40">
        <v>4258</v>
      </c>
      <c r="I90" s="38">
        <v>7442</v>
      </c>
      <c r="J90" s="74" t="s">
        <v>220</v>
      </c>
      <c r="K90" s="29"/>
      <c r="M90" s="53"/>
      <c r="N90" s="54">
        <f>Tabela1[[#This Row],[PREÇO]]*Tabela1[[#This Row],[MTS]]</f>
        <v>0</v>
      </c>
      <c r="O90" s="378" t="s">
        <v>213</v>
      </c>
      <c r="P90" s="448" t="s">
        <v>214</v>
      </c>
      <c r="Q90" s="378" t="s">
        <v>215</v>
      </c>
    </row>
    <row r="91" spans="1:21" hidden="1" x14ac:dyDescent="0.3">
      <c r="A91" s="312" t="s">
        <v>189</v>
      </c>
      <c r="B91" s="7" t="s">
        <v>212</v>
      </c>
      <c r="C91" s="248" t="s">
        <v>13</v>
      </c>
      <c r="D91" s="211"/>
      <c r="E91" s="41">
        <v>45826</v>
      </c>
      <c r="F91" s="80">
        <v>45839</v>
      </c>
      <c r="G91" s="40">
        <v>441021</v>
      </c>
      <c r="H91" s="40">
        <v>4257</v>
      </c>
      <c r="I91" s="38">
        <v>7442</v>
      </c>
      <c r="J91" s="74" t="s">
        <v>221</v>
      </c>
      <c r="K91" s="29"/>
      <c r="M91" s="53"/>
      <c r="N91" s="54">
        <f>Tabela1[[#This Row],[PREÇO]]*Tabela1[[#This Row],[MTS]]</f>
        <v>0</v>
      </c>
      <c r="O91" s="378" t="s">
        <v>213</v>
      </c>
      <c r="P91" s="448" t="s">
        <v>214</v>
      </c>
      <c r="Q91" s="378" t="s">
        <v>215</v>
      </c>
    </row>
    <row r="92" spans="1:21" hidden="1" x14ac:dyDescent="0.3">
      <c r="A92" s="312" t="s">
        <v>189</v>
      </c>
      <c r="B92" s="7" t="s">
        <v>212</v>
      </c>
      <c r="C92" s="248" t="s">
        <v>13</v>
      </c>
      <c r="D92" s="211"/>
      <c r="E92" s="41">
        <v>45826</v>
      </c>
      <c r="F92" s="80">
        <v>45839</v>
      </c>
      <c r="G92" s="40">
        <v>447011</v>
      </c>
      <c r="H92" s="40">
        <v>4256</v>
      </c>
      <c r="I92" s="38">
        <v>7442</v>
      </c>
      <c r="J92" s="74" t="s">
        <v>222</v>
      </c>
      <c r="K92" s="29"/>
      <c r="M92" s="53"/>
      <c r="N92" s="54">
        <f>Tabela1[[#This Row],[PREÇO]]*Tabela1[[#This Row],[MTS]]</f>
        <v>0</v>
      </c>
      <c r="O92" s="378" t="s">
        <v>213</v>
      </c>
      <c r="P92" s="448" t="s">
        <v>214</v>
      </c>
      <c r="Q92" s="378" t="s">
        <v>215</v>
      </c>
    </row>
    <row r="93" spans="1:21" hidden="1" x14ac:dyDescent="0.3">
      <c r="A93" s="312" t="s">
        <v>189</v>
      </c>
      <c r="B93" s="7" t="s">
        <v>212</v>
      </c>
      <c r="C93" s="248" t="s">
        <v>13</v>
      </c>
      <c r="D93" s="211"/>
      <c r="E93" s="41">
        <v>45826</v>
      </c>
      <c r="F93" s="80">
        <v>45839</v>
      </c>
      <c r="G93" s="40">
        <v>449021</v>
      </c>
      <c r="H93" s="40">
        <v>4255</v>
      </c>
      <c r="I93" s="38">
        <v>7442</v>
      </c>
      <c r="J93" s="74" t="s">
        <v>223</v>
      </c>
      <c r="K93" s="29"/>
      <c r="M93" s="53"/>
      <c r="N93" s="54">
        <f>Tabela1[[#This Row],[PREÇO]]*Tabela1[[#This Row],[MTS]]</f>
        <v>0</v>
      </c>
      <c r="O93" s="378" t="s">
        <v>213</v>
      </c>
      <c r="P93" s="448" t="s">
        <v>214</v>
      </c>
      <c r="Q93" s="378" t="s">
        <v>215</v>
      </c>
    </row>
    <row r="94" spans="1:21" hidden="1" x14ac:dyDescent="0.3">
      <c r="A94" s="312" t="s">
        <v>189</v>
      </c>
      <c r="B94" s="7" t="s">
        <v>212</v>
      </c>
      <c r="C94" s="248" t="s">
        <v>13</v>
      </c>
      <c r="D94" s="211"/>
      <c r="E94" s="41">
        <v>45826</v>
      </c>
      <c r="F94" s="80">
        <v>45839</v>
      </c>
      <c r="G94" s="40">
        <v>446031</v>
      </c>
      <c r="H94" s="40">
        <v>4254</v>
      </c>
      <c r="I94" s="38">
        <v>7442</v>
      </c>
      <c r="J94" s="74" t="s">
        <v>224</v>
      </c>
      <c r="K94" s="29"/>
      <c r="M94" s="53"/>
      <c r="N94" s="54">
        <f>Tabela1[[#This Row],[PREÇO]]*Tabela1[[#This Row],[MTS]]</f>
        <v>0</v>
      </c>
      <c r="O94" s="378" t="s">
        <v>213</v>
      </c>
      <c r="P94" s="448" t="s">
        <v>214</v>
      </c>
      <c r="Q94" s="378" t="s">
        <v>215</v>
      </c>
    </row>
    <row r="95" spans="1:21" hidden="1" x14ac:dyDescent="0.3">
      <c r="A95" s="312" t="s">
        <v>189</v>
      </c>
      <c r="B95" s="7" t="s">
        <v>212</v>
      </c>
      <c r="C95" s="248" t="s">
        <v>13</v>
      </c>
      <c r="D95" s="211"/>
      <c r="E95" s="41">
        <v>45826</v>
      </c>
      <c r="F95" s="80">
        <v>45839</v>
      </c>
      <c r="G95" s="40">
        <v>276001</v>
      </c>
      <c r="H95" s="40">
        <v>4253</v>
      </c>
      <c r="I95" s="38">
        <v>7442</v>
      </c>
      <c r="J95" s="74" t="s">
        <v>225</v>
      </c>
      <c r="K95" s="29"/>
      <c r="M95" s="53"/>
      <c r="N95" s="54">
        <f>Tabela1[[#This Row],[PREÇO]]*Tabela1[[#This Row],[MTS]]</f>
        <v>0</v>
      </c>
      <c r="O95" s="378" t="s">
        <v>213</v>
      </c>
      <c r="P95" s="448" t="s">
        <v>214</v>
      </c>
      <c r="Q95" s="378" t="s">
        <v>215</v>
      </c>
    </row>
    <row r="96" spans="1:21" hidden="1" x14ac:dyDescent="0.3">
      <c r="A96" s="312" t="s">
        <v>189</v>
      </c>
      <c r="B96" s="7" t="s">
        <v>212</v>
      </c>
      <c r="C96" s="248" t="s">
        <v>13</v>
      </c>
      <c r="D96" s="211"/>
      <c r="E96" s="41">
        <v>45826</v>
      </c>
      <c r="F96" s="80">
        <v>45839</v>
      </c>
      <c r="G96" s="40">
        <v>271051</v>
      </c>
      <c r="H96" s="40">
        <v>4252</v>
      </c>
      <c r="I96" s="38">
        <v>7442</v>
      </c>
      <c r="J96" s="74" t="s">
        <v>226</v>
      </c>
      <c r="K96" s="29"/>
      <c r="M96" s="53"/>
      <c r="N96" s="54">
        <f>Tabela1[[#This Row],[PREÇO]]*Tabela1[[#This Row],[MTS]]</f>
        <v>0</v>
      </c>
      <c r="O96" s="378" t="s">
        <v>213</v>
      </c>
      <c r="P96" s="448" t="s">
        <v>214</v>
      </c>
      <c r="Q96" s="378" t="s">
        <v>215</v>
      </c>
    </row>
    <row r="97" spans="1:17" hidden="1" x14ac:dyDescent="0.3">
      <c r="A97" s="312" t="s">
        <v>189</v>
      </c>
      <c r="B97" s="7" t="s">
        <v>212</v>
      </c>
      <c r="C97" s="248" t="s">
        <v>13</v>
      </c>
      <c r="D97" s="211"/>
      <c r="E97" s="41">
        <v>45826</v>
      </c>
      <c r="F97" s="80">
        <v>45839</v>
      </c>
      <c r="G97" s="40">
        <v>149101</v>
      </c>
      <c r="H97" s="40">
        <v>4251</v>
      </c>
      <c r="I97" s="38">
        <v>7442</v>
      </c>
      <c r="J97" s="74" t="s">
        <v>227</v>
      </c>
      <c r="K97" s="29"/>
      <c r="M97" s="53"/>
      <c r="N97" s="54">
        <f>Tabela1[[#This Row],[PREÇO]]*Tabela1[[#This Row],[MTS]]</f>
        <v>0</v>
      </c>
      <c r="O97" s="378" t="s">
        <v>213</v>
      </c>
      <c r="P97" s="448" t="s">
        <v>214</v>
      </c>
      <c r="Q97" s="378" t="s">
        <v>215</v>
      </c>
    </row>
    <row r="98" spans="1:17" hidden="1" x14ac:dyDescent="0.3">
      <c r="A98" s="312" t="s">
        <v>189</v>
      </c>
      <c r="B98" s="7" t="s">
        <v>212</v>
      </c>
      <c r="C98" s="248" t="s">
        <v>13</v>
      </c>
      <c r="D98" s="211"/>
      <c r="E98" s="41">
        <v>45826</v>
      </c>
      <c r="F98" s="80">
        <v>45839</v>
      </c>
      <c r="G98" s="40">
        <v>149111</v>
      </c>
      <c r="H98" s="40">
        <v>4250</v>
      </c>
      <c r="I98" s="38">
        <v>7442</v>
      </c>
      <c r="J98" s="74" t="s">
        <v>228</v>
      </c>
      <c r="K98" s="29"/>
      <c r="M98" s="53"/>
      <c r="N98" s="54">
        <f>Tabela1[[#This Row],[PREÇO]]*Tabela1[[#This Row],[MTS]]</f>
        <v>0</v>
      </c>
      <c r="O98" s="378" t="s">
        <v>213</v>
      </c>
      <c r="P98" s="448" t="s">
        <v>214</v>
      </c>
      <c r="Q98" s="378" t="s">
        <v>215</v>
      </c>
    </row>
    <row r="99" spans="1:17" hidden="1" x14ac:dyDescent="0.3">
      <c r="A99" s="312" t="s">
        <v>189</v>
      </c>
      <c r="B99" s="7" t="s">
        <v>212</v>
      </c>
      <c r="C99" s="248" t="s">
        <v>13</v>
      </c>
      <c r="D99" s="211"/>
      <c r="E99" s="41">
        <v>45826</v>
      </c>
      <c r="F99" s="80">
        <v>45839</v>
      </c>
      <c r="G99" s="40">
        <v>263021</v>
      </c>
      <c r="H99" s="40">
        <v>4249</v>
      </c>
      <c r="I99" s="38">
        <v>7442</v>
      </c>
      <c r="J99" s="74" t="s">
        <v>229</v>
      </c>
      <c r="K99" s="29"/>
      <c r="M99" s="53"/>
      <c r="N99" s="54">
        <f>Tabela1[[#This Row],[PREÇO]]*Tabela1[[#This Row],[MTS]]</f>
        <v>0</v>
      </c>
      <c r="O99" s="378" t="s">
        <v>213</v>
      </c>
      <c r="P99" s="448" t="s">
        <v>214</v>
      </c>
      <c r="Q99" s="378" t="s">
        <v>215</v>
      </c>
    </row>
    <row r="100" spans="1:17" hidden="1" x14ac:dyDescent="0.3">
      <c r="A100" s="312" t="s">
        <v>189</v>
      </c>
      <c r="B100" s="7" t="s">
        <v>212</v>
      </c>
      <c r="C100" s="248" t="s">
        <v>13</v>
      </c>
      <c r="D100" s="211"/>
      <c r="E100" s="41">
        <v>45826</v>
      </c>
      <c r="F100" s="80">
        <v>45839</v>
      </c>
      <c r="G100" s="40">
        <v>74101</v>
      </c>
      <c r="H100" s="40">
        <v>4248</v>
      </c>
      <c r="I100" s="38">
        <v>7442</v>
      </c>
      <c r="J100" s="74" t="s">
        <v>230</v>
      </c>
      <c r="K100" s="29"/>
      <c r="M100" s="53"/>
      <c r="N100" s="54">
        <f>Tabela1[[#This Row],[PREÇO]]*Tabela1[[#This Row],[MTS]]</f>
        <v>0</v>
      </c>
      <c r="O100" s="378" t="s">
        <v>213</v>
      </c>
      <c r="P100" s="448" t="s">
        <v>214</v>
      </c>
      <c r="Q100" s="378" t="s">
        <v>215</v>
      </c>
    </row>
    <row r="101" spans="1:17" hidden="1" x14ac:dyDescent="0.3">
      <c r="A101" s="312" t="s">
        <v>189</v>
      </c>
      <c r="B101" s="7" t="s">
        <v>212</v>
      </c>
      <c r="C101" s="248" t="s">
        <v>13</v>
      </c>
      <c r="D101" s="211"/>
      <c r="E101" s="41">
        <v>45826</v>
      </c>
      <c r="F101" s="80">
        <v>45839</v>
      </c>
      <c r="G101" s="40">
        <v>269021</v>
      </c>
      <c r="H101" s="40">
        <v>4247</v>
      </c>
      <c r="I101" s="38">
        <v>7442</v>
      </c>
      <c r="J101" s="74" t="s">
        <v>231</v>
      </c>
      <c r="K101" s="29"/>
      <c r="M101" s="53"/>
      <c r="N101" s="54">
        <f>Tabela1[[#This Row],[PREÇO]]*Tabela1[[#This Row],[MTS]]</f>
        <v>0</v>
      </c>
      <c r="O101" s="378" t="s">
        <v>213</v>
      </c>
      <c r="P101" s="448" t="s">
        <v>214</v>
      </c>
      <c r="Q101" s="378" t="s">
        <v>215</v>
      </c>
    </row>
    <row r="102" spans="1:17" hidden="1" x14ac:dyDescent="0.3">
      <c r="A102" s="312" t="s">
        <v>189</v>
      </c>
      <c r="B102" s="7" t="s">
        <v>212</v>
      </c>
      <c r="C102" s="248" t="s">
        <v>13</v>
      </c>
      <c r="D102" s="211"/>
      <c r="E102" s="41">
        <v>45826</v>
      </c>
      <c r="F102" s="80">
        <v>45839</v>
      </c>
      <c r="G102" s="40">
        <v>147101</v>
      </c>
      <c r="H102" s="40">
        <v>4246</v>
      </c>
      <c r="I102" s="38">
        <v>7442</v>
      </c>
      <c r="J102" s="74" t="s">
        <v>232</v>
      </c>
      <c r="K102" s="29"/>
      <c r="M102" s="53"/>
      <c r="N102" s="54">
        <f>Tabela1[[#This Row],[PREÇO]]*Tabela1[[#This Row],[MTS]]</f>
        <v>0</v>
      </c>
      <c r="O102" s="378" t="s">
        <v>213</v>
      </c>
      <c r="P102" s="448" t="s">
        <v>214</v>
      </c>
      <c r="Q102" s="378" t="s">
        <v>215</v>
      </c>
    </row>
    <row r="103" spans="1:17" hidden="1" x14ac:dyDescent="0.3">
      <c r="A103" s="312" t="s">
        <v>189</v>
      </c>
      <c r="B103" s="7" t="s">
        <v>212</v>
      </c>
      <c r="C103" s="248" t="s">
        <v>13</v>
      </c>
      <c r="D103" s="211"/>
      <c r="E103" s="41">
        <v>45826</v>
      </c>
      <c r="F103" s="80">
        <v>45839</v>
      </c>
      <c r="G103" s="40">
        <v>245061</v>
      </c>
      <c r="H103" s="40">
        <v>4245</v>
      </c>
      <c r="I103" s="38">
        <v>7442</v>
      </c>
      <c r="J103" s="74" t="s">
        <v>233</v>
      </c>
      <c r="K103" s="29"/>
      <c r="M103" s="53"/>
      <c r="N103" s="54">
        <f>Tabela1[[#This Row],[PREÇO]]*Tabela1[[#This Row],[MTS]]</f>
        <v>0</v>
      </c>
      <c r="O103" s="378" t="s">
        <v>213</v>
      </c>
      <c r="P103" s="448" t="s">
        <v>214</v>
      </c>
      <c r="Q103" s="378" t="s">
        <v>215</v>
      </c>
    </row>
    <row r="104" spans="1:17" hidden="1" x14ac:dyDescent="0.3">
      <c r="A104" s="312" t="s">
        <v>189</v>
      </c>
      <c r="B104" s="7" t="s">
        <v>212</v>
      </c>
      <c r="C104" s="248" t="s">
        <v>13</v>
      </c>
      <c r="D104" s="211"/>
      <c r="E104" s="41">
        <v>45826</v>
      </c>
      <c r="F104" s="80">
        <v>45839</v>
      </c>
      <c r="G104" s="40">
        <v>262031</v>
      </c>
      <c r="H104" s="40">
        <v>4244</v>
      </c>
      <c r="I104" s="38">
        <v>7442</v>
      </c>
      <c r="J104" s="74" t="s">
        <v>234</v>
      </c>
      <c r="K104" s="29"/>
      <c r="M104" s="53"/>
      <c r="N104" s="54">
        <f>Tabela1[[#This Row],[PREÇO]]*Tabela1[[#This Row],[MTS]]</f>
        <v>0</v>
      </c>
      <c r="O104" s="378" t="s">
        <v>213</v>
      </c>
      <c r="P104" s="448" t="s">
        <v>214</v>
      </c>
      <c r="Q104" s="378" t="s">
        <v>215</v>
      </c>
    </row>
    <row r="105" spans="1:17" hidden="1" x14ac:dyDescent="0.3">
      <c r="A105" s="312" t="s">
        <v>189</v>
      </c>
      <c r="B105" s="7" t="s">
        <v>212</v>
      </c>
      <c r="C105" s="248" t="s">
        <v>13</v>
      </c>
      <c r="D105" s="211"/>
      <c r="E105" s="41">
        <v>45826</v>
      </c>
      <c r="F105" s="80">
        <v>45839</v>
      </c>
      <c r="G105" s="40">
        <v>76061</v>
      </c>
      <c r="H105" s="40">
        <v>4243</v>
      </c>
      <c r="I105" s="38">
        <v>7442</v>
      </c>
      <c r="J105" s="74" t="s">
        <v>235</v>
      </c>
      <c r="K105" s="29"/>
      <c r="M105" s="53"/>
      <c r="N105" s="54">
        <f>Tabela1[[#This Row],[PREÇO]]*Tabela1[[#This Row],[MTS]]</f>
        <v>0</v>
      </c>
      <c r="O105" s="378" t="s">
        <v>213</v>
      </c>
      <c r="P105" s="448" t="s">
        <v>214</v>
      </c>
      <c r="Q105" s="378" t="s">
        <v>215</v>
      </c>
    </row>
    <row r="106" spans="1:17" hidden="1" x14ac:dyDescent="0.3">
      <c r="A106" s="312" t="s">
        <v>189</v>
      </c>
      <c r="B106" s="7" t="s">
        <v>212</v>
      </c>
      <c r="C106" s="248" t="s">
        <v>13</v>
      </c>
      <c r="D106" s="211"/>
      <c r="E106" s="41">
        <v>45826</v>
      </c>
      <c r="F106" s="80">
        <v>45839</v>
      </c>
      <c r="G106" s="40">
        <v>66011</v>
      </c>
      <c r="H106" s="40">
        <v>4242</v>
      </c>
      <c r="I106" s="38">
        <v>7442</v>
      </c>
      <c r="J106" s="74" t="s">
        <v>236</v>
      </c>
      <c r="K106" s="29"/>
      <c r="M106" s="53"/>
      <c r="N106" s="54">
        <f>Tabela1[[#This Row],[PREÇO]]*Tabela1[[#This Row],[MTS]]</f>
        <v>0</v>
      </c>
      <c r="O106" s="378" t="s">
        <v>213</v>
      </c>
      <c r="P106" s="448" t="s">
        <v>214</v>
      </c>
      <c r="Q106" s="378" t="s">
        <v>215</v>
      </c>
    </row>
    <row r="107" spans="1:17" hidden="1" x14ac:dyDescent="0.3">
      <c r="A107" s="312" t="s">
        <v>189</v>
      </c>
      <c r="B107" s="7" t="s">
        <v>212</v>
      </c>
      <c r="C107" s="248" t="s">
        <v>13</v>
      </c>
      <c r="D107" s="211"/>
      <c r="E107" s="41">
        <v>45826</v>
      </c>
      <c r="F107" s="80">
        <v>45839</v>
      </c>
      <c r="G107" s="40">
        <v>143001</v>
      </c>
      <c r="H107" s="40">
        <v>4241</v>
      </c>
      <c r="I107" s="38">
        <v>7442</v>
      </c>
      <c r="J107" s="74" t="s">
        <v>237</v>
      </c>
      <c r="K107" s="29"/>
      <c r="M107" s="53"/>
      <c r="N107" s="54">
        <f>Tabela1[[#This Row],[PREÇO]]*Tabela1[[#This Row],[MTS]]</f>
        <v>0</v>
      </c>
      <c r="O107" s="378" t="s">
        <v>213</v>
      </c>
      <c r="P107" s="448" t="s">
        <v>214</v>
      </c>
      <c r="Q107" s="378" t="s">
        <v>215</v>
      </c>
    </row>
    <row r="108" spans="1:17" hidden="1" x14ac:dyDescent="0.3">
      <c r="A108" s="312" t="s">
        <v>189</v>
      </c>
      <c r="B108" s="7" t="s">
        <v>212</v>
      </c>
      <c r="C108" s="248" t="s">
        <v>13</v>
      </c>
      <c r="D108" s="211"/>
      <c r="E108" s="41">
        <v>45826</v>
      </c>
      <c r="F108" s="80">
        <v>45839</v>
      </c>
      <c r="G108" s="40">
        <v>408041</v>
      </c>
      <c r="H108" s="40">
        <v>4240</v>
      </c>
      <c r="I108" s="38">
        <v>7442</v>
      </c>
      <c r="J108" s="74" t="s">
        <v>238</v>
      </c>
      <c r="K108" s="29"/>
      <c r="M108" s="53"/>
      <c r="N108" s="54">
        <f>Tabela1[[#This Row],[PREÇO]]*Tabela1[[#This Row],[MTS]]</f>
        <v>0</v>
      </c>
      <c r="O108" s="378" t="s">
        <v>213</v>
      </c>
      <c r="P108" s="448" t="s">
        <v>214</v>
      </c>
      <c r="Q108" s="378" t="s">
        <v>215</v>
      </c>
    </row>
    <row r="109" spans="1:17" hidden="1" x14ac:dyDescent="0.3">
      <c r="A109" s="312" t="s">
        <v>189</v>
      </c>
      <c r="B109" s="7" t="s">
        <v>212</v>
      </c>
      <c r="C109" s="248" t="s">
        <v>13</v>
      </c>
      <c r="D109" s="211"/>
      <c r="E109" s="41">
        <v>45826</v>
      </c>
      <c r="F109" s="80">
        <v>45839</v>
      </c>
      <c r="G109" s="40">
        <v>389011</v>
      </c>
      <c r="H109" s="40">
        <v>4239</v>
      </c>
      <c r="I109" s="38">
        <v>7442</v>
      </c>
      <c r="J109" s="74" t="s">
        <v>239</v>
      </c>
      <c r="K109" s="29"/>
      <c r="M109" s="53"/>
      <c r="N109" s="54">
        <f>Tabela1[[#This Row],[PREÇO]]*Tabela1[[#This Row],[MTS]]</f>
        <v>0</v>
      </c>
      <c r="O109" s="378" t="s">
        <v>213</v>
      </c>
      <c r="P109" s="448" t="s">
        <v>214</v>
      </c>
      <c r="Q109" s="378" t="s">
        <v>215</v>
      </c>
    </row>
    <row r="110" spans="1:17" hidden="1" x14ac:dyDescent="0.3">
      <c r="A110" s="312" t="s">
        <v>189</v>
      </c>
      <c r="B110" s="7" t="s">
        <v>212</v>
      </c>
      <c r="C110" s="248" t="s">
        <v>13</v>
      </c>
      <c r="D110" s="211"/>
      <c r="E110" s="41">
        <v>45826</v>
      </c>
      <c r="F110" s="80">
        <v>45839</v>
      </c>
      <c r="G110" s="40">
        <v>274031</v>
      </c>
      <c r="H110" s="40">
        <v>4238</v>
      </c>
      <c r="I110" s="38">
        <v>7442</v>
      </c>
      <c r="J110" s="74" t="s">
        <v>240</v>
      </c>
      <c r="K110" s="29"/>
      <c r="M110" s="53"/>
      <c r="N110" s="54">
        <f>Tabela1[[#This Row],[PREÇO]]*Tabela1[[#This Row],[MTS]]</f>
        <v>0</v>
      </c>
      <c r="O110" s="378" t="s">
        <v>213</v>
      </c>
      <c r="P110" s="448" t="s">
        <v>214</v>
      </c>
      <c r="Q110" s="378" t="s">
        <v>215</v>
      </c>
    </row>
    <row r="111" spans="1:17" hidden="1" x14ac:dyDescent="0.3">
      <c r="A111" s="312" t="s">
        <v>189</v>
      </c>
      <c r="B111" s="7" t="s">
        <v>212</v>
      </c>
      <c r="C111" s="248" t="s">
        <v>13</v>
      </c>
      <c r="D111" s="211"/>
      <c r="E111" s="41">
        <v>45826</v>
      </c>
      <c r="F111" s="80">
        <v>45839</v>
      </c>
      <c r="G111" s="40">
        <v>72091</v>
      </c>
      <c r="H111" s="40">
        <v>4237</v>
      </c>
      <c r="I111" s="38">
        <v>7442</v>
      </c>
      <c r="J111" s="74" t="s">
        <v>241</v>
      </c>
      <c r="K111" s="29"/>
      <c r="M111" s="53"/>
      <c r="N111" s="54">
        <f>Tabela1[[#This Row],[PREÇO]]*Tabela1[[#This Row],[MTS]]</f>
        <v>0</v>
      </c>
      <c r="O111" s="378" t="s">
        <v>213</v>
      </c>
      <c r="P111" s="448" t="s">
        <v>214</v>
      </c>
      <c r="Q111" s="378" t="s">
        <v>215</v>
      </c>
    </row>
    <row r="112" spans="1:17" hidden="1" x14ac:dyDescent="0.3">
      <c r="A112" s="312" t="s">
        <v>189</v>
      </c>
      <c r="B112" s="7" t="s">
        <v>212</v>
      </c>
      <c r="C112" s="248" t="s">
        <v>13</v>
      </c>
      <c r="D112" s="211"/>
      <c r="E112" s="41">
        <v>45826</v>
      </c>
      <c r="F112" s="80">
        <v>45839</v>
      </c>
      <c r="G112" s="358" t="s">
        <v>1447</v>
      </c>
      <c r="H112" s="209">
        <v>4267</v>
      </c>
      <c r="I112" s="38">
        <v>7442</v>
      </c>
      <c r="J112" s="434" t="s">
        <v>242</v>
      </c>
      <c r="K112" s="29"/>
      <c r="M112" s="75"/>
      <c r="N112" s="54">
        <f>Tabela1[[#This Row],[PREÇO]]*Tabela1[[#This Row],[MTS]]</f>
        <v>0</v>
      </c>
      <c r="O112" s="378" t="s">
        <v>213</v>
      </c>
      <c r="P112" s="448" t="s">
        <v>214</v>
      </c>
      <c r="Q112" s="378" t="s">
        <v>215</v>
      </c>
    </row>
    <row r="113" spans="1:17" hidden="1" x14ac:dyDescent="0.3">
      <c r="A113" s="312" t="s">
        <v>189</v>
      </c>
      <c r="B113" s="7" t="s">
        <v>212</v>
      </c>
      <c r="C113" s="248" t="s">
        <v>13</v>
      </c>
      <c r="D113" s="211"/>
      <c r="E113" s="41">
        <v>45826</v>
      </c>
      <c r="F113" s="80">
        <v>45839</v>
      </c>
      <c r="G113" s="358" t="s">
        <v>1448</v>
      </c>
      <c r="H113" s="209">
        <v>4266</v>
      </c>
      <c r="I113" s="38">
        <v>7442</v>
      </c>
      <c r="J113" s="434" t="s">
        <v>242</v>
      </c>
      <c r="K113" s="29"/>
      <c r="M113" s="75"/>
      <c r="N113" s="54">
        <f>Tabela1[[#This Row],[PREÇO]]*Tabela1[[#This Row],[MTS]]</f>
        <v>0</v>
      </c>
      <c r="O113" s="378" t="s">
        <v>213</v>
      </c>
      <c r="P113" s="448" t="s">
        <v>214</v>
      </c>
      <c r="Q113" s="378" t="s">
        <v>215</v>
      </c>
    </row>
    <row r="114" spans="1:17" hidden="1" x14ac:dyDescent="0.3">
      <c r="A114" s="312" t="s">
        <v>189</v>
      </c>
      <c r="B114" s="7" t="s">
        <v>212</v>
      </c>
      <c r="C114" s="248" t="s">
        <v>13</v>
      </c>
      <c r="D114" s="211"/>
      <c r="E114" s="41">
        <v>45826</v>
      </c>
      <c r="F114" s="80">
        <v>45839</v>
      </c>
      <c r="G114" s="358" t="s">
        <v>1449</v>
      </c>
      <c r="H114" s="209">
        <v>4265</v>
      </c>
      <c r="I114" s="38">
        <v>7442</v>
      </c>
      <c r="J114" s="434" t="s">
        <v>242</v>
      </c>
      <c r="K114" s="29"/>
      <c r="M114" s="75"/>
      <c r="N114" s="54">
        <f>Tabela1[[#This Row],[PREÇO]]*Tabela1[[#This Row],[MTS]]</f>
        <v>0</v>
      </c>
      <c r="O114" s="378" t="s">
        <v>213</v>
      </c>
      <c r="P114" s="448" t="s">
        <v>214</v>
      </c>
      <c r="Q114" s="378" t="s">
        <v>215</v>
      </c>
    </row>
    <row r="115" spans="1:17" hidden="1" x14ac:dyDescent="0.3">
      <c r="A115" s="312" t="s">
        <v>244</v>
      </c>
      <c r="B115" s="7" t="s">
        <v>48</v>
      </c>
      <c r="C115" s="248" t="s">
        <v>49</v>
      </c>
      <c r="D115" s="211"/>
      <c r="E115" s="41">
        <v>45841</v>
      </c>
      <c r="F115" s="80">
        <v>45839</v>
      </c>
      <c r="G115" s="105">
        <v>32282</v>
      </c>
      <c r="H115" s="40">
        <v>1523</v>
      </c>
      <c r="I115" s="38">
        <v>7503</v>
      </c>
      <c r="J115" s="29" t="s">
        <v>1450</v>
      </c>
      <c r="K115" s="90"/>
      <c r="M115" s="91"/>
      <c r="N115" s="54">
        <f>Tabela1[[#This Row],[PREÇO]]*Tabela1[[#This Row],[MTS]]</f>
        <v>0</v>
      </c>
      <c r="O115" s="378" t="s">
        <v>52</v>
      </c>
      <c r="P115" s="378" t="s">
        <v>53</v>
      </c>
      <c r="Q115" s="378" t="s">
        <v>54</v>
      </c>
    </row>
    <row r="116" spans="1:17" hidden="1" x14ac:dyDescent="0.3">
      <c r="A116" s="312" t="s">
        <v>244</v>
      </c>
      <c r="B116" s="7" t="s">
        <v>48</v>
      </c>
      <c r="C116" s="248" t="s">
        <v>49</v>
      </c>
      <c r="D116" s="211"/>
      <c r="E116" s="41">
        <v>45841</v>
      </c>
      <c r="F116" s="80">
        <v>45839</v>
      </c>
      <c r="G116" s="28">
        <v>2540012</v>
      </c>
      <c r="H116" s="40">
        <v>1225</v>
      </c>
      <c r="I116" s="38">
        <v>7503</v>
      </c>
      <c r="J116" s="29" t="s">
        <v>257</v>
      </c>
      <c r="K116" s="90"/>
      <c r="M116" s="91"/>
      <c r="N116" s="54">
        <f>Tabela1[[#This Row],[PREÇO]]*Tabela1[[#This Row],[MTS]]</f>
        <v>0</v>
      </c>
      <c r="O116" s="378" t="s">
        <v>52</v>
      </c>
      <c r="P116" s="378" t="s">
        <v>53</v>
      </c>
      <c r="Q116" s="378" t="s">
        <v>54</v>
      </c>
    </row>
    <row r="117" spans="1:17" hidden="1" x14ac:dyDescent="0.3">
      <c r="A117" s="312" t="s">
        <v>244</v>
      </c>
      <c r="B117" s="7" t="s">
        <v>48</v>
      </c>
      <c r="C117" s="248" t="s">
        <v>49</v>
      </c>
      <c r="D117" s="211"/>
      <c r="E117" s="41">
        <v>45841</v>
      </c>
      <c r="F117" s="80">
        <v>45839</v>
      </c>
      <c r="G117" s="28" t="s">
        <v>249</v>
      </c>
      <c r="H117" s="40">
        <v>1236</v>
      </c>
      <c r="I117" s="38">
        <v>7503</v>
      </c>
      <c r="J117" s="29" t="s">
        <v>258</v>
      </c>
      <c r="K117" s="90"/>
      <c r="M117" s="91"/>
      <c r="N117" s="54">
        <f>Tabela1[[#This Row],[PREÇO]]*Tabela1[[#This Row],[MTS]]</f>
        <v>0</v>
      </c>
      <c r="O117" s="378" t="s">
        <v>52</v>
      </c>
      <c r="P117" s="378" t="s">
        <v>53</v>
      </c>
      <c r="Q117" s="378" t="s">
        <v>54</v>
      </c>
    </row>
    <row r="118" spans="1:17" hidden="1" x14ac:dyDescent="0.3">
      <c r="A118" s="312" t="s">
        <v>244</v>
      </c>
      <c r="B118" s="7" t="s">
        <v>48</v>
      </c>
      <c r="C118" s="248" t="s">
        <v>49</v>
      </c>
      <c r="D118" s="211"/>
      <c r="E118" s="41">
        <v>45841</v>
      </c>
      <c r="F118" s="80">
        <v>45839</v>
      </c>
      <c r="G118" s="28" t="s">
        <v>250</v>
      </c>
      <c r="H118" s="40">
        <v>3009</v>
      </c>
      <c r="I118" s="38">
        <v>7503</v>
      </c>
      <c r="J118" s="29" t="s">
        <v>259</v>
      </c>
      <c r="K118" s="90"/>
      <c r="M118" s="91"/>
      <c r="N118" s="54">
        <f>Tabela1[[#This Row],[PREÇO]]*Tabela1[[#This Row],[MTS]]</f>
        <v>0</v>
      </c>
      <c r="O118" s="378" t="s">
        <v>52</v>
      </c>
      <c r="P118" s="378" t="s">
        <v>53</v>
      </c>
      <c r="Q118" s="378" t="s">
        <v>54</v>
      </c>
    </row>
    <row r="119" spans="1:17" hidden="1" x14ac:dyDescent="0.3">
      <c r="A119" s="312" t="s">
        <v>244</v>
      </c>
      <c r="B119" s="7" t="s">
        <v>48</v>
      </c>
      <c r="C119" s="248" t="s">
        <v>49</v>
      </c>
      <c r="D119" s="211"/>
      <c r="E119" s="41">
        <v>45841</v>
      </c>
      <c r="F119" s="80">
        <v>45839</v>
      </c>
      <c r="G119" s="28" t="s">
        <v>251</v>
      </c>
      <c r="H119" s="40">
        <v>1504</v>
      </c>
      <c r="I119" s="38">
        <v>7503</v>
      </c>
      <c r="J119" s="29" t="s">
        <v>260</v>
      </c>
      <c r="K119" s="90"/>
      <c r="M119" s="91"/>
      <c r="N119" s="54">
        <f>Tabela1[[#This Row],[PREÇO]]*Tabela1[[#This Row],[MTS]]</f>
        <v>0</v>
      </c>
      <c r="O119" s="378" t="s">
        <v>52</v>
      </c>
      <c r="P119" s="378" t="s">
        <v>53</v>
      </c>
      <c r="Q119" s="378" t="s">
        <v>54</v>
      </c>
    </row>
    <row r="120" spans="1:17" hidden="1" x14ac:dyDescent="0.3">
      <c r="A120" s="312" t="s">
        <v>244</v>
      </c>
      <c r="B120" s="7" t="s">
        <v>48</v>
      </c>
      <c r="C120" s="248" t="s">
        <v>49</v>
      </c>
      <c r="D120" s="211"/>
      <c r="E120" s="41">
        <v>45841</v>
      </c>
      <c r="F120" s="80">
        <v>45839</v>
      </c>
      <c r="G120" s="28" t="s">
        <v>252</v>
      </c>
      <c r="H120" s="40">
        <v>1506</v>
      </c>
      <c r="I120" s="38">
        <v>7503</v>
      </c>
      <c r="J120" s="29" t="s">
        <v>261</v>
      </c>
      <c r="K120" s="90"/>
      <c r="M120" s="91"/>
      <c r="N120" s="54">
        <f>Tabela1[[#This Row],[PREÇO]]*Tabela1[[#This Row],[MTS]]</f>
        <v>0</v>
      </c>
      <c r="O120" s="378" t="s">
        <v>52</v>
      </c>
      <c r="P120" s="378" t="s">
        <v>53</v>
      </c>
      <c r="Q120" s="378" t="s">
        <v>54</v>
      </c>
    </row>
    <row r="121" spans="1:17" hidden="1" x14ac:dyDescent="0.3">
      <c r="A121" s="312" t="s">
        <v>244</v>
      </c>
      <c r="B121" s="7" t="s">
        <v>48</v>
      </c>
      <c r="C121" s="248" t="s">
        <v>49</v>
      </c>
      <c r="D121" s="211"/>
      <c r="E121" s="41">
        <v>45841</v>
      </c>
      <c r="F121" s="80">
        <v>45839</v>
      </c>
      <c r="G121" s="89" t="s">
        <v>267</v>
      </c>
      <c r="H121" s="40">
        <v>1652</v>
      </c>
      <c r="I121" s="38">
        <v>7503</v>
      </c>
      <c r="J121" s="139" t="s">
        <v>268</v>
      </c>
      <c r="K121" s="90"/>
      <c r="M121" s="91"/>
      <c r="N121" s="54">
        <f>Tabela1[[#This Row],[PREÇO]]*Tabela1[[#This Row],[MTS]]</f>
        <v>0</v>
      </c>
      <c r="O121" s="378" t="s">
        <v>52</v>
      </c>
      <c r="P121" s="378" t="s">
        <v>53</v>
      </c>
      <c r="Q121" s="378" t="s">
        <v>54</v>
      </c>
    </row>
    <row r="122" spans="1:17" hidden="1" x14ac:dyDescent="0.3">
      <c r="A122" s="312" t="s">
        <v>244</v>
      </c>
      <c r="B122" s="7" t="s">
        <v>48</v>
      </c>
      <c r="C122" s="248" t="s">
        <v>49</v>
      </c>
      <c r="D122" s="211"/>
      <c r="E122" s="41">
        <v>45841</v>
      </c>
      <c r="F122" s="80">
        <v>45839</v>
      </c>
      <c r="G122" s="28" t="s">
        <v>253</v>
      </c>
      <c r="H122" s="40">
        <v>2054</v>
      </c>
      <c r="I122" s="38">
        <v>7503</v>
      </c>
      <c r="J122" s="29" t="s">
        <v>262</v>
      </c>
      <c r="K122" s="90"/>
      <c r="M122" s="91"/>
      <c r="N122" s="54">
        <f>Tabela1[[#This Row],[PREÇO]]*Tabela1[[#This Row],[MTS]]</f>
        <v>0</v>
      </c>
      <c r="O122" s="378" t="s">
        <v>52</v>
      </c>
      <c r="P122" s="378" t="s">
        <v>53</v>
      </c>
      <c r="Q122" s="378" t="s">
        <v>54</v>
      </c>
    </row>
    <row r="123" spans="1:17" hidden="1" x14ac:dyDescent="0.3">
      <c r="A123" s="312" t="s">
        <v>244</v>
      </c>
      <c r="B123" s="7" t="s">
        <v>48</v>
      </c>
      <c r="C123" s="248" t="s">
        <v>49</v>
      </c>
      <c r="D123" s="211"/>
      <c r="E123" s="41">
        <v>45841</v>
      </c>
      <c r="F123" s="80">
        <v>45839</v>
      </c>
      <c r="G123" s="28" t="s">
        <v>254</v>
      </c>
      <c r="H123" s="40">
        <v>1219</v>
      </c>
      <c r="I123" s="38">
        <v>7503</v>
      </c>
      <c r="J123" s="29" t="s">
        <v>263</v>
      </c>
      <c r="K123" s="90"/>
      <c r="M123" s="91"/>
      <c r="N123" s="54">
        <f>Tabela1[[#This Row],[PREÇO]]*Tabela1[[#This Row],[MTS]]</f>
        <v>0</v>
      </c>
      <c r="O123" s="378" t="s">
        <v>52</v>
      </c>
      <c r="P123" s="378" t="s">
        <v>53</v>
      </c>
      <c r="Q123" s="378" t="s">
        <v>54</v>
      </c>
    </row>
    <row r="124" spans="1:17" hidden="1" x14ac:dyDescent="0.3">
      <c r="A124" s="312" t="s">
        <v>244</v>
      </c>
      <c r="B124" s="7" t="s">
        <v>48</v>
      </c>
      <c r="C124" s="248" t="s">
        <v>49</v>
      </c>
      <c r="D124" s="211"/>
      <c r="E124" s="41">
        <v>45841</v>
      </c>
      <c r="F124" s="80">
        <v>45839</v>
      </c>
      <c r="G124" s="28" t="s">
        <v>255</v>
      </c>
      <c r="H124" s="40">
        <v>3712</v>
      </c>
      <c r="I124" s="38">
        <v>7503</v>
      </c>
      <c r="J124" s="29" t="s">
        <v>264</v>
      </c>
      <c r="K124" s="90"/>
      <c r="M124" s="91"/>
      <c r="N124" s="54">
        <f>Tabela1[[#This Row],[PREÇO]]*Tabela1[[#This Row],[MTS]]</f>
        <v>0</v>
      </c>
      <c r="O124" s="378" t="s">
        <v>52</v>
      </c>
      <c r="P124" s="378" t="s">
        <v>53</v>
      </c>
      <c r="Q124" s="378" t="s">
        <v>54</v>
      </c>
    </row>
    <row r="125" spans="1:17" hidden="1" x14ac:dyDescent="0.3">
      <c r="A125" s="312" t="s">
        <v>244</v>
      </c>
      <c r="B125" s="7" t="s">
        <v>48</v>
      </c>
      <c r="C125" s="248" t="s">
        <v>49</v>
      </c>
      <c r="D125" s="211"/>
      <c r="E125" s="41">
        <v>45841</v>
      </c>
      <c r="F125" s="80">
        <v>45839</v>
      </c>
      <c r="G125" s="28">
        <v>2540033</v>
      </c>
      <c r="H125" s="40">
        <v>3589</v>
      </c>
      <c r="I125" s="38">
        <v>7503</v>
      </c>
      <c r="J125" s="29" t="s">
        <v>265</v>
      </c>
      <c r="K125" s="90"/>
      <c r="M125" s="29"/>
      <c r="N125" s="54">
        <f>Tabela1[[#This Row],[PREÇO]]*Tabela1[[#This Row],[MTS]]</f>
        <v>0</v>
      </c>
      <c r="O125" s="378" t="s">
        <v>52</v>
      </c>
      <c r="P125" s="378" t="s">
        <v>53</v>
      </c>
      <c r="Q125" s="378" t="s">
        <v>54</v>
      </c>
    </row>
    <row r="126" spans="1:17" hidden="1" x14ac:dyDescent="0.3">
      <c r="A126" s="312" t="s">
        <v>244</v>
      </c>
      <c r="B126" s="7" t="s">
        <v>48</v>
      </c>
      <c r="C126" s="248" t="s">
        <v>49</v>
      </c>
      <c r="D126" s="211"/>
      <c r="E126" s="41">
        <v>45841</v>
      </c>
      <c r="F126" s="80">
        <v>45839</v>
      </c>
      <c r="G126" s="28" t="s">
        <v>256</v>
      </c>
      <c r="H126" s="40">
        <v>2952</v>
      </c>
      <c r="I126" s="38">
        <v>7503</v>
      </c>
      <c r="J126" s="29" t="s">
        <v>266</v>
      </c>
      <c r="K126" s="90"/>
      <c r="M126" s="29"/>
      <c r="N126" s="54">
        <f>Tabela1[[#This Row],[PREÇO]]*Tabela1[[#This Row],[MTS]]</f>
        <v>0</v>
      </c>
      <c r="O126" s="378" t="s">
        <v>52</v>
      </c>
      <c r="P126" s="378" t="s">
        <v>53</v>
      </c>
      <c r="Q126" s="378" t="s">
        <v>54</v>
      </c>
    </row>
    <row r="127" spans="1:17" hidden="1" x14ac:dyDescent="0.3">
      <c r="A127" s="312" t="s">
        <v>246</v>
      </c>
      <c r="B127" s="7" t="s">
        <v>69</v>
      </c>
      <c r="C127" s="248" t="s">
        <v>70</v>
      </c>
      <c r="D127" s="211"/>
      <c r="E127" s="41">
        <v>45844</v>
      </c>
      <c r="F127" s="80">
        <v>45839</v>
      </c>
      <c r="G127" s="28">
        <v>1129159</v>
      </c>
      <c r="H127" s="40">
        <v>2810011</v>
      </c>
      <c r="I127" s="38">
        <v>7630</v>
      </c>
      <c r="J127" s="29" t="s">
        <v>271</v>
      </c>
      <c r="K127" s="29"/>
      <c r="M127" s="53"/>
      <c r="N127" s="54">
        <f>Tabela1[[#This Row],[PREÇO]]*Tabela1[[#This Row],[MTS]]</f>
        <v>0</v>
      </c>
      <c r="O127" s="378" t="s">
        <v>72</v>
      </c>
    </row>
    <row r="128" spans="1:17" hidden="1" x14ac:dyDescent="0.3">
      <c r="A128" s="312" t="s">
        <v>243</v>
      </c>
      <c r="B128" s="7" t="s">
        <v>272</v>
      </c>
      <c r="C128" s="248" t="s">
        <v>49</v>
      </c>
      <c r="D128" s="211"/>
      <c r="E128" s="41">
        <v>45848</v>
      </c>
      <c r="F128" s="80">
        <v>45839</v>
      </c>
      <c r="G128" s="28">
        <v>303.00130000000001</v>
      </c>
      <c r="H128" s="40">
        <v>3500</v>
      </c>
      <c r="I128" s="38">
        <v>7523</v>
      </c>
      <c r="J128" s="29" t="s">
        <v>273</v>
      </c>
      <c r="K128" s="29"/>
      <c r="M128" s="53"/>
      <c r="N128" s="54">
        <f>Tabela1[[#This Row],[PREÇO]]*Tabela1[[#This Row],[MTS]]</f>
        <v>0</v>
      </c>
      <c r="O128" s="378" t="s">
        <v>380</v>
      </c>
      <c r="P128" s="448" t="s">
        <v>381</v>
      </c>
    </row>
    <row r="129" spans="1:16" hidden="1" x14ac:dyDescent="0.3">
      <c r="A129" s="312" t="s">
        <v>243</v>
      </c>
      <c r="B129" s="7" t="s">
        <v>272</v>
      </c>
      <c r="C129" s="248" t="s">
        <v>49</v>
      </c>
      <c r="D129" s="211"/>
      <c r="E129" s="41">
        <v>45848</v>
      </c>
      <c r="F129" s="80">
        <v>45839</v>
      </c>
      <c r="G129" s="28">
        <v>303.00150000000002</v>
      </c>
      <c r="H129" s="40">
        <v>4322</v>
      </c>
      <c r="I129" s="38">
        <v>7523</v>
      </c>
      <c r="J129" s="29" t="s">
        <v>274</v>
      </c>
      <c r="K129" s="29"/>
      <c r="M129" s="29"/>
      <c r="N129" s="54">
        <f>Tabela1[[#This Row],[PREÇO]]*Tabela1[[#This Row],[MTS]]</f>
        <v>0</v>
      </c>
      <c r="O129" s="378" t="s">
        <v>380</v>
      </c>
      <c r="P129" s="448" t="s">
        <v>381</v>
      </c>
    </row>
    <row r="130" spans="1:16" hidden="1" x14ac:dyDescent="0.3">
      <c r="A130" s="312" t="s">
        <v>243</v>
      </c>
      <c r="B130" s="7" t="s">
        <v>272</v>
      </c>
      <c r="C130" s="248" t="s">
        <v>49</v>
      </c>
      <c r="D130" s="211"/>
      <c r="E130" s="41">
        <v>45848</v>
      </c>
      <c r="F130" s="80">
        <v>45839</v>
      </c>
      <c r="G130" s="28">
        <v>303.00240000000002</v>
      </c>
      <c r="H130" s="40">
        <v>4323</v>
      </c>
      <c r="I130" s="38">
        <v>7523</v>
      </c>
      <c r="J130" s="29" t="s">
        <v>275</v>
      </c>
      <c r="K130" s="29"/>
      <c r="M130" s="53"/>
      <c r="N130" s="54">
        <f>Tabela1[[#This Row],[PREÇO]]*Tabela1[[#This Row],[MTS]]</f>
        <v>0</v>
      </c>
      <c r="O130" s="378" t="s">
        <v>380</v>
      </c>
      <c r="P130" s="448" t="s">
        <v>381</v>
      </c>
    </row>
    <row r="131" spans="1:16" hidden="1" x14ac:dyDescent="0.3">
      <c r="A131" s="312" t="s">
        <v>243</v>
      </c>
      <c r="B131" s="7" t="s">
        <v>272</v>
      </c>
      <c r="C131" s="248" t="s">
        <v>49</v>
      </c>
      <c r="D131" s="211"/>
      <c r="E131" s="41">
        <v>45848</v>
      </c>
      <c r="F131" s="80">
        <v>45839</v>
      </c>
      <c r="G131" s="28">
        <v>303.00259999999997</v>
      </c>
      <c r="H131" s="40">
        <v>3131</v>
      </c>
      <c r="I131" s="38">
        <v>7523</v>
      </c>
      <c r="J131" s="29" t="s">
        <v>276</v>
      </c>
      <c r="K131" s="29"/>
      <c r="M131" s="53"/>
      <c r="N131" s="54">
        <f>Tabela1[[#This Row],[PREÇO]]*Tabela1[[#This Row],[MTS]]</f>
        <v>0</v>
      </c>
      <c r="O131" s="378" t="s">
        <v>380</v>
      </c>
      <c r="P131" s="448" t="s">
        <v>381</v>
      </c>
    </row>
    <row r="132" spans="1:16" hidden="1" x14ac:dyDescent="0.3">
      <c r="A132" s="312" t="s">
        <v>243</v>
      </c>
      <c r="B132" s="7" t="s">
        <v>272</v>
      </c>
      <c r="C132" s="248" t="s">
        <v>49</v>
      </c>
      <c r="D132" s="211"/>
      <c r="E132" s="41">
        <v>45848</v>
      </c>
      <c r="F132" s="80">
        <v>45839</v>
      </c>
      <c r="G132" s="28">
        <v>303.00279999999998</v>
      </c>
      <c r="H132" s="40">
        <v>4324</v>
      </c>
      <c r="I132" s="38">
        <v>7523</v>
      </c>
      <c r="J132" s="29" t="s">
        <v>276</v>
      </c>
      <c r="K132" s="29"/>
      <c r="M132" s="29"/>
      <c r="N132" s="54">
        <f>Tabela1[[#This Row],[PREÇO]]*Tabela1[[#This Row],[MTS]]</f>
        <v>0</v>
      </c>
      <c r="O132" s="378" t="s">
        <v>380</v>
      </c>
      <c r="P132" s="448" t="s">
        <v>381</v>
      </c>
    </row>
    <row r="133" spans="1:16" hidden="1" x14ac:dyDescent="0.3">
      <c r="A133" s="312" t="s">
        <v>243</v>
      </c>
      <c r="B133" s="7" t="s">
        <v>272</v>
      </c>
      <c r="C133" s="248" t="s">
        <v>49</v>
      </c>
      <c r="D133" s="211"/>
      <c r="E133" s="41">
        <v>45848</v>
      </c>
      <c r="F133" s="80">
        <v>45839</v>
      </c>
      <c r="G133" s="28">
        <v>303.00319999999999</v>
      </c>
      <c r="H133" s="40">
        <v>3136</v>
      </c>
      <c r="I133" s="38">
        <v>7523</v>
      </c>
      <c r="J133" s="29" t="s">
        <v>277</v>
      </c>
      <c r="K133" s="29"/>
      <c r="M133" s="53"/>
      <c r="N133" s="54">
        <f>Tabela1[[#This Row],[PREÇO]]*Tabela1[[#This Row],[MTS]]</f>
        <v>0</v>
      </c>
      <c r="O133" s="378" t="s">
        <v>380</v>
      </c>
      <c r="P133" s="448" t="s">
        <v>381</v>
      </c>
    </row>
    <row r="134" spans="1:16" hidden="1" x14ac:dyDescent="0.3">
      <c r="A134" s="312" t="s">
        <v>243</v>
      </c>
      <c r="B134" s="7" t="s">
        <v>272</v>
      </c>
      <c r="C134" s="248" t="s">
        <v>49</v>
      </c>
      <c r="D134" s="211"/>
      <c r="E134" s="41">
        <v>45848</v>
      </c>
      <c r="F134" s="80">
        <v>45839</v>
      </c>
      <c r="G134" s="28">
        <v>303.00330000000002</v>
      </c>
      <c r="H134" s="40">
        <v>3132</v>
      </c>
      <c r="I134" s="38">
        <v>7523</v>
      </c>
      <c r="J134" s="29" t="s">
        <v>278</v>
      </c>
      <c r="K134" s="29"/>
      <c r="M134" s="53"/>
      <c r="N134" s="54">
        <f>Tabela1[[#This Row],[PREÇO]]*Tabela1[[#This Row],[MTS]]</f>
        <v>0</v>
      </c>
      <c r="O134" s="378" t="s">
        <v>380</v>
      </c>
      <c r="P134" s="448" t="s">
        <v>381</v>
      </c>
    </row>
    <row r="135" spans="1:16" hidden="1" x14ac:dyDescent="0.3">
      <c r="A135" s="312" t="s">
        <v>243</v>
      </c>
      <c r="B135" s="7" t="s">
        <v>272</v>
      </c>
      <c r="C135" s="248" t="s">
        <v>49</v>
      </c>
      <c r="D135" s="211"/>
      <c r="E135" s="41">
        <v>45848</v>
      </c>
      <c r="F135" s="80">
        <v>45839</v>
      </c>
      <c r="G135" s="28">
        <v>303.00360000000001</v>
      </c>
      <c r="H135" s="40">
        <v>3133</v>
      </c>
      <c r="I135" s="38">
        <v>7523</v>
      </c>
      <c r="J135" s="29" t="s">
        <v>279</v>
      </c>
      <c r="K135" s="29"/>
      <c r="M135" s="53"/>
      <c r="N135" s="54">
        <f>Tabela1[[#This Row],[PREÇO]]*Tabela1[[#This Row],[MTS]]</f>
        <v>0</v>
      </c>
      <c r="O135" s="378" t="s">
        <v>380</v>
      </c>
      <c r="P135" s="448" t="s">
        <v>381</v>
      </c>
    </row>
    <row r="136" spans="1:16" hidden="1" x14ac:dyDescent="0.3">
      <c r="A136" s="312" t="s">
        <v>243</v>
      </c>
      <c r="B136" s="7" t="s">
        <v>272</v>
      </c>
      <c r="C136" s="248" t="s">
        <v>49</v>
      </c>
      <c r="D136" s="211"/>
      <c r="E136" s="41">
        <v>45848</v>
      </c>
      <c r="F136" s="80">
        <v>45839</v>
      </c>
      <c r="G136" s="28">
        <v>3030038</v>
      </c>
      <c r="H136" s="40">
        <v>4325</v>
      </c>
      <c r="I136" s="38">
        <v>7523</v>
      </c>
      <c r="J136" s="29" t="s">
        <v>391</v>
      </c>
      <c r="K136" s="29"/>
      <c r="M136" s="53"/>
      <c r="N136" s="54">
        <f>Tabela1[[#This Row],[PREÇO]]*Tabela1[[#This Row],[MTS]]</f>
        <v>0</v>
      </c>
      <c r="O136" s="378" t="s">
        <v>380</v>
      </c>
      <c r="P136" s="448" t="s">
        <v>381</v>
      </c>
    </row>
    <row r="137" spans="1:16" hidden="1" x14ac:dyDescent="0.3">
      <c r="A137" s="312" t="s">
        <v>243</v>
      </c>
      <c r="B137" s="7" t="s">
        <v>272</v>
      </c>
      <c r="C137" s="248" t="s">
        <v>49</v>
      </c>
      <c r="D137" s="211"/>
      <c r="E137" s="41">
        <v>45848</v>
      </c>
      <c r="F137" s="80">
        <v>45839</v>
      </c>
      <c r="G137" s="94">
        <v>303.00400000000002</v>
      </c>
      <c r="H137" s="40">
        <v>3135</v>
      </c>
      <c r="I137" s="38">
        <v>7523</v>
      </c>
      <c r="J137" s="29" t="s">
        <v>280</v>
      </c>
      <c r="K137" s="29"/>
      <c r="M137" s="53"/>
      <c r="N137" s="54">
        <f>Tabela1[[#This Row],[PREÇO]]*Tabela1[[#This Row],[MTS]]</f>
        <v>0</v>
      </c>
      <c r="O137" s="378" t="s">
        <v>380</v>
      </c>
      <c r="P137" s="448" t="s">
        <v>381</v>
      </c>
    </row>
    <row r="138" spans="1:16" hidden="1" x14ac:dyDescent="0.3">
      <c r="A138" s="312" t="s">
        <v>243</v>
      </c>
      <c r="B138" s="7" t="s">
        <v>272</v>
      </c>
      <c r="C138" s="248" t="s">
        <v>49</v>
      </c>
      <c r="D138" s="211"/>
      <c r="E138" s="41">
        <v>45848</v>
      </c>
      <c r="F138" s="80">
        <v>45839</v>
      </c>
      <c r="G138" s="28">
        <v>303.00450000000001</v>
      </c>
      <c r="H138" s="40">
        <v>4326</v>
      </c>
      <c r="I138" s="38">
        <v>7523</v>
      </c>
      <c r="J138" s="29" t="s">
        <v>281</v>
      </c>
      <c r="K138" s="29"/>
      <c r="M138" s="29"/>
      <c r="N138" s="54">
        <f>Tabela1[[#This Row],[PREÇO]]*Tabela1[[#This Row],[MTS]]</f>
        <v>0</v>
      </c>
      <c r="O138" s="378" t="s">
        <v>380</v>
      </c>
      <c r="P138" s="448" t="s">
        <v>381</v>
      </c>
    </row>
    <row r="139" spans="1:16" hidden="1" x14ac:dyDescent="0.3">
      <c r="A139" s="312" t="s">
        <v>243</v>
      </c>
      <c r="B139" s="7" t="s">
        <v>272</v>
      </c>
      <c r="C139" s="248" t="s">
        <v>49</v>
      </c>
      <c r="D139" s="211"/>
      <c r="E139" s="41">
        <v>45848</v>
      </c>
      <c r="F139" s="80">
        <v>45839</v>
      </c>
      <c r="G139" s="28">
        <v>303.00459999999998</v>
      </c>
      <c r="H139" s="40">
        <v>4327</v>
      </c>
      <c r="I139" s="38">
        <v>7523</v>
      </c>
      <c r="J139" s="29" t="s">
        <v>282</v>
      </c>
      <c r="K139" s="29"/>
      <c r="M139" s="53"/>
      <c r="N139" s="54">
        <f>Tabela1[[#This Row],[PREÇO]]*Tabela1[[#This Row],[MTS]]</f>
        <v>0</v>
      </c>
      <c r="O139" s="378" t="s">
        <v>380</v>
      </c>
      <c r="P139" s="448" t="s">
        <v>381</v>
      </c>
    </row>
    <row r="140" spans="1:16" hidden="1" x14ac:dyDescent="0.3">
      <c r="A140" s="312" t="s">
        <v>243</v>
      </c>
      <c r="B140" s="7" t="s">
        <v>272</v>
      </c>
      <c r="C140" s="248" t="s">
        <v>49</v>
      </c>
      <c r="D140" s="211"/>
      <c r="E140" s="41">
        <v>45848</v>
      </c>
      <c r="F140" s="80">
        <v>45839</v>
      </c>
      <c r="G140" s="94">
        <v>303.005</v>
      </c>
      <c r="H140" s="40">
        <v>3138</v>
      </c>
      <c r="I140" s="38">
        <v>7523</v>
      </c>
      <c r="J140" s="29" t="s">
        <v>283</v>
      </c>
      <c r="K140" s="29"/>
      <c r="M140" s="53"/>
      <c r="N140" s="54">
        <f>Tabela1[[#This Row],[PREÇO]]*Tabela1[[#This Row],[MTS]]</f>
        <v>0</v>
      </c>
      <c r="O140" s="378" t="s">
        <v>380</v>
      </c>
      <c r="P140" s="448" t="s">
        <v>381</v>
      </c>
    </row>
    <row r="141" spans="1:16" hidden="1" x14ac:dyDescent="0.3">
      <c r="A141" s="312" t="s">
        <v>243</v>
      </c>
      <c r="B141" s="7" t="s">
        <v>272</v>
      </c>
      <c r="C141" s="248" t="s">
        <v>49</v>
      </c>
      <c r="D141" s="211"/>
      <c r="E141" s="41">
        <v>45848</v>
      </c>
      <c r="F141" s="80">
        <v>45839</v>
      </c>
      <c r="G141" s="28">
        <v>303.0052</v>
      </c>
      <c r="H141" s="40">
        <v>3144</v>
      </c>
      <c r="I141" s="38">
        <v>7523</v>
      </c>
      <c r="J141" s="29" t="s">
        <v>284</v>
      </c>
      <c r="K141" s="29"/>
      <c r="M141" s="53"/>
      <c r="N141" s="54">
        <f>Tabela1[[#This Row],[PREÇO]]*Tabela1[[#This Row],[MTS]]</f>
        <v>0</v>
      </c>
      <c r="O141" s="378" t="s">
        <v>380</v>
      </c>
      <c r="P141" s="448" t="s">
        <v>381</v>
      </c>
    </row>
    <row r="142" spans="1:16" hidden="1" x14ac:dyDescent="0.3">
      <c r="A142" s="312" t="s">
        <v>243</v>
      </c>
      <c r="B142" s="7" t="s">
        <v>272</v>
      </c>
      <c r="C142" s="248" t="s">
        <v>49</v>
      </c>
      <c r="D142" s="211"/>
      <c r="E142" s="41">
        <v>45848</v>
      </c>
      <c r="F142" s="80">
        <v>45839</v>
      </c>
      <c r="G142" s="28">
        <v>303.00540000000001</v>
      </c>
      <c r="H142" s="40">
        <v>3146</v>
      </c>
      <c r="I142" s="38">
        <v>7523</v>
      </c>
      <c r="J142" s="29" t="s">
        <v>285</v>
      </c>
      <c r="K142" s="29"/>
      <c r="M142" s="29"/>
      <c r="N142" s="54">
        <f>Tabela1[[#This Row],[PREÇO]]*Tabela1[[#This Row],[MTS]]</f>
        <v>0</v>
      </c>
      <c r="O142" s="378" t="s">
        <v>380</v>
      </c>
      <c r="P142" s="448" t="s">
        <v>381</v>
      </c>
    </row>
    <row r="143" spans="1:16" hidden="1" x14ac:dyDescent="0.3">
      <c r="A143" s="312" t="s">
        <v>243</v>
      </c>
      <c r="B143" s="7" t="s">
        <v>272</v>
      </c>
      <c r="C143" s="248" t="s">
        <v>49</v>
      </c>
      <c r="D143" s="211"/>
      <c r="E143" s="41">
        <v>45848</v>
      </c>
      <c r="F143" s="80">
        <v>45839</v>
      </c>
      <c r="G143" s="28">
        <v>303.00549999999998</v>
      </c>
      <c r="H143" s="40">
        <v>3147</v>
      </c>
      <c r="I143" s="38">
        <v>7523</v>
      </c>
      <c r="J143" s="29" t="s">
        <v>286</v>
      </c>
      <c r="K143" s="29"/>
      <c r="M143" s="53"/>
      <c r="N143" s="54">
        <f>Tabela1[[#This Row],[PREÇO]]*Tabela1[[#This Row],[MTS]]</f>
        <v>0</v>
      </c>
      <c r="O143" s="378" t="s">
        <v>380</v>
      </c>
      <c r="P143" s="448" t="s">
        <v>381</v>
      </c>
    </row>
    <row r="144" spans="1:16" hidden="1" x14ac:dyDescent="0.3">
      <c r="A144" s="312" t="s">
        <v>243</v>
      </c>
      <c r="B144" s="7" t="s">
        <v>272</v>
      </c>
      <c r="C144" s="248" t="s">
        <v>49</v>
      </c>
      <c r="D144" s="211"/>
      <c r="E144" s="41">
        <v>45848</v>
      </c>
      <c r="F144" s="80">
        <v>45839</v>
      </c>
      <c r="G144" s="28">
        <v>303.00560000000002</v>
      </c>
      <c r="H144" s="40">
        <v>3148</v>
      </c>
      <c r="I144" s="38">
        <v>7523</v>
      </c>
      <c r="J144" s="29" t="s">
        <v>287</v>
      </c>
      <c r="K144" s="29"/>
      <c r="M144" s="29"/>
      <c r="N144" s="54">
        <f>Tabela1[[#This Row],[PREÇO]]*Tabela1[[#This Row],[MTS]]</f>
        <v>0</v>
      </c>
      <c r="O144" s="378" t="s">
        <v>380</v>
      </c>
      <c r="P144" s="448" t="s">
        <v>381</v>
      </c>
    </row>
    <row r="145" spans="1:19" hidden="1" x14ac:dyDescent="0.3">
      <c r="A145" s="312" t="s">
        <v>243</v>
      </c>
      <c r="B145" s="7" t="s">
        <v>272</v>
      </c>
      <c r="C145" s="248" t="s">
        <v>49</v>
      </c>
      <c r="D145" s="211"/>
      <c r="E145" s="41">
        <v>45848</v>
      </c>
      <c r="F145" s="80">
        <v>45839</v>
      </c>
      <c r="G145" s="28">
        <v>303.0061</v>
      </c>
      <c r="H145" s="40">
        <v>3505</v>
      </c>
      <c r="I145" s="38">
        <v>7523</v>
      </c>
      <c r="J145" s="29" t="s">
        <v>288</v>
      </c>
      <c r="K145" s="29"/>
      <c r="M145" s="53"/>
      <c r="N145" s="54">
        <f>Tabela1[[#This Row],[PREÇO]]*Tabela1[[#This Row],[MTS]]</f>
        <v>0</v>
      </c>
      <c r="O145" s="378" t="s">
        <v>380</v>
      </c>
      <c r="P145" s="448" t="s">
        <v>381</v>
      </c>
    </row>
    <row r="146" spans="1:19" hidden="1" x14ac:dyDescent="0.3">
      <c r="A146" s="312" t="s">
        <v>243</v>
      </c>
      <c r="B146" s="7" t="s">
        <v>272</v>
      </c>
      <c r="C146" s="248" t="s">
        <v>49</v>
      </c>
      <c r="D146" s="211"/>
      <c r="E146" s="41">
        <v>45848</v>
      </c>
      <c r="F146" s="80">
        <v>45839</v>
      </c>
      <c r="G146" s="28">
        <v>303.00659999999999</v>
      </c>
      <c r="H146" s="40">
        <v>3511</v>
      </c>
      <c r="I146" s="38">
        <v>7523</v>
      </c>
      <c r="J146" s="29" t="s">
        <v>289</v>
      </c>
      <c r="K146" s="29"/>
      <c r="M146" s="53"/>
      <c r="N146" s="54">
        <f>Tabela1[[#This Row],[PREÇO]]*Tabela1[[#This Row],[MTS]]</f>
        <v>0</v>
      </c>
      <c r="O146" s="378" t="s">
        <v>380</v>
      </c>
      <c r="P146" s="448" t="s">
        <v>381</v>
      </c>
    </row>
    <row r="147" spans="1:19" hidden="1" x14ac:dyDescent="0.3">
      <c r="A147" s="312" t="s">
        <v>243</v>
      </c>
      <c r="B147" s="7" t="s">
        <v>272</v>
      </c>
      <c r="C147" s="248" t="s">
        <v>49</v>
      </c>
      <c r="D147" s="211"/>
      <c r="E147" s="41">
        <v>45848</v>
      </c>
      <c r="F147" s="80">
        <v>45839</v>
      </c>
      <c r="G147" s="28">
        <v>303.00670000000002</v>
      </c>
      <c r="H147" s="40">
        <v>3652</v>
      </c>
      <c r="I147" s="38">
        <v>7523</v>
      </c>
      <c r="J147" s="29" t="s">
        <v>290</v>
      </c>
      <c r="K147" s="29"/>
      <c r="M147" s="53"/>
      <c r="N147" s="54">
        <f>Tabela1[[#This Row],[PREÇO]]*Tabela1[[#This Row],[MTS]]</f>
        <v>0</v>
      </c>
      <c r="O147" s="378" t="s">
        <v>380</v>
      </c>
      <c r="P147" s="448" t="s">
        <v>381</v>
      </c>
    </row>
    <row r="148" spans="1:19" hidden="1" x14ac:dyDescent="0.3">
      <c r="A148" s="312" t="s">
        <v>243</v>
      </c>
      <c r="B148" s="7" t="s">
        <v>272</v>
      </c>
      <c r="C148" s="248" t="s">
        <v>49</v>
      </c>
      <c r="D148" s="211"/>
      <c r="E148" s="41">
        <v>45848</v>
      </c>
      <c r="F148" s="80">
        <v>45839</v>
      </c>
      <c r="G148" s="28">
        <v>303.00689999999997</v>
      </c>
      <c r="H148" s="40">
        <v>4329</v>
      </c>
      <c r="I148" s="38">
        <v>7523</v>
      </c>
      <c r="J148" s="29" t="s">
        <v>291</v>
      </c>
      <c r="K148" s="29"/>
      <c r="M148" s="29"/>
      <c r="N148" s="54">
        <f>Tabela1[[#This Row],[PREÇO]]*Tabela1[[#This Row],[MTS]]</f>
        <v>0</v>
      </c>
      <c r="O148" s="378" t="s">
        <v>380</v>
      </c>
      <c r="P148" s="448" t="s">
        <v>381</v>
      </c>
    </row>
    <row r="149" spans="1:19" hidden="1" x14ac:dyDescent="0.3">
      <c r="A149" s="312" t="s">
        <v>243</v>
      </c>
      <c r="B149" s="7" t="s">
        <v>272</v>
      </c>
      <c r="C149" s="248" t="s">
        <v>49</v>
      </c>
      <c r="D149" s="211"/>
      <c r="E149" s="41">
        <v>45848</v>
      </c>
      <c r="F149" s="80">
        <v>45839</v>
      </c>
      <c r="G149" s="28">
        <v>303.0068</v>
      </c>
      <c r="H149" s="40">
        <v>4328</v>
      </c>
      <c r="I149" s="38">
        <v>7523</v>
      </c>
      <c r="J149" s="29" t="s">
        <v>292</v>
      </c>
      <c r="K149" s="29"/>
      <c r="M149" s="29"/>
      <c r="N149" s="54">
        <f>Tabela1[[#This Row],[PREÇO]]*Tabela1[[#This Row],[MTS]]</f>
        <v>0</v>
      </c>
      <c r="O149" s="378" t="s">
        <v>380</v>
      </c>
      <c r="P149" s="448" t="s">
        <v>381</v>
      </c>
    </row>
    <row r="150" spans="1:19" hidden="1" x14ac:dyDescent="0.3">
      <c r="A150" s="312" t="s">
        <v>269</v>
      </c>
      <c r="B150" s="7" t="s">
        <v>149</v>
      </c>
      <c r="C150" s="248" t="s">
        <v>105</v>
      </c>
      <c r="D150" s="211"/>
      <c r="E150" s="41">
        <v>45852</v>
      </c>
      <c r="F150" s="80">
        <v>45839</v>
      </c>
      <c r="G150" s="28" t="s">
        <v>150</v>
      </c>
      <c r="H150" s="453" t="s">
        <v>305</v>
      </c>
      <c r="I150" s="404">
        <v>7672</v>
      </c>
      <c r="J150" s="24" t="s">
        <v>298</v>
      </c>
      <c r="K150" s="29"/>
      <c r="M150" s="53"/>
      <c r="N150" s="54">
        <f>Tabela1[[#This Row],[PREÇO]]*Tabela1[[#This Row],[MTS]]</f>
        <v>0</v>
      </c>
      <c r="O150" s="454" t="s">
        <v>190</v>
      </c>
      <c r="P150" s="454" t="s">
        <v>382</v>
      </c>
      <c r="Q150" s="454"/>
      <c r="R150" s="454"/>
      <c r="S150" s="455"/>
    </row>
    <row r="151" spans="1:19" hidden="1" x14ac:dyDescent="0.3">
      <c r="A151" s="312" t="s">
        <v>269</v>
      </c>
      <c r="B151" s="7" t="s">
        <v>149</v>
      </c>
      <c r="C151" s="248" t="s">
        <v>105</v>
      </c>
      <c r="D151" s="211"/>
      <c r="E151" s="41">
        <v>45852</v>
      </c>
      <c r="F151" s="80">
        <v>45839</v>
      </c>
      <c r="G151" s="28" t="s">
        <v>295</v>
      </c>
      <c r="H151" s="40" t="s">
        <v>302</v>
      </c>
      <c r="I151" s="404">
        <v>7672</v>
      </c>
      <c r="J151" s="29" t="s">
        <v>299</v>
      </c>
      <c r="K151" s="29"/>
      <c r="M151" s="29"/>
      <c r="N151" s="54">
        <f>Tabela1[[#This Row],[PREÇO]]*Tabela1[[#This Row],[MTS]]</f>
        <v>0</v>
      </c>
      <c r="O151" s="454" t="s">
        <v>190</v>
      </c>
      <c r="P151" s="454" t="s">
        <v>382</v>
      </c>
    </row>
    <row r="152" spans="1:19" hidden="1" x14ac:dyDescent="0.3">
      <c r="A152" s="312" t="s">
        <v>269</v>
      </c>
      <c r="B152" s="7" t="s">
        <v>149</v>
      </c>
      <c r="C152" s="248" t="s">
        <v>105</v>
      </c>
      <c r="D152" s="211"/>
      <c r="E152" s="41">
        <v>45852</v>
      </c>
      <c r="F152" s="80">
        <v>45839</v>
      </c>
      <c r="G152" s="28" t="s">
        <v>296</v>
      </c>
      <c r="H152" s="40" t="s">
        <v>303</v>
      </c>
      <c r="I152" s="404">
        <v>7672</v>
      </c>
      <c r="J152" s="29" t="s">
        <v>300</v>
      </c>
      <c r="K152" s="29"/>
      <c r="M152" s="29"/>
      <c r="N152" s="54">
        <f>Tabela1[[#This Row],[PREÇO]]*Tabela1[[#This Row],[MTS]]</f>
        <v>0</v>
      </c>
      <c r="O152" s="454" t="s">
        <v>190</v>
      </c>
      <c r="P152" s="454" t="s">
        <v>382</v>
      </c>
    </row>
    <row r="153" spans="1:19" hidden="1" x14ac:dyDescent="0.3">
      <c r="A153" s="312" t="s">
        <v>269</v>
      </c>
      <c r="B153" s="7" t="s">
        <v>149</v>
      </c>
      <c r="C153" s="248" t="s">
        <v>105</v>
      </c>
      <c r="D153" s="211"/>
      <c r="E153" s="41">
        <v>45852</v>
      </c>
      <c r="F153" s="80">
        <v>45839</v>
      </c>
      <c r="G153" s="28" t="s">
        <v>297</v>
      </c>
      <c r="H153" s="40" t="s">
        <v>304</v>
      </c>
      <c r="I153" s="404">
        <v>7672</v>
      </c>
      <c r="J153" s="29" t="s">
        <v>301</v>
      </c>
      <c r="K153" s="29"/>
      <c r="M153" s="29"/>
      <c r="N153" s="54">
        <f>Tabela1[[#This Row],[PREÇO]]*Tabela1[[#This Row],[MTS]]</f>
        <v>0</v>
      </c>
      <c r="O153" s="454" t="s">
        <v>190</v>
      </c>
      <c r="P153" s="454" t="s">
        <v>382</v>
      </c>
    </row>
    <row r="154" spans="1:19" hidden="1" x14ac:dyDescent="0.3">
      <c r="A154" s="312" t="s">
        <v>270</v>
      </c>
      <c r="B154" s="7" t="s">
        <v>149</v>
      </c>
      <c r="C154" s="248" t="s">
        <v>105</v>
      </c>
      <c r="D154" s="211"/>
      <c r="E154" s="41">
        <v>45852</v>
      </c>
      <c r="F154" s="98">
        <v>45870</v>
      </c>
      <c r="G154" s="28" t="s">
        <v>150</v>
      </c>
      <c r="H154" s="40" t="s">
        <v>306</v>
      </c>
      <c r="I154" s="404">
        <v>7673</v>
      </c>
      <c r="J154" s="19" t="s">
        <v>298</v>
      </c>
      <c r="K154" s="29"/>
      <c r="M154" s="53"/>
      <c r="N154" s="54">
        <f>Tabela1[[#This Row],[PREÇO]]*Tabela1[[#This Row],[MTS]]</f>
        <v>0</v>
      </c>
      <c r="O154" s="454" t="s">
        <v>190</v>
      </c>
      <c r="P154" s="454" t="s">
        <v>382</v>
      </c>
    </row>
    <row r="155" spans="1:19" hidden="1" x14ac:dyDescent="0.3">
      <c r="A155" s="312" t="s">
        <v>270</v>
      </c>
      <c r="B155" s="7" t="s">
        <v>149</v>
      </c>
      <c r="C155" s="248" t="s">
        <v>105</v>
      </c>
      <c r="D155" s="211"/>
      <c r="E155" s="41">
        <v>45852</v>
      </c>
      <c r="F155" s="98">
        <v>45870</v>
      </c>
      <c r="G155" s="28" t="s">
        <v>329</v>
      </c>
      <c r="H155" s="40" t="s">
        <v>327</v>
      </c>
      <c r="I155" s="404">
        <v>7673</v>
      </c>
      <c r="J155" s="10" t="s">
        <v>299</v>
      </c>
      <c r="K155" s="29"/>
      <c r="M155" s="29"/>
      <c r="N155" s="54">
        <f>Tabela1[[#This Row],[PREÇO]]*Tabela1[[#This Row],[MTS]]</f>
        <v>0</v>
      </c>
      <c r="O155" s="454" t="s">
        <v>190</v>
      </c>
      <c r="P155" s="454" t="s">
        <v>382</v>
      </c>
    </row>
    <row r="156" spans="1:19" hidden="1" x14ac:dyDescent="0.3">
      <c r="A156" s="312" t="s">
        <v>270</v>
      </c>
      <c r="B156" s="7" t="s">
        <v>149</v>
      </c>
      <c r="C156" s="248" t="s">
        <v>105</v>
      </c>
      <c r="D156" s="211"/>
      <c r="E156" s="41">
        <v>45852</v>
      </c>
      <c r="F156" s="98">
        <v>45870</v>
      </c>
      <c r="G156" s="28" t="s">
        <v>330</v>
      </c>
      <c r="H156" s="40" t="s">
        <v>328</v>
      </c>
      <c r="I156" s="404">
        <v>7673</v>
      </c>
      <c r="J156" s="10" t="s">
        <v>300</v>
      </c>
      <c r="K156" s="29"/>
      <c r="M156" s="29"/>
      <c r="N156" s="54">
        <f>Tabela1[[#This Row],[PREÇO]]*Tabela1[[#This Row],[MTS]]</f>
        <v>0</v>
      </c>
      <c r="O156" s="454" t="s">
        <v>190</v>
      </c>
      <c r="P156" s="454" t="s">
        <v>382</v>
      </c>
    </row>
    <row r="157" spans="1:19" hidden="1" x14ac:dyDescent="0.3">
      <c r="A157" s="312" t="s">
        <v>270</v>
      </c>
      <c r="B157" s="7" t="s">
        <v>149</v>
      </c>
      <c r="C157" s="248" t="s">
        <v>105</v>
      </c>
      <c r="D157" s="211"/>
      <c r="E157" s="41">
        <v>45852</v>
      </c>
      <c r="F157" s="98">
        <v>45870</v>
      </c>
      <c r="G157" s="28" t="s">
        <v>297</v>
      </c>
      <c r="H157" s="40" t="s">
        <v>304</v>
      </c>
      <c r="I157" s="404">
        <v>7673</v>
      </c>
      <c r="J157" s="10" t="s">
        <v>301</v>
      </c>
      <c r="K157" s="29"/>
      <c r="M157" s="29"/>
      <c r="N157" s="54">
        <f>Tabela1[[#This Row],[PREÇO]]*Tabela1[[#This Row],[MTS]]</f>
        <v>0</v>
      </c>
      <c r="O157" s="454" t="s">
        <v>190</v>
      </c>
      <c r="P157" s="454" t="s">
        <v>382</v>
      </c>
    </row>
    <row r="158" spans="1:19" hidden="1" x14ac:dyDescent="0.3">
      <c r="A158" s="100" t="s">
        <v>293</v>
      </c>
      <c r="B158" s="7" t="s">
        <v>294</v>
      </c>
      <c r="C158" s="248" t="s">
        <v>30</v>
      </c>
      <c r="D158" s="211"/>
      <c r="E158" s="41">
        <v>45852</v>
      </c>
      <c r="F158" s="80">
        <v>45839</v>
      </c>
      <c r="G158" s="101" t="s">
        <v>354</v>
      </c>
      <c r="H158" s="213">
        <v>3260016</v>
      </c>
      <c r="I158" s="38">
        <v>7758</v>
      </c>
      <c r="J158" s="29" t="s">
        <v>348</v>
      </c>
      <c r="K158" s="91"/>
      <c r="L158" s="95"/>
      <c r="M158" s="15"/>
      <c r="N158" s="54">
        <f>Tabela1[[#This Row],[PREÇO]]*Tabela1[[#This Row],[MTS]]</f>
        <v>0</v>
      </c>
      <c r="O158" s="378" t="s">
        <v>378</v>
      </c>
      <c r="P158" s="448" t="s">
        <v>379</v>
      </c>
    </row>
    <row r="159" spans="1:19" hidden="1" x14ac:dyDescent="0.3">
      <c r="A159" s="100" t="s">
        <v>293</v>
      </c>
      <c r="B159" s="7" t="s">
        <v>294</v>
      </c>
      <c r="C159" s="248" t="s">
        <v>30</v>
      </c>
      <c r="D159" s="211"/>
      <c r="E159" s="41">
        <v>45852</v>
      </c>
      <c r="F159" s="80">
        <v>45839</v>
      </c>
      <c r="G159" s="101" t="s">
        <v>355</v>
      </c>
      <c r="H159" s="213">
        <v>3260017</v>
      </c>
      <c r="I159" s="38">
        <v>7758</v>
      </c>
      <c r="J159" s="29" t="s">
        <v>349</v>
      </c>
      <c r="K159" s="91"/>
      <c r="L159" s="95"/>
      <c r="M159" s="15"/>
      <c r="N159" s="54">
        <f>Tabela1[[#This Row],[PREÇO]]*Tabela1[[#This Row],[MTS]]</f>
        <v>0</v>
      </c>
      <c r="O159" s="378" t="s">
        <v>378</v>
      </c>
      <c r="P159" s="448" t="s">
        <v>379</v>
      </c>
    </row>
    <row r="160" spans="1:19" hidden="1" x14ac:dyDescent="0.3">
      <c r="A160" s="100" t="s">
        <v>293</v>
      </c>
      <c r="B160" s="7" t="s">
        <v>294</v>
      </c>
      <c r="C160" s="248" t="s">
        <v>30</v>
      </c>
      <c r="D160" s="211"/>
      <c r="E160" s="41">
        <v>45852</v>
      </c>
      <c r="F160" s="80">
        <v>45839</v>
      </c>
      <c r="G160" s="101" t="s">
        <v>356</v>
      </c>
      <c r="H160" s="213">
        <v>3260018</v>
      </c>
      <c r="I160" s="38">
        <v>7758</v>
      </c>
      <c r="J160" s="29" t="s">
        <v>350</v>
      </c>
      <c r="K160" s="91"/>
      <c r="L160" s="95"/>
      <c r="M160" s="15"/>
      <c r="N160" s="54">
        <f>Tabela1[[#This Row],[PREÇO]]*Tabela1[[#This Row],[MTS]]</f>
        <v>0</v>
      </c>
      <c r="O160" s="378" t="s">
        <v>378</v>
      </c>
      <c r="P160" s="448" t="s">
        <v>379</v>
      </c>
    </row>
    <row r="161" spans="1:16" hidden="1" x14ac:dyDescent="0.3">
      <c r="A161" s="100" t="s">
        <v>293</v>
      </c>
      <c r="B161" s="7" t="s">
        <v>294</v>
      </c>
      <c r="C161" s="248" t="s">
        <v>30</v>
      </c>
      <c r="D161" s="211"/>
      <c r="E161" s="41">
        <v>45852</v>
      </c>
      <c r="F161" s="80">
        <v>45839</v>
      </c>
      <c r="G161" s="101" t="s">
        <v>357</v>
      </c>
      <c r="H161" s="213">
        <v>3260019</v>
      </c>
      <c r="I161" s="38">
        <v>7758</v>
      </c>
      <c r="J161" s="29" t="s">
        <v>351</v>
      </c>
      <c r="K161" s="91"/>
      <c r="L161" s="95"/>
      <c r="M161" s="15"/>
      <c r="N161" s="54">
        <f>Tabela1[[#This Row],[PREÇO]]*Tabela1[[#This Row],[MTS]]</f>
        <v>0</v>
      </c>
      <c r="O161" s="378" t="s">
        <v>378</v>
      </c>
      <c r="P161" s="448" t="s">
        <v>379</v>
      </c>
    </row>
    <row r="162" spans="1:16" hidden="1" x14ac:dyDescent="0.3">
      <c r="A162" s="100" t="s">
        <v>293</v>
      </c>
      <c r="B162" s="7" t="s">
        <v>294</v>
      </c>
      <c r="C162" s="248" t="s">
        <v>30</v>
      </c>
      <c r="D162" s="211"/>
      <c r="E162" s="41">
        <v>45852</v>
      </c>
      <c r="F162" s="80">
        <v>45839</v>
      </c>
      <c r="G162" s="101">
        <v>3260015</v>
      </c>
      <c r="H162" s="213" t="s">
        <v>352</v>
      </c>
      <c r="I162" s="38">
        <v>7758</v>
      </c>
      <c r="J162" s="29" t="s">
        <v>353</v>
      </c>
      <c r="K162" s="91"/>
      <c r="L162" s="95"/>
      <c r="M162" s="15"/>
      <c r="N162" s="54">
        <f>Tabela1[[#This Row],[PREÇO]]*Tabela1[[#This Row],[MTS]]</f>
        <v>0</v>
      </c>
      <c r="O162" s="378" t="s">
        <v>378</v>
      </c>
      <c r="P162" s="448" t="s">
        <v>379</v>
      </c>
    </row>
    <row r="163" spans="1:16" hidden="1" x14ac:dyDescent="0.3">
      <c r="A163" s="100" t="s">
        <v>293</v>
      </c>
      <c r="B163" s="7" t="s">
        <v>294</v>
      </c>
      <c r="C163" s="248" t="s">
        <v>30</v>
      </c>
      <c r="D163" s="211"/>
      <c r="E163" s="41">
        <v>45852</v>
      </c>
      <c r="F163" s="80">
        <v>45839</v>
      </c>
      <c r="G163" s="61" t="s">
        <v>358</v>
      </c>
      <c r="H163" s="213">
        <v>3260020</v>
      </c>
      <c r="I163" s="38">
        <v>7758</v>
      </c>
      <c r="J163" s="29" t="s">
        <v>364</v>
      </c>
      <c r="K163" s="91"/>
      <c r="L163" s="95"/>
      <c r="M163" s="12"/>
      <c r="N163" s="54">
        <f>Tabela1[[#This Row],[PREÇO]]*Tabela1[[#This Row],[MTS]]</f>
        <v>0</v>
      </c>
      <c r="O163" s="378" t="s">
        <v>378</v>
      </c>
      <c r="P163" s="448" t="s">
        <v>379</v>
      </c>
    </row>
    <row r="164" spans="1:16" hidden="1" x14ac:dyDescent="0.3">
      <c r="A164" s="100" t="s">
        <v>293</v>
      </c>
      <c r="B164" s="7" t="s">
        <v>294</v>
      </c>
      <c r="C164" s="248" t="s">
        <v>30</v>
      </c>
      <c r="D164" s="211"/>
      <c r="E164" s="41">
        <v>45852</v>
      </c>
      <c r="F164" s="80">
        <v>45839</v>
      </c>
      <c r="G164" s="61" t="s">
        <v>359</v>
      </c>
      <c r="H164" s="40">
        <v>3260021</v>
      </c>
      <c r="I164" s="38">
        <v>7758</v>
      </c>
      <c r="J164" s="29" t="s">
        <v>334</v>
      </c>
      <c r="K164" s="91"/>
      <c r="M164" s="97"/>
      <c r="N164" s="54">
        <f>Tabela1[[#This Row],[PREÇO]]*Tabela1[[#This Row],[MTS]]</f>
        <v>0</v>
      </c>
      <c r="O164" s="378" t="s">
        <v>378</v>
      </c>
      <c r="P164" s="448" t="s">
        <v>379</v>
      </c>
    </row>
    <row r="165" spans="1:16" hidden="1" x14ac:dyDescent="0.3">
      <c r="A165" s="100" t="s">
        <v>307</v>
      </c>
      <c r="B165" s="7" t="s">
        <v>212</v>
      </c>
      <c r="C165" s="248" t="s">
        <v>13</v>
      </c>
      <c r="D165" s="211"/>
      <c r="E165" s="41">
        <v>45852</v>
      </c>
      <c r="F165" s="80">
        <v>45839</v>
      </c>
      <c r="G165" s="78" t="s">
        <v>308</v>
      </c>
      <c r="H165" s="40" t="s">
        <v>338</v>
      </c>
      <c r="I165" s="38">
        <v>7763</v>
      </c>
      <c r="J165" s="29" t="s">
        <v>318</v>
      </c>
      <c r="K165" s="29"/>
      <c r="L165" s="96"/>
      <c r="M165" s="29"/>
      <c r="N165" s="54">
        <f>Tabela1[[#This Row],[PREÇO]]*Tabela1[[#This Row],[MTS]]</f>
        <v>0</v>
      </c>
      <c r="O165" s="378" t="s">
        <v>213</v>
      </c>
      <c r="P165" s="448" t="s">
        <v>214</v>
      </c>
    </row>
    <row r="166" spans="1:16" hidden="1" x14ac:dyDescent="0.3">
      <c r="A166" s="100" t="s">
        <v>307</v>
      </c>
      <c r="B166" s="7" t="s">
        <v>212</v>
      </c>
      <c r="C166" s="248" t="s">
        <v>13</v>
      </c>
      <c r="D166" s="211"/>
      <c r="E166" s="41">
        <v>45852</v>
      </c>
      <c r="F166" s="80">
        <v>45839</v>
      </c>
      <c r="G166" s="78" t="s">
        <v>309</v>
      </c>
      <c r="H166" s="40" t="s">
        <v>339</v>
      </c>
      <c r="I166" s="38">
        <v>7763</v>
      </c>
      <c r="J166" s="29" t="s">
        <v>318</v>
      </c>
      <c r="K166" s="29"/>
      <c r="L166" s="96"/>
      <c r="M166" s="29"/>
      <c r="N166" s="54">
        <f>Tabela1[[#This Row],[PREÇO]]*Tabela1[[#This Row],[MTS]]</f>
        <v>0</v>
      </c>
      <c r="O166" s="378" t="s">
        <v>213</v>
      </c>
      <c r="P166" s="448" t="s">
        <v>214</v>
      </c>
    </row>
    <row r="167" spans="1:16" hidden="1" x14ac:dyDescent="0.3">
      <c r="A167" s="100" t="s">
        <v>307</v>
      </c>
      <c r="B167" s="7" t="s">
        <v>212</v>
      </c>
      <c r="C167" s="248" t="s">
        <v>13</v>
      </c>
      <c r="D167" s="211"/>
      <c r="E167" s="41">
        <v>45852</v>
      </c>
      <c r="F167" s="80">
        <v>45839</v>
      </c>
      <c r="G167" s="78" t="s">
        <v>310</v>
      </c>
      <c r="H167" s="40" t="s">
        <v>340</v>
      </c>
      <c r="I167" s="38">
        <v>7763</v>
      </c>
      <c r="J167" s="29" t="s">
        <v>318</v>
      </c>
      <c r="K167" s="29"/>
      <c r="L167" s="96"/>
      <c r="M167" s="29"/>
      <c r="N167" s="54">
        <f>Tabela1[[#This Row],[PREÇO]]*Tabela1[[#This Row],[MTS]]</f>
        <v>0</v>
      </c>
      <c r="O167" s="378" t="s">
        <v>213</v>
      </c>
      <c r="P167" s="448" t="s">
        <v>214</v>
      </c>
    </row>
    <row r="168" spans="1:16" hidden="1" x14ac:dyDescent="0.3">
      <c r="A168" s="100" t="s">
        <v>307</v>
      </c>
      <c r="B168" s="7" t="s">
        <v>212</v>
      </c>
      <c r="C168" s="248" t="s">
        <v>13</v>
      </c>
      <c r="D168" s="211"/>
      <c r="E168" s="41">
        <v>45852</v>
      </c>
      <c r="F168" s="80">
        <v>45839</v>
      </c>
      <c r="G168" s="78" t="s">
        <v>311</v>
      </c>
      <c r="H168" s="40" t="s">
        <v>341</v>
      </c>
      <c r="I168" s="38">
        <v>7763</v>
      </c>
      <c r="J168" s="29" t="s">
        <v>319</v>
      </c>
      <c r="K168" s="29"/>
      <c r="L168" s="96"/>
      <c r="M168" s="29"/>
      <c r="N168" s="54">
        <f>Tabela1[[#This Row],[PREÇO]]*Tabela1[[#This Row],[MTS]]</f>
        <v>0</v>
      </c>
      <c r="O168" s="378" t="s">
        <v>213</v>
      </c>
      <c r="P168" s="448" t="s">
        <v>214</v>
      </c>
    </row>
    <row r="169" spans="1:16" hidden="1" x14ac:dyDescent="0.3">
      <c r="A169" s="100" t="s">
        <v>307</v>
      </c>
      <c r="B169" s="7" t="s">
        <v>212</v>
      </c>
      <c r="C169" s="248" t="s">
        <v>13</v>
      </c>
      <c r="D169" s="211"/>
      <c r="E169" s="41">
        <v>45852</v>
      </c>
      <c r="F169" s="80">
        <v>45839</v>
      </c>
      <c r="G169" s="78" t="s">
        <v>312</v>
      </c>
      <c r="H169" s="40" t="s">
        <v>342</v>
      </c>
      <c r="I169" s="38">
        <v>7763</v>
      </c>
      <c r="J169" s="29" t="s">
        <v>320</v>
      </c>
      <c r="K169" s="29"/>
      <c r="L169" s="96"/>
      <c r="M169" s="53"/>
      <c r="N169" s="54">
        <f>Tabela1[[#This Row],[PREÇO]]*Tabela1[[#This Row],[MTS]]</f>
        <v>0</v>
      </c>
      <c r="O169" s="378" t="s">
        <v>213</v>
      </c>
      <c r="P169" s="448" t="s">
        <v>214</v>
      </c>
    </row>
    <row r="170" spans="1:16" hidden="1" x14ac:dyDescent="0.3">
      <c r="A170" s="100" t="s">
        <v>307</v>
      </c>
      <c r="B170" s="7" t="s">
        <v>212</v>
      </c>
      <c r="C170" s="248" t="s">
        <v>13</v>
      </c>
      <c r="D170" s="211"/>
      <c r="E170" s="41">
        <v>45852</v>
      </c>
      <c r="F170" s="80">
        <v>45839</v>
      </c>
      <c r="G170" s="449" t="s">
        <v>313</v>
      </c>
      <c r="H170" s="40" t="s">
        <v>343</v>
      </c>
      <c r="I170" s="38">
        <v>7763</v>
      </c>
      <c r="J170" s="29" t="s">
        <v>321</v>
      </c>
      <c r="K170" s="29"/>
      <c r="L170" s="96"/>
      <c r="M170" s="29"/>
      <c r="N170" s="54">
        <f>Tabela1[[#This Row],[PREÇO]]*Tabela1[[#This Row],[MTS]]</f>
        <v>0</v>
      </c>
      <c r="O170" s="378" t="s">
        <v>213</v>
      </c>
      <c r="P170" s="448" t="s">
        <v>214</v>
      </c>
    </row>
    <row r="171" spans="1:16" hidden="1" x14ac:dyDescent="0.3">
      <c r="A171" s="100" t="s">
        <v>307</v>
      </c>
      <c r="B171" s="7" t="s">
        <v>212</v>
      </c>
      <c r="C171" s="248" t="s">
        <v>13</v>
      </c>
      <c r="D171" s="211"/>
      <c r="E171" s="41">
        <v>45852</v>
      </c>
      <c r="F171" s="80">
        <v>45839</v>
      </c>
      <c r="G171" s="449" t="s">
        <v>314</v>
      </c>
      <c r="H171" s="40" t="s">
        <v>344</v>
      </c>
      <c r="I171" s="38">
        <v>7763</v>
      </c>
      <c r="J171" s="29" t="s">
        <v>322</v>
      </c>
      <c r="K171" s="29"/>
      <c r="L171" s="96"/>
      <c r="M171" s="29"/>
      <c r="N171" s="54">
        <f>Tabela1[[#This Row],[PREÇO]]*Tabela1[[#This Row],[MTS]]</f>
        <v>0</v>
      </c>
      <c r="O171" s="378" t="s">
        <v>213</v>
      </c>
      <c r="P171" s="448" t="s">
        <v>214</v>
      </c>
    </row>
    <row r="172" spans="1:16" hidden="1" x14ac:dyDescent="0.3">
      <c r="A172" s="100" t="s">
        <v>307</v>
      </c>
      <c r="B172" s="7" t="s">
        <v>212</v>
      </c>
      <c r="C172" s="248" t="s">
        <v>13</v>
      </c>
      <c r="D172" s="211"/>
      <c r="E172" s="41">
        <v>45852</v>
      </c>
      <c r="F172" s="80">
        <v>45839</v>
      </c>
      <c r="G172" s="449" t="s">
        <v>315</v>
      </c>
      <c r="H172" s="40" t="s">
        <v>345</v>
      </c>
      <c r="I172" s="38">
        <v>7763</v>
      </c>
      <c r="J172" s="29" t="s">
        <v>323</v>
      </c>
      <c r="K172" s="29"/>
      <c r="L172" s="96"/>
      <c r="M172" s="29"/>
      <c r="N172" s="54">
        <f>Tabela1[[#This Row],[PREÇO]]*Tabela1[[#This Row],[MTS]]</f>
        <v>0</v>
      </c>
      <c r="O172" s="378" t="s">
        <v>213</v>
      </c>
      <c r="P172" s="448" t="s">
        <v>214</v>
      </c>
    </row>
    <row r="173" spans="1:16" hidden="1" x14ac:dyDescent="0.3">
      <c r="A173" s="100" t="s">
        <v>307</v>
      </c>
      <c r="B173" s="7" t="s">
        <v>212</v>
      </c>
      <c r="C173" s="248" t="s">
        <v>13</v>
      </c>
      <c r="D173" s="211"/>
      <c r="E173" s="41">
        <v>45852</v>
      </c>
      <c r="F173" s="80">
        <v>45839</v>
      </c>
      <c r="G173" s="449" t="s">
        <v>316</v>
      </c>
      <c r="H173" s="40" t="s">
        <v>346</v>
      </c>
      <c r="I173" s="38">
        <v>7763</v>
      </c>
      <c r="J173" s="29" t="s">
        <v>324</v>
      </c>
      <c r="K173" s="29"/>
      <c r="L173" s="96"/>
      <c r="M173" s="29"/>
      <c r="N173" s="54">
        <f>Tabela1[[#This Row],[PREÇO]]*Tabela1[[#This Row],[MTS]]</f>
        <v>0</v>
      </c>
      <c r="O173" s="378" t="s">
        <v>213</v>
      </c>
      <c r="P173" s="448" t="s">
        <v>214</v>
      </c>
    </row>
    <row r="174" spans="1:16" hidden="1" x14ac:dyDescent="0.3">
      <c r="A174" s="100" t="s">
        <v>307</v>
      </c>
      <c r="B174" s="7" t="s">
        <v>212</v>
      </c>
      <c r="C174" s="248" t="s">
        <v>13</v>
      </c>
      <c r="D174" s="211"/>
      <c r="E174" s="41">
        <v>45852</v>
      </c>
      <c r="F174" s="80">
        <v>45839</v>
      </c>
      <c r="G174" s="449" t="s">
        <v>317</v>
      </c>
      <c r="H174" s="40" t="s">
        <v>347</v>
      </c>
      <c r="I174" s="38">
        <v>7763</v>
      </c>
      <c r="J174" s="29" t="s">
        <v>325</v>
      </c>
      <c r="K174" s="29"/>
      <c r="L174" s="96"/>
      <c r="M174" s="29"/>
      <c r="N174" s="54">
        <f>Tabela1[[#This Row],[PREÇO]]*Tabela1[[#This Row],[MTS]]</f>
        <v>0</v>
      </c>
      <c r="O174" s="378" t="s">
        <v>213</v>
      </c>
      <c r="P174" s="448" t="s">
        <v>214</v>
      </c>
    </row>
    <row r="175" spans="1:16" hidden="1" x14ac:dyDescent="0.3">
      <c r="A175" s="312" t="s">
        <v>326</v>
      </c>
      <c r="B175" s="7" t="s">
        <v>331</v>
      </c>
      <c r="C175" s="248" t="s">
        <v>105</v>
      </c>
      <c r="D175" s="211"/>
      <c r="E175" s="41">
        <v>45853</v>
      </c>
      <c r="F175" s="80">
        <v>45839</v>
      </c>
      <c r="G175" s="103" t="s">
        <v>332</v>
      </c>
      <c r="H175" s="89" t="s">
        <v>361</v>
      </c>
      <c r="I175" s="418">
        <v>7780</v>
      </c>
      <c r="J175" s="29" t="s">
        <v>333</v>
      </c>
      <c r="K175" s="29"/>
      <c r="M175" s="53"/>
      <c r="N175" s="54">
        <f>Tabela1[[#This Row],[PREÇO]]*Tabela1[[#This Row],[MTS]]</f>
        <v>0</v>
      </c>
      <c r="O175" s="378" t="s">
        <v>376</v>
      </c>
      <c r="P175" s="448" t="s">
        <v>377</v>
      </c>
    </row>
    <row r="176" spans="1:16" hidden="1" x14ac:dyDescent="0.3">
      <c r="A176" s="312" t="s">
        <v>337</v>
      </c>
      <c r="B176" s="7" t="s">
        <v>331</v>
      </c>
      <c r="C176" s="248" t="s">
        <v>105</v>
      </c>
      <c r="D176" s="211"/>
      <c r="E176" s="41">
        <v>45861</v>
      </c>
      <c r="F176" s="80">
        <v>45839</v>
      </c>
      <c r="G176" s="102" t="s">
        <v>360</v>
      </c>
      <c r="H176" s="231" t="s">
        <v>361</v>
      </c>
      <c r="I176" s="38">
        <v>7777</v>
      </c>
      <c r="J176" s="29" t="s">
        <v>333</v>
      </c>
      <c r="K176" s="29"/>
      <c r="M176" s="53"/>
      <c r="N176" s="54">
        <f>Tabela1[[#This Row],[PREÇO]]*Tabela1[[#This Row],[MTS]]</f>
        <v>0</v>
      </c>
      <c r="O176" s="378" t="s">
        <v>376</v>
      </c>
      <c r="P176" s="448" t="s">
        <v>377</v>
      </c>
    </row>
    <row r="177" spans="1:19" hidden="1" x14ac:dyDescent="0.3">
      <c r="A177" s="312" t="s">
        <v>146</v>
      </c>
      <c r="B177" s="7" t="s">
        <v>69</v>
      </c>
      <c r="C177" s="248" t="s">
        <v>70</v>
      </c>
      <c r="D177" s="211"/>
      <c r="E177" s="41">
        <v>45863</v>
      </c>
      <c r="F177" s="80">
        <v>45839</v>
      </c>
      <c r="G177" s="50" t="s">
        <v>148</v>
      </c>
      <c r="H177" s="292" t="s">
        <v>362</v>
      </c>
      <c r="I177" s="38">
        <v>7797</v>
      </c>
      <c r="J177" s="378" t="s">
        <v>1451</v>
      </c>
      <c r="K177" s="29"/>
      <c r="M177" s="53"/>
      <c r="N177" s="54">
        <f>Tabela1[[#This Row],[PREÇO]]*Tabela1[[#This Row],[MTS]]</f>
        <v>0</v>
      </c>
      <c r="O177" s="378" t="s">
        <v>72</v>
      </c>
      <c r="P177" s="378" t="s">
        <v>73</v>
      </c>
      <c r="Q177" s="425" t="s">
        <v>74</v>
      </c>
      <c r="R177" s="425"/>
      <c r="S177" s="451"/>
    </row>
    <row r="178" spans="1:19" hidden="1" x14ac:dyDescent="0.3">
      <c r="A178" s="312" t="s">
        <v>363</v>
      </c>
      <c r="B178" s="7" t="s">
        <v>69</v>
      </c>
      <c r="C178" s="248" t="s">
        <v>70</v>
      </c>
      <c r="D178" s="211"/>
      <c r="E178" s="41">
        <v>45875</v>
      </c>
      <c r="F178" s="80">
        <v>45870</v>
      </c>
      <c r="G178" s="28">
        <v>1121110</v>
      </c>
      <c r="H178" s="247" t="s">
        <v>207</v>
      </c>
      <c r="I178" s="38">
        <v>8123</v>
      </c>
      <c r="J178" s="456" t="s">
        <v>365</v>
      </c>
      <c r="K178" s="29"/>
      <c r="M178" s="104"/>
      <c r="N178" s="54">
        <f>Tabela1[[#This Row],[PREÇO]]*Tabela1[[#This Row],[MTS]]</f>
        <v>0</v>
      </c>
      <c r="O178" s="378" t="s">
        <v>72</v>
      </c>
      <c r="P178" s="378" t="s">
        <v>73</v>
      </c>
      <c r="Q178" s="425" t="s">
        <v>74</v>
      </c>
      <c r="R178" s="425"/>
      <c r="S178" s="451"/>
    </row>
    <row r="179" spans="1:19" hidden="1" x14ac:dyDescent="0.3">
      <c r="A179" s="312" t="s">
        <v>363</v>
      </c>
      <c r="B179" s="7" t="s">
        <v>69</v>
      </c>
      <c r="C179" s="248" t="s">
        <v>70</v>
      </c>
      <c r="D179" s="211"/>
      <c r="E179" s="41">
        <v>45875</v>
      </c>
      <c r="F179" s="80">
        <v>45870</v>
      </c>
      <c r="G179" s="106">
        <v>1122580</v>
      </c>
      <c r="H179" s="183" t="s">
        <v>160</v>
      </c>
      <c r="I179" s="38">
        <v>8123</v>
      </c>
      <c r="J179" s="107" t="s">
        <v>367</v>
      </c>
      <c r="K179" s="108"/>
      <c r="M179" s="53"/>
      <c r="N179" s="54">
        <f>Tabela1[[#This Row],[PREÇO]]*Tabela1[[#This Row],[MTS]]</f>
        <v>0</v>
      </c>
      <c r="O179" s="378" t="s">
        <v>72</v>
      </c>
      <c r="P179" s="378" t="s">
        <v>73</v>
      </c>
      <c r="Q179" s="425" t="s">
        <v>74</v>
      </c>
      <c r="R179" s="425"/>
      <c r="S179" s="451"/>
    </row>
    <row r="180" spans="1:19" hidden="1" x14ac:dyDescent="0.3">
      <c r="A180" s="312" t="s">
        <v>366</v>
      </c>
      <c r="B180" s="7" t="s">
        <v>48</v>
      </c>
      <c r="C180" s="248" t="s">
        <v>49</v>
      </c>
      <c r="D180" s="211"/>
      <c r="E180" s="41">
        <v>45880</v>
      </c>
      <c r="F180" s="80">
        <v>45870</v>
      </c>
      <c r="G180" s="40">
        <v>32282</v>
      </c>
      <c r="H180" s="433" t="s">
        <v>368</v>
      </c>
      <c r="I180" s="38">
        <v>8154</v>
      </c>
      <c r="J180" s="29" t="s">
        <v>375</v>
      </c>
      <c r="K180" s="29"/>
      <c r="L180" s="96"/>
      <c r="M180" s="104"/>
      <c r="N180" s="54">
        <f>Tabela1[[#This Row],[PREÇO]]*Tabela1[[#This Row],[MTS]]</f>
        <v>0</v>
      </c>
      <c r="O180" s="378" t="s">
        <v>52</v>
      </c>
      <c r="P180" s="378" t="s">
        <v>53</v>
      </c>
      <c r="Q180" s="378" t="s">
        <v>54</v>
      </c>
    </row>
    <row r="181" spans="1:19" hidden="1" x14ac:dyDescent="0.3">
      <c r="A181" s="309" t="s">
        <v>366</v>
      </c>
      <c r="B181" s="7" t="s">
        <v>48</v>
      </c>
      <c r="C181" s="248" t="s">
        <v>49</v>
      </c>
      <c r="D181" s="211"/>
      <c r="E181" s="41">
        <v>45880</v>
      </c>
      <c r="F181" s="80">
        <v>45870</v>
      </c>
      <c r="G181" s="28">
        <v>32341</v>
      </c>
      <c r="H181" s="433" t="s">
        <v>369</v>
      </c>
      <c r="I181" s="38">
        <v>8154</v>
      </c>
      <c r="J181" s="29" t="s">
        <v>259</v>
      </c>
      <c r="K181" s="29"/>
      <c r="L181" s="96"/>
      <c r="M181" s="109"/>
      <c r="N181" s="54">
        <f>Tabela1[[#This Row],[PREÇO]]*Tabela1[[#This Row],[MTS]]</f>
        <v>0</v>
      </c>
      <c r="O181" s="378" t="s">
        <v>52</v>
      </c>
      <c r="P181" s="378" t="s">
        <v>53</v>
      </c>
      <c r="Q181" s="378" t="s">
        <v>54</v>
      </c>
    </row>
    <row r="182" spans="1:19" hidden="1" x14ac:dyDescent="0.3">
      <c r="A182" s="309" t="s">
        <v>366</v>
      </c>
      <c r="B182" s="7" t="s">
        <v>48</v>
      </c>
      <c r="C182" s="248" t="s">
        <v>49</v>
      </c>
      <c r="D182" s="211"/>
      <c r="E182" s="41">
        <v>45880</v>
      </c>
      <c r="F182" s="80">
        <v>45870</v>
      </c>
      <c r="G182" s="28">
        <v>32370</v>
      </c>
      <c r="H182" s="433" t="s">
        <v>370</v>
      </c>
      <c r="I182" s="38">
        <v>8154</v>
      </c>
      <c r="J182" s="29" t="s">
        <v>373</v>
      </c>
      <c r="K182" s="29"/>
      <c r="L182" s="96"/>
      <c r="M182" s="109"/>
      <c r="N182" s="54">
        <f>Tabela1[[#This Row],[PREÇO]]*Tabela1[[#This Row],[MTS]]</f>
        <v>0</v>
      </c>
      <c r="O182" s="378" t="s">
        <v>52</v>
      </c>
      <c r="P182" s="378" t="s">
        <v>53</v>
      </c>
      <c r="Q182" s="378" t="s">
        <v>54</v>
      </c>
    </row>
    <row r="183" spans="1:19" hidden="1" x14ac:dyDescent="0.3">
      <c r="A183" s="309" t="s">
        <v>366</v>
      </c>
      <c r="B183" s="7" t="s">
        <v>48</v>
      </c>
      <c r="C183" s="248" t="s">
        <v>49</v>
      </c>
      <c r="D183" s="211"/>
      <c r="E183" s="41">
        <v>45880</v>
      </c>
      <c r="F183" s="80">
        <v>45870</v>
      </c>
      <c r="G183" s="28">
        <v>35031</v>
      </c>
      <c r="H183" s="433" t="s">
        <v>371</v>
      </c>
      <c r="I183" s="38">
        <v>8154</v>
      </c>
      <c r="J183" s="29" t="s">
        <v>374</v>
      </c>
      <c r="K183" s="29"/>
      <c r="L183" s="96"/>
      <c r="M183" s="109"/>
      <c r="N183" s="54">
        <f>Tabela1[[#This Row],[PREÇO]]*Tabela1[[#This Row],[MTS]]</f>
        <v>0</v>
      </c>
      <c r="O183" s="378" t="s">
        <v>52</v>
      </c>
      <c r="P183" s="378" t="s">
        <v>53</v>
      </c>
      <c r="Q183" s="378" t="s">
        <v>54</v>
      </c>
    </row>
    <row r="184" spans="1:19" hidden="1" x14ac:dyDescent="0.3">
      <c r="A184" s="312" t="s">
        <v>366</v>
      </c>
      <c r="B184" s="7" t="s">
        <v>48</v>
      </c>
      <c r="C184" s="248" t="s">
        <v>49</v>
      </c>
      <c r="D184" s="211"/>
      <c r="E184" s="41">
        <v>45880</v>
      </c>
      <c r="F184" s="80">
        <v>45870</v>
      </c>
      <c r="G184" s="28">
        <v>35145</v>
      </c>
      <c r="H184" s="433" t="s">
        <v>372</v>
      </c>
      <c r="I184" s="38">
        <v>8154</v>
      </c>
      <c r="J184" s="29" t="s">
        <v>264</v>
      </c>
      <c r="K184" s="29"/>
      <c r="L184" s="96"/>
      <c r="M184" s="109"/>
      <c r="N184" s="54">
        <f>Tabela1[[#This Row],[PREÇO]]*Tabela1[[#This Row],[MTS]]</f>
        <v>0</v>
      </c>
      <c r="O184" s="378" t="s">
        <v>52</v>
      </c>
      <c r="P184" s="378" t="s">
        <v>53</v>
      </c>
      <c r="Q184" s="378" t="s">
        <v>54</v>
      </c>
    </row>
    <row r="185" spans="1:19" hidden="1" x14ac:dyDescent="0.3">
      <c r="A185" s="313" t="s">
        <v>383</v>
      </c>
      <c r="B185" s="7" t="s">
        <v>385</v>
      </c>
      <c r="C185" s="248" t="s">
        <v>105</v>
      </c>
      <c r="D185" s="211"/>
      <c r="E185" s="41">
        <v>45880</v>
      </c>
      <c r="F185" s="80">
        <v>45870</v>
      </c>
      <c r="G185" s="28" t="s">
        <v>396</v>
      </c>
      <c r="H185" s="40" t="s">
        <v>400</v>
      </c>
      <c r="I185" s="38">
        <v>8172</v>
      </c>
      <c r="J185" s="29" t="s">
        <v>398</v>
      </c>
      <c r="K185" s="29"/>
      <c r="M185" s="124"/>
      <c r="N185" s="54">
        <f>Tabela1[[#This Row],[PREÇO]]*Tabela1[[#This Row],[MTS]]</f>
        <v>0</v>
      </c>
      <c r="O185" s="378" t="s">
        <v>386</v>
      </c>
      <c r="P185" s="448" t="s">
        <v>387</v>
      </c>
    </row>
    <row r="186" spans="1:19" hidden="1" x14ac:dyDescent="0.3">
      <c r="A186" s="313" t="s">
        <v>383</v>
      </c>
      <c r="B186" s="7" t="s">
        <v>385</v>
      </c>
      <c r="C186" s="248" t="s">
        <v>105</v>
      </c>
      <c r="D186" s="211"/>
      <c r="E186" s="41">
        <v>45880</v>
      </c>
      <c r="F186" s="80">
        <v>45870</v>
      </c>
      <c r="G186" s="28" t="s">
        <v>397</v>
      </c>
      <c r="H186" s="40" t="s">
        <v>401</v>
      </c>
      <c r="I186" s="38">
        <v>8172</v>
      </c>
      <c r="J186" s="29" t="s">
        <v>399</v>
      </c>
      <c r="K186" s="29"/>
      <c r="M186" s="124"/>
      <c r="N186" s="54">
        <f>Tabela1[[#This Row],[PREÇO]]*Tabela1[[#This Row],[MTS]]</f>
        <v>0</v>
      </c>
      <c r="O186" s="378" t="s">
        <v>386</v>
      </c>
      <c r="P186" s="448" t="s">
        <v>387</v>
      </c>
    </row>
    <row r="187" spans="1:19" hidden="1" x14ac:dyDescent="0.3">
      <c r="A187" s="312" t="s">
        <v>384</v>
      </c>
      <c r="B187" s="378" t="s">
        <v>179</v>
      </c>
      <c r="C187" s="248" t="s">
        <v>21</v>
      </c>
      <c r="D187" s="211"/>
      <c r="E187" s="41">
        <v>45881</v>
      </c>
      <c r="F187" s="80">
        <v>45870</v>
      </c>
      <c r="G187" s="28" t="s">
        <v>196</v>
      </c>
      <c r="H187" s="40">
        <v>3200014</v>
      </c>
      <c r="I187" s="38">
        <v>8155</v>
      </c>
      <c r="J187" s="29" t="s">
        <v>176</v>
      </c>
      <c r="K187" s="29"/>
      <c r="M187" s="53"/>
      <c r="N187" s="54">
        <f>Tabela1[[#This Row],[PREÇO]]*Tabela1[[#This Row],[MTS]]</f>
        <v>0</v>
      </c>
      <c r="O187" s="378" t="s">
        <v>183</v>
      </c>
      <c r="P187" s="448" t="s">
        <v>184</v>
      </c>
      <c r="Q187" s="378" t="s">
        <v>185</v>
      </c>
    </row>
    <row r="188" spans="1:19" hidden="1" x14ac:dyDescent="0.3">
      <c r="A188" s="312" t="s">
        <v>384</v>
      </c>
      <c r="B188" s="378" t="s">
        <v>179</v>
      </c>
      <c r="C188" s="248" t="s">
        <v>21</v>
      </c>
      <c r="D188" s="211"/>
      <c r="E188" s="41">
        <v>45881</v>
      </c>
      <c r="F188" s="80">
        <v>45870</v>
      </c>
      <c r="G188" s="28" t="s">
        <v>197</v>
      </c>
      <c r="H188" s="40">
        <v>3200015</v>
      </c>
      <c r="I188" s="38">
        <v>8155</v>
      </c>
      <c r="J188" s="29" t="s">
        <v>389</v>
      </c>
      <c r="K188" s="123"/>
      <c r="M188" s="53"/>
      <c r="N188" s="54">
        <f>Tabela1[[#This Row],[PREÇO]]*Tabela1[[#This Row],[MTS]]</f>
        <v>0</v>
      </c>
      <c r="O188" s="378" t="s">
        <v>183</v>
      </c>
      <c r="P188" s="448" t="s">
        <v>184</v>
      </c>
      <c r="Q188" s="378" t="s">
        <v>185</v>
      </c>
    </row>
    <row r="189" spans="1:19" hidden="1" x14ac:dyDescent="0.3">
      <c r="A189" s="312" t="s">
        <v>384</v>
      </c>
      <c r="B189" s="378" t="s">
        <v>179</v>
      </c>
      <c r="C189" s="248" t="s">
        <v>21</v>
      </c>
      <c r="D189" s="211"/>
      <c r="E189" s="41">
        <v>45881</v>
      </c>
      <c r="F189" s="80">
        <v>45870</v>
      </c>
      <c r="G189" s="40" t="s">
        <v>198</v>
      </c>
      <c r="H189" s="40">
        <v>3200013</v>
      </c>
      <c r="I189" s="38">
        <v>8155</v>
      </c>
      <c r="J189" s="29" t="s">
        <v>178</v>
      </c>
      <c r="K189" s="123"/>
      <c r="M189" s="53"/>
      <c r="N189" s="54">
        <f>Tabela1[[#This Row],[PREÇO]]*Tabela1[[#This Row],[MTS]]</f>
        <v>0</v>
      </c>
      <c r="O189" s="378" t="s">
        <v>183</v>
      </c>
      <c r="P189" s="448" t="s">
        <v>184</v>
      </c>
      <c r="Q189" s="378" t="s">
        <v>185</v>
      </c>
    </row>
    <row r="190" spans="1:19" hidden="1" x14ac:dyDescent="0.3">
      <c r="A190" s="312" t="s">
        <v>384</v>
      </c>
      <c r="B190" s="378" t="s">
        <v>179</v>
      </c>
      <c r="C190" s="248" t="s">
        <v>21</v>
      </c>
      <c r="D190" s="211"/>
      <c r="E190" s="41">
        <v>45881</v>
      </c>
      <c r="F190" s="80">
        <v>45870</v>
      </c>
      <c r="G190" s="40" t="s">
        <v>199</v>
      </c>
      <c r="H190" s="40">
        <v>3200012</v>
      </c>
      <c r="I190" s="38">
        <v>8155</v>
      </c>
      <c r="J190" s="29" t="s">
        <v>394</v>
      </c>
      <c r="K190" s="29"/>
      <c r="M190" s="53"/>
      <c r="N190" s="54">
        <f>Tabela1[[#This Row],[PREÇO]]*Tabela1[[#This Row],[MTS]]</f>
        <v>0</v>
      </c>
      <c r="O190" s="378" t="s">
        <v>183</v>
      </c>
      <c r="P190" s="448" t="s">
        <v>184</v>
      </c>
      <c r="Q190" s="378" t="s">
        <v>185</v>
      </c>
    </row>
    <row r="191" spans="1:19" hidden="1" x14ac:dyDescent="0.3">
      <c r="A191" s="312" t="s">
        <v>384</v>
      </c>
      <c r="B191" s="378" t="s">
        <v>179</v>
      </c>
      <c r="C191" s="248" t="s">
        <v>21</v>
      </c>
      <c r="D191" s="211"/>
      <c r="E191" s="41">
        <v>45881</v>
      </c>
      <c r="F191" s="80">
        <v>45870</v>
      </c>
      <c r="G191" s="40" t="s">
        <v>200</v>
      </c>
      <c r="H191" s="40" t="s">
        <v>201</v>
      </c>
      <c r="I191" s="38">
        <v>8155</v>
      </c>
      <c r="J191" s="29" t="s">
        <v>390</v>
      </c>
      <c r="K191" s="29"/>
      <c r="M191" s="53"/>
      <c r="N191" s="54">
        <f>Tabela1[[#This Row],[PREÇO]]*Tabela1[[#This Row],[MTS]]</f>
        <v>0</v>
      </c>
      <c r="O191" s="378" t="s">
        <v>183</v>
      </c>
      <c r="P191" s="448" t="s">
        <v>184</v>
      </c>
      <c r="Q191" s="378" t="s">
        <v>185</v>
      </c>
    </row>
    <row r="192" spans="1:19" hidden="1" x14ac:dyDescent="0.3">
      <c r="A192" s="312" t="s">
        <v>384</v>
      </c>
      <c r="B192" s="378" t="s">
        <v>179</v>
      </c>
      <c r="C192" s="248" t="s">
        <v>21</v>
      </c>
      <c r="D192" s="211"/>
      <c r="E192" s="41">
        <v>45881</v>
      </c>
      <c r="F192" s="80">
        <v>45870</v>
      </c>
      <c r="G192" s="40" t="s">
        <v>388</v>
      </c>
      <c r="H192" s="40">
        <v>3200004</v>
      </c>
      <c r="I192" s="38">
        <v>8155</v>
      </c>
      <c r="J192" s="29" t="s">
        <v>395</v>
      </c>
      <c r="K192" s="29"/>
      <c r="M192" s="53"/>
      <c r="N192" s="54">
        <f>Tabela1[[#This Row],[PREÇO]]*Tabela1[[#This Row],[MTS]]</f>
        <v>0</v>
      </c>
      <c r="O192" s="378" t="s">
        <v>183</v>
      </c>
      <c r="P192" s="448" t="s">
        <v>184</v>
      </c>
      <c r="Q192" s="378" t="s">
        <v>185</v>
      </c>
    </row>
    <row r="193" spans="1:19" hidden="1" x14ac:dyDescent="0.3">
      <c r="A193" s="325" t="s">
        <v>402</v>
      </c>
      <c r="B193" s="7" t="s">
        <v>405</v>
      </c>
      <c r="C193" s="248" t="s">
        <v>21</v>
      </c>
      <c r="D193" s="211"/>
      <c r="E193" s="41">
        <v>45890</v>
      </c>
      <c r="F193" s="80">
        <v>45901</v>
      </c>
      <c r="G193" s="47" t="s">
        <v>426</v>
      </c>
      <c r="H193" s="163">
        <v>3370008</v>
      </c>
      <c r="I193" s="38">
        <v>8315</v>
      </c>
      <c r="J193" s="29" t="s">
        <v>406</v>
      </c>
      <c r="K193" s="29"/>
      <c r="M193" s="53"/>
      <c r="N193" s="54">
        <f>Tabela1[[#This Row],[PREÇO]]*Tabela1[[#This Row],[MTS]]</f>
        <v>0</v>
      </c>
      <c r="O193" s="378" t="s">
        <v>408</v>
      </c>
      <c r="P193" s="448" t="s">
        <v>409</v>
      </c>
      <c r="Q193" s="454" t="s">
        <v>410</v>
      </c>
      <c r="R193" s="454"/>
      <c r="S193" s="455"/>
    </row>
    <row r="194" spans="1:19" hidden="1" x14ac:dyDescent="0.3">
      <c r="A194" s="325" t="s">
        <v>402</v>
      </c>
      <c r="B194" s="7" t="s">
        <v>405</v>
      </c>
      <c r="C194" s="248" t="s">
        <v>21</v>
      </c>
      <c r="D194" s="211"/>
      <c r="E194" s="41">
        <v>45890</v>
      </c>
      <c r="F194" s="80">
        <v>45901</v>
      </c>
      <c r="G194" s="47" t="s">
        <v>429</v>
      </c>
      <c r="H194" s="163">
        <v>4454</v>
      </c>
      <c r="I194" s="38">
        <v>8315</v>
      </c>
      <c r="J194" s="29" t="s">
        <v>427</v>
      </c>
      <c r="K194" s="29"/>
      <c r="M194" s="53"/>
      <c r="N194" s="54">
        <f>Tabela1[[#This Row],[PREÇO]]*Tabela1[[#This Row],[MTS]]</f>
        <v>0</v>
      </c>
      <c r="O194" s="378" t="s">
        <v>408</v>
      </c>
      <c r="P194" s="448" t="s">
        <v>409</v>
      </c>
      <c r="Q194" s="454" t="s">
        <v>410</v>
      </c>
      <c r="R194" s="454"/>
      <c r="S194" s="455"/>
    </row>
    <row r="195" spans="1:19" hidden="1" x14ac:dyDescent="0.3">
      <c r="A195" s="325" t="s">
        <v>402</v>
      </c>
      <c r="B195" s="7" t="s">
        <v>405</v>
      </c>
      <c r="C195" s="248" t="s">
        <v>21</v>
      </c>
      <c r="D195" s="211"/>
      <c r="E195" s="41">
        <v>45890</v>
      </c>
      <c r="F195" s="80">
        <v>45901</v>
      </c>
      <c r="G195" s="47" t="s">
        <v>430</v>
      </c>
      <c r="H195" s="163">
        <v>2208</v>
      </c>
      <c r="I195" s="38">
        <v>8315</v>
      </c>
      <c r="J195" s="29" t="s">
        <v>407</v>
      </c>
      <c r="K195" s="29"/>
      <c r="M195" s="53"/>
      <c r="N195" s="54">
        <f>Tabela1[[#This Row],[PREÇO]]*Tabela1[[#This Row],[MTS]]</f>
        <v>0</v>
      </c>
      <c r="O195" s="378" t="s">
        <v>408</v>
      </c>
      <c r="P195" s="448" t="s">
        <v>409</v>
      </c>
      <c r="Q195" s="454" t="s">
        <v>410</v>
      </c>
      <c r="R195" s="454"/>
      <c r="S195" s="455"/>
    </row>
    <row r="196" spans="1:19" hidden="1" x14ac:dyDescent="0.3">
      <c r="A196" s="325" t="s">
        <v>402</v>
      </c>
      <c r="B196" s="7" t="s">
        <v>405</v>
      </c>
      <c r="C196" s="248" t="s">
        <v>21</v>
      </c>
      <c r="D196" s="211"/>
      <c r="E196" s="41">
        <v>45890</v>
      </c>
      <c r="F196" s="80">
        <v>45901</v>
      </c>
      <c r="G196" s="47" t="s">
        <v>431</v>
      </c>
      <c r="H196" s="163">
        <v>2206</v>
      </c>
      <c r="I196" s="38">
        <v>8315</v>
      </c>
      <c r="J196" s="29" t="s">
        <v>428</v>
      </c>
      <c r="K196" s="29"/>
      <c r="M196" s="53"/>
      <c r="N196" s="54">
        <f>Tabela1[[#This Row],[PREÇO]]*Tabela1[[#This Row],[MTS]]</f>
        <v>0</v>
      </c>
      <c r="O196" s="378" t="s">
        <v>408</v>
      </c>
      <c r="P196" s="448" t="s">
        <v>409</v>
      </c>
      <c r="Q196" s="454" t="s">
        <v>410</v>
      </c>
      <c r="R196" s="454"/>
      <c r="S196" s="455"/>
    </row>
    <row r="197" spans="1:19" hidden="1" x14ac:dyDescent="0.3">
      <c r="A197" s="312" t="s">
        <v>403</v>
      </c>
      <c r="B197" s="7" t="s">
        <v>424</v>
      </c>
      <c r="C197" s="248" t="s">
        <v>425</v>
      </c>
      <c r="D197" s="211"/>
      <c r="E197" s="41">
        <v>45894</v>
      </c>
      <c r="F197" s="80">
        <v>45901</v>
      </c>
      <c r="G197" s="125" t="s">
        <v>416</v>
      </c>
      <c r="H197" s="28" t="s">
        <v>421</v>
      </c>
      <c r="I197" s="38">
        <v>8312</v>
      </c>
      <c r="J197" s="29" t="s">
        <v>415</v>
      </c>
      <c r="K197" s="29"/>
      <c r="M197" s="104"/>
      <c r="N197" s="126">
        <f>Tabela1[[#This Row],[PREÇO]]*Tabela1[[#This Row],[MTS]]</f>
        <v>0</v>
      </c>
      <c r="O197" s="454" t="s">
        <v>411</v>
      </c>
      <c r="P197" s="454" t="s">
        <v>413</v>
      </c>
      <c r="Q197" s="454" t="s">
        <v>412</v>
      </c>
      <c r="R197" s="454"/>
      <c r="S197" s="455"/>
    </row>
    <row r="198" spans="1:19" hidden="1" x14ac:dyDescent="0.3">
      <c r="A198" s="312" t="s">
        <v>403</v>
      </c>
      <c r="B198" s="7" t="s">
        <v>424</v>
      </c>
      <c r="C198" s="248" t="s">
        <v>425</v>
      </c>
      <c r="D198" s="211"/>
      <c r="E198" s="41">
        <v>45894</v>
      </c>
      <c r="F198" s="80">
        <v>45901</v>
      </c>
      <c r="G198" s="102" t="s">
        <v>417</v>
      </c>
      <c r="H198" s="40" t="s">
        <v>422</v>
      </c>
      <c r="I198" s="38">
        <v>8312</v>
      </c>
      <c r="J198" s="29" t="s">
        <v>419</v>
      </c>
      <c r="K198" s="29"/>
      <c r="M198" s="104"/>
      <c r="N198" s="126">
        <f>Tabela1[[#This Row],[PREÇO]]*Tabela1[[#This Row],[MTS]]</f>
        <v>0</v>
      </c>
      <c r="O198" s="454" t="s">
        <v>411</v>
      </c>
      <c r="P198" s="454" t="s">
        <v>413</v>
      </c>
      <c r="Q198" s="454" t="s">
        <v>412</v>
      </c>
      <c r="R198" s="454"/>
      <c r="S198" s="455"/>
    </row>
    <row r="199" spans="1:19" hidden="1" x14ac:dyDescent="0.3">
      <c r="A199" s="312" t="s">
        <v>403</v>
      </c>
      <c r="B199" s="7" t="s">
        <v>424</v>
      </c>
      <c r="C199" s="248" t="s">
        <v>425</v>
      </c>
      <c r="D199" s="211"/>
      <c r="E199" s="41">
        <v>45894</v>
      </c>
      <c r="F199" s="80">
        <v>45901</v>
      </c>
      <c r="G199" s="102" t="s">
        <v>418</v>
      </c>
      <c r="H199" s="40" t="s">
        <v>423</v>
      </c>
      <c r="I199" s="38">
        <v>8312</v>
      </c>
      <c r="J199" s="29" t="s">
        <v>420</v>
      </c>
      <c r="K199" s="29"/>
      <c r="M199" s="104"/>
      <c r="N199" s="126">
        <f>Tabela1[[#This Row],[PREÇO]]*Tabela1[[#This Row],[MTS]]</f>
        <v>0</v>
      </c>
      <c r="O199" s="454" t="s">
        <v>411</v>
      </c>
      <c r="P199" s="454" t="s">
        <v>413</v>
      </c>
      <c r="Q199" s="454" t="s">
        <v>412</v>
      </c>
      <c r="R199" s="454"/>
      <c r="S199" s="455"/>
    </row>
    <row r="200" spans="1:19" hidden="1" x14ac:dyDescent="0.3">
      <c r="A200" s="312" t="s">
        <v>414</v>
      </c>
      <c r="B200" s="7" t="s">
        <v>48</v>
      </c>
      <c r="C200" s="248" t="s">
        <v>49</v>
      </c>
      <c r="D200" s="211"/>
      <c r="E200" s="41">
        <v>45904</v>
      </c>
      <c r="F200" s="80">
        <v>45901</v>
      </c>
      <c r="G200" s="28">
        <v>32282</v>
      </c>
      <c r="H200" s="433" t="s">
        <v>368</v>
      </c>
      <c r="I200" s="38">
        <v>8348</v>
      </c>
      <c r="J200" s="29" t="s">
        <v>432</v>
      </c>
      <c r="K200" s="29"/>
      <c r="M200" s="53"/>
      <c r="N200" s="126">
        <f>Tabela1[[#This Row],[PREÇO]]*Tabela1[[#This Row],[MTS]]</f>
        <v>0</v>
      </c>
      <c r="O200" s="378" t="s">
        <v>52</v>
      </c>
      <c r="P200" s="378" t="s">
        <v>53</v>
      </c>
      <c r="Q200" s="378" t="s">
        <v>54</v>
      </c>
    </row>
    <row r="201" spans="1:19" hidden="1" x14ac:dyDescent="0.3">
      <c r="A201" s="312" t="s">
        <v>414</v>
      </c>
      <c r="B201" s="7" t="s">
        <v>48</v>
      </c>
      <c r="C201" s="248" t="s">
        <v>49</v>
      </c>
      <c r="D201" s="211"/>
      <c r="E201" s="41">
        <v>45904</v>
      </c>
      <c r="F201" s="80">
        <v>45901</v>
      </c>
      <c r="G201" s="28">
        <v>35149</v>
      </c>
      <c r="H201" s="40" t="s">
        <v>206</v>
      </c>
      <c r="I201" s="38">
        <v>8348</v>
      </c>
      <c r="J201" s="29" t="s">
        <v>433</v>
      </c>
      <c r="K201" s="29"/>
      <c r="M201" s="53"/>
      <c r="N201" s="126">
        <f>Tabela1[[#This Row],[PREÇO]]*Tabela1[[#This Row],[MTS]]</f>
        <v>0</v>
      </c>
      <c r="O201" s="378" t="s">
        <v>52</v>
      </c>
      <c r="P201" s="378" t="s">
        <v>53</v>
      </c>
      <c r="Q201" s="378" t="s">
        <v>54</v>
      </c>
    </row>
    <row r="202" spans="1:19" hidden="1" x14ac:dyDescent="0.3">
      <c r="A202" s="312" t="s">
        <v>414</v>
      </c>
      <c r="B202" s="7" t="s">
        <v>48</v>
      </c>
      <c r="C202" s="248" t="s">
        <v>49</v>
      </c>
      <c r="D202" s="211"/>
      <c r="E202" s="41">
        <v>45904</v>
      </c>
      <c r="F202" s="80">
        <v>45901</v>
      </c>
      <c r="G202" s="50">
        <v>2540012</v>
      </c>
      <c r="H202" s="40" t="s">
        <v>164</v>
      </c>
      <c r="I202" s="38">
        <v>8348</v>
      </c>
      <c r="J202" s="29" t="s">
        <v>257</v>
      </c>
      <c r="K202" s="123"/>
      <c r="M202" s="53"/>
      <c r="N202" s="126">
        <f>Tabela1[[#This Row],[PREÇO]]*Tabela1[[#This Row],[MTS]]</f>
        <v>0</v>
      </c>
      <c r="O202" s="378" t="s">
        <v>52</v>
      </c>
      <c r="P202" s="378" t="s">
        <v>53</v>
      </c>
      <c r="Q202" s="378" t="s">
        <v>54</v>
      </c>
    </row>
    <row r="203" spans="1:19" hidden="1" x14ac:dyDescent="0.3">
      <c r="A203" s="312" t="s">
        <v>434</v>
      </c>
      <c r="B203" s="7" t="s">
        <v>20</v>
      </c>
      <c r="C203" s="248" t="s">
        <v>21</v>
      </c>
      <c r="D203" s="211"/>
      <c r="E203" s="41">
        <v>45909</v>
      </c>
      <c r="F203" s="80">
        <v>45901</v>
      </c>
      <c r="G203" s="28">
        <v>2670007</v>
      </c>
      <c r="H203" s="28" t="s">
        <v>435</v>
      </c>
      <c r="I203" s="38">
        <v>8353</v>
      </c>
      <c r="J203" s="29" t="s">
        <v>436</v>
      </c>
      <c r="K203" s="29"/>
      <c r="M203" s="53"/>
      <c r="N203" s="126">
        <f>Tabela1[[#This Row],[PREÇO]]*Tabela1[[#This Row],[MTS]]</f>
        <v>0</v>
      </c>
      <c r="O203" s="378" t="s">
        <v>23</v>
      </c>
      <c r="P203" s="378" t="s">
        <v>24</v>
      </c>
      <c r="Q203" s="8" t="s">
        <v>25</v>
      </c>
      <c r="R203" s="8"/>
      <c r="S203" s="178"/>
    </row>
    <row r="204" spans="1:19" hidden="1" x14ac:dyDescent="0.3">
      <c r="A204" s="326" t="s">
        <v>438</v>
      </c>
      <c r="B204" s="99" t="s">
        <v>294</v>
      </c>
      <c r="C204" s="248" t="s">
        <v>30</v>
      </c>
      <c r="D204" s="211"/>
      <c r="E204" s="41">
        <v>45912</v>
      </c>
      <c r="F204" s="80">
        <v>45901</v>
      </c>
      <c r="G204" s="22" t="s">
        <v>439</v>
      </c>
      <c r="H204" s="213" t="s">
        <v>441</v>
      </c>
      <c r="I204" s="38">
        <v>8387</v>
      </c>
      <c r="J204" s="29" t="s">
        <v>348</v>
      </c>
      <c r="K204" s="29"/>
      <c r="M204" s="104"/>
      <c r="N204" s="126">
        <f>Tabela1[[#This Row],[PREÇO]]*Tabela1[[#This Row],[MTS]]</f>
        <v>0</v>
      </c>
      <c r="O204" s="378" t="s">
        <v>378</v>
      </c>
      <c r="P204" s="448" t="s">
        <v>379</v>
      </c>
    </row>
    <row r="205" spans="1:19" hidden="1" x14ac:dyDescent="0.3">
      <c r="A205" s="326" t="s">
        <v>438</v>
      </c>
      <c r="B205" s="99" t="s">
        <v>294</v>
      </c>
      <c r="C205" s="248" t="s">
        <v>30</v>
      </c>
      <c r="D205" s="211"/>
      <c r="E205" s="41">
        <v>45912</v>
      </c>
      <c r="F205" s="80">
        <v>45901</v>
      </c>
      <c r="G205" s="22" t="s">
        <v>440</v>
      </c>
      <c r="H205" s="213" t="s">
        <v>442</v>
      </c>
      <c r="I205" s="38">
        <v>8387</v>
      </c>
      <c r="J205" s="29" t="s">
        <v>349</v>
      </c>
      <c r="K205" s="29"/>
      <c r="M205" s="104"/>
      <c r="N205" s="126">
        <f>Tabela1[[#This Row],[PREÇO]]*Tabela1[[#This Row],[MTS]]</f>
        <v>0</v>
      </c>
      <c r="O205" s="378" t="s">
        <v>378</v>
      </c>
      <c r="P205" s="448" t="s">
        <v>379</v>
      </c>
    </row>
    <row r="206" spans="1:19" hidden="1" x14ac:dyDescent="0.3">
      <c r="A206" s="269" t="s">
        <v>443</v>
      </c>
      <c r="B206" s="46" t="s">
        <v>69</v>
      </c>
      <c r="C206" s="248" t="s">
        <v>70</v>
      </c>
      <c r="D206" s="211"/>
      <c r="E206" s="41">
        <v>45917</v>
      </c>
      <c r="F206" s="127">
        <v>45901</v>
      </c>
      <c r="G206" s="106">
        <v>1122580</v>
      </c>
      <c r="H206" s="185" t="s">
        <v>160</v>
      </c>
      <c r="I206" s="457">
        <v>8598</v>
      </c>
      <c r="J206" s="29" t="s">
        <v>444</v>
      </c>
      <c r="K206" s="29"/>
      <c r="M206" s="53"/>
      <c r="N206" s="54">
        <f>Tabela1[[#This Row],[PREÇO]]*Tabela1[[#This Row],[MTS]]</f>
        <v>0</v>
      </c>
      <c r="O206" s="378" t="s">
        <v>459</v>
      </c>
      <c r="Q206" s="425" t="s">
        <v>74</v>
      </c>
      <c r="R206" s="425"/>
      <c r="S206" s="451"/>
    </row>
    <row r="207" spans="1:19" hidden="1" x14ac:dyDescent="0.3">
      <c r="A207" s="327" t="s">
        <v>443</v>
      </c>
      <c r="B207" s="130" t="s">
        <v>69</v>
      </c>
      <c r="C207" s="458" t="s">
        <v>70</v>
      </c>
      <c r="D207" s="459"/>
      <c r="E207" s="460">
        <v>45917</v>
      </c>
      <c r="F207" s="131">
        <v>45901</v>
      </c>
      <c r="G207" s="132">
        <v>1121110</v>
      </c>
      <c r="H207" s="461" t="s">
        <v>207</v>
      </c>
      <c r="I207" s="462">
        <v>8465</v>
      </c>
      <c r="J207" s="133" t="s">
        <v>445</v>
      </c>
      <c r="K207" s="133"/>
      <c r="L207" s="134"/>
      <c r="M207" s="135"/>
      <c r="N207" s="136">
        <f>Tabela1[[#This Row],[PREÇO]]*Tabela1[[#This Row],[MTS]]</f>
        <v>0</v>
      </c>
      <c r="O207" s="463" t="s">
        <v>72</v>
      </c>
      <c r="P207" s="463" t="s">
        <v>73</v>
      </c>
      <c r="Q207" s="464" t="s">
        <v>74</v>
      </c>
      <c r="R207" s="465"/>
      <c r="S207" s="466"/>
    </row>
    <row r="208" spans="1:19" hidden="1" x14ac:dyDescent="0.3">
      <c r="A208" s="312" t="s">
        <v>446</v>
      </c>
      <c r="B208" s="46" t="s">
        <v>69</v>
      </c>
      <c r="C208" s="248" t="s">
        <v>70</v>
      </c>
      <c r="D208" s="211"/>
      <c r="E208" s="41">
        <v>45924</v>
      </c>
      <c r="F208" s="127">
        <v>45901</v>
      </c>
      <c r="G208" s="28">
        <v>1122580</v>
      </c>
      <c r="H208" s="213" t="s">
        <v>160</v>
      </c>
      <c r="I208" s="38">
        <v>8509</v>
      </c>
      <c r="J208" s="29" t="s">
        <v>447</v>
      </c>
      <c r="K208" s="29"/>
      <c r="L208" s="128"/>
      <c r="M208" s="29"/>
      <c r="N208" s="54">
        <f>Tabela1[[#This Row],[PREÇO]]*Tabela1[[#This Row],[MTS]]</f>
        <v>0</v>
      </c>
      <c r="O208" s="378" t="s">
        <v>72</v>
      </c>
      <c r="P208" s="378" t="s">
        <v>73</v>
      </c>
      <c r="Q208" s="425" t="s">
        <v>74</v>
      </c>
      <c r="R208" s="425"/>
      <c r="S208" s="451"/>
    </row>
    <row r="209" spans="1:19" hidden="1" x14ac:dyDescent="0.3">
      <c r="A209" s="312" t="s">
        <v>446</v>
      </c>
      <c r="B209" s="46" t="s">
        <v>69</v>
      </c>
      <c r="C209" s="248" t="s">
        <v>70</v>
      </c>
      <c r="D209" s="211"/>
      <c r="E209" s="41">
        <v>45924</v>
      </c>
      <c r="F209" s="127">
        <v>45901</v>
      </c>
      <c r="G209" s="28">
        <v>1129159</v>
      </c>
      <c r="H209" s="40" t="s">
        <v>450</v>
      </c>
      <c r="I209" s="38">
        <v>8509</v>
      </c>
      <c r="J209" s="29" t="s">
        <v>448</v>
      </c>
      <c r="K209" s="29"/>
      <c r="L209" s="128"/>
      <c r="M209" s="29"/>
      <c r="N209" s="54">
        <f>Tabela1[[#This Row],[PREÇO]]*Tabela1[[#This Row],[MTS]]</f>
        <v>0</v>
      </c>
      <c r="O209" s="378" t="s">
        <v>72</v>
      </c>
      <c r="P209" s="378" t="s">
        <v>73</v>
      </c>
      <c r="Q209" s="425" t="s">
        <v>74</v>
      </c>
      <c r="R209" s="425"/>
      <c r="S209" s="451"/>
    </row>
    <row r="210" spans="1:19" hidden="1" x14ac:dyDescent="0.3">
      <c r="A210" s="312" t="s">
        <v>446</v>
      </c>
      <c r="B210" s="46" t="s">
        <v>69</v>
      </c>
      <c r="C210" s="248" t="s">
        <v>70</v>
      </c>
      <c r="D210" s="211"/>
      <c r="E210" s="41">
        <v>45924</v>
      </c>
      <c r="F210" s="127">
        <v>45901</v>
      </c>
      <c r="G210" s="28">
        <v>1121110</v>
      </c>
      <c r="H210" s="40" t="s">
        <v>207</v>
      </c>
      <c r="I210" s="38">
        <v>8509</v>
      </c>
      <c r="J210" s="29" t="s">
        <v>449</v>
      </c>
      <c r="K210" s="29"/>
      <c r="L210" s="128"/>
      <c r="M210" s="29"/>
      <c r="N210" s="54">
        <f>Tabela1[[#This Row],[PREÇO]]*Tabela1[[#This Row],[MTS]]</f>
        <v>0</v>
      </c>
      <c r="O210" s="378" t="s">
        <v>72</v>
      </c>
      <c r="P210" s="378" t="s">
        <v>73</v>
      </c>
      <c r="Q210" s="425" t="s">
        <v>74</v>
      </c>
      <c r="R210" s="425"/>
      <c r="S210" s="451"/>
    </row>
    <row r="211" spans="1:19" hidden="1" x14ac:dyDescent="0.3">
      <c r="A211" s="269" t="s">
        <v>451</v>
      </c>
      <c r="B211" s="7" t="s">
        <v>180</v>
      </c>
      <c r="C211" s="248" t="s">
        <v>70</v>
      </c>
      <c r="D211" s="211"/>
      <c r="E211" s="41">
        <v>45925</v>
      </c>
      <c r="F211" s="127">
        <v>45931</v>
      </c>
      <c r="G211" s="28" t="s">
        <v>452</v>
      </c>
      <c r="H211" s="209">
        <v>2860014</v>
      </c>
      <c r="I211" s="38">
        <v>8569</v>
      </c>
      <c r="J211" s="29" t="s">
        <v>456</v>
      </c>
      <c r="K211" s="29"/>
      <c r="L211" s="129"/>
      <c r="M211" s="53"/>
      <c r="N211" s="54">
        <f>Tabela1[[#This Row],[PREÇO]]*Tabela1[[#This Row],[MTS]]</f>
        <v>0</v>
      </c>
      <c r="O211" s="378" t="s">
        <v>80</v>
      </c>
      <c r="P211" s="378" t="s">
        <v>81</v>
      </c>
      <c r="Q211" s="425" t="s">
        <v>82</v>
      </c>
      <c r="R211" s="425"/>
      <c r="S211" s="451"/>
    </row>
    <row r="212" spans="1:19" hidden="1" x14ac:dyDescent="0.3">
      <c r="A212" s="269" t="s">
        <v>451</v>
      </c>
      <c r="B212" s="7" t="s">
        <v>180</v>
      </c>
      <c r="C212" s="248" t="s">
        <v>70</v>
      </c>
      <c r="D212" s="211"/>
      <c r="E212" s="41">
        <v>45925</v>
      </c>
      <c r="F212" s="127">
        <v>45931</v>
      </c>
      <c r="G212" s="28" t="s">
        <v>453</v>
      </c>
      <c r="H212" s="159" t="s">
        <v>540</v>
      </c>
      <c r="I212" s="418">
        <v>8569</v>
      </c>
      <c r="J212" s="139" t="s">
        <v>541</v>
      </c>
      <c r="K212" s="139"/>
      <c r="L212" s="129"/>
      <c r="M212" s="143"/>
      <c r="N212" s="54">
        <f>Tabela1[[#This Row],[PREÇO]]*Tabela1[[#This Row],[MTS]]</f>
        <v>0</v>
      </c>
      <c r="O212" s="378" t="s">
        <v>80</v>
      </c>
      <c r="P212" s="378" t="s">
        <v>81</v>
      </c>
      <c r="Q212" s="425" t="s">
        <v>82</v>
      </c>
      <c r="R212" s="425"/>
      <c r="S212" s="451"/>
    </row>
    <row r="213" spans="1:19" hidden="1" x14ac:dyDescent="0.3">
      <c r="A213" s="269" t="s">
        <v>451</v>
      </c>
      <c r="B213" s="7" t="s">
        <v>180</v>
      </c>
      <c r="C213" s="248" t="s">
        <v>70</v>
      </c>
      <c r="D213" s="211"/>
      <c r="E213" s="41">
        <v>45925</v>
      </c>
      <c r="F213" s="127">
        <v>45931</v>
      </c>
      <c r="G213" s="28" t="s">
        <v>454</v>
      </c>
      <c r="H213" s="163">
        <v>2860017</v>
      </c>
      <c r="I213" s="38">
        <v>8569</v>
      </c>
      <c r="J213" s="29" t="s">
        <v>457</v>
      </c>
      <c r="K213" s="29"/>
      <c r="L213" s="129"/>
      <c r="M213" s="29"/>
      <c r="N213" s="54">
        <f>Tabela1[[#This Row],[PREÇO]]*Tabela1[[#This Row],[MTS]]</f>
        <v>0</v>
      </c>
      <c r="O213" s="378" t="s">
        <v>80</v>
      </c>
      <c r="P213" s="378" t="s">
        <v>81</v>
      </c>
      <c r="Q213" s="425" t="s">
        <v>82</v>
      </c>
      <c r="R213" s="425"/>
      <c r="S213" s="451"/>
    </row>
    <row r="214" spans="1:19" hidden="1" x14ac:dyDescent="0.3">
      <c r="A214" s="269" t="s">
        <v>451</v>
      </c>
      <c r="B214" s="7" t="s">
        <v>180</v>
      </c>
      <c r="C214" s="248" t="s">
        <v>70</v>
      </c>
      <c r="D214" s="211"/>
      <c r="E214" s="41">
        <v>45925</v>
      </c>
      <c r="F214" s="127">
        <v>45931</v>
      </c>
      <c r="G214" s="28" t="s">
        <v>455</v>
      </c>
      <c r="H214" s="40">
        <v>2860013</v>
      </c>
      <c r="I214" s="38">
        <v>8569</v>
      </c>
      <c r="J214" s="29" t="s">
        <v>458</v>
      </c>
      <c r="K214" s="29"/>
      <c r="L214" s="129"/>
      <c r="M214" s="29"/>
      <c r="N214" s="54">
        <f>Tabela1[[#This Row],[PREÇO]]*Tabela1[[#This Row],[MTS]]</f>
        <v>0</v>
      </c>
      <c r="O214" s="378" t="s">
        <v>80</v>
      </c>
      <c r="P214" s="378" t="s">
        <v>81</v>
      </c>
      <c r="Q214" s="425" t="s">
        <v>82</v>
      </c>
      <c r="R214" s="425"/>
      <c r="S214" s="451"/>
    </row>
    <row r="215" spans="1:19" hidden="1" x14ac:dyDescent="0.3">
      <c r="A215" s="312" t="s">
        <v>460</v>
      </c>
      <c r="B215" s="7" t="s">
        <v>180</v>
      </c>
      <c r="C215" s="248" t="s">
        <v>70</v>
      </c>
      <c r="D215" s="211"/>
      <c r="E215" s="41">
        <v>45937</v>
      </c>
      <c r="F215" s="127">
        <v>45931</v>
      </c>
      <c r="G215" s="40">
        <v>2860008</v>
      </c>
      <c r="H215" s="40" t="s">
        <v>461</v>
      </c>
      <c r="I215" s="38">
        <v>8609</v>
      </c>
      <c r="J215" s="29" t="s">
        <v>462</v>
      </c>
      <c r="K215" s="29"/>
      <c r="M215" s="53"/>
      <c r="N215" s="54">
        <f>Tabela1[[#This Row],[PREÇO]]*Tabela1[[#This Row],[MTS]]</f>
        <v>0</v>
      </c>
      <c r="O215" s="378" t="s">
        <v>80</v>
      </c>
      <c r="P215" s="378" t="s">
        <v>81</v>
      </c>
      <c r="Q215" s="425" t="s">
        <v>82</v>
      </c>
      <c r="R215" s="425"/>
      <c r="S215" s="451"/>
    </row>
    <row r="216" spans="1:19" hidden="1" x14ac:dyDescent="0.3">
      <c r="A216" s="312" t="s">
        <v>460</v>
      </c>
      <c r="B216" s="7" t="s">
        <v>180</v>
      </c>
      <c r="C216" s="248" t="s">
        <v>70</v>
      </c>
      <c r="D216" s="211"/>
      <c r="E216" s="41">
        <v>45937</v>
      </c>
      <c r="F216" s="127">
        <v>45931</v>
      </c>
      <c r="G216" s="40">
        <v>2860006</v>
      </c>
      <c r="H216" s="40" t="s">
        <v>464</v>
      </c>
      <c r="I216" s="38">
        <v>8609</v>
      </c>
      <c r="J216" s="29" t="s">
        <v>463</v>
      </c>
      <c r="K216" s="29"/>
      <c r="M216" s="53"/>
      <c r="N216" s="54">
        <f>Tabela1[[#This Row],[PREÇO]]*Tabela1[[#This Row],[MTS]]</f>
        <v>0</v>
      </c>
      <c r="O216" s="378" t="s">
        <v>80</v>
      </c>
      <c r="P216" s="378" t="s">
        <v>81</v>
      </c>
      <c r="Q216" s="425" t="s">
        <v>82</v>
      </c>
      <c r="R216" s="425"/>
      <c r="S216" s="451"/>
    </row>
    <row r="217" spans="1:19" hidden="1" x14ac:dyDescent="0.3">
      <c r="A217" s="312" t="s">
        <v>465</v>
      </c>
      <c r="B217" s="7" t="s">
        <v>179</v>
      </c>
      <c r="C217" s="248" t="s">
        <v>21</v>
      </c>
      <c r="D217" s="211"/>
      <c r="E217" s="41">
        <v>45938</v>
      </c>
      <c r="F217" s="127">
        <v>45962</v>
      </c>
      <c r="G217" s="28">
        <v>3200008</v>
      </c>
      <c r="H217" s="40" t="s">
        <v>466</v>
      </c>
      <c r="I217" s="467">
        <v>8614</v>
      </c>
      <c r="J217" s="146" t="s">
        <v>467</v>
      </c>
      <c r="K217" s="147"/>
      <c r="M217" s="140"/>
      <c r="N217" s="54">
        <f>Tabela1[[#This Row],[PREÇO]]*Tabela1[[#This Row],[MTS]]</f>
        <v>0</v>
      </c>
      <c r="O217" s="378" t="s">
        <v>183</v>
      </c>
      <c r="P217" s="448" t="s">
        <v>184</v>
      </c>
      <c r="Q217" s="378" t="s">
        <v>185</v>
      </c>
    </row>
    <row r="218" spans="1:19" hidden="1" x14ac:dyDescent="0.3">
      <c r="A218" s="312" t="s">
        <v>465</v>
      </c>
      <c r="B218" s="7" t="s">
        <v>179</v>
      </c>
      <c r="C218" s="248" t="s">
        <v>21</v>
      </c>
      <c r="D218" s="211"/>
      <c r="E218" s="41">
        <v>45938</v>
      </c>
      <c r="F218" s="127">
        <v>45962</v>
      </c>
      <c r="G218" s="28" t="s">
        <v>201</v>
      </c>
      <c r="H218" s="40" t="s">
        <v>200</v>
      </c>
      <c r="I218" s="467">
        <v>8614</v>
      </c>
      <c r="J218" s="146" t="s">
        <v>390</v>
      </c>
      <c r="K218" s="147"/>
      <c r="M218" s="53"/>
      <c r="N218" s="54">
        <f>Tabela1[[#This Row],[PREÇO]]*Tabela1[[#This Row],[MTS]]</f>
        <v>0</v>
      </c>
      <c r="O218" s="378" t="s">
        <v>183</v>
      </c>
      <c r="P218" s="448" t="s">
        <v>184</v>
      </c>
      <c r="Q218" s="378" t="s">
        <v>185</v>
      </c>
    </row>
    <row r="219" spans="1:19" hidden="1" x14ac:dyDescent="0.3">
      <c r="A219" s="312" t="s">
        <v>465</v>
      </c>
      <c r="B219" s="7" t="s">
        <v>179</v>
      </c>
      <c r="C219" s="248" t="s">
        <v>21</v>
      </c>
      <c r="D219" s="211"/>
      <c r="E219" s="41">
        <v>45938</v>
      </c>
      <c r="F219" s="127">
        <v>45962</v>
      </c>
      <c r="G219" s="28">
        <v>3200004</v>
      </c>
      <c r="H219" s="40" t="s">
        <v>388</v>
      </c>
      <c r="I219" s="467">
        <v>8614</v>
      </c>
      <c r="J219" s="146" t="s">
        <v>395</v>
      </c>
      <c r="K219" s="147"/>
      <c r="M219" s="53"/>
      <c r="N219" s="54">
        <f>Tabela1[[#This Row],[PREÇO]]*Tabela1[[#This Row],[MTS]]</f>
        <v>0</v>
      </c>
      <c r="O219" s="378" t="s">
        <v>183</v>
      </c>
      <c r="P219" s="448" t="s">
        <v>184</v>
      </c>
      <c r="Q219" s="378" t="s">
        <v>185</v>
      </c>
    </row>
    <row r="220" spans="1:19" hidden="1" x14ac:dyDescent="0.3">
      <c r="A220" s="312" t="s">
        <v>437</v>
      </c>
      <c r="B220" s="7" t="s">
        <v>470</v>
      </c>
      <c r="C220" s="248" t="s">
        <v>21</v>
      </c>
      <c r="D220" s="211"/>
      <c r="E220" s="41">
        <v>45939</v>
      </c>
      <c r="F220" s="127">
        <v>45931</v>
      </c>
      <c r="G220" s="28" t="s">
        <v>473</v>
      </c>
      <c r="H220" s="40" t="s">
        <v>481</v>
      </c>
      <c r="I220" s="38">
        <v>8681</v>
      </c>
      <c r="J220" s="29" t="s">
        <v>477</v>
      </c>
      <c r="K220" s="137"/>
      <c r="L220" s="128"/>
      <c r="M220" s="90"/>
      <c r="N220" s="54">
        <f>Tabela1[[#This Row],[PREÇO]]*Tabela1[[#This Row],[MTS]]</f>
        <v>0</v>
      </c>
      <c r="O220" s="378" t="s">
        <v>471</v>
      </c>
      <c r="P220" s="378" t="s">
        <v>122</v>
      </c>
      <c r="Q220" s="454" t="s">
        <v>472</v>
      </c>
      <c r="R220" s="454"/>
      <c r="S220" s="455"/>
    </row>
    <row r="221" spans="1:19" hidden="1" x14ac:dyDescent="0.3">
      <c r="A221" s="312" t="s">
        <v>437</v>
      </c>
      <c r="B221" s="7" t="s">
        <v>470</v>
      </c>
      <c r="C221" s="248" t="s">
        <v>21</v>
      </c>
      <c r="D221" s="211"/>
      <c r="E221" s="41">
        <v>45939</v>
      </c>
      <c r="F221" s="127">
        <v>45931</v>
      </c>
      <c r="G221" s="28" t="s">
        <v>474</v>
      </c>
      <c r="H221" s="40" t="s">
        <v>482</v>
      </c>
      <c r="I221" s="38">
        <v>8681</v>
      </c>
      <c r="J221" s="29" t="s">
        <v>478</v>
      </c>
      <c r="K221" s="137"/>
      <c r="L221" s="128"/>
      <c r="M221" s="90"/>
      <c r="N221" s="54">
        <f>Tabela1[[#This Row],[PREÇO]]*Tabela1[[#This Row],[MTS]]</f>
        <v>0</v>
      </c>
      <c r="O221" s="378" t="s">
        <v>471</v>
      </c>
      <c r="P221" s="378" t="s">
        <v>122</v>
      </c>
      <c r="Q221" s="454" t="s">
        <v>472</v>
      </c>
      <c r="R221" s="454"/>
      <c r="S221" s="455"/>
    </row>
    <row r="222" spans="1:19" hidden="1" x14ac:dyDescent="0.3">
      <c r="A222" s="312" t="s">
        <v>437</v>
      </c>
      <c r="B222" s="7" t="s">
        <v>470</v>
      </c>
      <c r="C222" s="248" t="s">
        <v>21</v>
      </c>
      <c r="D222" s="211"/>
      <c r="E222" s="41">
        <v>45939</v>
      </c>
      <c r="F222" s="127">
        <v>45931</v>
      </c>
      <c r="G222" s="28" t="s">
        <v>475</v>
      </c>
      <c r="H222" s="40" t="s">
        <v>484</v>
      </c>
      <c r="I222" s="38">
        <v>8681</v>
      </c>
      <c r="J222" s="29" t="s">
        <v>479</v>
      </c>
      <c r="K222" s="137"/>
      <c r="L222" s="128"/>
      <c r="M222" s="90"/>
      <c r="N222" s="54">
        <f>Tabela1[[#This Row],[PREÇO]]*Tabela1[[#This Row],[MTS]]</f>
        <v>0</v>
      </c>
      <c r="O222" s="378" t="s">
        <v>471</v>
      </c>
      <c r="P222" s="378" t="s">
        <v>122</v>
      </c>
      <c r="Q222" s="454" t="s">
        <v>472</v>
      </c>
      <c r="R222" s="454"/>
      <c r="S222" s="455"/>
    </row>
    <row r="223" spans="1:19" hidden="1" x14ac:dyDescent="0.3">
      <c r="A223" s="312" t="s">
        <v>437</v>
      </c>
      <c r="B223" s="7" t="s">
        <v>470</v>
      </c>
      <c r="C223" s="248" t="s">
        <v>21</v>
      </c>
      <c r="D223" s="211"/>
      <c r="E223" s="41">
        <v>45939</v>
      </c>
      <c r="F223" s="127">
        <v>45931</v>
      </c>
      <c r="G223" s="28" t="s">
        <v>476</v>
      </c>
      <c r="H223" s="292" t="s">
        <v>485</v>
      </c>
      <c r="I223" s="38">
        <v>8681</v>
      </c>
      <c r="J223" s="29" t="s">
        <v>480</v>
      </c>
      <c r="K223" s="137"/>
      <c r="L223" s="128"/>
      <c r="M223" s="90"/>
      <c r="N223" s="54">
        <f>Tabela1[[#This Row],[PREÇO]]*Tabela1[[#This Row],[MTS]]</f>
        <v>0</v>
      </c>
      <c r="O223" s="378" t="s">
        <v>471</v>
      </c>
      <c r="P223" s="378" t="s">
        <v>122</v>
      </c>
      <c r="Q223" s="454" t="s">
        <v>472</v>
      </c>
      <c r="R223" s="454"/>
      <c r="S223" s="455"/>
    </row>
    <row r="224" spans="1:19" hidden="1" x14ac:dyDescent="0.3">
      <c r="A224" s="312" t="s">
        <v>487</v>
      </c>
      <c r="B224" s="7" t="s">
        <v>385</v>
      </c>
      <c r="C224" s="248" t="s">
        <v>105</v>
      </c>
      <c r="D224" s="211"/>
      <c r="E224" s="41">
        <v>45951</v>
      </c>
      <c r="F224" s="127">
        <v>45931</v>
      </c>
      <c r="G224" s="28">
        <v>301002</v>
      </c>
      <c r="H224" s="40" t="s">
        <v>489</v>
      </c>
      <c r="I224" s="38">
        <v>8726</v>
      </c>
      <c r="J224" s="29" t="s">
        <v>490</v>
      </c>
      <c r="K224" s="29"/>
      <c r="M224" s="53"/>
      <c r="N224" s="54">
        <f>Tabela1[[#This Row],[PREÇO]]*Tabela1[[#This Row],[MTS]]</f>
        <v>0</v>
      </c>
      <c r="O224" s="378" t="s">
        <v>386</v>
      </c>
      <c r="P224" s="448" t="s">
        <v>387</v>
      </c>
      <c r="Q224" s="378" t="s">
        <v>491</v>
      </c>
    </row>
    <row r="225" spans="1:19" hidden="1" x14ac:dyDescent="0.3">
      <c r="A225" s="312" t="s">
        <v>488</v>
      </c>
      <c r="B225" s="7" t="s">
        <v>48</v>
      </c>
      <c r="C225" s="248" t="s">
        <v>49</v>
      </c>
      <c r="D225" s="211"/>
      <c r="E225" s="41">
        <v>45951</v>
      </c>
      <c r="F225" s="127">
        <v>45962</v>
      </c>
      <c r="G225" s="141">
        <v>35148</v>
      </c>
      <c r="H225" s="40" t="s">
        <v>496</v>
      </c>
      <c r="I225" s="297">
        <v>8727</v>
      </c>
      <c r="J225" s="29" t="s">
        <v>492</v>
      </c>
      <c r="K225" s="29"/>
      <c r="M225" s="142"/>
      <c r="N225" s="54">
        <f>Tabela1[[#This Row],[PREÇO]]*Tabela1[[#This Row],[MTS]]</f>
        <v>0</v>
      </c>
      <c r="O225" s="378" t="s">
        <v>52</v>
      </c>
      <c r="P225" s="378" t="s">
        <v>53</v>
      </c>
      <c r="Q225" s="425" t="s">
        <v>54</v>
      </c>
      <c r="R225" s="425"/>
      <c r="S225" s="451"/>
    </row>
    <row r="226" spans="1:19" hidden="1" x14ac:dyDescent="0.3">
      <c r="A226" s="312" t="s">
        <v>488</v>
      </c>
      <c r="B226" s="7" t="s">
        <v>48</v>
      </c>
      <c r="C226" s="248" t="s">
        <v>49</v>
      </c>
      <c r="D226" s="211"/>
      <c r="E226" s="41">
        <v>45951</v>
      </c>
      <c r="F226" s="127">
        <v>45962</v>
      </c>
      <c r="G226" s="106">
        <v>32341</v>
      </c>
      <c r="H226" s="40" t="s">
        <v>369</v>
      </c>
      <c r="I226" s="297">
        <v>8727</v>
      </c>
      <c r="J226" s="29" t="s">
        <v>493</v>
      </c>
      <c r="K226" s="29"/>
      <c r="M226" s="142"/>
      <c r="N226" s="54">
        <f>Tabela1[[#This Row],[PREÇO]]*Tabela1[[#This Row],[MTS]]</f>
        <v>0</v>
      </c>
      <c r="O226" s="378" t="s">
        <v>52</v>
      </c>
      <c r="P226" s="378" t="s">
        <v>53</v>
      </c>
      <c r="Q226" s="425" t="s">
        <v>54</v>
      </c>
      <c r="R226" s="425"/>
      <c r="S226" s="451"/>
    </row>
    <row r="227" spans="1:19" hidden="1" x14ac:dyDescent="0.3">
      <c r="A227" s="312" t="s">
        <v>488</v>
      </c>
      <c r="B227" s="7" t="s">
        <v>48</v>
      </c>
      <c r="C227" s="248" t="s">
        <v>49</v>
      </c>
      <c r="D227" s="211"/>
      <c r="E227" s="41">
        <v>45951</v>
      </c>
      <c r="F227" s="127">
        <v>45962</v>
      </c>
      <c r="G227" s="106">
        <v>35082</v>
      </c>
      <c r="H227" s="40" t="s">
        <v>497</v>
      </c>
      <c r="I227" s="297">
        <v>8727</v>
      </c>
      <c r="J227" s="29" t="s">
        <v>494</v>
      </c>
      <c r="K227" s="29"/>
      <c r="M227" s="142"/>
      <c r="N227" s="54">
        <f>Tabela1[[#This Row],[PREÇO]]*Tabela1[[#This Row],[MTS]]</f>
        <v>0</v>
      </c>
      <c r="O227" s="378" t="s">
        <v>52</v>
      </c>
      <c r="P227" s="378" t="s">
        <v>53</v>
      </c>
      <c r="Q227" s="425" t="s">
        <v>54</v>
      </c>
      <c r="R227" s="425"/>
      <c r="S227" s="451"/>
    </row>
    <row r="228" spans="1:19" ht="14.25" hidden="1" customHeight="1" x14ac:dyDescent="0.3">
      <c r="A228" s="312" t="s">
        <v>488</v>
      </c>
      <c r="B228" s="7" t="s">
        <v>48</v>
      </c>
      <c r="C228" s="248" t="s">
        <v>49</v>
      </c>
      <c r="D228" s="211"/>
      <c r="E228" s="41">
        <v>45951</v>
      </c>
      <c r="F228" s="127">
        <v>45962</v>
      </c>
      <c r="G228" s="106">
        <v>35149</v>
      </c>
      <c r="H228" s="40" t="s">
        <v>206</v>
      </c>
      <c r="I228" s="297">
        <v>8727</v>
      </c>
      <c r="J228" s="29" t="s">
        <v>495</v>
      </c>
      <c r="K228" s="29"/>
      <c r="M228" s="142"/>
      <c r="N228" s="54">
        <f>Tabela1[[#This Row],[PREÇO]]*Tabela1[[#This Row],[MTS]]</f>
        <v>0</v>
      </c>
      <c r="O228" s="378" t="s">
        <v>52</v>
      </c>
      <c r="P228" s="378" t="s">
        <v>53</v>
      </c>
      <c r="Q228" s="425" t="s">
        <v>54</v>
      </c>
      <c r="R228" s="425"/>
      <c r="S228" s="451"/>
    </row>
    <row r="229" spans="1:19" hidden="1" x14ac:dyDescent="0.3">
      <c r="A229" s="312" t="s">
        <v>468</v>
      </c>
      <c r="B229" s="7" t="s">
        <v>498</v>
      </c>
      <c r="C229" s="248" t="s">
        <v>499</v>
      </c>
      <c r="D229" s="211"/>
      <c r="E229" s="41">
        <v>45950</v>
      </c>
      <c r="F229" s="127">
        <v>45962</v>
      </c>
      <c r="G229" s="106" t="s">
        <v>509</v>
      </c>
      <c r="H229" s="40" t="s">
        <v>525</v>
      </c>
      <c r="I229" s="38">
        <v>8773</v>
      </c>
      <c r="J229" s="29" t="s">
        <v>500</v>
      </c>
      <c r="K229" s="29"/>
      <c r="L229" s="129"/>
      <c r="M229" s="29"/>
      <c r="N229" s="54">
        <f>Tabela1[[#This Row],[PREÇO]]*Tabela1[[#This Row],[MTS]]</f>
        <v>0</v>
      </c>
      <c r="O229" s="378" t="s">
        <v>506</v>
      </c>
      <c r="P229" s="448" t="s">
        <v>507</v>
      </c>
      <c r="Q229" s="378" t="s">
        <v>508</v>
      </c>
    </row>
    <row r="230" spans="1:19" hidden="1" x14ac:dyDescent="0.3">
      <c r="A230" s="312" t="s">
        <v>468</v>
      </c>
      <c r="B230" s="7" t="s">
        <v>498</v>
      </c>
      <c r="C230" s="248" t="s">
        <v>499</v>
      </c>
      <c r="D230" s="211"/>
      <c r="E230" s="41">
        <v>45950</v>
      </c>
      <c r="F230" s="127">
        <v>45962</v>
      </c>
      <c r="G230" s="106" t="s">
        <v>510</v>
      </c>
      <c r="H230" s="40" t="s">
        <v>526</v>
      </c>
      <c r="I230" s="38">
        <v>8773</v>
      </c>
      <c r="J230" s="29" t="s">
        <v>500</v>
      </c>
      <c r="K230" s="29"/>
      <c r="L230" s="129"/>
      <c r="M230" s="29"/>
      <c r="N230" s="54">
        <f>Tabela1[[#This Row],[PREÇO]]*Tabela1[[#This Row],[MTS]]</f>
        <v>0</v>
      </c>
      <c r="O230" s="378" t="s">
        <v>506</v>
      </c>
      <c r="P230" s="448" t="s">
        <v>507</v>
      </c>
      <c r="Q230" s="378" t="s">
        <v>508</v>
      </c>
    </row>
    <row r="231" spans="1:19" hidden="1" x14ac:dyDescent="0.3">
      <c r="A231" s="312" t="s">
        <v>468</v>
      </c>
      <c r="B231" s="7" t="s">
        <v>498</v>
      </c>
      <c r="C231" s="248" t="s">
        <v>499</v>
      </c>
      <c r="D231" s="211"/>
      <c r="E231" s="41">
        <v>45950</v>
      </c>
      <c r="F231" s="127">
        <v>45962</v>
      </c>
      <c r="G231" s="106" t="s">
        <v>511</v>
      </c>
      <c r="H231" s="40" t="s">
        <v>527</v>
      </c>
      <c r="I231" s="38">
        <v>8773</v>
      </c>
      <c r="J231" s="29" t="s">
        <v>500</v>
      </c>
      <c r="K231" s="29"/>
      <c r="L231" s="129"/>
      <c r="M231" s="29"/>
      <c r="N231" s="54">
        <f>Tabela1[[#This Row],[PREÇO]]*Tabela1[[#This Row],[MTS]]</f>
        <v>0</v>
      </c>
      <c r="O231" s="378" t="s">
        <v>506</v>
      </c>
      <c r="P231" s="448" t="s">
        <v>507</v>
      </c>
      <c r="Q231" s="378" t="s">
        <v>508</v>
      </c>
    </row>
    <row r="232" spans="1:19" hidden="1" x14ac:dyDescent="0.3">
      <c r="A232" s="312" t="s">
        <v>468</v>
      </c>
      <c r="B232" s="7" t="s">
        <v>498</v>
      </c>
      <c r="C232" s="248" t="s">
        <v>499</v>
      </c>
      <c r="D232" s="211"/>
      <c r="E232" s="41">
        <v>45950</v>
      </c>
      <c r="F232" s="127">
        <v>45962</v>
      </c>
      <c r="G232" s="106" t="s">
        <v>512</v>
      </c>
      <c r="H232" s="40" t="s">
        <v>528</v>
      </c>
      <c r="I232" s="38">
        <v>8773</v>
      </c>
      <c r="J232" s="29" t="s">
        <v>500</v>
      </c>
      <c r="K232" s="29"/>
      <c r="L232" s="129"/>
      <c r="M232" s="29"/>
      <c r="N232" s="54">
        <f>Tabela1[[#This Row],[PREÇO]]*Tabela1[[#This Row],[MTS]]</f>
        <v>0</v>
      </c>
      <c r="O232" s="378" t="s">
        <v>506</v>
      </c>
      <c r="P232" s="448" t="s">
        <v>507</v>
      </c>
      <c r="Q232" s="378" t="s">
        <v>508</v>
      </c>
    </row>
    <row r="233" spans="1:19" hidden="1" x14ac:dyDescent="0.3">
      <c r="A233" s="312" t="s">
        <v>468</v>
      </c>
      <c r="B233" s="7" t="s">
        <v>498</v>
      </c>
      <c r="C233" s="248" t="s">
        <v>499</v>
      </c>
      <c r="D233" s="211"/>
      <c r="E233" s="41">
        <v>45950</v>
      </c>
      <c r="F233" s="127">
        <v>45962</v>
      </c>
      <c r="G233" s="106" t="s">
        <v>513</v>
      </c>
      <c r="H233" s="40" t="s">
        <v>529</v>
      </c>
      <c r="I233" s="38">
        <v>8773</v>
      </c>
      <c r="J233" s="29" t="s">
        <v>500</v>
      </c>
      <c r="K233" s="29"/>
      <c r="L233" s="129"/>
      <c r="M233" s="29"/>
      <c r="N233" s="54">
        <f>Tabela1[[#This Row],[PREÇO]]*Tabela1[[#This Row],[MTS]]</f>
        <v>0</v>
      </c>
      <c r="O233" s="378" t="s">
        <v>506</v>
      </c>
      <c r="P233" s="448" t="s">
        <v>507</v>
      </c>
      <c r="Q233" s="378" t="s">
        <v>508</v>
      </c>
    </row>
    <row r="234" spans="1:19" hidden="1" x14ac:dyDescent="0.3">
      <c r="A234" s="312" t="s">
        <v>468</v>
      </c>
      <c r="B234" s="7" t="s">
        <v>498</v>
      </c>
      <c r="C234" s="248" t="s">
        <v>499</v>
      </c>
      <c r="D234" s="211"/>
      <c r="E234" s="41">
        <v>45950</v>
      </c>
      <c r="F234" s="127">
        <v>45962</v>
      </c>
      <c r="G234" s="106" t="s">
        <v>514</v>
      </c>
      <c r="H234" s="40" t="s">
        <v>530</v>
      </c>
      <c r="I234" s="38">
        <v>8773</v>
      </c>
      <c r="J234" s="29" t="s">
        <v>500</v>
      </c>
      <c r="K234" s="29"/>
      <c r="L234" s="129"/>
      <c r="M234" s="29"/>
      <c r="N234" s="54">
        <f>Tabela1[[#This Row],[PREÇO]]*Tabela1[[#This Row],[MTS]]</f>
        <v>0</v>
      </c>
      <c r="O234" s="378" t="s">
        <v>506</v>
      </c>
      <c r="P234" s="448" t="s">
        <v>507</v>
      </c>
      <c r="Q234" s="378" t="s">
        <v>508</v>
      </c>
    </row>
    <row r="235" spans="1:19" hidden="1" x14ac:dyDescent="0.3">
      <c r="A235" s="312" t="s">
        <v>468</v>
      </c>
      <c r="B235" s="7" t="s">
        <v>498</v>
      </c>
      <c r="C235" s="248" t="s">
        <v>499</v>
      </c>
      <c r="D235" s="211"/>
      <c r="E235" s="41">
        <v>45950</v>
      </c>
      <c r="F235" s="127">
        <v>45962</v>
      </c>
      <c r="G235" s="106" t="s">
        <v>515</v>
      </c>
      <c r="H235" s="40" t="s">
        <v>531</v>
      </c>
      <c r="I235" s="38">
        <v>8773</v>
      </c>
      <c r="J235" s="29" t="s">
        <v>500</v>
      </c>
      <c r="K235" s="29"/>
      <c r="L235" s="129"/>
      <c r="M235" s="29"/>
      <c r="N235" s="54">
        <f>Tabela1[[#This Row],[PREÇO]]*Tabela1[[#This Row],[MTS]]</f>
        <v>0</v>
      </c>
      <c r="O235" s="378" t="s">
        <v>506</v>
      </c>
      <c r="P235" s="448" t="s">
        <v>507</v>
      </c>
      <c r="Q235" s="378" t="s">
        <v>508</v>
      </c>
    </row>
    <row r="236" spans="1:19" hidden="1" x14ac:dyDescent="0.3">
      <c r="A236" s="312" t="s">
        <v>468</v>
      </c>
      <c r="B236" s="7" t="s">
        <v>498</v>
      </c>
      <c r="C236" s="248" t="s">
        <v>499</v>
      </c>
      <c r="D236" s="211"/>
      <c r="E236" s="41">
        <v>45950</v>
      </c>
      <c r="F236" s="127">
        <v>45962</v>
      </c>
      <c r="G236" s="106" t="s">
        <v>516</v>
      </c>
      <c r="H236" s="40" t="s">
        <v>532</v>
      </c>
      <c r="I236" s="38">
        <v>8773</v>
      </c>
      <c r="J236" s="29" t="s">
        <v>500</v>
      </c>
      <c r="K236" s="29"/>
      <c r="L236" s="129"/>
      <c r="M236" s="29"/>
      <c r="N236" s="54">
        <f>Tabela1[[#This Row],[PREÇO]]*Tabela1[[#This Row],[MTS]]</f>
        <v>0</v>
      </c>
      <c r="O236" s="378" t="s">
        <v>506</v>
      </c>
      <c r="P236" s="448" t="s">
        <v>507</v>
      </c>
      <c r="Q236" s="378" t="s">
        <v>508</v>
      </c>
    </row>
    <row r="237" spans="1:19" hidden="1" x14ac:dyDescent="0.3">
      <c r="A237" s="312" t="s">
        <v>468</v>
      </c>
      <c r="B237" s="7" t="s">
        <v>498</v>
      </c>
      <c r="C237" s="248" t="s">
        <v>499</v>
      </c>
      <c r="D237" s="211"/>
      <c r="E237" s="41">
        <v>45950</v>
      </c>
      <c r="F237" s="127">
        <v>45962</v>
      </c>
      <c r="G237" s="106" t="s">
        <v>517</v>
      </c>
      <c r="H237" s="40" t="s">
        <v>533</v>
      </c>
      <c r="I237" s="38">
        <v>8773</v>
      </c>
      <c r="J237" s="29" t="s">
        <v>501</v>
      </c>
      <c r="K237" s="29"/>
      <c r="L237" s="129"/>
      <c r="M237" s="29"/>
      <c r="N237" s="54">
        <f>Tabela1[[#This Row],[PREÇO]]*Tabela1[[#This Row],[MTS]]</f>
        <v>0</v>
      </c>
      <c r="O237" s="378" t="s">
        <v>506</v>
      </c>
      <c r="P237" s="448" t="s">
        <v>507</v>
      </c>
      <c r="Q237" s="378" t="s">
        <v>508</v>
      </c>
    </row>
    <row r="238" spans="1:19" hidden="1" x14ac:dyDescent="0.3">
      <c r="A238" s="312" t="s">
        <v>468</v>
      </c>
      <c r="B238" s="7" t="s">
        <v>498</v>
      </c>
      <c r="C238" s="248" t="s">
        <v>499</v>
      </c>
      <c r="D238" s="211"/>
      <c r="E238" s="41">
        <v>45950</v>
      </c>
      <c r="F238" s="127">
        <v>45962</v>
      </c>
      <c r="G238" s="106" t="s">
        <v>518</v>
      </c>
      <c r="H238" s="40" t="s">
        <v>534</v>
      </c>
      <c r="I238" s="38">
        <v>8773</v>
      </c>
      <c r="J238" s="29" t="s">
        <v>501</v>
      </c>
      <c r="K238" s="29"/>
      <c r="L238" s="129"/>
      <c r="M238" s="29"/>
      <c r="N238" s="54">
        <f>Tabela1[[#This Row],[PREÇO]]*Tabela1[[#This Row],[MTS]]</f>
        <v>0</v>
      </c>
      <c r="O238" s="378" t="s">
        <v>506</v>
      </c>
      <c r="P238" s="448" t="s">
        <v>507</v>
      </c>
      <c r="Q238" s="378" t="s">
        <v>508</v>
      </c>
    </row>
    <row r="239" spans="1:19" hidden="1" x14ac:dyDescent="0.3">
      <c r="A239" s="312" t="s">
        <v>468</v>
      </c>
      <c r="B239" s="7" t="s">
        <v>498</v>
      </c>
      <c r="C239" s="248" t="s">
        <v>499</v>
      </c>
      <c r="D239" s="211"/>
      <c r="E239" s="41">
        <v>45950</v>
      </c>
      <c r="F239" s="127">
        <v>45962</v>
      </c>
      <c r="G239" s="106" t="s">
        <v>519</v>
      </c>
      <c r="H239" s="40" t="s">
        <v>535</v>
      </c>
      <c r="I239" s="38">
        <v>8773</v>
      </c>
      <c r="J239" s="29" t="s">
        <v>502</v>
      </c>
      <c r="K239" s="29"/>
      <c r="L239" s="129"/>
      <c r="M239" s="29"/>
      <c r="N239" s="54">
        <f>Tabela1[[#This Row],[PREÇO]]*Tabela1[[#This Row],[MTS]]</f>
        <v>0</v>
      </c>
      <c r="O239" s="378" t="s">
        <v>506</v>
      </c>
      <c r="P239" s="448" t="s">
        <v>507</v>
      </c>
      <c r="Q239" s="378" t="s">
        <v>508</v>
      </c>
    </row>
    <row r="240" spans="1:19" hidden="1" x14ac:dyDescent="0.3">
      <c r="A240" s="312" t="s">
        <v>468</v>
      </c>
      <c r="B240" s="7" t="s">
        <v>498</v>
      </c>
      <c r="C240" s="248" t="s">
        <v>499</v>
      </c>
      <c r="D240" s="211"/>
      <c r="E240" s="41">
        <v>45950</v>
      </c>
      <c r="F240" s="127">
        <v>45962</v>
      </c>
      <c r="G240" s="106" t="s">
        <v>520</v>
      </c>
      <c r="H240" s="40" t="s">
        <v>536</v>
      </c>
      <c r="I240" s="38">
        <v>8773</v>
      </c>
      <c r="J240" s="29" t="s">
        <v>503</v>
      </c>
      <c r="K240" s="29"/>
      <c r="L240" s="129"/>
      <c r="M240" s="90"/>
      <c r="N240" s="54">
        <f>Tabela1[[#This Row],[PREÇO]]*Tabela1[[#This Row],[MTS]]</f>
        <v>0</v>
      </c>
      <c r="O240" s="378" t="s">
        <v>506</v>
      </c>
      <c r="P240" s="448" t="s">
        <v>507</v>
      </c>
      <c r="Q240" s="378" t="s">
        <v>508</v>
      </c>
    </row>
    <row r="241" spans="1:19" hidden="1" x14ac:dyDescent="0.3">
      <c r="A241" s="312" t="s">
        <v>468</v>
      </c>
      <c r="B241" s="7" t="s">
        <v>498</v>
      </c>
      <c r="C241" s="248" t="s">
        <v>499</v>
      </c>
      <c r="D241" s="211"/>
      <c r="E241" s="41">
        <v>45950</v>
      </c>
      <c r="F241" s="127">
        <v>45962</v>
      </c>
      <c r="G241" s="106" t="s">
        <v>521</v>
      </c>
      <c r="H241" s="40" t="s">
        <v>537</v>
      </c>
      <c r="I241" s="38">
        <v>8773</v>
      </c>
      <c r="J241" s="29" t="s">
        <v>504</v>
      </c>
      <c r="K241" s="29"/>
      <c r="L241" s="129"/>
      <c r="M241" s="90"/>
      <c r="N241" s="54">
        <f>Tabela1[[#This Row],[PREÇO]]*Tabela1[[#This Row],[MTS]]</f>
        <v>0</v>
      </c>
      <c r="O241" s="378" t="s">
        <v>506</v>
      </c>
      <c r="P241" s="448" t="s">
        <v>507</v>
      </c>
      <c r="Q241" s="378" t="s">
        <v>508</v>
      </c>
    </row>
    <row r="242" spans="1:19" hidden="1" x14ac:dyDescent="0.3">
      <c r="A242" s="312" t="s">
        <v>468</v>
      </c>
      <c r="B242" s="7" t="s">
        <v>498</v>
      </c>
      <c r="C242" s="248" t="s">
        <v>499</v>
      </c>
      <c r="D242" s="211"/>
      <c r="E242" s="41">
        <v>45950</v>
      </c>
      <c r="F242" s="127">
        <v>45962</v>
      </c>
      <c r="G242" s="106" t="s">
        <v>522</v>
      </c>
      <c r="H242" s="40" t="s">
        <v>538</v>
      </c>
      <c r="I242" s="38">
        <v>8773</v>
      </c>
      <c r="J242" s="29" t="s">
        <v>504</v>
      </c>
      <c r="K242" s="29"/>
      <c r="L242" s="129"/>
      <c r="M242" s="90"/>
      <c r="N242" s="54">
        <f>Tabela1[[#This Row],[PREÇO]]*Tabela1[[#This Row],[MTS]]</f>
        <v>0</v>
      </c>
      <c r="O242" s="378" t="s">
        <v>506</v>
      </c>
      <c r="P242" s="448" t="s">
        <v>507</v>
      </c>
      <c r="Q242" s="378" t="s">
        <v>508</v>
      </c>
    </row>
    <row r="243" spans="1:19" hidden="1" x14ac:dyDescent="0.3">
      <c r="A243" s="312" t="s">
        <v>468</v>
      </c>
      <c r="B243" s="7" t="s">
        <v>498</v>
      </c>
      <c r="C243" s="248" t="s">
        <v>499</v>
      </c>
      <c r="D243" s="211"/>
      <c r="E243" s="41">
        <v>45950</v>
      </c>
      <c r="F243" s="127">
        <v>45962</v>
      </c>
      <c r="G243" s="106" t="s">
        <v>523</v>
      </c>
      <c r="H243" s="40" t="s">
        <v>539</v>
      </c>
      <c r="I243" s="38">
        <v>8773</v>
      </c>
      <c r="J243" s="29" t="s">
        <v>505</v>
      </c>
      <c r="K243" s="29"/>
      <c r="L243" s="129"/>
      <c r="M243" s="90"/>
      <c r="N243" s="54">
        <f>Tabela1[[#This Row],[PREÇO]]*Tabela1[[#This Row],[MTS]]</f>
        <v>0</v>
      </c>
      <c r="O243" s="378" t="s">
        <v>506</v>
      </c>
      <c r="P243" s="448" t="s">
        <v>507</v>
      </c>
      <c r="Q243" s="378" t="s">
        <v>508</v>
      </c>
    </row>
    <row r="244" spans="1:19" hidden="1" x14ac:dyDescent="0.3">
      <c r="A244" s="328" t="s">
        <v>451</v>
      </c>
      <c r="B244" s="7" t="s">
        <v>180</v>
      </c>
      <c r="C244" s="248" t="s">
        <v>70</v>
      </c>
      <c r="D244" s="211"/>
      <c r="E244" s="224">
        <v>45925</v>
      </c>
      <c r="F244" s="127">
        <v>45931</v>
      </c>
      <c r="G244" s="47" t="s">
        <v>542</v>
      </c>
      <c r="H244" s="403" t="s">
        <v>544</v>
      </c>
      <c r="I244" s="38">
        <v>8798</v>
      </c>
      <c r="J244" s="29" t="s">
        <v>543</v>
      </c>
      <c r="K244" s="29"/>
      <c r="L244" s="129"/>
      <c r="M244" s="143"/>
      <c r="N244" s="54">
        <f>Tabela1[[#This Row],[PREÇO]]*Tabela1[[#This Row],[MTS]]</f>
        <v>0</v>
      </c>
      <c r="O244" s="452" t="s">
        <v>186</v>
      </c>
      <c r="P244" s="452" t="s">
        <v>186</v>
      </c>
      <c r="Q244" s="452" t="s">
        <v>186</v>
      </c>
      <c r="R244" s="452"/>
      <c r="S244" s="468"/>
    </row>
    <row r="245" spans="1:19" hidden="1" x14ac:dyDescent="0.3">
      <c r="A245" s="329" t="s">
        <v>524</v>
      </c>
      <c r="B245" s="7" t="s">
        <v>272</v>
      </c>
      <c r="C245" s="248" t="s">
        <v>49</v>
      </c>
      <c r="D245" s="211"/>
      <c r="E245" s="41">
        <v>45964</v>
      </c>
      <c r="F245" s="127">
        <v>45962</v>
      </c>
      <c r="G245" s="47" t="s">
        <v>546</v>
      </c>
      <c r="H245" s="162" t="s">
        <v>560</v>
      </c>
      <c r="I245" s="38">
        <v>8811</v>
      </c>
      <c r="J245" s="29" t="s">
        <v>549</v>
      </c>
      <c r="K245" s="29"/>
      <c r="L245" s="128"/>
      <c r="M245" s="53"/>
      <c r="N245" s="118">
        <f>Tabela1[[#This Row],[PREÇO]]*Tabela1[[#This Row],[MTS]]</f>
        <v>0</v>
      </c>
      <c r="O245" s="378" t="s">
        <v>380</v>
      </c>
      <c r="P245" s="448" t="s">
        <v>381</v>
      </c>
      <c r="Q245" s="452" t="s">
        <v>186</v>
      </c>
      <c r="R245" s="452"/>
      <c r="S245" s="468"/>
    </row>
    <row r="246" spans="1:19" hidden="1" x14ac:dyDescent="0.3">
      <c r="A246" s="329" t="s">
        <v>524</v>
      </c>
      <c r="B246" s="7" t="s">
        <v>272</v>
      </c>
      <c r="C246" s="248" t="s">
        <v>49</v>
      </c>
      <c r="D246" s="211"/>
      <c r="E246" s="41">
        <v>45964</v>
      </c>
      <c r="F246" s="127">
        <v>45962</v>
      </c>
      <c r="G246" s="47" t="s">
        <v>547</v>
      </c>
      <c r="H246" s="469" t="s">
        <v>561</v>
      </c>
      <c r="I246" s="38">
        <v>8811</v>
      </c>
      <c r="J246" s="29" t="s">
        <v>550</v>
      </c>
      <c r="K246" s="29"/>
      <c r="L246" s="128"/>
      <c r="M246" s="53"/>
      <c r="N246" s="118">
        <f>Tabela1[[#This Row],[PREÇO]]*Tabela1[[#This Row],[MTS]]</f>
        <v>0</v>
      </c>
      <c r="O246" s="378" t="s">
        <v>380</v>
      </c>
      <c r="P246" s="448" t="s">
        <v>381</v>
      </c>
      <c r="Q246" s="452" t="s">
        <v>186</v>
      </c>
      <c r="R246" s="452"/>
      <c r="S246" s="468"/>
    </row>
    <row r="247" spans="1:19" hidden="1" x14ac:dyDescent="0.3">
      <c r="A247" s="329" t="s">
        <v>524</v>
      </c>
      <c r="B247" s="7" t="s">
        <v>272</v>
      </c>
      <c r="C247" s="248" t="s">
        <v>49</v>
      </c>
      <c r="D247" s="211"/>
      <c r="E247" s="41">
        <v>45964</v>
      </c>
      <c r="F247" s="127">
        <v>45962</v>
      </c>
      <c r="G247" s="47" t="s">
        <v>566</v>
      </c>
      <c r="H247" s="470" t="s">
        <v>563</v>
      </c>
      <c r="I247" s="38">
        <v>8811</v>
      </c>
      <c r="J247" s="29" t="s">
        <v>551</v>
      </c>
      <c r="K247" s="29"/>
      <c r="L247" s="128"/>
      <c r="M247" s="53"/>
      <c r="N247" s="118">
        <f>Tabela1[[#This Row],[PREÇO]]*Tabela1[[#This Row],[MTS]]</f>
        <v>0</v>
      </c>
      <c r="O247" s="378" t="s">
        <v>380</v>
      </c>
      <c r="P247" s="448" t="s">
        <v>381</v>
      </c>
      <c r="Q247" s="452" t="s">
        <v>186</v>
      </c>
      <c r="R247" s="452"/>
      <c r="S247" s="468"/>
    </row>
    <row r="248" spans="1:19" hidden="1" x14ac:dyDescent="0.3">
      <c r="A248" s="329" t="s">
        <v>524</v>
      </c>
      <c r="B248" s="7" t="s">
        <v>272</v>
      </c>
      <c r="C248" s="248" t="s">
        <v>49</v>
      </c>
      <c r="D248" s="211"/>
      <c r="E248" s="41">
        <v>45964</v>
      </c>
      <c r="F248" s="127">
        <v>45962</v>
      </c>
      <c r="G248" s="47" t="s">
        <v>566</v>
      </c>
      <c r="H248" s="471" t="s">
        <v>567</v>
      </c>
      <c r="I248" s="38">
        <v>8811</v>
      </c>
      <c r="J248" s="144" t="s">
        <v>552</v>
      </c>
      <c r="K248" s="29"/>
      <c r="L248" s="128"/>
      <c r="M248" s="53"/>
      <c r="N248" s="118">
        <f>Tabela1[[#This Row],[PREÇO]]*Tabela1[[#This Row],[MTS]]</f>
        <v>0</v>
      </c>
      <c r="O248" s="378" t="s">
        <v>380</v>
      </c>
      <c r="P248" s="448" t="s">
        <v>381</v>
      </c>
      <c r="Q248" s="452" t="s">
        <v>186</v>
      </c>
      <c r="R248" s="452"/>
      <c r="S248" s="468"/>
    </row>
    <row r="249" spans="1:19" hidden="1" x14ac:dyDescent="0.3">
      <c r="A249" s="329" t="s">
        <v>524</v>
      </c>
      <c r="B249" s="7" t="s">
        <v>272</v>
      </c>
      <c r="C249" s="248" t="s">
        <v>49</v>
      </c>
      <c r="D249" s="211"/>
      <c r="E249" s="41">
        <v>45964</v>
      </c>
      <c r="F249" s="127">
        <v>45962</v>
      </c>
      <c r="G249" s="47" t="s">
        <v>548</v>
      </c>
      <c r="H249" s="162" t="s">
        <v>562</v>
      </c>
      <c r="I249" s="38">
        <v>8811</v>
      </c>
      <c r="J249" s="29" t="s">
        <v>553</v>
      </c>
      <c r="K249" s="150"/>
      <c r="L249" s="128"/>
      <c r="M249" s="53"/>
      <c r="N249" s="118">
        <f>Tabela1[[#This Row],[PREÇO]]*Tabela1[[#This Row],[MTS]]</f>
        <v>0</v>
      </c>
      <c r="O249" s="378" t="s">
        <v>380</v>
      </c>
      <c r="P249" s="448" t="s">
        <v>381</v>
      </c>
      <c r="Q249" s="452" t="s">
        <v>186</v>
      </c>
      <c r="R249" s="452"/>
      <c r="S249" s="468"/>
    </row>
    <row r="250" spans="1:19" hidden="1" x14ac:dyDescent="0.3">
      <c r="A250" s="329" t="s">
        <v>524</v>
      </c>
      <c r="B250" s="7" t="s">
        <v>272</v>
      </c>
      <c r="C250" s="248" t="s">
        <v>49</v>
      </c>
      <c r="D250" s="211"/>
      <c r="E250" s="41">
        <v>45964</v>
      </c>
      <c r="F250" s="127">
        <v>45962</v>
      </c>
      <c r="G250" s="47" t="s">
        <v>565</v>
      </c>
      <c r="H250" s="186" t="s">
        <v>564</v>
      </c>
      <c r="I250" s="38">
        <v>8811</v>
      </c>
      <c r="J250" s="29" t="s">
        <v>559</v>
      </c>
      <c r="K250" s="29"/>
      <c r="M250" s="53"/>
      <c r="N250" s="118">
        <f>Tabela1[[#This Row],[PREÇO]]*Tabela1[[#This Row],[MTS]]</f>
        <v>0</v>
      </c>
      <c r="O250" s="378" t="s">
        <v>380</v>
      </c>
      <c r="P250" s="448" t="s">
        <v>381</v>
      </c>
      <c r="Q250" s="452" t="s">
        <v>186</v>
      </c>
      <c r="R250" s="452"/>
      <c r="S250" s="468"/>
    </row>
    <row r="251" spans="1:19" hidden="1" x14ac:dyDescent="0.3">
      <c r="A251" s="312" t="s">
        <v>545</v>
      </c>
      <c r="B251" s="7" t="s">
        <v>48</v>
      </c>
      <c r="C251" s="248" t="s">
        <v>49</v>
      </c>
      <c r="D251" s="211"/>
      <c r="E251" s="41">
        <v>45964</v>
      </c>
      <c r="F251" s="127">
        <v>45962</v>
      </c>
      <c r="G251" s="145">
        <v>32282</v>
      </c>
      <c r="H251" s="40">
        <v>1523</v>
      </c>
      <c r="I251" s="297">
        <v>8799</v>
      </c>
      <c r="J251" s="29" t="s">
        <v>554</v>
      </c>
      <c r="K251" s="29"/>
      <c r="L251" s="96"/>
      <c r="M251" s="29"/>
      <c r="N251" s="54">
        <f>Tabela1[[#This Row],[PREÇO]]*Tabela1[[#This Row],[MTS]]</f>
        <v>0</v>
      </c>
      <c r="O251" s="378" t="s">
        <v>52</v>
      </c>
      <c r="P251" s="378" t="s">
        <v>53</v>
      </c>
      <c r="Q251" s="425" t="s">
        <v>54</v>
      </c>
      <c r="R251" s="425"/>
      <c r="S251" s="451"/>
    </row>
    <row r="252" spans="1:19" hidden="1" x14ac:dyDescent="0.3">
      <c r="A252" s="312" t="s">
        <v>545</v>
      </c>
      <c r="B252" s="7" t="s">
        <v>48</v>
      </c>
      <c r="C252" s="248" t="s">
        <v>49</v>
      </c>
      <c r="D252" s="211"/>
      <c r="E252" s="41">
        <v>45964</v>
      </c>
      <c r="F252" s="127">
        <v>45962</v>
      </c>
      <c r="G252" s="28">
        <v>2540014</v>
      </c>
      <c r="H252" s="40">
        <v>3009</v>
      </c>
      <c r="I252" s="297">
        <v>8799</v>
      </c>
      <c r="J252" s="150" t="s">
        <v>493</v>
      </c>
      <c r="K252" s="29"/>
      <c r="L252" s="96"/>
      <c r="M252" s="53"/>
      <c r="N252" s="54">
        <f>Tabela1[[#This Row],[PREÇO]]*Tabela1[[#This Row],[MTS]]</f>
        <v>0</v>
      </c>
      <c r="O252" s="378" t="s">
        <v>52</v>
      </c>
      <c r="P252" s="378" t="s">
        <v>53</v>
      </c>
      <c r="Q252" s="425" t="s">
        <v>54</v>
      </c>
      <c r="R252" s="425"/>
      <c r="S252" s="451"/>
    </row>
    <row r="253" spans="1:19" hidden="1" x14ac:dyDescent="0.3">
      <c r="A253" s="312" t="s">
        <v>545</v>
      </c>
      <c r="B253" s="7" t="s">
        <v>48</v>
      </c>
      <c r="C253" s="248" t="s">
        <v>49</v>
      </c>
      <c r="D253" s="211"/>
      <c r="E253" s="41">
        <v>45964</v>
      </c>
      <c r="F253" s="127">
        <v>45962</v>
      </c>
      <c r="G253" s="433" t="s">
        <v>253</v>
      </c>
      <c r="H253" s="40">
        <v>2054</v>
      </c>
      <c r="I253" s="297">
        <v>8799</v>
      </c>
      <c r="J253" s="29" t="s">
        <v>555</v>
      </c>
      <c r="K253" s="29"/>
      <c r="L253" s="96"/>
      <c r="M253" s="109"/>
      <c r="N253" s="54">
        <f>Tabela1[[#This Row],[PREÇO]]*Tabela1[[#This Row],[MTS]]</f>
        <v>0</v>
      </c>
      <c r="O253" s="378" t="s">
        <v>52</v>
      </c>
      <c r="P253" s="378" t="s">
        <v>53</v>
      </c>
      <c r="Q253" s="425" t="s">
        <v>54</v>
      </c>
      <c r="R253" s="425"/>
      <c r="S253" s="451"/>
    </row>
    <row r="254" spans="1:19" hidden="1" x14ac:dyDescent="0.3">
      <c r="A254" s="312" t="s">
        <v>545</v>
      </c>
      <c r="B254" s="7" t="s">
        <v>48</v>
      </c>
      <c r="C254" s="248" t="s">
        <v>49</v>
      </c>
      <c r="D254" s="211"/>
      <c r="E254" s="41">
        <v>45964</v>
      </c>
      <c r="F254" s="127">
        <v>45962</v>
      </c>
      <c r="G254" s="40">
        <v>2540033</v>
      </c>
      <c r="H254" s="40">
        <v>3589</v>
      </c>
      <c r="I254" s="297">
        <v>8799</v>
      </c>
      <c r="J254" s="150" t="s">
        <v>556</v>
      </c>
      <c r="K254" s="29"/>
      <c r="L254" s="96"/>
      <c r="M254" s="53"/>
      <c r="N254" s="54">
        <f>Tabela1[[#This Row],[PREÇO]]*Tabela1[[#This Row],[MTS]]</f>
        <v>0</v>
      </c>
      <c r="O254" s="378" t="s">
        <v>52</v>
      </c>
      <c r="P254" s="378" t="s">
        <v>53</v>
      </c>
      <c r="Q254" s="425" t="s">
        <v>54</v>
      </c>
      <c r="R254" s="425"/>
      <c r="S254" s="451"/>
    </row>
    <row r="255" spans="1:19" hidden="1" x14ac:dyDescent="0.3">
      <c r="A255" s="312" t="s">
        <v>545</v>
      </c>
      <c r="B255" s="7" t="s">
        <v>48</v>
      </c>
      <c r="C255" s="248" t="s">
        <v>49</v>
      </c>
      <c r="D255" s="211"/>
      <c r="E255" s="41">
        <v>45964</v>
      </c>
      <c r="F255" s="127">
        <v>45962</v>
      </c>
      <c r="G255" s="433" t="s">
        <v>558</v>
      </c>
      <c r="H255" s="40">
        <v>2053</v>
      </c>
      <c r="I255" s="297">
        <v>8799</v>
      </c>
      <c r="J255" s="29" t="s">
        <v>557</v>
      </c>
      <c r="K255" s="29"/>
      <c r="L255" s="96"/>
      <c r="M255" s="109"/>
      <c r="N255" s="54">
        <f>Tabela1[[#This Row],[PREÇO]]*Tabela1[[#This Row],[MTS]]</f>
        <v>0</v>
      </c>
      <c r="O255" s="378" t="s">
        <v>52</v>
      </c>
      <c r="P255" s="378" t="s">
        <v>53</v>
      </c>
      <c r="Q255" s="425" t="s">
        <v>54</v>
      </c>
      <c r="R255" s="425"/>
      <c r="S255" s="451"/>
    </row>
    <row r="256" spans="1:19" hidden="1" x14ac:dyDescent="0.3">
      <c r="A256" s="330" t="s">
        <v>568</v>
      </c>
      <c r="B256" s="7" t="s">
        <v>179</v>
      </c>
      <c r="C256" s="248" t="s">
        <v>21</v>
      </c>
      <c r="D256" s="211"/>
      <c r="E256" s="41">
        <v>45968</v>
      </c>
      <c r="F256" s="127">
        <v>45962</v>
      </c>
      <c r="G256" s="28" t="s">
        <v>196</v>
      </c>
      <c r="H256" s="40">
        <v>3200014</v>
      </c>
      <c r="I256" s="38">
        <v>8614</v>
      </c>
      <c r="J256" s="29" t="s">
        <v>176</v>
      </c>
      <c r="K256" s="147"/>
      <c r="M256" s="53"/>
      <c r="N256" s="54">
        <f>Tabela1[[#This Row],[PREÇO]]*Tabela1[[#This Row],[MTS]]</f>
        <v>0</v>
      </c>
      <c r="O256" s="378" t="s">
        <v>183</v>
      </c>
      <c r="P256" s="448" t="s">
        <v>184</v>
      </c>
      <c r="Q256" s="378" t="s">
        <v>185</v>
      </c>
    </row>
    <row r="257" spans="1:19" hidden="1" x14ac:dyDescent="0.3">
      <c r="A257" s="312" t="s">
        <v>569</v>
      </c>
      <c r="B257" s="7" t="s">
        <v>69</v>
      </c>
      <c r="C257" s="248" t="s">
        <v>70</v>
      </c>
      <c r="D257" s="211"/>
      <c r="E257" s="41">
        <v>45971</v>
      </c>
      <c r="F257" s="127">
        <v>45962</v>
      </c>
      <c r="G257" s="433" t="s">
        <v>570</v>
      </c>
      <c r="H257" s="40" t="s">
        <v>160</v>
      </c>
      <c r="I257" s="38">
        <v>8863</v>
      </c>
      <c r="J257" s="29" t="s">
        <v>572</v>
      </c>
      <c r="K257" s="29"/>
      <c r="L257" s="128"/>
      <c r="M257" s="29"/>
      <c r="N257" s="54">
        <f>Tabela1[[#This Row],[PREÇO]]*Tabela1[[#This Row],[MTS]]</f>
        <v>0</v>
      </c>
      <c r="O257" s="378" t="s">
        <v>72</v>
      </c>
      <c r="P257" s="378" t="s">
        <v>73</v>
      </c>
      <c r="Q257" s="378" t="s">
        <v>74</v>
      </c>
    </row>
    <row r="258" spans="1:19" hidden="1" x14ac:dyDescent="0.3">
      <c r="A258" s="312" t="s">
        <v>569</v>
      </c>
      <c r="B258" s="7" t="s">
        <v>69</v>
      </c>
      <c r="C258" s="248" t="s">
        <v>70</v>
      </c>
      <c r="D258" s="211"/>
      <c r="E258" s="41">
        <v>45971</v>
      </c>
      <c r="F258" s="127">
        <v>45962</v>
      </c>
      <c r="G258" s="433" t="s">
        <v>571</v>
      </c>
      <c r="H258" s="40" t="s">
        <v>450</v>
      </c>
      <c r="I258" s="38">
        <v>8863</v>
      </c>
      <c r="J258" s="29" t="s">
        <v>573</v>
      </c>
      <c r="K258" s="29"/>
      <c r="L258" s="128"/>
      <c r="M258" s="29"/>
      <c r="N258" s="54">
        <f>Tabela1[[#This Row],[PREÇO]]*Tabela1[[#This Row],[MTS]]</f>
        <v>0</v>
      </c>
      <c r="O258" s="378" t="s">
        <v>72</v>
      </c>
      <c r="P258" s="378" t="s">
        <v>73</v>
      </c>
      <c r="Q258" s="378" t="s">
        <v>74</v>
      </c>
    </row>
    <row r="259" spans="1:19" hidden="1" x14ac:dyDescent="0.3">
      <c r="A259" s="312" t="s">
        <v>575</v>
      </c>
      <c r="B259" s="7" t="s">
        <v>470</v>
      </c>
      <c r="C259" s="248" t="s">
        <v>21</v>
      </c>
      <c r="D259" s="211"/>
      <c r="E259" s="41">
        <v>45979</v>
      </c>
      <c r="F259" s="127">
        <v>45962</v>
      </c>
      <c r="G259" s="433">
        <v>1121110</v>
      </c>
      <c r="H259" s="40" t="s">
        <v>207</v>
      </c>
      <c r="I259" s="38">
        <v>8953</v>
      </c>
      <c r="J259" s="456" t="s">
        <v>576</v>
      </c>
      <c r="K259" s="29"/>
      <c r="L259" s="129"/>
      <c r="M259" s="53"/>
      <c r="N259" s="54">
        <f>Tabela1[[#This Row],[PREÇO]]*Tabela1[[#This Row],[MTS]]</f>
        <v>0</v>
      </c>
      <c r="O259" s="378" t="s">
        <v>471</v>
      </c>
      <c r="P259" s="378" t="s">
        <v>122</v>
      </c>
      <c r="Q259" s="454" t="s">
        <v>472</v>
      </c>
      <c r="R259" s="454"/>
      <c r="S259" s="455"/>
    </row>
    <row r="260" spans="1:19" hidden="1" x14ac:dyDescent="0.3">
      <c r="A260" s="312" t="s">
        <v>575</v>
      </c>
      <c r="B260" s="7" t="s">
        <v>470</v>
      </c>
      <c r="C260" s="248" t="s">
        <v>21</v>
      </c>
      <c r="D260" s="211"/>
      <c r="E260" s="41">
        <v>45979</v>
      </c>
      <c r="F260" s="127">
        <v>45962</v>
      </c>
      <c r="G260" s="433">
        <v>87052</v>
      </c>
      <c r="H260" s="40" t="s">
        <v>577</v>
      </c>
      <c r="I260" s="38">
        <v>8953</v>
      </c>
      <c r="J260" s="29" t="s">
        <v>578</v>
      </c>
      <c r="K260" s="29"/>
      <c r="L260" s="129"/>
      <c r="M260" s="53"/>
      <c r="N260" s="54">
        <f>Tabela1[[#This Row],[PREÇO]]*Tabela1[[#This Row],[MTS]]</f>
        <v>0</v>
      </c>
      <c r="O260" s="378" t="s">
        <v>471</v>
      </c>
      <c r="P260" s="378" t="s">
        <v>122</v>
      </c>
      <c r="Q260" s="454" t="s">
        <v>472</v>
      </c>
      <c r="R260" s="454"/>
      <c r="S260" s="455"/>
    </row>
    <row r="261" spans="1:19" hidden="1" x14ac:dyDescent="0.3">
      <c r="A261" s="312" t="s">
        <v>579</v>
      </c>
      <c r="B261" s="7" t="s">
        <v>180</v>
      </c>
      <c r="C261" s="248" t="s">
        <v>70</v>
      </c>
      <c r="D261" s="211"/>
      <c r="E261" s="41">
        <v>45985</v>
      </c>
      <c r="F261" s="127">
        <v>45992</v>
      </c>
      <c r="G261" s="28" t="s">
        <v>581</v>
      </c>
      <c r="H261" s="213" t="s">
        <v>580</v>
      </c>
      <c r="I261" s="38">
        <v>9030</v>
      </c>
      <c r="J261" s="29" t="s">
        <v>582</v>
      </c>
      <c r="K261" s="29"/>
      <c r="M261" s="53"/>
      <c r="N261" s="54">
        <f>Tabela1[[#This Row],[PREÇO]]*Tabela1[[#This Row],[MTS]]</f>
        <v>0</v>
      </c>
      <c r="O261" s="378" t="s">
        <v>80</v>
      </c>
    </row>
    <row r="262" spans="1:19" hidden="1" x14ac:dyDescent="0.3">
      <c r="A262" s="312" t="s">
        <v>579</v>
      </c>
      <c r="B262" s="7" t="s">
        <v>180</v>
      </c>
      <c r="C262" s="248" t="s">
        <v>70</v>
      </c>
      <c r="D262" s="211"/>
      <c r="E262" s="41">
        <v>45985</v>
      </c>
      <c r="F262" s="127">
        <v>45992</v>
      </c>
      <c r="G262" s="148" t="s">
        <v>583</v>
      </c>
      <c r="H262" s="472" t="s">
        <v>584</v>
      </c>
      <c r="I262" s="38">
        <v>9030</v>
      </c>
      <c r="J262" s="29" t="s">
        <v>585</v>
      </c>
      <c r="K262" s="29"/>
      <c r="M262" s="53"/>
      <c r="N262" s="54">
        <f>Tabela1[[#This Row],[PREÇO]]*Tabela1[[#This Row],[MTS]]</f>
        <v>0</v>
      </c>
      <c r="O262" s="378" t="s">
        <v>80</v>
      </c>
    </row>
    <row r="263" spans="1:19" hidden="1" x14ac:dyDescent="0.3">
      <c r="A263" s="312" t="s">
        <v>586</v>
      </c>
      <c r="B263" s="7" t="s">
        <v>180</v>
      </c>
      <c r="C263" s="248" t="s">
        <v>70</v>
      </c>
      <c r="D263" s="211"/>
      <c r="E263" s="41">
        <v>45985</v>
      </c>
      <c r="F263" s="127">
        <v>45992</v>
      </c>
      <c r="G263" s="28" t="s">
        <v>590</v>
      </c>
      <c r="H263" s="28" t="s">
        <v>587</v>
      </c>
      <c r="I263" s="38">
        <v>9035</v>
      </c>
      <c r="J263" s="29" t="s">
        <v>593</v>
      </c>
      <c r="K263" s="29"/>
      <c r="M263" s="29"/>
      <c r="N263" s="54">
        <f>Tabela1[[#This Row],[PREÇO]]*Tabela1[[#This Row],[MTS]]</f>
        <v>0</v>
      </c>
      <c r="O263" s="378" t="s">
        <v>80</v>
      </c>
    </row>
    <row r="264" spans="1:19" hidden="1" x14ac:dyDescent="0.3">
      <c r="A264" s="312" t="s">
        <v>586</v>
      </c>
      <c r="B264" s="7" t="s">
        <v>180</v>
      </c>
      <c r="C264" s="248" t="s">
        <v>70</v>
      </c>
      <c r="D264" s="211"/>
      <c r="E264" s="41">
        <v>45985</v>
      </c>
      <c r="F264" s="127">
        <v>45992</v>
      </c>
      <c r="G264" s="28" t="s">
        <v>591</v>
      </c>
      <c r="H264" s="28" t="s">
        <v>588</v>
      </c>
      <c r="I264" s="38">
        <v>9035</v>
      </c>
      <c r="J264" s="29" t="s">
        <v>594</v>
      </c>
      <c r="K264" s="29"/>
      <c r="M264" s="29"/>
      <c r="N264" s="54">
        <f>Tabela1[[#This Row],[PREÇO]]*Tabela1[[#This Row],[MTS]]</f>
        <v>0</v>
      </c>
      <c r="O264" s="378" t="s">
        <v>80</v>
      </c>
    </row>
    <row r="265" spans="1:19" hidden="1" x14ac:dyDescent="0.3">
      <c r="A265" s="312" t="s">
        <v>586</v>
      </c>
      <c r="B265" s="7" t="s">
        <v>180</v>
      </c>
      <c r="C265" s="248" t="s">
        <v>70</v>
      </c>
      <c r="D265" s="211"/>
      <c r="E265" s="41">
        <v>45985</v>
      </c>
      <c r="F265" s="127">
        <v>45992</v>
      </c>
      <c r="G265" s="28" t="s">
        <v>592</v>
      </c>
      <c r="H265" s="28" t="s">
        <v>589</v>
      </c>
      <c r="I265" s="38">
        <v>9035</v>
      </c>
      <c r="J265" s="29" t="s">
        <v>595</v>
      </c>
      <c r="K265" s="29"/>
      <c r="M265" s="29"/>
      <c r="N265" s="54">
        <f>Tabela1[[#This Row],[PREÇO]]*Tabela1[[#This Row],[MTS]]</f>
        <v>0</v>
      </c>
      <c r="O265" s="378" t="s">
        <v>80</v>
      </c>
    </row>
    <row r="266" spans="1:19" hidden="1" x14ac:dyDescent="0.3">
      <c r="A266" s="312" t="s">
        <v>574</v>
      </c>
      <c r="B266" s="7" t="s">
        <v>596</v>
      </c>
      <c r="C266" s="248" t="s">
        <v>13</v>
      </c>
      <c r="D266" s="211"/>
      <c r="E266" s="41">
        <v>45988</v>
      </c>
      <c r="F266" s="127">
        <v>45992</v>
      </c>
      <c r="G266" s="209" t="s">
        <v>608</v>
      </c>
      <c r="H266" s="40" t="s">
        <v>600</v>
      </c>
      <c r="I266" s="38">
        <v>9037</v>
      </c>
      <c r="J266" s="473" t="s">
        <v>604</v>
      </c>
      <c r="K266" s="29"/>
      <c r="L266" s="128"/>
      <c r="M266" s="149"/>
      <c r="N266" s="54">
        <f>Tabela1[[#This Row],[PREÇO]]*Tabela1[[#This Row],[MTS]]</f>
        <v>0</v>
      </c>
      <c r="O266" s="378" t="s">
        <v>122</v>
      </c>
    </row>
    <row r="267" spans="1:19" hidden="1" x14ac:dyDescent="0.3">
      <c r="A267" s="312" t="s">
        <v>574</v>
      </c>
      <c r="B267" s="7" t="s">
        <v>596</v>
      </c>
      <c r="C267" s="248" t="s">
        <v>13</v>
      </c>
      <c r="D267" s="211"/>
      <c r="E267" s="41">
        <v>45988</v>
      </c>
      <c r="F267" s="127">
        <v>45992</v>
      </c>
      <c r="G267" s="293" t="s">
        <v>597</v>
      </c>
      <c r="H267" s="40" t="s">
        <v>601</v>
      </c>
      <c r="I267" s="38">
        <v>9037</v>
      </c>
      <c r="J267" s="29" t="s">
        <v>605</v>
      </c>
      <c r="K267" s="29"/>
      <c r="L267" s="128"/>
      <c r="M267" s="149"/>
      <c r="N267" s="54">
        <f>Tabela1[[#This Row],[PREÇO]]*Tabela1[[#This Row],[MTS]]</f>
        <v>0</v>
      </c>
      <c r="O267" s="378" t="s">
        <v>122</v>
      </c>
    </row>
    <row r="268" spans="1:19" hidden="1" x14ac:dyDescent="0.3">
      <c r="A268" s="312" t="s">
        <v>574</v>
      </c>
      <c r="B268" s="7" t="s">
        <v>596</v>
      </c>
      <c r="C268" s="248" t="s">
        <v>13</v>
      </c>
      <c r="D268" s="211"/>
      <c r="E268" s="41">
        <v>45988</v>
      </c>
      <c r="F268" s="127">
        <v>45992</v>
      </c>
      <c r="G268" s="293" t="s">
        <v>598</v>
      </c>
      <c r="H268" s="40" t="s">
        <v>602</v>
      </c>
      <c r="I268" s="38">
        <v>9037</v>
      </c>
      <c r="J268" s="29" t="s">
        <v>606</v>
      </c>
      <c r="K268" s="29"/>
      <c r="L268" s="128"/>
      <c r="M268" s="149"/>
      <c r="N268" s="54">
        <f>Tabela1[[#This Row],[PREÇO]]*Tabela1[[#This Row],[MTS]]</f>
        <v>0</v>
      </c>
      <c r="O268" s="378" t="s">
        <v>122</v>
      </c>
    </row>
    <row r="269" spans="1:19" hidden="1" x14ac:dyDescent="0.3">
      <c r="A269" s="312" t="s">
        <v>574</v>
      </c>
      <c r="B269" s="7" t="s">
        <v>596</v>
      </c>
      <c r="C269" s="248" t="s">
        <v>13</v>
      </c>
      <c r="D269" s="211"/>
      <c r="E269" s="41">
        <v>45988</v>
      </c>
      <c r="F269" s="127">
        <v>45992</v>
      </c>
      <c r="G269" s="293" t="s">
        <v>599</v>
      </c>
      <c r="H269" s="40" t="s">
        <v>603</v>
      </c>
      <c r="I269" s="38">
        <v>9037</v>
      </c>
      <c r="J269" s="29" t="s">
        <v>607</v>
      </c>
      <c r="K269" s="29"/>
      <c r="L269" s="128"/>
      <c r="M269" s="149"/>
      <c r="N269" s="54">
        <f>Tabela1[[#This Row],[PREÇO]]*Tabela1[[#This Row],[MTS]]</f>
        <v>0</v>
      </c>
      <c r="O269" s="378" t="s">
        <v>122</v>
      </c>
    </row>
    <row r="270" spans="1:19" hidden="1" x14ac:dyDescent="0.3">
      <c r="A270" s="309" t="s">
        <v>611</v>
      </c>
      <c r="B270" s="7" t="s">
        <v>69</v>
      </c>
      <c r="C270" s="248" t="s">
        <v>70</v>
      </c>
      <c r="D270" s="211">
        <v>448</v>
      </c>
      <c r="E270" s="41">
        <v>46002</v>
      </c>
      <c r="F270" s="154">
        <v>46023</v>
      </c>
      <c r="G270" s="433" t="s">
        <v>632</v>
      </c>
      <c r="H270" s="40" t="s">
        <v>160</v>
      </c>
      <c r="I270" s="39">
        <v>9124</v>
      </c>
      <c r="J270" s="29" t="s">
        <v>572</v>
      </c>
      <c r="K270" s="29">
        <v>1300</v>
      </c>
      <c r="L270" s="63">
        <v>866</v>
      </c>
      <c r="M270" s="29">
        <v>2.25</v>
      </c>
      <c r="N270" s="54">
        <f>Tabela1[[#This Row],[PREÇO]]*Tabela1[[#This Row],[MTS]]</f>
        <v>2925</v>
      </c>
      <c r="O270" s="378" t="s">
        <v>72</v>
      </c>
      <c r="P270" s="378" t="s">
        <v>73</v>
      </c>
      <c r="Q270" s="378" t="s">
        <v>74</v>
      </c>
      <c r="R270" s="378" t="s">
        <v>651</v>
      </c>
      <c r="S270" s="474" t="s">
        <v>835</v>
      </c>
    </row>
    <row r="271" spans="1:19" hidden="1" x14ac:dyDescent="0.3">
      <c r="A271" s="312" t="s">
        <v>609</v>
      </c>
      <c r="B271" s="7" t="s">
        <v>610</v>
      </c>
      <c r="C271" s="248" t="s">
        <v>49</v>
      </c>
      <c r="D271" s="211">
        <v>2049</v>
      </c>
      <c r="E271" s="41">
        <v>46002</v>
      </c>
      <c r="F271" s="154">
        <v>46023</v>
      </c>
      <c r="G271" s="28" t="s">
        <v>624</v>
      </c>
      <c r="H271" s="212" t="s">
        <v>615</v>
      </c>
      <c r="I271" s="39">
        <v>9125</v>
      </c>
      <c r="J271" s="29" t="s">
        <v>634</v>
      </c>
      <c r="K271" s="29">
        <v>500</v>
      </c>
      <c r="L271" s="128">
        <v>264</v>
      </c>
      <c r="M271" s="29">
        <v>4.95</v>
      </c>
      <c r="N271" s="54">
        <f>Tabela1[[#This Row],[PREÇO]]*Tabela1[[#This Row],[MTS]]</f>
        <v>2475</v>
      </c>
      <c r="O271" s="378" t="s">
        <v>612</v>
      </c>
      <c r="P271" s="448" t="s">
        <v>613</v>
      </c>
      <c r="Q271" s="378" t="s">
        <v>614</v>
      </c>
      <c r="R271" s="378" t="s">
        <v>652</v>
      </c>
      <c r="S271" s="474" t="s">
        <v>835</v>
      </c>
    </row>
    <row r="272" spans="1:19" hidden="1" x14ac:dyDescent="0.3">
      <c r="A272" s="309" t="s">
        <v>609</v>
      </c>
      <c r="B272" s="7" t="s">
        <v>610</v>
      </c>
      <c r="C272" s="248" t="s">
        <v>49</v>
      </c>
      <c r="D272" s="211">
        <v>2049</v>
      </c>
      <c r="E272" s="41">
        <v>46002</v>
      </c>
      <c r="F272" s="154">
        <v>46023</v>
      </c>
      <c r="G272" s="28" t="s">
        <v>625</v>
      </c>
      <c r="H272" s="212" t="s">
        <v>616</v>
      </c>
      <c r="I272" s="39">
        <v>9125</v>
      </c>
      <c r="J272" s="29" t="s">
        <v>635</v>
      </c>
      <c r="K272" s="29">
        <v>500</v>
      </c>
      <c r="L272" s="128">
        <v>204</v>
      </c>
      <c r="M272" s="29">
        <v>4.75</v>
      </c>
      <c r="N272" s="54">
        <f>Tabela1[[#This Row],[PREÇO]]*Tabela1[[#This Row],[MTS]]</f>
        <v>2375</v>
      </c>
      <c r="O272" s="378" t="s">
        <v>612</v>
      </c>
      <c r="P272" s="448" t="s">
        <v>613</v>
      </c>
      <c r="Q272" s="378" t="s">
        <v>614</v>
      </c>
      <c r="S272" s="474" t="s">
        <v>835</v>
      </c>
    </row>
    <row r="273" spans="1:19" hidden="1" x14ac:dyDescent="0.3">
      <c r="A273" s="309" t="s">
        <v>609</v>
      </c>
      <c r="B273" s="7" t="s">
        <v>610</v>
      </c>
      <c r="C273" s="248" t="s">
        <v>49</v>
      </c>
      <c r="D273" s="211">
        <v>2049</v>
      </c>
      <c r="E273" s="41">
        <v>46002</v>
      </c>
      <c r="F273" s="154">
        <v>46023</v>
      </c>
      <c r="G273" s="28" t="s">
        <v>626</v>
      </c>
      <c r="H273" s="212" t="s">
        <v>617</v>
      </c>
      <c r="I273" s="39">
        <v>9125</v>
      </c>
      <c r="J273" s="29" t="s">
        <v>636</v>
      </c>
      <c r="K273" s="151">
        <v>500</v>
      </c>
      <c r="L273" s="128">
        <v>204</v>
      </c>
      <c r="M273" s="29">
        <v>3.52</v>
      </c>
      <c r="N273" s="54">
        <f>Tabela1[[#This Row],[PREÇO]]*Tabela1[[#This Row],[MTS]]</f>
        <v>1760</v>
      </c>
      <c r="O273" s="378" t="s">
        <v>612</v>
      </c>
      <c r="P273" s="448" t="s">
        <v>613</v>
      </c>
      <c r="Q273" s="378" t="s">
        <v>614</v>
      </c>
      <c r="S273" s="474" t="s">
        <v>835</v>
      </c>
    </row>
    <row r="274" spans="1:19" hidden="1" x14ac:dyDescent="0.3">
      <c r="A274" s="309" t="s">
        <v>609</v>
      </c>
      <c r="B274" s="7" t="s">
        <v>610</v>
      </c>
      <c r="C274" s="248" t="s">
        <v>49</v>
      </c>
      <c r="D274" s="211">
        <v>2049</v>
      </c>
      <c r="E274" s="41">
        <v>46002</v>
      </c>
      <c r="F274" s="154">
        <v>46023</v>
      </c>
      <c r="G274" s="28" t="s">
        <v>627</v>
      </c>
      <c r="H274" s="212" t="s">
        <v>618</v>
      </c>
      <c r="I274" s="39">
        <v>9125</v>
      </c>
      <c r="J274" s="29" t="s">
        <v>637</v>
      </c>
      <c r="K274" s="151">
        <v>500</v>
      </c>
      <c r="L274" s="128">
        <v>204</v>
      </c>
      <c r="M274" s="29">
        <v>3.51</v>
      </c>
      <c r="N274" s="54">
        <f>Tabela1[[#This Row],[PREÇO]]*Tabela1[[#This Row],[MTS]]</f>
        <v>1755</v>
      </c>
      <c r="O274" s="378" t="s">
        <v>612</v>
      </c>
      <c r="P274" s="448" t="s">
        <v>613</v>
      </c>
      <c r="Q274" s="378" t="s">
        <v>614</v>
      </c>
      <c r="S274" s="474" t="s">
        <v>835</v>
      </c>
    </row>
    <row r="275" spans="1:19" hidden="1" x14ac:dyDescent="0.3">
      <c r="A275" s="309" t="s">
        <v>609</v>
      </c>
      <c r="B275" s="7" t="s">
        <v>610</v>
      </c>
      <c r="C275" s="248" t="s">
        <v>49</v>
      </c>
      <c r="D275" s="211">
        <v>2049</v>
      </c>
      <c r="E275" s="41">
        <v>46002</v>
      </c>
      <c r="F275" s="154">
        <v>46023</v>
      </c>
      <c r="G275" s="28" t="s">
        <v>628</v>
      </c>
      <c r="H275" s="212" t="s">
        <v>619</v>
      </c>
      <c r="I275" s="39">
        <v>9125</v>
      </c>
      <c r="J275" s="29" t="s">
        <v>638</v>
      </c>
      <c r="K275" s="151">
        <v>500</v>
      </c>
      <c r="L275" s="128">
        <v>150</v>
      </c>
      <c r="M275" s="29">
        <v>2.2200000000000002</v>
      </c>
      <c r="N275" s="54">
        <f>Tabela1[[#This Row],[PREÇO]]*Tabela1[[#This Row],[MTS]]</f>
        <v>1110</v>
      </c>
      <c r="O275" s="378" t="s">
        <v>612</v>
      </c>
      <c r="P275" s="448" t="s">
        <v>613</v>
      </c>
      <c r="Q275" s="378" t="s">
        <v>614</v>
      </c>
      <c r="S275" s="474" t="s">
        <v>835</v>
      </c>
    </row>
    <row r="276" spans="1:19" hidden="1" x14ac:dyDescent="0.3">
      <c r="A276" s="309" t="s">
        <v>609</v>
      </c>
      <c r="B276" s="7" t="s">
        <v>610</v>
      </c>
      <c r="C276" s="248" t="s">
        <v>49</v>
      </c>
      <c r="D276" s="211">
        <v>2049</v>
      </c>
      <c r="E276" s="41">
        <v>46002</v>
      </c>
      <c r="F276" s="154">
        <v>46023</v>
      </c>
      <c r="G276" s="28" t="s">
        <v>629</v>
      </c>
      <c r="H276" s="212" t="s">
        <v>620</v>
      </c>
      <c r="I276" s="39">
        <v>9125</v>
      </c>
      <c r="J276" s="29" t="s">
        <v>639</v>
      </c>
      <c r="K276" s="151">
        <v>500</v>
      </c>
      <c r="L276" s="128">
        <v>135</v>
      </c>
      <c r="M276" s="29">
        <v>1.97</v>
      </c>
      <c r="N276" s="54">
        <f>Tabela1[[#This Row],[PREÇO]]*Tabela1[[#This Row],[MTS]]</f>
        <v>985</v>
      </c>
      <c r="O276" s="378" t="s">
        <v>612</v>
      </c>
      <c r="P276" s="448" t="s">
        <v>613</v>
      </c>
      <c r="Q276" s="378" t="s">
        <v>614</v>
      </c>
      <c r="S276" s="474" t="s">
        <v>835</v>
      </c>
    </row>
    <row r="277" spans="1:19" hidden="1" x14ac:dyDescent="0.3">
      <c r="A277" s="309" t="s">
        <v>609</v>
      </c>
      <c r="B277" s="7" t="s">
        <v>610</v>
      </c>
      <c r="C277" s="248" t="s">
        <v>49</v>
      </c>
      <c r="D277" s="211">
        <v>2049</v>
      </c>
      <c r="E277" s="41">
        <v>46002</v>
      </c>
      <c r="F277" s="154">
        <v>46023</v>
      </c>
      <c r="G277" s="28" t="s">
        <v>630</v>
      </c>
      <c r="H277" s="212" t="s">
        <v>621</v>
      </c>
      <c r="I277" s="39">
        <v>9125</v>
      </c>
      <c r="J277" s="29" t="s">
        <v>640</v>
      </c>
      <c r="K277" s="151">
        <v>500</v>
      </c>
      <c r="L277" s="128">
        <v>120</v>
      </c>
      <c r="M277" s="29">
        <v>1.9</v>
      </c>
      <c r="N277" s="54">
        <f>Tabela1[[#This Row],[PREÇO]]*Tabela1[[#This Row],[MTS]]</f>
        <v>950</v>
      </c>
      <c r="O277" s="378" t="s">
        <v>612</v>
      </c>
      <c r="P277" s="448" t="s">
        <v>613</v>
      </c>
      <c r="Q277" s="378" t="s">
        <v>614</v>
      </c>
      <c r="S277" s="474" t="s">
        <v>835</v>
      </c>
    </row>
    <row r="278" spans="1:19" hidden="1" x14ac:dyDescent="0.3">
      <c r="A278" s="309" t="s">
        <v>609</v>
      </c>
      <c r="B278" s="7" t="s">
        <v>610</v>
      </c>
      <c r="C278" s="248" t="s">
        <v>49</v>
      </c>
      <c r="D278" s="211">
        <v>2049</v>
      </c>
      <c r="E278" s="41">
        <v>46002</v>
      </c>
      <c r="F278" s="154">
        <v>46023</v>
      </c>
      <c r="G278" s="28" t="s">
        <v>631</v>
      </c>
      <c r="H278" s="212" t="s">
        <v>622</v>
      </c>
      <c r="I278" s="39">
        <v>9125</v>
      </c>
      <c r="J278" s="29" t="s">
        <v>641</v>
      </c>
      <c r="K278" s="151">
        <v>400</v>
      </c>
      <c r="L278" s="128">
        <v>110</v>
      </c>
      <c r="M278" s="29">
        <v>1.5</v>
      </c>
      <c r="N278" s="54">
        <f>Tabela1[[#This Row],[PREÇO]]*Tabela1[[#This Row],[MTS]]</f>
        <v>600</v>
      </c>
      <c r="O278" s="378" t="s">
        <v>612</v>
      </c>
      <c r="P278" s="448" t="s">
        <v>613</v>
      </c>
      <c r="Q278" s="378" t="s">
        <v>614</v>
      </c>
      <c r="S278" s="474" t="s">
        <v>835</v>
      </c>
    </row>
    <row r="279" spans="1:19" hidden="1" x14ac:dyDescent="0.3">
      <c r="A279" s="312" t="s">
        <v>609</v>
      </c>
      <c r="B279" s="7" t="s">
        <v>610</v>
      </c>
      <c r="C279" s="248" t="s">
        <v>49</v>
      </c>
      <c r="D279" s="211">
        <v>2049</v>
      </c>
      <c r="E279" s="41">
        <v>46002</v>
      </c>
      <c r="F279" s="154">
        <v>46023</v>
      </c>
      <c r="G279" s="28" t="s">
        <v>633</v>
      </c>
      <c r="H279" s="212" t="s">
        <v>623</v>
      </c>
      <c r="I279" s="39">
        <v>9125</v>
      </c>
      <c r="J279" s="29" t="s">
        <v>642</v>
      </c>
      <c r="K279" s="152">
        <v>2000</v>
      </c>
      <c r="L279" s="128">
        <v>1200</v>
      </c>
      <c r="M279" s="29">
        <v>4.9800000000000004</v>
      </c>
      <c r="N279" s="54">
        <f>Tabela1[[#This Row],[PREÇO]]*Tabela1[[#This Row],[MTS]]</f>
        <v>9960</v>
      </c>
      <c r="O279" s="378" t="s">
        <v>612</v>
      </c>
      <c r="P279" s="448" t="s">
        <v>613</v>
      </c>
      <c r="Q279" s="378" t="s">
        <v>614</v>
      </c>
      <c r="R279" s="378" t="s">
        <v>652</v>
      </c>
      <c r="S279" s="474" t="s">
        <v>835</v>
      </c>
    </row>
    <row r="280" spans="1:19" hidden="1" x14ac:dyDescent="0.3">
      <c r="A280" s="312" t="s">
        <v>650</v>
      </c>
      <c r="B280" s="7" t="s">
        <v>180</v>
      </c>
      <c r="C280" s="248" t="s">
        <v>70</v>
      </c>
      <c r="D280" s="211">
        <v>1372</v>
      </c>
      <c r="E280" s="41">
        <v>46010</v>
      </c>
      <c r="F280" s="154">
        <v>46023</v>
      </c>
      <c r="G280" s="28" t="s">
        <v>646</v>
      </c>
      <c r="H280" s="40" t="s">
        <v>461</v>
      </c>
      <c r="I280" s="38">
        <v>9157</v>
      </c>
      <c r="J280" s="29" t="s">
        <v>645</v>
      </c>
      <c r="K280" s="29">
        <v>1000</v>
      </c>
      <c r="L280" s="63">
        <v>600</v>
      </c>
      <c r="M280" s="53">
        <v>5.17</v>
      </c>
      <c r="N280" s="54">
        <f>Tabela1[[#This Row],[PREÇO]]*Tabela1[[#This Row],[MTS]]</f>
        <v>5170</v>
      </c>
      <c r="Q280" s="425"/>
      <c r="S280" s="474" t="s">
        <v>835</v>
      </c>
    </row>
    <row r="281" spans="1:19" x14ac:dyDescent="0.3">
      <c r="A281" s="426" t="s">
        <v>656</v>
      </c>
      <c r="B281" s="7" t="s">
        <v>657</v>
      </c>
      <c r="C281" s="248" t="s">
        <v>105</v>
      </c>
      <c r="D281" s="211">
        <v>993</v>
      </c>
      <c r="E281" s="41">
        <v>46031</v>
      </c>
      <c r="F281" s="154">
        <v>46023</v>
      </c>
      <c r="G281" s="28">
        <v>301002</v>
      </c>
      <c r="H281" s="40" t="s">
        <v>489</v>
      </c>
      <c r="I281" s="38">
        <v>9176</v>
      </c>
      <c r="J281" s="29" t="s">
        <v>490</v>
      </c>
      <c r="K281" s="29">
        <v>12000</v>
      </c>
      <c r="L281" s="63">
        <v>6000</v>
      </c>
      <c r="M281" s="53">
        <v>1.83</v>
      </c>
      <c r="N281" s="54">
        <f>Tabela1[[#This Row],[PREÇO]]*Tabela1[[#This Row],[MTS]]</f>
        <v>21960</v>
      </c>
      <c r="R281" s="378" t="s">
        <v>659</v>
      </c>
      <c r="S281" s="474" t="s">
        <v>835</v>
      </c>
    </row>
    <row r="282" spans="1:19" x14ac:dyDescent="0.3">
      <c r="A282" s="312" t="s">
        <v>660</v>
      </c>
      <c r="B282" s="7" t="s">
        <v>180</v>
      </c>
      <c r="C282" s="248" t="s">
        <v>70</v>
      </c>
      <c r="D282" s="211">
        <v>1372</v>
      </c>
      <c r="E282" s="41">
        <v>46031</v>
      </c>
      <c r="F282" s="154">
        <v>46023</v>
      </c>
      <c r="G282" s="28" t="s">
        <v>583</v>
      </c>
      <c r="H282" s="40">
        <v>2860012</v>
      </c>
      <c r="I282" s="38">
        <v>9177</v>
      </c>
      <c r="J282" s="29" t="s">
        <v>585</v>
      </c>
      <c r="K282" s="29">
        <v>1000</v>
      </c>
      <c r="L282" s="63">
        <v>1036</v>
      </c>
      <c r="M282" s="53">
        <v>6.49</v>
      </c>
      <c r="N282" s="54">
        <f>Tabela1[[#This Row],[PREÇO]]*Tabela1[[#This Row],[MTS]]</f>
        <v>6490</v>
      </c>
      <c r="S282" s="474" t="s">
        <v>835</v>
      </c>
    </row>
    <row r="283" spans="1:19" x14ac:dyDescent="0.3">
      <c r="A283" s="312" t="s">
        <v>661</v>
      </c>
      <c r="B283" s="7" t="s">
        <v>69</v>
      </c>
      <c r="C283" s="248" t="s">
        <v>70</v>
      </c>
      <c r="D283" s="211">
        <v>448</v>
      </c>
      <c r="E283" s="41">
        <v>46038</v>
      </c>
      <c r="F283" s="154">
        <v>46054</v>
      </c>
      <c r="G283" s="475">
        <v>1122580</v>
      </c>
      <c r="H283" s="40" t="s">
        <v>160</v>
      </c>
      <c r="I283" s="38">
        <v>9206</v>
      </c>
      <c r="J283" s="29" t="s">
        <v>572</v>
      </c>
      <c r="K283" s="29">
        <v>1000</v>
      </c>
      <c r="L283" s="63">
        <v>666</v>
      </c>
      <c r="M283" s="53">
        <v>2.25</v>
      </c>
      <c r="N283" s="54">
        <f>Tabela1[[#This Row],[PREÇO]]*Tabela1[[#This Row],[MTS]]</f>
        <v>2250</v>
      </c>
      <c r="R283" s="378" t="s">
        <v>665</v>
      </c>
      <c r="S283" s="474" t="s">
        <v>835</v>
      </c>
    </row>
    <row r="284" spans="1:19" x14ac:dyDescent="0.3">
      <c r="A284" s="426" t="s">
        <v>663</v>
      </c>
      <c r="B284" s="7" t="s">
        <v>180</v>
      </c>
      <c r="C284" s="248" t="s">
        <v>70</v>
      </c>
      <c r="D284" s="211">
        <v>1372</v>
      </c>
      <c r="E284" s="41">
        <v>46038</v>
      </c>
      <c r="F284" s="154">
        <v>46054</v>
      </c>
      <c r="G284" s="28" t="s">
        <v>542</v>
      </c>
      <c r="H284" s="40" t="s">
        <v>544</v>
      </c>
      <c r="I284" s="38">
        <v>9207</v>
      </c>
      <c r="J284" s="29" t="s">
        <v>666</v>
      </c>
      <c r="K284" s="29">
        <v>1300</v>
      </c>
      <c r="L284" s="63">
        <v>780</v>
      </c>
      <c r="M284" s="53">
        <v>2.98</v>
      </c>
      <c r="N284" s="54">
        <f>Tabela1[[#This Row],[PREÇO]]*Tabela1[[#This Row],[MTS]]</f>
        <v>3874</v>
      </c>
      <c r="R284" s="426" t="s">
        <v>673</v>
      </c>
      <c r="S284" s="474" t="s">
        <v>835</v>
      </c>
    </row>
    <row r="285" spans="1:19" x14ac:dyDescent="0.3">
      <c r="A285" s="312" t="s">
        <v>668</v>
      </c>
      <c r="B285" s="7" t="s">
        <v>969</v>
      </c>
      <c r="C285" s="248" t="s">
        <v>49</v>
      </c>
      <c r="D285" s="211">
        <v>316</v>
      </c>
      <c r="E285" s="41">
        <v>46048</v>
      </c>
      <c r="F285" s="154">
        <v>46054</v>
      </c>
      <c r="G285" s="28">
        <v>32282</v>
      </c>
      <c r="H285" s="40">
        <v>1523</v>
      </c>
      <c r="I285" s="38">
        <v>9233</v>
      </c>
      <c r="J285" s="29" t="s">
        <v>671</v>
      </c>
      <c r="K285" s="29">
        <v>8000</v>
      </c>
      <c r="L285" s="63">
        <v>6400</v>
      </c>
      <c r="M285" s="53">
        <v>1.51</v>
      </c>
      <c r="N285" s="54">
        <f>Tabela1[[#This Row],[PREÇO]]*Tabela1[[#This Row],[MTS]]</f>
        <v>12080</v>
      </c>
      <c r="R285" s="378" t="s">
        <v>674</v>
      </c>
      <c r="S285" s="474" t="s">
        <v>835</v>
      </c>
    </row>
    <row r="286" spans="1:19" x14ac:dyDescent="0.3">
      <c r="A286" s="312" t="s">
        <v>670</v>
      </c>
      <c r="B286" s="7" t="s">
        <v>69</v>
      </c>
      <c r="C286" s="248" t="s">
        <v>70</v>
      </c>
      <c r="D286" s="211">
        <v>448</v>
      </c>
      <c r="E286" s="41">
        <v>46052</v>
      </c>
      <c r="F286" s="154">
        <v>46054</v>
      </c>
      <c r="G286" s="28" t="s">
        <v>677</v>
      </c>
      <c r="H286" s="209" t="s">
        <v>679</v>
      </c>
      <c r="I286" s="38">
        <v>9246</v>
      </c>
      <c r="J286" s="29" t="s">
        <v>1312</v>
      </c>
      <c r="K286" s="29">
        <v>500</v>
      </c>
      <c r="L286" s="63">
        <v>352</v>
      </c>
      <c r="M286" s="53">
        <v>3.94</v>
      </c>
      <c r="N286" s="54">
        <f>Tabela1[[#This Row],[PREÇO]]*Tabela1[[#This Row],[MTS]]</f>
        <v>1970</v>
      </c>
      <c r="R286" s="428" t="s">
        <v>680</v>
      </c>
      <c r="S286" s="474" t="s">
        <v>835</v>
      </c>
    </row>
    <row r="287" spans="1:19" x14ac:dyDescent="0.3">
      <c r="A287" s="312" t="s">
        <v>678</v>
      </c>
      <c r="B287" s="7" t="s">
        <v>686</v>
      </c>
      <c r="C287" s="248" t="s">
        <v>21</v>
      </c>
      <c r="D287" s="211">
        <v>2096</v>
      </c>
      <c r="E287" s="41">
        <v>46066</v>
      </c>
      <c r="F287" s="154">
        <v>46082</v>
      </c>
      <c r="G287" s="28">
        <v>110013</v>
      </c>
      <c r="H287" s="40">
        <v>650</v>
      </c>
      <c r="I287" s="38">
        <v>9469</v>
      </c>
      <c r="J287" s="29" t="s">
        <v>688</v>
      </c>
      <c r="K287" s="29">
        <v>940</v>
      </c>
      <c r="L287" s="128">
        <v>454</v>
      </c>
      <c r="M287" s="53">
        <v>1.5</v>
      </c>
      <c r="N287" s="54">
        <f>Tabela1[[#This Row],[PREÇO]]*Tabela1[[#This Row],[MTS]]</f>
        <v>1410</v>
      </c>
      <c r="R287" s="378" t="s">
        <v>700</v>
      </c>
      <c r="S287" s="476" t="s">
        <v>835</v>
      </c>
    </row>
    <row r="288" spans="1:19" x14ac:dyDescent="0.3">
      <c r="A288" s="312" t="s">
        <v>678</v>
      </c>
      <c r="B288" s="7" t="s">
        <v>686</v>
      </c>
      <c r="C288" s="248" t="s">
        <v>21</v>
      </c>
      <c r="D288" s="211">
        <v>2096</v>
      </c>
      <c r="E288" s="41">
        <v>46066</v>
      </c>
      <c r="F288" s="154">
        <v>46082</v>
      </c>
      <c r="G288" s="28">
        <v>340047</v>
      </c>
      <c r="H288" s="40">
        <v>3815</v>
      </c>
      <c r="I288" s="38">
        <v>9469</v>
      </c>
      <c r="J288" s="29" t="s">
        <v>689</v>
      </c>
      <c r="K288" s="29">
        <v>308</v>
      </c>
      <c r="L288" s="128">
        <v>190</v>
      </c>
      <c r="M288" s="53">
        <v>1.5</v>
      </c>
      <c r="N288" s="54">
        <f>Tabela1[[#This Row],[PREÇO]]*Tabela1[[#This Row],[MTS]]</f>
        <v>462</v>
      </c>
      <c r="R288" s="378" t="s">
        <v>700</v>
      </c>
      <c r="S288" s="476" t="s">
        <v>835</v>
      </c>
    </row>
    <row r="289" spans="1:21" x14ac:dyDescent="0.3">
      <c r="A289" s="312" t="s">
        <v>678</v>
      </c>
      <c r="B289" s="7" t="s">
        <v>686</v>
      </c>
      <c r="C289" s="248" t="s">
        <v>21</v>
      </c>
      <c r="D289" s="211">
        <v>2096</v>
      </c>
      <c r="E289" s="41">
        <v>46066</v>
      </c>
      <c r="F289" s="154">
        <v>46082</v>
      </c>
      <c r="G289" s="28">
        <v>3480004</v>
      </c>
      <c r="H289" s="40">
        <v>3801</v>
      </c>
      <c r="I289" s="38">
        <v>9469</v>
      </c>
      <c r="J289" s="29" t="s">
        <v>690</v>
      </c>
      <c r="K289" s="29">
        <v>279</v>
      </c>
      <c r="L289" s="128">
        <v>135</v>
      </c>
      <c r="M289" s="53">
        <v>1.5</v>
      </c>
      <c r="N289" s="54">
        <f>Tabela1[[#This Row],[PREÇO]]*Tabela1[[#This Row],[MTS]]</f>
        <v>418.5</v>
      </c>
      <c r="R289" s="378" t="s">
        <v>700</v>
      </c>
      <c r="S289" s="476" t="s">
        <v>835</v>
      </c>
    </row>
    <row r="290" spans="1:21" x14ac:dyDescent="0.3">
      <c r="A290" s="312" t="s">
        <v>678</v>
      </c>
      <c r="B290" s="7" t="s">
        <v>686</v>
      </c>
      <c r="C290" s="248" t="s">
        <v>21</v>
      </c>
      <c r="D290" s="211">
        <v>2096</v>
      </c>
      <c r="E290" s="41">
        <v>46066</v>
      </c>
      <c r="F290" s="154">
        <v>46082</v>
      </c>
      <c r="G290" s="28">
        <v>340046</v>
      </c>
      <c r="H290" s="40">
        <v>3813</v>
      </c>
      <c r="I290" s="38">
        <v>9469</v>
      </c>
      <c r="J290" s="29" t="s">
        <v>691</v>
      </c>
      <c r="K290" s="29">
        <v>271</v>
      </c>
      <c r="L290" s="128">
        <v>167</v>
      </c>
      <c r="M290" s="53">
        <v>1.5</v>
      </c>
      <c r="N290" s="54">
        <f>Tabela1[[#This Row],[PREÇO]]*Tabela1[[#This Row],[MTS]]</f>
        <v>406.5</v>
      </c>
      <c r="R290" s="378" t="s">
        <v>700</v>
      </c>
      <c r="S290" s="476" t="s">
        <v>835</v>
      </c>
    </row>
    <row r="291" spans="1:21" x14ac:dyDescent="0.3">
      <c r="A291" s="312" t="s">
        <v>678</v>
      </c>
      <c r="B291" s="7" t="s">
        <v>686</v>
      </c>
      <c r="C291" s="248" t="s">
        <v>21</v>
      </c>
      <c r="D291" s="211">
        <v>2096</v>
      </c>
      <c r="E291" s="41">
        <v>46066</v>
      </c>
      <c r="F291" s="154">
        <v>46082</v>
      </c>
      <c r="G291" s="28">
        <v>2940034</v>
      </c>
      <c r="H291" s="40">
        <v>4240</v>
      </c>
      <c r="I291" s="38">
        <v>9469</v>
      </c>
      <c r="J291" s="29" t="s">
        <v>692</v>
      </c>
      <c r="K291" s="29">
        <v>260</v>
      </c>
      <c r="L291" s="128">
        <v>137</v>
      </c>
      <c r="M291" s="53">
        <v>1.5</v>
      </c>
      <c r="N291" s="54">
        <f>Tabela1[[#This Row],[PREÇO]]*Tabela1[[#This Row],[MTS]]</f>
        <v>390</v>
      </c>
      <c r="R291" s="378" t="s">
        <v>700</v>
      </c>
      <c r="S291" s="476" t="s">
        <v>835</v>
      </c>
    </row>
    <row r="292" spans="1:21" x14ac:dyDescent="0.3">
      <c r="A292" s="312" t="s">
        <v>678</v>
      </c>
      <c r="B292" s="7" t="s">
        <v>686</v>
      </c>
      <c r="C292" s="248" t="s">
        <v>21</v>
      </c>
      <c r="D292" s="211">
        <v>2096</v>
      </c>
      <c r="E292" s="41">
        <v>46066</v>
      </c>
      <c r="F292" s="154">
        <v>46082</v>
      </c>
      <c r="G292" s="28">
        <v>340048</v>
      </c>
      <c r="H292" s="40">
        <v>3814</v>
      </c>
      <c r="I292" s="38">
        <v>9469</v>
      </c>
      <c r="J292" s="29" t="s">
        <v>693</v>
      </c>
      <c r="K292" s="29">
        <v>178</v>
      </c>
      <c r="L292" s="128">
        <v>63</v>
      </c>
      <c r="M292" s="53">
        <v>1.5</v>
      </c>
      <c r="N292" s="54">
        <f>Tabela1[[#This Row],[PREÇO]]*Tabela1[[#This Row],[MTS]]</f>
        <v>267</v>
      </c>
      <c r="R292" s="378" t="s">
        <v>700</v>
      </c>
      <c r="S292" s="476" t="s">
        <v>835</v>
      </c>
    </row>
    <row r="293" spans="1:21" x14ac:dyDescent="0.3">
      <c r="A293" s="312" t="s">
        <v>678</v>
      </c>
      <c r="B293" s="7" t="s">
        <v>686</v>
      </c>
      <c r="C293" s="248" t="s">
        <v>21</v>
      </c>
      <c r="D293" s="211">
        <v>2096</v>
      </c>
      <c r="E293" s="41">
        <v>46066</v>
      </c>
      <c r="F293" s="154">
        <v>46082</v>
      </c>
      <c r="G293" s="28">
        <v>2540005</v>
      </c>
      <c r="H293" s="40">
        <v>1236</v>
      </c>
      <c r="I293" s="38">
        <v>9469</v>
      </c>
      <c r="J293" s="29" t="s">
        <v>694</v>
      </c>
      <c r="K293" s="29">
        <v>180</v>
      </c>
      <c r="L293" s="128">
        <v>111</v>
      </c>
      <c r="M293" s="53">
        <v>1.5</v>
      </c>
      <c r="N293" s="54">
        <f>Tabela1[[#This Row],[PREÇO]]*Tabela1[[#This Row],[MTS]]</f>
        <v>270</v>
      </c>
      <c r="R293" s="378" t="s">
        <v>700</v>
      </c>
      <c r="S293" s="476" t="s">
        <v>835</v>
      </c>
    </row>
    <row r="294" spans="1:21" x14ac:dyDescent="0.3">
      <c r="A294" s="312" t="s">
        <v>678</v>
      </c>
      <c r="B294" s="7" t="s">
        <v>686</v>
      </c>
      <c r="C294" s="248" t="s">
        <v>21</v>
      </c>
      <c r="D294" s="211">
        <v>2096</v>
      </c>
      <c r="E294" s="41">
        <v>46066</v>
      </c>
      <c r="F294" s="154">
        <v>46082</v>
      </c>
      <c r="G294" s="28">
        <v>2540018</v>
      </c>
      <c r="H294" s="40">
        <v>1504</v>
      </c>
      <c r="I294" s="38">
        <v>9469</v>
      </c>
      <c r="J294" s="29" t="s">
        <v>695</v>
      </c>
      <c r="K294" s="29">
        <v>181</v>
      </c>
      <c r="L294" s="128">
        <v>64</v>
      </c>
      <c r="M294" s="53">
        <v>1.5</v>
      </c>
      <c r="N294" s="54">
        <f>Tabela1[[#This Row],[PREÇO]]*Tabela1[[#This Row],[MTS]]</f>
        <v>271.5</v>
      </c>
      <c r="R294" s="378" t="s">
        <v>700</v>
      </c>
      <c r="S294" s="476" t="s">
        <v>835</v>
      </c>
    </row>
    <row r="295" spans="1:21" x14ac:dyDescent="0.3">
      <c r="A295" s="312" t="s">
        <v>678</v>
      </c>
      <c r="B295" s="7" t="s">
        <v>686</v>
      </c>
      <c r="C295" s="248" t="s">
        <v>21</v>
      </c>
      <c r="D295" s="211">
        <v>2096</v>
      </c>
      <c r="E295" s="41">
        <v>46066</v>
      </c>
      <c r="F295" s="154">
        <v>46082</v>
      </c>
      <c r="G295" s="28">
        <v>340044</v>
      </c>
      <c r="H295" s="40">
        <v>3811</v>
      </c>
      <c r="I295" s="38">
        <v>9469</v>
      </c>
      <c r="J295" s="29" t="s">
        <v>696</v>
      </c>
      <c r="K295" s="29">
        <v>148</v>
      </c>
      <c r="L295" s="128">
        <v>59</v>
      </c>
      <c r="M295" s="53">
        <v>1.5</v>
      </c>
      <c r="N295" s="54">
        <f>Tabela1[[#This Row],[PREÇO]]*Tabela1[[#This Row],[MTS]]</f>
        <v>222</v>
      </c>
      <c r="R295" s="378" t="s">
        <v>700</v>
      </c>
      <c r="S295" s="476" t="s">
        <v>835</v>
      </c>
    </row>
    <row r="296" spans="1:21" x14ac:dyDescent="0.3">
      <c r="A296" s="312" t="s">
        <v>678</v>
      </c>
      <c r="B296" s="7" t="s">
        <v>686</v>
      </c>
      <c r="C296" s="248" t="s">
        <v>21</v>
      </c>
      <c r="D296" s="211">
        <v>2096</v>
      </c>
      <c r="E296" s="41">
        <v>46066</v>
      </c>
      <c r="F296" s="154">
        <v>46082</v>
      </c>
      <c r="G296" s="28">
        <v>280018</v>
      </c>
      <c r="H296" s="40">
        <v>1852</v>
      </c>
      <c r="I296" s="38">
        <v>9469</v>
      </c>
      <c r="J296" s="29" t="s">
        <v>697</v>
      </c>
      <c r="K296" s="29">
        <v>145</v>
      </c>
      <c r="L296" s="128">
        <v>454</v>
      </c>
      <c r="M296" s="53">
        <v>1.5</v>
      </c>
      <c r="N296" s="54">
        <f>Tabela1[[#This Row],[PREÇO]]*Tabela1[[#This Row],[MTS]]</f>
        <v>217.5</v>
      </c>
      <c r="R296" s="378" t="s">
        <v>700</v>
      </c>
      <c r="S296" s="476" t="s">
        <v>835</v>
      </c>
    </row>
    <row r="297" spans="1:21" x14ac:dyDescent="0.3">
      <c r="A297" s="312" t="s">
        <v>678</v>
      </c>
      <c r="B297" s="7" t="s">
        <v>686</v>
      </c>
      <c r="C297" s="248" t="s">
        <v>21</v>
      </c>
      <c r="D297" s="211">
        <v>2096</v>
      </c>
      <c r="E297" s="41">
        <v>46066</v>
      </c>
      <c r="F297" s="154">
        <v>46082</v>
      </c>
      <c r="G297" s="28">
        <v>3470003</v>
      </c>
      <c r="H297" s="40">
        <v>3699</v>
      </c>
      <c r="I297" s="38">
        <v>9469</v>
      </c>
      <c r="J297" s="29" t="s">
        <v>698</v>
      </c>
      <c r="K297" s="29">
        <v>118</v>
      </c>
      <c r="L297" s="128">
        <v>99</v>
      </c>
      <c r="M297" s="53">
        <v>1.5</v>
      </c>
      <c r="N297" s="54">
        <f>Tabela1[[#This Row],[PREÇO]]*Tabela1[[#This Row],[MTS]]</f>
        <v>177</v>
      </c>
      <c r="R297" s="378" t="s">
        <v>700</v>
      </c>
      <c r="S297" s="476" t="s">
        <v>835</v>
      </c>
    </row>
    <row r="298" spans="1:21" x14ac:dyDescent="0.3">
      <c r="A298" s="312" t="s">
        <v>678</v>
      </c>
      <c r="B298" s="7" t="s">
        <v>686</v>
      </c>
      <c r="C298" s="248" t="s">
        <v>21</v>
      </c>
      <c r="D298" s="211">
        <v>2096</v>
      </c>
      <c r="E298" s="41">
        <v>46066</v>
      </c>
      <c r="F298" s="154">
        <v>46082</v>
      </c>
      <c r="G298" s="28">
        <v>2620001</v>
      </c>
      <c r="H298" s="40">
        <v>1095</v>
      </c>
      <c r="I298" s="38">
        <v>9469</v>
      </c>
      <c r="J298" s="29" t="s">
        <v>699</v>
      </c>
      <c r="K298" s="29">
        <v>113</v>
      </c>
      <c r="L298" s="167">
        <v>40</v>
      </c>
      <c r="M298" s="53">
        <v>1.5</v>
      </c>
      <c r="N298" s="54">
        <f>Tabela1[[#This Row],[PREÇO]]*Tabela1[[#This Row],[MTS]]</f>
        <v>169.5</v>
      </c>
      <c r="R298" s="378" t="s">
        <v>700</v>
      </c>
      <c r="S298" s="476" t="s">
        <v>835</v>
      </c>
    </row>
    <row r="299" spans="1:21" x14ac:dyDescent="0.3">
      <c r="A299" s="312" t="s">
        <v>683</v>
      </c>
      <c r="B299" s="7" t="s">
        <v>180</v>
      </c>
      <c r="C299" s="248" t="s">
        <v>70</v>
      </c>
      <c r="D299" s="211">
        <v>1372</v>
      </c>
      <c r="E299" s="41">
        <v>46077</v>
      </c>
      <c r="F299" s="154">
        <v>46082</v>
      </c>
      <c r="G299" s="28">
        <v>2860011</v>
      </c>
      <c r="H299" s="187">
        <v>2535</v>
      </c>
      <c r="I299" s="38">
        <v>9522</v>
      </c>
      <c r="J299" s="168" t="s">
        <v>705</v>
      </c>
      <c r="K299" s="29">
        <v>1000</v>
      </c>
      <c r="L299" s="128">
        <v>946</v>
      </c>
      <c r="M299" s="53">
        <v>6.49</v>
      </c>
      <c r="N299" s="54">
        <f>Tabela1[[#This Row],[PREÇO]]*Tabela1[[#This Row],[MTS]]</f>
        <v>6490</v>
      </c>
      <c r="R299" s="428" t="s">
        <v>950</v>
      </c>
      <c r="S299" s="477" t="s">
        <v>835</v>
      </c>
      <c r="T299" s="478" t="s">
        <v>1452</v>
      </c>
    </row>
    <row r="300" spans="1:21" x14ac:dyDescent="0.3">
      <c r="A300" s="312" t="s">
        <v>683</v>
      </c>
      <c r="B300" s="7" t="s">
        <v>180</v>
      </c>
      <c r="C300" s="248" t="s">
        <v>70</v>
      </c>
      <c r="D300" s="211">
        <v>1372</v>
      </c>
      <c r="E300" s="41">
        <v>46077</v>
      </c>
      <c r="F300" s="154">
        <v>46082</v>
      </c>
      <c r="G300" s="28">
        <v>2860003</v>
      </c>
      <c r="H300" s="187">
        <v>1903</v>
      </c>
      <c r="I300" s="38">
        <v>9522</v>
      </c>
      <c r="J300" s="169" t="s">
        <v>706</v>
      </c>
      <c r="K300" s="29">
        <v>1000</v>
      </c>
      <c r="L300" s="128">
        <v>924</v>
      </c>
      <c r="M300" s="53">
        <v>6.76</v>
      </c>
      <c r="N300" s="54">
        <f>Tabela1[[#This Row],[PREÇO]]*Tabela1[[#This Row],[MTS]]</f>
        <v>6760</v>
      </c>
      <c r="R300" s="378" t="s">
        <v>709</v>
      </c>
      <c r="S300" s="477" t="s">
        <v>835</v>
      </c>
      <c r="T300" s="437" t="s">
        <v>949</v>
      </c>
    </row>
    <row r="301" spans="1:21" x14ac:dyDescent="0.3">
      <c r="A301" s="312" t="s">
        <v>683</v>
      </c>
      <c r="B301" s="7" t="s">
        <v>180</v>
      </c>
      <c r="C301" s="248" t="s">
        <v>70</v>
      </c>
      <c r="D301" s="211">
        <v>1372</v>
      </c>
      <c r="E301" s="41">
        <v>46077</v>
      </c>
      <c r="F301" s="154">
        <v>46082</v>
      </c>
      <c r="G301" s="28">
        <v>2860004</v>
      </c>
      <c r="H301" s="168">
        <v>1904</v>
      </c>
      <c r="I301" s="38">
        <v>9522</v>
      </c>
      <c r="J301" s="168" t="s">
        <v>707</v>
      </c>
      <c r="K301" s="29">
        <v>1000</v>
      </c>
      <c r="L301" s="128">
        <v>990</v>
      </c>
      <c r="M301" s="53">
        <v>4.3</v>
      </c>
      <c r="N301" s="54">
        <f>Tabela1[[#This Row],[PREÇO]]*Tabela1[[#This Row],[MTS]]</f>
        <v>4300</v>
      </c>
      <c r="R301" s="378" t="s">
        <v>709</v>
      </c>
      <c r="S301" s="477" t="s">
        <v>835</v>
      </c>
      <c r="T301" s="437" t="s">
        <v>949</v>
      </c>
    </row>
    <row r="302" spans="1:21" x14ac:dyDescent="0.3">
      <c r="A302" s="312" t="s">
        <v>683</v>
      </c>
      <c r="B302" s="7" t="s">
        <v>180</v>
      </c>
      <c r="C302" s="248" t="s">
        <v>70</v>
      </c>
      <c r="D302" s="211">
        <v>1372</v>
      </c>
      <c r="E302" s="41">
        <v>46077</v>
      </c>
      <c r="F302" s="154">
        <v>46082</v>
      </c>
      <c r="G302" s="28">
        <v>2860013</v>
      </c>
      <c r="H302" s="188">
        <v>3275</v>
      </c>
      <c r="I302" s="38">
        <v>9522</v>
      </c>
      <c r="J302" s="168" t="s">
        <v>708</v>
      </c>
      <c r="K302" s="29">
        <v>500</v>
      </c>
      <c r="L302" s="128">
        <v>385</v>
      </c>
      <c r="M302" s="53">
        <v>4.75</v>
      </c>
      <c r="N302" s="54">
        <f>Tabela1[[#This Row],[PREÇO]]*Tabela1[[#This Row],[MTS]]</f>
        <v>2375</v>
      </c>
      <c r="R302" s="428"/>
      <c r="S302" s="477" t="s">
        <v>835</v>
      </c>
      <c r="T302" s="437" t="s">
        <v>949</v>
      </c>
    </row>
    <row r="303" spans="1:21" x14ac:dyDescent="0.3">
      <c r="A303" s="312" t="s">
        <v>704</v>
      </c>
      <c r="B303" s="7" t="s">
        <v>405</v>
      </c>
      <c r="C303" s="248" t="s">
        <v>13</v>
      </c>
      <c r="D303" s="211">
        <v>1897</v>
      </c>
      <c r="E303" s="41">
        <v>46078</v>
      </c>
      <c r="F303" s="154">
        <v>46082</v>
      </c>
      <c r="G303" s="28" t="s">
        <v>429</v>
      </c>
      <c r="H303" s="40">
        <v>4454</v>
      </c>
      <c r="I303" s="38">
        <v>9534</v>
      </c>
      <c r="J303" s="29" t="s">
        <v>713</v>
      </c>
      <c r="K303" s="29">
        <v>5000</v>
      </c>
      <c r="L303" s="63">
        <v>1980</v>
      </c>
      <c r="M303" s="53">
        <v>1.3</v>
      </c>
      <c r="N303" s="54">
        <f>Tabela1[[#This Row],[PREÇO]]*Tabela1[[#This Row],[MTS]]</f>
        <v>6500</v>
      </c>
      <c r="R303" s="378" t="s">
        <v>714</v>
      </c>
      <c r="S303" s="479" t="s">
        <v>835</v>
      </c>
      <c r="T303" s="437">
        <v>46118</v>
      </c>
    </row>
    <row r="304" spans="1:21" x14ac:dyDescent="0.3">
      <c r="A304" s="312" t="s">
        <v>712</v>
      </c>
      <c r="B304" s="7" t="s">
        <v>69</v>
      </c>
      <c r="C304" s="248" t="s">
        <v>70</v>
      </c>
      <c r="D304" s="211">
        <v>448</v>
      </c>
      <c r="E304" s="41">
        <v>46084</v>
      </c>
      <c r="F304" s="154">
        <v>46082</v>
      </c>
      <c r="G304" s="28" t="s">
        <v>716</v>
      </c>
      <c r="H304" s="214" t="s">
        <v>679</v>
      </c>
      <c r="I304" s="38">
        <v>9634</v>
      </c>
      <c r="J304" s="29" t="s">
        <v>720</v>
      </c>
      <c r="K304" s="29">
        <v>800</v>
      </c>
      <c r="L304" s="128">
        <v>563</v>
      </c>
      <c r="M304" s="29">
        <v>3.94</v>
      </c>
      <c r="N304" s="54">
        <f>Tabela1[[#This Row],[PREÇO]]*Tabela1[[#This Row],[MTS]]</f>
        <v>3152</v>
      </c>
      <c r="R304" s="378" t="s">
        <v>817</v>
      </c>
      <c r="S304" s="476" t="s">
        <v>835</v>
      </c>
      <c r="T304" s="209" t="s">
        <v>933</v>
      </c>
      <c r="U304" s="378" t="s">
        <v>935</v>
      </c>
    </row>
    <row r="305" spans="1:31" x14ac:dyDescent="0.3">
      <c r="A305" s="312" t="s">
        <v>712</v>
      </c>
      <c r="B305" s="7" t="s">
        <v>69</v>
      </c>
      <c r="C305" s="248" t="s">
        <v>70</v>
      </c>
      <c r="D305" s="211">
        <v>448</v>
      </c>
      <c r="E305" s="41">
        <v>46084</v>
      </c>
      <c r="F305" s="154">
        <v>46082</v>
      </c>
      <c r="G305" s="28" t="s">
        <v>717</v>
      </c>
      <c r="H305" s="214" t="s">
        <v>160</v>
      </c>
      <c r="I305" s="38">
        <v>9634</v>
      </c>
      <c r="J305" s="29" t="s">
        <v>572</v>
      </c>
      <c r="K305" s="29">
        <v>1200</v>
      </c>
      <c r="L305" s="128">
        <v>475</v>
      </c>
      <c r="M305" s="29">
        <v>2.25</v>
      </c>
      <c r="N305" s="54">
        <f>Tabela1[[#This Row],[PREÇO]]*Tabela1[[#This Row],[MTS]]</f>
        <v>2700</v>
      </c>
      <c r="R305" s="295" t="s">
        <v>817</v>
      </c>
      <c r="S305" s="476" t="s">
        <v>835</v>
      </c>
      <c r="T305" s="209" t="s">
        <v>934</v>
      </c>
      <c r="U305" s="378" t="s">
        <v>935</v>
      </c>
    </row>
    <row r="306" spans="1:31" x14ac:dyDescent="0.3">
      <c r="A306" s="312" t="s">
        <v>712</v>
      </c>
      <c r="B306" s="7" t="s">
        <v>69</v>
      </c>
      <c r="C306" s="248" t="s">
        <v>70</v>
      </c>
      <c r="D306" s="211">
        <v>448</v>
      </c>
      <c r="E306" s="41">
        <v>46084</v>
      </c>
      <c r="F306" s="154">
        <v>46082</v>
      </c>
      <c r="G306" s="28" t="s">
        <v>718</v>
      </c>
      <c r="H306" s="214" t="s">
        <v>207</v>
      </c>
      <c r="I306" s="38">
        <v>9634</v>
      </c>
      <c r="J306" s="29" t="s">
        <v>576</v>
      </c>
      <c r="K306" s="29">
        <v>700</v>
      </c>
      <c r="L306" s="128">
        <v>400</v>
      </c>
      <c r="M306" s="29">
        <v>2.83</v>
      </c>
      <c r="N306" s="54">
        <f>Tabela1[[#This Row],[PREÇO]]*Tabela1[[#This Row],[MTS]]</f>
        <v>1981</v>
      </c>
      <c r="R306" s="378" t="s">
        <v>817</v>
      </c>
      <c r="S306" s="476" t="s">
        <v>835</v>
      </c>
      <c r="T306" s="209" t="s">
        <v>833</v>
      </c>
      <c r="U306" s="378" t="s">
        <v>935</v>
      </c>
    </row>
    <row r="307" spans="1:31" x14ac:dyDescent="0.3">
      <c r="A307" s="312" t="s">
        <v>712</v>
      </c>
      <c r="B307" s="7" t="s">
        <v>69</v>
      </c>
      <c r="C307" s="248" t="s">
        <v>70</v>
      </c>
      <c r="D307" s="211">
        <v>448</v>
      </c>
      <c r="E307" s="41">
        <v>46084</v>
      </c>
      <c r="F307" s="154">
        <v>46082</v>
      </c>
      <c r="G307" s="28" t="s">
        <v>719</v>
      </c>
      <c r="H307" s="214" t="s">
        <v>450</v>
      </c>
      <c r="I307" s="38">
        <v>9634</v>
      </c>
      <c r="J307" s="150" t="s">
        <v>573</v>
      </c>
      <c r="K307" s="29">
        <v>500</v>
      </c>
      <c r="L307" s="128">
        <v>326</v>
      </c>
      <c r="M307" s="277">
        <v>4.8499999999999996</v>
      </c>
      <c r="N307" s="54">
        <f>Tabela1[[#This Row],[PREÇO]]*Tabela1[[#This Row],[MTS]]</f>
        <v>2425</v>
      </c>
      <c r="R307" s="378" t="s">
        <v>817</v>
      </c>
      <c r="S307" s="476" t="s">
        <v>835</v>
      </c>
      <c r="T307" s="209" t="s">
        <v>834</v>
      </c>
      <c r="U307" s="378" t="s">
        <v>935</v>
      </c>
    </row>
    <row r="308" spans="1:31" x14ac:dyDescent="0.3">
      <c r="A308" s="313" t="s">
        <v>721</v>
      </c>
      <c r="B308" s="7" t="s">
        <v>179</v>
      </c>
      <c r="C308" s="248" t="s">
        <v>21</v>
      </c>
      <c r="D308" s="211">
        <v>620</v>
      </c>
      <c r="E308" s="41">
        <v>46087</v>
      </c>
      <c r="F308" s="154">
        <v>46082</v>
      </c>
      <c r="G308" s="28" t="s">
        <v>727</v>
      </c>
      <c r="H308" s="40">
        <v>3200011</v>
      </c>
      <c r="I308" s="38">
        <v>9691</v>
      </c>
      <c r="J308" s="29" t="s">
        <v>731</v>
      </c>
      <c r="K308" s="151">
        <v>600</v>
      </c>
      <c r="L308" s="175">
        <v>1320</v>
      </c>
      <c r="M308" s="53">
        <v>2.2000000000000002</v>
      </c>
      <c r="N308" s="118">
        <f>Tabela1[[#This Row],[PREÇO]]*Tabela1[[#This Row],[MTS]]</f>
        <v>1320</v>
      </c>
      <c r="O308" s="480"/>
      <c r="P308" s="480"/>
      <c r="Q308" s="480"/>
      <c r="R308" s="378" t="s">
        <v>737</v>
      </c>
      <c r="S308" s="476" t="s">
        <v>835</v>
      </c>
      <c r="T308" s="293" t="s">
        <v>818</v>
      </c>
    </row>
    <row r="309" spans="1:31" x14ac:dyDescent="0.3">
      <c r="A309" s="313" t="s">
        <v>721</v>
      </c>
      <c r="B309" s="7" t="s">
        <v>179</v>
      </c>
      <c r="C309" s="248" t="s">
        <v>21</v>
      </c>
      <c r="D309" s="211">
        <v>620</v>
      </c>
      <c r="E309" s="41">
        <v>46087</v>
      </c>
      <c r="F309" s="154">
        <v>46082</v>
      </c>
      <c r="G309" s="28">
        <v>2114</v>
      </c>
      <c r="H309" s="40">
        <v>3200008</v>
      </c>
      <c r="I309" s="38">
        <v>9691</v>
      </c>
      <c r="J309" s="29" t="s">
        <v>732</v>
      </c>
      <c r="K309" s="151">
        <v>400</v>
      </c>
      <c r="L309" s="175">
        <v>1192</v>
      </c>
      <c r="M309" s="53">
        <v>2.87</v>
      </c>
      <c r="N309" s="118">
        <f>Tabela1[[#This Row],[PREÇO]]*Tabela1[[#This Row],[MTS]]</f>
        <v>1148</v>
      </c>
      <c r="O309" s="480"/>
      <c r="P309" s="480"/>
      <c r="Q309" s="480"/>
      <c r="R309" s="378" t="s">
        <v>737</v>
      </c>
      <c r="S309" s="476" t="s">
        <v>835</v>
      </c>
      <c r="T309" s="293" t="s">
        <v>840</v>
      </c>
    </row>
    <row r="310" spans="1:31" x14ac:dyDescent="0.3">
      <c r="A310" s="313" t="s">
        <v>721</v>
      </c>
      <c r="B310" s="7" t="s">
        <v>179</v>
      </c>
      <c r="C310" s="248" t="s">
        <v>21</v>
      </c>
      <c r="D310" s="211">
        <v>620</v>
      </c>
      <c r="E310" s="41">
        <v>46087</v>
      </c>
      <c r="F310" s="154">
        <v>46082</v>
      </c>
      <c r="G310" s="28">
        <v>7094</v>
      </c>
      <c r="H310" s="40">
        <v>3200006</v>
      </c>
      <c r="I310" s="38">
        <v>9691</v>
      </c>
      <c r="J310" s="29" t="s">
        <v>733</v>
      </c>
      <c r="K310" s="151">
        <v>400</v>
      </c>
      <c r="L310" s="175">
        <v>235</v>
      </c>
      <c r="M310" s="53">
        <v>3.06</v>
      </c>
      <c r="N310" s="118">
        <f>Tabela1[[#This Row],[PREÇO]]*Tabela1[[#This Row],[MTS]]</f>
        <v>1224</v>
      </c>
      <c r="O310" s="480"/>
      <c r="P310" s="480"/>
      <c r="Q310" s="480"/>
      <c r="R310" s="440"/>
      <c r="S310" s="476" t="s">
        <v>835</v>
      </c>
      <c r="T310" s="293">
        <v>46108</v>
      </c>
    </row>
    <row r="311" spans="1:31" x14ac:dyDescent="0.3">
      <c r="A311" s="313" t="s">
        <v>721</v>
      </c>
      <c r="B311" s="7" t="s">
        <v>179</v>
      </c>
      <c r="C311" s="248" t="s">
        <v>21</v>
      </c>
      <c r="D311" s="211">
        <v>620</v>
      </c>
      <c r="E311" s="41">
        <v>46087</v>
      </c>
      <c r="F311" s="154">
        <v>46082</v>
      </c>
      <c r="G311" s="28" t="s">
        <v>728</v>
      </c>
      <c r="H311" s="40">
        <v>3200014</v>
      </c>
      <c r="I311" s="38">
        <v>9691</v>
      </c>
      <c r="J311" s="29" t="s">
        <v>734</v>
      </c>
      <c r="K311" s="151">
        <v>1000</v>
      </c>
      <c r="L311" s="175">
        <v>1440</v>
      </c>
      <c r="M311" s="53">
        <v>1.44</v>
      </c>
      <c r="N311" s="118">
        <f>Tabela1[[#This Row],[PREÇO]]*Tabela1[[#This Row],[MTS]]</f>
        <v>1440</v>
      </c>
      <c r="O311" s="480"/>
      <c r="P311" s="480"/>
      <c r="Q311" s="480"/>
      <c r="R311" s="429"/>
      <c r="S311" s="476" t="s">
        <v>835</v>
      </c>
      <c r="T311" s="209" t="s">
        <v>819</v>
      </c>
    </row>
    <row r="312" spans="1:31" x14ac:dyDescent="0.3">
      <c r="A312" s="313" t="s">
        <v>721</v>
      </c>
      <c r="B312" s="7" t="s">
        <v>179</v>
      </c>
      <c r="C312" s="248" t="s">
        <v>21</v>
      </c>
      <c r="D312" s="211">
        <v>620</v>
      </c>
      <c r="E312" s="41">
        <v>46087</v>
      </c>
      <c r="F312" s="154">
        <v>46082</v>
      </c>
      <c r="G312" s="28" t="s">
        <v>729</v>
      </c>
      <c r="H312" s="40">
        <v>3200015</v>
      </c>
      <c r="I312" s="38">
        <v>9691</v>
      </c>
      <c r="J312" s="29" t="s">
        <v>735</v>
      </c>
      <c r="K312" s="151">
        <v>800</v>
      </c>
      <c r="L312" s="175">
        <v>1823.9999999999998</v>
      </c>
      <c r="M312" s="53">
        <v>2.2799999999999998</v>
      </c>
      <c r="N312" s="118">
        <f>Tabela1[[#This Row],[PREÇO]]*Tabela1[[#This Row],[MTS]]</f>
        <v>1823.9999999999998</v>
      </c>
      <c r="O312" s="480"/>
      <c r="P312" s="480"/>
      <c r="Q312" s="480"/>
      <c r="R312" s="429"/>
      <c r="S312" s="476" t="s">
        <v>835</v>
      </c>
      <c r="T312" s="437">
        <v>46105</v>
      </c>
    </row>
    <row r="313" spans="1:31" x14ac:dyDescent="0.3">
      <c r="A313" s="313" t="s">
        <v>721</v>
      </c>
      <c r="B313" s="7" t="s">
        <v>179</v>
      </c>
      <c r="C313" s="248" t="s">
        <v>21</v>
      </c>
      <c r="D313" s="211">
        <v>620</v>
      </c>
      <c r="E313" s="41">
        <v>46087</v>
      </c>
      <c r="F313" s="154">
        <v>46082</v>
      </c>
      <c r="G313" s="28" t="s">
        <v>730</v>
      </c>
      <c r="H313" s="40">
        <v>3200013</v>
      </c>
      <c r="I313" s="38">
        <v>9691</v>
      </c>
      <c r="J313" s="29" t="s">
        <v>736</v>
      </c>
      <c r="K313" s="151">
        <v>900</v>
      </c>
      <c r="L313" s="175">
        <v>1233</v>
      </c>
      <c r="M313" s="53">
        <v>1.37</v>
      </c>
      <c r="N313" s="118">
        <f>Tabela1[[#This Row],[PREÇO]]*Tabela1[[#This Row],[MTS]]</f>
        <v>1233</v>
      </c>
      <c r="O313" s="480"/>
      <c r="P313" s="480"/>
      <c r="Q313" s="480"/>
      <c r="S313" s="476" t="s">
        <v>835</v>
      </c>
    </row>
    <row r="314" spans="1:31" x14ac:dyDescent="0.3">
      <c r="A314" s="312" t="s">
        <v>723</v>
      </c>
      <c r="B314" s="7" t="s">
        <v>739</v>
      </c>
      <c r="C314" s="248" t="s">
        <v>105</v>
      </c>
      <c r="D314" s="211">
        <v>1690</v>
      </c>
      <c r="E314" s="41">
        <v>46091</v>
      </c>
      <c r="F314" s="127">
        <v>46113</v>
      </c>
      <c r="G314" s="28" t="s">
        <v>741</v>
      </c>
      <c r="H314" s="40" t="s">
        <v>743</v>
      </c>
      <c r="I314" s="38">
        <v>9695</v>
      </c>
      <c r="J314" s="24" t="s">
        <v>298</v>
      </c>
      <c r="K314" s="151">
        <v>17000</v>
      </c>
      <c r="L314" s="128">
        <v>8568</v>
      </c>
      <c r="M314" s="53">
        <v>2</v>
      </c>
      <c r="N314" s="54">
        <f>Tabela1[[#This Row],[PREÇO]]*Tabela1[[#This Row],[MTS]]</f>
        <v>34000</v>
      </c>
      <c r="R314" s="429"/>
      <c r="S314" s="476" t="s">
        <v>835</v>
      </c>
      <c r="T314" s="406" t="s">
        <v>1453</v>
      </c>
      <c r="AE314" s="481">
        <f>377/8524</f>
        <v>4.4228061942749884E-2</v>
      </c>
    </row>
    <row r="315" spans="1:31" x14ac:dyDescent="0.3">
      <c r="A315" s="312" t="s">
        <v>723</v>
      </c>
      <c r="B315" s="7" t="s">
        <v>739</v>
      </c>
      <c r="C315" s="248" t="s">
        <v>105</v>
      </c>
      <c r="D315" s="211">
        <v>1690</v>
      </c>
      <c r="E315" s="41">
        <v>46091</v>
      </c>
      <c r="F315" s="127">
        <v>46113</v>
      </c>
      <c r="G315" s="28" t="s">
        <v>742</v>
      </c>
      <c r="H315" s="40" t="s">
        <v>744</v>
      </c>
      <c r="I315" s="38">
        <v>9695</v>
      </c>
      <c r="J315" s="482" t="s">
        <v>745</v>
      </c>
      <c r="K315" s="151">
        <v>8000</v>
      </c>
      <c r="L315" s="128">
        <v>3520</v>
      </c>
      <c r="M315" s="53">
        <v>1.77</v>
      </c>
      <c r="N315" s="54">
        <f>Tabela1[[#This Row],[PREÇO]]*Tabela1[[#This Row],[MTS]]</f>
        <v>14160</v>
      </c>
      <c r="R315" s="429"/>
      <c r="S315" s="476" t="s">
        <v>835</v>
      </c>
      <c r="T315" s="209" t="s">
        <v>1454</v>
      </c>
    </row>
    <row r="316" spans="1:31" x14ac:dyDescent="0.3">
      <c r="A316" s="312" t="s">
        <v>911</v>
      </c>
      <c r="B316" s="349" t="s">
        <v>739</v>
      </c>
      <c r="C316" s="248" t="s">
        <v>105</v>
      </c>
      <c r="D316" s="211">
        <v>1690</v>
      </c>
      <c r="E316" s="224">
        <v>46127</v>
      </c>
      <c r="F316" s="127">
        <v>46113</v>
      </c>
      <c r="G316" s="28" t="s">
        <v>741</v>
      </c>
      <c r="H316" s="40" t="s">
        <v>743</v>
      </c>
      <c r="I316" s="153">
        <v>10042</v>
      </c>
      <c r="J316" s="195" t="s">
        <v>298</v>
      </c>
      <c r="K316" s="196">
        <v>2000</v>
      </c>
      <c r="L316" s="197"/>
      <c r="M316" s="198">
        <v>2</v>
      </c>
      <c r="N316" s="199">
        <f>Tabela1[[#This Row],[PREÇO]]*Tabela1[[#This Row],[MTS]]</f>
        <v>4000</v>
      </c>
      <c r="R316" s="429" t="s">
        <v>912</v>
      </c>
      <c r="S316" s="476" t="s">
        <v>835</v>
      </c>
      <c r="T316" s="209" t="s">
        <v>914</v>
      </c>
    </row>
    <row r="317" spans="1:31" x14ac:dyDescent="0.3">
      <c r="A317" s="312" t="s">
        <v>747</v>
      </c>
      <c r="B317" s="7" t="s">
        <v>272</v>
      </c>
      <c r="C317" s="248" t="s">
        <v>49</v>
      </c>
      <c r="D317" s="211">
        <v>1034</v>
      </c>
      <c r="E317" s="41">
        <v>46094</v>
      </c>
      <c r="F317" s="127">
        <v>46113</v>
      </c>
      <c r="G317" s="77" t="s">
        <v>750</v>
      </c>
      <c r="H317" s="209" t="s">
        <v>561</v>
      </c>
      <c r="I317" s="153">
        <v>9747</v>
      </c>
      <c r="J317" s="29" t="s">
        <v>550</v>
      </c>
      <c r="K317" s="29">
        <v>3500</v>
      </c>
      <c r="L317" s="128">
        <v>1323</v>
      </c>
      <c r="M317" s="53">
        <v>1.7</v>
      </c>
      <c r="N317" s="54">
        <f>Tabela1[[#This Row],[PREÇO]]*Tabela1[[#This Row],[MTS]]</f>
        <v>5950</v>
      </c>
      <c r="S317" s="483" t="s">
        <v>835</v>
      </c>
      <c r="T317" s="484" t="s">
        <v>1455</v>
      </c>
      <c r="Y317" s="421">
        <f>3329/3500</f>
        <v>0.95114285714285718</v>
      </c>
      <c r="AD317" s="485">
        <f>321/3500</f>
        <v>9.171428571428572E-2</v>
      </c>
    </row>
    <row r="318" spans="1:31" x14ac:dyDescent="0.3">
      <c r="A318" s="312" t="s">
        <v>747</v>
      </c>
      <c r="B318" s="7" t="s">
        <v>272</v>
      </c>
      <c r="C318" s="248" t="s">
        <v>49</v>
      </c>
      <c r="D318" s="211">
        <v>1034</v>
      </c>
      <c r="E318" s="41">
        <v>46094</v>
      </c>
      <c r="F318" s="127">
        <v>46113</v>
      </c>
      <c r="G318" s="77" t="s">
        <v>753</v>
      </c>
      <c r="H318" s="209" t="s">
        <v>560</v>
      </c>
      <c r="I318" s="153">
        <v>9747</v>
      </c>
      <c r="J318" s="29" t="s">
        <v>549</v>
      </c>
      <c r="K318" s="29">
        <v>1500</v>
      </c>
      <c r="L318" s="128">
        <v>567</v>
      </c>
      <c r="M318" s="53">
        <v>1.7</v>
      </c>
      <c r="N318" s="54">
        <f>Tabela1[[#This Row],[PREÇO]]*Tabela1[[#This Row],[MTS]]</f>
        <v>2550</v>
      </c>
      <c r="S318" s="483" t="s">
        <v>835</v>
      </c>
      <c r="T318" s="484" t="s">
        <v>921</v>
      </c>
    </row>
    <row r="319" spans="1:31" x14ac:dyDescent="0.3">
      <c r="A319" s="312" t="s">
        <v>749</v>
      </c>
      <c r="B319" s="7" t="s">
        <v>69</v>
      </c>
      <c r="C319" s="248" t="s">
        <v>70</v>
      </c>
      <c r="D319" s="211">
        <v>448</v>
      </c>
      <c r="E319" s="41">
        <v>46099</v>
      </c>
      <c r="F319" s="127">
        <v>46113</v>
      </c>
      <c r="G319" s="28">
        <v>1136968</v>
      </c>
      <c r="H319" s="215" t="s">
        <v>679</v>
      </c>
      <c r="I319" s="38">
        <v>9771</v>
      </c>
      <c r="J319" s="364" t="s">
        <v>720</v>
      </c>
      <c r="K319" s="29">
        <v>500</v>
      </c>
      <c r="L319" s="128">
        <v>352</v>
      </c>
      <c r="M319" s="278">
        <v>3.94</v>
      </c>
      <c r="N319" s="54">
        <f>Tabela1[[#This Row],[PREÇO]]*Tabela1[[#This Row],[MTS]]</f>
        <v>1970</v>
      </c>
      <c r="R319" s="378" t="s">
        <v>758</v>
      </c>
      <c r="S319" s="486" t="s">
        <v>816</v>
      </c>
    </row>
    <row r="320" spans="1:31" x14ac:dyDescent="0.3">
      <c r="A320" s="312" t="s">
        <v>749</v>
      </c>
      <c r="B320" s="7" t="s">
        <v>69</v>
      </c>
      <c r="C320" s="248" t="s">
        <v>70</v>
      </c>
      <c r="D320" s="211">
        <v>448</v>
      </c>
      <c r="E320" s="41">
        <v>46099</v>
      </c>
      <c r="F320" s="127">
        <v>46113</v>
      </c>
      <c r="G320" s="28">
        <v>1122580</v>
      </c>
      <c r="H320" s="215" t="s">
        <v>160</v>
      </c>
      <c r="I320" s="38">
        <v>9771</v>
      </c>
      <c r="J320" s="364" t="s">
        <v>572</v>
      </c>
      <c r="K320" s="29">
        <v>2000</v>
      </c>
      <c r="L320" s="128">
        <v>792</v>
      </c>
      <c r="M320" s="280">
        <v>2.25</v>
      </c>
      <c r="N320" s="54">
        <f>Tabela1[[#This Row],[PREÇO]]*Tabela1[[#This Row],[MTS]]</f>
        <v>4500</v>
      </c>
      <c r="R320" s="378" t="s">
        <v>758</v>
      </c>
      <c r="S320" s="486" t="s">
        <v>816</v>
      </c>
      <c r="T320" s="437"/>
    </row>
    <row r="321" spans="1:27" ht="14.5" x14ac:dyDescent="0.35">
      <c r="A321" s="312" t="s">
        <v>749</v>
      </c>
      <c r="B321" s="7" t="s">
        <v>69</v>
      </c>
      <c r="C321" s="248" t="s">
        <v>70</v>
      </c>
      <c r="D321" s="211">
        <v>448</v>
      </c>
      <c r="E321" s="41">
        <v>46099</v>
      </c>
      <c r="F321" s="127">
        <v>46113</v>
      </c>
      <c r="G321" s="28">
        <v>1121110</v>
      </c>
      <c r="H321" s="215" t="s">
        <v>207</v>
      </c>
      <c r="I321" s="38">
        <v>9771</v>
      </c>
      <c r="J321" s="364" t="s">
        <v>576</v>
      </c>
      <c r="K321" s="29">
        <v>600</v>
      </c>
      <c r="L321" s="128">
        <v>317</v>
      </c>
      <c r="M321" s="29">
        <v>2.83</v>
      </c>
      <c r="N321" s="54">
        <f>Tabela1[[#This Row],[PREÇO]]*Tabela1[[#This Row],[MTS]]</f>
        <v>1698</v>
      </c>
      <c r="R321" s="429" t="s">
        <v>1456</v>
      </c>
      <c r="S321" s="486" t="s">
        <v>816</v>
      </c>
      <c r="T321" s="437"/>
    </row>
    <row r="322" spans="1:27" x14ac:dyDescent="0.3">
      <c r="A322" s="313" t="s">
        <v>755</v>
      </c>
      <c r="B322" s="7" t="s">
        <v>69</v>
      </c>
      <c r="C322" s="248" t="s">
        <v>70</v>
      </c>
      <c r="D322" s="211">
        <v>448</v>
      </c>
      <c r="E322" s="225">
        <v>46099</v>
      </c>
      <c r="F322" s="204">
        <v>46174</v>
      </c>
      <c r="G322" s="28">
        <v>1136968</v>
      </c>
      <c r="H322" s="215" t="s">
        <v>679</v>
      </c>
      <c r="I322" s="153">
        <v>10299</v>
      </c>
      <c r="J322" s="29" t="s">
        <v>720</v>
      </c>
      <c r="K322" s="29">
        <v>500</v>
      </c>
      <c r="L322" s="175">
        <v>352</v>
      </c>
      <c r="M322" s="216">
        <v>4.4800000000000004</v>
      </c>
      <c r="N322" s="118">
        <f>Tabela1[[#This Row],[PREÇO]]*Tabela1[[#This Row],[MTS]]</f>
        <v>2240</v>
      </c>
      <c r="O322" s="487"/>
      <c r="P322" s="487"/>
      <c r="Q322" s="487"/>
      <c r="R322" s="488" t="s">
        <v>1457</v>
      </c>
      <c r="S322" s="489" t="s">
        <v>816</v>
      </c>
      <c r="T322" s="490" t="s">
        <v>992</v>
      </c>
      <c r="U322" s="308">
        <v>46191</v>
      </c>
      <c r="AA322" s="421"/>
    </row>
    <row r="323" spans="1:27" x14ac:dyDescent="0.3">
      <c r="A323" s="313" t="s">
        <v>755</v>
      </c>
      <c r="B323" s="7" t="s">
        <v>69</v>
      </c>
      <c r="C323" s="248" t="s">
        <v>70</v>
      </c>
      <c r="D323" s="211">
        <v>448</v>
      </c>
      <c r="E323" s="225">
        <v>46099</v>
      </c>
      <c r="F323" s="204">
        <v>46174</v>
      </c>
      <c r="G323" s="28">
        <v>1122580</v>
      </c>
      <c r="H323" s="215" t="s">
        <v>160</v>
      </c>
      <c r="I323" s="404">
        <v>10299</v>
      </c>
      <c r="J323" s="29" t="s">
        <v>572</v>
      </c>
      <c r="K323" s="29">
        <v>2500</v>
      </c>
      <c r="L323" s="175">
        <v>990</v>
      </c>
      <c r="M323" s="281">
        <v>2.56</v>
      </c>
      <c r="N323" s="118">
        <f>Tabela1[[#This Row],[PREÇO]]*Tabela1[[#This Row],[MTS]]</f>
        <v>6400</v>
      </c>
      <c r="O323" s="487"/>
      <c r="P323" s="487"/>
      <c r="Q323" s="487"/>
      <c r="R323" s="488" t="s">
        <v>1457</v>
      </c>
      <c r="S323" s="489" t="s">
        <v>1025</v>
      </c>
      <c r="T323" s="490" t="s">
        <v>993</v>
      </c>
      <c r="U323" s="308">
        <v>46192</v>
      </c>
    </row>
    <row r="324" spans="1:27" x14ac:dyDescent="0.3">
      <c r="A324" s="313" t="s">
        <v>755</v>
      </c>
      <c r="B324" s="7" t="s">
        <v>69</v>
      </c>
      <c r="C324" s="248" t="s">
        <v>70</v>
      </c>
      <c r="D324" s="211">
        <v>448</v>
      </c>
      <c r="E324" s="225">
        <v>46099</v>
      </c>
      <c r="F324" s="204">
        <v>46174</v>
      </c>
      <c r="G324" s="72">
        <v>1129159</v>
      </c>
      <c r="H324" s="215" t="s">
        <v>450</v>
      </c>
      <c r="I324" s="404">
        <v>10299</v>
      </c>
      <c r="J324" s="205" t="s">
        <v>573</v>
      </c>
      <c r="K324" s="29">
        <v>500</v>
      </c>
      <c r="L324" s="175">
        <v>407</v>
      </c>
      <c r="M324" s="276">
        <v>5.52</v>
      </c>
      <c r="N324" s="118">
        <f>Tabela1[[#This Row],[PREÇO]]*Tabela1[[#This Row],[MTS]]</f>
        <v>2760</v>
      </c>
      <c r="O324" s="487"/>
      <c r="P324" s="487"/>
      <c r="Q324" s="487"/>
      <c r="R324" s="488" t="s">
        <v>1457</v>
      </c>
      <c r="S324" s="489" t="s">
        <v>816</v>
      </c>
      <c r="T324" s="490" t="s">
        <v>992</v>
      </c>
      <c r="U324" s="308">
        <v>46189</v>
      </c>
    </row>
    <row r="325" spans="1:27" x14ac:dyDescent="0.3">
      <c r="A325" s="312" t="s">
        <v>760</v>
      </c>
      <c r="B325" s="21" t="s">
        <v>762</v>
      </c>
      <c r="C325" s="248" t="s">
        <v>105</v>
      </c>
      <c r="D325" s="211">
        <v>1832</v>
      </c>
      <c r="E325" s="41">
        <v>46100</v>
      </c>
      <c r="F325" s="127">
        <v>46113</v>
      </c>
      <c r="G325" s="28" t="s">
        <v>782</v>
      </c>
      <c r="H325" s="40" t="s">
        <v>783</v>
      </c>
      <c r="I325" s="38">
        <v>9776</v>
      </c>
      <c r="J325" s="29" t="s">
        <v>770</v>
      </c>
      <c r="K325" s="151">
        <v>2000</v>
      </c>
      <c r="L325" s="128">
        <v>1584</v>
      </c>
      <c r="M325" s="232">
        <v>4.68</v>
      </c>
      <c r="N325" s="54">
        <f>Tabela1[[#This Row],[PREÇO]]*Tabela1[[#This Row],[MTS]]</f>
        <v>9360</v>
      </c>
      <c r="R325" s="378" t="s">
        <v>888</v>
      </c>
      <c r="S325" s="479" t="s">
        <v>835</v>
      </c>
      <c r="T325" s="491" t="s">
        <v>929</v>
      </c>
      <c r="V325" s="492">
        <f>1971-2000</f>
        <v>-29</v>
      </c>
      <c r="W325" s="493"/>
      <c r="X325" s="493"/>
    </row>
    <row r="326" spans="1:27" x14ac:dyDescent="0.3">
      <c r="A326" s="312" t="s">
        <v>760</v>
      </c>
      <c r="B326" s="21" t="s">
        <v>762</v>
      </c>
      <c r="C326" s="248" t="s">
        <v>105</v>
      </c>
      <c r="D326" s="211">
        <v>1832</v>
      </c>
      <c r="E326" s="41">
        <v>46100</v>
      </c>
      <c r="F326" s="127">
        <v>46113</v>
      </c>
      <c r="G326" s="28" t="s">
        <v>764</v>
      </c>
      <c r="H326" s="40" t="s">
        <v>784</v>
      </c>
      <c r="I326" s="38">
        <v>9776</v>
      </c>
      <c r="J326" s="29" t="s">
        <v>771</v>
      </c>
      <c r="K326" s="151">
        <v>2000</v>
      </c>
      <c r="L326" s="128">
        <v>1760</v>
      </c>
      <c r="M326" s="53">
        <v>6.8</v>
      </c>
      <c r="N326" s="54">
        <f>Tabela1[[#This Row],[PREÇO]]*Tabela1[[#This Row],[MTS]]</f>
        <v>13600</v>
      </c>
      <c r="R326" s="378" t="s">
        <v>888</v>
      </c>
      <c r="S326" s="479" t="s">
        <v>835</v>
      </c>
      <c r="T326" s="491" t="s">
        <v>930</v>
      </c>
      <c r="V326" s="494">
        <f>1636-2000</f>
        <v>-364</v>
      </c>
      <c r="W326" s="421">
        <f>(1636/2000)</f>
        <v>0.81799999999999995</v>
      </c>
      <c r="X326" s="495">
        <f>100-82</f>
        <v>18</v>
      </c>
      <c r="Y326" s="496" t="s">
        <v>920</v>
      </c>
    </row>
    <row r="327" spans="1:27" x14ac:dyDescent="0.3">
      <c r="A327" s="312" t="s">
        <v>760</v>
      </c>
      <c r="B327" s="21" t="s">
        <v>762</v>
      </c>
      <c r="C327" s="248" t="s">
        <v>105</v>
      </c>
      <c r="D327" s="211">
        <v>1832</v>
      </c>
      <c r="E327" s="41">
        <v>46100</v>
      </c>
      <c r="F327" s="127">
        <v>46113</v>
      </c>
      <c r="G327" s="28" t="s">
        <v>765</v>
      </c>
      <c r="H327" s="40" t="s">
        <v>785</v>
      </c>
      <c r="I327" s="38">
        <v>9776</v>
      </c>
      <c r="J327" s="29" t="s">
        <v>772</v>
      </c>
      <c r="K327" s="151">
        <v>2000</v>
      </c>
      <c r="L327" s="128">
        <v>1232</v>
      </c>
      <c r="M327" s="53">
        <v>3.22</v>
      </c>
      <c r="N327" s="54">
        <f>Tabela1[[#This Row],[PREÇO]]*Tabela1[[#This Row],[MTS]]</f>
        <v>6440</v>
      </c>
      <c r="R327" s="378" t="s">
        <v>888</v>
      </c>
      <c r="S327" s="479" t="s">
        <v>835</v>
      </c>
      <c r="T327" s="491" t="s">
        <v>931</v>
      </c>
      <c r="V327" s="494">
        <f>1423-2000</f>
        <v>-577</v>
      </c>
      <c r="W327" s="497">
        <f>1423/2000</f>
        <v>0.71150000000000002</v>
      </c>
      <c r="X327" s="495">
        <f>100-71</f>
        <v>29</v>
      </c>
      <c r="Y327" s="496" t="s">
        <v>920</v>
      </c>
    </row>
    <row r="328" spans="1:27" x14ac:dyDescent="0.3">
      <c r="A328" s="312" t="s">
        <v>760</v>
      </c>
      <c r="B328" s="21" t="s">
        <v>762</v>
      </c>
      <c r="C328" s="248" t="s">
        <v>105</v>
      </c>
      <c r="D328" s="211">
        <v>1832</v>
      </c>
      <c r="E328" s="41">
        <v>46100</v>
      </c>
      <c r="F328" s="127">
        <v>46113</v>
      </c>
      <c r="G328" s="28" t="s">
        <v>766</v>
      </c>
      <c r="H328" s="209" t="s">
        <v>786</v>
      </c>
      <c r="I328" s="38">
        <v>9776</v>
      </c>
      <c r="J328" s="29" t="s">
        <v>773</v>
      </c>
      <c r="K328" s="151">
        <v>2000</v>
      </c>
      <c r="L328" s="128">
        <v>1056</v>
      </c>
      <c r="M328" s="53">
        <v>3.34</v>
      </c>
      <c r="N328" s="54">
        <f>Tabela1[[#This Row],[PREÇO]]*Tabela1[[#This Row],[MTS]]</f>
        <v>6680</v>
      </c>
      <c r="R328" s="378" t="s">
        <v>888</v>
      </c>
      <c r="S328" s="479" t="s">
        <v>835</v>
      </c>
      <c r="T328" s="491" t="s">
        <v>932</v>
      </c>
      <c r="V328" s="295">
        <f>2227-2000</f>
        <v>227</v>
      </c>
      <c r="W328" s="498">
        <f>2227/2000</f>
        <v>1.1134999999999999</v>
      </c>
      <c r="X328" s="495"/>
      <c r="Z328" s="493"/>
    </row>
    <row r="329" spans="1:27" x14ac:dyDescent="0.3">
      <c r="A329" s="312" t="s">
        <v>760</v>
      </c>
      <c r="B329" s="21" t="s">
        <v>762</v>
      </c>
      <c r="C329" s="248" t="s">
        <v>105</v>
      </c>
      <c r="D329" s="211">
        <v>1832</v>
      </c>
      <c r="E329" s="41">
        <v>46100</v>
      </c>
      <c r="F329" s="127">
        <v>46113</v>
      </c>
      <c r="G329" s="28" t="s">
        <v>767</v>
      </c>
      <c r="H329" s="40" t="s">
        <v>787</v>
      </c>
      <c r="I329" s="38">
        <v>9776</v>
      </c>
      <c r="J329" s="29" t="s">
        <v>774</v>
      </c>
      <c r="K329" s="151">
        <v>3200</v>
      </c>
      <c r="L329" s="128">
        <v>1971.2</v>
      </c>
      <c r="M329" s="53">
        <v>3.05</v>
      </c>
      <c r="N329" s="54">
        <f>Tabela1[[#This Row],[PREÇO]]*Tabela1[[#This Row],[MTS]]</f>
        <v>9760</v>
      </c>
      <c r="R329" s="378" t="s">
        <v>888</v>
      </c>
      <c r="S329" s="479" t="s">
        <v>835</v>
      </c>
      <c r="T329" s="491" t="s">
        <v>1458</v>
      </c>
      <c r="V329" s="494">
        <f>2750-3200</f>
        <v>-450</v>
      </c>
      <c r="W329" s="421">
        <f>2750/3200</f>
        <v>0.859375</v>
      </c>
      <c r="X329" s="495">
        <f>100-86</f>
        <v>14</v>
      </c>
    </row>
    <row r="330" spans="1:27" x14ac:dyDescent="0.3">
      <c r="A330" s="312" t="s">
        <v>760</v>
      </c>
      <c r="B330" s="21" t="s">
        <v>762</v>
      </c>
      <c r="C330" s="248" t="s">
        <v>105</v>
      </c>
      <c r="D330" s="211">
        <v>1832</v>
      </c>
      <c r="E330" s="41">
        <v>46100</v>
      </c>
      <c r="F330" s="127">
        <v>46113</v>
      </c>
      <c r="G330" s="28" t="s">
        <v>768</v>
      </c>
      <c r="H330" s="40" t="s">
        <v>788</v>
      </c>
      <c r="I330" s="38">
        <v>9776</v>
      </c>
      <c r="J330" s="29" t="s">
        <v>775</v>
      </c>
      <c r="K330" s="151">
        <v>5000</v>
      </c>
      <c r="L330" s="128">
        <v>1890</v>
      </c>
      <c r="M330" s="53">
        <v>1.78</v>
      </c>
      <c r="N330" s="54">
        <f>Tabela1[[#This Row],[PREÇO]]*Tabela1[[#This Row],[MTS]]</f>
        <v>8900</v>
      </c>
      <c r="R330" s="378" t="s">
        <v>888</v>
      </c>
      <c r="S330" s="479" t="s">
        <v>835</v>
      </c>
      <c r="T330" s="491" t="s">
        <v>917</v>
      </c>
      <c r="V330" s="494">
        <f>4895-5000</f>
        <v>-105</v>
      </c>
      <c r="W330" s="421">
        <f>4895/5000</f>
        <v>0.97899999999999998</v>
      </c>
      <c r="X330" s="495"/>
    </row>
    <row r="331" spans="1:27" x14ac:dyDescent="0.3">
      <c r="A331" s="312" t="s">
        <v>760</v>
      </c>
      <c r="B331" s="21" t="s">
        <v>762</v>
      </c>
      <c r="C331" s="248" t="s">
        <v>105</v>
      </c>
      <c r="D331" s="211">
        <v>1832</v>
      </c>
      <c r="E331" s="41">
        <v>46100</v>
      </c>
      <c r="F331" s="127">
        <v>46113</v>
      </c>
      <c r="G331" s="28" t="s">
        <v>769</v>
      </c>
      <c r="H331" s="209" t="s">
        <v>789</v>
      </c>
      <c r="I331" s="38">
        <v>9776</v>
      </c>
      <c r="J331" s="29" t="s">
        <v>776</v>
      </c>
      <c r="K331" s="151">
        <v>8000</v>
      </c>
      <c r="L331" s="128">
        <v>3872</v>
      </c>
      <c r="M331" s="53">
        <v>2.15</v>
      </c>
      <c r="N331" s="54">
        <f>Tabela1[[#This Row],[PREÇO]]*Tabela1[[#This Row],[MTS]]</f>
        <v>17200</v>
      </c>
      <c r="R331" s="378" t="s">
        <v>888</v>
      </c>
      <c r="S331" s="479" t="s">
        <v>835</v>
      </c>
      <c r="T331" s="491" t="s">
        <v>916</v>
      </c>
      <c r="V331" s="295">
        <f>8298-8000</f>
        <v>298</v>
      </c>
      <c r="W331" s="498">
        <f>8298/8000</f>
        <v>1.03725</v>
      </c>
      <c r="Y331" s="493"/>
    </row>
    <row r="332" spans="1:27" x14ac:dyDescent="0.3">
      <c r="A332" s="269" t="s">
        <v>780</v>
      </c>
      <c r="B332" s="7" t="s">
        <v>294</v>
      </c>
      <c r="C332" s="248" t="s">
        <v>30</v>
      </c>
      <c r="D332" s="211">
        <v>996</v>
      </c>
      <c r="E332" s="41">
        <v>46101</v>
      </c>
      <c r="F332" s="127">
        <v>46113</v>
      </c>
      <c r="G332" s="28" t="s">
        <v>890</v>
      </c>
      <c r="H332" s="213" t="s">
        <v>441</v>
      </c>
      <c r="I332" s="38">
        <v>9777</v>
      </c>
      <c r="J332" s="29" t="s">
        <v>348</v>
      </c>
      <c r="K332" s="151">
        <v>800</v>
      </c>
      <c r="L332" s="128">
        <v>493</v>
      </c>
      <c r="M332" s="53">
        <v>2.33</v>
      </c>
      <c r="N332" s="54">
        <f>Tabela1[[#This Row],[PREÇO]]*Tabela1[[#This Row],[MTS]]</f>
        <v>1864</v>
      </c>
      <c r="R332" s="428"/>
      <c r="S332" s="499" t="s">
        <v>816</v>
      </c>
      <c r="T332" s="484">
        <v>46146</v>
      </c>
    </row>
    <row r="333" spans="1:27" x14ac:dyDescent="0.3">
      <c r="A333" s="269" t="s">
        <v>780</v>
      </c>
      <c r="B333" s="7" t="s">
        <v>294</v>
      </c>
      <c r="C333" s="248" t="s">
        <v>30</v>
      </c>
      <c r="D333" s="211">
        <v>996</v>
      </c>
      <c r="E333" s="41">
        <v>46101</v>
      </c>
      <c r="F333" s="127">
        <v>46113</v>
      </c>
      <c r="G333" s="22" t="s">
        <v>891</v>
      </c>
      <c r="H333" s="40" t="s">
        <v>442</v>
      </c>
      <c r="I333" s="38">
        <v>9777</v>
      </c>
      <c r="J333" s="29" t="s">
        <v>349</v>
      </c>
      <c r="K333" s="151">
        <v>500</v>
      </c>
      <c r="L333" s="128">
        <v>242</v>
      </c>
      <c r="M333" s="53">
        <v>2.02</v>
      </c>
      <c r="N333" s="54">
        <f>Tabela1[[#This Row],[PREÇO]]*Tabela1[[#This Row],[MTS]]</f>
        <v>1010</v>
      </c>
      <c r="S333" s="499" t="s">
        <v>816</v>
      </c>
      <c r="T333" s="484">
        <v>46146</v>
      </c>
    </row>
    <row r="334" spans="1:27" x14ac:dyDescent="0.3">
      <c r="A334" s="269" t="s">
        <v>780</v>
      </c>
      <c r="B334" s="7" t="s">
        <v>294</v>
      </c>
      <c r="C334" s="248" t="s">
        <v>30</v>
      </c>
      <c r="D334" s="211">
        <v>996</v>
      </c>
      <c r="E334" s="41">
        <v>46101</v>
      </c>
      <c r="F334" s="127">
        <v>46113</v>
      </c>
      <c r="G334" s="22" t="s">
        <v>892</v>
      </c>
      <c r="H334" s="40" t="s">
        <v>791</v>
      </c>
      <c r="I334" s="38">
        <v>9777</v>
      </c>
      <c r="J334" s="29" t="s">
        <v>794</v>
      </c>
      <c r="K334" s="151">
        <v>500</v>
      </c>
      <c r="L334" s="128">
        <v>330</v>
      </c>
      <c r="M334" s="53">
        <v>3</v>
      </c>
      <c r="N334" s="54">
        <f>Tabela1[[#This Row],[PREÇO]]*Tabela1[[#This Row],[MTS]]</f>
        <v>1500</v>
      </c>
      <c r="S334" s="499" t="s">
        <v>816</v>
      </c>
      <c r="T334" s="484">
        <v>46146</v>
      </c>
    </row>
    <row r="335" spans="1:27" x14ac:dyDescent="0.3">
      <c r="A335" s="269" t="s">
        <v>780</v>
      </c>
      <c r="B335" s="7" t="s">
        <v>294</v>
      </c>
      <c r="C335" s="248" t="s">
        <v>30</v>
      </c>
      <c r="D335" s="211">
        <v>996</v>
      </c>
      <c r="E335" s="41">
        <v>46101</v>
      </c>
      <c r="F335" s="127">
        <v>46113</v>
      </c>
      <c r="G335" s="22" t="s">
        <v>893</v>
      </c>
      <c r="H335" s="40" t="s">
        <v>792</v>
      </c>
      <c r="I335" s="38">
        <v>9777</v>
      </c>
      <c r="J335" s="29" t="s">
        <v>795</v>
      </c>
      <c r="K335" s="151">
        <v>1200</v>
      </c>
      <c r="L335" s="128">
        <v>633.6</v>
      </c>
      <c r="M335" s="53">
        <v>2.4</v>
      </c>
      <c r="N335" s="54">
        <f>Tabela1[[#This Row],[PREÇO]]*Tabela1[[#This Row],[MTS]]</f>
        <v>2880</v>
      </c>
      <c r="S335" s="499" t="s">
        <v>816</v>
      </c>
      <c r="T335" s="484">
        <v>46146</v>
      </c>
    </row>
    <row r="336" spans="1:27" x14ac:dyDescent="0.3">
      <c r="A336" s="269" t="s">
        <v>780</v>
      </c>
      <c r="B336" s="7" t="s">
        <v>294</v>
      </c>
      <c r="C336" s="248" t="s">
        <v>30</v>
      </c>
      <c r="D336" s="211">
        <v>996</v>
      </c>
      <c r="E336" s="41">
        <v>46101</v>
      </c>
      <c r="F336" s="127">
        <v>46113</v>
      </c>
      <c r="G336" s="22" t="s">
        <v>894</v>
      </c>
      <c r="H336" s="40" t="s">
        <v>793</v>
      </c>
      <c r="I336" s="38">
        <v>9777</v>
      </c>
      <c r="J336" s="29" t="s">
        <v>796</v>
      </c>
      <c r="K336" s="151">
        <v>500</v>
      </c>
      <c r="L336" s="128">
        <v>403</v>
      </c>
      <c r="M336" s="53">
        <v>2.1800000000000002</v>
      </c>
      <c r="N336" s="54">
        <f>Tabela1[[#This Row],[PREÇO]]*Tabela1[[#This Row],[MTS]]</f>
        <v>1090</v>
      </c>
      <c r="S336" s="499" t="s">
        <v>816</v>
      </c>
      <c r="T336" s="484">
        <v>46135</v>
      </c>
    </row>
    <row r="337" spans="1:25" x14ac:dyDescent="0.3">
      <c r="A337" s="312" t="s">
        <v>763</v>
      </c>
      <c r="B337" s="7" t="s">
        <v>272</v>
      </c>
      <c r="C337" s="248" t="s">
        <v>49</v>
      </c>
      <c r="D337" s="211">
        <v>1034</v>
      </c>
      <c r="E337" s="41">
        <v>46100</v>
      </c>
      <c r="F337" s="127">
        <v>46113</v>
      </c>
      <c r="G337" s="28">
        <v>3030056</v>
      </c>
      <c r="H337" s="28" t="s">
        <v>822</v>
      </c>
      <c r="I337" s="38">
        <v>9778</v>
      </c>
      <c r="J337" s="29" t="s">
        <v>798</v>
      </c>
      <c r="K337" s="151">
        <v>1000</v>
      </c>
      <c r="L337" s="128">
        <v>396</v>
      </c>
      <c r="M337" s="53">
        <v>2.06</v>
      </c>
      <c r="N337" s="54">
        <f>Tabela1[[#This Row],[PREÇO]]*Tabela1[[#This Row],[MTS]]</f>
        <v>2060</v>
      </c>
      <c r="S337" s="483" t="s">
        <v>835</v>
      </c>
      <c r="T337" s="437" t="s">
        <v>936</v>
      </c>
      <c r="W337" s="378">
        <f>1405-1000</f>
        <v>405</v>
      </c>
    </row>
    <row r="338" spans="1:25" x14ac:dyDescent="0.3">
      <c r="A338" s="312" t="s">
        <v>763</v>
      </c>
      <c r="B338" s="7" t="s">
        <v>272</v>
      </c>
      <c r="C338" s="248" t="s">
        <v>49</v>
      </c>
      <c r="D338" s="211">
        <v>1034</v>
      </c>
      <c r="E338" s="41">
        <v>46100</v>
      </c>
      <c r="F338" s="127">
        <v>46113</v>
      </c>
      <c r="G338" s="28">
        <v>3030033</v>
      </c>
      <c r="H338" s="28" t="s">
        <v>823</v>
      </c>
      <c r="I338" s="38">
        <v>9778</v>
      </c>
      <c r="J338" s="29" t="s">
        <v>799</v>
      </c>
      <c r="K338" s="151">
        <v>1200</v>
      </c>
      <c r="L338" s="128">
        <v>475.2</v>
      </c>
      <c r="M338" s="53">
        <v>1.44</v>
      </c>
      <c r="N338" s="54">
        <f>Tabela1[[#This Row],[PREÇO]]*Tabela1[[#This Row],[MTS]]</f>
        <v>1728</v>
      </c>
      <c r="S338" s="483" t="s">
        <v>835</v>
      </c>
      <c r="T338" s="437" t="s">
        <v>1459</v>
      </c>
      <c r="W338" s="500">
        <f>500-1200</f>
        <v>-700</v>
      </c>
      <c r="X338" s="500"/>
    </row>
    <row r="339" spans="1:25" x14ac:dyDescent="0.3">
      <c r="A339" s="312" t="s">
        <v>763</v>
      </c>
      <c r="B339" s="7" t="s">
        <v>272</v>
      </c>
      <c r="C339" s="248" t="s">
        <v>49</v>
      </c>
      <c r="D339" s="211">
        <v>1034</v>
      </c>
      <c r="E339" s="41">
        <v>46100</v>
      </c>
      <c r="F339" s="127">
        <v>46113</v>
      </c>
      <c r="G339" s="28">
        <v>3030024</v>
      </c>
      <c r="H339" s="28" t="s">
        <v>824</v>
      </c>
      <c r="I339" s="38">
        <v>9778</v>
      </c>
      <c r="J339" s="29" t="s">
        <v>800</v>
      </c>
      <c r="K339" s="151">
        <v>500</v>
      </c>
      <c r="L339" s="128">
        <v>200</v>
      </c>
      <c r="M339" s="53">
        <v>2.13</v>
      </c>
      <c r="N339" s="54">
        <f>Tabela1[[#This Row],[PREÇO]]*Tabela1[[#This Row],[MTS]]</f>
        <v>1065</v>
      </c>
      <c r="S339" s="483" t="s">
        <v>835</v>
      </c>
      <c r="T339" s="437" t="s">
        <v>937</v>
      </c>
      <c r="W339" s="378">
        <f>657-500</f>
        <v>157</v>
      </c>
    </row>
    <row r="340" spans="1:25" x14ac:dyDescent="0.3">
      <c r="A340" s="312" t="s">
        <v>763</v>
      </c>
      <c r="B340" s="7" t="s">
        <v>272</v>
      </c>
      <c r="C340" s="248" t="s">
        <v>49</v>
      </c>
      <c r="D340" s="211">
        <v>1034</v>
      </c>
      <c r="E340" s="41">
        <v>46100</v>
      </c>
      <c r="F340" s="127">
        <v>46113</v>
      </c>
      <c r="G340" s="28">
        <v>3030040</v>
      </c>
      <c r="H340" s="28" t="s">
        <v>825</v>
      </c>
      <c r="I340" s="38">
        <v>9778</v>
      </c>
      <c r="J340" s="29" t="s">
        <v>801</v>
      </c>
      <c r="K340" s="151">
        <v>500</v>
      </c>
      <c r="L340" s="128">
        <v>180</v>
      </c>
      <c r="M340" s="53">
        <v>1.6</v>
      </c>
      <c r="N340" s="54">
        <f>Tabela1[[#This Row],[PREÇO]]*Tabela1[[#This Row],[MTS]]</f>
        <v>800</v>
      </c>
      <c r="S340" s="483" t="s">
        <v>835</v>
      </c>
      <c r="T340" s="490" t="s">
        <v>938</v>
      </c>
      <c r="W340" s="378">
        <f>524-500</f>
        <v>24</v>
      </c>
    </row>
    <row r="341" spans="1:25" x14ac:dyDescent="0.3">
      <c r="A341" s="312" t="s">
        <v>763</v>
      </c>
      <c r="B341" s="7" t="s">
        <v>272</v>
      </c>
      <c r="C341" s="248" t="s">
        <v>49</v>
      </c>
      <c r="D341" s="211">
        <v>1034</v>
      </c>
      <c r="E341" s="41">
        <v>46100</v>
      </c>
      <c r="F341" s="127">
        <v>46113</v>
      </c>
      <c r="G341" s="28">
        <v>3030048</v>
      </c>
      <c r="H341" s="28" t="s">
        <v>826</v>
      </c>
      <c r="I341" s="38">
        <v>9778</v>
      </c>
      <c r="J341" s="29" t="s">
        <v>802</v>
      </c>
      <c r="K341" s="151">
        <v>500</v>
      </c>
      <c r="L341" s="128">
        <v>210</v>
      </c>
      <c r="M341" s="53">
        <v>2.2799999999999998</v>
      </c>
      <c r="N341" s="54">
        <f>Tabela1[[#This Row],[PREÇO]]*Tabela1[[#This Row],[MTS]]</f>
        <v>1140</v>
      </c>
      <c r="S341" s="483" t="s">
        <v>835</v>
      </c>
      <c r="T341" s="437" t="s">
        <v>1460</v>
      </c>
      <c r="W341" s="500">
        <f>499-500</f>
        <v>-1</v>
      </c>
      <c r="X341" s="500"/>
    </row>
    <row r="342" spans="1:25" x14ac:dyDescent="0.3">
      <c r="A342" s="312" t="s">
        <v>763</v>
      </c>
      <c r="B342" s="7" t="s">
        <v>272</v>
      </c>
      <c r="C342" s="248" t="s">
        <v>49</v>
      </c>
      <c r="D342" s="211">
        <v>1034</v>
      </c>
      <c r="E342" s="41">
        <v>46100</v>
      </c>
      <c r="F342" s="127">
        <v>46113</v>
      </c>
      <c r="G342" s="28">
        <v>3030013</v>
      </c>
      <c r="H342" s="28" t="s">
        <v>827</v>
      </c>
      <c r="I342" s="38">
        <v>9778</v>
      </c>
      <c r="J342" s="29" t="s">
        <v>803</v>
      </c>
      <c r="K342" s="151">
        <v>1000</v>
      </c>
      <c r="L342" s="128">
        <v>440</v>
      </c>
      <c r="M342" s="53">
        <v>1.7</v>
      </c>
      <c r="N342" s="54">
        <f>Tabela1[[#This Row],[PREÇO]]*Tabela1[[#This Row],[MTS]]</f>
        <v>1700</v>
      </c>
      <c r="S342" s="483" t="s">
        <v>835</v>
      </c>
      <c r="T342" s="437" t="s">
        <v>939</v>
      </c>
      <c r="W342" s="378">
        <f>1043-1000</f>
        <v>43</v>
      </c>
    </row>
    <row r="343" spans="1:25" x14ac:dyDescent="0.3">
      <c r="A343" s="312" t="s">
        <v>763</v>
      </c>
      <c r="B343" s="7" t="s">
        <v>272</v>
      </c>
      <c r="C343" s="248" t="s">
        <v>49</v>
      </c>
      <c r="D343" s="211">
        <v>1034</v>
      </c>
      <c r="E343" s="41">
        <v>46100</v>
      </c>
      <c r="F343" s="127">
        <v>46113</v>
      </c>
      <c r="G343" s="28">
        <v>3030026</v>
      </c>
      <c r="H343" s="28" t="s">
        <v>828</v>
      </c>
      <c r="I343" s="38">
        <v>9778</v>
      </c>
      <c r="J343" s="29" t="s">
        <v>804</v>
      </c>
      <c r="K343" s="151">
        <v>500</v>
      </c>
      <c r="L343" s="128">
        <v>170</v>
      </c>
      <c r="M343" s="53">
        <v>1.81</v>
      </c>
      <c r="N343" s="54">
        <f>Tabela1[[#This Row],[PREÇO]]*Tabela1[[#This Row],[MTS]]</f>
        <v>905</v>
      </c>
      <c r="S343" s="483" t="s">
        <v>835</v>
      </c>
      <c r="T343" s="437" t="s">
        <v>1461</v>
      </c>
      <c r="W343" s="378">
        <f>531-500</f>
        <v>31</v>
      </c>
    </row>
    <row r="344" spans="1:25" x14ac:dyDescent="0.3">
      <c r="A344" s="312" t="s">
        <v>763</v>
      </c>
      <c r="B344" s="7" t="s">
        <v>272</v>
      </c>
      <c r="C344" s="248" t="s">
        <v>49</v>
      </c>
      <c r="D344" s="211">
        <v>1034</v>
      </c>
      <c r="E344" s="41">
        <v>46100</v>
      </c>
      <c r="F344" s="127">
        <v>46113</v>
      </c>
      <c r="G344" s="28">
        <v>3030044</v>
      </c>
      <c r="H344" s="89" t="s">
        <v>829</v>
      </c>
      <c r="I344" s="38">
        <v>9778</v>
      </c>
      <c r="J344" s="29" t="s">
        <v>805</v>
      </c>
      <c r="K344" s="151">
        <v>800</v>
      </c>
      <c r="L344" s="128">
        <v>268.8</v>
      </c>
      <c r="M344" s="53">
        <v>2.2000000000000002</v>
      </c>
      <c r="N344" s="54">
        <f>Tabela1[[#This Row],[PREÇO]]*Tabela1[[#This Row],[MTS]]</f>
        <v>1760.0000000000002</v>
      </c>
      <c r="S344" s="483" t="s">
        <v>835</v>
      </c>
      <c r="T344" s="437" t="s">
        <v>1462</v>
      </c>
      <c r="W344" s="500">
        <f>568-800</f>
        <v>-232</v>
      </c>
      <c r="X344" s="500"/>
      <c r="Y344" s="421">
        <f>384/800</f>
        <v>0.48</v>
      </c>
    </row>
    <row r="345" spans="1:25" x14ac:dyDescent="0.3">
      <c r="A345" s="312" t="s">
        <v>763</v>
      </c>
      <c r="B345" s="7" t="s">
        <v>272</v>
      </c>
      <c r="C345" s="248" t="s">
        <v>49</v>
      </c>
      <c r="D345" s="211">
        <v>1034</v>
      </c>
      <c r="E345" s="41">
        <v>46100</v>
      </c>
      <c r="F345" s="127">
        <v>46113</v>
      </c>
      <c r="G345" s="28">
        <v>3030039</v>
      </c>
      <c r="H345" s="28" t="s">
        <v>830</v>
      </c>
      <c r="I345" s="38">
        <v>9778</v>
      </c>
      <c r="J345" s="29" t="s">
        <v>806</v>
      </c>
      <c r="K345" s="151">
        <v>500</v>
      </c>
      <c r="L345" s="128">
        <v>168</v>
      </c>
      <c r="M345" s="53">
        <v>2.2000000000000002</v>
      </c>
      <c r="N345" s="54">
        <f>Tabela1[[#This Row],[PREÇO]]*Tabela1[[#This Row],[MTS]]</f>
        <v>1100</v>
      </c>
      <c r="S345" s="483" t="s">
        <v>835</v>
      </c>
      <c r="T345" s="437" t="s">
        <v>1463</v>
      </c>
      <c r="W345" s="500">
        <f>497-500</f>
        <v>-3</v>
      </c>
      <c r="X345" s="500"/>
    </row>
    <row r="346" spans="1:25" x14ac:dyDescent="0.3">
      <c r="A346" s="312" t="s">
        <v>763</v>
      </c>
      <c r="B346" s="7" t="s">
        <v>272</v>
      </c>
      <c r="C346" s="248" t="s">
        <v>49</v>
      </c>
      <c r="D346" s="211">
        <v>1034</v>
      </c>
      <c r="E346" s="41">
        <v>46100</v>
      </c>
      <c r="F346" s="127">
        <v>46113</v>
      </c>
      <c r="G346" s="28">
        <v>3030060</v>
      </c>
      <c r="H346" s="28" t="s">
        <v>564</v>
      </c>
      <c r="I346" s="38">
        <v>9778</v>
      </c>
      <c r="J346" s="29" t="s">
        <v>807</v>
      </c>
      <c r="K346" s="151">
        <v>600</v>
      </c>
      <c r="L346" s="128">
        <v>226.8</v>
      </c>
      <c r="M346" s="53">
        <v>1.5</v>
      </c>
      <c r="N346" s="54">
        <f>Tabela1[[#This Row],[PREÇO]]*Tabela1[[#This Row],[MTS]]</f>
        <v>900</v>
      </c>
      <c r="S346" s="483" t="s">
        <v>835</v>
      </c>
      <c r="T346" s="437" t="s">
        <v>940</v>
      </c>
      <c r="W346" s="378">
        <f>554-600</f>
        <v>-46</v>
      </c>
    </row>
    <row r="347" spans="1:25" x14ac:dyDescent="0.3">
      <c r="A347" s="326" t="s">
        <v>895</v>
      </c>
      <c r="B347" s="7" t="s">
        <v>161</v>
      </c>
      <c r="C347" s="248" t="s">
        <v>105</v>
      </c>
      <c r="D347" s="211">
        <v>1575</v>
      </c>
      <c r="E347" s="41">
        <v>46118</v>
      </c>
      <c r="F347" s="127">
        <v>46113</v>
      </c>
      <c r="G347" s="192" t="s">
        <v>898</v>
      </c>
      <c r="H347" s="209" t="s">
        <v>922</v>
      </c>
      <c r="I347" s="404">
        <v>9942</v>
      </c>
      <c r="J347" s="40" t="s">
        <v>905</v>
      </c>
      <c r="K347" s="137">
        <v>2000</v>
      </c>
      <c r="L347" s="128">
        <v>792</v>
      </c>
      <c r="M347" s="29">
        <v>1.77</v>
      </c>
      <c r="N347" s="54">
        <f>Tabela1[[#This Row],[PREÇO]]*Tabela1[[#This Row],[MTS]]</f>
        <v>3540</v>
      </c>
      <c r="R347" s="378" t="s">
        <v>901</v>
      </c>
      <c r="S347" s="479" t="s">
        <v>816</v>
      </c>
      <c r="T347" s="437">
        <v>46157</v>
      </c>
      <c r="W347" s="500"/>
      <c r="X347" s="500"/>
    </row>
    <row r="348" spans="1:25" x14ac:dyDescent="0.3">
      <c r="A348" s="326" t="s">
        <v>895</v>
      </c>
      <c r="B348" s="7" t="s">
        <v>161</v>
      </c>
      <c r="C348" s="248" t="s">
        <v>105</v>
      </c>
      <c r="D348" s="211">
        <v>1575</v>
      </c>
      <c r="E348" s="41">
        <v>46118</v>
      </c>
      <c r="F348" s="127">
        <v>46113</v>
      </c>
      <c r="G348" s="192" t="s">
        <v>899</v>
      </c>
      <c r="H348" s="209" t="s">
        <v>923</v>
      </c>
      <c r="I348" s="404">
        <v>9942</v>
      </c>
      <c r="J348" s="378" t="s">
        <v>906</v>
      </c>
      <c r="K348" s="137">
        <v>1000</v>
      </c>
      <c r="L348" s="128">
        <v>396</v>
      </c>
      <c r="M348" s="29">
        <v>1.77</v>
      </c>
      <c r="N348" s="54">
        <f>Tabela1[[#This Row],[PREÇO]]*Tabela1[[#This Row],[MTS]]</f>
        <v>1770</v>
      </c>
      <c r="R348" s="378" t="s">
        <v>901</v>
      </c>
      <c r="S348" s="501" t="s">
        <v>816</v>
      </c>
      <c r="T348" s="478" t="s">
        <v>973</v>
      </c>
    </row>
    <row r="349" spans="1:25" x14ac:dyDescent="0.3">
      <c r="A349" s="326" t="s">
        <v>895</v>
      </c>
      <c r="B349" s="7" t="s">
        <v>161</v>
      </c>
      <c r="C349" s="248" t="s">
        <v>105</v>
      </c>
      <c r="D349" s="211">
        <v>1575</v>
      </c>
      <c r="E349" s="41">
        <v>46118</v>
      </c>
      <c r="F349" s="127">
        <v>46113</v>
      </c>
      <c r="G349" s="192" t="s">
        <v>903</v>
      </c>
      <c r="H349" s="209" t="s">
        <v>924</v>
      </c>
      <c r="I349" s="404">
        <v>9942</v>
      </c>
      <c r="J349" s="378" t="s">
        <v>838</v>
      </c>
      <c r="K349" s="137">
        <v>1000</v>
      </c>
      <c r="L349" s="128">
        <v>484</v>
      </c>
      <c r="M349" s="29">
        <v>2.63</v>
      </c>
      <c r="N349" s="54">
        <f>Tabela1[[#This Row],[PREÇO]]*Tabela1[[#This Row],[MTS]]</f>
        <v>2630</v>
      </c>
      <c r="R349" s="378" t="s">
        <v>901</v>
      </c>
      <c r="S349" s="479" t="s">
        <v>816</v>
      </c>
      <c r="T349" s="437">
        <v>46157</v>
      </c>
    </row>
    <row r="350" spans="1:25" x14ac:dyDescent="0.3">
      <c r="A350" s="326" t="s">
        <v>895</v>
      </c>
      <c r="B350" s="7" t="s">
        <v>161</v>
      </c>
      <c r="C350" s="248" t="s">
        <v>105</v>
      </c>
      <c r="D350" s="211">
        <v>1575</v>
      </c>
      <c r="E350" s="41">
        <v>46118</v>
      </c>
      <c r="F350" s="127">
        <v>46113</v>
      </c>
      <c r="G350" s="234" t="s">
        <v>904</v>
      </c>
      <c r="H350" s="209" t="s">
        <v>925</v>
      </c>
      <c r="I350" s="404">
        <v>9942</v>
      </c>
      <c r="J350" s="378" t="s">
        <v>839</v>
      </c>
      <c r="K350" s="137">
        <v>1000</v>
      </c>
      <c r="L350" s="128">
        <v>616</v>
      </c>
      <c r="M350" s="104">
        <v>3.89</v>
      </c>
      <c r="N350" s="54">
        <f>Tabela1[[#This Row],[PREÇO]]*Tabela1[[#This Row],[MTS]]</f>
        <v>3890</v>
      </c>
      <c r="R350" s="378" t="s">
        <v>901</v>
      </c>
      <c r="S350" s="479" t="s">
        <v>816</v>
      </c>
      <c r="T350" s="437">
        <v>46157</v>
      </c>
    </row>
    <row r="351" spans="1:25" x14ac:dyDescent="0.3">
      <c r="A351" s="326" t="s">
        <v>895</v>
      </c>
      <c r="B351" s="7" t="s">
        <v>161</v>
      </c>
      <c r="C351" s="248" t="s">
        <v>105</v>
      </c>
      <c r="D351" s="211">
        <v>1575</v>
      </c>
      <c r="E351" s="41">
        <v>46118</v>
      </c>
      <c r="F351" s="127">
        <v>46113</v>
      </c>
      <c r="G351" s="193" t="s">
        <v>900</v>
      </c>
      <c r="H351" s="209" t="s">
        <v>926</v>
      </c>
      <c r="I351" s="404">
        <v>9942</v>
      </c>
      <c r="J351" s="378" t="s">
        <v>842</v>
      </c>
      <c r="K351" s="137">
        <v>2000</v>
      </c>
      <c r="L351" s="128">
        <v>336</v>
      </c>
      <c r="M351" s="104">
        <v>1.77</v>
      </c>
      <c r="N351" s="54">
        <f>Tabela1[[#This Row],[PREÇO]]*Tabela1[[#This Row],[MTS]]</f>
        <v>3540</v>
      </c>
      <c r="R351" s="378" t="s">
        <v>901</v>
      </c>
      <c r="S351" s="479" t="s">
        <v>816</v>
      </c>
      <c r="T351" s="437">
        <v>46157</v>
      </c>
    </row>
    <row r="352" spans="1:25" x14ac:dyDescent="0.3">
      <c r="A352" s="312" t="s">
        <v>844</v>
      </c>
      <c r="B352" s="7" t="s">
        <v>212</v>
      </c>
      <c r="C352" s="248" t="s">
        <v>13</v>
      </c>
      <c r="D352" s="211">
        <v>534</v>
      </c>
      <c r="E352" s="41">
        <v>46106</v>
      </c>
      <c r="F352" s="127">
        <v>46113</v>
      </c>
      <c r="G352" s="28">
        <v>2940090</v>
      </c>
      <c r="H352" s="40">
        <v>4952</v>
      </c>
      <c r="I352" s="38">
        <v>9802</v>
      </c>
      <c r="J352" s="29" t="s">
        <v>845</v>
      </c>
      <c r="K352" s="29">
        <v>500</v>
      </c>
      <c r="L352" s="128">
        <v>198</v>
      </c>
      <c r="M352" s="53">
        <v>1.96</v>
      </c>
      <c r="N352" s="54">
        <f>Tabela1[[#This Row],[PREÇO]]*Tabela1[[#This Row],[MTS]]</f>
        <v>980</v>
      </c>
      <c r="R352" s="502" t="s">
        <v>880</v>
      </c>
      <c r="S352" s="479" t="s">
        <v>835</v>
      </c>
      <c r="T352" s="437">
        <v>46141</v>
      </c>
    </row>
    <row r="353" spans="1:20" x14ac:dyDescent="0.3">
      <c r="A353" s="312" t="s">
        <v>844</v>
      </c>
      <c r="B353" s="7" t="s">
        <v>212</v>
      </c>
      <c r="C353" s="248" t="s">
        <v>13</v>
      </c>
      <c r="D353" s="211">
        <v>534</v>
      </c>
      <c r="E353" s="41">
        <v>46106</v>
      </c>
      <c r="F353" s="127">
        <v>46113</v>
      </c>
      <c r="G353" s="28">
        <v>2940089</v>
      </c>
      <c r="H353" s="40">
        <v>4951</v>
      </c>
      <c r="I353" s="38">
        <v>9802</v>
      </c>
      <c r="J353" s="29" t="s">
        <v>846</v>
      </c>
      <c r="K353" s="29">
        <v>500</v>
      </c>
      <c r="L353" s="128">
        <v>198</v>
      </c>
      <c r="M353" s="53">
        <v>1.92</v>
      </c>
      <c r="N353" s="54">
        <f>Tabela1[[#This Row],[PREÇO]]*Tabela1[[#This Row],[MTS]]</f>
        <v>960</v>
      </c>
      <c r="R353" s="502" t="s">
        <v>881</v>
      </c>
      <c r="S353" s="479" t="s">
        <v>835</v>
      </c>
      <c r="T353" s="437">
        <v>46141</v>
      </c>
    </row>
    <row r="354" spans="1:20" x14ac:dyDescent="0.3">
      <c r="A354" s="312" t="s">
        <v>844</v>
      </c>
      <c r="B354" s="7" t="s">
        <v>212</v>
      </c>
      <c r="C354" s="248" t="s">
        <v>13</v>
      </c>
      <c r="D354" s="211">
        <v>534</v>
      </c>
      <c r="E354" s="41">
        <v>46106</v>
      </c>
      <c r="F354" s="127">
        <v>46113</v>
      </c>
      <c r="G354" s="28">
        <v>2940088</v>
      </c>
      <c r="H354" s="40">
        <v>4950</v>
      </c>
      <c r="I354" s="38">
        <v>9802</v>
      </c>
      <c r="J354" s="29" t="s">
        <v>847</v>
      </c>
      <c r="K354" s="29">
        <v>500</v>
      </c>
      <c r="L354" s="128">
        <v>198</v>
      </c>
      <c r="M354" s="53">
        <v>1.91</v>
      </c>
      <c r="N354" s="54">
        <f>Tabela1[[#This Row],[PREÇO]]*Tabela1[[#This Row],[MTS]]</f>
        <v>955</v>
      </c>
      <c r="R354" s="502" t="s">
        <v>869</v>
      </c>
      <c r="S354" s="479" t="s">
        <v>835</v>
      </c>
      <c r="T354" s="437">
        <v>46141</v>
      </c>
    </row>
    <row r="355" spans="1:20" x14ac:dyDescent="0.3">
      <c r="A355" s="312" t="s">
        <v>844</v>
      </c>
      <c r="B355" s="7" t="s">
        <v>212</v>
      </c>
      <c r="C355" s="248" t="s">
        <v>13</v>
      </c>
      <c r="D355" s="211">
        <v>534</v>
      </c>
      <c r="E355" s="41">
        <v>46106</v>
      </c>
      <c r="F355" s="127">
        <v>46113</v>
      </c>
      <c r="G355" s="28">
        <v>2940087</v>
      </c>
      <c r="H355" s="40">
        <v>4949</v>
      </c>
      <c r="I355" s="38">
        <v>9802</v>
      </c>
      <c r="J355" s="29" t="s">
        <v>848</v>
      </c>
      <c r="K355" s="29">
        <v>500</v>
      </c>
      <c r="L355" s="128">
        <v>198</v>
      </c>
      <c r="M355" s="53">
        <v>1.91</v>
      </c>
      <c r="N355" s="54">
        <f>Tabela1[[#This Row],[PREÇO]]*Tabela1[[#This Row],[MTS]]</f>
        <v>955</v>
      </c>
      <c r="R355" s="502" t="s">
        <v>874</v>
      </c>
      <c r="S355" s="479" t="s">
        <v>835</v>
      </c>
      <c r="T355" s="437">
        <v>46141</v>
      </c>
    </row>
    <row r="356" spans="1:20" x14ac:dyDescent="0.3">
      <c r="A356" s="312" t="s">
        <v>844</v>
      </c>
      <c r="B356" s="7" t="s">
        <v>212</v>
      </c>
      <c r="C356" s="248" t="s">
        <v>13</v>
      </c>
      <c r="D356" s="211">
        <v>534</v>
      </c>
      <c r="E356" s="41">
        <v>46106</v>
      </c>
      <c r="F356" s="127">
        <v>46113</v>
      </c>
      <c r="G356" s="28">
        <v>2940086</v>
      </c>
      <c r="H356" s="40">
        <v>4948</v>
      </c>
      <c r="I356" s="38">
        <v>9802</v>
      </c>
      <c r="J356" s="29" t="s">
        <v>849</v>
      </c>
      <c r="K356" s="29">
        <v>500</v>
      </c>
      <c r="L356" s="128">
        <v>198</v>
      </c>
      <c r="M356" s="53">
        <v>1.95</v>
      </c>
      <c r="N356" s="54">
        <f>Tabela1[[#This Row],[PREÇO]]*Tabela1[[#This Row],[MTS]]</f>
        <v>975</v>
      </c>
      <c r="R356" s="502" t="s">
        <v>882</v>
      </c>
      <c r="S356" s="479" t="s">
        <v>835</v>
      </c>
      <c r="T356" s="437">
        <v>46141</v>
      </c>
    </row>
    <row r="357" spans="1:20" x14ac:dyDescent="0.3">
      <c r="A357" s="312" t="s">
        <v>844</v>
      </c>
      <c r="B357" s="7" t="s">
        <v>212</v>
      </c>
      <c r="C357" s="248" t="s">
        <v>13</v>
      </c>
      <c r="D357" s="211">
        <v>534</v>
      </c>
      <c r="E357" s="41">
        <v>46106</v>
      </c>
      <c r="F357" s="127">
        <v>46113</v>
      </c>
      <c r="G357" s="28">
        <v>2940091</v>
      </c>
      <c r="H357" s="40">
        <v>4956</v>
      </c>
      <c r="I357" s="38">
        <v>9802</v>
      </c>
      <c r="J357" s="29" t="s">
        <v>850</v>
      </c>
      <c r="K357" s="29">
        <v>500</v>
      </c>
      <c r="L357" s="128">
        <v>198</v>
      </c>
      <c r="M357" s="53">
        <v>1.92</v>
      </c>
      <c r="N357" s="54">
        <f>Tabela1[[#This Row],[PREÇO]]*Tabela1[[#This Row],[MTS]]</f>
        <v>960</v>
      </c>
      <c r="R357" s="502" t="s">
        <v>873</v>
      </c>
      <c r="S357" s="479" t="s">
        <v>835</v>
      </c>
      <c r="T357" s="437">
        <v>46141</v>
      </c>
    </row>
    <row r="358" spans="1:20" x14ac:dyDescent="0.3">
      <c r="A358" s="312" t="s">
        <v>844</v>
      </c>
      <c r="B358" s="7" t="s">
        <v>212</v>
      </c>
      <c r="C358" s="248" t="s">
        <v>13</v>
      </c>
      <c r="D358" s="211">
        <v>534</v>
      </c>
      <c r="E358" s="41">
        <v>46106</v>
      </c>
      <c r="F358" s="127">
        <v>46113</v>
      </c>
      <c r="G358" s="28">
        <v>2940085</v>
      </c>
      <c r="H358" s="40">
        <v>4947</v>
      </c>
      <c r="I358" s="38">
        <v>9802</v>
      </c>
      <c r="J358" s="29" t="s">
        <v>851</v>
      </c>
      <c r="K358" s="29">
        <v>500</v>
      </c>
      <c r="L358" s="128">
        <v>198</v>
      </c>
      <c r="M358" s="53">
        <v>2.0099999999999998</v>
      </c>
      <c r="N358" s="54">
        <f>Tabela1[[#This Row],[PREÇO]]*Tabela1[[#This Row],[MTS]]</f>
        <v>1004.9999999999999</v>
      </c>
      <c r="R358" s="502" t="s">
        <v>872</v>
      </c>
      <c r="S358" s="479" t="s">
        <v>835</v>
      </c>
      <c r="T358" s="437">
        <v>46141</v>
      </c>
    </row>
    <row r="359" spans="1:20" x14ac:dyDescent="0.3">
      <c r="A359" s="312" t="s">
        <v>844</v>
      </c>
      <c r="B359" s="7" t="s">
        <v>212</v>
      </c>
      <c r="C359" s="248" t="s">
        <v>13</v>
      </c>
      <c r="D359" s="211">
        <v>534</v>
      </c>
      <c r="E359" s="41">
        <v>46106</v>
      </c>
      <c r="F359" s="127">
        <v>46113</v>
      </c>
      <c r="G359" s="28">
        <v>2940082</v>
      </c>
      <c r="H359" s="40">
        <v>4944</v>
      </c>
      <c r="I359" s="38">
        <v>9802</v>
      </c>
      <c r="J359" s="29" t="s">
        <v>852</v>
      </c>
      <c r="K359" s="29">
        <v>500</v>
      </c>
      <c r="L359" s="128">
        <v>198</v>
      </c>
      <c r="M359" s="53">
        <v>2.04</v>
      </c>
      <c r="N359" s="54">
        <f>Tabela1[[#This Row],[PREÇO]]*Tabela1[[#This Row],[MTS]]</f>
        <v>1020</v>
      </c>
      <c r="R359" s="502" t="s">
        <v>883</v>
      </c>
      <c r="S359" s="479" t="s">
        <v>835</v>
      </c>
      <c r="T359" s="437">
        <v>46141</v>
      </c>
    </row>
    <row r="360" spans="1:20" x14ac:dyDescent="0.3">
      <c r="A360" s="312" t="s">
        <v>844</v>
      </c>
      <c r="B360" s="7" t="s">
        <v>212</v>
      </c>
      <c r="C360" s="248" t="s">
        <v>13</v>
      </c>
      <c r="D360" s="211">
        <v>534</v>
      </c>
      <c r="E360" s="41">
        <v>46106</v>
      </c>
      <c r="F360" s="127">
        <v>46113</v>
      </c>
      <c r="G360" s="28">
        <v>2940081</v>
      </c>
      <c r="H360" s="40">
        <v>4943</v>
      </c>
      <c r="I360" s="38">
        <v>9802</v>
      </c>
      <c r="J360" s="29" t="s">
        <v>853</v>
      </c>
      <c r="K360" s="29">
        <v>500</v>
      </c>
      <c r="L360" s="128">
        <v>198</v>
      </c>
      <c r="M360" s="53">
        <v>1.92</v>
      </c>
      <c r="N360" s="54">
        <f>Tabela1[[#This Row],[PREÇO]]*Tabela1[[#This Row],[MTS]]</f>
        <v>960</v>
      </c>
      <c r="R360" s="502" t="s">
        <v>869</v>
      </c>
      <c r="S360" s="479" t="s">
        <v>835</v>
      </c>
      <c r="T360" s="437">
        <v>46141</v>
      </c>
    </row>
    <row r="361" spans="1:20" x14ac:dyDescent="0.3">
      <c r="A361" s="312" t="s">
        <v>844</v>
      </c>
      <c r="B361" s="7" t="s">
        <v>212</v>
      </c>
      <c r="C361" s="248" t="s">
        <v>13</v>
      </c>
      <c r="D361" s="211">
        <v>534</v>
      </c>
      <c r="E361" s="41">
        <v>46106</v>
      </c>
      <c r="F361" s="127">
        <v>46113</v>
      </c>
      <c r="G361" s="28">
        <v>2940080</v>
      </c>
      <c r="H361" s="40">
        <v>4942</v>
      </c>
      <c r="I361" s="38">
        <v>9802</v>
      </c>
      <c r="J361" s="29" t="s">
        <v>854</v>
      </c>
      <c r="K361" s="29">
        <v>500</v>
      </c>
      <c r="L361" s="128">
        <v>198</v>
      </c>
      <c r="M361" s="53">
        <v>1.92</v>
      </c>
      <c r="N361" s="54">
        <f>Tabela1[[#This Row],[PREÇO]]*Tabela1[[#This Row],[MTS]]</f>
        <v>960</v>
      </c>
      <c r="R361" s="502" t="s">
        <v>870</v>
      </c>
      <c r="S361" s="479" t="s">
        <v>835</v>
      </c>
      <c r="T361" s="437">
        <v>46141</v>
      </c>
    </row>
    <row r="362" spans="1:20" x14ac:dyDescent="0.3">
      <c r="A362" s="312" t="s">
        <v>844</v>
      </c>
      <c r="B362" s="7" t="s">
        <v>212</v>
      </c>
      <c r="C362" s="248" t="s">
        <v>13</v>
      </c>
      <c r="D362" s="211">
        <v>534</v>
      </c>
      <c r="E362" s="41">
        <v>46106</v>
      </c>
      <c r="F362" s="127">
        <v>46113</v>
      </c>
      <c r="G362" s="28">
        <v>2940079</v>
      </c>
      <c r="H362" s="40">
        <v>4941</v>
      </c>
      <c r="I362" s="38">
        <v>9802</v>
      </c>
      <c r="J362" s="29" t="s">
        <v>855</v>
      </c>
      <c r="K362" s="29">
        <v>500</v>
      </c>
      <c r="L362" s="128">
        <v>198</v>
      </c>
      <c r="M362" s="53">
        <v>1.88</v>
      </c>
      <c r="N362" s="54">
        <f>Tabela1[[#This Row],[PREÇO]]*Tabela1[[#This Row],[MTS]]</f>
        <v>940</v>
      </c>
      <c r="R362" s="502" t="s">
        <v>871</v>
      </c>
      <c r="S362" s="479" t="s">
        <v>835</v>
      </c>
      <c r="T362" s="437">
        <v>46141</v>
      </c>
    </row>
    <row r="363" spans="1:20" x14ac:dyDescent="0.3">
      <c r="A363" s="312" t="s">
        <v>844</v>
      </c>
      <c r="B363" s="7" t="s">
        <v>212</v>
      </c>
      <c r="C363" s="248" t="s">
        <v>13</v>
      </c>
      <c r="D363" s="211">
        <v>534</v>
      </c>
      <c r="E363" s="41">
        <v>46106</v>
      </c>
      <c r="F363" s="127">
        <v>46113</v>
      </c>
      <c r="G363" s="28">
        <v>2940078</v>
      </c>
      <c r="H363" s="40">
        <v>4940</v>
      </c>
      <c r="I363" s="38">
        <v>9802</v>
      </c>
      <c r="J363" s="29" t="s">
        <v>856</v>
      </c>
      <c r="K363" s="29">
        <v>500</v>
      </c>
      <c r="L363" s="128">
        <v>198</v>
      </c>
      <c r="M363" s="53">
        <v>2.0099999999999998</v>
      </c>
      <c r="N363" s="54">
        <f>Tabela1[[#This Row],[PREÇO]]*Tabela1[[#This Row],[MTS]]</f>
        <v>1004.9999999999999</v>
      </c>
      <c r="R363" s="502" t="s">
        <v>872</v>
      </c>
      <c r="S363" s="479" t="s">
        <v>835</v>
      </c>
      <c r="T363" s="437" t="s">
        <v>918</v>
      </c>
    </row>
    <row r="364" spans="1:20" x14ac:dyDescent="0.3">
      <c r="A364" s="312" t="s">
        <v>844</v>
      </c>
      <c r="B364" s="7" t="s">
        <v>212</v>
      </c>
      <c r="C364" s="248" t="s">
        <v>13</v>
      </c>
      <c r="D364" s="211">
        <v>534</v>
      </c>
      <c r="E364" s="41">
        <v>46106</v>
      </c>
      <c r="F364" s="127">
        <v>46113</v>
      </c>
      <c r="G364" s="28">
        <v>2940084</v>
      </c>
      <c r="H364" s="40">
        <v>4946</v>
      </c>
      <c r="I364" s="38">
        <v>9802</v>
      </c>
      <c r="J364" s="29" t="s">
        <v>857</v>
      </c>
      <c r="K364" s="29">
        <v>500</v>
      </c>
      <c r="L364" s="128">
        <v>198</v>
      </c>
      <c r="M364" s="53">
        <v>1.92</v>
      </c>
      <c r="N364" s="54">
        <f>Tabela1[[#This Row],[PREÇO]]*Tabela1[[#This Row],[MTS]]</f>
        <v>960</v>
      </c>
      <c r="R364" s="502" t="s">
        <v>873</v>
      </c>
      <c r="S364" s="479" t="s">
        <v>835</v>
      </c>
      <c r="T364" s="437">
        <v>46141</v>
      </c>
    </row>
    <row r="365" spans="1:20" x14ac:dyDescent="0.3">
      <c r="A365" s="312" t="s">
        <v>844</v>
      </c>
      <c r="B365" s="7" t="s">
        <v>212</v>
      </c>
      <c r="C365" s="248" t="s">
        <v>13</v>
      </c>
      <c r="D365" s="211">
        <v>534</v>
      </c>
      <c r="E365" s="41">
        <v>46106</v>
      </c>
      <c r="F365" s="127">
        <v>46113</v>
      </c>
      <c r="G365" s="28">
        <v>2940076</v>
      </c>
      <c r="H365" s="40">
        <v>4938</v>
      </c>
      <c r="I365" s="38">
        <v>9802</v>
      </c>
      <c r="J365" s="29" t="s">
        <v>858</v>
      </c>
      <c r="K365" s="29">
        <v>500</v>
      </c>
      <c r="L365" s="128">
        <v>198</v>
      </c>
      <c r="M365" s="53">
        <v>1.92</v>
      </c>
      <c r="N365" s="54">
        <f>Tabela1[[#This Row],[PREÇO]]*Tabela1[[#This Row],[MTS]]</f>
        <v>960</v>
      </c>
      <c r="R365" s="502" t="s">
        <v>874</v>
      </c>
      <c r="S365" s="479" t="s">
        <v>835</v>
      </c>
      <c r="T365" s="437">
        <v>46141</v>
      </c>
    </row>
    <row r="366" spans="1:20" x14ac:dyDescent="0.3">
      <c r="A366" s="312" t="s">
        <v>844</v>
      </c>
      <c r="B366" s="7" t="s">
        <v>212</v>
      </c>
      <c r="C366" s="248" t="s">
        <v>13</v>
      </c>
      <c r="D366" s="211">
        <v>534</v>
      </c>
      <c r="E366" s="41">
        <v>46106</v>
      </c>
      <c r="F366" s="127">
        <v>46113</v>
      </c>
      <c r="G366" s="28">
        <v>2940075</v>
      </c>
      <c r="H366" s="40">
        <v>4937</v>
      </c>
      <c r="I366" s="38">
        <v>9802</v>
      </c>
      <c r="J366" s="90" t="s">
        <v>859</v>
      </c>
      <c r="K366" s="29">
        <v>500</v>
      </c>
      <c r="L366" s="128">
        <v>198</v>
      </c>
      <c r="M366" s="53">
        <v>1.91</v>
      </c>
      <c r="N366" s="54">
        <f>Tabela1[[#This Row],[PREÇO]]*Tabela1[[#This Row],[MTS]]</f>
        <v>955</v>
      </c>
      <c r="R366" s="502" t="s">
        <v>874</v>
      </c>
      <c r="S366" s="479" t="s">
        <v>835</v>
      </c>
      <c r="T366" s="437">
        <v>46141</v>
      </c>
    </row>
    <row r="367" spans="1:20" x14ac:dyDescent="0.3">
      <c r="A367" s="312" t="s">
        <v>844</v>
      </c>
      <c r="B367" s="7" t="s">
        <v>212</v>
      </c>
      <c r="C367" s="248" t="s">
        <v>13</v>
      </c>
      <c r="D367" s="211">
        <v>534</v>
      </c>
      <c r="E367" s="41">
        <v>46106</v>
      </c>
      <c r="F367" s="127">
        <v>46113</v>
      </c>
      <c r="G367" s="28">
        <v>2940074</v>
      </c>
      <c r="H367" s="40">
        <v>4936</v>
      </c>
      <c r="I367" s="38">
        <v>9802</v>
      </c>
      <c r="J367" s="90" t="s">
        <v>860</v>
      </c>
      <c r="K367" s="29">
        <v>500</v>
      </c>
      <c r="L367" s="128">
        <v>198</v>
      </c>
      <c r="M367" s="53">
        <v>1.88</v>
      </c>
      <c r="N367" s="54">
        <f>Tabela1[[#This Row],[PREÇO]]*Tabela1[[#This Row],[MTS]]</f>
        <v>940</v>
      </c>
      <c r="R367" s="502" t="s">
        <v>875</v>
      </c>
      <c r="S367" s="479" t="s">
        <v>835</v>
      </c>
      <c r="T367" s="437">
        <v>46141</v>
      </c>
    </row>
    <row r="368" spans="1:20" x14ac:dyDescent="0.3">
      <c r="A368" s="312" t="s">
        <v>844</v>
      </c>
      <c r="B368" s="7" t="s">
        <v>212</v>
      </c>
      <c r="C368" s="248" t="s">
        <v>13</v>
      </c>
      <c r="D368" s="211">
        <v>534</v>
      </c>
      <c r="E368" s="41">
        <v>46106</v>
      </c>
      <c r="F368" s="127">
        <v>46113</v>
      </c>
      <c r="G368" s="28">
        <v>2940083</v>
      </c>
      <c r="H368" s="40">
        <v>4945</v>
      </c>
      <c r="I368" s="38">
        <v>9802</v>
      </c>
      <c r="J368" s="29" t="s">
        <v>861</v>
      </c>
      <c r="K368" s="29">
        <v>500</v>
      </c>
      <c r="L368" s="128">
        <v>198</v>
      </c>
      <c r="M368" s="53">
        <v>1.92</v>
      </c>
      <c r="N368" s="54">
        <f>Tabela1[[#This Row],[PREÇO]]*Tabela1[[#This Row],[MTS]]</f>
        <v>960</v>
      </c>
      <c r="R368" s="502" t="s">
        <v>873</v>
      </c>
      <c r="S368" s="479" t="s">
        <v>835</v>
      </c>
      <c r="T368" s="437">
        <v>46141</v>
      </c>
    </row>
    <row r="369" spans="1:23" x14ac:dyDescent="0.3">
      <c r="A369" s="312" t="s">
        <v>844</v>
      </c>
      <c r="B369" s="7" t="s">
        <v>212</v>
      </c>
      <c r="C369" s="248" t="s">
        <v>13</v>
      </c>
      <c r="D369" s="211">
        <v>534</v>
      </c>
      <c r="E369" s="41">
        <v>46106</v>
      </c>
      <c r="F369" s="127">
        <v>46113</v>
      </c>
      <c r="G369" s="28">
        <v>2940073</v>
      </c>
      <c r="H369" s="40">
        <v>4932</v>
      </c>
      <c r="I369" s="38">
        <v>9802</v>
      </c>
      <c r="J369" s="29" t="s">
        <v>862</v>
      </c>
      <c r="K369" s="29">
        <v>500</v>
      </c>
      <c r="L369" s="128">
        <v>198</v>
      </c>
      <c r="M369" s="53">
        <v>1.92</v>
      </c>
      <c r="N369" s="54">
        <f>Tabela1[[#This Row],[PREÇO]]*Tabela1[[#This Row],[MTS]]</f>
        <v>960</v>
      </c>
      <c r="R369" s="502" t="s">
        <v>873</v>
      </c>
      <c r="S369" s="479" t="s">
        <v>835</v>
      </c>
      <c r="T369" s="437">
        <v>46141</v>
      </c>
    </row>
    <row r="370" spans="1:23" x14ac:dyDescent="0.3">
      <c r="A370" s="312" t="s">
        <v>844</v>
      </c>
      <c r="B370" s="7" t="s">
        <v>212</v>
      </c>
      <c r="C370" s="248" t="s">
        <v>13</v>
      </c>
      <c r="D370" s="211">
        <v>534</v>
      </c>
      <c r="E370" s="41">
        <v>46106</v>
      </c>
      <c r="F370" s="127">
        <v>46113</v>
      </c>
      <c r="G370" s="28">
        <v>2940072</v>
      </c>
      <c r="H370" s="40">
        <v>4931</v>
      </c>
      <c r="I370" s="38">
        <v>9802</v>
      </c>
      <c r="J370" s="90" t="s">
        <v>865</v>
      </c>
      <c r="K370" s="29">
        <v>500</v>
      </c>
      <c r="L370" s="128">
        <v>198</v>
      </c>
      <c r="M370" s="53">
        <v>1.95</v>
      </c>
      <c r="N370" s="54">
        <f>Tabela1[[#This Row],[PREÇO]]*Tabela1[[#This Row],[MTS]]</f>
        <v>975</v>
      </c>
      <c r="R370" s="502" t="s">
        <v>876</v>
      </c>
      <c r="S370" s="479" t="s">
        <v>835</v>
      </c>
      <c r="T370" s="437">
        <v>46141</v>
      </c>
    </row>
    <row r="371" spans="1:23" x14ac:dyDescent="0.3">
      <c r="A371" s="312" t="s">
        <v>844</v>
      </c>
      <c r="B371" s="7" t="s">
        <v>212</v>
      </c>
      <c r="C371" s="248" t="s">
        <v>13</v>
      </c>
      <c r="D371" s="211">
        <v>534</v>
      </c>
      <c r="E371" s="41">
        <v>46106</v>
      </c>
      <c r="F371" s="127">
        <v>46113</v>
      </c>
      <c r="G371" s="28">
        <v>2940071</v>
      </c>
      <c r="H371" s="40">
        <v>4930</v>
      </c>
      <c r="I371" s="38">
        <v>9802</v>
      </c>
      <c r="J371" s="90" t="s">
        <v>866</v>
      </c>
      <c r="K371" s="29">
        <v>500</v>
      </c>
      <c r="L371" s="128">
        <v>198</v>
      </c>
      <c r="M371" s="53">
        <v>1.94</v>
      </c>
      <c r="N371" s="54">
        <f>Tabela1[[#This Row],[PREÇO]]*Tabela1[[#This Row],[MTS]]</f>
        <v>970</v>
      </c>
      <c r="R371" s="502" t="s">
        <v>877</v>
      </c>
      <c r="S371" s="479" t="s">
        <v>835</v>
      </c>
      <c r="T371" s="437">
        <v>46141</v>
      </c>
    </row>
    <row r="372" spans="1:23" x14ac:dyDescent="0.3">
      <c r="A372" s="312" t="s">
        <v>844</v>
      </c>
      <c r="B372" s="7" t="s">
        <v>212</v>
      </c>
      <c r="C372" s="248" t="s">
        <v>13</v>
      </c>
      <c r="D372" s="211">
        <v>534</v>
      </c>
      <c r="E372" s="41">
        <v>46106</v>
      </c>
      <c r="F372" s="127">
        <v>46113</v>
      </c>
      <c r="G372" s="28">
        <v>2940070</v>
      </c>
      <c r="H372" s="40">
        <v>4929</v>
      </c>
      <c r="I372" s="38">
        <v>9802</v>
      </c>
      <c r="J372" s="90" t="s">
        <v>863</v>
      </c>
      <c r="K372" s="29">
        <v>500</v>
      </c>
      <c r="L372" s="128">
        <v>198</v>
      </c>
      <c r="M372" s="53">
        <v>1.93</v>
      </c>
      <c r="N372" s="54">
        <f>Tabela1[[#This Row],[PREÇO]]*Tabela1[[#This Row],[MTS]]</f>
        <v>965</v>
      </c>
      <c r="R372" s="502" t="s">
        <v>878</v>
      </c>
      <c r="S372" s="479" t="s">
        <v>835</v>
      </c>
      <c r="T372" s="437">
        <v>46141</v>
      </c>
    </row>
    <row r="373" spans="1:23" x14ac:dyDescent="0.3">
      <c r="A373" s="312" t="s">
        <v>844</v>
      </c>
      <c r="B373" s="7" t="s">
        <v>212</v>
      </c>
      <c r="C373" s="248" t="s">
        <v>13</v>
      </c>
      <c r="D373" s="211">
        <v>534</v>
      </c>
      <c r="E373" s="41">
        <v>46106</v>
      </c>
      <c r="F373" s="127">
        <v>46113</v>
      </c>
      <c r="G373" s="28">
        <v>2940069</v>
      </c>
      <c r="H373" s="40">
        <v>4928</v>
      </c>
      <c r="I373" s="38">
        <v>9802</v>
      </c>
      <c r="J373" s="90" t="s">
        <v>867</v>
      </c>
      <c r="K373" s="29">
        <v>500</v>
      </c>
      <c r="L373" s="128">
        <v>198</v>
      </c>
      <c r="M373" s="53">
        <v>1.92</v>
      </c>
      <c r="N373" s="54">
        <f>Tabela1[[#This Row],[PREÇO]]*Tabela1[[#This Row],[MTS]]</f>
        <v>960</v>
      </c>
      <c r="R373" s="502" t="s">
        <v>873</v>
      </c>
      <c r="S373" s="479" t="s">
        <v>835</v>
      </c>
      <c r="T373" s="437">
        <v>46141</v>
      </c>
    </row>
    <row r="374" spans="1:23" x14ac:dyDescent="0.3">
      <c r="A374" s="312" t="s">
        <v>844</v>
      </c>
      <c r="B374" s="7" t="s">
        <v>212</v>
      </c>
      <c r="C374" s="248" t="s">
        <v>13</v>
      </c>
      <c r="D374" s="211">
        <v>534</v>
      </c>
      <c r="E374" s="41">
        <v>46106</v>
      </c>
      <c r="F374" s="127">
        <v>46113</v>
      </c>
      <c r="G374" s="28">
        <v>2940068</v>
      </c>
      <c r="H374" s="40">
        <v>4927</v>
      </c>
      <c r="I374" s="38">
        <v>9802</v>
      </c>
      <c r="J374" s="189" t="s">
        <v>868</v>
      </c>
      <c r="K374" s="29">
        <v>500</v>
      </c>
      <c r="L374" s="128">
        <v>198</v>
      </c>
      <c r="M374" s="53">
        <v>1.93</v>
      </c>
      <c r="N374" s="54">
        <f>Tabela1[[#This Row],[PREÇO]]*Tabela1[[#This Row],[MTS]]</f>
        <v>965</v>
      </c>
      <c r="R374" s="502" t="s">
        <v>869</v>
      </c>
      <c r="S374" s="479" t="s">
        <v>835</v>
      </c>
      <c r="T374" s="437">
        <v>46141</v>
      </c>
    </row>
    <row r="375" spans="1:23" x14ac:dyDescent="0.3">
      <c r="A375" s="312" t="s">
        <v>844</v>
      </c>
      <c r="B375" s="7" t="s">
        <v>212</v>
      </c>
      <c r="C375" s="248" t="s">
        <v>13</v>
      </c>
      <c r="D375" s="211">
        <v>534</v>
      </c>
      <c r="E375" s="41">
        <v>46106</v>
      </c>
      <c r="F375" s="127">
        <v>46113</v>
      </c>
      <c r="G375" s="28">
        <v>2940077</v>
      </c>
      <c r="H375" s="40">
        <v>4939</v>
      </c>
      <c r="I375" s="38">
        <v>9802</v>
      </c>
      <c r="J375" s="29" t="s">
        <v>864</v>
      </c>
      <c r="K375" s="29">
        <v>500</v>
      </c>
      <c r="L375" s="128">
        <v>198</v>
      </c>
      <c r="M375" s="53">
        <v>1.92</v>
      </c>
      <c r="N375" s="54">
        <f>Tabela1[[#This Row],[PREÇO]]*Tabela1[[#This Row],[MTS]]</f>
        <v>960</v>
      </c>
      <c r="R375" s="502" t="s">
        <v>879</v>
      </c>
      <c r="S375" s="479" t="s">
        <v>835</v>
      </c>
      <c r="T375" s="437">
        <v>46141</v>
      </c>
    </row>
    <row r="376" spans="1:23" x14ac:dyDescent="0.3">
      <c r="A376" s="269" t="s">
        <v>781</v>
      </c>
      <c r="B376" s="7" t="s">
        <v>837</v>
      </c>
      <c r="C376" s="248" t="s">
        <v>105</v>
      </c>
      <c r="D376" s="211">
        <v>2138</v>
      </c>
      <c r="E376" s="41">
        <v>46112</v>
      </c>
      <c r="F376" s="127">
        <v>46113</v>
      </c>
      <c r="G376" s="28" t="s">
        <v>1464</v>
      </c>
      <c r="H376" s="40">
        <v>4959</v>
      </c>
      <c r="I376" s="38">
        <v>9939</v>
      </c>
      <c r="J376" s="29" t="s">
        <v>885</v>
      </c>
      <c r="K376" s="29">
        <v>1500</v>
      </c>
      <c r="L376" s="63">
        <v>1380</v>
      </c>
      <c r="M376" s="53">
        <v>7.6</v>
      </c>
      <c r="N376" s="54">
        <f>Tabela1[[#This Row],[PREÇO]]*Tabela1[[#This Row],[MTS]]</f>
        <v>11400</v>
      </c>
      <c r="R376" s="378" t="s">
        <v>907</v>
      </c>
      <c r="S376" s="477" t="s">
        <v>816</v>
      </c>
      <c r="T376" s="437" t="s">
        <v>943</v>
      </c>
    </row>
    <row r="377" spans="1:23" x14ac:dyDescent="0.3">
      <c r="A377" s="269" t="s">
        <v>781</v>
      </c>
      <c r="B377" s="7" t="s">
        <v>837</v>
      </c>
      <c r="C377" s="248" t="s">
        <v>105</v>
      </c>
      <c r="D377" s="211">
        <v>2138</v>
      </c>
      <c r="E377" s="41">
        <v>46112</v>
      </c>
      <c r="F377" s="127">
        <v>46113</v>
      </c>
      <c r="G377" s="28" t="s">
        <v>1465</v>
      </c>
      <c r="H377" s="40">
        <v>4958</v>
      </c>
      <c r="I377" s="38">
        <v>9939</v>
      </c>
      <c r="J377" s="29" t="s">
        <v>886</v>
      </c>
      <c r="K377" s="29">
        <v>1500</v>
      </c>
      <c r="L377" s="63">
        <v>594</v>
      </c>
      <c r="M377" s="53">
        <v>2.14</v>
      </c>
      <c r="N377" s="54">
        <f>Tabela1[[#This Row],[PREÇO]]*Tabela1[[#This Row],[MTS]]</f>
        <v>3210</v>
      </c>
      <c r="R377" s="378" t="s">
        <v>907</v>
      </c>
      <c r="S377" s="477" t="s">
        <v>816</v>
      </c>
      <c r="T377" s="437" t="s">
        <v>951</v>
      </c>
      <c r="W377" s="421">
        <f>1882/1500</f>
        <v>1.2546666666666666</v>
      </c>
    </row>
    <row r="378" spans="1:23" x14ac:dyDescent="0.3">
      <c r="A378" s="269" t="s">
        <v>781</v>
      </c>
      <c r="B378" s="7" t="s">
        <v>837</v>
      </c>
      <c r="C378" s="248" t="s">
        <v>105</v>
      </c>
      <c r="D378" s="211">
        <v>2138</v>
      </c>
      <c r="E378" s="41">
        <v>46112</v>
      </c>
      <c r="F378" s="127">
        <v>46113</v>
      </c>
      <c r="G378" s="28" t="s">
        <v>1466</v>
      </c>
      <c r="H378" s="40">
        <v>4957</v>
      </c>
      <c r="I378" s="38">
        <v>9939</v>
      </c>
      <c r="J378" s="29" t="s">
        <v>887</v>
      </c>
      <c r="K378" s="29">
        <v>1500</v>
      </c>
      <c r="L378" s="63">
        <v>660</v>
      </c>
      <c r="M378" s="53">
        <v>2.31</v>
      </c>
      <c r="N378" s="54">
        <f>Tabela1[[#This Row],[PREÇO]]*Tabela1[[#This Row],[MTS]]</f>
        <v>3465</v>
      </c>
      <c r="R378" s="378" t="s">
        <v>907</v>
      </c>
      <c r="S378" s="477" t="s">
        <v>816</v>
      </c>
      <c r="T378" s="437" t="s">
        <v>952</v>
      </c>
      <c r="V378" s="421">
        <f>1000/1500</f>
        <v>0.66666666666666663</v>
      </c>
      <c r="W378" s="421">
        <f>(1500+604)/1500</f>
        <v>1.4026666666666667</v>
      </c>
    </row>
    <row r="379" spans="1:23" x14ac:dyDescent="0.3">
      <c r="A379" s="312" t="s">
        <v>841</v>
      </c>
      <c r="B379" s="7" t="s">
        <v>405</v>
      </c>
      <c r="C379" s="248" t="s">
        <v>13</v>
      </c>
      <c r="D379" s="211">
        <v>1897</v>
      </c>
      <c r="E379" s="41">
        <v>46141</v>
      </c>
      <c r="F379" s="127">
        <v>46143</v>
      </c>
      <c r="G379" s="89" t="s">
        <v>1467</v>
      </c>
      <c r="H379" s="209" t="s">
        <v>1010</v>
      </c>
      <c r="I379" s="404">
        <v>10169</v>
      </c>
      <c r="J379" s="29" t="s">
        <v>946</v>
      </c>
      <c r="K379" s="29">
        <v>2500</v>
      </c>
      <c r="L379" s="63">
        <v>945</v>
      </c>
      <c r="M379" s="29">
        <v>1.96</v>
      </c>
      <c r="N379" s="54">
        <f>Tabela1[[#This Row],[PREÇO]]*Tabela1[[#This Row],[MTS]]</f>
        <v>4900</v>
      </c>
      <c r="S379" s="503" t="s">
        <v>1001</v>
      </c>
      <c r="T379" s="478">
        <v>46176</v>
      </c>
      <c r="U379" s="295" t="s">
        <v>1013</v>
      </c>
      <c r="V379" s="378" t="s">
        <v>1008</v>
      </c>
    </row>
    <row r="380" spans="1:23" x14ac:dyDescent="0.3">
      <c r="A380" s="312" t="s">
        <v>841</v>
      </c>
      <c r="B380" s="7" t="s">
        <v>405</v>
      </c>
      <c r="C380" s="248" t="s">
        <v>13</v>
      </c>
      <c r="D380" s="211">
        <v>1897</v>
      </c>
      <c r="E380" s="41">
        <v>46141</v>
      </c>
      <c r="F380" s="127">
        <v>46143</v>
      </c>
      <c r="G380" s="28" t="s">
        <v>1468</v>
      </c>
      <c r="H380" s="209">
        <v>5045</v>
      </c>
      <c r="I380" s="404">
        <v>10169</v>
      </c>
      <c r="J380" s="29" t="s">
        <v>947</v>
      </c>
      <c r="K380" s="29">
        <v>1000</v>
      </c>
      <c r="L380" s="63">
        <v>378</v>
      </c>
      <c r="M380" s="29">
        <v>1.82</v>
      </c>
      <c r="N380" s="54">
        <f>Tabela1[[#This Row],[PREÇO]]*Tabela1[[#This Row],[MTS]]</f>
        <v>1820</v>
      </c>
      <c r="S380" s="479" t="s">
        <v>816</v>
      </c>
      <c r="T380" s="437">
        <v>46158</v>
      </c>
      <c r="U380" s="295" t="s">
        <v>957</v>
      </c>
      <c r="V380" s="378" t="s">
        <v>974</v>
      </c>
    </row>
    <row r="381" spans="1:23" x14ac:dyDescent="0.3">
      <c r="A381" s="312" t="s">
        <v>841</v>
      </c>
      <c r="B381" s="7" t="s">
        <v>405</v>
      </c>
      <c r="C381" s="248" t="s">
        <v>13</v>
      </c>
      <c r="D381" s="211">
        <v>1897</v>
      </c>
      <c r="E381" s="41">
        <v>46141</v>
      </c>
      <c r="F381" s="127">
        <v>46143</v>
      </c>
      <c r="G381" s="47">
        <v>3370005</v>
      </c>
      <c r="H381" s="209">
        <v>2206</v>
      </c>
      <c r="I381" s="404">
        <v>10169</v>
      </c>
      <c r="J381" s="29" t="s">
        <v>428</v>
      </c>
      <c r="K381" s="29">
        <v>1500</v>
      </c>
      <c r="L381" s="63">
        <v>594</v>
      </c>
      <c r="M381" s="29">
        <v>1.98</v>
      </c>
      <c r="N381" s="54">
        <f>Tabela1[[#This Row],[PREÇO]]*Tabela1[[#This Row],[MTS]]</f>
        <v>2970</v>
      </c>
      <c r="S381" s="479" t="s">
        <v>816</v>
      </c>
      <c r="T381" s="504">
        <v>46218</v>
      </c>
      <c r="U381" s="295" t="s">
        <v>958</v>
      </c>
    </row>
    <row r="382" spans="1:23" x14ac:dyDescent="0.3">
      <c r="A382" s="269" t="s">
        <v>928</v>
      </c>
      <c r="B382" s="7" t="s">
        <v>955</v>
      </c>
      <c r="C382" s="248" t="s">
        <v>960</v>
      </c>
      <c r="D382" s="211">
        <v>2171</v>
      </c>
      <c r="E382" s="41">
        <v>46155</v>
      </c>
      <c r="F382" s="127">
        <v>46235</v>
      </c>
      <c r="G382" s="28" t="s">
        <v>1469</v>
      </c>
      <c r="H382" s="163" t="s">
        <v>977</v>
      </c>
      <c r="I382" s="404">
        <v>10310</v>
      </c>
      <c r="J382" s="29" t="s">
        <v>961</v>
      </c>
      <c r="K382" s="151">
        <v>4000</v>
      </c>
      <c r="L382" s="128">
        <v>1936</v>
      </c>
      <c r="M382" s="90">
        <v>2.0099999999999998</v>
      </c>
      <c r="N382" s="54">
        <f>Tabela1[[#This Row],[PREÇO]]*Tabela1[[#This Row],[MTS]]</f>
        <v>8039.9999999999991</v>
      </c>
      <c r="R382" s="428"/>
      <c r="S382" s="505" t="s">
        <v>820</v>
      </c>
      <c r="T382" s="504">
        <v>46218</v>
      </c>
      <c r="U382" s="295" t="s">
        <v>984</v>
      </c>
    </row>
    <row r="383" spans="1:23" x14ac:dyDescent="0.3">
      <c r="A383" s="269" t="s">
        <v>928</v>
      </c>
      <c r="B383" s="7" t="s">
        <v>955</v>
      </c>
      <c r="C383" s="248" t="s">
        <v>960</v>
      </c>
      <c r="D383" s="211">
        <v>2171</v>
      </c>
      <c r="E383" s="41">
        <v>46155</v>
      </c>
      <c r="F383" s="127">
        <v>46235</v>
      </c>
      <c r="G383" s="89" t="s">
        <v>1470</v>
      </c>
      <c r="H383" s="223" t="s">
        <v>978</v>
      </c>
      <c r="I383" s="404">
        <v>10310</v>
      </c>
      <c r="J383" s="29" t="s">
        <v>962</v>
      </c>
      <c r="K383" s="151">
        <v>5000</v>
      </c>
      <c r="L383" s="128">
        <v>2420</v>
      </c>
      <c r="M383" s="90">
        <v>2.0099999999999998</v>
      </c>
      <c r="N383" s="54">
        <f>Tabela1[[#This Row],[PREÇO]]*Tabela1[[#This Row],[MTS]]</f>
        <v>10049.999999999998</v>
      </c>
      <c r="R383" s="428"/>
      <c r="S383" s="505" t="s">
        <v>820</v>
      </c>
      <c r="T383" s="504">
        <v>46218</v>
      </c>
      <c r="U383" s="295" t="s">
        <v>1051</v>
      </c>
    </row>
    <row r="384" spans="1:23" x14ac:dyDescent="0.3">
      <c r="A384" s="269" t="s">
        <v>928</v>
      </c>
      <c r="B384" s="7" t="s">
        <v>955</v>
      </c>
      <c r="C384" s="248" t="s">
        <v>960</v>
      </c>
      <c r="D384" s="211">
        <v>2171</v>
      </c>
      <c r="E384" s="41">
        <v>46155</v>
      </c>
      <c r="F384" s="127">
        <v>46235</v>
      </c>
      <c r="G384" s="28" t="s">
        <v>1471</v>
      </c>
      <c r="H384" s="163" t="s">
        <v>979</v>
      </c>
      <c r="I384" s="404">
        <v>10310</v>
      </c>
      <c r="J384" s="296" t="s">
        <v>166</v>
      </c>
      <c r="K384" s="238"/>
      <c r="L384" s="128">
        <v>2268</v>
      </c>
      <c r="M384" s="90">
        <v>1.65</v>
      </c>
      <c r="N384" s="54">
        <f>Tabela1[[#This Row],[PREÇO]]*Tabela1[[#This Row],[MTS]]</f>
        <v>0</v>
      </c>
      <c r="R384" s="506" t="s">
        <v>1135</v>
      </c>
      <c r="S384" s="505" t="s">
        <v>820</v>
      </c>
      <c r="T384" s="504">
        <v>46218</v>
      </c>
      <c r="U384" s="295" t="s">
        <v>1472</v>
      </c>
    </row>
    <row r="385" spans="1:24" x14ac:dyDescent="0.3">
      <c r="A385" s="331" t="s">
        <v>928</v>
      </c>
      <c r="B385" s="71" t="s">
        <v>955</v>
      </c>
      <c r="C385" s="249" t="s">
        <v>960</v>
      </c>
      <c r="D385" s="235">
        <v>2171</v>
      </c>
      <c r="E385" s="236">
        <v>46155</v>
      </c>
      <c r="F385" s="127">
        <v>46235</v>
      </c>
      <c r="G385" s="89" t="s">
        <v>1473</v>
      </c>
      <c r="H385" s="231" t="s">
        <v>980</v>
      </c>
      <c r="I385" s="404">
        <v>10310</v>
      </c>
      <c r="J385" s="139" t="s">
        <v>1045</v>
      </c>
      <c r="K385" s="238">
        <v>3000</v>
      </c>
      <c r="L385" s="239">
        <v>1848</v>
      </c>
      <c r="M385" s="242">
        <v>3.92</v>
      </c>
      <c r="N385" s="240">
        <f>Tabela1[[#This Row],[PREÇO]]*Tabela1[[#This Row],[MTS]]</f>
        <v>11760</v>
      </c>
      <c r="R385" s="428" t="s">
        <v>1041</v>
      </c>
      <c r="S385" s="505" t="s">
        <v>1001</v>
      </c>
      <c r="T385" s="504">
        <v>46234</v>
      </c>
      <c r="U385" s="507" t="s">
        <v>1165</v>
      </c>
      <c r="V385" s="378">
        <v>2490</v>
      </c>
      <c r="W385" s="378" t="s">
        <v>1166</v>
      </c>
      <c r="X385" s="508">
        <f>2490/6000</f>
        <v>0.41499999999999998</v>
      </c>
    </row>
    <row r="386" spans="1:24" x14ac:dyDescent="0.3">
      <c r="A386" s="312" t="s">
        <v>956</v>
      </c>
      <c r="B386" s="7" t="s">
        <v>610</v>
      </c>
      <c r="C386" s="248" t="s">
        <v>49</v>
      </c>
      <c r="D386" s="211">
        <v>2049</v>
      </c>
      <c r="E386" s="41">
        <v>46156</v>
      </c>
      <c r="F386" s="80">
        <v>46174</v>
      </c>
      <c r="G386" s="28" t="s">
        <v>1474</v>
      </c>
      <c r="H386" s="163" t="s">
        <v>623</v>
      </c>
      <c r="I386" s="404">
        <v>10308</v>
      </c>
      <c r="J386" s="29" t="s">
        <v>642</v>
      </c>
      <c r="K386" s="29">
        <v>2000</v>
      </c>
      <c r="L386" s="63">
        <v>840</v>
      </c>
      <c r="M386" s="75">
        <v>4.9800000000000004</v>
      </c>
      <c r="N386" s="217">
        <f>Tabela1[[#This Row],[PREÇO]]*Tabela1[[#This Row],[MTS]]</f>
        <v>9960</v>
      </c>
      <c r="R386" s="378" t="s">
        <v>972</v>
      </c>
      <c r="S386" s="489" t="s">
        <v>985</v>
      </c>
      <c r="T386" s="490">
        <v>46188</v>
      </c>
      <c r="U386" s="295" t="s">
        <v>1042</v>
      </c>
    </row>
    <row r="387" spans="1:24" ht="16.399999999999999" customHeight="1" x14ac:dyDescent="0.3">
      <c r="A387" s="269" t="s">
        <v>965</v>
      </c>
      <c r="B387" s="7" t="s">
        <v>969</v>
      </c>
      <c r="C387" s="248" t="s">
        <v>49</v>
      </c>
      <c r="D387" s="211">
        <v>316</v>
      </c>
      <c r="E387" s="41">
        <v>46157</v>
      </c>
      <c r="F387" s="127">
        <v>46174</v>
      </c>
      <c r="G387" s="28">
        <v>32282</v>
      </c>
      <c r="H387" s="163">
        <v>1523</v>
      </c>
      <c r="I387" s="404">
        <v>10309</v>
      </c>
      <c r="J387" s="29" t="s">
        <v>671</v>
      </c>
      <c r="K387" s="29">
        <v>8000</v>
      </c>
      <c r="L387" s="63">
        <v>2592</v>
      </c>
      <c r="M387" s="75">
        <v>1.75</v>
      </c>
      <c r="N387" s="54">
        <f>Tabela1[[#This Row],[PREÇO]]*Tabela1[[#This Row],[MTS]]</f>
        <v>14000</v>
      </c>
      <c r="R387" s="434" t="s">
        <v>970</v>
      </c>
      <c r="S387" s="489" t="s">
        <v>991</v>
      </c>
      <c r="T387" s="490">
        <v>46197</v>
      </c>
      <c r="U387" s="295" t="s">
        <v>122</v>
      </c>
    </row>
    <row r="388" spans="1:24" ht="14.15" customHeight="1" x14ac:dyDescent="0.3">
      <c r="A388" s="336" t="s">
        <v>982</v>
      </c>
      <c r="B388" s="337" t="s">
        <v>996</v>
      </c>
      <c r="C388" s="509" t="s">
        <v>1005</v>
      </c>
      <c r="D388" s="338">
        <v>1164</v>
      </c>
      <c r="E388" s="339">
        <v>46163</v>
      </c>
      <c r="F388" s="340">
        <v>46143</v>
      </c>
      <c r="G388" s="341" t="s">
        <v>998</v>
      </c>
      <c r="H388" s="342">
        <v>1706</v>
      </c>
      <c r="I388" s="510">
        <v>10344</v>
      </c>
      <c r="J388" s="343" t="s">
        <v>997</v>
      </c>
      <c r="K388" s="346">
        <v>44000</v>
      </c>
      <c r="L388" s="128">
        <v>14256</v>
      </c>
      <c r="M388" s="344">
        <v>1.54</v>
      </c>
      <c r="N388" s="345">
        <f>Tabela1[[#This Row],[PREÇO]]*Tabela1[[#This Row],[MTS]]</f>
        <v>67760</v>
      </c>
      <c r="R388" s="511" t="s">
        <v>987</v>
      </c>
      <c r="S388" s="489" t="s">
        <v>995</v>
      </c>
      <c r="T388" s="490">
        <v>46195</v>
      </c>
      <c r="U388" s="295" t="s">
        <v>1007</v>
      </c>
    </row>
    <row r="389" spans="1:24" x14ac:dyDescent="0.3">
      <c r="A389" s="324" t="s">
        <v>988</v>
      </c>
      <c r="B389" s="71" t="s">
        <v>969</v>
      </c>
      <c r="C389" s="249" t="s">
        <v>49</v>
      </c>
      <c r="D389" s="235">
        <v>316</v>
      </c>
      <c r="E389" s="236">
        <v>46167</v>
      </c>
      <c r="F389" s="237">
        <v>46174</v>
      </c>
      <c r="G389" s="89">
        <v>2540037</v>
      </c>
      <c r="H389" s="469">
        <v>5176</v>
      </c>
      <c r="I389" s="418">
        <v>10529</v>
      </c>
      <c r="J389" s="243" t="s">
        <v>1046</v>
      </c>
      <c r="K389" s="139">
        <v>1000</v>
      </c>
      <c r="L389" s="86">
        <v>858</v>
      </c>
      <c r="M389" s="246">
        <v>7.91</v>
      </c>
      <c r="N389" s="54">
        <f>Tabela1[[#This Row],[PREÇO]]*Tabela1[[#This Row],[MTS]]</f>
        <v>7910</v>
      </c>
      <c r="R389" s="378" t="s">
        <v>1475</v>
      </c>
      <c r="S389" s="489" t="s">
        <v>820</v>
      </c>
      <c r="T389" s="490" t="s">
        <v>1048</v>
      </c>
      <c r="U389" s="295" t="s">
        <v>992</v>
      </c>
    </row>
    <row r="390" spans="1:24" x14ac:dyDescent="0.3">
      <c r="A390" s="312" t="s">
        <v>1004</v>
      </c>
      <c r="B390" s="7" t="s">
        <v>180</v>
      </c>
      <c r="C390" s="248" t="s">
        <v>70</v>
      </c>
      <c r="D390" s="211">
        <v>1372</v>
      </c>
      <c r="E390" s="41">
        <v>46182</v>
      </c>
      <c r="F390" s="127">
        <v>46174</v>
      </c>
      <c r="G390" s="28" t="s">
        <v>1019</v>
      </c>
      <c r="H390" s="40" t="s">
        <v>1022</v>
      </c>
      <c r="I390" s="38">
        <v>10497</v>
      </c>
      <c r="J390" s="29" t="s">
        <v>1023</v>
      </c>
      <c r="K390" s="29">
        <v>500</v>
      </c>
      <c r="L390" s="128">
        <v>407</v>
      </c>
      <c r="M390" s="53">
        <v>7.1</v>
      </c>
      <c r="N390" s="54">
        <f>Tabela1[[#This Row],[PREÇO]]*Tabela1[[#This Row],[MTS]]</f>
        <v>3550</v>
      </c>
      <c r="S390" s="489" t="s">
        <v>816</v>
      </c>
      <c r="T390" s="490">
        <v>46213</v>
      </c>
      <c r="U390" s="295" t="s">
        <v>1050</v>
      </c>
    </row>
    <row r="391" spans="1:24" x14ac:dyDescent="0.3">
      <c r="A391" s="312" t="s">
        <v>1004</v>
      </c>
      <c r="B391" s="7" t="s">
        <v>180</v>
      </c>
      <c r="C391" s="248" t="s">
        <v>70</v>
      </c>
      <c r="D391" s="211">
        <v>1372</v>
      </c>
      <c r="E391" s="41">
        <v>46182</v>
      </c>
      <c r="F391" s="127">
        <v>46174</v>
      </c>
      <c r="G391" s="28" t="s">
        <v>1020</v>
      </c>
      <c r="H391" s="40" t="s">
        <v>584</v>
      </c>
      <c r="I391" s="38">
        <v>10497</v>
      </c>
      <c r="J391" s="29" t="s">
        <v>1024</v>
      </c>
      <c r="K391" s="29">
        <v>500</v>
      </c>
      <c r="L391" s="128">
        <v>484</v>
      </c>
      <c r="M391" s="53">
        <v>7.43</v>
      </c>
      <c r="N391" s="54">
        <f>Tabela1[[#This Row],[PREÇO]]*Tabela1[[#This Row],[MTS]]</f>
        <v>3715</v>
      </c>
      <c r="S391" s="489" t="s">
        <v>816</v>
      </c>
      <c r="T391" s="490">
        <v>46213</v>
      </c>
      <c r="U391" s="295" t="s">
        <v>1050</v>
      </c>
    </row>
    <row r="392" spans="1:24" x14ac:dyDescent="0.3">
      <c r="A392" s="312" t="s">
        <v>1004</v>
      </c>
      <c r="B392" s="7" t="s">
        <v>180</v>
      </c>
      <c r="C392" s="248" t="s">
        <v>70</v>
      </c>
      <c r="D392" s="211">
        <v>1372</v>
      </c>
      <c r="E392" s="41">
        <v>46182</v>
      </c>
      <c r="F392" s="127">
        <v>46174</v>
      </c>
      <c r="G392" s="28" t="s">
        <v>1021</v>
      </c>
      <c r="H392" s="40" t="s">
        <v>464</v>
      </c>
      <c r="I392" s="38">
        <v>10497</v>
      </c>
      <c r="J392" s="29" t="s">
        <v>1130</v>
      </c>
      <c r="K392" s="29">
        <v>1500</v>
      </c>
      <c r="L392" s="128">
        <v>1134</v>
      </c>
      <c r="M392" s="53">
        <v>5.2</v>
      </c>
      <c r="N392" s="54">
        <f>Tabela1[[#This Row],[PREÇO]]*Tabela1[[#This Row],[MTS]]</f>
        <v>7800</v>
      </c>
      <c r="S392" s="489" t="s">
        <v>816</v>
      </c>
      <c r="T392" s="490">
        <v>46204</v>
      </c>
      <c r="U392" s="295" t="s">
        <v>1049</v>
      </c>
    </row>
    <row r="393" spans="1:24" x14ac:dyDescent="0.3">
      <c r="A393" s="312" t="s">
        <v>1026</v>
      </c>
      <c r="B393" s="71" t="s">
        <v>762</v>
      </c>
      <c r="C393" s="249" t="s">
        <v>105</v>
      </c>
      <c r="D393" s="235">
        <v>1832</v>
      </c>
      <c r="E393" s="236">
        <v>46184</v>
      </c>
      <c r="F393" s="237">
        <v>46174</v>
      </c>
      <c r="G393" s="234" t="s">
        <v>1033</v>
      </c>
      <c r="H393" s="159" t="s">
        <v>1034</v>
      </c>
      <c r="I393" s="418">
        <v>10499</v>
      </c>
      <c r="J393" s="233" t="s">
        <v>1032</v>
      </c>
      <c r="K393" s="139">
        <v>600</v>
      </c>
      <c r="L393" s="244">
        <v>475.2</v>
      </c>
      <c r="M393" s="245">
        <v>4.68</v>
      </c>
      <c r="N393" s="54">
        <f>Tabela1[[#This Row],[PREÇO]]*Tabela1[[#This Row],[MTS]]</f>
        <v>2808</v>
      </c>
      <c r="R393" s="496" t="s">
        <v>1027</v>
      </c>
      <c r="S393" s="489" t="s">
        <v>816</v>
      </c>
      <c r="T393" s="490">
        <v>46192</v>
      </c>
      <c r="U393" s="295" t="s">
        <v>1035</v>
      </c>
    </row>
    <row r="394" spans="1:24" x14ac:dyDescent="0.3">
      <c r="A394" s="312" t="s">
        <v>1028</v>
      </c>
      <c r="B394" s="7" t="s">
        <v>69</v>
      </c>
      <c r="C394" s="248" t="s">
        <v>70</v>
      </c>
      <c r="D394" s="211">
        <v>448</v>
      </c>
      <c r="E394" s="41">
        <v>46184</v>
      </c>
      <c r="F394" s="127">
        <v>46204</v>
      </c>
      <c r="G394" s="28" t="s">
        <v>1029</v>
      </c>
      <c r="H394" s="40" t="s">
        <v>160</v>
      </c>
      <c r="I394" s="38">
        <v>10506</v>
      </c>
      <c r="J394" s="29" t="s">
        <v>572</v>
      </c>
      <c r="K394" s="53">
        <v>1000</v>
      </c>
      <c r="L394" s="63">
        <v>396</v>
      </c>
      <c r="M394" s="53">
        <v>2.56</v>
      </c>
      <c r="N394" s="54">
        <f>Tabela1[[#This Row],[PREÇO]]*Tabela1[[#This Row],[MTS]]</f>
        <v>2560</v>
      </c>
      <c r="S394" s="489" t="s">
        <v>816</v>
      </c>
      <c r="T394" s="490">
        <v>46223</v>
      </c>
      <c r="U394" s="295" t="s">
        <v>993</v>
      </c>
    </row>
    <row r="395" spans="1:24" x14ac:dyDescent="0.3">
      <c r="A395" s="312" t="s">
        <v>1028</v>
      </c>
      <c r="B395" s="7" t="s">
        <v>69</v>
      </c>
      <c r="C395" s="248" t="s">
        <v>70</v>
      </c>
      <c r="D395" s="211">
        <v>448</v>
      </c>
      <c r="E395" s="41">
        <v>46184</v>
      </c>
      <c r="F395" s="127">
        <v>46204</v>
      </c>
      <c r="G395" s="28" t="s">
        <v>1030</v>
      </c>
      <c r="H395" s="40" t="s">
        <v>450</v>
      </c>
      <c r="I395" s="38">
        <v>10506</v>
      </c>
      <c r="J395" s="29" t="s">
        <v>573</v>
      </c>
      <c r="K395" s="53">
        <v>500</v>
      </c>
      <c r="L395" s="63">
        <v>407</v>
      </c>
      <c r="M395" s="277">
        <v>5.52</v>
      </c>
      <c r="N395" s="54">
        <f>Tabela1[[#This Row],[PREÇO]]*Tabela1[[#This Row],[MTS]]</f>
        <v>2760</v>
      </c>
      <c r="S395" s="489" t="s">
        <v>816</v>
      </c>
      <c r="T395" s="490">
        <v>46223</v>
      </c>
      <c r="U395" s="295" t="s">
        <v>1050</v>
      </c>
    </row>
    <row r="396" spans="1:24" x14ac:dyDescent="0.3">
      <c r="A396" s="309" t="s">
        <v>1031</v>
      </c>
      <c r="B396" s="7" t="s">
        <v>179</v>
      </c>
      <c r="C396" s="248" t="s">
        <v>21</v>
      </c>
      <c r="D396" s="211">
        <v>620</v>
      </c>
      <c r="E396" s="41">
        <v>46185</v>
      </c>
      <c r="F396" s="127">
        <v>46204</v>
      </c>
      <c r="G396" s="40">
        <v>7094</v>
      </c>
      <c r="H396" s="40" t="s">
        <v>1037</v>
      </c>
      <c r="I396" s="38">
        <v>10514</v>
      </c>
      <c r="J396" s="29" t="s">
        <v>733</v>
      </c>
      <c r="K396" s="232">
        <v>500</v>
      </c>
      <c r="L396" s="241">
        <v>189</v>
      </c>
      <c r="M396" s="198">
        <v>3.01</v>
      </c>
      <c r="N396" s="54">
        <f>Tabela1[[#This Row],[PREÇO]]*Tabela1[[#This Row],[MTS]]</f>
        <v>1505</v>
      </c>
      <c r="R396" s="378" t="s">
        <v>1044</v>
      </c>
      <c r="S396" s="489" t="s">
        <v>816</v>
      </c>
      <c r="T396" s="209" t="s">
        <v>1090</v>
      </c>
      <c r="U396" s="295" t="s">
        <v>992</v>
      </c>
    </row>
    <row r="397" spans="1:24" x14ac:dyDescent="0.3">
      <c r="A397" s="309" t="s">
        <v>1031</v>
      </c>
      <c r="B397" s="7" t="s">
        <v>179</v>
      </c>
      <c r="C397" s="248" t="s">
        <v>21</v>
      </c>
      <c r="D397" s="211">
        <v>620</v>
      </c>
      <c r="E397" s="41">
        <v>46185</v>
      </c>
      <c r="F397" s="127">
        <v>46204</v>
      </c>
      <c r="G397" s="28" t="s">
        <v>728</v>
      </c>
      <c r="H397" s="40" t="s">
        <v>1038</v>
      </c>
      <c r="I397" s="38">
        <v>10514</v>
      </c>
      <c r="J397" s="29" t="s">
        <v>734</v>
      </c>
      <c r="K397" s="53">
        <v>700</v>
      </c>
      <c r="L397" s="241">
        <v>264.60000000000002</v>
      </c>
      <c r="M397" s="198">
        <v>1.56</v>
      </c>
      <c r="N397" s="54">
        <f>Tabela1[[#This Row],[PREÇO]]*Tabela1[[#This Row],[MTS]]</f>
        <v>1092</v>
      </c>
      <c r="R397" s="378" t="s">
        <v>1044</v>
      </c>
      <c r="S397" s="489" t="s">
        <v>816</v>
      </c>
      <c r="T397" s="209" t="s">
        <v>1090</v>
      </c>
      <c r="U397" s="295" t="s">
        <v>993</v>
      </c>
    </row>
    <row r="398" spans="1:24" x14ac:dyDescent="0.3">
      <c r="A398" s="309" t="s">
        <v>1031</v>
      </c>
      <c r="B398" s="7" t="s">
        <v>179</v>
      </c>
      <c r="C398" s="248" t="s">
        <v>21</v>
      </c>
      <c r="D398" s="211">
        <v>620</v>
      </c>
      <c r="E398" s="41">
        <v>46185</v>
      </c>
      <c r="F398" s="127">
        <v>46204</v>
      </c>
      <c r="G398" s="28" t="s">
        <v>729</v>
      </c>
      <c r="H398" s="40" t="s">
        <v>1039</v>
      </c>
      <c r="I398" s="38">
        <v>10514</v>
      </c>
      <c r="J398" s="29" t="s">
        <v>735</v>
      </c>
      <c r="K398" s="53">
        <v>550</v>
      </c>
      <c r="L398" s="241">
        <v>207.9</v>
      </c>
      <c r="M398" s="198">
        <v>2.58</v>
      </c>
      <c r="N398" s="54">
        <f>Tabela1[[#This Row],[PREÇO]]*Tabela1[[#This Row],[MTS]]</f>
        <v>1419</v>
      </c>
      <c r="R398" s="378" t="s">
        <v>1044</v>
      </c>
      <c r="S398" s="489" t="s">
        <v>816</v>
      </c>
      <c r="T398" s="209" t="s">
        <v>1090</v>
      </c>
    </row>
    <row r="399" spans="1:24" x14ac:dyDescent="0.3">
      <c r="A399" s="309" t="s">
        <v>1031</v>
      </c>
      <c r="B399" s="7" t="s">
        <v>179</v>
      </c>
      <c r="C399" s="248" t="s">
        <v>21</v>
      </c>
      <c r="D399" s="211">
        <v>620</v>
      </c>
      <c r="E399" s="41">
        <v>46185</v>
      </c>
      <c r="F399" s="127">
        <v>46204</v>
      </c>
      <c r="G399" s="28" t="s">
        <v>730</v>
      </c>
      <c r="H399" s="40" t="s">
        <v>1040</v>
      </c>
      <c r="I399" s="38">
        <v>10514</v>
      </c>
      <c r="J399" s="29" t="s">
        <v>736</v>
      </c>
      <c r="K399" s="53">
        <v>1900</v>
      </c>
      <c r="L399" s="241">
        <v>718.2</v>
      </c>
      <c r="M399" s="198">
        <v>1.5</v>
      </c>
      <c r="N399" s="54">
        <f>Tabela1[[#This Row],[PREÇO]]*Tabela1[[#This Row],[MTS]]</f>
        <v>2850</v>
      </c>
      <c r="R399" s="378" t="s">
        <v>1044</v>
      </c>
      <c r="S399" s="489" t="s">
        <v>816</v>
      </c>
      <c r="T399" s="209" t="s">
        <v>1090</v>
      </c>
      <c r="U399" s="295" t="s">
        <v>1176</v>
      </c>
    </row>
    <row r="400" spans="1:24" ht="15.65" customHeight="1" x14ac:dyDescent="0.3">
      <c r="A400" s="312" t="s">
        <v>1043</v>
      </c>
      <c r="B400" s="7" t="s">
        <v>762</v>
      </c>
      <c r="C400" s="512" t="s">
        <v>105</v>
      </c>
      <c r="D400" s="222">
        <v>1832</v>
      </c>
      <c r="E400" s="41">
        <v>46196</v>
      </c>
      <c r="F400" s="237">
        <v>46204</v>
      </c>
      <c r="G400" s="28" t="s">
        <v>1054</v>
      </c>
      <c r="H400" s="40" t="s">
        <v>1172</v>
      </c>
      <c r="I400" s="38">
        <v>10572</v>
      </c>
      <c r="J400" s="29" t="s">
        <v>1055</v>
      </c>
      <c r="K400" s="53">
        <v>600</v>
      </c>
      <c r="L400" s="241">
        <v>528</v>
      </c>
      <c r="M400" s="53">
        <v>5.89</v>
      </c>
      <c r="N400" s="54">
        <f>Tabela1[[#This Row],[PREÇO]]*Tabela1[[#This Row],[MTS]]</f>
        <v>3534</v>
      </c>
      <c r="R400" s="378" t="s">
        <v>1056</v>
      </c>
      <c r="S400" s="489" t="s">
        <v>816</v>
      </c>
      <c r="T400" s="437">
        <v>46224</v>
      </c>
      <c r="U400" s="295" t="s">
        <v>1035</v>
      </c>
    </row>
    <row r="401" spans="1:24" ht="15.65" customHeight="1" x14ac:dyDescent="0.3">
      <c r="A401" s="312" t="s">
        <v>1057</v>
      </c>
      <c r="B401" s="7" t="s">
        <v>69</v>
      </c>
      <c r="C401" s="512" t="s">
        <v>70</v>
      </c>
      <c r="D401" s="222">
        <v>448</v>
      </c>
      <c r="E401" s="41">
        <v>46197</v>
      </c>
      <c r="F401" s="127">
        <v>46204</v>
      </c>
      <c r="G401" s="28">
        <v>1136968</v>
      </c>
      <c r="H401" s="40" t="s">
        <v>679</v>
      </c>
      <c r="I401" s="38">
        <v>10609</v>
      </c>
      <c r="J401" s="29" t="s">
        <v>720</v>
      </c>
      <c r="K401" s="53">
        <v>1000</v>
      </c>
      <c r="L401" s="63">
        <v>704</v>
      </c>
      <c r="M401" s="279">
        <v>4.4800000000000004</v>
      </c>
      <c r="N401" s="54">
        <f>Tabela1[[#This Row],[PREÇO]]*Tabela1[[#This Row],[MTS]]</f>
        <v>4480</v>
      </c>
      <c r="R401" s="378" t="s">
        <v>154</v>
      </c>
      <c r="S401" s="489" t="s">
        <v>816</v>
      </c>
      <c r="T401" s="437">
        <v>46234</v>
      </c>
      <c r="U401" s="295" t="s">
        <v>992</v>
      </c>
    </row>
    <row r="402" spans="1:24" x14ac:dyDescent="0.3">
      <c r="A402" s="269" t="s">
        <v>1009</v>
      </c>
      <c r="B402" s="7" t="s">
        <v>1062</v>
      </c>
      <c r="C402" s="248" t="s">
        <v>21</v>
      </c>
      <c r="D402" s="211">
        <v>1081</v>
      </c>
      <c r="E402" s="41">
        <v>46197</v>
      </c>
      <c r="F402" s="127">
        <v>46204</v>
      </c>
      <c r="G402" s="28" t="s">
        <v>1069</v>
      </c>
      <c r="H402" s="163" t="s">
        <v>1085</v>
      </c>
      <c r="I402" s="38">
        <v>10756</v>
      </c>
      <c r="J402" s="29" t="s">
        <v>1073</v>
      </c>
      <c r="K402" s="29">
        <v>500</v>
      </c>
      <c r="L402" s="128">
        <v>418</v>
      </c>
      <c r="M402" s="90">
        <v>7.34</v>
      </c>
      <c r="N402" s="54">
        <f>Tabela1[[#This Row],[PREÇO]]*Tabela1[[#This Row],[MTS]]</f>
        <v>3670</v>
      </c>
      <c r="R402" s="378" t="s">
        <v>1063</v>
      </c>
      <c r="S402" s="489" t="s">
        <v>1025</v>
      </c>
      <c r="T402" s="437">
        <v>46234</v>
      </c>
    </row>
    <row r="403" spans="1:24" x14ac:dyDescent="0.3">
      <c r="A403" s="269" t="s">
        <v>1009</v>
      </c>
      <c r="B403" s="7" t="s">
        <v>1062</v>
      </c>
      <c r="C403" s="248" t="s">
        <v>21</v>
      </c>
      <c r="D403" s="211">
        <v>1081</v>
      </c>
      <c r="E403" s="41">
        <v>46197</v>
      </c>
      <c r="F403" s="127">
        <v>46204</v>
      </c>
      <c r="G403" s="28" t="s">
        <v>1070</v>
      </c>
      <c r="H403" s="163" t="s">
        <v>1086</v>
      </c>
      <c r="I403" s="38">
        <v>10756</v>
      </c>
      <c r="J403" s="29" t="s">
        <v>1074</v>
      </c>
      <c r="K403" s="29">
        <v>500</v>
      </c>
      <c r="L403" s="128">
        <v>308</v>
      </c>
      <c r="M403" s="90">
        <v>3.25</v>
      </c>
      <c r="N403" s="54">
        <f>Tabela1[[#This Row],[PREÇO]]*Tabela1[[#This Row],[MTS]]</f>
        <v>1625</v>
      </c>
      <c r="R403" s="378" t="s">
        <v>1063</v>
      </c>
      <c r="S403" s="489" t="s">
        <v>816</v>
      </c>
      <c r="T403" s="437">
        <v>46234</v>
      </c>
    </row>
    <row r="404" spans="1:24" x14ac:dyDescent="0.3">
      <c r="A404" s="269" t="s">
        <v>1009</v>
      </c>
      <c r="B404" s="7" t="s">
        <v>1062</v>
      </c>
      <c r="C404" s="248" t="s">
        <v>21</v>
      </c>
      <c r="D404" s="211">
        <v>1081</v>
      </c>
      <c r="E404" s="41">
        <v>46197</v>
      </c>
      <c r="F404" s="127">
        <v>46204</v>
      </c>
      <c r="G404" s="28" t="s">
        <v>1071</v>
      </c>
      <c r="H404" s="163" t="s">
        <v>1087</v>
      </c>
      <c r="I404" s="38">
        <v>10756</v>
      </c>
      <c r="J404" s="29" t="s">
        <v>1075</v>
      </c>
      <c r="K404" s="29">
        <v>500</v>
      </c>
      <c r="L404" s="128">
        <v>396</v>
      </c>
      <c r="M404" s="90">
        <v>4.75</v>
      </c>
      <c r="N404" s="54">
        <f>Tabela1[[#This Row],[PREÇO]]*Tabela1[[#This Row],[MTS]]</f>
        <v>2375</v>
      </c>
      <c r="R404" s="378" t="s">
        <v>1063</v>
      </c>
      <c r="S404" s="489" t="s">
        <v>1025</v>
      </c>
      <c r="T404" s="437">
        <v>46234</v>
      </c>
    </row>
    <row r="405" spans="1:24" x14ac:dyDescent="0.3">
      <c r="A405" s="269" t="s">
        <v>1009</v>
      </c>
      <c r="B405" s="7" t="s">
        <v>1062</v>
      </c>
      <c r="C405" s="248" t="s">
        <v>21</v>
      </c>
      <c r="D405" s="211">
        <v>1081</v>
      </c>
      <c r="E405" s="41">
        <v>46197</v>
      </c>
      <c r="F405" s="127">
        <v>46204</v>
      </c>
      <c r="G405" s="28" t="s">
        <v>1159</v>
      </c>
      <c r="H405" s="163" t="s">
        <v>1088</v>
      </c>
      <c r="I405" s="38">
        <v>10756</v>
      </c>
      <c r="J405" s="29" t="s">
        <v>1076</v>
      </c>
      <c r="K405" s="29">
        <v>500</v>
      </c>
      <c r="L405" s="128">
        <v>374</v>
      </c>
      <c r="M405" s="90">
        <v>3.01</v>
      </c>
      <c r="N405" s="54">
        <f>Tabela1[[#This Row],[PREÇO]]*Tabela1[[#This Row],[MTS]]</f>
        <v>1505</v>
      </c>
      <c r="R405" s="378" t="s">
        <v>1063</v>
      </c>
      <c r="S405" s="489" t="s">
        <v>816</v>
      </c>
      <c r="T405" s="437">
        <v>46234</v>
      </c>
    </row>
    <row r="406" spans="1:24" x14ac:dyDescent="0.3">
      <c r="A406" s="269" t="s">
        <v>1009</v>
      </c>
      <c r="B406" s="7" t="s">
        <v>1062</v>
      </c>
      <c r="C406" s="248" t="s">
        <v>21</v>
      </c>
      <c r="D406" s="211">
        <v>1081</v>
      </c>
      <c r="E406" s="41">
        <v>46197</v>
      </c>
      <c r="F406" s="127">
        <v>46204</v>
      </c>
      <c r="G406" s="28" t="s">
        <v>1072</v>
      </c>
      <c r="H406" s="163" t="s">
        <v>1089</v>
      </c>
      <c r="I406" s="38">
        <v>10756</v>
      </c>
      <c r="J406" s="29" t="s">
        <v>1074</v>
      </c>
      <c r="K406" s="29">
        <v>500</v>
      </c>
      <c r="L406" s="128">
        <v>308</v>
      </c>
      <c r="M406" s="90">
        <v>3.07</v>
      </c>
      <c r="N406" s="54">
        <f>Tabela1[[#This Row],[PREÇO]]*Tabela1[[#This Row],[MTS]]</f>
        <v>1535</v>
      </c>
      <c r="R406" s="378" t="s">
        <v>1063</v>
      </c>
      <c r="S406" s="489" t="s">
        <v>816</v>
      </c>
      <c r="T406" s="437">
        <v>46234</v>
      </c>
    </row>
    <row r="407" spans="1:24" x14ac:dyDescent="0.3">
      <c r="A407" s="269" t="s">
        <v>1009</v>
      </c>
      <c r="B407" s="7" t="s">
        <v>1062</v>
      </c>
      <c r="C407" s="248" t="s">
        <v>21</v>
      </c>
      <c r="D407" s="211">
        <v>1081</v>
      </c>
      <c r="E407" s="41">
        <v>46197</v>
      </c>
      <c r="F407" s="127">
        <v>46204</v>
      </c>
      <c r="G407" s="28" t="s">
        <v>1160</v>
      </c>
      <c r="H407" s="163">
        <v>3650012</v>
      </c>
      <c r="I407" s="38">
        <v>10756</v>
      </c>
      <c r="J407" s="29" t="s">
        <v>1156</v>
      </c>
      <c r="K407" s="29">
        <v>500</v>
      </c>
      <c r="L407" s="128">
        <v>189</v>
      </c>
      <c r="M407" s="90">
        <v>1.53</v>
      </c>
      <c r="N407" s="54">
        <f>Tabela1[[#This Row],[PREÇO]]*Tabela1[[#This Row],[MTS]]</f>
        <v>765</v>
      </c>
      <c r="R407" s="378" t="s">
        <v>1063</v>
      </c>
      <c r="S407" s="489" t="s">
        <v>816</v>
      </c>
      <c r="T407" s="437">
        <v>46234</v>
      </c>
    </row>
    <row r="408" spans="1:24" x14ac:dyDescent="0.3">
      <c r="A408" s="269" t="s">
        <v>1009</v>
      </c>
      <c r="B408" s="7" t="s">
        <v>1062</v>
      </c>
      <c r="C408" s="248" t="s">
        <v>21</v>
      </c>
      <c r="D408" s="211">
        <v>1081</v>
      </c>
      <c r="E408" s="41">
        <v>46197</v>
      </c>
      <c r="F408" s="127">
        <v>46204</v>
      </c>
      <c r="G408" s="28" t="s">
        <v>1161</v>
      </c>
      <c r="H408" s="163">
        <v>3650011</v>
      </c>
      <c r="I408" s="38">
        <v>10756</v>
      </c>
      <c r="J408" s="29" t="s">
        <v>1157</v>
      </c>
      <c r="K408" s="29">
        <v>500</v>
      </c>
      <c r="L408" s="128">
        <v>189</v>
      </c>
      <c r="M408" s="90">
        <v>1.53</v>
      </c>
      <c r="N408" s="54">
        <f>Tabela1[[#This Row],[PREÇO]]*Tabela1[[#This Row],[MTS]]</f>
        <v>765</v>
      </c>
      <c r="R408" s="378" t="s">
        <v>1063</v>
      </c>
      <c r="S408" s="489" t="s">
        <v>816</v>
      </c>
      <c r="T408" s="437">
        <v>46234</v>
      </c>
    </row>
    <row r="409" spans="1:24" x14ac:dyDescent="0.3">
      <c r="A409" s="269" t="s">
        <v>1009</v>
      </c>
      <c r="B409" s="7" t="s">
        <v>1062</v>
      </c>
      <c r="C409" s="248" t="s">
        <v>21</v>
      </c>
      <c r="D409" s="211">
        <v>1081</v>
      </c>
      <c r="E409" s="41">
        <v>46197</v>
      </c>
      <c r="F409" s="127">
        <v>46204</v>
      </c>
      <c r="G409" s="28" t="s">
        <v>1162</v>
      </c>
      <c r="H409" s="163">
        <v>3650010</v>
      </c>
      <c r="I409" s="38">
        <v>10756</v>
      </c>
      <c r="J409" s="29" t="s">
        <v>1158</v>
      </c>
      <c r="K409" s="29">
        <v>500</v>
      </c>
      <c r="L409" s="128">
        <v>189</v>
      </c>
      <c r="M409" s="90">
        <v>1.53</v>
      </c>
      <c r="N409" s="54">
        <f>Tabela1[[#This Row],[PREÇO]]*Tabela1[[#This Row],[MTS]]</f>
        <v>765</v>
      </c>
      <c r="R409" s="378" t="s">
        <v>1063</v>
      </c>
      <c r="S409" s="489" t="s">
        <v>816</v>
      </c>
      <c r="T409" s="437">
        <v>46234</v>
      </c>
    </row>
    <row r="410" spans="1:24" x14ac:dyDescent="0.3">
      <c r="A410" s="309" t="s">
        <v>1059</v>
      </c>
      <c r="B410" s="7" t="s">
        <v>405</v>
      </c>
      <c r="C410" s="248" t="s">
        <v>13</v>
      </c>
      <c r="D410" s="211">
        <v>1897</v>
      </c>
      <c r="E410" s="41">
        <v>46197</v>
      </c>
      <c r="F410" s="127">
        <v>46204</v>
      </c>
      <c r="G410" s="358" t="s">
        <v>1078</v>
      </c>
      <c r="H410" s="40" t="s">
        <v>1080</v>
      </c>
      <c r="I410" s="418">
        <v>11275</v>
      </c>
      <c r="J410" s="150" t="s">
        <v>1081</v>
      </c>
      <c r="K410" s="29">
        <v>1000</v>
      </c>
      <c r="L410" s="128">
        <v>396</v>
      </c>
      <c r="M410" s="53">
        <v>1.71</v>
      </c>
      <c r="N410" s="54">
        <f>Tabela1[[#This Row],[PREÇO]]*Tabela1[[#This Row],[MTS]]</f>
        <v>1710</v>
      </c>
      <c r="S410" s="489" t="s">
        <v>816</v>
      </c>
      <c r="T410" s="209" t="s">
        <v>1090</v>
      </c>
      <c r="U410" s="295" t="s">
        <v>1173</v>
      </c>
    </row>
    <row r="411" spans="1:24" x14ac:dyDescent="0.3">
      <c r="A411" s="309" t="s">
        <v>1059</v>
      </c>
      <c r="B411" s="7" t="s">
        <v>405</v>
      </c>
      <c r="C411" s="248" t="s">
        <v>13</v>
      </c>
      <c r="D411" s="211">
        <v>1897</v>
      </c>
      <c r="E411" s="41">
        <v>46197</v>
      </c>
      <c r="F411" s="127">
        <v>46204</v>
      </c>
      <c r="G411" s="358" t="s">
        <v>1079</v>
      </c>
      <c r="H411" s="40" t="s">
        <v>426</v>
      </c>
      <c r="I411" s="418">
        <v>11275</v>
      </c>
      <c r="J411" s="150" t="s">
        <v>1082</v>
      </c>
      <c r="K411" s="29">
        <v>1500</v>
      </c>
      <c r="L411" s="128">
        <v>630</v>
      </c>
      <c r="M411" s="53">
        <v>1.94</v>
      </c>
      <c r="N411" s="54">
        <f>Tabela1[[#This Row],[PREÇO]]*Tabela1[[#This Row],[MTS]]</f>
        <v>2910</v>
      </c>
      <c r="S411" s="489" t="s">
        <v>816</v>
      </c>
      <c r="T411" s="209" t="s">
        <v>1090</v>
      </c>
      <c r="U411" s="295" t="s">
        <v>1174</v>
      </c>
    </row>
    <row r="412" spans="1:24" x14ac:dyDescent="0.3">
      <c r="A412" s="309" t="s">
        <v>1131</v>
      </c>
      <c r="B412" s="7" t="s">
        <v>955</v>
      </c>
      <c r="C412" s="248" t="s">
        <v>960</v>
      </c>
      <c r="D412" s="211">
        <v>2171</v>
      </c>
      <c r="E412" s="41">
        <v>46204</v>
      </c>
      <c r="F412" s="127">
        <v>46204</v>
      </c>
      <c r="G412" s="28" t="s">
        <v>1122</v>
      </c>
      <c r="H412" s="163" t="s">
        <v>977</v>
      </c>
      <c r="I412" s="38">
        <v>10634</v>
      </c>
      <c r="J412" s="29" t="s">
        <v>1126</v>
      </c>
      <c r="K412" s="151">
        <v>2000</v>
      </c>
      <c r="L412" s="128">
        <v>919.6</v>
      </c>
      <c r="M412" s="90">
        <v>2.0099999999999998</v>
      </c>
      <c r="N412" s="54">
        <f>Tabela1[[#This Row],[PREÇO]]*Tabela1[[#This Row],[MTS]]</f>
        <v>4019.9999999999995</v>
      </c>
      <c r="R412" s="378" t="s">
        <v>1125</v>
      </c>
      <c r="S412" s="489" t="s">
        <v>1025</v>
      </c>
      <c r="T412" s="209" t="s">
        <v>1090</v>
      </c>
    </row>
    <row r="413" spans="1:24" x14ac:dyDescent="0.3">
      <c r="A413" s="309" t="s">
        <v>1131</v>
      </c>
      <c r="B413" s="7" t="s">
        <v>955</v>
      </c>
      <c r="C413" s="248" t="s">
        <v>960</v>
      </c>
      <c r="D413" s="211">
        <v>2171</v>
      </c>
      <c r="E413" s="41">
        <v>46204</v>
      </c>
      <c r="F413" s="127">
        <v>46204</v>
      </c>
      <c r="G413" s="28" t="s">
        <v>1123</v>
      </c>
      <c r="H413" s="163" t="s">
        <v>978</v>
      </c>
      <c r="I413" s="38">
        <v>10634</v>
      </c>
      <c r="J413" s="29" t="s">
        <v>1127</v>
      </c>
      <c r="K413" s="151">
        <v>1000</v>
      </c>
      <c r="L413" s="128">
        <v>290.39999999999998</v>
      </c>
      <c r="M413" s="90">
        <v>2.0099999999999998</v>
      </c>
      <c r="N413" s="54">
        <f>Tabela1[[#This Row],[PREÇO]]*Tabela1[[#This Row],[MTS]]</f>
        <v>2009.9999999999998</v>
      </c>
      <c r="R413" s="378" t="s">
        <v>1125</v>
      </c>
      <c r="S413" s="489" t="s">
        <v>816</v>
      </c>
      <c r="T413" s="209" t="s">
        <v>1090</v>
      </c>
    </row>
    <row r="414" spans="1:24" x14ac:dyDescent="0.3">
      <c r="A414" s="309" t="s">
        <v>1131</v>
      </c>
      <c r="B414" s="7" t="s">
        <v>955</v>
      </c>
      <c r="C414" s="248" t="s">
        <v>960</v>
      </c>
      <c r="D414" s="211">
        <v>2171</v>
      </c>
      <c r="E414" s="41">
        <v>46204</v>
      </c>
      <c r="F414" s="127">
        <v>46204</v>
      </c>
      <c r="G414" s="28" t="s">
        <v>1124</v>
      </c>
      <c r="H414" s="163" t="s">
        <v>980</v>
      </c>
      <c r="I414" s="38">
        <v>10634</v>
      </c>
      <c r="J414" s="29" t="s">
        <v>1128</v>
      </c>
      <c r="K414" s="151">
        <v>3000</v>
      </c>
      <c r="L414" s="128">
        <v>3388</v>
      </c>
      <c r="M414" s="90">
        <v>3.92</v>
      </c>
      <c r="N414" s="54">
        <f>Tabela1[[#This Row],[PREÇO]]*Tabela1[[#This Row],[MTS]]</f>
        <v>11760</v>
      </c>
      <c r="R414" s="378" t="s">
        <v>1125</v>
      </c>
      <c r="S414" s="489" t="s">
        <v>1001</v>
      </c>
      <c r="T414" s="209" t="s">
        <v>1167</v>
      </c>
      <c r="U414" s="507" t="s">
        <v>1165</v>
      </c>
      <c r="V414" s="378">
        <v>2490</v>
      </c>
      <c r="W414" s="378" t="s">
        <v>1166</v>
      </c>
      <c r="X414" s="508">
        <f>2490/6000</f>
        <v>0.41499999999999998</v>
      </c>
    </row>
    <row r="415" spans="1:24" ht="15.65" customHeight="1" x14ac:dyDescent="0.3">
      <c r="A415" s="309" t="s">
        <v>1077</v>
      </c>
      <c r="B415" s="7" t="s">
        <v>405</v>
      </c>
      <c r="C415" s="248" t="s">
        <v>13</v>
      </c>
      <c r="D415" s="222">
        <v>1897</v>
      </c>
      <c r="E415" s="41">
        <v>46204</v>
      </c>
      <c r="F415" s="127">
        <v>46204</v>
      </c>
      <c r="G415" s="28" t="s">
        <v>1133</v>
      </c>
      <c r="H415" s="40" t="s">
        <v>979</v>
      </c>
      <c r="I415" s="418">
        <v>11275</v>
      </c>
      <c r="J415" s="163" t="s">
        <v>963</v>
      </c>
      <c r="K415" s="29">
        <v>1000</v>
      </c>
      <c r="L415" s="128">
        <v>378</v>
      </c>
      <c r="M415" s="53">
        <v>1.65</v>
      </c>
      <c r="N415" s="54">
        <f>Tabela1[[#This Row],[PREÇO]]*Tabela1[[#This Row],[MTS]]</f>
        <v>1650</v>
      </c>
      <c r="R415" s="378" t="s">
        <v>1381</v>
      </c>
      <c r="S415" s="489" t="s">
        <v>820</v>
      </c>
      <c r="T415" s="209" t="s">
        <v>1090</v>
      </c>
      <c r="U415" s="378" t="s">
        <v>1175</v>
      </c>
    </row>
    <row r="416" spans="1:24" x14ac:dyDescent="0.3">
      <c r="A416" s="332" t="s">
        <v>975</v>
      </c>
      <c r="B416" s="7" t="s">
        <v>989</v>
      </c>
      <c r="C416" s="248" t="s">
        <v>499</v>
      </c>
      <c r="D416" s="222">
        <v>2184</v>
      </c>
      <c r="E416" s="41">
        <v>46157</v>
      </c>
      <c r="F416" s="127">
        <v>46204</v>
      </c>
      <c r="G416" s="403" t="s">
        <v>1212</v>
      </c>
      <c r="H416" s="163" t="s">
        <v>1210</v>
      </c>
      <c r="I416" s="404">
        <v>10700</v>
      </c>
      <c r="J416" s="29" t="s">
        <v>1211</v>
      </c>
      <c r="K416" s="268">
        <v>150</v>
      </c>
      <c r="L416" s="128">
        <v>92.4</v>
      </c>
      <c r="M416" s="150">
        <v>5.46</v>
      </c>
      <c r="N416" s="54">
        <f>Tabela1[[#This Row],[PREÇO]]*Tabela1[[#This Row],[MTS]]</f>
        <v>819</v>
      </c>
      <c r="R416" s="378" t="s">
        <v>1202</v>
      </c>
      <c r="S416" s="505" t="s">
        <v>1025</v>
      </c>
      <c r="T416" s="437">
        <v>46224</v>
      </c>
      <c r="U416" s="378" t="s">
        <v>1252</v>
      </c>
    </row>
    <row r="417" spans="1:20" x14ac:dyDescent="0.3">
      <c r="A417" s="256" t="s">
        <v>1064</v>
      </c>
      <c r="B417" s="251" t="s">
        <v>498</v>
      </c>
      <c r="C417" s="252" t="s">
        <v>499</v>
      </c>
      <c r="D417" s="253">
        <v>1958</v>
      </c>
      <c r="E417" s="513">
        <v>46202</v>
      </c>
      <c r="F417" s="254">
        <v>46204</v>
      </c>
      <c r="G417" s="28" t="s">
        <v>1091</v>
      </c>
      <c r="H417" s="40">
        <v>3570016</v>
      </c>
      <c r="I417" s="39">
        <v>10759</v>
      </c>
      <c r="J417" s="90" t="s">
        <v>1136</v>
      </c>
      <c r="K417" s="151">
        <v>500</v>
      </c>
      <c r="L417" s="128">
        <v>198</v>
      </c>
      <c r="M417" s="29">
        <v>1.66</v>
      </c>
      <c r="N417" s="54">
        <f>Tabela1[[#This Row],[PREÇO]]*Tabela1[[#This Row],[MTS]]</f>
        <v>830</v>
      </c>
      <c r="S417" s="489" t="s">
        <v>1025</v>
      </c>
      <c r="T417" s="209" t="s">
        <v>1177</v>
      </c>
    </row>
    <row r="418" spans="1:20" x14ac:dyDescent="0.3">
      <c r="A418" s="256" t="s">
        <v>1064</v>
      </c>
      <c r="B418" s="251" t="s">
        <v>498</v>
      </c>
      <c r="C418" s="252" t="s">
        <v>499</v>
      </c>
      <c r="D418" s="253">
        <v>1958</v>
      </c>
      <c r="E418" s="513">
        <v>46202</v>
      </c>
      <c r="F418" s="254">
        <v>46204</v>
      </c>
      <c r="G418" s="28" t="s">
        <v>1092</v>
      </c>
      <c r="H418" s="40">
        <v>3570017</v>
      </c>
      <c r="I418" s="39">
        <v>10759</v>
      </c>
      <c r="J418" s="90" t="s">
        <v>1137</v>
      </c>
      <c r="K418" s="151">
        <v>500</v>
      </c>
      <c r="L418" s="128">
        <v>198</v>
      </c>
      <c r="M418" s="29">
        <v>1.76</v>
      </c>
      <c r="N418" s="54">
        <f>Tabela1[[#This Row],[PREÇO]]*Tabela1[[#This Row],[MTS]]</f>
        <v>880</v>
      </c>
      <c r="S418" s="489" t="s">
        <v>1025</v>
      </c>
      <c r="T418" s="209" t="s">
        <v>1177</v>
      </c>
    </row>
    <row r="419" spans="1:20" x14ac:dyDescent="0.3">
      <c r="A419" s="256" t="s">
        <v>1064</v>
      </c>
      <c r="B419" s="251" t="s">
        <v>498</v>
      </c>
      <c r="C419" s="252" t="s">
        <v>499</v>
      </c>
      <c r="D419" s="253">
        <v>1958</v>
      </c>
      <c r="E419" s="513">
        <v>46202</v>
      </c>
      <c r="F419" s="254">
        <v>46204</v>
      </c>
      <c r="G419" s="28" t="s">
        <v>1093</v>
      </c>
      <c r="H419" s="40">
        <v>3570018</v>
      </c>
      <c r="I419" s="39">
        <v>10759</v>
      </c>
      <c r="J419" s="90" t="s">
        <v>1138</v>
      </c>
      <c r="K419" s="151">
        <v>500</v>
      </c>
      <c r="L419" s="128">
        <v>198</v>
      </c>
      <c r="M419" s="29">
        <v>1.73</v>
      </c>
      <c r="N419" s="54">
        <f>Tabela1[[#This Row],[PREÇO]]*Tabela1[[#This Row],[MTS]]</f>
        <v>865</v>
      </c>
      <c r="S419" s="489" t="s">
        <v>1025</v>
      </c>
      <c r="T419" s="209" t="s">
        <v>1177</v>
      </c>
    </row>
    <row r="420" spans="1:20" x14ac:dyDescent="0.3">
      <c r="A420" s="256" t="s">
        <v>1064</v>
      </c>
      <c r="B420" s="251" t="s">
        <v>498</v>
      </c>
      <c r="C420" s="252" t="s">
        <v>499</v>
      </c>
      <c r="D420" s="253">
        <v>1958</v>
      </c>
      <c r="E420" s="513">
        <v>46202</v>
      </c>
      <c r="F420" s="254">
        <v>46204</v>
      </c>
      <c r="G420" s="28" t="s">
        <v>1094</v>
      </c>
      <c r="H420" s="40">
        <v>3570019</v>
      </c>
      <c r="I420" s="39">
        <v>10759</v>
      </c>
      <c r="J420" s="90" t="s">
        <v>1139</v>
      </c>
      <c r="K420" s="151">
        <v>500</v>
      </c>
      <c r="L420" s="128">
        <v>198</v>
      </c>
      <c r="M420" s="29">
        <v>1.84</v>
      </c>
      <c r="N420" s="54">
        <f>Tabela1[[#This Row],[PREÇO]]*Tabela1[[#This Row],[MTS]]</f>
        <v>920</v>
      </c>
      <c r="S420" s="489" t="s">
        <v>1025</v>
      </c>
      <c r="T420" s="209" t="s">
        <v>1177</v>
      </c>
    </row>
    <row r="421" spans="1:20" x14ac:dyDescent="0.3">
      <c r="A421" s="256" t="s">
        <v>1064</v>
      </c>
      <c r="B421" s="251" t="s">
        <v>498</v>
      </c>
      <c r="C421" s="252" t="s">
        <v>499</v>
      </c>
      <c r="D421" s="253">
        <v>1958</v>
      </c>
      <c r="E421" s="513">
        <v>46202</v>
      </c>
      <c r="F421" s="254">
        <v>46204</v>
      </c>
      <c r="G421" s="28" t="s">
        <v>1095</v>
      </c>
      <c r="H421" s="40">
        <v>3570020</v>
      </c>
      <c r="I421" s="39">
        <v>10759</v>
      </c>
      <c r="J421" s="90" t="s">
        <v>1136</v>
      </c>
      <c r="K421" s="151">
        <v>500</v>
      </c>
      <c r="L421" s="128">
        <v>198</v>
      </c>
      <c r="M421" s="29">
        <v>1.66</v>
      </c>
      <c r="N421" s="54">
        <f>Tabela1[[#This Row],[PREÇO]]*Tabela1[[#This Row],[MTS]]</f>
        <v>830</v>
      </c>
      <c r="S421" s="489" t="s">
        <v>1025</v>
      </c>
      <c r="T421" s="209" t="s">
        <v>1177</v>
      </c>
    </row>
    <row r="422" spans="1:20" x14ac:dyDescent="0.3">
      <c r="A422" s="256" t="s">
        <v>1064</v>
      </c>
      <c r="B422" s="282" t="s">
        <v>498</v>
      </c>
      <c r="C422" s="283" t="s">
        <v>499</v>
      </c>
      <c r="D422" s="253">
        <v>1958</v>
      </c>
      <c r="E422" s="514">
        <v>46202</v>
      </c>
      <c r="F422" s="284">
        <v>46204</v>
      </c>
      <c r="G422" s="285" t="s">
        <v>1096</v>
      </c>
      <c r="H422" s="247">
        <v>3570021</v>
      </c>
      <c r="I422" s="208">
        <v>10759</v>
      </c>
      <c r="J422" s="286" t="s">
        <v>1137</v>
      </c>
      <c r="K422" s="151"/>
      <c r="L422" s="128">
        <v>198</v>
      </c>
      <c r="M422" s="29">
        <v>1.76</v>
      </c>
      <c r="N422" s="54">
        <f>Tabela1[[#This Row],[PREÇO]]*Tabela1[[#This Row],[MTS]]</f>
        <v>0</v>
      </c>
      <c r="R422" s="378" t="s">
        <v>1279</v>
      </c>
      <c r="S422" s="489" t="s">
        <v>1025</v>
      </c>
      <c r="T422" s="209" t="s">
        <v>1177</v>
      </c>
    </row>
    <row r="423" spans="1:20" x14ac:dyDescent="0.3">
      <c r="A423" s="256" t="s">
        <v>1064</v>
      </c>
      <c r="B423" s="251" t="s">
        <v>498</v>
      </c>
      <c r="C423" s="252" t="s">
        <v>499</v>
      </c>
      <c r="D423" s="253">
        <v>1958</v>
      </c>
      <c r="E423" s="513">
        <v>46202</v>
      </c>
      <c r="F423" s="254">
        <v>46204</v>
      </c>
      <c r="G423" s="28" t="s">
        <v>1097</v>
      </c>
      <c r="H423" s="40">
        <v>3570022</v>
      </c>
      <c r="I423" s="39">
        <v>10759</v>
      </c>
      <c r="J423" s="90" t="s">
        <v>1138</v>
      </c>
      <c r="K423" s="151">
        <v>500</v>
      </c>
      <c r="L423" s="128">
        <v>198</v>
      </c>
      <c r="M423" s="29">
        <v>1.73</v>
      </c>
      <c r="N423" s="54">
        <f>Tabela1[[#This Row],[PREÇO]]*Tabela1[[#This Row],[MTS]]</f>
        <v>865</v>
      </c>
      <c r="S423" s="489" t="s">
        <v>1025</v>
      </c>
      <c r="T423" s="209" t="s">
        <v>1177</v>
      </c>
    </row>
    <row r="424" spans="1:20" x14ac:dyDescent="0.3">
      <c r="A424" s="256" t="s">
        <v>1064</v>
      </c>
      <c r="B424" s="251" t="s">
        <v>498</v>
      </c>
      <c r="C424" s="252" t="s">
        <v>499</v>
      </c>
      <c r="D424" s="253">
        <v>1958</v>
      </c>
      <c r="E424" s="513">
        <v>46202</v>
      </c>
      <c r="F424" s="254">
        <v>46204</v>
      </c>
      <c r="G424" s="28" t="s">
        <v>1098</v>
      </c>
      <c r="H424" s="40">
        <v>3570023</v>
      </c>
      <c r="I424" s="39">
        <v>10759</v>
      </c>
      <c r="J424" s="90" t="s">
        <v>1139</v>
      </c>
      <c r="K424" s="151">
        <v>500</v>
      </c>
      <c r="L424" s="128">
        <v>198</v>
      </c>
      <c r="M424" s="29">
        <v>1.84</v>
      </c>
      <c r="N424" s="54">
        <f>Tabela1[[#This Row],[PREÇO]]*Tabela1[[#This Row],[MTS]]</f>
        <v>920</v>
      </c>
      <c r="S424" s="489" t="s">
        <v>1025</v>
      </c>
      <c r="T424" s="209" t="s">
        <v>1177</v>
      </c>
    </row>
    <row r="425" spans="1:20" x14ac:dyDescent="0.3">
      <c r="A425" s="256" t="s">
        <v>1064</v>
      </c>
      <c r="B425" s="251" t="s">
        <v>498</v>
      </c>
      <c r="C425" s="252" t="s">
        <v>499</v>
      </c>
      <c r="D425" s="253">
        <v>1958</v>
      </c>
      <c r="E425" s="513">
        <v>46202</v>
      </c>
      <c r="F425" s="254">
        <v>46204</v>
      </c>
      <c r="G425" s="28" t="s">
        <v>1099</v>
      </c>
      <c r="H425" s="40">
        <v>3570024</v>
      </c>
      <c r="I425" s="39">
        <v>10759</v>
      </c>
      <c r="J425" s="90" t="s">
        <v>1136</v>
      </c>
      <c r="K425" s="151">
        <v>500</v>
      </c>
      <c r="L425" s="128">
        <v>198</v>
      </c>
      <c r="M425" s="29">
        <v>1.66</v>
      </c>
      <c r="N425" s="54">
        <f>Tabela1[[#This Row],[PREÇO]]*Tabela1[[#This Row],[MTS]]</f>
        <v>830</v>
      </c>
      <c r="S425" s="489" t="s">
        <v>1025</v>
      </c>
      <c r="T425" s="209" t="s">
        <v>1177</v>
      </c>
    </row>
    <row r="426" spans="1:20" x14ac:dyDescent="0.3">
      <c r="A426" s="256" t="s">
        <v>1064</v>
      </c>
      <c r="B426" s="251" t="s">
        <v>498</v>
      </c>
      <c r="C426" s="252" t="s">
        <v>499</v>
      </c>
      <c r="D426" s="253">
        <v>1958</v>
      </c>
      <c r="E426" s="513">
        <v>46202</v>
      </c>
      <c r="F426" s="254">
        <v>46204</v>
      </c>
      <c r="G426" s="40" t="s">
        <v>1100</v>
      </c>
      <c r="H426" s="40">
        <v>3570025</v>
      </c>
      <c r="I426" s="39">
        <v>10759</v>
      </c>
      <c r="J426" s="90" t="s">
        <v>1137</v>
      </c>
      <c r="K426" s="151">
        <v>500</v>
      </c>
      <c r="L426" s="128">
        <v>198</v>
      </c>
      <c r="M426" s="29">
        <v>1.76</v>
      </c>
      <c r="N426" s="54">
        <f>Tabela1[[#This Row],[PREÇO]]*Tabela1[[#This Row],[MTS]]</f>
        <v>880</v>
      </c>
      <c r="S426" s="489" t="s">
        <v>1025</v>
      </c>
      <c r="T426" s="209" t="s">
        <v>1177</v>
      </c>
    </row>
    <row r="427" spans="1:20" x14ac:dyDescent="0.3">
      <c r="A427" s="256" t="s">
        <v>1064</v>
      </c>
      <c r="B427" s="282" t="s">
        <v>498</v>
      </c>
      <c r="C427" s="283" t="s">
        <v>499</v>
      </c>
      <c r="D427" s="253">
        <v>1958</v>
      </c>
      <c r="E427" s="514">
        <v>46202</v>
      </c>
      <c r="F427" s="284">
        <v>46204</v>
      </c>
      <c r="G427" s="247" t="s">
        <v>1101</v>
      </c>
      <c r="H427" s="247">
        <v>3570026</v>
      </c>
      <c r="I427" s="208">
        <v>10759</v>
      </c>
      <c r="J427" s="286" t="s">
        <v>1138</v>
      </c>
      <c r="K427" s="151"/>
      <c r="L427" s="128">
        <v>198</v>
      </c>
      <c r="M427" s="29">
        <v>1.73</v>
      </c>
      <c r="N427" s="54">
        <f>Tabela1[[#This Row],[PREÇO]]*Tabela1[[#This Row],[MTS]]</f>
        <v>0</v>
      </c>
      <c r="R427" s="378" t="s">
        <v>1279</v>
      </c>
      <c r="S427" s="489" t="s">
        <v>1025</v>
      </c>
      <c r="T427" s="209" t="s">
        <v>1177</v>
      </c>
    </row>
    <row r="428" spans="1:20" x14ac:dyDescent="0.3">
      <c r="A428" s="256" t="s">
        <v>1064</v>
      </c>
      <c r="B428" s="251" t="s">
        <v>498</v>
      </c>
      <c r="C428" s="252" t="s">
        <v>499</v>
      </c>
      <c r="D428" s="253">
        <v>1958</v>
      </c>
      <c r="E428" s="513">
        <v>46202</v>
      </c>
      <c r="F428" s="254">
        <v>46204</v>
      </c>
      <c r="G428" s="40" t="s">
        <v>1102</v>
      </c>
      <c r="H428" s="40">
        <v>3570027</v>
      </c>
      <c r="I428" s="39">
        <v>10759</v>
      </c>
      <c r="J428" s="90" t="s">
        <v>1139</v>
      </c>
      <c r="K428" s="151">
        <v>500</v>
      </c>
      <c r="L428" s="128">
        <v>198</v>
      </c>
      <c r="M428" s="29">
        <v>1.84</v>
      </c>
      <c r="N428" s="54">
        <f>Tabela1[[#This Row],[PREÇO]]*Tabela1[[#This Row],[MTS]]</f>
        <v>920</v>
      </c>
      <c r="S428" s="489" t="s">
        <v>1025</v>
      </c>
      <c r="T428" s="209" t="s">
        <v>1177</v>
      </c>
    </row>
    <row r="429" spans="1:20" x14ac:dyDescent="0.3">
      <c r="A429" s="256" t="s">
        <v>1064</v>
      </c>
      <c r="B429" s="251" t="s">
        <v>498</v>
      </c>
      <c r="C429" s="252" t="s">
        <v>499</v>
      </c>
      <c r="D429" s="253">
        <v>1958</v>
      </c>
      <c r="E429" s="513">
        <v>46202</v>
      </c>
      <c r="F429" s="254">
        <v>46204</v>
      </c>
      <c r="G429" s="40" t="s">
        <v>1103</v>
      </c>
      <c r="H429" s="40">
        <v>3570028</v>
      </c>
      <c r="I429" s="39">
        <v>10759</v>
      </c>
      <c r="J429" s="90" t="s">
        <v>1136</v>
      </c>
      <c r="K429" s="151">
        <v>500</v>
      </c>
      <c r="L429" s="128">
        <v>198</v>
      </c>
      <c r="M429" s="29">
        <v>1.66</v>
      </c>
      <c r="N429" s="54">
        <f>Tabela1[[#This Row],[PREÇO]]*Tabela1[[#This Row],[MTS]]</f>
        <v>830</v>
      </c>
      <c r="S429" s="489" t="s">
        <v>1025</v>
      </c>
      <c r="T429" s="209" t="s">
        <v>1177</v>
      </c>
    </row>
    <row r="430" spans="1:20" x14ac:dyDescent="0.3">
      <c r="A430" s="256" t="s">
        <v>1064</v>
      </c>
      <c r="B430" s="282" t="s">
        <v>498</v>
      </c>
      <c r="C430" s="283" t="s">
        <v>499</v>
      </c>
      <c r="D430" s="253">
        <v>1958</v>
      </c>
      <c r="E430" s="514">
        <v>46202</v>
      </c>
      <c r="F430" s="284">
        <v>46204</v>
      </c>
      <c r="G430" s="247" t="s">
        <v>1104</v>
      </c>
      <c r="H430" s="247">
        <v>3570029</v>
      </c>
      <c r="I430" s="208">
        <v>10759</v>
      </c>
      <c r="J430" s="286" t="s">
        <v>1137</v>
      </c>
      <c r="K430" s="151"/>
      <c r="L430" s="128">
        <v>198</v>
      </c>
      <c r="M430" s="29">
        <v>1.76</v>
      </c>
      <c r="N430" s="54">
        <f>Tabela1[[#This Row],[PREÇO]]*Tabela1[[#This Row],[MTS]]</f>
        <v>0</v>
      </c>
      <c r="R430" s="378" t="s">
        <v>1279</v>
      </c>
      <c r="S430" s="489" t="s">
        <v>1025</v>
      </c>
      <c r="T430" s="209" t="s">
        <v>1177</v>
      </c>
    </row>
    <row r="431" spans="1:20" x14ac:dyDescent="0.3">
      <c r="A431" s="256" t="s">
        <v>1064</v>
      </c>
      <c r="B431" s="282" t="s">
        <v>498</v>
      </c>
      <c r="C431" s="283" t="s">
        <v>499</v>
      </c>
      <c r="D431" s="253">
        <v>1958</v>
      </c>
      <c r="E431" s="514">
        <v>46202</v>
      </c>
      <c r="F431" s="284">
        <v>46204</v>
      </c>
      <c r="G431" s="247" t="s">
        <v>1105</v>
      </c>
      <c r="H431" s="247">
        <v>3570030</v>
      </c>
      <c r="I431" s="208">
        <v>10759</v>
      </c>
      <c r="J431" s="286" t="s">
        <v>1138</v>
      </c>
      <c r="K431" s="151"/>
      <c r="L431" s="128">
        <v>198</v>
      </c>
      <c r="M431" s="29">
        <v>1.73</v>
      </c>
      <c r="N431" s="54">
        <f>Tabela1[[#This Row],[PREÇO]]*Tabela1[[#This Row],[MTS]]</f>
        <v>0</v>
      </c>
      <c r="R431" s="378" t="s">
        <v>1279</v>
      </c>
      <c r="S431" s="489" t="s">
        <v>1025</v>
      </c>
      <c r="T431" s="209" t="s">
        <v>1177</v>
      </c>
    </row>
    <row r="432" spans="1:20" x14ac:dyDescent="0.3">
      <c r="A432" s="256" t="s">
        <v>1064</v>
      </c>
      <c r="B432" s="251" t="s">
        <v>498</v>
      </c>
      <c r="C432" s="252" t="s">
        <v>499</v>
      </c>
      <c r="D432" s="253">
        <v>1958</v>
      </c>
      <c r="E432" s="513">
        <v>46202</v>
      </c>
      <c r="F432" s="254">
        <v>46204</v>
      </c>
      <c r="G432" s="40" t="s">
        <v>1106</v>
      </c>
      <c r="H432" s="40">
        <v>3570031</v>
      </c>
      <c r="I432" s="39">
        <v>10759</v>
      </c>
      <c r="J432" s="90" t="s">
        <v>1139</v>
      </c>
      <c r="K432" s="151">
        <v>500</v>
      </c>
      <c r="L432" s="128">
        <v>198</v>
      </c>
      <c r="M432" s="29">
        <v>1.84</v>
      </c>
      <c r="N432" s="54">
        <f>Tabela1[[#This Row],[PREÇO]]*Tabela1[[#This Row],[MTS]]</f>
        <v>920</v>
      </c>
      <c r="S432" s="489" t="s">
        <v>1025</v>
      </c>
      <c r="T432" s="209" t="s">
        <v>1177</v>
      </c>
    </row>
    <row r="433" spans="1:20" x14ac:dyDescent="0.3">
      <c r="A433" s="256" t="s">
        <v>1064</v>
      </c>
      <c r="B433" s="251" t="s">
        <v>498</v>
      </c>
      <c r="C433" s="252" t="s">
        <v>499</v>
      </c>
      <c r="D433" s="253">
        <v>1958</v>
      </c>
      <c r="E433" s="513">
        <v>46202</v>
      </c>
      <c r="F433" s="254">
        <v>46204</v>
      </c>
      <c r="G433" s="40" t="s">
        <v>1107</v>
      </c>
      <c r="H433" s="40">
        <v>3570032</v>
      </c>
      <c r="I433" s="39">
        <v>10759</v>
      </c>
      <c r="J433" s="90" t="s">
        <v>1136</v>
      </c>
      <c r="K433" s="151">
        <v>500</v>
      </c>
      <c r="L433" s="128">
        <v>198</v>
      </c>
      <c r="M433" s="29">
        <v>1.66</v>
      </c>
      <c r="N433" s="54">
        <f>Tabela1[[#This Row],[PREÇO]]*Tabela1[[#This Row],[MTS]]</f>
        <v>830</v>
      </c>
      <c r="S433" s="489" t="s">
        <v>1025</v>
      </c>
      <c r="T433" s="209" t="s">
        <v>1177</v>
      </c>
    </row>
    <row r="434" spans="1:20" x14ac:dyDescent="0.3">
      <c r="A434" s="256" t="s">
        <v>1064</v>
      </c>
      <c r="B434" s="251" t="s">
        <v>498</v>
      </c>
      <c r="C434" s="252" t="s">
        <v>499</v>
      </c>
      <c r="D434" s="253">
        <v>1958</v>
      </c>
      <c r="E434" s="513">
        <v>46202</v>
      </c>
      <c r="F434" s="254">
        <v>46204</v>
      </c>
      <c r="G434" s="40" t="s">
        <v>1108</v>
      </c>
      <c r="H434" s="40">
        <v>3570033</v>
      </c>
      <c r="I434" s="39">
        <v>10759</v>
      </c>
      <c r="J434" s="90" t="s">
        <v>1137</v>
      </c>
      <c r="K434" s="151">
        <v>500</v>
      </c>
      <c r="L434" s="128">
        <v>198</v>
      </c>
      <c r="M434" s="29">
        <v>1.76</v>
      </c>
      <c r="N434" s="54">
        <f>Tabela1[[#This Row],[PREÇO]]*Tabela1[[#This Row],[MTS]]</f>
        <v>880</v>
      </c>
      <c r="S434" s="489" t="s">
        <v>1025</v>
      </c>
      <c r="T434" s="209" t="s">
        <v>1177</v>
      </c>
    </row>
    <row r="435" spans="1:20" x14ac:dyDescent="0.3">
      <c r="A435" s="256" t="s">
        <v>1064</v>
      </c>
      <c r="B435" s="282" t="s">
        <v>498</v>
      </c>
      <c r="C435" s="248" t="s">
        <v>499</v>
      </c>
      <c r="D435" s="253">
        <v>1958</v>
      </c>
      <c r="E435" s="514">
        <v>46202</v>
      </c>
      <c r="F435" s="284">
        <v>46204</v>
      </c>
      <c r="G435" s="247" t="s">
        <v>1109</v>
      </c>
      <c r="H435" s="247">
        <v>3570034</v>
      </c>
      <c r="I435" s="208">
        <v>10759</v>
      </c>
      <c r="J435" s="286" t="s">
        <v>1138</v>
      </c>
      <c r="K435" s="151"/>
      <c r="L435" s="128">
        <v>198</v>
      </c>
      <c r="M435" s="29">
        <v>1.73</v>
      </c>
      <c r="N435" s="54">
        <f>Tabela1[[#This Row],[PREÇO]]*Tabela1[[#This Row],[MTS]]</f>
        <v>0</v>
      </c>
      <c r="R435" s="378" t="s">
        <v>1279</v>
      </c>
      <c r="S435" s="489" t="s">
        <v>1025</v>
      </c>
      <c r="T435" s="209" t="s">
        <v>1177</v>
      </c>
    </row>
    <row r="436" spans="1:20" x14ac:dyDescent="0.3">
      <c r="A436" s="256" t="s">
        <v>1064</v>
      </c>
      <c r="B436" s="251" t="s">
        <v>498</v>
      </c>
      <c r="C436" s="248" t="s">
        <v>499</v>
      </c>
      <c r="D436" s="253">
        <v>1958</v>
      </c>
      <c r="E436" s="513">
        <v>46202</v>
      </c>
      <c r="F436" s="254">
        <v>46204</v>
      </c>
      <c r="G436" s="40" t="s">
        <v>1110</v>
      </c>
      <c r="H436" s="40">
        <v>3570035</v>
      </c>
      <c r="I436" s="39">
        <v>10759</v>
      </c>
      <c r="J436" s="90" t="s">
        <v>1139</v>
      </c>
      <c r="K436" s="151">
        <v>500</v>
      </c>
      <c r="L436" s="128">
        <v>198</v>
      </c>
      <c r="M436" s="29">
        <v>1.84</v>
      </c>
      <c r="N436" s="54">
        <f>Tabela1[[#This Row],[PREÇO]]*Tabela1[[#This Row],[MTS]]</f>
        <v>920</v>
      </c>
      <c r="S436" s="489" t="s">
        <v>1025</v>
      </c>
      <c r="T436" s="209" t="s">
        <v>1177</v>
      </c>
    </row>
    <row r="437" spans="1:20" x14ac:dyDescent="0.3">
      <c r="A437" s="256" t="s">
        <v>1064</v>
      </c>
      <c r="B437" s="251" t="s">
        <v>498</v>
      </c>
      <c r="C437" s="248" t="s">
        <v>499</v>
      </c>
      <c r="D437" s="253">
        <v>1958</v>
      </c>
      <c r="E437" s="513">
        <v>46202</v>
      </c>
      <c r="F437" s="254">
        <v>46204</v>
      </c>
      <c r="G437" s="40" t="s">
        <v>1111</v>
      </c>
      <c r="H437" s="40">
        <v>3570036</v>
      </c>
      <c r="I437" s="39">
        <v>10759</v>
      </c>
      <c r="J437" s="90" t="s">
        <v>1136</v>
      </c>
      <c r="K437" s="151">
        <v>500</v>
      </c>
      <c r="L437" s="128">
        <v>198</v>
      </c>
      <c r="M437" s="29">
        <v>1.66</v>
      </c>
      <c r="N437" s="54">
        <f>Tabela1[[#This Row],[PREÇO]]*Tabela1[[#This Row],[MTS]]</f>
        <v>830</v>
      </c>
      <c r="S437" s="489" t="s">
        <v>1025</v>
      </c>
      <c r="T437" s="209" t="s">
        <v>1177</v>
      </c>
    </row>
    <row r="438" spans="1:20" x14ac:dyDescent="0.3">
      <c r="A438" s="256" t="s">
        <v>1064</v>
      </c>
      <c r="B438" s="251" t="s">
        <v>498</v>
      </c>
      <c r="C438" s="248" t="s">
        <v>499</v>
      </c>
      <c r="D438" s="253">
        <v>1958</v>
      </c>
      <c r="E438" s="513">
        <v>46202</v>
      </c>
      <c r="F438" s="254">
        <v>46204</v>
      </c>
      <c r="G438" s="40" t="s">
        <v>1112</v>
      </c>
      <c r="H438" s="40">
        <v>3570037</v>
      </c>
      <c r="I438" s="39">
        <v>10759</v>
      </c>
      <c r="J438" s="90" t="s">
        <v>1137</v>
      </c>
      <c r="K438" s="151">
        <v>500</v>
      </c>
      <c r="L438" s="128">
        <v>198</v>
      </c>
      <c r="M438" s="29">
        <v>1.76</v>
      </c>
      <c r="N438" s="54">
        <f>Tabela1[[#This Row],[PREÇO]]*Tabela1[[#This Row],[MTS]]</f>
        <v>880</v>
      </c>
      <c r="S438" s="489" t="s">
        <v>1025</v>
      </c>
      <c r="T438" s="209" t="s">
        <v>1177</v>
      </c>
    </row>
    <row r="439" spans="1:20" x14ac:dyDescent="0.3">
      <c r="A439" s="256" t="s">
        <v>1064</v>
      </c>
      <c r="B439" s="251" t="s">
        <v>498</v>
      </c>
      <c r="C439" s="248" t="s">
        <v>499</v>
      </c>
      <c r="D439" s="253">
        <v>1958</v>
      </c>
      <c r="E439" s="513">
        <v>46202</v>
      </c>
      <c r="F439" s="254">
        <v>46204</v>
      </c>
      <c r="G439" s="40" t="s">
        <v>1113</v>
      </c>
      <c r="H439" s="40">
        <v>3570038</v>
      </c>
      <c r="I439" s="39">
        <v>10759</v>
      </c>
      <c r="J439" s="90" t="s">
        <v>1138</v>
      </c>
      <c r="K439" s="151">
        <v>500</v>
      </c>
      <c r="L439" s="128">
        <v>198</v>
      </c>
      <c r="M439" s="29">
        <v>1.73</v>
      </c>
      <c r="N439" s="54">
        <f>Tabela1[[#This Row],[PREÇO]]*Tabela1[[#This Row],[MTS]]</f>
        <v>865</v>
      </c>
      <c r="S439" s="489" t="s">
        <v>1025</v>
      </c>
      <c r="T439" s="209" t="s">
        <v>1177</v>
      </c>
    </row>
    <row r="440" spans="1:20" x14ac:dyDescent="0.3">
      <c r="A440" s="256" t="s">
        <v>1064</v>
      </c>
      <c r="B440" s="251" t="s">
        <v>498</v>
      </c>
      <c r="C440" s="248" t="s">
        <v>499</v>
      </c>
      <c r="D440" s="253">
        <v>1958</v>
      </c>
      <c r="E440" s="513">
        <v>46202</v>
      </c>
      <c r="F440" s="254">
        <v>46204</v>
      </c>
      <c r="G440" s="40" t="s">
        <v>1112</v>
      </c>
      <c r="H440" s="40">
        <v>3570039</v>
      </c>
      <c r="I440" s="39">
        <v>10759</v>
      </c>
      <c r="J440" s="90" t="s">
        <v>1139</v>
      </c>
      <c r="K440" s="151">
        <v>500</v>
      </c>
      <c r="L440" s="128">
        <v>198</v>
      </c>
      <c r="M440" s="29">
        <v>1.84</v>
      </c>
      <c r="N440" s="54">
        <f>Tabela1[[#This Row],[PREÇO]]*Tabela1[[#This Row],[MTS]]</f>
        <v>920</v>
      </c>
      <c r="S440" s="489" t="s">
        <v>1025</v>
      </c>
      <c r="T440" s="209" t="s">
        <v>1177</v>
      </c>
    </row>
    <row r="441" spans="1:20" x14ac:dyDescent="0.3">
      <c r="A441" s="256" t="s">
        <v>1064</v>
      </c>
      <c r="B441" s="251" t="s">
        <v>498</v>
      </c>
      <c r="C441" s="248" t="s">
        <v>499</v>
      </c>
      <c r="D441" s="253">
        <v>1958</v>
      </c>
      <c r="E441" s="513">
        <v>46202</v>
      </c>
      <c r="F441" s="254">
        <v>46204</v>
      </c>
      <c r="G441" s="40" t="s">
        <v>1114</v>
      </c>
      <c r="H441" s="40">
        <v>3570040</v>
      </c>
      <c r="I441" s="39">
        <v>10759</v>
      </c>
      <c r="J441" s="90" t="s">
        <v>1136</v>
      </c>
      <c r="K441" s="151">
        <v>500</v>
      </c>
      <c r="L441" s="128">
        <v>198</v>
      </c>
      <c r="M441" s="29">
        <v>1.66</v>
      </c>
      <c r="N441" s="54">
        <f>Tabela1[[#This Row],[PREÇO]]*Tabela1[[#This Row],[MTS]]</f>
        <v>830</v>
      </c>
      <c r="S441" s="489" t="s">
        <v>1025</v>
      </c>
      <c r="T441" s="209" t="s">
        <v>1177</v>
      </c>
    </row>
    <row r="442" spans="1:20" x14ac:dyDescent="0.3">
      <c r="A442" s="256" t="s">
        <v>1064</v>
      </c>
      <c r="B442" s="282" t="s">
        <v>498</v>
      </c>
      <c r="C442" s="248" t="s">
        <v>499</v>
      </c>
      <c r="D442" s="253">
        <v>1958</v>
      </c>
      <c r="E442" s="514">
        <v>46202</v>
      </c>
      <c r="F442" s="284">
        <v>46204</v>
      </c>
      <c r="G442" s="247" t="s">
        <v>1115</v>
      </c>
      <c r="H442" s="247">
        <v>3570041</v>
      </c>
      <c r="I442" s="208">
        <v>10759</v>
      </c>
      <c r="J442" s="286" t="s">
        <v>1137</v>
      </c>
      <c r="K442" s="151"/>
      <c r="L442" s="128">
        <v>198</v>
      </c>
      <c r="M442" s="29">
        <v>1.76</v>
      </c>
      <c r="N442" s="54">
        <f>Tabela1[[#This Row],[PREÇO]]*Tabela1[[#This Row],[MTS]]</f>
        <v>0</v>
      </c>
      <c r="R442" s="378" t="s">
        <v>1279</v>
      </c>
      <c r="S442" s="489" t="s">
        <v>1025</v>
      </c>
      <c r="T442" s="209" t="s">
        <v>1177</v>
      </c>
    </row>
    <row r="443" spans="1:20" x14ac:dyDescent="0.3">
      <c r="A443" s="256" t="s">
        <v>1064</v>
      </c>
      <c r="B443" s="251" t="s">
        <v>498</v>
      </c>
      <c r="C443" s="248" t="s">
        <v>499</v>
      </c>
      <c r="D443" s="253">
        <v>1958</v>
      </c>
      <c r="E443" s="513">
        <v>46202</v>
      </c>
      <c r="F443" s="254">
        <v>46204</v>
      </c>
      <c r="G443" s="40" t="s">
        <v>1116</v>
      </c>
      <c r="H443" s="40">
        <v>3570042</v>
      </c>
      <c r="I443" s="39">
        <v>10759</v>
      </c>
      <c r="J443" s="90" t="s">
        <v>1138</v>
      </c>
      <c r="K443" s="151">
        <v>500</v>
      </c>
      <c r="L443" s="128">
        <v>198</v>
      </c>
      <c r="M443" s="29">
        <v>1.73</v>
      </c>
      <c r="N443" s="54">
        <f>Tabela1[[#This Row],[PREÇO]]*Tabela1[[#This Row],[MTS]]</f>
        <v>865</v>
      </c>
      <c r="S443" s="489" t="s">
        <v>1025</v>
      </c>
      <c r="T443" s="209" t="s">
        <v>1177</v>
      </c>
    </row>
    <row r="444" spans="1:20" x14ac:dyDescent="0.3">
      <c r="A444" s="256" t="s">
        <v>1064</v>
      </c>
      <c r="B444" s="282" t="s">
        <v>498</v>
      </c>
      <c r="C444" s="248" t="s">
        <v>499</v>
      </c>
      <c r="D444" s="253">
        <v>1958</v>
      </c>
      <c r="E444" s="514">
        <v>46202</v>
      </c>
      <c r="F444" s="284">
        <v>46204</v>
      </c>
      <c r="G444" s="247" t="s">
        <v>1117</v>
      </c>
      <c r="H444" s="247">
        <v>3570043</v>
      </c>
      <c r="I444" s="208">
        <v>10759</v>
      </c>
      <c r="J444" s="286" t="s">
        <v>1139</v>
      </c>
      <c r="K444" s="151"/>
      <c r="L444" s="128">
        <v>198</v>
      </c>
      <c r="M444" s="29">
        <v>1.84</v>
      </c>
      <c r="N444" s="54">
        <f>Tabela1[[#This Row],[PREÇO]]*Tabela1[[#This Row],[MTS]]</f>
        <v>0</v>
      </c>
      <c r="R444" s="378" t="s">
        <v>1279</v>
      </c>
      <c r="S444" s="489" t="s">
        <v>1025</v>
      </c>
      <c r="T444" s="209" t="s">
        <v>1177</v>
      </c>
    </row>
    <row r="445" spans="1:20" x14ac:dyDescent="0.3">
      <c r="A445" s="256" t="s">
        <v>1064</v>
      </c>
      <c r="B445" s="251" t="s">
        <v>498</v>
      </c>
      <c r="C445" s="248" t="s">
        <v>499</v>
      </c>
      <c r="D445" s="253">
        <v>1958</v>
      </c>
      <c r="E445" s="513">
        <v>46202</v>
      </c>
      <c r="F445" s="254">
        <v>46204</v>
      </c>
      <c r="G445" s="40" t="s">
        <v>1118</v>
      </c>
      <c r="H445" s="40">
        <v>3570009</v>
      </c>
      <c r="I445" s="39">
        <v>10759</v>
      </c>
      <c r="J445" s="29" t="s">
        <v>1140</v>
      </c>
      <c r="K445" s="151">
        <v>2000</v>
      </c>
      <c r="L445" s="128">
        <v>840</v>
      </c>
      <c r="M445" s="29">
        <v>1.93</v>
      </c>
      <c r="N445" s="54">
        <f>Tabela1[[#This Row],[PREÇO]]*Tabela1[[#This Row],[MTS]]</f>
        <v>3860</v>
      </c>
      <c r="S445" s="489" t="s">
        <v>1025</v>
      </c>
      <c r="T445" s="209" t="s">
        <v>1177</v>
      </c>
    </row>
    <row r="446" spans="1:20" x14ac:dyDescent="0.3">
      <c r="A446" s="256" t="s">
        <v>1064</v>
      </c>
      <c r="B446" s="251" t="s">
        <v>498</v>
      </c>
      <c r="C446" s="248" t="s">
        <v>499</v>
      </c>
      <c r="D446" s="253">
        <v>1958</v>
      </c>
      <c r="E446" s="513">
        <v>46202</v>
      </c>
      <c r="F446" s="254">
        <v>46204</v>
      </c>
      <c r="G446" s="40" t="s">
        <v>1119</v>
      </c>
      <c r="H446" s="40">
        <v>3570012</v>
      </c>
      <c r="I446" s="39">
        <v>10759</v>
      </c>
      <c r="J446" s="29" t="s">
        <v>1141</v>
      </c>
      <c r="K446" s="151">
        <v>2000</v>
      </c>
      <c r="L446" s="128">
        <v>756</v>
      </c>
      <c r="M446" s="29">
        <v>1.71</v>
      </c>
      <c r="N446" s="54">
        <f>Tabela1[[#This Row],[PREÇO]]*Tabela1[[#This Row],[MTS]]</f>
        <v>3420</v>
      </c>
      <c r="S446" s="489" t="s">
        <v>1025</v>
      </c>
      <c r="T446" s="209" t="s">
        <v>1177</v>
      </c>
    </row>
    <row r="447" spans="1:20" x14ac:dyDescent="0.3">
      <c r="A447" s="256" t="s">
        <v>1064</v>
      </c>
      <c r="B447" s="251" t="s">
        <v>498</v>
      </c>
      <c r="C447" s="248" t="s">
        <v>499</v>
      </c>
      <c r="D447" s="253">
        <v>1958</v>
      </c>
      <c r="E447" s="513">
        <v>46202</v>
      </c>
      <c r="F447" s="254">
        <v>46204</v>
      </c>
      <c r="G447" s="40" t="s">
        <v>1120</v>
      </c>
      <c r="H447" s="40">
        <v>3570045</v>
      </c>
      <c r="I447" s="39">
        <v>10759</v>
      </c>
      <c r="J447" s="29" t="s">
        <v>1142</v>
      </c>
      <c r="K447" s="151">
        <v>2000</v>
      </c>
      <c r="L447" s="128">
        <v>756</v>
      </c>
      <c r="M447" s="29">
        <v>1.58</v>
      </c>
      <c r="N447" s="54">
        <f>Tabela1[[#This Row],[PREÇO]]*Tabela1[[#This Row],[MTS]]</f>
        <v>3160</v>
      </c>
      <c r="S447" s="489" t="s">
        <v>1025</v>
      </c>
      <c r="T447" s="209" t="s">
        <v>1177</v>
      </c>
    </row>
    <row r="448" spans="1:20" x14ac:dyDescent="0.3">
      <c r="A448" s="256" t="s">
        <v>1064</v>
      </c>
      <c r="B448" s="251" t="s">
        <v>498</v>
      </c>
      <c r="C448" s="248" t="s">
        <v>499</v>
      </c>
      <c r="D448" s="253">
        <v>1958</v>
      </c>
      <c r="E448" s="513">
        <v>46202</v>
      </c>
      <c r="F448" s="254">
        <v>46204</v>
      </c>
      <c r="G448" s="40" t="s">
        <v>1121</v>
      </c>
      <c r="H448" s="40">
        <v>3570044</v>
      </c>
      <c r="I448" s="39">
        <v>10759</v>
      </c>
      <c r="J448" s="29" t="s">
        <v>1143</v>
      </c>
      <c r="K448" s="151">
        <v>2000</v>
      </c>
      <c r="L448" s="128">
        <v>756</v>
      </c>
      <c r="M448" s="29">
        <v>1.75</v>
      </c>
      <c r="N448" s="54">
        <f>Tabela1[[#This Row],[PREÇO]]*Tabela1[[#This Row],[MTS]]</f>
        <v>3500</v>
      </c>
      <c r="S448" s="489" t="s">
        <v>1025</v>
      </c>
      <c r="T448" s="209" t="s">
        <v>1177</v>
      </c>
    </row>
    <row r="449" spans="1:22" x14ac:dyDescent="0.3">
      <c r="A449" s="269" t="s">
        <v>1129</v>
      </c>
      <c r="B449" s="7" t="s">
        <v>1154</v>
      </c>
      <c r="C449" s="248" t="s">
        <v>21</v>
      </c>
      <c r="D449" s="211">
        <v>1468</v>
      </c>
      <c r="E449" s="41">
        <v>46210</v>
      </c>
      <c r="F449" s="127">
        <v>46235</v>
      </c>
      <c r="G449" s="28" t="s">
        <v>1184</v>
      </c>
      <c r="H449" s="40" t="s">
        <v>1213</v>
      </c>
      <c r="I449" s="162" t="s">
        <v>1393</v>
      </c>
      <c r="J449" s="29" t="s">
        <v>1186</v>
      </c>
      <c r="K449" s="151">
        <v>500</v>
      </c>
      <c r="L449" s="128">
        <v>352</v>
      </c>
      <c r="M449" s="90">
        <v>1.71</v>
      </c>
      <c r="N449" s="54">
        <f>Tabela1[[#This Row],[PREÇO]]*Tabela1[[#This Row],[MTS]]</f>
        <v>855</v>
      </c>
      <c r="S449" s="489" t="s">
        <v>816</v>
      </c>
      <c r="T449" s="209" t="s">
        <v>1177</v>
      </c>
    </row>
    <row r="450" spans="1:22" x14ac:dyDescent="0.3">
      <c r="A450" s="269" t="s">
        <v>1129</v>
      </c>
      <c r="B450" s="7" t="s">
        <v>1154</v>
      </c>
      <c r="C450" s="248" t="s">
        <v>21</v>
      </c>
      <c r="D450" s="211">
        <v>1468</v>
      </c>
      <c r="E450" s="41">
        <v>46210</v>
      </c>
      <c r="F450" s="127">
        <v>46235</v>
      </c>
      <c r="G450" s="28" t="s">
        <v>1217</v>
      </c>
      <c r="H450" s="40" t="s">
        <v>1214</v>
      </c>
      <c r="I450" s="162" t="s">
        <v>1393</v>
      </c>
      <c r="J450" s="29" t="s">
        <v>1187</v>
      </c>
      <c r="K450" s="151">
        <v>100</v>
      </c>
      <c r="L450" s="128">
        <v>88.2</v>
      </c>
      <c r="M450" s="90">
        <v>4.55</v>
      </c>
      <c r="N450" s="54">
        <f>Tabela1[[#This Row],[PREÇO]]*Tabela1[[#This Row],[MTS]]</f>
        <v>455</v>
      </c>
      <c r="R450" s="378" t="s">
        <v>1182</v>
      </c>
      <c r="S450" s="489" t="s">
        <v>816</v>
      </c>
      <c r="T450" s="437">
        <v>46225</v>
      </c>
      <c r="U450" s="378" t="s">
        <v>1235</v>
      </c>
    </row>
    <row r="451" spans="1:22" x14ac:dyDescent="0.3">
      <c r="A451" s="269" t="s">
        <v>1129</v>
      </c>
      <c r="B451" s="7" t="s">
        <v>1154</v>
      </c>
      <c r="C451" s="248" t="s">
        <v>21</v>
      </c>
      <c r="D451" s="211">
        <v>1468</v>
      </c>
      <c r="E451" s="41">
        <v>46210</v>
      </c>
      <c r="F451" s="127">
        <v>46235</v>
      </c>
      <c r="G451" s="28" t="s">
        <v>1185</v>
      </c>
      <c r="H451" s="40" t="s">
        <v>1215</v>
      </c>
      <c r="I451" s="162" t="s">
        <v>1393</v>
      </c>
      <c r="J451" s="29" t="s">
        <v>1188</v>
      </c>
      <c r="K451" s="151">
        <v>100</v>
      </c>
      <c r="L451" s="128">
        <v>92.4</v>
      </c>
      <c r="M451" s="90">
        <v>4.49</v>
      </c>
      <c r="N451" s="54">
        <f>Tabela1[[#This Row],[PREÇO]]*Tabela1[[#This Row],[MTS]]</f>
        <v>449</v>
      </c>
      <c r="R451" s="378" t="s">
        <v>1182</v>
      </c>
      <c r="S451" s="489" t="s">
        <v>816</v>
      </c>
      <c r="T451" s="437">
        <v>46225</v>
      </c>
      <c r="U451" s="378" t="s">
        <v>1235</v>
      </c>
    </row>
    <row r="452" spans="1:22" x14ac:dyDescent="0.3">
      <c r="A452" s="269" t="s">
        <v>1129</v>
      </c>
      <c r="B452" s="7" t="s">
        <v>1154</v>
      </c>
      <c r="C452" s="248" t="s">
        <v>21</v>
      </c>
      <c r="D452" s="211">
        <v>1468</v>
      </c>
      <c r="E452" s="41">
        <v>46210</v>
      </c>
      <c r="F452" s="127">
        <v>46235</v>
      </c>
      <c r="G452" s="28" t="s">
        <v>1218</v>
      </c>
      <c r="H452" s="40" t="s">
        <v>1216</v>
      </c>
      <c r="I452" s="162" t="s">
        <v>1393</v>
      </c>
      <c r="J452" s="29" t="s">
        <v>1189</v>
      </c>
      <c r="K452" s="151">
        <v>100</v>
      </c>
      <c r="L452" s="128">
        <v>92.4</v>
      </c>
      <c r="M452" s="90">
        <v>4.6100000000000003</v>
      </c>
      <c r="N452" s="54">
        <f>Tabela1[[#This Row],[PREÇO]]*Tabela1[[#This Row],[MTS]]</f>
        <v>461.00000000000006</v>
      </c>
      <c r="R452" s="378" t="s">
        <v>1182</v>
      </c>
      <c r="S452" s="489" t="s">
        <v>816</v>
      </c>
      <c r="T452" s="437">
        <v>46225</v>
      </c>
      <c r="U452" s="378" t="s">
        <v>1235</v>
      </c>
    </row>
    <row r="453" spans="1:22" x14ac:dyDescent="0.3">
      <c r="A453" s="272" t="s">
        <v>1129</v>
      </c>
      <c r="B453" s="273" t="s">
        <v>1154</v>
      </c>
      <c r="C453" s="248" t="s">
        <v>21</v>
      </c>
      <c r="D453" s="211">
        <v>1468</v>
      </c>
      <c r="E453" s="515">
        <v>46226</v>
      </c>
      <c r="F453" s="274">
        <v>46235</v>
      </c>
      <c r="G453" s="275" t="s">
        <v>1251</v>
      </c>
      <c r="H453" s="516" t="s">
        <v>1254</v>
      </c>
      <c r="I453" s="162" t="s">
        <v>1393</v>
      </c>
      <c r="J453" s="139" t="s">
        <v>1255</v>
      </c>
      <c r="K453" s="238">
        <v>500</v>
      </c>
      <c r="M453" s="232">
        <v>2.48</v>
      </c>
      <c r="N453" s="240">
        <f>Tabela1[[#This Row],[PREÇO]]*Tabela1[[#This Row],[MTS]]</f>
        <v>1240</v>
      </c>
      <c r="R453" s="294" t="s">
        <v>1256</v>
      </c>
      <c r="S453" s="489" t="s">
        <v>816</v>
      </c>
      <c r="T453" s="437"/>
    </row>
    <row r="454" spans="1:22" x14ac:dyDescent="0.3">
      <c r="A454" s="326" t="s">
        <v>1190</v>
      </c>
      <c r="B454" s="7" t="s">
        <v>1191</v>
      </c>
      <c r="C454" s="248" t="s">
        <v>105</v>
      </c>
      <c r="D454" s="211">
        <v>1952</v>
      </c>
      <c r="E454" s="41">
        <v>46210</v>
      </c>
      <c r="F454" s="127">
        <v>46235</v>
      </c>
      <c r="G454" s="28" t="s">
        <v>1192</v>
      </c>
      <c r="H454" s="40" t="s">
        <v>1229</v>
      </c>
      <c r="I454" s="517">
        <v>10822</v>
      </c>
      <c r="J454" s="29" t="s">
        <v>1197</v>
      </c>
      <c r="K454" s="151">
        <v>5000</v>
      </c>
      <c r="L454" s="63">
        <v>2420</v>
      </c>
      <c r="M454" s="53">
        <v>2.0499999999999998</v>
      </c>
      <c r="N454" s="54">
        <f>Tabela1[[#This Row],[PREÇO]]*Tabela1[[#This Row],[MTS]]</f>
        <v>10250</v>
      </c>
      <c r="R454" s="295" t="s">
        <v>1387</v>
      </c>
      <c r="S454" s="489" t="s">
        <v>816</v>
      </c>
      <c r="T454" s="401">
        <v>5101</v>
      </c>
      <c r="U454" s="378" t="s">
        <v>1391</v>
      </c>
      <c r="V454" s="518"/>
    </row>
    <row r="455" spans="1:22" x14ac:dyDescent="0.3">
      <c r="A455" s="326" t="s">
        <v>1190</v>
      </c>
      <c r="B455" s="7" t="s">
        <v>1191</v>
      </c>
      <c r="C455" s="248" t="s">
        <v>105</v>
      </c>
      <c r="D455" s="211">
        <v>1952</v>
      </c>
      <c r="E455" s="41">
        <v>46210</v>
      </c>
      <c r="F455" s="127">
        <v>46235</v>
      </c>
      <c r="G455" s="28" t="s">
        <v>1228</v>
      </c>
      <c r="H455" s="405" t="s">
        <v>1233</v>
      </c>
      <c r="I455" s="517">
        <v>10822</v>
      </c>
      <c r="J455" s="29" t="s">
        <v>1198</v>
      </c>
      <c r="K455" s="530">
        <v>5000</v>
      </c>
      <c r="L455" s="63">
        <v>2200</v>
      </c>
      <c r="M455" s="53">
        <v>1.95</v>
      </c>
      <c r="N455" s="54">
        <f>Tabela1[[#This Row],[PREÇO]]*Tabela1[[#This Row],[MTS]]</f>
        <v>9750</v>
      </c>
      <c r="R455" s="435" t="s">
        <v>1388</v>
      </c>
      <c r="S455" s="489" t="s">
        <v>816</v>
      </c>
      <c r="T455" s="401">
        <v>4568</v>
      </c>
      <c r="U455" s="378" t="s">
        <v>1391</v>
      </c>
      <c r="V455" s="519"/>
    </row>
    <row r="456" spans="1:22" x14ac:dyDescent="0.3">
      <c r="A456" s="326" t="s">
        <v>1190</v>
      </c>
      <c r="B456" s="7" t="s">
        <v>1191</v>
      </c>
      <c r="C456" s="248" t="s">
        <v>105</v>
      </c>
      <c r="D456" s="211">
        <v>1952</v>
      </c>
      <c r="E456" s="41">
        <v>46210</v>
      </c>
      <c r="F456" s="127">
        <v>46235</v>
      </c>
      <c r="G456" s="28" t="s">
        <v>1193</v>
      </c>
      <c r="H456" s="531" t="s">
        <v>1236</v>
      </c>
      <c r="I456" s="517">
        <v>10822</v>
      </c>
      <c r="J456" s="29" t="s">
        <v>1199</v>
      </c>
      <c r="K456" s="152">
        <v>5000</v>
      </c>
      <c r="L456" s="63">
        <v>3080</v>
      </c>
      <c r="M456" s="53">
        <v>3.19</v>
      </c>
      <c r="N456" s="54">
        <f>Tabela1[[#This Row],[PREÇO]]*Tabela1[[#This Row],[MTS]]</f>
        <v>15950</v>
      </c>
      <c r="R456" s="295" t="s">
        <v>1476</v>
      </c>
      <c r="S456" s="489" t="s">
        <v>820</v>
      </c>
      <c r="T456" s="401">
        <v>966</v>
      </c>
      <c r="U456" s="378" t="s">
        <v>1391</v>
      </c>
      <c r="V456" s="519"/>
    </row>
    <row r="457" spans="1:22" x14ac:dyDescent="0.3">
      <c r="A457" s="326" t="s">
        <v>1190</v>
      </c>
      <c r="B457" s="7" t="s">
        <v>1191</v>
      </c>
      <c r="C457" s="248" t="s">
        <v>105</v>
      </c>
      <c r="D457" s="211">
        <v>1952</v>
      </c>
      <c r="E457" s="41">
        <v>46210</v>
      </c>
      <c r="F457" s="127">
        <v>46235</v>
      </c>
      <c r="G457" s="28" t="s">
        <v>1194</v>
      </c>
      <c r="H457" s="469" t="s">
        <v>1230</v>
      </c>
      <c r="I457" s="517">
        <v>10822</v>
      </c>
      <c r="J457" s="29" t="s">
        <v>1200</v>
      </c>
      <c r="K457" s="530">
        <v>5000</v>
      </c>
      <c r="L457" s="63">
        <v>3080</v>
      </c>
      <c r="M457" s="53">
        <v>3.7</v>
      </c>
      <c r="N457" s="54">
        <f>Tabela1[[#This Row],[PREÇO]]*Tabela1[[#This Row],[MTS]]</f>
        <v>18500</v>
      </c>
      <c r="R457" s="435" t="s">
        <v>1389</v>
      </c>
      <c r="S457" s="489" t="s">
        <v>816</v>
      </c>
      <c r="T457" s="401">
        <v>199</v>
      </c>
      <c r="U457" s="378" t="s">
        <v>1391</v>
      </c>
      <c r="V457" s="519"/>
    </row>
    <row r="458" spans="1:22" x14ac:dyDescent="0.3">
      <c r="A458" s="326" t="s">
        <v>1190</v>
      </c>
      <c r="B458" s="7" t="s">
        <v>1191</v>
      </c>
      <c r="C458" s="248" t="s">
        <v>105</v>
      </c>
      <c r="D458" s="211">
        <v>1952</v>
      </c>
      <c r="E458" s="41">
        <v>46210</v>
      </c>
      <c r="F458" s="127">
        <v>46235</v>
      </c>
      <c r="G458" s="28" t="s">
        <v>1195</v>
      </c>
      <c r="H458" s="40" t="s">
        <v>1231</v>
      </c>
      <c r="I458" s="517">
        <v>10822</v>
      </c>
      <c r="J458" s="29" t="s">
        <v>1199</v>
      </c>
      <c r="K458" s="151">
        <v>5000</v>
      </c>
      <c r="L458" s="63">
        <v>3080</v>
      </c>
      <c r="M458" s="53">
        <v>3.53</v>
      </c>
      <c r="N458" s="54">
        <f>Tabela1[[#This Row],[PREÇO]]*Tabela1[[#This Row],[MTS]]</f>
        <v>17650</v>
      </c>
      <c r="R458" s="295" t="s">
        <v>1390</v>
      </c>
      <c r="S458" s="489" t="s">
        <v>820</v>
      </c>
      <c r="T458" s="401">
        <v>1796</v>
      </c>
      <c r="U458" s="378" t="s">
        <v>1391</v>
      </c>
      <c r="V458" s="519"/>
    </row>
    <row r="459" spans="1:22" x14ac:dyDescent="0.3">
      <c r="A459" s="326" t="s">
        <v>1190</v>
      </c>
      <c r="B459" s="7" t="s">
        <v>1191</v>
      </c>
      <c r="C459" s="248" t="s">
        <v>105</v>
      </c>
      <c r="D459" s="211">
        <v>1952</v>
      </c>
      <c r="E459" s="41">
        <v>46210</v>
      </c>
      <c r="F459" s="127">
        <v>46235</v>
      </c>
      <c r="G459" s="28" t="s">
        <v>1196</v>
      </c>
      <c r="H459" s="40" t="s">
        <v>1232</v>
      </c>
      <c r="I459" s="517">
        <v>10822</v>
      </c>
      <c r="J459" s="29" t="s">
        <v>1201</v>
      </c>
      <c r="K459" s="357">
        <v>4000</v>
      </c>
      <c r="L459" s="63">
        <v>2860</v>
      </c>
      <c r="M459" s="53">
        <v>4.54</v>
      </c>
      <c r="N459" s="54">
        <f>Tabela1[[#This Row],[PREÇO]]*Tabela1[[#This Row],[MTS]]</f>
        <v>18160</v>
      </c>
      <c r="R459" s="295" t="s">
        <v>1477</v>
      </c>
      <c r="S459" s="489" t="s">
        <v>820</v>
      </c>
      <c r="T459" s="401">
        <v>3392</v>
      </c>
      <c r="U459" s="378" t="s">
        <v>1391</v>
      </c>
      <c r="V459" s="520"/>
    </row>
    <row r="460" spans="1:22" x14ac:dyDescent="0.3">
      <c r="A460" s="269" t="s">
        <v>1155</v>
      </c>
      <c r="B460" s="7" t="s">
        <v>1209</v>
      </c>
      <c r="C460" s="248" t="s">
        <v>70</v>
      </c>
      <c r="D460" s="211">
        <v>2238</v>
      </c>
      <c r="E460" s="41">
        <v>46213</v>
      </c>
      <c r="F460" s="127">
        <v>46235</v>
      </c>
      <c r="G460" s="28" t="s">
        <v>1204</v>
      </c>
      <c r="H460" s="40" t="s">
        <v>1221</v>
      </c>
      <c r="I460" s="38">
        <v>10814</v>
      </c>
      <c r="J460" s="29" t="s">
        <v>1203</v>
      </c>
      <c r="K460" s="151">
        <v>3000</v>
      </c>
      <c r="L460" s="90">
        <v>1890</v>
      </c>
      <c r="M460" s="53">
        <v>1.75</v>
      </c>
      <c r="N460" s="54">
        <f>Tabela1[[#This Row],[PREÇO]]*Tabela1[[#This Row],[MTS]]</f>
        <v>5250</v>
      </c>
      <c r="S460" s="489" t="s">
        <v>820</v>
      </c>
      <c r="T460" s="209" t="s">
        <v>1177</v>
      </c>
    </row>
    <row r="461" spans="1:22" x14ac:dyDescent="0.3">
      <c r="A461" s="269" t="s">
        <v>1155</v>
      </c>
      <c r="B461" s="7" t="s">
        <v>1209</v>
      </c>
      <c r="C461" s="248" t="s">
        <v>70</v>
      </c>
      <c r="D461" s="211">
        <v>2238</v>
      </c>
      <c r="E461" s="41">
        <v>46213</v>
      </c>
      <c r="F461" s="127">
        <v>46235</v>
      </c>
      <c r="G461" s="28" t="s">
        <v>1205</v>
      </c>
      <c r="H461" s="40" t="s">
        <v>1222</v>
      </c>
      <c r="I461" s="38">
        <v>10814</v>
      </c>
      <c r="J461" s="29" t="s">
        <v>1203</v>
      </c>
      <c r="K461" s="151">
        <v>3000</v>
      </c>
      <c r="L461" s="128">
        <v>2100</v>
      </c>
      <c r="M461" s="53">
        <v>1.75</v>
      </c>
      <c r="N461" s="54">
        <f>Tabela1[[#This Row],[PREÇO]]*Tabela1[[#This Row],[MTS]]</f>
        <v>5250</v>
      </c>
      <c r="S461" s="489" t="s">
        <v>820</v>
      </c>
      <c r="T461" s="209" t="s">
        <v>1177</v>
      </c>
    </row>
    <row r="462" spans="1:22" x14ac:dyDescent="0.3">
      <c r="A462" s="312" t="s">
        <v>1168</v>
      </c>
      <c r="B462" s="7" t="s">
        <v>762</v>
      </c>
      <c r="C462" s="248" t="s">
        <v>105</v>
      </c>
      <c r="D462" s="222">
        <v>1832</v>
      </c>
      <c r="E462" s="41">
        <v>46220</v>
      </c>
      <c r="F462" s="127">
        <v>46235</v>
      </c>
      <c r="G462" s="28" t="s">
        <v>1054</v>
      </c>
      <c r="H462" s="40" t="s">
        <v>1172</v>
      </c>
      <c r="I462" s="38">
        <v>10820</v>
      </c>
      <c r="J462" s="29" t="s">
        <v>1055</v>
      </c>
      <c r="K462" s="29">
        <v>1400</v>
      </c>
      <c r="L462" s="63">
        <v>1232</v>
      </c>
      <c r="M462" s="53">
        <v>5.89</v>
      </c>
      <c r="N462" s="54">
        <f>Tabela1[[#This Row],[PREÇO]]*Tabela1[[#This Row],[MTS]]</f>
        <v>8246</v>
      </c>
      <c r="R462" s="378" t="s">
        <v>1227</v>
      </c>
      <c r="S462" s="489" t="s">
        <v>816</v>
      </c>
      <c r="T462" s="209" t="s">
        <v>1224</v>
      </c>
    </row>
    <row r="463" spans="1:22" x14ac:dyDescent="0.3">
      <c r="A463" s="312" t="s">
        <v>1225</v>
      </c>
      <c r="B463" s="7" t="s">
        <v>762</v>
      </c>
      <c r="C463" s="248" t="s">
        <v>105</v>
      </c>
      <c r="D463" s="222">
        <v>1832</v>
      </c>
      <c r="E463" s="41">
        <v>46224</v>
      </c>
      <c r="F463" s="127">
        <v>46235</v>
      </c>
      <c r="G463" s="28" t="s">
        <v>1240</v>
      </c>
      <c r="H463" s="40" t="s">
        <v>1172</v>
      </c>
      <c r="I463" s="38">
        <v>10856</v>
      </c>
      <c r="J463" s="29" t="s">
        <v>1247</v>
      </c>
      <c r="K463" s="151">
        <v>3000</v>
      </c>
      <c r="L463" s="128">
        <v>2640</v>
      </c>
      <c r="M463" s="53">
        <v>5.89</v>
      </c>
      <c r="N463" s="54">
        <f>Tabela1[[#This Row],[PREÇO]]*Tabela1[[#This Row],[MTS]]</f>
        <v>17670</v>
      </c>
      <c r="R463" s="378" t="s">
        <v>154</v>
      </c>
      <c r="S463" s="489" t="s">
        <v>816</v>
      </c>
      <c r="T463" s="209" t="s">
        <v>1238</v>
      </c>
      <c r="U463" s="378" t="s">
        <v>1239</v>
      </c>
    </row>
    <row r="464" spans="1:22" x14ac:dyDescent="0.3">
      <c r="A464" s="312" t="s">
        <v>1225</v>
      </c>
      <c r="B464" s="7" t="s">
        <v>762</v>
      </c>
      <c r="C464" s="248" t="s">
        <v>105</v>
      </c>
      <c r="D464" s="222">
        <v>1832</v>
      </c>
      <c r="E464" s="41">
        <v>46224</v>
      </c>
      <c r="F464" s="127">
        <v>46235</v>
      </c>
      <c r="G464" s="28" t="s">
        <v>1241</v>
      </c>
      <c r="H464" s="40" t="s">
        <v>784</v>
      </c>
      <c r="I464" s="38">
        <v>10856</v>
      </c>
      <c r="J464" s="29" t="s">
        <v>771</v>
      </c>
      <c r="K464" s="151">
        <v>2000</v>
      </c>
      <c r="L464" s="128">
        <v>1760</v>
      </c>
      <c r="M464" s="53">
        <v>6.8</v>
      </c>
      <c r="N464" s="54">
        <f>Tabela1[[#This Row],[PREÇO]]*Tabela1[[#This Row],[MTS]]</f>
        <v>13600</v>
      </c>
      <c r="S464" s="489" t="s">
        <v>816</v>
      </c>
      <c r="T464" s="209" t="s">
        <v>1238</v>
      </c>
    </row>
    <row r="465" spans="1:21" x14ac:dyDescent="0.3">
      <c r="A465" s="312" t="s">
        <v>1225</v>
      </c>
      <c r="B465" s="7" t="s">
        <v>762</v>
      </c>
      <c r="C465" s="248" t="s">
        <v>105</v>
      </c>
      <c r="D465" s="222">
        <v>1832</v>
      </c>
      <c r="E465" s="41">
        <v>46224</v>
      </c>
      <c r="F465" s="127">
        <v>46235</v>
      </c>
      <c r="G465" s="28" t="s">
        <v>1242</v>
      </c>
      <c r="H465" s="40" t="s">
        <v>785</v>
      </c>
      <c r="I465" s="38">
        <v>10856</v>
      </c>
      <c r="J465" s="29" t="s">
        <v>772</v>
      </c>
      <c r="K465" s="151">
        <v>2000</v>
      </c>
      <c r="L465" s="128">
        <v>1232</v>
      </c>
      <c r="M465" s="53">
        <v>3.22</v>
      </c>
      <c r="N465" s="54">
        <f>Tabela1[[#This Row],[PREÇO]]*Tabela1[[#This Row],[MTS]]</f>
        <v>6440</v>
      </c>
      <c r="S465" s="489" t="s">
        <v>816</v>
      </c>
      <c r="T465" s="209" t="s">
        <v>1238</v>
      </c>
    </row>
    <row r="466" spans="1:21" x14ac:dyDescent="0.3">
      <c r="A466" s="312" t="s">
        <v>1225</v>
      </c>
      <c r="B466" s="7" t="s">
        <v>762</v>
      </c>
      <c r="C466" s="248" t="s">
        <v>105</v>
      </c>
      <c r="D466" s="222">
        <v>1832</v>
      </c>
      <c r="E466" s="41">
        <v>46224</v>
      </c>
      <c r="F466" s="127">
        <v>46235</v>
      </c>
      <c r="G466" s="28" t="s">
        <v>1243</v>
      </c>
      <c r="H466" s="40" t="s">
        <v>786</v>
      </c>
      <c r="I466" s="38">
        <v>10856</v>
      </c>
      <c r="J466" s="29" t="s">
        <v>773</v>
      </c>
      <c r="K466" s="151">
        <v>2000</v>
      </c>
      <c r="L466" s="128">
        <v>1056</v>
      </c>
      <c r="M466" s="53">
        <v>3.34</v>
      </c>
      <c r="N466" s="54">
        <f>Tabela1[[#This Row],[PREÇO]]*Tabela1[[#This Row],[MTS]]</f>
        <v>6680</v>
      </c>
      <c r="S466" s="489" t="s">
        <v>816</v>
      </c>
      <c r="T466" s="209" t="s">
        <v>1238</v>
      </c>
    </row>
    <row r="467" spans="1:21" x14ac:dyDescent="0.3">
      <c r="A467" s="312" t="s">
        <v>1225</v>
      </c>
      <c r="B467" s="7" t="s">
        <v>762</v>
      </c>
      <c r="C467" s="248" t="s">
        <v>105</v>
      </c>
      <c r="D467" s="222">
        <v>1832</v>
      </c>
      <c r="E467" s="41">
        <v>46224</v>
      </c>
      <c r="F467" s="127">
        <v>46235</v>
      </c>
      <c r="G467" s="28" t="s">
        <v>1244</v>
      </c>
      <c r="H467" s="40" t="s">
        <v>787</v>
      </c>
      <c r="I467" s="38">
        <v>10856</v>
      </c>
      <c r="J467" s="29" t="s">
        <v>774</v>
      </c>
      <c r="K467" s="151">
        <v>3200</v>
      </c>
      <c r="L467" s="128">
        <v>1971.2</v>
      </c>
      <c r="M467" s="53">
        <v>3.05</v>
      </c>
      <c r="N467" s="54">
        <f>Tabela1[[#This Row],[PREÇO]]*Tabela1[[#This Row],[MTS]]</f>
        <v>9760</v>
      </c>
      <c r="S467" s="489" t="s">
        <v>816</v>
      </c>
      <c r="T467" s="209" t="s">
        <v>1238</v>
      </c>
    </row>
    <row r="468" spans="1:21" x14ac:dyDescent="0.3">
      <c r="A468" s="312" t="s">
        <v>1225</v>
      </c>
      <c r="B468" s="7" t="s">
        <v>762</v>
      </c>
      <c r="C468" s="248" t="s">
        <v>105</v>
      </c>
      <c r="D468" s="222">
        <v>1832</v>
      </c>
      <c r="E468" s="41">
        <v>46224</v>
      </c>
      <c r="F468" s="127">
        <v>46235</v>
      </c>
      <c r="G468" s="28" t="s">
        <v>1245</v>
      </c>
      <c r="H468" s="40" t="s">
        <v>788</v>
      </c>
      <c r="I468" s="38">
        <v>10856</v>
      </c>
      <c r="J468" s="29" t="s">
        <v>775</v>
      </c>
      <c r="K468" s="151">
        <v>5000</v>
      </c>
      <c r="L468" s="128">
        <v>1980</v>
      </c>
      <c r="M468" s="53">
        <v>1.78</v>
      </c>
      <c r="N468" s="54">
        <f>Tabela1[[#This Row],[PREÇO]]*Tabela1[[#This Row],[MTS]]</f>
        <v>8900</v>
      </c>
      <c r="S468" s="489" t="s">
        <v>816</v>
      </c>
      <c r="T468" s="209" t="s">
        <v>1238</v>
      </c>
    </row>
    <row r="469" spans="1:21" x14ac:dyDescent="0.3">
      <c r="A469" s="312" t="s">
        <v>1225</v>
      </c>
      <c r="B469" s="7" t="s">
        <v>762</v>
      </c>
      <c r="C469" s="248" t="s">
        <v>105</v>
      </c>
      <c r="D469" s="222">
        <v>1832</v>
      </c>
      <c r="E469" s="41">
        <v>46224</v>
      </c>
      <c r="F469" s="127">
        <v>46235</v>
      </c>
      <c r="G469" s="28" t="s">
        <v>1246</v>
      </c>
      <c r="H469" s="40" t="s">
        <v>789</v>
      </c>
      <c r="I469" s="38">
        <v>10856</v>
      </c>
      <c r="J469" s="29" t="s">
        <v>776</v>
      </c>
      <c r="K469" s="151">
        <v>8000</v>
      </c>
      <c r="L469" s="128">
        <v>3872</v>
      </c>
      <c r="M469" s="53">
        <v>2.15</v>
      </c>
      <c r="N469" s="54">
        <f>Tabela1[[#This Row],[PREÇO]]*Tabela1[[#This Row],[MTS]]</f>
        <v>17200</v>
      </c>
      <c r="S469" s="489" t="s">
        <v>816</v>
      </c>
      <c r="T469" s="209" t="s">
        <v>1238</v>
      </c>
    </row>
    <row r="470" spans="1:21" x14ac:dyDescent="0.3">
      <c r="A470" s="333" t="s">
        <v>1064</v>
      </c>
      <c r="B470" s="251" t="s">
        <v>498</v>
      </c>
      <c r="C470" s="248" t="s">
        <v>499</v>
      </c>
      <c r="D470" s="253">
        <v>1958</v>
      </c>
      <c r="E470" s="41">
        <v>46230</v>
      </c>
      <c r="F470" s="127">
        <v>46235</v>
      </c>
      <c r="G470" s="28">
        <v>3200008</v>
      </c>
      <c r="H470" s="40" t="s">
        <v>1263</v>
      </c>
      <c r="I470" s="517">
        <v>10879</v>
      </c>
      <c r="J470" s="29" t="s">
        <v>1258</v>
      </c>
      <c r="K470" s="29">
        <v>500</v>
      </c>
      <c r="M470" s="150">
        <v>1.76</v>
      </c>
      <c r="N470" s="54">
        <f>Tabela1[[#This Row],[PREÇO]]*Tabela1[[#This Row],[MTS]]</f>
        <v>880</v>
      </c>
      <c r="R470" s="378" t="s">
        <v>1257</v>
      </c>
      <c r="S470" s="295" t="s">
        <v>995</v>
      </c>
    </row>
    <row r="471" spans="1:21" x14ac:dyDescent="0.3">
      <c r="A471" s="333" t="s">
        <v>1064</v>
      </c>
      <c r="B471" s="251" t="s">
        <v>498</v>
      </c>
      <c r="C471" s="248" t="s">
        <v>499</v>
      </c>
      <c r="D471" s="253">
        <v>1958</v>
      </c>
      <c r="E471" s="41">
        <v>46230</v>
      </c>
      <c r="F471" s="127">
        <v>46235</v>
      </c>
      <c r="G471" s="288" t="s">
        <v>491</v>
      </c>
      <c r="H471" s="405" t="s">
        <v>1278</v>
      </c>
      <c r="I471" s="521">
        <v>10879</v>
      </c>
      <c r="J471" s="290" t="s">
        <v>1275</v>
      </c>
      <c r="K471" s="29">
        <v>500</v>
      </c>
      <c r="M471" s="289">
        <v>1.73</v>
      </c>
      <c r="N471" s="54">
        <f>Tabela1[[#This Row],[PREÇO]]*Tabela1[[#This Row],[MTS]]</f>
        <v>865</v>
      </c>
      <c r="R471" s="505" t="s">
        <v>1257</v>
      </c>
      <c r="S471" s="295" t="s">
        <v>995</v>
      </c>
    </row>
    <row r="472" spans="1:21" x14ac:dyDescent="0.3">
      <c r="A472" s="333" t="s">
        <v>1064</v>
      </c>
      <c r="B472" s="251" t="s">
        <v>498</v>
      </c>
      <c r="C472" s="248" t="s">
        <v>499</v>
      </c>
      <c r="D472" s="253">
        <v>1958</v>
      </c>
      <c r="E472" s="41">
        <v>46230</v>
      </c>
      <c r="F472" s="127">
        <v>46235</v>
      </c>
      <c r="G472" s="28">
        <v>3200006</v>
      </c>
      <c r="H472" s="40" t="s">
        <v>1037</v>
      </c>
      <c r="I472" s="517">
        <v>10879</v>
      </c>
      <c r="J472" s="29" t="s">
        <v>1259</v>
      </c>
      <c r="K472" s="29">
        <v>500</v>
      </c>
      <c r="M472" s="150">
        <v>1.76</v>
      </c>
      <c r="N472" s="54">
        <f>Tabela1[[#This Row],[PREÇO]]*Tabela1[[#This Row],[MTS]]</f>
        <v>880</v>
      </c>
      <c r="R472" s="378" t="s">
        <v>1257</v>
      </c>
      <c r="S472" s="295" t="s">
        <v>995</v>
      </c>
    </row>
    <row r="473" spans="1:21" x14ac:dyDescent="0.3">
      <c r="A473" s="333" t="s">
        <v>1064</v>
      </c>
      <c r="B473" s="251" t="s">
        <v>498</v>
      </c>
      <c r="C473" s="248" t="s">
        <v>499</v>
      </c>
      <c r="D473" s="253">
        <v>1958</v>
      </c>
      <c r="E473" s="41">
        <v>46230</v>
      </c>
      <c r="F473" s="127">
        <v>46235</v>
      </c>
      <c r="G473" s="28" t="s">
        <v>1267</v>
      </c>
      <c r="H473" s="40" t="s">
        <v>1264</v>
      </c>
      <c r="I473" s="38">
        <v>10879</v>
      </c>
      <c r="J473" s="29" t="s">
        <v>1260</v>
      </c>
      <c r="K473" s="29">
        <v>500</v>
      </c>
      <c r="M473" s="150">
        <v>1.73</v>
      </c>
      <c r="N473" s="54">
        <f>Tabela1[[#This Row],[PREÇO]]*Tabela1[[#This Row],[MTS]]</f>
        <v>865</v>
      </c>
      <c r="R473" s="378" t="s">
        <v>1257</v>
      </c>
      <c r="S473" s="295" t="s">
        <v>995</v>
      </c>
    </row>
    <row r="474" spans="1:21" x14ac:dyDescent="0.3">
      <c r="A474" s="333" t="s">
        <v>1064</v>
      </c>
      <c r="B474" s="251" t="s">
        <v>498</v>
      </c>
      <c r="C474" s="248" t="s">
        <v>499</v>
      </c>
      <c r="D474" s="253">
        <v>1958</v>
      </c>
      <c r="E474" s="41">
        <v>46230</v>
      </c>
      <c r="F474" s="127">
        <v>46235</v>
      </c>
      <c r="G474" s="28">
        <v>3200004</v>
      </c>
      <c r="H474" s="40" t="s">
        <v>1265</v>
      </c>
      <c r="I474" s="38">
        <v>10879</v>
      </c>
      <c r="J474" s="29" t="s">
        <v>1261</v>
      </c>
      <c r="K474" s="29">
        <v>500</v>
      </c>
      <c r="M474" s="150">
        <v>1.73</v>
      </c>
      <c r="N474" s="54">
        <f>Tabela1[[#This Row],[PREÇO]]*Tabela1[[#This Row],[MTS]]</f>
        <v>865</v>
      </c>
      <c r="R474" s="378" t="s">
        <v>1257</v>
      </c>
      <c r="S474" s="295" t="s">
        <v>995</v>
      </c>
    </row>
    <row r="475" spans="1:21" x14ac:dyDescent="0.3">
      <c r="A475" s="333" t="s">
        <v>1064</v>
      </c>
      <c r="B475" s="251" t="s">
        <v>498</v>
      </c>
      <c r="C475" s="248" t="s">
        <v>499</v>
      </c>
      <c r="D475" s="253">
        <v>1958</v>
      </c>
      <c r="E475" s="41">
        <v>46230</v>
      </c>
      <c r="F475" s="127">
        <v>46235</v>
      </c>
      <c r="G475" s="288" t="s">
        <v>491</v>
      </c>
      <c r="H475" s="405" t="s">
        <v>1277</v>
      </c>
      <c r="I475" s="297">
        <v>10879</v>
      </c>
      <c r="J475" s="290" t="s">
        <v>1276</v>
      </c>
      <c r="K475" s="29">
        <v>500</v>
      </c>
      <c r="M475" s="289">
        <v>1.76</v>
      </c>
      <c r="N475" s="54">
        <f>Tabela1[[#This Row],[PREÇO]]*Tabela1[[#This Row],[MTS]]</f>
        <v>880</v>
      </c>
      <c r="R475" s="505" t="s">
        <v>1257</v>
      </c>
      <c r="S475" s="295" t="s">
        <v>995</v>
      </c>
    </row>
    <row r="476" spans="1:21" x14ac:dyDescent="0.3">
      <c r="A476" s="333" t="s">
        <v>1064</v>
      </c>
      <c r="B476" s="251" t="s">
        <v>498</v>
      </c>
      <c r="C476" s="248" t="s">
        <v>499</v>
      </c>
      <c r="D476" s="253">
        <v>1958</v>
      </c>
      <c r="E476" s="41">
        <v>46230</v>
      </c>
      <c r="F476" s="127">
        <v>46235</v>
      </c>
      <c r="G476" s="28">
        <v>410006</v>
      </c>
      <c r="H476" s="40" t="s">
        <v>1266</v>
      </c>
      <c r="I476" s="38">
        <v>10879</v>
      </c>
      <c r="J476" s="29" t="s">
        <v>1262</v>
      </c>
      <c r="K476" s="29">
        <v>500</v>
      </c>
      <c r="M476" s="150">
        <v>1.84</v>
      </c>
      <c r="N476" s="54">
        <f>Tabela1[[#This Row],[PREÇO]]*Tabela1[[#This Row],[MTS]]</f>
        <v>920</v>
      </c>
      <c r="R476" s="378" t="s">
        <v>1257</v>
      </c>
      <c r="S476" s="295" t="s">
        <v>995</v>
      </c>
    </row>
    <row r="477" spans="1:21" ht="14.15" customHeight="1" x14ac:dyDescent="0.3">
      <c r="A477" s="312" t="s">
        <v>1269</v>
      </c>
      <c r="B477" s="7" t="s">
        <v>405</v>
      </c>
      <c r="C477" s="248" t="s">
        <v>13</v>
      </c>
      <c r="D477" s="211">
        <v>1897</v>
      </c>
      <c r="E477" s="41">
        <v>46232</v>
      </c>
      <c r="F477" s="127">
        <v>46235</v>
      </c>
      <c r="G477" s="28" t="s">
        <v>429</v>
      </c>
      <c r="H477" s="40">
        <v>4454</v>
      </c>
      <c r="I477" s="38">
        <v>10882</v>
      </c>
      <c r="J477" s="29" t="s">
        <v>713</v>
      </c>
      <c r="K477" s="29">
        <v>5000</v>
      </c>
      <c r="M477" s="287">
        <v>1.3</v>
      </c>
      <c r="N477" s="90">
        <f>Tabela1[[#This Row],[PREÇO]]*Tabela1[[#This Row],[MTS]]</f>
        <v>6500</v>
      </c>
      <c r="R477" s="378" t="s">
        <v>1382</v>
      </c>
      <c r="S477" s="295" t="s">
        <v>991</v>
      </c>
      <c r="T477" s="209" t="s">
        <v>1272</v>
      </c>
      <c r="U477" s="378" t="s">
        <v>1270</v>
      </c>
    </row>
    <row r="478" spans="1:21" x14ac:dyDescent="0.3">
      <c r="A478" s="312" t="s">
        <v>1286</v>
      </c>
      <c r="B478" s="7" t="s">
        <v>969</v>
      </c>
      <c r="C478" s="248" t="s">
        <v>49</v>
      </c>
      <c r="D478" s="211">
        <v>316</v>
      </c>
      <c r="E478" s="41">
        <v>46244</v>
      </c>
      <c r="F478" s="127" t="s">
        <v>1287</v>
      </c>
      <c r="G478" s="28">
        <v>32282</v>
      </c>
      <c r="H478" s="163">
        <v>1523</v>
      </c>
      <c r="I478" s="38">
        <v>10946</v>
      </c>
      <c r="J478" s="29" t="s">
        <v>671</v>
      </c>
      <c r="K478" s="29">
        <v>5000</v>
      </c>
      <c r="M478" s="287">
        <v>1.75</v>
      </c>
      <c r="N478" s="54">
        <f>Tabela1[[#This Row],[PREÇO]]*Tabela1[[#This Row],[MTS]]</f>
        <v>8750</v>
      </c>
      <c r="R478" s="434" t="s">
        <v>1288</v>
      </c>
      <c r="S478" s="489" t="s">
        <v>991</v>
      </c>
      <c r="T478" s="209" t="s">
        <v>1289</v>
      </c>
    </row>
    <row r="479" spans="1:21" x14ac:dyDescent="0.3">
      <c r="A479" s="312" t="s">
        <v>1291</v>
      </c>
      <c r="B479" s="7" t="s">
        <v>1296</v>
      </c>
      <c r="C479" s="248" t="s">
        <v>21</v>
      </c>
      <c r="D479" s="211">
        <v>729</v>
      </c>
      <c r="E479" s="41">
        <v>46246</v>
      </c>
      <c r="F479" s="127" t="s">
        <v>1287</v>
      </c>
      <c r="G479" s="77" t="s">
        <v>1297</v>
      </c>
      <c r="H479" s="40" t="s">
        <v>1300</v>
      </c>
      <c r="I479" s="38">
        <v>10963</v>
      </c>
      <c r="J479" s="29" t="s">
        <v>1298</v>
      </c>
      <c r="K479" s="29">
        <v>1000</v>
      </c>
      <c r="L479" s="63">
        <v>369.6</v>
      </c>
      <c r="M479" s="53">
        <v>2.4</v>
      </c>
      <c r="N479" s="54">
        <f>Tabela1[[#This Row],[PREÇO]]*Tabela1[[#This Row],[MTS]]</f>
        <v>2400</v>
      </c>
      <c r="R479" s="378" t="s">
        <v>1299</v>
      </c>
      <c r="S479" s="295" t="s">
        <v>1025</v>
      </c>
      <c r="T479" s="209" t="s">
        <v>1289</v>
      </c>
    </row>
    <row r="480" spans="1:21" x14ac:dyDescent="0.3">
      <c r="A480" s="313" t="s">
        <v>1304</v>
      </c>
      <c r="B480" s="7" t="s">
        <v>69</v>
      </c>
      <c r="C480" s="248" t="s">
        <v>70</v>
      </c>
      <c r="D480" s="222">
        <v>448</v>
      </c>
      <c r="E480" s="41">
        <v>46254</v>
      </c>
      <c r="F480" s="127">
        <v>46235</v>
      </c>
      <c r="G480" s="28" t="s">
        <v>1311</v>
      </c>
      <c r="H480" s="40" t="s">
        <v>362</v>
      </c>
      <c r="I480" s="38">
        <v>11048</v>
      </c>
      <c r="J480" s="29" t="s">
        <v>1303</v>
      </c>
      <c r="K480" s="29">
        <v>500</v>
      </c>
      <c r="M480" s="299">
        <v>4.1900000000000004</v>
      </c>
      <c r="N480" s="54">
        <f>Tabela1[[#This Row],[PREÇO]]*Tabela1[[#This Row],[MTS]]</f>
        <v>2095</v>
      </c>
      <c r="R480" s="378" t="s">
        <v>1313</v>
      </c>
      <c r="S480" s="295" t="s">
        <v>1025</v>
      </c>
      <c r="T480" s="209" t="s">
        <v>1177</v>
      </c>
    </row>
    <row r="481" spans="1:20" x14ac:dyDescent="0.3">
      <c r="A481" s="313" t="s">
        <v>1292</v>
      </c>
      <c r="B481" s="7" t="s">
        <v>69</v>
      </c>
      <c r="C481" s="248" t="s">
        <v>70</v>
      </c>
      <c r="D481" s="222">
        <v>448</v>
      </c>
      <c r="E481" s="41">
        <v>46254</v>
      </c>
      <c r="F481" s="127" t="s">
        <v>1287</v>
      </c>
      <c r="G481" s="28" t="s">
        <v>1029</v>
      </c>
      <c r="H481" s="40" t="s">
        <v>160</v>
      </c>
      <c r="I481" s="38">
        <v>11136</v>
      </c>
      <c r="J481" s="29" t="s">
        <v>572</v>
      </c>
      <c r="K481" s="29">
        <v>500</v>
      </c>
      <c r="M481" s="29">
        <v>2.56</v>
      </c>
      <c r="N481" s="54">
        <f>Tabela1[[#This Row],[PREÇO]]*Tabela1[[#This Row],[MTS]]</f>
        <v>1280</v>
      </c>
      <c r="S481" s="295" t="s">
        <v>1025</v>
      </c>
      <c r="T481" s="209" t="s">
        <v>1289</v>
      </c>
    </row>
    <row r="482" spans="1:20" x14ac:dyDescent="0.3">
      <c r="A482" s="313" t="s">
        <v>1292</v>
      </c>
      <c r="B482" s="7" t="s">
        <v>69</v>
      </c>
      <c r="C482" s="248" t="s">
        <v>70</v>
      </c>
      <c r="D482" s="222">
        <v>448</v>
      </c>
      <c r="E482" s="41">
        <v>46254</v>
      </c>
      <c r="F482" s="127" t="s">
        <v>1287</v>
      </c>
      <c r="G482" s="28" t="s">
        <v>1314</v>
      </c>
      <c r="H482" s="40" t="s">
        <v>362</v>
      </c>
      <c r="I482" s="38">
        <v>11136</v>
      </c>
      <c r="J482" s="29" t="s">
        <v>1303</v>
      </c>
      <c r="K482" s="29">
        <v>2000</v>
      </c>
      <c r="M482" s="29">
        <v>4.1900000000000004</v>
      </c>
      <c r="N482" s="54">
        <f>Tabela1[[#This Row],[PREÇO]]*Tabela1[[#This Row],[MTS]]</f>
        <v>8380</v>
      </c>
      <c r="S482" s="295" t="s">
        <v>820</v>
      </c>
      <c r="T482" s="209" t="s">
        <v>1289</v>
      </c>
    </row>
    <row r="483" spans="1:20" x14ac:dyDescent="0.3">
      <c r="A483" s="312" t="s">
        <v>1302</v>
      </c>
      <c r="B483" s="7" t="s">
        <v>69</v>
      </c>
      <c r="C483" s="248" t="s">
        <v>70</v>
      </c>
      <c r="D483" s="222">
        <v>448</v>
      </c>
      <c r="E483" s="41">
        <v>46253</v>
      </c>
      <c r="F483" s="98" t="s">
        <v>1315</v>
      </c>
      <c r="G483" s="28" t="s">
        <v>1029</v>
      </c>
      <c r="H483" s="40" t="s">
        <v>160</v>
      </c>
      <c r="I483" s="38">
        <v>11137</v>
      </c>
      <c r="J483" s="303" t="s">
        <v>572</v>
      </c>
      <c r="K483" s="29">
        <v>1000</v>
      </c>
      <c r="M483" s="53">
        <v>2.56</v>
      </c>
      <c r="N483" s="54">
        <f>Tabela1[[#This Row],[PREÇO]]*Tabela1[[#This Row],[MTS]]</f>
        <v>2560</v>
      </c>
      <c r="S483" s="295" t="s">
        <v>1025</v>
      </c>
      <c r="T483" s="209" t="s">
        <v>1316</v>
      </c>
    </row>
    <row r="484" spans="1:20" x14ac:dyDescent="0.3">
      <c r="A484" s="312" t="s">
        <v>1301</v>
      </c>
      <c r="B484" s="7" t="s">
        <v>272</v>
      </c>
      <c r="C484" s="248" t="s">
        <v>49</v>
      </c>
      <c r="D484" s="211">
        <v>1034</v>
      </c>
      <c r="E484" s="41">
        <v>46260</v>
      </c>
      <c r="F484" s="127" t="s">
        <v>1287</v>
      </c>
      <c r="G484" s="28" t="s">
        <v>1478</v>
      </c>
      <c r="H484" s="40" t="s">
        <v>1348</v>
      </c>
      <c r="I484" s="38">
        <v>11186</v>
      </c>
      <c r="J484" s="29" t="s">
        <v>1327</v>
      </c>
      <c r="K484" s="29">
        <v>900</v>
      </c>
      <c r="M484" s="53">
        <v>2.0699999999999998</v>
      </c>
      <c r="N484" s="54">
        <f>Tabela1[[#This Row],[PREÇO]]*Tabela1[[#This Row],[MTS]]</f>
        <v>1862.9999999999998</v>
      </c>
      <c r="S484" s="295" t="s">
        <v>1025</v>
      </c>
      <c r="T484" s="209" t="s">
        <v>1289</v>
      </c>
    </row>
    <row r="485" spans="1:20" x14ac:dyDescent="0.3">
      <c r="A485" s="312" t="s">
        <v>1301</v>
      </c>
      <c r="B485" s="7" t="s">
        <v>272</v>
      </c>
      <c r="C485" s="248" t="s">
        <v>49</v>
      </c>
      <c r="D485" s="211">
        <v>1034</v>
      </c>
      <c r="E485" s="41">
        <v>46260</v>
      </c>
      <c r="F485" s="127" t="s">
        <v>1287</v>
      </c>
      <c r="G485" s="28" t="s">
        <v>1479</v>
      </c>
      <c r="H485" s="40" t="s">
        <v>825</v>
      </c>
      <c r="I485" s="38">
        <v>11186</v>
      </c>
      <c r="J485" s="29" t="s">
        <v>1322</v>
      </c>
      <c r="K485" s="29">
        <v>1000</v>
      </c>
      <c r="M485" s="53">
        <v>1.82</v>
      </c>
      <c r="N485" s="54">
        <f>Tabela1[[#This Row],[PREÇO]]*Tabela1[[#This Row],[MTS]]</f>
        <v>1820</v>
      </c>
      <c r="S485" s="295" t="s">
        <v>816</v>
      </c>
      <c r="T485" s="209" t="s">
        <v>1289</v>
      </c>
    </row>
    <row r="486" spans="1:20" x14ac:dyDescent="0.3">
      <c r="A486" s="312" t="s">
        <v>1301</v>
      </c>
      <c r="B486" s="7" t="s">
        <v>272</v>
      </c>
      <c r="C486" s="248" t="s">
        <v>49</v>
      </c>
      <c r="D486" s="211">
        <v>1034</v>
      </c>
      <c r="E486" s="41">
        <v>46260</v>
      </c>
      <c r="F486" s="127" t="s">
        <v>1287</v>
      </c>
      <c r="G486" s="28" t="s">
        <v>1480</v>
      </c>
      <c r="H486" s="335" t="s">
        <v>561</v>
      </c>
      <c r="I486" s="38">
        <v>11186</v>
      </c>
      <c r="J486" s="29" t="s">
        <v>1328</v>
      </c>
      <c r="K486" s="29">
        <v>1500</v>
      </c>
      <c r="M486" s="53">
        <v>1.93</v>
      </c>
      <c r="N486" s="54">
        <f>Tabela1[[#This Row],[PREÇO]]*Tabela1[[#This Row],[MTS]]</f>
        <v>2895</v>
      </c>
      <c r="S486" s="295" t="s">
        <v>1025</v>
      </c>
      <c r="T486" s="209" t="s">
        <v>1289</v>
      </c>
    </row>
    <row r="487" spans="1:20" x14ac:dyDescent="0.3">
      <c r="A487" s="312" t="s">
        <v>1301</v>
      </c>
      <c r="B487" s="7" t="s">
        <v>272</v>
      </c>
      <c r="C487" s="248" t="s">
        <v>49</v>
      </c>
      <c r="D487" s="211">
        <v>1034</v>
      </c>
      <c r="E487" s="41">
        <v>46260</v>
      </c>
      <c r="F487" s="127" t="s">
        <v>1287</v>
      </c>
      <c r="G487" s="28" t="s">
        <v>1481</v>
      </c>
      <c r="H487" s="40" t="s">
        <v>560</v>
      </c>
      <c r="I487" s="38">
        <v>11186</v>
      </c>
      <c r="J487" s="29" t="s">
        <v>1329</v>
      </c>
      <c r="K487" s="29">
        <v>1500</v>
      </c>
      <c r="M487" s="53">
        <v>1.93</v>
      </c>
      <c r="N487" s="54">
        <f>Tabela1[[#This Row],[PREÇO]]*Tabela1[[#This Row],[MTS]]</f>
        <v>2895</v>
      </c>
      <c r="S487" s="295" t="s">
        <v>820</v>
      </c>
      <c r="T487" s="209" t="s">
        <v>1289</v>
      </c>
    </row>
    <row r="488" spans="1:20" x14ac:dyDescent="0.3">
      <c r="A488" s="312" t="s">
        <v>1301</v>
      </c>
      <c r="B488" s="7" t="s">
        <v>272</v>
      </c>
      <c r="C488" s="248" t="s">
        <v>49</v>
      </c>
      <c r="D488" s="211">
        <v>1034</v>
      </c>
      <c r="E488" s="41">
        <v>46260</v>
      </c>
      <c r="F488" s="127" t="s">
        <v>1287</v>
      </c>
      <c r="G488" s="28" t="s">
        <v>1482</v>
      </c>
      <c r="H488" s="40" t="s">
        <v>1350</v>
      </c>
      <c r="I488" s="38">
        <v>11186</v>
      </c>
      <c r="J488" s="29" t="s">
        <v>1323</v>
      </c>
      <c r="K488" s="29">
        <v>500</v>
      </c>
      <c r="M488" s="53">
        <v>1.93</v>
      </c>
      <c r="N488" s="54">
        <f>Tabela1[[#This Row],[PREÇO]]*Tabela1[[#This Row],[MTS]]</f>
        <v>965</v>
      </c>
      <c r="S488" s="295" t="s">
        <v>1025</v>
      </c>
      <c r="T488" s="209" t="s">
        <v>1289</v>
      </c>
    </row>
    <row r="489" spans="1:20" x14ac:dyDescent="0.3">
      <c r="A489" s="312" t="s">
        <v>1301</v>
      </c>
      <c r="B489" s="7" t="s">
        <v>272</v>
      </c>
      <c r="C489" s="248" t="s">
        <v>49</v>
      </c>
      <c r="D489" s="211">
        <v>1034</v>
      </c>
      <c r="E489" s="41">
        <v>46260</v>
      </c>
      <c r="F489" s="127" t="s">
        <v>1287</v>
      </c>
      <c r="G489" s="28" t="s">
        <v>1483</v>
      </c>
      <c r="H489" s="40" t="s">
        <v>1351</v>
      </c>
      <c r="I489" s="38">
        <v>11186</v>
      </c>
      <c r="J489" s="29" t="s">
        <v>1330</v>
      </c>
      <c r="K489" s="29">
        <v>500</v>
      </c>
      <c r="M489" s="53">
        <v>1.9</v>
      </c>
      <c r="N489" s="54">
        <f>Tabela1[[#This Row],[PREÇO]]*Tabela1[[#This Row],[MTS]]</f>
        <v>950</v>
      </c>
      <c r="S489" s="295" t="s">
        <v>1025</v>
      </c>
      <c r="T489" s="209" t="s">
        <v>1289</v>
      </c>
    </row>
    <row r="490" spans="1:20" x14ac:dyDescent="0.3">
      <c r="A490" s="312" t="s">
        <v>1301</v>
      </c>
      <c r="B490" s="7" t="s">
        <v>272</v>
      </c>
      <c r="C490" s="248" t="s">
        <v>49</v>
      </c>
      <c r="D490" s="211">
        <v>1034</v>
      </c>
      <c r="E490" s="41">
        <v>46260</v>
      </c>
      <c r="F490" s="127" t="s">
        <v>1287</v>
      </c>
      <c r="G490" s="28" t="s">
        <v>1484</v>
      </c>
      <c r="H490" s="40" t="s">
        <v>827</v>
      </c>
      <c r="I490" s="38">
        <v>11186</v>
      </c>
      <c r="J490" s="29" t="s">
        <v>1324</v>
      </c>
      <c r="K490" s="29">
        <v>1000</v>
      </c>
      <c r="M490" s="53">
        <v>1.93</v>
      </c>
      <c r="N490" s="54">
        <f>Tabela1[[#This Row],[PREÇO]]*Tabela1[[#This Row],[MTS]]</f>
        <v>1930</v>
      </c>
      <c r="S490" s="295" t="s">
        <v>1025</v>
      </c>
      <c r="T490" s="209" t="s">
        <v>1289</v>
      </c>
    </row>
    <row r="491" spans="1:20" x14ac:dyDescent="0.3">
      <c r="A491" s="312" t="s">
        <v>1301</v>
      </c>
      <c r="B491" s="7" t="s">
        <v>272</v>
      </c>
      <c r="C491" s="248" t="s">
        <v>49</v>
      </c>
      <c r="D491" s="211">
        <v>1034</v>
      </c>
      <c r="E491" s="41">
        <v>46260</v>
      </c>
      <c r="F491" s="127" t="s">
        <v>1287</v>
      </c>
      <c r="G491" s="28" t="s">
        <v>1485</v>
      </c>
      <c r="H491" s="40" t="s">
        <v>1346</v>
      </c>
      <c r="I491" s="38">
        <v>11186</v>
      </c>
      <c r="J491" s="29" t="s">
        <v>1325</v>
      </c>
      <c r="K491" s="151">
        <v>1500</v>
      </c>
      <c r="M491" s="53">
        <v>1.75</v>
      </c>
      <c r="N491" s="54">
        <f>Tabela1[[#This Row],[PREÇO]]*Tabela1[[#This Row],[MTS]]</f>
        <v>2625</v>
      </c>
      <c r="R491" s="378" t="s">
        <v>1343</v>
      </c>
      <c r="S491" s="295" t="s">
        <v>1025</v>
      </c>
      <c r="T491" s="209" t="s">
        <v>1289</v>
      </c>
    </row>
    <row r="492" spans="1:20" x14ac:dyDescent="0.3">
      <c r="A492" s="312" t="s">
        <v>1301</v>
      </c>
      <c r="B492" s="7" t="s">
        <v>272</v>
      </c>
      <c r="C492" s="248" t="s">
        <v>49</v>
      </c>
      <c r="D492" s="211">
        <v>1034</v>
      </c>
      <c r="E492" s="41">
        <v>46260</v>
      </c>
      <c r="F492" s="127" t="s">
        <v>1287</v>
      </c>
      <c r="G492" s="28" t="s">
        <v>1486</v>
      </c>
      <c r="H492" s="40" t="s">
        <v>1347</v>
      </c>
      <c r="I492" s="38">
        <v>11186</v>
      </c>
      <c r="J492" s="29" t="s">
        <v>1326</v>
      </c>
      <c r="K492" s="151">
        <v>2000</v>
      </c>
      <c r="M492" s="53">
        <v>1.65</v>
      </c>
      <c r="N492" s="54">
        <f>Tabela1[[#This Row],[PREÇO]]*Tabela1[[#This Row],[MTS]]</f>
        <v>3300</v>
      </c>
      <c r="R492" s="378" t="s">
        <v>1343</v>
      </c>
      <c r="S492" s="295" t="s">
        <v>820</v>
      </c>
      <c r="T492" s="209" t="s">
        <v>1289</v>
      </c>
    </row>
    <row r="493" spans="1:20" x14ac:dyDescent="0.3">
      <c r="A493" s="312" t="s">
        <v>1307</v>
      </c>
      <c r="B493" s="7" t="s">
        <v>1331</v>
      </c>
      <c r="C493" s="248" t="s">
        <v>70</v>
      </c>
      <c r="D493" s="211">
        <v>2272</v>
      </c>
      <c r="E493" s="41">
        <v>46259</v>
      </c>
      <c r="F493" s="127" t="s">
        <v>1287</v>
      </c>
      <c r="G493" s="522" t="s">
        <v>1487</v>
      </c>
      <c r="H493" s="163" t="s">
        <v>979</v>
      </c>
      <c r="I493" s="38">
        <v>11239</v>
      </c>
      <c r="J493" s="29" t="s">
        <v>963</v>
      </c>
      <c r="K493" s="151">
        <v>3000</v>
      </c>
      <c r="M493" s="29">
        <v>1.65</v>
      </c>
      <c r="N493" s="54">
        <f>Tabela1[[#This Row],[PREÇO]]*Tabela1[[#This Row],[MTS]]</f>
        <v>4950</v>
      </c>
      <c r="R493" s="378" t="s">
        <v>1359</v>
      </c>
      <c r="S493" s="295" t="s">
        <v>995</v>
      </c>
      <c r="T493" s="209" t="s">
        <v>1358</v>
      </c>
    </row>
    <row r="494" spans="1:20" x14ac:dyDescent="0.3">
      <c r="A494" s="312" t="s">
        <v>1307</v>
      </c>
      <c r="B494" s="7" t="s">
        <v>1331</v>
      </c>
      <c r="C494" s="248" t="s">
        <v>70</v>
      </c>
      <c r="D494" s="211">
        <v>2272</v>
      </c>
      <c r="E494" s="41">
        <v>46259</v>
      </c>
      <c r="F494" s="127" t="s">
        <v>1287</v>
      </c>
      <c r="G494" s="523" t="s">
        <v>1488</v>
      </c>
      <c r="H494" s="163" t="s">
        <v>1332</v>
      </c>
      <c r="I494" s="38">
        <v>11239</v>
      </c>
      <c r="J494" s="29" t="s">
        <v>1338</v>
      </c>
      <c r="K494" s="151">
        <v>5000</v>
      </c>
      <c r="M494" s="53">
        <v>1.7</v>
      </c>
      <c r="N494" s="54">
        <f>Tabela1[[#This Row],[PREÇO]]*Tabela1[[#This Row],[MTS]]</f>
        <v>8500</v>
      </c>
      <c r="S494" s="295" t="s">
        <v>1025</v>
      </c>
      <c r="T494" s="209" t="s">
        <v>1289</v>
      </c>
    </row>
    <row r="495" spans="1:20" x14ac:dyDescent="0.3">
      <c r="A495" s="312" t="s">
        <v>1307</v>
      </c>
      <c r="B495" s="7" t="s">
        <v>1331</v>
      </c>
      <c r="C495" s="248" t="s">
        <v>70</v>
      </c>
      <c r="D495" s="211">
        <v>2272</v>
      </c>
      <c r="E495" s="41">
        <v>46259</v>
      </c>
      <c r="F495" s="127" t="s">
        <v>1287</v>
      </c>
      <c r="G495" s="522" t="s">
        <v>1489</v>
      </c>
      <c r="H495" s="163" t="s">
        <v>1349</v>
      </c>
      <c r="I495" s="38">
        <v>11239</v>
      </c>
      <c r="J495" s="29" t="s">
        <v>1339</v>
      </c>
      <c r="K495" s="151">
        <v>2000</v>
      </c>
      <c r="M495" s="29">
        <v>1.74</v>
      </c>
      <c r="N495" s="54">
        <f>Tabela1[[#This Row],[PREÇO]]*Tabela1[[#This Row],[MTS]]</f>
        <v>3480</v>
      </c>
      <c r="R495" s="378" t="s">
        <v>1357</v>
      </c>
      <c r="S495" s="295" t="s">
        <v>816</v>
      </c>
      <c r="T495" s="209" t="s">
        <v>1289</v>
      </c>
    </row>
    <row r="496" spans="1:20" x14ac:dyDescent="0.3">
      <c r="A496" s="312" t="s">
        <v>1307</v>
      </c>
      <c r="B496" s="7" t="s">
        <v>1331</v>
      </c>
      <c r="C496" s="248" t="s">
        <v>70</v>
      </c>
      <c r="D496" s="211">
        <v>2272</v>
      </c>
      <c r="E496" s="41">
        <v>46259</v>
      </c>
      <c r="F496" s="127" t="s">
        <v>1287</v>
      </c>
      <c r="G496" s="523" t="s">
        <v>1490</v>
      </c>
      <c r="H496" s="163" t="s">
        <v>1354</v>
      </c>
      <c r="I496" s="38">
        <v>11239</v>
      </c>
      <c r="J496" s="29" t="s">
        <v>1340</v>
      </c>
      <c r="K496" s="151">
        <v>2500</v>
      </c>
      <c r="M496" s="29">
        <v>1.97</v>
      </c>
      <c r="N496" s="54">
        <f>Tabela1[[#This Row],[PREÇO]]*Tabela1[[#This Row],[MTS]]</f>
        <v>4925</v>
      </c>
      <c r="R496" s="378" t="s">
        <v>1357</v>
      </c>
      <c r="S496" s="295" t="s">
        <v>816</v>
      </c>
      <c r="T496" s="209" t="s">
        <v>1289</v>
      </c>
    </row>
    <row r="497" spans="1:20" x14ac:dyDescent="0.3">
      <c r="A497" s="312" t="s">
        <v>1307</v>
      </c>
      <c r="B497" s="7" t="s">
        <v>1331</v>
      </c>
      <c r="C497" s="248" t="s">
        <v>70</v>
      </c>
      <c r="D497" s="211">
        <v>2272</v>
      </c>
      <c r="E497" s="41">
        <v>46259</v>
      </c>
      <c r="F497" s="127" t="s">
        <v>1287</v>
      </c>
      <c r="G497" s="522" t="s">
        <v>1491</v>
      </c>
      <c r="H497" s="163" t="s">
        <v>1333</v>
      </c>
      <c r="I497" s="38">
        <v>11239</v>
      </c>
      <c r="J497" s="29" t="s">
        <v>1341</v>
      </c>
      <c r="K497" s="151">
        <v>1500</v>
      </c>
      <c r="M497" s="29">
        <v>2.4300000000000002</v>
      </c>
      <c r="N497" s="54">
        <f>Tabela1[[#This Row],[PREÇO]]*Tabela1[[#This Row],[MTS]]</f>
        <v>3645.0000000000005</v>
      </c>
      <c r="S497" s="295" t="s">
        <v>820</v>
      </c>
      <c r="T497" s="209" t="s">
        <v>1289</v>
      </c>
    </row>
    <row r="498" spans="1:20" x14ac:dyDescent="0.3">
      <c r="A498" s="312" t="s">
        <v>1307</v>
      </c>
      <c r="B498" s="7" t="s">
        <v>1331</v>
      </c>
      <c r="C498" s="248" t="s">
        <v>70</v>
      </c>
      <c r="D498" s="211">
        <v>2272</v>
      </c>
      <c r="E498" s="41">
        <v>46259</v>
      </c>
      <c r="F498" s="127" t="s">
        <v>1287</v>
      </c>
      <c r="G498" s="523" t="s">
        <v>1492</v>
      </c>
      <c r="H498" s="163" t="s">
        <v>1355</v>
      </c>
      <c r="I498" s="38">
        <v>11239</v>
      </c>
      <c r="J498" s="29" t="s">
        <v>1342</v>
      </c>
      <c r="K498" s="151">
        <v>1500</v>
      </c>
      <c r="M498" s="29">
        <v>1.95</v>
      </c>
      <c r="N498" s="54">
        <f>Tabela1[[#This Row],[PREÇO]]*Tabela1[[#This Row],[MTS]]</f>
        <v>2925</v>
      </c>
      <c r="R498" s="378" t="s">
        <v>1357</v>
      </c>
      <c r="S498" s="295" t="s">
        <v>1025</v>
      </c>
      <c r="T498" s="209" t="s">
        <v>1289</v>
      </c>
    </row>
    <row r="499" spans="1:20" x14ac:dyDescent="0.3">
      <c r="A499" s="312" t="s">
        <v>1498</v>
      </c>
      <c r="B499" s="7" t="s">
        <v>1191</v>
      </c>
      <c r="C499" s="248" t="s">
        <v>105</v>
      </c>
      <c r="D499" s="211">
        <v>1952</v>
      </c>
      <c r="E499" s="41">
        <v>46269</v>
      </c>
      <c r="F499" s="81" t="s">
        <v>1287</v>
      </c>
      <c r="G499" s="28" t="s">
        <v>1193</v>
      </c>
      <c r="H499" s="531" t="s">
        <v>1236</v>
      </c>
      <c r="I499" s="38">
        <v>11316</v>
      </c>
      <c r="J499" s="29" t="s">
        <v>1199</v>
      </c>
      <c r="K499" s="150">
        <v>1000</v>
      </c>
      <c r="M499" s="53">
        <v>3.19</v>
      </c>
      <c r="N499" s="54">
        <f>Tabela1[[#This Row],[PREÇO]]*Tabela1[[#This Row],[MTS]]</f>
        <v>3190</v>
      </c>
      <c r="R499" s="378" t="s">
        <v>1392</v>
      </c>
      <c r="S499" s="489" t="s">
        <v>816</v>
      </c>
      <c r="T499" s="209" t="s">
        <v>1289</v>
      </c>
    </row>
    <row r="500" spans="1:20" x14ac:dyDescent="0.3">
      <c r="A500" s="328" t="s">
        <v>1395</v>
      </c>
      <c r="B500" s="7" t="s">
        <v>161</v>
      </c>
      <c r="C500" s="248" t="s">
        <v>105</v>
      </c>
      <c r="D500" s="211">
        <v>1575</v>
      </c>
      <c r="E500" s="41">
        <v>46269</v>
      </c>
      <c r="F500" s="81" t="s">
        <v>1287</v>
      </c>
      <c r="G500" s="360" t="s">
        <v>1396</v>
      </c>
      <c r="H500" s="163" t="s">
        <v>1397</v>
      </c>
      <c r="I500" s="153">
        <v>11315</v>
      </c>
      <c r="J500" s="29" t="s">
        <v>1493</v>
      </c>
      <c r="K500" s="150">
        <v>1000</v>
      </c>
      <c r="M500" s="53">
        <v>3.89</v>
      </c>
      <c r="N500" s="54">
        <f>Tabela1[[#This Row],[PREÇO]]*Tabela1[[#This Row],[MTS]]</f>
        <v>3890</v>
      </c>
      <c r="R500" s="378" t="s">
        <v>1027</v>
      </c>
      <c r="S500" s="295" t="s">
        <v>1025</v>
      </c>
      <c r="T500" s="209" t="s">
        <v>1289</v>
      </c>
    </row>
    <row r="501" spans="1:20" x14ac:dyDescent="0.3">
      <c r="A501" s="361" t="s">
        <v>1386</v>
      </c>
      <c r="B501" s="7" t="s">
        <v>1413</v>
      </c>
      <c r="C501" s="248" t="s">
        <v>13</v>
      </c>
      <c r="D501" s="211">
        <v>1937</v>
      </c>
      <c r="E501" s="41">
        <v>46274</v>
      </c>
      <c r="F501" s="127" t="s">
        <v>1287</v>
      </c>
      <c r="G501" s="28" t="s">
        <v>599</v>
      </c>
      <c r="H501" s="40" t="s">
        <v>603</v>
      </c>
      <c r="I501" s="38">
        <v>11324</v>
      </c>
      <c r="J501" s="29" t="s">
        <v>1406</v>
      </c>
      <c r="K501" s="29">
        <v>2000</v>
      </c>
      <c r="M501" s="53">
        <v>7.8</v>
      </c>
      <c r="N501" s="54">
        <f>Tabela1[[#This Row],[PREÇO]]*Tabela1[[#This Row],[MTS]]</f>
        <v>15600</v>
      </c>
      <c r="S501" s="378" t="s">
        <v>1025</v>
      </c>
      <c r="T501" s="209" t="s">
        <v>1289</v>
      </c>
    </row>
    <row r="502" spans="1:20" x14ac:dyDescent="0.3">
      <c r="A502" s="361" t="s">
        <v>1401</v>
      </c>
      <c r="B502" s="7" t="s">
        <v>1413</v>
      </c>
      <c r="C502" s="248" t="s">
        <v>13</v>
      </c>
      <c r="D502" s="211">
        <v>1937</v>
      </c>
      <c r="E502" s="41">
        <v>46279</v>
      </c>
      <c r="F502" s="127" t="s">
        <v>1287</v>
      </c>
      <c r="G502" s="28" t="s">
        <v>598</v>
      </c>
      <c r="H502" s="40" t="s">
        <v>602</v>
      </c>
      <c r="I502" s="38">
        <v>11355</v>
      </c>
      <c r="J502" s="29" t="s">
        <v>606</v>
      </c>
      <c r="K502" s="29">
        <v>1000</v>
      </c>
      <c r="L502" s="129" t="s">
        <v>1406</v>
      </c>
      <c r="M502" s="29">
        <v>2.91</v>
      </c>
      <c r="N502" s="54">
        <f>Tabela1[[#This Row],[PREÇO]]*Tabela1[[#This Row],[MTS]]</f>
        <v>2910</v>
      </c>
      <c r="S502" s="378" t="s">
        <v>1025</v>
      </c>
      <c r="T502" s="209" t="s">
        <v>1289</v>
      </c>
    </row>
    <row r="503" spans="1:20" x14ac:dyDescent="0.3">
      <c r="A503" s="361" t="s">
        <v>1403</v>
      </c>
      <c r="B503" s="7" t="s">
        <v>739</v>
      </c>
      <c r="C503" s="248" t="s">
        <v>105</v>
      </c>
      <c r="D503" s="211"/>
      <c r="E503" s="41">
        <v>46282</v>
      </c>
      <c r="F503" s="127" t="s">
        <v>1287</v>
      </c>
      <c r="G503" s="28" t="s">
        <v>150</v>
      </c>
      <c r="H503" s="40" t="s">
        <v>743</v>
      </c>
      <c r="I503" s="38">
        <v>11363</v>
      </c>
      <c r="J503" s="24" t="s">
        <v>1408</v>
      </c>
      <c r="K503" s="151">
        <v>15000</v>
      </c>
      <c r="L503" s="362" t="s">
        <v>298</v>
      </c>
      <c r="M503" s="53">
        <v>2</v>
      </c>
      <c r="N503" s="54">
        <f>Tabela1[[#This Row],[PREÇO]]*Tabela1[[#This Row],[MTS]]</f>
        <v>30000</v>
      </c>
      <c r="S503" s="378" t="s">
        <v>1025</v>
      </c>
      <c r="T503" s="209" t="s">
        <v>1289</v>
      </c>
    </row>
    <row r="504" spans="1:20" x14ac:dyDescent="0.3">
      <c r="A504" s="361" t="s">
        <v>1403</v>
      </c>
      <c r="B504" s="7" t="s">
        <v>739</v>
      </c>
      <c r="C504" s="248" t="s">
        <v>105</v>
      </c>
      <c r="D504" s="211"/>
      <c r="E504" s="41">
        <v>46282</v>
      </c>
      <c r="F504" s="127" t="s">
        <v>1287</v>
      </c>
      <c r="G504" s="28" t="s">
        <v>151</v>
      </c>
      <c r="H504" s="40">
        <v>3530002</v>
      </c>
      <c r="I504" s="38">
        <v>11363</v>
      </c>
      <c r="J504" s="24" t="s">
        <v>1409</v>
      </c>
      <c r="K504" s="151">
        <v>3000</v>
      </c>
      <c r="L504" s="362"/>
      <c r="M504" s="53">
        <v>1.57</v>
      </c>
      <c r="N504" s="54">
        <f>Tabela1[[#This Row],[PREÇO]]*Tabela1[[#This Row],[MTS]]</f>
        <v>4710</v>
      </c>
      <c r="S504" s="378" t="s">
        <v>1025</v>
      </c>
      <c r="T504" s="209" t="s">
        <v>1289</v>
      </c>
    </row>
    <row r="505" spans="1:20" x14ac:dyDescent="0.3">
      <c r="A505" s="361" t="s">
        <v>1403</v>
      </c>
      <c r="B505" s="7" t="s">
        <v>739</v>
      </c>
      <c r="C505" s="248" t="s">
        <v>105</v>
      </c>
      <c r="D505" s="211"/>
      <c r="E505" s="41">
        <v>46282</v>
      </c>
      <c r="F505" s="127" t="s">
        <v>1287</v>
      </c>
      <c r="G505" s="40" t="s">
        <v>1407</v>
      </c>
      <c r="H505" s="40">
        <v>3530003</v>
      </c>
      <c r="I505" s="38">
        <v>11363</v>
      </c>
      <c r="J505" s="24" t="s">
        <v>1410</v>
      </c>
      <c r="K505" s="151">
        <v>5000</v>
      </c>
      <c r="L505" s="362"/>
      <c r="M505" s="53">
        <v>1.82</v>
      </c>
      <c r="N505" s="54">
        <f>Tabela1[[#This Row],[PREÇO]]*Tabela1[[#This Row],[MTS]]</f>
        <v>9100</v>
      </c>
      <c r="S505" s="378" t="s">
        <v>1025</v>
      </c>
      <c r="T505" s="209" t="s">
        <v>1289</v>
      </c>
    </row>
    <row r="506" spans="1:20" x14ac:dyDescent="0.3">
      <c r="A506" s="361" t="s">
        <v>1404</v>
      </c>
      <c r="B506" s="7" t="s">
        <v>739</v>
      </c>
      <c r="C506" s="248" t="s">
        <v>105</v>
      </c>
      <c r="D506" s="211"/>
      <c r="E506" s="41">
        <v>46282</v>
      </c>
      <c r="F506" s="127" t="s">
        <v>1315</v>
      </c>
      <c r="G506" s="28" t="s">
        <v>150</v>
      </c>
      <c r="H506" s="40" t="s">
        <v>743</v>
      </c>
      <c r="I506" s="38">
        <v>11364</v>
      </c>
      <c r="J506" s="24" t="s">
        <v>1408</v>
      </c>
      <c r="K506" s="151">
        <v>15000</v>
      </c>
      <c r="M506" s="53">
        <v>2</v>
      </c>
      <c r="N506" s="54">
        <f>Tabela1[[#This Row],[PREÇO]]*Tabela1[[#This Row],[MTS]]</f>
        <v>30000</v>
      </c>
      <c r="S506" s="378" t="s">
        <v>1025</v>
      </c>
      <c r="T506" s="209" t="s">
        <v>1316</v>
      </c>
    </row>
    <row r="507" spans="1:20" x14ac:dyDescent="0.3">
      <c r="A507" s="361" t="s">
        <v>1404</v>
      </c>
      <c r="B507" s="7" t="s">
        <v>739</v>
      </c>
      <c r="C507" s="248" t="s">
        <v>105</v>
      </c>
      <c r="D507" s="211"/>
      <c r="E507" s="41">
        <v>46282</v>
      </c>
      <c r="F507" s="127" t="s">
        <v>1315</v>
      </c>
      <c r="G507" s="28" t="s">
        <v>151</v>
      </c>
      <c r="H507" s="40">
        <v>3530002</v>
      </c>
      <c r="I507" s="38">
        <v>11364</v>
      </c>
      <c r="J507" s="24" t="s">
        <v>1409</v>
      </c>
      <c r="K507" s="151">
        <v>3000</v>
      </c>
      <c r="M507" s="53">
        <v>1.57</v>
      </c>
      <c r="N507" s="54">
        <f>Tabela1[[#This Row],[PREÇO]]*Tabela1[[#This Row],[MTS]]</f>
        <v>4710</v>
      </c>
      <c r="S507" s="378" t="s">
        <v>1025</v>
      </c>
      <c r="T507" s="209" t="s">
        <v>1316</v>
      </c>
    </row>
    <row r="508" spans="1:20" x14ac:dyDescent="0.3">
      <c r="A508" s="361" t="s">
        <v>1404</v>
      </c>
      <c r="B508" s="7" t="s">
        <v>739</v>
      </c>
      <c r="C508" s="248" t="s">
        <v>105</v>
      </c>
      <c r="D508" s="211"/>
      <c r="E508" s="41">
        <v>46282</v>
      </c>
      <c r="F508" s="127" t="s">
        <v>1315</v>
      </c>
      <c r="G508" s="28" t="s">
        <v>1407</v>
      </c>
      <c r="H508" s="40">
        <v>3530003</v>
      </c>
      <c r="I508" s="38">
        <v>11364</v>
      </c>
      <c r="J508" s="24" t="s">
        <v>1410</v>
      </c>
      <c r="K508" s="151">
        <v>3000</v>
      </c>
      <c r="L508" s="362"/>
      <c r="M508" s="53">
        <v>1.82</v>
      </c>
      <c r="N508" s="54">
        <f>Tabela1[[#This Row],[PREÇO]]*Tabela1[[#This Row],[MTS]]</f>
        <v>5460</v>
      </c>
      <c r="S508" s="378" t="s">
        <v>1025</v>
      </c>
      <c r="T508" s="209" t="s">
        <v>1316</v>
      </c>
    </row>
    <row r="509" spans="1:20" x14ac:dyDescent="0.3">
      <c r="A509" s="312" t="s">
        <v>1411</v>
      </c>
      <c r="B509" s="7" t="s">
        <v>1296</v>
      </c>
      <c r="C509" s="248" t="s">
        <v>21</v>
      </c>
      <c r="D509" s="211">
        <v>729</v>
      </c>
      <c r="E509" s="41">
        <v>46289</v>
      </c>
      <c r="F509" s="127" t="s">
        <v>1315</v>
      </c>
      <c r="G509" s="28" t="s">
        <v>1510</v>
      </c>
      <c r="H509" s="40" t="s">
        <v>1511</v>
      </c>
      <c r="I509" s="38">
        <v>11446</v>
      </c>
      <c r="J509" s="29" t="s">
        <v>1512</v>
      </c>
      <c r="K509" s="29">
        <v>4000</v>
      </c>
      <c r="M509" s="53">
        <v>2.4</v>
      </c>
      <c r="N509" s="54">
        <f>Tabela1[[#This Row],[PREÇO]]*Tabela1[[#This Row],[MTS]]</f>
        <v>9600</v>
      </c>
      <c r="R509" s="427" t="s">
        <v>1513</v>
      </c>
      <c r="S509" s="378" t="s">
        <v>1025</v>
      </c>
      <c r="T509" s="209" t="s">
        <v>1316</v>
      </c>
    </row>
    <row r="510" spans="1:20" x14ac:dyDescent="0.3">
      <c r="A510" s="312" t="s">
        <v>1515</v>
      </c>
      <c r="B510" s="7" t="s">
        <v>686</v>
      </c>
      <c r="C510" s="7" t="s">
        <v>21</v>
      </c>
      <c r="D510" s="529">
        <v>2096</v>
      </c>
      <c r="E510" s="41">
        <v>46293</v>
      </c>
      <c r="F510" s="154" t="s">
        <v>1315</v>
      </c>
      <c r="G510" s="28" t="s">
        <v>1523</v>
      </c>
      <c r="H510" s="28" t="s">
        <v>1520</v>
      </c>
      <c r="I510" s="38">
        <v>11454</v>
      </c>
      <c r="J510" s="29" t="s">
        <v>1521</v>
      </c>
      <c r="K510" s="29">
        <v>3000</v>
      </c>
      <c r="M510" s="53">
        <v>2.25</v>
      </c>
      <c r="N510" s="54">
        <f>Tabela1[[#This Row],[PREÇO]]*Tabela1[[#This Row],[MTS]]</f>
        <v>6750</v>
      </c>
      <c r="R510" s="295" t="s">
        <v>1522</v>
      </c>
      <c r="S510" s="378" t="s">
        <v>1025</v>
      </c>
      <c r="T510" s="209" t="s">
        <v>1316</v>
      </c>
    </row>
  </sheetData>
  <mergeCells count="2">
    <mergeCell ref="G1:H1"/>
    <mergeCell ref="T81:U81"/>
  </mergeCells>
  <conditionalFormatting sqref="G1">
    <cfRule type="expression" dxfId="49" priority="29">
      <formula>G1=0</formula>
    </cfRule>
    <cfRule type="expression" dxfId="48" priority="30" stopIfTrue="1">
      <formula>G1=0</formula>
    </cfRule>
  </conditionalFormatting>
  <conditionalFormatting sqref="G17:G31 M158:M164">
    <cfRule type="expression" dxfId="47" priority="52" stopIfTrue="1">
      <formula>G17=0</formula>
    </cfRule>
  </conditionalFormatting>
  <conditionalFormatting sqref="G34:G48">
    <cfRule type="expression" dxfId="46" priority="48" stopIfTrue="1">
      <formula>G34=0</formula>
    </cfRule>
  </conditionalFormatting>
  <conditionalFormatting sqref="G50:G53">
    <cfRule type="expression" dxfId="45" priority="45" stopIfTrue="1">
      <formula>G50=0</formula>
    </cfRule>
  </conditionalFormatting>
  <conditionalFormatting sqref="G64">
    <cfRule type="expression" dxfId="44" priority="36" stopIfTrue="1">
      <formula>G64=0</formula>
    </cfRule>
  </conditionalFormatting>
  <conditionalFormatting sqref="G85:G88">
    <cfRule type="expression" dxfId="43" priority="20" stopIfTrue="1">
      <formula>G85=0</formula>
    </cfRule>
  </conditionalFormatting>
  <conditionalFormatting sqref="G179">
    <cfRule type="expression" dxfId="42" priority="13" stopIfTrue="1">
      <formula>G179=0</formula>
    </cfRule>
  </conditionalFormatting>
  <conditionalFormatting sqref="G197">
    <cfRule type="expression" dxfId="41" priority="12" stopIfTrue="1">
      <formula>G197=0</formula>
    </cfRule>
  </conditionalFormatting>
  <conditionalFormatting sqref="G206">
    <cfRule type="expression" dxfId="40" priority="9" stopIfTrue="1">
      <formula>G206=0</formula>
    </cfRule>
  </conditionalFormatting>
  <conditionalFormatting sqref="G229:G243">
    <cfRule type="expression" dxfId="39" priority="6" stopIfTrue="1">
      <formula>G229=0</formula>
    </cfRule>
  </conditionalFormatting>
  <conditionalFormatting sqref="G11:H15">
    <cfRule type="expression" dxfId="38" priority="59" stopIfTrue="1">
      <formula>G11=0</formula>
    </cfRule>
  </conditionalFormatting>
  <conditionalFormatting sqref="H11:H15">
    <cfRule type="expression" dxfId="37" priority="57" stopIfTrue="1">
      <formula>H11=0</formula>
    </cfRule>
  </conditionalFormatting>
  <conditionalFormatting sqref="H25:H28 H30:H31">
    <cfRule type="expression" dxfId="36" priority="51" stopIfTrue="1">
      <formula>H25=0</formula>
    </cfRule>
  </conditionalFormatting>
  <conditionalFormatting sqref="H64">
    <cfRule type="expression" dxfId="35" priority="35" stopIfTrue="1">
      <formula>H64=0</formula>
    </cfRule>
  </conditionalFormatting>
  <conditionalFormatting sqref="H88">
    <cfRule type="expression" dxfId="34" priority="16" stopIfTrue="1">
      <formula>H88=0</formula>
    </cfRule>
  </conditionalFormatting>
  <conditionalFormatting sqref="J17:J31">
    <cfRule type="expression" dxfId="33" priority="50" stopIfTrue="1">
      <formula>J17=0</formula>
    </cfRule>
  </conditionalFormatting>
  <conditionalFormatting sqref="J64">
    <cfRule type="expression" dxfId="32" priority="34" stopIfTrue="1">
      <formula>J64=0</formula>
    </cfRule>
  </conditionalFormatting>
  <conditionalFormatting sqref="J86:J88">
    <cfRule type="expression" dxfId="31" priority="18" stopIfTrue="1">
      <formula>J86=0</formula>
    </cfRule>
  </conditionalFormatting>
  <conditionalFormatting sqref="J154">
    <cfRule type="expression" dxfId="30" priority="15" stopIfTrue="1">
      <formula>J154=0</formula>
    </cfRule>
  </conditionalFormatting>
  <conditionalFormatting sqref="K11:K15">
    <cfRule type="expression" dxfId="29" priority="56" stopIfTrue="1">
      <formula>K11=0</formula>
    </cfRule>
  </conditionalFormatting>
  <conditionalFormatting sqref="K50:K53">
    <cfRule type="expression" dxfId="28" priority="44" stopIfTrue="1">
      <formula>K50=0</formula>
    </cfRule>
  </conditionalFormatting>
  <conditionalFormatting sqref="K59:K60">
    <cfRule type="expression" dxfId="27" priority="40" stopIfTrue="1">
      <formula>K59=0</formula>
    </cfRule>
  </conditionalFormatting>
  <conditionalFormatting sqref="K17:L48 B49:B53">
    <cfRule type="expression" dxfId="26" priority="46" stopIfTrue="1">
      <formula>B17=0</formula>
    </cfRule>
  </conditionalFormatting>
  <conditionalFormatting sqref="L7:L15">
    <cfRule type="expression" dxfId="25" priority="55" stopIfTrue="1">
      <formula>L7=0</formula>
    </cfRule>
  </conditionalFormatting>
  <conditionalFormatting sqref="L59:L60">
    <cfRule type="expression" dxfId="24" priority="41" stopIfTrue="1">
      <formula>L59=0</formula>
    </cfRule>
  </conditionalFormatting>
  <conditionalFormatting sqref="M7:M15">
    <cfRule type="expression" dxfId="23" priority="54" stopIfTrue="1">
      <formula>M7=0</formula>
    </cfRule>
  </conditionalFormatting>
  <conditionalFormatting sqref="M17:M31">
    <cfRule type="expression" dxfId="22" priority="49" stopIfTrue="1">
      <formula>M17=0</formula>
    </cfRule>
  </conditionalFormatting>
  <conditionalFormatting sqref="M34:M48">
    <cfRule type="expression" dxfId="21" priority="47" stopIfTrue="1">
      <formula>M34=0</formula>
    </cfRule>
  </conditionalFormatting>
  <conditionalFormatting sqref="M50:M53">
    <cfRule type="expression" dxfId="20" priority="43" stopIfTrue="1">
      <formula>M50=0</formula>
    </cfRule>
  </conditionalFormatting>
  <conditionalFormatting sqref="N7:N15">
    <cfRule type="expression" dxfId="19" priority="60" stopIfTrue="1">
      <formula>N7=0</formula>
    </cfRule>
  </conditionalFormatting>
  <conditionalFormatting sqref="O5:O6">
    <cfRule type="expression" dxfId="18" priority="62" stopIfTrue="1">
      <formula>O5=0</formula>
    </cfRule>
  </conditionalFormatting>
  <conditionalFormatting sqref="P5:P15">
    <cfRule type="expression" dxfId="17" priority="58" stopIfTrue="1">
      <formula>P5=0</formula>
    </cfRule>
  </conditionalFormatting>
  <conditionalFormatting sqref="P17:P31">
    <cfRule type="expression" dxfId="16" priority="53" stopIfTrue="1">
      <formula>P17=0</formula>
    </cfRule>
  </conditionalFormatting>
  <conditionalFormatting sqref="P34:P53">
    <cfRule type="expression" dxfId="15" priority="42" stopIfTrue="1">
      <formula>P34=0</formula>
    </cfRule>
  </conditionalFormatting>
  <conditionalFormatting sqref="P62:P67">
    <cfRule type="expression" dxfId="14" priority="31" stopIfTrue="1">
      <formula>P62=0</formula>
    </cfRule>
  </conditionalFormatting>
  <conditionalFormatting sqref="P72:P74">
    <cfRule type="expression" dxfId="13" priority="28" stopIfTrue="1">
      <formula>P72=0</formula>
    </cfRule>
  </conditionalFormatting>
  <conditionalFormatting sqref="P80">
    <cfRule type="expression" dxfId="12" priority="24" stopIfTrue="1">
      <formula>P80=0</formula>
    </cfRule>
  </conditionalFormatting>
  <conditionalFormatting sqref="P85:P88">
    <cfRule type="expression" dxfId="11" priority="17" stopIfTrue="1">
      <formula>P85=0</formula>
    </cfRule>
  </conditionalFormatting>
  <conditionalFormatting sqref="P203">
    <cfRule type="expression" dxfId="10" priority="10" stopIfTrue="1">
      <formula>P203=0</formula>
    </cfRule>
  </conditionalFormatting>
  <conditionalFormatting sqref="P211:P216">
    <cfRule type="expression" dxfId="9" priority="8" stopIfTrue="1">
      <formula>P211=0</formula>
    </cfRule>
  </conditionalFormatting>
  <conditionalFormatting sqref="P225:P228">
    <cfRule type="expression" dxfId="8" priority="7" stopIfTrue="1">
      <formula>P225=0</formula>
    </cfRule>
  </conditionalFormatting>
  <conditionalFormatting sqref="P251:P255">
    <cfRule type="expression" dxfId="7" priority="5" stopIfTrue="1">
      <formula>P251=0</formula>
    </cfRule>
  </conditionalFormatting>
  <conditionalFormatting sqref="P280">
    <cfRule type="expression" dxfId="6" priority="4" stopIfTrue="1">
      <formula>P280=0</formula>
    </cfRule>
  </conditionalFormatting>
  <conditionalFormatting sqref="Q5:Q15">
    <cfRule type="expression" dxfId="5" priority="61" stopIfTrue="1">
      <formula>Q5=0</formula>
    </cfRule>
  </conditionalFormatting>
  <conditionalFormatting sqref="Q62:Q63">
    <cfRule type="expression" dxfId="4" priority="38" stopIfTrue="1">
      <formula>Q62=0</formula>
    </cfRule>
  </conditionalFormatting>
  <conditionalFormatting sqref="Q203:S203">
    <cfRule type="expression" dxfId="3" priority="11" stopIfTrue="1">
      <formula>Q203=0</formula>
    </cfRule>
  </conditionalFormatting>
  <conditionalFormatting sqref="T81">
    <cfRule type="expression" dxfId="2" priority="26" stopIfTrue="1">
      <formula>T81=0</formula>
    </cfRule>
  </conditionalFormatting>
  <dataValidations disablePrompts="1" count="1">
    <dataValidation type="list" allowBlank="1" showInputMessage="1" showErrorMessage="1" sqref="G49:G51 G17:H17" xr:uid="{F70766DB-8D64-422F-8F5E-8023E1731DCB}">
      <formula1>#REF!</formula1>
    </dataValidation>
  </dataValidations>
  <hyperlinks>
    <hyperlink ref="P77" r:id="rId1" xr:uid="{9177B6B7-584E-4983-A4F4-52CD8B1BC0E1}"/>
    <hyperlink ref="P75" r:id="rId2" xr:uid="{E80C527F-D038-4E4E-9420-5C618D3C53A8}"/>
    <hyperlink ref="P76" r:id="rId3" xr:uid="{1B5C09B5-D499-4044-BA53-A973B2FFC814}"/>
    <hyperlink ref="P63" r:id="rId4" xr:uid="{9045436B-A302-48B1-9835-62EFA048323D}"/>
    <hyperlink ref="P62" r:id="rId5" xr:uid="{47301082-64B4-4B02-B549-E325203989C6}"/>
    <hyperlink ref="P5" r:id="rId6" xr:uid="{3B66DB38-C271-480D-AE39-857D8E0E46F8}"/>
    <hyperlink ref="P6" r:id="rId7" xr:uid="{289893E2-9B92-4038-B673-D0F249E4B34F}"/>
    <hyperlink ref="P78" r:id="rId8" xr:uid="{20641E95-D5F8-40B1-BD83-42DC9B662E1A}"/>
    <hyperlink ref="P79" r:id="rId9" xr:uid="{AD3A413D-07A7-4F7B-94AF-8E96C80C51D7}"/>
    <hyperlink ref="P89" r:id="rId10" xr:uid="{5C9847ED-98FB-464D-8A62-B9E39AD9FE64}"/>
    <hyperlink ref="P90" r:id="rId11" xr:uid="{88121EC8-7B40-4334-8952-166560DBE852}"/>
    <hyperlink ref="P91" r:id="rId12" xr:uid="{CB82AB88-0DC9-4BD9-B63A-F636B5157732}"/>
    <hyperlink ref="P92" r:id="rId13" xr:uid="{B57845C7-BDD7-4261-8955-D0B1E9B95CFB}"/>
    <hyperlink ref="P93" r:id="rId14" xr:uid="{87896A66-9485-4029-BD29-8EDFF2404452}"/>
    <hyperlink ref="P94" r:id="rId15" xr:uid="{2A66CC2C-4F2A-4922-9FD7-B173D07B74BE}"/>
    <hyperlink ref="P95" r:id="rId16" xr:uid="{9D65D940-EB89-4E68-BF63-B03AFD0816B4}"/>
    <hyperlink ref="P96" r:id="rId17" xr:uid="{F6F191BB-743D-47E8-A189-33D365FA29E5}"/>
    <hyperlink ref="P97" r:id="rId18" xr:uid="{50F67118-7148-4BC4-9204-20608DA29B76}"/>
    <hyperlink ref="P98" r:id="rId19" xr:uid="{A8AF89C4-9680-447C-9409-582124F0021D}"/>
    <hyperlink ref="P99" r:id="rId20" xr:uid="{3B84DBBD-BAC4-4ED7-A7AE-C9FF5D7DCD69}"/>
    <hyperlink ref="P100" r:id="rId21" xr:uid="{17CB044C-1AEA-485E-A724-69ACAD8A8873}"/>
    <hyperlink ref="P101" r:id="rId22" xr:uid="{B75083F4-11AE-4C6A-A139-F319AFF89D74}"/>
    <hyperlink ref="P102" r:id="rId23" xr:uid="{0A03B277-104F-46A0-9313-31A32C79316E}"/>
    <hyperlink ref="P103" r:id="rId24" xr:uid="{BA19B11F-990A-45A0-894D-BADF08F2FF4B}"/>
    <hyperlink ref="P104" r:id="rId25" xr:uid="{AD4E9DB8-E62D-4C5C-BDCC-9F5ECE4058C9}"/>
    <hyperlink ref="P105" r:id="rId26" xr:uid="{1122CD70-6A7C-4C97-A8A0-AC9B8DC9F382}"/>
    <hyperlink ref="P106" r:id="rId27" xr:uid="{E499CC15-ACEB-4B94-A0A4-AEBBB058C2E1}"/>
    <hyperlink ref="P107" r:id="rId28" xr:uid="{0958422B-62E4-41AF-837D-7CCE6C4578C8}"/>
    <hyperlink ref="P108" r:id="rId29" xr:uid="{ACB5B6E0-2FE3-4E14-A40E-B339903F3E16}"/>
    <hyperlink ref="P109" r:id="rId30" xr:uid="{C39884A5-3349-4E99-BBAB-5722F7B6CFA8}"/>
    <hyperlink ref="P110" r:id="rId31" xr:uid="{F16BDF86-7966-4AFE-B906-8E26A9C54B79}"/>
    <hyperlink ref="P111" r:id="rId32" xr:uid="{9A9AB230-26FB-41CA-A77A-B2B0867E6CA1}"/>
    <hyperlink ref="P112" r:id="rId33" xr:uid="{8EE2E6AB-A5E3-46D9-8728-E2BD7A5CB3E2}"/>
    <hyperlink ref="P113" r:id="rId34" xr:uid="{C4E491CE-6BC6-41B8-AB71-972D3557D918}"/>
    <hyperlink ref="P114" r:id="rId35" xr:uid="{8C826C07-62E6-4DE5-A930-5A449B9F7BF4}"/>
    <hyperlink ref="P175" r:id="rId36" xr:uid="{C25CCA0A-E803-45F1-8FD2-79966ADE01F7}"/>
    <hyperlink ref="P176" r:id="rId37" xr:uid="{04DF023D-ECDF-4F96-BB57-44DF093F1B01}"/>
    <hyperlink ref="P165" r:id="rId38" xr:uid="{F0261C2F-2C33-4709-BE8A-1E4FC95C5315}"/>
    <hyperlink ref="P166:P174" r:id="rId39" display="inducolsrl@outlook.com" xr:uid="{E2577984-D1CD-4E72-B8DE-DCE8144A99F7}"/>
    <hyperlink ref="P158" r:id="rId40" xr:uid="{C1907A61-9F48-44F6-B90F-32915ACD75EC}"/>
    <hyperlink ref="P159" r:id="rId41" xr:uid="{A17293DE-C38D-4C5E-8A94-08D83B42F8C3}"/>
    <hyperlink ref="P160" r:id="rId42" xr:uid="{37469269-94BD-4068-BFBD-6CF806804374}"/>
    <hyperlink ref="P161" r:id="rId43" xr:uid="{B0F2B662-C557-406D-BA49-0404B3F0E101}"/>
    <hyperlink ref="P162" r:id="rId44" xr:uid="{E2C43A43-EADA-4E01-9AE6-BCBC81B184E8}"/>
    <hyperlink ref="P163" r:id="rId45" xr:uid="{6337F4F7-F749-49DE-82D4-FA68D001D612}"/>
    <hyperlink ref="P164" r:id="rId46" xr:uid="{C28B0385-0FCF-4E80-9E67-8ADC93C53C6E}"/>
    <hyperlink ref="P128" r:id="rId47" xr:uid="{2A645657-CC49-4980-8457-30CF0157C984}"/>
    <hyperlink ref="P129" r:id="rId48" xr:uid="{B72143BC-DC4F-4993-B60D-7CA78CC1AFFF}"/>
    <hyperlink ref="P130" r:id="rId49" xr:uid="{ED03849A-558B-48DB-983B-A08A77CCAD60}"/>
    <hyperlink ref="P131" r:id="rId50" xr:uid="{B0604B4F-A2BE-4A6A-87EC-DF42D2732366}"/>
    <hyperlink ref="P132" r:id="rId51" xr:uid="{E3A2976D-4E75-402E-9942-52A182F32D21}"/>
    <hyperlink ref="P133" r:id="rId52" xr:uid="{C36107B4-121A-4EA7-9114-11C48325268A}"/>
    <hyperlink ref="P134" r:id="rId53" xr:uid="{694A97C3-946E-4046-A3BF-71C0D21D93A0}"/>
    <hyperlink ref="P135" r:id="rId54" xr:uid="{0FCAA4F0-98F7-4E3E-BD44-98F2AAFCB779}"/>
    <hyperlink ref="P136" r:id="rId55" xr:uid="{3D81A44B-8599-4731-97AA-E0168EF439B2}"/>
    <hyperlink ref="P137" r:id="rId56" xr:uid="{4D83B818-A304-48DF-8897-0914E2D338E4}"/>
    <hyperlink ref="P138" r:id="rId57" xr:uid="{B49F7FE8-A25A-4A91-BABE-F9FAE760FA1B}"/>
    <hyperlink ref="P139" r:id="rId58" xr:uid="{148E9926-3589-46B3-BCD9-508DFFD9C29F}"/>
    <hyperlink ref="P140" r:id="rId59" xr:uid="{A97753E9-9971-4764-9851-4D8FC03BDA1D}"/>
    <hyperlink ref="P141" r:id="rId60" xr:uid="{546839DF-3266-4550-9A2C-3204409CD6F0}"/>
    <hyperlink ref="P142" r:id="rId61" xr:uid="{13C5CC89-AC6C-4171-8351-6C20CD4CA632}"/>
    <hyperlink ref="P143" r:id="rId62" xr:uid="{7DBE1C8F-BD66-4A97-A205-8EF6E9341D20}"/>
    <hyperlink ref="P144" r:id="rId63" xr:uid="{655490B3-E944-4C59-BEE8-6F51FFEE82F7}"/>
    <hyperlink ref="P145" r:id="rId64" xr:uid="{2B7F64BB-0300-4849-B38C-E907AA4C8D14}"/>
    <hyperlink ref="P146" r:id="rId65" xr:uid="{BB5AA3BA-8D28-4E54-BB3D-37C147BBB526}"/>
    <hyperlink ref="P147" r:id="rId66" xr:uid="{0AE75631-89D7-4B16-8C26-7F0E77931E37}"/>
    <hyperlink ref="P148" r:id="rId67" xr:uid="{DFF1FACC-0B91-41CD-88A4-6C01880CEF73}"/>
    <hyperlink ref="P149" r:id="rId68" xr:uid="{A8BF05D3-4F9B-4E23-88D3-C44D1A89C2A8}"/>
    <hyperlink ref="P185" r:id="rId69" xr:uid="{54F1184E-6364-4F5A-9A30-19BF39771267}"/>
    <hyperlink ref="P186" r:id="rId70" xr:uid="{6A667E67-8BA2-46E1-80B5-BDC3FF2BE38E}"/>
    <hyperlink ref="P187" r:id="rId71" xr:uid="{02FC820D-96F8-42C3-BDBA-0E478D493DD9}"/>
    <hyperlink ref="P188" r:id="rId72" xr:uid="{DE13F9A1-A6D6-4E38-A62E-9D2D976265A2}"/>
    <hyperlink ref="P189" r:id="rId73" xr:uid="{70545EF1-6B0B-4198-9B7B-954EC3163895}"/>
    <hyperlink ref="P190" r:id="rId74" xr:uid="{515E211C-C434-4B79-84A7-115CC349F728}"/>
    <hyperlink ref="P191" r:id="rId75" xr:uid="{1BC6317C-8915-4558-91C3-BE84619692BF}"/>
    <hyperlink ref="P192" r:id="rId76" xr:uid="{4C44721C-473E-434A-B0A9-B2C8FC369912}"/>
    <hyperlink ref="P193" r:id="rId77" xr:uid="{56A418C4-72F8-4534-BE85-042D0F6F39D5}"/>
    <hyperlink ref="P194" r:id="rId78" xr:uid="{356EA183-0D5A-4FB1-B847-11EFF051ABC8}"/>
    <hyperlink ref="P195" r:id="rId79" xr:uid="{6431D91C-5777-4A79-8D4C-75AEBE68A525}"/>
    <hyperlink ref="P196" r:id="rId80" xr:uid="{419D01AB-E63D-4FED-8BB1-E3F8114D4AE3}"/>
    <hyperlink ref="P204" r:id="rId81" xr:uid="{E6010D10-91A5-4350-8BD9-638BE22CC5E2}"/>
    <hyperlink ref="P205" r:id="rId82" xr:uid="{CF3FFE4F-69DE-4CCF-9545-77544031FB85}"/>
    <hyperlink ref="P217" r:id="rId83" xr:uid="{3A478886-71AB-41EE-8E1A-0139866C1F00}"/>
    <hyperlink ref="P218" r:id="rId84" xr:uid="{82A42938-1139-4C32-BE88-D92E2D527747}"/>
    <hyperlink ref="P219" r:id="rId85" xr:uid="{198EECFA-7660-4696-A858-8173C900E84D}"/>
    <hyperlink ref="P224" r:id="rId86" xr:uid="{19473B1E-4DD5-4D35-96CD-33AC3EEFB422}"/>
    <hyperlink ref="P229" r:id="rId87" xr:uid="{94885055-6B5C-4B72-8EAB-24365048D349}"/>
    <hyperlink ref="P230" r:id="rId88" xr:uid="{79784254-4901-41C2-87D9-365D0B208DD9}"/>
    <hyperlink ref="P231" r:id="rId89" xr:uid="{A5543C9C-E9B4-41B3-B43A-E6CA5B972492}"/>
    <hyperlink ref="P232" r:id="rId90" xr:uid="{895E8DEE-E0D1-4EEE-AF78-CAA92659EDF8}"/>
    <hyperlink ref="P233" r:id="rId91" xr:uid="{D4A40D61-6A99-41F0-8EB3-565083719C84}"/>
    <hyperlink ref="P234" r:id="rId92" xr:uid="{77A4E558-BA5C-4628-A1E0-3D3DD53713B1}"/>
    <hyperlink ref="P235" r:id="rId93" xr:uid="{4A3788B5-F6D7-45DA-8F3C-77A2ADDE7113}"/>
    <hyperlink ref="P236" r:id="rId94" xr:uid="{79135819-5476-446F-ACFC-627C9DD6932C}"/>
    <hyperlink ref="P237" r:id="rId95" xr:uid="{2097E2AA-B80D-4693-A867-CF38BFE6477E}"/>
    <hyperlink ref="P238" r:id="rId96" xr:uid="{7DF0B4AB-5EE9-4C9F-8A4B-0A13A43CD511}"/>
    <hyperlink ref="P239" r:id="rId97" xr:uid="{8CB136FD-6DA5-4E59-A4B7-9ADA01C81E30}"/>
    <hyperlink ref="P240" r:id="rId98" xr:uid="{6D88D99E-2F8D-4F04-BBFF-D3E12C820F2B}"/>
    <hyperlink ref="P241" r:id="rId99" xr:uid="{886BCE6C-F5B9-4DCC-B087-C77541B7DF90}"/>
    <hyperlink ref="P242" r:id="rId100" xr:uid="{E23D6646-FA34-47F6-B9CA-7786CCEAF2C5}"/>
    <hyperlink ref="P243" r:id="rId101" xr:uid="{68B58EE3-DCDD-401B-9561-BDD7375B450F}"/>
    <hyperlink ref="P245" r:id="rId102" xr:uid="{38DEC7BB-A6AD-4ABE-AF1F-F9B410DB393B}"/>
    <hyperlink ref="P246" r:id="rId103" xr:uid="{16487153-3001-42D8-8CA7-A6D647D01286}"/>
    <hyperlink ref="P247" r:id="rId104" xr:uid="{0113BF09-0490-4ECF-A906-172861C6F708}"/>
    <hyperlink ref="P248" r:id="rId105" xr:uid="{8C5E2B74-6969-4FFE-868F-CC9574A89A8D}"/>
    <hyperlink ref="P249" r:id="rId106" xr:uid="{B9FD668C-464A-405A-A1F3-82B75967DEBA}"/>
    <hyperlink ref="P250" r:id="rId107" xr:uid="{BB14042E-A139-43B3-925E-B1E90DD1A3C7}"/>
    <hyperlink ref="P256" r:id="rId108" xr:uid="{12B00C4F-EE42-4FDC-9457-07DA853F3226}"/>
    <hyperlink ref="P271" r:id="rId109" xr:uid="{8A7F6EBB-B3BD-476E-A921-454F2140F7C4}"/>
    <hyperlink ref="P272" r:id="rId110" xr:uid="{0EA97BDF-D553-45A1-B794-3D8985EC12A4}"/>
    <hyperlink ref="P273" r:id="rId111" xr:uid="{B82F8D9E-604A-49A8-9E33-C1511116F445}"/>
    <hyperlink ref="P274" r:id="rId112" xr:uid="{65228004-A5AA-414F-BFAB-F4D61A0569C4}"/>
    <hyperlink ref="P275" r:id="rId113" xr:uid="{7ABC7FA1-1CFA-44CA-9FD3-D534A3D05CD2}"/>
    <hyperlink ref="P276" r:id="rId114" xr:uid="{843F4E80-5FE4-470F-9BEF-DE40DE7DEF97}"/>
    <hyperlink ref="P277" r:id="rId115" xr:uid="{FC3A2F8E-045F-414E-A256-7B5AA8FC865A}"/>
    <hyperlink ref="P278" r:id="rId116" xr:uid="{CA5ABE34-90C1-47E6-9E44-BAE0710B8733}"/>
    <hyperlink ref="P279" r:id="rId117" xr:uid="{69E12DB9-2951-4601-A5BB-71C10F14D3BC}"/>
  </hyperlinks>
  <pageMargins left="0.19685039370078741" right="0" top="0.19685039370078741" bottom="0.19685039370078741" header="0" footer="0"/>
  <pageSetup paperSize="9" scale="60" orientation="landscape" blackAndWhite="1" r:id="rId118"/>
  <legacyDrawing r:id="rId119"/>
  <tableParts count="1">
    <tablePart r:id="rId1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7846-3B73-42F7-B189-B1990A75434D}">
  <sheetPr>
    <pageSetUpPr fitToPage="1"/>
  </sheetPr>
  <dimension ref="A1:AC71"/>
  <sheetViews>
    <sheetView showGridLines="0" topLeftCell="G1" workbookViewId="0">
      <pane xSplit="10" ySplit="4" topLeftCell="X14" activePane="bottomRight" state="frozen"/>
      <selection activeCell="G1" sqref="G1"/>
      <selection pane="topRight" activeCell="Q1" sqref="Q1"/>
      <selection pane="bottomLeft" activeCell="G5" sqref="G5"/>
      <selection pane="bottomRight" activeCell="L25" sqref="L25"/>
    </sheetView>
  </sheetViews>
  <sheetFormatPr baseColWidth="10" defaultColWidth="11.453125" defaultRowHeight="14.5" x14ac:dyDescent="0.35"/>
  <cols>
    <col min="1" max="1" width="47.453125" hidden="1" customWidth="1"/>
    <col min="2" max="2" width="18.453125" style="55" hidden="1" customWidth="1"/>
    <col min="3" max="5" width="10.54296875" hidden="1" customWidth="1"/>
    <col min="6" max="6" width="12.54296875" hidden="1" customWidth="1"/>
    <col min="7" max="7" width="39.90625" bestFit="1" customWidth="1"/>
    <col min="8" max="8" width="14.36328125" style="55" bestFit="1" customWidth="1"/>
    <col min="9" max="9" width="9.90625" style="55" bestFit="1" customWidth="1"/>
    <col min="10" max="11" width="10.90625" bestFit="1" customWidth="1"/>
    <col min="12" max="12" width="9.90625" bestFit="1" customWidth="1"/>
    <col min="13" max="13" width="11.7265625" bestFit="1" customWidth="1"/>
    <col min="14" max="14" width="1.26953125" customWidth="1"/>
    <col min="15" max="17" width="1.453125" customWidth="1"/>
    <col min="18" max="18" width="3.26953125" customWidth="1"/>
    <col min="19" max="21" width="1.453125" customWidth="1"/>
    <col min="22" max="22" width="4.81640625" bestFit="1" customWidth="1"/>
    <col min="23" max="23" width="39.90625" bestFit="1" customWidth="1"/>
    <col min="24" max="24" width="11.6328125" bestFit="1" customWidth="1"/>
    <col min="25" max="25" width="6.36328125" bestFit="1" customWidth="1"/>
    <col min="26" max="26" width="6.453125" bestFit="1" customWidth="1"/>
    <col min="27" max="28" width="6.36328125" bestFit="1" customWidth="1"/>
    <col min="29" max="29" width="11.7265625" bestFit="1" customWidth="1"/>
    <col min="30" max="33" width="6.453125" bestFit="1" customWidth="1"/>
    <col min="34" max="34" width="11.7265625" bestFit="1" customWidth="1"/>
    <col min="35" max="41" width="4.81640625" bestFit="1" customWidth="1"/>
    <col min="42" max="42" width="3.81640625" bestFit="1" customWidth="1"/>
    <col min="43" max="47" width="4.81640625" bestFit="1" customWidth="1"/>
    <col min="48" max="48" width="3.81640625" bestFit="1" customWidth="1"/>
    <col min="49" max="53" width="4.81640625" bestFit="1" customWidth="1"/>
    <col min="54" max="54" width="1.81640625" bestFit="1" customWidth="1"/>
    <col min="55" max="63" width="4.81640625" bestFit="1" customWidth="1"/>
    <col min="64" max="64" width="3.81640625" bestFit="1" customWidth="1"/>
    <col min="65" max="72" width="4.81640625" bestFit="1" customWidth="1"/>
    <col min="73" max="73" width="3.81640625" bestFit="1" customWidth="1"/>
    <col min="74" max="75" width="4.81640625" bestFit="1" customWidth="1"/>
    <col min="76" max="77" width="3.81640625" bestFit="1" customWidth="1"/>
    <col min="78" max="78" width="6.453125" bestFit="1" customWidth="1"/>
    <col min="79" max="79" width="10" bestFit="1" customWidth="1"/>
  </cols>
  <sheetData>
    <row r="1" spans="1:29" x14ac:dyDescent="0.35">
      <c r="A1" s="43" t="s">
        <v>2</v>
      </c>
      <c r="B1" s="55" t="s">
        <v>158</v>
      </c>
      <c r="G1" s="227" t="s">
        <v>2</v>
      </c>
      <c r="H1" s="55" t="s">
        <v>158</v>
      </c>
      <c r="J1" s="226">
        <f ca="1">TODAY()</f>
        <v>46296</v>
      </c>
      <c r="W1" s="43" t="s">
        <v>2</v>
      </c>
      <c r="X1" s="55" t="s">
        <v>158</v>
      </c>
      <c r="Y1" s="55"/>
    </row>
    <row r="2" spans="1:29" ht="9" customHeight="1" x14ac:dyDescent="0.35">
      <c r="X2" s="55"/>
      <c r="Y2" s="55"/>
    </row>
    <row r="3" spans="1:29" x14ac:dyDescent="0.35">
      <c r="A3" s="52" t="s">
        <v>209</v>
      </c>
      <c r="B3" s="52" t="s">
        <v>208</v>
      </c>
      <c r="G3" s="52" t="s">
        <v>483</v>
      </c>
      <c r="H3" s="155" t="s">
        <v>486</v>
      </c>
      <c r="J3" s="55"/>
      <c r="K3" s="55"/>
      <c r="L3" s="55"/>
      <c r="M3" s="55"/>
      <c r="W3" s="52" t="s">
        <v>208</v>
      </c>
      <c r="X3" s="155" t="s">
        <v>404</v>
      </c>
      <c r="Y3" s="55"/>
      <c r="Z3" s="55"/>
      <c r="AA3" s="55"/>
      <c r="AB3" s="55"/>
      <c r="AC3" s="55"/>
    </row>
    <row r="4" spans="1:29" x14ac:dyDescent="0.35">
      <c r="A4" s="4" t="s">
        <v>149</v>
      </c>
      <c r="B4" s="23"/>
      <c r="G4" s="52" t="s">
        <v>335</v>
      </c>
      <c r="H4" s="164">
        <v>46174</v>
      </c>
      <c r="I4" s="164">
        <v>46204</v>
      </c>
      <c r="J4" s="164">
        <v>46235</v>
      </c>
      <c r="K4" s="164" t="s">
        <v>1287</v>
      </c>
      <c r="L4" s="164" t="s">
        <v>1315</v>
      </c>
      <c r="M4" s="164" t="s">
        <v>156</v>
      </c>
      <c r="W4" s="52" t="s">
        <v>336</v>
      </c>
      <c r="X4" s="164">
        <v>46174</v>
      </c>
      <c r="Y4" s="164">
        <v>46204</v>
      </c>
      <c r="Z4" s="164">
        <v>46235</v>
      </c>
      <c r="AA4" s="164" t="s">
        <v>1287</v>
      </c>
      <c r="AB4" s="164" t="s">
        <v>1315</v>
      </c>
      <c r="AC4" s="164" t="s">
        <v>156</v>
      </c>
    </row>
    <row r="5" spans="1:29" x14ac:dyDescent="0.35">
      <c r="A5" s="4" t="s">
        <v>77</v>
      </c>
      <c r="B5" s="23"/>
      <c r="G5" s="4" t="s">
        <v>161</v>
      </c>
      <c r="H5" s="165"/>
      <c r="I5" s="165"/>
      <c r="J5" s="165"/>
      <c r="K5" s="165">
        <v>3890</v>
      </c>
      <c r="L5" s="165"/>
      <c r="M5" s="138">
        <v>3890</v>
      </c>
      <c r="W5" s="4" t="s">
        <v>161</v>
      </c>
      <c r="X5" s="250"/>
      <c r="Y5" s="250"/>
      <c r="Z5" s="250"/>
      <c r="AA5" s="250">
        <v>1000</v>
      </c>
      <c r="AB5" s="250"/>
      <c r="AC5" s="23">
        <v>1000</v>
      </c>
    </row>
    <row r="6" spans="1:29" x14ac:dyDescent="0.35">
      <c r="A6" s="4" t="s">
        <v>12</v>
      </c>
      <c r="B6" s="23"/>
      <c r="G6" s="4" t="s">
        <v>48</v>
      </c>
      <c r="H6" s="165">
        <v>21910</v>
      </c>
      <c r="I6" s="165"/>
      <c r="J6" s="165"/>
      <c r="K6" s="165">
        <v>8750</v>
      </c>
      <c r="L6" s="165"/>
      <c r="M6" s="138">
        <v>30660</v>
      </c>
      <c r="W6" s="4" t="s">
        <v>48</v>
      </c>
      <c r="X6" s="250">
        <v>9000</v>
      </c>
      <c r="Y6" s="250"/>
      <c r="Z6" s="250"/>
      <c r="AA6" s="250">
        <v>5000</v>
      </c>
      <c r="AB6" s="250"/>
      <c r="AC6" s="23">
        <v>14000</v>
      </c>
    </row>
    <row r="7" spans="1:29" x14ac:dyDescent="0.35">
      <c r="A7" s="4" t="s">
        <v>161</v>
      </c>
      <c r="B7" s="23">
        <v>8000</v>
      </c>
      <c r="G7" s="4" t="s">
        <v>69</v>
      </c>
      <c r="H7" s="165">
        <v>11400</v>
      </c>
      <c r="I7" s="165">
        <v>9800</v>
      </c>
      <c r="J7" s="165">
        <v>2095</v>
      </c>
      <c r="K7" s="165">
        <v>9660</v>
      </c>
      <c r="L7" s="165">
        <v>2560</v>
      </c>
      <c r="M7" s="138">
        <v>35515</v>
      </c>
      <c r="W7" s="4" t="s">
        <v>69</v>
      </c>
      <c r="X7" s="250">
        <v>3500</v>
      </c>
      <c r="Y7" s="250">
        <v>2500</v>
      </c>
      <c r="Z7" s="250">
        <v>500</v>
      </c>
      <c r="AA7" s="250">
        <v>2500</v>
      </c>
      <c r="AB7" s="250">
        <v>1000</v>
      </c>
      <c r="AC7" s="23">
        <v>10000</v>
      </c>
    </row>
    <row r="8" spans="1:29" x14ac:dyDescent="0.35">
      <c r="A8" s="4" t="s">
        <v>48</v>
      </c>
      <c r="B8" s="23">
        <v>22000</v>
      </c>
      <c r="G8" s="4" t="s">
        <v>180</v>
      </c>
      <c r="H8" s="165">
        <v>15065</v>
      </c>
      <c r="I8" s="165"/>
      <c r="J8" s="165"/>
      <c r="K8" s="165"/>
      <c r="L8" s="165"/>
      <c r="M8" s="138">
        <v>15065</v>
      </c>
      <c r="W8" s="4" t="s">
        <v>180</v>
      </c>
      <c r="X8" s="250">
        <v>2500</v>
      </c>
      <c r="Y8" s="250"/>
      <c r="Z8" s="250"/>
      <c r="AA8" s="250"/>
      <c r="AB8" s="250"/>
      <c r="AC8" s="23">
        <v>2500</v>
      </c>
    </row>
    <row r="9" spans="1:29" x14ac:dyDescent="0.35">
      <c r="A9" s="4" t="s">
        <v>69</v>
      </c>
      <c r="B9" s="23">
        <v>19100</v>
      </c>
      <c r="G9" s="4" t="s">
        <v>179</v>
      </c>
      <c r="H9" s="165"/>
      <c r="I9" s="165">
        <v>6866</v>
      </c>
      <c r="J9" s="165"/>
      <c r="K9" s="165"/>
      <c r="L9" s="165"/>
      <c r="M9" s="138">
        <v>6866</v>
      </c>
      <c r="W9" s="4" t="s">
        <v>179</v>
      </c>
      <c r="X9" s="250"/>
      <c r="Y9" s="250">
        <v>3650</v>
      </c>
      <c r="Z9" s="250"/>
      <c r="AA9" s="250"/>
      <c r="AB9" s="250"/>
      <c r="AC9" s="23">
        <v>3650</v>
      </c>
    </row>
    <row r="10" spans="1:29" x14ac:dyDescent="0.35">
      <c r="A10" s="4" t="s">
        <v>93</v>
      </c>
      <c r="B10" s="23"/>
      <c r="G10" s="4" t="s">
        <v>272</v>
      </c>
      <c r="H10" s="165"/>
      <c r="I10" s="165"/>
      <c r="J10" s="165"/>
      <c r="K10" s="165">
        <v>19243</v>
      </c>
      <c r="L10" s="165"/>
      <c r="M10" s="138">
        <v>19243</v>
      </c>
      <c r="W10" s="4" t="s">
        <v>272</v>
      </c>
      <c r="X10" s="250"/>
      <c r="Y10" s="250"/>
      <c r="Z10" s="250"/>
      <c r="AA10" s="250">
        <v>10400</v>
      </c>
      <c r="AB10" s="250"/>
      <c r="AC10" s="23">
        <v>10400</v>
      </c>
    </row>
    <row r="11" spans="1:29" x14ac:dyDescent="0.35">
      <c r="A11" s="4" t="s">
        <v>20</v>
      </c>
      <c r="B11" s="23"/>
      <c r="G11" s="4" t="s">
        <v>405</v>
      </c>
      <c r="H11" s="165"/>
      <c r="I11" s="165">
        <v>6270</v>
      </c>
      <c r="J11" s="165">
        <v>6500</v>
      </c>
      <c r="K11" s="165"/>
      <c r="L11" s="165"/>
      <c r="M11" s="138">
        <v>12770</v>
      </c>
      <c r="W11" s="4" t="s">
        <v>405</v>
      </c>
      <c r="X11" s="250"/>
      <c r="Y11" s="250">
        <v>3500</v>
      </c>
      <c r="Z11" s="250">
        <v>5000</v>
      </c>
      <c r="AA11" s="250"/>
      <c r="AB11" s="250"/>
      <c r="AC11" s="23">
        <v>8500</v>
      </c>
    </row>
    <row r="12" spans="1:29" x14ac:dyDescent="0.35">
      <c r="A12" s="4" t="s">
        <v>29</v>
      </c>
      <c r="B12" s="23"/>
      <c r="G12" s="4" t="s">
        <v>498</v>
      </c>
      <c r="H12" s="165"/>
      <c r="I12" s="165">
        <v>32250</v>
      </c>
      <c r="J12" s="165">
        <v>6155</v>
      </c>
      <c r="K12" s="165"/>
      <c r="L12" s="165"/>
      <c r="M12" s="138">
        <v>38405</v>
      </c>
      <c r="W12" s="4" t="s">
        <v>498</v>
      </c>
      <c r="X12" s="250"/>
      <c r="Y12" s="250">
        <v>18500</v>
      </c>
      <c r="Z12" s="250">
        <v>3500</v>
      </c>
      <c r="AA12" s="250"/>
      <c r="AB12" s="250"/>
      <c r="AC12" s="23">
        <v>22000</v>
      </c>
    </row>
    <row r="13" spans="1:29" x14ac:dyDescent="0.35">
      <c r="A13" s="4" t="s">
        <v>41</v>
      </c>
      <c r="B13" s="23"/>
      <c r="G13" s="4" t="s">
        <v>610</v>
      </c>
      <c r="H13" s="165">
        <v>9960</v>
      </c>
      <c r="I13" s="165"/>
      <c r="J13" s="165"/>
      <c r="K13" s="165"/>
      <c r="L13" s="165"/>
      <c r="M13" s="138">
        <v>9960</v>
      </c>
      <c r="W13" s="4" t="s">
        <v>610</v>
      </c>
      <c r="X13" s="250">
        <v>2000</v>
      </c>
      <c r="Y13" s="250"/>
      <c r="Z13" s="250"/>
      <c r="AA13" s="250"/>
      <c r="AB13" s="250"/>
      <c r="AC13" s="23">
        <v>2000</v>
      </c>
    </row>
    <row r="14" spans="1:29" x14ac:dyDescent="0.35">
      <c r="A14" s="4" t="s">
        <v>180</v>
      </c>
      <c r="B14" s="23">
        <v>9300</v>
      </c>
      <c r="G14" s="4" t="s">
        <v>686</v>
      </c>
      <c r="H14" s="165"/>
      <c r="I14" s="165"/>
      <c r="J14" s="165"/>
      <c r="K14" s="165"/>
      <c r="L14" s="165">
        <v>6750</v>
      </c>
      <c r="M14" s="138">
        <v>6750</v>
      </c>
      <c r="W14" s="4" t="s">
        <v>686</v>
      </c>
      <c r="X14" s="250"/>
      <c r="Y14" s="250"/>
      <c r="Z14" s="250"/>
      <c r="AA14" s="250"/>
      <c r="AB14" s="250">
        <v>3000</v>
      </c>
      <c r="AC14" s="23">
        <v>3000</v>
      </c>
    </row>
    <row r="15" spans="1:29" x14ac:dyDescent="0.35">
      <c r="A15" s="4" t="s">
        <v>179</v>
      </c>
      <c r="B15" s="23">
        <v>7750</v>
      </c>
      <c r="G15" s="4" t="s">
        <v>739</v>
      </c>
      <c r="H15" s="165"/>
      <c r="I15" s="165"/>
      <c r="J15" s="165"/>
      <c r="K15" s="165">
        <v>43810</v>
      </c>
      <c r="L15" s="165">
        <v>40170</v>
      </c>
      <c r="M15" s="138">
        <v>83980</v>
      </c>
      <c r="W15" s="4" t="s">
        <v>739</v>
      </c>
      <c r="X15" s="250"/>
      <c r="Y15" s="250"/>
      <c r="Z15" s="250"/>
      <c r="AA15" s="250">
        <v>23000</v>
      </c>
      <c r="AB15" s="250">
        <v>21000</v>
      </c>
      <c r="AC15" s="23">
        <v>44000</v>
      </c>
    </row>
    <row r="16" spans="1:29" x14ac:dyDescent="0.35">
      <c r="A16" s="4" t="s">
        <v>172</v>
      </c>
      <c r="B16" s="23"/>
      <c r="G16" s="4" t="s">
        <v>762</v>
      </c>
      <c r="H16" s="165">
        <v>2808</v>
      </c>
      <c r="I16" s="165">
        <v>3534</v>
      </c>
      <c r="J16" s="165">
        <v>88496</v>
      </c>
      <c r="K16" s="165"/>
      <c r="L16" s="165"/>
      <c r="M16" s="138">
        <v>94838</v>
      </c>
      <c r="W16" s="4" t="s">
        <v>762</v>
      </c>
      <c r="X16" s="250">
        <v>600</v>
      </c>
      <c r="Y16" s="250">
        <v>600</v>
      </c>
      <c r="Z16" s="250">
        <v>26600</v>
      </c>
      <c r="AA16" s="250"/>
      <c r="AB16" s="250"/>
      <c r="AC16" s="23">
        <v>27800</v>
      </c>
    </row>
    <row r="17" spans="1:29" x14ac:dyDescent="0.35">
      <c r="A17" s="4" t="s">
        <v>212</v>
      </c>
      <c r="B17" s="23">
        <v>12000</v>
      </c>
      <c r="G17" s="4" t="s">
        <v>955</v>
      </c>
      <c r="H17" s="165"/>
      <c r="I17" s="165">
        <v>17790</v>
      </c>
      <c r="J17" s="165">
        <v>29850</v>
      </c>
      <c r="K17" s="165"/>
      <c r="L17" s="165"/>
      <c r="M17" s="138">
        <v>47640</v>
      </c>
      <c r="W17" s="4" t="s">
        <v>955</v>
      </c>
      <c r="X17" s="250"/>
      <c r="Y17" s="250">
        <v>6000</v>
      </c>
      <c r="Z17" s="250">
        <v>12000</v>
      </c>
      <c r="AA17" s="250"/>
      <c r="AB17" s="250"/>
      <c r="AC17" s="23">
        <v>18000</v>
      </c>
    </row>
    <row r="18" spans="1:29" x14ac:dyDescent="0.35">
      <c r="A18" s="4" t="s">
        <v>272</v>
      </c>
      <c r="B18" s="23">
        <v>22500</v>
      </c>
      <c r="G18" s="4" t="s">
        <v>1062</v>
      </c>
      <c r="H18" s="165"/>
      <c r="I18" s="165">
        <v>13005</v>
      </c>
      <c r="J18" s="165"/>
      <c r="K18" s="165"/>
      <c r="L18" s="165"/>
      <c r="M18" s="138">
        <v>13005</v>
      </c>
      <c r="W18" s="4" t="s">
        <v>1062</v>
      </c>
      <c r="X18" s="250"/>
      <c r="Y18" s="250">
        <v>4000</v>
      </c>
      <c r="Z18" s="250"/>
      <c r="AA18" s="250"/>
      <c r="AB18" s="250"/>
      <c r="AC18" s="23">
        <v>4000</v>
      </c>
    </row>
    <row r="19" spans="1:29" x14ac:dyDescent="0.35">
      <c r="A19" s="4" t="s">
        <v>294</v>
      </c>
      <c r="B19" s="23">
        <v>3500</v>
      </c>
      <c r="G19" s="4" t="s">
        <v>989</v>
      </c>
      <c r="H19" s="165"/>
      <c r="I19" s="165">
        <v>819</v>
      </c>
      <c r="J19" s="165"/>
      <c r="K19" s="165"/>
      <c r="L19" s="165"/>
      <c r="M19" s="138">
        <v>819</v>
      </c>
      <c r="W19" s="4" t="s">
        <v>989</v>
      </c>
      <c r="X19" s="250"/>
      <c r="Y19" s="250">
        <v>150</v>
      </c>
      <c r="Z19" s="250"/>
      <c r="AA19" s="250"/>
      <c r="AB19" s="250"/>
      <c r="AC19" s="23">
        <v>150</v>
      </c>
    </row>
    <row r="20" spans="1:29" x14ac:dyDescent="0.35">
      <c r="A20" s="4" t="s">
        <v>331</v>
      </c>
      <c r="B20" s="23"/>
      <c r="G20" s="4" t="s">
        <v>1154</v>
      </c>
      <c r="H20" s="165"/>
      <c r="I20" s="165"/>
      <c r="J20" s="165">
        <v>3460</v>
      </c>
      <c r="K20" s="165"/>
      <c r="L20" s="165"/>
      <c r="M20" s="138">
        <v>3460</v>
      </c>
      <c r="W20" s="4" t="s">
        <v>1154</v>
      </c>
      <c r="X20" s="250"/>
      <c r="Y20" s="250"/>
      <c r="Z20" s="250">
        <v>1300</v>
      </c>
      <c r="AA20" s="250"/>
      <c r="AB20" s="250"/>
      <c r="AC20" s="23">
        <v>1300</v>
      </c>
    </row>
    <row r="21" spans="1:29" x14ac:dyDescent="0.35">
      <c r="A21" s="4" t="s">
        <v>385</v>
      </c>
      <c r="B21" s="23"/>
      <c r="G21" s="4" t="s">
        <v>1191</v>
      </c>
      <c r="H21" s="165"/>
      <c r="I21" s="165"/>
      <c r="J21" s="165">
        <v>90260</v>
      </c>
      <c r="K21" s="165">
        <v>3190</v>
      </c>
      <c r="L21" s="165"/>
      <c r="M21" s="138">
        <v>93450</v>
      </c>
      <c r="W21" s="4" t="s">
        <v>1191</v>
      </c>
      <c r="X21" s="250"/>
      <c r="Y21" s="250"/>
      <c r="Z21" s="250">
        <v>29000</v>
      </c>
      <c r="AA21" s="250">
        <v>1000</v>
      </c>
      <c r="AB21" s="250"/>
      <c r="AC21" s="23">
        <v>30000</v>
      </c>
    </row>
    <row r="22" spans="1:29" x14ac:dyDescent="0.35">
      <c r="A22" s="4" t="s">
        <v>405</v>
      </c>
      <c r="B22" s="23">
        <v>18500</v>
      </c>
      <c r="G22" s="4" t="s">
        <v>1209</v>
      </c>
      <c r="H22" s="165"/>
      <c r="I22" s="165"/>
      <c r="J22" s="165">
        <v>10500</v>
      </c>
      <c r="K22" s="165"/>
      <c r="L22" s="165"/>
      <c r="M22" s="138">
        <v>10500</v>
      </c>
      <c r="W22" s="4" t="s">
        <v>1209</v>
      </c>
      <c r="X22" s="250"/>
      <c r="Y22" s="250"/>
      <c r="Z22" s="250">
        <v>6000</v>
      </c>
      <c r="AA22" s="250"/>
      <c r="AB22" s="250"/>
      <c r="AC22" s="23">
        <v>6000</v>
      </c>
    </row>
    <row r="23" spans="1:29" x14ac:dyDescent="0.35">
      <c r="A23" s="4" t="s">
        <v>424</v>
      </c>
      <c r="B23" s="23"/>
      <c r="G23" s="4" t="s">
        <v>1296</v>
      </c>
      <c r="H23" s="165"/>
      <c r="I23" s="165"/>
      <c r="J23" s="165"/>
      <c r="K23" s="165">
        <v>2400</v>
      </c>
      <c r="L23" s="165">
        <v>9600</v>
      </c>
      <c r="M23" s="138">
        <v>12000</v>
      </c>
      <c r="W23" s="4" t="s">
        <v>1296</v>
      </c>
      <c r="X23" s="250"/>
      <c r="Y23" s="250"/>
      <c r="Z23" s="250"/>
      <c r="AA23" s="250">
        <v>1000</v>
      </c>
      <c r="AB23" s="250">
        <v>4000</v>
      </c>
      <c r="AC23" s="23">
        <v>5000</v>
      </c>
    </row>
    <row r="24" spans="1:29" x14ac:dyDescent="0.35">
      <c r="A24" s="4" t="s">
        <v>470</v>
      </c>
      <c r="B24" s="23"/>
      <c r="G24" s="4" t="s">
        <v>1331</v>
      </c>
      <c r="H24" s="165"/>
      <c r="I24" s="165"/>
      <c r="J24" s="165"/>
      <c r="K24" s="165">
        <v>28425</v>
      </c>
      <c r="L24" s="165"/>
      <c r="M24" s="138">
        <v>28425</v>
      </c>
      <c r="W24" s="4" t="s">
        <v>1331</v>
      </c>
      <c r="X24" s="250"/>
      <c r="Y24" s="250"/>
      <c r="Z24" s="250"/>
      <c r="AA24" s="250">
        <v>15500</v>
      </c>
      <c r="AB24" s="250"/>
      <c r="AC24" s="23">
        <v>15500</v>
      </c>
    </row>
    <row r="25" spans="1:29" x14ac:dyDescent="0.35">
      <c r="A25" s="4" t="s">
        <v>498</v>
      </c>
      <c r="B25" s="23">
        <v>22000</v>
      </c>
      <c r="G25" s="4" t="s">
        <v>156</v>
      </c>
      <c r="H25" s="165">
        <v>61143</v>
      </c>
      <c r="I25" s="165">
        <v>90334</v>
      </c>
      <c r="J25" s="165">
        <v>237316</v>
      </c>
      <c r="K25" s="165">
        <v>119368</v>
      </c>
      <c r="L25" s="165">
        <v>59080</v>
      </c>
      <c r="M25" s="138">
        <v>567241</v>
      </c>
      <c r="W25" s="4" t="s">
        <v>156</v>
      </c>
      <c r="X25" s="250">
        <v>17600</v>
      </c>
      <c r="Y25" s="250">
        <v>38900</v>
      </c>
      <c r="Z25" s="250">
        <v>83900</v>
      </c>
      <c r="AA25" s="250">
        <v>59400</v>
      </c>
      <c r="AB25" s="250">
        <v>29000</v>
      </c>
      <c r="AC25" s="23">
        <v>228800</v>
      </c>
    </row>
    <row r="26" spans="1:29" x14ac:dyDescent="0.35">
      <c r="A26" s="4" t="s">
        <v>596</v>
      </c>
      <c r="B26" s="23"/>
      <c r="H26"/>
      <c r="I26"/>
    </row>
    <row r="27" spans="1:29" ht="2.5" customHeight="1" x14ac:dyDescent="0.35">
      <c r="A27" s="4" t="s">
        <v>610</v>
      </c>
      <c r="B27" s="23">
        <v>7900</v>
      </c>
      <c r="H27"/>
      <c r="I27"/>
    </row>
    <row r="28" spans="1:29" ht="2.5" customHeight="1" x14ac:dyDescent="0.35">
      <c r="A28" s="4" t="s">
        <v>657</v>
      </c>
      <c r="B28" s="23">
        <v>12000</v>
      </c>
      <c r="H28"/>
      <c r="I28"/>
    </row>
    <row r="29" spans="1:29" ht="2.5" customHeight="1" x14ac:dyDescent="0.35">
      <c r="A29" s="4" t="s">
        <v>686</v>
      </c>
      <c r="B29" s="23">
        <v>6121</v>
      </c>
      <c r="H29"/>
      <c r="I29"/>
    </row>
    <row r="30" spans="1:29" ht="2.5" customHeight="1" x14ac:dyDescent="0.35">
      <c r="A30" s="4" t="s">
        <v>739</v>
      </c>
      <c r="B30" s="23">
        <v>71000</v>
      </c>
      <c r="H30"/>
      <c r="I30"/>
    </row>
    <row r="31" spans="1:29" ht="2.5" customHeight="1" x14ac:dyDescent="0.35">
      <c r="A31" s="4" t="s">
        <v>762</v>
      </c>
      <c r="B31" s="23">
        <v>52000</v>
      </c>
      <c r="H31"/>
      <c r="I31"/>
    </row>
    <row r="32" spans="1:29" ht="2.5" customHeight="1" x14ac:dyDescent="0.35">
      <c r="A32" s="4" t="s">
        <v>837</v>
      </c>
      <c r="B32" s="23">
        <v>4500</v>
      </c>
      <c r="H32"/>
      <c r="I32"/>
    </row>
    <row r="33" spans="1:9" ht="2.5" customHeight="1" x14ac:dyDescent="0.35">
      <c r="A33" s="4" t="s">
        <v>955</v>
      </c>
      <c r="B33" s="23">
        <v>18000</v>
      </c>
      <c r="H33"/>
      <c r="I33"/>
    </row>
    <row r="34" spans="1:9" ht="2.5" customHeight="1" x14ac:dyDescent="0.35">
      <c r="A34" s="4" t="s">
        <v>996</v>
      </c>
      <c r="B34" s="23">
        <v>44000</v>
      </c>
      <c r="H34"/>
      <c r="I34"/>
    </row>
    <row r="35" spans="1:9" ht="3.65" customHeight="1" x14ac:dyDescent="0.35">
      <c r="A35" s="4" t="s">
        <v>1062</v>
      </c>
      <c r="B35" s="23">
        <v>4000</v>
      </c>
      <c r="H35"/>
      <c r="I35"/>
    </row>
    <row r="36" spans="1:9" ht="2.5" customHeight="1" x14ac:dyDescent="0.35">
      <c r="A36" s="4" t="s">
        <v>989</v>
      </c>
      <c r="B36" s="23">
        <v>150</v>
      </c>
      <c r="H36"/>
      <c r="I36"/>
    </row>
    <row r="37" spans="1:9" hidden="1" x14ac:dyDescent="0.35">
      <c r="A37" s="4" t="s">
        <v>1154</v>
      </c>
      <c r="B37" s="23">
        <v>1300</v>
      </c>
      <c r="H37"/>
      <c r="I37"/>
    </row>
    <row r="38" spans="1:9" hidden="1" x14ac:dyDescent="0.35">
      <c r="A38" s="4" t="s">
        <v>1191</v>
      </c>
      <c r="B38" s="23">
        <v>30000</v>
      </c>
      <c r="H38"/>
      <c r="I38"/>
    </row>
    <row r="39" spans="1:9" hidden="1" x14ac:dyDescent="0.35">
      <c r="A39" s="4" t="s">
        <v>1209</v>
      </c>
      <c r="B39" s="23">
        <v>6000</v>
      </c>
      <c r="H39"/>
      <c r="I39"/>
    </row>
    <row r="40" spans="1:9" hidden="1" x14ac:dyDescent="0.35">
      <c r="A40" s="4" t="s">
        <v>1296</v>
      </c>
      <c r="B40" s="23">
        <v>5000</v>
      </c>
      <c r="H40"/>
      <c r="I40"/>
    </row>
    <row r="41" spans="1:9" hidden="1" x14ac:dyDescent="0.35">
      <c r="A41" s="4" t="s">
        <v>1331</v>
      </c>
      <c r="B41" s="23">
        <v>15500</v>
      </c>
      <c r="I41"/>
    </row>
    <row r="42" spans="1:9" hidden="1" x14ac:dyDescent="0.35">
      <c r="A42" s="4" t="s">
        <v>1413</v>
      </c>
      <c r="B42" s="23">
        <v>3000</v>
      </c>
      <c r="I42"/>
    </row>
    <row r="43" spans="1:9" hidden="1" x14ac:dyDescent="0.35">
      <c r="A43" s="4" t="s">
        <v>156</v>
      </c>
      <c r="B43" s="23">
        <v>425121</v>
      </c>
      <c r="I43"/>
    </row>
    <row r="44" spans="1:9" hidden="1" x14ac:dyDescent="0.35">
      <c r="B44"/>
      <c r="I44"/>
    </row>
    <row r="45" spans="1:9" hidden="1" x14ac:dyDescent="0.35">
      <c r="B45"/>
      <c r="I45"/>
    </row>
    <row r="46" spans="1:9" hidden="1" x14ac:dyDescent="0.35">
      <c r="B46"/>
      <c r="I46"/>
    </row>
    <row r="47" spans="1:9" hidden="1" x14ac:dyDescent="0.35">
      <c r="B47"/>
      <c r="I47"/>
    </row>
    <row r="48" spans="1:9" ht="13.5" customHeight="1" x14ac:dyDescent="0.35">
      <c r="B48"/>
      <c r="I48"/>
    </row>
    <row r="49" spans="7:9" ht="13.5" customHeight="1" x14ac:dyDescent="0.35">
      <c r="G49" s="1" t="s">
        <v>1250</v>
      </c>
      <c r="I49"/>
    </row>
    <row r="50" spans="7:9" x14ac:dyDescent="0.35">
      <c r="G50" s="227" t="s">
        <v>2</v>
      </c>
      <c r="H50" t="s">
        <v>158</v>
      </c>
      <c r="I50"/>
    </row>
    <row r="51" spans="7:9" x14ac:dyDescent="0.35">
      <c r="G51" s="227" t="s">
        <v>1012</v>
      </c>
      <c r="H51" t="s">
        <v>1017</v>
      </c>
      <c r="I51"/>
    </row>
    <row r="52" spans="7:9" x14ac:dyDescent="0.35">
      <c r="H52"/>
      <c r="I52"/>
    </row>
    <row r="53" spans="7:9" x14ac:dyDescent="0.35">
      <c r="G53" s="52" t="s">
        <v>1011</v>
      </c>
      <c r="H53" t="s">
        <v>1016</v>
      </c>
      <c r="I53"/>
    </row>
    <row r="54" spans="7:9" x14ac:dyDescent="0.35">
      <c r="G54" s="184" t="s">
        <v>180</v>
      </c>
      <c r="H54" s="228">
        <v>5.5528571428571425</v>
      </c>
      <c r="I54"/>
    </row>
    <row r="55" spans="7:9" x14ac:dyDescent="0.35">
      <c r="G55" s="230" t="s">
        <v>610</v>
      </c>
      <c r="H55" s="228">
        <v>4.9800000000000004</v>
      </c>
      <c r="I55"/>
    </row>
    <row r="56" spans="7:9" x14ac:dyDescent="0.35">
      <c r="G56" s="230" t="s">
        <v>837</v>
      </c>
      <c r="H56" s="228">
        <v>4.0166666666666666</v>
      </c>
      <c r="I56"/>
    </row>
    <row r="57" spans="7:9" x14ac:dyDescent="0.35">
      <c r="G57" s="230" t="s">
        <v>48</v>
      </c>
      <c r="H57" s="228">
        <v>3.7233333333333332</v>
      </c>
      <c r="I57"/>
    </row>
    <row r="58" spans="7:9" x14ac:dyDescent="0.35">
      <c r="G58" s="230" t="s">
        <v>762</v>
      </c>
      <c r="H58" s="228">
        <v>3.5742857142857143</v>
      </c>
      <c r="I58"/>
    </row>
    <row r="59" spans="7:9" x14ac:dyDescent="0.35">
      <c r="G59" s="230" t="s">
        <v>69</v>
      </c>
      <c r="H59" s="228">
        <v>3.4699999999999993</v>
      </c>
      <c r="I59"/>
    </row>
    <row r="60" spans="7:9" x14ac:dyDescent="0.35">
      <c r="G60" s="184" t="s">
        <v>955</v>
      </c>
      <c r="H60" s="228">
        <v>2.3975</v>
      </c>
      <c r="I60"/>
    </row>
    <row r="61" spans="7:9" x14ac:dyDescent="0.35">
      <c r="G61" s="184" t="s">
        <v>294</v>
      </c>
      <c r="H61" s="228">
        <v>2.3860000000000001</v>
      </c>
      <c r="I61"/>
    </row>
    <row r="62" spans="7:9" x14ac:dyDescent="0.35">
      <c r="G62" s="184" t="s">
        <v>161</v>
      </c>
      <c r="H62" s="228">
        <v>2.3659999999999997</v>
      </c>
      <c r="I62"/>
    </row>
    <row r="63" spans="7:9" x14ac:dyDescent="0.35">
      <c r="G63" s="184" t="s">
        <v>179</v>
      </c>
      <c r="H63" s="228">
        <v>2.2033333333333331</v>
      </c>
      <c r="I63"/>
    </row>
    <row r="64" spans="7:9" x14ac:dyDescent="0.35">
      <c r="G64" s="4" t="s">
        <v>212</v>
      </c>
      <c r="H64" s="228">
        <v>1.9337499999999999</v>
      </c>
      <c r="I64"/>
    </row>
    <row r="65" spans="7:8" x14ac:dyDescent="0.35">
      <c r="G65" s="4" t="s">
        <v>739</v>
      </c>
      <c r="H65" s="228">
        <v>1.9233333333333331</v>
      </c>
    </row>
    <row r="66" spans="7:8" x14ac:dyDescent="0.35">
      <c r="G66" s="4" t="s">
        <v>272</v>
      </c>
      <c r="H66" s="228">
        <v>1.8599999999999997</v>
      </c>
    </row>
    <row r="67" spans="7:8" x14ac:dyDescent="0.35">
      <c r="G67" s="4" t="s">
        <v>657</v>
      </c>
      <c r="H67" s="228">
        <v>1.83</v>
      </c>
    </row>
    <row r="68" spans="7:8" x14ac:dyDescent="0.35">
      <c r="G68" s="4" t="s">
        <v>405</v>
      </c>
      <c r="H68" s="228">
        <v>1.7649999999999999</v>
      </c>
    </row>
    <row r="69" spans="7:8" x14ac:dyDescent="0.35">
      <c r="G69" s="4" t="s">
        <v>996</v>
      </c>
      <c r="H69" s="228">
        <v>1.54</v>
      </c>
    </row>
    <row r="70" spans="7:8" x14ac:dyDescent="0.35">
      <c r="G70" s="4" t="s">
        <v>686</v>
      </c>
      <c r="H70" s="228">
        <v>1.5</v>
      </c>
    </row>
    <row r="71" spans="7:8" x14ac:dyDescent="0.35">
      <c r="G71" s="4" t="s">
        <v>156</v>
      </c>
      <c r="H71" s="229">
        <v>2.5748181818181815</v>
      </c>
    </row>
  </sheetData>
  <pageMargins left="0.70866141732283472" right="0.70866141732283472" top="0.74803149606299213" bottom="0.74803149606299213" header="0.31496062992125984" footer="0.31496062992125984"/>
  <pageSetup paperSize="9" scale="61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4D25-D6AD-4D90-8E33-5054DE964E67}">
  <dimension ref="A1:F68"/>
  <sheetViews>
    <sheetView showGridLines="0"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A69" sqref="A69"/>
    </sheetView>
  </sheetViews>
  <sheetFormatPr baseColWidth="10" defaultColWidth="9.453125" defaultRowHeight="14.5" x14ac:dyDescent="0.35"/>
  <cols>
    <col min="1" max="1" width="11.81640625" customWidth="1"/>
    <col min="2" max="2" width="34.453125" bestFit="1" customWidth="1"/>
    <col min="3" max="3" width="16.54296875" style="55" customWidth="1"/>
    <col min="4" max="4" width="9.54296875" customWidth="1"/>
    <col min="5" max="5" width="91.81640625" customWidth="1"/>
  </cols>
  <sheetData>
    <row r="1" spans="1:5" x14ac:dyDescent="0.35">
      <c r="A1" s="1" t="s">
        <v>649</v>
      </c>
      <c r="D1" s="536">
        <f ca="1">NOW()</f>
        <v>46296.603949305558</v>
      </c>
      <c r="E1" s="536"/>
    </row>
    <row r="2" spans="1:5" ht="6.75" customHeight="1" x14ac:dyDescent="0.35"/>
    <row r="3" spans="1:5" ht="26.5" customHeight="1" x14ac:dyDescent="0.35">
      <c r="A3" s="42" t="s">
        <v>124</v>
      </c>
      <c r="B3" s="42" t="s">
        <v>1</v>
      </c>
      <c r="C3" s="42" t="s">
        <v>643</v>
      </c>
      <c r="D3" s="218" t="s">
        <v>976</v>
      </c>
      <c r="E3" s="42" t="s">
        <v>125</v>
      </c>
    </row>
    <row r="4" spans="1:5" x14ac:dyDescent="0.35">
      <c r="A4" s="56" t="s">
        <v>650</v>
      </c>
      <c r="B4" t="s">
        <v>180</v>
      </c>
      <c r="C4" s="170">
        <v>46010</v>
      </c>
      <c r="D4" t="s">
        <v>123</v>
      </c>
      <c r="E4" s="56" t="s">
        <v>644</v>
      </c>
    </row>
    <row r="5" spans="1:5" x14ac:dyDescent="0.35">
      <c r="A5" s="56" t="s">
        <v>656</v>
      </c>
      <c r="B5" t="s">
        <v>657</v>
      </c>
      <c r="C5" s="261">
        <v>46031</v>
      </c>
      <c r="D5" t="s">
        <v>123</v>
      </c>
      <c r="E5" s="56" t="s">
        <v>658</v>
      </c>
    </row>
    <row r="6" spans="1:5" x14ac:dyDescent="0.35">
      <c r="A6" s="56" t="s">
        <v>660</v>
      </c>
      <c r="B6" t="s">
        <v>180</v>
      </c>
      <c r="C6" s="261">
        <v>46031</v>
      </c>
      <c r="D6" t="s">
        <v>123</v>
      </c>
      <c r="E6" s="56" t="s">
        <v>644</v>
      </c>
    </row>
    <row r="7" spans="1:5" x14ac:dyDescent="0.35">
      <c r="A7" s="56" t="s">
        <v>661</v>
      </c>
      <c r="B7" s="1" t="s">
        <v>662</v>
      </c>
      <c r="C7" s="261">
        <v>46038</v>
      </c>
      <c r="D7" t="s">
        <v>123</v>
      </c>
      <c r="E7" s="56" t="s">
        <v>664</v>
      </c>
    </row>
    <row r="8" spans="1:5" x14ac:dyDescent="0.35">
      <c r="A8" s="56" t="s">
        <v>663</v>
      </c>
      <c r="B8" t="s">
        <v>180</v>
      </c>
      <c r="C8" s="261">
        <v>46038</v>
      </c>
      <c r="D8" t="s">
        <v>123</v>
      </c>
      <c r="E8" s="76" t="s">
        <v>667</v>
      </c>
    </row>
    <row r="9" spans="1:5" x14ac:dyDescent="0.35">
      <c r="A9" s="56" t="s">
        <v>668</v>
      </c>
      <c r="B9" t="s">
        <v>669</v>
      </c>
      <c r="C9" s="261">
        <v>46048</v>
      </c>
      <c r="D9" t="s">
        <v>123</v>
      </c>
      <c r="E9" s="56" t="s">
        <v>675</v>
      </c>
    </row>
    <row r="10" spans="1:5" x14ac:dyDescent="0.35">
      <c r="A10" t="s">
        <v>670</v>
      </c>
      <c r="B10" t="s">
        <v>662</v>
      </c>
      <c r="C10" s="261">
        <v>46052</v>
      </c>
      <c r="D10" t="s">
        <v>123</v>
      </c>
      <c r="E10" s="56" t="s">
        <v>682</v>
      </c>
    </row>
    <row r="11" spans="1:5" x14ac:dyDescent="0.35">
      <c r="A11" t="s">
        <v>678</v>
      </c>
      <c r="B11" t="s">
        <v>684</v>
      </c>
      <c r="C11" s="261">
        <v>46063</v>
      </c>
      <c r="D11" t="s">
        <v>123</v>
      </c>
      <c r="E11" s="56" t="s">
        <v>685</v>
      </c>
    </row>
    <row r="12" spans="1:5" x14ac:dyDescent="0.35">
      <c r="A12" t="s">
        <v>683</v>
      </c>
      <c r="B12" t="s">
        <v>180</v>
      </c>
      <c r="C12" s="261">
        <v>46072</v>
      </c>
      <c r="D12" t="s">
        <v>123</v>
      </c>
      <c r="E12" s="56" t="s">
        <v>710</v>
      </c>
    </row>
    <row r="13" spans="1:5" x14ac:dyDescent="0.35">
      <c r="A13" t="s">
        <v>704</v>
      </c>
      <c r="B13" t="s">
        <v>711</v>
      </c>
      <c r="C13" s="261">
        <v>46077</v>
      </c>
      <c r="D13" t="s">
        <v>123</v>
      </c>
      <c r="E13" s="56" t="s">
        <v>715</v>
      </c>
    </row>
    <row r="14" spans="1:5" x14ac:dyDescent="0.35">
      <c r="A14" t="s">
        <v>712</v>
      </c>
      <c r="B14" t="s">
        <v>662</v>
      </c>
      <c r="C14" s="261">
        <v>46084</v>
      </c>
      <c r="D14" t="s">
        <v>123</v>
      </c>
      <c r="E14" s="56" t="s">
        <v>722</v>
      </c>
    </row>
    <row r="15" spans="1:5" x14ac:dyDescent="0.35">
      <c r="A15" t="s">
        <v>721</v>
      </c>
      <c r="B15" t="s">
        <v>179</v>
      </c>
      <c r="C15" s="261">
        <v>46087</v>
      </c>
      <c r="D15" t="s">
        <v>123</v>
      </c>
      <c r="E15" s="56" t="s">
        <v>726</v>
      </c>
    </row>
    <row r="16" spans="1:5" x14ac:dyDescent="0.35">
      <c r="A16" t="s">
        <v>723</v>
      </c>
      <c r="B16" t="s">
        <v>739</v>
      </c>
      <c r="C16" s="261">
        <v>46091</v>
      </c>
      <c r="D16" t="s">
        <v>123</v>
      </c>
      <c r="E16" s="56" t="s">
        <v>740</v>
      </c>
    </row>
    <row r="17" spans="1:5" x14ac:dyDescent="0.35">
      <c r="A17" s="56" t="s">
        <v>897</v>
      </c>
      <c r="B17" s="56" t="s">
        <v>746</v>
      </c>
      <c r="C17" s="262">
        <v>46091</v>
      </c>
      <c r="D17" s="56" t="s">
        <v>123</v>
      </c>
      <c r="E17" s="56" t="s">
        <v>896</v>
      </c>
    </row>
    <row r="18" spans="1:5" x14ac:dyDescent="0.35">
      <c r="A18" t="s">
        <v>747</v>
      </c>
      <c r="B18" t="s">
        <v>748</v>
      </c>
      <c r="C18" s="261">
        <v>46094</v>
      </c>
      <c r="D18" s="64" t="s">
        <v>123</v>
      </c>
      <c r="E18" s="56" t="s">
        <v>751</v>
      </c>
    </row>
    <row r="19" spans="1:5" x14ac:dyDescent="0.35">
      <c r="A19" t="s">
        <v>749</v>
      </c>
      <c r="B19" t="s">
        <v>662</v>
      </c>
      <c r="C19" s="261">
        <v>46099</v>
      </c>
      <c r="D19" s="64" t="s">
        <v>123</v>
      </c>
      <c r="E19" s="56" t="s">
        <v>757</v>
      </c>
    </row>
    <row r="20" spans="1:5" x14ac:dyDescent="0.35">
      <c r="A20" t="s">
        <v>755</v>
      </c>
      <c r="B20" t="s">
        <v>662</v>
      </c>
      <c r="C20" s="261">
        <v>46099</v>
      </c>
      <c r="D20" s="64" t="s">
        <v>123</v>
      </c>
      <c r="E20" s="56" t="s">
        <v>756</v>
      </c>
    </row>
    <row r="21" spans="1:5" x14ac:dyDescent="0.35">
      <c r="A21" s="56" t="s">
        <v>760</v>
      </c>
      <c r="B21" t="s">
        <v>762</v>
      </c>
      <c r="C21" s="261">
        <v>46100</v>
      </c>
      <c r="D21" t="s">
        <v>123</v>
      </c>
      <c r="E21" s="56" t="s">
        <v>790</v>
      </c>
    </row>
    <row r="22" spans="1:5" x14ac:dyDescent="0.35">
      <c r="A22" s="56" t="s">
        <v>763</v>
      </c>
      <c r="B22" t="s">
        <v>748</v>
      </c>
      <c r="C22" s="261">
        <v>46100</v>
      </c>
      <c r="D22" t="s">
        <v>123</v>
      </c>
      <c r="E22" s="56" t="s">
        <v>797</v>
      </c>
    </row>
    <row r="23" spans="1:5" x14ac:dyDescent="0.35">
      <c r="A23" s="190" t="s">
        <v>779</v>
      </c>
      <c r="B23" s="190" t="s">
        <v>212</v>
      </c>
      <c r="C23" s="263">
        <v>46101</v>
      </c>
      <c r="D23" s="190" t="s">
        <v>123</v>
      </c>
      <c r="E23" s="190" t="s">
        <v>884</v>
      </c>
    </row>
    <row r="24" spans="1:5" x14ac:dyDescent="0.35">
      <c r="A24" s="56" t="s">
        <v>780</v>
      </c>
      <c r="B24" t="s">
        <v>294</v>
      </c>
      <c r="C24" s="261">
        <v>46101</v>
      </c>
      <c r="D24" t="s">
        <v>123</v>
      </c>
      <c r="E24" s="56" t="s">
        <v>813</v>
      </c>
    </row>
    <row r="25" spans="1:5" x14ac:dyDescent="0.35">
      <c r="A25" t="s">
        <v>781</v>
      </c>
      <c r="B25" t="s">
        <v>837</v>
      </c>
      <c r="C25" s="261">
        <v>46108</v>
      </c>
      <c r="D25" t="s">
        <v>123</v>
      </c>
      <c r="E25" s="56" t="s">
        <v>843</v>
      </c>
    </row>
    <row r="26" spans="1:5" x14ac:dyDescent="0.35">
      <c r="A26" s="56" t="s">
        <v>841</v>
      </c>
      <c r="B26" t="s">
        <v>711</v>
      </c>
      <c r="C26" s="261">
        <v>46136</v>
      </c>
      <c r="D26" t="s">
        <v>123</v>
      </c>
      <c r="E26" s="56" t="s">
        <v>945</v>
      </c>
    </row>
    <row r="27" spans="1:5" x14ac:dyDescent="0.35">
      <c r="A27" s="158" t="s">
        <v>928</v>
      </c>
      <c r="B27" s="1" t="s">
        <v>955</v>
      </c>
      <c r="C27" s="261">
        <v>46154</v>
      </c>
      <c r="D27" t="s">
        <v>123</v>
      </c>
      <c r="E27" s="56" t="s">
        <v>981</v>
      </c>
    </row>
    <row r="28" spans="1:5" x14ac:dyDescent="0.35">
      <c r="A28" t="s">
        <v>956</v>
      </c>
      <c r="B28" s="1" t="s">
        <v>964</v>
      </c>
      <c r="C28" s="261">
        <v>46156</v>
      </c>
      <c r="D28" t="s">
        <v>123</v>
      </c>
      <c r="E28" t="s">
        <v>971</v>
      </c>
    </row>
    <row r="29" spans="1:5" x14ac:dyDescent="0.35">
      <c r="A29" s="56" t="s">
        <v>965</v>
      </c>
      <c r="B29" s="1" t="s">
        <v>669</v>
      </c>
      <c r="C29" s="261">
        <v>46156</v>
      </c>
      <c r="D29" t="s">
        <v>123</v>
      </c>
      <c r="E29" s="56" t="s">
        <v>986</v>
      </c>
    </row>
    <row r="30" spans="1:5" x14ac:dyDescent="0.35">
      <c r="A30" s="35" t="s">
        <v>975</v>
      </c>
      <c r="B30" s="35" t="s">
        <v>989</v>
      </c>
      <c r="C30" s="264">
        <v>46157</v>
      </c>
      <c r="D30" s="35" t="s">
        <v>123</v>
      </c>
      <c r="E30" s="35" t="s">
        <v>1003</v>
      </c>
    </row>
    <row r="31" spans="1:5" x14ac:dyDescent="0.35">
      <c r="A31" s="334" t="s">
        <v>982</v>
      </c>
      <c r="B31" s="304" t="s">
        <v>983</v>
      </c>
      <c r="C31" s="305">
        <v>46161</v>
      </c>
      <c r="D31" s="304" t="s">
        <v>123</v>
      </c>
      <c r="E31" s="304" t="s">
        <v>1344</v>
      </c>
    </row>
    <row r="32" spans="1:5" x14ac:dyDescent="0.35">
      <c r="A32" t="s">
        <v>988</v>
      </c>
      <c r="B32" t="s">
        <v>669</v>
      </c>
      <c r="C32" s="261">
        <v>46167</v>
      </c>
      <c r="D32" t="s">
        <v>123</v>
      </c>
      <c r="E32" s="158" t="s">
        <v>1047</v>
      </c>
    </row>
    <row r="33" spans="1:6" x14ac:dyDescent="0.35">
      <c r="A33" t="s">
        <v>1004</v>
      </c>
      <c r="B33" t="s">
        <v>180</v>
      </c>
      <c r="C33" s="261">
        <v>46178</v>
      </c>
      <c r="D33" t="s">
        <v>123</v>
      </c>
      <c r="E33" s="56" t="s">
        <v>1018</v>
      </c>
    </row>
    <row r="34" spans="1:6" x14ac:dyDescent="0.35">
      <c r="A34" s="52" t="s">
        <v>1009</v>
      </c>
      <c r="B34" s="52" t="s">
        <v>1014</v>
      </c>
      <c r="C34" s="265">
        <v>46178</v>
      </c>
      <c r="D34" s="52" t="s">
        <v>123</v>
      </c>
      <c r="E34" s="194" t="s">
        <v>1067</v>
      </c>
    </row>
    <row r="35" spans="1:6" x14ac:dyDescent="0.35">
      <c r="A35" t="s">
        <v>1026</v>
      </c>
      <c r="B35" t="s">
        <v>762</v>
      </c>
      <c r="C35" s="261">
        <v>46184</v>
      </c>
      <c r="D35" t="s">
        <v>123</v>
      </c>
      <c r="E35" s="56" t="s">
        <v>1052</v>
      </c>
    </row>
    <row r="36" spans="1:6" x14ac:dyDescent="0.35">
      <c r="A36" t="s">
        <v>1028</v>
      </c>
      <c r="B36" t="s">
        <v>662</v>
      </c>
      <c r="C36" s="261">
        <v>46184</v>
      </c>
      <c r="D36" t="s">
        <v>123</v>
      </c>
      <c r="E36" s="56" t="s">
        <v>154</v>
      </c>
    </row>
    <row r="37" spans="1:6" x14ac:dyDescent="0.35">
      <c r="A37" t="s">
        <v>1031</v>
      </c>
      <c r="B37" t="s">
        <v>179</v>
      </c>
      <c r="C37" s="261">
        <v>46185</v>
      </c>
      <c r="D37" t="s">
        <v>123</v>
      </c>
      <c r="E37" s="56" t="s">
        <v>1036</v>
      </c>
    </row>
    <row r="38" spans="1:6" x14ac:dyDescent="0.35">
      <c r="A38" t="s">
        <v>1043</v>
      </c>
      <c r="B38" t="s">
        <v>762</v>
      </c>
      <c r="C38" s="261">
        <v>46196</v>
      </c>
      <c r="D38" t="s">
        <v>123</v>
      </c>
      <c r="E38" s="56" t="s">
        <v>1053</v>
      </c>
    </row>
    <row r="39" spans="1:6" x14ac:dyDescent="0.35">
      <c r="A39" t="s">
        <v>1057</v>
      </c>
      <c r="B39" t="s">
        <v>662</v>
      </c>
      <c r="C39" s="261">
        <v>46197</v>
      </c>
      <c r="D39" t="s">
        <v>123</v>
      </c>
      <c r="E39" s="56" t="s">
        <v>1066</v>
      </c>
    </row>
    <row r="40" spans="1:6" x14ac:dyDescent="0.35">
      <c r="A40" t="s">
        <v>1059</v>
      </c>
      <c r="B40" t="s">
        <v>711</v>
      </c>
      <c r="C40" s="261">
        <v>46198</v>
      </c>
      <c r="D40" t="s">
        <v>123</v>
      </c>
      <c r="E40" s="56" t="s">
        <v>1068</v>
      </c>
    </row>
    <row r="41" spans="1:6" x14ac:dyDescent="0.35">
      <c r="A41" s="56" t="s">
        <v>1064</v>
      </c>
      <c r="B41" s="56" t="s">
        <v>1065</v>
      </c>
      <c r="C41" s="262">
        <v>46202</v>
      </c>
      <c r="D41" s="56" t="s">
        <v>123</v>
      </c>
      <c r="E41" s="56" t="s">
        <v>1146</v>
      </c>
      <c r="F41" s="56"/>
    </row>
    <row r="42" spans="1:6" x14ac:dyDescent="0.35">
      <c r="A42" t="s">
        <v>1077</v>
      </c>
      <c r="B42" t="s">
        <v>711</v>
      </c>
      <c r="C42" s="261">
        <v>46204</v>
      </c>
      <c r="D42" t="s">
        <v>123</v>
      </c>
      <c r="E42" s="56" t="s">
        <v>1148</v>
      </c>
    </row>
    <row r="43" spans="1:6" x14ac:dyDescent="0.35">
      <c r="A43" s="1" t="s">
        <v>1129</v>
      </c>
      <c r="B43" t="s">
        <v>1147</v>
      </c>
      <c r="C43" s="261">
        <v>46209</v>
      </c>
      <c r="D43" t="s">
        <v>123</v>
      </c>
      <c r="E43" s="56" t="s">
        <v>1164</v>
      </c>
    </row>
    <row r="44" spans="1:6" x14ac:dyDescent="0.35">
      <c r="A44" s="158" t="s">
        <v>1151</v>
      </c>
      <c r="B44" t="s">
        <v>1149</v>
      </c>
      <c r="C44" s="261">
        <v>46210</v>
      </c>
      <c r="D44" t="s">
        <v>123</v>
      </c>
      <c r="E44" s="56" t="s">
        <v>1226</v>
      </c>
    </row>
    <row r="45" spans="1:6" x14ac:dyDescent="0.35">
      <c r="A45" s="258" t="s">
        <v>1152</v>
      </c>
      <c r="B45" s="257" t="s">
        <v>1149</v>
      </c>
      <c r="C45" s="266">
        <v>46210</v>
      </c>
      <c r="D45" s="260" t="s">
        <v>672</v>
      </c>
      <c r="E45" s="258" t="s">
        <v>1150</v>
      </c>
    </row>
    <row r="46" spans="1:6" x14ac:dyDescent="0.35">
      <c r="A46" s="1" t="s">
        <v>1155</v>
      </c>
      <c r="B46" t="s">
        <v>1219</v>
      </c>
      <c r="C46" s="261">
        <v>46213</v>
      </c>
      <c r="D46" t="s">
        <v>123</v>
      </c>
      <c r="E46" s="56" t="s">
        <v>1220</v>
      </c>
    </row>
    <row r="47" spans="1:6" x14ac:dyDescent="0.35">
      <c r="A47" s="311" t="s">
        <v>1163</v>
      </c>
      <c r="B47" s="304" t="s">
        <v>657</v>
      </c>
      <c r="C47" s="305">
        <v>46216</v>
      </c>
      <c r="D47" s="306" t="s">
        <v>672</v>
      </c>
      <c r="E47" s="304" t="s">
        <v>1206</v>
      </c>
    </row>
    <row r="48" spans="1:6" x14ac:dyDescent="0.35">
      <c r="A48" t="s">
        <v>1168</v>
      </c>
      <c r="B48" t="s">
        <v>762</v>
      </c>
      <c r="C48" s="261">
        <v>46220</v>
      </c>
      <c r="D48" t="s">
        <v>123</v>
      </c>
      <c r="E48" s="56" t="s">
        <v>1223</v>
      </c>
    </row>
    <row r="49" spans="1:5" x14ac:dyDescent="0.35">
      <c r="A49" t="s">
        <v>1225</v>
      </c>
      <c r="B49" t="s">
        <v>762</v>
      </c>
      <c r="C49" s="261">
        <v>46224</v>
      </c>
      <c r="D49" t="s">
        <v>123</v>
      </c>
      <c r="E49" s="56" t="s">
        <v>1237</v>
      </c>
    </row>
    <row r="50" spans="1:5" x14ac:dyDescent="0.35">
      <c r="A50" s="311" t="s">
        <v>1248</v>
      </c>
      <c r="B50" s="304" t="s">
        <v>294</v>
      </c>
      <c r="C50" s="305">
        <v>46230</v>
      </c>
      <c r="D50" s="35" t="s">
        <v>123</v>
      </c>
      <c r="E50" s="304" t="s">
        <v>1282</v>
      </c>
    </row>
    <row r="51" spans="1:5" x14ac:dyDescent="0.35">
      <c r="A51" t="s">
        <v>1269</v>
      </c>
      <c r="B51" t="s">
        <v>711</v>
      </c>
      <c r="C51" s="261">
        <v>46232</v>
      </c>
      <c r="D51" t="s">
        <v>123</v>
      </c>
      <c r="E51" s="56" t="s">
        <v>1271</v>
      </c>
    </row>
    <row r="52" spans="1:5" x14ac:dyDescent="0.35">
      <c r="A52" t="s">
        <v>1280</v>
      </c>
      <c r="B52" t="s">
        <v>669</v>
      </c>
      <c r="C52" s="261">
        <v>46244</v>
      </c>
      <c r="D52" t="s">
        <v>123</v>
      </c>
      <c r="E52" s="56" t="s">
        <v>1285</v>
      </c>
    </row>
    <row r="53" spans="1:5" x14ac:dyDescent="0.35">
      <c r="A53" t="s">
        <v>1291</v>
      </c>
      <c r="B53" s="60" t="s">
        <v>172</v>
      </c>
      <c r="C53" s="261">
        <v>46246</v>
      </c>
      <c r="D53" t="s">
        <v>123</v>
      </c>
      <c r="E53" s="56" t="s">
        <v>1293</v>
      </c>
    </row>
    <row r="54" spans="1:5" x14ac:dyDescent="0.35">
      <c r="A54" s="300" t="s">
        <v>1292</v>
      </c>
      <c r="B54" s="300" t="s">
        <v>662</v>
      </c>
      <c r="C54" s="301">
        <v>46253</v>
      </c>
      <c r="D54" s="300" t="s">
        <v>123</v>
      </c>
      <c r="E54" s="302" t="s">
        <v>1353</v>
      </c>
    </row>
    <row r="55" spans="1:5" x14ac:dyDescent="0.35">
      <c r="A55" t="s">
        <v>1301</v>
      </c>
      <c r="B55" t="s">
        <v>748</v>
      </c>
      <c r="C55" s="261">
        <v>46252</v>
      </c>
      <c r="D55" t="s">
        <v>123</v>
      </c>
      <c r="E55" s="56" t="s">
        <v>1352</v>
      </c>
    </row>
    <row r="56" spans="1:5" x14ac:dyDescent="0.35">
      <c r="A56" s="300" t="s">
        <v>1302</v>
      </c>
      <c r="B56" s="300" t="s">
        <v>662</v>
      </c>
      <c r="C56" s="301">
        <v>46253</v>
      </c>
      <c r="D56" s="300" t="s">
        <v>123</v>
      </c>
      <c r="E56" s="302" t="s">
        <v>1321</v>
      </c>
    </row>
    <row r="57" spans="1:5" x14ac:dyDescent="0.35">
      <c r="A57" t="s">
        <v>1304</v>
      </c>
      <c r="B57" s="298" t="s">
        <v>662</v>
      </c>
      <c r="C57" s="261">
        <v>46254</v>
      </c>
      <c r="D57" s="298" t="s">
        <v>123</v>
      </c>
      <c r="E57" s="56" t="s">
        <v>1306</v>
      </c>
    </row>
    <row r="58" spans="1:5" x14ac:dyDescent="0.35">
      <c r="A58" t="s">
        <v>1307</v>
      </c>
      <c r="B58" t="s">
        <v>1308</v>
      </c>
      <c r="C58" s="261">
        <v>46255</v>
      </c>
      <c r="D58" t="s">
        <v>123</v>
      </c>
      <c r="E58" s="56" t="s">
        <v>1356</v>
      </c>
    </row>
    <row r="59" spans="1:5" x14ac:dyDescent="0.35">
      <c r="A59" s="363" t="s">
        <v>1310</v>
      </c>
      <c r="B59" s="258" t="s">
        <v>746</v>
      </c>
      <c r="C59" s="266">
        <v>46268</v>
      </c>
      <c r="D59" s="257" t="s">
        <v>123</v>
      </c>
      <c r="E59" s="304" t="s">
        <v>1504</v>
      </c>
    </row>
    <row r="60" spans="1:5" x14ac:dyDescent="0.35">
      <c r="A60" s="194" t="s">
        <v>1345</v>
      </c>
      <c r="B60" s="359" t="s">
        <v>983</v>
      </c>
      <c r="C60" s="265">
        <v>46262</v>
      </c>
      <c r="D60" s="52" t="s">
        <v>123</v>
      </c>
      <c r="E60" s="35" t="s">
        <v>1506</v>
      </c>
    </row>
    <row r="61" spans="1:5" x14ac:dyDescent="0.35">
      <c r="A61" t="s">
        <v>1395</v>
      </c>
      <c r="B61" s="56" t="s">
        <v>746</v>
      </c>
      <c r="C61" s="261">
        <v>46269</v>
      </c>
      <c r="D61" t="s">
        <v>122</v>
      </c>
      <c r="E61" s="310" t="s">
        <v>1400</v>
      </c>
    </row>
    <row r="62" spans="1:5" x14ac:dyDescent="0.35">
      <c r="A62" s="52" t="s">
        <v>1386</v>
      </c>
      <c r="B62" t="s">
        <v>1412</v>
      </c>
      <c r="C62" s="261">
        <v>46269</v>
      </c>
      <c r="D62" t="s">
        <v>123</v>
      </c>
      <c r="E62" s="359" t="s">
        <v>1505</v>
      </c>
    </row>
    <row r="63" spans="1:5" x14ac:dyDescent="0.35">
      <c r="A63" s="99" t="s">
        <v>1401</v>
      </c>
      <c r="B63" t="s">
        <v>1412</v>
      </c>
      <c r="D63" s="56" t="s">
        <v>123</v>
      </c>
      <c r="E63" s="56" t="s">
        <v>1503</v>
      </c>
    </row>
    <row r="64" spans="1:5" x14ac:dyDescent="0.35">
      <c r="A64" t="s">
        <v>1403</v>
      </c>
      <c r="B64" t="s">
        <v>739</v>
      </c>
      <c r="D64" s="56" t="s">
        <v>123</v>
      </c>
      <c r="E64" s="56" t="s">
        <v>1503</v>
      </c>
    </row>
    <row r="65" spans="1:5" x14ac:dyDescent="0.35">
      <c r="A65" t="s">
        <v>1404</v>
      </c>
      <c r="B65" t="s">
        <v>739</v>
      </c>
      <c r="D65" s="56" t="s">
        <v>123</v>
      </c>
      <c r="E65" s="56" t="s">
        <v>1503</v>
      </c>
    </row>
    <row r="66" spans="1:5" x14ac:dyDescent="0.35">
      <c r="A66" t="s">
        <v>1411</v>
      </c>
      <c r="B66" t="s">
        <v>172</v>
      </c>
      <c r="C66" s="261">
        <v>46289</v>
      </c>
      <c r="D66" t="s">
        <v>123</v>
      </c>
      <c r="E66" s="56" t="s">
        <v>1509</v>
      </c>
    </row>
    <row r="67" spans="1:5" x14ac:dyDescent="0.35">
      <c r="A67" t="s">
        <v>1515</v>
      </c>
      <c r="B67" t="s">
        <v>1516</v>
      </c>
      <c r="C67" s="261">
        <v>46293</v>
      </c>
      <c r="D67" t="s">
        <v>123</v>
      </c>
      <c r="E67" s="56" t="s">
        <v>1519</v>
      </c>
    </row>
    <row r="68" spans="1:5" x14ac:dyDescent="0.35">
      <c r="A68" t="s">
        <v>1524</v>
      </c>
      <c r="E68" s="56"/>
    </row>
  </sheetData>
  <mergeCells count="1">
    <mergeCell ref="D1:E1"/>
  </mergeCells>
  <phoneticPr fontId="32" type="noConversion"/>
  <conditionalFormatting sqref="D1">
    <cfRule type="expression" dxfId="1" priority="1">
      <formula>D1=0</formula>
    </cfRule>
    <cfRule type="expression" dxfId="0" priority="2" stopIfTrue="1">
      <formula>D1=0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BE35-C8FE-42A3-86C6-E5F7A6EF5FED}">
  <dimension ref="A1:P25"/>
  <sheetViews>
    <sheetView showGridLines="0" workbookViewId="0">
      <selection activeCell="A18" sqref="A18"/>
    </sheetView>
  </sheetViews>
  <sheetFormatPr baseColWidth="10" defaultColWidth="11.453125" defaultRowHeight="14.5" x14ac:dyDescent="0.35"/>
  <cols>
    <col min="1" max="1" width="13.81640625" customWidth="1"/>
    <col min="3" max="3" width="52.36328125" bestFit="1" customWidth="1"/>
    <col min="6" max="6" width="11.26953125" bestFit="1" customWidth="1"/>
    <col min="9" max="9" width="5.54296875" customWidth="1"/>
    <col min="12" max="12" width="3" customWidth="1"/>
    <col min="13" max="13" width="13.26953125" customWidth="1"/>
    <col min="14" max="14" width="12.81640625" customWidth="1"/>
    <col min="15" max="15" width="3.7265625" customWidth="1"/>
    <col min="16" max="16" width="11.26953125" bestFit="1" customWidth="1"/>
  </cols>
  <sheetData>
    <row r="1" spans="1:16" x14ac:dyDescent="0.35">
      <c r="A1" s="177" t="s">
        <v>1371</v>
      </c>
    </row>
    <row r="2" spans="1:16" x14ac:dyDescent="0.35">
      <c r="A2" t="s">
        <v>1365</v>
      </c>
      <c r="E2" s="351">
        <v>10239.84</v>
      </c>
      <c r="F2" s="355"/>
    </row>
    <row r="3" spans="1:16" x14ac:dyDescent="0.35">
      <c r="A3" t="s">
        <v>1366</v>
      </c>
      <c r="B3" s="351">
        <v>80250</v>
      </c>
      <c r="D3" s="267">
        <f>E2/B3</f>
        <v>0.12759925233644859</v>
      </c>
      <c r="E3" s="351"/>
      <c r="F3" s="352"/>
    </row>
    <row r="4" spans="1:16" x14ac:dyDescent="0.35">
      <c r="A4" t="s">
        <v>1372</v>
      </c>
      <c r="D4" t="s">
        <v>1379</v>
      </c>
      <c r="E4" s="351"/>
      <c r="H4" s="537" t="s">
        <v>1368</v>
      </c>
      <c r="I4" s="537"/>
      <c r="J4" s="537"/>
    </row>
    <row r="5" spans="1:16" x14ac:dyDescent="0.35">
      <c r="B5" s="55" t="s">
        <v>1361</v>
      </c>
      <c r="C5" s="55"/>
      <c r="D5" s="55" t="s">
        <v>1362</v>
      </c>
      <c r="E5" s="55" t="s">
        <v>1363</v>
      </c>
      <c r="F5" s="55" t="s">
        <v>1364</v>
      </c>
      <c r="H5" s="55" t="s">
        <v>1367</v>
      </c>
      <c r="I5" s="55"/>
      <c r="J5" s="55" t="s">
        <v>1370</v>
      </c>
      <c r="K5" s="55" t="s">
        <v>1369</v>
      </c>
      <c r="M5" s="55" t="s">
        <v>1373</v>
      </c>
      <c r="N5" s="55" t="s">
        <v>1374</v>
      </c>
      <c r="P5" s="55" t="s">
        <v>1378</v>
      </c>
    </row>
    <row r="6" spans="1:16" x14ac:dyDescent="0.35">
      <c r="A6" t="s">
        <v>1172</v>
      </c>
      <c r="B6">
        <v>5.89</v>
      </c>
      <c r="D6" s="110">
        <v>5.1760000000000002</v>
      </c>
      <c r="E6" s="110">
        <f>B6-D6</f>
        <v>0.71399999999999952</v>
      </c>
      <c r="F6" s="353">
        <f>D6/B6</f>
        <v>0.87877758913412574</v>
      </c>
      <c r="H6" s="23">
        <v>3000</v>
      </c>
      <c r="J6">
        <v>441.93200000000002</v>
      </c>
      <c r="K6" s="23">
        <f>H6-J6</f>
        <v>2558.0680000000002</v>
      </c>
      <c r="M6" s="23">
        <f>H6*B6</f>
        <v>17670</v>
      </c>
      <c r="N6" s="23">
        <f>K6*D6</f>
        <v>13240.559968000001</v>
      </c>
      <c r="P6" s="351">
        <f>H6*D6</f>
        <v>15528</v>
      </c>
    </row>
    <row r="7" spans="1:16" x14ac:dyDescent="0.35">
      <c r="A7" t="s">
        <v>784</v>
      </c>
      <c r="B7">
        <v>6.8</v>
      </c>
      <c r="D7" s="110">
        <v>5.976</v>
      </c>
      <c r="E7" s="110">
        <f t="shared" ref="E7:E12" si="0">B7-D7</f>
        <v>0.82399999999999984</v>
      </c>
      <c r="F7" s="353">
        <f t="shared" ref="F7:F12" si="1">D7/B7</f>
        <v>0.87882352941176478</v>
      </c>
      <c r="H7" s="23">
        <v>2000</v>
      </c>
      <c r="J7">
        <v>0</v>
      </c>
      <c r="K7" s="23">
        <f t="shared" ref="K7:K12" si="2">H7-J7</f>
        <v>2000</v>
      </c>
      <c r="M7" s="23">
        <f t="shared" ref="M7:M12" si="3">H7*B7</f>
        <v>13600</v>
      </c>
      <c r="N7" s="23">
        <f t="shared" ref="N7:N12" si="4">K7*D7</f>
        <v>11952</v>
      </c>
      <c r="P7" s="351">
        <f t="shared" ref="P7:P12" si="5">H7*D7</f>
        <v>11952</v>
      </c>
    </row>
    <row r="8" spans="1:16" x14ac:dyDescent="0.35">
      <c r="A8" t="s">
        <v>785</v>
      </c>
      <c r="B8">
        <v>3.22</v>
      </c>
      <c r="D8" s="110">
        <v>2.83</v>
      </c>
      <c r="E8" s="110">
        <f t="shared" si="0"/>
        <v>0.39000000000000012</v>
      </c>
      <c r="F8" s="353">
        <f t="shared" si="1"/>
        <v>0.87888198757763969</v>
      </c>
      <c r="H8" s="23">
        <v>2000</v>
      </c>
      <c r="J8">
        <v>16</v>
      </c>
      <c r="K8" s="23">
        <f t="shared" si="2"/>
        <v>1984</v>
      </c>
      <c r="M8" s="23">
        <f t="shared" si="3"/>
        <v>6440</v>
      </c>
      <c r="N8" s="23">
        <f t="shared" si="4"/>
        <v>5614.72</v>
      </c>
      <c r="P8" s="351">
        <f t="shared" si="5"/>
        <v>5660</v>
      </c>
    </row>
    <row r="9" spans="1:16" x14ac:dyDescent="0.35">
      <c r="A9" t="s">
        <v>786</v>
      </c>
      <c r="B9">
        <v>3.34</v>
      </c>
      <c r="D9" s="110">
        <v>2.9350000000000001</v>
      </c>
      <c r="E9" s="110">
        <f t="shared" si="0"/>
        <v>0.4049999999999998</v>
      </c>
      <c r="F9" s="353">
        <f t="shared" si="1"/>
        <v>0.87874251497005995</v>
      </c>
      <c r="H9" s="23">
        <v>2000</v>
      </c>
      <c r="J9">
        <v>349</v>
      </c>
      <c r="K9" s="23">
        <f t="shared" si="2"/>
        <v>1651</v>
      </c>
      <c r="M9" s="23">
        <f t="shared" si="3"/>
        <v>6680</v>
      </c>
      <c r="N9" s="23">
        <f t="shared" si="4"/>
        <v>4845.6850000000004</v>
      </c>
      <c r="P9" s="351">
        <f t="shared" si="5"/>
        <v>5870</v>
      </c>
    </row>
    <row r="10" spans="1:16" x14ac:dyDescent="0.35">
      <c r="A10" t="s">
        <v>787</v>
      </c>
      <c r="B10">
        <v>3.05</v>
      </c>
      <c r="D10" s="110">
        <v>2.68</v>
      </c>
      <c r="E10" s="110">
        <f t="shared" si="0"/>
        <v>0.36999999999999966</v>
      </c>
      <c r="F10" s="353">
        <f t="shared" si="1"/>
        <v>0.878688524590164</v>
      </c>
      <c r="H10" s="23">
        <v>3200</v>
      </c>
      <c r="J10">
        <v>126</v>
      </c>
      <c r="K10" s="23">
        <f t="shared" si="2"/>
        <v>3074</v>
      </c>
      <c r="M10" s="23">
        <f t="shared" si="3"/>
        <v>9760</v>
      </c>
      <c r="N10" s="23">
        <f t="shared" si="4"/>
        <v>8238.32</v>
      </c>
      <c r="P10" s="351">
        <f t="shared" si="5"/>
        <v>8576</v>
      </c>
    </row>
    <row r="11" spans="1:16" x14ac:dyDescent="0.35">
      <c r="A11" t="s">
        <v>788</v>
      </c>
      <c r="B11">
        <v>1.78</v>
      </c>
      <c r="D11" s="110">
        <v>1.5640000000000001</v>
      </c>
      <c r="E11" s="110">
        <f t="shared" si="0"/>
        <v>0.21599999999999997</v>
      </c>
      <c r="F11" s="353">
        <f t="shared" si="1"/>
        <v>0.87865168539325844</v>
      </c>
      <c r="H11" s="23">
        <v>5000</v>
      </c>
      <c r="J11">
        <v>256</v>
      </c>
      <c r="K11" s="23">
        <f t="shared" si="2"/>
        <v>4744</v>
      </c>
      <c r="M11" s="23">
        <f t="shared" si="3"/>
        <v>8900</v>
      </c>
      <c r="N11" s="23">
        <f t="shared" si="4"/>
        <v>7419.616</v>
      </c>
      <c r="P11" s="351">
        <f t="shared" si="5"/>
        <v>7820</v>
      </c>
    </row>
    <row r="12" spans="1:16" x14ac:dyDescent="0.35">
      <c r="A12" t="s">
        <v>789</v>
      </c>
      <c r="B12">
        <v>2.15</v>
      </c>
      <c r="D12" s="110">
        <v>1.889</v>
      </c>
      <c r="E12" s="110">
        <f t="shared" si="0"/>
        <v>0.2609999999999999</v>
      </c>
      <c r="F12" s="353">
        <f t="shared" si="1"/>
        <v>0.87860465116279074</v>
      </c>
      <c r="H12" s="23">
        <v>8000</v>
      </c>
      <c r="J12">
        <v>276</v>
      </c>
      <c r="K12" s="23">
        <f t="shared" si="2"/>
        <v>7724</v>
      </c>
      <c r="M12" s="23">
        <f t="shared" si="3"/>
        <v>17200</v>
      </c>
      <c r="N12" s="23">
        <f t="shared" si="4"/>
        <v>14590.636</v>
      </c>
      <c r="P12" s="351">
        <f t="shared" si="5"/>
        <v>15112</v>
      </c>
    </row>
    <row r="13" spans="1:16" x14ac:dyDescent="0.35">
      <c r="H13" s="354">
        <f>SUM(H6:H12)</f>
        <v>25200</v>
      </c>
      <c r="I13" s="1"/>
      <c r="J13" s="1"/>
      <c r="K13" s="354">
        <f>SUM(K6:K12)</f>
        <v>23735.067999999999</v>
      </c>
      <c r="M13" s="354">
        <f>SUM(M6:M12)</f>
        <v>80250</v>
      </c>
      <c r="N13" s="354">
        <f>SUM(N6:N12)</f>
        <v>65901.536968</v>
      </c>
      <c r="O13" s="250"/>
      <c r="P13" s="354">
        <f>SUM(P6:P12)</f>
        <v>70518</v>
      </c>
    </row>
    <row r="14" spans="1:16" x14ac:dyDescent="0.35">
      <c r="J14" s="17" t="s">
        <v>1375</v>
      </c>
      <c r="K14" s="23">
        <f>H13-K13</f>
        <v>1464.9320000000007</v>
      </c>
      <c r="M14" s="17" t="s">
        <v>1377</v>
      </c>
      <c r="N14" s="23">
        <f>M13-N13</f>
        <v>14348.463032</v>
      </c>
    </row>
    <row r="15" spans="1:16" x14ac:dyDescent="0.35">
      <c r="J15" s="17" t="s">
        <v>1376</v>
      </c>
      <c r="K15" s="267">
        <f>K13/H13</f>
        <v>0.94186777777777775</v>
      </c>
      <c r="M15" s="17" t="s">
        <v>1376</v>
      </c>
      <c r="N15" s="191">
        <f>N13/M13</f>
        <v>0.82120295287227418</v>
      </c>
      <c r="P15" s="356">
        <f>P13/M13</f>
        <v>0.87872897196261679</v>
      </c>
    </row>
    <row r="17" spans="1:5" x14ac:dyDescent="0.35">
      <c r="A17" s="1" t="s">
        <v>1494</v>
      </c>
    </row>
    <row r="19" spans="1:5" ht="15" thickBot="1" x14ac:dyDescent="0.4">
      <c r="A19" s="365" t="s">
        <v>1416</v>
      </c>
      <c r="B19" s="365" t="s">
        <v>647</v>
      </c>
      <c r="C19" s="366" t="s">
        <v>245</v>
      </c>
      <c r="D19" s="365" t="s">
        <v>6</v>
      </c>
      <c r="E19" s="371" t="s">
        <v>125</v>
      </c>
    </row>
    <row r="20" spans="1:5" x14ac:dyDescent="0.35">
      <c r="A20" s="368">
        <v>46113</v>
      </c>
      <c r="B20" s="375" t="s">
        <v>207</v>
      </c>
      <c r="C20" s="364" t="s">
        <v>576</v>
      </c>
      <c r="D20" s="369">
        <v>2.83</v>
      </c>
      <c r="E20" s="373" t="s">
        <v>1415</v>
      </c>
    </row>
    <row r="21" spans="1:5" x14ac:dyDescent="0.35">
      <c r="A21" s="254">
        <v>46204</v>
      </c>
      <c r="B21" s="375" t="s">
        <v>450</v>
      </c>
      <c r="C21" s="205" t="s">
        <v>573</v>
      </c>
      <c r="D21" s="370">
        <v>5.52</v>
      </c>
      <c r="E21" s="372"/>
    </row>
    <row r="22" spans="1:5" x14ac:dyDescent="0.35">
      <c r="A22" s="367">
        <v>46204</v>
      </c>
      <c r="B22" s="374" t="s">
        <v>679</v>
      </c>
      <c r="C22" s="303" t="s">
        <v>720</v>
      </c>
      <c r="D22" s="370">
        <v>4.4800000000000004</v>
      </c>
      <c r="E22" s="372"/>
    </row>
    <row r="23" spans="1:5" x14ac:dyDescent="0.35">
      <c r="A23" s="254" t="s">
        <v>1287</v>
      </c>
      <c r="B23" s="375" t="s">
        <v>362</v>
      </c>
      <c r="C23" s="205" t="s">
        <v>1303</v>
      </c>
      <c r="D23" s="370">
        <v>4.1900000000000004</v>
      </c>
      <c r="E23" s="372"/>
    </row>
    <row r="24" spans="1:5" x14ac:dyDescent="0.35">
      <c r="A24" s="254" t="s">
        <v>1315</v>
      </c>
      <c r="B24" s="374" t="s">
        <v>160</v>
      </c>
      <c r="C24" s="303" t="s">
        <v>572</v>
      </c>
      <c r="D24" s="370">
        <v>2.56</v>
      </c>
      <c r="E24" s="372"/>
    </row>
    <row r="25" spans="1:5" x14ac:dyDescent="0.35">
      <c r="B25" s="56"/>
    </row>
  </sheetData>
  <mergeCells count="1"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5FE7-8E99-4CCD-ADD1-E3DFBD27A623}">
  <dimension ref="A1:O74"/>
  <sheetViews>
    <sheetView showGridLines="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16" sqref="C16"/>
    </sheetView>
  </sheetViews>
  <sheetFormatPr baseColWidth="10" defaultColWidth="11.453125" defaultRowHeight="14.5" x14ac:dyDescent="0.35"/>
  <cols>
    <col min="1" max="1" width="44.36328125" bestFit="1" customWidth="1"/>
    <col min="2" max="2" width="21.90625" style="55" bestFit="1" customWidth="1"/>
    <col min="3" max="3" width="6.6328125" style="55" bestFit="1" customWidth="1"/>
    <col min="4" max="4" width="9.453125" style="55" bestFit="1" customWidth="1"/>
    <col min="5" max="5" width="9.1796875" style="55" bestFit="1" customWidth="1"/>
    <col min="6" max="6" width="11.90625" style="55" bestFit="1" customWidth="1"/>
    <col min="7" max="7" width="10.90625" style="55" bestFit="1" customWidth="1"/>
    <col min="8" max="8" width="10.453125" style="55" bestFit="1" customWidth="1"/>
    <col min="9" max="9" width="11.1796875" style="55" bestFit="1" customWidth="1"/>
    <col min="10" max="10" width="10.1796875" style="55" bestFit="1" customWidth="1"/>
    <col min="11" max="11" width="11.7265625" style="55" bestFit="1" customWidth="1"/>
    <col min="12" max="12" width="9.1796875" style="55" customWidth="1"/>
    <col min="14" max="14" width="31.1796875" bestFit="1" customWidth="1"/>
    <col min="15" max="15" width="26.81640625" bestFit="1" customWidth="1"/>
  </cols>
  <sheetData>
    <row r="1" spans="1:15" x14ac:dyDescent="0.35">
      <c r="A1" s="1" t="s">
        <v>702</v>
      </c>
      <c r="B1" s="69">
        <f ca="1">TODAY()</f>
        <v>46296</v>
      </c>
      <c r="N1" s="43" t="s">
        <v>889</v>
      </c>
      <c r="O1" t="s">
        <v>1017</v>
      </c>
    </row>
    <row r="3" spans="1:15" x14ac:dyDescent="0.35">
      <c r="A3" s="43" t="s">
        <v>1274</v>
      </c>
      <c r="B3" s="155" t="s">
        <v>836</v>
      </c>
      <c r="L3"/>
      <c r="N3" s="43" t="s">
        <v>1335</v>
      </c>
      <c r="O3" s="55" t="s">
        <v>1334</v>
      </c>
    </row>
    <row r="4" spans="1:15" x14ac:dyDescent="0.35">
      <c r="A4" s="43" t="s">
        <v>157</v>
      </c>
      <c r="B4" s="55" t="s">
        <v>1001</v>
      </c>
      <c r="C4" s="55" t="s">
        <v>995</v>
      </c>
      <c r="D4" s="55" t="s">
        <v>835</v>
      </c>
      <c r="E4" s="55" t="s">
        <v>816</v>
      </c>
      <c r="F4" s="55" t="s">
        <v>991</v>
      </c>
      <c r="G4" s="55" t="s">
        <v>1025</v>
      </c>
      <c r="H4" s="55" t="s">
        <v>831</v>
      </c>
      <c r="I4" s="55" t="s">
        <v>985</v>
      </c>
      <c r="J4" s="55" t="s">
        <v>203</v>
      </c>
      <c r="K4" s="55" t="s">
        <v>156</v>
      </c>
      <c r="L4"/>
      <c r="N4" s="4" t="s">
        <v>180</v>
      </c>
      <c r="O4" s="307">
        <v>46216</v>
      </c>
    </row>
    <row r="5" spans="1:15" x14ac:dyDescent="0.35">
      <c r="A5" s="4" t="s">
        <v>996</v>
      </c>
      <c r="C5" s="55">
        <v>1</v>
      </c>
      <c r="K5" s="55">
        <v>1</v>
      </c>
      <c r="L5"/>
      <c r="N5" s="4" t="s">
        <v>738</v>
      </c>
      <c r="O5" s="307">
        <v>46226</v>
      </c>
    </row>
    <row r="6" spans="1:15" x14ac:dyDescent="0.35">
      <c r="A6" s="4" t="s">
        <v>1062</v>
      </c>
      <c r="E6" s="55">
        <v>6</v>
      </c>
      <c r="G6" s="55">
        <v>2</v>
      </c>
      <c r="K6" s="55">
        <v>8</v>
      </c>
      <c r="L6"/>
      <c r="N6" s="4" t="s">
        <v>1062</v>
      </c>
      <c r="O6" s="307">
        <v>46245</v>
      </c>
    </row>
    <row r="7" spans="1:15" x14ac:dyDescent="0.35">
      <c r="A7" s="4" t="s">
        <v>149</v>
      </c>
      <c r="J7" s="55">
        <v>11</v>
      </c>
      <c r="K7" s="55">
        <v>11</v>
      </c>
      <c r="L7"/>
      <c r="N7" s="4" t="s">
        <v>1144</v>
      </c>
      <c r="O7" s="307">
        <v>46255</v>
      </c>
    </row>
    <row r="8" spans="1:15" x14ac:dyDescent="0.35">
      <c r="A8" s="4" t="s">
        <v>739</v>
      </c>
      <c r="D8" s="55">
        <v>3</v>
      </c>
      <c r="K8" s="55">
        <v>3</v>
      </c>
      <c r="L8"/>
      <c r="N8" s="4" t="s">
        <v>1154</v>
      </c>
      <c r="O8" s="307">
        <v>46258</v>
      </c>
    </row>
    <row r="9" spans="1:15" x14ac:dyDescent="0.35">
      <c r="A9" s="4" t="s">
        <v>686</v>
      </c>
      <c r="D9" s="55">
        <v>12</v>
      </c>
      <c r="K9" s="55">
        <v>12</v>
      </c>
      <c r="L9"/>
      <c r="N9" s="4" t="s">
        <v>1283</v>
      </c>
      <c r="O9" s="307">
        <v>46263</v>
      </c>
    </row>
    <row r="10" spans="1:15" x14ac:dyDescent="0.35">
      <c r="A10" s="4" t="s">
        <v>470</v>
      </c>
      <c r="J10" s="55">
        <v>6</v>
      </c>
      <c r="K10" s="55">
        <v>6</v>
      </c>
      <c r="L10"/>
      <c r="N10" s="4" t="s">
        <v>1309</v>
      </c>
      <c r="O10" s="307">
        <v>46265</v>
      </c>
    </row>
    <row r="11" spans="1:15" x14ac:dyDescent="0.35">
      <c r="A11" s="4" t="s">
        <v>1191</v>
      </c>
      <c r="E11" s="55">
        <v>3</v>
      </c>
      <c r="H11" s="55">
        <v>3</v>
      </c>
      <c r="K11" s="55">
        <v>6</v>
      </c>
      <c r="L11"/>
      <c r="N11" s="4" t="s">
        <v>1191</v>
      </c>
      <c r="O11" s="307">
        <v>46280</v>
      </c>
    </row>
    <row r="12" spans="1:15" x14ac:dyDescent="0.35">
      <c r="A12" s="4" t="s">
        <v>77</v>
      </c>
      <c r="H12" s="55">
        <v>1</v>
      </c>
      <c r="J12" s="55">
        <v>6</v>
      </c>
      <c r="K12" s="55">
        <v>7</v>
      </c>
      <c r="L12"/>
      <c r="N12" s="4" t="s">
        <v>1337</v>
      </c>
      <c r="O12" s="307">
        <v>46299</v>
      </c>
    </row>
    <row r="13" spans="1:15" x14ac:dyDescent="0.35">
      <c r="A13" s="4" t="s">
        <v>12</v>
      </c>
      <c r="J13" s="55">
        <v>4</v>
      </c>
      <c r="K13" s="55">
        <v>4</v>
      </c>
      <c r="L13"/>
      <c r="N13" s="4" t="s">
        <v>752</v>
      </c>
      <c r="O13" s="307">
        <v>46300</v>
      </c>
    </row>
    <row r="14" spans="1:15" x14ac:dyDescent="0.35">
      <c r="A14" s="4" t="s">
        <v>161</v>
      </c>
      <c r="E14" s="55">
        <v>5</v>
      </c>
      <c r="J14" s="55">
        <v>4</v>
      </c>
      <c r="K14" s="55">
        <v>9</v>
      </c>
      <c r="L14"/>
      <c r="N14" s="4" t="s">
        <v>669</v>
      </c>
      <c r="O14" s="307">
        <v>92478</v>
      </c>
    </row>
    <row r="15" spans="1:15" x14ac:dyDescent="0.35">
      <c r="A15" s="4" t="s">
        <v>48</v>
      </c>
      <c r="D15" s="55">
        <v>1</v>
      </c>
      <c r="F15" s="55">
        <v>1</v>
      </c>
      <c r="H15" s="55">
        <v>1</v>
      </c>
      <c r="J15" s="55">
        <v>62</v>
      </c>
      <c r="K15" s="55">
        <v>65</v>
      </c>
      <c r="L15"/>
      <c r="N15" s="4" t="s">
        <v>711</v>
      </c>
      <c r="O15" s="307">
        <v>184904</v>
      </c>
    </row>
    <row r="16" spans="1:15" x14ac:dyDescent="0.35">
      <c r="A16" s="4" t="s">
        <v>69</v>
      </c>
      <c r="D16" s="55">
        <v>7</v>
      </c>
      <c r="E16" s="55">
        <v>8</v>
      </c>
      <c r="G16" s="55">
        <v>1</v>
      </c>
      <c r="J16" s="55">
        <v>22</v>
      </c>
      <c r="K16" s="55">
        <v>38</v>
      </c>
      <c r="L16"/>
      <c r="N16" s="4" t="s">
        <v>778</v>
      </c>
      <c r="O16" s="307">
        <v>184955</v>
      </c>
    </row>
    <row r="17" spans="1:15" x14ac:dyDescent="0.35">
      <c r="A17" s="4" t="s">
        <v>498</v>
      </c>
      <c r="C17" s="55">
        <v>7</v>
      </c>
      <c r="G17" s="55">
        <v>32</v>
      </c>
      <c r="J17" s="55">
        <v>15</v>
      </c>
      <c r="K17" s="55">
        <v>54</v>
      </c>
      <c r="L17"/>
      <c r="N17" s="4" t="s">
        <v>69</v>
      </c>
      <c r="O17" s="307">
        <v>231306</v>
      </c>
    </row>
    <row r="18" spans="1:15" x14ac:dyDescent="0.35">
      <c r="A18" s="4" t="s">
        <v>93</v>
      </c>
      <c r="J18" s="55">
        <v>5</v>
      </c>
      <c r="K18" s="55">
        <v>5</v>
      </c>
      <c r="L18"/>
      <c r="N18" s="4" t="s">
        <v>156</v>
      </c>
      <c r="O18" s="307">
        <v>1156250</v>
      </c>
    </row>
    <row r="19" spans="1:15" x14ac:dyDescent="0.35">
      <c r="A19" s="4" t="s">
        <v>596</v>
      </c>
      <c r="J19" s="55">
        <v>4</v>
      </c>
      <c r="K19" s="55">
        <v>4</v>
      </c>
      <c r="L19"/>
    </row>
    <row r="20" spans="1:15" x14ac:dyDescent="0.35">
      <c r="A20" s="4" t="s">
        <v>212</v>
      </c>
      <c r="D20" s="55">
        <v>24</v>
      </c>
      <c r="J20" s="55">
        <v>36</v>
      </c>
      <c r="K20" s="55">
        <v>60</v>
      </c>
      <c r="L20"/>
    </row>
    <row r="21" spans="1:15" x14ac:dyDescent="0.35">
      <c r="A21" s="4" t="s">
        <v>955</v>
      </c>
      <c r="B21" s="55">
        <v>2</v>
      </c>
      <c r="E21" s="55">
        <v>1</v>
      </c>
      <c r="G21" s="55">
        <v>1</v>
      </c>
      <c r="H21" s="55">
        <v>3</v>
      </c>
      <c r="K21" s="55">
        <v>7</v>
      </c>
      <c r="L21"/>
    </row>
    <row r="22" spans="1:15" x14ac:dyDescent="0.35">
      <c r="A22" s="4" t="s">
        <v>20</v>
      </c>
      <c r="J22" s="55">
        <v>5</v>
      </c>
      <c r="K22" s="55">
        <v>5</v>
      </c>
      <c r="L22"/>
    </row>
    <row r="23" spans="1:15" x14ac:dyDescent="0.35">
      <c r="A23" s="4" t="s">
        <v>610</v>
      </c>
      <c r="D23" s="55">
        <v>9</v>
      </c>
      <c r="I23" s="55">
        <v>1</v>
      </c>
      <c r="K23" s="55">
        <v>10</v>
      </c>
      <c r="L23"/>
    </row>
    <row r="24" spans="1:15" x14ac:dyDescent="0.35">
      <c r="A24" s="4" t="s">
        <v>762</v>
      </c>
      <c r="D24" s="55">
        <v>7</v>
      </c>
      <c r="E24" s="55">
        <v>10</v>
      </c>
      <c r="K24" s="55">
        <v>17</v>
      </c>
      <c r="L24"/>
    </row>
    <row r="25" spans="1:15" x14ac:dyDescent="0.35">
      <c r="A25" s="4" t="s">
        <v>1209</v>
      </c>
      <c r="H25" s="55">
        <v>2</v>
      </c>
      <c r="K25" s="55">
        <v>2</v>
      </c>
      <c r="L25"/>
    </row>
    <row r="26" spans="1:15" x14ac:dyDescent="0.35">
      <c r="A26" s="4" t="s">
        <v>405</v>
      </c>
      <c r="B26" s="55">
        <v>1</v>
      </c>
      <c r="D26" s="55">
        <v>1</v>
      </c>
      <c r="E26" s="55">
        <v>4</v>
      </c>
      <c r="F26" s="55">
        <v>1</v>
      </c>
      <c r="H26" s="55">
        <v>1</v>
      </c>
      <c r="J26" s="55">
        <v>4</v>
      </c>
      <c r="K26" s="55">
        <v>12</v>
      </c>
      <c r="L26"/>
    </row>
    <row r="27" spans="1:15" x14ac:dyDescent="0.35">
      <c r="A27" s="4" t="s">
        <v>294</v>
      </c>
      <c r="E27" s="55">
        <v>5</v>
      </c>
      <c r="J27" s="55">
        <v>9</v>
      </c>
      <c r="K27" s="55">
        <v>14</v>
      </c>
      <c r="L27"/>
    </row>
    <row r="28" spans="1:15" x14ac:dyDescent="0.35">
      <c r="A28" s="4" t="s">
        <v>272</v>
      </c>
      <c r="D28" s="55">
        <v>12</v>
      </c>
      <c r="J28" s="55">
        <v>28</v>
      </c>
      <c r="K28" s="55">
        <v>40</v>
      </c>
      <c r="L28"/>
    </row>
    <row r="29" spans="1:15" x14ac:dyDescent="0.35">
      <c r="A29" s="4" t="s">
        <v>29</v>
      </c>
      <c r="J29" s="55">
        <v>5</v>
      </c>
      <c r="K29" s="55">
        <v>5</v>
      </c>
      <c r="L29"/>
    </row>
    <row r="30" spans="1:15" x14ac:dyDescent="0.35">
      <c r="A30" s="4" t="s">
        <v>1154</v>
      </c>
      <c r="E30" s="55">
        <v>5</v>
      </c>
      <c r="K30" s="55">
        <v>5</v>
      </c>
      <c r="L30"/>
    </row>
    <row r="31" spans="1:15" x14ac:dyDescent="0.35">
      <c r="A31" s="4" t="s">
        <v>41</v>
      </c>
      <c r="J31" s="55">
        <v>1</v>
      </c>
      <c r="K31" s="55">
        <v>1</v>
      </c>
      <c r="L31"/>
    </row>
    <row r="32" spans="1:15" x14ac:dyDescent="0.35">
      <c r="A32" s="4" t="s">
        <v>424</v>
      </c>
      <c r="J32" s="55">
        <v>3</v>
      </c>
      <c r="K32" s="55">
        <v>3</v>
      </c>
      <c r="L32"/>
    </row>
    <row r="33" spans="1:11" customFormat="1" x14ac:dyDescent="0.35">
      <c r="A33" s="4" t="s">
        <v>385</v>
      </c>
      <c r="B33" s="55"/>
      <c r="C33" s="55"/>
      <c r="D33" s="55"/>
      <c r="E33" s="55"/>
      <c r="F33" s="55"/>
      <c r="G33" s="55"/>
      <c r="H33" s="55"/>
      <c r="I33" s="55"/>
      <c r="J33" s="55">
        <v>3</v>
      </c>
      <c r="K33" s="55">
        <v>3</v>
      </c>
    </row>
    <row r="34" spans="1:11" customFormat="1" x14ac:dyDescent="0.35">
      <c r="A34" s="4" t="s">
        <v>657</v>
      </c>
      <c r="B34" s="55"/>
      <c r="C34" s="55"/>
      <c r="D34" s="55">
        <v>1</v>
      </c>
      <c r="E34" s="55"/>
      <c r="F34" s="55"/>
      <c r="G34" s="55"/>
      <c r="H34" s="55"/>
      <c r="I34" s="55"/>
      <c r="J34" s="55"/>
      <c r="K34" s="55">
        <v>1</v>
      </c>
    </row>
    <row r="35" spans="1:11" customFormat="1" x14ac:dyDescent="0.35">
      <c r="A35" s="4" t="s">
        <v>331</v>
      </c>
      <c r="B35" s="55"/>
      <c r="C35" s="55"/>
      <c r="D35" s="55"/>
      <c r="E35" s="55"/>
      <c r="F35" s="55"/>
      <c r="G35" s="55"/>
      <c r="H35" s="55"/>
      <c r="I35" s="55"/>
      <c r="J35" s="55">
        <v>2</v>
      </c>
      <c r="K35" s="55">
        <v>2</v>
      </c>
    </row>
    <row r="36" spans="1:11" customFormat="1" x14ac:dyDescent="0.35">
      <c r="A36" s="4" t="s">
        <v>180</v>
      </c>
      <c r="B36" s="55"/>
      <c r="C36" s="55"/>
      <c r="D36" s="55">
        <v>7</v>
      </c>
      <c r="E36" s="55">
        <v>3</v>
      </c>
      <c r="F36" s="55"/>
      <c r="G36" s="55"/>
      <c r="H36" s="55"/>
      <c r="I36" s="55"/>
      <c r="J36" s="55">
        <v>13</v>
      </c>
      <c r="K36" s="55">
        <v>23</v>
      </c>
    </row>
    <row r="37" spans="1:11" customFormat="1" x14ac:dyDescent="0.35">
      <c r="A37" s="4" t="s">
        <v>179</v>
      </c>
      <c r="B37" s="55"/>
      <c r="C37" s="55"/>
      <c r="D37" s="55">
        <v>6</v>
      </c>
      <c r="E37" s="55">
        <v>4</v>
      </c>
      <c r="F37" s="55"/>
      <c r="G37" s="55"/>
      <c r="H37" s="55"/>
      <c r="I37" s="55"/>
      <c r="J37" s="55">
        <v>15</v>
      </c>
      <c r="K37" s="55">
        <v>25</v>
      </c>
    </row>
    <row r="38" spans="1:11" customFormat="1" x14ac:dyDescent="0.35">
      <c r="A38" s="4" t="s">
        <v>989</v>
      </c>
      <c r="B38" s="55"/>
      <c r="C38" s="55"/>
      <c r="D38" s="55"/>
      <c r="E38" s="55"/>
      <c r="F38" s="55"/>
      <c r="G38" s="55">
        <v>1</v>
      </c>
      <c r="H38" s="55"/>
      <c r="I38" s="55"/>
      <c r="J38" s="55"/>
      <c r="K38" s="55">
        <v>1</v>
      </c>
    </row>
    <row r="39" spans="1:11" customFormat="1" x14ac:dyDescent="0.35">
      <c r="A39" s="4" t="s">
        <v>837</v>
      </c>
      <c r="B39" s="55"/>
      <c r="C39" s="55"/>
      <c r="D39" s="55"/>
      <c r="E39" s="55">
        <v>3</v>
      </c>
      <c r="F39" s="55"/>
      <c r="G39" s="55"/>
      <c r="H39" s="55"/>
      <c r="I39" s="55"/>
      <c r="J39" s="55"/>
      <c r="K39" s="55">
        <v>3</v>
      </c>
    </row>
    <row r="40" spans="1:11" customFormat="1" x14ac:dyDescent="0.35">
      <c r="A40" s="4" t="s">
        <v>172</v>
      </c>
      <c r="B40" s="55"/>
      <c r="C40" s="55"/>
      <c r="D40" s="55"/>
      <c r="E40" s="55"/>
      <c r="F40" s="55"/>
      <c r="G40" s="55"/>
      <c r="H40" s="55"/>
      <c r="I40" s="55"/>
      <c r="J40" s="55">
        <v>1</v>
      </c>
      <c r="K40" s="55">
        <v>1</v>
      </c>
    </row>
    <row r="41" spans="1:11" customFormat="1" x14ac:dyDescent="0.35">
      <c r="A41" s="4" t="s">
        <v>156</v>
      </c>
      <c r="B41" s="55">
        <v>3</v>
      </c>
      <c r="C41" s="55">
        <v>8</v>
      </c>
      <c r="D41" s="55">
        <v>90</v>
      </c>
      <c r="E41" s="55">
        <v>57</v>
      </c>
      <c r="F41" s="55">
        <v>2</v>
      </c>
      <c r="G41" s="55">
        <v>37</v>
      </c>
      <c r="H41" s="55">
        <v>11</v>
      </c>
      <c r="I41" s="55">
        <v>1</v>
      </c>
      <c r="J41" s="55">
        <v>264</v>
      </c>
      <c r="K41" s="55">
        <v>473</v>
      </c>
    </row>
    <row r="42" spans="1:11" customFormat="1" x14ac:dyDescent="0.35"/>
    <row r="43" spans="1:11" customFormat="1" x14ac:dyDescent="0.35"/>
    <row r="44" spans="1:11" customFormat="1" x14ac:dyDescent="0.35"/>
    <row r="45" spans="1:11" customFormat="1" x14ac:dyDescent="0.35"/>
    <row r="46" spans="1:11" customFormat="1" x14ac:dyDescent="0.35"/>
    <row r="47" spans="1:11" customFormat="1" x14ac:dyDescent="0.35"/>
    <row r="48" spans="1:11" customFormat="1" x14ac:dyDescent="0.35"/>
    <row r="49" spans="1:12" x14ac:dyDescent="0.35">
      <c r="B49"/>
      <c r="C49"/>
      <c r="D49"/>
      <c r="E49"/>
      <c r="F49"/>
      <c r="G49"/>
      <c r="H49"/>
      <c r="I49"/>
      <c r="J49"/>
      <c r="K49"/>
      <c r="L49"/>
    </row>
    <row r="50" spans="1:12" x14ac:dyDescent="0.35">
      <c r="B50"/>
      <c r="C50"/>
      <c r="D50"/>
      <c r="E50"/>
      <c r="F50"/>
      <c r="G50"/>
      <c r="H50"/>
      <c r="I50"/>
      <c r="J50"/>
      <c r="K50"/>
      <c r="L50"/>
    </row>
    <row r="51" spans="1:12" x14ac:dyDescent="0.35">
      <c r="B51"/>
      <c r="C51"/>
      <c r="D51"/>
      <c r="E51"/>
      <c r="F51"/>
      <c r="G51"/>
      <c r="H51"/>
      <c r="I51"/>
      <c r="J51"/>
      <c r="K51"/>
      <c r="L51"/>
    </row>
    <row r="52" spans="1:12" x14ac:dyDescent="0.35">
      <c r="B52"/>
      <c r="C52"/>
      <c r="D52"/>
      <c r="E52"/>
      <c r="F52"/>
      <c r="G52"/>
      <c r="H52"/>
      <c r="I52"/>
      <c r="J52"/>
      <c r="K52"/>
      <c r="L52"/>
    </row>
    <row r="53" spans="1:12" x14ac:dyDescent="0.35">
      <c r="B53"/>
      <c r="C53"/>
      <c r="D53"/>
      <c r="E53"/>
      <c r="F53"/>
      <c r="G53"/>
      <c r="H53"/>
      <c r="I53"/>
      <c r="J53"/>
      <c r="K53"/>
      <c r="L53"/>
    </row>
    <row r="54" spans="1:12" x14ac:dyDescent="0.35">
      <c r="B54"/>
      <c r="C54"/>
      <c r="D54"/>
      <c r="E54"/>
      <c r="F54"/>
      <c r="G54"/>
      <c r="H54"/>
      <c r="I54"/>
      <c r="J54"/>
      <c r="K54"/>
      <c r="L54"/>
    </row>
    <row r="55" spans="1:12" x14ac:dyDescent="0.35">
      <c r="B55"/>
      <c r="C55"/>
      <c r="D55"/>
      <c r="E55"/>
      <c r="F55"/>
      <c r="G55"/>
      <c r="H55"/>
      <c r="I55"/>
      <c r="J55"/>
      <c r="K55"/>
      <c r="L55"/>
    </row>
    <row r="56" spans="1:12" x14ac:dyDescent="0.35">
      <c r="B56"/>
      <c r="C56"/>
      <c r="D56"/>
      <c r="E56"/>
      <c r="F56"/>
      <c r="G56"/>
      <c r="H56"/>
      <c r="I56"/>
      <c r="J56"/>
      <c r="K56"/>
      <c r="L56"/>
    </row>
    <row r="57" spans="1:12" x14ac:dyDescent="0.35">
      <c r="B57"/>
      <c r="C57"/>
      <c r="D57"/>
      <c r="E57"/>
      <c r="F57"/>
      <c r="G57"/>
      <c r="H57"/>
      <c r="I57"/>
      <c r="J57"/>
      <c r="K57"/>
      <c r="L57"/>
    </row>
    <row r="58" spans="1:12" x14ac:dyDescent="0.35">
      <c r="B58"/>
      <c r="C58"/>
      <c r="D58"/>
      <c r="E58"/>
      <c r="F58"/>
      <c r="G58"/>
      <c r="H58"/>
      <c r="I58"/>
      <c r="J58"/>
      <c r="K58"/>
      <c r="L58"/>
    </row>
    <row r="59" spans="1:12" x14ac:dyDescent="0.35">
      <c r="A59" s="1" t="s">
        <v>1178</v>
      </c>
      <c r="B59"/>
      <c r="C59"/>
      <c r="D59"/>
      <c r="E59"/>
      <c r="F59"/>
      <c r="G59"/>
      <c r="H59"/>
      <c r="I59"/>
      <c r="J59"/>
      <c r="K59"/>
      <c r="L59"/>
    </row>
    <row r="60" spans="1:12" x14ac:dyDescent="0.35">
      <c r="A60" s="52" t="s">
        <v>1058</v>
      </c>
      <c r="B60"/>
      <c r="C60"/>
      <c r="D60" s="52" t="s">
        <v>1170</v>
      </c>
      <c r="E60"/>
      <c r="F60"/>
      <c r="G60"/>
      <c r="H60" s="52" t="s">
        <v>1249</v>
      </c>
      <c r="I60"/>
      <c r="J60"/>
      <c r="K60" s="52" t="s">
        <v>1319</v>
      </c>
      <c r="L60"/>
    </row>
    <row r="61" spans="1:12" x14ac:dyDescent="0.35">
      <c r="A61" t="s">
        <v>778</v>
      </c>
      <c r="B61">
        <v>600</v>
      </c>
      <c r="C61"/>
      <c r="D61" s="255" t="s">
        <v>1145</v>
      </c>
      <c r="E61" s="271">
        <v>150</v>
      </c>
      <c r="F61" t="s">
        <v>1183</v>
      </c>
      <c r="G61"/>
      <c r="H61" t="s">
        <v>778</v>
      </c>
      <c r="I61">
        <v>25200</v>
      </c>
      <c r="J61"/>
      <c r="K61" t="s">
        <v>1320</v>
      </c>
      <c r="L61">
        <v>1000</v>
      </c>
    </row>
    <row r="62" spans="1:12" x14ac:dyDescent="0.35">
      <c r="A62" t="s">
        <v>1060</v>
      </c>
      <c r="B62">
        <v>1500</v>
      </c>
      <c r="C62"/>
      <c r="D62" s="255" t="s">
        <v>1153</v>
      </c>
      <c r="E62" s="271">
        <v>30000</v>
      </c>
      <c r="F62"/>
      <c r="G62"/>
      <c r="H62" t="s">
        <v>1083</v>
      </c>
      <c r="I62">
        <v>3000</v>
      </c>
      <c r="J62"/>
      <c r="K62"/>
      <c r="L62"/>
    </row>
    <row r="63" spans="1:12" x14ac:dyDescent="0.35">
      <c r="A63" t="s">
        <v>1061</v>
      </c>
      <c r="B63">
        <v>4000</v>
      </c>
      <c r="C63"/>
      <c r="D63" s="255" t="s">
        <v>1154</v>
      </c>
      <c r="E63" s="271">
        <f>800+500</f>
        <v>1300</v>
      </c>
      <c r="F63"/>
      <c r="G63"/>
      <c r="H63" t="s">
        <v>669</v>
      </c>
      <c r="I63">
        <v>5000</v>
      </c>
      <c r="J63"/>
      <c r="K63"/>
      <c r="L63"/>
    </row>
    <row r="64" spans="1:12" x14ac:dyDescent="0.35">
      <c r="A64" t="s">
        <v>1083</v>
      </c>
      <c r="B64">
        <v>3500</v>
      </c>
      <c r="C64"/>
      <c r="D64" s="255" t="s">
        <v>1169</v>
      </c>
      <c r="E64" s="271">
        <v>6000</v>
      </c>
      <c r="F64" s="55" t="s">
        <v>1171</v>
      </c>
      <c r="G64"/>
      <c r="H64" t="s">
        <v>1318</v>
      </c>
      <c r="I64">
        <v>2500</v>
      </c>
      <c r="J64"/>
      <c r="K64"/>
      <c r="L64"/>
    </row>
    <row r="65" spans="1:12" x14ac:dyDescent="0.35">
      <c r="A65" t="s">
        <v>1015</v>
      </c>
      <c r="B65" s="56">
        <v>2500</v>
      </c>
      <c r="C65"/>
      <c r="D65" s="56" t="s">
        <v>1084</v>
      </c>
      <c r="E65" s="270">
        <v>22000</v>
      </c>
      <c r="F65"/>
      <c r="G65"/>
      <c r="H65" t="s">
        <v>1191</v>
      </c>
      <c r="I65">
        <v>30000</v>
      </c>
      <c r="J65"/>
      <c r="K65"/>
      <c r="L65"/>
    </row>
    <row r="66" spans="1:12" x14ac:dyDescent="0.35">
      <c r="A66" s="4" t="s">
        <v>1179</v>
      </c>
      <c r="B66" s="56">
        <v>3650</v>
      </c>
      <c r="C66"/>
      <c r="D66" s="255" t="s">
        <v>1207</v>
      </c>
      <c r="E66" s="55" t="s">
        <v>1208</v>
      </c>
      <c r="F66"/>
      <c r="G66"/>
      <c r="H66"/>
      <c r="I66"/>
      <c r="J66"/>
      <c r="K66"/>
      <c r="L66"/>
    </row>
    <row r="67" spans="1:12" x14ac:dyDescent="0.35">
      <c r="A67" s="4" t="s">
        <v>1180</v>
      </c>
      <c r="B67" s="56">
        <v>18000</v>
      </c>
      <c r="C67"/>
      <c r="D67"/>
      <c r="E67"/>
      <c r="F67"/>
      <c r="G67"/>
      <c r="H67"/>
      <c r="I67"/>
      <c r="J67"/>
      <c r="K67"/>
      <c r="L67"/>
    </row>
    <row r="68" spans="1:12" x14ac:dyDescent="0.35">
      <c r="A68" s="4" t="s">
        <v>1060</v>
      </c>
      <c r="B68" s="56">
        <v>1000</v>
      </c>
      <c r="C68"/>
      <c r="D68"/>
      <c r="E68"/>
      <c r="F68"/>
      <c r="G68"/>
      <c r="H68"/>
      <c r="I68"/>
      <c r="J68"/>
      <c r="K68"/>
      <c r="L68"/>
    </row>
    <row r="69" spans="1:12" x14ac:dyDescent="0.35">
      <c r="A69" s="4"/>
      <c r="B69" s="56"/>
      <c r="C69"/>
      <c r="D69"/>
      <c r="E69"/>
      <c r="F69"/>
      <c r="G69"/>
      <c r="H69"/>
      <c r="I69"/>
      <c r="J69"/>
      <c r="K69"/>
      <c r="L69"/>
    </row>
    <row r="70" spans="1:12" x14ac:dyDescent="0.35">
      <c r="A70" s="55"/>
      <c r="C70"/>
      <c r="D70"/>
      <c r="E70"/>
      <c r="F70"/>
      <c r="G70"/>
      <c r="H70"/>
      <c r="I70"/>
      <c r="J70"/>
      <c r="K70"/>
      <c r="L70"/>
    </row>
    <row r="71" spans="1:12" x14ac:dyDescent="0.35">
      <c r="B71" s="207">
        <f>SUM(B61:B70)</f>
        <v>34750</v>
      </c>
      <c r="C71"/>
      <c r="D71"/>
      <c r="E71" s="207">
        <f>SUM(E61:E70)</f>
        <v>59450</v>
      </c>
      <c r="F71"/>
      <c r="G71"/>
      <c r="H71"/>
      <c r="I71" s="207">
        <f>SUM(I61:I70)</f>
        <v>65700</v>
      </c>
      <c r="J71"/>
      <c r="K71"/>
      <c r="L71"/>
    </row>
    <row r="72" spans="1:12" x14ac:dyDescent="0.35">
      <c r="A72" s="55"/>
      <c r="B72"/>
      <c r="C72"/>
      <c r="D72"/>
      <c r="E72"/>
      <c r="F72"/>
      <c r="G72"/>
      <c r="H72"/>
      <c r="I72"/>
      <c r="J72"/>
      <c r="K72"/>
      <c r="L72"/>
    </row>
    <row r="73" spans="1:12" x14ac:dyDescent="0.35">
      <c r="B73" t="s">
        <v>1181</v>
      </c>
      <c r="C73" s="1">
        <v>44000</v>
      </c>
      <c r="D73"/>
      <c r="E73"/>
      <c r="F73"/>
      <c r="G73"/>
      <c r="H73"/>
      <c r="I73"/>
      <c r="J73"/>
      <c r="K73"/>
      <c r="L73"/>
    </row>
    <row r="74" spans="1:12" x14ac:dyDescent="0.35">
      <c r="B74"/>
      <c r="C74"/>
      <c r="D74"/>
      <c r="E74"/>
      <c r="F74"/>
      <c r="G74"/>
      <c r="H74"/>
      <c r="I74"/>
      <c r="J74"/>
      <c r="K74"/>
      <c r="L7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AEE9-B213-452C-BDDA-C29EA3179CA9}">
  <dimension ref="A1:B28"/>
  <sheetViews>
    <sheetView topLeftCell="A8" workbookViewId="0">
      <selection activeCell="F11" sqref="F11"/>
    </sheetView>
  </sheetViews>
  <sheetFormatPr baseColWidth="10" defaultColWidth="11.453125" defaultRowHeight="14.5" x14ac:dyDescent="0.35"/>
  <cols>
    <col min="2" max="2" width="9" customWidth="1"/>
  </cols>
  <sheetData>
    <row r="1" spans="1:2" x14ac:dyDescent="0.35">
      <c r="A1" t="s">
        <v>216</v>
      </c>
    </row>
    <row r="2" spans="1:2" x14ac:dyDescent="0.35">
      <c r="A2" t="s">
        <v>217</v>
      </c>
      <c r="B2" t="s">
        <v>218</v>
      </c>
    </row>
    <row r="3" spans="1:2" x14ac:dyDescent="0.35">
      <c r="A3" s="72">
        <v>389001</v>
      </c>
      <c r="B3">
        <v>389011</v>
      </c>
    </row>
    <row r="4" spans="1:2" x14ac:dyDescent="0.35">
      <c r="A4" s="73">
        <v>418001</v>
      </c>
      <c r="B4">
        <v>418011</v>
      </c>
    </row>
    <row r="5" spans="1:2" x14ac:dyDescent="0.35">
      <c r="A5" s="72">
        <v>441001</v>
      </c>
      <c r="B5">
        <v>441021</v>
      </c>
    </row>
    <row r="6" spans="1:2" x14ac:dyDescent="0.35">
      <c r="A6" s="73">
        <v>447001</v>
      </c>
      <c r="B6">
        <v>447011</v>
      </c>
    </row>
    <row r="7" spans="1:2" x14ac:dyDescent="0.35">
      <c r="A7" s="72">
        <v>449001</v>
      </c>
      <c r="B7">
        <v>449021</v>
      </c>
    </row>
    <row r="8" spans="1:2" x14ac:dyDescent="0.35">
      <c r="A8" s="73">
        <v>446001</v>
      </c>
      <c r="B8">
        <v>446031</v>
      </c>
    </row>
    <row r="9" spans="1:2" x14ac:dyDescent="0.35">
      <c r="A9" s="72">
        <v>148021</v>
      </c>
      <c r="B9">
        <v>148081</v>
      </c>
    </row>
    <row r="10" spans="1:2" x14ac:dyDescent="0.35">
      <c r="A10" s="73">
        <v>275015</v>
      </c>
      <c r="B10">
        <v>275011</v>
      </c>
    </row>
    <row r="11" spans="1:2" x14ac:dyDescent="0.35">
      <c r="A11" s="72">
        <v>276005</v>
      </c>
      <c r="B11">
        <v>276001</v>
      </c>
    </row>
    <row r="12" spans="1:2" x14ac:dyDescent="0.35">
      <c r="A12" s="73">
        <v>271001</v>
      </c>
      <c r="B12">
        <v>271051</v>
      </c>
    </row>
    <row r="13" spans="1:2" x14ac:dyDescent="0.35">
      <c r="A13" s="72">
        <v>149021</v>
      </c>
      <c r="B13">
        <v>149101</v>
      </c>
    </row>
    <row r="14" spans="1:2" x14ac:dyDescent="0.35">
      <c r="A14" s="73">
        <v>149011</v>
      </c>
      <c r="B14">
        <v>149111</v>
      </c>
    </row>
    <row r="15" spans="1:2" x14ac:dyDescent="0.35">
      <c r="A15" s="72">
        <v>263011</v>
      </c>
      <c r="B15">
        <v>263021</v>
      </c>
    </row>
    <row r="16" spans="1:2" x14ac:dyDescent="0.35">
      <c r="A16" s="73">
        <v>74021</v>
      </c>
      <c r="B16">
        <v>74101</v>
      </c>
    </row>
    <row r="17" spans="1:2" x14ac:dyDescent="0.35">
      <c r="A17" s="72">
        <v>269005</v>
      </c>
      <c r="B17">
        <v>269021</v>
      </c>
    </row>
    <row r="18" spans="1:2" x14ac:dyDescent="0.35">
      <c r="A18" s="73">
        <v>147015</v>
      </c>
      <c r="B18">
        <v>147101</v>
      </c>
    </row>
    <row r="19" spans="1:2" x14ac:dyDescent="0.35">
      <c r="A19" s="72">
        <v>245005</v>
      </c>
      <c r="B19">
        <v>245061</v>
      </c>
    </row>
    <row r="20" spans="1:2" x14ac:dyDescent="0.35">
      <c r="A20" s="73">
        <v>198012</v>
      </c>
      <c r="B20">
        <v>198001</v>
      </c>
    </row>
    <row r="21" spans="1:2" x14ac:dyDescent="0.35">
      <c r="A21" s="72">
        <v>262001</v>
      </c>
      <c r="B21">
        <v>262031</v>
      </c>
    </row>
    <row r="22" spans="1:2" x14ac:dyDescent="0.35">
      <c r="A22" s="73">
        <v>76011</v>
      </c>
      <c r="B22">
        <v>76061</v>
      </c>
    </row>
    <row r="23" spans="1:2" x14ac:dyDescent="0.35">
      <c r="A23" s="72">
        <v>66013</v>
      </c>
      <c r="B23">
        <v>66011</v>
      </c>
    </row>
    <row r="24" spans="1:2" x14ac:dyDescent="0.35">
      <c r="A24" s="73">
        <v>143025</v>
      </c>
      <c r="B24">
        <v>143001</v>
      </c>
    </row>
    <row r="25" spans="1:2" x14ac:dyDescent="0.35">
      <c r="A25" s="72">
        <v>408001</v>
      </c>
      <c r="B25">
        <v>408041</v>
      </c>
    </row>
    <row r="26" spans="1:2" x14ac:dyDescent="0.35">
      <c r="A26" s="73">
        <v>389001</v>
      </c>
      <c r="B26">
        <v>389011</v>
      </c>
    </row>
    <row r="27" spans="1:2" x14ac:dyDescent="0.35">
      <c r="A27" s="72">
        <v>274015</v>
      </c>
      <c r="B27">
        <v>274031</v>
      </c>
    </row>
    <row r="28" spans="1:2" x14ac:dyDescent="0.35">
      <c r="A28" s="73">
        <v>72031</v>
      </c>
      <c r="B28">
        <v>72091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FEB2-4568-42E9-9E72-5B9F390709A8}">
  <sheetPr>
    <tabColor rgb="FF7030A0"/>
  </sheetPr>
  <dimension ref="A1:T22"/>
  <sheetViews>
    <sheetView showGridLines="0" topLeftCell="A4" workbookViewId="0">
      <selection activeCell="B13" sqref="B13"/>
    </sheetView>
  </sheetViews>
  <sheetFormatPr baseColWidth="10" defaultColWidth="9.453125" defaultRowHeight="14.5" x14ac:dyDescent="0.35"/>
  <cols>
    <col min="1" max="1" width="45.453125" bestFit="1" customWidth="1"/>
    <col min="2" max="2" width="22.453125" bestFit="1" customWidth="1"/>
    <col min="3" max="3" width="11.453125" bestFit="1" customWidth="1"/>
    <col min="4" max="5" width="12.453125" bestFit="1" customWidth="1"/>
    <col min="6" max="6" width="11.453125" bestFit="1" customWidth="1"/>
    <col min="7" max="7" width="12.54296875" bestFit="1" customWidth="1"/>
    <col min="8" max="8" width="5.54296875" customWidth="1"/>
    <col min="9" max="9" width="45.453125" bestFit="1" customWidth="1"/>
    <col min="10" max="10" width="22.453125" bestFit="1" customWidth="1"/>
    <col min="11" max="14" width="6.54296875" bestFit="1" customWidth="1"/>
    <col min="15" max="15" width="12.54296875" bestFit="1" customWidth="1"/>
    <col min="16" max="17" width="4.54296875" customWidth="1"/>
    <col min="18" max="18" width="10.453125" bestFit="1" customWidth="1"/>
    <col min="19" max="19" width="6.54296875" bestFit="1" customWidth="1"/>
    <col min="20" max="20" width="11.453125" bestFit="1" customWidth="1"/>
    <col min="21" max="21" width="12.54296875" bestFit="1" customWidth="1"/>
    <col min="22" max="22" width="12.453125" bestFit="1" customWidth="1"/>
    <col min="23" max="24" width="10.453125" bestFit="1" customWidth="1"/>
    <col min="25" max="25" width="11.453125" bestFit="1" customWidth="1"/>
    <col min="26" max="26" width="12.453125" bestFit="1" customWidth="1"/>
    <col min="27" max="28" width="10.453125" bestFit="1" customWidth="1"/>
    <col min="29" max="29" width="11.453125" bestFit="1" customWidth="1"/>
    <col min="30" max="30" width="12.453125" bestFit="1" customWidth="1"/>
  </cols>
  <sheetData>
    <row r="1" spans="1:20" x14ac:dyDescent="0.35">
      <c r="A1" s="67" t="s">
        <v>194</v>
      </c>
      <c r="I1" s="68" t="s">
        <v>195</v>
      </c>
    </row>
    <row r="2" spans="1:20" x14ac:dyDescent="0.35">
      <c r="A2" s="43" t="s">
        <v>2</v>
      </c>
      <c r="B2" t="s">
        <v>158</v>
      </c>
      <c r="I2" s="43" t="s">
        <v>2</v>
      </c>
      <c r="J2" t="s">
        <v>158</v>
      </c>
      <c r="R2" s="45" t="s">
        <v>142</v>
      </c>
      <c r="S2" s="45"/>
      <c r="T2" s="45"/>
    </row>
    <row r="3" spans="1:20" ht="8.25" customHeight="1" x14ac:dyDescent="0.35"/>
    <row r="4" spans="1:20" x14ac:dyDescent="0.35">
      <c r="A4" s="43" t="s">
        <v>138</v>
      </c>
      <c r="B4" s="43" t="s">
        <v>159</v>
      </c>
      <c r="I4" s="43" t="s">
        <v>141</v>
      </c>
      <c r="J4" s="43" t="s">
        <v>159</v>
      </c>
    </row>
    <row r="5" spans="1:20" x14ac:dyDescent="0.35">
      <c r="B5" t="s">
        <v>202</v>
      </c>
      <c r="C5" t="s">
        <v>135</v>
      </c>
      <c r="D5" t="s">
        <v>136</v>
      </c>
      <c r="E5" t="s">
        <v>137</v>
      </c>
      <c r="F5" t="s">
        <v>155</v>
      </c>
      <c r="G5" t="s">
        <v>156</v>
      </c>
      <c r="J5" t="s">
        <v>202</v>
      </c>
      <c r="K5" s="23" t="s">
        <v>135</v>
      </c>
      <c r="L5" s="23" t="s">
        <v>136</v>
      </c>
      <c r="M5" s="23" t="s">
        <v>137</v>
      </c>
      <c r="N5" t="s">
        <v>155</v>
      </c>
      <c r="O5" s="23" t="s">
        <v>156</v>
      </c>
    </row>
    <row r="6" spans="1:20" x14ac:dyDescent="0.35">
      <c r="O6" s="23"/>
    </row>
    <row r="7" spans="1:20" x14ac:dyDescent="0.35">
      <c r="A7" s="43" t="s">
        <v>157</v>
      </c>
      <c r="I7" s="43" t="s">
        <v>157</v>
      </c>
      <c r="O7" s="23"/>
    </row>
    <row r="8" spans="1:20" x14ac:dyDescent="0.35">
      <c r="A8" s="4" t="s">
        <v>77</v>
      </c>
      <c r="B8" s="44"/>
      <c r="C8" s="44">
        <v>13445</v>
      </c>
      <c r="D8" s="44"/>
      <c r="E8" s="44">
        <v>9275</v>
      </c>
      <c r="F8" s="44"/>
      <c r="G8" s="44">
        <v>22720</v>
      </c>
      <c r="H8" s="44"/>
      <c r="I8" s="4" t="s">
        <v>77</v>
      </c>
      <c r="J8" s="23"/>
      <c r="K8" s="23">
        <v>3400</v>
      </c>
      <c r="L8" s="23"/>
      <c r="M8" s="23">
        <v>2546</v>
      </c>
      <c r="N8" s="23"/>
      <c r="O8" s="23">
        <v>5946</v>
      </c>
    </row>
    <row r="9" spans="1:20" x14ac:dyDescent="0.35">
      <c r="A9" s="4" t="s">
        <v>12</v>
      </c>
      <c r="B9" s="44"/>
      <c r="C9" s="44">
        <v>11029.5</v>
      </c>
      <c r="D9" s="44"/>
      <c r="E9" s="44">
        <v>5250</v>
      </c>
      <c r="F9" s="44"/>
      <c r="G9" s="44">
        <v>16279.5</v>
      </c>
      <c r="H9" s="44"/>
      <c r="I9" s="4" t="s">
        <v>12</v>
      </c>
      <c r="J9" s="23"/>
      <c r="K9" s="23">
        <v>3440</v>
      </c>
      <c r="L9" s="23"/>
      <c r="M9" s="23">
        <v>2000</v>
      </c>
      <c r="N9" s="23"/>
      <c r="O9" s="23">
        <v>5440</v>
      </c>
    </row>
    <row r="10" spans="1:20" x14ac:dyDescent="0.35">
      <c r="A10" s="4" t="s">
        <v>48</v>
      </c>
      <c r="B10" s="44"/>
      <c r="C10" s="44"/>
      <c r="D10" s="44">
        <v>115980</v>
      </c>
      <c r="E10" s="44">
        <v>60005</v>
      </c>
      <c r="F10" s="44">
        <v>13061</v>
      </c>
      <c r="G10" s="44">
        <v>189046</v>
      </c>
      <c r="H10" s="44"/>
      <c r="I10" s="4" t="s">
        <v>48</v>
      </c>
      <c r="J10" s="23"/>
      <c r="K10" s="23"/>
      <c r="L10" s="23">
        <v>38100</v>
      </c>
      <c r="M10" s="23">
        <v>19300</v>
      </c>
      <c r="N10" s="23">
        <v>4300</v>
      </c>
      <c r="O10" s="23">
        <v>61700</v>
      </c>
    </row>
    <row r="11" spans="1:20" x14ac:dyDescent="0.35">
      <c r="A11" s="4" t="s">
        <v>69</v>
      </c>
      <c r="B11" s="44"/>
      <c r="C11" s="44"/>
      <c r="D11" s="44"/>
      <c r="E11" s="44">
        <v>17406</v>
      </c>
      <c r="F11" s="44">
        <v>10735</v>
      </c>
      <c r="G11" s="44">
        <v>28141</v>
      </c>
      <c r="H11" s="44"/>
      <c r="I11" s="4" t="s">
        <v>69</v>
      </c>
      <c r="J11" s="23"/>
      <c r="K11" s="23"/>
      <c r="L11" s="23"/>
      <c r="M11" s="23">
        <v>6200</v>
      </c>
      <c r="N11" s="23">
        <v>3500</v>
      </c>
      <c r="O11" s="23">
        <v>9700</v>
      </c>
    </row>
    <row r="12" spans="1:20" x14ac:dyDescent="0.35">
      <c r="A12" s="4" t="s">
        <v>93</v>
      </c>
      <c r="B12" s="44"/>
      <c r="C12" s="44"/>
      <c r="D12" s="44">
        <v>20154</v>
      </c>
      <c r="E12" s="44"/>
      <c r="F12" s="44"/>
      <c r="G12" s="44">
        <v>20154</v>
      </c>
      <c r="H12" s="44"/>
      <c r="I12" s="4" t="s">
        <v>93</v>
      </c>
      <c r="J12" s="23"/>
      <c r="K12" s="23"/>
      <c r="L12" s="23">
        <v>13200</v>
      </c>
      <c r="M12" s="23"/>
      <c r="N12" s="23"/>
      <c r="O12" s="23">
        <v>13200</v>
      </c>
    </row>
    <row r="13" spans="1:20" x14ac:dyDescent="0.35">
      <c r="A13" s="4" t="s">
        <v>20</v>
      </c>
      <c r="B13" s="44"/>
      <c r="C13" s="44"/>
      <c r="D13" s="44">
        <v>5906</v>
      </c>
      <c r="E13" s="44"/>
      <c r="F13" s="44"/>
      <c r="G13" s="44">
        <v>5906</v>
      </c>
      <c r="H13" s="44"/>
      <c r="I13" s="4" t="s">
        <v>20</v>
      </c>
      <c r="J13" s="23"/>
      <c r="K13" s="23"/>
      <c r="L13" s="23">
        <v>1900</v>
      </c>
      <c r="M13" s="23"/>
      <c r="N13" s="23"/>
      <c r="O13" s="23">
        <v>1900</v>
      </c>
    </row>
    <row r="14" spans="1:20" x14ac:dyDescent="0.35">
      <c r="A14" s="4" t="s">
        <v>29</v>
      </c>
      <c r="B14" s="44"/>
      <c r="C14" s="44">
        <v>25926</v>
      </c>
      <c r="D14" s="44"/>
      <c r="E14" s="44"/>
      <c r="F14" s="44"/>
      <c r="G14" s="44">
        <v>25926</v>
      </c>
      <c r="H14" s="44"/>
      <c r="I14" s="4" t="s">
        <v>29</v>
      </c>
      <c r="J14" s="23"/>
      <c r="K14" s="23">
        <v>11000</v>
      </c>
      <c r="L14" s="23"/>
      <c r="M14" s="23"/>
      <c r="N14" s="23"/>
      <c r="O14" s="23">
        <v>11000</v>
      </c>
    </row>
    <row r="15" spans="1:20" x14ac:dyDescent="0.35">
      <c r="A15" s="4" t="s">
        <v>41</v>
      </c>
      <c r="B15" s="44"/>
      <c r="C15" s="44">
        <v>2335</v>
      </c>
      <c r="D15" s="44"/>
      <c r="E15" s="44"/>
      <c r="F15" s="44"/>
      <c r="G15" s="44">
        <v>2335</v>
      </c>
      <c r="H15" s="44"/>
      <c r="I15" s="4" t="s">
        <v>41</v>
      </c>
      <c r="J15" s="23"/>
      <c r="K15" s="23">
        <v>1500</v>
      </c>
      <c r="L15" s="23"/>
      <c r="M15" s="23"/>
      <c r="N15" s="23"/>
      <c r="O15" s="23">
        <v>1500</v>
      </c>
    </row>
    <row r="16" spans="1:20" x14ac:dyDescent="0.35">
      <c r="A16" s="4" t="s">
        <v>203</v>
      </c>
      <c r="B16" s="44"/>
      <c r="C16" s="44"/>
      <c r="D16" s="44"/>
      <c r="E16" s="44"/>
      <c r="F16" s="44"/>
      <c r="G16" s="44"/>
      <c r="H16" s="44"/>
      <c r="I16" s="4" t="s">
        <v>203</v>
      </c>
      <c r="J16" s="23"/>
      <c r="K16" s="23"/>
      <c r="L16" s="23"/>
      <c r="M16" s="23"/>
      <c r="N16" s="23"/>
      <c r="O16" s="23"/>
    </row>
    <row r="17" spans="1:15" x14ac:dyDescent="0.35">
      <c r="A17" s="4" t="s">
        <v>149</v>
      </c>
      <c r="B17" s="44"/>
      <c r="C17" s="44"/>
      <c r="D17" s="44"/>
      <c r="E17" s="44">
        <v>36990</v>
      </c>
      <c r="F17" s="44"/>
      <c r="G17" s="44">
        <v>36990</v>
      </c>
      <c r="H17" s="44"/>
      <c r="I17" s="4" t="s">
        <v>149</v>
      </c>
      <c r="J17" s="23"/>
      <c r="K17" s="23"/>
      <c r="L17" s="23"/>
      <c r="M17" s="23">
        <v>20000</v>
      </c>
      <c r="N17" s="23">
        <v>100</v>
      </c>
      <c r="O17" s="23">
        <v>20100</v>
      </c>
    </row>
    <row r="18" spans="1:15" x14ac:dyDescent="0.35">
      <c r="A18" s="4" t="s">
        <v>161</v>
      </c>
      <c r="B18" s="44"/>
      <c r="C18" s="44"/>
      <c r="D18" s="44"/>
      <c r="E18" s="44">
        <v>11680</v>
      </c>
      <c r="F18" s="44"/>
      <c r="G18" s="44">
        <v>11680</v>
      </c>
      <c r="I18" s="4" t="s">
        <v>161</v>
      </c>
      <c r="J18" s="23"/>
      <c r="K18" s="23"/>
      <c r="L18" s="23"/>
      <c r="M18" s="23">
        <v>8500</v>
      </c>
      <c r="N18" s="23"/>
      <c r="O18" s="23">
        <v>8500</v>
      </c>
    </row>
    <row r="19" spans="1:15" x14ac:dyDescent="0.35">
      <c r="A19" s="4" t="s">
        <v>172</v>
      </c>
      <c r="B19" s="44"/>
      <c r="C19" s="44"/>
      <c r="D19" s="44"/>
      <c r="E19" s="44"/>
      <c r="F19" s="44">
        <v>1105</v>
      </c>
      <c r="G19" s="44">
        <v>1105</v>
      </c>
      <c r="I19" s="4" t="s">
        <v>172</v>
      </c>
      <c r="J19" s="23"/>
      <c r="K19" s="23"/>
      <c r="L19" s="23"/>
      <c r="M19" s="23"/>
      <c r="N19" s="23">
        <v>500</v>
      </c>
      <c r="O19" s="23">
        <v>500</v>
      </c>
    </row>
    <row r="20" spans="1:15" x14ac:dyDescent="0.35">
      <c r="A20" s="4" t="s">
        <v>179</v>
      </c>
      <c r="B20" s="44"/>
      <c r="C20" s="44"/>
      <c r="D20" s="44"/>
      <c r="E20" s="44"/>
      <c r="F20" s="44">
        <v>12178</v>
      </c>
      <c r="G20" s="44">
        <v>12178</v>
      </c>
      <c r="I20" s="4" t="s">
        <v>179</v>
      </c>
      <c r="J20" s="23"/>
      <c r="K20" s="23"/>
      <c r="L20" s="23"/>
      <c r="M20" s="23"/>
      <c r="N20" s="23">
        <v>5900</v>
      </c>
      <c r="O20" s="23">
        <v>5900</v>
      </c>
    </row>
    <row r="21" spans="1:15" x14ac:dyDescent="0.35">
      <c r="A21" s="4" t="s">
        <v>180</v>
      </c>
      <c r="B21" s="44"/>
      <c r="C21" s="44"/>
      <c r="D21" s="44"/>
      <c r="E21" s="44"/>
      <c r="F21" s="44">
        <v>4543</v>
      </c>
      <c r="G21" s="44">
        <v>4543</v>
      </c>
      <c r="I21" s="4" t="s">
        <v>180</v>
      </c>
      <c r="J21" s="23"/>
      <c r="K21" s="23"/>
      <c r="L21" s="23"/>
      <c r="M21" s="23"/>
      <c r="N21" s="23">
        <v>700</v>
      </c>
      <c r="O21" s="23">
        <v>700</v>
      </c>
    </row>
    <row r="22" spans="1:15" x14ac:dyDescent="0.35">
      <c r="A22" s="4" t="s">
        <v>156</v>
      </c>
      <c r="B22" s="44"/>
      <c r="C22" s="44">
        <v>52735.5</v>
      </c>
      <c r="D22" s="44">
        <v>142040</v>
      </c>
      <c r="E22" s="44">
        <v>140606</v>
      </c>
      <c r="F22" s="44">
        <v>41622</v>
      </c>
      <c r="G22" s="44">
        <v>377003.5</v>
      </c>
      <c r="I22" s="4" t="s">
        <v>156</v>
      </c>
      <c r="J22" s="23"/>
      <c r="K22" s="23">
        <v>19340</v>
      </c>
      <c r="L22" s="23">
        <v>53200</v>
      </c>
      <c r="M22" s="23">
        <v>58546</v>
      </c>
      <c r="N22" s="23">
        <v>15000</v>
      </c>
      <c r="O22" s="23">
        <v>146086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AD93-1768-4BE3-95B3-12BA6F3C7B38}">
  <dimension ref="A1:C1"/>
  <sheetViews>
    <sheetView workbookViewId="0">
      <selection activeCell="H16" sqref="H16"/>
    </sheetView>
  </sheetViews>
  <sheetFormatPr baseColWidth="10" defaultColWidth="9.453125" defaultRowHeight="14.5" x14ac:dyDescent="0.35"/>
  <cols>
    <col min="1" max="1" width="31.453125" customWidth="1"/>
  </cols>
  <sheetData>
    <row r="1" spans="1:3" x14ac:dyDescent="0.35">
      <c r="A1" t="s">
        <v>139</v>
      </c>
      <c r="B1" t="s">
        <v>7</v>
      </c>
      <c r="C1" t="s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FOLLOW-UP PEDIDOS</vt:lpstr>
      <vt:lpstr>Detalhes  pedidos</vt:lpstr>
      <vt:lpstr>VOLUME-VALOR-AVRG PRICE</vt:lpstr>
      <vt:lpstr>Sequência interna invoicing</vt:lpstr>
      <vt:lpstr>calculos diversos Flexivel</vt:lpstr>
      <vt:lpstr>S&amp;OP Entregas-Produção</vt:lpstr>
      <vt:lpstr>Inducol</vt:lpstr>
      <vt:lpstr>Dinâmicas</vt:lpstr>
      <vt:lpstr>info geral</vt:lpstr>
      <vt:lpstr>'Detalhes  pedidos'!Área_de_impresión</vt:lpstr>
      <vt:lpstr>'FOLLOW-UP PEDIDOS'!Área_de_impresión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Martinez</dc:creator>
  <cp:lastModifiedBy>Mary Martinez</cp:lastModifiedBy>
  <cp:lastPrinted>2026-07-14T12:29:48Z</cp:lastPrinted>
  <dcterms:created xsi:type="dcterms:W3CDTF">2025-04-23T19:17:24Z</dcterms:created>
  <dcterms:modified xsi:type="dcterms:W3CDTF">2026-10-01T18:14:22Z</dcterms:modified>
</cp:coreProperties>
</file>