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de-PCP\06- PCP - COLCHÃO\EXPORTAÇÃO\FOLLOW-UP DIARIO PEDIDOS BRASIL - 2025 - 2026\"/>
    </mc:Choice>
  </mc:AlternateContent>
  <xr:revisionPtr revIDLastSave="0" documentId="13_ncr:1_{A3C8E749-26D0-42B4-A17E-ABCF6AFB549B}" xr6:coauthVersionLast="47" xr6:coauthVersionMax="47" xr10:uidLastSave="{00000000-0000-0000-0000-000000000000}"/>
  <bookViews>
    <workbookView xWindow="-110" yWindow="-110" windowWidth="19420" windowHeight="10300" tabRatio="581" xr2:uid="{4D8C5C05-1E14-457E-9B7C-D4690C509CBE}"/>
  </bookViews>
  <sheets>
    <sheet name="Proform Rev. 2026" sheetId="1" r:id="rId1"/>
    <sheet name="Order Records " sheetId="7" r:id="rId2"/>
    <sheet name="Incoterms-Carrier-NCM" sheetId="5" state="hidden" r:id="rId3"/>
    <sheet name="Importer" sheetId="3" state="hidden" r:id="rId4"/>
    <sheet name="Delivery place-Contact" sheetId="4" state="hidden" r:id="rId5"/>
    <sheet name="Dimensions (cm)" sheetId="8" state="hidden" r:id="rId6"/>
    <sheet name="payment terms" sheetId="6" state="hidden" r:id="rId7"/>
    <sheet name="package" sheetId="2" state="hidden" r:id="rId8"/>
  </sheets>
  <definedNames>
    <definedName name="_xlnm.Print_Area" localSheetId="0">'Proform Rev. 2026'!$C$2:$O$81</definedName>
    <definedName name="DatosExternos_1" localSheetId="7" hidden="1">package!$A$1:$A$45</definedName>
    <definedName name="Package">'Proform Rev. 2026'!$I$62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9" i="1" l="1"/>
  <c r="M65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U34" i="1"/>
  <c r="U33" i="1"/>
  <c r="U32" i="1"/>
  <c r="U31" i="1"/>
  <c r="S30" i="1"/>
  <c r="U30" i="1" s="1"/>
  <c r="S29" i="1"/>
  <c r="P29" i="1"/>
  <c r="U29" i="1" l="1"/>
  <c r="U65" i="1" s="1"/>
  <c r="B40" i="7" l="1"/>
  <c r="C32" i="7"/>
  <c r="D14" i="7"/>
  <c r="G13" i="7"/>
  <c r="G12" i="7"/>
  <c r="G11" i="7"/>
  <c r="G10" i="7"/>
  <c r="G9" i="7"/>
  <c r="G8" i="7"/>
  <c r="G7" i="7"/>
  <c r="K5" i="2"/>
  <c r="N12" i="1"/>
  <c r="G4" i="8"/>
  <c r="L22" i="1"/>
  <c r="L21" i="1"/>
  <c r="L20" i="1"/>
  <c r="M17" i="1"/>
  <c r="L17" i="1"/>
  <c r="L16" i="1"/>
  <c r="L15" i="1"/>
  <c r="L14" i="1"/>
  <c r="L11" i="1"/>
  <c r="L10" i="1"/>
  <c r="D63" i="1" s="1"/>
  <c r="L9" i="1"/>
  <c r="L8" i="1"/>
  <c r="K59" i="1"/>
  <c r="M62" i="1" s="1"/>
  <c r="M63" i="1" s="1"/>
  <c r="I59" i="1"/>
  <c r="M29" i="1"/>
  <c r="L60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B33" i="7" l="1"/>
  <c r="B34" i="7" s="1"/>
  <c r="G14" i="7"/>
  <c r="C61" i="1"/>
  <c r="M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  <author>c.fidencio</author>
  </authors>
  <commentList>
    <comment ref="L14" authorId="0" shapeId="0" xr:uid="{9C0E2B8E-199E-492D-B073-A44D6FA3919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cells with formula; do not modify</t>
        </r>
      </text>
    </comment>
    <comment ref="L20" authorId="0" shapeId="0" xr:uid="{9B69396C-0C94-4DA4-A370-C0AD94F041D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cells with formula; do not modify</t>
        </r>
      </text>
    </comment>
    <comment ref="I62" authorId="0" shapeId="0" xr:uid="{254FD1E0-D2A8-4FF2-9925-3F6FF621E4C4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Manual input- Calcular</t>
        </r>
      </text>
    </comment>
    <comment ref="I63" authorId="1" shapeId="0" xr:uid="{C0787FB5-888A-4E1E-B06C-E8D683992D6D}">
      <text>
        <r>
          <rPr>
            <b/>
            <sz val="8"/>
            <color indexed="81"/>
            <rFont val="Tahoma"/>
            <family val="2"/>
          </rPr>
          <t>Pick list</t>
        </r>
        <r>
          <rPr>
            <sz val="8"/>
            <color indexed="81"/>
            <rFont val="Tahoma"/>
            <family val="2"/>
          </rPr>
          <t xml:space="preserve">; please choose an option
</t>
        </r>
        <r>
          <rPr>
            <b/>
            <sz val="8"/>
            <color indexed="81"/>
            <rFont val="Tahoma"/>
            <family val="2"/>
          </rPr>
          <t>P-I:
Format: CxLxA</t>
        </r>
      </text>
    </comment>
    <comment ref="M65" authorId="0" shapeId="0" xr:uid="{CD77BA7C-8EC8-4378-879C-1E130700DF5A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This cell contains a formula for estimation purposes; please do not modify UNLESS you're going to use the information for a final Invoice</t>
        </r>
      </text>
    </comment>
    <comment ref="U65" authorId="0" shapeId="0" xr:uid="{9620F8F4-B846-4483-ABB6-88577B9A1EAF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cubagem para Invoice com input reala da produção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A32" authorId="0" shapeId="0" xr:uid="{1BBAC067-09DD-4EA2-9C2E-868BC8DB964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input mts x artigo</t>
        </r>
      </text>
    </comment>
    <comment ref="B32" authorId="0" shapeId="0" xr:uid="{69ABE62E-A627-4EC9-B5E0-B5C7A3F039F5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input x artigo
</t>
        </r>
      </text>
    </comment>
    <comment ref="C33" authorId="0" shapeId="0" xr:uid="{0E7EA832-2493-4456-AFBA-E006023C7F2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Input GSM x artigo
</t>
        </r>
      </text>
    </comment>
    <comment ref="A40" authorId="0" shapeId="0" xr:uid="{6D9B50CE-8ADD-4E61-9D4E-B50437B9FC1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input mts totais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c.fidencio</author>
  </authors>
  <commentList>
    <comment ref="B2" authorId="0" shapeId="0" xr:uid="{AF9525F0-9E91-4795-8C93-E6D302968F9B}">
      <text>
        <r>
          <rPr>
            <b/>
            <sz val="8"/>
            <color indexed="81"/>
            <rFont val="Tahoma"/>
            <family val="2"/>
          </rPr>
          <t xml:space="preserve">P-I:
Format: </t>
        </r>
        <r>
          <rPr>
            <sz val="8"/>
            <color indexed="81"/>
            <rFont val="Tahoma"/>
            <family val="2"/>
          </rPr>
          <t xml:space="preserve">CxLxA
</t>
        </r>
      </text>
    </comment>
    <comment ref="B3" authorId="0" shapeId="0" xr:uid="{4E87A037-471A-4DFC-A903-B448C5202A38}">
      <text>
        <r>
          <rPr>
            <b/>
            <sz val="8"/>
            <color indexed="81"/>
            <rFont val="Tahoma"/>
            <family val="2"/>
          </rPr>
          <t xml:space="preserve">P-I:
Format: </t>
        </r>
        <r>
          <rPr>
            <sz val="8"/>
            <color indexed="81"/>
            <rFont val="Tahoma"/>
            <family val="2"/>
          </rPr>
          <t xml:space="preserve">CxLxA
</t>
        </r>
      </text>
    </comment>
    <comment ref="B4" authorId="0" shapeId="0" xr:uid="{20B71611-B1F0-4806-B6ED-F484AA3E9294}">
      <text>
        <r>
          <rPr>
            <b/>
            <sz val="8"/>
            <color indexed="81"/>
            <rFont val="Tahoma"/>
            <family val="2"/>
          </rPr>
          <t xml:space="preserve">P-I:
Format: </t>
        </r>
        <r>
          <rPr>
            <sz val="8"/>
            <color indexed="81"/>
            <rFont val="Tahoma"/>
            <family val="2"/>
          </rPr>
          <t xml:space="preserve">CxLxA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6C9EC4-4675-42EA-9EAA-575D82301A56}" keepAlive="1" name="Consulta - Box" description="Conexión a la consulta 'Box' en el libro." type="5" refreshedVersion="8" background="1" saveData="1">
    <dbPr connection="Provider=Microsoft.Mashup.OleDb.1;Data Source=$Workbook$;Location=Box;Extended Properties=&quot;&quot;" command="SELECT * FROM [Box]"/>
  </connection>
</connections>
</file>

<file path=xl/sharedStrings.xml><?xml version="1.0" encoding="utf-8"?>
<sst xmlns="http://schemas.openxmlformats.org/spreadsheetml/2006/main" count="644" uniqueCount="438">
  <si>
    <t xml:space="preserve"> Importer:</t>
  </si>
  <si>
    <t>Date:</t>
  </si>
  <si>
    <t>Incoterm:</t>
  </si>
  <si>
    <t xml:space="preserve"> Contact:</t>
  </si>
  <si>
    <t>Currency:</t>
  </si>
  <si>
    <t xml:space="preserve"> Phone:</t>
  </si>
  <si>
    <t>Payment Term:</t>
  </si>
  <si>
    <t>Carrier:</t>
  </si>
  <si>
    <t>For further credit to: BRASBRRJSBO - Banco do Brasil, São Paulo (SP)</t>
  </si>
  <si>
    <t>In favor of account IBAN: BR2700000000033470000064521C1</t>
  </si>
  <si>
    <t>Beneficiary: Conexao Malhas e Desenvolvimento LTDA</t>
  </si>
  <si>
    <t>Code</t>
  </si>
  <si>
    <t>Description</t>
  </si>
  <si>
    <t>Mts</t>
  </si>
  <si>
    <t>KGs</t>
  </si>
  <si>
    <t>Price</t>
  </si>
  <si>
    <t>Total</t>
  </si>
  <si>
    <t>Total EXW</t>
  </si>
  <si>
    <t>Freight</t>
  </si>
  <si>
    <t>VAT</t>
  </si>
  <si>
    <t>Insurance</t>
  </si>
  <si>
    <t>Total C+F</t>
  </si>
  <si>
    <t>Total CIF</t>
  </si>
  <si>
    <t>Place of Loading:</t>
  </si>
  <si>
    <t>Jundiaí</t>
  </si>
  <si>
    <t>Net Weight (Kg):</t>
  </si>
  <si>
    <t>Place of Delivery:</t>
  </si>
  <si>
    <t>Dimensions (cm):</t>
  </si>
  <si>
    <t>Gross Weight (Kg):</t>
  </si>
  <si>
    <t>Contact:</t>
  </si>
  <si>
    <t>Anderson Henrique</t>
  </si>
  <si>
    <t>Phone:</t>
  </si>
  <si>
    <t>+55 (11) 98277.5920</t>
  </si>
  <si>
    <t>anderson@conexaomalhas.com.br</t>
  </si>
  <si>
    <t>Totvs</t>
  </si>
  <si>
    <t>Package</t>
  </si>
  <si>
    <t>-</t>
  </si>
  <si>
    <t>Importer</t>
  </si>
  <si>
    <t>Address</t>
  </si>
  <si>
    <t>Email:</t>
  </si>
  <si>
    <t>Av. General Velasquez, 10000</t>
  </si>
  <si>
    <t>City</t>
  </si>
  <si>
    <t>Area</t>
  </si>
  <si>
    <t>Country</t>
  </si>
  <si>
    <t>San Bernardo</t>
  </si>
  <si>
    <t>Santiago</t>
  </si>
  <si>
    <t>Chile</t>
  </si>
  <si>
    <t>Client</t>
  </si>
  <si>
    <t>Address 1</t>
  </si>
  <si>
    <t>Address 2</t>
  </si>
  <si>
    <t>Bodega MARVAL</t>
  </si>
  <si>
    <t>Carretera A Cotoca Km 9 1/2</t>
  </si>
  <si>
    <t>Guapão</t>
  </si>
  <si>
    <t>Santa Cruz de la Sierra</t>
  </si>
  <si>
    <t>Bolivia</t>
  </si>
  <si>
    <t>NIT</t>
  </si>
  <si>
    <t>03875261017</t>
  </si>
  <si>
    <t xml:space="preserve">contact </t>
  </si>
  <si>
    <t>phone</t>
  </si>
  <si>
    <t>email</t>
  </si>
  <si>
    <t>Paulina Mena</t>
  </si>
  <si>
    <t>56 96205 0626</t>
  </si>
  <si>
    <t>paulina.mena@flex.es</t>
  </si>
  <si>
    <t>Severiano Melgar</t>
  </si>
  <si>
    <t>591 78516162</t>
  </si>
  <si>
    <t>jefecompras@colchonesheaven.com</t>
  </si>
  <si>
    <t>Av. Valentín Gómez 577</t>
  </si>
  <si>
    <t>Haedo</t>
  </si>
  <si>
    <t>Buenos Aires</t>
  </si>
  <si>
    <t>Argentina</t>
  </si>
  <si>
    <t>CUIT</t>
  </si>
  <si>
    <t>30-70886313-7</t>
  </si>
  <si>
    <t>Rubén Pellegrini</t>
  </si>
  <si>
    <t>54 9 11 4419 8124</t>
  </si>
  <si>
    <t>distribuidoracaseros@gmail.com</t>
  </si>
  <si>
    <t>Ypacaraí</t>
  </si>
  <si>
    <t>Paraguay</t>
  </si>
  <si>
    <t>RUC</t>
  </si>
  <si>
    <t>80014868-1</t>
  </si>
  <si>
    <t>Nidia Villalba</t>
  </si>
  <si>
    <t>595 21 588 8000</t>
  </si>
  <si>
    <t>nvillalba@ypsa.com.py</t>
  </si>
  <si>
    <t>BED TIME S.A.</t>
  </si>
  <si>
    <t>Marcos Sastre 2300, B1610</t>
  </si>
  <si>
    <t>Tigre</t>
  </si>
  <si>
    <t>Provincia de Buenos Aires</t>
  </si>
  <si>
    <t xml:space="preserve">Argentina </t>
  </si>
  <si>
    <t>30-71619801-0</t>
  </si>
  <si>
    <t>Cerro Portezuelo 9800</t>
  </si>
  <si>
    <t xml:space="preserve">Quilicura </t>
  </si>
  <si>
    <t>Región Metropolitana de Santiago</t>
  </si>
  <si>
    <t>RUT</t>
  </si>
  <si>
    <t>76227869-3</t>
  </si>
  <si>
    <t>Juan Carlos Villarroel</t>
  </si>
  <si>
    <t>56 98529 7739</t>
  </si>
  <si>
    <t>jcvillarroel@sunlock.cl</t>
  </si>
  <si>
    <t>80031782-3</t>
  </si>
  <si>
    <t>Leticia Roig</t>
  </si>
  <si>
    <t>595 985 629024</t>
  </si>
  <si>
    <t>leticia.roig@superspuma.com</t>
  </si>
  <si>
    <t>DIVINO SOCIEDAD ANONIMA</t>
  </si>
  <si>
    <t>Montevideo</t>
  </si>
  <si>
    <t>Uruguay</t>
  </si>
  <si>
    <t>210001310011</t>
  </si>
  <si>
    <t>Franco Machao</t>
  </si>
  <si>
    <t>598 2 506 1262</t>
  </si>
  <si>
    <t>franco.machao@divino.com.uy</t>
  </si>
  <si>
    <t>Calle Diaz N° S/N</t>
  </si>
  <si>
    <t>Collpapampa Colcapirhua</t>
  </si>
  <si>
    <t>Cochabamba</t>
  </si>
  <si>
    <t>00307332021</t>
  </si>
  <si>
    <t>José Luis Balderrama</t>
  </si>
  <si>
    <t>591 76971755</t>
  </si>
  <si>
    <t>inducolsrl@outlook.com</t>
  </si>
  <si>
    <t>212116660011</t>
  </si>
  <si>
    <t>Eliana Garayalde</t>
  </si>
  <si>
    <t>598 2320 2320</t>
  </si>
  <si>
    <t>polymax@polymax.com.uy</t>
  </si>
  <si>
    <t>email 2</t>
  </si>
  <si>
    <t>asistente.gerencia@polymax.com.uy</t>
  </si>
  <si>
    <t>Nicaragua 1651</t>
  </si>
  <si>
    <t>Sarandí</t>
  </si>
  <si>
    <t>Ezequiel Lovera</t>
  </si>
  <si>
    <t>54 11 7090 5500</t>
  </si>
  <si>
    <t>compras@springwall.com.ar</t>
  </si>
  <si>
    <t>Quito 170526</t>
  </si>
  <si>
    <t>Ecuador</t>
  </si>
  <si>
    <t>1790098230001</t>
  </si>
  <si>
    <t>José Luis Andrango</t>
  </si>
  <si>
    <t>593 999 494115</t>
  </si>
  <si>
    <t>joseandrango@paraiso.com.ec</t>
  </si>
  <si>
    <t>Delivery Place:</t>
  </si>
  <si>
    <t>USD</t>
  </si>
  <si>
    <t>EXW</t>
  </si>
  <si>
    <t>FCA</t>
  </si>
  <si>
    <t>Free Carrier</t>
  </si>
  <si>
    <t>Ex Works</t>
  </si>
  <si>
    <t>CPT</t>
  </si>
  <si>
    <t>Carriage Paid to</t>
  </si>
  <si>
    <t>CIP</t>
  </si>
  <si>
    <t>Carriage and Insurace Paid to</t>
  </si>
  <si>
    <t>DAT</t>
  </si>
  <si>
    <t>Delivered at Terminal</t>
  </si>
  <si>
    <t>DPU</t>
  </si>
  <si>
    <t>Delivered at Place Unloaded</t>
  </si>
  <si>
    <t>DDP</t>
  </si>
  <si>
    <t>Delivered Duty Paid</t>
  </si>
  <si>
    <t>Incoterm</t>
  </si>
  <si>
    <t>Sebastián Mayo</t>
  </si>
  <si>
    <t>54 (9) 11 3267 6018</t>
  </si>
  <si>
    <t>smayo@bedtime.com.ar</t>
  </si>
  <si>
    <t>Rua Ypane-Villeta y Arroyo Avay</t>
  </si>
  <si>
    <t>Av. Italia</t>
  </si>
  <si>
    <t>Cno Casavalle</t>
  </si>
  <si>
    <t>Av. Amazonas E4-69 y Av. Patria.</t>
  </si>
  <si>
    <t xml:space="preserve"> Edif. Cofiec Piso 6 y 7</t>
  </si>
  <si>
    <t>Km 41</t>
  </si>
  <si>
    <t>Ruta PY 02</t>
  </si>
  <si>
    <t>50% Pre Payment - 50% After Received</t>
  </si>
  <si>
    <t>30 days after received</t>
  </si>
  <si>
    <t>90 Days</t>
  </si>
  <si>
    <t>60 Days</t>
  </si>
  <si>
    <t>Pre Payment - 100% Counter Expedition</t>
  </si>
  <si>
    <t>Pre-payment</t>
  </si>
  <si>
    <t>30 days</t>
  </si>
  <si>
    <t>30 - 60 DAYS</t>
  </si>
  <si>
    <t>25% Advanced - 2 Cuotes 60/90</t>
  </si>
  <si>
    <t>30 days, after customs clearance</t>
  </si>
  <si>
    <t>60 days, after customs clearance</t>
  </si>
  <si>
    <t>30/60/90</t>
  </si>
  <si>
    <t>Payment Terms</t>
  </si>
  <si>
    <t>Sea</t>
  </si>
  <si>
    <t>Air</t>
  </si>
  <si>
    <t>Land</t>
  </si>
  <si>
    <t>Multimodal</t>
  </si>
  <si>
    <t>Carrier</t>
  </si>
  <si>
    <t>Conexão Malhas e Desenvolvimento LTDA</t>
  </si>
  <si>
    <t>Av. Benedito Quina da Silva, 337 - Jardim Ermida I</t>
  </si>
  <si>
    <t/>
  </si>
  <si>
    <t>Villeta, Central</t>
  </si>
  <si>
    <t xml:space="preserve"> Email:</t>
  </si>
  <si>
    <t>NCM-HS Code:</t>
  </si>
  <si>
    <t>6006.31.20</t>
  </si>
  <si>
    <t>160-220</t>
  </si>
  <si>
    <t>2,20x 0,30x 0,30</t>
  </si>
  <si>
    <t>2,20x 0,35x 0,35</t>
  </si>
  <si>
    <t>2,20x 0,40x 0,40</t>
  </si>
  <si>
    <t>Late Payment Charge:</t>
  </si>
  <si>
    <t>Jundiaí - São Paulo - Zipcode: 13212-141 - Brazil</t>
  </si>
  <si>
    <t>FOB</t>
  </si>
  <si>
    <t>Free On Board</t>
  </si>
  <si>
    <t>1.5% per month after payment deadline</t>
  </si>
  <si>
    <r>
      <rPr>
        <b/>
        <sz val="10"/>
        <color indexed="8"/>
        <rFont val="Helvetica"/>
      </rPr>
      <t>Pay to</t>
    </r>
    <r>
      <rPr>
        <sz val="10"/>
        <color indexed="8"/>
        <rFont val="Helvetica"/>
      </rPr>
      <t>: BRASUS33 - Banco do Brasil, New York Branch - ABA 026003557</t>
    </r>
  </si>
  <si>
    <t>+220</t>
  </si>
  <si>
    <t>+380</t>
  </si>
  <si>
    <t>Dimesions (cm)</t>
  </si>
  <si>
    <t>Our Web site:</t>
  </si>
  <si>
    <t>https://www.conexaomalhas.com.br</t>
  </si>
  <si>
    <t>x</t>
  </si>
  <si>
    <t>MTS</t>
  </si>
  <si>
    <t>KG</t>
  </si>
  <si>
    <t>GR</t>
  </si>
  <si>
    <t>1 roll package  (embalagem) =   + 0,350gr</t>
  </si>
  <si>
    <t>DAVID MORENO VISCARRA</t>
  </si>
  <si>
    <t>DISTRIBUIDORA CASEROS</t>
  </si>
  <si>
    <t>INDUCOL - INDUSTRIA DE COLCHONES SRL</t>
  </si>
  <si>
    <t>PRODUCTOS PARAISO DEL ECUADOR CL</t>
  </si>
  <si>
    <t>SUNLOCK SPA</t>
  </si>
  <si>
    <t>VAZQUEZ S.A.C.I.I - SPRINGWALL</t>
  </si>
  <si>
    <t>YP S.A. - GRUPO SUEÑOLAR</t>
  </si>
  <si>
    <t>NO USAR - DEIXAR CAMPO ABERTO</t>
  </si>
  <si>
    <r>
      <t>Aprox. 22.000 Mts = 100M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 (camião completo)</t>
    </r>
  </si>
  <si>
    <r>
      <t>Cubage (M</t>
    </r>
    <r>
      <rPr>
        <b/>
        <vertAlign val="superscript"/>
        <sz val="10"/>
        <color theme="1"/>
        <rFont val="Helvetica"/>
      </rPr>
      <t>3</t>
    </r>
    <r>
      <rPr>
        <b/>
        <sz val="10"/>
        <color theme="1"/>
        <rFont val="Helvetica"/>
      </rPr>
      <t>):</t>
    </r>
  </si>
  <si>
    <t>6006.33.20</t>
  </si>
  <si>
    <t>6006.31.00</t>
  </si>
  <si>
    <t>6006.33.00</t>
  </si>
  <si>
    <t xml:space="preserve">30-50255115-5 </t>
  </si>
  <si>
    <r>
      <t xml:space="preserve">CNPJ: </t>
    </r>
    <r>
      <rPr>
        <b/>
        <sz val="10"/>
        <color theme="1"/>
        <rFont val="Helvetica"/>
      </rPr>
      <t>74283375000142</t>
    </r>
  </si>
  <si>
    <t>77.924.090-8</t>
  </si>
  <si>
    <t>SIMMONS DE ARGENTINA SAIC</t>
  </si>
  <si>
    <t>Gerli - Avellaneda</t>
  </si>
  <si>
    <t>Gral Heredia 626 -Zip 1869</t>
  </si>
  <si>
    <t>Martin Miller</t>
  </si>
  <si>
    <t>54 91162377072</t>
  </si>
  <si>
    <t xml:space="preserve">comercial@matrinmiller.com.ar </t>
  </si>
  <si>
    <t>Miami, FL 33033</t>
  </si>
  <si>
    <t xml:space="preserve">SW 301 Street Homestead </t>
  </si>
  <si>
    <t>United States</t>
  </si>
  <si>
    <t xml:space="preserve">Empresa Comercializadora Importadora Exportadora de La Industria Ligera </t>
  </si>
  <si>
    <t>Pedro Perez N°230 y Panchito Gómez y Ayestarán</t>
  </si>
  <si>
    <t>Cerro</t>
  </si>
  <si>
    <t>La Habana</t>
  </si>
  <si>
    <t>Cuba</t>
  </si>
  <si>
    <t>Walter Castro</t>
  </si>
  <si>
    <t>+1 (809) 224-3758</t>
  </si>
  <si>
    <t>waltercastrosuarez@gmail.com</t>
  </si>
  <si>
    <t>CUBA 1</t>
  </si>
  <si>
    <t>CUBA 2</t>
  </si>
  <si>
    <t>Obs.</t>
  </si>
  <si>
    <t>Tax ID Nbr:</t>
  </si>
  <si>
    <t>DAVID ROSABAL  (2)</t>
  </si>
  <si>
    <t>Order records  - Internal use only</t>
  </si>
  <si>
    <t>mts</t>
  </si>
  <si>
    <t>rolls</t>
  </si>
  <si>
    <t>CALCULOS ALEATORIOS</t>
  </si>
  <si>
    <t>MULTIESPUMAS VISCARRA S.R.L.</t>
  </si>
  <si>
    <t>AV. PERIMETRAL,EDIF. EMELEC SRL</t>
  </si>
  <si>
    <t>PARQUE INDUSTRIAL UV.00PI MZA.43B-ZONA CAMBODROMO</t>
  </si>
  <si>
    <t>Santa Cruz</t>
  </si>
  <si>
    <t>PARQUE INDUSTRIAL UV.00PI MZA.43B</t>
  </si>
  <si>
    <t>ENTRE 5TO Y 6TO ANILLO -CAMBODROMO</t>
  </si>
  <si>
    <t xml:space="preserve"> Daniel Garnica</t>
  </si>
  <si>
    <t>591 75501534</t>
  </si>
  <si>
    <t>daniel.garnica@colchonesheaven.com</t>
  </si>
  <si>
    <t>Rua Santo Rafagnin, 1120</t>
  </si>
  <si>
    <t>CEP 85865-370</t>
  </si>
  <si>
    <t>Foz de Iguaçu, Paraná</t>
  </si>
  <si>
    <t>Brasil</t>
  </si>
  <si>
    <t>05.196.643/0001-76</t>
  </si>
  <si>
    <t>Bairro Vila Portes</t>
  </si>
  <si>
    <t>Foz de Iguaçu</t>
  </si>
  <si>
    <t>Eliezer Garbin</t>
  </si>
  <si>
    <t>(45) 3572-8738</t>
  </si>
  <si>
    <t>FATURASERVAN@HOTMAIL.COM</t>
  </si>
  <si>
    <t>INMAPOL  S.A.C.I.F</t>
  </si>
  <si>
    <t xml:space="preserve">Dpto. Central </t>
  </si>
  <si>
    <t>Lambaré</t>
  </si>
  <si>
    <t>Marcos</t>
  </si>
  <si>
    <t>595 21 942 599</t>
  </si>
  <si>
    <t>madrisa@inmapol.com.py</t>
  </si>
  <si>
    <t>Av. Defensores del Chaco, 770</t>
  </si>
  <si>
    <t>Av. Defensores del Chaco</t>
  </si>
  <si>
    <t>COLCHONES PRINCE</t>
  </si>
  <si>
    <t>San Lorenzo</t>
  </si>
  <si>
    <t>Av. Avelino Martínez Esquina José Cataldi</t>
  </si>
  <si>
    <t xml:space="preserve">Av. Avelino Martínez </t>
  </si>
  <si>
    <t>Esquina José Cataldi</t>
  </si>
  <si>
    <t>As medidas padrão por g/m2:</t>
  </si>
  <si>
    <t>160 a 300g - 52m</t>
  </si>
  <si>
    <t>320 a 460g - 42m</t>
  </si>
  <si>
    <t>460g a teto - 32m</t>
  </si>
  <si>
    <t>Acima de 460g -  caso a caso pq depende do volume da peça e de outras condições pra definir o tamanho</t>
  </si>
  <si>
    <t>COLOR LIVING S.A.</t>
  </si>
  <si>
    <t>Jose Mateo Luque 350</t>
  </si>
  <si>
    <t>X5963 Villa del Rosario</t>
  </si>
  <si>
    <t>Córdoba</t>
  </si>
  <si>
    <t>30-59303662-2</t>
  </si>
  <si>
    <t xml:space="preserve">X5963 </t>
  </si>
  <si>
    <t>Villa del Rosario</t>
  </si>
  <si>
    <t>54 9 3525 51 0812</t>
  </si>
  <si>
    <t xml:space="preserve">TIENDAS LA GRANDE </t>
  </si>
  <si>
    <t>Av. México</t>
  </si>
  <si>
    <t>La Victoria</t>
  </si>
  <si>
    <t>Perú</t>
  </si>
  <si>
    <t>Milagros Grande</t>
  </si>
  <si>
    <t>964 345 341</t>
  </si>
  <si>
    <t>milagros.grande@grupograndesac.com</t>
  </si>
  <si>
    <t>Carlos Nuñez</t>
  </si>
  <si>
    <t>info@colchonesprince.com.py</t>
  </si>
  <si>
    <t>Luciano Bercovich</t>
  </si>
  <si>
    <t>lbercovich@colorliving.com.ar</t>
  </si>
  <si>
    <t xml:space="preserve">IMPORTADORA TERRA </t>
  </si>
  <si>
    <t>Av. Carmelo Ortiz #3795, entre 3º e 4º anillo</t>
  </si>
  <si>
    <t>Zona Nueva Feria – Barrio Lindo,</t>
  </si>
  <si>
    <t>Zona Nueva Feria</t>
  </si>
  <si>
    <t>Barrio Lindo</t>
  </si>
  <si>
    <t>SERVAN EXPORTADORA DE MANUFACTURADOS LTDA.</t>
  </si>
  <si>
    <t>LAMITEX S.A.</t>
  </si>
  <si>
    <t>Camino Repetto</t>
  </si>
  <si>
    <t>Claudio Zarlenga</t>
  </si>
  <si>
    <t>czarlenga@lamitex.com.uy</t>
  </si>
  <si>
    <t>00598 22260206</t>
  </si>
  <si>
    <t>Antes C. Prince</t>
  </si>
  <si>
    <t xml:space="preserve">COLCHONES DEL PARAGUAY S.R.L </t>
  </si>
  <si>
    <t>Calle Valentín Talavera</t>
  </si>
  <si>
    <t>casi Calle Ybate</t>
  </si>
  <si>
    <t>Barrio Yataity</t>
  </si>
  <si>
    <t>Ciudad de Capiatá</t>
  </si>
  <si>
    <t>80123926-5</t>
  </si>
  <si>
    <t>Calle Valentín Talavera casi Calle Ybate</t>
  </si>
  <si>
    <t>595 992700278</t>
  </si>
  <si>
    <t>Ancho</t>
  </si>
  <si>
    <t>M2</t>
  </si>
  <si>
    <t>&lt;-Kg</t>
  </si>
  <si>
    <t>Rolls</t>
  </si>
  <si>
    <t>CFR</t>
  </si>
  <si>
    <t>Cost and Freight</t>
  </si>
  <si>
    <t>000.26</t>
  </si>
  <si>
    <t>Proform-Invoice:</t>
  </si>
  <si>
    <t>CODIGO CLIENTE</t>
  </si>
  <si>
    <t>TOTAL</t>
  </si>
  <si>
    <t>CODIGO INTERNO</t>
  </si>
  <si>
    <t>TAB PRECIO:</t>
  </si>
  <si>
    <t>FECHA:</t>
  </si>
  <si>
    <t xml:space="preserve">CLIENTE #: </t>
  </si>
  <si>
    <t>PRECIO $</t>
  </si>
  <si>
    <t>COD. PROD.</t>
  </si>
  <si>
    <t>COD. TOTVS</t>
  </si>
  <si>
    <t>DESCRIPCION</t>
  </si>
  <si>
    <t>OBSERV.</t>
  </si>
  <si>
    <t>Gerardo Maidana</t>
  </si>
  <si>
    <t>Santa Fé</t>
  </si>
  <si>
    <t>1895 CEP 2300NWF Rafaela</t>
  </si>
  <si>
    <t xml:space="preserve">+54 3492 440997 </t>
  </si>
  <si>
    <t>LIMANSKY S.A.</t>
  </si>
  <si>
    <t xml:space="preserve">Av. Intendente Octavio Zobboli </t>
  </si>
  <si>
    <t>1895 CEP 2300NWF</t>
  </si>
  <si>
    <t xml:space="preserve"> Rafaela</t>
  </si>
  <si>
    <t>gerardo.maidana@limansky.com</t>
  </si>
  <si>
    <t>SUPERSPUMA DEL PARAGUAY S.A.</t>
  </si>
  <si>
    <t>EL GALO S.A.</t>
  </si>
  <si>
    <t xml:space="preserve">COLCHONES POLYMAX - </t>
  </si>
  <si>
    <t>CAMINO CASAVALLE</t>
  </si>
  <si>
    <t xml:space="preserve"> NO. PUERTA 5291</t>
  </si>
  <si>
    <t>INDUSTRIAL REGAL C.A.</t>
  </si>
  <si>
    <t>Carretera Panamericana Km 21</t>
  </si>
  <si>
    <t>Sector Corralito, Entrada a Carrizal</t>
  </si>
  <si>
    <t>Carrizal - Miranda</t>
  </si>
  <si>
    <t>Venezuela</t>
  </si>
  <si>
    <t>RIF: J-00070521-6</t>
  </si>
  <si>
    <t>+58 212 383 0245</t>
  </si>
  <si>
    <t>Edo. Miranda</t>
  </si>
  <si>
    <t>Carrizal</t>
  </si>
  <si>
    <t>NA</t>
  </si>
  <si>
    <t>Package (Rolls):</t>
  </si>
  <si>
    <t>FLEX EQUIPOS DE DESCANSO CHILE LTDA.</t>
  </si>
  <si>
    <t xml:space="preserve">TEC NIPONA </t>
  </si>
  <si>
    <t>RUC:20608448391</t>
  </si>
  <si>
    <t xml:space="preserve">Av. El parque </t>
  </si>
  <si>
    <t>126 Santiago de Surco</t>
  </si>
  <si>
    <t>Lima</t>
  </si>
  <si>
    <t xml:space="preserve">AMAZHEL </t>
  </si>
  <si>
    <t>mar_le_bc@hotmail.com</t>
  </si>
  <si>
    <t>Marleny Bautista Coronado</t>
  </si>
  <si>
    <t>DAVID ROSABAL</t>
  </si>
  <si>
    <t>COLCHONES ATLAS</t>
  </si>
  <si>
    <t>Ñemby</t>
  </si>
  <si>
    <t xml:space="preserve">Avenida Caaguazu </t>
  </si>
  <si>
    <t>Esquina 2da avenida</t>
  </si>
  <si>
    <t>Sergio González Iliou</t>
  </si>
  <si>
    <t>+595 981 228178</t>
  </si>
  <si>
    <t>e-mail-sergioiliou@gmail.com</t>
  </si>
  <si>
    <t>SEA TRADING COMPANY  S.A.</t>
  </si>
  <si>
    <t>Luque</t>
  </si>
  <si>
    <t>80070184-4</t>
  </si>
  <si>
    <t>Los Alamos y Florida</t>
  </si>
  <si>
    <t>Alcibiades Greco</t>
  </si>
  <si>
    <t>+595 982 119084</t>
  </si>
  <si>
    <t>unicornio_py@yahoo.es</t>
  </si>
  <si>
    <t>MATERASSI</t>
  </si>
  <si>
    <t>Longitudinal Sur Km 41</t>
  </si>
  <si>
    <t xml:space="preserve"> Parcela 138 A y B</t>
  </si>
  <si>
    <t>Paine - Región Metropolitana de Santiago</t>
  </si>
  <si>
    <t>HERALDO CASTRO PALMA (MANTAHUE)</t>
  </si>
  <si>
    <t>RUT: 6.092.291-8</t>
  </si>
  <si>
    <t>6.092.291-8</t>
  </si>
  <si>
    <t>Paine</t>
  </si>
  <si>
    <t>Igor Rojas</t>
  </si>
  <si>
    <t>+56 9 7216 0921</t>
  </si>
  <si>
    <t>igorrojas@mantahue.cl</t>
  </si>
  <si>
    <t>MANTAHUE</t>
  </si>
  <si>
    <t xml:space="preserve">Santiago </t>
  </si>
  <si>
    <t>+56 2 2919 6751</t>
  </si>
  <si>
    <t>COLCHONES ESPUMIX (Comercializadora TJB S.A.)</t>
  </si>
  <si>
    <t>RUT: 76.095.313-K</t>
  </si>
  <si>
    <t>Ave. Colorado 640. Comuna Quilicura</t>
  </si>
  <si>
    <t>Región Metropolitana-Cod. Postal 8700000</t>
  </si>
  <si>
    <t>ventas@espumix.cl</t>
  </si>
  <si>
    <t>Ave. Colorado 640</t>
  </si>
  <si>
    <t>Comuna Quilicura</t>
  </si>
  <si>
    <t>Paula Hidalgo</t>
  </si>
  <si>
    <t>+56 9 4282 1275</t>
  </si>
  <si>
    <t>Rev.008-2026</t>
  </si>
  <si>
    <t> rollo embalado de:</t>
  </si>
  <si>
    <t>160 cm × 40 cm × 40 cm</t>
  </si>
  <si>
    <t>diametro</t>
  </si>
  <si>
    <t>largo (cm)</t>
  </si>
  <si>
    <t>peso (Kg)</t>
  </si>
  <si>
    <t>Rolos</t>
  </si>
  <si>
    <t>PROFORM-INVOICE</t>
  </si>
  <si>
    <t>antes</t>
  </si>
  <si>
    <t>agora * # rolos</t>
  </si>
  <si>
    <t>CBM POR ROLO</t>
  </si>
  <si>
    <r>
      <t>m</t>
    </r>
    <r>
      <rPr>
        <b/>
        <vertAlign val="superscript"/>
        <sz val="11"/>
        <color indexed="8"/>
        <rFont val="Helvetica"/>
      </rPr>
      <t>3</t>
    </r>
    <r>
      <rPr>
        <b/>
        <sz val="11"/>
        <color indexed="8"/>
        <rFont val="Helvetica"/>
        <family val="2"/>
      </rPr>
      <t>/art.</t>
    </r>
  </si>
  <si>
    <r>
      <t>m</t>
    </r>
    <r>
      <rPr>
        <b/>
        <vertAlign val="superscript"/>
        <sz val="11"/>
        <color indexed="8"/>
        <rFont val="Helvetica"/>
      </rPr>
      <t>3</t>
    </r>
    <r>
      <rPr>
        <b/>
        <sz val="11"/>
        <color indexed="8"/>
        <rFont val="Helvetica"/>
        <family val="2"/>
      </rPr>
      <t xml:space="preserve"> total</t>
    </r>
  </si>
  <si>
    <t>Cáculo Kilos x artigo</t>
  </si>
  <si>
    <t>Calculo Rollos (mts totais)</t>
  </si>
  <si>
    <t>ID APP</t>
  </si>
  <si>
    <t>CANTIDAD MTS</t>
  </si>
  <si>
    <t>KGS</t>
  </si>
  <si>
    <t>AGT AMERICAN GARMENT TEXTIL</t>
  </si>
  <si>
    <t>Calle Federico Geraldino</t>
  </si>
  <si>
    <t># 94</t>
  </si>
  <si>
    <t>Santo Domingo</t>
  </si>
  <si>
    <t>República Dominicana</t>
  </si>
  <si>
    <t>RNC: 131279882</t>
  </si>
  <si>
    <t>RUC: 80070184-4</t>
  </si>
  <si>
    <t xml:space="preserve">&lt;- GSM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</si>
</sst>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_(* #,##0_);_(* \(#,##0\);_(* &quot;-&quot;??_);_(@_)"/>
    <numFmt numFmtId="167" formatCode="0.00_);[Red]\(0.00\)"/>
    <numFmt numFmtId="168" formatCode="_-[$$-45C]* #,##0.00_-;\-[$$-45C]* #,##0.00_-;_-[$$-45C]* &quot;-&quot;??_-;_-@_-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Helvetica"/>
      <family val="2"/>
    </font>
    <font>
      <sz val="12"/>
      <color indexed="8"/>
      <name val="Helvetica"/>
      <family val="2"/>
    </font>
    <font>
      <b/>
      <sz val="12"/>
      <color indexed="10"/>
      <name val="Helvetica"/>
      <family val="2"/>
    </font>
    <font>
      <b/>
      <sz val="11"/>
      <name val="Helvetica"/>
      <family val="2"/>
    </font>
    <font>
      <sz val="10"/>
      <color theme="1"/>
      <name val="Helvetica"/>
      <family val="2"/>
    </font>
    <font>
      <b/>
      <sz val="12"/>
      <color theme="1"/>
      <name val="Helvetica"/>
      <family val="2"/>
    </font>
    <font>
      <b/>
      <sz val="10"/>
      <name val="Helvetica"/>
      <family val="2"/>
    </font>
    <font>
      <b/>
      <sz val="10"/>
      <color theme="1"/>
      <name val="Helvetica"/>
      <family val="2"/>
    </font>
    <font>
      <b/>
      <sz val="10"/>
      <color indexed="8"/>
      <name val="Helvetica"/>
      <family val="2"/>
    </font>
    <font>
      <sz val="10"/>
      <color indexed="8"/>
      <name val="Helvetica"/>
    </font>
    <font>
      <sz val="10"/>
      <color indexed="8"/>
      <name val="Helvetica"/>
      <family val="2"/>
    </font>
    <font>
      <b/>
      <sz val="11"/>
      <color indexed="8"/>
      <name val="Helvetica"/>
      <family val="2"/>
    </font>
    <font>
      <sz val="11"/>
      <color indexed="8"/>
      <name val="Helvetica"/>
      <family val="2"/>
    </font>
    <font>
      <sz val="11"/>
      <color theme="1"/>
      <name val="Helvetica"/>
      <family val="2"/>
    </font>
    <font>
      <b/>
      <sz val="12"/>
      <color indexed="8"/>
      <name val="Helvetica"/>
      <family val="2"/>
    </font>
    <font>
      <sz val="9"/>
      <color rgb="FF000000"/>
      <name val="Helvetic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1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12"/>
      <color theme="1"/>
      <name val="Helvetica"/>
    </font>
    <font>
      <sz val="10"/>
      <color theme="0" tint="-0.34998626667073579"/>
      <name val="Helvetica"/>
      <family val="2"/>
    </font>
    <font>
      <sz val="10"/>
      <color theme="0"/>
      <name val="Helvetica"/>
      <family val="2"/>
    </font>
    <font>
      <sz val="12"/>
      <name val="Helvetic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Helvetica"/>
    </font>
    <font>
      <b/>
      <sz val="10"/>
      <color theme="0"/>
      <name val="Helvetica"/>
      <family val="2"/>
    </font>
    <font>
      <b/>
      <sz val="10"/>
      <color indexed="8"/>
      <name val="Helvetica"/>
    </font>
    <font>
      <b/>
      <sz val="11"/>
      <color rgb="FFC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0"/>
      <color theme="1"/>
      <name val="Helvetica"/>
    </font>
    <font>
      <sz val="8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sz val="9"/>
      <color theme="1"/>
      <name val="Helvetica"/>
      <family val="2"/>
    </font>
    <font>
      <sz val="11"/>
      <color rgb="FFFFFFFF"/>
      <name val="Calibri"/>
      <family val="2"/>
      <scheme val="minor"/>
    </font>
    <font>
      <sz val="11"/>
      <color rgb="FFC0C0C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A20000"/>
      <name val="Calibri"/>
      <family val="2"/>
      <scheme val="minor"/>
    </font>
    <font>
      <sz val="7.5"/>
      <color theme="1"/>
      <name val="Trebuchet MS"/>
      <family val="2"/>
    </font>
    <font>
      <sz val="10"/>
      <color theme="1"/>
      <name val="Trebuchet MS"/>
      <family val="2"/>
    </font>
    <font>
      <b/>
      <sz val="13"/>
      <color theme="1"/>
      <name val="Helvetica"/>
    </font>
    <font>
      <u/>
      <sz val="10"/>
      <color theme="10"/>
      <name val="Calibri"/>
      <family val="2"/>
      <scheme val="minor"/>
    </font>
    <font>
      <sz val="8"/>
      <color rgb="FF0D0D0D"/>
      <name val="Segoe UI"/>
      <family val="2"/>
    </font>
    <font>
      <b/>
      <vertAlign val="superscript"/>
      <sz val="11"/>
      <color indexed="8"/>
      <name val="Helvetica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5">
    <xf numFmtId="0" fontId="0" fillId="0" borderId="0" xfId="0"/>
    <xf numFmtId="0" fontId="5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49" fontId="5" fillId="2" borderId="0" xfId="0" applyNumberFormat="1" applyFont="1" applyFill="1" applyProtection="1">
      <protection locked="0"/>
    </xf>
    <xf numFmtId="49" fontId="7" fillId="2" borderId="0" xfId="0" applyNumberFormat="1" applyFont="1" applyFill="1" applyAlignment="1" applyProtection="1">
      <alignment vertical="center"/>
      <protection locked="0"/>
    </xf>
    <xf numFmtId="49" fontId="8" fillId="2" borderId="0" xfId="0" applyNumberFormat="1" applyFont="1" applyFill="1" applyAlignment="1" applyProtection="1">
      <alignment horizontal="left" vertical="center"/>
      <protection locked="0"/>
    </xf>
    <xf numFmtId="49" fontId="9" fillId="2" borderId="0" xfId="0" applyNumberFormat="1" applyFont="1" applyFill="1" applyProtection="1">
      <protection locked="0"/>
    </xf>
    <xf numFmtId="0" fontId="6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0" fillId="2" borderId="0" xfId="0" applyFont="1" applyFill="1" applyProtection="1">
      <protection locked="0"/>
    </xf>
    <xf numFmtId="49" fontId="11" fillId="2" borderId="0" xfId="0" applyNumberFormat="1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/>
      <protection locked="0"/>
    </xf>
    <xf numFmtId="0" fontId="6" fillId="2" borderId="0" xfId="0" applyFont="1" applyFill="1" applyAlignment="1" applyProtection="1">
      <alignment horizontal="left"/>
      <protection locked="0"/>
    </xf>
    <xf numFmtId="14" fontId="9" fillId="2" borderId="0" xfId="0" applyNumberFormat="1" applyFont="1" applyFill="1" applyAlignment="1" applyProtection="1">
      <alignment horizontal="left"/>
      <protection locked="0"/>
    </xf>
    <xf numFmtId="14" fontId="5" fillId="2" borderId="0" xfId="0" applyNumberFormat="1" applyFont="1" applyFill="1" applyAlignment="1" applyProtection="1">
      <alignment horizontal="left"/>
      <protection locked="0"/>
    </xf>
    <xf numFmtId="14" fontId="12" fillId="2" borderId="0" xfId="0" applyNumberFormat="1" applyFont="1" applyFill="1" applyAlignment="1" applyProtection="1">
      <alignment horizontal="left"/>
      <protection locked="0"/>
    </xf>
    <xf numFmtId="0" fontId="13" fillId="2" borderId="0" xfId="0" applyFont="1" applyFill="1" applyAlignment="1" applyProtection="1">
      <alignment horizontal="left"/>
      <protection locked="0"/>
    </xf>
    <xf numFmtId="0" fontId="13" fillId="2" borderId="0" xfId="0" applyFont="1" applyFill="1" applyProtection="1">
      <protection locked="0"/>
    </xf>
    <xf numFmtId="0" fontId="14" fillId="2" borderId="0" xfId="0" applyFont="1" applyFill="1" applyProtection="1">
      <protection locked="0"/>
    </xf>
    <xf numFmtId="0" fontId="15" fillId="2" borderId="0" xfId="0" applyFont="1" applyFill="1" applyProtection="1">
      <protection locked="0"/>
    </xf>
    <xf numFmtId="49" fontId="6" fillId="2" borderId="0" xfId="0" applyNumberFormat="1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 wrapText="1"/>
      <protection locked="0"/>
    </xf>
    <xf numFmtId="49" fontId="16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17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0" xfId="0" applyNumberFormat="1" applyFont="1" applyFill="1" applyAlignment="1" applyProtection="1">
      <alignment horizontal="left" vertical="center" wrapText="1"/>
      <protection locked="0"/>
    </xf>
    <xf numFmtId="49" fontId="15" fillId="2" borderId="0" xfId="0" applyNumberFormat="1" applyFont="1" applyFill="1" applyAlignment="1" applyProtection="1">
      <alignment vertical="center" wrapText="1"/>
      <protection locked="0"/>
    </xf>
    <xf numFmtId="166" fontId="15" fillId="2" borderId="0" xfId="1" applyNumberFormat="1" applyFont="1" applyFill="1" applyBorder="1" applyAlignment="1" applyProtection="1">
      <alignment horizontal="right" vertical="center" wrapText="1"/>
      <protection locked="0"/>
    </xf>
    <xf numFmtId="167" fontId="15" fillId="2" borderId="0" xfId="0" applyNumberFormat="1" applyFont="1" applyFill="1" applyAlignment="1" applyProtection="1">
      <alignment horizontal="right" vertical="center" wrapText="1"/>
      <protection locked="0"/>
    </xf>
    <xf numFmtId="165" fontId="15" fillId="2" borderId="0" xfId="1" applyNumberFormat="1" applyFont="1" applyFill="1" applyBorder="1" applyAlignment="1" applyProtection="1">
      <alignment horizontal="right" vertical="center" wrapText="1"/>
      <protection locked="0"/>
    </xf>
    <xf numFmtId="3" fontId="15" fillId="2" borderId="0" xfId="0" applyNumberFormat="1" applyFont="1" applyFill="1" applyAlignment="1" applyProtection="1">
      <alignment horizontal="left" vertical="center"/>
      <protection locked="0"/>
    </xf>
    <xf numFmtId="0" fontId="15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wrapText="1"/>
      <protection locked="0"/>
    </xf>
    <xf numFmtId="0" fontId="16" fillId="2" borderId="2" xfId="0" applyFont="1" applyFill="1" applyBorder="1" applyAlignment="1" applyProtection="1">
      <alignment horizontal="left" wrapText="1"/>
      <protection locked="0"/>
    </xf>
    <xf numFmtId="43" fontId="17" fillId="2" borderId="2" xfId="1" applyFont="1" applyFill="1" applyBorder="1" applyAlignment="1" applyProtection="1">
      <alignment horizontal="right" wrapText="1"/>
      <protection locked="0"/>
    </xf>
    <xf numFmtId="167" fontId="6" fillId="2" borderId="0" xfId="0" applyNumberFormat="1" applyFont="1" applyFill="1" applyAlignment="1" applyProtection="1">
      <alignment horizontal="left" vertical="top" wrapText="1"/>
      <protection locked="0"/>
    </xf>
    <xf numFmtId="4" fontId="17" fillId="2" borderId="3" xfId="1" applyNumberFormat="1" applyFont="1" applyFill="1" applyBorder="1" applyAlignment="1" applyProtection="1">
      <alignment horizontal="left" vertical="top" wrapText="1"/>
      <protection locked="0"/>
    </xf>
    <xf numFmtId="167" fontId="6" fillId="2" borderId="3" xfId="0" applyNumberFormat="1" applyFont="1" applyFill="1" applyBorder="1" applyAlignment="1" applyProtection="1">
      <alignment horizontal="left" vertical="top" wrapText="1"/>
      <protection locked="0"/>
    </xf>
    <xf numFmtId="43" fontId="19" fillId="2" borderId="3" xfId="1" applyFont="1" applyFill="1" applyBorder="1" applyAlignment="1" applyProtection="1">
      <alignment horizontal="right" vertical="top" wrapText="1"/>
      <protection locked="0"/>
    </xf>
    <xf numFmtId="49" fontId="15" fillId="0" borderId="0" xfId="0" applyNumberFormat="1" applyFont="1" applyProtection="1">
      <protection locked="0"/>
    </xf>
    <xf numFmtId="0" fontId="9" fillId="0" borderId="0" xfId="0" applyFont="1" applyProtection="1">
      <protection locked="0"/>
    </xf>
    <xf numFmtId="0" fontId="13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right"/>
      <protection locked="0"/>
    </xf>
    <xf numFmtId="164" fontId="9" fillId="0" borderId="0" xfId="0" applyNumberFormat="1" applyFont="1" applyAlignment="1" applyProtection="1">
      <alignment horizontal="left"/>
      <protection locked="0"/>
    </xf>
    <xf numFmtId="49" fontId="9" fillId="0" borderId="0" xfId="0" applyNumberFormat="1" applyFont="1" applyAlignment="1" applyProtection="1">
      <alignment horizontal="left"/>
      <protection locked="0"/>
    </xf>
    <xf numFmtId="164" fontId="4" fillId="0" borderId="0" xfId="2" applyNumberFormat="1" applyFill="1" applyAlignment="1" applyProtection="1">
      <alignment horizontal="left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19" fillId="2" borderId="0" xfId="0" applyFont="1" applyFill="1" applyProtection="1">
      <protection locked="0"/>
    </xf>
    <xf numFmtId="49" fontId="1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3" fillId="0" borderId="0" xfId="0" applyNumberFormat="1" applyFo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49" fontId="15" fillId="0" borderId="0" xfId="0" applyNumberFormat="1" applyFont="1" applyAlignment="1" applyProtection="1">
      <alignment vertical="center" wrapText="1"/>
      <protection locked="0"/>
    </xf>
    <xf numFmtId="0" fontId="23" fillId="0" borderId="0" xfId="0" applyFont="1" applyProtection="1">
      <protection locked="0"/>
    </xf>
    <xf numFmtId="0" fontId="0" fillId="0" borderId="0" xfId="0" quotePrefix="1"/>
    <xf numFmtId="0" fontId="4" fillId="0" borderId="0" xfId="2"/>
    <xf numFmtId="0" fontId="0" fillId="0" borderId="0" xfId="0" quotePrefix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26" fillId="0" borderId="0" xfId="0" applyFont="1"/>
    <xf numFmtId="14" fontId="26" fillId="0" borderId="0" xfId="0" applyNumberFormat="1" applyFont="1"/>
    <xf numFmtId="0" fontId="26" fillId="0" borderId="0" xfId="0" quotePrefix="1" applyFont="1"/>
    <xf numFmtId="0" fontId="20" fillId="0" borderId="0" xfId="0" applyFont="1" applyAlignment="1" applyProtection="1">
      <alignment horizontal="right"/>
      <protection locked="0"/>
    </xf>
    <xf numFmtId="166" fontId="28" fillId="0" borderId="4" xfId="1" applyNumberFormat="1" applyFont="1" applyFill="1" applyBorder="1" applyAlignment="1" applyProtection="1">
      <alignment horizontal="right" vertical="center" wrapText="1"/>
      <protection locked="0"/>
    </xf>
    <xf numFmtId="0" fontId="28" fillId="0" borderId="0" xfId="0" applyFont="1" applyAlignment="1" applyProtection="1">
      <alignment horizontal="left"/>
      <protection locked="0"/>
    </xf>
    <xf numFmtId="43" fontId="16" fillId="2" borderId="2" xfId="1" applyFont="1" applyFill="1" applyBorder="1" applyAlignment="1" applyProtection="1">
      <alignment horizontal="left" wrapText="1"/>
      <protection locked="0"/>
    </xf>
    <xf numFmtId="165" fontId="17" fillId="2" borderId="3" xfId="1" quotePrefix="1" applyNumberFormat="1" applyFont="1" applyFill="1" applyBorder="1" applyAlignment="1" applyProtection="1">
      <alignment horizontal="left" vertical="top" wrapText="1"/>
      <protection locked="0"/>
    </xf>
    <xf numFmtId="165" fontId="17" fillId="2" borderId="3" xfId="1" applyNumberFormat="1" applyFont="1" applyFill="1" applyBorder="1" applyAlignment="1" applyProtection="1">
      <alignment horizontal="left" vertical="top" wrapText="1"/>
      <protection locked="0"/>
    </xf>
    <xf numFmtId="0" fontId="29" fillId="0" borderId="0" xfId="0" quotePrefix="1" applyFont="1" applyAlignment="1" applyProtection="1">
      <alignment horizontal="left" vertical="center"/>
      <protection locked="0"/>
    </xf>
    <xf numFmtId="0" fontId="29" fillId="0" borderId="0" xfId="0" quotePrefix="1" applyFont="1" applyAlignment="1" applyProtection="1">
      <alignment horizontal="left"/>
      <protection locked="0"/>
    </xf>
    <xf numFmtId="167" fontId="29" fillId="0" borderId="0" xfId="0" quotePrefix="1" applyNumberFormat="1" applyFont="1" applyAlignment="1" applyProtection="1">
      <alignment horizontal="right" vertical="center" wrapText="1"/>
      <protection locked="0"/>
    </xf>
    <xf numFmtId="165" fontId="29" fillId="2" borderId="0" xfId="1" quotePrefix="1" applyNumberFormat="1" applyFont="1" applyFill="1" applyBorder="1" applyAlignment="1" applyProtection="1">
      <alignment horizontal="right" vertical="center" wrapText="1"/>
      <protection locked="0"/>
    </xf>
    <xf numFmtId="49" fontId="10" fillId="2" borderId="0" xfId="0" applyNumberFormat="1" applyFont="1" applyFill="1" applyProtection="1">
      <protection locked="0"/>
    </xf>
    <xf numFmtId="0" fontId="18" fillId="2" borderId="0" xfId="0" applyFont="1" applyFill="1" applyAlignment="1" applyProtection="1">
      <alignment horizontal="left"/>
      <protection locked="0"/>
    </xf>
    <xf numFmtId="0" fontId="30" fillId="2" borderId="0" xfId="0" applyFont="1" applyFill="1" applyProtection="1">
      <protection locked="0"/>
    </xf>
    <xf numFmtId="0" fontId="31" fillId="0" borderId="0" xfId="0" applyFont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2" borderId="0" xfId="2" applyFill="1" applyAlignment="1" applyProtection="1">
      <alignment horizontal="left" vertical="center"/>
      <protection locked="0"/>
    </xf>
    <xf numFmtId="43" fontId="16" fillId="0" borderId="2" xfId="1" applyFont="1" applyFill="1" applyBorder="1" applyAlignment="1" applyProtection="1">
      <alignment horizontal="left" wrapText="1"/>
      <protection locked="0"/>
    </xf>
    <xf numFmtId="0" fontId="0" fillId="0" borderId="5" xfId="0" applyBorder="1"/>
    <xf numFmtId="0" fontId="0" fillId="0" borderId="6" xfId="0" applyBorder="1"/>
    <xf numFmtId="14" fontId="9" fillId="0" borderId="0" xfId="0" applyNumberFormat="1" applyFont="1" applyAlignment="1" applyProtection="1">
      <alignment horizontal="left"/>
      <protection locked="0"/>
    </xf>
    <xf numFmtId="0" fontId="33" fillId="0" borderId="0" xfId="0" applyFont="1" applyAlignment="1" applyProtection="1">
      <alignment horizontal="left"/>
      <protection locked="0"/>
    </xf>
    <xf numFmtId="0" fontId="34" fillId="4" borderId="0" xfId="0" applyFont="1" applyFill="1" applyProtection="1">
      <protection locked="0"/>
    </xf>
    <xf numFmtId="49" fontId="13" fillId="0" borderId="0" xfId="0" quotePrefix="1" applyNumberFormat="1" applyFont="1" applyAlignment="1" applyProtection="1">
      <alignment horizontal="right"/>
      <protection locked="0"/>
    </xf>
    <xf numFmtId="0" fontId="0" fillId="0" borderId="0" xfId="0" quotePrefix="1" applyAlignment="1">
      <alignment horizontal="left"/>
    </xf>
    <xf numFmtId="166" fontId="0" fillId="0" borderId="0" xfId="0" applyNumberFormat="1"/>
    <xf numFmtId="0" fontId="33" fillId="0" borderId="0" xfId="0" quotePrefix="1" applyFont="1" applyAlignment="1" applyProtection="1">
      <alignment horizontal="left"/>
      <protection locked="0"/>
    </xf>
    <xf numFmtId="0" fontId="0" fillId="5" borderId="0" xfId="0" applyFill="1"/>
    <xf numFmtId="0" fontId="2" fillId="0" borderId="0" xfId="0" applyFont="1" applyAlignment="1">
      <alignment horizontal="center"/>
    </xf>
    <xf numFmtId="0" fontId="4" fillId="0" borderId="5" xfId="2" applyBorder="1"/>
    <xf numFmtId="0" fontId="36" fillId="0" borderId="0" xfId="0" applyFont="1"/>
    <xf numFmtId="1" fontId="9" fillId="0" borderId="0" xfId="0" quotePrefix="1" applyNumberFormat="1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164" fontId="9" fillId="0" borderId="0" xfId="0" applyNumberFormat="1" applyFont="1" applyAlignment="1" applyProtection="1">
      <alignment horizontal="left"/>
      <protection locked="0" hidden="1"/>
    </xf>
    <xf numFmtId="164" fontId="4" fillId="0" borderId="0" xfId="2" applyNumberFormat="1" applyAlignment="1" applyProtection="1">
      <alignment horizontal="left"/>
      <protection locked="0" hidden="1"/>
    </xf>
    <xf numFmtId="0" fontId="0" fillId="6" borderId="0" xfId="0" applyFill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6" borderId="10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32" fillId="0" borderId="0" xfId="0" applyFont="1" applyAlignment="1">
      <alignment horizontal="left"/>
    </xf>
    <xf numFmtId="14" fontId="23" fillId="2" borderId="0" xfId="0" quotePrefix="1" applyNumberFormat="1" applyFont="1" applyFill="1" applyAlignment="1" applyProtection="1">
      <alignment horizontal="left"/>
      <protection locked="0"/>
    </xf>
    <xf numFmtId="3" fontId="17" fillId="2" borderId="0" xfId="0" applyNumberFormat="1" applyFont="1" applyFill="1" applyAlignment="1" applyProtection="1">
      <alignment horizontal="left" vertical="center"/>
      <protection locked="0"/>
    </xf>
    <xf numFmtId="166" fontId="17" fillId="2" borderId="0" xfId="1" applyNumberFormat="1" applyFont="1" applyFill="1" applyBorder="1" applyAlignment="1" applyProtection="1">
      <alignment horizontal="right" vertical="center" wrapText="1"/>
      <protection locked="0"/>
    </xf>
    <xf numFmtId="2" fontId="17" fillId="2" borderId="0" xfId="1" applyNumberFormat="1" applyFont="1" applyFill="1" applyBorder="1" applyAlignment="1" applyProtection="1">
      <alignment horizontal="right" vertical="center" wrapText="1"/>
      <protection locked="0"/>
    </xf>
    <xf numFmtId="167" fontId="17" fillId="2" borderId="0" xfId="0" applyNumberFormat="1" applyFont="1" applyFill="1" applyAlignment="1" applyProtection="1">
      <alignment horizontal="right" vertical="center" wrapText="1"/>
      <protection locked="0"/>
    </xf>
    <xf numFmtId="165" fontId="17" fillId="2" borderId="0" xfId="1" applyNumberFormat="1" applyFont="1" applyFill="1" applyBorder="1" applyAlignment="1" applyProtection="1">
      <alignment horizontal="right" vertical="center" wrapText="1"/>
      <protection locked="0"/>
    </xf>
    <xf numFmtId="49" fontId="17" fillId="2" borderId="0" xfId="0" applyNumberFormat="1" applyFont="1" applyFill="1" applyAlignment="1" applyProtection="1">
      <alignment vertical="center" wrapText="1"/>
      <protection locked="0"/>
    </xf>
    <xf numFmtId="0" fontId="18" fillId="2" borderId="0" xfId="0" applyFont="1" applyFill="1" applyAlignment="1" applyProtection="1">
      <alignment horizontal="left" vertical="center"/>
      <protection locked="0"/>
    </xf>
    <xf numFmtId="0" fontId="4" fillId="0" borderId="0" xfId="2" applyBorder="1"/>
    <xf numFmtId="0" fontId="41" fillId="0" borderId="0" xfId="0" applyFont="1"/>
    <xf numFmtId="0" fontId="17" fillId="2" borderId="0" xfId="0" applyFont="1" applyFill="1" applyAlignment="1" applyProtection="1">
      <alignment horizontal="left" vertical="center"/>
      <protection locked="0"/>
    </xf>
    <xf numFmtId="3" fontId="42" fillId="2" borderId="0" xfId="0" applyNumberFormat="1" applyFont="1" applyFill="1" applyAlignment="1" applyProtection="1">
      <alignment horizontal="left"/>
      <protection locked="0"/>
    </xf>
    <xf numFmtId="0" fontId="42" fillId="2" borderId="0" xfId="0" applyFont="1" applyFill="1" applyAlignment="1" applyProtection="1">
      <alignment horizontal="left"/>
      <protection locked="0"/>
    </xf>
    <xf numFmtId="0" fontId="17" fillId="2" borderId="0" xfId="1" applyNumberFormat="1" applyFont="1" applyFill="1" applyBorder="1" applyAlignment="1" applyProtection="1">
      <alignment horizontal="right" vertical="center" wrapText="1"/>
      <protection locked="0"/>
    </xf>
    <xf numFmtId="0" fontId="17" fillId="2" borderId="0" xfId="0" applyFont="1" applyFill="1" applyAlignment="1" applyProtection="1">
      <alignment horizontal="right" vertical="center" wrapText="1"/>
      <protection locked="0"/>
    </xf>
    <xf numFmtId="0" fontId="43" fillId="0" borderId="0" xfId="0" applyFont="1"/>
    <xf numFmtId="0" fontId="44" fillId="0" borderId="0" xfId="0" applyFont="1"/>
    <xf numFmtId="1" fontId="45" fillId="0" borderId="0" xfId="0" applyNumberFormat="1" applyFont="1"/>
    <xf numFmtId="0" fontId="46" fillId="0" borderId="0" xfId="0" applyFont="1"/>
    <xf numFmtId="0" fontId="47" fillId="0" borderId="12" xfId="0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3" fontId="47" fillId="0" borderId="0" xfId="0" applyNumberFormat="1" applyFont="1" applyAlignment="1">
      <alignment horizontal="center"/>
    </xf>
    <xf numFmtId="0" fontId="0" fillId="0" borderId="9" xfId="0" applyBorder="1"/>
    <xf numFmtId="0" fontId="0" fillId="0" borderId="14" xfId="0" applyBorder="1"/>
    <xf numFmtId="0" fontId="0" fillId="0" borderId="10" xfId="0" applyBorder="1"/>
    <xf numFmtId="0" fontId="36" fillId="6" borderId="0" xfId="0" applyFont="1" applyFill="1"/>
    <xf numFmtId="16" fontId="0" fillId="0" borderId="0" xfId="0" applyNumberFormat="1" applyAlignment="1">
      <alignment horizontal="left"/>
    </xf>
    <xf numFmtId="0" fontId="49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50" fillId="0" borderId="0" xfId="0" applyFont="1"/>
    <xf numFmtId="0" fontId="51" fillId="0" borderId="0" xfId="0" applyFont="1"/>
    <xf numFmtId="0" fontId="47" fillId="7" borderId="0" xfId="0" applyFont="1" applyFill="1" applyAlignment="1">
      <alignment horizontal="center"/>
    </xf>
    <xf numFmtId="0" fontId="52" fillId="2" borderId="0" xfId="0" applyFont="1" applyFill="1" applyProtection="1">
      <protection locked="0"/>
    </xf>
    <xf numFmtId="0" fontId="53" fillId="3" borderId="0" xfId="2" applyFont="1" applyFill="1" applyBorder="1" applyAlignment="1">
      <alignment horizontal="left"/>
    </xf>
    <xf numFmtId="49" fontId="9" fillId="2" borderId="0" xfId="0" applyNumberFormat="1" applyFont="1" applyFill="1" applyAlignment="1" applyProtection="1">
      <alignment horizontal="left"/>
      <protection locked="0"/>
    </xf>
    <xf numFmtId="0" fontId="54" fillId="0" borderId="0" xfId="0" applyFont="1" applyAlignment="1">
      <alignment vertical="center"/>
    </xf>
    <xf numFmtId="0" fontId="54" fillId="0" borderId="0" xfId="0" applyFont="1" applyAlignment="1">
      <alignment horizontal="left" vertical="center" wrapText="1" inden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164" fontId="3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16" fillId="2" borderId="16" xfId="0" applyNumberFormat="1" applyFont="1" applyFill="1" applyBorder="1" applyAlignment="1" applyProtection="1">
      <alignment horizontal="center" vertical="center" wrapText="1"/>
      <protection locked="0"/>
    </xf>
    <xf numFmtId="49" fontId="16" fillId="8" borderId="17" xfId="0" applyNumberFormat="1" applyFont="1" applyFill="1" applyBorder="1" applyAlignment="1" applyProtection="1">
      <alignment horizontal="center" vertical="center" wrapText="1"/>
      <protection locked="0"/>
    </xf>
    <xf numFmtId="49" fontId="16" fillId="8" borderId="1" xfId="0" applyNumberFormat="1" applyFont="1" applyFill="1" applyBorder="1" applyAlignment="1" applyProtection="1">
      <alignment horizontal="center" vertical="center" wrapText="1"/>
      <protection locked="0"/>
    </xf>
    <xf numFmtId="2" fontId="0" fillId="9" borderId="0" xfId="0" applyNumberFormat="1" applyFill="1" applyAlignment="1">
      <alignment horizontal="center"/>
    </xf>
    <xf numFmtId="0" fontId="47" fillId="7" borderId="13" xfId="0" applyFont="1" applyFill="1" applyBorder="1" applyAlignment="1">
      <alignment horizontal="center"/>
    </xf>
    <xf numFmtId="0" fontId="47" fillId="10" borderId="0" xfId="0" applyFont="1" applyFill="1" applyAlignment="1">
      <alignment horizontal="center"/>
    </xf>
    <xf numFmtId="0" fontId="47" fillId="7" borderId="12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6" fillId="0" borderId="13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1" fontId="32" fillId="8" borderId="10" xfId="0" applyNumberFormat="1" applyFont="1" applyFill="1" applyBorder="1" applyAlignment="1">
      <alignment horizontal="center"/>
    </xf>
    <xf numFmtId="0" fontId="32" fillId="7" borderId="9" xfId="0" applyFont="1" applyFill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48" fillId="0" borderId="0" xfId="0" applyFont="1" applyAlignment="1">
      <alignment horizontal="center"/>
    </xf>
    <xf numFmtId="1" fontId="48" fillId="2" borderId="0" xfId="0" applyNumberFormat="1" applyFont="1" applyFill="1" applyAlignment="1">
      <alignment horizontal="center"/>
    </xf>
    <xf numFmtId="3" fontId="0" fillId="6" borderId="0" xfId="0" applyNumberFormat="1" applyFill="1" applyAlignment="1">
      <alignment horizontal="center"/>
    </xf>
    <xf numFmtId="168" fontId="0" fillId="6" borderId="0" xfId="0" applyNumberFormat="1" applyFill="1" applyAlignment="1">
      <alignment horizontal="center"/>
    </xf>
    <xf numFmtId="0" fontId="57" fillId="6" borderId="0" xfId="0" applyFont="1" applyFill="1"/>
    <xf numFmtId="164" fontId="0" fillId="0" borderId="0" xfId="0" applyNumberFormat="1"/>
    <xf numFmtId="0" fontId="0" fillId="3" borderId="0" xfId="0" applyFill="1"/>
    <xf numFmtId="164" fontId="0" fillId="0" borderId="5" xfId="0" quotePrefix="1" applyNumberFormat="1" applyBorder="1"/>
    <xf numFmtId="0" fontId="0" fillId="0" borderId="5" xfId="0" quotePrefix="1" applyBorder="1"/>
    <xf numFmtId="0" fontId="0" fillId="0" borderId="5" xfId="0" quotePrefix="1" applyBorder="1" applyAlignment="1">
      <alignment horizontal="left"/>
    </xf>
    <xf numFmtId="164" fontId="53" fillId="3" borderId="5" xfId="2" applyNumberFormat="1" applyFont="1" applyFill="1" applyBorder="1" applyAlignment="1">
      <alignment horizontal="left"/>
    </xf>
    <xf numFmtId="0" fontId="53" fillId="3" borderId="5" xfId="2" applyFont="1" applyFill="1" applyBorder="1" applyAlignment="1">
      <alignment horizontal="left"/>
    </xf>
    <xf numFmtId="0" fontId="4" fillId="3" borderId="0" xfId="2" applyFill="1" applyBorder="1"/>
    <xf numFmtId="0" fontId="4" fillId="0" borderId="15" xfId="2" applyBorder="1"/>
    <xf numFmtId="0" fontId="46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1" fontId="45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0" fontId="19" fillId="2" borderId="2" xfId="0" applyFont="1" applyFill="1" applyBorder="1" applyAlignment="1" applyProtection="1">
      <alignment horizontal="right" wrapText="1"/>
      <protection locked="0"/>
    </xf>
    <xf numFmtId="0" fontId="27" fillId="2" borderId="0" xfId="0" applyFont="1" applyFill="1" applyAlignment="1" applyProtection="1">
      <alignment horizontal="left"/>
      <protection locked="0"/>
    </xf>
    <xf numFmtId="49" fontId="16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9" fillId="0" borderId="0" xfId="0" applyNumberFormat="1" applyFont="1" applyAlignment="1" applyProtection="1">
      <alignment horizontal="left"/>
      <protection locked="0"/>
    </xf>
    <xf numFmtId="0" fontId="18" fillId="2" borderId="2" xfId="0" applyFont="1" applyFill="1" applyBorder="1" applyAlignment="1" applyProtection="1">
      <alignment horizontal="left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39"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8" tint="-0.2499465926084170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  <numFmt numFmtId="164" formatCode="0.000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"/>
        <family val="2"/>
        <scheme val="none"/>
      </font>
      <fill>
        <patternFill patternType="solid">
          <fgColor indexed="64"/>
          <bgColor rgb="FF0070C0"/>
        </patternFill>
      </fill>
      <protection locked="0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_-[$$-45C]* #,##0.00_-;\-[$$-45C]* #,##0.00_-;_-[$$-45C]* &quot;-&quot;??_-;_-@_-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C0C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C0C0"/>
        <name val="Calibri"/>
        <family val="2"/>
        <scheme val="minor"/>
      </font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C0C0"/>
        <name val="Calibri"/>
        <family val="2"/>
        <scheme val="minor"/>
      </font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C0C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C0C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C0C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0C0C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99484</xdr:colOff>
      <xdr:row>0</xdr:row>
      <xdr:rowOff>1057</xdr:rowOff>
    </xdr:from>
    <xdr:to>
      <xdr:col>15</xdr:col>
      <xdr:colOff>294217</xdr:colOff>
      <xdr:row>5</xdr:row>
      <xdr:rowOff>47624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7E40583C-356A-4A74-BBA6-A748D780E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3234" y="1057"/>
          <a:ext cx="3876675" cy="15515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457200</xdr:colOff>
      <xdr:row>21</xdr:row>
      <xdr:rowOff>9525</xdr:rowOff>
    </xdr:from>
    <xdr:to>
      <xdr:col>7</xdr:col>
      <xdr:colOff>600075</xdr:colOff>
      <xdr:row>25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3F3A791-A8EC-CAEF-E9B1-093BB5FCF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86300"/>
          <a:ext cx="876300" cy="876300"/>
        </a:xfrm>
        <a:prstGeom prst="rect">
          <a:avLst/>
        </a:prstGeom>
      </xdr:spPr>
    </xdr:pic>
    <xdr:clientData/>
  </xdr:twoCellAnchor>
  <xdr:twoCellAnchor editAs="oneCell">
    <xdr:from>
      <xdr:col>20</xdr:col>
      <xdr:colOff>77612</xdr:colOff>
      <xdr:row>69</xdr:row>
      <xdr:rowOff>63500</xdr:rowOff>
    </xdr:from>
    <xdr:to>
      <xdr:col>23</xdr:col>
      <xdr:colOff>117950</xdr:colOff>
      <xdr:row>70</xdr:row>
      <xdr:rowOff>158060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3C0D79A-BD3F-0671-A974-0B05476B0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10556" y="14202833"/>
          <a:ext cx="2368672" cy="292115"/>
        </a:xfrm>
        <a:prstGeom prst="rect">
          <a:avLst/>
        </a:prstGeom>
      </xdr:spPr>
    </xdr:pic>
    <xdr:clientData/>
  </xdr:twoCellAnchor>
  <xdr:twoCellAnchor editAs="oneCell">
    <xdr:from>
      <xdr:col>20</xdr:col>
      <xdr:colOff>63501</xdr:colOff>
      <xdr:row>71</xdr:row>
      <xdr:rowOff>169334</xdr:rowOff>
    </xdr:from>
    <xdr:to>
      <xdr:col>22</xdr:col>
      <xdr:colOff>256207</xdr:colOff>
      <xdr:row>73</xdr:row>
      <xdr:rowOff>161593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EF6F359-6F18-482D-A1A5-CF63D03A0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96445" y="14703778"/>
          <a:ext cx="1759040" cy="387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12700</xdr:rowOff>
    </xdr:from>
    <xdr:to>
      <xdr:col>2</xdr:col>
      <xdr:colOff>765174</xdr:colOff>
      <xdr:row>28</xdr:row>
      <xdr:rowOff>7101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DC7DCD-111E-41BA-BA38-7B5B90218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46550"/>
          <a:ext cx="3146424" cy="915151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013FD3D-D7E1-4FE1-A944-9A44FBD4BC97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2"/>
    </queryTableFields>
  </queryTableRefresh>
</queryTable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BE325E-FDBE-4FD0-9054-9732A8ACDA82}" name="Tabla911" displayName="Tabla911" ref="A6:K14" totalsRowCount="1" headerRowDxfId="38">
  <autoFilter ref="A6:K13" xr:uid="{41BE325E-FDBE-4FD0-9054-9732A8ACDA82}"/>
  <tableColumns count="11">
    <tableColumn id="1" xr3:uid="{C2916479-2157-4293-93FD-3C79B13385FA}" name="CODIGO CLIENTE" dataDxfId="37" totalsRowDxfId="36"/>
    <tableColumn id="2" xr3:uid="{FE02FD57-20B0-472C-A246-39FC79FDBFDE}" name="CODIGO INTERNO" totalsRowLabel="TOTAL" dataDxfId="35" totalsRowDxfId="34"/>
    <tableColumn id="6" xr3:uid="{2E3350A0-C1C0-4ECF-9166-DC0E4BC14AAD}" name="ID APP" dataDxfId="33" totalsRowDxfId="32"/>
    <tableColumn id="3" xr3:uid="{491B726B-9050-434D-8608-ECD410B7D324}" name="CANTIDAD MTS" totalsRowFunction="custom" dataDxfId="31" totalsRowDxfId="30">
      <totalsRowFormula>SUM(Tabla911[CANTIDAD MTS])</totalsRowFormula>
    </tableColumn>
    <tableColumn id="11" xr3:uid="{18B5F025-1A41-4842-9E3E-56A56C06DA96}" name="KGS" dataDxfId="29" totalsRowDxfId="28"/>
    <tableColumn id="4" xr3:uid="{5E1E199E-2723-4CF7-B8A7-DD997F622F70}" name="PRECIO $" dataDxfId="27" totalsRowDxfId="26"/>
    <tableColumn id="5" xr3:uid="{2FA98BC2-FA2E-42F4-87A1-DA52E4BE3BCA}" name="TOTAL" totalsRowFunction="custom" dataDxfId="25" totalsRowDxfId="24">
      <calculatedColumnFormula>Tabla911[[#This Row],[CANTIDAD MTS]]*Tabla911[[#This Row],[PRECIO $]]</calculatedColumnFormula>
      <totalsRowFormula>SUM(Tabla911[TOTAL])</totalsRowFormula>
    </tableColumn>
    <tableColumn id="9" xr3:uid="{0A88D4E8-3AEB-443E-89D5-0576D9EA4B24}" name="COD. PROD." dataDxfId="23" totalsRowDxfId="22"/>
    <tableColumn id="10" xr3:uid="{A532A45A-EDA9-43CE-9536-6795CD349588}" name="COD. TOTVS" dataDxfId="21" totalsRowDxfId="20"/>
    <tableColumn id="7" xr3:uid="{3AE08A02-5B1D-40A8-9AF0-450DEE7157C9}" name="DESCRIPCION"/>
    <tableColumn id="8" xr3:uid="{4A7DFDE1-CFB8-4458-845B-69B62F796496}" name="OBSERV.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467D4F-9216-4170-88EA-07BEBC6432C7}" name="Tabla4" displayName="Tabla4" ref="A1:B11" totalsRowShown="0">
  <autoFilter ref="A1:B11" xr:uid="{CB467D4F-9216-4170-88EA-07BEBC6432C7}"/>
  <tableColumns count="2">
    <tableColumn id="1" xr3:uid="{7887204A-E126-4CF2-9D1E-9242CA9B47BF}" name="Incoterm"/>
    <tableColumn id="2" xr3:uid="{E6285392-7C2D-42D5-AB8E-3BE9E39E84E6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F359CD-2B45-476B-ADAE-0221B6879C4C}" name="Tabla6" displayName="Tabla6" ref="F1:F7" totalsRowShown="0">
  <autoFilter ref="F1:F7" xr:uid="{10F359CD-2B45-476B-ADAE-0221B6879C4C}"/>
  <tableColumns count="1">
    <tableColumn id="1" xr3:uid="{8BE6DDE5-9D03-452B-995F-D27832803BEA}" name="Carr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75EF53-A1FE-4022-AB60-59924DFDDA68}" name="Tabla7" displayName="Tabla7" ref="I1:I6" totalsRowShown="0" headerRowDxfId="19">
  <autoFilter ref="I1:I6" xr:uid="{E675EF53-A1FE-4022-AB60-59924DFDDA68}"/>
  <tableColumns count="1">
    <tableColumn id="1" xr3:uid="{B64C717F-7C52-465D-8B53-880BDFFA4E61}" name="NCM-HS Code: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294F37-AA87-41AE-BCB8-159FBE6E0D89}" name="Tabla2" displayName="Tabla2" ref="A1:I33" totalsRowShown="0">
  <autoFilter ref="A1:I33" xr:uid="{17294F37-AA87-41AE-BCB8-159FBE6E0D89}"/>
  <sortState xmlns:xlrd2="http://schemas.microsoft.com/office/spreadsheetml/2017/richdata2" ref="A2:I33">
    <sortCondition ref="A1:A33"/>
  </sortState>
  <tableColumns count="9">
    <tableColumn id="1" xr3:uid="{3F7851F1-9B5C-42FB-8875-40A90A0D59A2}" name="Importer"/>
    <tableColumn id="2" xr3:uid="{322A1586-35E8-4D21-9013-EDB9DC02D718}" name="Address"/>
    <tableColumn id="3" xr3:uid="{A3C8ADE2-E435-4475-BE89-6CDFC7669A0A}" name="Area" dataDxfId="18"/>
    <tableColumn id="4" xr3:uid="{8D0645D3-2678-4620-A485-74EF726DDCA6}" name="City"/>
    <tableColumn id="5" xr3:uid="{EC79EAF2-35B0-4BDB-9CAF-C4A80CAAE079}" name="Country"/>
    <tableColumn id="6" xr3:uid="{071D1EB7-D632-4649-A151-63AB605A734F}" name="NIT"/>
    <tableColumn id="7" xr3:uid="{40F34618-01C1-4CBD-ADB5-E51942F3B51D}" name="CUIT" dataDxfId="17"/>
    <tableColumn id="8" xr3:uid="{B5389F1F-84A9-46D6-8F4A-30866451D5BE}" name="RUC"/>
    <tableColumn id="9" xr3:uid="{6F2FE0D8-8E8A-48C3-8BF8-82AAA5192438}" name="RU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9D6746-4D49-487C-AA89-61100E6D275B}" name="Tabla3" displayName="Tabla3" ref="A1:K33" totalsRowShown="0">
  <autoFilter ref="A1:K33" xr:uid="{119D6746-4D49-487C-AA89-61100E6D275B}"/>
  <sortState xmlns:xlrd2="http://schemas.microsoft.com/office/spreadsheetml/2017/richdata2" ref="A2:K33">
    <sortCondition ref="A1:A33"/>
  </sortState>
  <tableColumns count="11">
    <tableColumn id="1" xr3:uid="{93F053BC-C032-4EBE-AFC1-97F4D3A77D44}" name="Client"/>
    <tableColumn id="2" xr3:uid="{F1A50DC6-BF93-4AD4-A5F5-A2F0C61C8B75}" name="Address 1"/>
    <tableColumn id="3" xr3:uid="{5B677500-451C-493E-B58C-1B6BC233427F}" name="Address 2"/>
    <tableColumn id="4" xr3:uid="{D80DA8B5-49DB-418A-87A0-2004552BB7F6}" name="Area"/>
    <tableColumn id="5" xr3:uid="{3525E2A5-4D26-4009-AE71-213FD569775C}" name="City"/>
    <tableColumn id="6" xr3:uid="{67B3D5B3-7568-4EF3-B0D1-6CB9F90B79D9}" name="Country"/>
    <tableColumn id="7" xr3:uid="{27339D4B-CAB0-4F8D-900E-A0EE855F4602}" name="contact "/>
    <tableColumn id="8" xr3:uid="{4F27368B-D1A9-494B-973C-643EE4BB91E3}" name="phone"/>
    <tableColumn id="9" xr3:uid="{841778E4-8C68-4AD2-BDAE-F9E52458D788}" name="email"/>
    <tableColumn id="10" xr3:uid="{E52A9C10-6C49-4D7A-916A-416503C16FB7}" name="email 2"/>
    <tableColumn id="11" xr3:uid="{2DFF9765-45A8-492B-B6B1-662D3FAE8F9E}" name="Obs.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689A39-21B7-44DD-8C77-9B86087E3172}" name="Tabla8" displayName="Tabla8" ref="A1:B6" totalsRowShown="0">
  <autoFilter ref="A1:B6" xr:uid="{87689A39-21B7-44DD-8C77-9B86087E3172}"/>
  <tableColumns count="2">
    <tableColumn id="1" xr3:uid="{0FA758D5-AC72-4E75-BC6E-A72EE723A9D4}" name="Dimensions (cm):"/>
    <tableColumn id="2" xr3:uid="{2EFA23A7-4795-41AB-B7EF-B5FD38E029E6}" name="Dimesions (cm)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E8EEF2-2F71-4E95-B5CA-098A92E13FE3}" name="Tabla5" displayName="Tabla5" ref="A1:A15" totalsRowShown="0" dataDxfId="15">
  <autoFilter ref="A1:A15" xr:uid="{D2E8EEF2-2F71-4E95-B5CA-098A92E13FE3}"/>
  <tableColumns count="1">
    <tableColumn id="1" xr3:uid="{207E9FBF-6B25-45B8-B07A-D2CE99F339A5}" name="Payment Terms" dataDxfId="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9BDCF-855E-484E-ACE9-AAD42CE4CA5C}" name="Box_1" displayName="Box_1" ref="A1:A45" tableType="queryTable" totalsRowShown="0">
  <autoFilter ref="A1:A45" xr:uid="{33A9BDCF-855E-484E-ACE9-AAD42CE4CA5C}"/>
  <tableColumns count="1">
    <tableColumn id="2" xr3:uid="{F9AC6114-0C7B-4D48-995A-16C3A58F0738}" uniqueName="2" name="Package" queryTableFieldId="1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onexaomalhas.com.br/" TargetMode="External"/><Relationship Id="rId1" Type="http://schemas.openxmlformats.org/officeDocument/2006/relationships/hyperlink" Target="mailto:anderson@conexaomalhas.com.b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inducolsrl@outlook.com" TargetMode="External"/><Relationship Id="rId13" Type="http://schemas.openxmlformats.org/officeDocument/2006/relationships/hyperlink" Target="mailto:nvillalba@ypsa.com.py" TargetMode="External"/><Relationship Id="rId18" Type="http://schemas.openxmlformats.org/officeDocument/2006/relationships/hyperlink" Target="mailto:e-mail-sergioiliou@gmail.com" TargetMode="External"/><Relationship Id="rId3" Type="http://schemas.openxmlformats.org/officeDocument/2006/relationships/hyperlink" Target="mailto:smayo@bedtime.com.ar" TargetMode="External"/><Relationship Id="rId7" Type="http://schemas.openxmlformats.org/officeDocument/2006/relationships/hyperlink" Target="mailto:paulina.mena@flex.es" TargetMode="External"/><Relationship Id="rId12" Type="http://schemas.openxmlformats.org/officeDocument/2006/relationships/hyperlink" Target="mailto:compras@springwall.com.ar" TargetMode="External"/><Relationship Id="rId17" Type="http://schemas.openxmlformats.org/officeDocument/2006/relationships/hyperlink" Target="mailto:madrisa@inmapol.com.py" TargetMode="External"/><Relationship Id="rId2" Type="http://schemas.openxmlformats.org/officeDocument/2006/relationships/hyperlink" Target="mailto:asistente.gerencia@polymax.com.uy" TargetMode="External"/><Relationship Id="rId16" Type="http://schemas.openxmlformats.org/officeDocument/2006/relationships/hyperlink" Target="mailto:waltercastrosuarez@gmail.com" TargetMode="External"/><Relationship Id="rId1" Type="http://schemas.openxmlformats.org/officeDocument/2006/relationships/hyperlink" Target="mailto:polymax@polymax.com.uy" TargetMode="External"/><Relationship Id="rId6" Type="http://schemas.openxmlformats.org/officeDocument/2006/relationships/hyperlink" Target="mailto:franco.machao@divino.com.uy" TargetMode="External"/><Relationship Id="rId11" Type="http://schemas.openxmlformats.org/officeDocument/2006/relationships/hyperlink" Target="mailto:leticia.roig@superspuma.com" TargetMode="External"/><Relationship Id="rId5" Type="http://schemas.openxmlformats.org/officeDocument/2006/relationships/hyperlink" Target="mailto:distribuidoracaseros@gmail.com" TargetMode="External"/><Relationship Id="rId15" Type="http://schemas.openxmlformats.org/officeDocument/2006/relationships/hyperlink" Target="mailto:waltercastrosuarez@gmail.com" TargetMode="External"/><Relationship Id="rId10" Type="http://schemas.openxmlformats.org/officeDocument/2006/relationships/hyperlink" Target="mailto:jcvillarroel@sunlock.cl" TargetMode="External"/><Relationship Id="rId19" Type="http://schemas.openxmlformats.org/officeDocument/2006/relationships/table" Target="../tables/table6.xml"/><Relationship Id="rId4" Type="http://schemas.openxmlformats.org/officeDocument/2006/relationships/hyperlink" Target="mailto:jefecompras@colchonesheaven.com" TargetMode="External"/><Relationship Id="rId9" Type="http://schemas.openxmlformats.org/officeDocument/2006/relationships/hyperlink" Target="mailto:joseandrango@paraiso.com.ec" TargetMode="External"/><Relationship Id="rId14" Type="http://schemas.openxmlformats.org/officeDocument/2006/relationships/hyperlink" Target="mailto:comercial@matrinmiller.com.a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70F9-7436-4AD4-840D-BDF1B70A4F45}">
  <sheetPr>
    <pageSetUpPr fitToPage="1"/>
  </sheetPr>
  <dimension ref="A1:X86"/>
  <sheetViews>
    <sheetView showGridLines="0" tabSelected="1" zoomScale="90" zoomScaleNormal="90" workbookViewId="0">
      <selection activeCell="W24" sqref="W24:W25"/>
    </sheetView>
  </sheetViews>
  <sheetFormatPr baseColWidth="10" defaultColWidth="10.81640625" defaultRowHeight="14.5" x14ac:dyDescent="0.35"/>
  <cols>
    <col min="1" max="2" width="1.81640625" customWidth="1"/>
    <col min="3" max="3" width="21" customWidth="1"/>
    <col min="4" max="4" width="14.81640625" customWidth="1"/>
    <col min="5" max="5" width="17.54296875" customWidth="1"/>
    <col min="6" max="6" width="9.81640625" customWidth="1"/>
    <col min="7" max="7" width="11" customWidth="1"/>
    <col min="8" max="8" width="16.1796875" customWidth="1"/>
    <col min="9" max="9" width="13.81640625" customWidth="1"/>
    <col min="10" max="10" width="10" customWidth="1"/>
    <col min="11" max="11" width="14.453125" customWidth="1"/>
    <col min="12" max="12" width="12.54296875" customWidth="1"/>
    <col min="13" max="13" width="13.1796875" customWidth="1"/>
    <col min="14" max="15" width="2.453125" customWidth="1"/>
    <col min="19" max="19" width="11.54296875" style="77" bestFit="1" customWidth="1"/>
    <col min="21" max="21" width="11.54296875" style="77" bestFit="1" customWidth="1"/>
  </cols>
  <sheetData>
    <row r="1" spans="1:24" ht="15.5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4" ht="59.25" customHeight="1" x14ac:dyDescent="0.35">
      <c r="A2" s="1"/>
      <c r="B2" s="1"/>
      <c r="C2" s="1"/>
      <c r="D2" s="3"/>
      <c r="E2" s="3"/>
      <c r="F2" s="3"/>
      <c r="G2" s="3"/>
      <c r="H2" s="3"/>
      <c r="I2" s="3"/>
      <c r="J2" s="3"/>
      <c r="K2" s="1"/>
      <c r="L2" s="1"/>
      <c r="M2" s="1"/>
    </row>
    <row r="3" spans="1:24" ht="15.5" x14ac:dyDescent="0.35">
      <c r="A3" s="1"/>
      <c r="B3" s="1"/>
      <c r="C3" s="1"/>
      <c r="D3" s="3"/>
      <c r="E3" s="3"/>
      <c r="F3" s="3"/>
      <c r="G3" s="3"/>
      <c r="H3" s="3"/>
      <c r="I3" s="4"/>
      <c r="J3" s="4"/>
      <c r="K3" s="4"/>
      <c r="L3" s="4"/>
      <c r="M3" s="1"/>
    </row>
    <row r="4" spans="1:24" ht="14.25" customHeight="1" x14ac:dyDescent="0.35">
      <c r="A4" s="1"/>
      <c r="B4" s="1"/>
      <c r="C4" s="1"/>
      <c r="D4" s="3"/>
      <c r="E4" s="3"/>
      <c r="F4" s="3"/>
      <c r="G4" s="3"/>
      <c r="H4" s="3"/>
      <c r="I4" s="4"/>
      <c r="J4" s="4"/>
      <c r="K4" s="4"/>
      <c r="L4" s="4"/>
      <c r="M4" s="1"/>
      <c r="X4" s="56" t="s">
        <v>24</v>
      </c>
    </row>
    <row r="5" spans="1:24" ht="13.5" customHeight="1" x14ac:dyDescent="0.35">
      <c r="A5" s="1"/>
      <c r="B5" s="1"/>
      <c r="C5" s="142" t="s">
        <v>419</v>
      </c>
      <c r="D5" s="3"/>
      <c r="E5" s="3"/>
      <c r="F5" s="3"/>
      <c r="G5" s="3"/>
      <c r="H5" s="3"/>
      <c r="I5" s="4"/>
      <c r="J5" s="4"/>
      <c r="K5" s="4"/>
      <c r="L5" s="4"/>
      <c r="M5" s="1"/>
    </row>
    <row r="6" spans="1:24" ht="14.25" customHeight="1" x14ac:dyDescent="0.35">
      <c r="A6" s="1"/>
      <c r="B6" s="1"/>
      <c r="C6" s="1"/>
      <c r="D6" s="3"/>
      <c r="E6" s="3"/>
      <c r="F6" s="3"/>
      <c r="G6" s="3"/>
      <c r="H6" s="3"/>
      <c r="I6" s="4"/>
      <c r="J6" s="4"/>
      <c r="K6" s="4"/>
      <c r="L6" s="4"/>
      <c r="M6" s="1"/>
    </row>
    <row r="7" spans="1:24" ht="15.5" x14ac:dyDescent="0.35">
      <c r="A7" s="1"/>
      <c r="B7" s="1"/>
      <c r="C7" s="71" t="s">
        <v>176</v>
      </c>
      <c r="D7" s="1"/>
      <c r="E7" s="3"/>
      <c r="F7" s="3"/>
      <c r="G7" s="3"/>
      <c r="H7" s="3"/>
      <c r="I7" s="4"/>
      <c r="J7" s="4"/>
      <c r="K7" s="5" t="s">
        <v>0</v>
      </c>
      <c r="L7" s="191" t="s">
        <v>37</v>
      </c>
      <c r="M7" s="191"/>
      <c r="N7" s="191"/>
      <c r="O7" s="191"/>
    </row>
    <row r="8" spans="1:24" ht="15.5" x14ac:dyDescent="0.35">
      <c r="A8" s="1"/>
      <c r="B8" s="1"/>
      <c r="C8" s="6" t="s">
        <v>177</v>
      </c>
      <c r="D8" s="1"/>
      <c r="E8" s="3"/>
      <c r="F8" s="3"/>
      <c r="G8" s="3"/>
      <c r="H8" s="3"/>
      <c r="I8" s="1"/>
      <c r="J8" s="1"/>
      <c r="K8" s="1"/>
      <c r="L8" s="72" t="str">
        <f>VLOOKUP($L$7,Tabla2[#All],2,0)</f>
        <v>Address</v>
      </c>
      <c r="M8" s="144"/>
      <c r="N8" s="57"/>
      <c r="O8" s="57"/>
    </row>
    <row r="9" spans="1:24" ht="15.5" x14ac:dyDescent="0.35">
      <c r="A9" s="1"/>
      <c r="B9" s="1"/>
      <c r="C9" s="6" t="s">
        <v>188</v>
      </c>
      <c r="D9" s="1"/>
      <c r="E9" s="3"/>
      <c r="F9" s="3"/>
      <c r="G9" s="3"/>
      <c r="H9" s="3"/>
      <c r="I9" s="1"/>
      <c r="J9" s="1"/>
      <c r="K9" s="1"/>
      <c r="L9" s="72" t="str">
        <f>VLOOKUP($L$7,Tabla2[#All],3,0)</f>
        <v>Area</v>
      </c>
      <c r="M9" s="144"/>
      <c r="N9" s="57"/>
      <c r="O9" s="57"/>
    </row>
    <row r="10" spans="1:24" ht="15.5" x14ac:dyDescent="0.35">
      <c r="A10" s="1"/>
      <c r="B10" s="1"/>
      <c r="C10" s="6" t="s">
        <v>217</v>
      </c>
      <c r="D10" s="1"/>
      <c r="E10" s="3"/>
      <c r="F10" s="3"/>
      <c r="G10" s="3"/>
      <c r="H10" s="3"/>
      <c r="I10" s="1"/>
      <c r="J10" s="1"/>
      <c r="K10" s="1"/>
      <c r="L10" s="72" t="str">
        <f>VLOOKUP($L$7,Tabla2[#All],4,0)</f>
        <v>City</v>
      </c>
      <c r="M10" s="144"/>
      <c r="N10" s="57"/>
      <c r="O10" s="57"/>
    </row>
    <row r="11" spans="1:24" ht="15" customHeight="1" x14ac:dyDescent="0.35">
      <c r="A11" s="1"/>
      <c r="B11" s="1"/>
      <c r="C11" s="7"/>
      <c r="D11" s="1"/>
      <c r="E11" s="3"/>
      <c r="F11" s="3"/>
      <c r="G11" s="3"/>
      <c r="H11" s="3"/>
      <c r="I11" s="1"/>
      <c r="J11" s="1"/>
      <c r="K11" s="1"/>
      <c r="L11" s="72" t="str">
        <f>VLOOKUP($L$7,Tabla2[#All],5,0)</f>
        <v>Country</v>
      </c>
      <c r="M11" s="144"/>
      <c r="N11" s="57"/>
      <c r="O11" s="57"/>
    </row>
    <row r="12" spans="1:24" ht="15.5" x14ac:dyDescent="0.35">
      <c r="A12" s="1"/>
      <c r="B12" s="9"/>
      <c r="C12" s="10" t="s">
        <v>328</v>
      </c>
      <c r="D12" s="109" t="s">
        <v>327</v>
      </c>
      <c r="E12" s="12"/>
      <c r="F12" s="12"/>
      <c r="G12" s="1"/>
      <c r="H12" s="3"/>
      <c r="I12" s="1"/>
      <c r="J12" s="1"/>
      <c r="K12" s="1"/>
      <c r="L12" s="57" t="s">
        <v>239</v>
      </c>
      <c r="M12" s="57"/>
      <c r="N12" s="72" t="str">
        <f>VLOOKUP($L$7,Tabla2[#All],7,0)</f>
        <v>CUIT</v>
      </c>
      <c r="O12" s="57"/>
    </row>
    <row r="13" spans="1:24" ht="15.5" x14ac:dyDescent="0.35">
      <c r="A13" s="1"/>
      <c r="B13" s="1"/>
      <c r="C13" s="10" t="s">
        <v>1</v>
      </c>
      <c r="D13" s="13">
        <v>46262</v>
      </c>
      <c r="E13" s="14"/>
      <c r="F13" s="12"/>
      <c r="G13" s="1"/>
      <c r="H13" s="1"/>
      <c r="I13" s="1"/>
      <c r="J13" s="1"/>
      <c r="K13" s="8"/>
      <c r="L13" s="8"/>
      <c r="M13" s="8"/>
    </row>
    <row r="14" spans="1:24" ht="15.5" x14ac:dyDescent="0.35">
      <c r="A14" s="1"/>
      <c r="B14" s="1"/>
      <c r="C14" s="15" t="s">
        <v>2</v>
      </c>
      <c r="D14" s="82" t="s">
        <v>133</v>
      </c>
      <c r="E14" s="1"/>
      <c r="F14" s="1"/>
      <c r="G14" s="1"/>
      <c r="H14" s="1"/>
      <c r="I14" s="1"/>
      <c r="J14" s="73"/>
      <c r="K14" s="74" t="s">
        <v>131</v>
      </c>
      <c r="L14" s="108" t="e">
        <f>VLOOKUP($L$7,Tabla3[#All],2,0)</f>
        <v>#N/A</v>
      </c>
      <c r="M14" s="75"/>
    </row>
    <row r="15" spans="1:24" ht="15.5" x14ac:dyDescent="0.35">
      <c r="A15" s="7"/>
      <c r="B15" s="1"/>
      <c r="C15" s="15" t="s">
        <v>4</v>
      </c>
      <c r="D15" s="13" t="s">
        <v>132</v>
      </c>
      <c r="E15" s="1"/>
      <c r="F15" s="1"/>
      <c r="G15" s="7"/>
      <c r="H15" s="7"/>
      <c r="I15" s="7"/>
      <c r="J15" s="73"/>
      <c r="K15" s="75"/>
      <c r="L15" s="108" t="e">
        <f>VLOOKUP($L$7,Tabla3[#All],3,0)</f>
        <v>#N/A</v>
      </c>
      <c r="M15" s="75"/>
    </row>
    <row r="16" spans="1:24" ht="15.5" x14ac:dyDescent="0.35">
      <c r="A16" s="7"/>
      <c r="B16" s="1"/>
      <c r="C16" s="15" t="s">
        <v>6</v>
      </c>
      <c r="D16" s="13" t="s">
        <v>165</v>
      </c>
      <c r="E16" s="8"/>
      <c r="F16" s="8"/>
      <c r="G16" s="7"/>
      <c r="H16" s="14"/>
      <c r="I16" s="7"/>
      <c r="J16" s="73"/>
      <c r="K16" s="75"/>
      <c r="L16" s="108" t="e">
        <f>VLOOKUP($L$7,Tabla3[#All],4,0)</f>
        <v>#N/A</v>
      </c>
      <c r="M16" s="75"/>
    </row>
    <row r="17" spans="1:21" ht="15.5" x14ac:dyDescent="0.35">
      <c r="A17" s="7"/>
      <c r="B17" s="1"/>
      <c r="C17" s="15" t="s">
        <v>187</v>
      </c>
      <c r="D17" s="13" t="s">
        <v>191</v>
      </c>
      <c r="E17" s="8"/>
      <c r="F17" s="8"/>
      <c r="G17" s="7"/>
      <c r="H17" s="14"/>
      <c r="I17" s="7"/>
      <c r="J17" s="73"/>
      <c r="K17" s="73"/>
      <c r="L17" s="108" t="e">
        <f>VLOOKUP($L$7,Tabla3[#All],5,0)</f>
        <v>#N/A</v>
      </c>
      <c r="M17" s="75" t="e">
        <f>VLOOKUP($L$7,Tabla3[#All],6,0)</f>
        <v>#N/A</v>
      </c>
    </row>
    <row r="18" spans="1:21" ht="15.5" x14ac:dyDescent="0.35">
      <c r="A18" s="7"/>
      <c r="B18" s="1"/>
      <c r="C18" s="17" t="s">
        <v>7</v>
      </c>
      <c r="D18" s="13" t="s">
        <v>175</v>
      </c>
      <c r="E18" s="8"/>
      <c r="F18" s="8"/>
      <c r="G18" s="7"/>
      <c r="H18" s="14"/>
      <c r="I18" s="7"/>
      <c r="J18" s="73"/>
      <c r="K18" s="73"/>
      <c r="L18" s="75"/>
      <c r="M18" s="75"/>
    </row>
    <row r="19" spans="1:21" ht="15.5" x14ac:dyDescent="0.35">
      <c r="A19" s="7"/>
      <c r="B19" s="1"/>
      <c r="C19" s="17" t="s">
        <v>181</v>
      </c>
      <c r="D19" s="50" t="s">
        <v>213</v>
      </c>
      <c r="E19" s="8"/>
      <c r="F19" s="8"/>
      <c r="G19" s="7"/>
      <c r="H19" s="14"/>
      <c r="I19" s="7"/>
      <c r="J19" s="7"/>
      <c r="K19" s="7"/>
      <c r="L19" s="7"/>
      <c r="M19" s="7"/>
    </row>
    <row r="20" spans="1:21" ht="15.5" x14ac:dyDescent="0.35">
      <c r="A20" s="7"/>
      <c r="B20" s="1"/>
      <c r="D20" s="50" t="s">
        <v>182</v>
      </c>
      <c r="E20" s="11"/>
      <c r="F20" s="11"/>
      <c r="G20" s="19"/>
      <c r="H20" s="13"/>
      <c r="I20" s="19"/>
      <c r="J20" s="19"/>
      <c r="K20" s="16" t="s">
        <v>3</v>
      </c>
      <c r="L20" s="193" t="e">
        <f>VLOOKUP($L$7,'Delivery place-Contact'!$A$1:$J35,7,0)</f>
        <v>#N/A</v>
      </c>
      <c r="M20" s="193"/>
    </row>
    <row r="21" spans="1:21" ht="15.5" x14ac:dyDescent="0.35">
      <c r="A21" s="7"/>
      <c r="B21" s="1"/>
      <c r="D21" s="19"/>
      <c r="E21" s="11"/>
      <c r="F21" s="11"/>
      <c r="G21" s="19"/>
      <c r="H21" s="13"/>
      <c r="I21" s="19"/>
      <c r="J21" s="19"/>
      <c r="K21" s="16" t="s">
        <v>5</v>
      </c>
      <c r="L21" s="193" t="e">
        <f>VLOOKUP($L$7,'Delivery place-Contact'!$A$1:$J36,8,0)</f>
        <v>#N/A</v>
      </c>
      <c r="M21" s="193"/>
    </row>
    <row r="22" spans="1:21" ht="15.5" x14ac:dyDescent="0.35">
      <c r="A22" s="7"/>
      <c r="B22" s="1"/>
      <c r="C22" s="18" t="s">
        <v>192</v>
      </c>
      <c r="D22" s="19"/>
      <c r="E22" s="11"/>
      <c r="F22" s="11"/>
      <c r="G22" s="19"/>
      <c r="H22" s="13"/>
      <c r="I22" s="19"/>
      <c r="J22" s="19"/>
      <c r="K22" s="16" t="s">
        <v>180</v>
      </c>
      <c r="L22" s="193" t="e">
        <f>VLOOKUP($L$7,'Delivery place-Contact'!$A$1:$J37,9,0)</f>
        <v>#N/A</v>
      </c>
      <c r="M22" s="193"/>
    </row>
    <row r="23" spans="1:21" ht="15.5" x14ac:dyDescent="0.35">
      <c r="A23" s="7"/>
      <c r="B23" s="1"/>
      <c r="C23" s="18" t="s">
        <v>8</v>
      </c>
      <c r="D23" s="19"/>
      <c r="E23" s="11"/>
      <c r="F23" s="11"/>
      <c r="G23" s="19"/>
      <c r="H23" s="13"/>
      <c r="I23" s="19"/>
      <c r="J23" s="19"/>
      <c r="K23" s="7"/>
      <c r="L23" s="7"/>
      <c r="M23" s="7"/>
    </row>
    <row r="24" spans="1:21" ht="15.5" x14ac:dyDescent="0.35">
      <c r="A24" s="7"/>
      <c r="B24" s="1"/>
      <c r="C24" s="18" t="s">
        <v>9</v>
      </c>
      <c r="D24" s="19"/>
      <c r="E24" s="11"/>
      <c r="F24" s="11"/>
      <c r="G24" s="19"/>
      <c r="H24" s="13"/>
      <c r="I24" s="19"/>
      <c r="J24" s="19"/>
      <c r="K24" s="7"/>
      <c r="L24" s="7"/>
      <c r="M24" s="7"/>
    </row>
    <row r="25" spans="1:21" ht="15.5" x14ac:dyDescent="0.35">
      <c r="A25" s="7"/>
      <c r="B25" s="12"/>
      <c r="C25" s="18" t="s">
        <v>10</v>
      </c>
      <c r="D25" s="8"/>
      <c r="E25" s="8"/>
      <c r="F25" s="8"/>
      <c r="G25" s="7"/>
      <c r="H25" s="7"/>
      <c r="I25" s="7"/>
      <c r="J25" s="14"/>
      <c r="K25" s="14"/>
      <c r="L25" s="14"/>
      <c r="M25" s="1"/>
    </row>
    <row r="26" spans="1:21" ht="15.5" x14ac:dyDescent="0.35">
      <c r="A26" s="7"/>
      <c r="B26" s="12"/>
      <c r="C26" s="7"/>
      <c r="D26" s="8"/>
      <c r="E26" s="8"/>
      <c r="F26" s="8"/>
      <c r="G26" s="7"/>
      <c r="H26" s="7"/>
      <c r="I26" s="7"/>
      <c r="J26" s="14"/>
      <c r="K26" s="14"/>
      <c r="L26" s="14"/>
      <c r="M26" s="1"/>
    </row>
    <row r="27" spans="1:21" ht="16" thickBot="1" x14ac:dyDescent="0.4">
      <c r="A27" s="1"/>
      <c r="B27" s="7"/>
      <c r="C27" s="7"/>
      <c r="D27" s="20"/>
      <c r="E27" s="20"/>
      <c r="F27" s="20"/>
      <c r="G27" s="20"/>
      <c r="H27" s="20"/>
      <c r="I27" s="20"/>
      <c r="J27" s="20"/>
      <c r="K27" s="1"/>
      <c r="L27" s="1"/>
      <c r="M27" s="1"/>
      <c r="Q27" s="95" t="s">
        <v>422</v>
      </c>
    </row>
    <row r="28" spans="1:21" ht="16.5" thickBot="1" x14ac:dyDescent="0.4">
      <c r="A28" s="21"/>
      <c r="B28" s="22"/>
      <c r="C28" s="23" t="s">
        <v>11</v>
      </c>
      <c r="D28" s="48" t="s">
        <v>34</v>
      </c>
      <c r="E28" s="192" t="s">
        <v>12</v>
      </c>
      <c r="F28" s="192"/>
      <c r="G28" s="192"/>
      <c r="H28" s="192"/>
      <c r="I28" s="48" t="s">
        <v>13</v>
      </c>
      <c r="J28" s="24"/>
      <c r="K28" s="48" t="s">
        <v>14</v>
      </c>
      <c r="L28" s="48" t="s">
        <v>15</v>
      </c>
      <c r="M28" s="48" t="s">
        <v>16</v>
      </c>
      <c r="P28" s="155" t="s">
        <v>417</v>
      </c>
      <c r="Q28" s="157" t="s">
        <v>415</v>
      </c>
      <c r="R28" s="157" t="s">
        <v>416</v>
      </c>
      <c r="S28" s="48" t="s">
        <v>423</v>
      </c>
      <c r="T28" s="157" t="s">
        <v>418</v>
      </c>
      <c r="U28" s="156" t="s">
        <v>424</v>
      </c>
    </row>
    <row r="29" spans="1:21" ht="15.5" x14ac:dyDescent="0.35">
      <c r="A29" s="1"/>
      <c r="B29" s="25"/>
      <c r="C29" s="119"/>
      <c r="D29" s="120"/>
      <c r="E29" s="194"/>
      <c r="F29" s="194"/>
      <c r="G29" s="194"/>
      <c r="H29" s="194"/>
      <c r="I29" s="122"/>
      <c r="J29" s="72"/>
      <c r="K29" s="112"/>
      <c r="L29" s="123"/>
      <c r="M29" s="114">
        <f>IF(I29="",0,L29*I29)</f>
        <v>0</v>
      </c>
      <c r="P29" s="148">
        <f>K29</f>
        <v>0</v>
      </c>
      <c r="Q29" s="151">
        <v>0.3</v>
      </c>
      <c r="R29" s="151">
        <v>2.1</v>
      </c>
      <c r="S29" s="152">
        <f>PI()*(Q29/2)^2*R29</f>
        <v>0.14844025288211773</v>
      </c>
      <c r="T29" s="150">
        <f>Package</f>
        <v>0</v>
      </c>
      <c r="U29" s="153">
        <f>S29*T29</f>
        <v>0</v>
      </c>
    </row>
    <row r="30" spans="1:21" ht="15.5" x14ac:dyDescent="0.35">
      <c r="A30" s="1"/>
      <c r="B30" s="25"/>
      <c r="C30" s="119"/>
      <c r="D30" s="121"/>
      <c r="E30" s="72"/>
      <c r="F30" s="72"/>
      <c r="G30" s="72"/>
      <c r="H30" s="115"/>
      <c r="I30" s="122"/>
      <c r="J30" s="72"/>
      <c r="K30" s="112"/>
      <c r="L30" s="123"/>
      <c r="M30" s="114">
        <f>IF(I30="",0,L30*I30)</f>
        <v>0</v>
      </c>
      <c r="Q30" s="151"/>
      <c r="R30" s="151"/>
      <c r="S30" s="154">
        <f>PI()*(Q30/2)^2*R30</f>
        <v>0</v>
      </c>
      <c r="T30" s="150"/>
      <c r="U30" s="153">
        <f t="shared" ref="U30:U58" si="0">S30*T30</f>
        <v>0</v>
      </c>
    </row>
    <row r="31" spans="1:21" ht="15.5" x14ac:dyDescent="0.35">
      <c r="A31" s="1"/>
      <c r="B31" s="25"/>
      <c r="C31" s="119"/>
      <c r="D31" s="121"/>
      <c r="E31" s="72"/>
      <c r="F31" s="72"/>
      <c r="G31" s="72"/>
      <c r="H31" s="115"/>
      <c r="I31" s="122"/>
      <c r="J31" s="72"/>
      <c r="K31" s="112"/>
      <c r="L31" s="123"/>
      <c r="M31" s="114">
        <f>IF(I31="",0,L31*I31)</f>
        <v>0</v>
      </c>
      <c r="Q31" s="150"/>
      <c r="R31" s="151"/>
      <c r="S31" s="149">
        <f t="shared" ref="S31:S58" si="1">PI()*(Q31/2)^2*R31</f>
        <v>0</v>
      </c>
      <c r="T31" s="150"/>
      <c r="U31" s="153">
        <f t="shared" si="0"/>
        <v>0</v>
      </c>
    </row>
    <row r="32" spans="1:21" ht="15.5" x14ac:dyDescent="0.35">
      <c r="A32" s="1"/>
      <c r="B32" s="25"/>
      <c r="C32" s="110"/>
      <c r="D32" s="116"/>
      <c r="E32" s="116"/>
      <c r="F32" s="72"/>
      <c r="G32" s="72"/>
      <c r="H32" s="115"/>
      <c r="I32" s="111"/>
      <c r="J32" s="116"/>
      <c r="K32" s="112"/>
      <c r="L32" s="113"/>
      <c r="M32" s="114">
        <f t="shared" ref="M32:M58" si="2">IF(I32="",0,L32*I32)</f>
        <v>0</v>
      </c>
      <c r="Q32" s="150"/>
      <c r="R32" s="151"/>
      <c r="S32" s="149">
        <f t="shared" si="1"/>
        <v>0</v>
      </c>
      <c r="T32" s="150"/>
      <c r="U32" s="153">
        <f t="shared" si="0"/>
        <v>0</v>
      </c>
    </row>
    <row r="33" spans="1:21" ht="15.5" x14ac:dyDescent="0.35">
      <c r="A33" s="1"/>
      <c r="B33" s="25"/>
      <c r="C33" s="30"/>
      <c r="D33" s="11"/>
      <c r="E33" s="11"/>
      <c r="F33" s="11"/>
      <c r="G33" s="11"/>
      <c r="H33" s="26"/>
      <c r="I33" s="27"/>
      <c r="J33" s="11" t="s">
        <v>178</v>
      </c>
      <c r="K33" s="27"/>
      <c r="L33" s="28"/>
      <c r="M33" s="29">
        <f t="shared" si="2"/>
        <v>0</v>
      </c>
      <c r="Q33" s="150"/>
      <c r="R33" s="151"/>
      <c r="S33" s="149">
        <f t="shared" si="1"/>
        <v>0</v>
      </c>
      <c r="T33" s="150"/>
      <c r="U33" s="153">
        <f t="shared" si="0"/>
        <v>0</v>
      </c>
    </row>
    <row r="34" spans="1:21" ht="15.5" x14ac:dyDescent="0.35">
      <c r="A34" s="1"/>
      <c r="B34" s="25"/>
      <c r="C34" s="31"/>
      <c r="D34" s="11"/>
      <c r="E34" s="11"/>
      <c r="F34" s="11"/>
      <c r="G34" s="11"/>
      <c r="H34" s="26"/>
      <c r="I34" s="27"/>
      <c r="J34" s="11" t="s">
        <v>178</v>
      </c>
      <c r="K34" s="27"/>
      <c r="L34" s="28"/>
      <c r="M34" s="29">
        <f t="shared" si="2"/>
        <v>0</v>
      </c>
      <c r="Q34" s="150"/>
      <c r="R34" s="151"/>
      <c r="S34" s="149">
        <f t="shared" si="1"/>
        <v>0</v>
      </c>
      <c r="T34" s="150"/>
      <c r="U34" s="153">
        <f t="shared" si="0"/>
        <v>0</v>
      </c>
    </row>
    <row r="35" spans="1:21" ht="15.5" x14ac:dyDescent="0.35">
      <c r="A35" s="1"/>
      <c r="B35" s="25"/>
      <c r="C35" s="31"/>
      <c r="D35" s="11"/>
      <c r="E35" s="11"/>
      <c r="F35" s="11"/>
      <c r="G35" s="11"/>
      <c r="H35" s="26"/>
      <c r="I35" s="27"/>
      <c r="J35" s="11" t="s">
        <v>178</v>
      </c>
      <c r="K35" s="27"/>
      <c r="L35" s="28"/>
      <c r="M35" s="29">
        <f t="shared" si="2"/>
        <v>0</v>
      </c>
      <c r="P35" s="147"/>
      <c r="Q35" s="150"/>
      <c r="R35" s="151"/>
      <c r="S35" s="149">
        <f t="shared" si="1"/>
        <v>0</v>
      </c>
      <c r="T35" s="150"/>
      <c r="U35" s="153">
        <f t="shared" si="0"/>
        <v>0</v>
      </c>
    </row>
    <row r="36" spans="1:21" ht="15.5" x14ac:dyDescent="0.35">
      <c r="A36" s="1"/>
      <c r="B36" s="25"/>
      <c r="C36" s="31"/>
      <c r="D36" s="11"/>
      <c r="E36" s="11"/>
      <c r="F36" s="11"/>
      <c r="G36" s="11"/>
      <c r="H36" s="26"/>
      <c r="I36" s="27"/>
      <c r="J36" s="11" t="s">
        <v>178</v>
      </c>
      <c r="K36" s="27"/>
      <c r="L36" s="28"/>
      <c r="M36" s="29">
        <f t="shared" si="2"/>
        <v>0</v>
      </c>
      <c r="Q36" s="150"/>
      <c r="R36" s="151"/>
      <c r="S36" s="149">
        <f t="shared" si="1"/>
        <v>0</v>
      </c>
      <c r="T36" s="150"/>
      <c r="U36" s="153">
        <f t="shared" si="0"/>
        <v>0</v>
      </c>
    </row>
    <row r="37" spans="1:21" ht="15.5" x14ac:dyDescent="0.35">
      <c r="A37" s="1"/>
      <c r="B37" s="25"/>
      <c r="C37" s="31"/>
      <c r="D37" s="11"/>
      <c r="E37" s="11"/>
      <c r="F37" s="11"/>
      <c r="G37" s="11"/>
      <c r="H37" s="26"/>
      <c r="I37" s="27"/>
      <c r="J37" s="11" t="s">
        <v>178</v>
      </c>
      <c r="K37" s="27"/>
      <c r="L37" s="28"/>
      <c r="M37" s="29">
        <f t="shared" si="2"/>
        <v>0</v>
      </c>
      <c r="Q37" s="150"/>
      <c r="R37" s="151"/>
      <c r="S37" s="149">
        <f t="shared" si="1"/>
        <v>0</v>
      </c>
      <c r="T37" s="150"/>
      <c r="U37" s="153">
        <f t="shared" si="0"/>
        <v>0</v>
      </c>
    </row>
    <row r="38" spans="1:21" ht="15.5" x14ac:dyDescent="0.35">
      <c r="A38" s="1"/>
      <c r="B38" s="25"/>
      <c r="C38" s="31"/>
      <c r="D38" s="11"/>
      <c r="E38" s="11"/>
      <c r="F38" s="11"/>
      <c r="G38" s="11"/>
      <c r="H38" s="26"/>
      <c r="I38" s="27"/>
      <c r="J38" s="11" t="s">
        <v>178</v>
      </c>
      <c r="K38" s="27"/>
      <c r="L38" s="28"/>
      <c r="M38" s="29">
        <f t="shared" si="2"/>
        <v>0</v>
      </c>
      <c r="Q38" s="150"/>
      <c r="R38" s="151"/>
      <c r="S38" s="149">
        <f t="shared" si="1"/>
        <v>0</v>
      </c>
      <c r="T38" s="150"/>
      <c r="U38" s="153">
        <f t="shared" si="0"/>
        <v>0</v>
      </c>
    </row>
    <row r="39" spans="1:21" ht="15.5" x14ac:dyDescent="0.35">
      <c r="A39" s="1"/>
      <c r="B39" s="25"/>
      <c r="C39" s="31"/>
      <c r="D39" s="11"/>
      <c r="E39" s="11"/>
      <c r="F39" s="11"/>
      <c r="G39" s="11"/>
      <c r="H39" s="26"/>
      <c r="I39" s="27"/>
      <c r="J39" s="11" t="s">
        <v>178</v>
      </c>
      <c r="K39" s="27"/>
      <c r="L39" s="28"/>
      <c r="M39" s="29">
        <f t="shared" si="2"/>
        <v>0</v>
      </c>
      <c r="Q39" s="150"/>
      <c r="R39" s="151"/>
      <c r="S39" s="149">
        <f t="shared" si="1"/>
        <v>0</v>
      </c>
      <c r="T39" s="150"/>
      <c r="U39" s="153">
        <f t="shared" si="0"/>
        <v>0</v>
      </c>
    </row>
    <row r="40" spans="1:21" ht="15.5" x14ac:dyDescent="0.35">
      <c r="A40" s="1"/>
      <c r="B40" s="25"/>
      <c r="C40" s="31"/>
      <c r="D40" s="11"/>
      <c r="E40" s="11"/>
      <c r="F40" s="11"/>
      <c r="G40" s="11"/>
      <c r="H40" s="26"/>
      <c r="I40" s="27"/>
      <c r="J40" s="11" t="s">
        <v>178</v>
      </c>
      <c r="K40" s="27"/>
      <c r="L40" s="28"/>
      <c r="M40" s="29">
        <f t="shared" si="2"/>
        <v>0</v>
      </c>
      <c r="Q40" s="150"/>
      <c r="R40" s="151"/>
      <c r="S40" s="149">
        <f t="shared" si="1"/>
        <v>0</v>
      </c>
      <c r="T40" s="150"/>
      <c r="U40" s="153">
        <f t="shared" si="0"/>
        <v>0</v>
      </c>
    </row>
    <row r="41" spans="1:21" ht="15.5" x14ac:dyDescent="0.35">
      <c r="A41" s="1"/>
      <c r="B41" s="25"/>
      <c r="C41" s="31"/>
      <c r="D41" s="11"/>
      <c r="E41" s="11"/>
      <c r="F41" s="11"/>
      <c r="G41" s="11"/>
      <c r="H41" s="26"/>
      <c r="I41" s="27"/>
      <c r="J41" s="11" t="s">
        <v>178</v>
      </c>
      <c r="K41" s="27"/>
      <c r="L41" s="28"/>
      <c r="M41" s="29">
        <f t="shared" si="2"/>
        <v>0</v>
      </c>
      <c r="P41" s="147"/>
      <c r="Q41" s="150"/>
      <c r="R41" s="151"/>
      <c r="S41" s="149">
        <f t="shared" si="1"/>
        <v>0</v>
      </c>
      <c r="T41" s="150"/>
      <c r="U41" s="153">
        <f t="shared" si="0"/>
        <v>0</v>
      </c>
    </row>
    <row r="42" spans="1:21" ht="15.5" x14ac:dyDescent="0.35">
      <c r="A42" s="1"/>
      <c r="B42" s="25"/>
      <c r="C42" s="31"/>
      <c r="D42" s="11"/>
      <c r="E42" s="11"/>
      <c r="F42" s="11"/>
      <c r="G42" s="11"/>
      <c r="H42" s="26"/>
      <c r="I42" s="27"/>
      <c r="J42" s="11" t="s">
        <v>178</v>
      </c>
      <c r="K42" s="27"/>
      <c r="L42" s="28"/>
      <c r="M42" s="29">
        <f t="shared" si="2"/>
        <v>0</v>
      </c>
      <c r="Q42" s="150"/>
      <c r="R42" s="151"/>
      <c r="S42" s="149">
        <f t="shared" si="1"/>
        <v>0</v>
      </c>
      <c r="T42" s="150"/>
      <c r="U42" s="153">
        <f t="shared" si="0"/>
        <v>0</v>
      </c>
    </row>
    <row r="43" spans="1:21" ht="15.5" x14ac:dyDescent="0.35">
      <c r="A43" s="1"/>
      <c r="B43" s="25"/>
      <c r="C43" s="31"/>
      <c r="D43" s="11"/>
      <c r="E43" s="11"/>
      <c r="F43" s="11"/>
      <c r="G43" s="11"/>
      <c r="H43" s="26"/>
      <c r="I43" s="27"/>
      <c r="J43" s="11" t="s">
        <v>178</v>
      </c>
      <c r="K43" s="27"/>
      <c r="L43" s="28"/>
      <c r="M43" s="29">
        <f t="shared" si="2"/>
        <v>0</v>
      </c>
      <c r="Q43" s="150"/>
      <c r="R43" s="151"/>
      <c r="S43" s="149">
        <f t="shared" si="1"/>
        <v>0</v>
      </c>
      <c r="T43" s="150"/>
      <c r="U43" s="153">
        <f t="shared" si="0"/>
        <v>0</v>
      </c>
    </row>
    <row r="44" spans="1:21" ht="15.5" x14ac:dyDescent="0.35">
      <c r="A44" s="1"/>
      <c r="B44" s="25"/>
      <c r="C44" s="31"/>
      <c r="D44" s="11"/>
      <c r="E44" s="11"/>
      <c r="F44" s="11"/>
      <c r="G44" s="11"/>
      <c r="H44" s="26"/>
      <c r="I44" s="27"/>
      <c r="J44" s="11" t="s">
        <v>178</v>
      </c>
      <c r="K44" s="27"/>
      <c r="L44" s="28"/>
      <c r="M44" s="29">
        <f t="shared" si="2"/>
        <v>0</v>
      </c>
      <c r="Q44" s="150"/>
      <c r="R44" s="151"/>
      <c r="S44" s="149">
        <f t="shared" si="1"/>
        <v>0</v>
      </c>
      <c r="T44" s="150"/>
      <c r="U44" s="153">
        <f t="shared" si="0"/>
        <v>0</v>
      </c>
    </row>
    <row r="45" spans="1:21" ht="15.5" x14ac:dyDescent="0.35">
      <c r="A45" s="1"/>
      <c r="B45" s="25"/>
      <c r="C45" s="31"/>
      <c r="D45" s="11"/>
      <c r="E45" s="11"/>
      <c r="F45" s="11"/>
      <c r="G45" s="11"/>
      <c r="H45" s="26"/>
      <c r="I45" s="27"/>
      <c r="J45" s="11" t="s">
        <v>178</v>
      </c>
      <c r="K45" s="27"/>
      <c r="L45" s="28"/>
      <c r="M45" s="29">
        <f t="shared" si="2"/>
        <v>0</v>
      </c>
      <c r="Q45" s="150"/>
      <c r="R45" s="151"/>
      <c r="S45" s="149">
        <f t="shared" si="1"/>
        <v>0</v>
      </c>
      <c r="T45" s="150"/>
      <c r="U45" s="153">
        <f t="shared" si="0"/>
        <v>0</v>
      </c>
    </row>
    <row r="46" spans="1:21" ht="15.5" x14ac:dyDescent="0.35">
      <c r="A46" s="1"/>
      <c r="B46" s="25"/>
      <c r="C46" s="31"/>
      <c r="D46" s="11"/>
      <c r="E46" s="11"/>
      <c r="F46" s="11"/>
      <c r="G46" s="11"/>
      <c r="H46" s="26"/>
      <c r="I46" s="27"/>
      <c r="J46" s="11" t="s">
        <v>178</v>
      </c>
      <c r="K46" s="27"/>
      <c r="L46" s="28"/>
      <c r="M46" s="29">
        <f t="shared" si="2"/>
        <v>0</v>
      </c>
      <c r="Q46" s="150"/>
      <c r="R46" s="151"/>
      <c r="S46" s="149">
        <f t="shared" si="1"/>
        <v>0</v>
      </c>
      <c r="T46" s="150"/>
      <c r="U46" s="153">
        <f t="shared" si="0"/>
        <v>0</v>
      </c>
    </row>
    <row r="47" spans="1:21" ht="15.5" x14ac:dyDescent="0.35">
      <c r="A47" s="1"/>
      <c r="B47" s="25"/>
      <c r="C47" s="31"/>
      <c r="D47" s="11"/>
      <c r="E47" s="11"/>
      <c r="F47" s="11"/>
      <c r="G47" s="11"/>
      <c r="H47" s="26"/>
      <c r="I47" s="27"/>
      <c r="J47" s="11" t="s">
        <v>178</v>
      </c>
      <c r="K47" s="27"/>
      <c r="L47" s="28"/>
      <c r="M47" s="29">
        <f t="shared" si="2"/>
        <v>0</v>
      </c>
      <c r="P47" s="147"/>
      <c r="Q47" s="150"/>
      <c r="R47" s="151"/>
      <c r="S47" s="149">
        <f t="shared" si="1"/>
        <v>0</v>
      </c>
      <c r="T47" s="150"/>
      <c r="U47" s="153">
        <f t="shared" si="0"/>
        <v>0</v>
      </c>
    </row>
    <row r="48" spans="1:21" ht="15.5" x14ac:dyDescent="0.35">
      <c r="A48" s="1"/>
      <c r="B48" s="25"/>
      <c r="C48" s="31"/>
      <c r="D48" s="11"/>
      <c r="E48" s="11"/>
      <c r="F48" s="11"/>
      <c r="G48" s="11"/>
      <c r="H48" s="26"/>
      <c r="I48" s="27"/>
      <c r="J48" s="11" t="s">
        <v>178</v>
      </c>
      <c r="K48" s="27"/>
      <c r="L48" s="28"/>
      <c r="M48" s="29">
        <f t="shared" si="2"/>
        <v>0</v>
      </c>
      <c r="Q48" s="150"/>
      <c r="R48" s="151"/>
      <c r="S48" s="149">
        <f t="shared" si="1"/>
        <v>0</v>
      </c>
      <c r="T48" s="150"/>
      <c r="U48" s="153">
        <f t="shared" si="0"/>
        <v>0</v>
      </c>
    </row>
    <row r="49" spans="1:21" ht="15.5" x14ac:dyDescent="0.35">
      <c r="A49" s="1"/>
      <c r="B49" s="25"/>
      <c r="C49" s="31"/>
      <c r="D49" s="11"/>
      <c r="E49" s="11"/>
      <c r="F49" s="11"/>
      <c r="G49" s="11"/>
      <c r="H49" s="26"/>
      <c r="I49" s="27"/>
      <c r="J49" s="11" t="s">
        <v>178</v>
      </c>
      <c r="K49" s="27"/>
      <c r="L49" s="28"/>
      <c r="M49" s="29">
        <f t="shared" si="2"/>
        <v>0</v>
      </c>
      <c r="Q49" s="150"/>
      <c r="R49" s="151"/>
      <c r="S49" s="149">
        <f t="shared" si="1"/>
        <v>0</v>
      </c>
      <c r="T49" s="150"/>
      <c r="U49" s="153">
        <f t="shared" si="0"/>
        <v>0</v>
      </c>
    </row>
    <row r="50" spans="1:21" ht="15.5" x14ac:dyDescent="0.35">
      <c r="A50" s="1"/>
      <c r="B50" s="25"/>
      <c r="C50" s="31"/>
      <c r="D50" s="11"/>
      <c r="E50" s="11"/>
      <c r="F50" s="11"/>
      <c r="G50" s="11"/>
      <c r="H50" s="26"/>
      <c r="I50" s="27"/>
      <c r="J50" s="11" t="s">
        <v>178</v>
      </c>
      <c r="K50" s="27"/>
      <c r="L50" s="28"/>
      <c r="M50" s="29">
        <f t="shared" si="2"/>
        <v>0</v>
      </c>
      <c r="Q50" s="150"/>
      <c r="R50" s="151"/>
      <c r="S50" s="149">
        <f t="shared" si="1"/>
        <v>0</v>
      </c>
      <c r="T50" s="150"/>
      <c r="U50" s="153">
        <f t="shared" si="0"/>
        <v>0</v>
      </c>
    </row>
    <row r="51" spans="1:21" ht="15.5" x14ac:dyDescent="0.35">
      <c r="A51" s="1"/>
      <c r="B51" s="25"/>
      <c r="C51" s="31"/>
      <c r="D51" s="11"/>
      <c r="E51" s="11"/>
      <c r="F51" s="11"/>
      <c r="G51" s="11"/>
      <c r="H51" s="26"/>
      <c r="I51" s="27"/>
      <c r="J51" s="11" t="s">
        <v>178</v>
      </c>
      <c r="K51" s="27"/>
      <c r="L51" s="28"/>
      <c r="M51" s="29">
        <f t="shared" si="2"/>
        <v>0</v>
      </c>
      <c r="Q51" s="150"/>
      <c r="R51" s="151"/>
      <c r="S51" s="149">
        <f t="shared" si="1"/>
        <v>0</v>
      </c>
      <c r="T51" s="150"/>
      <c r="U51" s="153">
        <f t="shared" si="0"/>
        <v>0</v>
      </c>
    </row>
    <row r="52" spans="1:21" ht="15.5" x14ac:dyDescent="0.35">
      <c r="A52" s="1"/>
      <c r="B52" s="25"/>
      <c r="C52" s="31"/>
      <c r="D52" s="11"/>
      <c r="E52" s="11"/>
      <c r="F52" s="11"/>
      <c r="G52" s="11"/>
      <c r="H52" s="26"/>
      <c r="I52" s="27"/>
      <c r="J52" s="11" t="s">
        <v>178</v>
      </c>
      <c r="K52" s="27"/>
      <c r="L52" s="28"/>
      <c r="M52" s="29">
        <f t="shared" si="2"/>
        <v>0</v>
      </c>
      <c r="Q52" s="150"/>
      <c r="R52" s="151"/>
      <c r="S52" s="149">
        <f t="shared" si="1"/>
        <v>0</v>
      </c>
      <c r="T52" s="150"/>
      <c r="U52" s="153">
        <f t="shared" si="0"/>
        <v>0</v>
      </c>
    </row>
    <row r="53" spans="1:21" ht="15.5" x14ac:dyDescent="0.35">
      <c r="A53" s="1"/>
      <c r="B53" s="25"/>
      <c r="C53" s="31"/>
      <c r="D53" s="11"/>
      <c r="E53" s="11"/>
      <c r="F53" s="11"/>
      <c r="G53" s="11"/>
      <c r="H53" s="26"/>
      <c r="I53" s="27"/>
      <c r="J53" s="11" t="s">
        <v>178</v>
      </c>
      <c r="K53" s="27"/>
      <c r="L53" s="28"/>
      <c r="M53" s="29">
        <f t="shared" si="2"/>
        <v>0</v>
      </c>
      <c r="P53" s="147"/>
      <c r="Q53" s="150"/>
      <c r="R53" s="151"/>
      <c r="S53" s="149">
        <f t="shared" si="1"/>
        <v>0</v>
      </c>
      <c r="T53" s="150"/>
      <c r="U53" s="153">
        <f t="shared" si="0"/>
        <v>0</v>
      </c>
    </row>
    <row r="54" spans="1:21" ht="15.5" x14ac:dyDescent="0.35">
      <c r="A54" s="1"/>
      <c r="B54" s="25"/>
      <c r="C54" s="31"/>
      <c r="D54" s="11"/>
      <c r="E54" s="11"/>
      <c r="F54" s="11"/>
      <c r="G54" s="11"/>
      <c r="H54" s="26"/>
      <c r="I54" s="27"/>
      <c r="J54" s="11" t="s">
        <v>178</v>
      </c>
      <c r="K54" s="27"/>
      <c r="L54" s="28"/>
      <c r="M54" s="29">
        <f t="shared" si="2"/>
        <v>0</v>
      </c>
      <c r="Q54" s="150"/>
      <c r="R54" s="151"/>
      <c r="S54" s="149">
        <f t="shared" si="1"/>
        <v>0</v>
      </c>
      <c r="T54" s="150"/>
      <c r="U54" s="153">
        <f t="shared" si="0"/>
        <v>0</v>
      </c>
    </row>
    <row r="55" spans="1:21" ht="15.5" x14ac:dyDescent="0.35">
      <c r="A55" s="1"/>
      <c r="B55" s="25"/>
      <c r="C55" s="31"/>
      <c r="D55" s="11"/>
      <c r="E55" s="11"/>
      <c r="F55" s="11"/>
      <c r="G55" s="11"/>
      <c r="H55" s="26"/>
      <c r="I55" s="27"/>
      <c r="J55" s="11" t="s">
        <v>178</v>
      </c>
      <c r="K55" s="27"/>
      <c r="L55" s="28"/>
      <c r="M55" s="29">
        <f t="shared" si="2"/>
        <v>0</v>
      </c>
      <c r="Q55" s="150"/>
      <c r="R55" s="151"/>
      <c r="S55" s="149">
        <f t="shared" si="1"/>
        <v>0</v>
      </c>
      <c r="T55" s="150"/>
      <c r="U55" s="153">
        <f t="shared" si="0"/>
        <v>0</v>
      </c>
    </row>
    <row r="56" spans="1:21" ht="15.5" x14ac:dyDescent="0.35">
      <c r="A56" s="1"/>
      <c r="B56" s="25"/>
      <c r="C56" s="31"/>
      <c r="D56" s="11"/>
      <c r="E56" s="11"/>
      <c r="F56" s="11"/>
      <c r="G56" s="11"/>
      <c r="H56" s="26"/>
      <c r="I56" s="27"/>
      <c r="J56" s="11" t="s">
        <v>178</v>
      </c>
      <c r="K56" s="27"/>
      <c r="L56" s="28"/>
      <c r="M56" s="29">
        <f t="shared" si="2"/>
        <v>0</v>
      </c>
      <c r="Q56" s="150"/>
      <c r="R56" s="151"/>
      <c r="S56" s="149">
        <f t="shared" si="1"/>
        <v>0</v>
      </c>
      <c r="T56" s="150"/>
      <c r="U56" s="153">
        <f t="shared" si="0"/>
        <v>0</v>
      </c>
    </row>
    <row r="57" spans="1:21" ht="15.5" x14ac:dyDescent="0.35">
      <c r="A57" s="1"/>
      <c r="B57" s="25"/>
      <c r="C57" s="31"/>
      <c r="D57" s="11"/>
      <c r="E57" s="11"/>
      <c r="F57" s="11"/>
      <c r="G57" s="11"/>
      <c r="H57" s="26"/>
      <c r="I57" s="27"/>
      <c r="J57" s="11" t="s">
        <v>178</v>
      </c>
      <c r="K57" s="27"/>
      <c r="L57" s="28"/>
      <c r="M57" s="29">
        <f t="shared" si="2"/>
        <v>0</v>
      </c>
      <c r="Q57" s="150"/>
      <c r="R57" s="151"/>
      <c r="S57" s="149">
        <f t="shared" si="1"/>
        <v>0</v>
      </c>
      <c r="T57" s="150"/>
      <c r="U57" s="153">
        <f t="shared" si="0"/>
        <v>0</v>
      </c>
    </row>
    <row r="58" spans="1:21" ht="16" thickBot="1" x14ac:dyDescent="0.4">
      <c r="A58" s="1"/>
      <c r="B58" s="25"/>
      <c r="C58" s="31"/>
      <c r="D58" s="11"/>
      <c r="E58" s="11"/>
      <c r="F58" s="11"/>
      <c r="G58" s="11"/>
      <c r="H58" s="26"/>
      <c r="I58" s="27"/>
      <c r="J58" s="11" t="s">
        <v>178</v>
      </c>
      <c r="K58" s="27"/>
      <c r="L58" s="28"/>
      <c r="M58" s="29">
        <f t="shared" si="2"/>
        <v>0</v>
      </c>
      <c r="Q58" s="150"/>
      <c r="R58" s="151"/>
      <c r="S58" s="149">
        <f t="shared" si="1"/>
        <v>0</v>
      </c>
      <c r="T58" s="150"/>
      <c r="U58" s="153">
        <f t="shared" si="0"/>
        <v>0</v>
      </c>
    </row>
    <row r="59" spans="1:21" ht="16" thickBot="1" x14ac:dyDescent="0.4">
      <c r="A59" s="1"/>
      <c r="B59" s="25"/>
      <c r="C59" s="67"/>
      <c r="D59" s="68"/>
      <c r="E59" s="68"/>
      <c r="F59" s="50"/>
      <c r="G59" s="50"/>
      <c r="H59" s="51"/>
      <c r="I59" s="62">
        <f>SUM(I29:I58)</f>
        <v>0</v>
      </c>
      <c r="J59" s="63"/>
      <c r="K59" s="62">
        <f>SUM(K29:K58)</f>
        <v>0</v>
      </c>
      <c r="L59" s="69" t="s">
        <v>36</v>
      </c>
      <c r="M59" s="70" t="s">
        <v>36</v>
      </c>
    </row>
    <row r="60" spans="1:21" ht="15.75" customHeight="1" x14ac:dyDescent="0.35">
      <c r="A60" s="1"/>
      <c r="B60" s="32"/>
      <c r="C60" s="33" t="s">
        <v>17</v>
      </c>
      <c r="D60" s="64" t="s">
        <v>18</v>
      </c>
      <c r="E60" s="79"/>
      <c r="F60" s="64" t="s">
        <v>19</v>
      </c>
      <c r="G60" s="64" t="s">
        <v>20</v>
      </c>
      <c r="H60" s="79"/>
      <c r="I60" s="64" t="s">
        <v>21</v>
      </c>
      <c r="J60" s="34"/>
      <c r="K60" s="64" t="s">
        <v>22</v>
      </c>
      <c r="L60" s="190" t="str">
        <f>IF(D16="No Charge","Nominal Value","Due Payment")</f>
        <v>Due Payment</v>
      </c>
      <c r="M60" s="190"/>
    </row>
    <row r="61" spans="1:21" ht="16" thickBot="1" x14ac:dyDescent="0.4">
      <c r="A61" s="1"/>
      <c r="B61" s="35"/>
      <c r="C61" s="36">
        <f>SUM(M29:M58)</f>
        <v>0</v>
      </c>
      <c r="D61" s="65" t="s">
        <v>36</v>
      </c>
      <c r="E61" s="65"/>
      <c r="F61" s="65" t="s">
        <v>36</v>
      </c>
      <c r="G61" s="66" t="s">
        <v>36</v>
      </c>
      <c r="H61" s="65"/>
      <c r="I61" s="65" t="s">
        <v>36</v>
      </c>
      <c r="J61" s="66"/>
      <c r="K61" s="65" t="s">
        <v>36</v>
      </c>
      <c r="L61" s="37"/>
      <c r="M61" s="38">
        <f>SUM(C61:L61)</f>
        <v>0</v>
      </c>
    </row>
    <row r="62" spans="1:21" ht="15.5" x14ac:dyDescent="0.35">
      <c r="A62" s="1"/>
      <c r="B62" s="35"/>
      <c r="C62" s="17" t="s">
        <v>23</v>
      </c>
      <c r="D62" s="43" t="s">
        <v>24</v>
      </c>
      <c r="E62" s="35"/>
      <c r="F62" s="35"/>
      <c r="G62" s="35"/>
      <c r="H62" s="49" t="s">
        <v>364</v>
      </c>
      <c r="I62" s="85"/>
      <c r="J62" s="35"/>
      <c r="K62" s="35"/>
      <c r="L62" s="42" t="s">
        <v>25</v>
      </c>
      <c r="M62" s="87">
        <f>K59</f>
        <v>0</v>
      </c>
    </row>
    <row r="63" spans="1:21" ht="15.5" x14ac:dyDescent="0.35">
      <c r="A63" s="1"/>
      <c r="B63" s="7"/>
      <c r="C63" s="17" t="s">
        <v>26</v>
      </c>
      <c r="D63" s="43" t="str">
        <f>L10</f>
        <v>City</v>
      </c>
      <c r="E63" s="39"/>
      <c r="F63" s="39"/>
      <c r="H63" s="41" t="s">
        <v>27</v>
      </c>
      <c r="I63" s="43" t="s">
        <v>195</v>
      </c>
      <c r="K63" s="40"/>
      <c r="L63" s="42" t="s">
        <v>28</v>
      </c>
      <c r="M63" s="87">
        <f>M62+(0.35*Package)</f>
        <v>0</v>
      </c>
    </row>
    <row r="64" spans="1:21" ht="15.5" x14ac:dyDescent="0.35">
      <c r="A64" s="1"/>
      <c r="B64" s="7"/>
      <c r="C64" s="19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1:21" ht="15.5" x14ac:dyDescent="0.35">
      <c r="A65" s="1"/>
      <c r="B65" s="1"/>
      <c r="E65" s="40"/>
      <c r="F65" s="40"/>
      <c r="G65" s="40"/>
      <c r="H65" s="40"/>
      <c r="I65" s="40"/>
      <c r="J65" s="40"/>
      <c r="K65" s="40"/>
      <c r="L65" s="52" t="s">
        <v>212</v>
      </c>
      <c r="M65" s="93">
        <f>PI()*(0.3/2)^2*2.2*Package</f>
        <v>0</v>
      </c>
      <c r="U65" s="158">
        <f>SUM(U29:U58)</f>
        <v>0</v>
      </c>
    </row>
    <row r="66" spans="1:21" ht="15.5" x14ac:dyDescent="0.35">
      <c r="A66" s="1"/>
      <c r="B66" s="1"/>
      <c r="E66" s="40"/>
      <c r="F66" s="40"/>
      <c r="G66" s="40"/>
      <c r="H66" s="40"/>
      <c r="I66" s="40"/>
      <c r="J66" s="40"/>
      <c r="K66" s="40"/>
      <c r="L66" s="40"/>
      <c r="M66" s="40"/>
    </row>
    <row r="67" spans="1:21" ht="15.5" x14ac:dyDescent="0.35">
      <c r="A67" s="1"/>
      <c r="B67" s="1"/>
      <c r="E67" s="40"/>
      <c r="F67" s="40"/>
      <c r="G67" s="40"/>
      <c r="H67" s="40"/>
      <c r="I67" s="40"/>
      <c r="J67" s="40"/>
      <c r="K67" s="40"/>
      <c r="L67" s="40"/>
      <c r="M67" s="40"/>
    </row>
    <row r="68" spans="1:21" ht="15.5" x14ac:dyDescent="0.35">
      <c r="A68" s="1"/>
      <c r="B68" s="1"/>
      <c r="E68" s="40"/>
      <c r="F68" s="40"/>
      <c r="G68" s="40"/>
      <c r="H68" s="40"/>
      <c r="I68" s="40"/>
      <c r="J68" s="40"/>
      <c r="K68" s="40"/>
      <c r="L68" s="40"/>
      <c r="M68" s="40"/>
    </row>
    <row r="69" spans="1:21" ht="15.5" x14ac:dyDescent="0.35">
      <c r="A69" s="1"/>
      <c r="B69" s="1"/>
      <c r="C69" s="16" t="s">
        <v>29</v>
      </c>
      <c r="D69" s="43" t="s">
        <v>30</v>
      </c>
      <c r="E69" s="40"/>
      <c r="F69" s="40"/>
      <c r="G69" s="40"/>
      <c r="H69" s="40"/>
      <c r="I69" s="40"/>
      <c r="J69" s="40"/>
      <c r="K69" s="40"/>
      <c r="L69" s="40"/>
      <c r="M69" s="40"/>
      <c r="U69" s="77" t="s">
        <v>420</v>
      </c>
    </row>
    <row r="70" spans="1:21" ht="15.5" x14ac:dyDescent="0.35">
      <c r="A70" s="1"/>
      <c r="B70" s="46"/>
      <c r="C70" s="16" t="s">
        <v>31</v>
      </c>
      <c r="D70" s="44" t="s">
        <v>32</v>
      </c>
      <c r="E70" s="1"/>
      <c r="F70" s="1"/>
      <c r="G70" s="1"/>
      <c r="H70" s="1"/>
      <c r="I70" s="1"/>
      <c r="J70" s="1"/>
      <c r="K70" s="1"/>
      <c r="L70" s="1"/>
    </row>
    <row r="71" spans="1:21" ht="15.5" x14ac:dyDescent="0.35">
      <c r="A71" s="1"/>
      <c r="B71" s="1"/>
      <c r="C71" s="16" t="s">
        <v>39</v>
      </c>
      <c r="D71" s="45" t="s">
        <v>33</v>
      </c>
      <c r="E71" s="47"/>
      <c r="F71" s="47"/>
      <c r="G71" s="47"/>
      <c r="H71" s="3"/>
      <c r="I71" s="1"/>
      <c r="J71" s="1"/>
      <c r="K71" s="1"/>
      <c r="L71" s="1"/>
      <c r="M71" s="1"/>
    </row>
    <row r="72" spans="1:21" ht="15.5" x14ac:dyDescent="0.35">
      <c r="A72" s="1"/>
      <c r="B72" s="2"/>
      <c r="C72" s="16" t="s">
        <v>196</v>
      </c>
      <c r="D72" s="78" t="s">
        <v>197</v>
      </c>
      <c r="E72" s="2"/>
      <c r="F72" s="2"/>
      <c r="G72" s="2"/>
      <c r="H72" s="2"/>
      <c r="I72" s="2"/>
      <c r="J72" s="2"/>
      <c r="K72" s="2"/>
      <c r="L72" s="2"/>
      <c r="M72" s="2"/>
      <c r="U72" s="57" t="s">
        <v>421</v>
      </c>
    </row>
    <row r="73" spans="1:21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81" spans="13:20" x14ac:dyDescent="0.35">
      <c r="M81" s="61" t="s">
        <v>412</v>
      </c>
    </row>
    <row r="85" spans="13:20" x14ac:dyDescent="0.35">
      <c r="T85" s="145" t="s">
        <v>413</v>
      </c>
    </row>
    <row r="86" spans="13:20" ht="23" x14ac:dyDescent="0.35">
      <c r="T86" s="146" t="s">
        <v>414</v>
      </c>
    </row>
  </sheetData>
  <mergeCells count="7">
    <mergeCell ref="L60:M60"/>
    <mergeCell ref="L7:O7"/>
    <mergeCell ref="E28:H28"/>
    <mergeCell ref="L20:M20"/>
    <mergeCell ref="L21:M21"/>
    <mergeCell ref="L22:M22"/>
    <mergeCell ref="E29:H29"/>
  </mergeCells>
  <conditionalFormatting sqref="C29:C59 I29:I59 K29:L59">
    <cfRule type="expression" dxfId="12" priority="5" stopIfTrue="1">
      <formula>C29=0</formula>
    </cfRule>
  </conditionalFormatting>
  <conditionalFormatting sqref="D16">
    <cfRule type="cellIs" dxfId="11" priority="2" operator="equal">
      <formula>"'-"</formula>
    </cfRule>
  </conditionalFormatting>
  <conditionalFormatting sqref="D18:D20">
    <cfRule type="cellIs" dxfId="10" priority="1" operator="equal">
      <formula>"'-"</formula>
    </cfRule>
  </conditionalFormatting>
  <conditionalFormatting sqref="D62:D63">
    <cfRule type="expression" dxfId="9" priority="13" stopIfTrue="1">
      <formula>D62=0</formula>
    </cfRule>
  </conditionalFormatting>
  <conditionalFormatting sqref="D69:D71">
    <cfRule type="expression" dxfId="8" priority="10" stopIfTrue="1">
      <formula>D69=0</formula>
    </cfRule>
  </conditionalFormatting>
  <conditionalFormatting sqref="I63">
    <cfRule type="expression" dxfId="7" priority="4" stopIfTrue="1">
      <formula>I63=0</formula>
    </cfRule>
  </conditionalFormatting>
  <conditionalFormatting sqref="L20:L22">
    <cfRule type="expression" dxfId="6" priority="6" stopIfTrue="1">
      <formula>L20=0</formula>
    </cfRule>
  </conditionalFormatting>
  <conditionalFormatting sqref="M65">
    <cfRule type="expression" dxfId="5" priority="3" stopIfTrue="1">
      <formula>M65=0</formula>
    </cfRule>
  </conditionalFormatting>
  <dataValidations count="4">
    <dataValidation type="date" allowBlank="1" showInputMessage="1" showErrorMessage="1" sqref="D13" xr:uid="{4E1D64E7-2FB3-4997-868C-9BB0F470A8BB}">
      <formula1>1</formula1>
      <formula2>55153</formula2>
    </dataValidation>
    <dataValidation type="list" allowBlank="1" showInputMessage="1" showErrorMessage="1" sqref="D62" xr:uid="{AFC68BF6-802D-42ED-AD09-7545D73BCEAD}">
      <formula1>$X$3:$X$7</formula1>
    </dataValidation>
    <dataValidation showDropDown="1" showInputMessage="1" showErrorMessage="1" sqref="I62" xr:uid="{F64443D0-EBA3-4894-92F8-CFEC8F548B78}"/>
    <dataValidation allowBlank="1" showInputMessage="1" showErrorMessage="1" errorTitle="Invalid entry" error="Cell with formula; please do not modify." promptTitle="Cell with formula. Do not modify" sqref="L14" xr:uid="{24E787CF-13CE-444C-A058-4950E91C0863}"/>
  </dataValidations>
  <hyperlinks>
    <hyperlink ref="D71" r:id="rId1" xr:uid="{AA147C6D-142C-4457-81DD-96D6D8717753}"/>
    <hyperlink ref="D72" r:id="rId2" xr:uid="{9A9F0193-2B2E-4E38-B0F8-6F45DEBD3040}"/>
  </hyperlinks>
  <printOptions horizontalCentered="1" verticalCentered="1"/>
  <pageMargins left="0.41" right="0.19685039370078741" top="0.39" bottom="0.41" header="0.31496062992125984" footer="0.31496062992125984"/>
  <pageSetup paperSize="9" scale="61" orientation="portrait" verticalDpi="0" r:id="rId3"/>
  <drawing r:id="rId4"/>
  <legacyDrawing r:id="rId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Invalud entry" error="Please pick the appropriate option from the list" promptTitle="Payment Terms" prompt="Please pick the appropriate option from the list" xr:uid="{CDF2FFF2-9047-467D-8448-F5C3D7593C83}">
          <x14:formula1>
            <xm:f>'payment terms'!$A$1:$A$15</xm:f>
          </x14:formula1>
          <xm:sqref>D16</xm:sqref>
        </x14:dataValidation>
        <x14:dataValidation type="list" allowBlank="1" showInputMessage="1" showErrorMessage="1" errorTitle="Invalid Entry" error="Please pick the appropriate option from the list" promptTitle="Incoterm" prompt="Please pick the appropriate option from the list" xr:uid="{FDA54EF7-FAE6-44E0-B78F-F7E7273A7467}">
          <x14:formula1>
            <xm:f>'Incoterms-Carrier-NCM'!$A$1:$A$12</xm:f>
          </x14:formula1>
          <xm:sqref>D14</xm:sqref>
        </x14:dataValidation>
        <x14:dataValidation type="list" allowBlank="1" showInputMessage="1" showErrorMessage="1" errorTitle="Invalid entry" error="Please pick the appropriate option from the list" promptTitle="Carrier type" prompt="Please pick the appropriate option from the list" xr:uid="{EDB54175-C5AC-4753-BFA8-2E6767C17F60}">
          <x14:formula1>
            <xm:f>'Incoterms-Carrier-NCM'!$F$1:$F$7</xm:f>
          </x14:formula1>
          <xm:sqref>D18</xm:sqref>
        </x14:dataValidation>
        <x14:dataValidation type="list" allowBlank="1" showInputMessage="1" showErrorMessage="1" errorTitle="Invalid Entry" error="Please pick the appropriate option from the list" promptTitle="Importer" prompt="Please pick the appropriate option from the list" xr:uid="{2D7E51EB-FFE1-4219-8229-B71FDF9E58C3}">
          <x14:formula1>
            <xm:f>Importer!$A$1:$A$33</xm:f>
          </x14:formula1>
          <xm:sqref>L7:O7</xm:sqref>
        </x14:dataValidation>
        <x14:dataValidation type="list" showInputMessage="1" showErrorMessage="1" errorTitle="Invalid entry" error="Please pick the appropriate option from the list" promptTitle="NCM-HS Code" prompt="Please pick the appropriate option from the list" xr:uid="{5AABC8F7-C66F-4353-AC09-A0FE6BA524DE}">
          <x14:formula1>
            <xm:f>'Incoterms-Carrier-NCM'!$I$1:$I$7</xm:f>
          </x14:formula1>
          <xm:sqref>D19:D20</xm:sqref>
        </x14:dataValidation>
        <x14:dataValidation type="list" allowBlank="1" showInputMessage="1" showErrorMessage="1" xr:uid="{45760966-A6DF-46C0-9771-95FE57E656DF}">
          <x14:formula1>
            <xm:f>'Dimensions (cm)'!$B$1:$B$6</xm:f>
          </x14:formula1>
          <xm:sqref>I63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3E96-291D-492C-8FB2-3BA63707F402}">
  <dimension ref="A1:K41"/>
  <sheetViews>
    <sheetView showGridLines="0" topLeftCell="A25" workbookViewId="0">
      <selection activeCell="A41" sqref="A41"/>
    </sheetView>
  </sheetViews>
  <sheetFormatPr baseColWidth="10" defaultColWidth="10.81640625" defaultRowHeight="14.5" x14ac:dyDescent="0.35"/>
  <cols>
    <col min="1" max="1" width="15.81640625" customWidth="1"/>
    <col min="2" max="2" width="18.26953125" customWidth="1"/>
    <col min="3" max="3" width="13.54296875" customWidth="1"/>
    <col min="4" max="4" width="12.81640625" customWidth="1"/>
    <col min="5" max="5" width="11.453125" customWidth="1"/>
    <col min="6" max="6" width="12.7265625" customWidth="1"/>
    <col min="7" max="7" width="12.26953125" customWidth="1"/>
    <col min="8" max="8" width="17.26953125" customWidth="1"/>
    <col min="9" max="9" width="11.54296875" customWidth="1"/>
    <col min="10" max="10" width="22.81640625" customWidth="1"/>
    <col min="11" max="11" width="15.453125" customWidth="1"/>
  </cols>
  <sheetData>
    <row r="1" spans="1:11" x14ac:dyDescent="0.35">
      <c r="A1" s="134" t="s">
        <v>241</v>
      </c>
      <c r="B1" s="98"/>
      <c r="C1" s="90" t="s">
        <v>333</v>
      </c>
      <c r="D1" s="135"/>
    </row>
    <row r="2" spans="1:11" ht="6.75" customHeight="1" x14ac:dyDescent="0.35">
      <c r="A2" s="92"/>
      <c r="C2" s="95"/>
      <c r="D2" s="135"/>
    </row>
    <row r="3" spans="1:11" x14ac:dyDescent="0.35">
      <c r="A3" s="95" t="s">
        <v>334</v>
      </c>
      <c r="B3" s="136"/>
      <c r="D3" s="136"/>
    </row>
    <row r="4" spans="1:11" x14ac:dyDescent="0.35">
      <c r="A4" s="95" t="s">
        <v>332</v>
      </c>
      <c r="B4" s="136"/>
      <c r="C4" s="95"/>
      <c r="D4" s="136"/>
    </row>
    <row r="6" spans="1:11" x14ac:dyDescent="0.35">
      <c r="A6" s="57" t="s">
        <v>329</v>
      </c>
      <c r="B6" s="77" t="s">
        <v>331</v>
      </c>
      <c r="C6" s="77" t="s">
        <v>427</v>
      </c>
      <c r="D6" s="77" t="s">
        <v>428</v>
      </c>
      <c r="E6" s="77" t="s">
        <v>429</v>
      </c>
      <c r="F6" s="77" t="s">
        <v>335</v>
      </c>
      <c r="G6" s="77" t="s">
        <v>330</v>
      </c>
      <c r="H6" s="77" t="s">
        <v>336</v>
      </c>
      <c r="I6" s="77" t="s">
        <v>337</v>
      </c>
      <c r="J6" s="77" t="s">
        <v>338</v>
      </c>
      <c r="K6" s="77" t="s">
        <v>339</v>
      </c>
    </row>
    <row r="7" spans="1:11" x14ac:dyDescent="0.35">
      <c r="A7" s="77"/>
      <c r="B7" s="55"/>
      <c r="C7" s="55"/>
      <c r="D7" s="137"/>
      <c r="E7" s="137"/>
      <c r="F7" s="77"/>
      <c r="G7" s="138">
        <f>Tabla911[[#This Row],[CANTIDAD MTS]]*Tabla911[[#This Row],[PRECIO $]]</f>
        <v>0</v>
      </c>
      <c r="H7" s="77"/>
      <c r="I7" s="77"/>
      <c r="J7" s="57"/>
      <c r="K7" s="77"/>
    </row>
    <row r="8" spans="1:11" x14ac:dyDescent="0.35">
      <c r="A8" s="125"/>
      <c r="B8" s="55"/>
      <c r="C8" s="55"/>
      <c r="D8" s="137"/>
      <c r="E8" s="137"/>
      <c r="F8" s="77"/>
      <c r="G8" s="138">
        <f>Tabla911[[#This Row],[CANTIDAD MTS]]*Tabla911[[#This Row],[PRECIO $]]</f>
        <v>0</v>
      </c>
      <c r="H8" s="77"/>
      <c r="I8" s="77"/>
      <c r="K8" s="77"/>
    </row>
    <row r="9" spans="1:11" x14ac:dyDescent="0.35">
      <c r="A9" s="125"/>
      <c r="B9" s="55"/>
      <c r="C9" s="55"/>
      <c r="D9" s="137"/>
      <c r="E9" s="137"/>
      <c r="F9" s="77"/>
      <c r="G9" s="138">
        <f>Tabla911[[#This Row],[CANTIDAD MTS]]*Tabla911[[#This Row],[PRECIO $]]</f>
        <v>0</v>
      </c>
      <c r="H9" s="77"/>
      <c r="I9" s="77"/>
    </row>
    <row r="10" spans="1:11" x14ac:dyDescent="0.35">
      <c r="A10" s="125"/>
      <c r="B10" s="55"/>
      <c r="C10" s="55"/>
      <c r="D10" s="137"/>
      <c r="E10" s="137"/>
      <c r="F10" s="77"/>
      <c r="G10" s="138">
        <f>Tabla911[[#This Row],[CANTIDAD MTS]]*Tabla911[[#This Row],[PRECIO $]]</f>
        <v>0</v>
      </c>
      <c r="H10" s="77"/>
      <c r="I10" s="77"/>
    </row>
    <row r="11" spans="1:11" x14ac:dyDescent="0.35">
      <c r="A11" s="125"/>
      <c r="B11" s="55"/>
      <c r="C11" s="55"/>
      <c r="D11" s="137"/>
      <c r="E11" s="137"/>
      <c r="F11" s="77"/>
      <c r="G11" s="138">
        <f>Tabla911[[#This Row],[CANTIDAD MTS]]*Tabla911[[#This Row],[PRECIO $]]</f>
        <v>0</v>
      </c>
      <c r="H11" s="77"/>
      <c r="I11" s="77"/>
    </row>
    <row r="12" spans="1:11" x14ac:dyDescent="0.35">
      <c r="A12" s="125"/>
      <c r="B12" s="55"/>
      <c r="C12" s="55"/>
      <c r="D12" s="137"/>
      <c r="E12" s="137"/>
      <c r="F12" s="77"/>
      <c r="G12" s="138">
        <f>Tabla911[[#This Row],[CANTIDAD MTS]]*Tabla911[[#This Row],[PRECIO $]]</f>
        <v>0</v>
      </c>
      <c r="H12" s="77"/>
      <c r="I12" s="77"/>
    </row>
    <row r="13" spans="1:11" x14ac:dyDescent="0.35">
      <c r="A13" s="124"/>
      <c r="B13" s="55"/>
      <c r="C13" s="55"/>
      <c r="D13" s="137"/>
      <c r="E13" s="137"/>
      <c r="F13" s="77"/>
      <c r="G13" s="138">
        <f>Tabla911[[#This Row],[CANTIDAD MTS]]*Tabla911[[#This Row],[PRECIO $]]</f>
        <v>0</v>
      </c>
      <c r="H13" s="77"/>
      <c r="I13" s="77"/>
    </row>
    <row r="14" spans="1:11" x14ac:dyDescent="0.35">
      <c r="A14" s="125"/>
      <c r="B14" s="77" t="s">
        <v>330</v>
      </c>
      <c r="C14" s="77"/>
      <c r="D14" s="174">
        <f>SUM(Tabla911[CANTIDAD MTS])</f>
        <v>0</v>
      </c>
      <c r="E14" s="137"/>
      <c r="F14" s="125"/>
      <c r="G14" s="175">
        <f>SUM(Tabla911[TOTAL])</f>
        <v>0</v>
      </c>
      <c r="H14" s="77"/>
      <c r="I14" s="77"/>
    </row>
    <row r="23" spans="1:3" x14ac:dyDescent="0.35">
      <c r="A23" s="176" t="s">
        <v>425</v>
      </c>
    </row>
    <row r="29" spans="1:3" ht="7" customHeight="1" x14ac:dyDescent="0.35"/>
    <row r="30" spans="1:3" ht="7" customHeight="1" x14ac:dyDescent="0.35"/>
    <row r="31" spans="1:3" x14ac:dyDescent="0.35">
      <c r="A31" s="162" t="s">
        <v>13</v>
      </c>
      <c r="B31" s="163" t="s">
        <v>321</v>
      </c>
      <c r="C31" s="164" t="s">
        <v>322</v>
      </c>
    </row>
    <row r="32" spans="1:3" x14ac:dyDescent="0.35">
      <c r="A32" s="161">
        <v>1000</v>
      </c>
      <c r="B32" s="141">
        <v>2.2000000000000002</v>
      </c>
      <c r="C32" s="129">
        <f>A32*B32</f>
        <v>2200</v>
      </c>
    </row>
    <row r="33" spans="1:6" x14ac:dyDescent="0.35">
      <c r="A33" s="128"/>
      <c r="B33" s="130">
        <f>C32*C33</f>
        <v>429000</v>
      </c>
      <c r="C33" s="159">
        <v>195</v>
      </c>
      <c r="D33" t="s">
        <v>437</v>
      </c>
    </row>
    <row r="34" spans="1:6" x14ac:dyDescent="0.35">
      <c r="A34" s="128"/>
      <c r="B34" s="160">
        <f>B33/1000</f>
        <v>429</v>
      </c>
      <c r="C34" s="165" t="s">
        <v>323</v>
      </c>
    </row>
    <row r="35" spans="1:6" x14ac:dyDescent="0.35">
      <c r="A35" s="131"/>
      <c r="B35" s="132"/>
      <c r="C35" s="133"/>
    </row>
    <row r="37" spans="1:6" x14ac:dyDescent="0.35">
      <c r="A37" s="176" t="s">
        <v>426</v>
      </c>
    </row>
    <row r="38" spans="1:6" x14ac:dyDescent="0.35">
      <c r="A38" s="166" t="s">
        <v>13</v>
      </c>
      <c r="B38" s="167" t="s">
        <v>324</v>
      </c>
    </row>
    <row r="39" spans="1:6" x14ac:dyDescent="0.35">
      <c r="A39" s="170">
        <v>50</v>
      </c>
      <c r="B39" s="171">
        <v>1</v>
      </c>
      <c r="E39" s="172"/>
      <c r="F39" s="172"/>
    </row>
    <row r="40" spans="1:6" x14ac:dyDescent="0.35">
      <c r="A40" s="169">
        <v>6309</v>
      </c>
      <c r="B40" s="168">
        <f>A40*B39/A39</f>
        <v>126.18</v>
      </c>
      <c r="E40" s="172"/>
      <c r="F40" s="172"/>
    </row>
    <row r="41" spans="1:6" x14ac:dyDescent="0.35">
      <c r="E41" s="172"/>
      <c r="F41" s="173"/>
    </row>
  </sheetData>
  <pageMargins left="0.7" right="0.7" top="0.75" bottom="0.75" header="0.3" footer="0.3"/>
  <pageSetup paperSize="9" orientation="portrait" verticalDpi="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33AF-3E6A-4162-A973-0E68F2031C02}">
  <dimension ref="A1:I11"/>
  <sheetViews>
    <sheetView showGridLines="0" workbookViewId="0">
      <selection activeCell="F17" sqref="F17"/>
    </sheetView>
  </sheetViews>
  <sheetFormatPr baseColWidth="10" defaultColWidth="10.81640625" defaultRowHeight="14.5" x14ac:dyDescent="0.35"/>
  <cols>
    <col min="1" max="1" width="19.1796875" customWidth="1"/>
    <col min="2" max="2" width="26.81640625" bestFit="1" customWidth="1"/>
    <col min="3" max="5" width="6.1796875" customWidth="1"/>
    <col min="6" max="6" width="12" customWidth="1"/>
    <col min="7" max="8" width="9.81640625" customWidth="1"/>
    <col min="9" max="9" width="16.1796875" customWidth="1"/>
  </cols>
  <sheetData>
    <row r="1" spans="1:9" x14ac:dyDescent="0.35">
      <c r="A1" t="s">
        <v>147</v>
      </c>
      <c r="B1" t="s">
        <v>12</v>
      </c>
      <c r="F1" t="s">
        <v>175</v>
      </c>
      <c r="I1" s="84" t="s">
        <v>181</v>
      </c>
    </row>
    <row r="2" spans="1:9" x14ac:dyDescent="0.35">
      <c r="A2" s="53" t="s">
        <v>36</v>
      </c>
      <c r="B2" s="53" t="s">
        <v>36</v>
      </c>
      <c r="F2" s="53" t="s">
        <v>36</v>
      </c>
      <c r="I2" s="88" t="s">
        <v>36</v>
      </c>
    </row>
    <row r="3" spans="1:9" x14ac:dyDescent="0.35">
      <c r="A3" t="s">
        <v>133</v>
      </c>
      <c r="B3" t="s">
        <v>136</v>
      </c>
      <c r="F3" t="s">
        <v>173</v>
      </c>
      <c r="I3" s="83" t="s">
        <v>182</v>
      </c>
    </row>
    <row r="4" spans="1:9" x14ac:dyDescent="0.35">
      <c r="A4" t="s">
        <v>189</v>
      </c>
      <c r="B4" t="s">
        <v>190</v>
      </c>
      <c r="F4" t="s">
        <v>171</v>
      </c>
      <c r="I4" s="83" t="s">
        <v>213</v>
      </c>
    </row>
    <row r="5" spans="1:9" x14ac:dyDescent="0.35">
      <c r="A5" t="s">
        <v>137</v>
      </c>
      <c r="B5" t="s">
        <v>138</v>
      </c>
      <c r="F5" t="s">
        <v>172</v>
      </c>
      <c r="I5" s="83" t="s">
        <v>214</v>
      </c>
    </row>
    <row r="6" spans="1:9" x14ac:dyDescent="0.35">
      <c r="A6" t="s">
        <v>139</v>
      </c>
      <c r="B6" t="s">
        <v>140</v>
      </c>
      <c r="F6" t="s">
        <v>174</v>
      </c>
      <c r="I6" s="83" t="s">
        <v>215</v>
      </c>
    </row>
    <row r="7" spans="1:9" x14ac:dyDescent="0.35">
      <c r="A7" t="s">
        <v>141</v>
      </c>
      <c r="B7" t="s">
        <v>142</v>
      </c>
    </row>
    <row r="8" spans="1:9" x14ac:dyDescent="0.35">
      <c r="A8" t="s">
        <v>143</v>
      </c>
      <c r="B8" t="s">
        <v>144</v>
      </c>
    </row>
    <row r="9" spans="1:9" x14ac:dyDescent="0.35">
      <c r="A9" t="s">
        <v>145</v>
      </c>
      <c r="B9" t="s">
        <v>146</v>
      </c>
    </row>
    <row r="10" spans="1:9" x14ac:dyDescent="0.35">
      <c r="A10" t="s">
        <v>134</v>
      </c>
      <c r="B10" t="s">
        <v>135</v>
      </c>
    </row>
    <row r="11" spans="1:9" x14ac:dyDescent="0.35">
      <c r="A11" t="s">
        <v>325</v>
      </c>
      <c r="B11" t="s">
        <v>326</v>
      </c>
    </row>
  </sheetData>
  <conditionalFormatting sqref="I2:I6">
    <cfRule type="cellIs" dxfId="4" priority="1" operator="equal">
      <formula>"'-"</formula>
    </cfRule>
  </conditionalFormatting>
  <dataValidations count="1">
    <dataValidation showDropDown="1" showInputMessage="1" showErrorMessage="1" sqref="I2:I3" xr:uid="{BFE50C19-0A56-44BA-AC2B-6515085CAEE9}"/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B7FB-2D56-4486-B9BB-07E053399D87}">
  <dimension ref="A1:I33"/>
  <sheetViews>
    <sheetView showGridLines="0" zoomScale="98" zoomScaleNormal="98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baseColWidth="10" defaultColWidth="10.81640625" defaultRowHeight="14.5" x14ac:dyDescent="0.35"/>
  <cols>
    <col min="1" max="1" width="38.1796875" bestFit="1" customWidth="1"/>
    <col min="2" max="2" width="34.81640625" bestFit="1" customWidth="1"/>
    <col min="3" max="3" width="23.81640625" bestFit="1" customWidth="1"/>
    <col min="4" max="4" width="31.54296875" bestFit="1" customWidth="1"/>
    <col min="5" max="5" width="23.1796875" customWidth="1"/>
    <col min="7" max="7" width="17.81640625" bestFit="1" customWidth="1"/>
    <col min="9" max="9" width="16.54296875" customWidth="1"/>
  </cols>
  <sheetData>
    <row r="1" spans="1:9" x14ac:dyDescent="0.35">
      <c r="A1" t="s">
        <v>37</v>
      </c>
      <c r="B1" t="s">
        <v>38</v>
      </c>
      <c r="C1" t="s">
        <v>42</v>
      </c>
      <c r="D1" t="s">
        <v>41</v>
      </c>
      <c r="E1" t="s">
        <v>43</v>
      </c>
      <c r="F1" t="s">
        <v>55</v>
      </c>
      <c r="G1" t="s">
        <v>70</v>
      </c>
      <c r="H1" t="s">
        <v>77</v>
      </c>
      <c r="I1" t="s">
        <v>91</v>
      </c>
    </row>
    <row r="2" spans="1:9" x14ac:dyDescent="0.35">
      <c r="A2" t="s">
        <v>430</v>
      </c>
      <c r="B2" t="s">
        <v>431</v>
      </c>
      <c r="C2" s="57" t="s">
        <v>432</v>
      </c>
      <c r="D2" t="s">
        <v>433</v>
      </c>
      <c r="E2" t="s">
        <v>434</v>
      </c>
      <c r="G2" s="57" t="s">
        <v>435</v>
      </c>
      <c r="I2" t="s">
        <v>435</v>
      </c>
    </row>
    <row r="3" spans="1:9" x14ac:dyDescent="0.35">
      <c r="A3" t="s">
        <v>82</v>
      </c>
      <c r="B3" t="s">
        <v>83</v>
      </c>
      <c r="C3" s="57" t="s">
        <v>84</v>
      </c>
      <c r="D3" t="s">
        <v>85</v>
      </c>
      <c r="E3" t="s">
        <v>86</v>
      </c>
      <c r="G3" s="57" t="s">
        <v>87</v>
      </c>
    </row>
    <row r="4" spans="1:9" x14ac:dyDescent="0.35">
      <c r="A4" t="s">
        <v>375</v>
      </c>
      <c r="B4" t="s">
        <v>377</v>
      </c>
      <c r="C4" s="57" t="s">
        <v>378</v>
      </c>
      <c r="D4" t="s">
        <v>376</v>
      </c>
      <c r="E4" t="s">
        <v>76</v>
      </c>
      <c r="G4" s="57">
        <v>0</v>
      </c>
    </row>
    <row r="5" spans="1:9" x14ac:dyDescent="0.35">
      <c r="A5" s="127" t="s">
        <v>313</v>
      </c>
      <c r="B5" t="s">
        <v>319</v>
      </c>
      <c r="C5" t="s">
        <v>316</v>
      </c>
      <c r="D5" t="s">
        <v>317</v>
      </c>
      <c r="E5" t="s">
        <v>76</v>
      </c>
      <c r="G5" s="186" t="s">
        <v>318</v>
      </c>
      <c r="H5" s="127" t="s">
        <v>318</v>
      </c>
    </row>
    <row r="6" spans="1:9" x14ac:dyDescent="0.35">
      <c r="A6" t="s">
        <v>403</v>
      </c>
      <c r="B6" t="s">
        <v>405</v>
      </c>
      <c r="C6" s="57" t="s">
        <v>406</v>
      </c>
      <c r="D6" t="s">
        <v>401</v>
      </c>
      <c r="E6" t="s">
        <v>46</v>
      </c>
      <c r="G6" s="57" t="s">
        <v>404</v>
      </c>
      <c r="I6" t="s">
        <v>404</v>
      </c>
    </row>
    <row r="7" spans="1:9" x14ac:dyDescent="0.35">
      <c r="A7" t="s">
        <v>272</v>
      </c>
      <c r="B7" t="s">
        <v>274</v>
      </c>
      <c r="C7" t="s">
        <v>265</v>
      </c>
      <c r="D7" s="57" t="s">
        <v>273</v>
      </c>
      <c r="E7" t="s">
        <v>76</v>
      </c>
      <c r="G7" s="57">
        <v>0</v>
      </c>
    </row>
    <row r="8" spans="1:9" x14ac:dyDescent="0.35">
      <c r="A8" t="s">
        <v>282</v>
      </c>
      <c r="B8" t="s">
        <v>283</v>
      </c>
      <c r="C8" s="57" t="s">
        <v>284</v>
      </c>
      <c r="D8" t="s">
        <v>285</v>
      </c>
      <c r="E8" t="s">
        <v>69</v>
      </c>
      <c r="G8" s="57" t="s">
        <v>286</v>
      </c>
    </row>
    <row r="9" spans="1:9" x14ac:dyDescent="0.35">
      <c r="A9" t="s">
        <v>203</v>
      </c>
      <c r="B9" t="s">
        <v>51</v>
      </c>
      <c r="C9" s="57" t="s">
        <v>52</v>
      </c>
      <c r="D9" t="s">
        <v>53</v>
      </c>
      <c r="E9" t="s">
        <v>54</v>
      </c>
      <c r="F9" s="94" t="s">
        <v>56</v>
      </c>
      <c r="G9" s="86" t="s">
        <v>56</v>
      </c>
    </row>
    <row r="10" spans="1:9" x14ac:dyDescent="0.35">
      <c r="A10" t="s">
        <v>374</v>
      </c>
      <c r="B10" t="s">
        <v>226</v>
      </c>
      <c r="C10" s="57">
        <v>15280</v>
      </c>
      <c r="D10" t="s">
        <v>225</v>
      </c>
      <c r="E10" t="s">
        <v>227</v>
      </c>
      <c r="G10" s="57">
        <v>0</v>
      </c>
    </row>
    <row r="11" spans="1:9" x14ac:dyDescent="0.35">
      <c r="A11" t="s">
        <v>240</v>
      </c>
      <c r="B11" t="s">
        <v>226</v>
      </c>
      <c r="C11" s="57">
        <v>15280</v>
      </c>
      <c r="D11" t="s">
        <v>225</v>
      </c>
      <c r="E11" t="s">
        <v>227</v>
      </c>
      <c r="G11" s="57">
        <v>0</v>
      </c>
    </row>
    <row r="12" spans="1:9" x14ac:dyDescent="0.35">
      <c r="A12" t="s">
        <v>204</v>
      </c>
      <c r="B12" t="s">
        <v>66</v>
      </c>
      <c r="C12" s="57" t="s">
        <v>67</v>
      </c>
      <c r="D12" t="s">
        <v>68</v>
      </c>
      <c r="E12" t="s">
        <v>69</v>
      </c>
      <c r="G12" s="57" t="s">
        <v>71</v>
      </c>
    </row>
    <row r="13" spans="1:9" x14ac:dyDescent="0.35">
      <c r="A13" t="s">
        <v>100</v>
      </c>
      <c r="B13" t="s">
        <v>152</v>
      </c>
      <c r="C13" s="57">
        <v>3559</v>
      </c>
      <c r="D13" t="s">
        <v>101</v>
      </c>
      <c r="E13" t="s">
        <v>102</v>
      </c>
      <c r="G13" s="86" t="s">
        <v>103</v>
      </c>
      <c r="I13" s="94" t="s">
        <v>103</v>
      </c>
    </row>
    <row r="14" spans="1:9" x14ac:dyDescent="0.35">
      <c r="A14" t="s">
        <v>350</v>
      </c>
      <c r="B14" t="s">
        <v>153</v>
      </c>
      <c r="C14" s="57">
        <v>5291</v>
      </c>
      <c r="D14" t="s">
        <v>101</v>
      </c>
      <c r="E14" t="s">
        <v>102</v>
      </c>
      <c r="G14" s="86" t="s">
        <v>114</v>
      </c>
      <c r="I14" s="94" t="s">
        <v>114</v>
      </c>
    </row>
    <row r="15" spans="1:9" x14ac:dyDescent="0.35">
      <c r="A15" t="s">
        <v>365</v>
      </c>
      <c r="B15" t="s">
        <v>40</v>
      </c>
      <c r="C15" s="57" t="s">
        <v>44</v>
      </c>
      <c r="D15" t="s">
        <v>45</v>
      </c>
      <c r="E15" t="s">
        <v>46</v>
      </c>
      <c r="G15" s="57" t="s">
        <v>218</v>
      </c>
    </row>
    <row r="16" spans="1:9" x14ac:dyDescent="0.35">
      <c r="A16" t="s">
        <v>393</v>
      </c>
      <c r="B16" t="s">
        <v>390</v>
      </c>
      <c r="C16" s="57" t="s">
        <v>391</v>
      </c>
      <c r="D16" t="s">
        <v>392</v>
      </c>
      <c r="E16" t="s">
        <v>46</v>
      </c>
      <c r="G16" s="57" t="s">
        <v>395</v>
      </c>
      <c r="I16" t="s">
        <v>394</v>
      </c>
    </row>
    <row r="17" spans="1:9" x14ac:dyDescent="0.35">
      <c r="A17" t="s">
        <v>301</v>
      </c>
      <c r="B17" t="s">
        <v>302</v>
      </c>
      <c r="C17" s="57" t="s">
        <v>303</v>
      </c>
      <c r="D17" t="s">
        <v>248</v>
      </c>
      <c r="E17" t="s">
        <v>54</v>
      </c>
      <c r="F17">
        <v>8141084010</v>
      </c>
      <c r="G17" s="57">
        <v>8141084010</v>
      </c>
    </row>
    <row r="18" spans="1:9" x14ac:dyDescent="0.35">
      <c r="A18" t="s">
        <v>205</v>
      </c>
      <c r="B18" t="s">
        <v>107</v>
      </c>
      <c r="C18" s="57" t="s">
        <v>108</v>
      </c>
      <c r="D18" t="s">
        <v>109</v>
      </c>
      <c r="E18" t="s">
        <v>54</v>
      </c>
      <c r="F18" s="94" t="s">
        <v>110</v>
      </c>
      <c r="G18" s="86" t="s">
        <v>110</v>
      </c>
    </row>
    <row r="19" spans="1:9" x14ac:dyDescent="0.35">
      <c r="A19" t="s">
        <v>354</v>
      </c>
      <c r="B19" t="s">
        <v>355</v>
      </c>
      <c r="C19" s="57" t="s">
        <v>356</v>
      </c>
      <c r="D19" t="s">
        <v>357</v>
      </c>
      <c r="E19" t="s">
        <v>358</v>
      </c>
      <c r="G19" s="187" t="s">
        <v>359</v>
      </c>
    </row>
    <row r="20" spans="1:9" x14ac:dyDescent="0.35">
      <c r="A20" t="s">
        <v>264</v>
      </c>
      <c r="B20" t="s">
        <v>270</v>
      </c>
      <c r="C20" t="s">
        <v>265</v>
      </c>
      <c r="D20" t="s">
        <v>266</v>
      </c>
      <c r="E20" t="s">
        <v>76</v>
      </c>
      <c r="G20" s="57">
        <v>0</v>
      </c>
    </row>
    <row r="21" spans="1:9" x14ac:dyDescent="0.35">
      <c r="A21" t="s">
        <v>307</v>
      </c>
      <c r="B21" t="s">
        <v>308</v>
      </c>
      <c r="C21" s="57">
        <v>4648</v>
      </c>
      <c r="D21" t="s">
        <v>101</v>
      </c>
      <c r="E21" t="s">
        <v>102</v>
      </c>
      <c r="G21" s="188">
        <v>213658080010</v>
      </c>
      <c r="I21" s="126">
        <v>213658080010</v>
      </c>
    </row>
    <row r="22" spans="1:9" x14ac:dyDescent="0.35">
      <c r="A22" s="140" t="s">
        <v>344</v>
      </c>
      <c r="B22" t="s">
        <v>345</v>
      </c>
      <c r="C22" s="57" t="s">
        <v>342</v>
      </c>
      <c r="D22" t="s">
        <v>341</v>
      </c>
      <c r="E22" t="s">
        <v>69</v>
      </c>
      <c r="G22" s="57">
        <v>0</v>
      </c>
    </row>
    <row r="23" spans="1:9" x14ac:dyDescent="0.35">
      <c r="A23" t="s">
        <v>245</v>
      </c>
      <c r="B23" t="s">
        <v>246</v>
      </c>
      <c r="C23" t="s">
        <v>247</v>
      </c>
      <c r="D23" t="s">
        <v>248</v>
      </c>
      <c r="E23" t="s">
        <v>54</v>
      </c>
      <c r="F23" s="94">
        <v>336898023</v>
      </c>
      <c r="G23" s="189">
        <v>336898023</v>
      </c>
    </row>
    <row r="24" spans="1:9" x14ac:dyDescent="0.35">
      <c r="A24" t="s">
        <v>206</v>
      </c>
      <c r="B24" t="s">
        <v>154</v>
      </c>
      <c r="C24" t="s">
        <v>155</v>
      </c>
      <c r="D24" t="s">
        <v>125</v>
      </c>
      <c r="E24" t="s">
        <v>126</v>
      </c>
      <c r="G24" s="86" t="s">
        <v>127</v>
      </c>
    </row>
    <row r="25" spans="1:9" x14ac:dyDescent="0.35">
      <c r="A25" t="s">
        <v>382</v>
      </c>
      <c r="B25" t="s">
        <v>385</v>
      </c>
      <c r="C25" s="57" t="s">
        <v>383</v>
      </c>
      <c r="D25" s="57">
        <v>110940</v>
      </c>
      <c r="E25" t="s">
        <v>76</v>
      </c>
      <c r="G25" s="57" t="s">
        <v>436</v>
      </c>
      <c r="H25" t="s">
        <v>384</v>
      </c>
      <c r="I25" t="s">
        <v>436</v>
      </c>
    </row>
    <row r="26" spans="1:9" x14ac:dyDescent="0.35">
      <c r="A26" t="s">
        <v>306</v>
      </c>
      <c r="B26" t="s">
        <v>254</v>
      </c>
      <c r="C26" s="57" t="s">
        <v>255</v>
      </c>
      <c r="D26" t="s">
        <v>256</v>
      </c>
      <c r="E26" t="s">
        <v>257</v>
      </c>
      <c r="G26" s="86" t="s">
        <v>258</v>
      </c>
    </row>
    <row r="27" spans="1:9" x14ac:dyDescent="0.35">
      <c r="A27" s="96" t="s">
        <v>219</v>
      </c>
      <c r="B27" t="s">
        <v>221</v>
      </c>
      <c r="C27" s="96" t="s">
        <v>220</v>
      </c>
      <c r="D27" t="s">
        <v>68</v>
      </c>
      <c r="E27" t="s">
        <v>69</v>
      </c>
      <c r="G27" s="57">
        <v>0</v>
      </c>
    </row>
    <row r="28" spans="1:9" x14ac:dyDescent="0.35">
      <c r="A28" t="s">
        <v>207</v>
      </c>
      <c r="B28" t="s">
        <v>88</v>
      </c>
      <c r="C28" s="57" t="s">
        <v>89</v>
      </c>
      <c r="D28" t="s">
        <v>90</v>
      </c>
      <c r="E28" t="s">
        <v>46</v>
      </c>
      <c r="G28" s="57" t="s">
        <v>92</v>
      </c>
      <c r="I28" s="95" t="s">
        <v>92</v>
      </c>
    </row>
    <row r="29" spans="1:9" x14ac:dyDescent="0.35">
      <c r="A29" t="s">
        <v>349</v>
      </c>
      <c r="B29" t="s">
        <v>151</v>
      </c>
      <c r="C29" s="57">
        <v>2680</v>
      </c>
      <c r="D29" s="53" t="s">
        <v>179</v>
      </c>
      <c r="E29" t="s">
        <v>76</v>
      </c>
      <c r="G29" s="57" t="s">
        <v>96</v>
      </c>
      <c r="H29" s="95" t="s">
        <v>96</v>
      </c>
    </row>
    <row r="30" spans="1:9" x14ac:dyDescent="0.35">
      <c r="A30" t="s">
        <v>366</v>
      </c>
      <c r="B30" t="s">
        <v>368</v>
      </c>
      <c r="C30" s="57" t="s">
        <v>369</v>
      </c>
      <c r="D30" t="s">
        <v>370</v>
      </c>
      <c r="E30" t="s">
        <v>293</v>
      </c>
      <c r="G30" s="57">
        <v>20608448391</v>
      </c>
      <c r="H30" t="s">
        <v>367</v>
      </c>
    </row>
    <row r="31" spans="1:9" x14ac:dyDescent="0.35">
      <c r="A31" t="s">
        <v>290</v>
      </c>
      <c r="B31" t="s">
        <v>291</v>
      </c>
      <c r="C31" s="57">
        <v>760</v>
      </c>
      <c r="D31" t="s">
        <v>292</v>
      </c>
      <c r="E31" t="s">
        <v>293</v>
      </c>
      <c r="G31" s="57">
        <v>0</v>
      </c>
    </row>
    <row r="32" spans="1:9" x14ac:dyDescent="0.35">
      <c r="A32" t="s">
        <v>208</v>
      </c>
      <c r="B32" t="s">
        <v>120</v>
      </c>
      <c r="C32" s="57" t="s">
        <v>121</v>
      </c>
      <c r="D32" t="s">
        <v>68</v>
      </c>
      <c r="E32" t="s">
        <v>69</v>
      </c>
      <c r="G32" s="57" t="s">
        <v>216</v>
      </c>
    </row>
    <row r="33" spans="1:8" x14ac:dyDescent="0.35">
      <c r="A33" t="s">
        <v>209</v>
      </c>
      <c r="B33" t="s">
        <v>157</v>
      </c>
      <c r="C33" s="57" t="s">
        <v>156</v>
      </c>
      <c r="D33" t="s">
        <v>75</v>
      </c>
      <c r="E33" t="s">
        <v>76</v>
      </c>
      <c r="G33" s="57" t="s">
        <v>78</v>
      </c>
      <c r="H33" s="95" t="s">
        <v>78</v>
      </c>
    </row>
  </sheetData>
  <conditionalFormatting sqref="A14">
    <cfRule type="expression" dxfId="3" priority="2" stopIfTrue="1">
      <formula>A14=0</formula>
    </cfRule>
  </conditionalFormatting>
  <conditionalFormatting sqref="C14">
    <cfRule type="expression" dxfId="2" priority="1" stopIfTrue="1">
      <formula>C14=0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35D5-D1A8-40A2-B673-6D091D3B2176}">
  <dimension ref="A1:K38"/>
  <sheetViews>
    <sheetView showGridLines="0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D36" sqref="D36"/>
    </sheetView>
  </sheetViews>
  <sheetFormatPr baseColWidth="10" defaultColWidth="10.81640625" defaultRowHeight="14.5" x14ac:dyDescent="0.35"/>
  <cols>
    <col min="1" max="1" width="40.26953125" customWidth="1"/>
    <col min="2" max="2" width="22.81640625" customWidth="1"/>
    <col min="3" max="3" width="27.1796875" bestFit="1" customWidth="1"/>
    <col min="4" max="4" width="18.81640625" customWidth="1"/>
    <col min="5" max="5" width="15.1796875" bestFit="1" customWidth="1"/>
    <col min="6" max="6" width="10.1796875" bestFit="1" customWidth="1"/>
    <col min="7" max="7" width="19.81640625" bestFit="1" customWidth="1"/>
    <col min="8" max="8" width="17.1796875" bestFit="1" customWidth="1"/>
    <col min="9" max="10" width="34.1796875" bestFit="1" customWidth="1"/>
    <col min="11" max="11" width="15.1796875" customWidth="1"/>
  </cols>
  <sheetData>
    <row r="1" spans="1:11" x14ac:dyDescent="0.35">
      <c r="A1" t="s">
        <v>47</v>
      </c>
      <c r="B1" t="s">
        <v>48</v>
      </c>
      <c r="C1" t="s">
        <v>49</v>
      </c>
      <c r="D1" t="s">
        <v>42</v>
      </c>
      <c r="E1" t="s">
        <v>41</v>
      </c>
      <c r="F1" t="s">
        <v>43</v>
      </c>
      <c r="G1" t="s">
        <v>57</v>
      </c>
      <c r="H1" t="s">
        <v>58</v>
      </c>
      <c r="I1" t="s">
        <v>59</v>
      </c>
      <c r="J1" t="s">
        <v>118</v>
      </c>
      <c r="K1" t="s">
        <v>238</v>
      </c>
    </row>
    <row r="2" spans="1:11" x14ac:dyDescent="0.35">
      <c r="A2" t="s">
        <v>430</v>
      </c>
      <c r="B2" s="80" t="s">
        <v>431</v>
      </c>
      <c r="C2" s="107" t="s">
        <v>432</v>
      </c>
      <c r="D2" s="80"/>
      <c r="E2" s="80" t="s">
        <v>433</v>
      </c>
      <c r="F2" s="81" t="s">
        <v>434</v>
      </c>
      <c r="G2" s="80" t="s">
        <v>233</v>
      </c>
      <c r="H2" s="179" t="s">
        <v>234</v>
      </c>
      <c r="I2" s="182" t="s">
        <v>235</v>
      </c>
      <c r="J2" s="177"/>
    </row>
    <row r="3" spans="1:11" x14ac:dyDescent="0.35">
      <c r="A3" t="s">
        <v>82</v>
      </c>
      <c r="B3" s="178"/>
      <c r="C3" s="178"/>
      <c r="D3" s="178"/>
      <c r="E3" s="178"/>
      <c r="F3" s="178"/>
      <c r="G3" s="178" t="s">
        <v>148</v>
      </c>
      <c r="H3" s="178" t="s">
        <v>149</v>
      </c>
      <c r="I3" s="184" t="s">
        <v>150</v>
      </c>
    </row>
    <row r="4" spans="1:11" x14ac:dyDescent="0.35">
      <c r="A4" t="s">
        <v>375</v>
      </c>
      <c r="B4" t="s">
        <v>377</v>
      </c>
      <c r="C4" s="57" t="s">
        <v>378</v>
      </c>
      <c r="E4" t="s">
        <v>376</v>
      </c>
      <c r="F4" t="s">
        <v>76</v>
      </c>
      <c r="G4" s="80" t="s">
        <v>379</v>
      </c>
      <c r="H4" s="181" t="s">
        <v>380</v>
      </c>
      <c r="I4" s="183" t="s">
        <v>381</v>
      </c>
      <c r="J4" s="81"/>
    </row>
    <row r="5" spans="1:11" x14ac:dyDescent="0.35">
      <c r="A5" s="127" t="s">
        <v>313</v>
      </c>
      <c r="B5" t="s">
        <v>314</v>
      </c>
      <c r="C5" s="57" t="s">
        <v>315</v>
      </c>
      <c r="D5" t="s">
        <v>316</v>
      </c>
      <c r="E5" t="s">
        <v>317</v>
      </c>
      <c r="F5" t="s">
        <v>76</v>
      </c>
      <c r="G5" t="s">
        <v>297</v>
      </c>
      <c r="H5" s="86" t="s">
        <v>320</v>
      </c>
      <c r="I5" s="117"/>
      <c r="K5" t="s">
        <v>312</v>
      </c>
    </row>
    <row r="6" spans="1:11" x14ac:dyDescent="0.35">
      <c r="A6" t="s">
        <v>403</v>
      </c>
      <c r="B6" t="s">
        <v>408</v>
      </c>
      <c r="C6" s="57" t="s">
        <v>409</v>
      </c>
      <c r="D6" s="57" t="s">
        <v>406</v>
      </c>
      <c r="E6" t="s">
        <v>401</v>
      </c>
      <c r="F6" t="s">
        <v>46</v>
      </c>
      <c r="G6" s="80" t="s">
        <v>410</v>
      </c>
      <c r="H6" s="180" t="s">
        <v>402</v>
      </c>
      <c r="I6" s="183" t="s">
        <v>407</v>
      </c>
      <c r="J6" t="s">
        <v>411</v>
      </c>
    </row>
    <row r="7" spans="1:11" x14ac:dyDescent="0.35">
      <c r="A7" t="s">
        <v>272</v>
      </c>
      <c r="B7" t="s">
        <v>275</v>
      </c>
      <c r="C7" t="s">
        <v>276</v>
      </c>
      <c r="D7" t="s">
        <v>265</v>
      </c>
      <c r="E7" s="57" t="s">
        <v>273</v>
      </c>
      <c r="F7" t="s">
        <v>76</v>
      </c>
      <c r="G7" s="57" t="s">
        <v>297</v>
      </c>
      <c r="H7" s="57">
        <v>0</v>
      </c>
      <c r="I7" t="s">
        <v>298</v>
      </c>
    </row>
    <row r="8" spans="1:11" x14ac:dyDescent="0.35">
      <c r="A8" t="s">
        <v>282</v>
      </c>
      <c r="B8" t="s">
        <v>283</v>
      </c>
      <c r="C8" s="57" t="s">
        <v>287</v>
      </c>
      <c r="D8" t="s">
        <v>285</v>
      </c>
      <c r="E8" t="s">
        <v>288</v>
      </c>
      <c r="F8" t="s">
        <v>69</v>
      </c>
      <c r="G8" s="107" t="s">
        <v>299</v>
      </c>
      <c r="H8" s="107" t="s">
        <v>289</v>
      </c>
      <c r="I8" s="80" t="s">
        <v>300</v>
      </c>
    </row>
    <row r="9" spans="1:11" x14ac:dyDescent="0.35">
      <c r="A9" t="s">
        <v>203</v>
      </c>
      <c r="G9" s="80" t="s">
        <v>63</v>
      </c>
      <c r="H9" s="80" t="s">
        <v>64</v>
      </c>
      <c r="I9" s="91" t="s">
        <v>65</v>
      </c>
    </row>
    <row r="10" spans="1:11" x14ac:dyDescent="0.35">
      <c r="A10" t="s">
        <v>374</v>
      </c>
      <c r="B10" t="s">
        <v>228</v>
      </c>
      <c r="C10" t="s">
        <v>229</v>
      </c>
      <c r="D10" t="s">
        <v>230</v>
      </c>
      <c r="E10" t="s">
        <v>231</v>
      </c>
      <c r="F10" t="s">
        <v>232</v>
      </c>
      <c r="G10" s="80" t="s">
        <v>233</v>
      </c>
      <c r="H10" s="180" t="s">
        <v>234</v>
      </c>
      <c r="I10" s="91" t="s">
        <v>235</v>
      </c>
      <c r="K10" t="s">
        <v>236</v>
      </c>
    </row>
    <row r="11" spans="1:11" x14ac:dyDescent="0.35">
      <c r="A11" t="s">
        <v>240</v>
      </c>
      <c r="B11" t="s">
        <v>228</v>
      </c>
      <c r="C11" t="s">
        <v>229</v>
      </c>
      <c r="D11" t="s">
        <v>230</v>
      </c>
      <c r="E11" t="s">
        <v>231</v>
      </c>
      <c r="F11" t="s">
        <v>232</v>
      </c>
      <c r="G11" s="80" t="s">
        <v>233</v>
      </c>
      <c r="H11" s="180" t="s">
        <v>234</v>
      </c>
      <c r="I11" s="91" t="s">
        <v>235</v>
      </c>
      <c r="K11" t="s">
        <v>237</v>
      </c>
    </row>
    <row r="12" spans="1:11" x14ac:dyDescent="0.35">
      <c r="A12" t="s">
        <v>204</v>
      </c>
      <c r="B12" t="s">
        <v>66</v>
      </c>
      <c r="D12" s="57" t="s">
        <v>67</v>
      </c>
      <c r="E12" t="s">
        <v>68</v>
      </c>
      <c r="F12" t="s">
        <v>69</v>
      </c>
      <c r="G12" s="80" t="s">
        <v>72</v>
      </c>
      <c r="H12" s="80" t="s">
        <v>73</v>
      </c>
      <c r="I12" s="91" t="s">
        <v>74</v>
      </c>
    </row>
    <row r="13" spans="1:11" x14ac:dyDescent="0.35">
      <c r="A13" t="s">
        <v>100</v>
      </c>
      <c r="G13" s="80" t="s">
        <v>104</v>
      </c>
      <c r="H13" s="80" t="s">
        <v>105</v>
      </c>
      <c r="I13" s="91" t="s">
        <v>106</v>
      </c>
    </row>
    <row r="14" spans="1:11" x14ac:dyDescent="0.35">
      <c r="A14" t="s">
        <v>350</v>
      </c>
      <c r="B14" t="s">
        <v>352</v>
      </c>
      <c r="C14" t="s">
        <v>353</v>
      </c>
      <c r="E14" t="s">
        <v>101</v>
      </c>
      <c r="F14" t="s">
        <v>102</v>
      </c>
      <c r="G14" t="s">
        <v>115</v>
      </c>
      <c r="H14" s="80" t="s">
        <v>116</v>
      </c>
      <c r="I14" s="54" t="s">
        <v>117</v>
      </c>
      <c r="J14" s="54" t="s">
        <v>119</v>
      </c>
      <c r="K14" t="s">
        <v>351</v>
      </c>
    </row>
    <row r="15" spans="1:11" x14ac:dyDescent="0.35">
      <c r="A15" t="s">
        <v>365</v>
      </c>
      <c r="B15" t="s">
        <v>50</v>
      </c>
      <c r="C15" t="s">
        <v>40</v>
      </c>
      <c r="D15" t="s">
        <v>44</v>
      </c>
      <c r="E15" t="s">
        <v>45</v>
      </c>
      <c r="F15" t="s">
        <v>46</v>
      </c>
      <c r="G15" t="s">
        <v>60</v>
      </c>
      <c r="H15" t="s">
        <v>61</v>
      </c>
      <c r="I15" s="54" t="s">
        <v>62</v>
      </c>
    </row>
    <row r="16" spans="1:11" x14ac:dyDescent="0.35">
      <c r="A16" t="s">
        <v>393</v>
      </c>
      <c r="B16" t="s">
        <v>390</v>
      </c>
      <c r="C16" s="57" t="s">
        <v>391</v>
      </c>
      <c r="D16" t="s">
        <v>396</v>
      </c>
      <c r="E16" t="s">
        <v>45</v>
      </c>
      <c r="F16" t="s">
        <v>46</v>
      </c>
      <c r="G16" t="s">
        <v>397</v>
      </c>
      <c r="H16" s="53" t="s">
        <v>398</v>
      </c>
      <c r="I16" s="143" t="s">
        <v>399</v>
      </c>
      <c r="K16" t="s">
        <v>400</v>
      </c>
    </row>
    <row r="17" spans="1:11" x14ac:dyDescent="0.35">
      <c r="A17" t="s">
        <v>301</v>
      </c>
      <c r="B17" t="s">
        <v>302</v>
      </c>
      <c r="C17" s="57" t="s">
        <v>304</v>
      </c>
      <c r="D17" t="s">
        <v>305</v>
      </c>
      <c r="E17" t="s">
        <v>248</v>
      </c>
      <c r="F17" t="s">
        <v>54</v>
      </c>
      <c r="H17" s="57"/>
      <c r="I17" s="117"/>
    </row>
    <row r="18" spans="1:11" x14ac:dyDescent="0.35">
      <c r="A18" t="s">
        <v>205</v>
      </c>
      <c r="G18" s="178" t="s">
        <v>111</v>
      </c>
      <c r="H18" s="178" t="s">
        <v>112</v>
      </c>
      <c r="I18" s="184" t="s">
        <v>113</v>
      </c>
    </row>
    <row r="19" spans="1:11" x14ac:dyDescent="0.35">
      <c r="A19" t="s">
        <v>354</v>
      </c>
      <c r="B19" t="s">
        <v>355</v>
      </c>
      <c r="C19" s="57" t="s">
        <v>356</v>
      </c>
      <c r="D19" t="s">
        <v>361</v>
      </c>
      <c r="E19" t="s">
        <v>362</v>
      </c>
      <c r="F19" t="s">
        <v>358</v>
      </c>
      <c r="G19" s="80" t="s">
        <v>363</v>
      </c>
      <c r="H19" s="181" t="s">
        <v>360</v>
      </c>
      <c r="I19" s="91" t="s">
        <v>363</v>
      </c>
    </row>
    <row r="20" spans="1:11" x14ac:dyDescent="0.35">
      <c r="A20" t="s">
        <v>264</v>
      </c>
      <c r="B20" t="s">
        <v>271</v>
      </c>
      <c r="C20" s="57">
        <v>770</v>
      </c>
      <c r="D20" t="s">
        <v>265</v>
      </c>
      <c r="E20" t="s">
        <v>266</v>
      </c>
      <c r="F20" t="s">
        <v>76</v>
      </c>
      <c r="G20" t="s">
        <v>267</v>
      </c>
      <c r="H20" s="57" t="s">
        <v>268</v>
      </c>
      <c r="I20" s="117" t="s">
        <v>269</v>
      </c>
    </row>
    <row r="21" spans="1:11" x14ac:dyDescent="0.35">
      <c r="A21" t="s">
        <v>307</v>
      </c>
      <c r="B21" t="s">
        <v>308</v>
      </c>
      <c r="C21" s="57">
        <v>4648</v>
      </c>
      <c r="E21" t="s">
        <v>101</v>
      </c>
      <c r="F21" t="s">
        <v>102</v>
      </c>
      <c r="G21" t="s">
        <v>309</v>
      </c>
      <c r="H21" s="86" t="s">
        <v>311</v>
      </c>
      <c r="I21" s="117" t="s">
        <v>310</v>
      </c>
    </row>
    <row r="22" spans="1:11" x14ac:dyDescent="0.35">
      <c r="A22" s="140" t="s">
        <v>344</v>
      </c>
      <c r="B22" t="s">
        <v>345</v>
      </c>
      <c r="C22" s="57" t="s">
        <v>346</v>
      </c>
      <c r="D22" t="s">
        <v>347</v>
      </c>
      <c r="E22" t="s">
        <v>341</v>
      </c>
      <c r="F22" t="s">
        <v>69</v>
      </c>
      <c r="G22" t="s">
        <v>340</v>
      </c>
      <c r="H22" s="86" t="s">
        <v>343</v>
      </c>
      <c r="I22" s="117" t="s">
        <v>348</v>
      </c>
    </row>
    <row r="23" spans="1:11" x14ac:dyDescent="0.35">
      <c r="A23" t="s">
        <v>245</v>
      </c>
      <c r="B23" t="s">
        <v>246</v>
      </c>
      <c r="C23" t="s">
        <v>249</v>
      </c>
      <c r="D23" t="s">
        <v>250</v>
      </c>
      <c r="E23" t="s">
        <v>248</v>
      </c>
      <c r="F23" t="s">
        <v>54</v>
      </c>
      <c r="G23" t="s">
        <v>251</v>
      </c>
      <c r="H23" t="s">
        <v>252</v>
      </c>
      <c r="I23" t="s">
        <v>253</v>
      </c>
    </row>
    <row r="24" spans="1:11" x14ac:dyDescent="0.35">
      <c r="A24" t="s">
        <v>206</v>
      </c>
      <c r="G24" t="s">
        <v>128</v>
      </c>
      <c r="H24" t="s">
        <v>129</v>
      </c>
      <c r="I24" s="117" t="s">
        <v>130</v>
      </c>
    </row>
    <row r="25" spans="1:11" x14ac:dyDescent="0.35">
      <c r="A25" t="s">
        <v>382</v>
      </c>
      <c r="B25" t="s">
        <v>385</v>
      </c>
      <c r="C25" s="57">
        <v>110940</v>
      </c>
      <c r="E25" t="s">
        <v>383</v>
      </c>
      <c r="F25" t="s">
        <v>76</v>
      </c>
      <c r="G25" t="s">
        <v>386</v>
      </c>
      <c r="H25" s="53" t="s">
        <v>387</v>
      </c>
      <c r="I25" s="143" t="s">
        <v>388</v>
      </c>
      <c r="K25" t="s">
        <v>389</v>
      </c>
    </row>
    <row r="26" spans="1:11" x14ac:dyDescent="0.35">
      <c r="A26" t="s">
        <v>306</v>
      </c>
      <c r="B26" t="s">
        <v>254</v>
      </c>
      <c r="C26" s="57" t="s">
        <v>259</v>
      </c>
      <c r="D26" t="s">
        <v>255</v>
      </c>
      <c r="E26" t="s">
        <v>260</v>
      </c>
      <c r="F26" t="s">
        <v>257</v>
      </c>
      <c r="G26" t="s">
        <v>261</v>
      </c>
      <c r="H26" s="53" t="s">
        <v>262</v>
      </c>
      <c r="I26" s="54" t="s">
        <v>263</v>
      </c>
    </row>
    <row r="27" spans="1:11" x14ac:dyDescent="0.35">
      <c r="A27" s="96" t="s">
        <v>219</v>
      </c>
      <c r="G27" t="s">
        <v>222</v>
      </c>
      <c r="H27" t="s">
        <v>223</v>
      </c>
      <c r="I27" s="97" t="s">
        <v>224</v>
      </c>
    </row>
    <row r="28" spans="1:11" x14ac:dyDescent="0.35">
      <c r="A28" t="s">
        <v>207</v>
      </c>
      <c r="G28" t="s">
        <v>93</v>
      </c>
      <c r="H28" t="s">
        <v>94</v>
      </c>
      <c r="I28" s="117" t="s">
        <v>95</v>
      </c>
    </row>
    <row r="29" spans="1:11" x14ac:dyDescent="0.35">
      <c r="A29" t="s">
        <v>349</v>
      </c>
      <c r="B29" t="s">
        <v>151</v>
      </c>
      <c r="C29" s="57">
        <v>2680</v>
      </c>
      <c r="E29" s="53" t="s">
        <v>179</v>
      </c>
      <c r="F29" t="s">
        <v>76</v>
      </c>
      <c r="G29" t="s">
        <v>97</v>
      </c>
      <c r="H29" t="s">
        <v>98</v>
      </c>
      <c r="I29" s="185" t="s">
        <v>99</v>
      </c>
      <c r="J29" s="54"/>
    </row>
    <row r="30" spans="1:11" x14ac:dyDescent="0.35">
      <c r="A30" t="s">
        <v>366</v>
      </c>
      <c r="B30" t="s">
        <v>368</v>
      </c>
      <c r="C30" s="57" t="s">
        <v>369</v>
      </c>
      <c r="E30" t="s">
        <v>370</v>
      </c>
      <c r="F30" t="s">
        <v>293</v>
      </c>
      <c r="G30" t="s">
        <v>373</v>
      </c>
      <c r="H30" s="86"/>
      <c r="I30" s="117" t="s">
        <v>372</v>
      </c>
      <c r="K30" t="s">
        <v>371</v>
      </c>
    </row>
    <row r="31" spans="1:11" x14ac:dyDescent="0.35">
      <c r="A31" t="s">
        <v>290</v>
      </c>
      <c r="B31" t="s">
        <v>291</v>
      </c>
      <c r="C31" s="57">
        <v>760</v>
      </c>
      <c r="E31" t="s">
        <v>292</v>
      </c>
      <c r="F31" t="s">
        <v>293</v>
      </c>
      <c r="G31" t="s">
        <v>294</v>
      </c>
      <c r="H31" s="57" t="s">
        <v>295</v>
      </c>
      <c r="I31" s="117" t="s">
        <v>296</v>
      </c>
    </row>
    <row r="32" spans="1:11" x14ac:dyDescent="0.35">
      <c r="A32" t="s">
        <v>208</v>
      </c>
      <c r="G32" s="178" t="s">
        <v>122</v>
      </c>
      <c r="H32" s="178" t="s">
        <v>123</v>
      </c>
      <c r="I32" s="184" t="s">
        <v>124</v>
      </c>
    </row>
    <row r="33" spans="1:9" x14ac:dyDescent="0.35">
      <c r="A33" t="s">
        <v>209</v>
      </c>
      <c r="G33" t="s">
        <v>79</v>
      </c>
      <c r="H33" t="s">
        <v>80</v>
      </c>
      <c r="I33" s="117" t="s">
        <v>81</v>
      </c>
    </row>
    <row r="35" spans="1:9" x14ac:dyDescent="0.35">
      <c r="B35" s="127"/>
    </row>
    <row r="38" spans="1:9" x14ac:dyDescent="0.35">
      <c r="H38" s="139"/>
    </row>
  </sheetData>
  <phoneticPr fontId="39" type="noConversion"/>
  <conditionalFormatting sqref="A14">
    <cfRule type="expression" dxfId="1" priority="2" stopIfTrue="1">
      <formula>A14=0</formula>
    </cfRule>
  </conditionalFormatting>
  <hyperlinks>
    <hyperlink ref="I14" r:id="rId1" xr:uid="{9858F93F-AB80-460D-B78C-9D3F722522AB}"/>
    <hyperlink ref="J14" r:id="rId2" xr:uid="{932C1853-F822-496D-B044-D2E8148B2CE9}"/>
    <hyperlink ref="I3" r:id="rId3" xr:uid="{C9F28D86-8A79-49BB-B974-DF061D913820}"/>
    <hyperlink ref="I9" r:id="rId4" xr:uid="{9CDBE79E-6FC2-4AD1-AC13-9D718A09037A}"/>
    <hyperlink ref="I12" r:id="rId5" xr:uid="{AFBE3697-4787-4FAF-862A-EF3FA6BD5212}"/>
    <hyperlink ref="I13" r:id="rId6" xr:uid="{E96F26D1-8448-45B3-8054-34187F8F84E6}"/>
    <hyperlink ref="I15" r:id="rId7" xr:uid="{1113F90C-606E-46A0-9F97-AD95D6288B59}"/>
    <hyperlink ref="I18" r:id="rId8" xr:uid="{BEB25534-EF76-4ADB-92D6-2EE87613D6FE}"/>
    <hyperlink ref="I24" r:id="rId9" xr:uid="{ED2A0A32-9716-4580-BBDA-A2F073CA369A}"/>
    <hyperlink ref="I28" r:id="rId10" xr:uid="{2726A757-33DE-497A-984C-7E3037AD997D}"/>
    <hyperlink ref="I29" r:id="rId11" xr:uid="{7E98FE84-10FD-41AA-8677-C86965995595}"/>
    <hyperlink ref="I32" r:id="rId12" xr:uid="{7B8CAF99-FB1D-4BF5-BBB9-C82B49FA4271}"/>
    <hyperlink ref="I33" r:id="rId13" xr:uid="{B6624A97-7EBA-450F-B2D3-96D191B18232}"/>
    <hyperlink ref="I27" r:id="rId14" xr:uid="{AAB8031B-8681-4927-85E7-BEE2B68C2050}"/>
    <hyperlink ref="I10" r:id="rId15" xr:uid="{AB330650-47C4-4BA4-AAAB-68269684D93B}"/>
    <hyperlink ref="I11" r:id="rId16" xr:uid="{0FC4E620-16C0-45B5-BDEA-5C61425FABDC}"/>
    <hyperlink ref="I20" r:id="rId17" xr:uid="{6D71598A-ADE3-4FEB-AAC3-42FCB385636D}"/>
    <hyperlink ref="I4" r:id="rId18" xr:uid="{F07DC673-A6FD-44BA-81F6-3D58C4FE5AF7}"/>
  </hyperlinks>
  <pageMargins left="0.7" right="0.7" top="0.75" bottom="0.75" header="0.3" footer="0.3"/>
  <tableParts count="1"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5D0A-2BAD-465F-A71B-2DA5B84390CE}">
  <dimension ref="A1:K4"/>
  <sheetViews>
    <sheetView workbookViewId="0">
      <selection activeCell="K7" sqref="K7"/>
    </sheetView>
  </sheetViews>
  <sheetFormatPr baseColWidth="10" defaultColWidth="10.81640625" defaultRowHeight="14.5" x14ac:dyDescent="0.35"/>
  <cols>
    <col min="1" max="1" width="18.54296875" customWidth="1"/>
    <col min="2" max="2" width="16.54296875" customWidth="1"/>
    <col min="9" max="9" width="42.1796875" bestFit="1" customWidth="1"/>
    <col min="11" max="11" width="42.1796875" bestFit="1" customWidth="1"/>
  </cols>
  <sheetData>
    <row r="1" spans="1:11" x14ac:dyDescent="0.35">
      <c r="A1" s="41" t="s">
        <v>27</v>
      </c>
      <c r="B1" t="s">
        <v>195</v>
      </c>
      <c r="F1" s="90" t="s">
        <v>199</v>
      </c>
      <c r="G1" s="90" t="s">
        <v>200</v>
      </c>
      <c r="J1" s="90" t="s">
        <v>201</v>
      </c>
    </row>
    <row r="2" spans="1:11" ht="16.5" x14ac:dyDescent="0.35">
      <c r="A2" t="s">
        <v>183</v>
      </c>
      <c r="B2" s="43" t="s">
        <v>184</v>
      </c>
      <c r="F2" s="76">
        <v>1000</v>
      </c>
      <c r="G2" s="77">
        <v>600</v>
      </c>
      <c r="I2" s="57" t="s">
        <v>202</v>
      </c>
      <c r="J2" s="77">
        <v>350</v>
      </c>
      <c r="K2" t="s">
        <v>211</v>
      </c>
    </row>
    <row r="3" spans="1:11" x14ac:dyDescent="0.35">
      <c r="A3" s="86" t="s">
        <v>193</v>
      </c>
      <c r="B3" s="43" t="s">
        <v>185</v>
      </c>
      <c r="F3" s="89"/>
      <c r="G3" s="77" t="s">
        <v>198</v>
      </c>
    </row>
    <row r="4" spans="1:11" x14ac:dyDescent="0.35">
      <c r="A4" s="86" t="s">
        <v>194</v>
      </c>
      <c r="B4" s="43" t="s">
        <v>186</v>
      </c>
      <c r="G4" s="77">
        <f>F3*G2/F2</f>
        <v>0</v>
      </c>
    </row>
  </sheetData>
  <conditionalFormatting sqref="B2:B4">
    <cfRule type="expression" dxfId="0" priority="1" stopIfTrue="1">
      <formula>B2=0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5970-8DA1-45E1-B752-069165029B76}">
  <dimension ref="A1:A26"/>
  <sheetViews>
    <sheetView showGridLines="0" workbookViewId="0">
      <selection activeCell="D14" sqref="D14"/>
    </sheetView>
  </sheetViews>
  <sheetFormatPr baseColWidth="10" defaultColWidth="10.81640625" defaultRowHeight="14.5" x14ac:dyDescent="0.35"/>
  <cols>
    <col min="1" max="1" width="31.1796875" bestFit="1" customWidth="1"/>
  </cols>
  <sheetData>
    <row r="1" spans="1:1" x14ac:dyDescent="0.35">
      <c r="A1" t="s">
        <v>170</v>
      </c>
    </row>
    <row r="2" spans="1:1" x14ac:dyDescent="0.35">
      <c r="A2" s="60" t="s">
        <v>36</v>
      </c>
    </row>
    <row r="3" spans="1:1" x14ac:dyDescent="0.35">
      <c r="A3" s="58" t="s">
        <v>163</v>
      </c>
    </row>
    <row r="4" spans="1:1" x14ac:dyDescent="0.35">
      <c r="A4" s="58" t="s">
        <v>164</v>
      </c>
    </row>
    <row r="5" spans="1:1" x14ac:dyDescent="0.35">
      <c r="A5" s="59" t="s">
        <v>161</v>
      </c>
    </row>
    <row r="6" spans="1:1" x14ac:dyDescent="0.35">
      <c r="A6" s="58" t="s">
        <v>160</v>
      </c>
    </row>
    <row r="7" spans="1:1" x14ac:dyDescent="0.35">
      <c r="A7" s="58" t="s">
        <v>169</v>
      </c>
    </row>
    <row r="8" spans="1:1" x14ac:dyDescent="0.35">
      <c r="A8" s="58" t="s">
        <v>158</v>
      </c>
    </row>
    <row r="9" spans="1:1" x14ac:dyDescent="0.35">
      <c r="A9" s="59" t="s">
        <v>159</v>
      </c>
    </row>
    <row r="10" spans="1:1" x14ac:dyDescent="0.35">
      <c r="A10" s="59" t="s">
        <v>162</v>
      </c>
    </row>
    <row r="11" spans="1:1" x14ac:dyDescent="0.35">
      <c r="A11" s="59" t="s">
        <v>165</v>
      </c>
    </row>
    <row r="12" spans="1:1" x14ac:dyDescent="0.35">
      <c r="A12" s="59" t="s">
        <v>166</v>
      </c>
    </row>
    <row r="13" spans="1:1" x14ac:dyDescent="0.35">
      <c r="A13" s="59" t="s">
        <v>167</v>
      </c>
    </row>
    <row r="14" spans="1:1" x14ac:dyDescent="0.35">
      <c r="A14" s="59" t="s">
        <v>168</v>
      </c>
    </row>
    <row r="16" spans="1:1" x14ac:dyDescent="0.35">
      <c r="A16" s="59"/>
    </row>
    <row r="17" spans="1:1" x14ac:dyDescent="0.35">
      <c r="A17" s="58"/>
    </row>
    <row r="18" spans="1:1" x14ac:dyDescent="0.35">
      <c r="A18" s="58"/>
    </row>
    <row r="19" spans="1:1" x14ac:dyDescent="0.35">
      <c r="A19" s="58"/>
    </row>
    <row r="20" spans="1:1" x14ac:dyDescent="0.35">
      <c r="A20" s="58"/>
    </row>
    <row r="21" spans="1:1" x14ac:dyDescent="0.35">
      <c r="A21" s="58"/>
    </row>
    <row r="22" spans="1:1" x14ac:dyDescent="0.35">
      <c r="A22" s="58"/>
    </row>
    <row r="23" spans="1:1" x14ac:dyDescent="0.35">
      <c r="A23" s="58"/>
    </row>
    <row r="24" spans="1:1" x14ac:dyDescent="0.35">
      <c r="A24" s="58"/>
    </row>
    <row r="25" spans="1:1" x14ac:dyDescent="0.35">
      <c r="A25" s="58"/>
    </row>
    <row r="26" spans="1:1" x14ac:dyDescent="0.35">
      <c r="A26" s="5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385A-FFE7-44B9-859B-BEE8443F07AF}">
  <dimension ref="A1:N41"/>
  <sheetViews>
    <sheetView showGridLines="0" workbookViewId="0">
      <selection activeCell="J7" sqref="J7"/>
    </sheetView>
  </sheetViews>
  <sheetFormatPr baseColWidth="10" defaultColWidth="10.81640625" defaultRowHeight="14.5" x14ac:dyDescent="0.35"/>
  <cols>
    <col min="2" max="2" width="2.81640625" customWidth="1"/>
    <col min="4" max="4" width="64.1796875" customWidth="1"/>
    <col min="5" max="5" width="13.81640625" customWidth="1"/>
  </cols>
  <sheetData>
    <row r="1" spans="1:14" x14ac:dyDescent="0.35">
      <c r="A1" t="s">
        <v>35</v>
      </c>
      <c r="C1" t="s">
        <v>210</v>
      </c>
    </row>
    <row r="2" spans="1:14" x14ac:dyDescent="0.35">
      <c r="A2" s="55" t="s">
        <v>36</v>
      </c>
      <c r="G2" t="s">
        <v>244</v>
      </c>
    </row>
    <row r="3" spans="1:14" x14ac:dyDescent="0.35">
      <c r="A3">
        <v>10</v>
      </c>
      <c r="C3" s="118" t="s">
        <v>277</v>
      </c>
    </row>
    <row r="4" spans="1:14" x14ac:dyDescent="0.35">
      <c r="A4">
        <v>20</v>
      </c>
      <c r="C4" s="92" t="s">
        <v>278</v>
      </c>
      <c r="G4" s="103" t="s">
        <v>242</v>
      </c>
      <c r="H4" s="104" t="s">
        <v>243</v>
      </c>
      <c r="J4" s="99">
        <v>15500</v>
      </c>
      <c r="K4" s="100">
        <v>390</v>
      </c>
      <c r="M4">
        <v>16500</v>
      </c>
      <c r="N4">
        <v>400</v>
      </c>
    </row>
    <row r="5" spans="1:14" x14ac:dyDescent="0.35">
      <c r="A5">
        <v>30</v>
      </c>
      <c r="C5" s="92" t="s">
        <v>279</v>
      </c>
      <c r="G5" s="101">
        <v>5000</v>
      </c>
      <c r="H5" s="105">
        <v>130</v>
      </c>
      <c r="J5" s="106">
        <v>1000</v>
      </c>
      <c r="K5" s="102">
        <f>J5*K4/J4</f>
        <v>25.161290322580644</v>
      </c>
    </row>
    <row r="6" spans="1:14" x14ac:dyDescent="0.35">
      <c r="A6">
        <v>40</v>
      </c>
      <c r="C6" s="92" t="s">
        <v>280</v>
      </c>
    </row>
    <row r="7" spans="1:14" x14ac:dyDescent="0.35">
      <c r="A7">
        <v>50</v>
      </c>
      <c r="C7" s="92" t="s">
        <v>281</v>
      </c>
    </row>
    <row r="8" spans="1:14" x14ac:dyDescent="0.35">
      <c r="A8">
        <v>60</v>
      </c>
      <c r="G8">
        <v>700</v>
      </c>
      <c r="H8">
        <v>20</v>
      </c>
    </row>
    <row r="9" spans="1:14" x14ac:dyDescent="0.35">
      <c r="A9">
        <v>70</v>
      </c>
      <c r="G9" s="98">
        <v>500</v>
      </c>
      <c r="H9" s="98">
        <v>10</v>
      </c>
    </row>
    <row r="10" spans="1:14" x14ac:dyDescent="0.35">
      <c r="A10">
        <v>80</v>
      </c>
      <c r="G10">
        <v>2000</v>
      </c>
      <c r="H10">
        <v>100</v>
      </c>
    </row>
    <row r="11" spans="1:14" x14ac:dyDescent="0.35">
      <c r="A11">
        <v>90</v>
      </c>
      <c r="G11">
        <v>400</v>
      </c>
      <c r="H11">
        <v>15</v>
      </c>
    </row>
    <row r="12" spans="1:14" x14ac:dyDescent="0.35">
      <c r="A12">
        <v>100</v>
      </c>
      <c r="G12" s="98">
        <v>1500</v>
      </c>
      <c r="H12" s="98">
        <v>30</v>
      </c>
    </row>
    <row r="13" spans="1:14" x14ac:dyDescent="0.35">
      <c r="A13">
        <v>110</v>
      </c>
      <c r="G13">
        <v>2700</v>
      </c>
      <c r="H13">
        <v>80</v>
      </c>
    </row>
    <row r="14" spans="1:14" x14ac:dyDescent="0.35">
      <c r="A14">
        <v>120</v>
      </c>
    </row>
    <row r="15" spans="1:14" x14ac:dyDescent="0.35">
      <c r="A15">
        <v>130</v>
      </c>
    </row>
    <row r="16" spans="1:14" x14ac:dyDescent="0.35">
      <c r="A16">
        <v>140</v>
      </c>
    </row>
    <row r="17" spans="1:1" x14ac:dyDescent="0.35">
      <c r="A17">
        <v>150</v>
      </c>
    </row>
    <row r="18" spans="1:1" x14ac:dyDescent="0.35">
      <c r="A18">
        <v>160</v>
      </c>
    </row>
    <row r="19" spans="1:1" x14ac:dyDescent="0.35">
      <c r="A19">
        <v>170</v>
      </c>
    </row>
    <row r="20" spans="1:1" x14ac:dyDescent="0.35">
      <c r="A20">
        <v>180</v>
      </c>
    </row>
    <row r="21" spans="1:1" x14ac:dyDescent="0.35">
      <c r="A21">
        <v>190</v>
      </c>
    </row>
    <row r="22" spans="1:1" x14ac:dyDescent="0.35">
      <c r="A22">
        <v>200</v>
      </c>
    </row>
    <row r="23" spans="1:1" x14ac:dyDescent="0.35">
      <c r="A23">
        <v>220</v>
      </c>
    </row>
    <row r="24" spans="1:1" x14ac:dyDescent="0.35">
      <c r="A24">
        <v>240</v>
      </c>
    </row>
    <row r="25" spans="1:1" x14ac:dyDescent="0.35">
      <c r="A25">
        <v>260</v>
      </c>
    </row>
    <row r="26" spans="1:1" x14ac:dyDescent="0.35">
      <c r="A26">
        <v>300</v>
      </c>
    </row>
    <row r="27" spans="1:1" x14ac:dyDescent="0.35">
      <c r="A27">
        <v>350</v>
      </c>
    </row>
    <row r="28" spans="1:1" x14ac:dyDescent="0.35">
      <c r="A28">
        <v>400</v>
      </c>
    </row>
    <row r="29" spans="1:1" x14ac:dyDescent="0.35">
      <c r="A29">
        <v>450</v>
      </c>
    </row>
    <row r="30" spans="1:1" x14ac:dyDescent="0.35">
      <c r="A30">
        <v>500</v>
      </c>
    </row>
    <row r="31" spans="1:1" x14ac:dyDescent="0.35">
      <c r="A31">
        <v>550</v>
      </c>
    </row>
    <row r="32" spans="1:1" x14ac:dyDescent="0.35">
      <c r="A32">
        <v>600</v>
      </c>
    </row>
    <row r="33" spans="1:1" x14ac:dyDescent="0.35">
      <c r="A33">
        <v>650</v>
      </c>
    </row>
    <row r="34" spans="1:1" x14ac:dyDescent="0.35">
      <c r="A34">
        <v>700</v>
      </c>
    </row>
    <row r="35" spans="1:1" x14ac:dyDescent="0.35">
      <c r="A35">
        <v>750</v>
      </c>
    </row>
    <row r="36" spans="1:1" x14ac:dyDescent="0.35">
      <c r="A36">
        <v>800</v>
      </c>
    </row>
    <row r="37" spans="1:1" x14ac:dyDescent="0.35">
      <c r="A37">
        <v>850</v>
      </c>
    </row>
    <row r="38" spans="1:1" x14ac:dyDescent="0.35">
      <c r="A38">
        <v>900</v>
      </c>
    </row>
    <row r="39" spans="1:1" x14ac:dyDescent="0.35">
      <c r="A39">
        <v>950</v>
      </c>
    </row>
    <row r="40" spans="1:1" x14ac:dyDescent="0.35">
      <c r="A40">
        <v>1000</v>
      </c>
    </row>
    <row r="41" spans="1:1" x14ac:dyDescent="0.35">
      <c r="A41" s="5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F3F9E-44AF-453F-9531-29C9D87404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Proform Rev. 2026</vt:lpstr>
      <vt:lpstr>Order Records </vt:lpstr>
      <vt:lpstr>Incoterms-Carrier-NCM</vt:lpstr>
      <vt:lpstr>Importer</vt:lpstr>
      <vt:lpstr>Delivery place-Contact</vt:lpstr>
      <vt:lpstr>Dimensions (cm)</vt:lpstr>
      <vt:lpstr>payment terms</vt:lpstr>
      <vt:lpstr>package</vt:lpstr>
      <vt:lpstr>'Proform Rev. 2026'!Área_de_impresión</vt:lpstr>
      <vt:lpstr>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Martinez</dc:creator>
  <cp:lastModifiedBy>Mary Martinez</cp:lastModifiedBy>
  <cp:lastPrinted>2026-08-27T17:52:44Z</cp:lastPrinted>
  <dcterms:created xsi:type="dcterms:W3CDTF">2025-07-18T13:52:29Z</dcterms:created>
  <dcterms:modified xsi:type="dcterms:W3CDTF">2026-09-24T14:26:29Z</dcterms:modified>
</cp:coreProperties>
</file>