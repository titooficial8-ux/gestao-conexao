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Rede-PCP\06- PCP - COLCHÃO\EXPORTAÇÃO\RELATORIOS VOLUME-VALOR- BUSINESS RESULTS - 2025- 2026\"/>
    </mc:Choice>
  </mc:AlternateContent>
  <xr:revisionPtr revIDLastSave="0" documentId="13_ncr:1_{FA7FEE91-315C-4E7E-8E5C-CE7D1B048D63}" xr6:coauthVersionLast="47" xr6:coauthVersionMax="47" xr10:uidLastSave="{00000000-0000-0000-0000-000000000000}"/>
  <bookViews>
    <workbookView xWindow="-110" yWindow="-110" windowWidth="19420" windowHeight="10300" tabRatio="804" firstSheet="2" activeTab="2" xr2:uid="{9DA87150-894E-4A72-9964-E7B5AA26B105}"/>
  </bookViews>
  <sheets>
    <sheet name="Dados de origem" sheetId="1" state="hidden" r:id="rId1"/>
    <sheet name="Hoja1" sheetId="20" state="hidden" r:id="rId2"/>
    <sheet name="2024-2026 up to SEP 26" sheetId="8" r:id="rId3"/>
    <sheet name=" 2026 CY vs SPYA" sheetId="10" r:id="rId4"/>
    <sheet name="DIVINO-UY" sheetId="9" r:id="rId5"/>
    <sheet name="BED TIME-ARG" sheetId="13" r:id="rId6"/>
    <sheet name="FLEX-CH" sheetId="3" r:id="rId7"/>
    <sheet name="SUNLOCK SPA-CH" sheetId="15" r:id="rId8"/>
    <sheet name="SIMMONS-ARG" sheetId="16" r:id="rId9"/>
    <sheet name="Flexible Clientes div. " sheetId="19" r:id="rId10"/>
    <sheet name="Flex-Hist-Pais" sheetId="18" r:id="rId11"/>
  </sheets>
  <definedNames>
    <definedName name="_xlnm._FilterDatabase" localSheetId="0" hidden="1">'Dados de origem'!$A$1:$AK$1066</definedName>
    <definedName name="_xlnm.Print_Area" localSheetId="2">'2024-2026 up to SEP 26'!$A$1:$AL$96</definedName>
  </definedNames>
  <calcPr calcId="181029"/>
  <pivotCaches>
    <pivotCache cacheId="41" r:id="rId12"/>
    <pivotCache cacheId="86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3" i="8" l="1"/>
  <c r="AD11" i="8"/>
  <c r="AD10" i="8"/>
  <c r="AD9" i="8"/>
  <c r="AD8" i="8"/>
  <c r="AD7" i="8"/>
  <c r="AD6" i="8"/>
  <c r="F14" i="8"/>
  <c r="F13" i="8"/>
  <c r="F12" i="8"/>
  <c r="F11" i="8"/>
  <c r="F10" i="8"/>
  <c r="F9" i="8"/>
  <c r="F7" i="8"/>
  <c r="F6" i="8"/>
  <c r="F5" i="8"/>
  <c r="AD5" i="8" l="1"/>
</calcChain>
</file>

<file path=xl/sharedStrings.xml><?xml version="1.0" encoding="utf-8"?>
<sst xmlns="http://schemas.openxmlformats.org/spreadsheetml/2006/main" count="16038" uniqueCount="867">
  <si>
    <t>MÊS</t>
  </si>
  <si>
    <t>ANO</t>
  </si>
  <si>
    <t>TIPO</t>
  </si>
  <si>
    <t>REPRESENTANTE</t>
  </si>
  <si>
    <t>CLIENTE</t>
  </si>
  <si>
    <t>Checa Repres.</t>
  </si>
  <si>
    <t>Fatura</t>
  </si>
  <si>
    <t>Artigo</t>
  </si>
  <si>
    <t>Descrição Item</t>
  </si>
  <si>
    <t>Cliente2</t>
  </si>
  <si>
    <t>estado</t>
  </si>
  <si>
    <t>Tipo Cliente</t>
  </si>
  <si>
    <t>Repres</t>
  </si>
  <si>
    <t>Nome do Representante</t>
  </si>
  <si>
    <t>ICMS</t>
  </si>
  <si>
    <t>Unidade</t>
  </si>
  <si>
    <t>Gramatura</t>
  </si>
  <si>
    <t>Peças</t>
  </si>
  <si>
    <t>MT</t>
  </si>
  <si>
    <t>KG</t>
  </si>
  <si>
    <t>Rentabilidade Ult preço FIo</t>
  </si>
  <si>
    <t>CPV</t>
  </si>
  <si>
    <t>$ ICMS</t>
  </si>
  <si>
    <t>$ Frete</t>
  </si>
  <si>
    <t>PiaCofins</t>
  </si>
  <si>
    <t>$ reo Com</t>
  </si>
  <si>
    <t>$ Com 2</t>
  </si>
  <si>
    <t>$Custo Fixo</t>
  </si>
  <si>
    <t>$ OverHead</t>
  </si>
  <si>
    <t>Total Fio 1</t>
  </si>
  <si>
    <t>Cliente TOTVS</t>
  </si>
  <si>
    <t>Representate TOTVS</t>
  </si>
  <si>
    <t>Coluna1</t>
  </si>
  <si>
    <t>COLCHÃO M.E.</t>
  </si>
  <si>
    <t>DIRETO</t>
  </si>
  <si>
    <t>DIRECTO</t>
  </si>
  <si>
    <t>NADA</t>
  </si>
  <si>
    <t>BOLIVIA</t>
  </si>
  <si>
    <t>TECIDO 100% POLIESTER-[Pedido:EXP 01 Parcial]</t>
  </si>
  <si>
    <t>EX</t>
  </si>
  <si>
    <t>Colchão M.E.</t>
  </si>
  <si>
    <t>TECIDO 96% POLIESTER 4% ALGODAO-[Pedido:EXP 0</t>
  </si>
  <si>
    <t>DIVINO COLCHONES</t>
  </si>
  <si>
    <t>URUGUAI</t>
  </si>
  <si>
    <t>100% POLIESTER- TAMPO FLORES AZULES SOFT (A07</t>
  </si>
  <si>
    <t>MARTIN</t>
  </si>
  <si>
    <t>91% POLIESTER 8% VISCOSE 1% ALGODAO- TAMPO OR</t>
  </si>
  <si>
    <t>TECIDO 99% POLIESTER 1% ELASTANO- TAMPO CORDA</t>
  </si>
  <si>
    <t>99% POLIESTER 1% ELASTANO- TAMPO CORDAO FLOR</t>
  </si>
  <si>
    <t>COLCHONES NOVATEX</t>
  </si>
  <si>
    <t>CHILE</t>
  </si>
  <si>
    <t>TECIDO 100% POLIESTER- TAMPO FOLHAS BRILHANTE</t>
  </si>
  <si>
    <t>TECIDO 100% POLIESTER- FAIXA PRETA (A07741)-[</t>
  </si>
  <si>
    <t>COLCHONES REX</t>
  </si>
  <si>
    <t>AMERICA CENTRAL E CARIBE</t>
  </si>
  <si>
    <t>100% POLIESTER- TAMPO PRETO GRAY (A08005)-[Pe</t>
  </si>
  <si>
    <t>100% POLIESTER- TAMPO CINZA PERLA (A07997)-[P</t>
  </si>
  <si>
    <t>100% POLIESTER- FAIXA CINZA BALONES (A08009)-</t>
  </si>
  <si>
    <t>100% POLIESTER- TAMPO CIRCO (A07368)-[Pedido:</t>
  </si>
  <si>
    <t>100% POLIESTER- TAMPO GEOMETRICO (A07370)-[Pe</t>
  </si>
  <si>
    <t>WENTURS TRADE</t>
  </si>
  <si>
    <t>LOT 1 - 160G</t>
  </si>
  <si>
    <t>100% POLIESTER- RANDOM - 160G</t>
  </si>
  <si>
    <t>LOT 1 - 260G</t>
  </si>
  <si>
    <t>100% POLIESTER- RANDOM - 260G</t>
  </si>
  <si>
    <t>100% POLIESTER- TAMPO PERLA XC36 (A06782)-[Pe</t>
  </si>
  <si>
    <t>100% POLIESTER- TAMPO PERLA XC35 (A06779)-[Pe</t>
  </si>
  <si>
    <t>92% POLIESTER 6% VISCOSE 2% ELASTANO- TAMPO D</t>
  </si>
  <si>
    <t>87% POLIESTER 12% VISCOSE 1% ELASTANO- TAMPO</t>
  </si>
  <si>
    <t>98% POLIESTER 2% ELASTANO- TAMPO CAQUI XC55 (</t>
  </si>
  <si>
    <t>99% POLIESTER 1% ELASTANO- TAMPO XC72 AREIA (</t>
  </si>
  <si>
    <t>100% POLIESTER- FAIXA LOSANGULO PRETO (A07581</t>
  </si>
  <si>
    <t>100% POLIESTER- FAIXA QUADRADINHOS (A07542)-[</t>
  </si>
  <si>
    <t>100% POLIESTER- TAMPO AREIA XC35 (A08094)-[Pe</t>
  </si>
  <si>
    <t>98% POLIESTER 2% ELASTANO- TAMPO CINZA ESCURO</t>
  </si>
  <si>
    <t>265.0002-A</t>
  </si>
  <si>
    <t>100% POLIESTER- TAMPO BRILHANTE XC34 (A06766)</t>
  </si>
  <si>
    <t>LOT 2</t>
  </si>
  <si>
    <t>KNITTING - RANDOM</t>
  </si>
  <si>
    <t>LOT 1 - 300G</t>
  </si>
  <si>
    <t>3889- 100% POLIESTER- RANDOM - 300G</t>
  </si>
  <si>
    <t>INMAPOL SACIF</t>
  </si>
  <si>
    <t>PARAGUAI</t>
  </si>
  <si>
    <t>100% POLIESTER- TAMPO LIGHT BLACK (A08109)-[P</t>
  </si>
  <si>
    <t>100% POLIESTER- TAMPO BRASAO BEGE BRI (A08213</t>
  </si>
  <si>
    <t>COLCHONES PRINCE</t>
  </si>
  <si>
    <t>100% POLIESTER- TAMPO ONDAS CINZAS (A08243)-[</t>
  </si>
  <si>
    <t>100% POLIESTER- TAMPO ONDAS BRILHANTES (A0824</t>
  </si>
  <si>
    <t>100% POLIESTER- TAMPO PENA AZUL (A08241)-[Ped</t>
  </si>
  <si>
    <t>100% POLIESTER- TAMPO GEOMETRICO AZUL (A08276</t>
  </si>
  <si>
    <t>COLCHONERO GONZALEZ</t>
  </si>
  <si>
    <t>90% POLIESTER 10% VISCOSE- TAPA GRIS - POLIES</t>
  </si>
  <si>
    <t>90% POLIESTER 10% VISCOSE- BANDA GRIS - POLIE</t>
  </si>
  <si>
    <t>ADVANCED FOAM</t>
  </si>
  <si>
    <t>A06765</t>
  </si>
  <si>
    <t>100% POLIESTER- TAMPO PERLA NOVA XC27 (A06765</t>
  </si>
  <si>
    <t>A06744</t>
  </si>
  <si>
    <t>100% POLIESTER- TAMPO PRETO XC23 (A06744) - 2</t>
  </si>
  <si>
    <t>A06990</t>
  </si>
  <si>
    <t>99% POLIESTER 1% ELASTANO- TAMPO DARK BLUE (A</t>
  </si>
  <si>
    <t>A06982</t>
  </si>
  <si>
    <t>99% POLIESTER 1% ELASTANO- TAMPO FORMAS DOURA</t>
  </si>
  <si>
    <t>A07931</t>
  </si>
  <si>
    <t>99% POLIESTER 1% ELASTANO- TAMPO TIJOLINHOS D</t>
  </si>
  <si>
    <t>A08504</t>
  </si>
  <si>
    <t>100% POLIESTER- TAMPO FORMAS CINZAS (A08504)-</t>
  </si>
  <si>
    <t>A07725</t>
  </si>
  <si>
    <t>100% POLIESTER- TAMPO ONDAS MARINHO (A07725)</t>
  </si>
  <si>
    <t>A06756</t>
  </si>
  <si>
    <t>100% POLIESTER- TAMPO PERLA NOVA XC26 (A06756</t>
  </si>
  <si>
    <t>A07492</t>
  </si>
  <si>
    <t>98% POLIESTER 2% ELASTANO- FAIXA QUADRADOS AR</t>
  </si>
  <si>
    <t>100% POLIESTER- TAMPO PRETO XC23 (A06744</t>
  </si>
  <si>
    <t>A06810</t>
  </si>
  <si>
    <t>93% POLIESTER 6% VISCOSE 1% ELASTANO- TAMPO X</t>
  </si>
  <si>
    <t>100% POLIESTER- TAMPO FORMAS CINZAS (A08504)</t>
  </si>
  <si>
    <t>FLEX CHILE</t>
  </si>
  <si>
    <t>100% POLIESTER- TAMPO LOSANGULO PRETO DIF (A0</t>
  </si>
  <si>
    <t>TECIDO- TAMPO BOLINHAS DIAGN (A08686)</t>
  </si>
  <si>
    <t>281.0002 - A</t>
  </si>
  <si>
    <t>TAMPO BOLINHAS DIAGN (A08686)</t>
  </si>
  <si>
    <t>100% POLIESTER- FAIXA QUADRADINHOS (A08704)-[</t>
  </si>
  <si>
    <t>COLCHONES DEL MUNDO</t>
  </si>
  <si>
    <t>286.0001 - A</t>
  </si>
  <si>
    <t>99% POLIESTER 1% ELASTANO- FAIXA CINZA BRILHA</t>
  </si>
  <si>
    <t>286.0002 - A</t>
  </si>
  <si>
    <t>99% POLIESTER 1% ELASTANO- FAIXA NEVOA PRETA</t>
  </si>
  <si>
    <t>99% POLIESTER 1% ELASTANO- FAIXA QUADRADOS AR</t>
  </si>
  <si>
    <t>100% POLIESTER- FAIXA NEVOA AZUL (A08429)-[Pe</t>
  </si>
  <si>
    <t>100% POLIESTER- TAMPO DARK BLUE TRACADO BRILH</t>
  </si>
  <si>
    <t>100% POLIESTER- TAMPO DINO AREIA (A05375)-[Pe</t>
  </si>
  <si>
    <t>70% POLIESTER 30% ALGODAO- TC GORGURINHO MARR</t>
  </si>
  <si>
    <t>100% POLIESTER- TAMPO PERLA NOVA XC29 (A08745</t>
  </si>
  <si>
    <t>KORIGOMA</t>
  </si>
  <si>
    <t>100% POLIESTER CLOSEOUT FABRICS</t>
  </si>
  <si>
    <t>MORAES REPRESENTACOE</t>
  </si>
  <si>
    <t>FARIAS E KLEIN</t>
  </si>
  <si>
    <t>TECIDO 100% POLIESTER-[Pedido:008.22 Total]</t>
  </si>
  <si>
    <t>PR</t>
  </si>
  <si>
    <t>100% POLIESTER- TAMPO FOLHAS (A07432)- 240G-[</t>
  </si>
  <si>
    <t>98% POLIESTER 2% ELASTANO- TAMPO QUADRADROS D</t>
  </si>
  <si>
    <t>97% POLIESTER 3% ELASTANO- TAMPO PERLA NOVA X</t>
  </si>
  <si>
    <t>100% POLIESTER- TAMPO RASCUNHOS (A07820)-[Ped</t>
  </si>
  <si>
    <t>TECIDO DE MALHA PARA COLCHAO 90% POLIESTER 10</t>
  </si>
  <si>
    <t>99% POLIESTER 1% ELASTANO- TAMPO ABSTRATO MES</t>
  </si>
  <si>
    <t>99% POLIESTER 1% ELASTANO- TAMPO RETAS DEGRAD</t>
  </si>
  <si>
    <t>TECIDO 98% POLIESTER 2% ELASTANO- TAMPO QUADR</t>
  </si>
  <si>
    <t>100% POLIESTER- FAIXA ASPER CINZA CLARO (A089</t>
  </si>
  <si>
    <t>A08100</t>
  </si>
  <si>
    <t>TECIDO 100% POLIESTER - TECIDOS DIVERSOS</t>
  </si>
  <si>
    <t>Colchão M.e.</t>
  </si>
  <si>
    <t>INDUCOL INDUSTRIA</t>
  </si>
  <si>
    <t>100% POLIESTER-TAMPO INDUCOL BLACK (A08858)-[</t>
  </si>
  <si>
    <t>JOSIMAR</t>
  </si>
  <si>
    <t>100% POLIESTER-TAMPO INDUCOL GEOMETRIC BL (A0</t>
  </si>
  <si>
    <t>100% POLIESTER-TAMPO INDUCOL HEXAGN BLUE (A08</t>
  </si>
  <si>
    <t>100% POLIESTER-TAMPO INDUCOL STAR BLACK (A088</t>
  </si>
  <si>
    <t>100% POLIESTER-TAMPO INDUCOL ONDAS BLACK (A08</t>
  </si>
  <si>
    <t>100% POLIESTER-TAMPO INDUCOL PALETAS BLUE (A0</t>
  </si>
  <si>
    <t>100% POLIESTER-TAMPO INDUCOL LINES BLUE (A088</t>
  </si>
  <si>
    <t>100% POLIESTER-TAMPO BALON BLUE (A08859)-[Ped</t>
  </si>
  <si>
    <t>100% POLIESTER-TAMPO BALON BROWN (A08862)-[Pe</t>
  </si>
  <si>
    <t>100% POLIESTER-TAMPO ONDULATE GRAY (A08868)-[</t>
  </si>
  <si>
    <t>100% POLIESTER-TAMPO PRISMA BLUE (A08870)-[Pe</t>
  </si>
  <si>
    <t>100% POLIESTER-TAMPO OCEAN BLUE (A09016)-[Ped</t>
  </si>
  <si>
    <t>100% POLIESTER-TAMPO BALON BLUE (A08871)-[Ped</t>
  </si>
  <si>
    <t>100% POLIESTER- TAMPO INDUCOL BLACK (A08858)-</t>
  </si>
  <si>
    <t>100% POLIESTER- TAMPO INDUCOL GEOMETRIC BL (A</t>
  </si>
  <si>
    <t>100% POLIESTER- TAMPO INDUCOL HEXAGN BLUE (A0</t>
  </si>
  <si>
    <t>100% POLIESTER- TAMPO INDUCOL STAR BLACK (A08</t>
  </si>
  <si>
    <t>100% POLIESTER- TAMPO INDUCOL ONDAS BLACK (A0</t>
  </si>
  <si>
    <t>100% POLIESTER- TAMPO INDUCOL PALETAS BLUE (A</t>
  </si>
  <si>
    <t>100% POLIESTER- TAMPO INDUCOL LINES BLUE (A08</t>
  </si>
  <si>
    <t>100% POLIESTER- TAMPO BALON BLUE (A8859)-[Ped</t>
  </si>
  <si>
    <t>100% POLIESTER- TAMPO BALON BROWN (A08862)-[P</t>
  </si>
  <si>
    <t>100% POLIESTER- TAMPO LINHAS CRUZADAS AMARELA</t>
  </si>
  <si>
    <t>100% POLIESTER- TAMPO DIAMANT AMARELO (A09013</t>
  </si>
  <si>
    <t>100% POLIESTER- TAMPO ONDULATE GRAY (A08868)-</t>
  </si>
  <si>
    <t>100% POLIESTER- TAMPO PRISMA BLUE (A08870)-[P</t>
  </si>
  <si>
    <t>100% POLIESTER- TAMPO OCEAN BLUE (A09016)-[Pe</t>
  </si>
  <si>
    <t>100% POLIESTER- TAMPO BALON BLUE (A08871)-[Pe</t>
  </si>
  <si>
    <t>100% POLIESTER- TAMPO MULT PADRONES (A08857)-</t>
  </si>
  <si>
    <t>TECIDO 100% POLIESTER - TECIDOS VARIADOS</t>
  </si>
  <si>
    <t>100% POLIESTER- FORMOBILE MEDIA - 2018 - O /</t>
  </si>
  <si>
    <t>100% POLIESTER- TAMPO KNIT WHITE (A09178)180G</t>
  </si>
  <si>
    <t>100% POLIESTER- TAMPO WHITE STAR (A09164) 180</t>
  </si>
  <si>
    <t>100% POLIESTER- TAMPO FOLHAS BG (A06761) - 21</t>
  </si>
  <si>
    <t>NATURE</t>
  </si>
  <si>
    <t>100% POLIESTER- TAMPO  0011085 - COREON-[Pedi</t>
  </si>
  <si>
    <t>100% POLIESTER- BANDA LATERAL AZUL PONTINHO (</t>
  </si>
  <si>
    <t>100% POLIESTER- TAMPO BEIGE VBAC (A09052)-[Pe</t>
  </si>
  <si>
    <t>100% POLIESTER- BANDA LATERAL BEIGE (A09090)-</t>
  </si>
  <si>
    <t>100% POLIESTER- TAMPO FOLHAGEM CITROCARE (001</t>
  </si>
  <si>
    <t>100% POLIESTER- BANDA LATERAL PONTINHO (A0909</t>
  </si>
  <si>
    <t>70% POLIESTER 30% ALGODAO- TC GORGURINHO CINZ</t>
  </si>
  <si>
    <t>CASA VALEN S.R.L.</t>
  </si>
  <si>
    <t>100% POLIESTER- TAMPO INDARA GRIS REF6765 (A0</t>
  </si>
  <si>
    <t>100% POLIESTER- TAMPO INDARA BLANCO REF7797 (</t>
  </si>
  <si>
    <t>100% POLIESTER- TAMPO INDARA BEIGE REF6805 (A</t>
  </si>
  <si>
    <t>100% POLIESTER- TAMPO INDARA BEIGE REF6812 (A</t>
  </si>
  <si>
    <t>100% POLIESTER- TAMPO INDARA BEIGE REF6781 (A</t>
  </si>
  <si>
    <t>100% POLIESTER- TAMPO INDARA REF0001004 A0916</t>
  </si>
  <si>
    <t>100% POLIESTER- TAMPO INDARA LINES REF7840 (A</t>
  </si>
  <si>
    <t>100% POLIESTER- TAMPO INDARA REF6912 (A09125)</t>
  </si>
  <si>
    <t>100% POLIESTER- BANDA LATERAL MARRON REF6085</t>
  </si>
  <si>
    <t>100% POLIESTER - TECIDOS DIVERSOS</t>
  </si>
  <si>
    <t>TECIDO- TECIDOS VARIADOS</t>
  </si>
  <si>
    <t>DAVID MORENO VISCARR</t>
  </si>
  <si>
    <t>100% POLIESTER- TAMPO REDEMOINHO-[Pedido:026.</t>
  </si>
  <si>
    <t>######,##</t>
  </si>
  <si>
    <t>100% POLIESTER- TAMPO BAMBUZINHO-[Pedido:026.</t>
  </si>
  <si>
    <t>100% POLIESTER- TAMPO CARACOL-[Pedido:026.22</t>
  </si>
  <si>
    <t>100% POLIESTER- TAMPO BERCO BRANCO-[Pedido:02</t>
  </si>
  <si>
    <t>100% POLIESTER- TAMPO SERPENTINA-[Pedido:026.</t>
  </si>
  <si>
    <t>100% POLIESTER- TAMPO XADREZ PC-[Pedido:026.2</t>
  </si>
  <si>
    <t>100% POLIESTER- TAMPO MARROM-[Pedido:026.22 P</t>
  </si>
  <si>
    <t>100% POLIESTER- TAMPO DIGITAL PALHA-[Pedido:0</t>
  </si>
  <si>
    <t>100% POLIESTER- TAMPO DIGITAL PR-[Pedido:026.</t>
  </si>
  <si>
    <t>100% POLIESTER- TAMPO BLACK TOTAL-[Pedido:026</t>
  </si>
  <si>
    <t>100% POLIESTER- TAMPO BRANCO FAVO-[Pedido:026</t>
  </si>
  <si>
    <t>100% POLIESTER-  AURORA BOREAL - SPACE GRAY (</t>
  </si>
  <si>
    <t>286.0004-A</t>
  </si>
  <si>
    <t>100% POLIESTER- 22CDM FAIXA 16/8-[Pedido:017.</t>
  </si>
  <si>
    <t>MAXI KING</t>
  </si>
  <si>
    <t>100% POLIESTER-[Pedido:023.22 Parcial]</t>
  </si>
  <si>
    <t>97% POLIESTER 3% LINHO-[Pedido:023.22 Parcial</t>
  </si>
  <si>
    <t>POLYMAX</t>
  </si>
  <si>
    <t>TECIDO 100% POLIESTER-[Pedido:031.22 Parcial]</t>
  </si>
  <si>
    <t>TECIDO 100% POLIESTER- TAMPO FOLHAS BG (A0676</t>
  </si>
  <si>
    <t>100% POLIESTER- FAIXA NATURE CAQUI (A09245)-[</t>
  </si>
  <si>
    <t>100% POLIESTER- TAPA FLORAS E BIODRESS (00150</t>
  </si>
  <si>
    <t>100% POLIESTER- FAIXA NATURE VERDE (A09244)-[</t>
  </si>
  <si>
    <t>99% POLIESTER 1% ELASTANO- TAPA LOGO NATURE E</t>
  </si>
  <si>
    <t>TECIDO 97% POLIESTER 3% LINHO- FAIXA NATURE L</t>
  </si>
  <si>
    <t>TECIDO 98% POLIESTER 2% LINHO- TAMPO FOLHAGEM</t>
  </si>
  <si>
    <t>100% POLIESTER- TAMPO PONTILHADOS PRETO (A078</t>
  </si>
  <si>
    <t>MUEBLES MPR SPA</t>
  </si>
  <si>
    <t>chile</t>
  </si>
  <si>
    <t>100% POLIESTER- TAPA / BLANCA MPR (A09399)-[P</t>
  </si>
  <si>
    <t>100% POLIESTER- TAMPO TC VERSATILLE-[Pedido:0</t>
  </si>
  <si>
    <t>100% POLIESTER- TAMPO GEOMETRICFORM 280G-[Ped</t>
  </si>
  <si>
    <t>100% POLIESTER- TAMPO ONDAS VITRAL MESCLA (A0</t>
  </si>
  <si>
    <t>GRUPO SUENOLAR</t>
  </si>
  <si>
    <t>100% POLIESTER- TAMPO AREIA XC26 (A06755)-[Pe</t>
  </si>
  <si>
    <t>100% POLIESTER- TAMPO TRIANGULOS BRILHANTE-[P</t>
  </si>
  <si>
    <t>100% POLIESTER- FAIXA INVERNO VERAO-[Pedido:0</t>
  </si>
  <si>
    <t>100% POLIESTER- FAIXA PONTINHO CINZA ESCURO-[</t>
  </si>
  <si>
    <t>100% POLIESTER- TAMPO MANDALAS CINZA - MANDAL</t>
  </si>
  <si>
    <t>100% POLIESTER- TAMPO TRIANGULOS CINZA - CLIM</t>
  </si>
  <si>
    <t>100% POLIESTER- TAMPO PRETO CRUZADOS (A07806)</t>
  </si>
  <si>
    <t>100% POLIESTER- BANDA LATERAL - MARRON (A0949</t>
  </si>
  <si>
    <t>100% POLIESTER- ESTAMPA NUEVO GALHOS 3 V.02-[</t>
  </si>
  <si>
    <t>TECIDO 70% POLIESTER 30% ALGODAO- TC GORGURIN</t>
  </si>
  <si>
    <t>2540017 TP ML A08980 280G 2,10L DIVERSAS U</t>
  </si>
  <si>
    <t xml:space="preserve">MT </t>
  </si>
  <si>
    <t>DIVINO S.A</t>
  </si>
  <si>
    <t>TELA ANTIDESLIZANTE - 32282 DIVERSAS U</t>
  </si>
  <si>
    <t>2810009 TP ONDAS VIRAL MESCLA 180G 2,10L DIVERSAS U</t>
  </si>
  <si>
    <t>CARLOS FIDENCIO D AVALOS RUIZ JUNIOR 34496952823</t>
  </si>
  <si>
    <t>SEGUNDAQUALIDADE DIVERSAS U</t>
  </si>
  <si>
    <t>3020004 TELA IMPERMEAVEL LOGO MAXI DIVERSAS U</t>
  </si>
  <si>
    <t>GRUPO EMPRESARIAL MAXI KING SRL</t>
  </si>
  <si>
    <t>CONEXAO MALHAS E DESENVOLVIMENTO LTDA</t>
  </si>
  <si>
    <t>2540018 TP ML DIV 7806 240G 2,10L DIVERSAS U</t>
  </si>
  <si>
    <t>2540005 TAMPO GEOMETRICO (A07370) DIVERSAS U</t>
  </si>
  <si>
    <t>2540008 TP ML DINOS 260G 2,20L DIVERSAS U</t>
  </si>
  <si>
    <t>2540015 TAMPO PONTILHADOS PRETO (A07803) DIVERSAS U</t>
  </si>
  <si>
    <t xml:space="preserve">EX </t>
  </si>
  <si>
    <t>2540020 BANDA LATERAL - MARRON (A09497) DIVERSAS U</t>
  </si>
  <si>
    <t>2940018 TP ML 1183 BEIGE 200G 2,10L DIVERSAS U</t>
  </si>
  <si>
    <t>INDUCOL - INDUSTRIA DE COLCHONES SRL</t>
  </si>
  <si>
    <t>2940024 - TP ML 8063 BLACK 200G 2,10L DIVERSAS U</t>
  </si>
  <si>
    <t>2940023 - TP ML 8053 BEIGE 200G 2,10L DIVERSAS U</t>
  </si>
  <si>
    <t>2940020 TP ML 6013 CHERRY 200G 2,10L DIVERSAS U</t>
  </si>
  <si>
    <t>2940025 TP ML NAVY BL 200G 2,10L DIVERSAS U</t>
  </si>
  <si>
    <t>2940021 - TP ML 10003 BLUE 200G 2,10L DIVERSAS U</t>
  </si>
  <si>
    <t>2940026 TP ML AIR YELLOW 200G 2,10L DIVERSAS U</t>
  </si>
  <si>
    <t>2940017 TP ML 1163 SPACE GRAY 200G 2,10L DIVERSAS U</t>
  </si>
  <si>
    <t>2940019 TP ML 1173 SPACE BROWN 200G2,10L DIVERSAS U</t>
  </si>
  <si>
    <t>2940022 - TP ML 5003 BROWN 200G 2,10L DIVERSAS U</t>
  </si>
  <si>
    <t>2810005 TP ME FOLHA 240G 2,20L DIVERSAS U</t>
  </si>
  <si>
    <t>2810010 TP ML STAR BRILHA 160G 2,10L DIVERSAS U</t>
  </si>
  <si>
    <t>32282 - TELA ANTIDESLIZANTE DIVERSAS U</t>
  </si>
  <si>
    <t>2540022 TP ML FOLHAS IMAG 320G 2,10 DIVERSAS U</t>
  </si>
  <si>
    <t>1922 - TELA POL GALHOS 3 V02 DIVERSAS U</t>
  </si>
  <si>
    <t>2540023 TP ML COLMEIA COOL 460G 2,10L DIVERSAS U</t>
  </si>
  <si>
    <t>2810009 TP ONDAS VIRAL MESCLA 180G 2,20L DIVERSAS U</t>
  </si>
  <si>
    <t>2940027 TP ML SPACE GR 200G 2,10L DIVERSAS U</t>
  </si>
  <si>
    <t>2940029 TP ML CHERRY 220G 2,10L DIVERSAS U</t>
  </si>
  <si>
    <t>2940028 TP ML NAVY BLU 220G 2,10L DIVERSAS U</t>
  </si>
  <si>
    <t>2940030 TP ML RAIN BLUE 220G 2,10L DIVERSAS U</t>
  </si>
  <si>
    <t>2540019 NUEVO GALHOS 3 V02 (1922) - TOL DIVERSAS U</t>
  </si>
  <si>
    <t>2540012 TAMPO RASCUNHOS (A07820) DIVERSAS U</t>
  </si>
  <si>
    <t>2860003-TP ME DECRADE 420G 2,20L DIVERSAS U</t>
  </si>
  <si>
    <t>2860004-ME TP RETAS DEGRADE 450G 2,20L DIVERSAS U</t>
  </si>
  <si>
    <t>SUPERESPUMA</t>
  </si>
  <si>
    <t>3200004 TP ML IMPERAL BLACK 350G 2,10L DIVERSAS U</t>
  </si>
  <si>
    <t>CONEXÃO MALHAS</t>
  </si>
  <si>
    <t>SUPERSPUMA DEL PARAGUAY S.A.E.C.A</t>
  </si>
  <si>
    <t>3200010 TP ML WAVES LINO 320G 2,20L DIVERSAS U</t>
  </si>
  <si>
    <t>3200002 TP ML WAVES CARPE 290G 2,10L DIVERSAS U</t>
  </si>
  <si>
    <t>3200006 TP ML IMPERIAL GRAY 280G 2,10L DIVERSAS U</t>
  </si>
  <si>
    <t>3200007 TP ML WHITE BORDER 180G 2,10L DIVERSAS U</t>
  </si>
  <si>
    <t>3200005 TP ML SERRAT COBE 300G 2,10L DIVERSAS U</t>
  </si>
  <si>
    <t>3200001 TP ML SOUL WHITE 160G 2,10L DIVERSAS U</t>
  </si>
  <si>
    <t>3200008 TP ML IMPULSE GRAY 280G 2,10L DIVERSAS U</t>
  </si>
  <si>
    <t>3200009 TP ML IMPULSE ORANGE 280G 2,10L DIVERSAS U</t>
  </si>
  <si>
    <t>2860009 TP ML GREEN WINDOW 430G 2,20L DIVERSAS U</t>
  </si>
  <si>
    <t>COLCHONES DEL MUNDO SPA</t>
  </si>
  <si>
    <t>2860008 TP ML GRAY WINDOW 380G 2,20L DIVERSAS U</t>
  </si>
  <si>
    <t>2860010 TP ML BLACK WINDOW 440G 2,20L DIVERSAS U</t>
  </si>
  <si>
    <t>2860007 TP ML DIAG YELLOW 440G 2,20L DIVERSAS U</t>
  </si>
  <si>
    <t>RMD RECYCLING</t>
  </si>
  <si>
    <t>TECIDO PLANO LISO 02429 CZ PRATA DIVERSAS U</t>
  </si>
  <si>
    <t>RMD RECYCLING 753 LLC</t>
  </si>
  <si>
    <t>3250001 TP ML LINES GRAY 280G 2,10L DIVERSAS U</t>
  </si>
  <si>
    <t>TECIDO PLANO LISO 02705 BEGE OTL DIVERSAS U</t>
  </si>
  <si>
    <t>3250003 TP ML CASHMERE BEIGE 280G 2,10L DIVERSAS U</t>
  </si>
  <si>
    <t>BASEBOX 157X197 DIVERSAS U</t>
  </si>
  <si>
    <t xml:space="preserve">UN </t>
  </si>
  <si>
    <t>288 2.0 133X188X0145 DIVERSAS U</t>
  </si>
  <si>
    <t>3250002 TP ML FLORAL BEIGE 280G 2,10L DIVERSAS U</t>
  </si>
  <si>
    <t>3250004 TP ML ABSTRACT CREM 280G 2,10L DIVERSAS U</t>
  </si>
  <si>
    <t>FITA CARAMELO DIVERSAS U</t>
  </si>
  <si>
    <t>FITIM CINZA DIVERSAS U</t>
  </si>
  <si>
    <t>RESINADO LARGURA 2,00M 500G DIVERSAS U</t>
  </si>
  <si>
    <t xml:space="preserve">M2 </t>
  </si>
  <si>
    <t>A0003 - M3 ESTAMPA BAMB 1 (230) DIVERSAS U</t>
  </si>
  <si>
    <t>A0001- M1 ESTAMPA 7562 (2775) DIVERSAS U</t>
  </si>
  <si>
    <t>A0002 - M2 ESTAMPA BAMB CZ (1584) DIVERSAS U</t>
  </si>
  <si>
    <t>2540026 TP ML 0072051 - 280G 2,20L DEGRA DIVERSAS U</t>
  </si>
  <si>
    <t>2540025 TP ML 0069001 - 300G 2,20L CONTE DIVERSAS U</t>
  </si>
  <si>
    <t>NM ESPUMA S.A.</t>
  </si>
  <si>
    <t>2920023 TP ML ABSTRACT 300G 2,20L DIVERSAS U</t>
  </si>
  <si>
    <t>2920022 FX ORGANIC CARPE 160G 2,10L DIVERSAS U</t>
  </si>
  <si>
    <t>2920021 TP ML ORGANIC CARP 260G 2,20L DIVERSAS U</t>
  </si>
  <si>
    <t>2920024 FX ABSRACT 160G 2,10L DIVERSAS U</t>
  </si>
  <si>
    <t>2540007 - ME TP DARK BRILHA 300G 2,20L DIVERSAS U</t>
  </si>
  <si>
    <t>2860005 TP ML NEVOA 360G 2,15L DIVERSAS U</t>
  </si>
  <si>
    <t>2810005 TP FOLHA 240G 2,20L (1121110) DIVERSAS U</t>
  </si>
  <si>
    <t>2810004 FX BEGE 400G 2,10L (1120818) DIVERSAS U</t>
  </si>
  <si>
    <t>2810009 TP MESCLA 180G 2,20L (1122580) DIVERSAS U</t>
  </si>
  <si>
    <t>436882 CETIM 76 CONEXAO 51 DIVERSAS U</t>
  </si>
  <si>
    <t>3370007 BAMBUZINHO DIVERSAS U</t>
  </si>
  <si>
    <t>DAVID MORENO VISCARRA</t>
  </si>
  <si>
    <t>3370009 TP ML BOOK 180G 2,10L DIVERSAS U</t>
  </si>
  <si>
    <t>3370006 TP ML B W 200G 2,10L DIVERSAS U</t>
  </si>
  <si>
    <t>3370001 TP SIM BLACK 300G 2,20L DIVERSAS U</t>
  </si>
  <si>
    <t>3370008 TP ML CZ CARIOCA 200G 2,10L DIVERSAS U</t>
  </si>
  <si>
    <t>3370004 TP BORDO 200G 2,20L DIVERSAS U</t>
  </si>
  <si>
    <t>3370002 TP ML CZ P 280G 2,20L DIVERSAS U</t>
  </si>
  <si>
    <t>3370005 TP ML BOL 180G 2,20L DIVERSAS U</t>
  </si>
  <si>
    <t>3370003 FX BLACK 200G 2,10L DIVERSAS U</t>
  </si>
  <si>
    <t>FITIM BCO DOURADO DIVERSAS U</t>
  </si>
  <si>
    <t>FITIM CARAMELO DIVERSAS U</t>
  </si>
  <si>
    <t>FITIM BRANCO DIVERSAS U</t>
  </si>
  <si>
    <t>3030040 -MI PL 160G 2,10L DIVERSAS U</t>
  </si>
  <si>
    <t>3030039 - MI PL 160G 2,10G DIVERSAS U</t>
  </si>
  <si>
    <t>3030038 - MI 160G 2,10L DIVERSAS U</t>
  </si>
  <si>
    <t>3030041-MI PL 160G 2,10L DIVERSAS U</t>
  </si>
  <si>
    <t>3030037- MI 160G 2,10L DIVERSAS U</t>
  </si>
  <si>
    <t>3030036- MI 160G 2,10L DIVERSAS U</t>
  </si>
  <si>
    <t>3030035- MI 180G 2,10L DIVERSAS U</t>
  </si>
  <si>
    <t>3030034-MI 180G 2,10L DIVERSAS U</t>
  </si>
  <si>
    <t>3030042 - MI PL 160G 2,10L DIVERSAS U</t>
  </si>
  <si>
    <t>3030043-MI PL 160G 2,10L DIVERSAS U</t>
  </si>
  <si>
    <t>3030044 ME PL 160G 2,10L DIVERSAS U</t>
  </si>
  <si>
    <t>3030008 ME PL 180G 2,10L DIVERSAS U</t>
  </si>
  <si>
    <t>3030007-ME PL 180G 2,10L DIVERSAS U</t>
  </si>
  <si>
    <t>3030049 MI 180G 2,10L PTO DIVERSAS U</t>
  </si>
  <si>
    <t>3030030-MI 200G 2,10L DIVERSAS U</t>
  </si>
  <si>
    <t>3030032-MI 200G 2,10L DIVERSAS U</t>
  </si>
  <si>
    <t>3030026 -ME  200G 2,10L DIVERSAS U</t>
  </si>
  <si>
    <t>3030027-MI 200G 2,10L DIVERSAS U</t>
  </si>
  <si>
    <t>3030028-MI 200G 2,10L DIVERSAS U</t>
  </si>
  <si>
    <t>3030029-MI 200G 2,10L DIVERSAS U</t>
  </si>
  <si>
    <t>3030031- MI 200G 2,10L DIVERSAS U</t>
  </si>
  <si>
    <t>3030025-MI 180G 2,10L DIVERSAS U</t>
  </si>
  <si>
    <t>3030048-MI 200G 2,10L DIVERSAS U</t>
  </si>
  <si>
    <t>3030033- MI 160G 2,10L DIVERSAS U</t>
  </si>
  <si>
    <t>3030024-MI 180G 2,10L DIVERSAS U</t>
  </si>
  <si>
    <t>3030045- XN 200G 2,10L DIVERSAS U</t>
  </si>
  <si>
    <t>3030047-MI 200G 2,10L DIVERSAS U</t>
  </si>
  <si>
    <t>3030046-MI 200G 2,10L DIVERSAS U</t>
  </si>
  <si>
    <t>2540027 TP COLMENA 470G 2,10L (A09706) DIVERSAS U</t>
  </si>
  <si>
    <t>2540028 TP CORDERO 310G 2,10L 0186002 DIVERSAS U</t>
  </si>
  <si>
    <t>2540029 TP LUNA 230G 2,20L 0070001 DIVERSAS U</t>
  </si>
  <si>
    <t>PRODUCTOS PARAISO DEL ECUADOR</t>
  </si>
  <si>
    <t>EQUADOR</t>
  </si>
  <si>
    <t>A07137 TP ML PARAISO PREMIUM DIVERSAS U</t>
  </si>
  <si>
    <t>COLCHONES POLYMAX</t>
  </si>
  <si>
    <t>2670007 TP ML BCA MINI JAC 220G 2,10L DIVERSAS U</t>
  </si>
  <si>
    <t>2860011 TP ML DOLPHIN ME 430G 2,20L DIVERSAS U</t>
  </si>
  <si>
    <t>2860012 TP ML HARMONY ME 440G 2,20L DIVERSAS U</t>
  </si>
  <si>
    <t>AGT AMERICAN GARMENT TEXTIL</t>
  </si>
  <si>
    <t>FERNANDO B. GONZALEZ MINIOTIS</t>
  </si>
  <si>
    <t>3040001 TP ML 180G 2,10L 0074011 DIVERSAS U</t>
  </si>
  <si>
    <t>3040002 TP ML 180G 2,10L 0079001 DIVERSAS U</t>
  </si>
  <si>
    <t>3040003 TP ML 180G 2,10L 0080001 DIVERSAS U</t>
  </si>
  <si>
    <t>3040004 TP ML 180G 2,10L 0087001 DIVERSAS U</t>
  </si>
  <si>
    <t>3040005 TP ML 180G 2,10L 0012001 DIVERSAS U</t>
  </si>
  <si>
    <t>3260002 TP ESTRELLAS AZUL 160G 2,10L DIVERSAS U</t>
  </si>
  <si>
    <t>3260001 TP PARAISO PREMIUM 240G 2,20L DIVERSAS U</t>
  </si>
  <si>
    <t>FIBERSOFT</t>
  </si>
  <si>
    <t>3310003 TP ML A09311 560G 2,20L DIVERSAS U</t>
  </si>
  <si>
    <t xml:space="preserve">SC </t>
  </si>
  <si>
    <t>FIBERSOFT INDUSTRIA TEXTIL LTDA</t>
  </si>
  <si>
    <t>3310002 FUNDA GRIS 300G 2,20L DIVERSAS U</t>
  </si>
  <si>
    <t>3310001 FUNDA AZUL 300G 2,20L DIVERSAS U</t>
  </si>
  <si>
    <t>2540030 TP ML BCA MINI 220G 2,10L 97.012 DIVERSAS U</t>
  </si>
  <si>
    <t>3260003-ME PARAISO DEL 320G 2,20L DIVERSAS U</t>
  </si>
  <si>
    <t>3260004-ME PARAISO 260G 2,20L DIVERSAS U</t>
  </si>
  <si>
    <t>3260005-PL ME 180G 2,10L DIVERSAS U</t>
  </si>
  <si>
    <t>3260007-ME 280G 2,20L DIVERSAS U</t>
  </si>
  <si>
    <t>FUNDA AZUL 2 PLAZAS 77622 AZUL UNICA U</t>
  </si>
  <si>
    <t>FUNDA AZUL 1 PLAZA 77624 AZUL UNICA U</t>
  </si>
  <si>
    <t>FUNDA AZUL 1/5 PLAZA 77623 AZUL UNICA U</t>
  </si>
  <si>
    <t>FUNDA AZUL SUPER KING 77620 AZUL UNICA U</t>
  </si>
  <si>
    <t>FUNDA AZUL KING 77621 AZUL UNICA U</t>
  </si>
  <si>
    <t>FUNDA GRIS SUPER KING 77620 CINZA UNICA U</t>
  </si>
  <si>
    <t>FUNDA GRIS 1 PLAZA 77624 CINZA UNICA U</t>
  </si>
  <si>
    <t>FUNDA GRIS 1/5 PLAZAS 77623 CINZA UNICA U</t>
  </si>
  <si>
    <t>FUNDA GRIS KING 77621 CINZA UNICA U</t>
  </si>
  <si>
    <t>FUNDA GRIS 2 PLAZAS 77622 CINZA UNICA U</t>
  </si>
  <si>
    <t>2540014 TP ML A05171 300G 2,20L DIVERSAS U</t>
  </si>
  <si>
    <t>3020012 TP CACTUS 240G 2,20L DIVERSAS U</t>
  </si>
  <si>
    <t>3020011 TP MAR E BARCOS 240G 2,20L DIVERSAS U</t>
  </si>
  <si>
    <t>3020010 TP INFANTIL S 250G 2,20L DIVERSAS U</t>
  </si>
  <si>
    <t>3020007-TP ML 0004002 200G 2,10L DIVERSAS U</t>
  </si>
  <si>
    <t>3020006 - TP ML 0023071 260G 2,10L DIVERSAS U</t>
  </si>
  <si>
    <t>3260010 TP HOJA DE BAMBU 280G 2,10L DIVERSAS U</t>
  </si>
  <si>
    <t>3260011 FX PALILLOS 200G 2,10L DIVERSAS U</t>
  </si>
  <si>
    <t>3260006-ME PARAISO 280G 2,20L DIVERSAS U</t>
  </si>
  <si>
    <t>2920017 TP ML TRI BRILHANTE 250G 2,10L DIVERSAS U</t>
  </si>
  <si>
    <t>2920018 FX ML INV VER 200G 2,10L DIVERSAS U</t>
  </si>
  <si>
    <t>2920016-TP CLIMAX 240G 2,10L DIVERSAS U</t>
  </si>
  <si>
    <t>3260012 TP 334003 160G 2,10L DIVERSAS U</t>
  </si>
  <si>
    <t>3030053 TP 282002 180G 2,10L DIVERSAS U</t>
  </si>
  <si>
    <t>3030051 TP 150023 180G 2,10L DIVERSAS U</t>
  </si>
  <si>
    <t>3030050 TP A06781 CAQUI 180G 2,10L DIVERSAS U</t>
  </si>
  <si>
    <t>3030054 TP 119022 180G 2,10L DIVERSAS U</t>
  </si>
  <si>
    <t>3030055 TP 291001 180G 2,20L DIVERSAS U</t>
  </si>
  <si>
    <t>3030056 TP 292012 180G 2,20L DIVERSAS U</t>
  </si>
  <si>
    <t>3030052 TP 240015 200G 2,10L DIVERSAS U</t>
  </si>
  <si>
    <t>3030040 A09535 160G 2,10 DIVERSAS U</t>
  </si>
  <si>
    <t>3030042 TP 68006 160G 2,10L DIVERSAS U</t>
  </si>
  <si>
    <t>3030036 TP 71021 160G 2,10L DIVERSAS U</t>
  </si>
  <si>
    <t>3030033 TP 73001 160G 2,10 DIVERSAS U</t>
  </si>
  <si>
    <t>3030026 TP ML 16055 200G 2,10L DIVERSAS U</t>
  </si>
  <si>
    <t>3030032 TP STAR WHITE 200G 2,10L DIVERSAS U</t>
  </si>
  <si>
    <t>COLCHAO ANTI SLIP 2685 72%PP 28%CO UNICA U</t>
  </si>
  <si>
    <t>3200011-ME 200G 2,20L DIVERSAS U</t>
  </si>
  <si>
    <t>3200012-ME 220G 2,20L DIVERSAS U</t>
  </si>
  <si>
    <t>COMERCIALIZADORA SL SUNLOCK LTDA</t>
  </si>
  <si>
    <t>2860014 TP ML A09686 370G 2,20L DIVERSAS U</t>
  </si>
  <si>
    <t>2540031 TP ML A09792 390G 2,20L DV U</t>
  </si>
  <si>
    <t>ESPUMAS PLASTICAS SAS - COMODISIMO</t>
  </si>
  <si>
    <t>COLOMBIA</t>
  </si>
  <si>
    <t>3380001 TP ML A09874 260G 2,20L DV U</t>
  </si>
  <si>
    <t>COLCHAO ME</t>
  </si>
  <si>
    <t>2810011 TP PARADISE 122034 370G 2,20L DV U</t>
  </si>
  <si>
    <t>2860013 TP ML A09687 350G 2,20L DIVERSAS U</t>
  </si>
  <si>
    <t>2860015 TP A09682 GRIS 2 370G 2,20L DV U</t>
  </si>
  <si>
    <t>CLC COLCHONES C.A.</t>
  </si>
  <si>
    <t>VENEZUELA</t>
  </si>
  <si>
    <t>3390007 TP 0156032 280G 2,20L CLC7 DV U</t>
  </si>
  <si>
    <t>3390012 FX A09914 180G 2,10L CLC12 DV U</t>
  </si>
  <si>
    <t>3390011 TP A09908 180G 2,10L CLC11 DV U</t>
  </si>
  <si>
    <t>3390010 TP 0354011 300G 2,20L CLC9 DV U</t>
  </si>
  <si>
    <t>3390009 TP 0284003 180G 2,10L CLC10 DV U</t>
  </si>
  <si>
    <t>3390008 TP 0080001 260G 2,20L CLC8 DV U</t>
  </si>
  <si>
    <t>3390001 TP 346001 180G 2,20L CLC1 DV U</t>
  </si>
  <si>
    <t>3390006 TP 0246031 260G 2,20L CLC6 DV U</t>
  </si>
  <si>
    <t>3390005 TP 0143041 240G 2,20L CLC5 DV U</t>
  </si>
  <si>
    <t>3390004 TP 240001 240G 2,10L CLC4 DV U</t>
  </si>
  <si>
    <t>3390003 TP 269013 180G 2,10L CLC2 DV U</t>
  </si>
  <si>
    <t>3390002 TP 256033 180G 2,10L CLC3 DV U</t>
  </si>
  <si>
    <t>0274011 TP ME AMOSTR DV U</t>
  </si>
  <si>
    <t>A09863 TP ME AMOSTR DV U</t>
  </si>
  <si>
    <t>0367003 TP ME AMOSTR DV U</t>
  </si>
  <si>
    <t>0368003 TP ME AMOSTR DV U</t>
  </si>
  <si>
    <t>3260013 BANDA ORIGENES 200G 2,20L DV U</t>
  </si>
  <si>
    <t>3260014 TELA ORIGENES 240G 2,20L DV U</t>
  </si>
  <si>
    <t>CETIM/76 COR 51 33%PES 67%PP DV U</t>
  </si>
  <si>
    <t>3030066 TP ML 94001 200G 2,20L DV U</t>
  </si>
  <si>
    <t>3030062 TP ML 243003 180G 2,10L DV U</t>
  </si>
  <si>
    <t>3030061 TP ML A09957 180G 2,10L DV U</t>
  </si>
  <si>
    <t>3030060 TP ML A09956 180G 2,10L DV U</t>
  </si>
  <si>
    <t>3030059 TP ML A09955 200G 2,10L DV U</t>
  </si>
  <si>
    <t>3030017 TP ML A09275 160G 2,10L DV U</t>
  </si>
  <si>
    <t>3030045- XN ME  200G 2,10L DIVERSAS U</t>
  </si>
  <si>
    <t>3030013 TP ML A09270 160G 2,10L DV U</t>
  </si>
  <si>
    <t>SEA TRADING COMPANY SA</t>
  </si>
  <si>
    <t>3420001 TP ML A08182 160G 2,20L DV U</t>
  </si>
  <si>
    <t>COLCHAO MI</t>
  </si>
  <si>
    <t>2540032 TP ML 245021 240G 2,20L DV U</t>
  </si>
  <si>
    <t>2810012 TP ML A09887 340G 2,20L DV U</t>
  </si>
  <si>
    <t>3370010 TP ML 357001 280G 2,20L DV U</t>
  </si>
  <si>
    <t>3030058 TP ML 246006 200G 2,10L DV U</t>
  </si>
  <si>
    <t>3030065 TP ML 253006 200G 2,10L DV U</t>
  </si>
  <si>
    <t>3030064 TP ML 256006 200G 2,10L DV U</t>
  </si>
  <si>
    <t>3030063 TP ML 283001 200G 2,20L DV U</t>
  </si>
  <si>
    <t>3030057 TP ML 90026 200G 2,10L DV U</t>
  </si>
  <si>
    <t>3260015- ME 300G 2,20L DV U</t>
  </si>
  <si>
    <t>3030067 TP 0386003 180G 2,10L DV U</t>
  </si>
  <si>
    <t>2920006 TP LATERAL BEIGE 280G 2,00L DV U</t>
  </si>
  <si>
    <t>2920011 TP LATERAL CAQUI 300G 2,10L DV U</t>
  </si>
  <si>
    <t>REVENDA ME</t>
  </si>
  <si>
    <t>CARPINTERIA Y TAPECERIA INTERNACIONAL CTIN</t>
  </si>
  <si>
    <t>3460001 TP ML 0148071 360G 2,20L DV U</t>
  </si>
  <si>
    <t>3460002 TP ML 0383001 200G 2,20L DV U</t>
  </si>
  <si>
    <t>2540033 TP ML 132012 340G 2,20L DV U</t>
  </si>
  <si>
    <t>SIMMONS DE ARGENTINA SAIC</t>
  </si>
  <si>
    <t>ARGENTINA</t>
  </si>
  <si>
    <t>3470001 TP ML 405002 220G 2,20L DV U</t>
  </si>
  <si>
    <t>3470003 TP ML 301002 260G 2,20L DV U</t>
  </si>
  <si>
    <t>3470002 TP ML 404001 260G 2,20L DV U</t>
  </si>
  <si>
    <t>3200013 TP ML A09969 180G 2,10L DV U</t>
  </si>
  <si>
    <t>3200015 TP ML A09971 180G 2,10L DV U</t>
  </si>
  <si>
    <t>3200014 TP ML A09970 180G 2,10L DV U</t>
  </si>
  <si>
    <t>2540035 TP ML A10045 280G 2,20L DV U</t>
  </si>
  <si>
    <t>3200011-ME 220G 2,20L DV U</t>
  </si>
  <si>
    <t>2540034 TP ML 237005 260G 2,20L DV U</t>
  </si>
  <si>
    <t>3370011 TP ML A10053 180G 2,10L DV U</t>
  </si>
  <si>
    <t>ZONKD LIMITADA DE CV</t>
  </si>
  <si>
    <t>AMERICA CENTRAL</t>
  </si>
  <si>
    <t>0458013 TP ME AMOSTR DV U</t>
  </si>
  <si>
    <t>QTDE MTS</t>
  </si>
  <si>
    <t>VALOR</t>
  </si>
  <si>
    <t xml:space="preserve">VOLUME </t>
  </si>
  <si>
    <t>COLCHÃO</t>
  </si>
  <si>
    <t>FLEX DO BRASIL LTDA</t>
  </si>
  <si>
    <t>300043 TP ML 1101694 - A09718 240G 2,20L DV U</t>
  </si>
  <si>
    <t>2670010 TP ML 0091012 280G 2,20L DV U</t>
  </si>
  <si>
    <t>2670009 TP ML 0080001 300G 2,20L DV U</t>
  </si>
  <si>
    <t>2670008 TP ML 0356001 280G 2,20L DV U</t>
  </si>
  <si>
    <t>2810013 TP ML A10131 310G 2,20L DV U</t>
  </si>
  <si>
    <t>2860016 TP ML A10066 260G 2,20L DV U</t>
  </si>
  <si>
    <t>3020014 TP ML 0439011 160G 2,20L DV U</t>
  </si>
  <si>
    <t>3020013 TP ML 0446021 160G 2,20L DV U</t>
  </si>
  <si>
    <t>3020017 TP ML 0407021 160G 2,20L DV U</t>
  </si>
  <si>
    <t>3020016 TP ML 0434003 200G 2,10L DV U</t>
  </si>
  <si>
    <t>ESTADOS UNIDOS</t>
  </si>
  <si>
    <t>Emissão/NFE</t>
  </si>
  <si>
    <t>Preço Unit</t>
  </si>
  <si>
    <t>Valor (total)</t>
  </si>
  <si>
    <t>Soma de Valor (total)</t>
  </si>
  <si>
    <t>PAIS EXTERIOR</t>
  </si>
  <si>
    <t>BED TIME S.A.</t>
  </si>
  <si>
    <t>DISTRIBUIDORA CASEROS</t>
  </si>
  <si>
    <t>SUNLOCK SPA</t>
  </si>
  <si>
    <t>TP ML 0072051 - 280G 2,20L DEGRA DIVERSAS U</t>
  </si>
  <si>
    <t>TP ML A05171 300G 2,20L DIVERSAS U</t>
  </si>
  <si>
    <t>TP ML FOLHAS IMAG 320G 2,10 DIVERSAS U</t>
  </si>
  <si>
    <t>TP ML 132012 340G 2,20L DV U</t>
  </si>
  <si>
    <t>TP ML A10045 280G 2,20L DV U</t>
  </si>
  <si>
    <t>TP ML 0245051 280G 2,20L DV U</t>
  </si>
  <si>
    <t>TP ML DIV 7806 240G 2,10L DIVERSAS U</t>
  </si>
  <si>
    <t>TAMPO GEOMETRICO (A07370) DIVERSAS U</t>
  </si>
  <si>
    <t>TAMPO PONTILHADOS PRETO (A07803) DIVERSAS U</t>
  </si>
  <si>
    <t>TP ML A08980 280G 2,10L DIVERSAS U</t>
  </si>
  <si>
    <t>TP MESCLA 180G 2,20L (1122580) DIVERSAS U</t>
  </si>
  <si>
    <t>TP PARADISE 122034 370G 2,20L DV U</t>
  </si>
  <si>
    <t>TP ML A10131 310G 2,20L DV U</t>
  </si>
  <si>
    <t>TP ML 0407021 160G 2,20L DV U</t>
  </si>
  <si>
    <t>TP ML 0434003 200G 2,10L DV U</t>
  </si>
  <si>
    <t>TP ML 0428011 160G 2,20L DV U</t>
  </si>
  <si>
    <t>TP ML 0439011 160G 2,20L DV U</t>
  </si>
  <si>
    <t>TP ML A10168 200G 2,10L DV U</t>
  </si>
  <si>
    <t>TP ML A10169 240G 2,10L DV U</t>
  </si>
  <si>
    <t>TP SIM BLACK 300G 2,20L DIVERSAS U</t>
  </si>
  <si>
    <t>TP ML BOL 180G 2,20L DIVERSAS U</t>
  </si>
  <si>
    <t>TP ML 0010181 180G 2,20L DV U</t>
  </si>
  <si>
    <t>TP ML 0066001 180G 2,20L DV U</t>
  </si>
  <si>
    <t>TP ML 0074161 180G 2,20L DV U</t>
  </si>
  <si>
    <t>TP ML 0092193 160G 2,10L DV U</t>
  </si>
  <si>
    <t>-ME TP RETAS DEGRADE 450G 2,20L DIVERSAS U</t>
  </si>
  <si>
    <t>TP ML A09687 350G 2,20L DIVERSAS U</t>
  </si>
  <si>
    <t>TP A09682 GRIS 2 370G 2,20L DV U</t>
  </si>
  <si>
    <t>TP FOLHA 240G 2,20L (1121110) DIVERSAS U</t>
  </si>
  <si>
    <t>ANOS</t>
  </si>
  <si>
    <t>CLIENTES</t>
  </si>
  <si>
    <t>Suma de MT</t>
  </si>
  <si>
    <t>VOLUME (MT)</t>
  </si>
  <si>
    <t>VALOR (R$)</t>
  </si>
  <si>
    <t>SUENOLAR</t>
  </si>
  <si>
    <t>3070002 TP ML 0054025 240G 2,20L DV U</t>
  </si>
  <si>
    <t>3200013 TP ML A09969 160G 2,10L DV U</t>
  </si>
  <si>
    <t>3200014 TP ML A09970 160G 2,10L DV U</t>
  </si>
  <si>
    <t>SPRINGWALL S.A.</t>
  </si>
  <si>
    <t>3550001 TP ML 0292001 220G 2,20L DV U</t>
  </si>
  <si>
    <t>3530004 TP ML A10108 200G 2,20L DV U</t>
  </si>
  <si>
    <t>3530005 TP ML A10224 200G 2,20L DV U</t>
  </si>
  <si>
    <t>3530001 TP ML A10169 240G 2,10L DV U</t>
  </si>
  <si>
    <t>3530003 TP ML A10104-A 200G 2,20L DV U</t>
  </si>
  <si>
    <t>2940050 TP ML 0447011 180G 2,20L DV U</t>
  </si>
  <si>
    <t>2940045 TP ML 0149101 180G 2,20L DV U</t>
  </si>
  <si>
    <t>2940046 TP ML 0271051 180G 2,20L DV U</t>
  </si>
  <si>
    <t>2940047 TP ML 0276001 180G 2,20L DV U</t>
  </si>
  <si>
    <t>2940048 TP ML 0446031 180G 2,20L DV U</t>
  </si>
  <si>
    <t>2940049 TP ML 0449021 180G 2,20L DV U</t>
  </si>
  <si>
    <t>2940053 TP ML 0389011 180G 2,20L DV U</t>
  </si>
  <si>
    <t>2940051 TP ML 0441021 180G 2,20L DV U</t>
  </si>
  <si>
    <t>2940052 TP ML 0418011 180G 2,20L DV U</t>
  </si>
  <si>
    <t>2940056 TP ML 0276011 180G 2,20L DV U</t>
  </si>
  <si>
    <t>2940055 TP ML 0389021 180G 2,20L DV U</t>
  </si>
  <si>
    <t>2940054 TP ML 0269031 180G 2,20L DV U</t>
  </si>
  <si>
    <t>2940043 TP ML 0263021 180G 2,20L DV U</t>
  </si>
  <si>
    <t>2940037 TP ML 0076061 180G 2,20L DV U</t>
  </si>
  <si>
    <t>2940031 TP ML 0072091 180G 2,20L DV U</t>
  </si>
  <si>
    <t>2940032 TP ML 0274031 180G 2,20L DV U</t>
  </si>
  <si>
    <t>2940033 TP ML 0389011 180G 2,20L DV U</t>
  </si>
  <si>
    <t>2940035 TP ML 0143001 180G 2,20L DV U</t>
  </si>
  <si>
    <t>2940036 TP ML 0066011 180G 2,20L DV U</t>
  </si>
  <si>
    <t>2940044 TP ML 0149111 180G 2,20L DV U</t>
  </si>
  <si>
    <t>2940038 TP ML 0262031 180G 2,20L DV U</t>
  </si>
  <si>
    <t>2940039 TP ML 0245061 180G 2,20L DV U</t>
  </si>
  <si>
    <t>2940040 TP ML 0147101 180G 2,20L DV U</t>
  </si>
  <si>
    <t>2940041 TP ML 0269021 180G 2,20L DV U</t>
  </si>
  <si>
    <t>2940042 TP ML 0074171 180G 2,20L DV U</t>
  </si>
  <si>
    <t>3030066 TP ML 0094001 200G 2,20L DV U</t>
  </si>
  <si>
    <t>3030061 PL 180G 2,10L NEGRO DV U</t>
  </si>
  <si>
    <t>3030013 PL 160G 2,10L AZUL MARINO DV U</t>
  </si>
  <si>
    <t>3030024 PL 180G 2,10L GRIS ESCURO DV U</t>
  </si>
  <si>
    <t>CM 200G 2,10L GRIS PERLA DV U</t>
  </si>
  <si>
    <t>3030068 CM 180G 2,10L GRIS PERLA DV U</t>
  </si>
  <si>
    <t>3030033 PL 160G 2,10L NEGRO DV U</t>
  </si>
  <si>
    <t>3030054 PL 180G 2,10L GRIS PERLA DV U</t>
  </si>
  <si>
    <t>3030052 CM 200G 2,10L NEGRO DV U</t>
  </si>
  <si>
    <t>3030050 PL 180G 2,10L CAQUI DV U</t>
  </si>
  <si>
    <t>3030032 CM 200G 2,10L BLANCO DV U</t>
  </si>
  <si>
    <t>3030040 PL 160G 2,10L NEGRO DV U</t>
  </si>
  <si>
    <t>3030036 PL 160G 2,10L NEGRO DV U</t>
  </si>
  <si>
    <t>3030038 PL 160G 2,10L GRIS ESCURO DV U</t>
  </si>
  <si>
    <t>3030045 XN 200G 2,10L NEGRO DV U</t>
  </si>
  <si>
    <t>3030015 PL 160G 2,10L NEGRO DV U</t>
  </si>
  <si>
    <t>30300046 XN 200G 2,10L AZUL MARINO DV U</t>
  </si>
  <si>
    <t>3030069 CM 180G 2,20L NEGRO DV U</t>
  </si>
  <si>
    <t>3030055 CM 180G 2,20L NEGRO DV U</t>
  </si>
  <si>
    <t>3030056 CM 180G 2,20L ARENA DV U</t>
  </si>
  <si>
    <t>3030026 CM 200G 2,10L NEGRO DV U</t>
  </si>
  <si>
    <t>2940059 TP ML 0071061 300G 2,20L DV U</t>
  </si>
  <si>
    <t>2940057 TP ML 0423021 300G 2,20L DV U</t>
  </si>
  <si>
    <t>2940060 TP ML 0260025 260G 2,20L DV U</t>
  </si>
  <si>
    <t>2940062 TP ML 0408051 300G 2,20L DV U</t>
  </si>
  <si>
    <t>2940063 TP ML 0239022 300G 2,20L DV U</t>
  </si>
  <si>
    <t>2940066 TP ML 0389031 320G 2,20L DV U</t>
  </si>
  <si>
    <t>2940061 TP ML 0269041 300G 2,20L DV U</t>
  </si>
  <si>
    <t>2940064 TP ML 0416061 300G 2,20L DV U</t>
  </si>
  <si>
    <t>2940065 TP ML 0441041 320G 2,20L DV U</t>
  </si>
  <si>
    <t>3260021 TP ML 0147125 220G 2,20L DV U</t>
  </si>
  <si>
    <t>3260020 TP ML 0291084 280G 2,20L DV U</t>
  </si>
  <si>
    <t>3260018 TP ML 0304002 280G 2,20L DV U</t>
  </si>
  <si>
    <t>3260019 TP ML 0274055 220G 2,20L DV U</t>
  </si>
  <si>
    <t>3260016 TP ML  A10016 220G 2,20L DV U</t>
  </si>
  <si>
    <t>3260017 TP ML A10230 220G 2,20L DV U</t>
  </si>
  <si>
    <t>ANO/MÊS</t>
  </si>
  <si>
    <t xml:space="preserve">COLCHÃO M.E. COMPL </t>
  </si>
  <si>
    <t>DIFERENCA DE REALINHAMENTO DE PRECO COMPLEMENTO U</t>
  </si>
  <si>
    <t>3470004 TP ML A10097 240G 2,30L DV U</t>
  </si>
  <si>
    <t>3470005 TP ML A10101 240G 2,30L DV U</t>
  </si>
  <si>
    <t>AÑOS</t>
  </si>
  <si>
    <t>mes</t>
  </si>
  <si>
    <t>2021-2024</t>
  </si>
  <si>
    <t>SERVAN EXPORTADORA</t>
  </si>
  <si>
    <t>3560001 TP ML 0347024 280G 2,20L DV U</t>
  </si>
  <si>
    <t>3560002 TP ML 0156004 280G 2,20L DV U</t>
  </si>
  <si>
    <t>3560003 TP ML 0156014 280G 2,20L DV U</t>
  </si>
  <si>
    <t>CAFE PUFF ONDAS DV U</t>
  </si>
  <si>
    <t xml:space="preserve">MULTIESPUMAS VISCARRA </t>
  </si>
  <si>
    <t>FRAZADAS ARTESANALES SAC</t>
  </si>
  <si>
    <t xml:space="preserve">PERU </t>
  </si>
  <si>
    <t>2860006 TP ML 360G 2,10L DV U</t>
  </si>
  <si>
    <t>2860017 TP ML 0091012 280G 2,20L DV U</t>
  </si>
  <si>
    <t>2860018 TP ML A10310 300G 2,20L DV U</t>
  </si>
  <si>
    <t>2730008 TP ML A05853-B 180G 2,20L DV U</t>
  </si>
  <si>
    <t>2730007 TP ME AMOSTR DV U</t>
  </si>
  <si>
    <t>2730006 TP ML A05853    180G 2,20L DV U</t>
  </si>
  <si>
    <t>2730005 TP ML A05853   180G 2,20L DV U</t>
  </si>
  <si>
    <t>3430001 TP ML 87052 220G 2,20L DV U</t>
  </si>
  <si>
    <t>3570007 TP ML 0270081 200G 2,10L DV U</t>
  </si>
  <si>
    <t>3570015 TP ML 0399031 200G 2,10L DV U</t>
  </si>
  <si>
    <t>3570014 TP ML 0411041 200G 2,10L DV U</t>
  </si>
  <si>
    <t>3570013 TP ML 0416071 200G 2,10L DV U</t>
  </si>
  <si>
    <t>3570010 TP ML 0473003 180G 2,10L DV U</t>
  </si>
  <si>
    <t>3570009 TP ML A10344 200G 2,10L DV U</t>
  </si>
  <si>
    <t>3570001 TP ML 0071071 200G 2,10L DV U</t>
  </si>
  <si>
    <t>3570006 TP ML 0262041 200G 2,10L DV U</t>
  </si>
  <si>
    <t>3570005 TP ML 0080081 200G 2,10L DV U</t>
  </si>
  <si>
    <t>3570004 TP ML 0074201 200G 2,10L DV U</t>
  </si>
  <si>
    <t>3570003 TP ML 0073101 200G 2,10L DV U</t>
  </si>
  <si>
    <t>3570002 TP ML 0072101 200G 2,10L DV U</t>
  </si>
  <si>
    <t>IMPORTADORA TERRA</t>
  </si>
  <si>
    <t>PERU</t>
  </si>
  <si>
    <t>3030072 TP ML 0149003 180G 2,10L DV U</t>
  </si>
  <si>
    <t>3570012 TP ML 0211013 180G 2,10L DV U</t>
  </si>
  <si>
    <t>3570011 TP ML 0388043 180G 2,10L DV U</t>
  </si>
  <si>
    <t>3570008 TP ML 0411051 200G 2,10L DV U</t>
  </si>
  <si>
    <t>3030070 TP ML 0253003 180G 2,10L DV U</t>
  </si>
  <si>
    <t>3030071 TP ML 0071013 180G 2,10L DV U</t>
  </si>
  <si>
    <t>3580003 TP ML 0245005 260G 2,20L DV U</t>
  </si>
  <si>
    <t>3580004 TP ML 0524004 440G 2,20L DV U</t>
  </si>
  <si>
    <t>3580002 TP ML 0153011 240G 2,20L DV U</t>
  </si>
  <si>
    <t>3580001 TP ML A10390 220G 2,10L DV U</t>
  </si>
  <si>
    <t>2860019 TP ML 0427001 400G 2,20L DV U</t>
  </si>
  <si>
    <t>2860020 TP ML 0414001 380G 2,20L DV U</t>
  </si>
  <si>
    <t>2860021 TP ML 0354001 380G 2,30L DV U</t>
  </si>
  <si>
    <t>vs YA</t>
  </si>
  <si>
    <t>vs. YA</t>
  </si>
  <si>
    <t>TOP</t>
  </si>
  <si>
    <t>GRAPHS</t>
  </si>
  <si>
    <t>LAMITEX S.A.</t>
  </si>
  <si>
    <t>COLCHONES DEL PARAGUAY S.R.L.</t>
  </si>
  <si>
    <t>3590004 TP ML 0461031 340G 2,20L DV U</t>
  </si>
  <si>
    <t>3590008 TP ML A10399 180G 2,10L DV U</t>
  </si>
  <si>
    <t>3590007 TP ML A10136 200G 2,20L DV U</t>
  </si>
  <si>
    <t>3590006 TP ML A10156 220G 2,20L DV U</t>
  </si>
  <si>
    <t>3590005 TP ML 0416001 240G 2,20L DV U</t>
  </si>
  <si>
    <t>3590003 TP ML 0271001 340G 2,20L DV U</t>
  </si>
  <si>
    <t>3590002 TP ML 0246015 340G 2,20L DV U</t>
  </si>
  <si>
    <t>3590009 TP ML A10402 200G 2,10L DV U</t>
  </si>
  <si>
    <t>3590001 TP ML A06917 440G 2,20L DV U</t>
  </si>
  <si>
    <t>3480004 TP 292021 - 88201 - 160G 2,20L DV U</t>
  </si>
  <si>
    <t>2940034 TP ML 0408041 180G 2,20L DV U</t>
  </si>
  <si>
    <t>340047 TP ML 0091012 280G 2,20L DV U</t>
  </si>
  <si>
    <t>340048 TP ML 0245031 - 280G 2,20L DV U</t>
  </si>
  <si>
    <t>340046 TP ML 0091052 280G 2,20L DV U</t>
  </si>
  <si>
    <t>340044 TP 0121065 280G 2,20L DV U</t>
  </si>
  <si>
    <t>110013 - C TAMPO AX GOLD CHAMPAGNE (A017 DIVERSAS U</t>
  </si>
  <si>
    <t>280018 TP ML FOLHAS 300G 2,30L DIVERSAS U</t>
  </si>
  <si>
    <t>2620001 - TEC, TAMPO HARMONY MLH008 380 DIVERSAS U</t>
  </si>
  <si>
    <t>2810014 TP ML A10411 320G 2,20L DV U</t>
  </si>
  <si>
    <t>2026 vs. 2025</t>
  </si>
  <si>
    <t>Suma de Valor (total R$)</t>
  </si>
  <si>
    <t>CLIENTES TOP-10 / MÊS</t>
  </si>
  <si>
    <t>CLIENTES TOP-10/ MÊS</t>
  </si>
  <si>
    <t>MTS</t>
  </si>
  <si>
    <t xml:space="preserve">VALOR </t>
  </si>
  <si>
    <t>LIMANSKY S.A.</t>
  </si>
  <si>
    <t>3610004 TP ML 0403034 240G 2,20L DV U</t>
  </si>
  <si>
    <t>3610007 TP ML 0558004 380G 2,20L DV U</t>
  </si>
  <si>
    <t>3610006 TP ML A10418 180G 2,10L DV U</t>
  </si>
  <si>
    <t>3610005 TP ML 0566001 220G 2,20L DV U</t>
  </si>
  <si>
    <t>3610003 TP ML A10420 360G 2,20L DV U</t>
  </si>
  <si>
    <t>3610002 TP ML 0555004 280G 2,20L DV U</t>
  </si>
  <si>
    <t>3610001 TP ML 0552001 280G 2,20L DV U</t>
  </si>
  <si>
    <t>2940083 TP ML 0446031 180G 2,20L DV U</t>
  </si>
  <si>
    <t>2940085 TP ML 0251021 180G 2,20L DV U</t>
  </si>
  <si>
    <t>2940084 TP ML 0399041 180G 2,20L DV U</t>
  </si>
  <si>
    <t>2940080 TP ML 0264011 180G 2,20L DV U</t>
  </si>
  <si>
    <t>2940082 TP ML 0260011 180G 2,20L DV U</t>
  </si>
  <si>
    <t>2940081 TP ML 0262031 180G 2,20L DV U</t>
  </si>
  <si>
    <t>2940079 TP ML 0269021 180G 2,20L DV U</t>
  </si>
  <si>
    <t>2940086 TP ML 0240031 180G 2,20L DV U</t>
  </si>
  <si>
    <t>2940087 TP ML 0239031 180G 2,20L DV U</t>
  </si>
  <si>
    <t>2940088 TP ML 0157001 180G 2,20L DV U</t>
  </si>
  <si>
    <t>2940089 TP ML 0149111 180G 2,20L DV U</t>
  </si>
  <si>
    <t>2940090 TP ML 0148081 180G 2,20L DV U</t>
  </si>
  <si>
    <t>2940091 TP ML 0246001 180G 2,20L DV U</t>
  </si>
  <si>
    <t>2940073 TP ML 0486001 180G 2,20L DV U</t>
  </si>
  <si>
    <t>2940071 TP ML 0513001 180G 2,20L DV U</t>
  </si>
  <si>
    <t>2940068 TP ML 0521051 180G 2,20L DV U</t>
  </si>
  <si>
    <t>2940069 TP ML 0515011 180G 2,20L DV U</t>
  </si>
  <si>
    <t>2940070 TP ML 0514001 180G 2,20L DV U</t>
  </si>
  <si>
    <t>2940078 TP ML 0269021 180G 2,20L DV U</t>
  </si>
  <si>
    <t>2940072 TP ML 0488001 180G 2,20L DV U</t>
  </si>
  <si>
    <t>2940074 TP ML 0434001 180G 2,20L DV U</t>
  </si>
  <si>
    <t>2940075 TP ML 0418041 180G 2,20L DV U</t>
  </si>
  <si>
    <t>2940076 TP ML 0416091 180G 2,20L DV U</t>
  </si>
  <si>
    <t>2940077 TP ML 0302041 180G 2,20L DV U</t>
  </si>
  <si>
    <t>New</t>
  </si>
  <si>
    <t>Total general</t>
  </si>
  <si>
    <t>Total 2026</t>
  </si>
  <si>
    <t>Total 2025</t>
  </si>
  <si>
    <t>TEXTIL FIBREX</t>
  </si>
  <si>
    <t>3630001 TP ML A03174 200G 2,20L DV U</t>
  </si>
  <si>
    <t>3630002 TP ML A10467 180G 2,20L DV U</t>
  </si>
  <si>
    <t>3630003 TP ML A10466 400G 2,30L DV U</t>
  </si>
  <si>
    <t>3520006 TP ML 0514011 220G 2,20L DV U</t>
  </si>
  <si>
    <t>3520005 TP ML 0454034 280G 2,20L DV U</t>
  </si>
  <si>
    <t>3520001 TP ML 0074161 180G 2,20L DV U</t>
  </si>
  <si>
    <t>3520004 TP ML 0092193 160G 2,10L DV U</t>
  </si>
  <si>
    <t>3520003 TP ML 0010181 180G 2,20L DV U</t>
  </si>
  <si>
    <t>(Varios elementos)</t>
  </si>
  <si>
    <t>**COLOCAR EL PAÍS DESEADO PARA ANÁLISIS ESPORÁDICOS**</t>
  </si>
  <si>
    <t>**PARA ANALISIS EXPORADICOS - ESCOGER EL CLIENTE DESEADO**</t>
  </si>
  <si>
    <t>3370012 TP ML 0536016 180G 2,10L DV U</t>
  </si>
  <si>
    <t>3610008 TP ML A10512 400G 2,20L DV U</t>
  </si>
  <si>
    <t>2540037 TP ML A10518 460G 2,20L DV U</t>
  </si>
  <si>
    <t>AMAZHEL TEC NIPONA</t>
  </si>
  <si>
    <t>0521101 TP ME AMOSTR DV U</t>
  </si>
  <si>
    <t>3390015 TP ML A10496 180G 2,10L DV U</t>
  </si>
  <si>
    <t>3370013 TP ML 0074211 180G 2,20L DV U</t>
  </si>
  <si>
    <t>Suma 2026</t>
  </si>
  <si>
    <t>ATLAS COLCHONES</t>
  </si>
  <si>
    <t>VERZAZELLE LLC IND REGAL</t>
  </si>
  <si>
    <t xml:space="preserve">VISCARRA </t>
  </si>
  <si>
    <t xml:space="preserve"> HERALDO CASTRO PALMA (MANTAHUE SPA)</t>
  </si>
  <si>
    <t>3650005 TP ML 0276005 280G 2,20L DV U</t>
  </si>
  <si>
    <t>3650012 TP ML A10524 180G 2,10L DV U</t>
  </si>
  <si>
    <t>3650010 TP ML A10522 180G 2,10L DV U</t>
  </si>
  <si>
    <t>3650011 TP ML A10523 180G 2,10L DV U</t>
  </si>
  <si>
    <t>3650004 TP ML 0284001 380G 2,20L DV U</t>
  </si>
  <si>
    <t>3650003 TP ML 0274005 280G 2,20L DV U</t>
  </si>
  <si>
    <t>3650002 TP ML 0271001 360G 2,20L DV U</t>
  </si>
  <si>
    <t>3650001 TP ML 0146004 340G 2,20L DV U</t>
  </si>
  <si>
    <t>3390013 TP ML 0269121 220G 2,20L DV U</t>
  </si>
  <si>
    <t>3390014 TP ML 0066041 220G 2,20L DV U</t>
  </si>
  <si>
    <t>3390016 TP ML A10519 260G 2,20L DV U</t>
  </si>
  <si>
    <t>3670002 TP ML 0068016 180G 2,10L DV U</t>
  </si>
  <si>
    <t>3670001 TP ML 0067006 180G 2,10L DV U</t>
  </si>
  <si>
    <t>3570025 TP ML 0067011 180G 2,20L DV U</t>
  </si>
  <si>
    <t>3570024 TP ML 0066071 180G 2,20L DV U</t>
  </si>
  <si>
    <t>3570027 TP ML 0066081 180G 2,20L DV U</t>
  </si>
  <si>
    <t>3570035 TP ML 0012081 180G 2,20L DV U</t>
  </si>
  <si>
    <t>3570032 TP ML 0012071 180G 2,20L DV U</t>
  </si>
  <si>
    <t>3570033 TP ML 0012051 180G 2,20L DV U</t>
  </si>
  <si>
    <t>3570040 TP ML 0274071 180G 2,20L DV U</t>
  </si>
  <si>
    <t>3570037 TP ML 0392031 180G 2,20L DV U</t>
  </si>
  <si>
    <t>3570023 TP ML 0071121 180G 2,20L DV U</t>
  </si>
  <si>
    <t>3570020 TP ML 0071111 180G 2,20L DV U</t>
  </si>
  <si>
    <t>3570022 TP ML 0071101 180G 2,20L DV U</t>
  </si>
  <si>
    <t>3570028 TP ML 0017041 180G 2,20L DV U</t>
  </si>
  <si>
    <t>3570031 TP ML 0017051 180G 2,20L DV U</t>
  </si>
  <si>
    <t>3570045 TP ML 0705021 180G 2,10L DV U</t>
  </si>
  <si>
    <t>3570044 TP ML 0705011 180G 2,10L DV U</t>
  </si>
  <si>
    <t>3570042 TP ML 0274061 180G 2,20L DV U</t>
  </si>
  <si>
    <t>410006 - B TAMPO 200,037 - MALHA PRES, C DIVERSAS U</t>
  </si>
  <si>
    <t>21706 TAMPO TRACEJADO CINZA (A04041) DIVERSAS U</t>
  </si>
  <si>
    <t>2300007 TP ML GEOM MESC 230G 2,10L DIVERSAS U</t>
  </si>
  <si>
    <t>2870007 TP ML A10034 220G 2,20L DV U</t>
  </si>
  <si>
    <t>3570038 TP ML 0392041 180G 2,20L DV U</t>
  </si>
  <si>
    <t>3570019 TP ML 0256121 180G 2,20L DV U</t>
  </si>
  <si>
    <t>3570016 TP ML 0256111 180G 2,20L DV U</t>
  </si>
  <si>
    <t>3570018 TP ML 0256101 180G 2,20L DV U</t>
  </si>
  <si>
    <t>3570017 TP ML 0256091 180G 2,20L DV U</t>
  </si>
  <si>
    <t>3570039 TP ML 0392031 180G 2,20L DV U</t>
  </si>
  <si>
    <t>3570036 TP ML 0392051 180G 2,20L DV U</t>
  </si>
  <si>
    <t>3420005 TP ML 0594001 300G 2,20L DV U</t>
  </si>
  <si>
    <t>3420004 TP ML A10529 420G 2,20L DV U</t>
  </si>
  <si>
    <t>3420003 TP ML A10539 420G 2,20L DV U</t>
  </si>
  <si>
    <t>3420002 TP ML A10540 420G 2,20L DV U</t>
  </si>
  <si>
    <t>TOP 10</t>
  </si>
  <si>
    <t>SKU</t>
  </si>
  <si>
    <t>CLIENTE / SKU</t>
  </si>
  <si>
    <t>CLIENTE  / SKU</t>
  </si>
  <si>
    <t>CLIENTE/ SKU / VOLUME</t>
  </si>
  <si>
    <t>CLIENTE/SKU/VALOR</t>
  </si>
  <si>
    <t>PAIS EXTERIOR/ MERCADO</t>
  </si>
  <si>
    <t>PAIS EXTERIOR/MERCADO</t>
  </si>
  <si>
    <t>VALOR X SKU</t>
  </si>
  <si>
    <t>Suma 2025</t>
  </si>
  <si>
    <t>GRUPO SUENOLAR  YP S.A.</t>
  </si>
  <si>
    <t>GRUPO TERRA COLCHONES</t>
  </si>
  <si>
    <t>MANTAHUE SPA</t>
  </si>
  <si>
    <t>3030074 TP ML 0679011 180G 2,10L DV U</t>
  </si>
  <si>
    <t>3030073 TP ML A10579 180G 2,10L DV U</t>
  </si>
  <si>
    <t>3660001 TP ML 0613021 260G 2,20L DV U</t>
  </si>
  <si>
    <t>3660002 TP ML 0641014 280G 2,20L DV U</t>
  </si>
  <si>
    <t>3660004 TP ML 0629011 220G 2,20L DV U</t>
  </si>
  <si>
    <t>3660006 TP ML 0132054 280G 2,20L DV U</t>
  </si>
  <si>
    <t>2860006 TP ML 260G 2,10L DV U</t>
  </si>
  <si>
    <t>MULTIESPUMAS VISCARRA SRL</t>
  </si>
  <si>
    <t>COLOR LIVING</t>
  </si>
  <si>
    <t>HISTORICAL DATA / 2024 - 2026  / VALUE &amp; VOLUME</t>
  </si>
  <si>
    <t>CALENDAR YEAR (CY) 2026 vs. SAME PERIOD YEAR (SPYA)</t>
  </si>
  <si>
    <t>SEP'26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</si>
</sst>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9"/>
      <color rgb="FF388600"/>
      <name val="Calibri"/>
      <family val="2"/>
      <scheme val="minor"/>
    </font>
    <font>
      <sz val="11"/>
      <color rgb="FF3886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C8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6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  <xf numFmtId="4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left"/>
    </xf>
    <xf numFmtId="9" fontId="0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/>
    <xf numFmtId="4" fontId="9" fillId="0" borderId="0" xfId="0" applyNumberFormat="1" applyFont="1" applyAlignment="1">
      <alignment horizontal="left"/>
    </xf>
    <xf numFmtId="0" fontId="7" fillId="0" borderId="0" xfId="0" applyFont="1"/>
    <xf numFmtId="0" fontId="0" fillId="3" borderId="0" xfId="0" applyFill="1"/>
    <xf numFmtId="0" fontId="0" fillId="2" borderId="0" xfId="0" applyFill="1"/>
    <xf numFmtId="0" fontId="0" fillId="4" borderId="0" xfId="0" applyFill="1"/>
    <xf numFmtId="4" fontId="0" fillId="4" borderId="0" xfId="0" applyNumberFormat="1" applyFill="1"/>
    <xf numFmtId="0" fontId="0" fillId="5" borderId="0" xfId="0" applyFill="1"/>
    <xf numFmtId="43" fontId="0" fillId="0" borderId="0" xfId="2" applyFont="1"/>
    <xf numFmtId="0" fontId="11" fillId="2" borderId="0" xfId="0" applyFont="1" applyFill="1"/>
    <xf numFmtId="0" fontId="0" fillId="0" borderId="0" xfId="0" pivotButton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4" fillId="0" borderId="0" xfId="0" applyFont="1" applyAlignment="1">
      <alignment horizontal="left"/>
    </xf>
    <xf numFmtId="4" fontId="4" fillId="0" borderId="0" xfId="0" applyNumberFormat="1" applyFont="1"/>
    <xf numFmtId="4" fontId="5" fillId="0" borderId="0" xfId="0" applyNumberFormat="1" applyFont="1"/>
    <xf numFmtId="0" fontId="11" fillId="0" borderId="0" xfId="0" applyFont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 applyAlignment="1">
      <alignment horizontal="left"/>
    </xf>
    <xf numFmtId="4" fontId="4" fillId="0" borderId="0" xfId="0" applyNumberFormat="1" applyFont="1" applyAlignment="1">
      <alignment horizontal="center"/>
    </xf>
    <xf numFmtId="0" fontId="6" fillId="0" borderId="0" xfId="0" applyFont="1"/>
    <xf numFmtId="4" fontId="1" fillId="0" borderId="0" xfId="0" applyNumberFormat="1" applyFont="1" applyAlignment="1">
      <alignment horizontal="right"/>
    </xf>
    <xf numFmtId="9" fontId="0" fillId="0" borderId="0" xfId="1" applyFont="1"/>
    <xf numFmtId="3" fontId="1" fillId="0" borderId="0" xfId="0" applyNumberFormat="1" applyFont="1" applyAlignment="1">
      <alignment horizontal="right"/>
    </xf>
    <xf numFmtId="2" fontId="0" fillId="0" borderId="0" xfId="1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9" fontId="7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3" fontId="0" fillId="6" borderId="0" xfId="0" applyNumberFormat="1" applyFill="1" applyAlignment="1">
      <alignment horizontal="center"/>
    </xf>
    <xf numFmtId="4" fontId="0" fillId="6" borderId="0" xfId="0" applyNumberFormat="1" applyFill="1" applyAlignment="1">
      <alignment horizontal="center"/>
    </xf>
    <xf numFmtId="0" fontId="5" fillId="0" borderId="0" xfId="0" applyFont="1" applyAlignment="1">
      <alignment horizontal="left"/>
    </xf>
    <xf numFmtId="9" fontId="12" fillId="0" borderId="0" xfId="1" applyFont="1" applyAlignment="1">
      <alignment horizontal="center"/>
    </xf>
    <xf numFmtId="0" fontId="4" fillId="4" borderId="0" xfId="0" applyFont="1" applyFill="1"/>
    <xf numFmtId="0" fontId="0" fillId="5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9" fontId="8" fillId="0" borderId="0" xfId="1" applyFont="1" applyAlignment="1">
      <alignment horizontal="center"/>
    </xf>
    <xf numFmtId="9" fontId="13" fillId="0" borderId="0" xfId="1" applyFont="1" applyAlignment="1">
      <alignment horizontal="center"/>
    </xf>
    <xf numFmtId="0" fontId="13" fillId="0" borderId="0" xfId="0" applyFont="1"/>
    <xf numFmtId="0" fontId="12" fillId="0" borderId="0" xfId="0" applyFont="1"/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0" xfId="0" applyFill="1" applyAlignment="1">
      <alignment horizontal="left"/>
    </xf>
    <xf numFmtId="0" fontId="1" fillId="8" borderId="0" xfId="0" applyFont="1" applyFill="1"/>
    <xf numFmtId="0" fontId="0" fillId="9" borderId="0" xfId="0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/>
    </xf>
    <xf numFmtId="43" fontId="0" fillId="0" borderId="0" xfId="0" applyNumberFormat="1"/>
    <xf numFmtId="4" fontId="7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14" fillId="0" borderId="0" xfId="0" applyFont="1"/>
    <xf numFmtId="0" fontId="0" fillId="10" borderId="0" xfId="0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left"/>
    </xf>
    <xf numFmtId="9" fontId="15" fillId="0" borderId="0" xfId="1" applyFont="1" applyAlignment="1">
      <alignment horizontal="center"/>
    </xf>
    <xf numFmtId="43" fontId="0" fillId="9" borderId="0" xfId="0" applyNumberFormat="1" applyFill="1"/>
    <xf numFmtId="4" fontId="16" fillId="0" borderId="0" xfId="0" applyNumberFormat="1" applyFont="1" applyAlignment="1">
      <alignment horizontal="right"/>
    </xf>
    <xf numFmtId="4" fontId="16" fillId="0" borderId="0" xfId="0" applyNumberFormat="1" applyFont="1" applyAlignment="1">
      <alignment horizontal="left"/>
    </xf>
    <xf numFmtId="4" fontId="17" fillId="0" borderId="0" xfId="0" applyNumberFormat="1" applyFont="1" applyAlignment="1">
      <alignment horizontal="right"/>
    </xf>
    <xf numFmtId="9" fontId="18" fillId="0" borderId="0" xfId="1" applyFont="1" applyAlignment="1">
      <alignment horizontal="center"/>
    </xf>
    <xf numFmtId="9" fontId="19" fillId="0" borderId="0" xfId="1" applyFont="1" applyAlignment="1">
      <alignment horizontal="center"/>
    </xf>
    <xf numFmtId="9" fontId="19" fillId="0" borderId="0" xfId="1" applyFont="1"/>
    <xf numFmtId="43" fontId="0" fillId="3" borderId="0" xfId="0" applyNumberFormat="1" applyFill="1"/>
    <xf numFmtId="0" fontId="15" fillId="0" borderId="0" xfId="0" applyFont="1" applyAlignment="1">
      <alignment horizontal="left"/>
    </xf>
    <xf numFmtId="3" fontId="4" fillId="0" borderId="0" xfId="0" applyNumberFormat="1" applyFont="1" applyAlignment="1">
      <alignment horizontal="center"/>
    </xf>
    <xf numFmtId="0" fontId="20" fillId="0" borderId="0" xfId="0" applyFont="1"/>
    <xf numFmtId="9" fontId="20" fillId="0" borderId="0" xfId="1" applyFont="1" applyAlignment="1">
      <alignment horizontal="center"/>
    </xf>
    <xf numFmtId="9" fontId="20" fillId="0" borderId="0" xfId="1" applyFont="1"/>
    <xf numFmtId="0" fontId="21" fillId="0" borderId="0" xfId="0" applyFont="1" applyAlignment="1">
      <alignment horizontal="left"/>
    </xf>
    <xf numFmtId="0" fontId="22" fillId="0" borderId="0" xfId="3" applyAlignment="1">
      <alignment horizontal="center"/>
    </xf>
    <xf numFmtId="0" fontId="23" fillId="0" borderId="0" xfId="0" applyFont="1"/>
    <xf numFmtId="0" fontId="22" fillId="0" borderId="0" xfId="3"/>
    <xf numFmtId="0" fontId="4" fillId="0" borderId="0" xfId="0" applyFont="1"/>
    <xf numFmtId="0" fontId="4" fillId="0" borderId="0" xfId="0" applyFont="1" applyAlignment="1">
      <alignment horizontal="center"/>
    </xf>
    <xf numFmtId="0" fontId="2" fillId="2" borderId="0" xfId="0" applyFont="1" applyFill="1"/>
    <xf numFmtId="4" fontId="24" fillId="0" borderId="0" xfId="0" applyNumberFormat="1" applyFont="1" applyAlignment="1">
      <alignment horizontal="left"/>
    </xf>
    <xf numFmtId="0" fontId="21" fillId="0" borderId="0" xfId="0" applyFont="1"/>
    <xf numFmtId="9" fontId="21" fillId="0" borderId="0" xfId="1" applyFont="1"/>
    <xf numFmtId="9" fontId="21" fillId="0" borderId="0" xfId="1" applyFont="1" applyAlignment="1">
      <alignment horizontal="left"/>
    </xf>
    <xf numFmtId="9" fontId="20" fillId="0" borderId="0" xfId="1" applyFont="1" applyAlignment="1">
      <alignment horizontal="left"/>
    </xf>
    <xf numFmtId="9" fontId="1" fillId="0" borderId="0" xfId="1" applyFont="1"/>
    <xf numFmtId="3" fontId="0" fillId="0" borderId="0" xfId="0" pivotButton="1" applyNumberFormat="1" applyAlignment="1">
      <alignment horizontal="center"/>
    </xf>
    <xf numFmtId="3" fontId="0" fillId="2" borderId="0" xfId="0" applyNumberFormat="1" applyFill="1" applyAlignment="1">
      <alignment horizontal="center"/>
    </xf>
    <xf numFmtId="0" fontId="22" fillId="0" borderId="0" xfId="3" applyFill="1" applyAlignment="1">
      <alignment horizontal="center"/>
    </xf>
    <xf numFmtId="9" fontId="15" fillId="0" borderId="0" xfId="1" applyFont="1"/>
    <xf numFmtId="0" fontId="26" fillId="0" borderId="0" xfId="0" applyFont="1"/>
    <xf numFmtId="0" fontId="0" fillId="2" borderId="0" xfId="0" applyFill="1" applyAlignment="1">
      <alignment horizontal="center"/>
    </xf>
    <xf numFmtId="4" fontId="1" fillId="0" borderId="0" xfId="0" applyNumberFormat="1" applyFont="1" applyAlignment="1">
      <alignment horizontal="center"/>
    </xf>
    <xf numFmtId="2" fontId="0" fillId="4" borderId="0" xfId="0" applyNumberFormat="1" applyFill="1"/>
    <xf numFmtId="2" fontId="0" fillId="0" borderId="0" xfId="0" applyNumberFormat="1"/>
    <xf numFmtId="9" fontId="15" fillId="0" borderId="0" xfId="1" applyFont="1" applyAlignment="1">
      <alignment horizontal="left"/>
    </xf>
    <xf numFmtId="0" fontId="15" fillId="0" borderId="0" xfId="0" applyFont="1"/>
    <xf numFmtId="3" fontId="0" fillId="11" borderId="0" xfId="0" applyNumberFormat="1" applyFill="1" applyAlignment="1">
      <alignment horizontal="center"/>
    </xf>
    <xf numFmtId="3" fontId="4" fillId="0" borderId="0" xfId="0" applyNumberFormat="1" applyFont="1"/>
    <xf numFmtId="3" fontId="5" fillId="0" borderId="0" xfId="0" applyNumberFormat="1" applyFont="1"/>
    <xf numFmtId="3" fontId="5" fillId="0" borderId="0" xfId="0" applyNumberFormat="1" applyFont="1" applyAlignment="1">
      <alignment horizontal="center"/>
    </xf>
    <xf numFmtId="0" fontId="28" fillId="0" borderId="0" xfId="0" applyFont="1" applyAlignment="1">
      <alignment horizontal="left"/>
    </xf>
    <xf numFmtId="0" fontId="25" fillId="11" borderId="0" xfId="0" applyFont="1" applyFill="1"/>
    <xf numFmtId="0" fontId="27" fillId="11" borderId="0" xfId="0" applyFont="1" applyFill="1"/>
    <xf numFmtId="0" fontId="0" fillId="11" borderId="0" xfId="0" applyFill="1" applyAlignment="1">
      <alignment horizontal="center"/>
    </xf>
    <xf numFmtId="2" fontId="0" fillId="3" borderId="0" xfId="0" applyNumberFormat="1" applyFill="1"/>
    <xf numFmtId="4" fontId="1" fillId="2" borderId="0" xfId="0" applyNumberFormat="1" applyFont="1" applyFill="1"/>
    <xf numFmtId="4" fontId="0" fillId="3" borderId="0" xfId="0" applyNumberFormat="1" applyFill="1"/>
    <xf numFmtId="4" fontId="0" fillId="0" borderId="0" xfId="2" applyNumberFormat="1" applyFont="1"/>
    <xf numFmtId="4" fontId="4" fillId="4" borderId="0" xfId="0" applyNumberFormat="1" applyFont="1" applyFill="1"/>
    <xf numFmtId="4" fontId="0" fillId="7" borderId="0" xfId="0" applyNumberFormat="1" applyFill="1"/>
    <xf numFmtId="4" fontId="0" fillId="9" borderId="0" xfId="0" applyNumberFormat="1" applyFill="1"/>
    <xf numFmtId="4" fontId="0" fillId="10" borderId="0" xfId="0" applyNumberFormat="1" applyFill="1"/>
    <xf numFmtId="3" fontId="1" fillId="2" borderId="0" xfId="0" applyNumberFormat="1" applyFont="1" applyFill="1"/>
    <xf numFmtId="3" fontId="0" fillId="3" borderId="0" xfId="0" applyNumberFormat="1" applyFill="1"/>
    <xf numFmtId="3" fontId="0" fillId="4" borderId="0" xfId="0" applyNumberFormat="1" applyFill="1"/>
    <xf numFmtId="3" fontId="4" fillId="4" borderId="0" xfId="0" applyNumberFormat="1" applyFont="1" applyFill="1"/>
    <xf numFmtId="3" fontId="0" fillId="7" borderId="0" xfId="0" applyNumberFormat="1" applyFill="1"/>
    <xf numFmtId="3" fontId="0" fillId="9" borderId="0" xfId="0" applyNumberFormat="1" applyFill="1"/>
    <xf numFmtId="3" fontId="0" fillId="10" borderId="0" xfId="0" applyNumberFormat="1" applyFill="1"/>
    <xf numFmtId="3" fontId="0" fillId="0" borderId="0" xfId="2" applyNumberFormat="1" applyFont="1"/>
    <xf numFmtId="0" fontId="29" fillId="0" borderId="0" xfId="0" applyFont="1" applyAlignment="1">
      <alignment horizontal="left"/>
    </xf>
    <xf numFmtId="0" fontId="30" fillId="0" borderId="0" xfId="0" applyFont="1"/>
    <xf numFmtId="0" fontId="1" fillId="12" borderId="0" xfId="0" applyFont="1" applyFill="1" applyAlignment="1">
      <alignment horizontal="center"/>
    </xf>
    <xf numFmtId="0" fontId="2" fillId="0" borderId="0" xfId="0" applyFont="1"/>
    <xf numFmtId="0" fontId="1" fillId="0" borderId="0" xfId="0" pivotButton="1" applyFont="1"/>
    <xf numFmtId="0" fontId="6" fillId="0" borderId="0" xfId="0" applyFont="1" applyAlignment="1">
      <alignment horizontal="left"/>
    </xf>
    <xf numFmtId="4" fontId="5" fillId="0" borderId="0" xfId="0" applyNumberFormat="1" applyFont="1" applyAlignment="1">
      <alignment horizontal="center"/>
    </xf>
    <xf numFmtId="0" fontId="1" fillId="12" borderId="0" xfId="0" applyFont="1" applyFill="1" applyAlignment="1">
      <alignment horizontal="center"/>
    </xf>
    <xf numFmtId="4" fontId="0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4" fontId="0" fillId="0" borderId="0" xfId="0" applyNumberFormat="1" applyFont="1" applyAlignment="1">
      <alignment horizontal="center"/>
    </xf>
    <xf numFmtId="0" fontId="31" fillId="0" borderId="0" xfId="0" applyFont="1"/>
    <xf numFmtId="3" fontId="0" fillId="0" borderId="0" xfId="0" applyNumberFormat="1" applyFill="1" applyAlignment="1">
      <alignment horizontal="center"/>
    </xf>
    <xf numFmtId="4" fontId="0" fillId="0" borderId="0" xfId="0" applyNumberFormat="1" applyFill="1" applyAlignment="1">
      <alignment horizontal="center"/>
    </xf>
    <xf numFmtId="0" fontId="5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4" fontId="0" fillId="0" borderId="0" xfId="0" applyNumberFormat="1" applyFill="1" applyAlignment="1">
      <alignment horizontal="right"/>
    </xf>
    <xf numFmtId="4" fontId="0" fillId="6" borderId="0" xfId="0" applyNumberFormat="1" applyFont="1" applyFill="1" applyAlignment="1">
      <alignment horizontal="center"/>
    </xf>
    <xf numFmtId="3" fontId="0" fillId="0" borderId="0" xfId="0" applyNumberFormat="1" applyAlignment="1"/>
    <xf numFmtId="0" fontId="0" fillId="0" borderId="0" xfId="0" applyAlignment="1"/>
    <xf numFmtId="3" fontId="0" fillId="0" borderId="0" xfId="0" applyNumberFormat="1" applyFont="1" applyAlignment="1"/>
    <xf numFmtId="3" fontId="0" fillId="0" borderId="0" xfId="0" applyNumberFormat="1" applyFont="1" applyAlignment="1">
      <alignment horizontal="right"/>
    </xf>
    <xf numFmtId="3" fontId="0" fillId="0" borderId="0" xfId="0" applyNumberFormat="1" applyFill="1" applyAlignment="1"/>
    <xf numFmtId="3" fontId="0" fillId="0" borderId="0" xfId="0" applyNumberFormat="1" applyFont="1" applyFill="1" applyAlignment="1"/>
    <xf numFmtId="3" fontId="0" fillId="0" borderId="0" xfId="0" applyNumberFormat="1" applyFont="1" applyFill="1" applyAlignment="1">
      <alignment horizontal="center"/>
    </xf>
    <xf numFmtId="4" fontId="0" fillId="0" borderId="0" xfId="0" applyNumberFormat="1" applyFont="1" applyFill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3" fontId="1" fillId="0" borderId="0" xfId="0" applyNumberFormat="1" applyFont="1" applyFill="1" applyAlignment="1"/>
    <xf numFmtId="3" fontId="1" fillId="0" borderId="0" xfId="0" applyNumberFormat="1" applyFont="1" applyFill="1" applyAlignment="1">
      <alignment horizontal="center"/>
    </xf>
  </cellXfs>
  <cellStyles count="4">
    <cellStyle name="Hipervínculo" xfId="3" builtinId="8"/>
    <cellStyle name="Millares" xfId="2" builtinId="3"/>
    <cellStyle name="Normal" xfId="0" builtinId="0"/>
    <cellStyle name="Porcentaje" xfId="1" builtinId="5"/>
  </cellStyles>
  <dxfs count="2310"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00B050"/>
      </font>
    </dxf>
    <dxf>
      <font>
        <b/>
      </font>
    </dxf>
    <dxf>
      <fill>
        <patternFill patternType="solid">
          <bgColor rgb="FFFFFF00"/>
        </patternFill>
      </fill>
    </dxf>
    <dxf>
      <numFmt numFmtId="4" formatCode="#,##0.00"/>
    </dxf>
    <dxf>
      <font>
        <color auto="1"/>
      </font>
    </dxf>
    <dxf>
      <alignment horizontal="center"/>
    </dxf>
    <dxf>
      <font>
        <b/>
      </font>
    </dxf>
    <dxf>
      <font>
        <b val="0"/>
      </font>
    </dxf>
    <dxf>
      <font>
        <color auto="1"/>
      </font>
    </dxf>
    <dxf>
      <alignment horizontal="center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</font>
    </dxf>
    <dxf>
      <fill>
        <patternFill patternType="solid"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color auto="1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ont>
        <b val="0"/>
      </font>
    </dxf>
    <dxf>
      <font>
        <b/>
      </font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auto="1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color auto="1"/>
      </font>
    </dxf>
    <dxf>
      <numFmt numFmtId="3" formatCode="#,##0"/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ont>
        <b val="0"/>
      </font>
    </dxf>
    <dxf>
      <font>
        <b/>
      </font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ont>
        <b val="0"/>
      </font>
    </dxf>
    <dxf>
      <font>
        <b/>
      </font>
    </dxf>
    <dxf>
      <font>
        <b val="0"/>
      </font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numFmt numFmtId="4" formatCode="#,##0.00"/>
    </dxf>
    <dxf>
      <font>
        <b val="0"/>
      </font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00B050"/>
      </font>
    </dxf>
    <dxf>
      <numFmt numFmtId="1" formatCode="0"/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auto="1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00B050"/>
      </font>
    </dxf>
    <dxf>
      <numFmt numFmtId="4" formatCode="#,##0.00"/>
    </dxf>
    <dxf>
      <font>
        <color rgb="FF00B050"/>
      </font>
    </dxf>
    <dxf>
      <font>
        <b val="0"/>
      </font>
    </dxf>
    <dxf>
      <font>
        <b/>
      </font>
    </dxf>
    <dxf>
      <font>
        <b/>
      </font>
    </dxf>
    <dxf>
      <font>
        <color rgb="FF002060"/>
      </font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00B050"/>
      </font>
    </dxf>
    <dxf>
      <numFmt numFmtId="4" formatCode="#,##0.00"/>
    </dxf>
    <dxf>
      <font>
        <color rgb="FF00B050"/>
      </font>
    </dxf>
    <dxf>
      <font>
        <b val="0"/>
      </font>
    </dxf>
    <dxf>
      <font>
        <b/>
      </font>
    </dxf>
    <dxf>
      <font>
        <b/>
      </font>
    </dxf>
    <dxf>
      <font>
        <color rgb="FF00206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auto="1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00B050"/>
      </font>
    </dxf>
    <dxf>
      <numFmt numFmtId="4" formatCode="#,##0.00"/>
    </dxf>
    <dxf>
      <font>
        <color rgb="FF00B050"/>
      </font>
    </dxf>
    <dxf>
      <font>
        <b val="0"/>
      </font>
    </dxf>
    <dxf>
      <font>
        <b/>
      </font>
    </dxf>
    <dxf>
      <font>
        <b/>
      </font>
    </dxf>
    <dxf>
      <font>
        <color rgb="FF00206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auto="1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00B050"/>
      </font>
    </dxf>
    <dxf>
      <numFmt numFmtId="4" formatCode="#,##0.00"/>
    </dxf>
    <dxf>
      <font>
        <color rgb="FF00B050"/>
      </font>
    </dxf>
    <dxf>
      <font>
        <b val="0"/>
      </font>
    </dxf>
    <dxf>
      <font>
        <b/>
      </font>
    </dxf>
    <dxf>
      <font>
        <b/>
      </font>
    </dxf>
    <dxf>
      <font>
        <color rgb="FF00206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auto="1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auto="1"/>
      </font>
    </dxf>
    <dxf>
      <font>
        <b val="0"/>
      </font>
    </dxf>
    <dxf>
      <font>
        <b val="0"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b/>
      </font>
    </dxf>
    <dxf>
      <fill>
        <patternFill patternType="solid">
          <bgColor rgb="FFFFFF00"/>
        </patternFill>
      </fill>
    </dxf>
    <dxf>
      <numFmt numFmtId="4" formatCode="#,##0.00"/>
    </dxf>
    <dxf>
      <font>
        <b val="0"/>
      </font>
    </dxf>
    <dxf>
      <font>
        <b/>
      </font>
    </dxf>
    <dxf>
      <font>
        <color rgb="FF00206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00B050"/>
      </font>
    </dxf>
    <dxf>
      <font>
        <b/>
      </font>
    </dxf>
    <dxf>
      <fill>
        <patternFill patternType="solid">
          <bgColor rgb="FFFFFF00"/>
        </patternFill>
      </fill>
    </dxf>
    <dxf>
      <numFmt numFmtId="4" formatCode="#,##0.00"/>
    </dxf>
    <dxf>
      <font>
        <color auto="1"/>
      </font>
    </dxf>
    <dxf>
      <alignment horizontal="center"/>
    </dxf>
    <dxf>
      <font>
        <b/>
      </font>
    </dxf>
    <dxf>
      <font>
        <b val="0"/>
      </font>
    </dxf>
    <dxf>
      <font>
        <color auto="1"/>
      </font>
    </dxf>
    <dxf>
      <alignment horizontal="center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</font>
    </dxf>
    <dxf>
      <fill>
        <patternFill patternType="solid"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color auto="1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ont>
        <b val="0"/>
      </font>
    </dxf>
    <dxf>
      <font>
        <b/>
      </font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auto="1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color auto="1"/>
      </font>
    </dxf>
    <dxf>
      <numFmt numFmtId="3" formatCode="#,##0"/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ont>
        <b val="0"/>
      </font>
    </dxf>
    <dxf>
      <font>
        <b/>
      </font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none">
          <bgColor auto="1"/>
        </patternFill>
      </fill>
    </dxf>
    <dxf>
      <font>
        <b val="0"/>
      </font>
    </dxf>
    <dxf>
      <font>
        <b/>
      </font>
    </dxf>
    <dxf>
      <font>
        <b val="0"/>
      </font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numFmt numFmtId="4" formatCode="#,##0.00"/>
    </dxf>
    <dxf>
      <font>
        <b val="0"/>
      </font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00B050"/>
      </font>
    </dxf>
    <dxf>
      <numFmt numFmtId="1" formatCode="0"/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auto="1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00B050"/>
      </font>
    </dxf>
    <dxf>
      <numFmt numFmtId="4" formatCode="#,##0.00"/>
    </dxf>
    <dxf>
      <font>
        <color rgb="FF00B050"/>
      </font>
    </dxf>
    <dxf>
      <font>
        <b val="0"/>
      </font>
    </dxf>
    <dxf>
      <font>
        <b/>
      </font>
    </dxf>
    <dxf>
      <font>
        <b/>
      </font>
    </dxf>
    <dxf>
      <font>
        <color rgb="FF002060"/>
      </font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00B050"/>
      </font>
    </dxf>
    <dxf>
      <numFmt numFmtId="4" formatCode="#,##0.00"/>
    </dxf>
    <dxf>
      <font>
        <color rgb="FF00B050"/>
      </font>
    </dxf>
    <dxf>
      <font>
        <b val="0"/>
      </font>
    </dxf>
    <dxf>
      <font>
        <b/>
      </font>
    </dxf>
    <dxf>
      <font>
        <b/>
      </font>
    </dxf>
    <dxf>
      <font>
        <color rgb="FF00206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auto="1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00B050"/>
      </font>
    </dxf>
    <dxf>
      <numFmt numFmtId="4" formatCode="#,##0.00"/>
    </dxf>
    <dxf>
      <font>
        <color rgb="FF00B050"/>
      </font>
    </dxf>
    <dxf>
      <font>
        <b val="0"/>
      </font>
    </dxf>
    <dxf>
      <font>
        <b/>
      </font>
    </dxf>
    <dxf>
      <font>
        <b/>
      </font>
    </dxf>
    <dxf>
      <font>
        <color rgb="FF00206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auto="1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ill>
        <patternFill patternType="solid">
          <bgColor rgb="FFFFFF00"/>
        </patternFill>
      </fill>
    </dxf>
    <dxf>
      <font>
        <color rgb="FF00B050"/>
      </font>
    </dxf>
    <dxf>
      <numFmt numFmtId="4" formatCode="#,##0.00"/>
    </dxf>
    <dxf>
      <font>
        <color rgb="FF00B050"/>
      </font>
    </dxf>
    <dxf>
      <font>
        <b val="0"/>
      </font>
    </dxf>
    <dxf>
      <font>
        <b/>
      </font>
    </dxf>
    <dxf>
      <font>
        <b/>
      </font>
    </dxf>
    <dxf>
      <font>
        <color rgb="FF00206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auto="1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ont>
        <color auto="1"/>
      </font>
    </dxf>
    <dxf>
      <font>
        <b val="0"/>
      </font>
    </dxf>
    <dxf>
      <font>
        <b val="0"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b/>
      </font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B050"/>
      </font>
    </dxf>
    <dxf>
      <font>
        <b/>
      </font>
    </dxf>
    <dxf>
      <fill>
        <patternFill patternType="solid">
          <bgColor rgb="FFFFFF00"/>
        </patternFill>
      </fill>
    </dxf>
    <dxf>
      <numFmt numFmtId="4" formatCode="#,##0.00"/>
    </dxf>
    <dxf>
      <font>
        <b val="0"/>
      </font>
    </dxf>
    <dxf>
      <font>
        <b/>
      </font>
    </dxf>
    <dxf>
      <font>
        <color rgb="FF00206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theme="0" tint="-4.9989318521683403E-2"/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0" tint="-4.9989318521683403E-2"/>
          <bgColor theme="2"/>
        </patternFill>
      </fill>
    </dxf>
    <dxf>
      <fill>
        <patternFill patternType="solid">
          <fgColor theme="0" tint="-4.9989318521683403E-2"/>
          <bgColor theme="2"/>
        </patternFill>
      </fill>
    </dxf>
    <dxf>
      <fill>
        <patternFill patternType="none">
          <bgColor auto="1"/>
        </patternFill>
      </fill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ill>
        <patternFill patternType="none">
          <bgColor auto="1"/>
        </patternFill>
      </fill>
    </dxf>
    <dxf>
      <numFmt numFmtId="3" formatCode="#,##0"/>
    </dxf>
    <dxf>
      <numFmt numFmtId="4" formatCode="#,##0.0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CC"/>
        </patternFill>
      </fill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ont>
        <b val="0"/>
      </font>
    </dxf>
    <dxf>
      <font>
        <b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ill>
        <patternFill>
          <fgColor theme="5" tint="0.79998168889431442"/>
        </patternFill>
      </fill>
    </dxf>
    <dxf>
      <font>
        <b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fill>
        <patternFill patternType="solid">
          <bgColor rgb="FFFFC6C6"/>
        </patternFill>
      </fill>
    </dxf>
    <dxf>
      <numFmt numFmtId="3" formatCode="#,##0"/>
    </dxf>
    <dxf>
      <font>
        <color auto="1"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color auto="1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font>
        <b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auto="1"/>
      </font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/>
    </dxf>
    <dxf>
      <font>
        <color auto="1"/>
      </font>
    </dxf>
    <dxf>
      <font>
        <b val="0"/>
      </font>
    </dxf>
    <dxf>
      <font>
        <b/>
      </font>
    </dxf>
    <dxf>
      <alignment horizontal="center"/>
    </dxf>
    <dxf>
      <font>
        <color auto="1"/>
      </font>
    </dxf>
    <dxf>
      <numFmt numFmtId="4" formatCode="#,##0.00"/>
    </dxf>
    <dxf>
      <fill>
        <patternFill patternType="solid">
          <bgColor rgb="FFFFFF00"/>
        </patternFill>
      </fill>
    </dxf>
    <dxf>
      <font>
        <b/>
      </font>
    </dxf>
    <dxf>
      <font>
        <color rgb="FF00B050"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numFmt numFmtId="1" formatCode="0"/>
    </dxf>
    <dxf>
      <font>
        <color rgb="FF00B050"/>
      </font>
    </dxf>
    <dxf>
      <fill>
        <patternFill patternType="solid">
          <bgColor rgb="FFFFFF00"/>
        </patternFill>
      </fill>
    </dxf>
    <dxf>
      <font>
        <b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color auto="1"/>
      </font>
    </dxf>
    <dxf>
      <font>
        <b val="0"/>
      </font>
    </dxf>
    <dxf>
      <numFmt numFmtId="4" formatCode="#,##0.00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color auto="1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002060"/>
      </font>
    </dxf>
    <dxf>
      <font>
        <b/>
      </font>
    </dxf>
    <dxf>
      <font>
        <b/>
      </font>
    </dxf>
    <dxf>
      <font>
        <b val="0"/>
      </font>
    </dxf>
    <dxf>
      <font>
        <color rgb="FF00B050"/>
      </font>
    </dxf>
    <dxf>
      <numFmt numFmtId="4" formatCode="#,##0.00"/>
    </dxf>
    <dxf>
      <font>
        <color rgb="FF00B050"/>
      </font>
    </dxf>
    <dxf>
      <fill>
        <patternFill patternType="solid">
          <bgColor rgb="FFFFFF00"/>
        </patternFill>
      </fill>
    </dxf>
    <dxf>
      <font>
        <b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font>
        <color rgb="FF002060"/>
      </font>
    </dxf>
    <dxf>
      <font>
        <b/>
      </font>
    </dxf>
    <dxf>
      <font>
        <b/>
      </font>
    </dxf>
    <dxf>
      <font>
        <b val="0"/>
      </font>
    </dxf>
    <dxf>
      <font>
        <color rgb="FF00B050"/>
      </font>
    </dxf>
    <dxf>
      <numFmt numFmtId="4" formatCode="#,##0.00"/>
    </dxf>
    <dxf>
      <font>
        <color rgb="FF00B050"/>
      </font>
    </dxf>
    <dxf>
      <fill>
        <patternFill patternType="solid">
          <bgColor rgb="FFFFFF00"/>
        </patternFill>
      </fill>
    </dxf>
    <dxf>
      <font>
        <b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color auto="1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color auto="1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002060"/>
      </font>
    </dxf>
    <dxf>
      <font>
        <b/>
      </font>
    </dxf>
    <dxf>
      <font>
        <b/>
      </font>
    </dxf>
    <dxf>
      <font>
        <b val="0"/>
      </font>
    </dxf>
    <dxf>
      <font>
        <color rgb="FF00B050"/>
      </font>
    </dxf>
    <dxf>
      <numFmt numFmtId="4" formatCode="#,##0.00"/>
    </dxf>
    <dxf>
      <font>
        <color rgb="FF00B050"/>
      </font>
    </dxf>
    <dxf>
      <fill>
        <patternFill patternType="solid">
          <bgColor rgb="FFFFFF00"/>
        </patternFill>
      </fill>
    </dxf>
    <dxf>
      <font>
        <b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color auto="1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002060"/>
      </font>
    </dxf>
    <dxf>
      <font>
        <b/>
      </font>
    </dxf>
    <dxf>
      <font>
        <b/>
      </font>
    </dxf>
    <dxf>
      <font>
        <b val="0"/>
      </font>
    </dxf>
    <dxf>
      <font>
        <color rgb="FF00B050"/>
      </font>
    </dxf>
    <dxf>
      <numFmt numFmtId="4" formatCode="#,##0.00"/>
    </dxf>
    <dxf>
      <font>
        <color rgb="FF00B050"/>
      </font>
    </dxf>
    <dxf>
      <fill>
        <patternFill patternType="solid">
          <bgColor rgb="FFFFFF00"/>
        </patternFill>
      </fill>
    </dxf>
    <dxf>
      <font>
        <b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color auto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002060"/>
      </font>
    </dxf>
    <dxf>
      <font>
        <b/>
      </font>
    </dxf>
    <dxf>
      <font>
        <b val="0"/>
      </font>
    </dxf>
    <dxf>
      <numFmt numFmtId="4" formatCode="#,##0.00"/>
    </dxf>
    <dxf>
      <fill>
        <patternFill patternType="solid">
          <bgColor rgb="FFFFFF00"/>
        </patternFill>
      </fill>
    </dxf>
    <dxf>
      <font>
        <b/>
      </font>
    </dxf>
    <dxf>
      <font>
        <color rgb="FF00B05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font>
        <b/>
      </font>
    </dxf>
    <dxf>
      <font>
        <b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ont>
        <b/>
      </font>
    </dxf>
    <dxf>
      <font>
        <b val="0"/>
      </font>
    </dxf>
    <dxf>
      <font>
        <b val="0"/>
      </font>
    </dxf>
    <dxf>
      <font>
        <color auto="1"/>
      </font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fill>
        <patternFill patternType="solid">
          <fgColor theme="0" tint="-4.9989318521683403E-2"/>
          <bgColor theme="2"/>
        </patternFill>
      </fill>
    </dxf>
    <dxf>
      <fill>
        <patternFill patternType="solid">
          <fgColor theme="0" tint="-4.9989318521683403E-2"/>
          <bgColor theme="2"/>
        </patternFill>
      </fill>
    </dxf>
    <dxf>
      <fill>
        <patternFill patternType="solid">
          <fgColor theme="0" tint="-4.9989318521683403E-2"/>
          <bgColor theme="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b/>
      </font>
    </dxf>
    <dxf>
      <font>
        <b val="0"/>
      </font>
    </dxf>
    <dxf>
      <font>
        <b/>
      </font>
    </dxf>
    <dxf>
      <fill>
        <patternFill patternType="solid">
          <fgColor theme="0" tint="-4.9989318521683403E-2"/>
          <bgColor theme="2"/>
        </patternFill>
      </fill>
    </dxf>
    <dxf>
      <fill>
        <patternFill patternType="solid">
          <fgColor theme="0" tint="-4.9989318521683403E-2"/>
          <bgColor theme="2"/>
        </patternFill>
      </fill>
    </dxf>
    <dxf>
      <fill>
        <patternFill patternType="solid">
          <fgColor theme="0" tint="-4.9989318521683403E-2"/>
          <bgColor theme="2"/>
        </patternFill>
      </fill>
    </dxf>
    <dxf>
      <fill>
        <patternFill patternType="solid">
          <fgColor theme="0" tint="-4.9989318521683403E-2"/>
          <bgColor theme="2"/>
        </patternFill>
      </fill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 val="0"/>
      </font>
    </dxf>
    <dxf>
      <font>
        <i val="0"/>
      </font>
    </dxf>
    <dxf>
      <fill>
        <patternFill patternType="solid">
          <fgColor indexed="64"/>
          <bgColor theme="0" tint="-4.9989318521683403E-2"/>
        </patternFill>
      </fill>
    </dxf>
    <dxf>
      <fill>
        <patternFill>
          <fgColor theme="0" tint="-4.9989318521683403E-2"/>
        </patternFill>
      </fill>
    </dxf>
    <dxf>
      <fill>
        <patternFill>
          <fgColor theme="0" tint="-4.9989318521683403E-2"/>
        </patternFill>
      </fill>
    </dxf>
    <dxf>
      <fill>
        <patternFill>
          <fgColor theme="0" tint="-4.9989318521683403E-2"/>
        </patternFill>
      </fill>
    </dxf>
    <dxf>
      <fill>
        <patternFill>
          <fgColor theme="0" tint="-4.9989318521683403E-2"/>
        </patternFill>
      </fill>
    </dxf>
    <dxf>
      <font>
        <b/>
      </font>
    </dxf>
    <dxf>
      <alignment vertical="center"/>
    </dxf>
    <dxf>
      <alignment vertical="center"/>
    </dxf>
    <dxf>
      <alignment vertical="center"/>
    </dxf>
    <dxf>
      <alignment horizontal="center"/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font>
        <b val="0"/>
      </font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 val="0"/>
      </font>
    </dxf>
    <dxf>
      <fill>
        <patternFill patternType="solid">
          <bgColor theme="5" tint="0.79998168889431442"/>
        </patternFill>
      </fill>
    </dxf>
    <dxf>
      <font>
        <b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rgb="FFFF0000"/>
      </font>
    </dxf>
    <dxf>
      <font>
        <b/>
      </font>
    </dxf>
    <dxf>
      <numFmt numFmtId="4" formatCode="#,##0.00"/>
    </dxf>
    <dxf>
      <fill>
        <patternFill patternType="solid">
          <bgColor rgb="FFFFFF00"/>
        </patternFill>
      </fill>
    </dxf>
    <dxf>
      <alignment horizontal="center"/>
    </dxf>
    <dxf>
      <alignment horizontal="right"/>
    </dxf>
    <dxf>
      <alignment horizontal="center"/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b val="0"/>
      </font>
    </dxf>
    <dxf>
      <font>
        <b/>
      </font>
    </dxf>
    <dxf>
      <font>
        <b/>
      </font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alignment horizontal="center"/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 val="0"/>
      </font>
    </dxf>
    <dxf>
      <fill>
        <patternFill patternType="none">
          <bgColor auto="1"/>
        </patternFill>
      </fill>
    </dxf>
    <dxf>
      <font>
        <b val="0"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b/>
      </font>
    </dxf>
    <dxf>
      <font>
        <b/>
      </font>
    </dxf>
    <dxf>
      <numFmt numFmtId="4" formatCode="#,##0.00"/>
      <fill>
        <patternFill patternType="solid">
          <fgColor indexed="64"/>
          <bgColor theme="5" tint="0.79998168889431442"/>
        </patternFill>
      </fill>
      <alignment horizontal="center"/>
    </dxf>
    <dxf>
      <numFmt numFmtId="4" formatCode="#,##0.00"/>
      <fill>
        <patternFill patternType="solid">
          <fgColor indexed="64"/>
          <bgColor theme="5" tint="0.79998168889431442"/>
        </patternFill>
      </fill>
      <alignment horizontal="center"/>
    </dxf>
    <dxf>
      <font>
        <b/>
      </font>
    </dxf>
    <dxf>
      <font>
        <b val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alignment horizontal="center"/>
    </dxf>
    <dxf>
      <alignment horizontal="right"/>
    </dxf>
    <dxf>
      <alignment horizontal="general"/>
    </dxf>
    <dxf>
      <alignment horizontal="general"/>
    </dxf>
    <dxf>
      <alignment horizontal="center"/>
    </dxf>
    <dxf>
      <font>
        <b/>
      </font>
    </dxf>
    <dxf>
      <font>
        <color theme="1" tint="0.3499862666707357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</font>
    </dxf>
    <dxf>
      <font>
        <b/>
      </font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b val="0"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color rgb="FFC00000"/>
      </font>
    </dxf>
    <dxf>
      <font>
        <color auto="1"/>
      </font>
    </dxf>
    <dxf>
      <font>
        <b val="0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right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color theme="1" tint="0.34998626667073579"/>
      </font>
    </dxf>
    <dxf>
      <fill>
        <patternFill patternType="none">
          <bgColor auto="1"/>
        </patternFill>
      </fill>
    </dxf>
    <dxf>
      <font>
        <b/>
      </font>
    </dxf>
    <dxf>
      <fill>
        <patternFill patternType="none">
          <bgColor auto="1"/>
        </patternFill>
      </fill>
    </dxf>
    <dxf>
      <font>
        <b val="0"/>
      </font>
    </dxf>
    <dxf>
      <font>
        <b val="0"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b val="0"/>
      </font>
    </dxf>
    <dxf>
      <font>
        <b/>
      </font>
    </dxf>
    <dxf>
      <font>
        <b/>
      </font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b val="0"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fill>
        <patternFill patternType="solid">
          <bgColor theme="7" tint="0.79998168889431442"/>
        </patternFill>
      </fill>
    </dxf>
    <dxf>
      <font>
        <b val="0"/>
      </font>
    </dxf>
    <dxf>
      <font>
        <b val="0"/>
      </font>
    </dxf>
    <dxf>
      <font>
        <color rgb="FFC00000"/>
      </font>
    </dxf>
    <dxf>
      <font>
        <color auto="1"/>
      </font>
    </dxf>
    <dxf>
      <fill>
        <patternFill patternType="solid">
          <bgColor theme="7" tint="0.79998168889431442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color rgb="FF00B050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right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E497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26.xlsx]2024-2026 up to SEP 26!TablaDinámica1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683379080703261E-2"/>
          <c:y val="1.1736153173161047E-2"/>
          <c:w val="0.82923197321797348"/>
          <c:h val="0.649675280974493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'2024-2026 up to SEP 26'!$B$3:$B$4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'2024-2026 up to SEP 26'!$A$5:$A$44</c:f>
              <c:strCache>
                <c:ptCount val="39"/>
                <c:pt idx="0">
                  <c:v>DIVINO COLCHONES</c:v>
                </c:pt>
                <c:pt idx="1">
                  <c:v>FLEX CHILE</c:v>
                </c:pt>
                <c:pt idx="2">
                  <c:v>BED TIME S.A.</c:v>
                </c:pt>
                <c:pt idx="3">
                  <c:v>LIMANSKY S.A.</c:v>
                </c:pt>
                <c:pt idx="4">
                  <c:v>PRODUCTOS PARAISO DEL ECUADOR</c:v>
                </c:pt>
                <c:pt idx="5">
                  <c:v>COLCHONES POLYMAX</c:v>
                </c:pt>
                <c:pt idx="6">
                  <c:v>FRAZADAS ARTESANALES SAC</c:v>
                </c:pt>
                <c:pt idx="7">
                  <c:v>INDUCOL INDUSTRIA</c:v>
                </c:pt>
                <c:pt idx="8">
                  <c:v>SIMMONS DE ARGENTINA SAIC</c:v>
                </c:pt>
                <c:pt idx="9">
                  <c:v>SUNLOCK SPA</c:v>
                </c:pt>
                <c:pt idx="10">
                  <c:v>SUPERESPUMA</c:v>
                </c:pt>
                <c:pt idx="11">
                  <c:v>COMERCIALIZADORA SL SUNLOCK LTDA</c:v>
                </c:pt>
                <c:pt idx="12">
                  <c:v>MAXI KING</c:v>
                </c:pt>
                <c:pt idx="13">
                  <c:v>VERZAZELLE LLC IND REGAL</c:v>
                </c:pt>
                <c:pt idx="14">
                  <c:v>SPRINGWALL S.A.</c:v>
                </c:pt>
                <c:pt idx="15">
                  <c:v>CLC COLCHONES C.A.</c:v>
                </c:pt>
                <c:pt idx="16">
                  <c:v>ESPUMAS PLASTICAS SAS - COMODISIMO</c:v>
                </c:pt>
                <c:pt idx="17">
                  <c:v>MULTIESPUMAS VISCARRA </c:v>
                </c:pt>
                <c:pt idx="18">
                  <c:v>LAMITEX S.A.</c:v>
                </c:pt>
                <c:pt idx="19">
                  <c:v>DAVID MORENO VISCARRA</c:v>
                </c:pt>
                <c:pt idx="20">
                  <c:v>DISTRIBUIDORA CASEROS</c:v>
                </c:pt>
                <c:pt idx="21">
                  <c:v>AGT AMERICAN GARMENT TEXTIL</c:v>
                </c:pt>
                <c:pt idx="22">
                  <c:v>TEXTIL FIBREX</c:v>
                </c:pt>
                <c:pt idx="23">
                  <c:v>ATLAS COLCHONES</c:v>
                </c:pt>
                <c:pt idx="24">
                  <c:v>SEA TRADING COMPANY SA</c:v>
                </c:pt>
                <c:pt idx="25">
                  <c:v>MUEBLES MPR SPA</c:v>
                </c:pt>
                <c:pt idx="26">
                  <c:v>INMAPOL SACIF</c:v>
                </c:pt>
                <c:pt idx="27">
                  <c:v> HERALDO CASTRO PALMA (MANTAHUE SPA)</c:v>
                </c:pt>
                <c:pt idx="28">
                  <c:v>NM ESPUMA S.A.</c:v>
                </c:pt>
                <c:pt idx="29">
                  <c:v>IMPORTADORA TERRA</c:v>
                </c:pt>
                <c:pt idx="30">
                  <c:v>VISCARRA </c:v>
                </c:pt>
                <c:pt idx="31">
                  <c:v>COLCHONES PRINCE</c:v>
                </c:pt>
                <c:pt idx="32">
                  <c:v>SERVAN EXPORTADORA</c:v>
                </c:pt>
                <c:pt idx="33">
                  <c:v>CARPINTERIA Y TAPECERIA INTERNACIONAL CTIN</c:v>
                </c:pt>
                <c:pt idx="34">
                  <c:v>COLCHONES DEL PARAGUAY S.R.L.</c:v>
                </c:pt>
                <c:pt idx="35">
                  <c:v>FIBERSOFT</c:v>
                </c:pt>
                <c:pt idx="36">
                  <c:v>SUENOLAR</c:v>
                </c:pt>
                <c:pt idx="37">
                  <c:v>AMAZHEL TEC NIPONA</c:v>
                </c:pt>
                <c:pt idx="38">
                  <c:v>ZONKD LIMITADA DE CV</c:v>
                </c:pt>
              </c:strCache>
            </c:strRef>
          </c:cat>
          <c:val>
            <c:numRef>
              <c:f>'2024-2026 up to SEP 26'!$B$5:$B$44</c:f>
              <c:numCache>
                <c:formatCode>#,##0.00</c:formatCode>
                <c:ptCount val="39"/>
                <c:pt idx="0">
                  <c:v>3421452.2499999995</c:v>
                </c:pt>
                <c:pt idx="1">
                  <c:v>701469.6799999997</c:v>
                </c:pt>
                <c:pt idx="4">
                  <c:v>543208.35000000009</c:v>
                </c:pt>
                <c:pt idx="5">
                  <c:v>256078.81</c:v>
                </c:pt>
                <c:pt idx="8">
                  <c:v>153428.31</c:v>
                </c:pt>
                <c:pt idx="10">
                  <c:v>72618.650000000009</c:v>
                </c:pt>
                <c:pt idx="11">
                  <c:v>285252.40000000002</c:v>
                </c:pt>
                <c:pt idx="12">
                  <c:v>171451.28999999998</c:v>
                </c:pt>
                <c:pt idx="15">
                  <c:v>228450.36999999997</c:v>
                </c:pt>
                <c:pt idx="16">
                  <c:v>146664.72</c:v>
                </c:pt>
                <c:pt idx="19">
                  <c:v>62795.03</c:v>
                </c:pt>
                <c:pt idx="21">
                  <c:v>127041.12</c:v>
                </c:pt>
                <c:pt idx="24">
                  <c:v>16321.07</c:v>
                </c:pt>
                <c:pt idx="25">
                  <c:v>61386.400000000001</c:v>
                </c:pt>
                <c:pt idx="26">
                  <c:v>-16796.36</c:v>
                </c:pt>
                <c:pt idx="28">
                  <c:v>49277.950000000004</c:v>
                </c:pt>
                <c:pt idx="33">
                  <c:v>25481.22</c:v>
                </c:pt>
                <c:pt idx="35">
                  <c:v>13860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E-4A61-A876-EDBB9326E0FD}"/>
            </c:ext>
          </c:extLst>
        </c:ser>
        <c:ser>
          <c:idx val="1"/>
          <c:order val="1"/>
          <c:tx>
            <c:strRef>
              <c:f>'2024-2026 up to SEP 26'!$C$3:$C$4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'2024-2026 up to SEP 26'!$A$5:$A$44</c:f>
              <c:strCache>
                <c:ptCount val="39"/>
                <c:pt idx="0">
                  <c:v>DIVINO COLCHONES</c:v>
                </c:pt>
                <c:pt idx="1">
                  <c:v>FLEX CHILE</c:v>
                </c:pt>
                <c:pt idx="2">
                  <c:v>BED TIME S.A.</c:v>
                </c:pt>
                <c:pt idx="3">
                  <c:v>LIMANSKY S.A.</c:v>
                </c:pt>
                <c:pt idx="4">
                  <c:v>PRODUCTOS PARAISO DEL ECUADOR</c:v>
                </c:pt>
                <c:pt idx="5">
                  <c:v>COLCHONES POLYMAX</c:v>
                </c:pt>
                <c:pt idx="6">
                  <c:v>FRAZADAS ARTESANALES SAC</c:v>
                </c:pt>
                <c:pt idx="7">
                  <c:v>INDUCOL INDUSTRIA</c:v>
                </c:pt>
                <c:pt idx="8">
                  <c:v>SIMMONS DE ARGENTINA SAIC</c:v>
                </c:pt>
                <c:pt idx="9">
                  <c:v>SUNLOCK SPA</c:v>
                </c:pt>
                <c:pt idx="10">
                  <c:v>SUPERESPUMA</c:v>
                </c:pt>
                <c:pt idx="11">
                  <c:v>COMERCIALIZADORA SL SUNLOCK LTDA</c:v>
                </c:pt>
                <c:pt idx="12">
                  <c:v>MAXI KING</c:v>
                </c:pt>
                <c:pt idx="13">
                  <c:v>VERZAZELLE LLC IND REGAL</c:v>
                </c:pt>
                <c:pt idx="14">
                  <c:v>SPRINGWALL S.A.</c:v>
                </c:pt>
                <c:pt idx="15">
                  <c:v>CLC COLCHONES C.A.</c:v>
                </c:pt>
                <c:pt idx="16">
                  <c:v>ESPUMAS PLASTICAS SAS - COMODISIMO</c:v>
                </c:pt>
                <c:pt idx="17">
                  <c:v>MULTIESPUMAS VISCARRA </c:v>
                </c:pt>
                <c:pt idx="18">
                  <c:v>LAMITEX S.A.</c:v>
                </c:pt>
                <c:pt idx="19">
                  <c:v>DAVID MORENO VISCARRA</c:v>
                </c:pt>
                <c:pt idx="20">
                  <c:v>DISTRIBUIDORA CASEROS</c:v>
                </c:pt>
                <c:pt idx="21">
                  <c:v>AGT AMERICAN GARMENT TEXTIL</c:v>
                </c:pt>
                <c:pt idx="22">
                  <c:v>TEXTIL FIBREX</c:v>
                </c:pt>
                <c:pt idx="23">
                  <c:v>ATLAS COLCHONES</c:v>
                </c:pt>
                <c:pt idx="24">
                  <c:v>SEA TRADING COMPANY SA</c:v>
                </c:pt>
                <c:pt idx="25">
                  <c:v>MUEBLES MPR SPA</c:v>
                </c:pt>
                <c:pt idx="26">
                  <c:v>INMAPOL SACIF</c:v>
                </c:pt>
                <c:pt idx="27">
                  <c:v> HERALDO CASTRO PALMA (MANTAHUE SPA)</c:v>
                </c:pt>
                <c:pt idx="28">
                  <c:v>NM ESPUMA S.A.</c:v>
                </c:pt>
                <c:pt idx="29">
                  <c:v>IMPORTADORA TERRA</c:v>
                </c:pt>
                <c:pt idx="30">
                  <c:v>VISCARRA </c:v>
                </c:pt>
                <c:pt idx="31">
                  <c:v>COLCHONES PRINCE</c:v>
                </c:pt>
                <c:pt idx="32">
                  <c:v>SERVAN EXPORTADORA</c:v>
                </c:pt>
                <c:pt idx="33">
                  <c:v>CARPINTERIA Y TAPECERIA INTERNACIONAL CTIN</c:v>
                </c:pt>
                <c:pt idx="34">
                  <c:v>COLCHONES DEL PARAGUAY S.R.L.</c:v>
                </c:pt>
                <c:pt idx="35">
                  <c:v>FIBERSOFT</c:v>
                </c:pt>
                <c:pt idx="36">
                  <c:v>SUENOLAR</c:v>
                </c:pt>
                <c:pt idx="37">
                  <c:v>AMAZHEL TEC NIPONA</c:v>
                </c:pt>
                <c:pt idx="38">
                  <c:v>ZONKD LIMITADA DE CV</c:v>
                </c:pt>
              </c:strCache>
            </c:strRef>
          </c:cat>
          <c:val>
            <c:numRef>
              <c:f>'2024-2026 up to SEP 26'!$C$5:$C$44</c:f>
              <c:numCache>
                <c:formatCode>#,##0.00</c:formatCode>
                <c:ptCount val="39"/>
                <c:pt idx="0">
                  <c:v>2246198.91</c:v>
                </c:pt>
                <c:pt idx="1">
                  <c:v>479176.21</c:v>
                </c:pt>
                <c:pt idx="2">
                  <c:v>808767.58999999985</c:v>
                </c:pt>
                <c:pt idx="4">
                  <c:v>175581.16999999998</c:v>
                </c:pt>
                <c:pt idx="5">
                  <c:v>257057.40999999997</c:v>
                </c:pt>
                <c:pt idx="6">
                  <c:v>478182.83999999991</c:v>
                </c:pt>
                <c:pt idx="7">
                  <c:v>493873.25999999978</c:v>
                </c:pt>
                <c:pt idx="8">
                  <c:v>275949.13</c:v>
                </c:pt>
                <c:pt idx="9">
                  <c:v>245463.81</c:v>
                </c:pt>
                <c:pt idx="10">
                  <c:v>297630.82000000007</c:v>
                </c:pt>
                <c:pt idx="11">
                  <c:v>40308.06</c:v>
                </c:pt>
                <c:pt idx="12">
                  <c:v>139359.39000000001</c:v>
                </c:pt>
                <c:pt idx="14">
                  <c:v>236975.8</c:v>
                </c:pt>
                <c:pt idx="16">
                  <c:v>60369.8</c:v>
                </c:pt>
                <c:pt idx="17">
                  <c:v>90359.72</c:v>
                </c:pt>
                <c:pt idx="19">
                  <c:v>118571.29999999999</c:v>
                </c:pt>
                <c:pt idx="20">
                  <c:v>77365.97</c:v>
                </c:pt>
                <c:pt idx="26">
                  <c:v>75015.420000000013</c:v>
                </c:pt>
                <c:pt idx="29">
                  <c:v>44697.820000000007</c:v>
                </c:pt>
                <c:pt idx="31">
                  <c:v>31142.510000000002</c:v>
                </c:pt>
                <c:pt idx="32">
                  <c:v>27409.979999999996</c:v>
                </c:pt>
                <c:pt idx="36">
                  <c:v>6888.53</c:v>
                </c:pt>
                <c:pt idx="38">
                  <c:v>104.02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5E-4A61-A876-EDBB9326E0FD}"/>
            </c:ext>
          </c:extLst>
        </c:ser>
        <c:ser>
          <c:idx val="2"/>
          <c:order val="2"/>
          <c:tx>
            <c:strRef>
              <c:f>'2024-2026 up to SEP 26'!$D$3:$D$4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'2024-2026 up to SEP 26'!$A$5:$A$44</c:f>
              <c:strCache>
                <c:ptCount val="39"/>
                <c:pt idx="0">
                  <c:v>DIVINO COLCHONES</c:v>
                </c:pt>
                <c:pt idx="1">
                  <c:v>FLEX CHILE</c:v>
                </c:pt>
                <c:pt idx="2">
                  <c:v>BED TIME S.A.</c:v>
                </c:pt>
                <c:pt idx="3">
                  <c:v>LIMANSKY S.A.</c:v>
                </c:pt>
                <c:pt idx="4">
                  <c:v>PRODUCTOS PARAISO DEL ECUADOR</c:v>
                </c:pt>
                <c:pt idx="5">
                  <c:v>COLCHONES POLYMAX</c:v>
                </c:pt>
                <c:pt idx="6">
                  <c:v>FRAZADAS ARTESANALES SAC</c:v>
                </c:pt>
                <c:pt idx="7">
                  <c:v>INDUCOL INDUSTRIA</c:v>
                </c:pt>
                <c:pt idx="8">
                  <c:v>SIMMONS DE ARGENTINA SAIC</c:v>
                </c:pt>
                <c:pt idx="9">
                  <c:v>SUNLOCK SPA</c:v>
                </c:pt>
                <c:pt idx="10">
                  <c:v>SUPERESPUMA</c:v>
                </c:pt>
                <c:pt idx="11">
                  <c:v>COMERCIALIZADORA SL SUNLOCK LTDA</c:v>
                </c:pt>
                <c:pt idx="12">
                  <c:v>MAXI KING</c:v>
                </c:pt>
                <c:pt idx="13">
                  <c:v>VERZAZELLE LLC IND REGAL</c:v>
                </c:pt>
                <c:pt idx="14">
                  <c:v>SPRINGWALL S.A.</c:v>
                </c:pt>
                <c:pt idx="15">
                  <c:v>CLC COLCHONES C.A.</c:v>
                </c:pt>
                <c:pt idx="16">
                  <c:v>ESPUMAS PLASTICAS SAS - COMODISIMO</c:v>
                </c:pt>
                <c:pt idx="17">
                  <c:v>MULTIESPUMAS VISCARRA </c:v>
                </c:pt>
                <c:pt idx="18">
                  <c:v>LAMITEX S.A.</c:v>
                </c:pt>
                <c:pt idx="19">
                  <c:v>DAVID MORENO VISCARRA</c:v>
                </c:pt>
                <c:pt idx="20">
                  <c:v>DISTRIBUIDORA CASEROS</c:v>
                </c:pt>
                <c:pt idx="21">
                  <c:v>AGT AMERICAN GARMENT TEXTIL</c:v>
                </c:pt>
                <c:pt idx="22">
                  <c:v>TEXTIL FIBREX</c:v>
                </c:pt>
                <c:pt idx="23">
                  <c:v>ATLAS COLCHONES</c:v>
                </c:pt>
                <c:pt idx="24">
                  <c:v>SEA TRADING COMPANY SA</c:v>
                </c:pt>
                <c:pt idx="25">
                  <c:v>MUEBLES MPR SPA</c:v>
                </c:pt>
                <c:pt idx="26">
                  <c:v>INMAPOL SACIF</c:v>
                </c:pt>
                <c:pt idx="27">
                  <c:v> HERALDO CASTRO PALMA (MANTAHUE SPA)</c:v>
                </c:pt>
                <c:pt idx="28">
                  <c:v>NM ESPUMA S.A.</c:v>
                </c:pt>
                <c:pt idx="29">
                  <c:v>IMPORTADORA TERRA</c:v>
                </c:pt>
                <c:pt idx="30">
                  <c:v>VISCARRA </c:v>
                </c:pt>
                <c:pt idx="31">
                  <c:v>COLCHONES PRINCE</c:v>
                </c:pt>
                <c:pt idx="32">
                  <c:v>SERVAN EXPORTADORA</c:v>
                </c:pt>
                <c:pt idx="33">
                  <c:v>CARPINTERIA Y TAPECERIA INTERNACIONAL CTIN</c:v>
                </c:pt>
                <c:pt idx="34">
                  <c:v>COLCHONES DEL PARAGUAY S.R.L.</c:v>
                </c:pt>
                <c:pt idx="35">
                  <c:v>FIBERSOFT</c:v>
                </c:pt>
                <c:pt idx="36">
                  <c:v>SUENOLAR</c:v>
                </c:pt>
                <c:pt idx="37">
                  <c:v>AMAZHEL TEC NIPONA</c:v>
                </c:pt>
                <c:pt idx="38">
                  <c:v>ZONKD LIMITADA DE CV</c:v>
                </c:pt>
              </c:strCache>
            </c:strRef>
          </c:cat>
          <c:val>
            <c:numRef>
              <c:f>'2024-2026 up to SEP 26'!$D$5:$D$44</c:f>
              <c:numCache>
                <c:formatCode>#,##0.00</c:formatCode>
                <c:ptCount val="39"/>
                <c:pt idx="0">
                  <c:v>225830.27999999997</c:v>
                </c:pt>
                <c:pt idx="1">
                  <c:v>284989.65000000002</c:v>
                </c:pt>
                <c:pt idx="2">
                  <c:v>271521.78999999998</c:v>
                </c:pt>
                <c:pt idx="3">
                  <c:v>815583.44</c:v>
                </c:pt>
                <c:pt idx="4">
                  <c:v>43790.11</c:v>
                </c:pt>
                <c:pt idx="5">
                  <c:v>201843.03000000003</c:v>
                </c:pt>
                <c:pt idx="6">
                  <c:v>206916.71999999997</c:v>
                </c:pt>
                <c:pt idx="7">
                  <c:v>119332.51999999999</c:v>
                </c:pt>
                <c:pt idx="8">
                  <c:v>114700.02</c:v>
                </c:pt>
                <c:pt idx="9">
                  <c:v>258272.65</c:v>
                </c:pt>
                <c:pt idx="10">
                  <c:v>80316.009999999995</c:v>
                </c:pt>
                <c:pt idx="13">
                  <c:v>242737.89</c:v>
                </c:pt>
                <c:pt idx="17">
                  <c:v>112967.18</c:v>
                </c:pt>
                <c:pt idx="18">
                  <c:v>185586.07000000007</c:v>
                </c:pt>
                <c:pt idx="20">
                  <c:v>81085.950000000012</c:v>
                </c:pt>
                <c:pt idx="22">
                  <c:v>87348.87999999999</c:v>
                </c:pt>
                <c:pt idx="23">
                  <c:v>75266.149999999994</c:v>
                </c:pt>
                <c:pt idx="24">
                  <c:v>57892.119999999995</c:v>
                </c:pt>
                <c:pt idx="27">
                  <c:v>49421.15</c:v>
                </c:pt>
                <c:pt idx="30">
                  <c:v>34106.300000000003</c:v>
                </c:pt>
                <c:pt idx="34">
                  <c:v>23570.050000000003</c:v>
                </c:pt>
                <c:pt idx="37">
                  <c:v>5346.22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36-4552-8225-AABF43895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0408512"/>
        <c:axId val="670408992"/>
      </c:barChart>
      <c:catAx>
        <c:axId val="67040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0408992"/>
        <c:crosses val="autoZero"/>
        <c:auto val="1"/>
        <c:lblAlgn val="ctr"/>
        <c:lblOffset val="100"/>
        <c:noMultiLvlLbl val="0"/>
      </c:catAx>
      <c:valAx>
        <c:axId val="67040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040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26.xlsx]2024-2026 up to SEP 26!TablaDinámica2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283284142656683E-2"/>
          <c:y val="3.8037837862859733E-2"/>
          <c:w val="0.85424290159687855"/>
          <c:h val="0.651040286630837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'2024-2026 up to SEP 26'!$Z$3:$Z$4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'2024-2026 up to SEP 26'!$Y$5:$Y$44</c:f>
              <c:strCache>
                <c:ptCount val="39"/>
                <c:pt idx="0">
                  <c:v>DIVINO COLCHONES</c:v>
                </c:pt>
                <c:pt idx="1">
                  <c:v>BED TIME S.A.</c:v>
                </c:pt>
                <c:pt idx="2">
                  <c:v>FLEX CHILE</c:v>
                </c:pt>
                <c:pt idx="3">
                  <c:v>COLCHONES POLYMAX</c:v>
                </c:pt>
                <c:pt idx="4">
                  <c:v>FRAZADAS ARTESANALES SAC</c:v>
                </c:pt>
                <c:pt idx="5">
                  <c:v>INDUCOL INDUSTRIA</c:v>
                </c:pt>
                <c:pt idx="6">
                  <c:v>PRODUCTOS PARAISO DEL ECUADOR</c:v>
                </c:pt>
                <c:pt idx="7">
                  <c:v>LIMANSKY S.A.</c:v>
                </c:pt>
                <c:pt idx="8">
                  <c:v>SIMMONS DE ARGENTINA SAIC</c:v>
                </c:pt>
                <c:pt idx="9">
                  <c:v>SUPERESPUMA</c:v>
                </c:pt>
                <c:pt idx="10">
                  <c:v>MAXI KING</c:v>
                </c:pt>
                <c:pt idx="11">
                  <c:v>MULTIESPUMAS VISCARRA </c:v>
                </c:pt>
                <c:pt idx="12">
                  <c:v>CLC COLCHONES C.A.</c:v>
                </c:pt>
                <c:pt idx="13">
                  <c:v>SPRINGWALL S.A.</c:v>
                </c:pt>
                <c:pt idx="14">
                  <c:v>ESPUMAS PLASTICAS SAS - COMODISIMO</c:v>
                </c:pt>
                <c:pt idx="15">
                  <c:v>AGT AMERICAN GARMENT TEXTIL</c:v>
                </c:pt>
                <c:pt idx="16">
                  <c:v>VERZAZELLE LLC IND REGAL</c:v>
                </c:pt>
                <c:pt idx="17">
                  <c:v>SUNLOCK SPA</c:v>
                </c:pt>
                <c:pt idx="18">
                  <c:v>DISTRIBUIDORA CASEROS</c:v>
                </c:pt>
                <c:pt idx="19">
                  <c:v>DAVID MORENO VISCARRA</c:v>
                </c:pt>
                <c:pt idx="20">
                  <c:v>COMERCIALIZADORA SL SUNLOCK LTDA</c:v>
                </c:pt>
                <c:pt idx="21">
                  <c:v>LAMITEX S.A.</c:v>
                </c:pt>
                <c:pt idx="22">
                  <c:v>SEA TRADING COMPANY SA</c:v>
                </c:pt>
                <c:pt idx="23">
                  <c:v> HERALDO CASTRO PALMA (MANTAHUE SPA)</c:v>
                </c:pt>
                <c:pt idx="24">
                  <c:v>VISCARRA </c:v>
                </c:pt>
                <c:pt idx="25">
                  <c:v>TEXTIL FIBREX</c:v>
                </c:pt>
                <c:pt idx="26">
                  <c:v>ATLAS COLCHONES</c:v>
                </c:pt>
                <c:pt idx="27">
                  <c:v>INMAPOL SACIF</c:v>
                </c:pt>
                <c:pt idx="28">
                  <c:v>COLCHONES PRINCE</c:v>
                </c:pt>
                <c:pt idx="29">
                  <c:v>NM ESPUMA S.A.</c:v>
                </c:pt>
                <c:pt idx="30">
                  <c:v>COLCHONES DEL PARAGUAY S.R.L.</c:v>
                </c:pt>
                <c:pt idx="31">
                  <c:v>IMPORTADORA TERRA</c:v>
                </c:pt>
                <c:pt idx="32">
                  <c:v>SERVAN EXPORTADORA</c:v>
                </c:pt>
                <c:pt idx="33">
                  <c:v>CARPINTERIA Y TAPECERIA INTERNACIONAL CTIN</c:v>
                </c:pt>
                <c:pt idx="34">
                  <c:v>FIBERSOFT</c:v>
                </c:pt>
                <c:pt idx="35">
                  <c:v>SUENOLAR</c:v>
                </c:pt>
                <c:pt idx="36">
                  <c:v>MUEBLES MPR SPA</c:v>
                </c:pt>
                <c:pt idx="37">
                  <c:v>AMAZHEL TEC NIPONA</c:v>
                </c:pt>
                <c:pt idx="38">
                  <c:v>ZONKD LIMITADA DE CV</c:v>
                </c:pt>
              </c:strCache>
            </c:strRef>
          </c:cat>
          <c:val>
            <c:numRef>
              <c:f>'2024-2026 up to SEP 26'!$Z$5:$Z$44</c:f>
              <c:numCache>
                <c:formatCode>#,##0</c:formatCode>
                <c:ptCount val="39"/>
                <c:pt idx="0">
                  <c:v>207246.55799999999</c:v>
                </c:pt>
                <c:pt idx="2">
                  <c:v>50139.6</c:v>
                </c:pt>
                <c:pt idx="3">
                  <c:v>28252</c:v>
                </c:pt>
                <c:pt idx="6">
                  <c:v>38458.135999999999</c:v>
                </c:pt>
                <c:pt idx="8">
                  <c:v>11417.52</c:v>
                </c:pt>
                <c:pt idx="9">
                  <c:v>5332</c:v>
                </c:pt>
                <c:pt idx="10">
                  <c:v>12608</c:v>
                </c:pt>
                <c:pt idx="12">
                  <c:v>22753</c:v>
                </c:pt>
                <c:pt idx="14">
                  <c:v>13384.7</c:v>
                </c:pt>
                <c:pt idx="15">
                  <c:v>18124</c:v>
                </c:pt>
                <c:pt idx="19">
                  <c:v>5029</c:v>
                </c:pt>
                <c:pt idx="20">
                  <c:v>9035</c:v>
                </c:pt>
                <c:pt idx="22">
                  <c:v>2076</c:v>
                </c:pt>
                <c:pt idx="27">
                  <c:v>-1634</c:v>
                </c:pt>
                <c:pt idx="29">
                  <c:v>3084</c:v>
                </c:pt>
                <c:pt idx="33">
                  <c:v>1577</c:v>
                </c:pt>
                <c:pt idx="34">
                  <c:v>839</c:v>
                </c:pt>
                <c:pt idx="36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9-4103-96A0-F198A34B33CB}"/>
            </c:ext>
          </c:extLst>
        </c:ser>
        <c:ser>
          <c:idx val="1"/>
          <c:order val="1"/>
          <c:tx>
            <c:strRef>
              <c:f>'2024-2026 up to SEP 26'!$AA$3:$AA$4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'2024-2026 up to SEP 26'!$Y$5:$Y$44</c:f>
              <c:strCache>
                <c:ptCount val="39"/>
                <c:pt idx="0">
                  <c:v>DIVINO COLCHONES</c:v>
                </c:pt>
                <c:pt idx="1">
                  <c:v>BED TIME S.A.</c:v>
                </c:pt>
                <c:pt idx="2">
                  <c:v>FLEX CHILE</c:v>
                </c:pt>
                <c:pt idx="3">
                  <c:v>COLCHONES POLYMAX</c:v>
                </c:pt>
                <c:pt idx="4">
                  <c:v>FRAZADAS ARTESANALES SAC</c:v>
                </c:pt>
                <c:pt idx="5">
                  <c:v>INDUCOL INDUSTRIA</c:v>
                </c:pt>
                <c:pt idx="6">
                  <c:v>PRODUCTOS PARAISO DEL ECUADOR</c:v>
                </c:pt>
                <c:pt idx="7">
                  <c:v>LIMANSKY S.A.</c:v>
                </c:pt>
                <c:pt idx="8">
                  <c:v>SIMMONS DE ARGENTINA SAIC</c:v>
                </c:pt>
                <c:pt idx="9">
                  <c:v>SUPERESPUMA</c:v>
                </c:pt>
                <c:pt idx="10">
                  <c:v>MAXI KING</c:v>
                </c:pt>
                <c:pt idx="11">
                  <c:v>MULTIESPUMAS VISCARRA </c:v>
                </c:pt>
                <c:pt idx="12">
                  <c:v>CLC COLCHONES C.A.</c:v>
                </c:pt>
                <c:pt idx="13">
                  <c:v>SPRINGWALL S.A.</c:v>
                </c:pt>
                <c:pt idx="14">
                  <c:v>ESPUMAS PLASTICAS SAS - COMODISIMO</c:v>
                </c:pt>
                <c:pt idx="15">
                  <c:v>AGT AMERICAN GARMENT TEXTIL</c:v>
                </c:pt>
                <c:pt idx="16">
                  <c:v>VERZAZELLE LLC IND REGAL</c:v>
                </c:pt>
                <c:pt idx="17">
                  <c:v>SUNLOCK SPA</c:v>
                </c:pt>
                <c:pt idx="18">
                  <c:v>DISTRIBUIDORA CASEROS</c:v>
                </c:pt>
                <c:pt idx="19">
                  <c:v>DAVID MORENO VISCARRA</c:v>
                </c:pt>
                <c:pt idx="20">
                  <c:v>COMERCIALIZADORA SL SUNLOCK LTDA</c:v>
                </c:pt>
                <c:pt idx="21">
                  <c:v>LAMITEX S.A.</c:v>
                </c:pt>
                <c:pt idx="22">
                  <c:v>SEA TRADING COMPANY SA</c:v>
                </c:pt>
                <c:pt idx="23">
                  <c:v> HERALDO CASTRO PALMA (MANTAHUE SPA)</c:v>
                </c:pt>
                <c:pt idx="24">
                  <c:v>VISCARRA </c:v>
                </c:pt>
                <c:pt idx="25">
                  <c:v>TEXTIL FIBREX</c:v>
                </c:pt>
                <c:pt idx="26">
                  <c:v>ATLAS COLCHONES</c:v>
                </c:pt>
                <c:pt idx="27">
                  <c:v>INMAPOL SACIF</c:v>
                </c:pt>
                <c:pt idx="28">
                  <c:v>COLCHONES PRINCE</c:v>
                </c:pt>
                <c:pt idx="29">
                  <c:v>NM ESPUMA S.A.</c:v>
                </c:pt>
                <c:pt idx="30">
                  <c:v>COLCHONES DEL PARAGUAY S.R.L.</c:v>
                </c:pt>
                <c:pt idx="31">
                  <c:v>IMPORTADORA TERRA</c:v>
                </c:pt>
                <c:pt idx="32">
                  <c:v>SERVAN EXPORTADORA</c:v>
                </c:pt>
                <c:pt idx="33">
                  <c:v>CARPINTERIA Y TAPECERIA INTERNACIONAL CTIN</c:v>
                </c:pt>
                <c:pt idx="34">
                  <c:v>FIBERSOFT</c:v>
                </c:pt>
                <c:pt idx="35">
                  <c:v>SUENOLAR</c:v>
                </c:pt>
                <c:pt idx="36">
                  <c:v>MUEBLES MPR SPA</c:v>
                </c:pt>
                <c:pt idx="37">
                  <c:v>AMAZHEL TEC NIPONA</c:v>
                </c:pt>
                <c:pt idx="38">
                  <c:v>ZONKD LIMITADA DE CV</c:v>
                </c:pt>
              </c:strCache>
            </c:strRef>
          </c:cat>
          <c:val>
            <c:numRef>
              <c:f>'2024-2026 up to SEP 26'!$AA$5:$AA$44</c:f>
              <c:numCache>
                <c:formatCode>#,##0</c:formatCode>
                <c:ptCount val="39"/>
                <c:pt idx="0">
                  <c:v>129090.43999999999</c:v>
                </c:pt>
                <c:pt idx="1">
                  <c:v>78306</c:v>
                </c:pt>
                <c:pt idx="2">
                  <c:v>29918.6</c:v>
                </c:pt>
                <c:pt idx="3">
                  <c:v>26012.809999999998</c:v>
                </c:pt>
                <c:pt idx="4">
                  <c:v>45928.955999999998</c:v>
                </c:pt>
                <c:pt idx="5">
                  <c:v>42820</c:v>
                </c:pt>
                <c:pt idx="6">
                  <c:v>12483.897000000001</c:v>
                </c:pt>
                <c:pt idx="8">
                  <c:v>21574.52</c:v>
                </c:pt>
                <c:pt idx="9">
                  <c:v>20573.060000000001</c:v>
                </c:pt>
                <c:pt idx="10">
                  <c:v>15752</c:v>
                </c:pt>
                <c:pt idx="11">
                  <c:v>11754</c:v>
                </c:pt>
                <c:pt idx="13">
                  <c:v>21553.983</c:v>
                </c:pt>
                <c:pt idx="14">
                  <c:v>5188</c:v>
                </c:pt>
                <c:pt idx="17">
                  <c:v>8398.08</c:v>
                </c:pt>
                <c:pt idx="18">
                  <c:v>8011.2830000000004</c:v>
                </c:pt>
                <c:pt idx="19">
                  <c:v>7529</c:v>
                </c:pt>
                <c:pt idx="20">
                  <c:v>2138</c:v>
                </c:pt>
                <c:pt idx="27">
                  <c:v>5414</c:v>
                </c:pt>
                <c:pt idx="28">
                  <c:v>3100</c:v>
                </c:pt>
                <c:pt idx="31">
                  <c:v>2882.2309999999998</c:v>
                </c:pt>
                <c:pt idx="32">
                  <c:v>1657</c:v>
                </c:pt>
                <c:pt idx="35">
                  <c:v>559</c:v>
                </c:pt>
                <c:pt idx="3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79-4103-96A0-F198A34B33CB}"/>
            </c:ext>
          </c:extLst>
        </c:ser>
        <c:ser>
          <c:idx val="2"/>
          <c:order val="2"/>
          <c:tx>
            <c:strRef>
              <c:f>'2024-2026 up to SEP 26'!$AB$3:$AB$4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'2024-2026 up to SEP 26'!$Y$5:$Y$44</c:f>
              <c:strCache>
                <c:ptCount val="39"/>
                <c:pt idx="0">
                  <c:v>DIVINO COLCHONES</c:v>
                </c:pt>
                <c:pt idx="1">
                  <c:v>BED TIME S.A.</c:v>
                </c:pt>
                <c:pt idx="2">
                  <c:v>FLEX CHILE</c:v>
                </c:pt>
                <c:pt idx="3">
                  <c:v>COLCHONES POLYMAX</c:v>
                </c:pt>
                <c:pt idx="4">
                  <c:v>FRAZADAS ARTESANALES SAC</c:v>
                </c:pt>
                <c:pt idx="5">
                  <c:v>INDUCOL INDUSTRIA</c:v>
                </c:pt>
                <c:pt idx="6">
                  <c:v>PRODUCTOS PARAISO DEL ECUADOR</c:v>
                </c:pt>
                <c:pt idx="7">
                  <c:v>LIMANSKY S.A.</c:v>
                </c:pt>
                <c:pt idx="8">
                  <c:v>SIMMONS DE ARGENTINA SAIC</c:v>
                </c:pt>
                <c:pt idx="9">
                  <c:v>SUPERESPUMA</c:v>
                </c:pt>
                <c:pt idx="10">
                  <c:v>MAXI KING</c:v>
                </c:pt>
                <c:pt idx="11">
                  <c:v>MULTIESPUMAS VISCARRA </c:v>
                </c:pt>
                <c:pt idx="12">
                  <c:v>CLC COLCHONES C.A.</c:v>
                </c:pt>
                <c:pt idx="13">
                  <c:v>SPRINGWALL S.A.</c:v>
                </c:pt>
                <c:pt idx="14">
                  <c:v>ESPUMAS PLASTICAS SAS - COMODISIMO</c:v>
                </c:pt>
                <c:pt idx="15">
                  <c:v>AGT AMERICAN GARMENT TEXTIL</c:v>
                </c:pt>
                <c:pt idx="16">
                  <c:v>VERZAZELLE LLC IND REGAL</c:v>
                </c:pt>
                <c:pt idx="17">
                  <c:v>SUNLOCK SPA</c:v>
                </c:pt>
                <c:pt idx="18">
                  <c:v>DISTRIBUIDORA CASEROS</c:v>
                </c:pt>
                <c:pt idx="19">
                  <c:v>DAVID MORENO VISCARRA</c:v>
                </c:pt>
                <c:pt idx="20">
                  <c:v>COMERCIALIZADORA SL SUNLOCK LTDA</c:v>
                </c:pt>
                <c:pt idx="21">
                  <c:v>LAMITEX S.A.</c:v>
                </c:pt>
                <c:pt idx="22">
                  <c:v>SEA TRADING COMPANY SA</c:v>
                </c:pt>
                <c:pt idx="23">
                  <c:v> HERALDO CASTRO PALMA (MANTAHUE SPA)</c:v>
                </c:pt>
                <c:pt idx="24">
                  <c:v>VISCARRA </c:v>
                </c:pt>
                <c:pt idx="25">
                  <c:v>TEXTIL FIBREX</c:v>
                </c:pt>
                <c:pt idx="26">
                  <c:v>ATLAS COLCHONES</c:v>
                </c:pt>
                <c:pt idx="27">
                  <c:v>INMAPOL SACIF</c:v>
                </c:pt>
                <c:pt idx="28">
                  <c:v>COLCHONES PRINCE</c:v>
                </c:pt>
                <c:pt idx="29">
                  <c:v>NM ESPUMA S.A.</c:v>
                </c:pt>
                <c:pt idx="30">
                  <c:v>COLCHONES DEL PARAGUAY S.R.L.</c:v>
                </c:pt>
                <c:pt idx="31">
                  <c:v>IMPORTADORA TERRA</c:v>
                </c:pt>
                <c:pt idx="32">
                  <c:v>SERVAN EXPORTADORA</c:v>
                </c:pt>
                <c:pt idx="33">
                  <c:v>CARPINTERIA Y TAPECERIA INTERNACIONAL CTIN</c:v>
                </c:pt>
                <c:pt idx="34">
                  <c:v>FIBERSOFT</c:v>
                </c:pt>
                <c:pt idx="35">
                  <c:v>SUENOLAR</c:v>
                </c:pt>
                <c:pt idx="36">
                  <c:v>MUEBLES MPR SPA</c:v>
                </c:pt>
                <c:pt idx="37">
                  <c:v>AMAZHEL TEC NIPONA</c:v>
                </c:pt>
                <c:pt idx="38">
                  <c:v>ZONKD LIMITADA DE CV</c:v>
                </c:pt>
              </c:strCache>
            </c:strRef>
          </c:cat>
          <c:val>
            <c:numRef>
              <c:f>'2024-2026 up to SEP 26'!$AB$5:$AB$44</c:f>
              <c:numCache>
                <c:formatCode>#,##0</c:formatCode>
                <c:ptCount val="39"/>
                <c:pt idx="0">
                  <c:v>22458</c:v>
                </c:pt>
                <c:pt idx="1">
                  <c:v>28066</c:v>
                </c:pt>
                <c:pt idx="2">
                  <c:v>18057</c:v>
                </c:pt>
                <c:pt idx="3">
                  <c:v>21925</c:v>
                </c:pt>
                <c:pt idx="4">
                  <c:v>22778</c:v>
                </c:pt>
                <c:pt idx="5">
                  <c:v>12247</c:v>
                </c:pt>
                <c:pt idx="6">
                  <c:v>3771</c:v>
                </c:pt>
                <c:pt idx="7">
                  <c:v>52342</c:v>
                </c:pt>
                <c:pt idx="8">
                  <c:v>12140</c:v>
                </c:pt>
                <c:pt idx="9">
                  <c:v>7886</c:v>
                </c:pt>
                <c:pt idx="11">
                  <c:v>13190.83</c:v>
                </c:pt>
                <c:pt idx="16">
                  <c:v>17920</c:v>
                </c:pt>
                <c:pt idx="17">
                  <c:v>9488</c:v>
                </c:pt>
                <c:pt idx="18">
                  <c:v>7405</c:v>
                </c:pt>
                <c:pt idx="21">
                  <c:v>8799</c:v>
                </c:pt>
                <c:pt idx="22">
                  <c:v>4101</c:v>
                </c:pt>
                <c:pt idx="23">
                  <c:v>5431</c:v>
                </c:pt>
                <c:pt idx="24">
                  <c:v>5054</c:v>
                </c:pt>
                <c:pt idx="25">
                  <c:v>4697</c:v>
                </c:pt>
                <c:pt idx="26">
                  <c:v>4373</c:v>
                </c:pt>
                <c:pt idx="30">
                  <c:v>3002</c:v>
                </c:pt>
                <c:pt idx="37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89-4296-A46D-30D8745D5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70434912"/>
        <c:axId val="670443552"/>
      </c:barChart>
      <c:catAx>
        <c:axId val="67043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0443552"/>
        <c:crosses val="autoZero"/>
        <c:auto val="1"/>
        <c:lblAlgn val="ctr"/>
        <c:lblOffset val="100"/>
        <c:noMultiLvlLbl val="0"/>
      </c:catAx>
      <c:valAx>
        <c:axId val="67044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043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 2026 CY vs SPYA!TablaDinámica6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VOLUME MTS-  Comparative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2026 CY vs SPYA'!$AG$3:$AG$5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2026 CY vs SPYA'!$AF$6:$AF$32</c:f>
              <c:strCache>
                <c:ptCount val="26"/>
                <c:pt idx="0">
                  <c:v>DIVINO COLCHONES</c:v>
                </c:pt>
                <c:pt idx="1">
                  <c:v>BED TIME S.A.</c:v>
                </c:pt>
                <c:pt idx="2">
                  <c:v>INDUCOL INDUSTRIA</c:v>
                </c:pt>
                <c:pt idx="3">
                  <c:v>LIMANSKY S.A.</c:v>
                </c:pt>
                <c:pt idx="4">
                  <c:v>FLEX CHILE</c:v>
                </c:pt>
                <c:pt idx="5">
                  <c:v>COLCHONES POLYMAX</c:v>
                </c:pt>
                <c:pt idx="6">
                  <c:v>SIMMONS DE ARGENTINA SAIC</c:v>
                </c:pt>
                <c:pt idx="7">
                  <c:v>SUPERESPUMA</c:v>
                </c:pt>
                <c:pt idx="8">
                  <c:v>FRAZADAS ARTESANALES SAC</c:v>
                </c:pt>
                <c:pt idx="9">
                  <c:v>SPRINGWALL S.A.</c:v>
                </c:pt>
                <c:pt idx="10">
                  <c:v>PRODUCTOS PARAISO DEL ECUADOR</c:v>
                </c:pt>
                <c:pt idx="11">
                  <c:v>MAXI KING</c:v>
                </c:pt>
                <c:pt idx="12">
                  <c:v>DISTRIBUIDORA CASEROS</c:v>
                </c:pt>
                <c:pt idx="13">
                  <c:v>MULTIESPUMAS VISCARRA </c:v>
                </c:pt>
                <c:pt idx="14">
                  <c:v>SUNLOCK SPA</c:v>
                </c:pt>
                <c:pt idx="15">
                  <c:v>LAMITEX S.A.</c:v>
                </c:pt>
                <c:pt idx="16">
                  <c:v>DAVID MORENO VISCARRA</c:v>
                </c:pt>
                <c:pt idx="17">
                  <c:v>INMAPOL SACIF</c:v>
                </c:pt>
                <c:pt idx="18">
                  <c:v>ESPUMAS PLASTICAS SAS - COMODISIMO</c:v>
                </c:pt>
                <c:pt idx="19">
                  <c:v>VISCARRA </c:v>
                </c:pt>
                <c:pt idx="20">
                  <c:v>TEXTIL FIBREX</c:v>
                </c:pt>
                <c:pt idx="21">
                  <c:v>SEA TRADING COMPANY SA</c:v>
                </c:pt>
                <c:pt idx="22">
                  <c:v>COLCHONES DEL PARAGUAY S.R.L.</c:v>
                </c:pt>
                <c:pt idx="23">
                  <c:v>COMERCIALIZADORA SL SUNLOCK LTDA</c:v>
                </c:pt>
                <c:pt idx="24">
                  <c:v>SUENOLAR</c:v>
                </c:pt>
                <c:pt idx="25">
                  <c:v>ZONKD LIMITADA DE CV</c:v>
                </c:pt>
              </c:strCache>
            </c:strRef>
          </c:cat>
          <c:val>
            <c:numRef>
              <c:f>' 2026 CY vs SPYA'!$AG$6:$AG$32</c:f>
              <c:numCache>
                <c:formatCode>#,##0</c:formatCode>
                <c:ptCount val="26"/>
                <c:pt idx="0">
                  <c:v>101123.43999999999</c:v>
                </c:pt>
                <c:pt idx="1">
                  <c:v>78306</c:v>
                </c:pt>
                <c:pt idx="2">
                  <c:v>42820</c:v>
                </c:pt>
                <c:pt idx="4">
                  <c:v>28662.6</c:v>
                </c:pt>
                <c:pt idx="5">
                  <c:v>17918</c:v>
                </c:pt>
                <c:pt idx="6">
                  <c:v>11860.52</c:v>
                </c:pt>
                <c:pt idx="7">
                  <c:v>15184.06</c:v>
                </c:pt>
                <c:pt idx="9">
                  <c:v>21553.983</c:v>
                </c:pt>
                <c:pt idx="10">
                  <c:v>12483.897000000001</c:v>
                </c:pt>
                <c:pt idx="11">
                  <c:v>15752</c:v>
                </c:pt>
                <c:pt idx="12">
                  <c:v>8011.2830000000004</c:v>
                </c:pt>
                <c:pt idx="14">
                  <c:v>3152.08</c:v>
                </c:pt>
                <c:pt idx="16">
                  <c:v>7529</c:v>
                </c:pt>
                <c:pt idx="17">
                  <c:v>5414</c:v>
                </c:pt>
                <c:pt idx="18">
                  <c:v>5188</c:v>
                </c:pt>
                <c:pt idx="23">
                  <c:v>2138</c:v>
                </c:pt>
                <c:pt idx="24">
                  <c:v>559</c:v>
                </c:pt>
                <c:pt idx="2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E-4559-B654-1F7A70F68A51}"/>
            </c:ext>
          </c:extLst>
        </c:ser>
        <c:ser>
          <c:idx val="1"/>
          <c:order val="1"/>
          <c:tx>
            <c:strRef>
              <c:f>' 2026 CY vs SPYA'!$AH$3:$AH$5</c:f>
              <c:strCache>
                <c:ptCount val="1"/>
                <c:pt idx="0">
                  <c:v>2026 - 1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2026 CY vs SPYA'!$AF$6:$AF$32</c:f>
              <c:strCache>
                <c:ptCount val="26"/>
                <c:pt idx="0">
                  <c:v>DIVINO COLCHONES</c:v>
                </c:pt>
                <c:pt idx="1">
                  <c:v>BED TIME S.A.</c:v>
                </c:pt>
                <c:pt idx="2">
                  <c:v>INDUCOL INDUSTRIA</c:v>
                </c:pt>
                <c:pt idx="3">
                  <c:v>LIMANSKY S.A.</c:v>
                </c:pt>
                <c:pt idx="4">
                  <c:v>FLEX CHILE</c:v>
                </c:pt>
                <c:pt idx="5">
                  <c:v>COLCHONES POLYMAX</c:v>
                </c:pt>
                <c:pt idx="6">
                  <c:v>SIMMONS DE ARGENTINA SAIC</c:v>
                </c:pt>
                <c:pt idx="7">
                  <c:v>SUPERESPUMA</c:v>
                </c:pt>
                <c:pt idx="8">
                  <c:v>FRAZADAS ARTESANALES SAC</c:v>
                </c:pt>
                <c:pt idx="9">
                  <c:v>SPRINGWALL S.A.</c:v>
                </c:pt>
                <c:pt idx="10">
                  <c:v>PRODUCTOS PARAISO DEL ECUADOR</c:v>
                </c:pt>
                <c:pt idx="11">
                  <c:v>MAXI KING</c:v>
                </c:pt>
                <c:pt idx="12">
                  <c:v>DISTRIBUIDORA CASEROS</c:v>
                </c:pt>
                <c:pt idx="13">
                  <c:v>MULTIESPUMAS VISCARRA </c:v>
                </c:pt>
                <c:pt idx="14">
                  <c:v>SUNLOCK SPA</c:v>
                </c:pt>
                <c:pt idx="15">
                  <c:v>LAMITEX S.A.</c:v>
                </c:pt>
                <c:pt idx="16">
                  <c:v>DAVID MORENO VISCARRA</c:v>
                </c:pt>
                <c:pt idx="17">
                  <c:v>INMAPOL SACIF</c:v>
                </c:pt>
                <c:pt idx="18">
                  <c:v>ESPUMAS PLASTICAS SAS - COMODISIMO</c:v>
                </c:pt>
                <c:pt idx="19">
                  <c:v>VISCARRA </c:v>
                </c:pt>
                <c:pt idx="20">
                  <c:v>TEXTIL FIBREX</c:v>
                </c:pt>
                <c:pt idx="21">
                  <c:v>SEA TRADING COMPANY SA</c:v>
                </c:pt>
                <c:pt idx="22">
                  <c:v>COLCHONES DEL PARAGUAY S.R.L.</c:v>
                </c:pt>
                <c:pt idx="23">
                  <c:v>COMERCIALIZADORA SL SUNLOCK LTDA</c:v>
                </c:pt>
                <c:pt idx="24">
                  <c:v>SUENOLAR</c:v>
                </c:pt>
                <c:pt idx="25">
                  <c:v>ZONKD LIMITADA DE CV</c:v>
                </c:pt>
              </c:strCache>
            </c:strRef>
          </c:cat>
          <c:val>
            <c:numRef>
              <c:f>' 2026 CY vs SPYA'!$AH$6:$AH$32</c:f>
              <c:numCache>
                <c:formatCode>#,##0</c:formatCode>
                <c:ptCount val="26"/>
                <c:pt idx="4">
                  <c:v>3502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E-4D52-AE5E-DBBA13C51A09}"/>
            </c:ext>
          </c:extLst>
        </c:ser>
        <c:ser>
          <c:idx val="2"/>
          <c:order val="2"/>
          <c:tx>
            <c:strRef>
              <c:f>' 2026 CY vs SPYA'!$AI$3:$AI$5</c:f>
              <c:strCache>
                <c:ptCount val="1"/>
                <c:pt idx="0">
                  <c:v>2026 - 2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 2026 CY vs SPYA'!$AF$6:$AF$32</c:f>
              <c:strCache>
                <c:ptCount val="26"/>
                <c:pt idx="0">
                  <c:v>DIVINO COLCHONES</c:v>
                </c:pt>
                <c:pt idx="1">
                  <c:v>BED TIME S.A.</c:v>
                </c:pt>
                <c:pt idx="2">
                  <c:v>INDUCOL INDUSTRIA</c:v>
                </c:pt>
                <c:pt idx="3">
                  <c:v>LIMANSKY S.A.</c:v>
                </c:pt>
                <c:pt idx="4">
                  <c:v>FLEX CHILE</c:v>
                </c:pt>
                <c:pt idx="5">
                  <c:v>COLCHONES POLYMAX</c:v>
                </c:pt>
                <c:pt idx="6">
                  <c:v>SIMMONS DE ARGENTINA SAIC</c:v>
                </c:pt>
                <c:pt idx="7">
                  <c:v>SUPERESPUMA</c:v>
                </c:pt>
                <c:pt idx="8">
                  <c:v>FRAZADAS ARTESANALES SAC</c:v>
                </c:pt>
                <c:pt idx="9">
                  <c:v>SPRINGWALL S.A.</c:v>
                </c:pt>
                <c:pt idx="10">
                  <c:v>PRODUCTOS PARAISO DEL ECUADOR</c:v>
                </c:pt>
                <c:pt idx="11">
                  <c:v>MAXI KING</c:v>
                </c:pt>
                <c:pt idx="12">
                  <c:v>DISTRIBUIDORA CASEROS</c:v>
                </c:pt>
                <c:pt idx="13">
                  <c:v>MULTIESPUMAS VISCARRA </c:v>
                </c:pt>
                <c:pt idx="14">
                  <c:v>SUNLOCK SPA</c:v>
                </c:pt>
                <c:pt idx="15">
                  <c:v>LAMITEX S.A.</c:v>
                </c:pt>
                <c:pt idx="16">
                  <c:v>DAVID MORENO VISCARRA</c:v>
                </c:pt>
                <c:pt idx="17">
                  <c:v>INMAPOL SACIF</c:v>
                </c:pt>
                <c:pt idx="18">
                  <c:v>ESPUMAS PLASTICAS SAS - COMODISIMO</c:v>
                </c:pt>
                <c:pt idx="19">
                  <c:v>VISCARRA </c:v>
                </c:pt>
                <c:pt idx="20">
                  <c:v>TEXTIL FIBREX</c:v>
                </c:pt>
                <c:pt idx="21">
                  <c:v>SEA TRADING COMPANY SA</c:v>
                </c:pt>
                <c:pt idx="22">
                  <c:v>COLCHONES DEL PARAGUAY S.R.L.</c:v>
                </c:pt>
                <c:pt idx="23">
                  <c:v>COMERCIALIZADORA SL SUNLOCK LTDA</c:v>
                </c:pt>
                <c:pt idx="24">
                  <c:v>SUENOLAR</c:v>
                </c:pt>
                <c:pt idx="25">
                  <c:v>ZONKD LIMITADA DE CV</c:v>
                </c:pt>
              </c:strCache>
            </c:strRef>
          </c:cat>
          <c:val>
            <c:numRef>
              <c:f>' 2026 CY vs SPYA'!$AI$6:$AI$32</c:f>
              <c:numCache>
                <c:formatCode>#,##0</c:formatCode>
                <c:ptCount val="26"/>
                <c:pt idx="0">
                  <c:v>8202</c:v>
                </c:pt>
                <c:pt idx="4">
                  <c:v>1340</c:v>
                </c:pt>
                <c:pt idx="6">
                  <c:v>12140</c:v>
                </c:pt>
                <c:pt idx="14">
                  <c:v>3313</c:v>
                </c:pt>
                <c:pt idx="15">
                  <c:v>6338</c:v>
                </c:pt>
                <c:pt idx="22">
                  <c:v>3002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A2-4D6A-B4F8-6EBBB7DA41BE}"/>
            </c:ext>
          </c:extLst>
        </c:ser>
        <c:ser>
          <c:idx val="3"/>
          <c:order val="3"/>
          <c:tx>
            <c:strRef>
              <c:f>' 2026 CY vs SPYA'!$AJ$3:$AJ$5</c:f>
              <c:strCache>
                <c:ptCount val="1"/>
                <c:pt idx="0">
                  <c:v>2026 - 3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 2026 CY vs SPYA'!$AF$6:$AF$32</c:f>
              <c:strCache>
                <c:ptCount val="26"/>
                <c:pt idx="0">
                  <c:v>DIVINO COLCHONES</c:v>
                </c:pt>
                <c:pt idx="1">
                  <c:v>BED TIME S.A.</c:v>
                </c:pt>
                <c:pt idx="2">
                  <c:v>INDUCOL INDUSTRIA</c:v>
                </c:pt>
                <c:pt idx="3">
                  <c:v>LIMANSKY S.A.</c:v>
                </c:pt>
                <c:pt idx="4">
                  <c:v>FLEX CHILE</c:v>
                </c:pt>
                <c:pt idx="5">
                  <c:v>COLCHONES POLYMAX</c:v>
                </c:pt>
                <c:pt idx="6">
                  <c:v>SIMMONS DE ARGENTINA SAIC</c:v>
                </c:pt>
                <c:pt idx="7">
                  <c:v>SUPERESPUMA</c:v>
                </c:pt>
                <c:pt idx="8">
                  <c:v>FRAZADAS ARTESANALES SAC</c:v>
                </c:pt>
                <c:pt idx="9">
                  <c:v>SPRINGWALL S.A.</c:v>
                </c:pt>
                <c:pt idx="10">
                  <c:v>PRODUCTOS PARAISO DEL ECUADOR</c:v>
                </c:pt>
                <c:pt idx="11">
                  <c:v>MAXI KING</c:v>
                </c:pt>
                <c:pt idx="12">
                  <c:v>DISTRIBUIDORA CASEROS</c:v>
                </c:pt>
                <c:pt idx="13">
                  <c:v>MULTIESPUMAS VISCARRA </c:v>
                </c:pt>
                <c:pt idx="14">
                  <c:v>SUNLOCK SPA</c:v>
                </c:pt>
                <c:pt idx="15">
                  <c:v>LAMITEX S.A.</c:v>
                </c:pt>
                <c:pt idx="16">
                  <c:v>DAVID MORENO VISCARRA</c:v>
                </c:pt>
                <c:pt idx="17">
                  <c:v>INMAPOL SACIF</c:v>
                </c:pt>
                <c:pt idx="18">
                  <c:v>ESPUMAS PLASTICAS SAS - COMODISIMO</c:v>
                </c:pt>
                <c:pt idx="19">
                  <c:v>VISCARRA </c:v>
                </c:pt>
                <c:pt idx="20">
                  <c:v>TEXTIL FIBREX</c:v>
                </c:pt>
                <c:pt idx="21">
                  <c:v>SEA TRADING COMPANY SA</c:v>
                </c:pt>
                <c:pt idx="22">
                  <c:v>COLCHONES DEL PARAGUAY S.R.L.</c:v>
                </c:pt>
                <c:pt idx="23">
                  <c:v>COMERCIALIZADORA SL SUNLOCK LTDA</c:v>
                </c:pt>
                <c:pt idx="24">
                  <c:v>SUENOLAR</c:v>
                </c:pt>
                <c:pt idx="25">
                  <c:v>ZONKD LIMITADA DE CV</c:v>
                </c:pt>
              </c:strCache>
            </c:strRef>
          </c:cat>
          <c:val>
            <c:numRef>
              <c:f>' 2026 CY vs SPYA'!$AJ$6:$AJ$32</c:f>
              <c:numCache>
                <c:formatCode>#,##0</c:formatCode>
                <c:ptCount val="26"/>
                <c:pt idx="7">
                  <c:v>3767</c:v>
                </c:pt>
                <c:pt idx="13">
                  <c:v>4885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A2-4D6A-B4F8-6EBBB7DA41BE}"/>
            </c:ext>
          </c:extLst>
        </c:ser>
        <c:ser>
          <c:idx val="4"/>
          <c:order val="4"/>
          <c:tx>
            <c:strRef>
              <c:f>' 2026 CY vs SPYA'!$AK$3:$AK$5</c:f>
              <c:strCache>
                <c:ptCount val="1"/>
                <c:pt idx="0">
                  <c:v>2026 - 4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 2026 CY vs SPYA'!$AF$6:$AF$32</c:f>
              <c:strCache>
                <c:ptCount val="26"/>
                <c:pt idx="0">
                  <c:v>DIVINO COLCHONES</c:v>
                </c:pt>
                <c:pt idx="1">
                  <c:v>BED TIME S.A.</c:v>
                </c:pt>
                <c:pt idx="2">
                  <c:v>INDUCOL INDUSTRIA</c:v>
                </c:pt>
                <c:pt idx="3">
                  <c:v>LIMANSKY S.A.</c:v>
                </c:pt>
                <c:pt idx="4">
                  <c:v>FLEX CHILE</c:v>
                </c:pt>
                <c:pt idx="5">
                  <c:v>COLCHONES POLYMAX</c:v>
                </c:pt>
                <c:pt idx="6">
                  <c:v>SIMMONS DE ARGENTINA SAIC</c:v>
                </c:pt>
                <c:pt idx="7">
                  <c:v>SUPERESPUMA</c:v>
                </c:pt>
                <c:pt idx="8">
                  <c:v>FRAZADAS ARTESANALES SAC</c:v>
                </c:pt>
                <c:pt idx="9">
                  <c:v>SPRINGWALL S.A.</c:v>
                </c:pt>
                <c:pt idx="10">
                  <c:v>PRODUCTOS PARAISO DEL ECUADOR</c:v>
                </c:pt>
                <c:pt idx="11">
                  <c:v>MAXI KING</c:v>
                </c:pt>
                <c:pt idx="12">
                  <c:v>DISTRIBUIDORA CASEROS</c:v>
                </c:pt>
                <c:pt idx="13">
                  <c:v>MULTIESPUMAS VISCARRA </c:v>
                </c:pt>
                <c:pt idx="14">
                  <c:v>SUNLOCK SPA</c:v>
                </c:pt>
                <c:pt idx="15">
                  <c:v>LAMITEX S.A.</c:v>
                </c:pt>
                <c:pt idx="16">
                  <c:v>DAVID MORENO VISCARRA</c:v>
                </c:pt>
                <c:pt idx="17">
                  <c:v>INMAPOL SACIF</c:v>
                </c:pt>
                <c:pt idx="18">
                  <c:v>ESPUMAS PLASTICAS SAS - COMODISIMO</c:v>
                </c:pt>
                <c:pt idx="19">
                  <c:v>VISCARRA </c:v>
                </c:pt>
                <c:pt idx="20">
                  <c:v>TEXTIL FIBREX</c:v>
                </c:pt>
                <c:pt idx="21">
                  <c:v>SEA TRADING COMPANY SA</c:v>
                </c:pt>
                <c:pt idx="22">
                  <c:v>COLCHONES DEL PARAGUAY S.R.L.</c:v>
                </c:pt>
                <c:pt idx="23">
                  <c:v>COMERCIALIZADORA SL SUNLOCK LTDA</c:v>
                </c:pt>
                <c:pt idx="24">
                  <c:v>SUENOLAR</c:v>
                </c:pt>
                <c:pt idx="25">
                  <c:v>ZONKD LIMITADA DE CV</c:v>
                </c:pt>
              </c:strCache>
            </c:strRef>
          </c:cat>
          <c:val>
            <c:numRef>
              <c:f>' 2026 CY vs SPYA'!$AK$6:$AK$32</c:f>
              <c:numCache>
                <c:formatCode>#,##0</c:formatCode>
                <c:ptCount val="26"/>
                <c:pt idx="1">
                  <c:v>28066</c:v>
                </c:pt>
                <c:pt idx="2">
                  <c:v>12247</c:v>
                </c:pt>
                <c:pt idx="3">
                  <c:v>24236</c:v>
                </c:pt>
                <c:pt idx="4">
                  <c:v>3116</c:v>
                </c:pt>
                <c:pt idx="5">
                  <c:v>11143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A2-4D6A-B4F8-6EBBB7DA41BE}"/>
            </c:ext>
          </c:extLst>
        </c:ser>
        <c:ser>
          <c:idx val="5"/>
          <c:order val="5"/>
          <c:tx>
            <c:strRef>
              <c:f>' 2026 CY vs SPYA'!$AL$3:$AL$5</c:f>
              <c:strCache>
                <c:ptCount val="1"/>
                <c:pt idx="0">
                  <c:v>2026 - 5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 2026 CY vs SPYA'!$AF$6:$AF$32</c:f>
              <c:strCache>
                <c:ptCount val="26"/>
                <c:pt idx="0">
                  <c:v>DIVINO COLCHONES</c:v>
                </c:pt>
                <c:pt idx="1">
                  <c:v>BED TIME S.A.</c:v>
                </c:pt>
                <c:pt idx="2">
                  <c:v>INDUCOL INDUSTRIA</c:v>
                </c:pt>
                <c:pt idx="3">
                  <c:v>LIMANSKY S.A.</c:v>
                </c:pt>
                <c:pt idx="4">
                  <c:v>FLEX CHILE</c:v>
                </c:pt>
                <c:pt idx="5">
                  <c:v>COLCHONES POLYMAX</c:v>
                </c:pt>
                <c:pt idx="6">
                  <c:v>SIMMONS DE ARGENTINA SAIC</c:v>
                </c:pt>
                <c:pt idx="7">
                  <c:v>SUPERESPUMA</c:v>
                </c:pt>
                <c:pt idx="8">
                  <c:v>FRAZADAS ARTESANALES SAC</c:v>
                </c:pt>
                <c:pt idx="9">
                  <c:v>SPRINGWALL S.A.</c:v>
                </c:pt>
                <c:pt idx="10">
                  <c:v>PRODUCTOS PARAISO DEL ECUADOR</c:v>
                </c:pt>
                <c:pt idx="11">
                  <c:v>MAXI KING</c:v>
                </c:pt>
                <c:pt idx="12">
                  <c:v>DISTRIBUIDORA CASEROS</c:v>
                </c:pt>
                <c:pt idx="13">
                  <c:v>MULTIESPUMAS VISCARRA </c:v>
                </c:pt>
                <c:pt idx="14">
                  <c:v>SUNLOCK SPA</c:v>
                </c:pt>
                <c:pt idx="15">
                  <c:v>LAMITEX S.A.</c:v>
                </c:pt>
                <c:pt idx="16">
                  <c:v>DAVID MORENO VISCARRA</c:v>
                </c:pt>
                <c:pt idx="17">
                  <c:v>INMAPOL SACIF</c:v>
                </c:pt>
                <c:pt idx="18">
                  <c:v>ESPUMAS PLASTICAS SAS - COMODISIMO</c:v>
                </c:pt>
                <c:pt idx="19">
                  <c:v>VISCARRA </c:v>
                </c:pt>
                <c:pt idx="20">
                  <c:v>TEXTIL FIBREX</c:v>
                </c:pt>
                <c:pt idx="21">
                  <c:v>SEA TRADING COMPANY SA</c:v>
                </c:pt>
                <c:pt idx="22">
                  <c:v>COLCHONES DEL PARAGUAY S.R.L.</c:v>
                </c:pt>
                <c:pt idx="23">
                  <c:v>COMERCIALIZADORA SL SUNLOCK LTDA</c:v>
                </c:pt>
                <c:pt idx="24">
                  <c:v>SUENOLAR</c:v>
                </c:pt>
                <c:pt idx="25">
                  <c:v>ZONKD LIMITADA DE CV</c:v>
                </c:pt>
              </c:strCache>
            </c:strRef>
          </c:cat>
          <c:val>
            <c:numRef>
              <c:f>' 2026 CY vs SPYA'!$AL$6:$AL$32</c:f>
              <c:numCache>
                <c:formatCode>#,##0</c:formatCode>
                <c:ptCount val="26"/>
                <c:pt idx="4">
                  <c:v>3374</c:v>
                </c:pt>
                <c:pt idx="10">
                  <c:v>3771</c:v>
                </c:pt>
                <c:pt idx="12">
                  <c:v>7405</c:v>
                </c:pt>
                <c:pt idx="14">
                  <c:v>3730</c:v>
                </c:pt>
                <c:pt idx="20">
                  <c:v>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A2-4D6A-B4F8-6EBBB7DA41BE}"/>
            </c:ext>
          </c:extLst>
        </c:ser>
        <c:ser>
          <c:idx val="6"/>
          <c:order val="6"/>
          <c:tx>
            <c:strRef>
              <c:f>' 2026 CY vs SPYA'!$AM$3:$AM$5</c:f>
              <c:strCache>
                <c:ptCount val="1"/>
                <c:pt idx="0">
                  <c:v>2026 - 6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 2026 CY vs SPYA'!$AF$6:$AF$32</c:f>
              <c:strCache>
                <c:ptCount val="26"/>
                <c:pt idx="0">
                  <c:v>DIVINO COLCHONES</c:v>
                </c:pt>
                <c:pt idx="1">
                  <c:v>BED TIME S.A.</c:v>
                </c:pt>
                <c:pt idx="2">
                  <c:v>INDUCOL INDUSTRIA</c:v>
                </c:pt>
                <c:pt idx="3">
                  <c:v>LIMANSKY S.A.</c:v>
                </c:pt>
                <c:pt idx="4">
                  <c:v>FLEX CHILE</c:v>
                </c:pt>
                <c:pt idx="5">
                  <c:v>COLCHONES POLYMAX</c:v>
                </c:pt>
                <c:pt idx="6">
                  <c:v>SIMMONS DE ARGENTINA SAIC</c:v>
                </c:pt>
                <c:pt idx="7">
                  <c:v>SUPERESPUMA</c:v>
                </c:pt>
                <c:pt idx="8">
                  <c:v>FRAZADAS ARTESANALES SAC</c:v>
                </c:pt>
                <c:pt idx="9">
                  <c:v>SPRINGWALL S.A.</c:v>
                </c:pt>
                <c:pt idx="10">
                  <c:v>PRODUCTOS PARAISO DEL ECUADOR</c:v>
                </c:pt>
                <c:pt idx="11">
                  <c:v>MAXI KING</c:v>
                </c:pt>
                <c:pt idx="12">
                  <c:v>DISTRIBUIDORA CASEROS</c:v>
                </c:pt>
                <c:pt idx="13">
                  <c:v>MULTIESPUMAS VISCARRA </c:v>
                </c:pt>
                <c:pt idx="14">
                  <c:v>SUNLOCK SPA</c:v>
                </c:pt>
                <c:pt idx="15">
                  <c:v>LAMITEX S.A.</c:v>
                </c:pt>
                <c:pt idx="16">
                  <c:v>DAVID MORENO VISCARRA</c:v>
                </c:pt>
                <c:pt idx="17">
                  <c:v>INMAPOL SACIF</c:v>
                </c:pt>
                <c:pt idx="18">
                  <c:v>ESPUMAS PLASTICAS SAS - COMODISIMO</c:v>
                </c:pt>
                <c:pt idx="19">
                  <c:v>VISCARRA </c:v>
                </c:pt>
                <c:pt idx="20">
                  <c:v>TEXTIL FIBREX</c:v>
                </c:pt>
                <c:pt idx="21">
                  <c:v>SEA TRADING COMPANY SA</c:v>
                </c:pt>
                <c:pt idx="22">
                  <c:v>COLCHONES DEL PARAGUAY S.R.L.</c:v>
                </c:pt>
                <c:pt idx="23">
                  <c:v>COMERCIALIZADORA SL SUNLOCK LTDA</c:v>
                </c:pt>
                <c:pt idx="24">
                  <c:v>SUENOLAR</c:v>
                </c:pt>
                <c:pt idx="25">
                  <c:v>ZONKD LIMITADA DE CV</c:v>
                </c:pt>
              </c:strCache>
            </c:strRef>
          </c:cat>
          <c:val>
            <c:numRef>
              <c:f>' 2026 CY vs SPYA'!$AM$6:$AM$32</c:f>
              <c:numCache>
                <c:formatCode>#,##0</c:formatCode>
                <c:ptCount val="26"/>
                <c:pt idx="0">
                  <c:v>9138</c:v>
                </c:pt>
                <c:pt idx="3">
                  <c:v>608</c:v>
                </c:pt>
                <c:pt idx="4">
                  <c:v>3812</c:v>
                </c:pt>
                <c:pt idx="13">
                  <c:v>5017.83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A2-4D6A-B4F8-6EBBB7DA41BE}"/>
            </c:ext>
          </c:extLst>
        </c:ser>
        <c:ser>
          <c:idx val="7"/>
          <c:order val="7"/>
          <c:tx>
            <c:strRef>
              <c:f>' 2026 CY vs SPYA'!$AN$3:$AN$5</c:f>
              <c:strCache>
                <c:ptCount val="1"/>
                <c:pt idx="0">
                  <c:v>2026 - 7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 2026 CY vs SPYA'!$AF$6:$AF$32</c:f>
              <c:strCache>
                <c:ptCount val="26"/>
                <c:pt idx="0">
                  <c:v>DIVINO COLCHONES</c:v>
                </c:pt>
                <c:pt idx="1">
                  <c:v>BED TIME S.A.</c:v>
                </c:pt>
                <c:pt idx="2">
                  <c:v>INDUCOL INDUSTRIA</c:v>
                </c:pt>
                <c:pt idx="3">
                  <c:v>LIMANSKY S.A.</c:v>
                </c:pt>
                <c:pt idx="4">
                  <c:v>FLEX CHILE</c:v>
                </c:pt>
                <c:pt idx="5">
                  <c:v>COLCHONES POLYMAX</c:v>
                </c:pt>
                <c:pt idx="6">
                  <c:v>SIMMONS DE ARGENTINA SAIC</c:v>
                </c:pt>
                <c:pt idx="7">
                  <c:v>SUPERESPUMA</c:v>
                </c:pt>
                <c:pt idx="8">
                  <c:v>FRAZADAS ARTESANALES SAC</c:v>
                </c:pt>
                <c:pt idx="9">
                  <c:v>SPRINGWALL S.A.</c:v>
                </c:pt>
                <c:pt idx="10">
                  <c:v>PRODUCTOS PARAISO DEL ECUADOR</c:v>
                </c:pt>
                <c:pt idx="11">
                  <c:v>MAXI KING</c:v>
                </c:pt>
                <c:pt idx="12">
                  <c:v>DISTRIBUIDORA CASEROS</c:v>
                </c:pt>
                <c:pt idx="13">
                  <c:v>MULTIESPUMAS VISCARRA </c:v>
                </c:pt>
                <c:pt idx="14">
                  <c:v>SUNLOCK SPA</c:v>
                </c:pt>
                <c:pt idx="15">
                  <c:v>LAMITEX S.A.</c:v>
                </c:pt>
                <c:pt idx="16">
                  <c:v>DAVID MORENO VISCARRA</c:v>
                </c:pt>
                <c:pt idx="17">
                  <c:v>INMAPOL SACIF</c:v>
                </c:pt>
                <c:pt idx="18">
                  <c:v>ESPUMAS PLASTICAS SAS - COMODISIMO</c:v>
                </c:pt>
                <c:pt idx="19">
                  <c:v>VISCARRA </c:v>
                </c:pt>
                <c:pt idx="20">
                  <c:v>TEXTIL FIBREX</c:v>
                </c:pt>
                <c:pt idx="21">
                  <c:v>SEA TRADING COMPANY SA</c:v>
                </c:pt>
                <c:pt idx="22">
                  <c:v>COLCHONES DEL PARAGUAY S.R.L.</c:v>
                </c:pt>
                <c:pt idx="23">
                  <c:v>COMERCIALIZADORA SL SUNLOCK LTDA</c:v>
                </c:pt>
                <c:pt idx="24">
                  <c:v>SUENOLAR</c:v>
                </c:pt>
                <c:pt idx="25">
                  <c:v>ZONKD LIMITADA DE CV</c:v>
                </c:pt>
              </c:strCache>
            </c:strRef>
          </c:cat>
          <c:val>
            <c:numRef>
              <c:f>' 2026 CY vs SPYA'!$AN$6:$AN$32</c:f>
              <c:numCache>
                <c:formatCode>#,##0</c:formatCode>
                <c:ptCount val="26"/>
                <c:pt idx="7">
                  <c:v>4119</c:v>
                </c:pt>
                <c:pt idx="13">
                  <c:v>3288</c:v>
                </c:pt>
                <c:pt idx="15">
                  <c:v>2461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A2-4D6A-B4F8-6EBBB7DA41BE}"/>
            </c:ext>
          </c:extLst>
        </c:ser>
        <c:ser>
          <c:idx val="8"/>
          <c:order val="8"/>
          <c:tx>
            <c:strRef>
              <c:f>' 2026 CY vs SPYA'!$AO$3:$AO$5</c:f>
              <c:strCache>
                <c:ptCount val="1"/>
                <c:pt idx="0">
                  <c:v>2026 - 8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 2026 CY vs SPYA'!$AF$6:$AF$32</c:f>
              <c:strCache>
                <c:ptCount val="26"/>
                <c:pt idx="0">
                  <c:v>DIVINO COLCHONES</c:v>
                </c:pt>
                <c:pt idx="1">
                  <c:v>BED TIME S.A.</c:v>
                </c:pt>
                <c:pt idx="2">
                  <c:v>INDUCOL INDUSTRIA</c:v>
                </c:pt>
                <c:pt idx="3">
                  <c:v>LIMANSKY S.A.</c:v>
                </c:pt>
                <c:pt idx="4">
                  <c:v>FLEX CHILE</c:v>
                </c:pt>
                <c:pt idx="5">
                  <c:v>COLCHONES POLYMAX</c:v>
                </c:pt>
                <c:pt idx="6">
                  <c:v>SIMMONS DE ARGENTINA SAIC</c:v>
                </c:pt>
                <c:pt idx="7">
                  <c:v>SUPERESPUMA</c:v>
                </c:pt>
                <c:pt idx="8">
                  <c:v>FRAZADAS ARTESANALES SAC</c:v>
                </c:pt>
                <c:pt idx="9">
                  <c:v>SPRINGWALL S.A.</c:v>
                </c:pt>
                <c:pt idx="10">
                  <c:v>PRODUCTOS PARAISO DEL ECUADOR</c:v>
                </c:pt>
                <c:pt idx="11">
                  <c:v>MAXI KING</c:v>
                </c:pt>
                <c:pt idx="12">
                  <c:v>DISTRIBUIDORA CASEROS</c:v>
                </c:pt>
                <c:pt idx="13">
                  <c:v>MULTIESPUMAS VISCARRA </c:v>
                </c:pt>
                <c:pt idx="14">
                  <c:v>SUNLOCK SPA</c:v>
                </c:pt>
                <c:pt idx="15">
                  <c:v>LAMITEX S.A.</c:v>
                </c:pt>
                <c:pt idx="16">
                  <c:v>DAVID MORENO VISCARRA</c:v>
                </c:pt>
                <c:pt idx="17">
                  <c:v>INMAPOL SACIF</c:v>
                </c:pt>
                <c:pt idx="18">
                  <c:v>ESPUMAS PLASTICAS SAS - COMODISIMO</c:v>
                </c:pt>
                <c:pt idx="19">
                  <c:v>VISCARRA </c:v>
                </c:pt>
                <c:pt idx="20">
                  <c:v>TEXTIL FIBREX</c:v>
                </c:pt>
                <c:pt idx="21">
                  <c:v>SEA TRADING COMPANY SA</c:v>
                </c:pt>
                <c:pt idx="22">
                  <c:v>COLCHONES DEL PARAGUAY S.R.L.</c:v>
                </c:pt>
                <c:pt idx="23">
                  <c:v>COMERCIALIZADORA SL SUNLOCK LTDA</c:v>
                </c:pt>
                <c:pt idx="24">
                  <c:v>SUENOLAR</c:v>
                </c:pt>
                <c:pt idx="25">
                  <c:v>ZONKD LIMITADA DE CV</c:v>
                </c:pt>
              </c:strCache>
            </c:strRef>
          </c:cat>
          <c:val>
            <c:numRef>
              <c:f>' 2026 CY vs SPYA'!$AO$6:$AO$32</c:f>
              <c:numCache>
                <c:formatCode>#,##0</c:formatCode>
                <c:ptCount val="26"/>
                <c:pt idx="3">
                  <c:v>590</c:v>
                </c:pt>
                <c:pt idx="4">
                  <c:v>2913</c:v>
                </c:pt>
                <c:pt idx="8">
                  <c:v>22778</c:v>
                </c:pt>
                <c:pt idx="19">
                  <c:v>5054</c:v>
                </c:pt>
                <c:pt idx="21">
                  <c:v>1367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A2-4D6A-B4F8-6EBBB7DA41BE}"/>
            </c:ext>
          </c:extLst>
        </c:ser>
        <c:ser>
          <c:idx val="9"/>
          <c:order val="9"/>
          <c:tx>
            <c:strRef>
              <c:f>' 2026 CY vs SPYA'!$AP$3:$AP$5</c:f>
              <c:strCache>
                <c:ptCount val="1"/>
                <c:pt idx="0">
                  <c:v>2026 - 9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 2026 CY vs SPYA'!$AF$6:$AF$32</c:f>
              <c:strCache>
                <c:ptCount val="26"/>
                <c:pt idx="0">
                  <c:v>DIVINO COLCHONES</c:v>
                </c:pt>
                <c:pt idx="1">
                  <c:v>BED TIME S.A.</c:v>
                </c:pt>
                <c:pt idx="2">
                  <c:v>INDUCOL INDUSTRIA</c:v>
                </c:pt>
                <c:pt idx="3">
                  <c:v>LIMANSKY S.A.</c:v>
                </c:pt>
                <c:pt idx="4">
                  <c:v>FLEX CHILE</c:v>
                </c:pt>
                <c:pt idx="5">
                  <c:v>COLCHONES POLYMAX</c:v>
                </c:pt>
                <c:pt idx="6">
                  <c:v>SIMMONS DE ARGENTINA SAIC</c:v>
                </c:pt>
                <c:pt idx="7">
                  <c:v>SUPERESPUMA</c:v>
                </c:pt>
                <c:pt idx="8">
                  <c:v>FRAZADAS ARTESANALES SAC</c:v>
                </c:pt>
                <c:pt idx="9">
                  <c:v>SPRINGWALL S.A.</c:v>
                </c:pt>
                <c:pt idx="10">
                  <c:v>PRODUCTOS PARAISO DEL ECUADOR</c:v>
                </c:pt>
                <c:pt idx="11">
                  <c:v>MAXI KING</c:v>
                </c:pt>
                <c:pt idx="12">
                  <c:v>DISTRIBUIDORA CASEROS</c:v>
                </c:pt>
                <c:pt idx="13">
                  <c:v>MULTIESPUMAS VISCARRA </c:v>
                </c:pt>
                <c:pt idx="14">
                  <c:v>SUNLOCK SPA</c:v>
                </c:pt>
                <c:pt idx="15">
                  <c:v>LAMITEX S.A.</c:v>
                </c:pt>
                <c:pt idx="16">
                  <c:v>DAVID MORENO VISCARRA</c:v>
                </c:pt>
                <c:pt idx="17">
                  <c:v>INMAPOL SACIF</c:v>
                </c:pt>
                <c:pt idx="18">
                  <c:v>ESPUMAS PLASTICAS SAS - COMODISIMO</c:v>
                </c:pt>
                <c:pt idx="19">
                  <c:v>VISCARRA </c:v>
                </c:pt>
                <c:pt idx="20">
                  <c:v>TEXTIL FIBREX</c:v>
                </c:pt>
                <c:pt idx="21">
                  <c:v>SEA TRADING COMPANY SA</c:v>
                </c:pt>
                <c:pt idx="22">
                  <c:v>COLCHONES DEL PARAGUAY S.R.L.</c:v>
                </c:pt>
                <c:pt idx="23">
                  <c:v>COMERCIALIZADORA SL SUNLOCK LTDA</c:v>
                </c:pt>
                <c:pt idx="24">
                  <c:v>SUENOLAR</c:v>
                </c:pt>
                <c:pt idx="25">
                  <c:v>ZONKD LIMITADA DE CV</c:v>
                </c:pt>
              </c:strCache>
            </c:strRef>
          </c:cat>
          <c:val>
            <c:numRef>
              <c:f>' 2026 CY vs SPYA'!$AP$6:$AP$32</c:f>
              <c:numCache>
                <c:formatCode>#,##0</c:formatCode>
                <c:ptCount val="26"/>
                <c:pt idx="0">
                  <c:v>5118</c:v>
                </c:pt>
                <c:pt idx="3">
                  <c:v>26908</c:v>
                </c:pt>
                <c:pt idx="5">
                  <c:v>10782</c:v>
                </c:pt>
                <c:pt idx="14">
                  <c:v>2445</c:v>
                </c:pt>
                <c:pt idx="21">
                  <c:v>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A2-4D6A-B4F8-6EBBB7DA4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0591104"/>
        <c:axId val="1010588704"/>
      </c:barChart>
      <c:catAx>
        <c:axId val="101059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0588704"/>
        <c:crosses val="autoZero"/>
        <c:auto val="1"/>
        <c:lblAlgn val="ctr"/>
        <c:lblOffset val="100"/>
        <c:noMultiLvlLbl val="0"/>
      </c:catAx>
      <c:valAx>
        <c:axId val="101058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059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 2026 CY vs SPYA!TablaDinámica5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R$ - Comparative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294310856309101E-2"/>
          <c:y val="0.16115423474369478"/>
          <c:w val="0.83385446425401011"/>
          <c:h val="0.479005455087458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2026 CY vs SPYA'!$B$3:$B$5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2026 CY vs SPYA'!$A$6:$A$36</c:f>
              <c:strCache>
                <c:ptCount val="30"/>
                <c:pt idx="0">
                  <c:v>DIVINO COLCHONES</c:v>
                </c:pt>
                <c:pt idx="1">
                  <c:v>BED TIME S.A.</c:v>
                </c:pt>
                <c:pt idx="2">
                  <c:v>LIMANSKY S.A.</c:v>
                </c:pt>
                <c:pt idx="3">
                  <c:v>FLEX CHILE</c:v>
                </c:pt>
                <c:pt idx="4">
                  <c:v>INDUCOL INDUSTRIA</c:v>
                </c:pt>
                <c:pt idx="5">
                  <c:v>COLCHONES POLYMAX</c:v>
                </c:pt>
                <c:pt idx="6">
                  <c:v>SUNLOCK SPA</c:v>
                </c:pt>
                <c:pt idx="7">
                  <c:v>SIMMONS DE ARGENTINA SAIC</c:v>
                </c:pt>
                <c:pt idx="8">
                  <c:v>SUPERESPUMA</c:v>
                </c:pt>
                <c:pt idx="9">
                  <c:v>VERZAZELLE LLC IND REGAL</c:v>
                </c:pt>
                <c:pt idx="10">
                  <c:v>SPRINGWALL S.A.</c:v>
                </c:pt>
                <c:pt idx="11">
                  <c:v>PRODUCTOS PARAISO DEL ECUADOR</c:v>
                </c:pt>
                <c:pt idx="12">
                  <c:v>FRAZADAS ARTESANALES SAC</c:v>
                </c:pt>
                <c:pt idx="13">
                  <c:v>LAMITEX S.A.</c:v>
                </c:pt>
                <c:pt idx="14">
                  <c:v>DISTRIBUIDORA CASEROS</c:v>
                </c:pt>
                <c:pt idx="15">
                  <c:v>MAXI KING</c:v>
                </c:pt>
                <c:pt idx="16">
                  <c:v>DAVID MORENO VISCARRA</c:v>
                </c:pt>
                <c:pt idx="17">
                  <c:v>MULTIESPUMAS VISCARRA </c:v>
                </c:pt>
                <c:pt idx="18">
                  <c:v>TEXTIL FIBREX</c:v>
                </c:pt>
                <c:pt idx="19">
                  <c:v>ATLAS COLCHONES</c:v>
                </c:pt>
                <c:pt idx="20">
                  <c:v>INMAPOL SACIF</c:v>
                </c:pt>
                <c:pt idx="21">
                  <c:v>ESPUMAS PLASTICAS SAS - COMODISIMO</c:v>
                </c:pt>
                <c:pt idx="22">
                  <c:v>SEA TRADING COMPANY SA</c:v>
                </c:pt>
                <c:pt idx="23">
                  <c:v> HERALDO CASTRO PALMA (MANTAHUE SPA)</c:v>
                </c:pt>
                <c:pt idx="24">
                  <c:v>COMERCIALIZADORA SL SUNLOCK LTDA</c:v>
                </c:pt>
                <c:pt idx="25">
                  <c:v>VISCARRA </c:v>
                </c:pt>
                <c:pt idx="26">
                  <c:v>COLCHONES DEL PARAGUAY S.R.L.</c:v>
                </c:pt>
                <c:pt idx="27">
                  <c:v>SUENOLAR</c:v>
                </c:pt>
                <c:pt idx="28">
                  <c:v>AMAZHEL TEC NIPONA</c:v>
                </c:pt>
                <c:pt idx="29">
                  <c:v>ZONKD LIMITADA DE CV</c:v>
                </c:pt>
              </c:strCache>
            </c:strRef>
          </c:cat>
          <c:val>
            <c:numRef>
              <c:f>' 2026 CY vs SPYA'!$B$6:$B$36</c:f>
              <c:numCache>
                <c:formatCode>#,##0.00</c:formatCode>
                <c:ptCount val="30"/>
                <c:pt idx="0">
                  <c:v>1809083.2500000002</c:v>
                </c:pt>
                <c:pt idx="1">
                  <c:v>808767.58999999985</c:v>
                </c:pt>
                <c:pt idx="3">
                  <c:v>463961.02999999997</c:v>
                </c:pt>
                <c:pt idx="4">
                  <c:v>493873.25999999978</c:v>
                </c:pt>
                <c:pt idx="5">
                  <c:v>182253.67000000004</c:v>
                </c:pt>
                <c:pt idx="6">
                  <c:v>99276.88</c:v>
                </c:pt>
                <c:pt idx="7">
                  <c:v>180129.59</c:v>
                </c:pt>
                <c:pt idx="8">
                  <c:v>193595.43000000002</c:v>
                </c:pt>
                <c:pt idx="10">
                  <c:v>236975.8</c:v>
                </c:pt>
                <c:pt idx="11">
                  <c:v>175581.16999999998</c:v>
                </c:pt>
                <c:pt idx="14">
                  <c:v>77365.97</c:v>
                </c:pt>
                <c:pt idx="15">
                  <c:v>139359.39000000001</c:v>
                </c:pt>
                <c:pt idx="16">
                  <c:v>118571.3</c:v>
                </c:pt>
                <c:pt idx="20">
                  <c:v>75015.420000000013</c:v>
                </c:pt>
                <c:pt idx="21">
                  <c:v>60369.8</c:v>
                </c:pt>
                <c:pt idx="24">
                  <c:v>40308.06</c:v>
                </c:pt>
                <c:pt idx="27">
                  <c:v>6888.53</c:v>
                </c:pt>
                <c:pt idx="29">
                  <c:v>104.02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1-4F95-B25F-508D2E06E24B}"/>
            </c:ext>
          </c:extLst>
        </c:ser>
        <c:ser>
          <c:idx val="1"/>
          <c:order val="1"/>
          <c:tx>
            <c:strRef>
              <c:f>' 2026 CY vs SPYA'!$C$3:$C$5</c:f>
              <c:strCache>
                <c:ptCount val="1"/>
                <c:pt idx="0">
                  <c:v>2026 - 1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2026 CY vs SPYA'!$A$6:$A$36</c:f>
              <c:strCache>
                <c:ptCount val="30"/>
                <c:pt idx="0">
                  <c:v>DIVINO COLCHONES</c:v>
                </c:pt>
                <c:pt idx="1">
                  <c:v>BED TIME S.A.</c:v>
                </c:pt>
                <c:pt idx="2">
                  <c:v>LIMANSKY S.A.</c:v>
                </c:pt>
                <c:pt idx="3">
                  <c:v>FLEX CHILE</c:v>
                </c:pt>
                <c:pt idx="4">
                  <c:v>INDUCOL INDUSTRIA</c:v>
                </c:pt>
                <c:pt idx="5">
                  <c:v>COLCHONES POLYMAX</c:v>
                </c:pt>
                <c:pt idx="6">
                  <c:v>SUNLOCK SPA</c:v>
                </c:pt>
                <c:pt idx="7">
                  <c:v>SIMMONS DE ARGENTINA SAIC</c:v>
                </c:pt>
                <c:pt idx="8">
                  <c:v>SUPERESPUMA</c:v>
                </c:pt>
                <c:pt idx="9">
                  <c:v>VERZAZELLE LLC IND REGAL</c:v>
                </c:pt>
                <c:pt idx="10">
                  <c:v>SPRINGWALL S.A.</c:v>
                </c:pt>
                <c:pt idx="11">
                  <c:v>PRODUCTOS PARAISO DEL ECUADOR</c:v>
                </c:pt>
                <c:pt idx="12">
                  <c:v>FRAZADAS ARTESANALES SAC</c:v>
                </c:pt>
                <c:pt idx="13">
                  <c:v>LAMITEX S.A.</c:v>
                </c:pt>
                <c:pt idx="14">
                  <c:v>DISTRIBUIDORA CASEROS</c:v>
                </c:pt>
                <c:pt idx="15">
                  <c:v>MAXI KING</c:v>
                </c:pt>
                <c:pt idx="16">
                  <c:v>DAVID MORENO VISCARRA</c:v>
                </c:pt>
                <c:pt idx="17">
                  <c:v>MULTIESPUMAS VISCARRA </c:v>
                </c:pt>
                <c:pt idx="18">
                  <c:v>TEXTIL FIBREX</c:v>
                </c:pt>
                <c:pt idx="19">
                  <c:v>ATLAS COLCHONES</c:v>
                </c:pt>
                <c:pt idx="20">
                  <c:v>INMAPOL SACIF</c:v>
                </c:pt>
                <c:pt idx="21">
                  <c:v>ESPUMAS PLASTICAS SAS - COMODISIMO</c:v>
                </c:pt>
                <c:pt idx="22">
                  <c:v>SEA TRADING COMPANY SA</c:v>
                </c:pt>
                <c:pt idx="23">
                  <c:v> HERALDO CASTRO PALMA (MANTAHUE SPA)</c:v>
                </c:pt>
                <c:pt idx="24">
                  <c:v>COMERCIALIZADORA SL SUNLOCK LTDA</c:v>
                </c:pt>
                <c:pt idx="25">
                  <c:v>VISCARRA </c:v>
                </c:pt>
                <c:pt idx="26">
                  <c:v>COLCHONES DEL PARAGUAY S.R.L.</c:v>
                </c:pt>
                <c:pt idx="27">
                  <c:v>SUENOLAR</c:v>
                </c:pt>
                <c:pt idx="28">
                  <c:v>AMAZHEL TEC NIPONA</c:v>
                </c:pt>
                <c:pt idx="29">
                  <c:v>ZONKD LIMITADA DE CV</c:v>
                </c:pt>
              </c:strCache>
            </c:strRef>
          </c:cat>
          <c:val>
            <c:numRef>
              <c:f>' 2026 CY vs SPYA'!$C$6:$C$36</c:f>
              <c:numCache>
                <c:formatCode>#,##0.00</c:formatCode>
                <c:ptCount val="30"/>
                <c:pt idx="3">
                  <c:v>49826.290000000008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8-4249-86DC-4D1CD918263C}"/>
            </c:ext>
          </c:extLst>
        </c:ser>
        <c:ser>
          <c:idx val="2"/>
          <c:order val="2"/>
          <c:tx>
            <c:strRef>
              <c:f>' 2026 CY vs SPYA'!$D$3:$D$5</c:f>
              <c:strCache>
                <c:ptCount val="1"/>
                <c:pt idx="0">
                  <c:v>2026 - 2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 2026 CY vs SPYA'!$A$6:$A$36</c:f>
              <c:strCache>
                <c:ptCount val="30"/>
                <c:pt idx="0">
                  <c:v>DIVINO COLCHONES</c:v>
                </c:pt>
                <c:pt idx="1">
                  <c:v>BED TIME S.A.</c:v>
                </c:pt>
                <c:pt idx="2">
                  <c:v>LIMANSKY S.A.</c:v>
                </c:pt>
                <c:pt idx="3">
                  <c:v>FLEX CHILE</c:v>
                </c:pt>
                <c:pt idx="4">
                  <c:v>INDUCOL INDUSTRIA</c:v>
                </c:pt>
                <c:pt idx="5">
                  <c:v>COLCHONES POLYMAX</c:v>
                </c:pt>
                <c:pt idx="6">
                  <c:v>SUNLOCK SPA</c:v>
                </c:pt>
                <c:pt idx="7">
                  <c:v>SIMMONS DE ARGENTINA SAIC</c:v>
                </c:pt>
                <c:pt idx="8">
                  <c:v>SUPERESPUMA</c:v>
                </c:pt>
                <c:pt idx="9">
                  <c:v>VERZAZELLE LLC IND REGAL</c:v>
                </c:pt>
                <c:pt idx="10">
                  <c:v>SPRINGWALL S.A.</c:v>
                </c:pt>
                <c:pt idx="11">
                  <c:v>PRODUCTOS PARAISO DEL ECUADOR</c:v>
                </c:pt>
                <c:pt idx="12">
                  <c:v>FRAZADAS ARTESANALES SAC</c:v>
                </c:pt>
                <c:pt idx="13">
                  <c:v>LAMITEX S.A.</c:v>
                </c:pt>
                <c:pt idx="14">
                  <c:v>DISTRIBUIDORA CASEROS</c:v>
                </c:pt>
                <c:pt idx="15">
                  <c:v>MAXI KING</c:v>
                </c:pt>
                <c:pt idx="16">
                  <c:v>DAVID MORENO VISCARRA</c:v>
                </c:pt>
                <c:pt idx="17">
                  <c:v>MULTIESPUMAS VISCARRA </c:v>
                </c:pt>
                <c:pt idx="18">
                  <c:v>TEXTIL FIBREX</c:v>
                </c:pt>
                <c:pt idx="19">
                  <c:v>ATLAS COLCHONES</c:v>
                </c:pt>
                <c:pt idx="20">
                  <c:v>INMAPOL SACIF</c:v>
                </c:pt>
                <c:pt idx="21">
                  <c:v>ESPUMAS PLASTICAS SAS - COMODISIMO</c:v>
                </c:pt>
                <c:pt idx="22">
                  <c:v>SEA TRADING COMPANY SA</c:v>
                </c:pt>
                <c:pt idx="23">
                  <c:v> HERALDO CASTRO PALMA (MANTAHUE SPA)</c:v>
                </c:pt>
                <c:pt idx="24">
                  <c:v>COMERCIALIZADORA SL SUNLOCK LTDA</c:v>
                </c:pt>
                <c:pt idx="25">
                  <c:v>VISCARRA </c:v>
                </c:pt>
                <c:pt idx="26">
                  <c:v>COLCHONES DEL PARAGUAY S.R.L.</c:v>
                </c:pt>
                <c:pt idx="27">
                  <c:v>SUENOLAR</c:v>
                </c:pt>
                <c:pt idx="28">
                  <c:v>AMAZHEL TEC NIPONA</c:v>
                </c:pt>
                <c:pt idx="29">
                  <c:v>ZONKD LIMITADA DE CV</c:v>
                </c:pt>
              </c:strCache>
            </c:strRef>
          </c:cat>
          <c:val>
            <c:numRef>
              <c:f>' 2026 CY vs SPYA'!$D$6:$D$36</c:f>
              <c:numCache>
                <c:formatCode>#,##0.00</c:formatCode>
                <c:ptCount val="30"/>
                <c:pt idx="0">
                  <c:v>63701.11</c:v>
                </c:pt>
                <c:pt idx="3">
                  <c:v>19160.97</c:v>
                </c:pt>
                <c:pt idx="6">
                  <c:v>79994.080000000002</c:v>
                </c:pt>
                <c:pt idx="7">
                  <c:v>114700.02</c:v>
                </c:pt>
                <c:pt idx="13">
                  <c:v>122233.09</c:v>
                </c:pt>
                <c:pt idx="26">
                  <c:v>23570.050000000003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3C9-4BFE-B9AF-55FE5ABB8E1B}"/>
            </c:ext>
          </c:extLst>
        </c:ser>
        <c:ser>
          <c:idx val="3"/>
          <c:order val="3"/>
          <c:tx>
            <c:strRef>
              <c:f>' 2026 CY vs SPYA'!$E$3:$E$5</c:f>
              <c:strCache>
                <c:ptCount val="1"/>
                <c:pt idx="0">
                  <c:v>2026 - 3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 2026 CY vs SPYA'!$A$6:$A$36</c:f>
              <c:strCache>
                <c:ptCount val="30"/>
                <c:pt idx="0">
                  <c:v>DIVINO COLCHONES</c:v>
                </c:pt>
                <c:pt idx="1">
                  <c:v>BED TIME S.A.</c:v>
                </c:pt>
                <c:pt idx="2">
                  <c:v>LIMANSKY S.A.</c:v>
                </c:pt>
                <c:pt idx="3">
                  <c:v>FLEX CHILE</c:v>
                </c:pt>
                <c:pt idx="4">
                  <c:v>INDUCOL INDUSTRIA</c:v>
                </c:pt>
                <c:pt idx="5">
                  <c:v>COLCHONES POLYMAX</c:v>
                </c:pt>
                <c:pt idx="6">
                  <c:v>SUNLOCK SPA</c:v>
                </c:pt>
                <c:pt idx="7">
                  <c:v>SIMMONS DE ARGENTINA SAIC</c:v>
                </c:pt>
                <c:pt idx="8">
                  <c:v>SUPERESPUMA</c:v>
                </c:pt>
                <c:pt idx="9">
                  <c:v>VERZAZELLE LLC IND REGAL</c:v>
                </c:pt>
                <c:pt idx="10">
                  <c:v>SPRINGWALL S.A.</c:v>
                </c:pt>
                <c:pt idx="11">
                  <c:v>PRODUCTOS PARAISO DEL ECUADOR</c:v>
                </c:pt>
                <c:pt idx="12">
                  <c:v>FRAZADAS ARTESANALES SAC</c:v>
                </c:pt>
                <c:pt idx="13">
                  <c:v>LAMITEX S.A.</c:v>
                </c:pt>
                <c:pt idx="14">
                  <c:v>DISTRIBUIDORA CASEROS</c:v>
                </c:pt>
                <c:pt idx="15">
                  <c:v>MAXI KING</c:v>
                </c:pt>
                <c:pt idx="16">
                  <c:v>DAVID MORENO VISCARRA</c:v>
                </c:pt>
                <c:pt idx="17">
                  <c:v>MULTIESPUMAS VISCARRA </c:v>
                </c:pt>
                <c:pt idx="18">
                  <c:v>TEXTIL FIBREX</c:v>
                </c:pt>
                <c:pt idx="19">
                  <c:v>ATLAS COLCHONES</c:v>
                </c:pt>
                <c:pt idx="20">
                  <c:v>INMAPOL SACIF</c:v>
                </c:pt>
                <c:pt idx="21">
                  <c:v>ESPUMAS PLASTICAS SAS - COMODISIMO</c:v>
                </c:pt>
                <c:pt idx="22">
                  <c:v>SEA TRADING COMPANY SA</c:v>
                </c:pt>
                <c:pt idx="23">
                  <c:v> HERALDO CASTRO PALMA (MANTAHUE SPA)</c:v>
                </c:pt>
                <c:pt idx="24">
                  <c:v>COMERCIALIZADORA SL SUNLOCK LTDA</c:v>
                </c:pt>
                <c:pt idx="25">
                  <c:v>VISCARRA </c:v>
                </c:pt>
                <c:pt idx="26">
                  <c:v>COLCHONES DEL PARAGUAY S.R.L.</c:v>
                </c:pt>
                <c:pt idx="27">
                  <c:v>SUENOLAR</c:v>
                </c:pt>
                <c:pt idx="28">
                  <c:v>AMAZHEL TEC NIPONA</c:v>
                </c:pt>
                <c:pt idx="29">
                  <c:v>ZONKD LIMITADA DE CV</c:v>
                </c:pt>
              </c:strCache>
            </c:strRef>
          </c:cat>
          <c:val>
            <c:numRef>
              <c:f>' 2026 CY vs SPYA'!$E$6:$E$36</c:f>
              <c:numCache>
                <c:formatCode>#,##0.00</c:formatCode>
                <c:ptCount val="30"/>
                <c:pt idx="8">
                  <c:v>39474.469999999994</c:v>
                </c:pt>
                <c:pt idx="17">
                  <c:v>33242.959999999999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C9-4BFE-B9AF-55FE5ABB8E1B}"/>
            </c:ext>
          </c:extLst>
        </c:ser>
        <c:ser>
          <c:idx val="4"/>
          <c:order val="4"/>
          <c:tx>
            <c:strRef>
              <c:f>' 2026 CY vs SPYA'!$F$3:$F$5</c:f>
              <c:strCache>
                <c:ptCount val="1"/>
                <c:pt idx="0">
                  <c:v>2026 - 4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 2026 CY vs SPYA'!$A$6:$A$36</c:f>
              <c:strCache>
                <c:ptCount val="30"/>
                <c:pt idx="0">
                  <c:v>DIVINO COLCHONES</c:v>
                </c:pt>
                <c:pt idx="1">
                  <c:v>BED TIME S.A.</c:v>
                </c:pt>
                <c:pt idx="2">
                  <c:v>LIMANSKY S.A.</c:v>
                </c:pt>
                <c:pt idx="3">
                  <c:v>FLEX CHILE</c:v>
                </c:pt>
                <c:pt idx="4">
                  <c:v>INDUCOL INDUSTRIA</c:v>
                </c:pt>
                <c:pt idx="5">
                  <c:v>COLCHONES POLYMAX</c:v>
                </c:pt>
                <c:pt idx="6">
                  <c:v>SUNLOCK SPA</c:v>
                </c:pt>
                <c:pt idx="7">
                  <c:v>SIMMONS DE ARGENTINA SAIC</c:v>
                </c:pt>
                <c:pt idx="8">
                  <c:v>SUPERESPUMA</c:v>
                </c:pt>
                <c:pt idx="9">
                  <c:v>VERZAZELLE LLC IND REGAL</c:v>
                </c:pt>
                <c:pt idx="10">
                  <c:v>SPRINGWALL S.A.</c:v>
                </c:pt>
                <c:pt idx="11">
                  <c:v>PRODUCTOS PARAISO DEL ECUADOR</c:v>
                </c:pt>
                <c:pt idx="12">
                  <c:v>FRAZADAS ARTESANALES SAC</c:v>
                </c:pt>
                <c:pt idx="13">
                  <c:v>LAMITEX S.A.</c:v>
                </c:pt>
                <c:pt idx="14">
                  <c:v>DISTRIBUIDORA CASEROS</c:v>
                </c:pt>
                <c:pt idx="15">
                  <c:v>MAXI KING</c:v>
                </c:pt>
                <c:pt idx="16">
                  <c:v>DAVID MORENO VISCARRA</c:v>
                </c:pt>
                <c:pt idx="17">
                  <c:v>MULTIESPUMAS VISCARRA </c:v>
                </c:pt>
                <c:pt idx="18">
                  <c:v>TEXTIL FIBREX</c:v>
                </c:pt>
                <c:pt idx="19">
                  <c:v>ATLAS COLCHONES</c:v>
                </c:pt>
                <c:pt idx="20">
                  <c:v>INMAPOL SACIF</c:v>
                </c:pt>
                <c:pt idx="21">
                  <c:v>ESPUMAS PLASTICAS SAS - COMODISIMO</c:v>
                </c:pt>
                <c:pt idx="22">
                  <c:v>SEA TRADING COMPANY SA</c:v>
                </c:pt>
                <c:pt idx="23">
                  <c:v> HERALDO CASTRO PALMA (MANTAHUE SPA)</c:v>
                </c:pt>
                <c:pt idx="24">
                  <c:v>COMERCIALIZADORA SL SUNLOCK LTDA</c:v>
                </c:pt>
                <c:pt idx="25">
                  <c:v>VISCARRA </c:v>
                </c:pt>
                <c:pt idx="26">
                  <c:v>COLCHONES DEL PARAGUAY S.R.L.</c:v>
                </c:pt>
                <c:pt idx="27">
                  <c:v>SUENOLAR</c:v>
                </c:pt>
                <c:pt idx="28">
                  <c:v>AMAZHEL TEC NIPONA</c:v>
                </c:pt>
                <c:pt idx="29">
                  <c:v>ZONKD LIMITADA DE CV</c:v>
                </c:pt>
              </c:strCache>
            </c:strRef>
          </c:cat>
          <c:val>
            <c:numRef>
              <c:f>' 2026 CY vs SPYA'!$F$6:$F$36</c:f>
              <c:numCache>
                <c:formatCode>#,##0.00</c:formatCode>
                <c:ptCount val="30"/>
                <c:pt idx="1">
                  <c:v>271521.78999999998</c:v>
                </c:pt>
                <c:pt idx="2">
                  <c:v>355714.35</c:v>
                </c:pt>
                <c:pt idx="3">
                  <c:v>49600.08</c:v>
                </c:pt>
                <c:pt idx="4">
                  <c:v>119332.51999999999</c:v>
                </c:pt>
                <c:pt idx="5">
                  <c:v>97254.49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3C9-4BFE-B9AF-55FE5ABB8E1B}"/>
            </c:ext>
          </c:extLst>
        </c:ser>
        <c:ser>
          <c:idx val="5"/>
          <c:order val="5"/>
          <c:tx>
            <c:strRef>
              <c:f>' 2026 CY vs SPYA'!$G$3:$G$5</c:f>
              <c:strCache>
                <c:ptCount val="1"/>
                <c:pt idx="0">
                  <c:v>2026 - 5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 2026 CY vs SPYA'!$A$6:$A$36</c:f>
              <c:strCache>
                <c:ptCount val="30"/>
                <c:pt idx="0">
                  <c:v>DIVINO COLCHONES</c:v>
                </c:pt>
                <c:pt idx="1">
                  <c:v>BED TIME S.A.</c:v>
                </c:pt>
                <c:pt idx="2">
                  <c:v>LIMANSKY S.A.</c:v>
                </c:pt>
                <c:pt idx="3">
                  <c:v>FLEX CHILE</c:v>
                </c:pt>
                <c:pt idx="4">
                  <c:v>INDUCOL INDUSTRIA</c:v>
                </c:pt>
                <c:pt idx="5">
                  <c:v>COLCHONES POLYMAX</c:v>
                </c:pt>
                <c:pt idx="6">
                  <c:v>SUNLOCK SPA</c:v>
                </c:pt>
                <c:pt idx="7">
                  <c:v>SIMMONS DE ARGENTINA SAIC</c:v>
                </c:pt>
                <c:pt idx="8">
                  <c:v>SUPERESPUMA</c:v>
                </c:pt>
                <c:pt idx="9">
                  <c:v>VERZAZELLE LLC IND REGAL</c:v>
                </c:pt>
                <c:pt idx="10">
                  <c:v>SPRINGWALL S.A.</c:v>
                </c:pt>
                <c:pt idx="11">
                  <c:v>PRODUCTOS PARAISO DEL ECUADOR</c:v>
                </c:pt>
                <c:pt idx="12">
                  <c:v>FRAZADAS ARTESANALES SAC</c:v>
                </c:pt>
                <c:pt idx="13">
                  <c:v>LAMITEX S.A.</c:v>
                </c:pt>
                <c:pt idx="14">
                  <c:v>DISTRIBUIDORA CASEROS</c:v>
                </c:pt>
                <c:pt idx="15">
                  <c:v>MAXI KING</c:v>
                </c:pt>
                <c:pt idx="16">
                  <c:v>DAVID MORENO VISCARRA</c:v>
                </c:pt>
                <c:pt idx="17">
                  <c:v>MULTIESPUMAS VISCARRA </c:v>
                </c:pt>
                <c:pt idx="18">
                  <c:v>TEXTIL FIBREX</c:v>
                </c:pt>
                <c:pt idx="19">
                  <c:v>ATLAS COLCHONES</c:v>
                </c:pt>
                <c:pt idx="20">
                  <c:v>INMAPOL SACIF</c:v>
                </c:pt>
                <c:pt idx="21">
                  <c:v>ESPUMAS PLASTICAS SAS - COMODISIMO</c:v>
                </c:pt>
                <c:pt idx="22">
                  <c:v>SEA TRADING COMPANY SA</c:v>
                </c:pt>
                <c:pt idx="23">
                  <c:v> HERALDO CASTRO PALMA (MANTAHUE SPA)</c:v>
                </c:pt>
                <c:pt idx="24">
                  <c:v>COMERCIALIZADORA SL SUNLOCK LTDA</c:v>
                </c:pt>
                <c:pt idx="25">
                  <c:v>VISCARRA </c:v>
                </c:pt>
                <c:pt idx="26">
                  <c:v>COLCHONES DEL PARAGUAY S.R.L.</c:v>
                </c:pt>
                <c:pt idx="27">
                  <c:v>SUENOLAR</c:v>
                </c:pt>
                <c:pt idx="28">
                  <c:v>AMAZHEL TEC NIPONA</c:v>
                </c:pt>
                <c:pt idx="29">
                  <c:v>ZONKD LIMITADA DE CV</c:v>
                </c:pt>
              </c:strCache>
            </c:strRef>
          </c:cat>
          <c:val>
            <c:numRef>
              <c:f>' 2026 CY vs SPYA'!$G$6:$G$36</c:f>
              <c:numCache>
                <c:formatCode>#,##0.00</c:formatCode>
                <c:ptCount val="30"/>
                <c:pt idx="3">
                  <c:v>44066.080000000002</c:v>
                </c:pt>
                <c:pt idx="6">
                  <c:v>103474.96</c:v>
                </c:pt>
                <c:pt idx="11">
                  <c:v>43790.11</c:v>
                </c:pt>
                <c:pt idx="14">
                  <c:v>81085.950000000012</c:v>
                </c:pt>
                <c:pt idx="18">
                  <c:v>87348.87999999999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3C9-4BFE-B9AF-55FE5ABB8E1B}"/>
            </c:ext>
          </c:extLst>
        </c:ser>
        <c:ser>
          <c:idx val="6"/>
          <c:order val="6"/>
          <c:tx>
            <c:strRef>
              <c:f>' 2026 CY vs SPYA'!$H$3:$H$5</c:f>
              <c:strCache>
                <c:ptCount val="1"/>
                <c:pt idx="0">
                  <c:v>2026 - 6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 2026 CY vs SPYA'!$A$6:$A$36</c:f>
              <c:strCache>
                <c:ptCount val="30"/>
                <c:pt idx="0">
                  <c:v>DIVINO COLCHONES</c:v>
                </c:pt>
                <c:pt idx="1">
                  <c:v>BED TIME S.A.</c:v>
                </c:pt>
                <c:pt idx="2">
                  <c:v>LIMANSKY S.A.</c:v>
                </c:pt>
                <c:pt idx="3">
                  <c:v>FLEX CHILE</c:v>
                </c:pt>
                <c:pt idx="4">
                  <c:v>INDUCOL INDUSTRIA</c:v>
                </c:pt>
                <c:pt idx="5">
                  <c:v>COLCHONES POLYMAX</c:v>
                </c:pt>
                <c:pt idx="6">
                  <c:v>SUNLOCK SPA</c:v>
                </c:pt>
                <c:pt idx="7">
                  <c:v>SIMMONS DE ARGENTINA SAIC</c:v>
                </c:pt>
                <c:pt idx="8">
                  <c:v>SUPERESPUMA</c:v>
                </c:pt>
                <c:pt idx="9">
                  <c:v>VERZAZELLE LLC IND REGAL</c:v>
                </c:pt>
                <c:pt idx="10">
                  <c:v>SPRINGWALL S.A.</c:v>
                </c:pt>
                <c:pt idx="11">
                  <c:v>PRODUCTOS PARAISO DEL ECUADOR</c:v>
                </c:pt>
                <c:pt idx="12">
                  <c:v>FRAZADAS ARTESANALES SAC</c:v>
                </c:pt>
                <c:pt idx="13">
                  <c:v>LAMITEX S.A.</c:v>
                </c:pt>
                <c:pt idx="14">
                  <c:v>DISTRIBUIDORA CASEROS</c:v>
                </c:pt>
                <c:pt idx="15">
                  <c:v>MAXI KING</c:v>
                </c:pt>
                <c:pt idx="16">
                  <c:v>DAVID MORENO VISCARRA</c:v>
                </c:pt>
                <c:pt idx="17">
                  <c:v>MULTIESPUMAS VISCARRA </c:v>
                </c:pt>
                <c:pt idx="18">
                  <c:v>TEXTIL FIBREX</c:v>
                </c:pt>
                <c:pt idx="19">
                  <c:v>ATLAS COLCHONES</c:v>
                </c:pt>
                <c:pt idx="20">
                  <c:v>INMAPOL SACIF</c:v>
                </c:pt>
                <c:pt idx="21">
                  <c:v>ESPUMAS PLASTICAS SAS - COMODISIMO</c:v>
                </c:pt>
                <c:pt idx="22">
                  <c:v>SEA TRADING COMPANY SA</c:v>
                </c:pt>
                <c:pt idx="23">
                  <c:v> HERALDO CASTRO PALMA (MANTAHUE SPA)</c:v>
                </c:pt>
                <c:pt idx="24">
                  <c:v>COMERCIALIZADORA SL SUNLOCK LTDA</c:v>
                </c:pt>
                <c:pt idx="25">
                  <c:v>VISCARRA </c:v>
                </c:pt>
                <c:pt idx="26">
                  <c:v>COLCHONES DEL PARAGUAY S.R.L.</c:v>
                </c:pt>
                <c:pt idx="27">
                  <c:v>SUENOLAR</c:v>
                </c:pt>
                <c:pt idx="28">
                  <c:v>AMAZHEL TEC NIPONA</c:v>
                </c:pt>
                <c:pt idx="29">
                  <c:v>ZONKD LIMITADA DE CV</c:v>
                </c:pt>
              </c:strCache>
            </c:strRef>
          </c:cat>
          <c:val>
            <c:numRef>
              <c:f>' 2026 CY vs SPYA'!$H$6:$H$36</c:f>
              <c:numCache>
                <c:formatCode>#,##0.00</c:formatCode>
                <c:ptCount val="30"/>
                <c:pt idx="0">
                  <c:v>116322.94</c:v>
                </c:pt>
                <c:pt idx="2">
                  <c:v>18133</c:v>
                </c:pt>
                <c:pt idx="3">
                  <c:v>63169.99</c:v>
                </c:pt>
                <c:pt idx="17">
                  <c:v>50181.58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3C9-4BFE-B9AF-55FE5ABB8E1B}"/>
            </c:ext>
          </c:extLst>
        </c:ser>
        <c:ser>
          <c:idx val="7"/>
          <c:order val="7"/>
          <c:tx>
            <c:strRef>
              <c:f>' 2026 CY vs SPYA'!$I$3:$I$5</c:f>
              <c:strCache>
                <c:ptCount val="1"/>
                <c:pt idx="0">
                  <c:v>2026 - 7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 2026 CY vs SPYA'!$A$6:$A$36</c:f>
              <c:strCache>
                <c:ptCount val="30"/>
                <c:pt idx="0">
                  <c:v>DIVINO COLCHONES</c:v>
                </c:pt>
                <c:pt idx="1">
                  <c:v>BED TIME S.A.</c:v>
                </c:pt>
                <c:pt idx="2">
                  <c:v>LIMANSKY S.A.</c:v>
                </c:pt>
                <c:pt idx="3">
                  <c:v>FLEX CHILE</c:v>
                </c:pt>
                <c:pt idx="4">
                  <c:v>INDUCOL INDUSTRIA</c:v>
                </c:pt>
                <c:pt idx="5">
                  <c:v>COLCHONES POLYMAX</c:v>
                </c:pt>
                <c:pt idx="6">
                  <c:v>SUNLOCK SPA</c:v>
                </c:pt>
                <c:pt idx="7">
                  <c:v>SIMMONS DE ARGENTINA SAIC</c:v>
                </c:pt>
                <c:pt idx="8">
                  <c:v>SUPERESPUMA</c:v>
                </c:pt>
                <c:pt idx="9">
                  <c:v>VERZAZELLE LLC IND REGAL</c:v>
                </c:pt>
                <c:pt idx="10">
                  <c:v>SPRINGWALL S.A.</c:v>
                </c:pt>
                <c:pt idx="11">
                  <c:v>PRODUCTOS PARAISO DEL ECUADOR</c:v>
                </c:pt>
                <c:pt idx="12">
                  <c:v>FRAZADAS ARTESANALES SAC</c:v>
                </c:pt>
                <c:pt idx="13">
                  <c:v>LAMITEX S.A.</c:v>
                </c:pt>
                <c:pt idx="14">
                  <c:v>DISTRIBUIDORA CASEROS</c:v>
                </c:pt>
                <c:pt idx="15">
                  <c:v>MAXI KING</c:v>
                </c:pt>
                <c:pt idx="16">
                  <c:v>DAVID MORENO VISCARRA</c:v>
                </c:pt>
                <c:pt idx="17">
                  <c:v>MULTIESPUMAS VISCARRA </c:v>
                </c:pt>
                <c:pt idx="18">
                  <c:v>TEXTIL FIBREX</c:v>
                </c:pt>
                <c:pt idx="19">
                  <c:v>ATLAS COLCHONES</c:v>
                </c:pt>
                <c:pt idx="20">
                  <c:v>INMAPOL SACIF</c:v>
                </c:pt>
                <c:pt idx="21">
                  <c:v>ESPUMAS PLASTICAS SAS - COMODISIMO</c:v>
                </c:pt>
                <c:pt idx="22">
                  <c:v>SEA TRADING COMPANY SA</c:v>
                </c:pt>
                <c:pt idx="23">
                  <c:v> HERALDO CASTRO PALMA (MANTAHUE SPA)</c:v>
                </c:pt>
                <c:pt idx="24">
                  <c:v>COMERCIALIZADORA SL SUNLOCK LTDA</c:v>
                </c:pt>
                <c:pt idx="25">
                  <c:v>VISCARRA </c:v>
                </c:pt>
                <c:pt idx="26">
                  <c:v>COLCHONES DEL PARAGUAY S.R.L.</c:v>
                </c:pt>
                <c:pt idx="27">
                  <c:v>SUENOLAR</c:v>
                </c:pt>
                <c:pt idx="28">
                  <c:v>AMAZHEL TEC NIPONA</c:v>
                </c:pt>
                <c:pt idx="29">
                  <c:v>ZONKD LIMITADA DE CV</c:v>
                </c:pt>
              </c:strCache>
            </c:strRef>
          </c:cat>
          <c:val>
            <c:numRef>
              <c:f>' 2026 CY vs SPYA'!$I$6:$I$36</c:f>
              <c:numCache>
                <c:formatCode>#,##0.00</c:formatCode>
                <c:ptCount val="30"/>
                <c:pt idx="8">
                  <c:v>40841.539999999994</c:v>
                </c:pt>
                <c:pt idx="13">
                  <c:v>63352.98</c:v>
                </c:pt>
                <c:pt idx="17">
                  <c:v>29542.639999999999</c:v>
                </c:pt>
                <c:pt idx="28">
                  <c:v>5346.22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3C9-4BFE-B9AF-55FE5ABB8E1B}"/>
            </c:ext>
          </c:extLst>
        </c:ser>
        <c:ser>
          <c:idx val="8"/>
          <c:order val="8"/>
          <c:tx>
            <c:strRef>
              <c:f>' 2026 CY vs SPYA'!$J$3:$J$5</c:f>
              <c:strCache>
                <c:ptCount val="1"/>
                <c:pt idx="0">
                  <c:v>2026 - 8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 2026 CY vs SPYA'!$A$6:$A$36</c:f>
              <c:strCache>
                <c:ptCount val="30"/>
                <c:pt idx="0">
                  <c:v>DIVINO COLCHONES</c:v>
                </c:pt>
                <c:pt idx="1">
                  <c:v>BED TIME S.A.</c:v>
                </c:pt>
                <c:pt idx="2">
                  <c:v>LIMANSKY S.A.</c:v>
                </c:pt>
                <c:pt idx="3">
                  <c:v>FLEX CHILE</c:v>
                </c:pt>
                <c:pt idx="4">
                  <c:v>INDUCOL INDUSTRIA</c:v>
                </c:pt>
                <c:pt idx="5">
                  <c:v>COLCHONES POLYMAX</c:v>
                </c:pt>
                <c:pt idx="6">
                  <c:v>SUNLOCK SPA</c:v>
                </c:pt>
                <c:pt idx="7">
                  <c:v>SIMMONS DE ARGENTINA SAIC</c:v>
                </c:pt>
                <c:pt idx="8">
                  <c:v>SUPERESPUMA</c:v>
                </c:pt>
                <c:pt idx="9">
                  <c:v>VERZAZELLE LLC IND REGAL</c:v>
                </c:pt>
                <c:pt idx="10">
                  <c:v>SPRINGWALL S.A.</c:v>
                </c:pt>
                <c:pt idx="11">
                  <c:v>PRODUCTOS PARAISO DEL ECUADOR</c:v>
                </c:pt>
                <c:pt idx="12">
                  <c:v>FRAZADAS ARTESANALES SAC</c:v>
                </c:pt>
                <c:pt idx="13">
                  <c:v>LAMITEX S.A.</c:v>
                </c:pt>
                <c:pt idx="14">
                  <c:v>DISTRIBUIDORA CASEROS</c:v>
                </c:pt>
                <c:pt idx="15">
                  <c:v>MAXI KING</c:v>
                </c:pt>
                <c:pt idx="16">
                  <c:v>DAVID MORENO VISCARRA</c:v>
                </c:pt>
                <c:pt idx="17">
                  <c:v>MULTIESPUMAS VISCARRA </c:v>
                </c:pt>
                <c:pt idx="18">
                  <c:v>TEXTIL FIBREX</c:v>
                </c:pt>
                <c:pt idx="19">
                  <c:v>ATLAS COLCHONES</c:v>
                </c:pt>
                <c:pt idx="20">
                  <c:v>INMAPOL SACIF</c:v>
                </c:pt>
                <c:pt idx="21">
                  <c:v>ESPUMAS PLASTICAS SAS - COMODISIMO</c:v>
                </c:pt>
                <c:pt idx="22">
                  <c:v>SEA TRADING COMPANY SA</c:v>
                </c:pt>
                <c:pt idx="23">
                  <c:v> HERALDO CASTRO PALMA (MANTAHUE SPA)</c:v>
                </c:pt>
                <c:pt idx="24">
                  <c:v>COMERCIALIZADORA SL SUNLOCK LTDA</c:v>
                </c:pt>
                <c:pt idx="25">
                  <c:v>VISCARRA </c:v>
                </c:pt>
                <c:pt idx="26">
                  <c:v>COLCHONES DEL PARAGUAY S.R.L.</c:v>
                </c:pt>
                <c:pt idx="27">
                  <c:v>SUENOLAR</c:v>
                </c:pt>
                <c:pt idx="28">
                  <c:v>AMAZHEL TEC NIPONA</c:v>
                </c:pt>
                <c:pt idx="29">
                  <c:v>ZONKD LIMITADA DE CV</c:v>
                </c:pt>
              </c:strCache>
            </c:strRef>
          </c:cat>
          <c:val>
            <c:numRef>
              <c:f>' 2026 CY vs SPYA'!$J$6:$J$36</c:f>
              <c:numCache>
                <c:formatCode>#,##0.00</c:formatCode>
                <c:ptCount val="30"/>
                <c:pt idx="2">
                  <c:v>17942.64</c:v>
                </c:pt>
                <c:pt idx="3">
                  <c:v>59166.239999999998</c:v>
                </c:pt>
                <c:pt idx="9">
                  <c:v>242737.89</c:v>
                </c:pt>
                <c:pt idx="12">
                  <c:v>206916.71999999997</c:v>
                </c:pt>
                <c:pt idx="19">
                  <c:v>75266.149999999994</c:v>
                </c:pt>
                <c:pt idx="22">
                  <c:v>19390.849999999999</c:v>
                </c:pt>
                <c:pt idx="23">
                  <c:v>49421.15</c:v>
                </c:pt>
                <c:pt idx="25">
                  <c:v>34106.300000000003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3C9-4BFE-B9AF-55FE5ABB8E1B}"/>
            </c:ext>
          </c:extLst>
        </c:ser>
        <c:ser>
          <c:idx val="9"/>
          <c:order val="9"/>
          <c:tx>
            <c:strRef>
              <c:f>' 2026 CY vs SPYA'!$K$3:$K$5</c:f>
              <c:strCache>
                <c:ptCount val="1"/>
                <c:pt idx="0">
                  <c:v>2026 - 9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 2026 CY vs SPYA'!$A$6:$A$36</c:f>
              <c:strCache>
                <c:ptCount val="30"/>
                <c:pt idx="0">
                  <c:v>DIVINO COLCHONES</c:v>
                </c:pt>
                <c:pt idx="1">
                  <c:v>BED TIME S.A.</c:v>
                </c:pt>
                <c:pt idx="2">
                  <c:v>LIMANSKY S.A.</c:v>
                </c:pt>
                <c:pt idx="3">
                  <c:v>FLEX CHILE</c:v>
                </c:pt>
                <c:pt idx="4">
                  <c:v>INDUCOL INDUSTRIA</c:v>
                </c:pt>
                <c:pt idx="5">
                  <c:v>COLCHONES POLYMAX</c:v>
                </c:pt>
                <c:pt idx="6">
                  <c:v>SUNLOCK SPA</c:v>
                </c:pt>
                <c:pt idx="7">
                  <c:v>SIMMONS DE ARGENTINA SAIC</c:v>
                </c:pt>
                <c:pt idx="8">
                  <c:v>SUPERESPUMA</c:v>
                </c:pt>
                <c:pt idx="9">
                  <c:v>VERZAZELLE LLC IND REGAL</c:v>
                </c:pt>
                <c:pt idx="10">
                  <c:v>SPRINGWALL S.A.</c:v>
                </c:pt>
                <c:pt idx="11">
                  <c:v>PRODUCTOS PARAISO DEL ECUADOR</c:v>
                </c:pt>
                <c:pt idx="12">
                  <c:v>FRAZADAS ARTESANALES SAC</c:v>
                </c:pt>
                <c:pt idx="13">
                  <c:v>LAMITEX S.A.</c:v>
                </c:pt>
                <c:pt idx="14">
                  <c:v>DISTRIBUIDORA CASEROS</c:v>
                </c:pt>
                <c:pt idx="15">
                  <c:v>MAXI KING</c:v>
                </c:pt>
                <c:pt idx="16">
                  <c:v>DAVID MORENO VISCARRA</c:v>
                </c:pt>
                <c:pt idx="17">
                  <c:v>MULTIESPUMAS VISCARRA </c:v>
                </c:pt>
                <c:pt idx="18">
                  <c:v>TEXTIL FIBREX</c:v>
                </c:pt>
                <c:pt idx="19">
                  <c:v>ATLAS COLCHONES</c:v>
                </c:pt>
                <c:pt idx="20">
                  <c:v>INMAPOL SACIF</c:v>
                </c:pt>
                <c:pt idx="21">
                  <c:v>ESPUMAS PLASTICAS SAS - COMODISIMO</c:v>
                </c:pt>
                <c:pt idx="22">
                  <c:v>SEA TRADING COMPANY SA</c:v>
                </c:pt>
                <c:pt idx="23">
                  <c:v> HERALDO CASTRO PALMA (MANTAHUE SPA)</c:v>
                </c:pt>
                <c:pt idx="24">
                  <c:v>COMERCIALIZADORA SL SUNLOCK LTDA</c:v>
                </c:pt>
                <c:pt idx="25">
                  <c:v>VISCARRA </c:v>
                </c:pt>
                <c:pt idx="26">
                  <c:v>COLCHONES DEL PARAGUAY S.R.L.</c:v>
                </c:pt>
                <c:pt idx="27">
                  <c:v>SUENOLAR</c:v>
                </c:pt>
                <c:pt idx="28">
                  <c:v>AMAZHEL TEC NIPONA</c:v>
                </c:pt>
                <c:pt idx="29">
                  <c:v>ZONKD LIMITADA DE CV</c:v>
                </c:pt>
              </c:strCache>
            </c:strRef>
          </c:cat>
          <c:val>
            <c:numRef>
              <c:f>' 2026 CY vs SPYA'!$K$6:$K$36</c:f>
              <c:numCache>
                <c:formatCode>#,##0.00</c:formatCode>
                <c:ptCount val="30"/>
                <c:pt idx="0">
                  <c:v>45806.23</c:v>
                </c:pt>
                <c:pt idx="2">
                  <c:v>423793.45</c:v>
                </c:pt>
                <c:pt idx="5">
                  <c:v>104588.54</c:v>
                </c:pt>
                <c:pt idx="6">
                  <c:v>74803.61</c:v>
                </c:pt>
                <c:pt idx="22">
                  <c:v>38501.269999999997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3C9-4BFE-B9AF-55FE5ABB8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1836128"/>
        <c:axId val="951835648"/>
      </c:barChart>
      <c:catAx>
        <c:axId val="95183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1835648"/>
        <c:crosses val="autoZero"/>
        <c:auto val="1"/>
        <c:lblAlgn val="ctr"/>
        <c:lblOffset val="100"/>
        <c:noMultiLvlLbl val="0"/>
      </c:catAx>
      <c:valAx>
        <c:axId val="95183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183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26.xlsx]DIVINO-UY!TablaDinámica3</c:name>
    <c:fmtId val="2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'DIVINO-UY'!$B$4:$B$6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'DIVINO-UY'!$A$7:$A$35</c:f>
              <c:strCache>
                <c:ptCount val="28"/>
                <c:pt idx="0">
                  <c:v>32282 - TELA ANTIDESLIZANTE DIVERSAS U</c:v>
                </c:pt>
                <c:pt idx="1">
                  <c:v>2540012 TAMPO RASCUNHOS (A07820) DIVERSAS U</c:v>
                </c:pt>
                <c:pt idx="2">
                  <c:v>2540035 TP ML A10045 280G 2,20L DV U</c:v>
                </c:pt>
                <c:pt idx="3">
                  <c:v>2540034 TP ML 237005 260G 2,20L DV U</c:v>
                </c:pt>
                <c:pt idx="4">
                  <c:v>2540017 TP ML A08980 280G 2,10L DIVERSAS U</c:v>
                </c:pt>
                <c:pt idx="5">
                  <c:v>2540026 TP ML 0072051 - 280G 2,20L DEGRA DIVERSAS U</c:v>
                </c:pt>
                <c:pt idx="6">
                  <c:v>2540018 TP ML DIV 7806 240G 2,10L DIVERSAS U</c:v>
                </c:pt>
                <c:pt idx="7">
                  <c:v>2540015 TAMPO PONTILHADOS PRETO (A07803) DIVERSAS U</c:v>
                </c:pt>
                <c:pt idx="8">
                  <c:v>2540033 TP ML 132012 340G 2,20L DV U</c:v>
                </c:pt>
                <c:pt idx="9">
                  <c:v>2540005 TAMPO GEOMETRICO (A07370) DIVERSAS U</c:v>
                </c:pt>
                <c:pt idx="10">
                  <c:v>2540014 TP ML A05171 300G 2,20L DIVERSAS U</c:v>
                </c:pt>
                <c:pt idx="11">
                  <c:v>TP ML DIV 7806 240G 2,10L DIVERSAS U</c:v>
                </c:pt>
                <c:pt idx="12">
                  <c:v>TAMPO GEOMETRICO (A07370) DIVERSAS U</c:v>
                </c:pt>
                <c:pt idx="13">
                  <c:v>TP ML A08980 280G 2,10L DIVERSAS U</c:v>
                </c:pt>
                <c:pt idx="14">
                  <c:v>2540025 TP ML 0069001 - 300G 2,20L CONTE DIVERSAS U</c:v>
                </c:pt>
                <c:pt idx="15">
                  <c:v>TAMPO PONTILHADOS PRETO (A07803) DIVERSAS U</c:v>
                </c:pt>
                <c:pt idx="16">
                  <c:v>2540022 TP ML FOLHAS IMAG 320G 2,10 DIVERSAS U</c:v>
                </c:pt>
                <c:pt idx="17">
                  <c:v>2540029 TP LUNA 230G 2,20L 0070001 DIVERSAS U</c:v>
                </c:pt>
                <c:pt idx="18">
                  <c:v>TP ML 132012 340G 2,20L DV U</c:v>
                </c:pt>
                <c:pt idx="19">
                  <c:v>2540037 TP ML A10518 460G 2,20L DV U</c:v>
                </c:pt>
                <c:pt idx="20">
                  <c:v>2540031 TP ML A09792 390G 2,20L DV U</c:v>
                </c:pt>
                <c:pt idx="21">
                  <c:v>TP ML FOLHAS IMAG 320G 2,10 DIVERSAS U</c:v>
                </c:pt>
                <c:pt idx="22">
                  <c:v>TP ML 0245051 280G 2,20L DV U</c:v>
                </c:pt>
                <c:pt idx="23">
                  <c:v>TP ML A10045 280G 2,20L DV U</c:v>
                </c:pt>
                <c:pt idx="24">
                  <c:v>2540032 TP ML 245021 240G 2,20L DV U</c:v>
                </c:pt>
                <c:pt idx="25">
                  <c:v>2540028 TP CORDERO 310G 2,10L 0186002 DIVERSAS U</c:v>
                </c:pt>
                <c:pt idx="26">
                  <c:v>TP ML A05171 300G 2,20L DIVERSAS U</c:v>
                </c:pt>
                <c:pt idx="27">
                  <c:v>TP ML 0072051 - 280G 2,20L DEGRA DIVERSAS U</c:v>
                </c:pt>
              </c:strCache>
            </c:strRef>
          </c:cat>
          <c:val>
            <c:numRef>
              <c:f>'DIVINO-UY'!$B$7:$B$35</c:f>
              <c:numCache>
                <c:formatCode>#,##0</c:formatCode>
                <c:ptCount val="28"/>
                <c:pt idx="0">
                  <c:v>7783</c:v>
                </c:pt>
                <c:pt idx="1">
                  <c:v>20523</c:v>
                </c:pt>
                <c:pt idx="2">
                  <c:v>17521</c:v>
                </c:pt>
                <c:pt idx="3">
                  <c:v>9983</c:v>
                </c:pt>
                <c:pt idx="4">
                  <c:v>8936.9</c:v>
                </c:pt>
                <c:pt idx="5">
                  <c:v>7358</c:v>
                </c:pt>
                <c:pt idx="6">
                  <c:v>7187.54</c:v>
                </c:pt>
                <c:pt idx="7">
                  <c:v>6798</c:v>
                </c:pt>
                <c:pt idx="8">
                  <c:v>6688</c:v>
                </c:pt>
                <c:pt idx="9">
                  <c:v>6443</c:v>
                </c:pt>
                <c:pt idx="10">
                  <c:v>4559</c:v>
                </c:pt>
                <c:pt idx="11">
                  <c:v>4155</c:v>
                </c:pt>
                <c:pt idx="12">
                  <c:v>3751</c:v>
                </c:pt>
                <c:pt idx="13">
                  <c:v>3267</c:v>
                </c:pt>
                <c:pt idx="14">
                  <c:v>2079</c:v>
                </c:pt>
                <c:pt idx="15">
                  <c:v>2027</c:v>
                </c:pt>
                <c:pt idx="16">
                  <c:v>1934</c:v>
                </c:pt>
                <c:pt idx="17">
                  <c:v>1446</c:v>
                </c:pt>
                <c:pt idx="18">
                  <c:v>1420</c:v>
                </c:pt>
                <c:pt idx="20">
                  <c:v>1026</c:v>
                </c:pt>
                <c:pt idx="21">
                  <c:v>995</c:v>
                </c:pt>
                <c:pt idx="22">
                  <c:v>937</c:v>
                </c:pt>
                <c:pt idx="23">
                  <c:v>729</c:v>
                </c:pt>
                <c:pt idx="24">
                  <c:v>647</c:v>
                </c:pt>
                <c:pt idx="25">
                  <c:v>458</c:v>
                </c:pt>
                <c:pt idx="26">
                  <c:v>289</c:v>
                </c:pt>
                <c:pt idx="27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40-445F-8245-DF46F9C6CF4B}"/>
            </c:ext>
          </c:extLst>
        </c:ser>
        <c:ser>
          <c:idx val="1"/>
          <c:order val="1"/>
          <c:tx>
            <c:strRef>
              <c:f>'DIVINO-UY'!$C$4:$C$6</c:f>
              <c:strCache>
                <c:ptCount val="1"/>
                <c:pt idx="0">
                  <c:v>2026 - 2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'DIVINO-UY'!$A$7:$A$35</c:f>
              <c:strCache>
                <c:ptCount val="28"/>
                <c:pt idx="0">
                  <c:v>32282 - TELA ANTIDESLIZANTE DIVERSAS U</c:v>
                </c:pt>
                <c:pt idx="1">
                  <c:v>2540012 TAMPO RASCUNHOS (A07820) DIVERSAS U</c:v>
                </c:pt>
                <c:pt idx="2">
                  <c:v>2540035 TP ML A10045 280G 2,20L DV U</c:v>
                </c:pt>
                <c:pt idx="3">
                  <c:v>2540034 TP ML 237005 260G 2,20L DV U</c:v>
                </c:pt>
                <c:pt idx="4">
                  <c:v>2540017 TP ML A08980 280G 2,10L DIVERSAS U</c:v>
                </c:pt>
                <c:pt idx="5">
                  <c:v>2540026 TP ML 0072051 - 280G 2,20L DEGRA DIVERSAS U</c:v>
                </c:pt>
                <c:pt idx="6">
                  <c:v>2540018 TP ML DIV 7806 240G 2,10L DIVERSAS U</c:v>
                </c:pt>
                <c:pt idx="7">
                  <c:v>2540015 TAMPO PONTILHADOS PRETO (A07803) DIVERSAS U</c:v>
                </c:pt>
                <c:pt idx="8">
                  <c:v>2540033 TP ML 132012 340G 2,20L DV U</c:v>
                </c:pt>
                <c:pt idx="9">
                  <c:v>2540005 TAMPO GEOMETRICO (A07370) DIVERSAS U</c:v>
                </c:pt>
                <c:pt idx="10">
                  <c:v>2540014 TP ML A05171 300G 2,20L DIVERSAS U</c:v>
                </c:pt>
                <c:pt idx="11">
                  <c:v>TP ML DIV 7806 240G 2,10L DIVERSAS U</c:v>
                </c:pt>
                <c:pt idx="12">
                  <c:v>TAMPO GEOMETRICO (A07370) DIVERSAS U</c:v>
                </c:pt>
                <c:pt idx="13">
                  <c:v>TP ML A08980 280G 2,10L DIVERSAS U</c:v>
                </c:pt>
                <c:pt idx="14">
                  <c:v>2540025 TP ML 0069001 - 300G 2,20L CONTE DIVERSAS U</c:v>
                </c:pt>
                <c:pt idx="15">
                  <c:v>TAMPO PONTILHADOS PRETO (A07803) DIVERSAS U</c:v>
                </c:pt>
                <c:pt idx="16">
                  <c:v>2540022 TP ML FOLHAS IMAG 320G 2,10 DIVERSAS U</c:v>
                </c:pt>
                <c:pt idx="17">
                  <c:v>2540029 TP LUNA 230G 2,20L 0070001 DIVERSAS U</c:v>
                </c:pt>
                <c:pt idx="18">
                  <c:v>TP ML 132012 340G 2,20L DV U</c:v>
                </c:pt>
                <c:pt idx="19">
                  <c:v>2540037 TP ML A10518 460G 2,20L DV U</c:v>
                </c:pt>
                <c:pt idx="20">
                  <c:v>2540031 TP ML A09792 390G 2,20L DV U</c:v>
                </c:pt>
                <c:pt idx="21">
                  <c:v>TP ML FOLHAS IMAG 320G 2,10 DIVERSAS U</c:v>
                </c:pt>
                <c:pt idx="22">
                  <c:v>TP ML 0245051 280G 2,20L DV U</c:v>
                </c:pt>
                <c:pt idx="23">
                  <c:v>TP ML A10045 280G 2,20L DV U</c:v>
                </c:pt>
                <c:pt idx="24">
                  <c:v>2540032 TP ML 245021 240G 2,20L DV U</c:v>
                </c:pt>
                <c:pt idx="25">
                  <c:v>2540028 TP CORDERO 310G 2,10L 0186002 DIVERSAS U</c:v>
                </c:pt>
                <c:pt idx="26">
                  <c:v>TP ML A05171 300G 2,20L DIVERSAS U</c:v>
                </c:pt>
                <c:pt idx="27">
                  <c:v>TP ML 0072051 - 280G 2,20L DEGRA DIVERSAS U</c:v>
                </c:pt>
              </c:strCache>
            </c:strRef>
          </c:cat>
          <c:val>
            <c:numRef>
              <c:f>'DIVINO-UY'!$C$7:$C$35</c:f>
              <c:numCache>
                <c:formatCode>#,##0</c:formatCode>
                <c:ptCount val="28"/>
                <c:pt idx="0">
                  <c:v>8202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40-445F-8245-DF46F9C6CF4B}"/>
            </c:ext>
          </c:extLst>
        </c:ser>
        <c:ser>
          <c:idx val="2"/>
          <c:order val="2"/>
          <c:tx>
            <c:strRef>
              <c:f>'DIVINO-UY'!$D$4:$D$6</c:f>
              <c:strCache>
                <c:ptCount val="1"/>
                <c:pt idx="0">
                  <c:v>2026 - 6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'DIVINO-UY'!$A$7:$A$35</c:f>
              <c:strCache>
                <c:ptCount val="28"/>
                <c:pt idx="0">
                  <c:v>32282 - TELA ANTIDESLIZANTE DIVERSAS U</c:v>
                </c:pt>
                <c:pt idx="1">
                  <c:v>2540012 TAMPO RASCUNHOS (A07820) DIVERSAS U</c:v>
                </c:pt>
                <c:pt idx="2">
                  <c:v>2540035 TP ML A10045 280G 2,20L DV U</c:v>
                </c:pt>
                <c:pt idx="3">
                  <c:v>2540034 TP ML 237005 260G 2,20L DV U</c:v>
                </c:pt>
                <c:pt idx="4">
                  <c:v>2540017 TP ML A08980 280G 2,10L DIVERSAS U</c:v>
                </c:pt>
                <c:pt idx="5">
                  <c:v>2540026 TP ML 0072051 - 280G 2,20L DEGRA DIVERSAS U</c:v>
                </c:pt>
                <c:pt idx="6">
                  <c:v>2540018 TP ML DIV 7806 240G 2,10L DIVERSAS U</c:v>
                </c:pt>
                <c:pt idx="7">
                  <c:v>2540015 TAMPO PONTILHADOS PRETO (A07803) DIVERSAS U</c:v>
                </c:pt>
                <c:pt idx="8">
                  <c:v>2540033 TP ML 132012 340G 2,20L DV U</c:v>
                </c:pt>
                <c:pt idx="9">
                  <c:v>2540005 TAMPO GEOMETRICO (A07370) DIVERSAS U</c:v>
                </c:pt>
                <c:pt idx="10">
                  <c:v>2540014 TP ML A05171 300G 2,20L DIVERSAS U</c:v>
                </c:pt>
                <c:pt idx="11">
                  <c:v>TP ML DIV 7806 240G 2,10L DIVERSAS U</c:v>
                </c:pt>
                <c:pt idx="12">
                  <c:v>TAMPO GEOMETRICO (A07370) DIVERSAS U</c:v>
                </c:pt>
                <c:pt idx="13">
                  <c:v>TP ML A08980 280G 2,10L DIVERSAS U</c:v>
                </c:pt>
                <c:pt idx="14">
                  <c:v>2540025 TP ML 0069001 - 300G 2,20L CONTE DIVERSAS U</c:v>
                </c:pt>
                <c:pt idx="15">
                  <c:v>TAMPO PONTILHADOS PRETO (A07803) DIVERSAS U</c:v>
                </c:pt>
                <c:pt idx="16">
                  <c:v>2540022 TP ML FOLHAS IMAG 320G 2,10 DIVERSAS U</c:v>
                </c:pt>
                <c:pt idx="17">
                  <c:v>2540029 TP LUNA 230G 2,20L 0070001 DIVERSAS U</c:v>
                </c:pt>
                <c:pt idx="18">
                  <c:v>TP ML 132012 340G 2,20L DV U</c:v>
                </c:pt>
                <c:pt idx="19">
                  <c:v>2540037 TP ML A10518 460G 2,20L DV U</c:v>
                </c:pt>
                <c:pt idx="20">
                  <c:v>2540031 TP ML A09792 390G 2,20L DV U</c:v>
                </c:pt>
                <c:pt idx="21">
                  <c:v>TP ML FOLHAS IMAG 320G 2,10 DIVERSAS U</c:v>
                </c:pt>
                <c:pt idx="22">
                  <c:v>TP ML 0245051 280G 2,20L DV U</c:v>
                </c:pt>
                <c:pt idx="23">
                  <c:v>TP ML A10045 280G 2,20L DV U</c:v>
                </c:pt>
                <c:pt idx="24">
                  <c:v>2540032 TP ML 245021 240G 2,20L DV U</c:v>
                </c:pt>
                <c:pt idx="25">
                  <c:v>2540028 TP CORDERO 310G 2,10L 0186002 DIVERSAS U</c:v>
                </c:pt>
                <c:pt idx="26">
                  <c:v>TP ML A05171 300G 2,20L DIVERSAS U</c:v>
                </c:pt>
                <c:pt idx="27">
                  <c:v>TP ML 0072051 - 280G 2,20L DEGRA DIVERSAS U</c:v>
                </c:pt>
              </c:strCache>
            </c:strRef>
          </c:cat>
          <c:val>
            <c:numRef>
              <c:f>'DIVINO-UY'!$D$7:$D$35</c:f>
              <c:numCache>
                <c:formatCode>#,##0</c:formatCode>
                <c:ptCount val="28"/>
                <c:pt idx="0">
                  <c:v>8075</c:v>
                </c:pt>
                <c:pt idx="19">
                  <c:v>1063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804-4450-B0CD-F81ABE5645FF}"/>
            </c:ext>
          </c:extLst>
        </c:ser>
        <c:ser>
          <c:idx val="3"/>
          <c:order val="3"/>
          <c:tx>
            <c:strRef>
              <c:f>'DIVINO-UY'!$E$4:$E$6</c:f>
              <c:strCache>
                <c:ptCount val="1"/>
                <c:pt idx="0">
                  <c:v>2026 - 9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'DIVINO-UY'!$A$7:$A$35</c:f>
              <c:strCache>
                <c:ptCount val="28"/>
                <c:pt idx="0">
                  <c:v>32282 - TELA ANTIDESLIZANTE DIVERSAS U</c:v>
                </c:pt>
                <c:pt idx="1">
                  <c:v>2540012 TAMPO RASCUNHOS (A07820) DIVERSAS U</c:v>
                </c:pt>
                <c:pt idx="2">
                  <c:v>2540035 TP ML A10045 280G 2,20L DV U</c:v>
                </c:pt>
                <c:pt idx="3">
                  <c:v>2540034 TP ML 237005 260G 2,20L DV U</c:v>
                </c:pt>
                <c:pt idx="4">
                  <c:v>2540017 TP ML A08980 280G 2,10L DIVERSAS U</c:v>
                </c:pt>
                <c:pt idx="5">
                  <c:v>2540026 TP ML 0072051 - 280G 2,20L DEGRA DIVERSAS U</c:v>
                </c:pt>
                <c:pt idx="6">
                  <c:v>2540018 TP ML DIV 7806 240G 2,10L DIVERSAS U</c:v>
                </c:pt>
                <c:pt idx="7">
                  <c:v>2540015 TAMPO PONTILHADOS PRETO (A07803) DIVERSAS U</c:v>
                </c:pt>
                <c:pt idx="8">
                  <c:v>2540033 TP ML 132012 340G 2,20L DV U</c:v>
                </c:pt>
                <c:pt idx="9">
                  <c:v>2540005 TAMPO GEOMETRICO (A07370) DIVERSAS U</c:v>
                </c:pt>
                <c:pt idx="10">
                  <c:v>2540014 TP ML A05171 300G 2,20L DIVERSAS U</c:v>
                </c:pt>
                <c:pt idx="11">
                  <c:v>TP ML DIV 7806 240G 2,10L DIVERSAS U</c:v>
                </c:pt>
                <c:pt idx="12">
                  <c:v>TAMPO GEOMETRICO (A07370) DIVERSAS U</c:v>
                </c:pt>
                <c:pt idx="13">
                  <c:v>TP ML A08980 280G 2,10L DIVERSAS U</c:v>
                </c:pt>
                <c:pt idx="14">
                  <c:v>2540025 TP ML 0069001 - 300G 2,20L CONTE DIVERSAS U</c:v>
                </c:pt>
                <c:pt idx="15">
                  <c:v>TAMPO PONTILHADOS PRETO (A07803) DIVERSAS U</c:v>
                </c:pt>
                <c:pt idx="16">
                  <c:v>2540022 TP ML FOLHAS IMAG 320G 2,10 DIVERSAS U</c:v>
                </c:pt>
                <c:pt idx="17">
                  <c:v>2540029 TP LUNA 230G 2,20L 0070001 DIVERSAS U</c:v>
                </c:pt>
                <c:pt idx="18">
                  <c:v>TP ML 132012 340G 2,20L DV U</c:v>
                </c:pt>
                <c:pt idx="19">
                  <c:v>2540037 TP ML A10518 460G 2,20L DV U</c:v>
                </c:pt>
                <c:pt idx="20">
                  <c:v>2540031 TP ML A09792 390G 2,20L DV U</c:v>
                </c:pt>
                <c:pt idx="21">
                  <c:v>TP ML FOLHAS IMAG 320G 2,10 DIVERSAS U</c:v>
                </c:pt>
                <c:pt idx="22">
                  <c:v>TP ML 0245051 280G 2,20L DV U</c:v>
                </c:pt>
                <c:pt idx="23">
                  <c:v>TP ML A10045 280G 2,20L DV U</c:v>
                </c:pt>
                <c:pt idx="24">
                  <c:v>2540032 TP ML 245021 240G 2,20L DV U</c:v>
                </c:pt>
                <c:pt idx="25">
                  <c:v>2540028 TP CORDERO 310G 2,10L 0186002 DIVERSAS U</c:v>
                </c:pt>
                <c:pt idx="26">
                  <c:v>TP ML A05171 300G 2,20L DIVERSAS U</c:v>
                </c:pt>
                <c:pt idx="27">
                  <c:v>TP ML 0072051 - 280G 2,20L DEGRA DIVERSAS U</c:v>
                </c:pt>
              </c:strCache>
            </c:strRef>
          </c:cat>
          <c:val>
            <c:numRef>
              <c:f>'DIVINO-UY'!$E$7:$E$35</c:f>
              <c:numCache>
                <c:formatCode>#,##0</c:formatCode>
                <c:ptCount val="28"/>
                <c:pt idx="0">
                  <c:v>5118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A0-4BF7-8A50-2B379A3F0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771615"/>
        <c:axId val="1715773535"/>
      </c:lineChart>
      <c:catAx>
        <c:axId val="171577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5773535"/>
        <c:crosses val="autoZero"/>
        <c:auto val="1"/>
        <c:lblAlgn val="ctr"/>
        <c:lblOffset val="100"/>
        <c:noMultiLvlLbl val="0"/>
      </c:catAx>
      <c:valAx>
        <c:axId val="171577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577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26.xlsx]DIVINO-UY!TablaDinámica4</c:name>
    <c:fmtId val="3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'DIVINO-UY'!$U$4:$U$6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'DIVINO-UY'!$T$7:$T$35</c:f>
              <c:strCache>
                <c:ptCount val="28"/>
                <c:pt idx="0">
                  <c:v>2540012 TAMPO RASCUNHOS (A07820) DIVERSAS U</c:v>
                </c:pt>
                <c:pt idx="1">
                  <c:v>2540035 TP ML A10045 280G 2,20L DV U</c:v>
                </c:pt>
                <c:pt idx="2">
                  <c:v>32282 - TELA ANTIDESLIZANTE DIVERSAS U</c:v>
                </c:pt>
                <c:pt idx="3">
                  <c:v>2540017 TP ML A08980 280G 2,10L DIVERSAS U</c:v>
                </c:pt>
                <c:pt idx="4">
                  <c:v>2540033 TP ML 132012 340G 2,20L DV U</c:v>
                </c:pt>
                <c:pt idx="5">
                  <c:v>2540034 TP ML 237005 260G 2,20L DV U</c:v>
                </c:pt>
                <c:pt idx="6">
                  <c:v>2540026 TP ML 0072051 - 280G 2,20L DEGRA DIVERSAS U</c:v>
                </c:pt>
                <c:pt idx="7">
                  <c:v>2540005 TAMPO GEOMETRICO (A07370) DIVERSAS U</c:v>
                </c:pt>
                <c:pt idx="8">
                  <c:v>2540018 TP ML DIV 7806 240G 2,10L DIVERSAS U</c:v>
                </c:pt>
                <c:pt idx="9">
                  <c:v>2540015 TAMPO PONTILHADOS PRETO (A07803) DIVERSAS U</c:v>
                </c:pt>
                <c:pt idx="10">
                  <c:v>2540014 TP ML A05171 300G 2,20L DIVERSAS U</c:v>
                </c:pt>
                <c:pt idx="11">
                  <c:v>TAMPO GEOMETRICO (A07370) DIVERSAS U</c:v>
                </c:pt>
                <c:pt idx="12">
                  <c:v>TP ML DIV 7806 240G 2,10L DIVERSAS U</c:v>
                </c:pt>
                <c:pt idx="13">
                  <c:v>TP ML A08980 280G 2,10L DIVERSAS U</c:v>
                </c:pt>
                <c:pt idx="14">
                  <c:v>2540037 TP ML A10518 460G 2,20L DV U</c:v>
                </c:pt>
                <c:pt idx="15">
                  <c:v>2540022 TP ML FOLHAS IMAG 320G 2,10 DIVERSAS U</c:v>
                </c:pt>
                <c:pt idx="16">
                  <c:v>2540025 TP ML 0069001 - 300G 2,20L CONTE DIVERSAS U</c:v>
                </c:pt>
                <c:pt idx="17">
                  <c:v>TP ML 132012 340G 2,20L DV U</c:v>
                </c:pt>
                <c:pt idx="18">
                  <c:v>TAMPO PONTILHADOS PRETO (A07803) DIVERSAS U</c:v>
                </c:pt>
                <c:pt idx="19">
                  <c:v>2540031 TP ML A09792 390G 2,20L DV U</c:v>
                </c:pt>
                <c:pt idx="20">
                  <c:v>2540032 TP ML 245021 240G 2,20L DV U</c:v>
                </c:pt>
                <c:pt idx="21">
                  <c:v>TP ML FOLHAS IMAG 320G 2,10 DIVERSAS U</c:v>
                </c:pt>
                <c:pt idx="22">
                  <c:v>TP ML 0245051 280G 2,20L DV U</c:v>
                </c:pt>
                <c:pt idx="23">
                  <c:v>2540029 TP LUNA 230G 2,20L 0070001 DIVERSAS U</c:v>
                </c:pt>
                <c:pt idx="24">
                  <c:v>TP ML A10045 280G 2,20L DV U</c:v>
                </c:pt>
                <c:pt idx="25">
                  <c:v>2540028 TP CORDERO 310G 2,10L 0186002 DIVERSAS U</c:v>
                </c:pt>
                <c:pt idx="26">
                  <c:v>TP ML A05171 300G 2,20L DIVERSAS U</c:v>
                </c:pt>
                <c:pt idx="27">
                  <c:v>TP ML 0072051 - 280G 2,20L DEGRA DIVERSAS U</c:v>
                </c:pt>
              </c:strCache>
            </c:strRef>
          </c:cat>
          <c:val>
            <c:numRef>
              <c:f>'DIVINO-UY'!$U$7:$U$35</c:f>
              <c:numCache>
                <c:formatCode>#,##0.00</c:formatCode>
                <c:ptCount val="28"/>
                <c:pt idx="0">
                  <c:v>330194.94999999995</c:v>
                </c:pt>
                <c:pt idx="1">
                  <c:v>318044.02</c:v>
                </c:pt>
                <c:pt idx="2">
                  <c:v>63119.47</c:v>
                </c:pt>
                <c:pt idx="3">
                  <c:v>168101.19</c:v>
                </c:pt>
                <c:pt idx="4">
                  <c:v>152478.66</c:v>
                </c:pt>
                <c:pt idx="5">
                  <c:v>136797.24</c:v>
                </c:pt>
                <c:pt idx="6">
                  <c:v>128910.82</c:v>
                </c:pt>
                <c:pt idx="7">
                  <c:v>124235.84</c:v>
                </c:pt>
                <c:pt idx="8">
                  <c:v>117663.29000000001</c:v>
                </c:pt>
                <c:pt idx="9">
                  <c:v>111916.69</c:v>
                </c:pt>
                <c:pt idx="10">
                  <c:v>107319.14</c:v>
                </c:pt>
                <c:pt idx="11">
                  <c:v>70169.73000000001</c:v>
                </c:pt>
                <c:pt idx="12">
                  <c:v>66387.17</c:v>
                </c:pt>
                <c:pt idx="13">
                  <c:v>61858.62</c:v>
                </c:pt>
                <c:pt idx="15">
                  <c:v>41442.78</c:v>
                </c:pt>
                <c:pt idx="16">
                  <c:v>38960.68</c:v>
                </c:pt>
                <c:pt idx="17">
                  <c:v>33911.300000000003</c:v>
                </c:pt>
                <c:pt idx="18">
                  <c:v>33193.5</c:v>
                </c:pt>
                <c:pt idx="19">
                  <c:v>27959.309999999998</c:v>
                </c:pt>
                <c:pt idx="20">
                  <c:v>21099.82</c:v>
                </c:pt>
                <c:pt idx="21">
                  <c:v>20763.28</c:v>
                </c:pt>
                <c:pt idx="22">
                  <c:v>19606.240000000002</c:v>
                </c:pt>
                <c:pt idx="23">
                  <c:v>18572.189999999999</c:v>
                </c:pt>
                <c:pt idx="24">
                  <c:v>13264.3</c:v>
                </c:pt>
                <c:pt idx="25">
                  <c:v>10510.17</c:v>
                </c:pt>
                <c:pt idx="26">
                  <c:v>7065.99</c:v>
                </c:pt>
                <c:pt idx="27">
                  <c:v>2652.52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D7-4DDF-8695-A58AED1A5856}"/>
            </c:ext>
          </c:extLst>
        </c:ser>
        <c:ser>
          <c:idx val="1"/>
          <c:order val="1"/>
          <c:tx>
            <c:strRef>
              <c:f>'DIVINO-UY'!$V$4:$V$6</c:f>
              <c:strCache>
                <c:ptCount val="1"/>
                <c:pt idx="0">
                  <c:v>2026 - 2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'DIVINO-UY'!$T$7:$T$35</c:f>
              <c:strCache>
                <c:ptCount val="28"/>
                <c:pt idx="0">
                  <c:v>2540012 TAMPO RASCUNHOS (A07820) DIVERSAS U</c:v>
                </c:pt>
                <c:pt idx="1">
                  <c:v>2540035 TP ML A10045 280G 2,20L DV U</c:v>
                </c:pt>
                <c:pt idx="2">
                  <c:v>32282 - TELA ANTIDESLIZANTE DIVERSAS U</c:v>
                </c:pt>
                <c:pt idx="3">
                  <c:v>2540017 TP ML A08980 280G 2,10L DIVERSAS U</c:v>
                </c:pt>
                <c:pt idx="4">
                  <c:v>2540033 TP ML 132012 340G 2,20L DV U</c:v>
                </c:pt>
                <c:pt idx="5">
                  <c:v>2540034 TP ML 237005 260G 2,20L DV U</c:v>
                </c:pt>
                <c:pt idx="6">
                  <c:v>2540026 TP ML 0072051 - 280G 2,20L DEGRA DIVERSAS U</c:v>
                </c:pt>
                <c:pt idx="7">
                  <c:v>2540005 TAMPO GEOMETRICO (A07370) DIVERSAS U</c:v>
                </c:pt>
                <c:pt idx="8">
                  <c:v>2540018 TP ML DIV 7806 240G 2,10L DIVERSAS U</c:v>
                </c:pt>
                <c:pt idx="9">
                  <c:v>2540015 TAMPO PONTILHADOS PRETO (A07803) DIVERSAS U</c:v>
                </c:pt>
                <c:pt idx="10">
                  <c:v>2540014 TP ML A05171 300G 2,20L DIVERSAS U</c:v>
                </c:pt>
                <c:pt idx="11">
                  <c:v>TAMPO GEOMETRICO (A07370) DIVERSAS U</c:v>
                </c:pt>
                <c:pt idx="12">
                  <c:v>TP ML DIV 7806 240G 2,10L DIVERSAS U</c:v>
                </c:pt>
                <c:pt idx="13">
                  <c:v>TP ML A08980 280G 2,10L DIVERSAS U</c:v>
                </c:pt>
                <c:pt idx="14">
                  <c:v>2540037 TP ML A10518 460G 2,20L DV U</c:v>
                </c:pt>
                <c:pt idx="15">
                  <c:v>2540022 TP ML FOLHAS IMAG 320G 2,10 DIVERSAS U</c:v>
                </c:pt>
                <c:pt idx="16">
                  <c:v>2540025 TP ML 0069001 - 300G 2,20L CONTE DIVERSAS U</c:v>
                </c:pt>
                <c:pt idx="17">
                  <c:v>TP ML 132012 340G 2,20L DV U</c:v>
                </c:pt>
                <c:pt idx="18">
                  <c:v>TAMPO PONTILHADOS PRETO (A07803) DIVERSAS U</c:v>
                </c:pt>
                <c:pt idx="19">
                  <c:v>2540031 TP ML A09792 390G 2,20L DV U</c:v>
                </c:pt>
                <c:pt idx="20">
                  <c:v>2540032 TP ML 245021 240G 2,20L DV U</c:v>
                </c:pt>
                <c:pt idx="21">
                  <c:v>TP ML FOLHAS IMAG 320G 2,10 DIVERSAS U</c:v>
                </c:pt>
                <c:pt idx="22">
                  <c:v>TP ML 0245051 280G 2,20L DV U</c:v>
                </c:pt>
                <c:pt idx="23">
                  <c:v>2540029 TP LUNA 230G 2,20L 0070001 DIVERSAS U</c:v>
                </c:pt>
                <c:pt idx="24">
                  <c:v>TP ML A10045 280G 2,20L DV U</c:v>
                </c:pt>
                <c:pt idx="25">
                  <c:v>2540028 TP CORDERO 310G 2,10L 0186002 DIVERSAS U</c:v>
                </c:pt>
                <c:pt idx="26">
                  <c:v>TP ML A05171 300G 2,20L DIVERSAS U</c:v>
                </c:pt>
                <c:pt idx="27">
                  <c:v>TP ML 0072051 - 280G 2,20L DEGRA DIVERSAS U</c:v>
                </c:pt>
              </c:strCache>
            </c:strRef>
          </c:cat>
          <c:val>
            <c:numRef>
              <c:f>'DIVINO-UY'!$V$7:$V$35</c:f>
              <c:numCache>
                <c:formatCode>#,##0.00</c:formatCode>
                <c:ptCount val="28"/>
                <c:pt idx="2">
                  <c:v>63701.11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D7-4DDF-8695-A58AED1A5856}"/>
            </c:ext>
          </c:extLst>
        </c:ser>
        <c:ser>
          <c:idx val="2"/>
          <c:order val="2"/>
          <c:tx>
            <c:strRef>
              <c:f>'DIVINO-UY'!$W$4:$W$6</c:f>
              <c:strCache>
                <c:ptCount val="1"/>
                <c:pt idx="0">
                  <c:v>2026 - 6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'DIVINO-UY'!$T$7:$T$35</c:f>
              <c:strCache>
                <c:ptCount val="28"/>
                <c:pt idx="0">
                  <c:v>2540012 TAMPO RASCUNHOS (A07820) DIVERSAS U</c:v>
                </c:pt>
                <c:pt idx="1">
                  <c:v>2540035 TP ML A10045 280G 2,20L DV U</c:v>
                </c:pt>
                <c:pt idx="2">
                  <c:v>32282 - TELA ANTIDESLIZANTE DIVERSAS U</c:v>
                </c:pt>
                <c:pt idx="3">
                  <c:v>2540017 TP ML A08980 280G 2,10L DIVERSAS U</c:v>
                </c:pt>
                <c:pt idx="4">
                  <c:v>2540033 TP ML 132012 340G 2,20L DV U</c:v>
                </c:pt>
                <c:pt idx="5">
                  <c:v>2540034 TP ML 237005 260G 2,20L DV U</c:v>
                </c:pt>
                <c:pt idx="6">
                  <c:v>2540026 TP ML 0072051 - 280G 2,20L DEGRA DIVERSAS U</c:v>
                </c:pt>
                <c:pt idx="7">
                  <c:v>2540005 TAMPO GEOMETRICO (A07370) DIVERSAS U</c:v>
                </c:pt>
                <c:pt idx="8">
                  <c:v>2540018 TP ML DIV 7806 240G 2,10L DIVERSAS U</c:v>
                </c:pt>
                <c:pt idx="9">
                  <c:v>2540015 TAMPO PONTILHADOS PRETO (A07803) DIVERSAS U</c:v>
                </c:pt>
                <c:pt idx="10">
                  <c:v>2540014 TP ML A05171 300G 2,20L DIVERSAS U</c:v>
                </c:pt>
                <c:pt idx="11">
                  <c:v>TAMPO GEOMETRICO (A07370) DIVERSAS U</c:v>
                </c:pt>
                <c:pt idx="12">
                  <c:v>TP ML DIV 7806 240G 2,10L DIVERSAS U</c:v>
                </c:pt>
                <c:pt idx="13">
                  <c:v>TP ML A08980 280G 2,10L DIVERSAS U</c:v>
                </c:pt>
                <c:pt idx="14">
                  <c:v>2540037 TP ML A10518 460G 2,20L DV U</c:v>
                </c:pt>
                <c:pt idx="15">
                  <c:v>2540022 TP ML FOLHAS IMAG 320G 2,10 DIVERSAS U</c:v>
                </c:pt>
                <c:pt idx="16">
                  <c:v>2540025 TP ML 0069001 - 300G 2,20L CONTE DIVERSAS U</c:v>
                </c:pt>
                <c:pt idx="17">
                  <c:v>TP ML 132012 340G 2,20L DV U</c:v>
                </c:pt>
                <c:pt idx="18">
                  <c:v>TAMPO PONTILHADOS PRETO (A07803) DIVERSAS U</c:v>
                </c:pt>
                <c:pt idx="19">
                  <c:v>2540031 TP ML A09792 390G 2,20L DV U</c:v>
                </c:pt>
                <c:pt idx="20">
                  <c:v>2540032 TP ML 245021 240G 2,20L DV U</c:v>
                </c:pt>
                <c:pt idx="21">
                  <c:v>TP ML FOLHAS IMAG 320G 2,10 DIVERSAS U</c:v>
                </c:pt>
                <c:pt idx="22">
                  <c:v>TP ML 0245051 280G 2,20L DV U</c:v>
                </c:pt>
                <c:pt idx="23">
                  <c:v>2540029 TP LUNA 230G 2,20L 0070001 DIVERSAS U</c:v>
                </c:pt>
                <c:pt idx="24">
                  <c:v>TP ML A10045 280G 2,20L DV U</c:v>
                </c:pt>
                <c:pt idx="25">
                  <c:v>2540028 TP CORDERO 310G 2,10L 0186002 DIVERSAS U</c:v>
                </c:pt>
                <c:pt idx="26">
                  <c:v>TP ML A05171 300G 2,20L DIVERSAS U</c:v>
                </c:pt>
                <c:pt idx="27">
                  <c:v>TP ML 0072051 - 280G 2,20L DEGRA DIVERSAS U</c:v>
                </c:pt>
              </c:strCache>
            </c:strRef>
          </c:cat>
          <c:val>
            <c:numRef>
              <c:f>'DIVINO-UY'!$W$7:$W$35</c:f>
              <c:numCache>
                <c:formatCode>#,##0.00</c:formatCode>
                <c:ptCount val="28"/>
                <c:pt idx="2">
                  <c:v>72861.119999999995</c:v>
                </c:pt>
                <c:pt idx="14">
                  <c:v>43461.82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86-4A3C-9179-346403EB5602}"/>
            </c:ext>
          </c:extLst>
        </c:ser>
        <c:ser>
          <c:idx val="3"/>
          <c:order val="3"/>
          <c:tx>
            <c:strRef>
              <c:f>'DIVINO-UY'!$X$4:$X$6</c:f>
              <c:strCache>
                <c:ptCount val="1"/>
                <c:pt idx="0">
                  <c:v>2026 - 9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'DIVINO-UY'!$T$7:$T$35</c:f>
              <c:strCache>
                <c:ptCount val="28"/>
                <c:pt idx="0">
                  <c:v>2540012 TAMPO RASCUNHOS (A07820) DIVERSAS U</c:v>
                </c:pt>
                <c:pt idx="1">
                  <c:v>2540035 TP ML A10045 280G 2,20L DV U</c:v>
                </c:pt>
                <c:pt idx="2">
                  <c:v>32282 - TELA ANTIDESLIZANTE DIVERSAS U</c:v>
                </c:pt>
                <c:pt idx="3">
                  <c:v>2540017 TP ML A08980 280G 2,10L DIVERSAS U</c:v>
                </c:pt>
                <c:pt idx="4">
                  <c:v>2540033 TP ML 132012 340G 2,20L DV U</c:v>
                </c:pt>
                <c:pt idx="5">
                  <c:v>2540034 TP ML 237005 260G 2,20L DV U</c:v>
                </c:pt>
                <c:pt idx="6">
                  <c:v>2540026 TP ML 0072051 - 280G 2,20L DEGRA DIVERSAS U</c:v>
                </c:pt>
                <c:pt idx="7">
                  <c:v>2540005 TAMPO GEOMETRICO (A07370) DIVERSAS U</c:v>
                </c:pt>
                <c:pt idx="8">
                  <c:v>2540018 TP ML DIV 7806 240G 2,10L DIVERSAS U</c:v>
                </c:pt>
                <c:pt idx="9">
                  <c:v>2540015 TAMPO PONTILHADOS PRETO (A07803) DIVERSAS U</c:v>
                </c:pt>
                <c:pt idx="10">
                  <c:v>2540014 TP ML A05171 300G 2,20L DIVERSAS U</c:v>
                </c:pt>
                <c:pt idx="11">
                  <c:v>TAMPO GEOMETRICO (A07370) DIVERSAS U</c:v>
                </c:pt>
                <c:pt idx="12">
                  <c:v>TP ML DIV 7806 240G 2,10L DIVERSAS U</c:v>
                </c:pt>
                <c:pt idx="13">
                  <c:v>TP ML A08980 280G 2,10L DIVERSAS U</c:v>
                </c:pt>
                <c:pt idx="14">
                  <c:v>2540037 TP ML A10518 460G 2,20L DV U</c:v>
                </c:pt>
                <c:pt idx="15">
                  <c:v>2540022 TP ML FOLHAS IMAG 320G 2,10 DIVERSAS U</c:v>
                </c:pt>
                <c:pt idx="16">
                  <c:v>2540025 TP ML 0069001 - 300G 2,20L CONTE DIVERSAS U</c:v>
                </c:pt>
                <c:pt idx="17">
                  <c:v>TP ML 132012 340G 2,20L DV U</c:v>
                </c:pt>
                <c:pt idx="18">
                  <c:v>TAMPO PONTILHADOS PRETO (A07803) DIVERSAS U</c:v>
                </c:pt>
                <c:pt idx="19">
                  <c:v>2540031 TP ML A09792 390G 2,20L DV U</c:v>
                </c:pt>
                <c:pt idx="20">
                  <c:v>2540032 TP ML 245021 240G 2,20L DV U</c:v>
                </c:pt>
                <c:pt idx="21">
                  <c:v>TP ML FOLHAS IMAG 320G 2,10 DIVERSAS U</c:v>
                </c:pt>
                <c:pt idx="22">
                  <c:v>TP ML 0245051 280G 2,20L DV U</c:v>
                </c:pt>
                <c:pt idx="23">
                  <c:v>2540029 TP LUNA 230G 2,20L 0070001 DIVERSAS U</c:v>
                </c:pt>
                <c:pt idx="24">
                  <c:v>TP ML A10045 280G 2,20L DV U</c:v>
                </c:pt>
                <c:pt idx="25">
                  <c:v>2540028 TP CORDERO 310G 2,10L 0186002 DIVERSAS U</c:v>
                </c:pt>
                <c:pt idx="26">
                  <c:v>TP ML A05171 300G 2,20L DIVERSAS U</c:v>
                </c:pt>
                <c:pt idx="27">
                  <c:v>TP ML 0072051 - 280G 2,20L DEGRA DIVERSAS U</c:v>
                </c:pt>
              </c:strCache>
            </c:strRef>
          </c:cat>
          <c:val>
            <c:numRef>
              <c:f>'DIVINO-UY'!$X$7:$X$35</c:f>
              <c:numCache>
                <c:formatCode>#,##0.00</c:formatCode>
                <c:ptCount val="28"/>
                <c:pt idx="2">
                  <c:v>45806.23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02-480C-86B3-EB3B69A2B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1331728"/>
        <c:axId val="1691248704"/>
      </c:lineChart>
      <c:catAx>
        <c:axId val="115133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1248704"/>
        <c:crosses val="autoZero"/>
        <c:auto val="1"/>
        <c:lblAlgn val="ctr"/>
        <c:lblOffset val="100"/>
        <c:noMultiLvlLbl val="0"/>
      </c:catAx>
      <c:valAx>
        <c:axId val="169124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133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26.xlsx]BED TIME-ARG!TablaDinámica2</c:name>
    <c:fmtId val="3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'BED TIME-ARG'!$B$4:$B$6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'BED TIME-ARG'!$A$7:$A$13</c:f>
              <c:strCache>
                <c:ptCount val="6"/>
                <c:pt idx="0">
                  <c:v>3530001 TP ML A10169 240G 2,10L DV U</c:v>
                </c:pt>
                <c:pt idx="1">
                  <c:v>3530003 TP ML A10104-A 200G 2,20L DV U</c:v>
                </c:pt>
                <c:pt idx="2">
                  <c:v>3530004 TP ML A10108 200G 2,20L DV U</c:v>
                </c:pt>
                <c:pt idx="3">
                  <c:v>TP ML A10169 240G 2,10L DV U</c:v>
                </c:pt>
                <c:pt idx="4">
                  <c:v>3530005 TP ML A10224 200G 2,20L DV U</c:v>
                </c:pt>
                <c:pt idx="5">
                  <c:v>TP ML A10168 200G 2,10L DV U</c:v>
                </c:pt>
              </c:strCache>
            </c:strRef>
          </c:cat>
          <c:val>
            <c:numRef>
              <c:f>'BED TIME-ARG'!$B$7:$B$13</c:f>
              <c:numCache>
                <c:formatCode>#,##0</c:formatCode>
                <c:ptCount val="6"/>
                <c:pt idx="0">
                  <c:v>19820</c:v>
                </c:pt>
                <c:pt idx="1">
                  <c:v>20244</c:v>
                </c:pt>
                <c:pt idx="2">
                  <c:v>9967</c:v>
                </c:pt>
                <c:pt idx="3">
                  <c:v>13317</c:v>
                </c:pt>
                <c:pt idx="4">
                  <c:v>7831</c:v>
                </c:pt>
                <c:pt idx="5">
                  <c:v>7127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3-466C-AFEB-8ACAAFF24E25}"/>
            </c:ext>
          </c:extLst>
        </c:ser>
        <c:ser>
          <c:idx val="1"/>
          <c:order val="1"/>
          <c:tx>
            <c:strRef>
              <c:f>'BED TIME-ARG'!$C$4:$C$6</c:f>
              <c:strCache>
                <c:ptCount val="1"/>
                <c:pt idx="0">
                  <c:v>2026 - 4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'BED TIME-ARG'!$A$7:$A$13</c:f>
              <c:strCache>
                <c:ptCount val="6"/>
                <c:pt idx="0">
                  <c:v>3530001 TP ML A10169 240G 2,10L DV U</c:v>
                </c:pt>
                <c:pt idx="1">
                  <c:v>3530003 TP ML A10104-A 200G 2,20L DV U</c:v>
                </c:pt>
                <c:pt idx="2">
                  <c:v>3530004 TP ML A10108 200G 2,20L DV U</c:v>
                </c:pt>
                <c:pt idx="3">
                  <c:v>TP ML A10169 240G 2,10L DV U</c:v>
                </c:pt>
                <c:pt idx="4">
                  <c:v>3530005 TP ML A10224 200G 2,20L DV U</c:v>
                </c:pt>
                <c:pt idx="5">
                  <c:v>TP ML A10168 200G 2,10L DV U</c:v>
                </c:pt>
              </c:strCache>
            </c:strRef>
          </c:cat>
          <c:val>
            <c:numRef>
              <c:f>'BED TIME-ARG'!$C$7:$C$13</c:f>
              <c:numCache>
                <c:formatCode>#,##0</c:formatCode>
                <c:ptCount val="6"/>
                <c:pt idx="0">
                  <c:v>20115</c:v>
                </c:pt>
                <c:pt idx="2">
                  <c:v>7951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1-4074-BBFD-CB12E2E67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2711536"/>
        <c:axId val="1332712016"/>
      </c:lineChart>
      <c:catAx>
        <c:axId val="133271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2712016"/>
        <c:crosses val="autoZero"/>
        <c:auto val="1"/>
        <c:lblAlgn val="ctr"/>
        <c:lblOffset val="100"/>
        <c:noMultiLvlLbl val="0"/>
      </c:catAx>
      <c:valAx>
        <c:axId val="133271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271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26.xlsx]BED TIME-ARG!TablaDinámica1</c:name>
    <c:fmtId val="3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'BED TIME-ARG'!$Q$4:$Q$6</c:f>
              <c:strCache>
                <c:ptCount val="1"/>
                <c:pt idx="0">
                  <c:v>2025 - 5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'BED TIME-ARG'!$P$7:$P$13</c:f>
              <c:strCache>
                <c:ptCount val="6"/>
                <c:pt idx="0">
                  <c:v>3530001 TP ML A10169 240G 2,10L DV U</c:v>
                </c:pt>
                <c:pt idx="1">
                  <c:v>3530003 TP ML A10104-A 200G 2,20L DV U</c:v>
                </c:pt>
                <c:pt idx="2">
                  <c:v>3530004 TP ML A10108 200G 2,20L DV U</c:v>
                </c:pt>
                <c:pt idx="3">
                  <c:v>TP ML A10169 240G 2,10L DV U</c:v>
                </c:pt>
                <c:pt idx="4">
                  <c:v>3530005 TP ML A10224 200G 2,20L DV U</c:v>
                </c:pt>
                <c:pt idx="5">
                  <c:v>TP ML A10168 200G 2,10L DV U</c:v>
                </c:pt>
              </c:strCache>
            </c:strRef>
          </c:cat>
          <c:val>
            <c:numRef>
              <c:f>'BED TIME-ARG'!$Q$7:$Q$13</c:f>
              <c:numCache>
                <c:formatCode>#,##0.00</c:formatCode>
                <c:ptCount val="6"/>
                <c:pt idx="3">
                  <c:v>151632.69</c:v>
                </c:pt>
                <c:pt idx="5">
                  <c:v>63703.44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A4-4B3B-A51F-D51D13993D42}"/>
            </c:ext>
          </c:extLst>
        </c:ser>
        <c:ser>
          <c:idx val="1"/>
          <c:order val="1"/>
          <c:tx>
            <c:strRef>
              <c:f>'BED TIME-ARG'!$R$4:$R$6</c:f>
              <c:strCache>
                <c:ptCount val="1"/>
                <c:pt idx="0">
                  <c:v>2025 - 7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'BED TIME-ARG'!$P$7:$P$13</c:f>
              <c:strCache>
                <c:ptCount val="6"/>
                <c:pt idx="0">
                  <c:v>3530001 TP ML A10169 240G 2,10L DV U</c:v>
                </c:pt>
                <c:pt idx="1">
                  <c:v>3530003 TP ML A10104-A 200G 2,20L DV U</c:v>
                </c:pt>
                <c:pt idx="2">
                  <c:v>3530004 TP ML A10108 200G 2,20L DV U</c:v>
                </c:pt>
                <c:pt idx="3">
                  <c:v>TP ML A10169 240G 2,10L DV U</c:v>
                </c:pt>
                <c:pt idx="4">
                  <c:v>3530005 TP ML A10224 200G 2,20L DV U</c:v>
                </c:pt>
                <c:pt idx="5">
                  <c:v>TP ML A10168 200G 2,10L DV U</c:v>
                </c:pt>
              </c:strCache>
            </c:strRef>
          </c:cat>
          <c:val>
            <c:numRef>
              <c:f>'BED TIME-ARG'!$R$7:$R$13</c:f>
              <c:numCache>
                <c:formatCode>#,##0.00</c:formatCode>
                <c:ptCount val="6"/>
                <c:pt idx="0">
                  <c:v>17325.71</c:v>
                </c:pt>
                <c:pt idx="1">
                  <c:v>71825.84</c:v>
                </c:pt>
                <c:pt idx="2">
                  <c:v>10999.08</c:v>
                </c:pt>
                <c:pt idx="4">
                  <c:v>25370.29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B1-49BF-AE3A-B302898C2F1A}"/>
            </c:ext>
          </c:extLst>
        </c:ser>
        <c:ser>
          <c:idx val="2"/>
          <c:order val="2"/>
          <c:tx>
            <c:strRef>
              <c:f>'BED TIME-ARG'!$S$4:$S$6</c:f>
              <c:strCache>
                <c:ptCount val="1"/>
                <c:pt idx="0">
                  <c:v>2025 - 8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'BED TIME-ARG'!$P$7:$P$13</c:f>
              <c:strCache>
                <c:ptCount val="6"/>
                <c:pt idx="0">
                  <c:v>3530001 TP ML A10169 240G 2,10L DV U</c:v>
                </c:pt>
                <c:pt idx="1">
                  <c:v>3530003 TP ML A10104-A 200G 2,20L DV U</c:v>
                </c:pt>
                <c:pt idx="2">
                  <c:v>3530004 TP ML A10108 200G 2,20L DV U</c:v>
                </c:pt>
                <c:pt idx="3">
                  <c:v>TP ML A10169 240G 2,10L DV U</c:v>
                </c:pt>
                <c:pt idx="4">
                  <c:v>3530005 TP ML A10224 200G 2,20L DV U</c:v>
                </c:pt>
                <c:pt idx="5">
                  <c:v>TP ML A10168 200G 2,10L DV U</c:v>
                </c:pt>
              </c:strCache>
            </c:strRef>
          </c:cat>
          <c:val>
            <c:numRef>
              <c:f>'BED TIME-ARG'!$S$7:$S$13</c:f>
              <c:numCache>
                <c:formatCode>#,##0.00</c:formatCode>
                <c:ptCount val="6"/>
                <c:pt idx="0">
                  <c:v>101593.54</c:v>
                </c:pt>
                <c:pt idx="1">
                  <c:v>70870.33</c:v>
                </c:pt>
                <c:pt idx="2">
                  <c:v>38790.199999999997</c:v>
                </c:pt>
                <c:pt idx="4">
                  <c:v>25572.94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96-416C-9B80-F0E61CEA2C05}"/>
            </c:ext>
          </c:extLst>
        </c:ser>
        <c:ser>
          <c:idx val="3"/>
          <c:order val="3"/>
          <c:tx>
            <c:strRef>
              <c:f>'BED TIME-ARG'!$T$4:$T$6</c:f>
              <c:strCache>
                <c:ptCount val="1"/>
                <c:pt idx="0">
                  <c:v>2025 - 9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'BED TIME-ARG'!$P$7:$P$13</c:f>
              <c:strCache>
                <c:ptCount val="6"/>
                <c:pt idx="0">
                  <c:v>3530001 TP ML A10169 240G 2,10L DV U</c:v>
                </c:pt>
                <c:pt idx="1">
                  <c:v>3530003 TP ML A10104-A 200G 2,20L DV U</c:v>
                </c:pt>
                <c:pt idx="2">
                  <c:v>3530004 TP ML A10108 200G 2,20L DV U</c:v>
                </c:pt>
                <c:pt idx="3">
                  <c:v>TP ML A10169 240G 2,10L DV U</c:v>
                </c:pt>
                <c:pt idx="4">
                  <c:v>3530005 TP ML A10224 200G 2,20L DV U</c:v>
                </c:pt>
                <c:pt idx="5">
                  <c:v>TP ML A10168 200G 2,10L DV U</c:v>
                </c:pt>
              </c:strCache>
            </c:strRef>
          </c:cat>
          <c:val>
            <c:numRef>
              <c:f>'BED TIME-ARG'!$T$7:$T$13</c:f>
              <c:numCache>
                <c:formatCode>#,##0.00</c:formatCode>
                <c:ptCount val="6"/>
                <c:pt idx="0">
                  <c:v>98038.18</c:v>
                </c:pt>
                <c:pt idx="1">
                  <c:v>60640.07</c:v>
                </c:pt>
                <c:pt idx="2">
                  <c:v>46909.65</c:v>
                </c:pt>
                <c:pt idx="4">
                  <c:v>25495.63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96-416C-9B80-F0E61CEA2C05}"/>
            </c:ext>
          </c:extLst>
        </c:ser>
        <c:ser>
          <c:idx val="4"/>
          <c:order val="4"/>
          <c:tx>
            <c:strRef>
              <c:f>'BED TIME-ARG'!$V$4:$V$6</c:f>
              <c:strCache>
                <c:ptCount val="1"/>
                <c:pt idx="0">
                  <c:v>2026 - 4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'BED TIME-ARG'!$P$7:$P$13</c:f>
              <c:strCache>
                <c:ptCount val="6"/>
                <c:pt idx="0">
                  <c:v>3530001 TP ML A10169 240G 2,10L DV U</c:v>
                </c:pt>
                <c:pt idx="1">
                  <c:v>3530003 TP ML A10104-A 200G 2,20L DV U</c:v>
                </c:pt>
                <c:pt idx="2">
                  <c:v>3530004 TP ML A10108 200G 2,20L DV U</c:v>
                </c:pt>
                <c:pt idx="3">
                  <c:v>TP ML A10169 240G 2,10L DV U</c:v>
                </c:pt>
                <c:pt idx="4">
                  <c:v>3530005 TP ML A10224 200G 2,20L DV U</c:v>
                </c:pt>
                <c:pt idx="5">
                  <c:v>TP ML A10168 200G 2,10L DV U</c:v>
                </c:pt>
              </c:strCache>
            </c:strRef>
          </c:cat>
          <c:val>
            <c:numRef>
              <c:f>'BED TIME-ARG'!$V$7:$V$13</c:f>
              <c:numCache>
                <c:formatCode>#,##0.00</c:formatCode>
                <c:ptCount val="6"/>
                <c:pt idx="0">
                  <c:v>201154.03</c:v>
                </c:pt>
                <c:pt idx="2">
                  <c:v>70367.759999999995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96-416C-9B80-F0E61CEA2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7887024"/>
        <c:axId val="1797913904"/>
      </c:lineChart>
      <c:catAx>
        <c:axId val="179788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7913904"/>
        <c:crosses val="autoZero"/>
        <c:auto val="1"/>
        <c:lblAlgn val="ctr"/>
        <c:lblOffset val="100"/>
        <c:noMultiLvlLbl val="0"/>
      </c:catAx>
      <c:valAx>
        <c:axId val="17979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788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v>Series1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"/>
              <c:pt idx="0">
                <c:v>3420001 TP ML A08182 160G 2,20L DV U</c:v>
              </c:pt>
            </c:strLit>
          </c:cat>
          <c:val>
            <c:numLit>
              <c:formatCode>General</c:formatCode>
              <c:ptCount val="1"/>
              <c:pt idx="0">
                <c:v>2076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0A0-4090-AB6C-9CBE738B8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9920512"/>
        <c:axId val="1066834256"/>
      </c:lineChart>
      <c:catAx>
        <c:axId val="94992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6834256"/>
        <c:crosses val="autoZero"/>
        <c:auto val="1"/>
        <c:lblAlgn val="ctr"/>
        <c:lblOffset val="100"/>
        <c:noMultiLvlLbl val="0"/>
      </c:catAx>
      <c:valAx>
        <c:axId val="106683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992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26.xlsx]DIVINO-UY!TablaDinámica3</c:name>
    <c:fmtId val="3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'DIVINO-UY'!$B$4:$B$6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'DIVINO-UY'!$A$7:$A$35</c:f>
              <c:strCache>
                <c:ptCount val="28"/>
                <c:pt idx="0">
                  <c:v>32282 - TELA ANTIDESLIZANTE DIVERSAS U</c:v>
                </c:pt>
                <c:pt idx="1">
                  <c:v>2540012 TAMPO RASCUNHOS (A07820) DIVERSAS U</c:v>
                </c:pt>
                <c:pt idx="2">
                  <c:v>2540035 TP ML A10045 280G 2,20L DV U</c:v>
                </c:pt>
                <c:pt idx="3">
                  <c:v>2540034 TP ML 237005 260G 2,20L DV U</c:v>
                </c:pt>
                <c:pt idx="4">
                  <c:v>2540017 TP ML A08980 280G 2,10L DIVERSAS U</c:v>
                </c:pt>
                <c:pt idx="5">
                  <c:v>2540026 TP ML 0072051 - 280G 2,20L DEGRA DIVERSAS U</c:v>
                </c:pt>
                <c:pt idx="6">
                  <c:v>2540018 TP ML DIV 7806 240G 2,10L DIVERSAS U</c:v>
                </c:pt>
                <c:pt idx="7">
                  <c:v>2540015 TAMPO PONTILHADOS PRETO (A07803) DIVERSAS U</c:v>
                </c:pt>
                <c:pt idx="8">
                  <c:v>2540033 TP ML 132012 340G 2,20L DV U</c:v>
                </c:pt>
                <c:pt idx="9">
                  <c:v>2540005 TAMPO GEOMETRICO (A07370) DIVERSAS U</c:v>
                </c:pt>
                <c:pt idx="10">
                  <c:v>2540014 TP ML A05171 300G 2,20L DIVERSAS U</c:v>
                </c:pt>
                <c:pt idx="11">
                  <c:v>TP ML DIV 7806 240G 2,10L DIVERSAS U</c:v>
                </c:pt>
                <c:pt idx="12">
                  <c:v>TAMPO GEOMETRICO (A07370) DIVERSAS U</c:v>
                </c:pt>
                <c:pt idx="13">
                  <c:v>TP ML A08980 280G 2,10L DIVERSAS U</c:v>
                </c:pt>
                <c:pt idx="14">
                  <c:v>2540025 TP ML 0069001 - 300G 2,20L CONTE DIVERSAS U</c:v>
                </c:pt>
                <c:pt idx="15">
                  <c:v>TAMPO PONTILHADOS PRETO (A07803) DIVERSAS U</c:v>
                </c:pt>
                <c:pt idx="16">
                  <c:v>2540022 TP ML FOLHAS IMAG 320G 2,10 DIVERSAS U</c:v>
                </c:pt>
                <c:pt idx="17">
                  <c:v>2540029 TP LUNA 230G 2,20L 0070001 DIVERSAS U</c:v>
                </c:pt>
                <c:pt idx="18">
                  <c:v>TP ML 132012 340G 2,20L DV U</c:v>
                </c:pt>
                <c:pt idx="19">
                  <c:v>2540037 TP ML A10518 460G 2,20L DV U</c:v>
                </c:pt>
                <c:pt idx="20">
                  <c:v>2540031 TP ML A09792 390G 2,20L DV U</c:v>
                </c:pt>
                <c:pt idx="21">
                  <c:v>TP ML FOLHAS IMAG 320G 2,10 DIVERSAS U</c:v>
                </c:pt>
                <c:pt idx="22">
                  <c:v>TP ML 0245051 280G 2,20L DV U</c:v>
                </c:pt>
                <c:pt idx="23">
                  <c:v>TP ML A10045 280G 2,20L DV U</c:v>
                </c:pt>
                <c:pt idx="24">
                  <c:v>2540032 TP ML 245021 240G 2,20L DV U</c:v>
                </c:pt>
                <c:pt idx="25">
                  <c:v>2540028 TP CORDERO 310G 2,10L 0186002 DIVERSAS U</c:v>
                </c:pt>
                <c:pt idx="26">
                  <c:v>TP ML A05171 300G 2,20L DIVERSAS U</c:v>
                </c:pt>
                <c:pt idx="27">
                  <c:v>TP ML 0072051 - 280G 2,20L DEGRA DIVERSAS U</c:v>
                </c:pt>
              </c:strCache>
            </c:strRef>
          </c:cat>
          <c:val>
            <c:numRef>
              <c:f>'DIVINO-UY'!$B$7:$B$35</c:f>
              <c:numCache>
                <c:formatCode>#,##0</c:formatCode>
                <c:ptCount val="28"/>
                <c:pt idx="0">
                  <c:v>7783</c:v>
                </c:pt>
                <c:pt idx="1">
                  <c:v>20523</c:v>
                </c:pt>
                <c:pt idx="2">
                  <c:v>17521</c:v>
                </c:pt>
                <c:pt idx="3">
                  <c:v>9983</c:v>
                </c:pt>
                <c:pt idx="4">
                  <c:v>8936.9</c:v>
                </c:pt>
                <c:pt idx="5">
                  <c:v>7358</c:v>
                </c:pt>
                <c:pt idx="6">
                  <c:v>7187.54</c:v>
                </c:pt>
                <c:pt idx="7">
                  <c:v>6798</c:v>
                </c:pt>
                <c:pt idx="8">
                  <c:v>6688</c:v>
                </c:pt>
                <c:pt idx="9">
                  <c:v>6443</c:v>
                </c:pt>
                <c:pt idx="10">
                  <c:v>4559</c:v>
                </c:pt>
                <c:pt idx="11">
                  <c:v>4155</c:v>
                </c:pt>
                <c:pt idx="12">
                  <c:v>3751</c:v>
                </c:pt>
                <c:pt idx="13">
                  <c:v>3267</c:v>
                </c:pt>
                <c:pt idx="14">
                  <c:v>2079</c:v>
                </c:pt>
                <c:pt idx="15">
                  <c:v>2027</c:v>
                </c:pt>
                <c:pt idx="16">
                  <c:v>1934</c:v>
                </c:pt>
                <c:pt idx="17">
                  <c:v>1446</c:v>
                </c:pt>
                <c:pt idx="18">
                  <c:v>1420</c:v>
                </c:pt>
                <c:pt idx="20">
                  <c:v>1026</c:v>
                </c:pt>
                <c:pt idx="21">
                  <c:v>995</c:v>
                </c:pt>
                <c:pt idx="22">
                  <c:v>937</c:v>
                </c:pt>
                <c:pt idx="23">
                  <c:v>729</c:v>
                </c:pt>
                <c:pt idx="24">
                  <c:v>647</c:v>
                </c:pt>
                <c:pt idx="25">
                  <c:v>458</c:v>
                </c:pt>
                <c:pt idx="26">
                  <c:v>289</c:v>
                </c:pt>
                <c:pt idx="27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EF-4867-9F43-DC4725B758D5}"/>
            </c:ext>
          </c:extLst>
        </c:ser>
        <c:ser>
          <c:idx val="1"/>
          <c:order val="1"/>
          <c:tx>
            <c:strRef>
              <c:f>'DIVINO-UY'!$C$4:$C$6</c:f>
              <c:strCache>
                <c:ptCount val="1"/>
                <c:pt idx="0">
                  <c:v>2026 - 2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'DIVINO-UY'!$A$7:$A$35</c:f>
              <c:strCache>
                <c:ptCount val="28"/>
                <c:pt idx="0">
                  <c:v>32282 - TELA ANTIDESLIZANTE DIVERSAS U</c:v>
                </c:pt>
                <c:pt idx="1">
                  <c:v>2540012 TAMPO RASCUNHOS (A07820) DIVERSAS U</c:v>
                </c:pt>
                <c:pt idx="2">
                  <c:v>2540035 TP ML A10045 280G 2,20L DV U</c:v>
                </c:pt>
                <c:pt idx="3">
                  <c:v>2540034 TP ML 237005 260G 2,20L DV U</c:v>
                </c:pt>
                <c:pt idx="4">
                  <c:v>2540017 TP ML A08980 280G 2,10L DIVERSAS U</c:v>
                </c:pt>
                <c:pt idx="5">
                  <c:v>2540026 TP ML 0072051 - 280G 2,20L DEGRA DIVERSAS U</c:v>
                </c:pt>
                <c:pt idx="6">
                  <c:v>2540018 TP ML DIV 7806 240G 2,10L DIVERSAS U</c:v>
                </c:pt>
                <c:pt idx="7">
                  <c:v>2540015 TAMPO PONTILHADOS PRETO (A07803) DIVERSAS U</c:v>
                </c:pt>
                <c:pt idx="8">
                  <c:v>2540033 TP ML 132012 340G 2,20L DV U</c:v>
                </c:pt>
                <c:pt idx="9">
                  <c:v>2540005 TAMPO GEOMETRICO (A07370) DIVERSAS U</c:v>
                </c:pt>
                <c:pt idx="10">
                  <c:v>2540014 TP ML A05171 300G 2,20L DIVERSAS U</c:v>
                </c:pt>
                <c:pt idx="11">
                  <c:v>TP ML DIV 7806 240G 2,10L DIVERSAS U</c:v>
                </c:pt>
                <c:pt idx="12">
                  <c:v>TAMPO GEOMETRICO (A07370) DIVERSAS U</c:v>
                </c:pt>
                <c:pt idx="13">
                  <c:v>TP ML A08980 280G 2,10L DIVERSAS U</c:v>
                </c:pt>
                <c:pt idx="14">
                  <c:v>2540025 TP ML 0069001 - 300G 2,20L CONTE DIVERSAS U</c:v>
                </c:pt>
                <c:pt idx="15">
                  <c:v>TAMPO PONTILHADOS PRETO (A07803) DIVERSAS U</c:v>
                </c:pt>
                <c:pt idx="16">
                  <c:v>2540022 TP ML FOLHAS IMAG 320G 2,10 DIVERSAS U</c:v>
                </c:pt>
                <c:pt idx="17">
                  <c:v>2540029 TP LUNA 230G 2,20L 0070001 DIVERSAS U</c:v>
                </c:pt>
                <c:pt idx="18">
                  <c:v>TP ML 132012 340G 2,20L DV U</c:v>
                </c:pt>
                <c:pt idx="19">
                  <c:v>2540037 TP ML A10518 460G 2,20L DV U</c:v>
                </c:pt>
                <c:pt idx="20">
                  <c:v>2540031 TP ML A09792 390G 2,20L DV U</c:v>
                </c:pt>
                <c:pt idx="21">
                  <c:v>TP ML FOLHAS IMAG 320G 2,10 DIVERSAS U</c:v>
                </c:pt>
                <c:pt idx="22">
                  <c:v>TP ML 0245051 280G 2,20L DV U</c:v>
                </c:pt>
                <c:pt idx="23">
                  <c:v>TP ML A10045 280G 2,20L DV U</c:v>
                </c:pt>
                <c:pt idx="24">
                  <c:v>2540032 TP ML 245021 240G 2,20L DV U</c:v>
                </c:pt>
                <c:pt idx="25">
                  <c:v>2540028 TP CORDERO 310G 2,10L 0186002 DIVERSAS U</c:v>
                </c:pt>
                <c:pt idx="26">
                  <c:v>TP ML A05171 300G 2,20L DIVERSAS U</c:v>
                </c:pt>
                <c:pt idx="27">
                  <c:v>TP ML 0072051 - 280G 2,20L DEGRA DIVERSAS U</c:v>
                </c:pt>
              </c:strCache>
            </c:strRef>
          </c:cat>
          <c:val>
            <c:numRef>
              <c:f>'DIVINO-UY'!$C$7:$C$35</c:f>
              <c:numCache>
                <c:formatCode>#,##0</c:formatCode>
                <c:ptCount val="28"/>
                <c:pt idx="0">
                  <c:v>8202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EF-4867-9F43-DC4725B758D5}"/>
            </c:ext>
          </c:extLst>
        </c:ser>
        <c:ser>
          <c:idx val="2"/>
          <c:order val="2"/>
          <c:tx>
            <c:strRef>
              <c:f>'DIVINO-UY'!$D$4:$D$6</c:f>
              <c:strCache>
                <c:ptCount val="1"/>
                <c:pt idx="0">
                  <c:v>2026 - 6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'DIVINO-UY'!$A$7:$A$35</c:f>
              <c:strCache>
                <c:ptCount val="28"/>
                <c:pt idx="0">
                  <c:v>32282 - TELA ANTIDESLIZANTE DIVERSAS U</c:v>
                </c:pt>
                <c:pt idx="1">
                  <c:v>2540012 TAMPO RASCUNHOS (A07820) DIVERSAS U</c:v>
                </c:pt>
                <c:pt idx="2">
                  <c:v>2540035 TP ML A10045 280G 2,20L DV U</c:v>
                </c:pt>
                <c:pt idx="3">
                  <c:v>2540034 TP ML 237005 260G 2,20L DV U</c:v>
                </c:pt>
                <c:pt idx="4">
                  <c:v>2540017 TP ML A08980 280G 2,10L DIVERSAS U</c:v>
                </c:pt>
                <c:pt idx="5">
                  <c:v>2540026 TP ML 0072051 - 280G 2,20L DEGRA DIVERSAS U</c:v>
                </c:pt>
                <c:pt idx="6">
                  <c:v>2540018 TP ML DIV 7806 240G 2,10L DIVERSAS U</c:v>
                </c:pt>
                <c:pt idx="7">
                  <c:v>2540015 TAMPO PONTILHADOS PRETO (A07803) DIVERSAS U</c:v>
                </c:pt>
                <c:pt idx="8">
                  <c:v>2540033 TP ML 132012 340G 2,20L DV U</c:v>
                </c:pt>
                <c:pt idx="9">
                  <c:v>2540005 TAMPO GEOMETRICO (A07370) DIVERSAS U</c:v>
                </c:pt>
                <c:pt idx="10">
                  <c:v>2540014 TP ML A05171 300G 2,20L DIVERSAS U</c:v>
                </c:pt>
                <c:pt idx="11">
                  <c:v>TP ML DIV 7806 240G 2,10L DIVERSAS U</c:v>
                </c:pt>
                <c:pt idx="12">
                  <c:v>TAMPO GEOMETRICO (A07370) DIVERSAS U</c:v>
                </c:pt>
                <c:pt idx="13">
                  <c:v>TP ML A08980 280G 2,10L DIVERSAS U</c:v>
                </c:pt>
                <c:pt idx="14">
                  <c:v>2540025 TP ML 0069001 - 300G 2,20L CONTE DIVERSAS U</c:v>
                </c:pt>
                <c:pt idx="15">
                  <c:v>TAMPO PONTILHADOS PRETO (A07803) DIVERSAS U</c:v>
                </c:pt>
                <c:pt idx="16">
                  <c:v>2540022 TP ML FOLHAS IMAG 320G 2,10 DIVERSAS U</c:v>
                </c:pt>
                <c:pt idx="17">
                  <c:v>2540029 TP LUNA 230G 2,20L 0070001 DIVERSAS U</c:v>
                </c:pt>
                <c:pt idx="18">
                  <c:v>TP ML 132012 340G 2,20L DV U</c:v>
                </c:pt>
                <c:pt idx="19">
                  <c:v>2540037 TP ML A10518 460G 2,20L DV U</c:v>
                </c:pt>
                <c:pt idx="20">
                  <c:v>2540031 TP ML A09792 390G 2,20L DV U</c:v>
                </c:pt>
                <c:pt idx="21">
                  <c:v>TP ML FOLHAS IMAG 320G 2,10 DIVERSAS U</c:v>
                </c:pt>
                <c:pt idx="22">
                  <c:v>TP ML 0245051 280G 2,20L DV U</c:v>
                </c:pt>
                <c:pt idx="23">
                  <c:v>TP ML A10045 280G 2,20L DV U</c:v>
                </c:pt>
                <c:pt idx="24">
                  <c:v>2540032 TP ML 245021 240G 2,20L DV U</c:v>
                </c:pt>
                <c:pt idx="25">
                  <c:v>2540028 TP CORDERO 310G 2,10L 0186002 DIVERSAS U</c:v>
                </c:pt>
                <c:pt idx="26">
                  <c:v>TP ML A05171 300G 2,20L DIVERSAS U</c:v>
                </c:pt>
                <c:pt idx="27">
                  <c:v>TP ML 0072051 - 280G 2,20L DEGRA DIVERSAS U</c:v>
                </c:pt>
              </c:strCache>
            </c:strRef>
          </c:cat>
          <c:val>
            <c:numRef>
              <c:f>'DIVINO-UY'!$D$7:$D$35</c:f>
              <c:numCache>
                <c:formatCode>#,##0</c:formatCode>
                <c:ptCount val="28"/>
                <c:pt idx="0">
                  <c:v>8075</c:v>
                </c:pt>
                <c:pt idx="19">
                  <c:v>1063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1E-4F2E-953F-67E10325B21C}"/>
            </c:ext>
          </c:extLst>
        </c:ser>
        <c:ser>
          <c:idx val="3"/>
          <c:order val="3"/>
          <c:tx>
            <c:strRef>
              <c:f>'DIVINO-UY'!$E$4:$E$6</c:f>
              <c:strCache>
                <c:ptCount val="1"/>
                <c:pt idx="0">
                  <c:v>2026 - 9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'DIVINO-UY'!$A$7:$A$35</c:f>
              <c:strCache>
                <c:ptCount val="28"/>
                <c:pt idx="0">
                  <c:v>32282 - TELA ANTIDESLIZANTE DIVERSAS U</c:v>
                </c:pt>
                <c:pt idx="1">
                  <c:v>2540012 TAMPO RASCUNHOS (A07820) DIVERSAS U</c:v>
                </c:pt>
                <c:pt idx="2">
                  <c:v>2540035 TP ML A10045 280G 2,20L DV U</c:v>
                </c:pt>
                <c:pt idx="3">
                  <c:v>2540034 TP ML 237005 260G 2,20L DV U</c:v>
                </c:pt>
                <c:pt idx="4">
                  <c:v>2540017 TP ML A08980 280G 2,10L DIVERSAS U</c:v>
                </c:pt>
                <c:pt idx="5">
                  <c:v>2540026 TP ML 0072051 - 280G 2,20L DEGRA DIVERSAS U</c:v>
                </c:pt>
                <c:pt idx="6">
                  <c:v>2540018 TP ML DIV 7806 240G 2,10L DIVERSAS U</c:v>
                </c:pt>
                <c:pt idx="7">
                  <c:v>2540015 TAMPO PONTILHADOS PRETO (A07803) DIVERSAS U</c:v>
                </c:pt>
                <c:pt idx="8">
                  <c:v>2540033 TP ML 132012 340G 2,20L DV U</c:v>
                </c:pt>
                <c:pt idx="9">
                  <c:v>2540005 TAMPO GEOMETRICO (A07370) DIVERSAS U</c:v>
                </c:pt>
                <c:pt idx="10">
                  <c:v>2540014 TP ML A05171 300G 2,20L DIVERSAS U</c:v>
                </c:pt>
                <c:pt idx="11">
                  <c:v>TP ML DIV 7806 240G 2,10L DIVERSAS U</c:v>
                </c:pt>
                <c:pt idx="12">
                  <c:v>TAMPO GEOMETRICO (A07370) DIVERSAS U</c:v>
                </c:pt>
                <c:pt idx="13">
                  <c:v>TP ML A08980 280G 2,10L DIVERSAS U</c:v>
                </c:pt>
                <c:pt idx="14">
                  <c:v>2540025 TP ML 0069001 - 300G 2,20L CONTE DIVERSAS U</c:v>
                </c:pt>
                <c:pt idx="15">
                  <c:v>TAMPO PONTILHADOS PRETO (A07803) DIVERSAS U</c:v>
                </c:pt>
                <c:pt idx="16">
                  <c:v>2540022 TP ML FOLHAS IMAG 320G 2,10 DIVERSAS U</c:v>
                </c:pt>
                <c:pt idx="17">
                  <c:v>2540029 TP LUNA 230G 2,20L 0070001 DIVERSAS U</c:v>
                </c:pt>
                <c:pt idx="18">
                  <c:v>TP ML 132012 340G 2,20L DV U</c:v>
                </c:pt>
                <c:pt idx="19">
                  <c:v>2540037 TP ML A10518 460G 2,20L DV U</c:v>
                </c:pt>
                <c:pt idx="20">
                  <c:v>2540031 TP ML A09792 390G 2,20L DV U</c:v>
                </c:pt>
                <c:pt idx="21">
                  <c:v>TP ML FOLHAS IMAG 320G 2,10 DIVERSAS U</c:v>
                </c:pt>
                <c:pt idx="22">
                  <c:v>TP ML 0245051 280G 2,20L DV U</c:v>
                </c:pt>
                <c:pt idx="23">
                  <c:v>TP ML A10045 280G 2,20L DV U</c:v>
                </c:pt>
                <c:pt idx="24">
                  <c:v>2540032 TP ML 245021 240G 2,20L DV U</c:v>
                </c:pt>
                <c:pt idx="25">
                  <c:v>2540028 TP CORDERO 310G 2,10L 0186002 DIVERSAS U</c:v>
                </c:pt>
                <c:pt idx="26">
                  <c:v>TP ML A05171 300G 2,20L DIVERSAS U</c:v>
                </c:pt>
                <c:pt idx="27">
                  <c:v>TP ML 0072051 - 280G 2,20L DEGRA DIVERSAS U</c:v>
                </c:pt>
              </c:strCache>
            </c:strRef>
          </c:cat>
          <c:val>
            <c:numRef>
              <c:f>'DIVINO-UY'!$E$7:$E$35</c:f>
              <c:numCache>
                <c:formatCode>#,##0</c:formatCode>
                <c:ptCount val="28"/>
                <c:pt idx="0">
                  <c:v>5118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2F-46CC-86B4-6F57E7D50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771615"/>
        <c:axId val="1715773535"/>
      </c:lineChart>
      <c:catAx>
        <c:axId val="171577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5773535"/>
        <c:crosses val="autoZero"/>
        <c:auto val="1"/>
        <c:lblAlgn val="ctr"/>
        <c:lblOffset val="100"/>
        <c:noMultiLvlLbl val="0"/>
      </c:catAx>
      <c:valAx>
        <c:axId val="171577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577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26.xlsx]DIVINO-UY!TablaDinámica4</c:name>
    <c:fmtId val="3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'DIVINO-UY'!$U$4:$U$6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'DIVINO-UY'!$T$7:$T$35</c:f>
              <c:strCache>
                <c:ptCount val="28"/>
                <c:pt idx="0">
                  <c:v>2540012 TAMPO RASCUNHOS (A07820) DIVERSAS U</c:v>
                </c:pt>
                <c:pt idx="1">
                  <c:v>2540035 TP ML A10045 280G 2,20L DV U</c:v>
                </c:pt>
                <c:pt idx="2">
                  <c:v>32282 - TELA ANTIDESLIZANTE DIVERSAS U</c:v>
                </c:pt>
                <c:pt idx="3">
                  <c:v>2540017 TP ML A08980 280G 2,10L DIVERSAS U</c:v>
                </c:pt>
                <c:pt idx="4">
                  <c:v>2540033 TP ML 132012 340G 2,20L DV U</c:v>
                </c:pt>
                <c:pt idx="5">
                  <c:v>2540034 TP ML 237005 260G 2,20L DV U</c:v>
                </c:pt>
                <c:pt idx="6">
                  <c:v>2540026 TP ML 0072051 - 280G 2,20L DEGRA DIVERSAS U</c:v>
                </c:pt>
                <c:pt idx="7">
                  <c:v>2540005 TAMPO GEOMETRICO (A07370) DIVERSAS U</c:v>
                </c:pt>
                <c:pt idx="8">
                  <c:v>2540018 TP ML DIV 7806 240G 2,10L DIVERSAS U</c:v>
                </c:pt>
                <c:pt idx="9">
                  <c:v>2540015 TAMPO PONTILHADOS PRETO (A07803) DIVERSAS U</c:v>
                </c:pt>
                <c:pt idx="10">
                  <c:v>2540014 TP ML A05171 300G 2,20L DIVERSAS U</c:v>
                </c:pt>
                <c:pt idx="11">
                  <c:v>TAMPO GEOMETRICO (A07370) DIVERSAS U</c:v>
                </c:pt>
                <c:pt idx="12">
                  <c:v>TP ML DIV 7806 240G 2,10L DIVERSAS U</c:v>
                </c:pt>
                <c:pt idx="13">
                  <c:v>TP ML A08980 280G 2,10L DIVERSAS U</c:v>
                </c:pt>
                <c:pt idx="14">
                  <c:v>2540037 TP ML A10518 460G 2,20L DV U</c:v>
                </c:pt>
                <c:pt idx="15">
                  <c:v>2540022 TP ML FOLHAS IMAG 320G 2,10 DIVERSAS U</c:v>
                </c:pt>
                <c:pt idx="16">
                  <c:v>2540025 TP ML 0069001 - 300G 2,20L CONTE DIVERSAS U</c:v>
                </c:pt>
                <c:pt idx="17">
                  <c:v>TP ML 132012 340G 2,20L DV U</c:v>
                </c:pt>
                <c:pt idx="18">
                  <c:v>TAMPO PONTILHADOS PRETO (A07803) DIVERSAS U</c:v>
                </c:pt>
                <c:pt idx="19">
                  <c:v>2540031 TP ML A09792 390G 2,20L DV U</c:v>
                </c:pt>
                <c:pt idx="20">
                  <c:v>2540032 TP ML 245021 240G 2,20L DV U</c:v>
                </c:pt>
                <c:pt idx="21">
                  <c:v>TP ML FOLHAS IMAG 320G 2,10 DIVERSAS U</c:v>
                </c:pt>
                <c:pt idx="22">
                  <c:v>TP ML 0245051 280G 2,20L DV U</c:v>
                </c:pt>
                <c:pt idx="23">
                  <c:v>2540029 TP LUNA 230G 2,20L 0070001 DIVERSAS U</c:v>
                </c:pt>
                <c:pt idx="24">
                  <c:v>TP ML A10045 280G 2,20L DV U</c:v>
                </c:pt>
                <c:pt idx="25">
                  <c:v>2540028 TP CORDERO 310G 2,10L 0186002 DIVERSAS U</c:v>
                </c:pt>
                <c:pt idx="26">
                  <c:v>TP ML A05171 300G 2,20L DIVERSAS U</c:v>
                </c:pt>
                <c:pt idx="27">
                  <c:v>TP ML 0072051 - 280G 2,20L DEGRA DIVERSAS U</c:v>
                </c:pt>
              </c:strCache>
            </c:strRef>
          </c:cat>
          <c:val>
            <c:numRef>
              <c:f>'DIVINO-UY'!$U$7:$U$35</c:f>
              <c:numCache>
                <c:formatCode>#,##0.00</c:formatCode>
                <c:ptCount val="28"/>
                <c:pt idx="0">
                  <c:v>330194.94999999995</c:v>
                </c:pt>
                <c:pt idx="1">
                  <c:v>318044.02</c:v>
                </c:pt>
                <c:pt idx="2">
                  <c:v>63119.47</c:v>
                </c:pt>
                <c:pt idx="3">
                  <c:v>168101.19</c:v>
                </c:pt>
                <c:pt idx="4">
                  <c:v>152478.66</c:v>
                </c:pt>
                <c:pt idx="5">
                  <c:v>136797.24</c:v>
                </c:pt>
                <c:pt idx="6">
                  <c:v>128910.82</c:v>
                </c:pt>
                <c:pt idx="7">
                  <c:v>124235.84</c:v>
                </c:pt>
                <c:pt idx="8">
                  <c:v>117663.29000000001</c:v>
                </c:pt>
                <c:pt idx="9">
                  <c:v>111916.69</c:v>
                </c:pt>
                <c:pt idx="10">
                  <c:v>107319.14</c:v>
                </c:pt>
                <c:pt idx="11">
                  <c:v>70169.73000000001</c:v>
                </c:pt>
                <c:pt idx="12">
                  <c:v>66387.17</c:v>
                </c:pt>
                <c:pt idx="13">
                  <c:v>61858.62</c:v>
                </c:pt>
                <c:pt idx="15">
                  <c:v>41442.78</c:v>
                </c:pt>
                <c:pt idx="16">
                  <c:v>38960.68</c:v>
                </c:pt>
                <c:pt idx="17">
                  <c:v>33911.300000000003</c:v>
                </c:pt>
                <c:pt idx="18">
                  <c:v>33193.5</c:v>
                </c:pt>
                <c:pt idx="19">
                  <c:v>27959.309999999998</c:v>
                </c:pt>
                <c:pt idx="20">
                  <c:v>21099.82</c:v>
                </c:pt>
                <c:pt idx="21">
                  <c:v>20763.28</c:v>
                </c:pt>
                <c:pt idx="22">
                  <c:v>19606.240000000002</c:v>
                </c:pt>
                <c:pt idx="23">
                  <c:v>18572.189999999999</c:v>
                </c:pt>
                <c:pt idx="24">
                  <c:v>13264.3</c:v>
                </c:pt>
                <c:pt idx="25">
                  <c:v>10510.17</c:v>
                </c:pt>
                <c:pt idx="26">
                  <c:v>7065.99</c:v>
                </c:pt>
                <c:pt idx="27">
                  <c:v>2652.52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8D-4F1F-9FA4-F575C5C8CA7A}"/>
            </c:ext>
          </c:extLst>
        </c:ser>
        <c:ser>
          <c:idx val="1"/>
          <c:order val="1"/>
          <c:tx>
            <c:strRef>
              <c:f>'DIVINO-UY'!$V$4:$V$6</c:f>
              <c:strCache>
                <c:ptCount val="1"/>
                <c:pt idx="0">
                  <c:v>2026 - 2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'DIVINO-UY'!$T$7:$T$35</c:f>
              <c:strCache>
                <c:ptCount val="28"/>
                <c:pt idx="0">
                  <c:v>2540012 TAMPO RASCUNHOS (A07820) DIVERSAS U</c:v>
                </c:pt>
                <c:pt idx="1">
                  <c:v>2540035 TP ML A10045 280G 2,20L DV U</c:v>
                </c:pt>
                <c:pt idx="2">
                  <c:v>32282 - TELA ANTIDESLIZANTE DIVERSAS U</c:v>
                </c:pt>
                <c:pt idx="3">
                  <c:v>2540017 TP ML A08980 280G 2,10L DIVERSAS U</c:v>
                </c:pt>
                <c:pt idx="4">
                  <c:v>2540033 TP ML 132012 340G 2,20L DV U</c:v>
                </c:pt>
                <c:pt idx="5">
                  <c:v>2540034 TP ML 237005 260G 2,20L DV U</c:v>
                </c:pt>
                <c:pt idx="6">
                  <c:v>2540026 TP ML 0072051 - 280G 2,20L DEGRA DIVERSAS U</c:v>
                </c:pt>
                <c:pt idx="7">
                  <c:v>2540005 TAMPO GEOMETRICO (A07370) DIVERSAS U</c:v>
                </c:pt>
                <c:pt idx="8">
                  <c:v>2540018 TP ML DIV 7806 240G 2,10L DIVERSAS U</c:v>
                </c:pt>
                <c:pt idx="9">
                  <c:v>2540015 TAMPO PONTILHADOS PRETO (A07803) DIVERSAS U</c:v>
                </c:pt>
                <c:pt idx="10">
                  <c:v>2540014 TP ML A05171 300G 2,20L DIVERSAS U</c:v>
                </c:pt>
                <c:pt idx="11">
                  <c:v>TAMPO GEOMETRICO (A07370) DIVERSAS U</c:v>
                </c:pt>
                <c:pt idx="12">
                  <c:v>TP ML DIV 7806 240G 2,10L DIVERSAS U</c:v>
                </c:pt>
                <c:pt idx="13">
                  <c:v>TP ML A08980 280G 2,10L DIVERSAS U</c:v>
                </c:pt>
                <c:pt idx="14">
                  <c:v>2540037 TP ML A10518 460G 2,20L DV U</c:v>
                </c:pt>
                <c:pt idx="15">
                  <c:v>2540022 TP ML FOLHAS IMAG 320G 2,10 DIVERSAS U</c:v>
                </c:pt>
                <c:pt idx="16">
                  <c:v>2540025 TP ML 0069001 - 300G 2,20L CONTE DIVERSAS U</c:v>
                </c:pt>
                <c:pt idx="17">
                  <c:v>TP ML 132012 340G 2,20L DV U</c:v>
                </c:pt>
                <c:pt idx="18">
                  <c:v>TAMPO PONTILHADOS PRETO (A07803) DIVERSAS U</c:v>
                </c:pt>
                <c:pt idx="19">
                  <c:v>2540031 TP ML A09792 390G 2,20L DV U</c:v>
                </c:pt>
                <c:pt idx="20">
                  <c:v>2540032 TP ML 245021 240G 2,20L DV U</c:v>
                </c:pt>
                <c:pt idx="21">
                  <c:v>TP ML FOLHAS IMAG 320G 2,10 DIVERSAS U</c:v>
                </c:pt>
                <c:pt idx="22">
                  <c:v>TP ML 0245051 280G 2,20L DV U</c:v>
                </c:pt>
                <c:pt idx="23">
                  <c:v>2540029 TP LUNA 230G 2,20L 0070001 DIVERSAS U</c:v>
                </c:pt>
                <c:pt idx="24">
                  <c:v>TP ML A10045 280G 2,20L DV U</c:v>
                </c:pt>
                <c:pt idx="25">
                  <c:v>2540028 TP CORDERO 310G 2,10L 0186002 DIVERSAS U</c:v>
                </c:pt>
                <c:pt idx="26">
                  <c:v>TP ML A05171 300G 2,20L DIVERSAS U</c:v>
                </c:pt>
                <c:pt idx="27">
                  <c:v>TP ML 0072051 - 280G 2,20L DEGRA DIVERSAS U</c:v>
                </c:pt>
              </c:strCache>
            </c:strRef>
          </c:cat>
          <c:val>
            <c:numRef>
              <c:f>'DIVINO-UY'!$V$7:$V$35</c:f>
              <c:numCache>
                <c:formatCode>#,##0.00</c:formatCode>
                <c:ptCount val="28"/>
                <c:pt idx="2">
                  <c:v>63701.11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8D-4F1F-9FA4-F575C5C8CA7A}"/>
            </c:ext>
          </c:extLst>
        </c:ser>
        <c:ser>
          <c:idx val="2"/>
          <c:order val="2"/>
          <c:tx>
            <c:strRef>
              <c:f>'DIVINO-UY'!$W$4:$W$6</c:f>
              <c:strCache>
                <c:ptCount val="1"/>
                <c:pt idx="0">
                  <c:v>2026 - 6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'DIVINO-UY'!$T$7:$T$35</c:f>
              <c:strCache>
                <c:ptCount val="28"/>
                <c:pt idx="0">
                  <c:v>2540012 TAMPO RASCUNHOS (A07820) DIVERSAS U</c:v>
                </c:pt>
                <c:pt idx="1">
                  <c:v>2540035 TP ML A10045 280G 2,20L DV U</c:v>
                </c:pt>
                <c:pt idx="2">
                  <c:v>32282 - TELA ANTIDESLIZANTE DIVERSAS U</c:v>
                </c:pt>
                <c:pt idx="3">
                  <c:v>2540017 TP ML A08980 280G 2,10L DIVERSAS U</c:v>
                </c:pt>
                <c:pt idx="4">
                  <c:v>2540033 TP ML 132012 340G 2,20L DV U</c:v>
                </c:pt>
                <c:pt idx="5">
                  <c:v>2540034 TP ML 237005 260G 2,20L DV U</c:v>
                </c:pt>
                <c:pt idx="6">
                  <c:v>2540026 TP ML 0072051 - 280G 2,20L DEGRA DIVERSAS U</c:v>
                </c:pt>
                <c:pt idx="7">
                  <c:v>2540005 TAMPO GEOMETRICO (A07370) DIVERSAS U</c:v>
                </c:pt>
                <c:pt idx="8">
                  <c:v>2540018 TP ML DIV 7806 240G 2,10L DIVERSAS U</c:v>
                </c:pt>
                <c:pt idx="9">
                  <c:v>2540015 TAMPO PONTILHADOS PRETO (A07803) DIVERSAS U</c:v>
                </c:pt>
                <c:pt idx="10">
                  <c:v>2540014 TP ML A05171 300G 2,20L DIVERSAS U</c:v>
                </c:pt>
                <c:pt idx="11">
                  <c:v>TAMPO GEOMETRICO (A07370) DIVERSAS U</c:v>
                </c:pt>
                <c:pt idx="12">
                  <c:v>TP ML DIV 7806 240G 2,10L DIVERSAS U</c:v>
                </c:pt>
                <c:pt idx="13">
                  <c:v>TP ML A08980 280G 2,10L DIVERSAS U</c:v>
                </c:pt>
                <c:pt idx="14">
                  <c:v>2540037 TP ML A10518 460G 2,20L DV U</c:v>
                </c:pt>
                <c:pt idx="15">
                  <c:v>2540022 TP ML FOLHAS IMAG 320G 2,10 DIVERSAS U</c:v>
                </c:pt>
                <c:pt idx="16">
                  <c:v>2540025 TP ML 0069001 - 300G 2,20L CONTE DIVERSAS U</c:v>
                </c:pt>
                <c:pt idx="17">
                  <c:v>TP ML 132012 340G 2,20L DV U</c:v>
                </c:pt>
                <c:pt idx="18">
                  <c:v>TAMPO PONTILHADOS PRETO (A07803) DIVERSAS U</c:v>
                </c:pt>
                <c:pt idx="19">
                  <c:v>2540031 TP ML A09792 390G 2,20L DV U</c:v>
                </c:pt>
                <c:pt idx="20">
                  <c:v>2540032 TP ML 245021 240G 2,20L DV U</c:v>
                </c:pt>
                <c:pt idx="21">
                  <c:v>TP ML FOLHAS IMAG 320G 2,10 DIVERSAS U</c:v>
                </c:pt>
                <c:pt idx="22">
                  <c:v>TP ML 0245051 280G 2,20L DV U</c:v>
                </c:pt>
                <c:pt idx="23">
                  <c:v>2540029 TP LUNA 230G 2,20L 0070001 DIVERSAS U</c:v>
                </c:pt>
                <c:pt idx="24">
                  <c:v>TP ML A10045 280G 2,20L DV U</c:v>
                </c:pt>
                <c:pt idx="25">
                  <c:v>2540028 TP CORDERO 310G 2,10L 0186002 DIVERSAS U</c:v>
                </c:pt>
                <c:pt idx="26">
                  <c:v>TP ML A05171 300G 2,20L DIVERSAS U</c:v>
                </c:pt>
                <c:pt idx="27">
                  <c:v>TP ML 0072051 - 280G 2,20L DEGRA DIVERSAS U</c:v>
                </c:pt>
              </c:strCache>
            </c:strRef>
          </c:cat>
          <c:val>
            <c:numRef>
              <c:f>'DIVINO-UY'!$W$7:$W$35</c:f>
              <c:numCache>
                <c:formatCode>#,##0.00</c:formatCode>
                <c:ptCount val="28"/>
                <c:pt idx="2">
                  <c:v>72861.119999999995</c:v>
                </c:pt>
                <c:pt idx="14">
                  <c:v>43461.82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8D-4F1F-9FA4-F575C5C8CA7A}"/>
            </c:ext>
          </c:extLst>
        </c:ser>
        <c:ser>
          <c:idx val="3"/>
          <c:order val="3"/>
          <c:tx>
            <c:strRef>
              <c:f>'DIVINO-UY'!$X$4:$X$6</c:f>
              <c:strCache>
                <c:ptCount val="1"/>
                <c:pt idx="0">
                  <c:v>2026 - 9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'DIVINO-UY'!$T$7:$T$35</c:f>
              <c:strCache>
                <c:ptCount val="28"/>
                <c:pt idx="0">
                  <c:v>2540012 TAMPO RASCUNHOS (A07820) DIVERSAS U</c:v>
                </c:pt>
                <c:pt idx="1">
                  <c:v>2540035 TP ML A10045 280G 2,20L DV U</c:v>
                </c:pt>
                <c:pt idx="2">
                  <c:v>32282 - TELA ANTIDESLIZANTE DIVERSAS U</c:v>
                </c:pt>
                <c:pt idx="3">
                  <c:v>2540017 TP ML A08980 280G 2,10L DIVERSAS U</c:v>
                </c:pt>
                <c:pt idx="4">
                  <c:v>2540033 TP ML 132012 340G 2,20L DV U</c:v>
                </c:pt>
                <c:pt idx="5">
                  <c:v>2540034 TP ML 237005 260G 2,20L DV U</c:v>
                </c:pt>
                <c:pt idx="6">
                  <c:v>2540026 TP ML 0072051 - 280G 2,20L DEGRA DIVERSAS U</c:v>
                </c:pt>
                <c:pt idx="7">
                  <c:v>2540005 TAMPO GEOMETRICO (A07370) DIVERSAS U</c:v>
                </c:pt>
                <c:pt idx="8">
                  <c:v>2540018 TP ML DIV 7806 240G 2,10L DIVERSAS U</c:v>
                </c:pt>
                <c:pt idx="9">
                  <c:v>2540015 TAMPO PONTILHADOS PRETO (A07803) DIVERSAS U</c:v>
                </c:pt>
                <c:pt idx="10">
                  <c:v>2540014 TP ML A05171 300G 2,20L DIVERSAS U</c:v>
                </c:pt>
                <c:pt idx="11">
                  <c:v>TAMPO GEOMETRICO (A07370) DIVERSAS U</c:v>
                </c:pt>
                <c:pt idx="12">
                  <c:v>TP ML DIV 7806 240G 2,10L DIVERSAS U</c:v>
                </c:pt>
                <c:pt idx="13">
                  <c:v>TP ML A08980 280G 2,10L DIVERSAS U</c:v>
                </c:pt>
                <c:pt idx="14">
                  <c:v>2540037 TP ML A10518 460G 2,20L DV U</c:v>
                </c:pt>
                <c:pt idx="15">
                  <c:v>2540022 TP ML FOLHAS IMAG 320G 2,10 DIVERSAS U</c:v>
                </c:pt>
                <c:pt idx="16">
                  <c:v>2540025 TP ML 0069001 - 300G 2,20L CONTE DIVERSAS U</c:v>
                </c:pt>
                <c:pt idx="17">
                  <c:v>TP ML 132012 340G 2,20L DV U</c:v>
                </c:pt>
                <c:pt idx="18">
                  <c:v>TAMPO PONTILHADOS PRETO (A07803) DIVERSAS U</c:v>
                </c:pt>
                <c:pt idx="19">
                  <c:v>2540031 TP ML A09792 390G 2,20L DV U</c:v>
                </c:pt>
                <c:pt idx="20">
                  <c:v>2540032 TP ML 245021 240G 2,20L DV U</c:v>
                </c:pt>
                <c:pt idx="21">
                  <c:v>TP ML FOLHAS IMAG 320G 2,10 DIVERSAS U</c:v>
                </c:pt>
                <c:pt idx="22">
                  <c:v>TP ML 0245051 280G 2,20L DV U</c:v>
                </c:pt>
                <c:pt idx="23">
                  <c:v>2540029 TP LUNA 230G 2,20L 0070001 DIVERSAS U</c:v>
                </c:pt>
                <c:pt idx="24">
                  <c:v>TP ML A10045 280G 2,20L DV U</c:v>
                </c:pt>
                <c:pt idx="25">
                  <c:v>2540028 TP CORDERO 310G 2,10L 0186002 DIVERSAS U</c:v>
                </c:pt>
                <c:pt idx="26">
                  <c:v>TP ML A05171 300G 2,20L DIVERSAS U</c:v>
                </c:pt>
                <c:pt idx="27">
                  <c:v>TP ML 0072051 - 280G 2,20L DEGRA DIVERSAS U</c:v>
                </c:pt>
              </c:strCache>
            </c:strRef>
          </c:cat>
          <c:val>
            <c:numRef>
              <c:f>'DIVINO-UY'!$X$7:$X$35</c:f>
              <c:numCache>
                <c:formatCode>#,##0.00</c:formatCode>
                <c:ptCount val="28"/>
                <c:pt idx="2">
                  <c:v>45806.23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8-445A-9716-A923CCD6E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1331728"/>
        <c:axId val="1691248704"/>
      </c:lineChart>
      <c:catAx>
        <c:axId val="115133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1248704"/>
        <c:crosses val="autoZero"/>
        <c:auto val="1"/>
        <c:lblAlgn val="ctr"/>
        <c:lblOffset val="100"/>
        <c:noMultiLvlLbl val="0"/>
      </c:catAx>
      <c:valAx>
        <c:axId val="169124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133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26.xlsx]SUNLOCK SPA-CH!TablaDinámica1</c:name>
    <c:fmtId val="3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'SUNLOCK SPA-CH'!$B$4:$B$6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'SUNLOCK SPA-CH'!$A$7:$A$25</c:f>
              <c:strCache>
                <c:ptCount val="18"/>
                <c:pt idx="0">
                  <c:v>2860018 TP ML A10310 300G 2,20L DV U</c:v>
                </c:pt>
                <c:pt idx="1">
                  <c:v>2860012 TP ML HARMONY ME 440G 2,20L DIVERSAS U</c:v>
                </c:pt>
                <c:pt idx="2">
                  <c:v>2860004-ME TP RETAS DEGRADE 450G 2,20L DIVERSAS U</c:v>
                </c:pt>
                <c:pt idx="3">
                  <c:v>2860011 TP ML DOLPHIN ME 430G 2,20L DIVERSAS U</c:v>
                </c:pt>
                <c:pt idx="4">
                  <c:v>2860006 TP ML 260G 2,10L DV U</c:v>
                </c:pt>
                <c:pt idx="5">
                  <c:v>2860008 TP ML GRAY WINDOW 380G 2,20L DIVERSAS U</c:v>
                </c:pt>
                <c:pt idx="6">
                  <c:v>2860003-TP ME DECRADE 420G 2,20L DIVERSAS U</c:v>
                </c:pt>
                <c:pt idx="7">
                  <c:v>2860013 TP ML A09687 350G 2,20L DIVERSAS U</c:v>
                </c:pt>
                <c:pt idx="8">
                  <c:v>TP A09682 GRIS 2 370G 2,20L DV U</c:v>
                </c:pt>
                <c:pt idx="9">
                  <c:v>-ME TP RETAS DEGRADE 450G 2,20L DIVERSAS U</c:v>
                </c:pt>
                <c:pt idx="10">
                  <c:v>2860014 TP ML A09686 370G 2,20L DIVERSAS U</c:v>
                </c:pt>
                <c:pt idx="11">
                  <c:v>2860019 TP ML 0427001 400G 2,20L DV U</c:v>
                </c:pt>
                <c:pt idx="12">
                  <c:v>TP ML A09687 350G 2,20L DIVERSAS U</c:v>
                </c:pt>
                <c:pt idx="13">
                  <c:v>2860021 TP ML 0354001 380G 2,30L DV U</c:v>
                </c:pt>
                <c:pt idx="14">
                  <c:v>2860020 TP ML 0414001 380G 2,20L DV U</c:v>
                </c:pt>
                <c:pt idx="15">
                  <c:v>2860006 TP ML 360G 2,10L DV U</c:v>
                </c:pt>
                <c:pt idx="16">
                  <c:v>2860017 TP ML 0091012 280G 2,20L DV U</c:v>
                </c:pt>
                <c:pt idx="17">
                  <c:v>DIFERENCA DE REALINHAMENTO DE PRECO COMPLEMENTO U</c:v>
                </c:pt>
              </c:strCache>
            </c:strRef>
          </c:cat>
          <c:val>
            <c:numRef>
              <c:f>'SUNLOCK SPA-CH'!$B$7:$B$25</c:f>
              <c:numCache>
                <c:formatCode>#,##0</c:formatCode>
                <c:ptCount val="18"/>
                <c:pt idx="0">
                  <c:v>514</c:v>
                </c:pt>
                <c:pt idx="1">
                  <c:v>464</c:v>
                </c:pt>
                <c:pt idx="2">
                  <c:v>567</c:v>
                </c:pt>
                <c:pt idx="3">
                  <c:v>637.08000000000004</c:v>
                </c:pt>
                <c:pt idx="5">
                  <c:v>475</c:v>
                </c:pt>
                <c:pt idx="7">
                  <c:v>467</c:v>
                </c:pt>
                <c:pt idx="8">
                  <c:v>1004</c:v>
                </c:pt>
                <c:pt idx="9">
                  <c:v>983</c:v>
                </c:pt>
                <c:pt idx="10">
                  <c:v>448</c:v>
                </c:pt>
                <c:pt idx="11">
                  <c:v>532</c:v>
                </c:pt>
                <c:pt idx="12">
                  <c:v>526</c:v>
                </c:pt>
                <c:pt idx="13">
                  <c:v>484</c:v>
                </c:pt>
                <c:pt idx="14">
                  <c:v>454</c:v>
                </c:pt>
                <c:pt idx="15">
                  <c:v>423</c:v>
                </c:pt>
                <c:pt idx="16">
                  <c:v>417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0B-42C2-A9F1-5B17E0EF0020}"/>
            </c:ext>
          </c:extLst>
        </c:ser>
        <c:ser>
          <c:idx val="1"/>
          <c:order val="1"/>
          <c:tx>
            <c:strRef>
              <c:f>'SUNLOCK SPA-CH'!$C$4:$C$6</c:f>
              <c:strCache>
                <c:ptCount val="1"/>
                <c:pt idx="0">
                  <c:v>2026 - 2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'SUNLOCK SPA-CH'!$A$7:$A$25</c:f>
              <c:strCache>
                <c:ptCount val="18"/>
                <c:pt idx="0">
                  <c:v>2860018 TP ML A10310 300G 2,20L DV U</c:v>
                </c:pt>
                <c:pt idx="1">
                  <c:v>2860012 TP ML HARMONY ME 440G 2,20L DIVERSAS U</c:v>
                </c:pt>
                <c:pt idx="2">
                  <c:v>2860004-ME TP RETAS DEGRADE 450G 2,20L DIVERSAS U</c:v>
                </c:pt>
                <c:pt idx="3">
                  <c:v>2860011 TP ML DOLPHIN ME 430G 2,20L DIVERSAS U</c:v>
                </c:pt>
                <c:pt idx="4">
                  <c:v>2860006 TP ML 260G 2,10L DV U</c:v>
                </c:pt>
                <c:pt idx="5">
                  <c:v>2860008 TP ML GRAY WINDOW 380G 2,20L DIVERSAS U</c:v>
                </c:pt>
                <c:pt idx="6">
                  <c:v>2860003-TP ME DECRADE 420G 2,20L DIVERSAS U</c:v>
                </c:pt>
                <c:pt idx="7">
                  <c:v>2860013 TP ML A09687 350G 2,20L DIVERSAS U</c:v>
                </c:pt>
                <c:pt idx="8">
                  <c:v>TP A09682 GRIS 2 370G 2,20L DV U</c:v>
                </c:pt>
                <c:pt idx="9">
                  <c:v>-ME TP RETAS DEGRADE 450G 2,20L DIVERSAS U</c:v>
                </c:pt>
                <c:pt idx="10">
                  <c:v>2860014 TP ML A09686 370G 2,20L DIVERSAS U</c:v>
                </c:pt>
                <c:pt idx="11">
                  <c:v>2860019 TP ML 0427001 400G 2,20L DV U</c:v>
                </c:pt>
                <c:pt idx="12">
                  <c:v>TP ML A09687 350G 2,20L DIVERSAS U</c:v>
                </c:pt>
                <c:pt idx="13">
                  <c:v>2860021 TP ML 0354001 380G 2,30L DV U</c:v>
                </c:pt>
                <c:pt idx="14">
                  <c:v>2860020 TP ML 0414001 380G 2,20L DV U</c:v>
                </c:pt>
                <c:pt idx="15">
                  <c:v>2860006 TP ML 360G 2,10L DV U</c:v>
                </c:pt>
                <c:pt idx="16">
                  <c:v>2860017 TP ML 0091012 280G 2,20L DV U</c:v>
                </c:pt>
                <c:pt idx="17">
                  <c:v>DIFERENCA DE REALINHAMENTO DE PRECO COMPLEMENTO U</c:v>
                </c:pt>
              </c:strCache>
            </c:strRef>
          </c:cat>
          <c:val>
            <c:numRef>
              <c:f>'SUNLOCK SPA-CH'!$C$7:$C$25</c:f>
              <c:numCache>
                <c:formatCode>#,##0</c:formatCode>
                <c:ptCount val="18"/>
                <c:pt idx="0">
                  <c:v>1390</c:v>
                </c:pt>
                <c:pt idx="1">
                  <c:v>908</c:v>
                </c:pt>
                <c:pt idx="5">
                  <c:v>1015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F-43AC-BA79-370778D8CD88}"/>
            </c:ext>
          </c:extLst>
        </c:ser>
        <c:ser>
          <c:idx val="2"/>
          <c:order val="2"/>
          <c:tx>
            <c:strRef>
              <c:f>'SUNLOCK SPA-CH'!$D$4:$D$6</c:f>
              <c:strCache>
                <c:ptCount val="1"/>
                <c:pt idx="0">
                  <c:v>2026 - 5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'SUNLOCK SPA-CH'!$A$7:$A$25</c:f>
              <c:strCache>
                <c:ptCount val="18"/>
                <c:pt idx="0">
                  <c:v>2860018 TP ML A10310 300G 2,20L DV U</c:v>
                </c:pt>
                <c:pt idx="1">
                  <c:v>2860012 TP ML HARMONY ME 440G 2,20L DIVERSAS U</c:v>
                </c:pt>
                <c:pt idx="2">
                  <c:v>2860004-ME TP RETAS DEGRADE 450G 2,20L DIVERSAS U</c:v>
                </c:pt>
                <c:pt idx="3">
                  <c:v>2860011 TP ML DOLPHIN ME 430G 2,20L DIVERSAS U</c:v>
                </c:pt>
                <c:pt idx="4">
                  <c:v>2860006 TP ML 260G 2,10L DV U</c:v>
                </c:pt>
                <c:pt idx="5">
                  <c:v>2860008 TP ML GRAY WINDOW 380G 2,20L DIVERSAS U</c:v>
                </c:pt>
                <c:pt idx="6">
                  <c:v>2860003-TP ME DECRADE 420G 2,20L DIVERSAS U</c:v>
                </c:pt>
                <c:pt idx="7">
                  <c:v>2860013 TP ML A09687 350G 2,20L DIVERSAS U</c:v>
                </c:pt>
                <c:pt idx="8">
                  <c:v>TP A09682 GRIS 2 370G 2,20L DV U</c:v>
                </c:pt>
                <c:pt idx="9">
                  <c:v>-ME TP RETAS DEGRADE 450G 2,20L DIVERSAS U</c:v>
                </c:pt>
                <c:pt idx="10">
                  <c:v>2860014 TP ML A09686 370G 2,20L DIVERSAS U</c:v>
                </c:pt>
                <c:pt idx="11">
                  <c:v>2860019 TP ML 0427001 400G 2,20L DV U</c:v>
                </c:pt>
                <c:pt idx="12">
                  <c:v>TP ML A09687 350G 2,20L DIVERSAS U</c:v>
                </c:pt>
                <c:pt idx="13">
                  <c:v>2860021 TP ML 0354001 380G 2,30L DV U</c:v>
                </c:pt>
                <c:pt idx="14">
                  <c:v>2860020 TP ML 0414001 380G 2,20L DV U</c:v>
                </c:pt>
                <c:pt idx="15">
                  <c:v>2860006 TP ML 360G 2,10L DV U</c:v>
                </c:pt>
                <c:pt idx="16">
                  <c:v>2860017 TP ML 0091012 280G 2,20L DV U</c:v>
                </c:pt>
                <c:pt idx="17">
                  <c:v>DIFERENCA DE REALINHAMENTO DE PRECO COMPLEMENTO U</c:v>
                </c:pt>
              </c:strCache>
            </c:strRef>
          </c:cat>
          <c:val>
            <c:numRef>
              <c:f>'SUNLOCK SPA-CH'!$D$7:$D$25</c:f>
              <c:numCache>
                <c:formatCode>#,##0</c:formatCode>
                <c:ptCount val="18"/>
                <c:pt idx="2">
                  <c:v>1153</c:v>
                </c:pt>
                <c:pt idx="3">
                  <c:v>899</c:v>
                </c:pt>
                <c:pt idx="6">
                  <c:v>1121</c:v>
                </c:pt>
                <c:pt idx="7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2F-43AC-BA79-370778D8CD88}"/>
            </c:ext>
          </c:extLst>
        </c:ser>
        <c:ser>
          <c:idx val="3"/>
          <c:order val="3"/>
          <c:tx>
            <c:strRef>
              <c:f>'SUNLOCK SPA-CH'!$E$4:$E$6</c:f>
              <c:strCache>
                <c:ptCount val="1"/>
                <c:pt idx="0">
                  <c:v>2026 - 9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'SUNLOCK SPA-CH'!$A$7:$A$25</c:f>
              <c:strCache>
                <c:ptCount val="18"/>
                <c:pt idx="0">
                  <c:v>2860018 TP ML A10310 300G 2,20L DV U</c:v>
                </c:pt>
                <c:pt idx="1">
                  <c:v>2860012 TP ML HARMONY ME 440G 2,20L DIVERSAS U</c:v>
                </c:pt>
                <c:pt idx="2">
                  <c:v>2860004-ME TP RETAS DEGRADE 450G 2,20L DIVERSAS U</c:v>
                </c:pt>
                <c:pt idx="3">
                  <c:v>2860011 TP ML DOLPHIN ME 430G 2,20L DIVERSAS U</c:v>
                </c:pt>
                <c:pt idx="4">
                  <c:v>2860006 TP ML 260G 2,10L DV U</c:v>
                </c:pt>
                <c:pt idx="5">
                  <c:v>2860008 TP ML GRAY WINDOW 380G 2,20L DIVERSAS U</c:v>
                </c:pt>
                <c:pt idx="6">
                  <c:v>2860003-TP ME DECRADE 420G 2,20L DIVERSAS U</c:v>
                </c:pt>
                <c:pt idx="7">
                  <c:v>2860013 TP ML A09687 350G 2,20L DIVERSAS U</c:v>
                </c:pt>
                <c:pt idx="8">
                  <c:v>TP A09682 GRIS 2 370G 2,20L DV U</c:v>
                </c:pt>
                <c:pt idx="9">
                  <c:v>-ME TP RETAS DEGRADE 450G 2,20L DIVERSAS U</c:v>
                </c:pt>
                <c:pt idx="10">
                  <c:v>2860014 TP ML A09686 370G 2,20L DIVERSAS U</c:v>
                </c:pt>
                <c:pt idx="11">
                  <c:v>2860019 TP ML 0427001 400G 2,20L DV U</c:v>
                </c:pt>
                <c:pt idx="12">
                  <c:v>TP ML A09687 350G 2,20L DIVERSAS U</c:v>
                </c:pt>
                <c:pt idx="13">
                  <c:v>2860021 TP ML 0354001 380G 2,30L DV U</c:v>
                </c:pt>
                <c:pt idx="14">
                  <c:v>2860020 TP ML 0414001 380G 2,20L DV U</c:v>
                </c:pt>
                <c:pt idx="15">
                  <c:v>2860006 TP ML 360G 2,10L DV U</c:v>
                </c:pt>
                <c:pt idx="16">
                  <c:v>2860017 TP ML 0091012 280G 2,20L DV U</c:v>
                </c:pt>
                <c:pt idx="17">
                  <c:v>DIFERENCA DE REALINHAMENTO DE PRECO COMPLEMENTO U</c:v>
                </c:pt>
              </c:strCache>
            </c:strRef>
          </c:cat>
          <c:val>
            <c:numRef>
              <c:f>'SUNLOCK SPA-CH'!$E$7:$E$25</c:f>
              <c:numCache>
                <c:formatCode>#,##0</c:formatCode>
                <c:ptCount val="18"/>
                <c:pt idx="1">
                  <c:v>478</c:v>
                </c:pt>
                <c:pt idx="4">
                  <c:v>1512</c:v>
                </c:pt>
                <c:pt idx="10">
                  <c:v>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74-48F6-8293-5F3E100B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7911984"/>
        <c:axId val="1797897584"/>
      </c:lineChart>
      <c:catAx>
        <c:axId val="179791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7897584"/>
        <c:crosses val="autoZero"/>
        <c:auto val="1"/>
        <c:lblAlgn val="ctr"/>
        <c:lblOffset val="100"/>
        <c:noMultiLvlLbl val="0"/>
      </c:catAx>
      <c:valAx>
        <c:axId val="179789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791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26.xlsx]SUNLOCK SPA-CH!TablaDinámica2</c:name>
    <c:fmtId val="2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'SUNLOCK SPA-CH'!$R$4:$R$6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'SUNLOCK SPA-CH'!$Q$7:$Q$25</c:f>
              <c:strCache>
                <c:ptCount val="18"/>
                <c:pt idx="0">
                  <c:v>2860012 TP ML HARMONY ME 440G 2,20L DIVERSAS U</c:v>
                </c:pt>
                <c:pt idx="1">
                  <c:v>2860011 TP ML DOLPHIN ME 430G 2,20L DIVERSAS U</c:v>
                </c:pt>
                <c:pt idx="2">
                  <c:v>2860008 TP ML GRAY WINDOW 380G 2,20L DIVERSAS U</c:v>
                </c:pt>
                <c:pt idx="3">
                  <c:v>2860006 TP ML 260G 2,10L DV U</c:v>
                </c:pt>
                <c:pt idx="4">
                  <c:v>2860004-ME TP RETAS DEGRADE 450G 2,20L DIVERSAS U</c:v>
                </c:pt>
                <c:pt idx="5">
                  <c:v>2860003-TP ME DECRADE 420G 2,20L DIVERSAS U</c:v>
                </c:pt>
                <c:pt idx="6">
                  <c:v>2860014 TP ML A09686 370G 2,20L DIVERSAS U</c:v>
                </c:pt>
                <c:pt idx="7">
                  <c:v>2860018 TP ML A10310 300G 2,20L DV U</c:v>
                </c:pt>
                <c:pt idx="8">
                  <c:v>TP A09682 GRIS 2 370G 2,20L DV U</c:v>
                </c:pt>
                <c:pt idx="9">
                  <c:v>2860013 TP ML A09687 350G 2,20L DIVERSAS U</c:v>
                </c:pt>
                <c:pt idx="10">
                  <c:v>-ME TP RETAS DEGRADE 450G 2,20L DIVERSAS U</c:v>
                </c:pt>
                <c:pt idx="11">
                  <c:v>2860021 TP ML 0354001 380G 2,30L DV U</c:v>
                </c:pt>
                <c:pt idx="12">
                  <c:v>2860019 TP ML 0427001 400G 2,20L DV U</c:v>
                </c:pt>
                <c:pt idx="13">
                  <c:v>TP ML A09687 350G 2,20L DIVERSAS U</c:v>
                </c:pt>
                <c:pt idx="14">
                  <c:v>2860020 TP ML 0414001 380G 2,20L DV U</c:v>
                </c:pt>
                <c:pt idx="15">
                  <c:v>DIFERENCA DE REALINHAMENTO DE PRECO COMPLEMENTO U</c:v>
                </c:pt>
                <c:pt idx="16">
                  <c:v>2860006 TP ML 360G 2,10L DV U</c:v>
                </c:pt>
                <c:pt idx="17">
                  <c:v>2860017 TP ML 0091012 280G 2,20L DV U</c:v>
                </c:pt>
              </c:strCache>
            </c:strRef>
          </c:cat>
          <c:val>
            <c:numRef>
              <c:f>'SUNLOCK SPA-CH'!$R$7:$R$25</c:f>
              <c:numCache>
                <c:formatCode>#,##0.00</c:formatCode>
                <c:ptCount val="18"/>
                <c:pt idx="0">
                  <c:v>16610.66</c:v>
                </c:pt>
                <c:pt idx="1">
                  <c:v>22640.93</c:v>
                </c:pt>
                <c:pt idx="2">
                  <c:v>13059.92</c:v>
                </c:pt>
                <c:pt idx="4">
                  <c:v>13448.56</c:v>
                </c:pt>
                <c:pt idx="6">
                  <c:v>14771.55</c:v>
                </c:pt>
                <c:pt idx="7">
                  <c:v>8145.84</c:v>
                </c:pt>
                <c:pt idx="8">
                  <c:v>29528.32</c:v>
                </c:pt>
                <c:pt idx="9">
                  <c:v>11796.88</c:v>
                </c:pt>
                <c:pt idx="10">
                  <c:v>23906.92</c:v>
                </c:pt>
                <c:pt idx="11">
                  <c:v>18875.09</c:v>
                </c:pt>
                <c:pt idx="12">
                  <c:v>16932.13</c:v>
                </c:pt>
                <c:pt idx="13">
                  <c:v>14131.27</c:v>
                </c:pt>
                <c:pt idx="14">
                  <c:v>12371.06</c:v>
                </c:pt>
                <c:pt idx="15">
                  <c:v>12356.57</c:v>
                </c:pt>
                <c:pt idx="16">
                  <c:v>10212.99</c:v>
                </c:pt>
                <c:pt idx="17">
                  <c:v>6675.12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3-4BB3-B25C-6E04C07FE09F}"/>
            </c:ext>
          </c:extLst>
        </c:ser>
        <c:ser>
          <c:idx val="1"/>
          <c:order val="1"/>
          <c:tx>
            <c:strRef>
              <c:f>'SUNLOCK SPA-CH'!$S$4:$S$6</c:f>
              <c:strCache>
                <c:ptCount val="1"/>
                <c:pt idx="0">
                  <c:v>2026 - 2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'SUNLOCK SPA-CH'!$Q$7:$Q$25</c:f>
              <c:strCache>
                <c:ptCount val="18"/>
                <c:pt idx="0">
                  <c:v>2860012 TP ML HARMONY ME 440G 2,20L DIVERSAS U</c:v>
                </c:pt>
                <c:pt idx="1">
                  <c:v>2860011 TP ML DOLPHIN ME 430G 2,20L DIVERSAS U</c:v>
                </c:pt>
                <c:pt idx="2">
                  <c:v>2860008 TP ML GRAY WINDOW 380G 2,20L DIVERSAS U</c:v>
                </c:pt>
                <c:pt idx="3">
                  <c:v>2860006 TP ML 260G 2,10L DV U</c:v>
                </c:pt>
                <c:pt idx="4">
                  <c:v>2860004-ME TP RETAS DEGRADE 450G 2,20L DIVERSAS U</c:v>
                </c:pt>
                <c:pt idx="5">
                  <c:v>2860003-TP ME DECRADE 420G 2,20L DIVERSAS U</c:v>
                </c:pt>
                <c:pt idx="6">
                  <c:v>2860014 TP ML A09686 370G 2,20L DIVERSAS U</c:v>
                </c:pt>
                <c:pt idx="7">
                  <c:v>2860018 TP ML A10310 300G 2,20L DV U</c:v>
                </c:pt>
                <c:pt idx="8">
                  <c:v>TP A09682 GRIS 2 370G 2,20L DV U</c:v>
                </c:pt>
                <c:pt idx="9">
                  <c:v>2860013 TP ML A09687 350G 2,20L DIVERSAS U</c:v>
                </c:pt>
                <c:pt idx="10">
                  <c:v>-ME TP RETAS DEGRADE 450G 2,20L DIVERSAS U</c:v>
                </c:pt>
                <c:pt idx="11">
                  <c:v>2860021 TP ML 0354001 380G 2,30L DV U</c:v>
                </c:pt>
                <c:pt idx="12">
                  <c:v>2860019 TP ML 0427001 400G 2,20L DV U</c:v>
                </c:pt>
                <c:pt idx="13">
                  <c:v>TP ML A09687 350G 2,20L DIVERSAS U</c:v>
                </c:pt>
                <c:pt idx="14">
                  <c:v>2860020 TP ML 0414001 380G 2,20L DV U</c:v>
                </c:pt>
                <c:pt idx="15">
                  <c:v>DIFERENCA DE REALINHAMENTO DE PRECO COMPLEMENTO U</c:v>
                </c:pt>
                <c:pt idx="16">
                  <c:v>2860006 TP ML 360G 2,10L DV U</c:v>
                </c:pt>
                <c:pt idx="17">
                  <c:v>2860017 TP ML 0091012 280G 2,20L DV U</c:v>
                </c:pt>
              </c:strCache>
            </c:strRef>
          </c:cat>
          <c:val>
            <c:numRef>
              <c:f>'SUNLOCK SPA-CH'!$S$7:$S$25</c:f>
              <c:numCache>
                <c:formatCode>#,##0.00</c:formatCode>
                <c:ptCount val="18"/>
                <c:pt idx="0">
                  <c:v>30845.31</c:v>
                </c:pt>
                <c:pt idx="2">
                  <c:v>27467.25</c:v>
                </c:pt>
                <c:pt idx="7">
                  <c:v>21681.52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69-456D-AE16-84475B8884FB}"/>
            </c:ext>
          </c:extLst>
        </c:ser>
        <c:ser>
          <c:idx val="2"/>
          <c:order val="2"/>
          <c:tx>
            <c:strRef>
              <c:f>'SUNLOCK SPA-CH'!$T$4:$T$6</c:f>
              <c:strCache>
                <c:ptCount val="1"/>
                <c:pt idx="0">
                  <c:v>2026 - 5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'SUNLOCK SPA-CH'!$Q$7:$Q$25</c:f>
              <c:strCache>
                <c:ptCount val="18"/>
                <c:pt idx="0">
                  <c:v>2860012 TP ML HARMONY ME 440G 2,20L DIVERSAS U</c:v>
                </c:pt>
                <c:pt idx="1">
                  <c:v>2860011 TP ML DOLPHIN ME 430G 2,20L DIVERSAS U</c:v>
                </c:pt>
                <c:pt idx="2">
                  <c:v>2860008 TP ML GRAY WINDOW 380G 2,20L DIVERSAS U</c:v>
                </c:pt>
                <c:pt idx="3">
                  <c:v>2860006 TP ML 260G 2,10L DV U</c:v>
                </c:pt>
                <c:pt idx="4">
                  <c:v>2860004-ME TP RETAS DEGRADE 450G 2,20L DIVERSAS U</c:v>
                </c:pt>
                <c:pt idx="5">
                  <c:v>2860003-TP ME DECRADE 420G 2,20L DIVERSAS U</c:v>
                </c:pt>
                <c:pt idx="6">
                  <c:v>2860014 TP ML A09686 370G 2,20L DIVERSAS U</c:v>
                </c:pt>
                <c:pt idx="7">
                  <c:v>2860018 TP ML A10310 300G 2,20L DV U</c:v>
                </c:pt>
                <c:pt idx="8">
                  <c:v>TP A09682 GRIS 2 370G 2,20L DV U</c:v>
                </c:pt>
                <c:pt idx="9">
                  <c:v>2860013 TP ML A09687 350G 2,20L DIVERSAS U</c:v>
                </c:pt>
                <c:pt idx="10">
                  <c:v>-ME TP RETAS DEGRADE 450G 2,20L DIVERSAS U</c:v>
                </c:pt>
                <c:pt idx="11">
                  <c:v>2860021 TP ML 0354001 380G 2,30L DV U</c:v>
                </c:pt>
                <c:pt idx="12">
                  <c:v>2860019 TP ML 0427001 400G 2,20L DV U</c:v>
                </c:pt>
                <c:pt idx="13">
                  <c:v>TP ML A09687 350G 2,20L DIVERSAS U</c:v>
                </c:pt>
                <c:pt idx="14">
                  <c:v>2860020 TP ML 0414001 380G 2,20L DV U</c:v>
                </c:pt>
                <c:pt idx="15">
                  <c:v>DIFERENCA DE REALINHAMENTO DE PRECO COMPLEMENTO U</c:v>
                </c:pt>
                <c:pt idx="16">
                  <c:v>2860006 TP ML 360G 2,10L DV U</c:v>
                </c:pt>
                <c:pt idx="17">
                  <c:v>2860017 TP ML 0091012 280G 2,20L DV U</c:v>
                </c:pt>
              </c:strCache>
            </c:strRef>
          </c:cat>
          <c:val>
            <c:numRef>
              <c:f>'SUNLOCK SPA-CH'!$T$7:$T$25</c:f>
              <c:numCache>
                <c:formatCode>#,##0.00</c:formatCode>
                <c:ptCount val="18"/>
                <c:pt idx="1">
                  <c:v>28726.79</c:v>
                </c:pt>
                <c:pt idx="4">
                  <c:v>24410.720000000001</c:v>
                </c:pt>
                <c:pt idx="5">
                  <c:v>37310.839999999997</c:v>
                </c:pt>
                <c:pt idx="9">
                  <c:v>13026.61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69-456D-AE16-84475B8884FB}"/>
            </c:ext>
          </c:extLst>
        </c:ser>
        <c:ser>
          <c:idx val="3"/>
          <c:order val="3"/>
          <c:tx>
            <c:strRef>
              <c:f>'SUNLOCK SPA-CH'!$U$4:$U$6</c:f>
              <c:strCache>
                <c:ptCount val="1"/>
                <c:pt idx="0">
                  <c:v>2026 - 9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'SUNLOCK SPA-CH'!$Q$7:$Q$25</c:f>
              <c:strCache>
                <c:ptCount val="18"/>
                <c:pt idx="0">
                  <c:v>2860012 TP ML HARMONY ME 440G 2,20L DIVERSAS U</c:v>
                </c:pt>
                <c:pt idx="1">
                  <c:v>2860011 TP ML DOLPHIN ME 430G 2,20L DIVERSAS U</c:v>
                </c:pt>
                <c:pt idx="2">
                  <c:v>2860008 TP ML GRAY WINDOW 380G 2,20L DIVERSAS U</c:v>
                </c:pt>
                <c:pt idx="3">
                  <c:v>2860006 TP ML 260G 2,10L DV U</c:v>
                </c:pt>
                <c:pt idx="4">
                  <c:v>2860004-ME TP RETAS DEGRADE 450G 2,20L DIVERSAS U</c:v>
                </c:pt>
                <c:pt idx="5">
                  <c:v>2860003-TP ME DECRADE 420G 2,20L DIVERSAS U</c:v>
                </c:pt>
                <c:pt idx="6">
                  <c:v>2860014 TP ML A09686 370G 2,20L DIVERSAS U</c:v>
                </c:pt>
                <c:pt idx="7">
                  <c:v>2860018 TP ML A10310 300G 2,20L DV U</c:v>
                </c:pt>
                <c:pt idx="8">
                  <c:v>TP A09682 GRIS 2 370G 2,20L DV U</c:v>
                </c:pt>
                <c:pt idx="9">
                  <c:v>2860013 TP ML A09687 350G 2,20L DIVERSAS U</c:v>
                </c:pt>
                <c:pt idx="10">
                  <c:v>-ME TP RETAS DEGRADE 450G 2,20L DIVERSAS U</c:v>
                </c:pt>
                <c:pt idx="11">
                  <c:v>2860021 TP ML 0354001 380G 2,30L DV U</c:v>
                </c:pt>
                <c:pt idx="12">
                  <c:v>2860019 TP ML 0427001 400G 2,20L DV U</c:v>
                </c:pt>
                <c:pt idx="13">
                  <c:v>TP ML A09687 350G 2,20L DIVERSAS U</c:v>
                </c:pt>
                <c:pt idx="14">
                  <c:v>2860020 TP ML 0414001 380G 2,20L DV U</c:v>
                </c:pt>
                <c:pt idx="15">
                  <c:v>DIFERENCA DE REALINHAMENTO DE PRECO COMPLEMENTO U</c:v>
                </c:pt>
                <c:pt idx="16">
                  <c:v>2860006 TP ML 360G 2,10L DV U</c:v>
                </c:pt>
                <c:pt idx="17">
                  <c:v>2860017 TP ML 0091012 280G 2,20L DV U</c:v>
                </c:pt>
              </c:strCache>
            </c:strRef>
          </c:cat>
          <c:val>
            <c:numRef>
              <c:f>'SUNLOCK SPA-CH'!$U$7:$U$25</c:f>
              <c:numCache>
                <c:formatCode>#,##0.00</c:formatCode>
                <c:ptCount val="18"/>
                <c:pt idx="0">
                  <c:v>18146.91</c:v>
                </c:pt>
                <c:pt idx="3">
                  <c:v>40154.83</c:v>
                </c:pt>
                <c:pt idx="6">
                  <c:v>16501.87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08-4B1E-87EC-20D75922B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7886544"/>
        <c:axId val="1797894224"/>
      </c:lineChart>
      <c:catAx>
        <c:axId val="179788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7894224"/>
        <c:crosses val="autoZero"/>
        <c:auto val="1"/>
        <c:lblAlgn val="ctr"/>
        <c:lblOffset val="100"/>
        <c:noMultiLvlLbl val="0"/>
      </c:catAx>
      <c:valAx>
        <c:axId val="17978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9788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26.xlsx]SIMMONS-ARG!TablaDinámica2</c:name>
    <c:fmtId val="3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'SIMMONS-ARG'!$B$5:$B$7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'SIMMONS-ARG'!$A$8:$A$11</c:f>
              <c:strCache>
                <c:ptCount val="3"/>
                <c:pt idx="0">
                  <c:v>3470003 TP ML 301002 260G 2,20L DV U</c:v>
                </c:pt>
                <c:pt idx="1">
                  <c:v>3470005 TP ML A10101 240G 2,30L DV U</c:v>
                </c:pt>
                <c:pt idx="2">
                  <c:v>3470004 TP ML A10097 240G 2,30L DV U</c:v>
                </c:pt>
              </c:strCache>
            </c:strRef>
          </c:cat>
          <c:val>
            <c:numRef>
              <c:f>'SIMMONS-ARG'!$B$8:$B$11</c:f>
              <c:numCache>
                <c:formatCode>General</c:formatCode>
                <c:ptCount val="3"/>
                <c:pt idx="0">
                  <c:v>9714</c:v>
                </c:pt>
                <c:pt idx="1">
                  <c:v>6094</c:v>
                </c:pt>
                <c:pt idx="2">
                  <c:v>5766.52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A-465C-874D-36C2B829D07F}"/>
            </c:ext>
          </c:extLst>
        </c:ser>
        <c:ser>
          <c:idx val="1"/>
          <c:order val="1"/>
          <c:tx>
            <c:strRef>
              <c:f>'SIMMONS-ARG'!$C$5:$C$7</c:f>
              <c:strCache>
                <c:ptCount val="1"/>
                <c:pt idx="0">
                  <c:v>2026 - 2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'SIMMONS-ARG'!$A$8:$A$11</c:f>
              <c:strCache>
                <c:ptCount val="3"/>
                <c:pt idx="0">
                  <c:v>3470003 TP ML 301002 260G 2,20L DV U</c:v>
                </c:pt>
                <c:pt idx="1">
                  <c:v>3470005 TP ML A10101 240G 2,30L DV U</c:v>
                </c:pt>
                <c:pt idx="2">
                  <c:v>3470004 TP ML A10097 240G 2,30L DV U</c:v>
                </c:pt>
              </c:strCache>
            </c:strRef>
          </c:cat>
          <c:val>
            <c:numRef>
              <c:f>'SIMMONS-ARG'!$C$8:$C$11</c:f>
              <c:numCache>
                <c:formatCode>General</c:formatCode>
                <c:ptCount val="3"/>
                <c:pt idx="0">
                  <c:v>12140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2A-465C-874D-36C2B829D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9711232"/>
        <c:axId val="445968816"/>
      </c:lineChart>
      <c:catAx>
        <c:axId val="68971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5968816"/>
        <c:crosses val="autoZero"/>
        <c:auto val="1"/>
        <c:lblAlgn val="ctr"/>
        <c:lblOffset val="100"/>
        <c:noMultiLvlLbl val="0"/>
      </c:catAx>
      <c:valAx>
        <c:axId val="4459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971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26.xlsx]SIMMONS-ARG!TablaDinámica1</c:name>
    <c:fmtId val="3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'SIMMONS-ARG'!$M$5:$M$7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'SIMMONS-ARG'!$L$8:$L$11</c:f>
              <c:strCache>
                <c:ptCount val="3"/>
                <c:pt idx="0">
                  <c:v>3470003 TP ML 301002 260G 2,20L DV U</c:v>
                </c:pt>
                <c:pt idx="1">
                  <c:v>3470005 TP ML A10101 240G 2,30L DV U</c:v>
                </c:pt>
                <c:pt idx="2">
                  <c:v>3470004 TP ML A10097 240G 2,30L DV U</c:v>
                </c:pt>
              </c:strCache>
            </c:strRef>
          </c:cat>
          <c:val>
            <c:numRef>
              <c:f>'SIMMONS-ARG'!$M$8:$M$11</c:f>
              <c:numCache>
                <c:formatCode>#,##0.00</c:formatCode>
                <c:ptCount val="3"/>
                <c:pt idx="0">
                  <c:v>95819.54</c:v>
                </c:pt>
                <c:pt idx="1">
                  <c:v>90501.33</c:v>
                </c:pt>
                <c:pt idx="2">
                  <c:v>89628.26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4-41B6-94DA-77AEB28B7F6F}"/>
            </c:ext>
          </c:extLst>
        </c:ser>
        <c:ser>
          <c:idx val="1"/>
          <c:order val="1"/>
          <c:tx>
            <c:strRef>
              <c:f>'SIMMONS-ARG'!$N$5:$N$7</c:f>
              <c:strCache>
                <c:ptCount val="1"/>
                <c:pt idx="0">
                  <c:v>2026 - 2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'SIMMONS-ARG'!$L$8:$L$11</c:f>
              <c:strCache>
                <c:ptCount val="3"/>
                <c:pt idx="0">
                  <c:v>3470003 TP ML 301002 260G 2,20L DV U</c:v>
                </c:pt>
                <c:pt idx="1">
                  <c:v>3470005 TP ML A10101 240G 2,30L DV U</c:v>
                </c:pt>
                <c:pt idx="2">
                  <c:v>3470004 TP ML A10097 240G 2,30L DV U</c:v>
                </c:pt>
              </c:strCache>
            </c:strRef>
          </c:cat>
          <c:val>
            <c:numRef>
              <c:f>'SIMMONS-ARG'!$N$8:$N$11</c:f>
              <c:numCache>
                <c:formatCode>#,##0.00</c:formatCode>
                <c:ptCount val="3"/>
                <c:pt idx="0">
                  <c:v>114700.02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14-41B6-94DA-77AEB28B7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518688"/>
        <c:axId val="881522528"/>
      </c:lineChart>
      <c:catAx>
        <c:axId val="88151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1522528"/>
        <c:crosses val="autoZero"/>
        <c:auto val="1"/>
        <c:lblAlgn val="ctr"/>
        <c:lblOffset val="100"/>
        <c:noMultiLvlLbl val="0"/>
      </c:catAx>
      <c:valAx>
        <c:axId val="88152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151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v>Series1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"/>
              <c:pt idx="0">
                <c:v>3420001 TP ML A08182 160G 2,20L DV U</c:v>
              </c:pt>
            </c:strLit>
          </c:cat>
          <c:val>
            <c:numLit>
              <c:formatCode>General</c:formatCode>
              <c:ptCount val="1"/>
              <c:pt idx="0">
                <c:v>2076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328-44A0-B488-791D5F9D8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9920512"/>
        <c:axId val="1066834256"/>
      </c:lineChart>
      <c:catAx>
        <c:axId val="94992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6834256"/>
        <c:crosses val="autoZero"/>
        <c:auto val="1"/>
        <c:lblAlgn val="ctr"/>
        <c:lblOffset val="100"/>
        <c:noMultiLvlLbl val="0"/>
      </c:catAx>
      <c:valAx>
        <c:axId val="106683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992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26.xlsx]Flexible Clientes div. !TablaDinámica2</c:name>
    <c:fmtId val="4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'Flexible Clientes div. '!$B$5:$B$7</c:f>
              <c:strCache>
                <c:ptCount val="1"/>
                <c:pt idx="0">
                  <c:v>2025 - 5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'Flexible Clientes div. '!$A$8:$A$17</c:f>
              <c:strCache>
                <c:ptCount val="9"/>
                <c:pt idx="0">
                  <c:v>TP ML 0092193 160G 2,10L DV U</c:v>
                </c:pt>
                <c:pt idx="1">
                  <c:v>3520003 TP ML 0010181 180G 2,20L DV U</c:v>
                </c:pt>
                <c:pt idx="2">
                  <c:v>3520004 TP ML 0092193 160G 2,10L DV U</c:v>
                </c:pt>
                <c:pt idx="3">
                  <c:v>TP ML 0010181 180G 2,20L DV U</c:v>
                </c:pt>
                <c:pt idx="4">
                  <c:v>TP ML 0074161 180G 2,20L DV U</c:v>
                </c:pt>
                <c:pt idx="5">
                  <c:v>3520005 TP ML 0454034 280G 2,20L DV U</c:v>
                </c:pt>
                <c:pt idx="6">
                  <c:v>TP ML 0066001 180G 2,20L DV U</c:v>
                </c:pt>
                <c:pt idx="7">
                  <c:v>3520001 TP ML 0074161 180G 2,20L DV U</c:v>
                </c:pt>
                <c:pt idx="8">
                  <c:v>3520006 TP ML 0514011 220G 2,20L DV U</c:v>
                </c:pt>
              </c:strCache>
            </c:strRef>
          </c:cat>
          <c:val>
            <c:numRef>
              <c:f>'Flexible Clientes div. '!$B$8:$B$17</c:f>
              <c:numCache>
                <c:formatCode>#,##0</c:formatCode>
                <c:ptCount val="9"/>
                <c:pt idx="0">
                  <c:v>3913</c:v>
                </c:pt>
                <c:pt idx="3">
                  <c:v>2026</c:v>
                </c:pt>
                <c:pt idx="4">
                  <c:v>1056</c:v>
                </c:pt>
                <c:pt idx="6">
                  <c:v>1016.283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4-4093-A1FF-06A5243AC615}"/>
            </c:ext>
          </c:extLst>
        </c:ser>
        <c:ser>
          <c:idx val="1"/>
          <c:order val="1"/>
          <c:tx>
            <c:strRef>
              <c:f>'Flexible Clientes div. '!$D$5:$D$7</c:f>
              <c:strCache>
                <c:ptCount val="1"/>
                <c:pt idx="0">
                  <c:v>2026 - 5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'Flexible Clientes div. '!$A$8:$A$17</c:f>
              <c:strCache>
                <c:ptCount val="9"/>
                <c:pt idx="0">
                  <c:v>TP ML 0092193 160G 2,10L DV U</c:v>
                </c:pt>
                <c:pt idx="1">
                  <c:v>3520003 TP ML 0010181 180G 2,20L DV U</c:v>
                </c:pt>
                <c:pt idx="2">
                  <c:v>3520004 TP ML 0092193 160G 2,10L DV U</c:v>
                </c:pt>
                <c:pt idx="3">
                  <c:v>TP ML 0010181 180G 2,20L DV U</c:v>
                </c:pt>
                <c:pt idx="4">
                  <c:v>TP ML 0074161 180G 2,20L DV U</c:v>
                </c:pt>
                <c:pt idx="5">
                  <c:v>3520005 TP ML 0454034 280G 2,20L DV U</c:v>
                </c:pt>
                <c:pt idx="6">
                  <c:v>TP ML 0066001 180G 2,20L DV U</c:v>
                </c:pt>
                <c:pt idx="7">
                  <c:v>3520001 TP ML 0074161 180G 2,20L DV U</c:v>
                </c:pt>
                <c:pt idx="8">
                  <c:v>3520006 TP ML 0514011 220G 2,20L DV U</c:v>
                </c:pt>
              </c:strCache>
            </c:strRef>
          </c:cat>
          <c:val>
            <c:numRef>
              <c:f>'Flexible Clientes div. '!$D$8:$D$17</c:f>
              <c:numCache>
                <c:formatCode>#,##0</c:formatCode>
                <c:ptCount val="9"/>
                <c:pt idx="1">
                  <c:v>2366</c:v>
                </c:pt>
                <c:pt idx="2">
                  <c:v>2030</c:v>
                </c:pt>
                <c:pt idx="5">
                  <c:v>1030</c:v>
                </c:pt>
                <c:pt idx="7">
                  <c:v>1012</c:v>
                </c:pt>
                <c:pt idx="8">
                  <c:v>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D-4C34-A6BC-592DD5DFA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052463"/>
        <c:axId val="453046223"/>
      </c:lineChart>
      <c:catAx>
        <c:axId val="45305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046223"/>
        <c:crosses val="autoZero"/>
        <c:auto val="1"/>
        <c:lblAlgn val="ctr"/>
        <c:lblOffset val="100"/>
        <c:noMultiLvlLbl val="0"/>
      </c:catAx>
      <c:valAx>
        <c:axId val="45304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05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26.xlsx]Flexible Clientes div. !TablaDinámica1</c:name>
    <c:fmtId val="3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'Flexible Clientes div. '!$S$5:$S$7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'Flexible Clientes div. '!$R$8:$R$33</c:f>
              <c:strCache>
                <c:ptCount val="25"/>
                <c:pt idx="0">
                  <c:v>3030072 TP ML 0149003 180G 2,10L DV U</c:v>
                </c:pt>
                <c:pt idx="1">
                  <c:v>3030071 TP ML 0071013 180G 2,10L DV U</c:v>
                </c:pt>
                <c:pt idx="2">
                  <c:v>3030056 TP 292012 180G 2,20L DIVERSAS U</c:v>
                </c:pt>
                <c:pt idx="3">
                  <c:v>3030056 CM 180G 2,20L ARENA DV U</c:v>
                </c:pt>
                <c:pt idx="4">
                  <c:v>3030040 PL 160G 2,10L NEGRO DV U</c:v>
                </c:pt>
                <c:pt idx="5">
                  <c:v>3030013 PL 160G 2,10L AZUL MARINO DV U</c:v>
                </c:pt>
                <c:pt idx="6">
                  <c:v>3030054 PL 180G 2,10L GRIS PERLA DV U</c:v>
                </c:pt>
                <c:pt idx="7">
                  <c:v>3030073 TP ML A10579 180G 2,10L DV U</c:v>
                </c:pt>
                <c:pt idx="8">
                  <c:v>3030060 TP ML A09956 180G 2,10L DV U</c:v>
                </c:pt>
                <c:pt idx="9">
                  <c:v>3030050 TP A06781 CAQUI 180G 2,10L DIVERSAS U</c:v>
                </c:pt>
                <c:pt idx="10">
                  <c:v>3030038 PL 160G 2,10L GRIS ESCURO DV U</c:v>
                </c:pt>
                <c:pt idx="11">
                  <c:v>3030033 TP 73001 160G 2,10 DIVERSAS U</c:v>
                </c:pt>
                <c:pt idx="12">
                  <c:v>3030033 PL 160G 2,10L NEGRO DV U</c:v>
                </c:pt>
                <c:pt idx="13">
                  <c:v>3030032 TP STAR WHITE 200G 2,10L DIVERSAS U</c:v>
                </c:pt>
                <c:pt idx="14">
                  <c:v>3030024 PL 180G 2,10L GRIS ESCURO DV U</c:v>
                </c:pt>
                <c:pt idx="15">
                  <c:v>3030074 TP ML 0679011 180G 2,10L DV U</c:v>
                </c:pt>
                <c:pt idx="16">
                  <c:v>3030050 PL 180G 2,10L CAQUI DV U</c:v>
                </c:pt>
                <c:pt idx="17">
                  <c:v>3030066 TP ML 0094001 200G 2,20L DV U</c:v>
                </c:pt>
                <c:pt idx="18">
                  <c:v>3030040 A09535 160G 2,10 DIVERSAS U</c:v>
                </c:pt>
                <c:pt idx="19">
                  <c:v>3030070 TP ML 0253003 180G 2,10L DV U</c:v>
                </c:pt>
                <c:pt idx="20">
                  <c:v>3030066 TP ML 94001 200G 2,20L DV U</c:v>
                </c:pt>
                <c:pt idx="21">
                  <c:v>3030069 CM 180G 2,20L NEGRO DV U</c:v>
                </c:pt>
                <c:pt idx="22">
                  <c:v>3030068 CM 180G 2,10L GRIS PERLA DV U</c:v>
                </c:pt>
                <c:pt idx="23">
                  <c:v>3030061 PL 180G 2,10L NEGRO DV U</c:v>
                </c:pt>
                <c:pt idx="24">
                  <c:v>3030026 CM 200G 2,10L NEGRO DV U</c:v>
                </c:pt>
              </c:strCache>
            </c:strRef>
          </c:cat>
          <c:val>
            <c:numRef>
              <c:f>'Flexible Clientes div. '!$S$8:$S$33</c:f>
              <c:numCache>
                <c:formatCode>#,##0.00</c:formatCode>
                <c:ptCount val="25"/>
                <c:pt idx="2">
                  <c:v>34119.61</c:v>
                </c:pt>
                <c:pt idx="8">
                  <c:v>8262.6299999999992</c:v>
                </c:pt>
                <c:pt idx="9">
                  <c:v>17105.8</c:v>
                </c:pt>
                <c:pt idx="11">
                  <c:v>15115.310000000001</c:v>
                </c:pt>
                <c:pt idx="13">
                  <c:v>13773.83</c:v>
                </c:pt>
                <c:pt idx="18">
                  <c:v>12806.779999999999</c:v>
                </c:pt>
                <c:pt idx="20">
                  <c:v>11670.55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D5-4677-8ED7-4D5F6BDFC2BE}"/>
            </c:ext>
          </c:extLst>
        </c:ser>
        <c:ser>
          <c:idx val="1"/>
          <c:order val="1"/>
          <c:tx>
            <c:strRef>
              <c:f>'Flexible Clientes div. '!$T$5:$T$7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'Flexible Clientes div. '!$R$8:$R$33</c:f>
              <c:strCache>
                <c:ptCount val="25"/>
                <c:pt idx="0">
                  <c:v>3030072 TP ML 0149003 180G 2,10L DV U</c:v>
                </c:pt>
                <c:pt idx="1">
                  <c:v>3030071 TP ML 0071013 180G 2,10L DV U</c:v>
                </c:pt>
                <c:pt idx="2">
                  <c:v>3030056 TP 292012 180G 2,20L DIVERSAS U</c:v>
                </c:pt>
                <c:pt idx="3">
                  <c:v>3030056 CM 180G 2,20L ARENA DV U</c:v>
                </c:pt>
                <c:pt idx="4">
                  <c:v>3030040 PL 160G 2,10L NEGRO DV U</c:v>
                </c:pt>
                <c:pt idx="5">
                  <c:v>3030013 PL 160G 2,10L AZUL MARINO DV U</c:v>
                </c:pt>
                <c:pt idx="6">
                  <c:v>3030054 PL 180G 2,10L GRIS PERLA DV U</c:v>
                </c:pt>
                <c:pt idx="7">
                  <c:v>3030073 TP ML A10579 180G 2,10L DV U</c:v>
                </c:pt>
                <c:pt idx="8">
                  <c:v>3030060 TP ML A09956 180G 2,10L DV U</c:v>
                </c:pt>
                <c:pt idx="9">
                  <c:v>3030050 TP A06781 CAQUI 180G 2,10L DIVERSAS U</c:v>
                </c:pt>
                <c:pt idx="10">
                  <c:v>3030038 PL 160G 2,10L GRIS ESCURO DV U</c:v>
                </c:pt>
                <c:pt idx="11">
                  <c:v>3030033 TP 73001 160G 2,10 DIVERSAS U</c:v>
                </c:pt>
                <c:pt idx="12">
                  <c:v>3030033 PL 160G 2,10L NEGRO DV U</c:v>
                </c:pt>
                <c:pt idx="13">
                  <c:v>3030032 TP STAR WHITE 200G 2,10L DIVERSAS U</c:v>
                </c:pt>
                <c:pt idx="14">
                  <c:v>3030024 PL 180G 2,10L GRIS ESCURO DV U</c:v>
                </c:pt>
                <c:pt idx="15">
                  <c:v>3030074 TP ML 0679011 180G 2,10L DV U</c:v>
                </c:pt>
                <c:pt idx="16">
                  <c:v>3030050 PL 180G 2,10L CAQUI DV U</c:v>
                </c:pt>
                <c:pt idx="17">
                  <c:v>3030066 TP ML 0094001 200G 2,20L DV U</c:v>
                </c:pt>
                <c:pt idx="18">
                  <c:v>3030040 A09535 160G 2,10 DIVERSAS U</c:v>
                </c:pt>
                <c:pt idx="19">
                  <c:v>3030070 TP ML 0253003 180G 2,10L DV U</c:v>
                </c:pt>
                <c:pt idx="20">
                  <c:v>3030066 TP ML 94001 200G 2,20L DV U</c:v>
                </c:pt>
                <c:pt idx="21">
                  <c:v>3030069 CM 180G 2,20L NEGRO DV U</c:v>
                </c:pt>
                <c:pt idx="22">
                  <c:v>3030068 CM 180G 2,10L GRIS PERLA DV U</c:v>
                </c:pt>
                <c:pt idx="23">
                  <c:v>3030061 PL 180G 2,10L NEGRO DV U</c:v>
                </c:pt>
                <c:pt idx="24">
                  <c:v>3030026 CM 200G 2,10L NEGRO DV U</c:v>
                </c:pt>
              </c:strCache>
            </c:strRef>
          </c:cat>
          <c:val>
            <c:numRef>
              <c:f>'Flexible Clientes div. '!$T$8:$T$33</c:f>
              <c:numCache>
                <c:formatCode>#,##0.00</c:formatCode>
                <c:ptCount val="25"/>
                <c:pt idx="0">
                  <c:v>33890.31</c:v>
                </c:pt>
                <c:pt idx="1">
                  <c:v>14708.04</c:v>
                </c:pt>
                <c:pt idx="3">
                  <c:v>19107.77</c:v>
                </c:pt>
                <c:pt idx="4">
                  <c:v>17379.010000000002</c:v>
                </c:pt>
                <c:pt idx="5">
                  <c:v>5601.16</c:v>
                </c:pt>
                <c:pt idx="6">
                  <c:v>6510.03</c:v>
                </c:pt>
                <c:pt idx="8">
                  <c:v>4992.05</c:v>
                </c:pt>
                <c:pt idx="10">
                  <c:v>9875.99</c:v>
                </c:pt>
                <c:pt idx="12">
                  <c:v>6568.08</c:v>
                </c:pt>
                <c:pt idx="14">
                  <c:v>6325.68</c:v>
                </c:pt>
                <c:pt idx="16">
                  <c:v>13172.23</c:v>
                </c:pt>
                <c:pt idx="17">
                  <c:v>13165.86</c:v>
                </c:pt>
                <c:pt idx="19">
                  <c:v>12351.22</c:v>
                </c:pt>
                <c:pt idx="21">
                  <c:v>11569.34</c:v>
                </c:pt>
                <c:pt idx="22">
                  <c:v>11245.69</c:v>
                </c:pt>
                <c:pt idx="23">
                  <c:v>11204</c:v>
                </c:pt>
                <c:pt idx="24">
                  <c:v>6258.99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3C-417E-8A36-428AB1D2FC26}"/>
            </c:ext>
          </c:extLst>
        </c:ser>
        <c:ser>
          <c:idx val="2"/>
          <c:order val="2"/>
          <c:tx>
            <c:strRef>
              <c:f>'Flexible Clientes div. '!$U$5:$U$7</c:f>
              <c:strCache>
                <c:ptCount val="1"/>
                <c:pt idx="0">
                  <c:v>2026 - 4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'Flexible Clientes div. '!$R$8:$R$33</c:f>
              <c:strCache>
                <c:ptCount val="25"/>
                <c:pt idx="0">
                  <c:v>3030072 TP ML 0149003 180G 2,10L DV U</c:v>
                </c:pt>
                <c:pt idx="1">
                  <c:v>3030071 TP ML 0071013 180G 2,10L DV U</c:v>
                </c:pt>
                <c:pt idx="2">
                  <c:v>3030056 TP 292012 180G 2,20L DIVERSAS U</c:v>
                </c:pt>
                <c:pt idx="3">
                  <c:v>3030056 CM 180G 2,20L ARENA DV U</c:v>
                </c:pt>
                <c:pt idx="4">
                  <c:v>3030040 PL 160G 2,10L NEGRO DV U</c:v>
                </c:pt>
                <c:pt idx="5">
                  <c:v>3030013 PL 160G 2,10L AZUL MARINO DV U</c:v>
                </c:pt>
                <c:pt idx="6">
                  <c:v>3030054 PL 180G 2,10L GRIS PERLA DV U</c:v>
                </c:pt>
                <c:pt idx="7">
                  <c:v>3030073 TP ML A10579 180G 2,10L DV U</c:v>
                </c:pt>
                <c:pt idx="8">
                  <c:v>3030060 TP ML A09956 180G 2,10L DV U</c:v>
                </c:pt>
                <c:pt idx="9">
                  <c:v>3030050 TP A06781 CAQUI 180G 2,10L DIVERSAS U</c:v>
                </c:pt>
                <c:pt idx="10">
                  <c:v>3030038 PL 160G 2,10L GRIS ESCURO DV U</c:v>
                </c:pt>
                <c:pt idx="11">
                  <c:v>3030033 TP 73001 160G 2,10 DIVERSAS U</c:v>
                </c:pt>
                <c:pt idx="12">
                  <c:v>3030033 PL 160G 2,10L NEGRO DV U</c:v>
                </c:pt>
                <c:pt idx="13">
                  <c:v>3030032 TP STAR WHITE 200G 2,10L DIVERSAS U</c:v>
                </c:pt>
                <c:pt idx="14">
                  <c:v>3030024 PL 180G 2,10L GRIS ESCURO DV U</c:v>
                </c:pt>
                <c:pt idx="15">
                  <c:v>3030074 TP ML 0679011 180G 2,10L DV U</c:v>
                </c:pt>
                <c:pt idx="16">
                  <c:v>3030050 PL 180G 2,10L CAQUI DV U</c:v>
                </c:pt>
                <c:pt idx="17">
                  <c:v>3030066 TP ML 0094001 200G 2,20L DV U</c:v>
                </c:pt>
                <c:pt idx="18">
                  <c:v>3030040 A09535 160G 2,10 DIVERSAS U</c:v>
                </c:pt>
                <c:pt idx="19">
                  <c:v>3030070 TP ML 0253003 180G 2,10L DV U</c:v>
                </c:pt>
                <c:pt idx="20">
                  <c:v>3030066 TP ML 94001 200G 2,20L DV U</c:v>
                </c:pt>
                <c:pt idx="21">
                  <c:v>3030069 CM 180G 2,20L NEGRO DV U</c:v>
                </c:pt>
                <c:pt idx="22">
                  <c:v>3030068 CM 180G 2,10L GRIS PERLA DV U</c:v>
                </c:pt>
                <c:pt idx="23">
                  <c:v>3030061 PL 180G 2,10L NEGRO DV U</c:v>
                </c:pt>
                <c:pt idx="24">
                  <c:v>3030026 CM 200G 2,10L NEGRO DV U</c:v>
                </c:pt>
              </c:strCache>
            </c:strRef>
          </c:cat>
          <c:val>
            <c:numRef>
              <c:f>'Flexible Clientes div. '!$U$8:$U$33</c:f>
              <c:numCache>
                <c:formatCode>#,##0.00</c:formatCode>
                <c:ptCount val="25"/>
                <c:pt idx="0">
                  <c:v>27851.02</c:v>
                </c:pt>
                <c:pt idx="1">
                  <c:v>13946.7</c:v>
                </c:pt>
                <c:pt idx="3">
                  <c:v>13972.14</c:v>
                </c:pt>
                <c:pt idx="4">
                  <c:v>4181.2700000000004</c:v>
                </c:pt>
                <c:pt idx="5">
                  <c:v>8842.7999999999993</c:v>
                </c:pt>
                <c:pt idx="8">
                  <c:v>4144.3599999999997</c:v>
                </c:pt>
                <c:pt idx="12">
                  <c:v>8330.6200000000008</c:v>
                </c:pt>
                <c:pt idx="14">
                  <c:v>6979.14</c:v>
                </c:pt>
                <c:pt idx="24">
                  <c:v>4793.25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3C-417E-8A36-428AB1D2FC26}"/>
            </c:ext>
          </c:extLst>
        </c:ser>
        <c:ser>
          <c:idx val="3"/>
          <c:order val="3"/>
          <c:tx>
            <c:strRef>
              <c:f>'Flexible Clientes div. '!$V$5:$V$7</c:f>
              <c:strCache>
                <c:ptCount val="1"/>
                <c:pt idx="0">
                  <c:v>2026 - 9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'Flexible Clientes div. '!$R$8:$R$33</c:f>
              <c:strCache>
                <c:ptCount val="25"/>
                <c:pt idx="0">
                  <c:v>3030072 TP ML 0149003 180G 2,10L DV U</c:v>
                </c:pt>
                <c:pt idx="1">
                  <c:v>3030071 TP ML 0071013 180G 2,10L DV U</c:v>
                </c:pt>
                <c:pt idx="2">
                  <c:v>3030056 TP 292012 180G 2,20L DIVERSAS U</c:v>
                </c:pt>
                <c:pt idx="3">
                  <c:v>3030056 CM 180G 2,20L ARENA DV U</c:v>
                </c:pt>
                <c:pt idx="4">
                  <c:v>3030040 PL 160G 2,10L NEGRO DV U</c:v>
                </c:pt>
                <c:pt idx="5">
                  <c:v>3030013 PL 160G 2,10L AZUL MARINO DV U</c:v>
                </c:pt>
                <c:pt idx="6">
                  <c:v>3030054 PL 180G 2,10L GRIS PERLA DV U</c:v>
                </c:pt>
                <c:pt idx="7">
                  <c:v>3030073 TP ML A10579 180G 2,10L DV U</c:v>
                </c:pt>
                <c:pt idx="8">
                  <c:v>3030060 TP ML A09956 180G 2,10L DV U</c:v>
                </c:pt>
                <c:pt idx="9">
                  <c:v>3030050 TP A06781 CAQUI 180G 2,10L DIVERSAS U</c:v>
                </c:pt>
                <c:pt idx="10">
                  <c:v>3030038 PL 160G 2,10L GRIS ESCURO DV U</c:v>
                </c:pt>
                <c:pt idx="11">
                  <c:v>3030033 TP 73001 160G 2,10 DIVERSAS U</c:v>
                </c:pt>
                <c:pt idx="12">
                  <c:v>3030033 PL 160G 2,10L NEGRO DV U</c:v>
                </c:pt>
                <c:pt idx="13">
                  <c:v>3030032 TP STAR WHITE 200G 2,10L DIVERSAS U</c:v>
                </c:pt>
                <c:pt idx="14">
                  <c:v>3030024 PL 180G 2,10L GRIS ESCURO DV U</c:v>
                </c:pt>
                <c:pt idx="15">
                  <c:v>3030074 TP ML 0679011 180G 2,10L DV U</c:v>
                </c:pt>
                <c:pt idx="16">
                  <c:v>3030050 PL 180G 2,10L CAQUI DV U</c:v>
                </c:pt>
                <c:pt idx="17">
                  <c:v>3030066 TP ML 0094001 200G 2,20L DV U</c:v>
                </c:pt>
                <c:pt idx="18">
                  <c:v>3030040 A09535 160G 2,10 DIVERSAS U</c:v>
                </c:pt>
                <c:pt idx="19">
                  <c:v>3030070 TP ML 0253003 180G 2,10L DV U</c:v>
                </c:pt>
                <c:pt idx="20">
                  <c:v>3030066 TP ML 94001 200G 2,20L DV U</c:v>
                </c:pt>
                <c:pt idx="21">
                  <c:v>3030069 CM 180G 2,20L NEGRO DV U</c:v>
                </c:pt>
                <c:pt idx="22">
                  <c:v>3030068 CM 180G 2,10L GRIS PERLA DV U</c:v>
                </c:pt>
                <c:pt idx="23">
                  <c:v>3030061 PL 180G 2,10L NEGRO DV U</c:v>
                </c:pt>
                <c:pt idx="24">
                  <c:v>3030026 CM 200G 2,10L NEGRO DV U</c:v>
                </c:pt>
              </c:strCache>
            </c:strRef>
          </c:cat>
          <c:val>
            <c:numRef>
              <c:f>'Flexible Clientes div. '!$V$8:$V$33</c:f>
              <c:numCache>
                <c:formatCode>#,##0.00</c:formatCode>
                <c:ptCount val="25"/>
                <c:pt idx="0">
                  <c:v>15463.92</c:v>
                </c:pt>
                <c:pt idx="1">
                  <c:v>15453.84</c:v>
                </c:pt>
                <c:pt idx="4">
                  <c:v>8350.5300000000007</c:v>
                </c:pt>
                <c:pt idx="5">
                  <c:v>10285.77</c:v>
                </c:pt>
                <c:pt idx="6">
                  <c:v>13441.4</c:v>
                </c:pt>
                <c:pt idx="7">
                  <c:v>17544.009999999998</c:v>
                </c:pt>
                <c:pt idx="10">
                  <c:v>6109.25</c:v>
                </c:pt>
                <c:pt idx="15">
                  <c:v>13245.24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5-4C62-8E2F-D09C3BC5E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589487"/>
        <c:axId val="452595727"/>
      </c:lineChart>
      <c:catAx>
        <c:axId val="45258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595727"/>
        <c:crosses val="autoZero"/>
        <c:auto val="1"/>
        <c:lblAlgn val="ctr"/>
        <c:lblOffset val="100"/>
        <c:noMultiLvlLbl val="0"/>
      </c:catAx>
      <c:valAx>
        <c:axId val="4525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58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26.xlsx]Flex-Hist-Pais!TablaDinámica1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717789749722311E-2"/>
          <c:y val="0.20333416089904036"/>
          <c:w val="0.79750429927776645"/>
          <c:h val="0.465247307033632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'Flex-Hist-Pais'!$B$5:$B$6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'Flex-Hist-Pais'!$A$7:$A$14</c:f>
              <c:strCache>
                <c:ptCount val="7"/>
                <c:pt idx="0">
                  <c:v>BED TIME S.A.</c:v>
                </c:pt>
                <c:pt idx="1">
                  <c:v>LIMANSKY S.A.</c:v>
                </c:pt>
                <c:pt idx="2">
                  <c:v>SIMMONS DE ARGENTINA SAIC</c:v>
                </c:pt>
                <c:pt idx="3">
                  <c:v>SPRINGWALL S.A.</c:v>
                </c:pt>
                <c:pt idx="4">
                  <c:v>COLOR LIVING</c:v>
                </c:pt>
                <c:pt idx="5">
                  <c:v>DISTRIBUIDORA CASEROS</c:v>
                </c:pt>
                <c:pt idx="6">
                  <c:v>TEXTIL FIBREX</c:v>
                </c:pt>
              </c:strCache>
            </c:strRef>
          </c:cat>
          <c:val>
            <c:numRef>
              <c:f>'Flex-Hist-Pais'!$B$7:$B$14</c:f>
              <c:numCache>
                <c:formatCode>#,##0</c:formatCode>
                <c:ptCount val="7"/>
                <c:pt idx="0">
                  <c:v>78306</c:v>
                </c:pt>
                <c:pt idx="2">
                  <c:v>21574.52</c:v>
                </c:pt>
                <c:pt idx="3">
                  <c:v>21553.983</c:v>
                </c:pt>
                <c:pt idx="5">
                  <c:v>8011.2830000000004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6-48FE-910A-9DE373543841}"/>
            </c:ext>
          </c:extLst>
        </c:ser>
        <c:ser>
          <c:idx val="1"/>
          <c:order val="1"/>
          <c:tx>
            <c:strRef>
              <c:f>'Flex-Hist-Pais'!$C$5:$C$6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'Flex-Hist-Pais'!$A$7:$A$14</c:f>
              <c:strCache>
                <c:ptCount val="7"/>
                <c:pt idx="0">
                  <c:v>BED TIME S.A.</c:v>
                </c:pt>
                <c:pt idx="1">
                  <c:v>LIMANSKY S.A.</c:v>
                </c:pt>
                <c:pt idx="2">
                  <c:v>SIMMONS DE ARGENTINA SAIC</c:v>
                </c:pt>
                <c:pt idx="3">
                  <c:v>SPRINGWALL S.A.</c:v>
                </c:pt>
                <c:pt idx="4">
                  <c:v>COLOR LIVING</c:v>
                </c:pt>
                <c:pt idx="5">
                  <c:v>DISTRIBUIDORA CASEROS</c:v>
                </c:pt>
                <c:pt idx="6">
                  <c:v>TEXTIL FIBREX</c:v>
                </c:pt>
              </c:strCache>
            </c:strRef>
          </c:cat>
          <c:val>
            <c:numRef>
              <c:f>'Flex-Hist-Pais'!$C$7:$C$14</c:f>
              <c:numCache>
                <c:formatCode>#,##0</c:formatCode>
                <c:ptCount val="7"/>
                <c:pt idx="0">
                  <c:v>28066</c:v>
                </c:pt>
                <c:pt idx="1">
                  <c:v>52342</c:v>
                </c:pt>
                <c:pt idx="2">
                  <c:v>12140</c:v>
                </c:pt>
                <c:pt idx="4">
                  <c:v>20230</c:v>
                </c:pt>
                <c:pt idx="5">
                  <c:v>7405</c:v>
                </c:pt>
                <c:pt idx="6">
                  <c:v>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9-49FE-BBCE-DAB7FD37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42189104"/>
        <c:axId val="889860304"/>
      </c:barChart>
      <c:catAx>
        <c:axId val="124218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9860304"/>
        <c:crosses val="autoZero"/>
        <c:auto val="1"/>
        <c:lblAlgn val="ctr"/>
        <c:lblOffset val="100"/>
        <c:noMultiLvlLbl val="0"/>
      </c:catAx>
      <c:valAx>
        <c:axId val="88986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218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Vendas x Clientes 2024-2026-SEP 26.xlsx]Flex-Hist-Pais!TablaDinámica2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'Flex-Hist-Pais'!$AP$5:$AP$6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'Flex-Hist-Pais'!$AO$7:$AO$14</c:f>
              <c:strCache>
                <c:ptCount val="7"/>
                <c:pt idx="0">
                  <c:v>BED TIME S.A.</c:v>
                </c:pt>
                <c:pt idx="1">
                  <c:v>LIMANSKY S.A.</c:v>
                </c:pt>
                <c:pt idx="2">
                  <c:v>SIMMONS DE ARGENTINA SAIC</c:v>
                </c:pt>
                <c:pt idx="3">
                  <c:v>COLOR LIVING</c:v>
                </c:pt>
                <c:pt idx="4">
                  <c:v>SPRINGWALL S.A.</c:v>
                </c:pt>
                <c:pt idx="5">
                  <c:v>DISTRIBUIDORA CASEROS</c:v>
                </c:pt>
                <c:pt idx="6">
                  <c:v>TEXTIL FIBREX</c:v>
                </c:pt>
              </c:strCache>
            </c:strRef>
          </c:cat>
          <c:val>
            <c:numRef>
              <c:f>'Flex-Hist-Pais'!$AP$7:$AP$14</c:f>
              <c:numCache>
                <c:formatCode>#,##0</c:formatCode>
                <c:ptCount val="7"/>
                <c:pt idx="0">
                  <c:v>808767.58999999985</c:v>
                </c:pt>
                <c:pt idx="2">
                  <c:v>275949.13</c:v>
                </c:pt>
                <c:pt idx="4">
                  <c:v>236975.8</c:v>
                </c:pt>
                <c:pt idx="5">
                  <c:v>77365.97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2-443C-A9F7-1701C2BDA70D}"/>
            </c:ext>
          </c:extLst>
        </c:ser>
        <c:ser>
          <c:idx val="1"/>
          <c:order val="1"/>
          <c:tx>
            <c:strRef>
              <c:f>'Flex-Hist-Pais'!$AQ$5:$AQ$6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'Flex-Hist-Pais'!$AO$7:$AO$14</c:f>
              <c:strCache>
                <c:ptCount val="7"/>
                <c:pt idx="0">
                  <c:v>BED TIME S.A.</c:v>
                </c:pt>
                <c:pt idx="1">
                  <c:v>LIMANSKY S.A.</c:v>
                </c:pt>
                <c:pt idx="2">
                  <c:v>SIMMONS DE ARGENTINA SAIC</c:v>
                </c:pt>
                <c:pt idx="3">
                  <c:v>COLOR LIVING</c:v>
                </c:pt>
                <c:pt idx="4">
                  <c:v>SPRINGWALL S.A.</c:v>
                </c:pt>
                <c:pt idx="5">
                  <c:v>DISTRIBUIDORA CASEROS</c:v>
                </c:pt>
                <c:pt idx="6">
                  <c:v>TEXTIL FIBREX</c:v>
                </c:pt>
              </c:strCache>
            </c:strRef>
          </c:cat>
          <c:val>
            <c:numRef>
              <c:f>'Flex-Hist-Pais'!$AQ$7:$AQ$14</c:f>
              <c:numCache>
                <c:formatCode>#,##0</c:formatCode>
                <c:ptCount val="7"/>
                <c:pt idx="0">
                  <c:v>271521.78999999998</c:v>
                </c:pt>
                <c:pt idx="1">
                  <c:v>815583.44</c:v>
                </c:pt>
                <c:pt idx="2">
                  <c:v>114700.02</c:v>
                </c:pt>
                <c:pt idx="3">
                  <c:v>343335</c:v>
                </c:pt>
                <c:pt idx="5">
                  <c:v>81085.950000000012</c:v>
                </c:pt>
                <c:pt idx="6">
                  <c:v>87348.87999999999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42-443C-A9F7-1701C2BDA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3643440"/>
        <c:axId val="1273651600"/>
      </c:barChart>
      <c:catAx>
        <c:axId val="127364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3651600"/>
        <c:crosses val="autoZero"/>
        <c:auto val="1"/>
        <c:lblAlgn val="ctr"/>
        <c:lblOffset val="100"/>
        <c:noMultiLvlLbl val="0"/>
      </c:catAx>
      <c:valAx>
        <c:axId val="127365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364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133350</xdr:rowOff>
    </xdr:from>
    <xdr:to>
      <xdr:col>9</xdr:col>
      <xdr:colOff>250629</xdr:colOff>
      <xdr:row>13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3DF6F5-C5DC-9ECB-3F64-4C0DE220F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7500"/>
          <a:ext cx="7108629" cy="2076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55</xdr:row>
      <xdr:rowOff>6350</xdr:rowOff>
    </xdr:from>
    <xdr:to>
      <xdr:col>24</xdr:col>
      <xdr:colOff>19050</xdr:colOff>
      <xdr:row>90</xdr:row>
      <xdr:rowOff>158750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922CB1-8478-1D43-3668-74D41E071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822324</xdr:colOff>
      <xdr:row>54</xdr:row>
      <xdr:rowOff>177800</xdr:rowOff>
    </xdr:from>
    <xdr:to>
      <xdr:col>36</xdr:col>
      <xdr:colOff>495300</xdr:colOff>
      <xdr:row>90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3AE1B2-FACA-0B27-C39B-D549FECC4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38313</xdr:colOff>
      <xdr:row>41</xdr:row>
      <xdr:rowOff>63500</xdr:rowOff>
    </xdr:from>
    <xdr:to>
      <xdr:col>44</xdr:col>
      <xdr:colOff>338667</xdr:colOff>
      <xdr:row>65</xdr:row>
      <xdr:rowOff>49389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CF318ED-3D74-60BF-8EEE-B8198F077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182034</xdr:rowOff>
    </xdr:from>
    <xdr:to>
      <xdr:col>11</xdr:col>
      <xdr:colOff>49389</xdr:colOff>
      <xdr:row>66</xdr:row>
      <xdr:rowOff>7056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BBF82BE-DC64-7CE8-94E3-141C547CE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15297</xdr:rowOff>
    </xdr:from>
    <xdr:to>
      <xdr:col>9</xdr:col>
      <xdr:colOff>47624</xdr:colOff>
      <xdr:row>59</xdr:row>
      <xdr:rowOff>5772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27605B-7EA0-AF6D-BE3B-5A7F0462C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39</xdr:row>
      <xdr:rowOff>157018</xdr:rowOff>
    </xdr:from>
    <xdr:to>
      <xdr:col>25</xdr:col>
      <xdr:colOff>548409</xdr:colOff>
      <xdr:row>59</xdr:row>
      <xdr:rowOff>51955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4C6547-B667-EF27-D342-5466E54AA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28575</xdr:rowOff>
    </xdr:from>
    <xdr:to>
      <xdr:col>11</xdr:col>
      <xdr:colOff>57150</xdr:colOff>
      <xdr:row>32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92B527-0A3D-FAC6-E48D-0D1640A05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142297</xdr:colOff>
      <xdr:row>15</xdr:row>
      <xdr:rowOff>132195</xdr:rowOff>
    </xdr:from>
    <xdr:to>
      <xdr:col>22</xdr:col>
      <xdr:colOff>427182</xdr:colOff>
      <xdr:row>32</xdr:row>
      <xdr:rowOff>71871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A87996-BB3D-BD5A-9ECF-19CE3D418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126</xdr:row>
      <xdr:rowOff>152399</xdr:rowOff>
    </xdr:from>
    <xdr:to>
      <xdr:col>10</xdr:col>
      <xdr:colOff>0</xdr:colOff>
      <xdr:row>150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4E053D6-E862-D1AF-4230-DB4B08DF1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11546</xdr:colOff>
      <xdr:row>30</xdr:row>
      <xdr:rowOff>176934</xdr:rowOff>
    </xdr:from>
    <xdr:to>
      <xdr:col>6</xdr:col>
      <xdr:colOff>392545</xdr:colOff>
      <xdr:row>49</xdr:row>
      <xdr:rowOff>167409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4E2EF99-EC66-4576-8367-03BBC8C1F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40409</xdr:colOff>
      <xdr:row>30</xdr:row>
      <xdr:rowOff>128155</xdr:rowOff>
    </xdr:from>
    <xdr:to>
      <xdr:col>29</xdr:col>
      <xdr:colOff>456046</xdr:colOff>
      <xdr:row>49</xdr:row>
      <xdr:rowOff>167409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182ADF3-6B46-45E3-83A6-DA851D7F7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28</xdr:row>
      <xdr:rowOff>9524</xdr:rowOff>
    </xdr:from>
    <xdr:to>
      <xdr:col>7</xdr:col>
      <xdr:colOff>76200</xdr:colOff>
      <xdr:row>67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270AC0-5E80-F958-21B5-D2C0AE0ED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76200</xdr:colOff>
      <xdr:row>27</xdr:row>
      <xdr:rowOff>152399</xdr:rowOff>
    </xdr:from>
    <xdr:to>
      <xdr:col>22</xdr:col>
      <xdr:colOff>180975</xdr:colOff>
      <xdr:row>68</xdr:row>
      <xdr:rowOff>19049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6E2FBC-D49E-3395-BECF-958FDA052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5</xdr:col>
      <xdr:colOff>120650</xdr:colOff>
      <xdr:row>37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37F06B9-AF72-4AF9-8A39-CEF7062AA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31750</xdr:colOff>
      <xdr:row>20</xdr:row>
      <xdr:rowOff>0</xdr:rowOff>
    </xdr:from>
    <xdr:to>
      <xdr:col>15</xdr:col>
      <xdr:colOff>457200</xdr:colOff>
      <xdr:row>36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9B55874-BDEC-40EB-8368-08A5D5B7A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114</xdr:row>
      <xdr:rowOff>152399</xdr:rowOff>
    </xdr:from>
    <xdr:to>
      <xdr:col>10</xdr:col>
      <xdr:colOff>0</xdr:colOff>
      <xdr:row>138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1A73A4-31F2-4C3E-A28D-68111B077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63500</xdr:rowOff>
    </xdr:from>
    <xdr:to>
      <xdr:col>5</xdr:col>
      <xdr:colOff>590550</xdr:colOff>
      <xdr:row>51</xdr:row>
      <xdr:rowOff>85725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DA73DE3-AE03-D33F-5DF2-50784F0BC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28574</xdr:colOff>
      <xdr:row>35</xdr:row>
      <xdr:rowOff>63500</xdr:rowOff>
    </xdr:from>
    <xdr:to>
      <xdr:col>21</xdr:col>
      <xdr:colOff>666749</xdr:colOff>
      <xdr:row>51</xdr:row>
      <xdr:rowOff>50800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C0BEC8C-AC25-37DF-908E-EC0B4208B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29</xdr:row>
      <xdr:rowOff>93344</xdr:rowOff>
    </xdr:from>
    <xdr:to>
      <xdr:col>14</xdr:col>
      <xdr:colOff>0</xdr:colOff>
      <xdr:row>46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DDA2C6-8268-C1DB-4AEE-449D146C1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161290</xdr:colOff>
      <xdr:row>29</xdr:row>
      <xdr:rowOff>84454</xdr:rowOff>
    </xdr:from>
    <xdr:to>
      <xdr:col>49</xdr:col>
      <xdr:colOff>417830</xdr:colOff>
      <xdr:row>46</xdr:row>
      <xdr:rowOff>69850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FE41657-FBED-F2C1-045D-755196602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Martinez" refreshedDate="46296.518329166669" createdVersion="8" refreshedVersion="8" minRefreshableVersion="3" recordCount="1616" xr:uid="{45946272-1D2C-4B08-9571-7E2493DF615B}">
  <cacheSource type="worksheet">
    <worksheetSource name="Tabla1"/>
  </cacheSource>
  <cacheFields count="37">
    <cacheField name="MÊS" numFmtId="0">
      <sharedItems containsSemiMixedTypes="0" containsString="0" containsNumber="1" containsInteger="1" minValue="1" maxValue="12" count="12">
        <n v="3"/>
        <n v="6"/>
        <n v="7"/>
        <n v="9"/>
        <n v="10"/>
        <n v="11"/>
        <n v="12"/>
        <n v="1"/>
        <n v="2"/>
        <n v="4"/>
        <n v="5"/>
        <n v="8"/>
      </sharedItems>
    </cacheField>
    <cacheField name="ANO" numFmtId="0">
      <sharedItems containsSemiMixedTypes="0" containsString="0" containsNumber="1" containsInteger="1" minValue="2021" maxValue="2026" count="6">
        <n v="2021"/>
        <n v="2022"/>
        <n v="2023"/>
        <n v="2024"/>
        <n v="2025"/>
        <n v="2026"/>
      </sharedItems>
    </cacheField>
    <cacheField name="TIPO" numFmtId="0">
      <sharedItems/>
    </cacheField>
    <cacheField name="REPRESENTANTE" numFmtId="0">
      <sharedItems containsBlank="1"/>
    </cacheField>
    <cacheField name="CLIENTE" numFmtId="0">
      <sharedItems containsBlank="1" count="65">
        <s v="DIRECTO"/>
        <s v="DIVINO COLCHONES"/>
        <s v="COLCHONES NOVATEX"/>
        <s v="COLCHONES REX"/>
        <s v="WENTURS TRADE"/>
        <s v="INMAPOL SACIF"/>
        <s v="COLCHONES PRINCE"/>
        <s v="COLCHONERO GONZALEZ"/>
        <s v="ADVANCED FOAM"/>
        <s v="FLEX CHILE"/>
        <s v="COLCHONES DEL MUNDO"/>
        <s v="KORIGOMA"/>
        <s v="FARIAS E KLEIN"/>
        <s v="INDUCOL INDUSTRIA"/>
        <s v="NATURE"/>
        <s v="CASA VALEN S.R.L."/>
        <s v="DAVID MORENO VISCARRA"/>
        <s v="MAXI KING"/>
        <s v="COLCHONES POLYMAX"/>
        <s v="MUEBLES MPR SPA"/>
        <s v="GRUPO SUENOLAR"/>
        <s v="SUPERESPUMA"/>
        <s v="RMD RECYCLING"/>
        <s v="NM ESPUMA S.A."/>
        <s v="PRODUCTOS PARAISO DEL ECUADOR"/>
        <s v="AGT AMERICAN GARMENT TEXTIL"/>
        <s v="FERNANDO B. GONZALEZ MINIOTIS"/>
        <s v="FIBERSOFT"/>
        <s v="COMERCIALIZADORA SL SUNLOCK LTDA"/>
        <s v="ESPUMAS PLASTICAS SAS - COMODISIMO"/>
        <s v="CLC COLCHONES C.A."/>
        <s v="SEA TRADING COMPANY SA"/>
        <s v="CARPINTERIA Y TAPECERIA INTERNACIONAL CTIN"/>
        <s v="SIMMONS DE ARGENTINA SAIC"/>
        <s v="ZONKD LIMITADA DE CV"/>
        <s v="FLEX DO BRASIL LTDA"/>
        <s v="BED TIME S.A."/>
        <s v="DISTRIBUIDORA CASEROS"/>
        <s v="SUNLOCK SPA"/>
        <s v="SUENOLAR"/>
        <s v="SPRINGWALL S.A."/>
        <s v="SERVAN EXPORTADORA"/>
        <s v="MULTIESPUMAS VISCARRA "/>
        <s v="FRAZADAS ARTESANALES SAC"/>
        <s v="IMPORTADORA TERRA"/>
        <s v="LAMITEX S.A."/>
        <s v="COLCHONES DEL PARAGUAY S.R.L."/>
        <s v="LIMANSKY S.A."/>
        <s v="TEXTIL FIBREX"/>
        <s v="AMAZHEL TEC NIPONA"/>
        <s v="ATLAS COLCHONES"/>
        <s v="VERZAZELLE LLC IND REGAL"/>
        <s v="VISCARRA "/>
        <s v=" HERALDO CASTRO PALMA (MANTAHUE SPA)"/>
        <s v="MANTAHUE SPA"/>
        <s v="MULTIESPUMAS VISCARRA SRL"/>
        <s v="GRUPO SUENOLAR  YP S.A."/>
        <s v="GRUPO TERRA COLCHONES"/>
        <s v="COLOR LIVING"/>
        <s v="LIMANSKY" u="1"/>
        <s v="MULTIESPUMAS VISCARRA S.R.L." u="1"/>
        <s v="DIVINO S.A" u="1"/>
        <m u="1"/>
        <s v="MULTIESPUMAS VISCARRA" u="1"/>
        <s v="POLYMAX" u="1"/>
      </sharedItems>
    </cacheField>
    <cacheField name="Checa Repres." numFmtId="0">
      <sharedItems containsBlank="1"/>
    </cacheField>
    <cacheField name="PAIS EXTERIOR" numFmtId="0">
      <sharedItems/>
    </cacheField>
    <cacheField name="Fatura" numFmtId="0">
      <sharedItems containsSemiMixedTypes="0" containsString="0" containsNumber="1" containsInteger="1" minValue="37002" maxValue="68475"/>
    </cacheField>
    <cacheField name="Artigo" numFmtId="0">
      <sharedItems containsBlank="1" containsMixedTypes="1" containsNumber="1" containsInteger="1" minValue="650" maxValue="3530002"/>
    </cacheField>
    <cacheField name="Descrição Item" numFmtId="0">
      <sharedItems/>
    </cacheField>
    <cacheField name="Cliente2" numFmtId="0">
      <sharedItems containsBlank="1"/>
    </cacheField>
    <cacheField name="estado" numFmtId="0">
      <sharedItems containsBlank="1"/>
    </cacheField>
    <cacheField name="Tipo Cliente" numFmtId="0">
      <sharedItems containsBlank="1"/>
    </cacheField>
    <cacheField name="Repres" numFmtId="0">
      <sharedItems containsString="0" containsBlank="1" containsNumber="1" containsInteger="1" minValue="1" maxValue="93"/>
    </cacheField>
    <cacheField name="Nome do Representante" numFmtId="0">
      <sharedItems containsBlank="1"/>
    </cacheField>
    <cacheField name="Emissão/NFE" numFmtId="0">
      <sharedItems containsString="0" containsBlank="1" containsNumber="1" containsInteger="1" minValue="44285" maxValue="58965"/>
    </cacheField>
    <cacheField name="ICMS" numFmtId="0">
      <sharedItems containsString="0" containsBlank="1" containsNumber="1" minValue="0" maxValue="59954.95"/>
    </cacheField>
    <cacheField name="Preço Unit" numFmtId="0">
      <sharedItems containsBlank="1" containsMixedTypes="1" containsNumber="1" minValue="5.9789399999999997" maxValue="5702.76"/>
    </cacheField>
    <cacheField name="Valor (total)" numFmtId="4">
      <sharedItems containsString="0" containsBlank="1" containsNumber="1" minValue="-127041.12" maxValue="196841.38"/>
    </cacheField>
    <cacheField name="Unidade" numFmtId="0">
      <sharedItems containsBlank="1"/>
    </cacheField>
    <cacheField name="Gramatura" numFmtId="0">
      <sharedItems containsString="0" containsBlank="1" containsNumber="1" containsInteger="1" minValue="80" maxValue="640"/>
    </cacheField>
    <cacheField name="Peças" numFmtId="0">
      <sharedItems containsString="0" containsBlank="1" containsNumber="1" containsInteger="1" minValue="1" maxValue="325"/>
    </cacheField>
    <cacheField name="MT" numFmtId="0">
      <sharedItems containsString="0" containsBlank="1" containsNumber="1" minValue="-18124" maxValue="22024"/>
    </cacheField>
    <cacheField name="KG" numFmtId="0">
      <sharedItems containsString="0" containsBlank="1" containsNumber="1" minValue="-944.46" maxValue="47389.95"/>
    </cacheField>
    <cacheField name="Rentabilidade Ult preço FIo" numFmtId="0">
      <sharedItems containsString="0" containsBlank="1" containsNumber="1" minValue="-95.91" maxValue="67.67"/>
    </cacheField>
    <cacheField name="CPV" numFmtId="0">
      <sharedItems containsString="0" containsBlank="1" containsNumber="1" minValue="-20251.490000000002" maxValue="141157.91"/>
    </cacheField>
    <cacheField name="$ ICMS" numFmtId="0">
      <sharedItems containsNonDate="0" containsString="0" containsBlank="1"/>
    </cacheField>
    <cacheField name="$ Frete" numFmtId="0">
      <sharedItems containsString="0" containsBlank="1" containsNumber="1" minValue="382.99" maxValue="9993.8700000000008"/>
    </cacheField>
    <cacheField name="PiaCofins" numFmtId="0">
      <sharedItems containsNonDate="0" containsString="0" containsBlank="1"/>
    </cacheField>
    <cacheField name="$ reo Com" numFmtId="0">
      <sharedItems containsString="0" containsBlank="1" containsNumber="1" minValue="10.5" maxValue="4584.22"/>
    </cacheField>
    <cacheField name="$ Com 2" numFmtId="0">
      <sharedItems containsString="0" containsBlank="1" containsNumber="1" minValue="5.25" maxValue="3936.83"/>
    </cacheField>
    <cacheField name="$Custo Fixo" numFmtId="0">
      <sharedItems containsString="0" containsBlank="1" containsNumber="1" minValue="12" maxValue="12392.06"/>
    </cacheField>
    <cacheField name="$ OverHead" numFmtId="0">
      <sharedItems containsString="0" containsBlank="1" containsNumber="1" minValue="57.77" maxValue="43305.1"/>
    </cacheField>
    <cacheField name="Total Fio 1" numFmtId="0">
      <sharedItems containsBlank="1" containsMixedTypes="1" containsNumber="1" minValue="-17301.71" maxValue="102932.88"/>
    </cacheField>
    <cacheField name="Cliente TOTVS" numFmtId="0">
      <sharedItems containsBlank="1"/>
    </cacheField>
    <cacheField name="Representate TOTVS" numFmtId="0">
      <sharedItems containsBlank="1"/>
    </cacheField>
    <cacheField name="Coluna1" numFmtId="0">
      <sharedItems containsString="0" containsBlank="1" containsNumber="1" minValue="-18.330420318078545" maxValue="373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y Martinez" refreshedDate="46296.533275462964" createdVersion="8" refreshedVersion="8" minRefreshableVersion="3" recordCount="1617" xr:uid="{9476B27F-17F9-4D29-9C66-10C60E9F6CA6}">
  <cacheSource type="worksheet">
    <worksheetSource ref="A1:AK1048576" sheet="Dados de origem"/>
  </cacheSource>
  <cacheFields count="37">
    <cacheField name="MÊS" numFmtId="0">
      <sharedItems containsString="0" containsBlank="1" containsNumber="1" containsInteger="1" minValue="1" maxValue="12" count="13">
        <n v="3"/>
        <n v="6"/>
        <n v="7"/>
        <n v="9"/>
        <n v="10"/>
        <n v="11"/>
        <n v="12"/>
        <n v="1"/>
        <n v="2"/>
        <n v="4"/>
        <n v="5"/>
        <n v="8"/>
        <m/>
      </sharedItems>
    </cacheField>
    <cacheField name="ANO" numFmtId="0">
      <sharedItems containsString="0" containsBlank="1" containsNumber="1" containsInteger="1" minValue="2021" maxValue="2026" count="7">
        <n v="2021"/>
        <n v="2022"/>
        <n v="2023"/>
        <n v="2024"/>
        <n v="2025"/>
        <n v="2026"/>
        <m/>
      </sharedItems>
    </cacheField>
    <cacheField name="TIPO" numFmtId="0">
      <sharedItems containsBlank="1"/>
    </cacheField>
    <cacheField name="REPRESENTANTE" numFmtId="0">
      <sharedItems containsBlank="1"/>
    </cacheField>
    <cacheField name="CLIENTE" numFmtId="0">
      <sharedItems containsBlank="1" count="65">
        <s v="DIRECTO"/>
        <s v="DIVINO COLCHONES"/>
        <s v="COLCHONES NOVATEX"/>
        <s v="COLCHONES REX"/>
        <s v="WENTURS TRADE"/>
        <s v="INMAPOL SACIF"/>
        <s v="COLCHONES PRINCE"/>
        <s v="COLCHONERO GONZALEZ"/>
        <s v="ADVANCED FOAM"/>
        <s v="FLEX CHILE"/>
        <s v="COLCHONES DEL MUNDO"/>
        <s v="KORIGOMA"/>
        <s v="FARIAS E KLEIN"/>
        <s v="INDUCOL INDUSTRIA"/>
        <s v="NATURE"/>
        <s v="CASA VALEN S.R.L."/>
        <s v="DAVID MORENO VISCARRA"/>
        <s v="MAXI KING"/>
        <s v="COLCHONES POLYMAX"/>
        <s v="MUEBLES MPR SPA"/>
        <s v="GRUPO SUENOLAR"/>
        <s v="SUPERESPUMA"/>
        <s v="RMD RECYCLING"/>
        <s v="NM ESPUMA S.A."/>
        <s v="PRODUCTOS PARAISO DEL ECUADOR"/>
        <s v="AGT AMERICAN GARMENT TEXTIL"/>
        <s v="FERNANDO B. GONZALEZ MINIOTIS"/>
        <s v="FIBERSOFT"/>
        <s v="COMERCIALIZADORA SL SUNLOCK LTDA"/>
        <s v="ESPUMAS PLASTICAS SAS - COMODISIMO"/>
        <s v="CLC COLCHONES C.A."/>
        <s v="SEA TRADING COMPANY SA"/>
        <s v="CARPINTERIA Y TAPECERIA INTERNACIONAL CTIN"/>
        <s v="SIMMONS DE ARGENTINA SAIC"/>
        <s v="ZONKD LIMITADA DE CV"/>
        <s v="FLEX DO BRASIL LTDA"/>
        <s v="BED TIME S.A."/>
        <s v="DISTRIBUIDORA CASEROS"/>
        <s v="SUNLOCK SPA"/>
        <s v="SUENOLAR"/>
        <s v="SPRINGWALL S.A."/>
        <s v="SERVAN EXPORTADORA"/>
        <s v="MULTIESPUMAS VISCARRA "/>
        <s v="FRAZADAS ARTESANALES SAC"/>
        <s v="IMPORTADORA TERRA"/>
        <s v="LAMITEX S.A."/>
        <s v="COLCHONES DEL PARAGUAY S.R.L."/>
        <s v="LIMANSKY S.A."/>
        <s v="TEXTIL FIBREX"/>
        <s v="AMAZHEL TEC NIPONA"/>
        <s v="ATLAS COLCHONES"/>
        <s v="VERZAZELLE LLC IND REGAL"/>
        <s v="VISCARRA "/>
        <s v=" HERALDO CASTRO PALMA (MANTAHUE SPA)"/>
        <s v="MANTAHUE SPA"/>
        <s v="MULTIESPUMAS VISCARRA SRL"/>
        <s v="GRUPO SUENOLAR  YP S.A."/>
        <s v="GRUPO TERRA COLCHONES"/>
        <s v="COLOR LIVING"/>
        <m/>
        <s v="LIMANSKY" u="1"/>
        <s v="MULTIESPUMAS VISCARRA S.R.L." u="1"/>
        <s v="DAVID MORENO VISCARR" u="1"/>
        <s v="MULTIESPUMAS VISCARRA" u="1"/>
        <s v="POLYMAX" u="1"/>
      </sharedItems>
    </cacheField>
    <cacheField name="Checa Repres." numFmtId="0">
      <sharedItems containsBlank="1"/>
    </cacheField>
    <cacheField name="PAIS EXTERIOR" numFmtId="0">
      <sharedItems containsBlank="1" count="16">
        <s v="BOLIVIA"/>
        <s v="URUGUAI"/>
        <s v="CHILE"/>
        <s v="AMERICA CENTRAL E CARIBE"/>
        <s v="PARAGUAI"/>
        <e v="#N/A"/>
        <s v="EQUADOR"/>
        <s v="COLOMBIA"/>
        <s v="VENEZUELA"/>
        <s v="ARGENTINA"/>
        <s v="AMERICA CENTRAL"/>
        <s v="ESTADOS UNIDOS"/>
        <s v="NADA"/>
        <s v="PERU "/>
        <s v="PERU"/>
        <m/>
      </sharedItems>
    </cacheField>
    <cacheField name="Fatura" numFmtId="0">
      <sharedItems containsString="0" containsBlank="1" containsNumber="1" containsInteger="1" minValue="37002" maxValue="68475"/>
    </cacheField>
    <cacheField name="Artigo" numFmtId="0">
      <sharedItems containsBlank="1" containsMixedTypes="1" containsNumber="1" containsInteger="1" minValue="650" maxValue="3530002"/>
    </cacheField>
    <cacheField name="Descrição Item" numFmtId="0">
      <sharedItems containsBlank="1" count="661">
        <s v="TECIDO 100% POLIESTER-[Pedido:EXP 01 Parcial]"/>
        <s v="TECIDO 96% POLIESTER 4% ALGODAO-[Pedido:EXP 0"/>
        <s v="100% POLIESTER- TAMPO FLORES AZULES SOFT (A07"/>
        <s v="91% POLIESTER 8% VISCOSE 1% ALGODAO- TAMPO OR"/>
        <s v="TECIDO 99% POLIESTER 1% ELASTANO- TAMPO CORDA"/>
        <s v="99% POLIESTER 1% ELASTANO- TAMPO CORDAO FLOR"/>
        <s v="TECIDO 100% POLIESTER- TAMPO FOLHAS BRILHANTE"/>
        <s v="TECIDO 100% POLIESTER- FAIXA PRETA (A07741)-["/>
        <s v="100% POLIESTER- TAMPO PRETO GRAY (A08005)-[Pe"/>
        <s v="100% POLIESTER- TAMPO CINZA PERLA (A07997)-[P"/>
        <s v="100% POLIESTER- FAIXA CINZA BALONES (A08009)-"/>
        <s v="100% POLIESTER- TAMPO CIRCO (A07368)-[Pedido:"/>
        <s v="100% POLIESTER- TAMPO GEOMETRICO (A07370)-[Pe"/>
        <s v="100% POLIESTER- RANDOM - 160G"/>
        <s v="100% POLIESTER- RANDOM - 260G"/>
        <s v="100% POLIESTER- TAMPO PERLA XC36 (A06782)-[Pe"/>
        <s v="100% POLIESTER- TAMPO PERLA XC35 (A06779)-[Pe"/>
        <s v="92% POLIESTER 6% VISCOSE 2% ELASTANO- TAMPO D"/>
        <s v="87% POLIESTER 12% VISCOSE 1% ELASTANO- TAMPO"/>
        <s v="98% POLIESTER 2% ELASTANO- TAMPO CAQUI XC55 ("/>
        <s v="99% POLIESTER 1% ELASTANO- TAMPO XC72 AREIA ("/>
        <s v="100% POLIESTER- FAIXA LOSANGULO PRETO (A07581"/>
        <s v="100% POLIESTER- FAIXA QUADRADINHOS (A07542)-["/>
        <s v="100% POLIESTER- TAMPO AREIA XC35 (A08094)-[Pe"/>
        <s v="98% POLIESTER 2% ELASTANO- TAMPO CINZA ESCURO"/>
        <s v="100% POLIESTER- TAMPO BRILHANTE XC34 (A06766)"/>
        <s v="KNITTING - RANDOM"/>
        <s v="3889- 100% POLIESTER- RANDOM - 300G"/>
        <s v="100% POLIESTER- TAMPO LIGHT BLACK (A08109)-[P"/>
        <s v="100% POLIESTER- TAMPO BRASAO BEGE BRI (A08213"/>
        <s v="100% POLIESTER- TAMPO ONDAS CINZAS (A08243)-["/>
        <s v="100% POLIESTER- TAMPO ONDAS BRILHANTES (A0824"/>
        <s v="100% POLIESTER- TAMPO PENA AZUL (A08241)-[Ped"/>
        <s v="100% POLIESTER- TAMPO GEOMETRICO AZUL (A08276"/>
        <s v="90% POLIESTER 10% VISCOSE- TAPA GRIS - POLIES"/>
        <s v="90% POLIESTER 10% VISCOSE- BANDA GRIS - POLIE"/>
        <s v="100% POLIESTER- TAMPO PERLA NOVA XC27 (A06765"/>
        <s v="100% POLIESTER- TAMPO PRETO XC23 (A06744) - 2"/>
        <s v="99% POLIESTER 1% ELASTANO- TAMPO DARK BLUE (A"/>
        <s v="99% POLIESTER 1% ELASTANO- TAMPO FORMAS DOURA"/>
        <s v="99% POLIESTER 1% ELASTANO- TAMPO TIJOLINHOS D"/>
        <s v="100% POLIESTER- TAMPO FORMAS CINZAS (A08504)-"/>
        <s v="100% POLIESTER- TAMPO ONDAS MARINHO (A07725)"/>
        <s v="100% POLIESTER- TAMPO PERLA NOVA XC26 (A06756"/>
        <s v="98% POLIESTER 2% ELASTANO- FAIXA QUADRADOS AR"/>
        <s v="100% POLIESTER- TAMPO PRETO XC23 (A06744"/>
        <s v="93% POLIESTER 6% VISCOSE 1% ELASTANO- TAMPO X"/>
        <s v="100% POLIESTER- TAMPO FORMAS CINZAS (A08504)"/>
        <s v="100% POLIESTER- TAMPO LOSANGULO PRETO DIF (A0"/>
        <s v="TECIDO- TAMPO BOLINHAS DIAGN (A08686)"/>
        <s v="TAMPO BOLINHAS DIAGN (A08686)"/>
        <s v="100% POLIESTER- FAIXA QUADRADINHOS (A08704)-["/>
        <s v="99% POLIESTER 1% ELASTANO- FAIXA CINZA BRILHA"/>
        <s v="99% POLIESTER 1% ELASTANO- FAIXA NEVOA PRETA"/>
        <s v="99% POLIESTER 1% ELASTANO- FAIXA QUADRADOS AR"/>
        <s v="100% POLIESTER- FAIXA NEVOA AZUL (A08429)-[Pe"/>
        <s v="100% POLIESTER- TAMPO DARK BLUE TRACADO BRILH"/>
        <s v="100% POLIESTER- TAMPO DINO AREIA (A05375)-[Pe"/>
        <s v="70% POLIESTER 30% ALGODAO- TC GORGURINHO MARR"/>
        <s v="100% POLIESTER- TAMPO PERLA NOVA XC29 (A08745"/>
        <s v="100% POLIESTER CLOSEOUT FABRICS"/>
        <s v="TECIDO 100% POLIESTER-[Pedido:008.22 Total]"/>
        <s v="100% POLIESTER- TAMPO FOLHAS (A07432)- 240G-["/>
        <s v="98% POLIESTER 2% ELASTANO- TAMPO QUADRADROS D"/>
        <s v="97% POLIESTER 3% ELASTANO- TAMPO PERLA NOVA X"/>
        <s v="100% POLIESTER- TAMPO RASCUNHOS (A07820)-[Ped"/>
        <s v="TECIDO DE MALHA PARA COLCHAO 90% POLIESTER 10"/>
        <s v="99% POLIESTER 1% ELASTANO- TAMPO ABSTRATO MES"/>
        <s v="99% POLIESTER 1% ELASTANO- TAMPO RETAS DEGRAD"/>
        <s v="TECIDO 98% POLIESTER 2% ELASTANO- TAMPO QUADR"/>
        <s v="100% POLIESTER- FAIXA ASPER CINZA CLARO (A089"/>
        <s v="TECIDO 100% POLIESTER - TECIDOS DIVERSOS"/>
        <s v="100% POLIESTER-TAMPO INDUCOL BLACK (A08858)-["/>
        <s v="100% POLIESTER-TAMPO INDUCOL GEOMETRIC BL (A0"/>
        <s v="100% POLIESTER-TAMPO INDUCOL HEXAGN BLUE (A08"/>
        <s v="100% POLIESTER-TAMPO INDUCOL STAR BLACK (A088"/>
        <s v="100% POLIESTER-TAMPO INDUCOL ONDAS BLACK (A08"/>
        <s v="100% POLIESTER-TAMPO INDUCOL PALETAS BLUE (A0"/>
        <s v="100% POLIESTER-TAMPO INDUCOL LINES BLUE (A088"/>
        <s v="100% POLIESTER-TAMPO BALON BLUE (A08859)-[Ped"/>
        <s v="100% POLIESTER-TAMPO BALON BROWN (A08862)-[Pe"/>
        <s v="100% POLIESTER-TAMPO ONDULATE GRAY (A08868)-["/>
        <s v="100% POLIESTER-TAMPO PRISMA BLUE (A08870)-[Pe"/>
        <s v="100% POLIESTER-TAMPO OCEAN BLUE (A09016)-[Ped"/>
        <s v="100% POLIESTER-TAMPO BALON BLUE (A08871)-[Ped"/>
        <s v="100% POLIESTER- TAMPO INDUCOL BLACK (A08858)-"/>
        <s v="100% POLIESTER- TAMPO INDUCOL GEOMETRIC BL (A"/>
        <s v="100% POLIESTER- TAMPO INDUCOL HEXAGN BLUE (A0"/>
        <s v="100% POLIESTER- TAMPO INDUCOL STAR BLACK (A08"/>
        <s v="100% POLIESTER- TAMPO INDUCOL ONDAS BLACK (A0"/>
        <s v="100% POLIESTER- TAMPO INDUCOL PALETAS BLUE (A"/>
        <s v="100% POLIESTER- TAMPO INDUCOL LINES BLUE (A08"/>
        <s v="100% POLIESTER- TAMPO BALON BLUE (A8859)-[Ped"/>
        <s v="100% POLIESTER- TAMPO BALON BROWN (A08862)-[P"/>
        <s v="100% POLIESTER- TAMPO LINHAS CRUZADAS AMARELA"/>
        <s v="100% POLIESTER- TAMPO DIAMANT AMARELO (A09013"/>
        <s v="100% POLIESTER- TAMPO ONDULATE GRAY (A08868)-"/>
        <s v="100% POLIESTER- TAMPO PRISMA BLUE (A08870)-[P"/>
        <s v="100% POLIESTER- TAMPO OCEAN BLUE (A09016)-[Pe"/>
        <s v="100% POLIESTER- TAMPO BALON BLUE (A08871)-[Pe"/>
        <s v="100% POLIESTER- TAMPO MULT PADRONES (A08857)-"/>
        <s v="TECIDO 100% POLIESTER - TECIDOS VARIADOS"/>
        <s v="100% POLIESTER- FORMOBILE MEDIA - 2018 - O /"/>
        <s v="100% POLIESTER- TAMPO KNIT WHITE (A09178)180G"/>
        <s v="100% POLIESTER- TAMPO WHITE STAR (A09164) 180"/>
        <s v="100% POLIESTER- TAMPO FOLHAS BG (A06761) - 21"/>
        <s v="100% POLIESTER- TAMPO  0011085 - COREON-[Pedi"/>
        <s v="100% POLIESTER- BANDA LATERAL AZUL PONTINHO ("/>
        <s v="100% POLIESTER- TAMPO BEIGE VBAC (A09052)-[Pe"/>
        <s v="100% POLIESTER- BANDA LATERAL BEIGE (A09090)-"/>
        <s v="100% POLIESTER- TAMPO FOLHAGEM CITROCARE (001"/>
        <s v="100% POLIESTER- BANDA LATERAL PONTINHO (A0909"/>
        <s v="70% POLIESTER 30% ALGODAO- TC GORGURINHO CINZ"/>
        <s v="100% POLIESTER- TAMPO INDARA GRIS REF6765 (A0"/>
        <s v="100% POLIESTER- TAMPO INDARA BLANCO REF7797 ("/>
        <s v="100% POLIESTER- TAMPO INDARA BEIGE REF6805 (A"/>
        <s v="100% POLIESTER- TAMPO INDARA BEIGE REF6812 (A"/>
        <s v="100% POLIESTER- TAMPO INDARA BEIGE REF6781 (A"/>
        <s v="100% POLIESTER- TAMPO INDARA REF0001004 A0916"/>
        <s v="100% POLIESTER- TAMPO INDARA LINES REF7840 (A"/>
        <s v="100% POLIESTER- TAMPO INDARA REF6912 (A09125)"/>
        <s v="100% POLIESTER- BANDA LATERAL MARRON REF6085"/>
        <s v="100% POLIESTER - TECIDOS DIVERSOS"/>
        <s v="TECIDO- TECIDOS VARIADOS"/>
        <s v="100% POLIESTER- TAMPO REDEMOINHO-[Pedido:026."/>
        <s v="100% POLIESTER- TAMPO BAMBUZINHO-[Pedido:026."/>
        <s v="100% POLIESTER- TAMPO CARACOL-[Pedido:026.22"/>
        <s v="100% POLIESTER- TAMPO BERCO BRANCO-[Pedido:02"/>
        <s v="100% POLIESTER- TAMPO SERPENTINA-[Pedido:026."/>
        <s v="100% POLIESTER- TAMPO XADREZ PC-[Pedido:026.2"/>
        <s v="100% POLIESTER- TAMPO MARROM-[Pedido:026.22 P"/>
        <s v="100% POLIESTER- TAMPO DIGITAL PALHA-[Pedido:0"/>
        <s v="100% POLIESTER- TAMPO DIGITAL PR-[Pedido:026."/>
        <s v="100% POLIESTER- TAMPO BLACK TOTAL-[Pedido:026"/>
        <s v="100% POLIESTER- TAMPO BRANCO FAVO-[Pedido:026"/>
        <s v="100% POLIESTER-  AURORA BOREAL - SPACE GRAY ("/>
        <s v="100% POLIESTER- 22CDM FAIXA 16/8-[Pedido:017."/>
        <s v="100% POLIESTER-[Pedido:023.22 Parcial]"/>
        <s v="97% POLIESTER 3% LINHO-[Pedido:023.22 Parcial"/>
        <s v="TECIDO 100% POLIESTER-[Pedido:031.22 Parcial]"/>
        <s v="TECIDO 100% POLIESTER- TAMPO FOLHAS BG (A0676"/>
        <s v="100% POLIESTER- FAIXA NATURE CAQUI (A09245)-["/>
        <s v="100% POLIESTER- TAPA FLORAS E BIODRESS (00150"/>
        <s v="100% POLIESTER- FAIXA NATURE VERDE (A09244)-["/>
        <s v="99% POLIESTER 1% ELASTANO- TAPA LOGO NATURE E"/>
        <s v="TECIDO 97% POLIESTER 3% LINHO- FAIXA NATURE L"/>
        <s v="TECIDO 98% POLIESTER 2% LINHO- TAMPO FOLHAGEM"/>
        <s v="100% POLIESTER- TAMPO PONTILHADOS PRETO (A078"/>
        <s v="100% POLIESTER- TAPA / BLANCA MPR (A09399)-[P"/>
        <s v="100% POLIESTER- TAMPO TC VERSATILLE-[Pedido:0"/>
        <s v="100% POLIESTER- TAMPO GEOMETRICFORM 280G-[Ped"/>
        <s v="100% POLIESTER- TAMPO ONDAS VITRAL MESCLA (A0"/>
        <s v="100% POLIESTER- TAMPO AREIA XC26 (A06755)-[Pe"/>
        <s v="100% POLIESTER- TAMPO TRIANGULOS BRILHANTE-[P"/>
        <s v="100% POLIESTER- FAIXA INVERNO VERAO-[Pedido:0"/>
        <s v="100% POLIESTER- FAIXA PONTINHO CINZA ESCURO-["/>
        <s v="100% POLIESTER- TAMPO MANDALAS CINZA - MANDAL"/>
        <s v="100% POLIESTER- TAMPO TRIANGULOS CINZA - CLIM"/>
        <s v="100% POLIESTER- TAMPO PRETO CRUZADOS (A07806)"/>
        <s v="100% POLIESTER- BANDA LATERAL - MARRON (A0949"/>
        <s v="100% POLIESTER- ESTAMPA NUEVO GALHOS 3 V.02-["/>
        <s v="TECIDO 70% POLIESTER 30% ALGODAO- TC GORGURIN"/>
        <s v="2540017 TP ML A08980 280G 2,10L DIVERSAS U"/>
        <s v="TELA ANTIDESLIZANTE - 32282 DIVERSAS U"/>
        <s v="2810009 TP ONDAS VIRAL MESCLA 180G 2,10L DIVERSAS U"/>
        <s v="SEGUNDAQUALIDADE DIVERSAS U"/>
        <s v="3020004 TELA IMPERMEAVEL LOGO MAXI DIVERSAS U"/>
        <s v="2540018 TP ML DIV 7806 240G 2,10L DIVERSAS U"/>
        <s v="2540005 TAMPO GEOMETRICO (A07370) DIVERSAS U"/>
        <s v="2540008 TP ML DINOS 260G 2,20L DIVERSAS U"/>
        <s v="2540015 TAMPO PONTILHADOS PRETO (A07803) DIVERSAS U"/>
        <s v="2540020 BANDA LATERAL - MARRON (A09497) DIVERSAS U"/>
        <s v="2940018 TP ML 1183 BEIGE 200G 2,10L DIVERSAS U"/>
        <s v="2940024 - TP ML 8063 BLACK 200G 2,10L DIVERSAS U"/>
        <s v="2940023 - TP ML 8053 BEIGE 200G 2,10L DIVERSAS U"/>
        <s v="2940020 TP ML 6013 CHERRY 200G 2,10L DIVERSAS U"/>
        <s v="2940025 TP ML NAVY BL 200G 2,10L DIVERSAS U"/>
        <s v="2940021 - TP ML 10003 BLUE 200G 2,10L DIVERSAS U"/>
        <s v="2940026 TP ML AIR YELLOW 200G 2,10L DIVERSAS U"/>
        <s v="2940017 TP ML 1163 SPACE GRAY 200G 2,10L DIVERSAS U"/>
        <s v="2940019 TP ML 1173 SPACE BROWN 200G2,10L DIVERSAS U"/>
        <s v="2940022 - TP ML 5003 BROWN 200G 2,10L DIVERSAS U"/>
        <s v="2810005 TP ME FOLHA 240G 2,20L DIVERSAS U"/>
        <s v="2810010 TP ML STAR BRILHA 160G 2,10L DIVERSAS U"/>
        <s v="32282 - TELA ANTIDESLIZANTE DIVERSAS U"/>
        <s v="2540022 TP ML FOLHAS IMAG 320G 2,10 DIVERSAS U"/>
        <s v="1922 - TELA POL GALHOS 3 V02 DIVERSAS U"/>
        <s v="2540023 TP ML COLMEIA COOL 460G 2,10L DIVERSAS U"/>
        <s v="2810009 TP ONDAS VIRAL MESCLA 180G 2,20L DIVERSAS U"/>
        <s v="2940027 TP ML SPACE GR 200G 2,10L DIVERSAS U"/>
        <s v="2940029 TP ML CHERRY 220G 2,10L DIVERSAS U"/>
        <s v="2940028 TP ML NAVY BLU 220G 2,10L DIVERSAS U"/>
        <s v="2940030 TP ML RAIN BLUE 220G 2,10L DIVERSAS U"/>
        <s v="2540019 NUEVO GALHOS 3 V02 (1922) - TOL DIVERSAS U"/>
        <s v="2540012 TAMPO RASCUNHOS (A07820) DIVERSAS U"/>
        <s v="2860003-TP ME DECRADE 420G 2,20L DIVERSAS U"/>
        <s v="2860004-ME TP RETAS DEGRADE 450G 2,20L DIVERSAS U"/>
        <s v="3200004 TP ML IMPERAL BLACK 350G 2,10L DIVERSAS U"/>
        <s v="3200010 TP ML WAVES LINO 320G 2,20L DIVERSAS U"/>
        <s v="3200002 TP ML WAVES CARPE 290G 2,10L DIVERSAS U"/>
        <s v="3200006 TP ML IMPERIAL GRAY 280G 2,10L DIVERSAS U"/>
        <s v="3200007 TP ML WHITE BORDER 180G 2,10L DIVERSAS U"/>
        <s v="3200005 TP ML SERRAT COBE 300G 2,10L DIVERSAS U"/>
        <s v="3200001 TP ML SOUL WHITE 160G 2,10L DIVERSAS U"/>
        <s v="3200008 TP ML IMPULSE GRAY 280G 2,10L DIVERSAS U"/>
        <s v="3200009 TP ML IMPULSE ORANGE 280G 2,10L DIVERSAS U"/>
        <s v="2860009 TP ML GREEN WINDOW 430G 2,20L DIVERSAS U"/>
        <s v="2860008 TP ML GRAY WINDOW 380G 2,20L DIVERSAS U"/>
        <s v="2860010 TP ML BLACK WINDOW 440G 2,20L DIVERSAS U"/>
        <s v="2860007 TP ML DIAG YELLOW 440G 2,20L DIVERSAS U"/>
        <s v="TECIDO PLANO LISO 02429 CZ PRATA DIVERSAS U"/>
        <s v="3250001 TP ML LINES GRAY 280G 2,10L DIVERSAS U"/>
        <s v="TECIDO PLANO LISO 02705 BEGE OTL DIVERSAS U"/>
        <s v="3250003 TP ML CASHMERE BEIGE 280G 2,10L DIVERSAS U"/>
        <s v="BASEBOX 157X197 DIVERSAS U"/>
        <s v="288 2.0 133X188X0145 DIVERSAS U"/>
        <s v="3250002 TP ML FLORAL BEIGE 280G 2,10L DIVERSAS U"/>
        <s v="3250004 TP ML ABSTRACT CREM 280G 2,10L DIVERSAS U"/>
        <s v="FITA CARAMELO DIVERSAS U"/>
        <s v="FITIM CINZA DIVERSAS U"/>
        <s v="RESINADO LARGURA 2,00M 500G DIVERSAS U"/>
        <s v="A0003 - M3 ESTAMPA BAMB 1 (230) DIVERSAS U"/>
        <s v="A0001- M1 ESTAMPA 7562 (2775) DIVERSAS U"/>
        <s v="A0002 - M2 ESTAMPA BAMB CZ (1584) DIVERSAS U"/>
        <s v="2540026 TP ML 0072051 - 280G 2,20L DEGRA DIVERSAS U"/>
        <s v="2540025 TP ML 0069001 - 300G 2,20L CONTE DIVERSAS U"/>
        <s v="2920023 TP ML ABSTRACT 300G 2,20L DIVERSAS U"/>
        <s v="2920022 FX ORGANIC CARPE 160G 2,10L DIVERSAS U"/>
        <s v="2920021 TP ML ORGANIC CARP 260G 2,20L DIVERSAS U"/>
        <s v="2920024 FX ABSRACT 160G 2,10L DIVERSAS U"/>
        <s v="2540007 - ME TP DARK BRILHA 300G 2,20L DIVERSAS U"/>
        <s v="2860005 TP ML NEVOA 360G 2,15L DIVERSAS U"/>
        <s v="2810005 TP FOLHA 240G 2,20L (1121110) DIVERSAS U"/>
        <s v="2810004 FX BEGE 400G 2,10L (1120818) DIVERSAS U"/>
        <s v="2810009 TP MESCLA 180G 2,20L (1122580) DIVERSAS U"/>
        <s v="436882 CETIM 76 CONEXAO 51 DIVERSAS U"/>
        <s v="3370007 BAMBUZINHO DIVERSAS U"/>
        <s v="3370009 TP ML BOOK 180G 2,10L DIVERSAS U"/>
        <s v="3370006 TP ML B W 200G 2,10L DIVERSAS U"/>
        <s v="3370001 TP SIM BLACK 300G 2,20L DIVERSAS U"/>
        <s v="3370008 TP ML CZ CARIOCA 200G 2,10L DIVERSAS U"/>
        <s v="3370004 TP BORDO 200G 2,20L DIVERSAS U"/>
        <s v="3370002 TP ML CZ P 280G 2,20L DIVERSAS U"/>
        <s v="3370005 TP ML BOL 180G 2,20L DIVERSAS U"/>
        <s v="3370003 FX BLACK 200G 2,10L DIVERSAS U"/>
        <s v="FITIM BCO DOURADO DIVERSAS U"/>
        <s v="FITIM CARAMELO DIVERSAS U"/>
        <s v="FITIM BRANCO DIVERSAS U"/>
        <s v="3030040 -MI PL 160G 2,10L DIVERSAS U"/>
        <s v="3030039 - MI PL 160G 2,10G DIVERSAS U"/>
        <s v="3030038 - MI 160G 2,10L DIVERSAS U"/>
        <s v="3030041-MI PL 160G 2,10L DIVERSAS U"/>
        <s v="3030037- MI 160G 2,10L DIVERSAS U"/>
        <s v="3030036- MI 160G 2,10L DIVERSAS U"/>
        <s v="3030035- MI 180G 2,10L DIVERSAS U"/>
        <s v="3030034-MI 180G 2,10L DIVERSAS U"/>
        <s v="3030042 - MI PL 160G 2,10L DIVERSAS U"/>
        <s v="3030043-MI PL 160G 2,10L DIVERSAS U"/>
        <s v="3030044 ME PL 160G 2,10L DIVERSAS U"/>
        <s v="3030008 ME PL 180G 2,10L DIVERSAS U"/>
        <s v="3030007-ME PL 180G 2,10L DIVERSAS U"/>
        <s v="3030049 MI 180G 2,10L PTO DIVERSAS U"/>
        <s v="3030030-MI 200G 2,10L DIVERSAS U"/>
        <s v="3030032-MI 200G 2,10L DIVERSAS U"/>
        <s v="3030026 -ME  200G 2,10L DIVERSAS U"/>
        <s v="3030027-MI 200G 2,10L DIVERSAS U"/>
        <s v="3030028-MI 200G 2,10L DIVERSAS U"/>
        <s v="3030029-MI 200G 2,10L DIVERSAS U"/>
        <s v="3030031- MI 200G 2,10L DIVERSAS U"/>
        <s v="3030025-MI 180G 2,10L DIVERSAS U"/>
        <s v="3030048-MI 200G 2,10L DIVERSAS U"/>
        <s v="3030033- MI 160G 2,10L DIVERSAS U"/>
        <s v="3030024-MI 180G 2,10L DIVERSAS U"/>
        <s v="3030045- XN 200G 2,10L DIVERSAS U"/>
        <s v="3030047-MI 200G 2,10L DIVERSAS U"/>
        <s v="3030046-MI 200G 2,10L DIVERSAS U"/>
        <s v="2540027 TP COLMENA 470G 2,10L (A09706) DIVERSAS U"/>
        <s v="2540028 TP CORDERO 310G 2,10L 0186002 DIVERSAS U"/>
        <s v="2540029 TP LUNA 230G 2,20L 0070001 DIVERSAS U"/>
        <s v="A07137 TP ML PARAISO PREMIUM DIVERSAS U"/>
        <s v="2670007 TP ML BCA MINI JAC 220G 2,10L DIVERSAS U"/>
        <s v="2860011 TP ML DOLPHIN ME 430G 2,20L DIVERSAS U"/>
        <s v="2860012 TP ML HARMONY ME 440G 2,20L DIVERSAS U"/>
        <s v="3040001 TP ML 180G 2,10L 0074011 DIVERSAS U"/>
        <s v="3040002 TP ML 180G 2,10L 0079001 DIVERSAS U"/>
        <s v="3040003 TP ML 180G 2,10L 0080001 DIVERSAS U"/>
        <s v="3040004 TP ML 180G 2,10L 0087001 DIVERSAS U"/>
        <s v="3040005 TP ML 180G 2,10L 0012001 DIVERSAS U"/>
        <s v="3260002 TP ESTRELLAS AZUL 160G 2,10L DIVERSAS U"/>
        <s v="3260001 TP PARAISO PREMIUM 240G 2,20L DIVERSAS U"/>
        <s v="3310003 TP ML A09311 560G 2,20L DIVERSAS U"/>
        <s v="3310002 FUNDA GRIS 300G 2,20L DIVERSAS U"/>
        <s v="3310001 FUNDA AZUL 300G 2,20L DIVERSAS U"/>
        <s v="2540030 TP ML BCA MINI 220G 2,10L 97.012 DIVERSAS U"/>
        <s v="3260003-ME PARAISO DEL 320G 2,20L DIVERSAS U"/>
        <s v="3260004-ME PARAISO 260G 2,20L DIVERSAS U"/>
        <s v="3260005-PL ME 180G 2,10L DIVERSAS U"/>
        <s v="3260007-ME 280G 2,20L DIVERSAS U"/>
        <s v="FUNDA AZUL 2 PLAZAS 77622 AZUL UNICA U"/>
        <s v="FUNDA AZUL 1 PLAZA 77624 AZUL UNICA U"/>
        <s v="FUNDA AZUL 1/5 PLAZA 77623 AZUL UNICA U"/>
        <s v="FUNDA AZUL SUPER KING 77620 AZUL UNICA U"/>
        <s v="FUNDA AZUL KING 77621 AZUL UNICA U"/>
        <s v="FUNDA GRIS SUPER KING 77620 CINZA UNICA U"/>
        <s v="FUNDA GRIS 1 PLAZA 77624 CINZA UNICA U"/>
        <s v="FUNDA GRIS 1/5 PLAZAS 77623 CINZA UNICA U"/>
        <s v="FUNDA GRIS KING 77621 CINZA UNICA U"/>
        <s v="FUNDA GRIS 2 PLAZAS 77622 CINZA UNICA U"/>
        <s v="2540014 TP ML A05171 300G 2,20L DIVERSAS U"/>
        <s v="3020012 TP CACTUS 240G 2,20L DIVERSAS U"/>
        <s v="3020011 TP MAR E BARCOS 240G 2,20L DIVERSAS U"/>
        <s v="3020010 TP INFANTIL S 250G 2,20L DIVERSAS U"/>
        <s v="3020007-TP ML 0004002 200G 2,10L DIVERSAS U"/>
        <s v="3020006 - TP ML 0023071 260G 2,10L DIVERSAS U"/>
        <s v="3260010 TP HOJA DE BAMBU 280G 2,10L DIVERSAS U"/>
        <s v="3260011 FX PALILLOS 200G 2,10L DIVERSAS U"/>
        <s v="3260006-ME PARAISO 280G 2,20L DIVERSAS U"/>
        <s v="2920017 TP ML TRI BRILHANTE 250G 2,10L DIVERSAS U"/>
        <s v="2920018 FX ML INV VER 200G 2,10L DIVERSAS U"/>
        <s v="2920016-TP CLIMAX 240G 2,10L DIVERSAS U"/>
        <s v="3260012 TP 334003 160G 2,10L DIVERSAS U"/>
        <s v="3030053 TP 282002 180G 2,10L DIVERSAS U"/>
        <s v="3030051 TP 150023 180G 2,10L DIVERSAS U"/>
        <s v="3030050 TP A06781 CAQUI 180G 2,10L DIVERSAS U"/>
        <s v="3030054 TP 119022 180G 2,10L DIVERSAS U"/>
        <s v="3030055 TP 291001 180G 2,20L DIVERSAS U"/>
        <s v="3030056 TP 292012 180G 2,20L DIVERSAS U"/>
        <s v="3030052 TP 240015 200G 2,10L DIVERSAS U"/>
        <s v="3030040 A09535 160G 2,10 DIVERSAS U"/>
        <s v="3030042 TP 68006 160G 2,10L DIVERSAS U"/>
        <s v="3030036 TP 71021 160G 2,10L DIVERSAS U"/>
        <s v="3030033 TP 73001 160G 2,10 DIVERSAS U"/>
        <s v="3030026 TP ML 16055 200G 2,10L DIVERSAS U"/>
        <s v="3030032 TP STAR WHITE 200G 2,10L DIVERSAS U"/>
        <s v="COLCHAO ANTI SLIP 2685 72%PP 28%CO UNICA U"/>
        <s v="3200011-ME 200G 2,20L DIVERSAS U"/>
        <s v="3200012-ME 220G 2,20L DIVERSAS U"/>
        <s v="2860014 TP ML A09686 370G 2,20L DIVERSAS U"/>
        <s v="2540031 TP ML A09792 390G 2,20L DV U"/>
        <s v="3380001 TP ML A09874 260G 2,20L DV U"/>
        <s v="2810011 TP PARADISE 122034 370G 2,20L DV U"/>
        <s v="2860013 TP ML A09687 350G 2,20L DIVERSAS U"/>
        <s v="2860015 TP A09682 GRIS 2 370G 2,20L DV U"/>
        <s v="3390007 TP 0156032 280G 2,20L CLC7 DV U"/>
        <s v="3390012 FX A09914 180G 2,10L CLC12 DV U"/>
        <s v="3390011 TP A09908 180G 2,10L CLC11 DV U"/>
        <s v="3390010 TP 0354011 300G 2,20L CLC9 DV U"/>
        <s v="3390009 TP 0284003 180G 2,10L CLC10 DV U"/>
        <s v="3390008 TP 0080001 260G 2,20L CLC8 DV U"/>
        <s v="3390001 TP 346001 180G 2,20L CLC1 DV U"/>
        <s v="3390006 TP 0246031 260G 2,20L CLC6 DV U"/>
        <s v="3390005 TP 0143041 240G 2,20L CLC5 DV U"/>
        <s v="3390004 TP 240001 240G 2,10L CLC4 DV U"/>
        <s v="3390003 TP 269013 180G 2,10L CLC2 DV U"/>
        <s v="3390002 TP 256033 180G 2,10L CLC3 DV U"/>
        <s v="0274011 TP ME AMOSTR DV U"/>
        <s v="A09863 TP ME AMOSTR DV U"/>
        <s v="0367003 TP ME AMOSTR DV U"/>
        <s v="0368003 TP ME AMOSTR DV U"/>
        <s v="3260013 BANDA ORIGENES 200G 2,20L DV U"/>
        <s v="3260014 TELA ORIGENES 240G 2,20L DV U"/>
        <s v="CETIM/76 COR 51 33%PES 67%PP DV U"/>
        <s v="3030066 TP ML 94001 200G 2,20L DV U"/>
        <s v="3030062 TP ML 243003 180G 2,10L DV U"/>
        <s v="3030061 TP ML A09957 180G 2,10L DV U"/>
        <s v="3030060 TP ML A09956 180G 2,10L DV U"/>
        <s v="3030059 TP ML A09955 200G 2,10L DV U"/>
        <s v="3030017 TP ML A09275 160G 2,10L DV U"/>
        <s v="3030045- XN ME  200G 2,10L DIVERSAS U"/>
        <s v="3030013 TP ML A09270 160G 2,10L DV U"/>
        <s v="3420001 TP ML A08182 160G 2,20L DV U"/>
        <s v="2540032 TP ML 245021 240G 2,20L DV U"/>
        <s v="2810012 TP ML A09887 340G 2,20L DV U"/>
        <s v="3370010 TP ML 357001 280G 2,20L DV U"/>
        <s v="3030058 TP ML 246006 200G 2,10L DV U"/>
        <s v="3030065 TP ML 253006 200G 2,10L DV U"/>
        <s v="3030064 TP ML 256006 200G 2,10L DV U"/>
        <s v="3030063 TP ML 283001 200G 2,20L DV U"/>
        <s v="3030057 TP ML 90026 200G 2,10L DV U"/>
        <s v="3260015- ME 300G 2,20L DV U"/>
        <s v="3030067 TP 0386003 180G 2,10L DV U"/>
        <s v="2920006 TP LATERAL BEIGE 280G 2,00L DV U"/>
        <s v="2920011 TP LATERAL CAQUI 300G 2,10L DV U"/>
        <s v="3460001 TP ML 0148071 360G 2,20L DV U"/>
        <s v="3460002 TP ML 0383001 200G 2,20L DV U"/>
        <s v="2540033 TP ML 132012 340G 2,20L DV U"/>
        <s v="3470001 TP ML 405002 220G 2,20L DV U"/>
        <s v="3470003 TP ML 301002 260G 2,20L DV U"/>
        <s v="3470002 TP ML 404001 260G 2,20L DV U"/>
        <s v="3200013 TP ML A09969 180G 2,10L DV U"/>
        <s v="3200015 TP ML A09971 180G 2,10L DV U"/>
        <s v="3200014 TP ML A09970 180G 2,10L DV U"/>
        <s v="2540035 TP ML A10045 280G 2,20L DV U"/>
        <s v="3200011-ME 220G 2,20L DV U"/>
        <s v="2540034 TP ML 237005 260G 2,20L DV U"/>
        <s v="3370011 TP ML A10053 180G 2,10L DV U"/>
        <s v="0458013 TP ME AMOSTR DV U"/>
        <s v="300043 TP ML 1101694 - A09718 240G 2,20L DV U"/>
        <s v="2670010 TP ML 0091012 280G 2,20L DV U"/>
        <s v="2670009 TP ML 0080001 300G 2,20L DV U"/>
        <s v="2670008 TP ML 0356001 280G 2,20L DV U"/>
        <s v="2810013 TP ML A10131 310G 2,20L DV U"/>
        <s v="2860016 TP ML A10066 260G 2,20L DV U"/>
        <s v="3020014 TP ML 0439011 160G 2,20L DV U"/>
        <s v="3020013 TP ML 0446021 160G 2,20L DV U"/>
        <s v="3020017 TP ML 0407021 160G 2,20L DV U"/>
        <s v="3020016 TP ML 0434003 200G 2,10L DV U"/>
        <s v="TP ML 0072051 - 280G 2,20L DEGRA DIVERSAS U"/>
        <s v="TP ML A05171 300G 2,20L DIVERSAS U"/>
        <s v="TP ML FOLHAS IMAG 320G 2,10 DIVERSAS U"/>
        <s v="TP ML 132012 340G 2,20L DV U"/>
        <s v="TP ML A10045 280G 2,20L DV U"/>
        <s v="TP ML 0245051 280G 2,20L DV U"/>
        <s v="TP ML DIV 7806 240G 2,10L DIVERSAS U"/>
        <s v="TAMPO GEOMETRICO (A07370) DIVERSAS U"/>
        <s v="TAMPO PONTILHADOS PRETO (A07803) DIVERSAS U"/>
        <s v="TP ML A08980 280G 2,10L DIVERSAS U"/>
        <s v="TP MESCLA 180G 2,20L (1122580) DIVERSAS U"/>
        <s v="TP PARADISE 122034 370G 2,20L DV U"/>
        <s v="TP ML A10131 310G 2,20L DV U"/>
        <s v="TP ML 0407021 160G 2,20L DV U"/>
        <s v="TP ML 0434003 200G 2,10L DV U"/>
        <s v="TP ML 0428011 160G 2,20L DV U"/>
        <s v="TP ML 0439011 160G 2,20L DV U"/>
        <s v="TP ML A10168 200G 2,10L DV U"/>
        <s v="TP ML A10169 240G 2,10L DV U"/>
        <s v="TP SIM BLACK 300G 2,20L DIVERSAS U"/>
        <s v="TP ML BOL 180G 2,20L DIVERSAS U"/>
        <s v="TP ML 0010181 180G 2,20L DV U"/>
        <s v="TP ML 0066001 180G 2,20L DV U"/>
        <s v="TP ML 0074161 180G 2,20L DV U"/>
        <s v="TP ML 0092193 160G 2,10L DV U"/>
        <s v="-ME TP RETAS DEGRADE 450G 2,20L DIVERSAS U"/>
        <s v="TP ML A09687 350G 2,20L DIVERSAS U"/>
        <s v="TP A09682 GRIS 2 370G 2,20L DV U"/>
        <s v="TP FOLHA 240G 2,20L (1121110) DIVERSAS U"/>
        <s v="3070002 TP ML 0054025 240G 2,20L DV U"/>
        <s v="3200013 TP ML A09969 160G 2,10L DV U"/>
        <s v="3200014 TP ML A09970 160G 2,10L DV U"/>
        <s v="3550001 TP ML 0292001 220G 2,20L DV U"/>
        <s v="3530004 TP ML A10108 200G 2,20L DV U"/>
        <s v="3530005 TP ML A10224 200G 2,20L DV U"/>
        <s v="3530001 TP ML A10169 240G 2,10L DV U"/>
        <s v="3530003 TP ML A10104-A 200G 2,20L DV U"/>
        <s v="2940050 TP ML 0447011 180G 2,20L DV U"/>
        <s v="2940045 TP ML 0149101 180G 2,20L DV U"/>
        <s v="2940046 TP ML 0271051 180G 2,20L DV U"/>
        <s v="2940047 TP ML 0276001 180G 2,20L DV U"/>
        <s v="2940048 TP ML 0446031 180G 2,20L DV U"/>
        <s v="2940049 TP ML 0449021 180G 2,20L DV U"/>
        <s v="2940053 TP ML 0389011 180G 2,20L DV U"/>
        <s v="2940051 TP ML 0441021 180G 2,20L DV U"/>
        <s v="2940052 TP ML 0418011 180G 2,20L DV U"/>
        <s v="2940056 TP ML 0276011 180G 2,20L DV U"/>
        <s v="2940055 TP ML 0389021 180G 2,20L DV U"/>
        <s v="2940054 TP ML 0269031 180G 2,20L DV U"/>
        <s v="2940043 TP ML 0263021 180G 2,20L DV U"/>
        <s v="2940037 TP ML 0076061 180G 2,20L DV U"/>
        <s v="2940031 TP ML 0072091 180G 2,20L DV U"/>
        <s v="2940032 TP ML 0274031 180G 2,20L DV U"/>
        <s v="2940033 TP ML 0389011 180G 2,20L DV U"/>
        <s v="2940035 TP ML 0143001 180G 2,20L DV U"/>
        <s v="2940036 TP ML 0066011 180G 2,20L DV U"/>
        <s v="2940044 TP ML 0149111 180G 2,20L DV U"/>
        <s v="2940038 TP ML 0262031 180G 2,20L DV U"/>
        <s v="2940039 TP ML 0245061 180G 2,20L DV U"/>
        <s v="2940040 TP ML 0147101 180G 2,20L DV U"/>
        <s v="2940041 TP ML 0269021 180G 2,20L DV U"/>
        <s v="2940042 TP ML 0074171 180G 2,20L DV U"/>
        <s v="3030066 TP ML 0094001 200G 2,20L DV U"/>
        <s v="3030061 PL 180G 2,10L NEGRO DV U"/>
        <s v="3030013 PL 160G 2,10L AZUL MARINO DV U"/>
        <s v="3030024 PL 180G 2,10L GRIS ESCURO DV U"/>
        <s v="CM 200G 2,10L GRIS PERLA DV U"/>
        <s v="3030068 CM 180G 2,10L GRIS PERLA DV U"/>
        <s v="3030033 PL 160G 2,10L NEGRO DV U"/>
        <s v="3030054 PL 180G 2,10L GRIS PERLA DV U"/>
        <s v="3030052 CM 200G 2,10L NEGRO DV U"/>
        <s v="3030050 PL 180G 2,10L CAQUI DV U"/>
        <s v="3030032 CM 200G 2,10L BLANCO DV U"/>
        <s v="3030040 PL 160G 2,10L NEGRO DV U"/>
        <s v="3030036 PL 160G 2,10L NEGRO DV U"/>
        <s v="3030038 PL 160G 2,10L GRIS ESCURO DV U"/>
        <s v="3030045 XN 200G 2,10L NEGRO DV U"/>
        <s v="3030015 PL 160G 2,10L NEGRO DV U"/>
        <s v="30300046 XN 200G 2,10L AZUL MARINO DV U"/>
        <s v="3030069 CM 180G 2,20L NEGRO DV U"/>
        <s v="3030055 CM 180G 2,20L NEGRO DV U"/>
        <s v="3030056 CM 180G 2,20L ARENA DV U"/>
        <s v="3030026 CM 200G 2,10L NEGRO DV U"/>
        <s v="2940059 TP ML 0071061 300G 2,20L DV U"/>
        <s v="2940057 TP ML 0423021 300G 2,20L DV U"/>
        <s v="2940060 TP ML 0260025 260G 2,20L DV U"/>
        <s v="2940062 TP ML 0408051 300G 2,20L DV U"/>
        <s v="2940063 TP ML 0239022 300G 2,20L DV U"/>
        <s v="2940066 TP ML 0389031 320G 2,20L DV U"/>
        <s v="2940061 TP ML 0269041 300G 2,20L DV U"/>
        <s v="2940064 TP ML 0416061 300G 2,20L DV U"/>
        <s v="2940065 TP ML 0441041 320G 2,20L DV U"/>
        <s v="3260021 TP ML 0147125 220G 2,20L DV U"/>
        <s v="3260020 TP ML 0291084 280G 2,20L DV U"/>
        <s v="3260018 TP ML 0304002 280G 2,20L DV U"/>
        <s v="3260019 TP ML 0274055 220G 2,20L DV U"/>
        <s v="3260016 TP ML  A10016 220G 2,20L DV U"/>
        <s v="3260017 TP ML A10230 220G 2,20L DV U"/>
        <s v="DIFERENCA DE REALINHAMENTO DE PRECO COMPLEMENTO U"/>
        <s v="3470004 TP ML A10097 240G 2,30L DV U"/>
        <s v="3470005 TP ML A10101 240G 2,30L DV U"/>
        <s v="3560001 TP ML 0347024 280G 2,20L DV U"/>
        <s v="3560002 TP ML 0156004 280G 2,20L DV U"/>
        <s v="3560003 TP ML 0156014 280G 2,20L DV U"/>
        <s v="CAFE PUFF ONDAS DV U"/>
        <s v="2860006 TP ML 360G 2,10L DV U"/>
        <s v="2860017 TP ML 0091012 280G 2,20L DV U"/>
        <s v="2860018 TP ML A10310 300G 2,20L DV U"/>
        <s v="2730008 TP ML A05853-B 180G 2,20L DV U"/>
        <s v="2730007 TP ME AMOSTR DV U"/>
        <s v="2730006 TP ML A05853    180G 2,20L DV U"/>
        <s v="2730005 TP ML A05853   180G 2,20L DV U"/>
        <s v="3430001 TP ML 87052 220G 2,20L DV U"/>
        <s v="3570007 TP ML 0270081 200G 2,10L DV U"/>
        <s v="3570015 TP ML 0399031 200G 2,10L DV U"/>
        <s v="3570014 TP ML 0411041 200G 2,10L DV U"/>
        <s v="3570013 TP ML 0416071 200G 2,10L DV U"/>
        <s v="3570010 TP ML 0473003 180G 2,10L DV U"/>
        <s v="3570009 TP ML A10344 200G 2,10L DV U"/>
        <s v="3570001 TP ML 0071071 200G 2,10L DV U"/>
        <s v="3570006 TP ML 0262041 200G 2,10L DV U"/>
        <s v="3570005 TP ML 0080081 200G 2,10L DV U"/>
        <s v="3570004 TP ML 0074201 200G 2,10L DV U"/>
        <s v="3570003 TP ML 0073101 200G 2,10L DV U"/>
        <s v="3570002 TP ML 0072101 200G 2,10L DV U"/>
        <s v="3030072 TP ML 0149003 180G 2,10L DV U"/>
        <s v="3570012 TP ML 0211013 180G 2,10L DV U"/>
        <s v="3570011 TP ML 0388043 180G 2,10L DV U"/>
        <s v="3570008 TP ML 0411051 200G 2,10L DV U"/>
        <s v="3030070 TP ML 0253003 180G 2,10L DV U"/>
        <s v="3030071 TP ML 0071013 180G 2,10L DV U"/>
        <s v="3580003 TP ML 0245005 260G 2,20L DV U"/>
        <s v="3580004 TP ML 0524004 440G 2,20L DV U"/>
        <s v="3580002 TP ML 0153011 240G 2,20L DV U"/>
        <s v="3580001 TP ML A10390 220G 2,10L DV U"/>
        <s v="2860019 TP ML 0427001 400G 2,20L DV U"/>
        <s v="2860020 TP ML 0414001 380G 2,20L DV U"/>
        <s v="2860021 TP ML 0354001 380G 2,30L DV U"/>
        <s v="3590004 TP ML 0461031 340G 2,20L DV U"/>
        <s v="3590008 TP ML A10399 180G 2,10L DV U"/>
        <s v="3590007 TP ML A10136 200G 2,20L DV U"/>
        <s v="3590006 TP ML A10156 220G 2,20L DV U"/>
        <s v="3590005 TP ML 0416001 240G 2,20L DV U"/>
        <s v="3590003 TP ML 0271001 340G 2,20L DV U"/>
        <s v="3590002 TP ML 0246015 340G 2,20L DV U"/>
        <s v="3590009 TP ML A10402 200G 2,10L DV U"/>
        <s v="3590001 TP ML A06917 440G 2,20L DV U"/>
        <s v="3480004 TP 292021 - 88201 - 160G 2,20L DV U"/>
        <s v="2940034 TP ML 0408041 180G 2,20L DV U"/>
        <s v="340047 TP ML 0091012 280G 2,20L DV U"/>
        <s v="340048 TP ML 0245031 - 280G 2,20L DV U"/>
        <s v="340046 TP ML 0091052 280G 2,20L DV U"/>
        <s v="340044 TP 0121065 280G 2,20L DV U"/>
        <s v="110013 - C TAMPO AX GOLD CHAMPAGNE (A017 DIVERSAS U"/>
        <s v="280018 TP ML FOLHAS 300G 2,30L DIVERSAS U"/>
        <s v="2620001 - TEC, TAMPO HARMONY MLH008 380 DIVERSAS U"/>
        <s v="2810014 TP ML A10411 320G 2,20L DV U"/>
        <s v="3610004 TP ML 0403034 240G 2,20L DV U"/>
        <s v="3610007 TP ML 0558004 380G 2,20L DV U"/>
        <s v="3610006 TP ML A10418 180G 2,10L DV U"/>
        <s v="3610005 TP ML 0566001 220G 2,20L DV U"/>
        <s v="3610003 TP ML A10420 360G 2,20L DV U"/>
        <s v="3610002 TP ML 0555004 280G 2,20L DV U"/>
        <s v="3610001 TP ML 0552001 280G 2,20L DV U"/>
        <s v="2940083 TP ML 0446031 180G 2,20L DV U"/>
        <s v="2940085 TP ML 0251021 180G 2,20L DV U"/>
        <s v="2940084 TP ML 0399041 180G 2,20L DV U"/>
        <s v="2940080 TP ML 0264011 180G 2,20L DV U"/>
        <s v="2940082 TP ML 0260011 180G 2,20L DV U"/>
        <s v="2940081 TP ML 0262031 180G 2,20L DV U"/>
        <s v="2940079 TP ML 0269021 180G 2,20L DV U"/>
        <s v="2940086 TP ML 0240031 180G 2,20L DV U"/>
        <s v="2940087 TP ML 0239031 180G 2,20L DV U"/>
        <s v="2940088 TP ML 0157001 180G 2,20L DV U"/>
        <s v="2940089 TP ML 0149111 180G 2,20L DV U"/>
        <s v="2940090 TP ML 0148081 180G 2,20L DV U"/>
        <s v="2940091 TP ML 0246001 180G 2,20L DV U"/>
        <s v="2940073 TP ML 0486001 180G 2,20L DV U"/>
        <s v="2940071 TP ML 0513001 180G 2,20L DV U"/>
        <s v="2940068 TP ML 0521051 180G 2,20L DV U"/>
        <s v="2940069 TP ML 0515011 180G 2,20L DV U"/>
        <s v="2940070 TP ML 0514001 180G 2,20L DV U"/>
        <s v="2940078 TP ML 0269021 180G 2,20L DV U"/>
        <s v="2940072 TP ML 0488001 180G 2,20L DV U"/>
        <s v="2940074 TP ML 0434001 180G 2,20L DV U"/>
        <s v="2940075 TP ML 0418041 180G 2,20L DV U"/>
        <s v="2940076 TP ML 0416091 180G 2,20L DV U"/>
        <s v="2940077 TP ML 0302041 180G 2,20L DV U"/>
        <s v="3630001 TP ML A03174 200G 2,20L DV U"/>
        <s v="3630002 TP ML A10467 180G 2,20L DV U"/>
        <s v="3630003 TP ML A10466 400G 2,30L DV U"/>
        <s v="3520006 TP ML 0514011 220G 2,20L DV U"/>
        <s v="3520005 TP ML 0454034 280G 2,20L DV U"/>
        <s v="3520001 TP ML 0074161 180G 2,20L DV U"/>
        <s v="3520004 TP ML 0092193 160G 2,10L DV U"/>
        <s v="3520003 TP ML 0010181 180G 2,20L DV U"/>
        <s v="3370012 TP ML 0536016 180G 2,10L DV U"/>
        <s v="3610008 TP ML A10512 400G 2,20L DV U"/>
        <s v="2540037 TP ML A10518 460G 2,20L DV U"/>
        <s v="0521101 TP ME AMOSTR DV U"/>
        <s v="3390015 TP ML A10496 180G 2,10L DV U"/>
        <s v="3370013 TP ML 0074211 180G 2,20L DV U"/>
        <s v="3650005 TP ML 0276005 280G 2,20L DV U"/>
        <s v="3650012 TP ML A10524 180G 2,10L DV U"/>
        <s v="3650010 TP ML A10522 180G 2,10L DV U"/>
        <s v="3650011 TP ML A10523 180G 2,10L DV U"/>
        <s v="3650004 TP ML 0284001 380G 2,20L DV U"/>
        <s v="3650003 TP ML 0274005 280G 2,20L DV U"/>
        <s v="3650002 TP ML 0271001 360G 2,20L DV U"/>
        <s v="3650001 TP ML 0146004 340G 2,20L DV U"/>
        <s v="3390013 TP ML 0269121 220G 2,20L DV U"/>
        <s v="3390014 TP ML 0066041 220G 2,20L DV U"/>
        <s v="3390016 TP ML A10519 260G 2,20L DV U"/>
        <s v="3670002 TP ML 0068016 180G 2,10L DV U"/>
        <s v="3670001 TP ML 0067006 180G 2,10L DV U"/>
        <s v="3570025 TP ML 0067011 180G 2,20L DV U"/>
        <s v="3570024 TP ML 0066071 180G 2,20L DV U"/>
        <s v="3570027 TP ML 0066081 180G 2,20L DV U"/>
        <s v="3570035 TP ML 0012081 180G 2,20L DV U"/>
        <s v="3570032 TP ML 0012071 180G 2,20L DV U"/>
        <s v="3570033 TP ML 0012051 180G 2,20L DV U"/>
        <s v="3570040 TP ML 0274071 180G 2,20L DV U"/>
        <s v="3570037 TP ML 0392031 180G 2,20L DV U"/>
        <s v="3570023 TP ML 0071121 180G 2,20L DV U"/>
        <s v="3570020 TP ML 0071111 180G 2,20L DV U"/>
        <s v="3570022 TP ML 0071101 180G 2,20L DV U"/>
        <s v="3570028 TP ML 0017041 180G 2,20L DV U"/>
        <s v="3570031 TP ML 0017051 180G 2,20L DV U"/>
        <s v="3570045 TP ML 0705021 180G 2,10L DV U"/>
        <s v="3570044 TP ML 0705011 180G 2,10L DV U"/>
        <s v="3570042 TP ML 0274061 180G 2,20L DV U"/>
        <s v="410006 - B TAMPO 200,037 - MALHA PRES, C DIVERSAS U"/>
        <s v="21706 TAMPO TRACEJADO CINZA (A04041) DIVERSAS U"/>
        <s v="2300007 TP ML GEOM MESC 230G 2,10L DIVERSAS U"/>
        <s v="2870007 TP ML A10034 220G 2,20L DV U"/>
        <s v="3570038 TP ML 0392041 180G 2,20L DV U"/>
        <s v="3570019 TP ML 0256121 180G 2,20L DV U"/>
        <s v="3570016 TP ML 0256111 180G 2,20L DV U"/>
        <s v="3570018 TP ML 0256101 180G 2,20L DV U"/>
        <s v="3570017 TP ML 0256091 180G 2,20L DV U"/>
        <s v="3570039 TP ML 0392031 180G 2,20L DV U"/>
        <s v="3570036 TP ML 0392051 180G 2,20L DV U"/>
        <s v="3420005 TP ML 0594001 300G 2,20L DV U"/>
        <s v="3420004 TP ML A10529 420G 2,20L DV U"/>
        <s v="3420003 TP ML A10539 420G 2,20L DV U"/>
        <s v="3420002 TP ML A10540 420G 2,20L DV U"/>
        <s v="2860006 TP ML 260G 2,10L DV U"/>
        <s v="3030074 TP ML 0679011 180G 2,10L DV U"/>
        <s v="3030073 TP ML A10579 180G 2,10L DV U"/>
        <s v="3660001 TP ML 0613021 260G 2,20L DV U"/>
        <s v="3660002 TP ML 0641014 280G 2,20L DV U"/>
        <s v="3660004 TP ML 0629011 220G 2,20L DV U"/>
        <s v="3660006 TP ML 0132054 280G 2,20L DV U"/>
        <m/>
      </sharedItems>
    </cacheField>
    <cacheField name="Cliente2" numFmtId="0">
      <sharedItems containsBlank="1"/>
    </cacheField>
    <cacheField name="estado" numFmtId="0">
      <sharedItems containsBlank="1"/>
    </cacheField>
    <cacheField name="Tipo Cliente" numFmtId="0">
      <sharedItems containsBlank="1"/>
    </cacheField>
    <cacheField name="Repres" numFmtId="0">
      <sharedItems containsString="0" containsBlank="1" containsNumber="1" containsInteger="1" minValue="1" maxValue="93"/>
    </cacheField>
    <cacheField name="Nome do Representante" numFmtId="0">
      <sharedItems containsBlank="1"/>
    </cacheField>
    <cacheField name="Emissão/NFE" numFmtId="0">
      <sharedItems containsString="0" containsBlank="1" containsNumber="1" containsInteger="1" minValue="44285" maxValue="58965"/>
    </cacheField>
    <cacheField name="ICMS" numFmtId="0">
      <sharedItems containsString="0" containsBlank="1" containsNumber="1" minValue="0" maxValue="59954.95"/>
    </cacheField>
    <cacheField name="Preço Unit" numFmtId="0">
      <sharedItems containsBlank="1" containsMixedTypes="1" containsNumber="1" minValue="5.9789399999999997" maxValue="5702.76"/>
    </cacheField>
    <cacheField name="Valor (total)" numFmtId="4">
      <sharedItems containsString="0" containsBlank="1" containsNumber="1" minValue="-127041.12" maxValue="196841.38"/>
    </cacheField>
    <cacheField name="Unidade" numFmtId="0">
      <sharedItems containsBlank="1"/>
    </cacheField>
    <cacheField name="Gramatura" numFmtId="0">
      <sharedItems containsString="0" containsBlank="1" containsNumber="1" containsInteger="1" minValue="80" maxValue="640"/>
    </cacheField>
    <cacheField name="Peças" numFmtId="0">
      <sharedItems containsString="0" containsBlank="1" containsNumber="1" containsInteger="1" minValue="1" maxValue="325"/>
    </cacheField>
    <cacheField name="MT" numFmtId="0">
      <sharedItems containsString="0" containsBlank="1" containsNumber="1" minValue="-18124" maxValue="22024"/>
    </cacheField>
    <cacheField name="KG" numFmtId="0">
      <sharedItems containsString="0" containsBlank="1" containsNumber="1" minValue="-944.46" maxValue="47389.95"/>
    </cacheField>
    <cacheField name="Rentabilidade Ult preço FIo" numFmtId="0">
      <sharedItems containsString="0" containsBlank="1" containsNumber="1" minValue="-95.91" maxValue="67.67"/>
    </cacheField>
    <cacheField name="CPV" numFmtId="0">
      <sharedItems containsString="0" containsBlank="1" containsNumber="1" minValue="-20251.490000000002" maxValue="141157.91"/>
    </cacheField>
    <cacheField name="$ ICMS" numFmtId="0">
      <sharedItems containsNonDate="0" containsString="0" containsBlank="1"/>
    </cacheField>
    <cacheField name="$ Frete" numFmtId="0">
      <sharedItems containsString="0" containsBlank="1" containsNumber="1" minValue="382.99" maxValue="9993.8700000000008"/>
    </cacheField>
    <cacheField name="PiaCofins" numFmtId="0">
      <sharedItems containsNonDate="0" containsString="0" containsBlank="1"/>
    </cacheField>
    <cacheField name="$ reo Com" numFmtId="0">
      <sharedItems containsString="0" containsBlank="1" containsNumber="1" minValue="10.5" maxValue="4584.22"/>
    </cacheField>
    <cacheField name="$ Com 2" numFmtId="0">
      <sharedItems containsString="0" containsBlank="1" containsNumber="1" minValue="5.25" maxValue="3936.83"/>
    </cacheField>
    <cacheField name="$Custo Fixo" numFmtId="0">
      <sharedItems containsString="0" containsBlank="1" containsNumber="1" minValue="12" maxValue="12392.06"/>
    </cacheField>
    <cacheField name="$ OverHead" numFmtId="0">
      <sharedItems containsString="0" containsBlank="1" containsNumber="1" minValue="57.77" maxValue="43305.1"/>
    </cacheField>
    <cacheField name="Total Fio 1" numFmtId="0">
      <sharedItems containsBlank="1" containsMixedTypes="1" containsNumber="1" minValue="-17301.71" maxValue="102932.88"/>
    </cacheField>
    <cacheField name="Cliente TOTVS" numFmtId="0">
      <sharedItems containsBlank="1"/>
    </cacheField>
    <cacheField name="Representate TOTVS" numFmtId="0">
      <sharedItems containsBlank="1"/>
    </cacheField>
    <cacheField name="Coluna1" numFmtId="0">
      <sharedItems containsString="0" containsBlank="1" containsNumber="1" minValue="-18.330420318078545" maxValue="373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6">
  <r>
    <x v="0"/>
    <x v="0"/>
    <s v="COLCHÃO M.E."/>
    <s v="DIRETO"/>
    <x v="0"/>
    <s v="NADA"/>
    <s v="BOLIVIA"/>
    <n v="37002"/>
    <n v="2510001"/>
    <s v="TECIDO 100% POLIESTER-[Pedido:EXP 01 Parcial]"/>
    <s v="DIRECTO"/>
    <s v="EX"/>
    <s v="Colchão M.E."/>
    <n v="1"/>
    <s v="DIRETO"/>
    <n v="44285"/>
    <m/>
    <n v="30.65"/>
    <n v="24488.12"/>
    <s v="KG"/>
    <n v="210"/>
    <n v="34"/>
    <n v="1551"/>
    <n v="798.96"/>
    <n v="16.739999999999998"/>
    <n v="16401.05"/>
    <m/>
    <m/>
    <m/>
    <n v="979.52"/>
    <n v="489.76"/>
    <n v="1230.4000000000001"/>
    <n v="5387.39"/>
    <n v="14152.18"/>
    <m/>
    <m/>
    <n v="15.788600902643456"/>
  </r>
  <r>
    <x v="0"/>
    <x v="0"/>
    <s v="COLCHÃO M.E."/>
    <s v="DIRETO"/>
    <x v="0"/>
    <s v="NADA"/>
    <s v="BOLIVIA"/>
    <n v="37002"/>
    <n v="2510002"/>
    <s v="TECIDO 100% POLIESTER-[Pedido:EXP 01 Parcial]"/>
    <s v="DIRECTO"/>
    <s v="EX"/>
    <s v="Colchão M.E."/>
    <n v="1"/>
    <s v="DIRETO"/>
    <n v="44285"/>
    <m/>
    <n v="29.1"/>
    <n v="7397.8"/>
    <s v="KG"/>
    <n v="160"/>
    <n v="14"/>
    <n v="639"/>
    <n v="254.22"/>
    <n v="19.760000000000002"/>
    <n v="4934.92"/>
    <m/>
    <m/>
    <m/>
    <n v="295.91000000000003"/>
    <n v="147.96"/>
    <n v="391.5"/>
    <n v="1627.52"/>
    <n v="4031.27"/>
    <m/>
    <m/>
    <n v="11.577151799687011"/>
  </r>
  <r>
    <x v="0"/>
    <x v="0"/>
    <s v="COLCHÃO M.E."/>
    <s v="DIRETO"/>
    <x v="0"/>
    <s v="NADA"/>
    <s v="BOLIVIA"/>
    <n v="37002"/>
    <n v="2510003"/>
    <s v="TECIDO 100% POLIESTER-[Pedido:EXP 01 Parcial]"/>
    <s v="DIRECTO"/>
    <s v="EX"/>
    <s v="Colchão M.E."/>
    <n v="1"/>
    <s v="DIRETO"/>
    <n v="44285"/>
    <m/>
    <n v="34.58"/>
    <n v="13620.37"/>
    <s v="KG"/>
    <n v="330"/>
    <n v="13"/>
    <n v="564"/>
    <n v="393.88"/>
    <n v="17.25"/>
    <n v="9200.09"/>
    <m/>
    <m/>
    <m/>
    <n v="544.80999999999995"/>
    <n v="272.41000000000003"/>
    <n v="606.58000000000004"/>
    <n v="2996.48"/>
    <n v="6660.94"/>
    <m/>
    <m/>
    <n v="24.149592198581562"/>
  </r>
  <r>
    <x v="0"/>
    <x v="0"/>
    <s v="COLCHÃO M.E."/>
    <s v="DIRETO"/>
    <x v="0"/>
    <s v="NADA"/>
    <s v="BOLIVIA"/>
    <n v="37002"/>
    <n v="2510004"/>
    <s v="TECIDO 100% POLIESTER-[Pedido:EXP 01 Parcial]"/>
    <s v="DIRECTO"/>
    <s v="EX"/>
    <s v="Colchão M.E."/>
    <n v="1"/>
    <s v="DIRETO"/>
    <n v="44285"/>
    <m/>
    <n v="31.73"/>
    <n v="15171.38"/>
    <s v="KG"/>
    <n v="280"/>
    <n v="15"/>
    <n v="717"/>
    <n v="478.14"/>
    <n v="17.350000000000001"/>
    <n v="10187.06"/>
    <m/>
    <m/>
    <m/>
    <n v="606.86"/>
    <n v="303.43"/>
    <n v="736.34"/>
    <n v="3337.7"/>
    <n v="8345.8700000000008"/>
    <m/>
    <m/>
    <n v="21.159525801952579"/>
  </r>
  <r>
    <x v="0"/>
    <x v="0"/>
    <s v="COLCHÃO M.E."/>
    <s v="DIRETO"/>
    <x v="0"/>
    <s v="NADA"/>
    <s v="BOLIVIA"/>
    <n v="37002"/>
    <n v="2510005"/>
    <s v="TECIDO 100% POLIESTER-[Pedido:EXP 01 Parcial]"/>
    <s v="DIRECTO"/>
    <s v="EX"/>
    <s v="Colchão M.E."/>
    <n v="1"/>
    <s v="DIRETO"/>
    <n v="44285"/>
    <m/>
    <n v="32.369999999999997"/>
    <n v="14176.12"/>
    <s v="KG"/>
    <n v="280"/>
    <n v="13"/>
    <n v="670"/>
    <n v="437.94"/>
    <n v="17.399999999999999"/>
    <n v="9532.3799999999992"/>
    <m/>
    <m/>
    <m/>
    <n v="567.04"/>
    <n v="283.52"/>
    <n v="674.43"/>
    <n v="3118.75"/>
    <n v="7635.89"/>
    <m/>
    <m/>
    <n v="21.158388059701494"/>
  </r>
  <r>
    <x v="0"/>
    <x v="0"/>
    <s v="COLCHÃO M.E."/>
    <s v="DIRETO"/>
    <x v="0"/>
    <s v="NADA"/>
    <s v="BOLIVIA"/>
    <n v="37002"/>
    <n v="2510006"/>
    <s v="TECIDO 100% POLIESTER-[Pedido:EXP 01 Parcial]"/>
    <s v="DIRECTO"/>
    <s v="EX"/>
    <s v="Colchão M.E."/>
    <n v="1"/>
    <s v="DIRETO"/>
    <n v="44285"/>
    <m/>
    <n v="33.54"/>
    <n v="14033.14"/>
    <s v="KG"/>
    <n v="340"/>
    <n v="18"/>
    <n v="573"/>
    <n v="418.4"/>
    <n v="18.79"/>
    <n v="9459.52"/>
    <m/>
    <m/>
    <m/>
    <n v="561.33000000000004"/>
    <n v="280.66000000000003"/>
    <n v="644.34"/>
    <n v="3087.29"/>
    <n v="6727.51"/>
    <m/>
    <m/>
    <n v="24.49064572425829"/>
  </r>
  <r>
    <x v="0"/>
    <x v="0"/>
    <s v="COLCHÃO M.E."/>
    <s v="DIRETO"/>
    <x v="0"/>
    <s v="NADA"/>
    <s v="BOLIVIA"/>
    <n v="37002"/>
    <n v="2510007"/>
    <s v="TECIDO 96% POLIESTER 4% ALGODAO-[Pedido:EXP 0"/>
    <s v="DIRECTO"/>
    <s v="EX"/>
    <s v="Colchão M.E."/>
    <n v="1"/>
    <s v="DIRETO"/>
    <n v="44285"/>
    <m/>
    <n v="36.520000000000003"/>
    <n v="13055.17"/>
    <s v="KG"/>
    <n v="280"/>
    <n v="15"/>
    <n v="617"/>
    <n v="357.48"/>
    <n v="15.98"/>
    <n v="8849.2000000000007"/>
    <m/>
    <m/>
    <m/>
    <n v="522.21"/>
    <n v="261.10000000000002"/>
    <n v="550.52"/>
    <n v="2872.14"/>
    <n v="6409.85"/>
    <m/>
    <m/>
    <n v="21.159108589951376"/>
  </r>
  <r>
    <x v="1"/>
    <x v="0"/>
    <s v="COLCHÃO M.E."/>
    <s v="DIRETO"/>
    <x v="1"/>
    <s v="NADA"/>
    <s v="URUGUAI"/>
    <n v="37611"/>
    <n v="2540001"/>
    <s v="100% POLIESTER- TAMPO FLORES AZULES SOFT (A07"/>
    <s v="DIVINO COLCHONES"/>
    <s v="EX"/>
    <s v="Colchão M.E."/>
    <n v="90"/>
    <s v="MARTIN"/>
    <n v="44351"/>
    <m/>
    <n v="27.94"/>
    <n v="114605.41"/>
    <s v="KG"/>
    <n v="180"/>
    <n v="200"/>
    <n v="10185"/>
    <n v="4101.84"/>
    <n v="6.74"/>
    <n v="76199.06"/>
    <m/>
    <m/>
    <m/>
    <n v="4584.22"/>
    <n v="2292.11"/>
    <n v="6316.83"/>
    <n v="25213.19"/>
    <n v="71206.27"/>
    <m/>
    <m/>
    <n v="11.252372115856652"/>
  </r>
  <r>
    <x v="1"/>
    <x v="0"/>
    <s v="COLCHÃO M.E."/>
    <s v="DIRETO"/>
    <x v="1"/>
    <s v="NADA"/>
    <s v="URUGUAI"/>
    <n v="37611"/>
    <n v="2540002"/>
    <s v="91% POLIESTER 8% VISCOSE 1% ALGODAO- TAMPO OR"/>
    <s v="DIVINO COLCHONES"/>
    <s v="EX"/>
    <s v="Colchão M.E."/>
    <n v="90"/>
    <s v="MARTIN"/>
    <n v="44351"/>
    <m/>
    <n v="35.909999999999997"/>
    <n v="196841.38"/>
    <s v="KG"/>
    <n v="300"/>
    <n v="215"/>
    <n v="7827"/>
    <n v="5481.52"/>
    <n v="21.33"/>
    <n v="141157.91"/>
    <m/>
    <m/>
    <m/>
    <m/>
    <n v="3936.83"/>
    <n v="8441.5400000000009"/>
    <n v="43305.1"/>
    <n v="102932.88"/>
    <m/>
    <m/>
    <n v="25.149020058770923"/>
  </r>
  <r>
    <x v="1"/>
    <x v="0"/>
    <s v="COLCHÃO M.E."/>
    <s v="DIRETO"/>
    <x v="1"/>
    <s v="NADA"/>
    <s v="URUGUAI"/>
    <n v="37799"/>
    <n v="2540003"/>
    <s v="TECIDO 99% POLIESTER 1% ELASTANO- TAMPO CORDA"/>
    <s v="DIVINO COLCHONES"/>
    <s v="EX"/>
    <s v="Colchão M.E."/>
    <n v="90"/>
    <s v="MARTIN"/>
    <n v="44369"/>
    <m/>
    <n v="31.75"/>
    <n v="175133"/>
    <s v="KG"/>
    <n v="400"/>
    <n v="206"/>
    <n v="6345"/>
    <n v="5516"/>
    <n v="18.350000000000001"/>
    <n v="124606.44"/>
    <m/>
    <m/>
    <m/>
    <m/>
    <n v="3502.66"/>
    <n v="8494.64"/>
    <n v="38529.26"/>
    <n v="90084.05"/>
    <m/>
    <m/>
    <n v="27.601733648542158"/>
  </r>
  <r>
    <x v="1"/>
    <x v="0"/>
    <s v="COLCHÃO M.E."/>
    <s v="DIRETO"/>
    <x v="1"/>
    <s v="NADA"/>
    <s v="URUGUAI"/>
    <n v="37921"/>
    <n v="2540003"/>
    <s v="99% POLIESTER 1% ELASTANO- TAMPO CORDAO FLOR"/>
    <s v="DIVINO COLCHONES"/>
    <s v="EX"/>
    <s v="Colchão M.E."/>
    <n v="90"/>
    <s v="MARTIN"/>
    <n v="44376"/>
    <m/>
    <n v="30.03"/>
    <n v="40210.17"/>
    <s v="KG"/>
    <n v="400"/>
    <n v="50"/>
    <n v="1555"/>
    <n v="1339"/>
    <n v="18.350000000000001"/>
    <n v="28497.67"/>
    <m/>
    <m/>
    <m/>
    <m/>
    <n v="804.2"/>
    <n v="2062.06"/>
    <n v="8846.24"/>
    <n v="21867.759999999998"/>
    <m/>
    <m/>
    <n v="25.858630225080386"/>
  </r>
  <r>
    <x v="1"/>
    <x v="0"/>
    <s v="COLCHÃO M.E."/>
    <s v="DIRETO"/>
    <x v="1"/>
    <s v="NADA"/>
    <s v="URUGUAI"/>
    <n v="37922"/>
    <n v="2540003"/>
    <s v="99% POLIESTER 1% ELASTANO- TAMPO CORDAO FLOR"/>
    <s v="DIVINO COLCHONES"/>
    <s v="EX"/>
    <s v="Colchão M.E."/>
    <n v="90"/>
    <s v="MARTIN"/>
    <n v="44376"/>
    <m/>
    <n v="30.04"/>
    <n v="125477.08"/>
    <s v="KG"/>
    <n v="400"/>
    <n v="156"/>
    <n v="4790"/>
    <n v="4177"/>
    <n v="18.350000000000001"/>
    <n v="88930"/>
    <m/>
    <m/>
    <m/>
    <m/>
    <n v="2509.54"/>
    <n v="6432.58"/>
    <n v="27604.959999999999"/>
    <n v="68216.3"/>
    <m/>
    <m/>
    <n v="26.195632567849689"/>
  </r>
  <r>
    <x v="2"/>
    <x v="0"/>
    <s v="COLCHÃO M.E."/>
    <s v="DIRETO"/>
    <x v="2"/>
    <s v="NADA"/>
    <s v="CHILE"/>
    <n v="38090"/>
    <n v="2590001"/>
    <s v="TECIDO 100% POLIESTER- TAMPO FOLHAS BRILHANTE"/>
    <s v="COLCHONES NOVATEX"/>
    <s v="EX"/>
    <s v="Colchão M.E."/>
    <n v="91"/>
    <s v="DIRETO"/>
    <n v="44391"/>
    <m/>
    <n v="24.1"/>
    <n v="76084.66"/>
    <s v="KG"/>
    <n v="160"/>
    <n v="158"/>
    <n v="8000"/>
    <n v="3157.04"/>
    <n v="12.94"/>
    <n v="39925.24"/>
    <m/>
    <n v="9993.8700000000008"/>
    <m/>
    <n v="3043.39"/>
    <n v="1521.69"/>
    <n v="4861.84"/>
    <n v="16738.63"/>
    <n v="48868.54"/>
    <m/>
    <m/>
    <n v="9.5105824999999999"/>
  </r>
  <r>
    <x v="2"/>
    <x v="0"/>
    <s v="COLCHÃO M.E."/>
    <s v="DIRETO"/>
    <x v="2"/>
    <s v="NADA"/>
    <s v="CHILE"/>
    <n v="38090"/>
    <n v="2590002"/>
    <s v="TECIDO 100% POLIESTER- FAIXA PRETA (A07741)-["/>
    <s v="COLCHONES NOVATEX"/>
    <s v="EX"/>
    <s v="Colchão M.E."/>
    <n v="91"/>
    <s v="DIRETO"/>
    <n v="44391"/>
    <m/>
    <n v="24.7"/>
    <n v="58692.88"/>
    <s v="KG"/>
    <n v="160"/>
    <n v="127"/>
    <n v="6000"/>
    <n v="2376.23"/>
    <n v="11.27"/>
    <n v="30890.06"/>
    <m/>
    <n v="7709.42"/>
    <m/>
    <n v="2347.7199999999998"/>
    <n v="1173.8599999999999"/>
    <n v="3659.39"/>
    <n v="12912.43"/>
    <n v="37931.949999999997"/>
    <m/>
    <m/>
    <n v="9.7821466666666659"/>
  </r>
  <r>
    <x v="3"/>
    <x v="0"/>
    <s v="COLCHÃO M.E."/>
    <s v="DIRETO"/>
    <x v="3"/>
    <s v="NADA"/>
    <s v="AMERICA CENTRAL E CARIBE"/>
    <n v="39001"/>
    <n v="2630002"/>
    <s v="100% POLIESTER- TAMPO PRETO GRAY (A08005)-[Pe"/>
    <s v="COLCHONES REX"/>
    <s v="EX"/>
    <s v="Colchão M.E."/>
    <n v="87"/>
    <s v="DIRETO"/>
    <n v="44456"/>
    <m/>
    <n v="26.12"/>
    <n v="40036.74"/>
    <s v="KG"/>
    <n v="280"/>
    <n v="48"/>
    <n v="2369"/>
    <n v="1532.8"/>
    <n v="1.27"/>
    <n v="28067.41"/>
    <m/>
    <m/>
    <m/>
    <m/>
    <n v="800.73"/>
    <n v="2360.5100000000002"/>
    <n v="8808.08"/>
    <n v="29087.200000000001"/>
    <m/>
    <m/>
    <n v="16.900270156184042"/>
  </r>
  <r>
    <x v="3"/>
    <x v="0"/>
    <s v="COLCHÃO M.E."/>
    <s v="DIRETO"/>
    <x v="3"/>
    <s v="NADA"/>
    <s v="AMERICA CENTRAL E CARIBE"/>
    <n v="39001"/>
    <n v="2630001"/>
    <s v="100% POLIESTER- TAMPO CINZA PERLA (A07997)-[P"/>
    <s v="COLCHONES REX"/>
    <s v="EX"/>
    <s v="Colchão M.E."/>
    <n v="87"/>
    <s v="DIRETO"/>
    <n v="44456"/>
    <m/>
    <n v="25.57"/>
    <n v="67892.44"/>
    <s v="KG"/>
    <n v="280"/>
    <n v="80"/>
    <n v="4016"/>
    <n v="2655.16"/>
    <n v="10.54"/>
    <n v="47509.31"/>
    <m/>
    <m/>
    <m/>
    <m/>
    <n v="1357.85"/>
    <n v="4088.95"/>
    <n v="14936.34"/>
    <n v="43440.37"/>
    <m/>
    <m/>
    <n v="16.905488047808767"/>
  </r>
  <r>
    <x v="3"/>
    <x v="0"/>
    <s v="COLCHÃO M.E."/>
    <s v="DIRETO"/>
    <x v="3"/>
    <s v="NADA"/>
    <s v="AMERICA CENTRAL E CARIBE"/>
    <n v="39001"/>
    <n v="2630003"/>
    <s v="100% POLIESTER- FAIXA CINZA BALONES (A08009)-"/>
    <s v="COLCHONES REX"/>
    <s v="EX"/>
    <s v="Colchão M.E."/>
    <n v="87"/>
    <s v="DIRETO"/>
    <n v="44456"/>
    <m/>
    <n v="27.81"/>
    <n v="38371.68"/>
    <s v="KG"/>
    <n v="160"/>
    <n v="67"/>
    <n v="3582"/>
    <n v="1379.78"/>
    <n v="13.63"/>
    <n v="27037.62"/>
    <m/>
    <m/>
    <m/>
    <m/>
    <n v="767.43"/>
    <n v="2124.86"/>
    <n v="8441.77"/>
    <n v="22898.44"/>
    <m/>
    <m/>
    <n v="10.712361809045227"/>
  </r>
  <r>
    <x v="4"/>
    <x v="0"/>
    <s v="COLCHÃO M.E."/>
    <s v="DIRETO"/>
    <x v="1"/>
    <s v="NADA"/>
    <s v="URUGUAI"/>
    <n v="39235"/>
    <n v="2540004"/>
    <s v="100% POLIESTER- TAMPO CIRCO (A07368)-[Pedido:"/>
    <s v="DIVINO COLCHONES"/>
    <s v="EX"/>
    <s v="Colchão M.E."/>
    <n v="87"/>
    <s v="MARTIN"/>
    <n v="44477"/>
    <m/>
    <n v="30.46"/>
    <n v="7330.5"/>
    <s v="KG"/>
    <n v="160"/>
    <n v="11"/>
    <n v="632"/>
    <n v="240.66"/>
    <n v="23.9"/>
    <n v="5200.5600000000004"/>
    <m/>
    <m/>
    <m/>
    <m/>
    <n v="146.61000000000001"/>
    <n v="370.62"/>
    <n v="1612.71"/>
    <n v="3805.06"/>
    <m/>
    <m/>
    <n v="11.598892405063291"/>
  </r>
  <r>
    <x v="4"/>
    <x v="0"/>
    <s v="COLCHÃO M.E."/>
    <s v="DIRETO"/>
    <x v="1"/>
    <s v="NADA"/>
    <s v="URUGUAI"/>
    <n v="39235"/>
    <n v="2540005"/>
    <s v="100% POLIESTER- TAMPO GEOMETRICO (A07370)-[Pe"/>
    <s v="DIVINO COLCHONES"/>
    <s v="EX"/>
    <s v="Colchão M.E."/>
    <n v="87"/>
    <s v="MARTIN"/>
    <n v="44477"/>
    <m/>
    <n v="33.6"/>
    <n v="111974.02"/>
    <s v="KG"/>
    <n v="240"/>
    <n v="120"/>
    <n v="6222"/>
    <n v="3332.56"/>
    <n v="21.63"/>
    <n v="79968.11"/>
    <m/>
    <m/>
    <m/>
    <m/>
    <n v="2239.48"/>
    <n v="5132.1400000000003"/>
    <n v="24634.28"/>
    <n v="57845.84"/>
    <m/>
    <m/>
    <n v="17.996467373834779"/>
  </r>
  <r>
    <x v="4"/>
    <x v="0"/>
    <s v="COLCHÃO M.E."/>
    <s v="DIRETO"/>
    <x v="4"/>
    <s v="NADA"/>
    <s v="BOLIVIA"/>
    <n v="39423"/>
    <s v="LOT 1 - 160G"/>
    <s v="100% POLIESTER- RANDOM - 160G"/>
    <s v="WENTURS TRADE"/>
    <s v="EX"/>
    <s v="Colchão M.E."/>
    <n v="87"/>
    <s v="DIRETO"/>
    <n v="44494"/>
    <m/>
    <n v="29.06"/>
    <n v="16632.2"/>
    <s v="KG"/>
    <n v="160"/>
    <n v="31"/>
    <n v="1529"/>
    <n v="572.34"/>
    <n v="12.74"/>
    <n v="11759.07"/>
    <m/>
    <m/>
    <m/>
    <m/>
    <n v="332.64"/>
    <n v="881.4"/>
    <n v="3659.08"/>
    <n v="10032.32"/>
    <m/>
    <m/>
    <n v="10.87782864617397"/>
  </r>
  <r>
    <x v="4"/>
    <x v="0"/>
    <s v="COLCHÃO M.E."/>
    <s v="DIRETO"/>
    <x v="4"/>
    <s v="NADA"/>
    <s v="BOLIVIA"/>
    <n v="39423"/>
    <s v="LOT 1 - 260G"/>
    <s v="100% POLIESTER- RANDOM - 260G"/>
    <s v="WENTURS TRADE"/>
    <s v="EX"/>
    <s v="Colchão M.E."/>
    <n v="87"/>
    <s v="DIRETO"/>
    <n v="44494"/>
    <m/>
    <n v="17.809999999999999"/>
    <n v="23774.93"/>
    <s v="KG"/>
    <n v="260"/>
    <n v="46"/>
    <n v="2185"/>
    <n v="1334.92"/>
    <n v="-29.01"/>
    <n v="16013.17"/>
    <m/>
    <m/>
    <m/>
    <m/>
    <n v="475.5"/>
    <n v="2055.7800000000002"/>
    <n v="5230.4799999999996"/>
    <n v="23946.86"/>
    <m/>
    <m/>
    <n v="10.880974828375287"/>
  </r>
  <r>
    <x v="4"/>
    <x v="0"/>
    <s v="COLCHÃO M.E."/>
    <s v="DIRETO"/>
    <x v="4"/>
    <s v="NADA"/>
    <s v="BOLIVIA"/>
    <n v="39423"/>
    <n v="2650001"/>
    <s v="100% POLIESTER- TAMPO PERLA XC36 (A06782)-[Pe"/>
    <s v="WENTURS TRADE"/>
    <s v="EX"/>
    <s v="Colchão M.E."/>
    <n v="87"/>
    <s v="DIRETO"/>
    <n v="44494"/>
    <m/>
    <n v="23.81"/>
    <n v="7511.58"/>
    <s v="KG"/>
    <n v="260"/>
    <n v="9"/>
    <n v="477"/>
    <n v="315.48"/>
    <n v="9.5299999999999994"/>
    <n v="5222.96"/>
    <m/>
    <m/>
    <m/>
    <m/>
    <n v="150.22999999999999"/>
    <n v="485.84"/>
    <n v="1652.55"/>
    <n v="5400.19"/>
    <m/>
    <m/>
    <n v="15.747547169811321"/>
  </r>
  <r>
    <x v="4"/>
    <x v="0"/>
    <s v="COLCHÃO M.E."/>
    <s v="DIRETO"/>
    <x v="4"/>
    <s v="NADA"/>
    <s v="BOLIVIA"/>
    <n v="39423"/>
    <n v="2650003"/>
    <s v="100% POLIESTER- TAMPO PERLA XC35 (A06779)-[Pe"/>
    <s v="WENTURS TRADE"/>
    <s v="EX"/>
    <s v="Colchão M.E."/>
    <n v="87"/>
    <s v="DIRETO"/>
    <n v="44494"/>
    <m/>
    <n v="25.3"/>
    <n v="9316.98"/>
    <s v="KG"/>
    <n v="320"/>
    <n v="10"/>
    <n v="493"/>
    <n v="368.26"/>
    <n v="12.38"/>
    <n v="6513.78"/>
    <m/>
    <m/>
    <m/>
    <m/>
    <n v="186.34"/>
    <n v="567.12"/>
    <n v="2049.7399999999998"/>
    <n v="6260.74"/>
    <m/>
    <m/>
    <n v="18.898539553752535"/>
  </r>
  <r>
    <x v="4"/>
    <x v="0"/>
    <s v="COLCHÃO M.E."/>
    <s v="DIRETO"/>
    <x v="4"/>
    <s v="NADA"/>
    <s v="BOLIVIA"/>
    <n v="39423"/>
    <n v="2650004"/>
    <s v="92% POLIESTER 6% VISCOSE 2% ELASTANO- TAMPO D"/>
    <s v="WENTURS TRADE"/>
    <s v="EX"/>
    <s v="Colchão M.E."/>
    <n v="87"/>
    <s v="DIRETO"/>
    <n v="44494"/>
    <m/>
    <n v="25.47"/>
    <n v="9274.14"/>
    <s v="KG"/>
    <n v="500"/>
    <n v="13"/>
    <n v="320"/>
    <n v="364.12"/>
    <n v="13.15"/>
    <n v="6487.6"/>
    <m/>
    <m/>
    <m/>
    <m/>
    <n v="185.48"/>
    <n v="560.74"/>
    <n v="2040.31"/>
    <n v="6330.08"/>
    <m/>
    <m/>
    <n v="28.9816875"/>
  </r>
  <r>
    <x v="4"/>
    <x v="0"/>
    <s v="COLCHÃO M.E."/>
    <s v="DIRETO"/>
    <x v="4"/>
    <s v="NADA"/>
    <s v="BOLIVIA"/>
    <n v="39423"/>
    <n v="2650005"/>
    <s v="87% POLIESTER 12% VISCOSE 1% ELASTANO- TAMPO"/>
    <s v="WENTURS TRADE"/>
    <s v="EX"/>
    <s v="Colchão M.E."/>
    <n v="87"/>
    <s v="DIRETO"/>
    <n v="44494"/>
    <m/>
    <n v="27.83"/>
    <n v="10023.81"/>
    <s v="KG"/>
    <n v="350"/>
    <n v="13"/>
    <n v="442"/>
    <n v="360.18"/>
    <n v="8.2100000000000009"/>
    <n v="7063.42"/>
    <m/>
    <m/>
    <m/>
    <m/>
    <n v="200.48"/>
    <n v="554.67999999999995"/>
    <n v="2205.2399999999998"/>
    <n v="6810.16"/>
    <m/>
    <m/>
    <n v="22.678303167420815"/>
  </r>
  <r>
    <x v="4"/>
    <x v="0"/>
    <s v="COLCHÃO M.E."/>
    <s v="DIRETO"/>
    <x v="4"/>
    <s v="NADA"/>
    <s v="BOLIVIA"/>
    <n v="39423"/>
    <n v="2650006"/>
    <s v="98% POLIESTER 2% ELASTANO- TAMPO CAQUI XC55 ("/>
    <s v="WENTURS TRADE"/>
    <s v="EX"/>
    <s v="Colchão M.E."/>
    <n v="87"/>
    <s v="DIRETO"/>
    <n v="44494"/>
    <m/>
    <n v="22.69"/>
    <n v="11266.72"/>
    <s v="KG"/>
    <n v="640"/>
    <n v="13"/>
    <n v="353"/>
    <n v="496.55"/>
    <n v="6.97"/>
    <n v="7798.02"/>
    <m/>
    <m/>
    <m/>
    <m/>
    <n v="225.33"/>
    <n v="764.69"/>
    <n v="2478.6799999999998"/>
    <n v="8927"/>
    <m/>
    <m/>
    <n v="31.917053824362604"/>
  </r>
  <r>
    <x v="4"/>
    <x v="0"/>
    <s v="COLCHÃO M.E."/>
    <s v="DIRETO"/>
    <x v="4"/>
    <s v="NADA"/>
    <s v="BOLIVIA"/>
    <n v="39423"/>
    <n v="2650007"/>
    <s v="99% POLIESTER 1% ELASTANO- TAMPO XC72 AREIA ("/>
    <s v="WENTURS TRADE"/>
    <s v="EX"/>
    <s v="Colchão M.E."/>
    <n v="87"/>
    <s v="DIRETO"/>
    <n v="44494"/>
    <m/>
    <n v="22.68"/>
    <n v="13314.52"/>
    <s v="KG"/>
    <n v="620"/>
    <n v="13"/>
    <n v="417"/>
    <n v="587.05999999999995"/>
    <n v="8.0299999999999994"/>
    <n v="9214.9599999999991"/>
    <m/>
    <m/>
    <m/>
    <m/>
    <n v="266.29000000000002"/>
    <n v="904.07"/>
    <n v="2929.19"/>
    <n v="10382.469999999999"/>
    <m/>
    <m/>
    <n v="31.929304556354918"/>
  </r>
  <r>
    <x v="4"/>
    <x v="0"/>
    <s v="COLCHÃO M.E."/>
    <s v="DIRETO"/>
    <x v="4"/>
    <s v="NADA"/>
    <s v="BOLIVIA"/>
    <n v="39423"/>
    <n v="2650008"/>
    <s v="100% POLIESTER- FAIXA LOSANGULO PRETO (A07581"/>
    <s v="WENTURS TRADE"/>
    <s v="EX"/>
    <s v="Colchão M.E."/>
    <n v="87"/>
    <s v="DIRETO"/>
    <n v="44494"/>
    <m/>
    <n v="22.57"/>
    <n v="3489.32"/>
    <s v="KG"/>
    <n v="160"/>
    <n v="8"/>
    <n v="410"/>
    <n v="154.6"/>
    <n v="4.0999999999999996"/>
    <n v="2274.23"/>
    <m/>
    <m/>
    <m/>
    <n v="139.57"/>
    <n v="69.790000000000006"/>
    <n v="238.08"/>
    <n v="767.65"/>
    <n v="2471.96"/>
    <m/>
    <m/>
    <n v="8.5105365853658537"/>
  </r>
  <r>
    <x v="4"/>
    <x v="0"/>
    <s v="COLCHÃO M.E."/>
    <s v="DIRETO"/>
    <x v="4"/>
    <s v="NADA"/>
    <s v="BOLIVIA"/>
    <n v="39423"/>
    <n v="2650009"/>
    <s v="100% POLIESTER- FAIXA QUADRADINHOS (A07542)-["/>
    <s v="WENTURS TRADE"/>
    <s v="EX"/>
    <s v="Colchão M.E."/>
    <n v="87"/>
    <s v="DIRETO"/>
    <n v="44494"/>
    <m/>
    <n v="21.13"/>
    <n v="3786.92"/>
    <s v="KG"/>
    <n v="160"/>
    <n v="9"/>
    <n v="445"/>
    <n v="179.22"/>
    <n v="0.94"/>
    <n v="2602.06"/>
    <m/>
    <m/>
    <m/>
    <m/>
    <n v="75.739999999999995"/>
    <n v="276"/>
    <n v="833.12"/>
    <n v="3197.42"/>
    <m/>
    <m/>
    <n v="8.5099325842696629"/>
  </r>
  <r>
    <x v="4"/>
    <x v="0"/>
    <s v="COLCHÃO M.E."/>
    <s v="DIRETO"/>
    <x v="4"/>
    <s v="NADA"/>
    <s v="BOLIVIA"/>
    <n v="39423"/>
    <n v="2650010"/>
    <s v="100% POLIESTER- TAMPO AREIA XC35 (A08094)-[Pe"/>
    <s v="WENTURS TRADE"/>
    <s v="EX"/>
    <s v="Colchão M.E."/>
    <n v="87"/>
    <s v="DIRETO"/>
    <n v="44494"/>
    <m/>
    <n v="29.37"/>
    <n v="9243.91"/>
    <s v="KG"/>
    <n v="300"/>
    <n v="11"/>
    <n v="489"/>
    <n v="314.74"/>
    <n v="11.58"/>
    <n v="6540.67"/>
    <m/>
    <m/>
    <m/>
    <m/>
    <n v="184.88"/>
    <n v="484.7"/>
    <n v="2033.66"/>
    <n v="5434.62"/>
    <m/>
    <m/>
    <n v="18.903701431492841"/>
  </r>
  <r>
    <x v="4"/>
    <x v="0"/>
    <s v="COLCHÃO M.E."/>
    <s v="DIRETO"/>
    <x v="4"/>
    <s v="NADA"/>
    <s v="BOLIVIA"/>
    <n v="39423"/>
    <n v="2650011"/>
    <s v="98% POLIESTER 2% ELASTANO- TAMPO CINZA ESCURO"/>
    <s v="WENTURS TRADE"/>
    <s v="EX"/>
    <s v="Colchão M.E."/>
    <n v="87"/>
    <s v="DIRETO"/>
    <n v="44494"/>
    <m/>
    <n v="27.14"/>
    <n v="12348.7"/>
    <s v="KG"/>
    <n v="580"/>
    <n v="14"/>
    <n v="392"/>
    <n v="455"/>
    <n v="-7.75"/>
    <n v="8684.31"/>
    <m/>
    <m/>
    <m/>
    <m/>
    <n v="246.97"/>
    <n v="700.7"/>
    <n v="2716.71"/>
    <n v="8493.65"/>
    <m/>
    <m/>
    <n v="31.501785714285717"/>
  </r>
  <r>
    <x v="4"/>
    <x v="0"/>
    <s v="COLCHÃO M.E."/>
    <s v="DIRETO"/>
    <x v="4"/>
    <s v="NADA"/>
    <s v="BOLIVIA"/>
    <n v="39423"/>
    <s v="265.0002-A"/>
    <s v="100% POLIESTER- TAMPO BRILHANTE XC34 (A06766)"/>
    <s v="WENTURS TRADE"/>
    <s v="EX"/>
    <s v="Colchão M.E."/>
    <n v="87"/>
    <s v="DIRETO"/>
    <n v="44494"/>
    <m/>
    <n v="26.26"/>
    <n v="7880.63"/>
    <s v="KG"/>
    <n v="280"/>
    <n v="9"/>
    <n v="469"/>
    <n v="300.10000000000002"/>
    <n v="5.44"/>
    <n v="5211.8999999999996"/>
    <m/>
    <m/>
    <m/>
    <n v="315.23"/>
    <n v="157.61000000000001"/>
    <n v="462.15"/>
    <n v="1733.74"/>
    <n v="5090.9799999999996"/>
    <m/>
    <m/>
    <n v="16.803049040511727"/>
  </r>
  <r>
    <x v="4"/>
    <x v="0"/>
    <s v="COLCHÃO M.E."/>
    <s v="DIRETO"/>
    <x v="4"/>
    <s v="NADA"/>
    <s v="BOLIVIA"/>
    <n v="39423"/>
    <s v="LOT 2"/>
    <s v="KNITTING - RANDOM"/>
    <s v="WENTURS TRADE"/>
    <s v="EX"/>
    <s v="Colchão M.E."/>
    <n v="87"/>
    <s v="DIRETO"/>
    <n v="44494"/>
    <m/>
    <n v="13.6"/>
    <n v="35781.33"/>
    <s v="KG"/>
    <n v="160"/>
    <n v="150"/>
    <n v="2630.98"/>
    <n v="2630.98"/>
    <n v="-95.91"/>
    <n v="23142.1"/>
    <m/>
    <m/>
    <m/>
    <m/>
    <n v="715.63"/>
    <n v="4051.71"/>
    <n v="7871.89"/>
    <n v="46117.39"/>
    <m/>
    <m/>
    <n v="13.600000760173016"/>
  </r>
  <r>
    <x v="4"/>
    <x v="0"/>
    <s v="COLCHÃO M.E."/>
    <s v="DIRETO"/>
    <x v="4"/>
    <s v="NADA"/>
    <s v="BOLIVIA"/>
    <n v="39423"/>
    <s v="LOT 1 - 300G"/>
    <s v="3889- 100% POLIESTER- RANDOM - 300G"/>
    <s v="WENTURS TRADE"/>
    <s v="EX"/>
    <s v="Colchão M.E."/>
    <n v="87"/>
    <s v="DIRETO"/>
    <n v="44494"/>
    <m/>
    <n v="15.32"/>
    <n v="16277.5"/>
    <s v="KG"/>
    <n v="300"/>
    <n v="48"/>
    <n v="1496"/>
    <n v="1062.5"/>
    <n v="-47.64"/>
    <n v="10734.65"/>
    <m/>
    <m/>
    <m/>
    <m/>
    <n v="325.55"/>
    <n v="1636.25"/>
    <n v="3581.05"/>
    <n v="19994.099999999999"/>
    <m/>
    <m/>
    <n v="10.880681818181818"/>
  </r>
  <r>
    <x v="5"/>
    <x v="0"/>
    <s v="COLCHÃO M.E."/>
    <s v="DIRETO"/>
    <x v="5"/>
    <s v="NADA"/>
    <s v="PARAGUAI"/>
    <n v="39673"/>
    <n v="2670001"/>
    <s v="100% POLIESTER- TAMPO LIGHT BLACK (A08109)-[P"/>
    <s v="INMAPOL SACIF"/>
    <s v="EX"/>
    <s v="Colchão M.E."/>
    <n v="1"/>
    <s v="DIRETO"/>
    <n v="44511"/>
    <m/>
    <n v="29.72"/>
    <n v="12068.1"/>
    <s v="KG"/>
    <n v="200"/>
    <n v="18"/>
    <n v="906"/>
    <n v="406.06"/>
    <n v="19.329999999999998"/>
    <n v="8546.42"/>
    <m/>
    <m/>
    <m/>
    <m/>
    <n v="241.36"/>
    <n v="625.33000000000004"/>
    <n v="2654.98"/>
    <n v="6475.8"/>
    <m/>
    <m/>
    <n v="13.320198675496689"/>
  </r>
  <r>
    <x v="5"/>
    <x v="0"/>
    <s v="COLCHÃO M.E."/>
    <s v="DIRETO"/>
    <x v="5"/>
    <s v="NADA"/>
    <s v="PARAGUAI"/>
    <n v="39673"/>
    <n v="2670002"/>
    <s v="100% POLIESTER- TAMPO BRASAO BEGE BRI (A08213"/>
    <s v="INMAPOL SACIF"/>
    <s v="EX"/>
    <s v="Colchão M.E."/>
    <n v="1"/>
    <s v="DIRETO"/>
    <n v="44511"/>
    <m/>
    <n v="29.82"/>
    <n v="8116.41"/>
    <s v="KG"/>
    <n v="200"/>
    <n v="11"/>
    <n v="595"/>
    <n v="272.18"/>
    <n v="21.47"/>
    <n v="5749.31"/>
    <m/>
    <m/>
    <m/>
    <m/>
    <n v="162.33000000000001"/>
    <n v="419.16"/>
    <n v="1785.61"/>
    <n v="4270.57"/>
    <m/>
    <m/>
    <n v="13.641025210084033"/>
  </r>
  <r>
    <x v="6"/>
    <x v="0"/>
    <s v="COLCHÃO M.E."/>
    <s v="DIRETO"/>
    <x v="6"/>
    <s v="NADA"/>
    <s v="PARAGUAI"/>
    <n v="39969"/>
    <n v="2730001"/>
    <s v="100% POLIESTER- TAMPO ONDAS CINZAS (A08243)-["/>
    <s v="COLCHONES PRINCE"/>
    <s v="EX"/>
    <s v="Colchão M.E."/>
    <n v="93"/>
    <s v="DIRETO"/>
    <n v="44533"/>
    <m/>
    <n v="27.45"/>
    <n v="4030.21"/>
    <s v="KG"/>
    <n v="180"/>
    <n v="8"/>
    <n v="349"/>
    <n v="146.82"/>
    <n v="10.029999999999999"/>
    <n v="2836.86"/>
    <m/>
    <m/>
    <m/>
    <m/>
    <n v="80.599999999999994"/>
    <n v="226.1"/>
    <n v="886.65"/>
    <n v="2791.32"/>
    <m/>
    <m/>
    <n v="11.547879656160459"/>
  </r>
  <r>
    <x v="6"/>
    <x v="0"/>
    <s v="COLCHÃO M.E."/>
    <s v="DIRETO"/>
    <x v="6"/>
    <s v="NADA"/>
    <s v="PARAGUAI"/>
    <n v="39969"/>
    <n v="2730002"/>
    <s v="100% POLIESTER- TAMPO ONDAS BRILHANTES (A0824"/>
    <s v="COLCHONES PRINCE"/>
    <s v="EX"/>
    <s v="Colchão M.E."/>
    <n v="93"/>
    <s v="DIRETO"/>
    <n v="44533"/>
    <m/>
    <n v="28.68"/>
    <n v="4284.79"/>
    <s v="KG"/>
    <n v="180"/>
    <n v="8"/>
    <n v="371"/>
    <n v="149.4"/>
    <n v="18.43"/>
    <n v="3026.36"/>
    <m/>
    <m/>
    <m/>
    <m/>
    <n v="85.7"/>
    <n v="230.08"/>
    <n v="942.65"/>
    <n v="2448.79"/>
    <m/>
    <m/>
    <n v="11.549299191374663"/>
  </r>
  <r>
    <x v="6"/>
    <x v="0"/>
    <s v="COLCHÃO M.E."/>
    <s v="DIRETO"/>
    <x v="6"/>
    <s v="NADA"/>
    <s v="PARAGUAI"/>
    <n v="39969"/>
    <n v="2730003"/>
    <s v="100% POLIESTER- TAMPO PENA AZUL (A08241)-[Ped"/>
    <s v="COLCHONES PRINCE"/>
    <s v="EX"/>
    <s v="Colchão M.E."/>
    <n v="93"/>
    <s v="DIRETO"/>
    <n v="44533"/>
    <m/>
    <n v="28.36"/>
    <n v="4736.12"/>
    <s v="KG"/>
    <n v="180"/>
    <n v="8"/>
    <n v="410"/>
    <n v="167"/>
    <n v="16.95"/>
    <n v="3342.27"/>
    <m/>
    <m/>
    <m/>
    <m/>
    <n v="94.72"/>
    <n v="257.18"/>
    <n v="1041.95"/>
    <n v="2814.37"/>
    <m/>
    <m/>
    <n v="11.551512195121951"/>
  </r>
  <r>
    <x v="6"/>
    <x v="0"/>
    <s v="COLCHÃO M.E."/>
    <s v="DIRETO"/>
    <x v="6"/>
    <s v="NADA"/>
    <s v="PARAGUAI"/>
    <n v="39969"/>
    <n v="2730004"/>
    <s v="100% POLIESTER- TAMPO GEOMETRICO AZUL (A08276"/>
    <s v="COLCHONES PRINCE"/>
    <s v="EX"/>
    <s v="Colchão M.E."/>
    <n v="93"/>
    <s v="DIRETO"/>
    <n v="44533"/>
    <m/>
    <n v="27.02"/>
    <n v="4042.73"/>
    <s v="KG"/>
    <n v="180"/>
    <n v="7"/>
    <n v="350"/>
    <n v="149.62"/>
    <n v="16.95"/>
    <n v="2842.06"/>
    <m/>
    <m/>
    <m/>
    <m/>
    <n v="80.849999999999994"/>
    <n v="230.41"/>
    <n v="889.4"/>
    <n v="2521.4699999999998"/>
    <m/>
    <m/>
    <n v="11.550657142857142"/>
  </r>
  <r>
    <x v="7"/>
    <x v="1"/>
    <s v="COLCHÃO M.E."/>
    <s v="DIRETO"/>
    <x v="7"/>
    <s v="NADA"/>
    <s v="PARAGUAI"/>
    <n v="40380"/>
    <n v="2780001"/>
    <s v="90% POLIESTER 10% VISCOSE- TAPA GRIS - POLIES"/>
    <s v="COLCHONERO GONZALEZ"/>
    <s v="EX"/>
    <s v="Colchão M.E."/>
    <n v="93"/>
    <s v="DIRETO"/>
    <n v="44586"/>
    <m/>
    <n v="30.92"/>
    <n v="27378.42"/>
    <s v="KG"/>
    <n v="180"/>
    <n v="41"/>
    <n v="2190"/>
    <n v="885.46"/>
    <n v="17.809999999999999"/>
    <n v="19443.990000000002"/>
    <m/>
    <m/>
    <m/>
    <m/>
    <n v="547.57000000000005"/>
    <n v="1363.61"/>
    <n v="6023.25"/>
    <n v="16222.28"/>
    <m/>
    <m/>
    <n v="12.501561643835617"/>
  </r>
  <r>
    <x v="7"/>
    <x v="1"/>
    <s v="COLCHÃO M.E."/>
    <s v="DIRETO"/>
    <x v="7"/>
    <s v="NADA"/>
    <s v="PARAGUAI"/>
    <n v="40380"/>
    <n v="2780002"/>
    <s v="90% POLIESTER 10% VISCOSE- BANDA GRIS - POLIE"/>
    <s v="COLCHONERO GONZALEZ"/>
    <s v="EX"/>
    <s v="Colchão M.E."/>
    <n v="93"/>
    <s v="DIRETO"/>
    <n v="44586"/>
    <m/>
    <n v="30.24"/>
    <n v="28560.47"/>
    <s v="KG"/>
    <n v="180"/>
    <n v="41"/>
    <n v="2285"/>
    <n v="944.46"/>
    <n v="17.75"/>
    <n v="20251.490000000002"/>
    <m/>
    <m/>
    <m/>
    <m/>
    <n v="571.21"/>
    <n v="1454.47"/>
    <n v="6283.3"/>
    <n v="17301.71"/>
    <m/>
    <m/>
    <n v="12.49911159737418"/>
  </r>
  <r>
    <x v="7"/>
    <x v="1"/>
    <s v="COLCHÃO M.E."/>
    <s v="DIRETO"/>
    <x v="7"/>
    <s v="NADA"/>
    <s v="PARAGUAI"/>
    <n v="40380"/>
    <n v="2780001"/>
    <s v="90% POLIESTER 10% VISCOSE- TAPA GRIS - POLIES"/>
    <s v="COLCHONERO GONZALEZ"/>
    <s v="EX"/>
    <s v="Colchão M.E."/>
    <n v="93"/>
    <s v="DIRETO"/>
    <n v="44586"/>
    <m/>
    <n v="30.92"/>
    <n v="-27378.42"/>
    <s v="KG"/>
    <n v="180"/>
    <n v="41"/>
    <n v="-2190"/>
    <n v="-885.46"/>
    <n v="17.809999999999999"/>
    <n v="-19443.990000000002"/>
    <m/>
    <m/>
    <m/>
    <m/>
    <n v="547.57000000000005"/>
    <n v="1363.61"/>
    <n v="6023.25"/>
    <n v="-16222.28"/>
    <m/>
    <m/>
    <n v="12.501561643835617"/>
  </r>
  <r>
    <x v="7"/>
    <x v="1"/>
    <s v="COLCHÃO M.E."/>
    <s v="DIRETO"/>
    <x v="7"/>
    <s v="NADA"/>
    <s v="PARAGUAI"/>
    <n v="40380"/>
    <n v="2780002"/>
    <s v="90% POLIESTER 10% VISCOSE- BANDA GRIS - POLIE"/>
    <s v="COLCHONERO GONZALEZ"/>
    <s v="EX"/>
    <s v="Colchão M.E."/>
    <n v="93"/>
    <s v="DIRETO"/>
    <n v="44586"/>
    <m/>
    <n v="30.24"/>
    <n v="-28560.47"/>
    <s v="KG"/>
    <n v="180"/>
    <n v="41"/>
    <n v="-2285"/>
    <n v="-944.46"/>
    <n v="17.75"/>
    <n v="-20251.490000000002"/>
    <m/>
    <m/>
    <m/>
    <m/>
    <n v="571.21"/>
    <n v="1454.47"/>
    <n v="6283.3"/>
    <n v="-17301.71"/>
    <m/>
    <m/>
    <n v="12.49911159737418"/>
  </r>
  <r>
    <x v="7"/>
    <x v="1"/>
    <s v="COLCHÃO M.E."/>
    <s v="DIRETO"/>
    <x v="8"/>
    <s v="NADA"/>
    <s v="AMERICA CENTRAL E CARIBE"/>
    <n v="40452"/>
    <s v="A06765"/>
    <s v="100% POLIESTER- TAMPO PERLA NOVA XC27 (A06765"/>
    <s v="ADVANCED FOAM"/>
    <s v="EX"/>
    <s v="Colchão M.E."/>
    <n v="87"/>
    <s v="DIRETO"/>
    <n v="44592"/>
    <m/>
    <n v="32.22"/>
    <n v="616.04999999999995"/>
    <s v="KG"/>
    <n v="190"/>
    <n v="1"/>
    <n v="40"/>
    <n v="19.12"/>
    <n v="25.94"/>
    <n v="438.75"/>
    <m/>
    <m/>
    <m/>
    <m/>
    <n v="12.32"/>
    <n v="29.44"/>
    <n v="135.53"/>
    <n v="325.32"/>
    <m/>
    <m/>
    <n v="15.401249999999999"/>
  </r>
  <r>
    <x v="7"/>
    <x v="1"/>
    <s v="COLCHÃO M.E."/>
    <s v="DIRETO"/>
    <x v="8"/>
    <s v="NADA"/>
    <s v="AMERICA CENTRAL E CARIBE"/>
    <n v="40452"/>
    <s v="A06744"/>
    <s v="100% POLIESTER- TAMPO PRETO XC23 (A06744) - 2"/>
    <s v="ADVANCED FOAM"/>
    <s v="EX"/>
    <s v="Colchão M.E."/>
    <n v="87"/>
    <s v="DIRETO"/>
    <n v="44592"/>
    <m/>
    <n v="29"/>
    <n v="826.5"/>
    <s v="KG"/>
    <n v="200"/>
    <n v="1"/>
    <n v="57"/>
    <n v="28.5"/>
    <n v="22.88"/>
    <n v="584.25"/>
    <m/>
    <m/>
    <m/>
    <m/>
    <n v="16.53"/>
    <n v="43.89"/>
    <n v="181.83"/>
    <n v="446.58"/>
    <m/>
    <m/>
    <n v="14.5"/>
  </r>
  <r>
    <x v="7"/>
    <x v="1"/>
    <s v="COLCHÃO M.E."/>
    <s v="DIRETO"/>
    <x v="8"/>
    <s v="NADA"/>
    <s v="AMERICA CENTRAL E CARIBE"/>
    <n v="40452"/>
    <s v="A06990"/>
    <s v="99% POLIESTER 1% ELASTANO- TAMPO DARK BLUE (A"/>
    <s v="ADVANCED FOAM"/>
    <s v="EX"/>
    <s v="Colchão M.E."/>
    <n v="87"/>
    <s v="DIRETO"/>
    <n v="44592"/>
    <m/>
    <n v="32.770000000000003"/>
    <n v="980.48"/>
    <s v="KG"/>
    <n v="350"/>
    <n v="1"/>
    <n v="37"/>
    <n v="29.92"/>
    <n v="21.61"/>
    <n v="699.09"/>
    <m/>
    <m/>
    <m/>
    <m/>
    <n v="19.61"/>
    <n v="46.08"/>
    <n v="215.71"/>
    <n v="516.20000000000005"/>
    <m/>
    <m/>
    <n v="26.499459459459459"/>
  </r>
  <r>
    <x v="7"/>
    <x v="1"/>
    <s v="COLCHÃO M.E."/>
    <s v="DIRETO"/>
    <x v="8"/>
    <s v="NADA"/>
    <s v="AMERICA CENTRAL E CARIBE"/>
    <n v="40452"/>
    <s v="A06982"/>
    <s v="99% POLIESTER 1% ELASTANO- TAMPO FORMAS DOURA"/>
    <s v="ADVANCED FOAM"/>
    <s v="EX"/>
    <s v="Colchão M.E."/>
    <n v="87"/>
    <s v="DIRETO"/>
    <n v="44592"/>
    <m/>
    <n v="40.6"/>
    <n v="1300.01"/>
    <s v="KG"/>
    <n v="420"/>
    <n v="1"/>
    <n v="40"/>
    <n v="32.020000000000003"/>
    <n v="24.62"/>
    <n v="938.7"/>
    <m/>
    <m/>
    <m/>
    <m/>
    <n v="26"/>
    <n v="49.31"/>
    <n v="286"/>
    <n v="540.91999999999996"/>
    <m/>
    <m/>
    <n v="32.500250000000001"/>
  </r>
  <r>
    <x v="7"/>
    <x v="1"/>
    <s v="COLCHÃO M.E."/>
    <s v="DIRETO"/>
    <x v="8"/>
    <s v="NADA"/>
    <s v="AMERICA CENTRAL E CARIBE"/>
    <n v="40452"/>
    <s v="A07931"/>
    <s v="99% POLIESTER 1% ELASTANO- TAMPO TIJOLINHOS D"/>
    <s v="ADVANCED FOAM"/>
    <s v="EX"/>
    <s v="Colchão M.E."/>
    <n v="87"/>
    <s v="DIRETO"/>
    <n v="44592"/>
    <m/>
    <n v="41.98"/>
    <n v="1340"/>
    <s v="KG"/>
    <n v="410"/>
    <n v="1"/>
    <n v="40"/>
    <n v="31.92"/>
    <n v="24.22"/>
    <n v="969.24"/>
    <m/>
    <m/>
    <m/>
    <m/>
    <n v="26.8"/>
    <n v="49.16"/>
    <n v="294.8"/>
    <n v="561.41"/>
    <m/>
    <m/>
    <n v="33.5"/>
  </r>
  <r>
    <x v="7"/>
    <x v="1"/>
    <s v="COLCHÃO M.E."/>
    <s v="DIRETO"/>
    <x v="8"/>
    <s v="NADA"/>
    <s v="AMERICA CENTRAL E CARIBE"/>
    <n v="40452"/>
    <s v="A08504"/>
    <s v="100% POLIESTER- TAMPO FORMAS CINZAS (A08504)-"/>
    <s v="ADVANCED FOAM"/>
    <s v="EX"/>
    <s v="Colchão M.E."/>
    <n v="87"/>
    <s v="DIRETO"/>
    <n v="44592"/>
    <m/>
    <n v="58.9"/>
    <n v="1552.6"/>
    <s v="KG"/>
    <n v="280"/>
    <n v="1"/>
    <n v="45"/>
    <n v="26.36"/>
    <n v="39.04"/>
    <n v="1139.3800000000001"/>
    <m/>
    <m/>
    <m/>
    <m/>
    <n v="31.05"/>
    <n v="40.590000000000003"/>
    <n v="341.57"/>
    <n v="482.23"/>
    <m/>
    <m/>
    <n v="34.502222222222223"/>
  </r>
  <r>
    <x v="8"/>
    <x v="1"/>
    <s v="COLCHÃO M.E."/>
    <s v="DIRETO"/>
    <x v="8"/>
    <s v="NADA"/>
    <s v="AMERICA CENTRAL E CARIBE"/>
    <n v="40530"/>
    <s v="A07725"/>
    <s v="100% POLIESTER- TAMPO ONDAS MARINHO (A07725)"/>
    <s v="ADVANCED FOAM"/>
    <s v="EX"/>
    <s v="Colchão M.E."/>
    <n v="87"/>
    <s v="DIRETO"/>
    <n v="44596"/>
    <m/>
    <n v="13.03"/>
    <n v="334.09"/>
    <s v="KG"/>
    <n v="208"/>
    <n v="1"/>
    <n v="54"/>
    <n v="25.64"/>
    <n v="22.99"/>
    <n v="242.65"/>
    <m/>
    <n v="457.07"/>
    <m/>
    <m/>
    <n v="6.68"/>
    <n v="39.49"/>
    <n v="73.5"/>
    <n v="397.3"/>
    <m/>
    <m/>
    <n v="6.1868518518518512"/>
  </r>
  <r>
    <x v="8"/>
    <x v="1"/>
    <s v="COLCHÃO M.E."/>
    <s v="DIRETO"/>
    <x v="8"/>
    <s v="NADA"/>
    <s v="AMERICA CENTRAL E CARIBE"/>
    <n v="40530"/>
    <s v="A06765"/>
    <s v="100% POLIESTER- TAMPO PERLA NOVA XC27 (A06765"/>
    <s v="ADVANCED FOAM"/>
    <s v="EX"/>
    <s v="Colchão M.E."/>
    <n v="87"/>
    <s v="DIRETO"/>
    <n v="44596"/>
    <m/>
    <n v="15.53"/>
    <n v="296.93"/>
    <s v="KG"/>
    <n v="190"/>
    <n v="1"/>
    <n v="40"/>
    <n v="19.12"/>
    <n v="25.94"/>
    <n v="210.01"/>
    <m/>
    <n v="406.23"/>
    <m/>
    <m/>
    <n v="5.94"/>
    <n v="29.44"/>
    <n v="65.319999999999993"/>
    <n v="317.79000000000002"/>
    <m/>
    <m/>
    <n v="7.4232500000000003"/>
  </r>
  <r>
    <x v="8"/>
    <x v="1"/>
    <s v="COLCHÃO M.E."/>
    <s v="DIRETO"/>
    <x v="8"/>
    <s v="NADA"/>
    <s v="AMERICA CENTRAL E CARIBE"/>
    <n v="40530"/>
    <s v="A06756"/>
    <s v="100% POLIESTER- TAMPO PERLA NOVA XC26 (A06756"/>
    <s v="ADVANCED FOAM"/>
    <s v="EX"/>
    <s v="Colchão M.E."/>
    <n v="87"/>
    <s v="DIRETO"/>
    <n v="44596"/>
    <m/>
    <n v="11.88"/>
    <n v="297"/>
    <s v="KG"/>
    <n v="203"/>
    <n v="1"/>
    <n v="46"/>
    <n v="25"/>
    <n v="19.079999999999998"/>
    <n v="219.11"/>
    <m/>
    <n v="406.33"/>
    <m/>
    <m/>
    <n v="5.94"/>
    <n v="38.5"/>
    <n v="65.34"/>
    <n v="409.87"/>
    <m/>
    <m/>
    <n v="6.4565217391304346"/>
  </r>
  <r>
    <x v="8"/>
    <x v="1"/>
    <s v="COLCHÃO M.E."/>
    <s v="DIRETO"/>
    <x v="8"/>
    <s v="NADA"/>
    <s v="AMERICA CENTRAL E CARIBE"/>
    <n v="40530"/>
    <s v="A07492"/>
    <s v="98% POLIESTER 2% ELASTANO- FAIXA QUADRADOS AR"/>
    <s v="ADVANCED FOAM"/>
    <s v="EX"/>
    <s v="Colchão M.E."/>
    <n v="87"/>
    <s v="DIRETO"/>
    <n v="44596"/>
    <m/>
    <n v="23.53"/>
    <n v="746.51"/>
    <s v="KG"/>
    <n v="339"/>
    <n v="1"/>
    <n v="43"/>
    <n v="31.72"/>
    <n v="38.03"/>
    <n v="502.82"/>
    <m/>
    <n v="1021.32"/>
    <m/>
    <m/>
    <n v="14.93"/>
    <n v="48.85"/>
    <n v="164.23"/>
    <n v="487.87"/>
    <m/>
    <m/>
    <n v="17.360697674418603"/>
  </r>
  <r>
    <x v="8"/>
    <x v="1"/>
    <s v="COLCHÃO M.E."/>
    <s v="DIRETO"/>
    <x v="8"/>
    <s v="NADA"/>
    <s v="AMERICA CENTRAL E CARIBE"/>
    <n v="40530"/>
    <s v="A06744"/>
    <s v="100% POLIESTER- TAMPO PRETO XC23 (A06744"/>
    <s v="ADVANCED FOAM"/>
    <s v="EX"/>
    <s v="Colchão M.E."/>
    <n v="87"/>
    <s v="DIRETO"/>
    <n v="44596"/>
    <m/>
    <n v="9.82"/>
    <n v="279.94"/>
    <s v="KG"/>
    <n v="204"/>
    <n v="1"/>
    <n v="57"/>
    <n v="28.5"/>
    <n v="18.829999999999998"/>
    <n v="214.13"/>
    <m/>
    <n v="382.99"/>
    <m/>
    <m/>
    <n v="5.6"/>
    <n v="43.89"/>
    <n v="61.59"/>
    <n v="408.35"/>
    <m/>
    <m/>
    <n v="4.9112280701754383"/>
  </r>
  <r>
    <x v="8"/>
    <x v="1"/>
    <s v="COLCHÃO M.E."/>
    <s v="DIRETO"/>
    <x v="8"/>
    <s v="NADA"/>
    <s v="AMERICA CENTRAL E CARIBE"/>
    <n v="40530"/>
    <s v="A06810"/>
    <s v="93% POLIESTER 6% VISCOSE 1% ELASTANO- TAMPO X"/>
    <s v="ADVANCED FOAM"/>
    <s v="EX"/>
    <s v="Colchão M.E."/>
    <n v="87"/>
    <s v="DIRETO"/>
    <n v="44596"/>
    <m/>
    <n v="12.8"/>
    <n v="487.78"/>
    <s v="KG"/>
    <n v="313"/>
    <n v="1"/>
    <n v="40"/>
    <n v="38.119999999999997"/>
    <n v="14.57"/>
    <n v="355.33"/>
    <m/>
    <n v="667.34"/>
    <m/>
    <m/>
    <n v="9.76"/>
    <n v="58.7"/>
    <n v="107.31"/>
    <n v="656.26"/>
    <m/>
    <m/>
    <n v="12.1945"/>
  </r>
  <r>
    <x v="8"/>
    <x v="1"/>
    <s v="COLCHÃO M.E."/>
    <s v="DIRETO"/>
    <x v="8"/>
    <s v="NADA"/>
    <s v="AMERICA CENTRAL E CARIBE"/>
    <n v="40530"/>
    <s v="A06990"/>
    <s v="99% POLIESTER 1% ELASTANO- TAMPO DARK BLUE (A"/>
    <s v="ADVANCED FOAM"/>
    <s v="EX"/>
    <s v="Colchão M.E."/>
    <n v="87"/>
    <s v="DIRETO"/>
    <n v="44596"/>
    <m/>
    <n v="17.079999999999998"/>
    <n v="511.1"/>
    <s v="KG"/>
    <n v="356"/>
    <n v="1"/>
    <n v="37"/>
    <n v="29.92"/>
    <n v="16.510000000000002"/>
    <n v="356.88"/>
    <m/>
    <n v="699.24"/>
    <m/>
    <m/>
    <n v="10.220000000000001"/>
    <n v="46.08"/>
    <n v="112.44"/>
    <n v="497.13"/>
    <m/>
    <m/>
    <n v="13.813513513513515"/>
  </r>
  <r>
    <x v="8"/>
    <x v="1"/>
    <s v="COLCHÃO M.E."/>
    <s v="DIRETO"/>
    <x v="8"/>
    <s v="NADA"/>
    <s v="AMERICA CENTRAL E CARIBE"/>
    <n v="40530"/>
    <s v="A06982"/>
    <s v="99% POLIESTER 1% ELASTANO- TAMPO FORMAS DOURA"/>
    <s v="ADVANCED FOAM"/>
    <s v="EX"/>
    <s v="Colchão M.E."/>
    <n v="87"/>
    <s v="DIRETO"/>
    <n v="44596"/>
    <m/>
    <n v="19.57"/>
    <n v="626.69000000000005"/>
    <s v="KG"/>
    <n v="401"/>
    <n v="1"/>
    <n v="40"/>
    <n v="32.020000000000003"/>
    <n v="28.1"/>
    <n v="430.41"/>
    <m/>
    <n v="857.38"/>
    <m/>
    <m/>
    <n v="12.53"/>
    <n v="49.31"/>
    <n v="137.87"/>
    <n v="497.07"/>
    <m/>
    <m/>
    <n v="15.667250000000001"/>
  </r>
  <r>
    <x v="8"/>
    <x v="1"/>
    <s v="COLCHÃO M.E."/>
    <s v="DIRETO"/>
    <x v="8"/>
    <s v="NADA"/>
    <s v="AMERICA CENTRAL E CARIBE"/>
    <n v="40530"/>
    <s v="A07931"/>
    <s v="99% POLIESTER 1% ELASTANO- TAMPO TIJOLINHOS D"/>
    <s v="ADVANCED FOAM"/>
    <s v="EX"/>
    <s v="Colchão M.E."/>
    <n v="87"/>
    <s v="DIRETO"/>
    <n v="44596"/>
    <m/>
    <n v="20.23"/>
    <n v="645.77"/>
    <s v="KG"/>
    <n v="360"/>
    <n v="1"/>
    <n v="40"/>
    <n v="31.92"/>
    <n v="27.71"/>
    <n v="441.86"/>
    <m/>
    <n v="883.49"/>
    <m/>
    <m/>
    <n v="12.92"/>
    <n v="49.16"/>
    <n v="142.07"/>
    <n v="560.65"/>
    <m/>
    <m/>
    <n v="16.14425"/>
  </r>
  <r>
    <x v="8"/>
    <x v="1"/>
    <s v="COLCHÃO M.E."/>
    <s v="DIRETO"/>
    <x v="8"/>
    <s v="NADA"/>
    <s v="AMERICA CENTRAL E CARIBE"/>
    <n v="40530"/>
    <s v="A08504"/>
    <s v="100% POLIESTER- TAMPO FORMAS CINZAS (A08504)"/>
    <s v="ADVANCED FOAM"/>
    <s v="EX"/>
    <s v="Colchão M.E."/>
    <n v="87"/>
    <s v="DIRETO"/>
    <n v="44596"/>
    <m/>
    <n v="25.22"/>
    <n v="664.86"/>
    <s v="KG"/>
    <n v="262"/>
    <n v="1"/>
    <n v="45"/>
    <n v="26.36"/>
    <n v="40.21"/>
    <n v="444.91"/>
    <m/>
    <n v="909.61"/>
    <m/>
    <m/>
    <n v="13.3"/>
    <n v="40.590000000000003"/>
    <n v="146.27000000000001"/>
    <n v="447.15"/>
    <m/>
    <m/>
    <n v="14.774666666666667"/>
  </r>
  <r>
    <x v="8"/>
    <x v="1"/>
    <s v="COLCHÃO M.E."/>
    <s v="DIRETO"/>
    <x v="9"/>
    <s v="NADA"/>
    <s v="CHILE"/>
    <n v="40780"/>
    <n v="2810001"/>
    <s v="100% POLIESTER- TAMPO LOSANGULO PRETO DIF (A0"/>
    <s v="FLEX CHILE"/>
    <s v="EX"/>
    <s v="Colchão M.E."/>
    <n v="91"/>
    <s v="DIRETO"/>
    <n v="44616"/>
    <m/>
    <n v="31.45"/>
    <n v="56602"/>
    <s v="KG"/>
    <n v="160"/>
    <n v="90"/>
    <n v="4136"/>
    <n v="1860.87"/>
    <n v="35.49"/>
    <n v="40151.78"/>
    <m/>
    <m/>
    <m/>
    <m/>
    <n v="1132.04"/>
    <n v="2865.74"/>
    <n v="12452.44"/>
    <n v="32137.54"/>
    <m/>
    <m/>
    <n v="13.685203094777563"/>
  </r>
  <r>
    <x v="0"/>
    <x v="1"/>
    <s v="COLCHÃO M.E."/>
    <s v="DIRETO"/>
    <x v="9"/>
    <s v="NADA"/>
    <s v="CHILE"/>
    <n v="41049"/>
    <n v="2810002"/>
    <s v="TECIDO- TAMPO BOLINHAS DIAGN (A08686)"/>
    <s v="FLEX CHILE"/>
    <s v="EX"/>
    <s v="Colchão M.E."/>
    <n v="91"/>
    <s v="DIRETO"/>
    <n v="44638"/>
    <m/>
    <n v="25.25"/>
    <n v="19710.150000000001"/>
    <s v="KG"/>
    <n v="280"/>
    <n v="24"/>
    <n v="1180"/>
    <n v="780.6"/>
    <n v="14.21"/>
    <n v="13777.59"/>
    <m/>
    <m/>
    <m/>
    <m/>
    <n v="394.2"/>
    <n v="1202.1199999999999"/>
    <n v="4336.2299999999996"/>
    <n v="12938.36"/>
    <m/>
    <m/>
    <n v="16.703516949152544"/>
  </r>
  <r>
    <x v="0"/>
    <x v="1"/>
    <s v="COLCHÃO M.E."/>
    <s v="DIRETO"/>
    <x v="9"/>
    <s v="NADA"/>
    <s v="CHILE"/>
    <n v="41049"/>
    <s v="281.0002 - A"/>
    <s v="TAMPO BOLINHAS DIAGN (A08686)"/>
    <s v="FLEX CHILE"/>
    <s v="EX"/>
    <s v="Colchão M.E."/>
    <n v="91"/>
    <s v="DIRETO"/>
    <n v="44638"/>
    <m/>
    <n v="24.06"/>
    <n v="65917.179999999993"/>
    <s v="KG"/>
    <n v="300"/>
    <n v="79"/>
    <n v="3946"/>
    <n v="2739.7"/>
    <n v="6.23"/>
    <n v="45877.919999999998"/>
    <m/>
    <m/>
    <m/>
    <m/>
    <n v="1318.34"/>
    <n v="4219.1400000000003"/>
    <n v="14501.78"/>
    <n v="45411.14"/>
    <m/>
    <m/>
    <n v="16.704809934110489"/>
  </r>
  <r>
    <x v="0"/>
    <x v="1"/>
    <s v="COLCHÃO M.E."/>
    <s v="DIRETO"/>
    <x v="9"/>
    <s v="NADA"/>
    <s v="CHILE"/>
    <n v="41049"/>
    <n v="2810003"/>
    <s v="100% POLIESTER- FAIXA QUADRADINHOS (A08704)-["/>
    <s v="FLEX CHILE"/>
    <s v="EX"/>
    <s v="Colchão M.E."/>
    <n v="91"/>
    <s v="DIRETO"/>
    <n v="44638"/>
    <m/>
    <n v="30.51"/>
    <n v="11516.91"/>
    <s v="KG"/>
    <n v="160"/>
    <n v="18"/>
    <n v="810"/>
    <n v="377.48"/>
    <n v="31.09"/>
    <n v="8171.53"/>
    <m/>
    <m/>
    <m/>
    <m/>
    <n v="230.34"/>
    <n v="581.32000000000005"/>
    <n v="2533.7199999999998"/>
    <n v="6483.59"/>
    <m/>
    <m/>
    <n v="14.218407407407406"/>
  </r>
  <r>
    <x v="0"/>
    <x v="1"/>
    <s v="COLCHÃO M.E."/>
    <s v="DIRETO"/>
    <x v="10"/>
    <s v="NADA"/>
    <s v="CHILE"/>
    <n v="41093"/>
    <s v="286.0001 - A"/>
    <s v="99% POLIESTER 1% ELASTANO- FAIXA CINZA BRILHA"/>
    <s v="COLCHONES DEL MUNDO"/>
    <s v="EX"/>
    <s v="Colchão M.E."/>
    <n v="91"/>
    <s v="DIRETO"/>
    <n v="44643"/>
    <m/>
    <n v="32.700000000000003"/>
    <n v="26026.91"/>
    <s v="KG"/>
    <n v="300"/>
    <n v="28"/>
    <n v="1117"/>
    <n v="795.93"/>
    <n v="19.84"/>
    <n v="17513.64"/>
    <m/>
    <m/>
    <m/>
    <n v="1041.08"/>
    <n v="520.54"/>
    <n v="1225.73"/>
    <n v="5725.92"/>
    <n v="13332.9"/>
    <m/>
    <m/>
    <n v="23.30072515666965"/>
  </r>
  <r>
    <x v="0"/>
    <x v="1"/>
    <s v="COLCHÃO M.E."/>
    <s v="DIRETO"/>
    <x v="10"/>
    <s v="NADA"/>
    <s v="CHILE"/>
    <n v="41093"/>
    <s v="286.0002 - A"/>
    <s v="99% POLIESTER 1% ELASTANO- FAIXA NEVOA PRETA"/>
    <s v="COLCHONES DEL MUNDO"/>
    <s v="EX"/>
    <s v="Colchão M.E."/>
    <n v="91"/>
    <s v="DIRETO"/>
    <n v="44643"/>
    <m/>
    <n v="37.54"/>
    <n v="28967.74"/>
    <s v="KG"/>
    <n v="350"/>
    <n v="33"/>
    <n v="1019"/>
    <n v="771.65"/>
    <n v="26.55"/>
    <n v="19668.43"/>
    <m/>
    <m/>
    <m/>
    <n v="1158.71"/>
    <n v="579.35"/>
    <n v="1188.3399999999999"/>
    <n v="6372.9"/>
    <n v="12448.01"/>
    <m/>
    <m/>
    <n v="28.427615309126598"/>
  </r>
  <r>
    <x v="0"/>
    <x v="1"/>
    <s v="COLCHÃO M.E."/>
    <s v="DIRETO"/>
    <x v="10"/>
    <s v="NADA"/>
    <s v="CHILE"/>
    <n v="41093"/>
    <s v="286.0001 - A"/>
    <s v="99% POLIESTER 1% ELASTANO- FAIXA CINZA BRILHA"/>
    <s v="COLCHONES DEL MUNDO"/>
    <s v="EX"/>
    <s v="Colchão M.E."/>
    <n v="91"/>
    <s v="DIRETO"/>
    <n v="44643"/>
    <m/>
    <n v="32.700000000000003"/>
    <n v="262.58"/>
    <s v="KG"/>
    <n v="300"/>
    <n v="1"/>
    <n v="11"/>
    <n v="8.0299999999999994"/>
    <n v="19.84"/>
    <n v="176.69"/>
    <m/>
    <m/>
    <m/>
    <n v="10.5"/>
    <n v="5.25"/>
    <n v="12.37"/>
    <n v="57.77"/>
    <n v="134.51"/>
    <m/>
    <m/>
    <n v="23.870909090909091"/>
  </r>
  <r>
    <x v="0"/>
    <x v="1"/>
    <s v="COLCHÃO M.E."/>
    <s v="DIRETO"/>
    <x v="10"/>
    <s v="NADA"/>
    <s v="CHILE"/>
    <n v="41093"/>
    <s v="286.0002 - A"/>
    <s v="99% POLIESTER 1% ELASTANO- FAIXA NEVOA PRETA"/>
    <s v="COLCHONES DEL MUNDO"/>
    <s v="EX"/>
    <s v="Colchão M.E."/>
    <n v="91"/>
    <s v="DIRETO"/>
    <n v="44643"/>
    <m/>
    <n v="37.54"/>
    <n v="292.44"/>
    <s v="KG"/>
    <n v="350"/>
    <n v="1"/>
    <n v="10"/>
    <n v="7.79"/>
    <n v="26.55"/>
    <n v="198.56"/>
    <m/>
    <m/>
    <m/>
    <n v="11.7"/>
    <n v="5.85"/>
    <n v="12"/>
    <n v="64.34"/>
    <n v="125.67"/>
    <m/>
    <m/>
    <n v="29.244"/>
  </r>
  <r>
    <x v="9"/>
    <x v="1"/>
    <s v="COLCHÃO M.E."/>
    <s v="DIRETO"/>
    <x v="9"/>
    <s v="NADA"/>
    <s v="CHILE"/>
    <n v="41266"/>
    <n v="2810004"/>
    <s v="99% POLIESTER 1% ELASTANO- FAIXA QUADRADOS AR"/>
    <s v="FLEX CHILE"/>
    <s v="EX"/>
    <s v="Colchão M.E."/>
    <n v="1"/>
    <s v="DIRETO"/>
    <n v="44658"/>
    <m/>
    <n v="30.74"/>
    <n v="9184.7999999999993"/>
    <s v="KG"/>
    <n v="400"/>
    <n v="12"/>
    <n v="328"/>
    <n v="298.79000000000002"/>
    <n v="25.45"/>
    <n v="3645.21"/>
    <m/>
    <n v="2507.71"/>
    <m/>
    <m/>
    <n v="183.7"/>
    <n v="460.14"/>
    <n v="2388.0500000000002"/>
    <n v="3802.98"/>
    <m/>
    <m/>
    <n v="28.002439024390242"/>
  </r>
  <r>
    <x v="9"/>
    <x v="1"/>
    <s v="COLCHÃO M.E."/>
    <s v="DIRETO"/>
    <x v="1"/>
    <s v="NADA"/>
    <s v="URUGUAI"/>
    <n v="41293"/>
    <n v="2540006"/>
    <s v="100% POLIESTER- FAIXA NEVOA AZUL (A08429)-[Pe"/>
    <s v="DIVINO COLCHONES"/>
    <s v="EX"/>
    <s v="Colchão M.E."/>
    <n v="1"/>
    <s v="MARTIN"/>
    <n v="44659"/>
    <m/>
    <n v="34.130000000000003"/>
    <n v="14989.9"/>
    <s v="KG"/>
    <n v="360"/>
    <n v="17"/>
    <n v="543"/>
    <n v="439.2"/>
    <n v="24.66"/>
    <n v="10116.36"/>
    <m/>
    <m/>
    <m/>
    <m/>
    <n v="299.8"/>
    <n v="676.37"/>
    <n v="3897.37"/>
    <n v="5394.65"/>
    <m/>
    <m/>
    <n v="27.605709023941067"/>
  </r>
  <r>
    <x v="9"/>
    <x v="1"/>
    <s v="COLCHÃO M.E."/>
    <s v="DIRETO"/>
    <x v="1"/>
    <s v="NADA"/>
    <s v="URUGUAI"/>
    <n v="41293"/>
    <n v="2540007"/>
    <s v="100% POLIESTER- TAMPO DARK BLUE TRACADO BRILH"/>
    <s v="DIVINO COLCHONES"/>
    <s v="EX"/>
    <s v="Colchão M.E."/>
    <n v="1"/>
    <s v="MARTIN"/>
    <n v="44659"/>
    <m/>
    <n v="31.8"/>
    <n v="12479.59"/>
    <s v="KG"/>
    <n v="300"/>
    <n v="14"/>
    <n v="586"/>
    <n v="392.44"/>
    <n v="28.23"/>
    <n v="8380.9500000000007"/>
    <m/>
    <m/>
    <m/>
    <m/>
    <n v="249.59"/>
    <n v="604.36"/>
    <n v="3244.69"/>
    <n v="4947"/>
    <m/>
    <m/>
    <n v="21.296228668941978"/>
  </r>
  <r>
    <x v="9"/>
    <x v="1"/>
    <s v="COLCHÃO M.E."/>
    <s v="DIRETO"/>
    <x v="1"/>
    <s v="NADA"/>
    <s v="URUGUAI"/>
    <n v="41293"/>
    <n v="2540008"/>
    <s v="100% POLIESTER- TAMPO DINO AREIA (A05375)-[Pe"/>
    <s v="DIVINO COLCHONES"/>
    <s v="EX"/>
    <s v="Colchão M.E."/>
    <n v="1"/>
    <s v="MARTIN"/>
    <n v="44659"/>
    <m/>
    <n v="17.55"/>
    <n v="5249.21"/>
    <s v="KG"/>
    <n v="260"/>
    <n v="14"/>
    <n v="530"/>
    <n v="299.10000000000002"/>
    <n v="-22.76"/>
    <n v="3318.82"/>
    <m/>
    <m/>
    <m/>
    <m/>
    <n v="104.98"/>
    <n v="460.61"/>
    <n v="1364.79"/>
    <n v="4028.01"/>
    <m/>
    <m/>
    <n v="9.9041698113207541"/>
  </r>
  <r>
    <x v="9"/>
    <x v="1"/>
    <s v="COLCHÃO M.E."/>
    <s v="DIRETO"/>
    <x v="1"/>
    <s v="NADA"/>
    <s v="URUGUAI"/>
    <n v="41293"/>
    <n v="2540009"/>
    <s v="70% POLIESTER 30% ALGODAO- TC GORGURINHO MARR"/>
    <s v="DIVINO COLCHONES"/>
    <s v="EX"/>
    <s v="Colchão M.E."/>
    <n v="1"/>
    <s v="MARTIN"/>
    <n v="44659"/>
    <m/>
    <n v="36.33"/>
    <n v="7773.89"/>
    <s v="KG"/>
    <n v="97"/>
    <n v="7"/>
    <n v="1049"/>
    <n v="213.98"/>
    <n v="-14.66"/>
    <n v="5267.67"/>
    <m/>
    <m/>
    <m/>
    <m/>
    <n v="155.47999999999999"/>
    <n v="329.53"/>
    <n v="2021.21"/>
    <n v="7010.2"/>
    <m/>
    <m/>
    <n v="7.4107626310772163"/>
  </r>
  <r>
    <x v="9"/>
    <x v="1"/>
    <s v="COLCHÃO M.E."/>
    <s v="DIRETO"/>
    <x v="1"/>
    <s v="NADA"/>
    <s v="URUGUAI"/>
    <n v="41293"/>
    <n v="2540010"/>
    <s v="100% POLIESTER- TAMPO PERLA NOVA XC29 (A08745"/>
    <s v="DIVINO COLCHONES"/>
    <s v="EX"/>
    <s v="Colchão M.E."/>
    <n v="1"/>
    <s v="MARTIN"/>
    <n v="44659"/>
    <m/>
    <n v="26.41"/>
    <n v="17500.849999999999"/>
    <s v="KG"/>
    <n v="400"/>
    <n v="25"/>
    <n v="893"/>
    <n v="662.66"/>
    <n v="12.02"/>
    <n v="11578.58"/>
    <m/>
    <m/>
    <m/>
    <m/>
    <n v="350.02"/>
    <n v="1020.5"/>
    <n v="4550.22"/>
    <n v="8626.2199999999993"/>
    <m/>
    <m/>
    <n v="19.597816349384097"/>
  </r>
  <r>
    <x v="9"/>
    <x v="1"/>
    <s v="COLCHÃO M.E."/>
    <s v="DIRETO"/>
    <x v="11"/>
    <s v="NADA"/>
    <s v="BOLIVIA"/>
    <n v="41470"/>
    <n v="2900009"/>
    <s v="100% POLIESTER CLOSEOUT FABRICS"/>
    <s v="KORIGOMA"/>
    <s v="EX"/>
    <s v="Colchão M.E."/>
    <n v="1"/>
    <s v="DIRETO"/>
    <n v="44677"/>
    <m/>
    <n v="17.36"/>
    <n v="7225.93"/>
    <s v="KG"/>
    <n v="300"/>
    <n v="20"/>
    <n v="839"/>
    <n v="416.24"/>
    <n v="61.09"/>
    <n v="4561.66"/>
    <m/>
    <m/>
    <m/>
    <m/>
    <n v="144.52000000000001"/>
    <n v="641.01"/>
    <n v="1878.74"/>
    <m/>
    <m/>
    <m/>
    <n v="8.6125506555423126"/>
  </r>
  <r>
    <x v="9"/>
    <x v="1"/>
    <s v="COLCHÃO M.E."/>
    <s v="MORAES REPRESENTACOE"/>
    <x v="12"/>
    <s v="NADA"/>
    <e v="#N/A"/>
    <n v="41493"/>
    <n v="2920001"/>
    <s v="TECIDO 100% POLIESTER-[Pedido:008.22 Total]"/>
    <s v="FARIAS E KLEIN"/>
    <s v="PR"/>
    <s v="Colchão M.E."/>
    <n v="31"/>
    <s v="MORAES REPRESENTACOE"/>
    <n v="44678"/>
    <m/>
    <n v="23.33"/>
    <n v="6490"/>
    <s v="KG"/>
    <n v="160"/>
    <n v="15"/>
    <n v="589"/>
    <n v="278.18"/>
    <n v="23.63"/>
    <n v="3984.8"/>
    <m/>
    <m/>
    <m/>
    <n v="259.60000000000002"/>
    <n v="129.80000000000001"/>
    <n v="428.4"/>
    <n v="1687.4"/>
    <n v="2987.79"/>
    <m/>
    <m/>
    <n v="11.018675721561969"/>
  </r>
  <r>
    <x v="10"/>
    <x v="1"/>
    <s v="COLCHÃO M.E."/>
    <s v="DIRETO"/>
    <x v="9"/>
    <s v="NADA"/>
    <s v="CHILE"/>
    <n v="41643"/>
    <n v="2810005"/>
    <s v="100% POLIESTER- TAMPO FOLHAS (A07432)- 240G-["/>
    <s v="FLEX CHILE"/>
    <s v="EX"/>
    <s v="Colchão M.E."/>
    <n v="1"/>
    <s v="DIRETO"/>
    <n v="44687"/>
    <m/>
    <n v="24.44"/>
    <n v="28578.43"/>
    <s v="KG"/>
    <n v="240"/>
    <n v="43"/>
    <n v="2018"/>
    <n v="1169.33"/>
    <n v="30.94"/>
    <n v="13459.81"/>
    <m/>
    <n v="4172.75"/>
    <m/>
    <n v="1143.1400000000001"/>
    <n v="571.57000000000005"/>
    <n v="1800.77"/>
    <n v="7430.39"/>
    <n v="15797.13"/>
    <m/>
    <m/>
    <n v="14.161759167492567"/>
  </r>
  <r>
    <x v="10"/>
    <x v="1"/>
    <s v="COLCHÃO M.E."/>
    <s v="DIRETO"/>
    <x v="9"/>
    <s v="NADA"/>
    <s v="CHILE"/>
    <n v="41829"/>
    <n v="2810004"/>
    <s v="99% POLIESTER 1% ELASTANO- FAIXA QUADRADOS AR"/>
    <s v="FLEX CHILE"/>
    <s v="EX"/>
    <s v="Colchão M.E."/>
    <n v="1"/>
    <s v="DIRETO"/>
    <n v="44704"/>
    <m/>
    <n v="30.03"/>
    <n v="24861.84"/>
    <s v="KG"/>
    <n v="400"/>
    <n v="30"/>
    <n v="888"/>
    <n v="827.9"/>
    <n v="25.45"/>
    <n v="15526.92"/>
    <m/>
    <n v="1098.6400000000001"/>
    <m/>
    <m/>
    <n v="497.24"/>
    <n v="1274.97"/>
    <n v="6464.08"/>
    <n v="10537.46"/>
    <m/>
    <m/>
    <n v="27.997567567567568"/>
  </r>
  <r>
    <x v="10"/>
    <x v="1"/>
    <s v="COLCHÃO M.E."/>
    <s v="DIRETO"/>
    <x v="10"/>
    <s v="NADA"/>
    <s v="CHILE"/>
    <n v="41982"/>
    <n v="2860003"/>
    <s v="98% POLIESTER 2% ELASTANO- TAMPO QUADRADROS D"/>
    <s v="COLCHONES DEL MUNDO"/>
    <s v="EX"/>
    <s v="Colchão M.E."/>
    <n v="91"/>
    <s v="DIRETO"/>
    <n v="44712"/>
    <m/>
    <n v="37.79"/>
    <n v="21131.41"/>
    <s v="KG"/>
    <n v="420"/>
    <n v="20"/>
    <n v="616"/>
    <n v="559.17999999999995"/>
    <n v="22.99"/>
    <n v="13508.22"/>
    <m/>
    <m/>
    <m/>
    <n v="845.26"/>
    <n v="422.63"/>
    <n v="861.14"/>
    <n v="5494.17"/>
    <n v="8032.41"/>
    <m/>
    <m/>
    <n v="34.304237012987009"/>
  </r>
  <r>
    <x v="10"/>
    <x v="1"/>
    <s v="COLCHÃO M.E."/>
    <s v="DIRETO"/>
    <x v="1"/>
    <s v="NADA"/>
    <s v="URUGUAI"/>
    <n v="41983"/>
    <n v="2540010"/>
    <s v="97% POLIESTER 3% ELASTANO- TAMPO PERLA NOVA X"/>
    <s v="DIVINO COLCHONES"/>
    <s v="EX"/>
    <s v="Colchão M.E."/>
    <n v="1"/>
    <s v="MARTIN"/>
    <n v="44712"/>
    <m/>
    <n v="31.16"/>
    <n v="10936.54"/>
    <s v="KG"/>
    <n v="400"/>
    <n v="11"/>
    <n v="378"/>
    <n v="350.98"/>
    <n v="12.02"/>
    <n v="7332.26"/>
    <m/>
    <m/>
    <m/>
    <m/>
    <n v="218.73"/>
    <n v="540.51"/>
    <n v="2843.5"/>
    <n v="4568.8999999999996"/>
    <m/>
    <m/>
    <n v="28.932645502645506"/>
  </r>
  <r>
    <x v="10"/>
    <x v="1"/>
    <s v="COLCHÃO M.E."/>
    <s v="DIRETO"/>
    <x v="1"/>
    <s v="NADA"/>
    <s v="URUGUAI"/>
    <n v="41983"/>
    <n v="2540007"/>
    <s v="100% POLIESTER- TAMPO DARK BLUE TRACADO BRILH"/>
    <s v="DIVINO COLCHONES"/>
    <s v="EX"/>
    <s v="Colchão M.E."/>
    <n v="1"/>
    <s v="MARTIN"/>
    <n v="44712"/>
    <m/>
    <n v="39.700000000000003"/>
    <n v="15295.62"/>
    <s v="KG"/>
    <n v="300"/>
    <n v="18"/>
    <n v="562"/>
    <n v="385.28"/>
    <n v="28.23"/>
    <n v="10419.52"/>
    <m/>
    <m/>
    <m/>
    <m/>
    <n v="305.91000000000003"/>
    <n v="593.33000000000004"/>
    <n v="3976.86"/>
    <n v="4856.75"/>
    <m/>
    <m/>
    <n v="27.216405693950179"/>
  </r>
  <r>
    <x v="10"/>
    <x v="1"/>
    <s v="COLCHÃO M.E."/>
    <s v="DIRETO"/>
    <x v="1"/>
    <s v="NADA"/>
    <s v="URUGUAI"/>
    <n v="41983"/>
    <n v="2540006"/>
    <s v="100% POLIESTER- FAIXA NEVOA AZUL (A08429)-[Pe"/>
    <s v="DIVINO COLCHONES"/>
    <s v="EX"/>
    <s v="Colchão M.E."/>
    <n v="1"/>
    <s v="MARTIN"/>
    <n v="44712"/>
    <m/>
    <n v="34.08"/>
    <n v="13471.14"/>
    <s v="KG"/>
    <n v="360"/>
    <n v="16"/>
    <n v="488"/>
    <n v="395.28"/>
    <n v="24.66"/>
    <n v="9090.49"/>
    <m/>
    <m/>
    <m/>
    <m/>
    <n v="269.42"/>
    <n v="608.73"/>
    <n v="3502.5"/>
    <n v="4855.18"/>
    <m/>
    <m/>
    <n v="27.604795081967211"/>
  </r>
  <r>
    <x v="10"/>
    <x v="1"/>
    <s v="COLCHÃO M.E."/>
    <s v="DIRETO"/>
    <x v="1"/>
    <s v="NADA"/>
    <s v="URUGUAI"/>
    <n v="41983"/>
    <n v="2540012"/>
    <s v="100% POLIESTER- TAMPO RASCUNHOS (A07820)-[Ped"/>
    <s v="DIVINO COLCHONES"/>
    <s v="EX"/>
    <s v="Colchão M.E."/>
    <n v="1"/>
    <s v="MARTIN"/>
    <n v="44712"/>
    <m/>
    <n v="27.16"/>
    <n v="42211.53"/>
    <s v="KG"/>
    <n v="240"/>
    <n v="62"/>
    <n v="2688"/>
    <n v="1554.18"/>
    <n v="23.26"/>
    <n v="27998.86"/>
    <m/>
    <m/>
    <m/>
    <m/>
    <n v="844.23"/>
    <n v="2393.44"/>
    <n v="10975"/>
    <n v="18304.07"/>
    <m/>
    <m/>
    <n v="15.703694196428572"/>
  </r>
  <r>
    <x v="1"/>
    <x v="1"/>
    <s v="COLCHÃO M.E."/>
    <s v="DIRETO"/>
    <x v="7"/>
    <s v="NADA"/>
    <s v="PARAGUAI"/>
    <n v="41993"/>
    <n v="2780001"/>
    <s v="TECIDO DE MALHA PARA COLCHAO 90% POLIESTER 10"/>
    <s v="COLCHONERO GONZALEZ"/>
    <s v="EX"/>
    <s v="Colchão M.E."/>
    <n v="1"/>
    <s v="DIRETO"/>
    <n v="44714"/>
    <m/>
    <n v="26.81"/>
    <n v="23739.18"/>
    <s v="KG"/>
    <m/>
    <n v="41"/>
    <n v="2190"/>
    <n v="885.46"/>
    <n v="19.579999999999998"/>
    <n v="16678.169999999998"/>
    <m/>
    <m/>
    <m/>
    <m/>
    <n v="474.78"/>
    <n v="1363.61"/>
    <n v="5222.62"/>
    <n v="15477.77"/>
    <m/>
    <m/>
    <n v="10.839808219178082"/>
  </r>
  <r>
    <x v="1"/>
    <x v="1"/>
    <s v="COLCHÃO M.E."/>
    <s v="DIRETO"/>
    <x v="7"/>
    <s v="NADA"/>
    <s v="PARAGUAI"/>
    <n v="41993"/>
    <n v="2780002"/>
    <s v="TECIDO DE MALHA PARA COLCHAO 90% POLIESTER 10"/>
    <s v="COLCHONERO GONZALEZ"/>
    <s v="EX"/>
    <s v="Colchão M.E."/>
    <n v="1"/>
    <s v="DIRETO"/>
    <n v="44714"/>
    <m/>
    <n v="26.23"/>
    <n v="24773.19"/>
    <s v="KG"/>
    <m/>
    <n v="41"/>
    <n v="2285"/>
    <n v="944.46"/>
    <n v="19.52"/>
    <n v="17373.16"/>
    <m/>
    <m/>
    <m/>
    <m/>
    <n v="495.46"/>
    <n v="1454.47"/>
    <n v="5450.1"/>
    <n v="16529.59"/>
    <m/>
    <m/>
    <n v="10.841658643326038"/>
  </r>
  <r>
    <x v="1"/>
    <x v="1"/>
    <s v="COLCHÃO M.E."/>
    <s v="DIRETO"/>
    <x v="1"/>
    <s v="NADA"/>
    <s v="URUGUAI"/>
    <n v="42047"/>
    <n v="2540006"/>
    <s v="100% POLIESTER- FAIXA NEVOA AZUL (A08429)-[Pe"/>
    <s v="DIVINO COLCHONES"/>
    <s v="EX"/>
    <s v="Colchão M.E."/>
    <n v="1"/>
    <s v="MARTIN"/>
    <n v="44719"/>
    <m/>
    <n v="34.14"/>
    <n v="331.16"/>
    <s v="KG"/>
    <n v="360"/>
    <n v="1"/>
    <n v="12"/>
    <n v="9.6999999999999993"/>
    <n v="23.76"/>
    <n v="236.74"/>
    <m/>
    <m/>
    <m/>
    <m/>
    <n v="6.62"/>
    <n v="14.94"/>
    <n v="72.86"/>
    <n v="169.36"/>
    <m/>
    <m/>
    <n v="27.596666666666668"/>
  </r>
  <r>
    <x v="1"/>
    <x v="1"/>
    <s v="COLCHÃO M.E."/>
    <s v="DIRETO"/>
    <x v="1"/>
    <s v="NADA"/>
    <s v="URUGUAI"/>
    <n v="42047"/>
    <n v="2540012"/>
    <s v="100% POLIESTER- TAMPO RASCUNHOS (A07820)-[Ped"/>
    <s v="DIVINO COLCHONES"/>
    <s v="EX"/>
    <s v="Colchão M.E."/>
    <n v="1"/>
    <s v="MARTIN"/>
    <n v="44719"/>
    <m/>
    <n v="27.36"/>
    <n v="6908.95"/>
    <s v="KG"/>
    <n v="240"/>
    <n v="9"/>
    <n v="440"/>
    <n v="252.52"/>
    <n v="19.579999999999998"/>
    <n v="4861.92"/>
    <m/>
    <m/>
    <m/>
    <m/>
    <n v="138.18"/>
    <n v="388.88"/>
    <n v="1519.97"/>
    <n v="3857.52"/>
    <m/>
    <m/>
    <n v="15.70215909090909"/>
  </r>
  <r>
    <x v="1"/>
    <x v="1"/>
    <s v="COLCHÃO M.E."/>
    <s v="DIRETO"/>
    <x v="1"/>
    <s v="NADA"/>
    <s v="URUGUAI"/>
    <n v="42047"/>
    <n v="2540010"/>
    <s v="97% POLIESTER 3% ELASTANO- TAMPO PERLA NOVA X"/>
    <s v="DIVINO COLCHONES"/>
    <s v="EX"/>
    <s v="Colchão M.E."/>
    <n v="1"/>
    <s v="MARTIN"/>
    <n v="44719"/>
    <m/>
    <n v="31.65"/>
    <n v="4455.05"/>
    <s v="KG"/>
    <n v="400"/>
    <n v="4"/>
    <n v="154"/>
    <n v="140.76"/>
    <n v="-0.77"/>
    <n v="3169.07"/>
    <m/>
    <m/>
    <m/>
    <m/>
    <n v="89.1"/>
    <n v="216.77"/>
    <n v="980.11"/>
    <n v="2353.94"/>
    <m/>
    <m/>
    <n v="28.928896103896104"/>
  </r>
  <r>
    <x v="1"/>
    <x v="1"/>
    <s v="COLCHÃO M.E."/>
    <s v="DIRETO"/>
    <x v="1"/>
    <s v="NADA"/>
    <s v="URUGUAI"/>
    <n v="42047"/>
    <n v="2540007"/>
    <s v="100% POLIESTER- TAMPO DARK BLUE TRACADO BRILH"/>
    <s v="DIVINO COLCHONES"/>
    <s v="EX"/>
    <s v="Colchão M.E."/>
    <n v="1"/>
    <s v="MARTIN"/>
    <n v="44719"/>
    <m/>
    <n v="37.86"/>
    <n v="3402.1"/>
    <s v="KG"/>
    <n v="300"/>
    <n v="3"/>
    <n v="125"/>
    <n v="89.86"/>
    <n v="28.8"/>
    <n v="2447.21"/>
    <m/>
    <m/>
    <m/>
    <m/>
    <n v="68.040000000000006"/>
    <n v="138.38"/>
    <n v="748.46"/>
    <n v="1510.33"/>
    <m/>
    <m/>
    <n v="27.216799999999999"/>
  </r>
  <r>
    <x v="1"/>
    <x v="1"/>
    <s v="COLCHÃO M.E."/>
    <s v="DIRETO"/>
    <x v="10"/>
    <s v="NADA"/>
    <s v="CHILE"/>
    <n v="42145"/>
    <n v="2860005"/>
    <s v="99% POLIESTER 1% ELASTANO- TAMPO ABSTRATO MES"/>
    <s v="COLCHONES DEL MUNDO"/>
    <s v="EX"/>
    <s v="Colchão M.E."/>
    <n v="91"/>
    <s v="DIRETO"/>
    <n v="44725"/>
    <m/>
    <n v="37.97"/>
    <n v="18750.349999999999"/>
    <s v="KG"/>
    <n v="360"/>
    <n v="20"/>
    <n v="625"/>
    <n v="493.82"/>
    <n v="22.66"/>
    <n v="10403.73"/>
    <m/>
    <n v="2336.04"/>
    <m/>
    <n v="750.01"/>
    <n v="375.01"/>
    <n v="760.48"/>
    <n v="4125.08"/>
    <n v="8867.34"/>
    <m/>
    <m/>
    <n v="30.000559999999997"/>
  </r>
  <r>
    <x v="1"/>
    <x v="1"/>
    <s v="COLCHÃO M.E."/>
    <s v="DIRETO"/>
    <x v="10"/>
    <s v="NADA"/>
    <s v="CHILE"/>
    <n v="42145"/>
    <n v="2860004"/>
    <s v="99% POLIESTER 1% ELASTANO- TAMPO RETAS DEGRAD"/>
    <s v="COLCHONES DEL MUNDO"/>
    <s v="EX"/>
    <s v="Colchão M.E."/>
    <n v="91"/>
    <s v="DIRETO"/>
    <n v="44725"/>
    <m/>
    <n v="37.659999999999997"/>
    <n v="21344.560000000001"/>
    <s v="KG"/>
    <n v="450"/>
    <n v="20"/>
    <n v="553"/>
    <n v="566.77"/>
    <n v="26.42"/>
    <n v="12689.8"/>
    <m/>
    <n v="2659.24"/>
    <m/>
    <m/>
    <n v="426.89"/>
    <n v="872.83"/>
    <n v="4695.8"/>
    <n v="10206.75"/>
    <m/>
    <m/>
    <n v="38.597757685352626"/>
  </r>
  <r>
    <x v="1"/>
    <x v="1"/>
    <s v="COLCHÃO M.E."/>
    <s v="DIRETO"/>
    <x v="10"/>
    <s v="NADA"/>
    <s v="CHILE"/>
    <n v="42145"/>
    <n v="2860003"/>
    <s v="TECIDO 98% POLIESTER 2% ELASTANO- TAMPO QUADR"/>
    <s v="COLCHONES DEL MUNDO"/>
    <s v="EX"/>
    <s v="Colchão M.E."/>
    <n v="91"/>
    <s v="DIRETO"/>
    <n v="44725"/>
    <m/>
    <n v="37.79"/>
    <n v="21131.41"/>
    <s v="KG"/>
    <n v="420"/>
    <n v="20"/>
    <n v="616"/>
    <n v="559.17999999999995"/>
    <n v="23.58"/>
    <n v="12566.04"/>
    <m/>
    <n v="2632.69"/>
    <m/>
    <m/>
    <n v="422.63"/>
    <n v="861.14"/>
    <n v="4648.91"/>
    <n v="10271.200000000001"/>
    <m/>
    <m/>
    <n v="34.304237012987009"/>
  </r>
  <r>
    <x v="1"/>
    <x v="1"/>
    <s v="COLCHÃO M.E."/>
    <s v="DIRETO"/>
    <x v="9"/>
    <s v="NADA"/>
    <s v="CHILE"/>
    <n v="42156"/>
    <n v="2810006"/>
    <s v="100% POLIESTER- FAIXA ASPER CINZA CLARO (A089"/>
    <s v="FLEX CHILE"/>
    <s v="EX"/>
    <s v="Colchão M.E."/>
    <n v="91"/>
    <s v="DIRETO"/>
    <n v="44726"/>
    <m/>
    <n v="31.29"/>
    <n v="8746.18"/>
    <s v="KG"/>
    <n v="160"/>
    <n v="13"/>
    <n v="599"/>
    <n v="279.52"/>
    <n v="32.26"/>
    <n v="6216.64"/>
    <m/>
    <m/>
    <m/>
    <m/>
    <n v="174.92"/>
    <n v="430.46"/>
    <n v="1924.16"/>
    <n v="4595.22"/>
    <m/>
    <m/>
    <n v="14.601302170283807"/>
  </r>
  <r>
    <x v="1"/>
    <x v="1"/>
    <s v="COLCHÃO M.E."/>
    <s v="DIRETO"/>
    <x v="5"/>
    <s v="NADA"/>
    <s v="PARAGUAI"/>
    <n v="42293"/>
    <s v="A08100"/>
    <s v="TECIDO 100% POLIESTER - TECIDOS DIVERSOS"/>
    <s v="INMAPOL SACIF"/>
    <s v="EX"/>
    <s v="Colchão M.E."/>
    <n v="1"/>
    <s v="DIRETO"/>
    <n v="44736"/>
    <m/>
    <n v="17.43"/>
    <n v="19870.2"/>
    <s v="KG"/>
    <n v="261"/>
    <n v="38"/>
    <n v="1900"/>
    <n v="1140"/>
    <n v="66.97"/>
    <n v="13345.75"/>
    <m/>
    <m/>
    <m/>
    <m/>
    <n v="397.4"/>
    <n v="1755.6"/>
    <n v="4371.4399999999996"/>
    <m/>
    <m/>
    <m/>
    <n v="10.458"/>
  </r>
  <r>
    <x v="1"/>
    <x v="1"/>
    <s v="COLCHÃO M.E."/>
    <s v="DIRETO"/>
    <x v="13"/>
    <s v="NADA"/>
    <s v="BOLIVIA"/>
    <n v="42395"/>
    <n v="2940001"/>
    <s v="100% POLIESTER-TAMPO INDUCOL BLACK (A08858)-["/>
    <s v="INDUCOL INDUSTRIA"/>
    <s v="EX"/>
    <s v="Colchão M.E."/>
    <n v="88"/>
    <s v="JOSIMAR"/>
    <n v="44742"/>
    <m/>
    <n v="26.64"/>
    <n v="11770.88"/>
    <s v="KG"/>
    <n v="200"/>
    <n v="20"/>
    <n v="976"/>
    <n v="441.85"/>
    <n v="7.64"/>
    <n v="7794.58"/>
    <m/>
    <m/>
    <m/>
    <n v="470.84"/>
    <n v="235.42"/>
    <n v="680.45"/>
    <n v="2589.59"/>
    <n v="6381.86"/>
    <m/>
    <m/>
    <n v="12.060327868852458"/>
  </r>
  <r>
    <x v="1"/>
    <x v="1"/>
    <s v="COLCHÃO M.E."/>
    <s v="DIRETO"/>
    <x v="13"/>
    <s v="NADA"/>
    <s v="BOLIVIA"/>
    <n v="42395"/>
    <n v="2940002"/>
    <s v="100% POLIESTER-TAMPO INDUCOL GEOMETRIC BL (A0"/>
    <s v="INDUCOL INDUSTRIA"/>
    <s v="EX"/>
    <s v="Colchão M.E."/>
    <n v="88"/>
    <s v="JOSIMAR"/>
    <n v="44742"/>
    <m/>
    <n v="23.61"/>
    <n v="9548.83"/>
    <s v="KG"/>
    <n v="200"/>
    <n v="18"/>
    <n v="854"/>
    <n v="404.44"/>
    <n v="2.87"/>
    <n v="6252.32"/>
    <m/>
    <m/>
    <m/>
    <n v="381.95"/>
    <n v="190.98"/>
    <n v="622.84"/>
    <n v="2100.7399999999998"/>
    <n v="5839.5"/>
    <m/>
    <m/>
    <n v="11.181299765807962"/>
  </r>
  <r>
    <x v="1"/>
    <x v="1"/>
    <s v="COLCHÃO M.E."/>
    <s v="DIRETO"/>
    <x v="13"/>
    <s v="NADA"/>
    <s v="BOLIVIA"/>
    <n v="42395"/>
    <n v="2940003"/>
    <s v="100% POLIESTER-TAMPO INDUCOL HEXAGN BLUE (A08"/>
    <s v="INDUCOL INDUSTRIA"/>
    <s v="EX"/>
    <s v="Colchão M.E."/>
    <n v="88"/>
    <s v="JOSIMAR"/>
    <n v="44742"/>
    <m/>
    <n v="27.29"/>
    <n v="11120.13"/>
    <s v="KG"/>
    <n v="200"/>
    <n v="18"/>
    <n v="922"/>
    <n v="407.48"/>
    <n v="-0.22"/>
    <n v="7378.97"/>
    <m/>
    <m/>
    <m/>
    <n v="444.81"/>
    <n v="222.4"/>
    <n v="627.52"/>
    <n v="2446.4299999999998"/>
    <n v="6541.92"/>
    <m/>
    <m/>
    <n v="12.060878524945769"/>
  </r>
  <r>
    <x v="1"/>
    <x v="1"/>
    <s v="COLCHÃO M.E."/>
    <s v="DIRETO"/>
    <x v="13"/>
    <s v="NADA"/>
    <s v="BOLIVIA"/>
    <n v="42395"/>
    <n v="2940004"/>
    <s v="100% POLIESTER-TAMPO INDUCOL STAR BLACK (A088"/>
    <s v="INDUCOL INDUSTRIA"/>
    <s v="EX"/>
    <s v="Colchão M.E."/>
    <n v="88"/>
    <s v="JOSIMAR"/>
    <n v="44742"/>
    <m/>
    <n v="24.67"/>
    <n v="8766.24"/>
    <s v="KG"/>
    <n v="200"/>
    <n v="19"/>
    <n v="784"/>
    <n v="355.34"/>
    <n v="1.49"/>
    <n v="5764.47"/>
    <m/>
    <m/>
    <m/>
    <n v="350.65"/>
    <n v="175.32"/>
    <n v="547.22"/>
    <n v="1928.57"/>
    <n v="5118.7299999999996"/>
    <m/>
    <m/>
    <n v="11.181428571428571"/>
  </r>
  <r>
    <x v="1"/>
    <x v="1"/>
    <s v="COLCHÃO M.E."/>
    <s v="DIRETO"/>
    <x v="13"/>
    <s v="NADA"/>
    <s v="BOLIVIA"/>
    <n v="42395"/>
    <n v="2940005"/>
    <s v="100% POLIESTER-TAMPO INDUCOL ONDAS BLACK (A08"/>
    <s v="INDUCOL INDUSTRIA"/>
    <s v="EX"/>
    <s v="Colchão M.E."/>
    <n v="88"/>
    <s v="JOSIMAR"/>
    <n v="44742"/>
    <m/>
    <n v="24.84"/>
    <n v="10258.92"/>
    <s v="KG"/>
    <n v="200"/>
    <n v="20"/>
    <n v="948"/>
    <n v="413"/>
    <n v="-1.1000000000000001"/>
    <n v="6750.4"/>
    <m/>
    <m/>
    <m/>
    <n v="410.36"/>
    <n v="205.18"/>
    <n v="636.02"/>
    <n v="2256.96"/>
    <n v="5956.69"/>
    <m/>
    <m/>
    <n v="10.821645569620253"/>
  </r>
  <r>
    <x v="1"/>
    <x v="1"/>
    <s v="COLCHÃO M.E."/>
    <s v="DIRETO"/>
    <x v="13"/>
    <s v="NADA"/>
    <s v="BOLIVIA"/>
    <n v="42395"/>
    <n v="2940006"/>
    <s v="100% POLIESTER-TAMPO INDUCOL PALETAS BLUE (A0"/>
    <s v="INDUCOL INDUSTRIA"/>
    <s v="EX"/>
    <s v="Colchão M.E."/>
    <n v="88"/>
    <s v="JOSIMAR"/>
    <n v="44742"/>
    <m/>
    <n v="28.13"/>
    <n v="9211.73"/>
    <s v="KG"/>
    <n v="200"/>
    <n v="15"/>
    <n v="786"/>
    <n v="327.47000000000003"/>
    <n v="-2"/>
    <n v="6128.14"/>
    <m/>
    <m/>
    <m/>
    <n v="368.47"/>
    <n v="184.23"/>
    <n v="504.3"/>
    <n v="2026.58"/>
    <n v="5241.37"/>
    <m/>
    <m/>
    <n v="11.719758269720101"/>
  </r>
  <r>
    <x v="1"/>
    <x v="1"/>
    <s v="COLCHÃO M.E."/>
    <s v="DIRETO"/>
    <x v="13"/>
    <s v="NADA"/>
    <s v="BOLIVIA"/>
    <n v="42395"/>
    <n v="2940007"/>
    <s v="100% POLIESTER-TAMPO INDUCOL LINES BLUE (A088"/>
    <s v="INDUCOL INDUSTRIA"/>
    <s v="EX"/>
    <s v="Colchão M.E."/>
    <n v="88"/>
    <s v="JOSIMAR"/>
    <n v="44742"/>
    <m/>
    <n v="27.12"/>
    <n v="9457.02"/>
    <s v="KG"/>
    <n v="200"/>
    <n v="17"/>
    <n v="784"/>
    <n v="348.71"/>
    <n v="-4.99"/>
    <n v="6272.04"/>
    <m/>
    <m/>
    <m/>
    <n v="378.28"/>
    <n v="189.14"/>
    <n v="537.01"/>
    <n v="2080.54"/>
    <n v="5994.19"/>
    <m/>
    <m/>
    <n v="12.062525510204082"/>
  </r>
  <r>
    <x v="1"/>
    <x v="1"/>
    <s v="COLCHÃO M.E."/>
    <s v="DIRETO"/>
    <x v="13"/>
    <s v="NADA"/>
    <s v="BOLIVIA"/>
    <n v="42395"/>
    <n v="2940008"/>
    <s v="100% POLIESTER-TAMPO BALON BLUE (A08859)-[Ped"/>
    <s v="INDUCOL INDUSTRIA"/>
    <s v="EX"/>
    <s v="Colchão M.E."/>
    <n v="88"/>
    <s v="JOSIMAR"/>
    <n v="44742"/>
    <m/>
    <n v="27.06"/>
    <n v="8841.58"/>
    <s v="KG"/>
    <n v="200"/>
    <n v="14"/>
    <n v="733"/>
    <n v="326.74"/>
    <n v="5.91"/>
    <n v="6216.42"/>
    <m/>
    <m/>
    <m/>
    <m/>
    <n v="176.83"/>
    <n v="503.18"/>
    <n v="1945.15"/>
    <n v="5466.14"/>
    <m/>
    <m/>
    <n v="12.062182810368348"/>
  </r>
  <r>
    <x v="1"/>
    <x v="1"/>
    <s v="COLCHÃO M.E."/>
    <s v="DIRETO"/>
    <x v="13"/>
    <s v="NADA"/>
    <s v="BOLIVIA"/>
    <n v="42395"/>
    <n v="2940009"/>
    <s v="100% POLIESTER-TAMPO BALON BROWN (A08862)-[Pe"/>
    <s v="INDUCOL INDUSTRIA"/>
    <s v="EX"/>
    <s v="Colchão M.E."/>
    <n v="88"/>
    <s v="JOSIMAR"/>
    <n v="44742"/>
    <m/>
    <n v="26.44"/>
    <n v="7881.76"/>
    <s v="KG"/>
    <n v="200"/>
    <n v="15"/>
    <n v="705"/>
    <n v="298.10000000000002"/>
    <n v="7.09"/>
    <n v="5531.06"/>
    <m/>
    <m/>
    <m/>
    <m/>
    <n v="157.63999999999999"/>
    <n v="459.07"/>
    <n v="1733.99"/>
    <n v="4894.63"/>
    <m/>
    <m/>
    <n v="11.179801418439716"/>
  </r>
  <r>
    <x v="1"/>
    <x v="1"/>
    <s v="COLCHÃO M.E."/>
    <s v="DIRETO"/>
    <x v="13"/>
    <s v="NADA"/>
    <s v="BOLIVIA"/>
    <n v="42395"/>
    <n v="2940013"/>
    <s v="100% POLIESTER-TAMPO ONDULATE GRAY (A08868)-["/>
    <s v="INDUCOL INDUSTRIA"/>
    <s v="EX"/>
    <s v="Colchão M.E."/>
    <n v="88"/>
    <s v="JOSIMAR"/>
    <n v="44742"/>
    <m/>
    <n v="25.98"/>
    <n v="9492.57"/>
    <s v="KG"/>
    <n v="200"/>
    <n v="17"/>
    <n v="849"/>
    <n v="365.38"/>
    <n v="5.08"/>
    <n v="6271.97"/>
    <m/>
    <m/>
    <m/>
    <n v="379.7"/>
    <n v="189.85"/>
    <n v="562.69000000000005"/>
    <n v="2088.37"/>
    <n v="5356"/>
    <m/>
    <m/>
    <n v="11.180883392226148"/>
  </r>
  <r>
    <x v="1"/>
    <x v="1"/>
    <s v="COLCHÃO M.E."/>
    <s v="DIRETO"/>
    <x v="13"/>
    <s v="NADA"/>
    <s v="BOLIVIA"/>
    <n v="42395"/>
    <n v="2940015"/>
    <s v="100% POLIESTER-TAMPO PRISMA BLUE (A08870)-[Pe"/>
    <s v="INDUCOL INDUSTRIA"/>
    <s v="EX"/>
    <s v="Colchão M.E."/>
    <n v="88"/>
    <s v="JOSIMAR"/>
    <n v="44742"/>
    <m/>
    <n v="26.89"/>
    <n v="4812.2299999999996"/>
    <s v="KG"/>
    <n v="200"/>
    <n v="8"/>
    <n v="399"/>
    <n v="178.96"/>
    <n v="6.3"/>
    <n v="3381.7"/>
    <m/>
    <m/>
    <m/>
    <m/>
    <n v="96.24"/>
    <n v="275.60000000000002"/>
    <n v="1058.69"/>
    <n v="2975.35"/>
    <m/>
    <m/>
    <n v="12.060726817042605"/>
  </r>
  <r>
    <x v="1"/>
    <x v="1"/>
    <s v="COLCHÃO M.E."/>
    <s v="DIRETO"/>
    <x v="13"/>
    <s v="NADA"/>
    <s v="BOLIVIA"/>
    <n v="42395"/>
    <n v="2940016"/>
    <s v="100% POLIESTER-TAMPO OCEAN BLUE (A09016)-[Ped"/>
    <s v="INDUCOL INDUSTRIA"/>
    <s v="EX"/>
    <s v="Colchão M.E."/>
    <n v="88"/>
    <s v="JOSIMAR"/>
    <n v="44742"/>
    <m/>
    <n v="31.04"/>
    <n v="8934.5499999999993"/>
    <s v="KG"/>
    <n v="200"/>
    <n v="14"/>
    <n v="646"/>
    <n v="287.83999999999997"/>
    <n v="4.07"/>
    <n v="5989.6"/>
    <m/>
    <m/>
    <m/>
    <n v="357.38"/>
    <n v="178.69"/>
    <n v="443.27"/>
    <n v="1965.6"/>
    <n v="5515.21"/>
    <m/>
    <m/>
    <n v="13.830572755417956"/>
  </r>
  <r>
    <x v="1"/>
    <x v="1"/>
    <s v="COLCHÃO M.E."/>
    <s v="DIRETO"/>
    <x v="13"/>
    <s v="NADA"/>
    <s v="BOLIVIA"/>
    <n v="42395"/>
    <n v="2940012"/>
    <s v="100% POLIESTER-TAMPO BALON BLUE (A08871)-[Ped"/>
    <s v="INDUCOL INDUSTRIA"/>
    <s v="EX"/>
    <s v="Colchão M.E."/>
    <n v="88"/>
    <s v="JOSIMAR"/>
    <n v="44742"/>
    <m/>
    <n v="26.05"/>
    <n v="8128.12"/>
    <s v="KG"/>
    <n v="200"/>
    <n v="16"/>
    <n v="674"/>
    <n v="312.02"/>
    <n v="0.14000000000000001"/>
    <n v="5371.74"/>
    <m/>
    <m/>
    <m/>
    <n v="325.12"/>
    <n v="162.56"/>
    <n v="480.51"/>
    <n v="1788.19"/>
    <n v="5363.5"/>
    <m/>
    <m/>
    <n v="12.059525222551928"/>
  </r>
  <r>
    <x v="1"/>
    <x v="1"/>
    <s v="COLCHÃO M.E."/>
    <s v="DIRETO"/>
    <x v="13"/>
    <s v="NADA"/>
    <s v="BOLIVIA"/>
    <n v="42395"/>
    <n v="2940001"/>
    <s v="100% POLIESTER-TAMPO INDUCOL BLACK (A08858)-["/>
    <s v="INDUCOL INDUSTRIA"/>
    <s v="EX"/>
    <s v="Colchão M.E."/>
    <n v="88"/>
    <s v="JOSIMAR"/>
    <n v="44742"/>
    <m/>
    <n v="26.64"/>
    <n v="-11770.88"/>
    <s v="KG"/>
    <n v="200"/>
    <n v="20"/>
    <n v="-976"/>
    <n v="-441.85"/>
    <n v="7.64"/>
    <n v="-7794.58"/>
    <m/>
    <m/>
    <m/>
    <n v="470.84"/>
    <n v="235.42"/>
    <n v="680.45"/>
    <n v="2589.59"/>
    <n v="-6381.86"/>
    <m/>
    <m/>
    <n v="12.060327868852458"/>
  </r>
  <r>
    <x v="1"/>
    <x v="1"/>
    <s v="COLCHÃO M.E."/>
    <s v="DIRETO"/>
    <x v="13"/>
    <s v="NADA"/>
    <s v="BOLIVIA"/>
    <n v="42395"/>
    <n v="2940002"/>
    <s v="100% POLIESTER-TAMPO INDUCOL GEOMETRIC BL (A0"/>
    <s v="INDUCOL INDUSTRIA"/>
    <s v="EX"/>
    <s v="Colchão M.E."/>
    <n v="88"/>
    <s v="JOSIMAR"/>
    <n v="44742"/>
    <m/>
    <n v="23.61"/>
    <n v="-9548.83"/>
    <s v="KG"/>
    <n v="200"/>
    <n v="18"/>
    <n v="-854"/>
    <n v="-404.44"/>
    <n v="2.87"/>
    <n v="-6252.32"/>
    <m/>
    <m/>
    <m/>
    <n v="381.95"/>
    <n v="190.98"/>
    <n v="622.84"/>
    <n v="2100.7399999999998"/>
    <n v="-5839.5"/>
    <m/>
    <m/>
    <n v="11.181299765807962"/>
  </r>
  <r>
    <x v="1"/>
    <x v="1"/>
    <s v="COLCHÃO M.E."/>
    <s v="DIRETO"/>
    <x v="13"/>
    <s v="NADA"/>
    <s v="BOLIVIA"/>
    <n v="42395"/>
    <n v="2940003"/>
    <s v="100% POLIESTER-TAMPO INDUCOL HEXAGN BLUE (A08"/>
    <s v="INDUCOL INDUSTRIA"/>
    <s v="EX"/>
    <s v="Colchão M.E."/>
    <n v="88"/>
    <s v="JOSIMAR"/>
    <n v="44742"/>
    <m/>
    <n v="27.29"/>
    <n v="-11120.13"/>
    <s v="KG"/>
    <n v="200"/>
    <n v="18"/>
    <n v="-922"/>
    <n v="-407.48"/>
    <n v="-0.22"/>
    <n v="-7378.97"/>
    <m/>
    <m/>
    <m/>
    <n v="444.81"/>
    <n v="222.4"/>
    <n v="627.52"/>
    <n v="2446.4299999999998"/>
    <n v="-6541.92"/>
    <m/>
    <m/>
    <n v="12.060878524945769"/>
  </r>
  <r>
    <x v="1"/>
    <x v="1"/>
    <s v="COLCHÃO M.E."/>
    <s v="DIRETO"/>
    <x v="13"/>
    <s v="NADA"/>
    <s v="BOLIVIA"/>
    <n v="42395"/>
    <n v="2940004"/>
    <s v="100% POLIESTER-TAMPO INDUCOL STAR BLACK (A088"/>
    <s v="INDUCOL INDUSTRIA"/>
    <s v="EX"/>
    <s v="Colchão M.E."/>
    <n v="88"/>
    <s v="JOSIMAR"/>
    <n v="44742"/>
    <m/>
    <n v="24.67"/>
    <n v="-8766.24"/>
    <s v="KG"/>
    <n v="200"/>
    <n v="19"/>
    <n v="-784"/>
    <n v="-355.34"/>
    <n v="1.49"/>
    <n v="-5764.47"/>
    <m/>
    <m/>
    <m/>
    <n v="350.65"/>
    <n v="175.32"/>
    <n v="547.22"/>
    <n v="1928.57"/>
    <n v="-5118.7299999999996"/>
    <m/>
    <m/>
    <n v="11.181428571428571"/>
  </r>
  <r>
    <x v="1"/>
    <x v="1"/>
    <s v="COLCHÃO M.E."/>
    <s v="DIRETO"/>
    <x v="13"/>
    <s v="NADA"/>
    <s v="BOLIVIA"/>
    <n v="42395"/>
    <n v="2940005"/>
    <s v="100% POLIESTER-TAMPO INDUCOL ONDAS BLACK (A08"/>
    <s v="INDUCOL INDUSTRIA"/>
    <s v="EX"/>
    <s v="Colchão M.E."/>
    <n v="88"/>
    <s v="JOSIMAR"/>
    <n v="44742"/>
    <m/>
    <n v="24.84"/>
    <n v="-10258.92"/>
    <s v="KG"/>
    <n v="200"/>
    <n v="20"/>
    <n v="-948"/>
    <n v="-413"/>
    <n v="-1.1000000000000001"/>
    <n v="-6750.4"/>
    <m/>
    <m/>
    <m/>
    <n v="410.36"/>
    <n v="205.18"/>
    <n v="636.02"/>
    <n v="2256.96"/>
    <n v="-5956.69"/>
    <m/>
    <m/>
    <n v="10.821645569620253"/>
  </r>
  <r>
    <x v="1"/>
    <x v="1"/>
    <s v="COLCHÃO M.E."/>
    <s v="DIRETO"/>
    <x v="13"/>
    <s v="NADA"/>
    <s v="BOLIVIA"/>
    <n v="42395"/>
    <n v="2940006"/>
    <s v="100% POLIESTER-TAMPO INDUCOL PALETAS BLUE (A0"/>
    <s v="INDUCOL INDUSTRIA"/>
    <s v="EX"/>
    <s v="Colchão M.E."/>
    <n v="88"/>
    <s v="JOSIMAR"/>
    <n v="44742"/>
    <m/>
    <n v="28.13"/>
    <n v="-9211.73"/>
    <s v="KG"/>
    <n v="200"/>
    <n v="15"/>
    <n v="-786"/>
    <n v="-327.47000000000003"/>
    <n v="-2"/>
    <n v="-6128.14"/>
    <m/>
    <m/>
    <m/>
    <n v="368.47"/>
    <n v="184.23"/>
    <n v="504.3"/>
    <n v="2026.58"/>
    <n v="-5241.37"/>
    <m/>
    <m/>
    <n v="11.719758269720101"/>
  </r>
  <r>
    <x v="1"/>
    <x v="1"/>
    <s v="COLCHÃO M.E."/>
    <s v="DIRETO"/>
    <x v="13"/>
    <s v="NADA"/>
    <s v="BOLIVIA"/>
    <n v="42395"/>
    <n v="2940007"/>
    <s v="100% POLIESTER-TAMPO INDUCOL LINES BLUE (A088"/>
    <s v="INDUCOL INDUSTRIA"/>
    <s v="EX"/>
    <s v="Colchão M.E."/>
    <n v="88"/>
    <s v="JOSIMAR"/>
    <n v="44742"/>
    <m/>
    <n v="27.12"/>
    <n v="-9457.02"/>
    <s v="KG"/>
    <n v="200"/>
    <n v="17"/>
    <n v="-784"/>
    <n v="-348.71"/>
    <n v="-4.99"/>
    <n v="-6272.04"/>
    <m/>
    <m/>
    <m/>
    <n v="378.28"/>
    <n v="189.14"/>
    <n v="537.01"/>
    <n v="2080.54"/>
    <n v="-5994.19"/>
    <m/>
    <m/>
    <n v="12.062525510204082"/>
  </r>
  <r>
    <x v="1"/>
    <x v="1"/>
    <s v="COLCHÃO M.E."/>
    <s v="DIRETO"/>
    <x v="13"/>
    <s v="NADA"/>
    <s v="BOLIVIA"/>
    <n v="42395"/>
    <n v="2940008"/>
    <s v="100% POLIESTER-TAMPO BALON BLUE (A08859)-[Ped"/>
    <s v="INDUCOL INDUSTRIA"/>
    <s v="EX"/>
    <s v="Colchão M.E."/>
    <n v="88"/>
    <s v="JOSIMAR"/>
    <n v="44742"/>
    <m/>
    <n v="27.06"/>
    <n v="-8841.58"/>
    <s v="KG"/>
    <n v="200"/>
    <n v="14"/>
    <n v="-733"/>
    <n v="-326.74"/>
    <n v="5.91"/>
    <n v="-6216.42"/>
    <m/>
    <m/>
    <m/>
    <m/>
    <n v="176.83"/>
    <n v="503.18"/>
    <n v="1945.15"/>
    <n v="-5466.14"/>
    <m/>
    <m/>
    <n v="12.062182810368348"/>
  </r>
  <r>
    <x v="1"/>
    <x v="1"/>
    <s v="COLCHÃO M.E."/>
    <s v="DIRETO"/>
    <x v="13"/>
    <s v="NADA"/>
    <s v="BOLIVIA"/>
    <n v="42395"/>
    <n v="2940009"/>
    <s v="100% POLIESTER-TAMPO BALON BROWN (A08862)-[Pe"/>
    <s v="INDUCOL INDUSTRIA"/>
    <s v="EX"/>
    <s v="Colchão M.E."/>
    <n v="88"/>
    <s v="JOSIMAR"/>
    <n v="44742"/>
    <m/>
    <n v="26.44"/>
    <n v="-7881.76"/>
    <s v="KG"/>
    <n v="200"/>
    <n v="15"/>
    <n v="-705"/>
    <n v="-298.10000000000002"/>
    <n v="7.09"/>
    <n v="-5531.06"/>
    <m/>
    <m/>
    <m/>
    <m/>
    <n v="157.63999999999999"/>
    <n v="459.07"/>
    <n v="1733.99"/>
    <n v="-4894.63"/>
    <m/>
    <m/>
    <n v="11.179801418439716"/>
  </r>
  <r>
    <x v="1"/>
    <x v="1"/>
    <s v="COLCHÃO M.E."/>
    <s v="DIRETO"/>
    <x v="13"/>
    <s v="NADA"/>
    <s v="BOLIVIA"/>
    <n v="42395"/>
    <n v="2940013"/>
    <s v="100% POLIESTER-TAMPO ONDULATE GRAY (A08868)-["/>
    <s v="INDUCOL INDUSTRIA"/>
    <s v="EX"/>
    <s v="Colchão M.E."/>
    <n v="88"/>
    <s v="JOSIMAR"/>
    <n v="44742"/>
    <m/>
    <n v="25.98"/>
    <n v="-9492.57"/>
    <s v="KG"/>
    <n v="200"/>
    <n v="17"/>
    <n v="-849"/>
    <n v="-365.38"/>
    <n v="5.08"/>
    <n v="-6271.97"/>
    <m/>
    <m/>
    <m/>
    <n v="379.7"/>
    <n v="189.85"/>
    <n v="562.69000000000005"/>
    <n v="2088.37"/>
    <n v="-5356"/>
    <m/>
    <m/>
    <n v="11.180883392226148"/>
  </r>
  <r>
    <x v="1"/>
    <x v="1"/>
    <s v="COLCHÃO M.E."/>
    <s v="DIRETO"/>
    <x v="13"/>
    <s v="NADA"/>
    <s v="BOLIVIA"/>
    <n v="42395"/>
    <n v="2940015"/>
    <s v="100% POLIESTER-TAMPO PRISMA BLUE (A08870)-[Pe"/>
    <s v="INDUCOL INDUSTRIA"/>
    <s v="EX"/>
    <s v="Colchão M.E."/>
    <n v="88"/>
    <s v="JOSIMAR"/>
    <n v="44742"/>
    <m/>
    <n v="26.89"/>
    <n v="-4812.2299999999996"/>
    <s v="KG"/>
    <n v="200"/>
    <n v="8"/>
    <n v="-399"/>
    <n v="-178.96"/>
    <n v="6.3"/>
    <n v="-3381.7"/>
    <m/>
    <m/>
    <m/>
    <m/>
    <n v="96.24"/>
    <n v="275.60000000000002"/>
    <n v="1058.69"/>
    <n v="-2975.35"/>
    <m/>
    <m/>
    <n v="12.060726817042605"/>
  </r>
  <r>
    <x v="1"/>
    <x v="1"/>
    <s v="COLCHÃO M.E."/>
    <s v="DIRETO"/>
    <x v="13"/>
    <s v="NADA"/>
    <s v="BOLIVIA"/>
    <n v="42395"/>
    <n v="2940016"/>
    <s v="100% POLIESTER-TAMPO OCEAN BLUE (A09016)-[Ped"/>
    <s v="INDUCOL INDUSTRIA"/>
    <s v="EX"/>
    <s v="Colchão M.E."/>
    <n v="88"/>
    <s v="JOSIMAR"/>
    <n v="44742"/>
    <m/>
    <n v="31.04"/>
    <n v="-8934.5499999999993"/>
    <s v="KG"/>
    <n v="200"/>
    <n v="14"/>
    <n v="-646"/>
    <n v="-287.83999999999997"/>
    <n v="4.07"/>
    <n v="-5989.6"/>
    <m/>
    <m/>
    <m/>
    <n v="357.38"/>
    <n v="178.69"/>
    <n v="443.27"/>
    <n v="1965.6"/>
    <n v="-5515.21"/>
    <m/>
    <m/>
    <n v="13.830572755417956"/>
  </r>
  <r>
    <x v="1"/>
    <x v="1"/>
    <s v="COLCHÃO M.E."/>
    <s v="DIRETO"/>
    <x v="13"/>
    <s v="NADA"/>
    <s v="BOLIVIA"/>
    <n v="42395"/>
    <n v="2940012"/>
    <s v="100% POLIESTER-TAMPO BALON BLUE (A08871)-[Ped"/>
    <s v="INDUCOL INDUSTRIA"/>
    <s v="EX"/>
    <s v="Colchão M.E."/>
    <n v="88"/>
    <s v="JOSIMAR"/>
    <n v="44742"/>
    <m/>
    <n v="26.05"/>
    <n v="-8128.12"/>
    <s v="KG"/>
    <n v="200"/>
    <n v="16"/>
    <n v="-674"/>
    <n v="-312.02"/>
    <n v="0.14000000000000001"/>
    <n v="-5371.74"/>
    <m/>
    <m/>
    <m/>
    <n v="325.12"/>
    <n v="162.56"/>
    <n v="480.51"/>
    <n v="1788.19"/>
    <n v="-5363.5"/>
    <m/>
    <m/>
    <n v="12.059525222551928"/>
  </r>
  <r>
    <x v="2"/>
    <x v="1"/>
    <s v="COLCHÃO M.E."/>
    <s v="DIRETO"/>
    <x v="13"/>
    <s v="NADA"/>
    <s v="BOLIVIA"/>
    <n v="42509"/>
    <n v="2940001"/>
    <s v="100% POLIESTER- TAMPO INDUCOL BLACK (A08858)-"/>
    <s v="INDUCOL INDUSTRIA"/>
    <s v="EX"/>
    <s v="Colchão M.E."/>
    <n v="88"/>
    <s v="JOSIMAR"/>
    <n v="44754"/>
    <m/>
    <n v="26.58"/>
    <n v="11744.37"/>
    <s v="KG"/>
    <n v="200"/>
    <n v="20"/>
    <n v="976"/>
    <n v="441.85"/>
    <n v="7.64"/>
    <n v="7775.5"/>
    <m/>
    <m/>
    <m/>
    <n v="469.77"/>
    <n v="234.89"/>
    <n v="680.45"/>
    <n v="2583.7600000000002"/>
    <n v="6381.86"/>
    <m/>
    <m/>
    <n v="12.033165983606558"/>
  </r>
  <r>
    <x v="2"/>
    <x v="1"/>
    <s v="COLCHÃO M.E."/>
    <s v="DIRETO"/>
    <x v="13"/>
    <s v="NADA"/>
    <s v="BOLIVIA"/>
    <n v="42509"/>
    <n v="2940002"/>
    <s v="100% POLIESTER- TAMPO INDUCOL GEOMETRIC BL (A"/>
    <s v="INDUCOL INDUSTRIA"/>
    <s v="EX"/>
    <s v="Colchão M.E."/>
    <n v="88"/>
    <s v="JOSIMAR"/>
    <n v="44754"/>
    <m/>
    <n v="23.59"/>
    <n v="9540.74"/>
    <s v="KG"/>
    <n v="200"/>
    <n v="18"/>
    <n v="854"/>
    <n v="404.44"/>
    <n v="2.87"/>
    <n v="6246.5"/>
    <m/>
    <m/>
    <m/>
    <n v="381.63"/>
    <n v="190.81"/>
    <n v="622.84"/>
    <n v="2098.96"/>
    <n v="5839.5"/>
    <m/>
    <m/>
    <n v="11.171826697892271"/>
  </r>
  <r>
    <x v="2"/>
    <x v="1"/>
    <s v="COLCHÃO M.E."/>
    <s v="DIRETO"/>
    <x v="13"/>
    <s v="NADA"/>
    <s v="BOLIVIA"/>
    <n v="42509"/>
    <n v="2940003"/>
    <s v="100% POLIESTER- TAMPO INDUCOL HEXAGN BLUE (A0"/>
    <s v="INDUCOL INDUSTRIA"/>
    <s v="EX"/>
    <s v="Colchão M.E."/>
    <n v="88"/>
    <s v="JOSIMAR"/>
    <n v="44754"/>
    <m/>
    <n v="27.22"/>
    <n v="11091.61"/>
    <s v="KG"/>
    <n v="200"/>
    <n v="18"/>
    <n v="922"/>
    <n v="407.48"/>
    <n v="-0.22"/>
    <n v="7358.44"/>
    <m/>
    <m/>
    <m/>
    <n v="443.66"/>
    <n v="221.83"/>
    <n v="627.52"/>
    <n v="2440.15"/>
    <n v="6541.92"/>
    <m/>
    <m/>
    <n v="12.029945770065076"/>
  </r>
  <r>
    <x v="2"/>
    <x v="1"/>
    <s v="COLCHÃO M.E."/>
    <s v="DIRETO"/>
    <x v="13"/>
    <s v="NADA"/>
    <s v="BOLIVIA"/>
    <n v="42509"/>
    <n v="2940004"/>
    <s v="100% POLIESTER- TAMPO INDUCOL STAR BLACK (A08"/>
    <s v="INDUCOL INDUSTRIA"/>
    <s v="EX"/>
    <s v="Colchão M.E."/>
    <n v="88"/>
    <s v="JOSIMAR"/>
    <n v="44754"/>
    <m/>
    <n v="24.65"/>
    <n v="8759.1299999999992"/>
    <s v="KG"/>
    <n v="200"/>
    <n v="19"/>
    <n v="784"/>
    <n v="355.34"/>
    <n v="1.49"/>
    <n v="5759.35"/>
    <m/>
    <m/>
    <m/>
    <n v="350.37"/>
    <n v="175.18"/>
    <n v="547.22"/>
    <n v="1927.01"/>
    <n v="5118.7299999999996"/>
    <m/>
    <m/>
    <n v="11.172359693877549"/>
  </r>
  <r>
    <x v="2"/>
    <x v="1"/>
    <s v="COLCHÃO M.E."/>
    <s v="DIRETO"/>
    <x v="13"/>
    <s v="NADA"/>
    <s v="BOLIVIA"/>
    <n v="42509"/>
    <n v="2940005"/>
    <s v="100% POLIESTER- TAMPO INDUCOL ONDAS BLACK (A0"/>
    <s v="INDUCOL INDUSTRIA"/>
    <s v="EX"/>
    <s v="Colchão M.E."/>
    <n v="88"/>
    <s v="JOSIMAR"/>
    <n v="44754"/>
    <m/>
    <n v="24.79"/>
    <n v="10238.27"/>
    <s v="KG"/>
    <n v="200"/>
    <n v="20"/>
    <n v="948"/>
    <n v="413"/>
    <n v="-1.1000000000000001"/>
    <n v="6735.53"/>
    <m/>
    <m/>
    <m/>
    <n v="409.53"/>
    <n v="204.77"/>
    <n v="636.02"/>
    <n v="2252.42"/>
    <n v="5956.69"/>
    <m/>
    <m/>
    <n v="10.799862869198313"/>
  </r>
  <r>
    <x v="2"/>
    <x v="1"/>
    <s v="COLCHÃO M.E."/>
    <s v="DIRETO"/>
    <x v="13"/>
    <s v="NADA"/>
    <s v="BOLIVIA"/>
    <n v="42509"/>
    <n v="2940006"/>
    <s v="100% POLIESTER- TAMPO INDUCOL PALETAS BLUE (A"/>
    <s v="INDUCOL INDUSTRIA"/>
    <s v="EX"/>
    <s v="Colchão M.E."/>
    <n v="88"/>
    <s v="JOSIMAR"/>
    <n v="44754"/>
    <m/>
    <n v="28.12"/>
    <n v="10024.5"/>
    <s v="KG"/>
    <n v="200"/>
    <n v="17"/>
    <n v="856"/>
    <n v="356.49"/>
    <n v="-2"/>
    <n v="6668.65"/>
    <m/>
    <m/>
    <m/>
    <n v="400.98"/>
    <n v="200.49"/>
    <n v="548.99"/>
    <n v="2205.39"/>
    <n v="5705.86"/>
    <m/>
    <m/>
    <n v="11.710864485981308"/>
  </r>
  <r>
    <x v="2"/>
    <x v="1"/>
    <s v="COLCHÃO M.E."/>
    <s v="DIRETO"/>
    <x v="13"/>
    <s v="NADA"/>
    <s v="BOLIVIA"/>
    <n v="42509"/>
    <n v="2940007"/>
    <s v="100% POLIESTER- TAMPO INDUCOL LINES BLUE (A08"/>
    <s v="INDUCOL INDUSTRIA"/>
    <s v="EX"/>
    <s v="Colchão M.E."/>
    <n v="88"/>
    <s v="JOSIMAR"/>
    <n v="44754"/>
    <m/>
    <n v="27.05"/>
    <n v="9432.61"/>
    <s v="KG"/>
    <n v="200"/>
    <n v="17"/>
    <n v="784"/>
    <n v="348.71"/>
    <n v="-4.99"/>
    <n v="6254.47"/>
    <m/>
    <m/>
    <m/>
    <n v="377.3"/>
    <n v="188.65"/>
    <n v="537.01"/>
    <n v="2075.17"/>
    <n v="5994.19"/>
    <m/>
    <m/>
    <n v="12.03139030612245"/>
  </r>
  <r>
    <x v="2"/>
    <x v="1"/>
    <s v="COLCHÃO M.E."/>
    <s v="DIRETO"/>
    <x v="13"/>
    <s v="NADA"/>
    <s v="BOLIVIA"/>
    <n v="42509"/>
    <n v="2940008"/>
    <s v="100% POLIESTER- TAMPO BALON BLUE (A8859)-[Ped"/>
    <s v="INDUCOL INDUSTRIA"/>
    <s v="EX"/>
    <s v="Colchão M.E."/>
    <n v="88"/>
    <s v="JOSIMAR"/>
    <n v="44754"/>
    <m/>
    <n v="26.99"/>
    <n v="8818.7099999999991"/>
    <s v="KG"/>
    <n v="200"/>
    <n v="14"/>
    <n v="733"/>
    <n v="326.74"/>
    <n v="5.91"/>
    <n v="6199.04"/>
    <m/>
    <m/>
    <m/>
    <m/>
    <n v="176.37"/>
    <n v="503.18"/>
    <n v="1940.12"/>
    <n v="5466.14"/>
    <m/>
    <m/>
    <n v="12.030982264665756"/>
  </r>
  <r>
    <x v="2"/>
    <x v="1"/>
    <s v="COLCHÃO M.E."/>
    <s v="DIRETO"/>
    <x v="13"/>
    <s v="NADA"/>
    <s v="BOLIVIA"/>
    <n v="42509"/>
    <n v="2940009"/>
    <s v="100% POLIESTER- TAMPO BALON BROWN (A08862)-[P"/>
    <s v="INDUCOL INDUSTRIA"/>
    <s v="EX"/>
    <s v="Colchão M.E."/>
    <n v="88"/>
    <s v="JOSIMAR"/>
    <n v="44754"/>
    <m/>
    <n v="26.42"/>
    <n v="7875.8"/>
    <s v="KG"/>
    <n v="200"/>
    <n v="15"/>
    <n v="705"/>
    <n v="298.10000000000002"/>
    <n v="7.09"/>
    <n v="5526.53"/>
    <m/>
    <m/>
    <m/>
    <m/>
    <n v="157.52000000000001"/>
    <n v="459.07"/>
    <n v="1732.68"/>
    <n v="4894.63"/>
    <m/>
    <m/>
    <n v="11.171347517730498"/>
  </r>
  <r>
    <x v="2"/>
    <x v="1"/>
    <s v="COLCHÃO M.E."/>
    <s v="DIRETO"/>
    <x v="13"/>
    <s v="NADA"/>
    <s v="BOLIVIA"/>
    <n v="42509"/>
    <n v="2940011"/>
    <s v="100% POLIESTER- TAMPO LINHAS CRUZADAS AMARELA"/>
    <s v="INDUCOL INDUSTRIA"/>
    <s v="EX"/>
    <s v="Colchão M.E."/>
    <n v="88"/>
    <s v="JOSIMAR"/>
    <n v="44754"/>
    <m/>
    <n v="33.590000000000003"/>
    <n v="8154.98"/>
    <s v="KG"/>
    <n v="200"/>
    <n v="12"/>
    <n v="580"/>
    <n v="242.78"/>
    <n v="6.7"/>
    <n v="5823.9"/>
    <m/>
    <m/>
    <m/>
    <m/>
    <n v="163.1"/>
    <n v="373.88"/>
    <n v="1794.1"/>
    <n v="4753.58"/>
    <m/>
    <m/>
    <n v="14.060310344827585"/>
  </r>
  <r>
    <x v="2"/>
    <x v="1"/>
    <s v="COLCHÃO M.E."/>
    <s v="DIRETO"/>
    <x v="13"/>
    <s v="NADA"/>
    <s v="BOLIVIA"/>
    <n v="42509"/>
    <n v="2940010"/>
    <s v="100% POLIESTER- TAMPO DIAMANT AMARELO (A09013"/>
    <s v="INDUCOL INDUSTRIA"/>
    <s v="EX"/>
    <s v="Colchão M.E."/>
    <n v="88"/>
    <s v="JOSIMAR"/>
    <n v="44754"/>
    <m/>
    <n v="32.700000000000003"/>
    <n v="9883.58"/>
    <s v="KG"/>
    <n v="200"/>
    <n v="15"/>
    <n v="703"/>
    <n v="302.25"/>
    <n v="6.07"/>
    <n v="7046.06"/>
    <m/>
    <m/>
    <m/>
    <m/>
    <n v="197.67"/>
    <n v="465.47"/>
    <n v="2174.39"/>
    <n v="5976.02"/>
    <m/>
    <m/>
    <n v="14.059146514935989"/>
  </r>
  <r>
    <x v="2"/>
    <x v="1"/>
    <s v="COLCHÃO M.E."/>
    <s v="DIRETO"/>
    <x v="13"/>
    <s v="NADA"/>
    <s v="BOLIVIA"/>
    <n v="42509"/>
    <n v="2940013"/>
    <s v="100% POLIESTER- TAMPO ONDULATE GRAY (A08868)-"/>
    <s v="INDUCOL INDUSTRIA"/>
    <s v="EX"/>
    <s v="Colchão M.E."/>
    <n v="88"/>
    <s v="JOSIMAR"/>
    <n v="44754"/>
    <m/>
    <n v="26.03"/>
    <n v="10132.959999999999"/>
    <s v="KG"/>
    <n v="200"/>
    <n v="18"/>
    <n v="907"/>
    <n v="389.28"/>
    <n v="5.08"/>
    <n v="6696.24"/>
    <m/>
    <m/>
    <m/>
    <n v="405.32"/>
    <n v="202.66"/>
    <n v="599.49"/>
    <n v="2229.25"/>
    <n v="5706.34"/>
    <m/>
    <m/>
    <n v="11.171951488423373"/>
  </r>
  <r>
    <x v="2"/>
    <x v="1"/>
    <s v="COLCHÃO M.E."/>
    <s v="DIRETO"/>
    <x v="13"/>
    <s v="NADA"/>
    <s v="BOLIVIA"/>
    <n v="42509"/>
    <n v="2940015"/>
    <s v="100% POLIESTER- TAMPO PRISMA BLUE (A08870)-[P"/>
    <s v="INDUCOL INDUSTRIA"/>
    <s v="EX"/>
    <s v="Colchão M.E."/>
    <n v="88"/>
    <s v="JOSIMAR"/>
    <n v="44754"/>
    <m/>
    <n v="26.14"/>
    <n v="8877.67"/>
    <s v="KG"/>
    <n v="200"/>
    <n v="16"/>
    <n v="738"/>
    <n v="339.62"/>
    <n v="6.3"/>
    <n v="6224.01"/>
    <m/>
    <m/>
    <m/>
    <m/>
    <n v="177.55"/>
    <n v="523.01"/>
    <n v="1953.09"/>
    <n v="5646.44"/>
    <m/>
    <m/>
    <n v="12.029363143631436"/>
  </r>
  <r>
    <x v="2"/>
    <x v="1"/>
    <s v="COLCHÃO M.E."/>
    <s v="DIRETO"/>
    <x v="13"/>
    <s v="NADA"/>
    <s v="BOLIVIA"/>
    <n v="42509"/>
    <n v="2940016"/>
    <s v="100% POLIESTER- TAMPO OCEAN BLUE (A09016)-[Pe"/>
    <s v="INDUCOL INDUSTRIA"/>
    <s v="EX"/>
    <s v="Colchão M.E."/>
    <n v="88"/>
    <s v="JOSIMAR"/>
    <n v="44754"/>
    <m/>
    <n v="32.229999999999997"/>
    <n v="9730.8799999999992"/>
    <s v="KG"/>
    <n v="200"/>
    <n v="15"/>
    <n v="692"/>
    <n v="301.92"/>
    <n v="4.07"/>
    <n v="6541.28"/>
    <m/>
    <m/>
    <m/>
    <n v="389.24"/>
    <n v="194.62"/>
    <n v="464.96"/>
    <n v="2140.79"/>
    <n v="5784.99"/>
    <m/>
    <m/>
    <n v="14.061965317919073"/>
  </r>
  <r>
    <x v="2"/>
    <x v="1"/>
    <s v="COLCHÃO M.E."/>
    <s v="DIRETO"/>
    <x v="13"/>
    <s v="NADA"/>
    <s v="BOLIVIA"/>
    <n v="42509"/>
    <n v="2940012"/>
    <s v="100% POLIESTER- TAMPO BALON BLUE (A08871)-[Pe"/>
    <s v="INDUCOL INDUSTRIA"/>
    <s v="EX"/>
    <s v="Colchão M.E."/>
    <n v="88"/>
    <s v="JOSIMAR"/>
    <n v="44754"/>
    <m/>
    <n v="25.85"/>
    <n v="8975.1200000000008"/>
    <s v="KG"/>
    <n v="200"/>
    <n v="18"/>
    <n v="746"/>
    <n v="347.2"/>
    <n v="0.14000000000000001"/>
    <n v="5927.4"/>
    <m/>
    <m/>
    <m/>
    <n v="359"/>
    <n v="179.5"/>
    <n v="534.69000000000005"/>
    <n v="1974.53"/>
    <n v="5968.23"/>
    <m/>
    <m/>
    <n v="12.030991957104559"/>
  </r>
  <r>
    <x v="2"/>
    <x v="1"/>
    <s v="COLCHÃO M.E."/>
    <s v="DIRETO"/>
    <x v="13"/>
    <s v="NADA"/>
    <s v="BOLIVIA"/>
    <n v="42509"/>
    <n v="2940014"/>
    <s v="100% POLIESTER- TAMPO MULT PADRONES (A08857)-"/>
    <s v="INDUCOL INDUSTRIA"/>
    <s v="EX"/>
    <s v="Colchão M.E."/>
    <n v="88"/>
    <s v="JOSIMAR"/>
    <n v="44754"/>
    <m/>
    <n v="24.74"/>
    <n v="8565.48"/>
    <s v="KG"/>
    <n v="200"/>
    <n v="14"/>
    <n v="793"/>
    <n v="346.22"/>
    <n v="3.52"/>
    <n v="5633.97"/>
    <m/>
    <m/>
    <m/>
    <n v="342.62"/>
    <n v="171.31"/>
    <n v="533.17999999999995"/>
    <n v="1884.41"/>
    <n v="5013.37"/>
    <m/>
    <m/>
    <n v="10.801361916771752"/>
  </r>
  <r>
    <x v="2"/>
    <x v="1"/>
    <s v="COLCHÃO M.E."/>
    <s v="DIRETO"/>
    <x v="4"/>
    <s v="NADA"/>
    <s v="BOLIVIA"/>
    <n v="42514"/>
    <n v="2650100"/>
    <s v="TECIDO 100% POLIESTER - TECIDOS VARIADOS"/>
    <s v="WENTURS TRADE"/>
    <s v="EX"/>
    <s v="Colchão M.E."/>
    <n v="1"/>
    <s v="DIRETO"/>
    <n v="44754"/>
    <m/>
    <n v="17.18"/>
    <n v="58086.95"/>
    <s v="KG"/>
    <n v="261"/>
    <n v="160"/>
    <n v="5584"/>
    <n v="3381.08"/>
    <n v="66.92"/>
    <n v="38939.22"/>
    <m/>
    <m/>
    <m/>
    <m/>
    <n v="1161.74"/>
    <n v="5206.8599999999997"/>
    <n v="12779.13"/>
    <m/>
    <m/>
    <m/>
    <n v="10.40239075931232"/>
  </r>
  <r>
    <x v="2"/>
    <x v="1"/>
    <s v="COLCHÃO M.E."/>
    <s v="DIRETO"/>
    <x v="9"/>
    <s v="NADA"/>
    <s v="CHILE"/>
    <n v="42559"/>
    <n v="2810001"/>
    <s v="100% POLIESTER- TAMPO LOSANGULO PRETO DIF (A0"/>
    <s v="FLEX CHILE"/>
    <s v="EX"/>
    <s v="Colchão M.E."/>
    <n v="91"/>
    <s v="DIRETO"/>
    <n v="44756"/>
    <m/>
    <n v="32.11"/>
    <n v="30934.13"/>
    <s v="KG"/>
    <n v="160"/>
    <n v="48"/>
    <n v="2230"/>
    <n v="963.38"/>
    <n v="35.93"/>
    <n v="18377.490000000002"/>
    <m/>
    <n v="3648.84"/>
    <m/>
    <m/>
    <n v="618.67999999999995"/>
    <n v="1483.61"/>
    <n v="6805.51"/>
    <n v="14639.83"/>
    <m/>
    <m/>
    <n v="13.871807174887893"/>
  </r>
  <r>
    <x v="2"/>
    <x v="1"/>
    <s v="COLCHÃO M.E."/>
    <s v="DIRETO"/>
    <x v="9"/>
    <s v="NADA"/>
    <s v="CHILE"/>
    <n v="42559"/>
    <n v="2810005"/>
    <s v="100% POLIESTER- TAMPO FOLHAS (A07432)- 240G-["/>
    <s v="FLEX CHILE"/>
    <s v="EX"/>
    <s v="Colchão M.E."/>
    <n v="91"/>
    <s v="DIRETO"/>
    <n v="44756"/>
    <m/>
    <n v="30.19"/>
    <n v="64228.02"/>
    <s v="KG"/>
    <n v="240"/>
    <n v="75"/>
    <n v="3626"/>
    <n v="2127.46"/>
    <n v="30.77"/>
    <n v="35391.86"/>
    <m/>
    <n v="7576.03"/>
    <m/>
    <n v="2569.12"/>
    <n v="1284.56"/>
    <n v="3276.29"/>
    <n v="14130.16"/>
    <n v="34770.629999999997"/>
    <m/>
    <m/>
    <n v="17.713188086045228"/>
  </r>
  <r>
    <x v="11"/>
    <x v="1"/>
    <s v="COLCHÃO M.E."/>
    <s v="DIRETO"/>
    <x v="1"/>
    <s v="NADA"/>
    <s v="URUGUAI"/>
    <n v="42914"/>
    <n v="2540010"/>
    <s v="97% POLIESTER 3% ELASTANO- TAMPO PERLA NOVA X"/>
    <s v="DIVINO COLCHONES"/>
    <s v="EX"/>
    <s v="Colchão M.E."/>
    <n v="1"/>
    <s v="MARTIN"/>
    <n v="44783"/>
    <m/>
    <n v="27.62"/>
    <n v="14726.71"/>
    <s v="KG"/>
    <n v="400"/>
    <n v="18"/>
    <n v="565"/>
    <n v="533.19000000000005"/>
    <n v="5.47"/>
    <n v="10369.65"/>
    <m/>
    <m/>
    <m/>
    <m/>
    <n v="294.52999999999997"/>
    <n v="821.11"/>
    <n v="3239.88"/>
    <n v="8857.26"/>
    <m/>
    <m/>
    <n v="26.064973451327432"/>
  </r>
  <r>
    <x v="11"/>
    <x v="1"/>
    <s v="COLCHÃO M.E."/>
    <s v="DIRETO"/>
    <x v="1"/>
    <s v="NADA"/>
    <s v="URUGUAI"/>
    <n v="42914"/>
    <n v="2540006"/>
    <s v="100% POLIESTER- FAIXA NEVOA AZUL (A08429)-[Pe"/>
    <s v="DIVINO COLCHONES"/>
    <s v="EX"/>
    <s v="Colchão M.E."/>
    <n v="1"/>
    <s v="MARTIN"/>
    <n v="44783"/>
    <m/>
    <n v="36.54"/>
    <n v="9255.58"/>
    <s v="KG"/>
    <n v="360"/>
    <n v="13"/>
    <n v="347"/>
    <n v="253.3"/>
    <n v="18.87"/>
    <n v="6644.16"/>
    <m/>
    <m/>
    <m/>
    <m/>
    <n v="185.11"/>
    <n v="390.08"/>
    <n v="2036.23"/>
    <n v="3969.99"/>
    <m/>
    <m/>
    <n v="26.673141210374638"/>
  </r>
  <r>
    <x v="11"/>
    <x v="1"/>
    <s v="COLCHÃO M.E."/>
    <s v="DIRETO"/>
    <x v="1"/>
    <s v="NADA"/>
    <s v="URUGUAI"/>
    <n v="42914"/>
    <n v="2540014"/>
    <s v="100% POLIESTER- FORMOBILE MEDIA - 2018 - O /"/>
    <s v="DIVINO COLCHONES"/>
    <s v="EX"/>
    <s v="Colchão M.E."/>
    <n v="1"/>
    <s v="MARTIN"/>
    <n v="44783"/>
    <m/>
    <n v="32.21"/>
    <n v="26186.09"/>
    <s v="KG"/>
    <n v="300"/>
    <n v="26"/>
    <n v="1189"/>
    <n v="812.98"/>
    <n v="17.59"/>
    <n v="18649.439999999999"/>
    <m/>
    <m/>
    <m/>
    <m/>
    <n v="523.72"/>
    <n v="1251.99"/>
    <n v="5760.94"/>
    <n v="13206.46"/>
    <m/>
    <m/>
    <n v="22.023624894869638"/>
  </r>
  <r>
    <x v="11"/>
    <x v="1"/>
    <s v="COLCHÃO M.E."/>
    <s v="DIRETO"/>
    <x v="1"/>
    <s v="NADA"/>
    <s v="URUGUAI"/>
    <n v="42914"/>
    <n v="2540012"/>
    <s v="100% POLIESTER- TAMPO RASCUNHOS (A07820)-[Ped"/>
    <s v="DIVINO COLCHONES"/>
    <s v="EX"/>
    <s v="Colchão M.E."/>
    <n v="1"/>
    <s v="MARTIN"/>
    <n v="44783"/>
    <m/>
    <n v="27.28"/>
    <n v="89860.32"/>
    <s v="KG"/>
    <n v="240"/>
    <n v="119"/>
    <n v="5932"/>
    <n v="3294"/>
    <n v="14.85"/>
    <n v="63221.08"/>
    <m/>
    <m/>
    <m/>
    <m/>
    <n v="1797.21"/>
    <n v="5072.76"/>
    <n v="19769.27"/>
    <n v="49296.46"/>
    <m/>
    <m/>
    <n v="15.148401888064734"/>
  </r>
  <r>
    <x v="11"/>
    <x v="1"/>
    <s v="COLCHÃO M.E."/>
    <s v="DIRETO"/>
    <x v="5"/>
    <s v="NADA"/>
    <s v="PARAGUAI"/>
    <n v="43021"/>
    <n v="2670005"/>
    <s v="100% POLIESTER- TAMPO KNIT WHITE (A09178)180G"/>
    <s v="INMAPOL SACIF"/>
    <s v="EX"/>
    <s v="Colchão M.E."/>
    <n v="1"/>
    <s v="DIRETO"/>
    <n v="44792"/>
    <m/>
    <n v="23.43"/>
    <n v="48068.99"/>
    <s v="KG"/>
    <n v="180"/>
    <n v="95"/>
    <n v="4787"/>
    <n v="2051.6"/>
    <n v="11.94"/>
    <n v="30969.52"/>
    <m/>
    <m/>
    <m/>
    <n v="2403.4499999999998"/>
    <n v="961.38"/>
    <n v="3159.46"/>
    <n v="10575.18"/>
    <n v="28933.72"/>
    <m/>
    <m/>
    <n v="10.04156883225402"/>
  </r>
  <r>
    <x v="11"/>
    <x v="1"/>
    <s v="COLCHÃO M.E."/>
    <s v="DIRETO"/>
    <x v="5"/>
    <s v="NADA"/>
    <s v="PARAGUAI"/>
    <n v="43021"/>
    <n v="2670006"/>
    <s v="100% POLIESTER- TAMPO WHITE STAR (A09164) 180"/>
    <s v="INMAPOL SACIF"/>
    <s v="EX"/>
    <s v="Colchão M.E."/>
    <n v="1"/>
    <s v="DIRETO"/>
    <n v="44792"/>
    <m/>
    <n v="23.83"/>
    <n v="12030.34"/>
    <s v="KG"/>
    <n v="180"/>
    <n v="24"/>
    <n v="1198"/>
    <n v="504.84"/>
    <n v="10.85"/>
    <n v="7764.09"/>
    <m/>
    <m/>
    <m/>
    <n v="601.52"/>
    <n v="240.61"/>
    <n v="777.45"/>
    <n v="2646.67"/>
    <n v="7095.81"/>
    <m/>
    <m/>
    <n v="10.042020033388981"/>
  </r>
  <r>
    <x v="11"/>
    <x v="1"/>
    <s v="COLCHÃO M.E."/>
    <s v="DIRETO"/>
    <x v="9"/>
    <s v="NADA"/>
    <s v="CHILE"/>
    <n v="43146"/>
    <n v="2810007"/>
    <s v="100% POLIESTER- TAMPO FOLHAS BG (A06761) - 21"/>
    <s v="FLEX CHILE"/>
    <s v="EX"/>
    <s v="Colchão M.E."/>
    <n v="91"/>
    <s v="DIRETO"/>
    <n v="44803"/>
    <m/>
    <n v="27.42"/>
    <n v="13780.2"/>
    <s v="KG"/>
    <n v="210"/>
    <n v="18"/>
    <n v="957"/>
    <n v="502.56"/>
    <n v="18.34"/>
    <n v="9699.01"/>
    <m/>
    <m/>
    <m/>
    <m/>
    <n v="275.60000000000002"/>
    <n v="773.94"/>
    <n v="3031.64"/>
    <n v="7994.92"/>
    <m/>
    <m/>
    <n v="14.399373040752351"/>
  </r>
  <r>
    <x v="11"/>
    <x v="1"/>
    <s v="COLCHÃO M.E."/>
    <s v="DIRETO"/>
    <x v="14"/>
    <s v="NADA"/>
    <s v="PARAGUAI"/>
    <n v="43164"/>
    <n v="2920002"/>
    <s v="100% POLIESTER- TAMPO  0011085 - COREON-[Pedi"/>
    <s v="NATURE"/>
    <s v="EX"/>
    <s v="Colchão M.E."/>
    <n v="87"/>
    <s v="DIRETO"/>
    <n v="44803"/>
    <m/>
    <n v="33.24"/>
    <n v="16642"/>
    <s v="KG"/>
    <n v="390"/>
    <n v="17"/>
    <n v="628"/>
    <n v="500.66"/>
    <n v="17.989999999999998"/>
    <n v="11876.07"/>
    <m/>
    <m/>
    <m/>
    <m/>
    <n v="332.84"/>
    <n v="771.02"/>
    <n v="3661.24"/>
    <n v="7961.16"/>
    <m/>
    <m/>
    <n v="26.5"/>
  </r>
  <r>
    <x v="11"/>
    <x v="1"/>
    <s v="COLCHÃO M.E."/>
    <s v="DIRETO"/>
    <x v="14"/>
    <s v="NADA"/>
    <s v="PARAGUAI"/>
    <n v="43164"/>
    <n v="2920003"/>
    <s v="100% POLIESTER- BANDA LATERAL AZUL PONTINHO ("/>
    <s v="NATURE"/>
    <s v="EX"/>
    <s v="Colchão M.E."/>
    <n v="87"/>
    <s v="DIRETO"/>
    <n v="44803"/>
    <m/>
    <n v="25.71"/>
    <n v="10144.01"/>
    <s v="KG"/>
    <n v="280"/>
    <n v="13"/>
    <n v="586"/>
    <n v="394.6"/>
    <n v="-70.92"/>
    <n v="7101.76"/>
    <m/>
    <m/>
    <m/>
    <m/>
    <n v="202.88"/>
    <n v="607.67999999999995"/>
    <n v="2231.6799999999998"/>
    <n v="5994.74"/>
    <m/>
    <m/>
    <n v="17.310597269624573"/>
  </r>
  <r>
    <x v="11"/>
    <x v="1"/>
    <s v="COLCHÃO M.E."/>
    <s v="DIRETO"/>
    <x v="14"/>
    <s v="NADA"/>
    <s v="PARAGUAI"/>
    <n v="43164"/>
    <n v="2920004"/>
    <s v="100% POLIESTER- TAMPO BEIGE VBAC (A09052)-[Pe"/>
    <s v="NATURE"/>
    <s v="EX"/>
    <s v="Colchão M.E."/>
    <n v="87"/>
    <s v="DIRETO"/>
    <n v="44803"/>
    <m/>
    <n v="25.26"/>
    <n v="15004.79"/>
    <s v="KG"/>
    <n v="300"/>
    <n v="16"/>
    <n v="841"/>
    <n v="594.02"/>
    <n v="8.02"/>
    <n v="10488.85"/>
    <m/>
    <m/>
    <m/>
    <m/>
    <n v="300.10000000000002"/>
    <n v="914.79"/>
    <n v="3301.05"/>
    <n v="8441.14"/>
    <m/>
    <m/>
    <n v="17.841605231866826"/>
  </r>
  <r>
    <x v="11"/>
    <x v="1"/>
    <s v="COLCHÃO M.E."/>
    <s v="DIRETO"/>
    <x v="14"/>
    <s v="NADA"/>
    <s v="PARAGUAI"/>
    <n v="43164"/>
    <n v="2920006"/>
    <s v="100% POLIESTER- BANDA LATERAL BEIGE (A09090)-"/>
    <s v="NATURE"/>
    <s v="EX"/>
    <s v="Colchão M.E."/>
    <n v="87"/>
    <s v="DIRETO"/>
    <n v="44803"/>
    <m/>
    <n v="26.75"/>
    <n v="8534.1299999999992"/>
    <s v="KG"/>
    <n v="280"/>
    <n v="11"/>
    <n v="493"/>
    <n v="319.08"/>
    <n v="22.39"/>
    <n v="5994.56"/>
    <m/>
    <m/>
    <m/>
    <m/>
    <n v="170.68"/>
    <n v="491.38"/>
    <n v="1877.51"/>
    <n v="4708.1899999999996"/>
    <m/>
    <m/>
    <n v="17.310608519269774"/>
  </r>
  <r>
    <x v="11"/>
    <x v="1"/>
    <s v="COLCHÃO M.E."/>
    <s v="DIRETO"/>
    <x v="14"/>
    <s v="NADA"/>
    <s v="PARAGUAI"/>
    <n v="43164"/>
    <n v="2920007"/>
    <s v="100% POLIESTER- TAMPO FOLHAGEM CITROCARE (001"/>
    <s v="NATURE"/>
    <s v="EX"/>
    <s v="Colchão M.E."/>
    <n v="87"/>
    <s v="DIRETO"/>
    <n v="44803"/>
    <m/>
    <n v="43.98"/>
    <n v="15513.93"/>
    <s v="KG"/>
    <n v="280"/>
    <n v="11"/>
    <n v="537"/>
    <n v="352.72"/>
    <n v="26.37"/>
    <n v="11245.44"/>
    <m/>
    <m/>
    <m/>
    <m/>
    <n v="310.27999999999997"/>
    <n v="543.19000000000005"/>
    <n v="3413.06"/>
    <n v="6757.02"/>
    <m/>
    <m/>
    <n v="28.89"/>
  </r>
  <r>
    <x v="11"/>
    <x v="1"/>
    <s v="COLCHÃO M.E."/>
    <s v="DIRETO"/>
    <x v="14"/>
    <s v="NADA"/>
    <s v="PARAGUAI"/>
    <n v="43164"/>
    <n v="2920008"/>
    <s v="100% POLIESTER- BANDA LATERAL PONTINHO (A0909"/>
    <s v="NATURE"/>
    <s v="EX"/>
    <s v="Colchão M.E."/>
    <n v="87"/>
    <s v="DIRETO"/>
    <n v="44803"/>
    <m/>
    <n v="33.799999999999997"/>
    <n v="10305.01"/>
    <s v="KG"/>
    <n v="280"/>
    <n v="12"/>
    <n v="478"/>
    <n v="304.88"/>
    <n v="26.95"/>
    <n v="7362.29"/>
    <m/>
    <m/>
    <m/>
    <m/>
    <n v="206.1"/>
    <n v="469.52"/>
    <n v="2267.1"/>
    <n v="4693.3100000000004"/>
    <m/>
    <m/>
    <n v="21.558598326359832"/>
  </r>
  <r>
    <x v="11"/>
    <x v="1"/>
    <s v="COLCHÃO M.E."/>
    <s v="DIRETO"/>
    <x v="14"/>
    <s v="NADA"/>
    <s v="PARAGUAI"/>
    <n v="43164"/>
    <n v="2920009"/>
    <s v="70% POLIESTER 30% ALGODAO- TC GORGURINHO CINZ"/>
    <s v="NATURE"/>
    <s v="EX"/>
    <s v="Colchão M.E."/>
    <n v="87"/>
    <s v="DIRETO"/>
    <n v="44803"/>
    <m/>
    <n v="42.65"/>
    <n v="4446"/>
    <s v="KG"/>
    <n v="97"/>
    <n v="4"/>
    <n v="600"/>
    <n v="104.24"/>
    <n v="52.6"/>
    <n v="3218.43"/>
    <m/>
    <m/>
    <m/>
    <m/>
    <n v="88.92"/>
    <n v="160.53"/>
    <n v="978.12"/>
    <n v="759.91"/>
    <m/>
    <m/>
    <n v="7.41"/>
  </r>
  <r>
    <x v="3"/>
    <x v="1"/>
    <s v="COLCHÃO M.E."/>
    <s v="DIRETO"/>
    <x v="15"/>
    <s v="NADA"/>
    <s v="BOLIVIA"/>
    <n v="43199"/>
    <n v="2980001"/>
    <s v="100% POLIESTER- TAMPO INDARA GRIS REF6765 (A0"/>
    <s v="CASA VALEN S.R.L."/>
    <s v="EX"/>
    <s v="Colchão M.E."/>
    <n v="1"/>
    <s v="DIRETO"/>
    <n v="44806"/>
    <m/>
    <n v="24.24"/>
    <n v="6240.82"/>
    <s v="KG"/>
    <n v="200"/>
    <n v="11"/>
    <n v="557"/>
    <n v="257.48"/>
    <n v="8.67"/>
    <n v="3847.24"/>
    <m/>
    <m/>
    <m/>
    <n v="249.63"/>
    <n v="124.82"/>
    <n v="396.52"/>
    <n v="1622.61"/>
    <n v="2890.37"/>
    <m/>
    <m/>
    <n v="11.204344703770197"/>
  </r>
  <r>
    <x v="3"/>
    <x v="1"/>
    <s v="COLCHÃO M.E."/>
    <s v="DIRETO"/>
    <x v="15"/>
    <s v="NADA"/>
    <s v="BOLIVIA"/>
    <n v="43199"/>
    <n v="2980002"/>
    <s v="100% POLIESTER- TAMPO INDARA BLANCO REF7797 ("/>
    <s v="CASA VALEN S.R.L."/>
    <s v="EX"/>
    <s v="Colchão M.E."/>
    <n v="1"/>
    <s v="DIRETO"/>
    <n v="44806"/>
    <m/>
    <n v="24.5"/>
    <n v="6476.12"/>
    <s v="KG"/>
    <n v="200"/>
    <n v="12"/>
    <n v="578"/>
    <n v="264.3"/>
    <n v="9.1"/>
    <n v="3996.74"/>
    <m/>
    <m/>
    <m/>
    <n v="259.04000000000002"/>
    <n v="129.52000000000001"/>
    <n v="407.02"/>
    <n v="1683.79"/>
    <n v="2427.09"/>
    <m/>
    <m/>
    <n v="11.204359861591696"/>
  </r>
  <r>
    <x v="3"/>
    <x v="1"/>
    <s v="COLCHÃO M.E."/>
    <s v="DIRETO"/>
    <x v="15"/>
    <s v="NADA"/>
    <s v="BOLIVIA"/>
    <n v="43199"/>
    <n v="2980003"/>
    <s v="100% POLIESTER- TAMPO INDARA BEIGE REF6805 (A"/>
    <s v="CASA VALEN S.R.L."/>
    <s v="EX"/>
    <s v="Colchão M.E."/>
    <n v="1"/>
    <s v="DIRETO"/>
    <n v="44806"/>
    <m/>
    <n v="23.79"/>
    <n v="6459.1"/>
    <s v="KG"/>
    <n v="200"/>
    <n v="11"/>
    <n v="566"/>
    <n v="271.54000000000002"/>
    <n v="8.52"/>
    <n v="3974.02"/>
    <m/>
    <m/>
    <m/>
    <n v="258.36"/>
    <n v="129.18"/>
    <n v="418.17"/>
    <n v="1679.37"/>
    <n v="2803.68"/>
    <m/>
    <m/>
    <n v="11.411837455830389"/>
  </r>
  <r>
    <x v="3"/>
    <x v="1"/>
    <s v="COLCHÃO M.E."/>
    <s v="DIRETO"/>
    <x v="15"/>
    <s v="NADA"/>
    <s v="BOLIVIA"/>
    <n v="43199"/>
    <n v="2980004"/>
    <s v="100% POLIESTER- TAMPO INDARA BEIGE REF6812 (A"/>
    <s v="CASA VALEN S.R.L."/>
    <s v="EX"/>
    <s v="Colchão M.E."/>
    <n v="1"/>
    <s v="DIRETO"/>
    <n v="44806"/>
    <m/>
    <n v="24.58"/>
    <n v="5945.57"/>
    <s v="KG"/>
    <n v="200"/>
    <n v="11"/>
    <n v="521"/>
    <n v="241.92"/>
    <n v="8.52"/>
    <n v="3670.43"/>
    <m/>
    <m/>
    <m/>
    <n v="237.82"/>
    <n v="118.91"/>
    <n v="372.56"/>
    <n v="1545.85"/>
    <n v="2497.85"/>
    <m/>
    <m/>
    <n v="11.411842610364683"/>
  </r>
  <r>
    <x v="3"/>
    <x v="1"/>
    <s v="COLCHÃO M.E."/>
    <s v="DIRETO"/>
    <x v="15"/>
    <s v="NADA"/>
    <s v="BOLIVIA"/>
    <n v="43199"/>
    <n v="2980005"/>
    <s v="100% POLIESTER- TAMPO INDARA BEIGE REF6781 (A"/>
    <s v="CASA VALEN S.R.L."/>
    <s v="EX"/>
    <s v="Colchão M.E."/>
    <n v="1"/>
    <s v="DIRETO"/>
    <n v="44806"/>
    <m/>
    <n v="24.22"/>
    <n v="4336.5"/>
    <s v="KG"/>
    <n v="200"/>
    <n v="7"/>
    <n v="380"/>
    <n v="179.08"/>
    <n v="8.52"/>
    <n v="2673.04"/>
    <m/>
    <m/>
    <m/>
    <n v="173.46"/>
    <n v="86.73"/>
    <n v="275.77999999999997"/>
    <n v="1127.49"/>
    <n v="1849.02"/>
    <m/>
    <m/>
    <n v="11.411842105263158"/>
  </r>
  <r>
    <x v="3"/>
    <x v="1"/>
    <s v="COLCHÃO M.E."/>
    <s v="DIRETO"/>
    <x v="15"/>
    <s v="NADA"/>
    <s v="BOLIVIA"/>
    <n v="43199"/>
    <n v="2980006"/>
    <s v="100% POLIESTER- TAMPO INDARA REF0001004 A0916"/>
    <s v="CASA VALEN S.R.L."/>
    <s v="EX"/>
    <s v="Colchão M.E."/>
    <n v="1"/>
    <s v="DIRETO"/>
    <n v="44806"/>
    <m/>
    <n v="28.52"/>
    <n v="16339.68"/>
    <s v="KG"/>
    <n v="160"/>
    <n v="29"/>
    <n v="1500"/>
    <n v="572.91999999999996"/>
    <n v="24.47"/>
    <n v="10882.27"/>
    <m/>
    <m/>
    <m/>
    <m/>
    <n v="326.79000000000002"/>
    <n v="882.3"/>
    <n v="4248.32"/>
    <n v="5389.71"/>
    <m/>
    <m/>
    <n v="10.89312"/>
  </r>
  <r>
    <x v="3"/>
    <x v="1"/>
    <s v="COLCHÃO M.E."/>
    <s v="DIRETO"/>
    <x v="15"/>
    <s v="NADA"/>
    <s v="BOLIVIA"/>
    <n v="43199"/>
    <n v="2980007"/>
    <s v="100% POLIESTER- TAMPO INDARA LINES REF7840 (A"/>
    <s v="CASA VALEN S.R.L."/>
    <s v="EX"/>
    <s v="Colchão M.E."/>
    <n v="1"/>
    <s v="DIRETO"/>
    <n v="44806"/>
    <m/>
    <n v="25.07"/>
    <n v="9240.74"/>
    <s v="KG"/>
    <n v="200"/>
    <n v="16"/>
    <n v="869"/>
    <n v="368.6"/>
    <n v="9.43"/>
    <n v="5716.06"/>
    <m/>
    <m/>
    <m/>
    <n v="369.63"/>
    <n v="184.81"/>
    <n v="567.64"/>
    <n v="2402.59"/>
    <n v="3590.36"/>
    <m/>
    <m/>
    <n v="10.633762945914844"/>
  </r>
  <r>
    <x v="3"/>
    <x v="1"/>
    <s v="COLCHÃO M.E."/>
    <s v="DIRETO"/>
    <x v="15"/>
    <s v="NADA"/>
    <s v="BOLIVIA"/>
    <n v="43199"/>
    <n v="2980008"/>
    <s v="100% POLIESTER- TAMPO INDARA REF6912 (A09125)"/>
    <s v="CASA VALEN S.R.L."/>
    <s v="EX"/>
    <s v="Colchão M.E."/>
    <n v="1"/>
    <s v="DIRETO"/>
    <n v="44806"/>
    <m/>
    <n v="26.75"/>
    <n v="11388.76"/>
    <s v="KG"/>
    <n v="160"/>
    <n v="24"/>
    <n v="1071"/>
    <n v="425.72"/>
    <n v="20.48"/>
    <n v="7544.3"/>
    <m/>
    <m/>
    <m/>
    <m/>
    <n v="227.78"/>
    <n v="655.61"/>
    <n v="2961.08"/>
    <n v="4449.17"/>
    <m/>
    <m/>
    <n v="10.633762838468721"/>
  </r>
  <r>
    <x v="3"/>
    <x v="1"/>
    <s v="COLCHÃO M.E."/>
    <s v="DIRETO"/>
    <x v="15"/>
    <s v="NADA"/>
    <s v="BOLIVIA"/>
    <n v="43199"/>
    <n v="2980009"/>
    <s v="100% POLIESTER- BANDA LATERAL MARRON REF6085"/>
    <s v="CASA VALEN S.R.L."/>
    <s v="EX"/>
    <s v="Colchão M.E."/>
    <n v="1"/>
    <s v="DIRETO"/>
    <n v="44806"/>
    <m/>
    <n v="26.84"/>
    <n v="12122.49"/>
    <s v="KG"/>
    <n v="160"/>
    <n v="23"/>
    <n v="1140"/>
    <n v="451.58"/>
    <n v="15.91"/>
    <n v="7547.86"/>
    <m/>
    <m/>
    <m/>
    <n v="484.9"/>
    <n v="242.45"/>
    <n v="695.43"/>
    <n v="3151.85"/>
    <n v="4438.91"/>
    <m/>
    <m/>
    <n v="10.633763157894737"/>
  </r>
  <r>
    <x v="3"/>
    <x v="1"/>
    <s v="COLCHÃO M.E."/>
    <s v="DIRETO"/>
    <x v="15"/>
    <s v="NADA"/>
    <s v="BOLIVIA"/>
    <n v="43199"/>
    <n v="2980100"/>
    <s v="100% POLIESTER - TECIDOS DIVERSOS"/>
    <s v="CASA VALEN S.R.L."/>
    <s v="EX"/>
    <s v="Colchão M.E."/>
    <n v="1"/>
    <s v="DIRETO"/>
    <n v="44806"/>
    <m/>
    <n v="9.49"/>
    <n v="29040.54"/>
    <s v="KG"/>
    <n v="300"/>
    <n v="201"/>
    <n v="5599"/>
    <n v="3059.29"/>
    <n v="57.09"/>
    <n v="16197.88"/>
    <m/>
    <m/>
    <m/>
    <m/>
    <n v="580.80999999999995"/>
    <n v="4711.3100000000004"/>
    <n v="7550.54"/>
    <m/>
    <m/>
    <m/>
    <n v="5.1867369173066624"/>
  </r>
  <r>
    <x v="3"/>
    <x v="1"/>
    <s v="COLCHÃO M.E."/>
    <s v="DIRETO"/>
    <x v="15"/>
    <s v="NADA"/>
    <s v="BOLIVIA"/>
    <n v="43201"/>
    <n v="2980100"/>
    <s v="100% POLIESTER - TECIDOS DIVERSOS"/>
    <s v="CASA VALEN S.R.L."/>
    <s v="EX"/>
    <s v="Colchão M.E."/>
    <n v="1"/>
    <s v="DIRETO"/>
    <n v="44806"/>
    <m/>
    <n v="11.68"/>
    <n v="93960.93"/>
    <s v="KG"/>
    <n v="300"/>
    <n v="325"/>
    <n v="12076"/>
    <n v="8046.79"/>
    <n v="57.09"/>
    <n v="55259.81"/>
    <m/>
    <m/>
    <m/>
    <m/>
    <n v="1879.22"/>
    <n v="12392.06"/>
    <n v="24429.84"/>
    <m/>
    <m/>
    <m/>
    <n v="7.7807991056641264"/>
  </r>
  <r>
    <x v="3"/>
    <x v="1"/>
    <s v="COLCHÃO M.E."/>
    <s v="DIRETO"/>
    <x v="4"/>
    <s v="NADA"/>
    <s v="BOLIVIA"/>
    <n v="43407"/>
    <n v="2650100"/>
    <s v="TECIDO- TECIDOS VARIADOS"/>
    <s v="WENTURS TRADE"/>
    <s v="EX"/>
    <s v="Colchão M.E."/>
    <n v="1"/>
    <s v="DIRETO"/>
    <n v="44826"/>
    <m/>
    <n v="17.38"/>
    <n v="59223.519999999997"/>
    <s v="KG"/>
    <n v="261"/>
    <n v="138"/>
    <n v="6030"/>
    <n v="3407.61"/>
    <n v="62.92"/>
    <n v="37393.22"/>
    <m/>
    <m/>
    <m/>
    <m/>
    <n v="1184.47"/>
    <n v="5247.72"/>
    <n v="15398.12"/>
    <m/>
    <m/>
    <m/>
    <n v="9.8214792703150913"/>
  </r>
  <r>
    <x v="3"/>
    <x v="1"/>
    <s v="COLCHÃO M.E."/>
    <s v="DIRETO"/>
    <x v="16"/>
    <s v="NADA"/>
    <s v="BOLIVIA"/>
    <n v="43455"/>
    <n v="3040001"/>
    <s v="100% POLIESTER- TAMPO REDEMOINHO-[Pedido:026."/>
    <s v="DAVID MORENO VISCARR"/>
    <s v="EX"/>
    <s v="Colchão M.E."/>
    <n v="1"/>
    <s v="DIRETO"/>
    <n v="44830"/>
    <m/>
    <n v="34.08"/>
    <n v="11302.54"/>
    <s v="KG"/>
    <n v="80"/>
    <n v="8"/>
    <n v="2060"/>
    <n v="331.66"/>
    <n v="0"/>
    <n v="7627.07"/>
    <m/>
    <m/>
    <m/>
    <m/>
    <n v="226.05"/>
    <n v="510.76"/>
    <n v="2938.66"/>
    <s v="######,##"/>
    <m/>
    <m/>
    <n v="5.486669902912622"/>
  </r>
  <r>
    <x v="3"/>
    <x v="1"/>
    <s v="COLCHÃO M.E."/>
    <s v="DIRETO"/>
    <x v="16"/>
    <s v="NADA"/>
    <s v="BOLIVIA"/>
    <n v="43455"/>
    <n v="3040002"/>
    <s v="100% POLIESTER- TAMPO BAMBUZINHO-[Pedido:026."/>
    <s v="DAVID MORENO VISCARR"/>
    <s v="EX"/>
    <s v="Colchão M.E."/>
    <n v="1"/>
    <s v="DIRETO"/>
    <n v="44830"/>
    <m/>
    <n v="34.119999999999997"/>
    <n v="6348.08"/>
    <s v="KG"/>
    <n v="80"/>
    <n v="4"/>
    <n v="1157"/>
    <n v="186.06"/>
    <n v="67.459999999999994"/>
    <n v="4284.09"/>
    <m/>
    <m/>
    <m/>
    <m/>
    <n v="126.96"/>
    <n v="286.52999999999997"/>
    <n v="1650.5"/>
    <s v="######,##"/>
    <m/>
    <m/>
    <n v="5.4866724286949005"/>
  </r>
  <r>
    <x v="3"/>
    <x v="1"/>
    <s v="COLCHÃO M.E."/>
    <s v="DIRETO"/>
    <x v="16"/>
    <s v="NADA"/>
    <s v="BOLIVIA"/>
    <n v="43455"/>
    <n v="3040003"/>
    <s v="100% POLIESTER- TAMPO CARACOL-[Pedido:026.22"/>
    <s v="DAVID MORENO VISCARR"/>
    <s v="EX"/>
    <s v="Colchão M.E."/>
    <n v="1"/>
    <s v="DIRETO"/>
    <n v="44830"/>
    <m/>
    <n v="34.1"/>
    <n v="11121.48"/>
    <s v="KG"/>
    <n v="80"/>
    <n v="8"/>
    <n v="2027"/>
    <n v="326.17"/>
    <n v="67.459999999999994"/>
    <n v="7505.16"/>
    <m/>
    <m/>
    <m/>
    <m/>
    <n v="222.43"/>
    <n v="502.3"/>
    <n v="2891.58"/>
    <s v="######,##"/>
    <m/>
    <m/>
    <n v="5.4866699555994076"/>
  </r>
  <r>
    <x v="3"/>
    <x v="1"/>
    <s v="COLCHÃO M.E."/>
    <s v="DIRETO"/>
    <x v="16"/>
    <s v="NADA"/>
    <s v="BOLIVIA"/>
    <n v="43455"/>
    <n v="3040004"/>
    <s v="100% POLIESTER- TAMPO BERCO BRANCO-[Pedido:02"/>
    <s v="DAVID MORENO VISCARR"/>
    <s v="EX"/>
    <s v="Colchão M.E."/>
    <n v="1"/>
    <s v="DIRETO"/>
    <n v="44830"/>
    <m/>
    <n v="34.08"/>
    <n v="11637.23"/>
    <s v="KG"/>
    <n v="80"/>
    <n v="9"/>
    <n v="2121"/>
    <n v="341.46"/>
    <n v="67.459999999999994"/>
    <n v="7852.96"/>
    <m/>
    <m/>
    <m/>
    <m/>
    <n v="232.74"/>
    <n v="525.85"/>
    <n v="3025.68"/>
    <s v="######,##"/>
    <m/>
    <m/>
    <n v="5.4866713814238564"/>
  </r>
  <r>
    <x v="3"/>
    <x v="1"/>
    <s v="COLCHÃO M.E."/>
    <s v="DIRETO"/>
    <x v="16"/>
    <s v="NADA"/>
    <s v="BOLIVIA"/>
    <n v="43455"/>
    <n v="3040005"/>
    <s v="100% POLIESTER- TAMPO SERPENTINA-[Pedido:026."/>
    <s v="DAVID MORENO VISCARR"/>
    <s v="EX"/>
    <s v="Colchão M.E."/>
    <n v="1"/>
    <s v="DIRETO"/>
    <n v="44830"/>
    <m/>
    <n v="34.08"/>
    <n v="12482.17"/>
    <s v="KG"/>
    <n v="80"/>
    <n v="9"/>
    <n v="2275"/>
    <n v="366.27"/>
    <n v="67.459999999999994"/>
    <n v="8423.11"/>
    <m/>
    <m/>
    <m/>
    <m/>
    <n v="249.64"/>
    <n v="564.05999999999995"/>
    <n v="3245.36"/>
    <s v="######,##"/>
    <m/>
    <m/>
    <n v="5.4866681318681323"/>
  </r>
  <r>
    <x v="3"/>
    <x v="1"/>
    <s v="COLCHÃO M.E."/>
    <s v="DIRETO"/>
    <x v="16"/>
    <s v="NADA"/>
    <s v="BOLIVIA"/>
    <n v="43455"/>
    <n v="3040006"/>
    <s v="100% POLIESTER- TAMPO XADREZ PC-[Pedido:026.2"/>
    <s v="DAVID MORENO VISCARR"/>
    <s v="EX"/>
    <s v="Colchão M.E."/>
    <n v="1"/>
    <s v="DIRETO"/>
    <n v="44830"/>
    <m/>
    <n v="34.08"/>
    <n v="9678.49"/>
    <s v="KG"/>
    <n v="80"/>
    <n v="7"/>
    <n v="1764"/>
    <n v="283.99"/>
    <n v="67.459999999999994"/>
    <n v="6531.17"/>
    <m/>
    <m/>
    <m/>
    <m/>
    <n v="193.57"/>
    <n v="437.34"/>
    <n v="2516.41"/>
    <s v="######,##"/>
    <m/>
    <m/>
    <n v="5.4866723356009066"/>
  </r>
  <r>
    <x v="3"/>
    <x v="1"/>
    <s v="COLCHÃO M.E."/>
    <s v="DIRETO"/>
    <x v="16"/>
    <s v="NADA"/>
    <s v="BOLIVIA"/>
    <n v="43455"/>
    <n v="3040007"/>
    <s v="100% POLIESTER- TAMPO MARROM-[Pedido:026.22 P"/>
    <s v="DAVID MORENO VISCARR"/>
    <s v="EX"/>
    <s v="Colchão M.E."/>
    <n v="1"/>
    <s v="DIRETO"/>
    <n v="44830"/>
    <m/>
    <n v="34.08"/>
    <n v="11549.44"/>
    <s v="KG"/>
    <n v="80"/>
    <n v="8"/>
    <n v="2105"/>
    <n v="338.9"/>
    <n v="67.459999999999994"/>
    <n v="7793.69"/>
    <m/>
    <m/>
    <m/>
    <m/>
    <n v="230.99"/>
    <n v="521.91"/>
    <n v="3002.85"/>
    <s v="######,##"/>
    <m/>
    <m/>
    <n v="5.4866698337292164"/>
  </r>
  <r>
    <x v="3"/>
    <x v="1"/>
    <s v="COLCHÃO M.E."/>
    <s v="DIRETO"/>
    <x v="16"/>
    <s v="NADA"/>
    <s v="BOLIVIA"/>
    <n v="43455"/>
    <n v="3040008"/>
    <s v="100% POLIESTER- TAMPO DIGITAL PALHA-[Pedido:0"/>
    <s v="DAVID MORENO VISCARR"/>
    <s v="EX"/>
    <s v="Colchão M.E."/>
    <n v="1"/>
    <s v="DIRETO"/>
    <n v="44830"/>
    <m/>
    <n v="34.08"/>
    <n v="10386.27"/>
    <s v="KG"/>
    <n v="80"/>
    <n v="7"/>
    <n v="1893"/>
    <n v="304.77"/>
    <n v="67.459999999999994"/>
    <n v="7008.77"/>
    <m/>
    <m/>
    <m/>
    <m/>
    <n v="207.73"/>
    <n v="469.35"/>
    <n v="2700.43"/>
    <s v="######,##"/>
    <m/>
    <m/>
    <n v="5.4866719492868468"/>
  </r>
  <r>
    <x v="3"/>
    <x v="1"/>
    <s v="COLCHÃO M.E."/>
    <s v="DIRETO"/>
    <x v="16"/>
    <s v="NADA"/>
    <s v="BOLIVIA"/>
    <n v="43455"/>
    <n v="3040009"/>
    <s v="100% POLIESTER- TAMPO DIGITAL PR-[Pedido:026."/>
    <s v="DAVID MORENO VISCARR"/>
    <s v="EX"/>
    <s v="Colchão M.E."/>
    <n v="1"/>
    <s v="DIRETO"/>
    <n v="44830"/>
    <m/>
    <n v="34.08"/>
    <n v="11686.61"/>
    <s v="KG"/>
    <n v="80"/>
    <n v="8"/>
    <n v="2130"/>
    <n v="342.93"/>
    <n v="67.459999999999994"/>
    <n v="7886.25"/>
    <m/>
    <m/>
    <m/>
    <m/>
    <n v="233.73"/>
    <n v="528.11"/>
    <n v="3038.52"/>
    <s v="######,##"/>
    <m/>
    <m/>
    <n v="5.4866713615023475"/>
  </r>
  <r>
    <x v="3"/>
    <x v="1"/>
    <s v="COLCHÃO M.E."/>
    <s v="DIRETO"/>
    <x v="16"/>
    <s v="NADA"/>
    <s v="BOLIVIA"/>
    <n v="43455"/>
    <n v="3040010"/>
    <s v="100% POLIESTER- TAMPO BLACK TOTAL-[Pedido:026"/>
    <s v="DAVID MORENO VISCARR"/>
    <s v="EX"/>
    <s v="Colchão M.E."/>
    <n v="1"/>
    <s v="DIRETO"/>
    <n v="44830"/>
    <m/>
    <n v="33.590000000000003"/>
    <n v="11187.32"/>
    <s v="KG"/>
    <n v="80"/>
    <n v="8"/>
    <n v="2039"/>
    <n v="333.1"/>
    <n v="67.459999999999994"/>
    <n v="7541.9"/>
    <m/>
    <m/>
    <m/>
    <m/>
    <n v="223.75"/>
    <n v="512.97"/>
    <n v="2908.7"/>
    <s v="######,##"/>
    <m/>
    <m/>
    <n v="5.4866699362432563"/>
  </r>
  <r>
    <x v="3"/>
    <x v="1"/>
    <s v="COLCHÃO M.E."/>
    <s v="DIRETO"/>
    <x v="16"/>
    <s v="NADA"/>
    <s v="BOLIVIA"/>
    <n v="43455"/>
    <n v="3040011"/>
    <s v="100% POLIESTER- TAMPO BRANCO FAVO-[Pedido:026"/>
    <s v="DAVID MORENO VISCARR"/>
    <s v="EX"/>
    <s v="Colchão M.E."/>
    <n v="1"/>
    <s v="DIRETO"/>
    <n v="44830"/>
    <m/>
    <n v="37.33"/>
    <n v="10300.31"/>
    <s v="KG"/>
    <n v="80"/>
    <n v="11"/>
    <n v="1792"/>
    <n v="275.92"/>
    <n v="67.67"/>
    <n v="6991.31"/>
    <m/>
    <m/>
    <m/>
    <m/>
    <n v="206.01"/>
    <n v="424.92"/>
    <n v="2678.08"/>
    <m/>
    <m/>
    <m/>
    <n v="5.7479408482142853"/>
  </r>
  <r>
    <x v="3"/>
    <x v="1"/>
    <s v="COLCHÃO M.E."/>
    <s v="DIRETO"/>
    <x v="1"/>
    <s v="NADA"/>
    <s v="URUGUAI"/>
    <n v="43532"/>
    <n v="2540008"/>
    <s v="100% POLIESTER- TAMPO DINO AREIA (A05375)-[Pe"/>
    <s v="DIVINO COLCHONES"/>
    <s v="EX"/>
    <s v="Colchão M.E."/>
    <n v="1"/>
    <s v="MARTIN"/>
    <n v="44834"/>
    <m/>
    <n v="29.43"/>
    <n v="11071.57"/>
    <s v="KG"/>
    <n v="260"/>
    <n v="14"/>
    <n v="604"/>
    <n v="376.22"/>
    <n v="-22.76"/>
    <n v="7392.15"/>
    <m/>
    <m/>
    <m/>
    <m/>
    <n v="221.43"/>
    <n v="579.38"/>
    <n v="2878.61"/>
    <n v="5066.6000000000004"/>
    <m/>
    <m/>
    <n v="18.330413907284768"/>
  </r>
  <r>
    <x v="3"/>
    <x v="1"/>
    <s v="COLCHÃO M.E."/>
    <s v="DIRETO"/>
    <x v="1"/>
    <s v="NADA"/>
    <s v="URUGUAI"/>
    <n v="43532"/>
    <n v="2540012"/>
    <s v="100% POLIESTER- TAMPO RASCUNHOS (A07820)-[Ped"/>
    <s v="DIVINO COLCHONES"/>
    <s v="EX"/>
    <s v="Colchão M.E."/>
    <n v="1"/>
    <s v="MARTIN"/>
    <n v="44834"/>
    <m/>
    <n v="32.200000000000003"/>
    <n v="112952.05"/>
    <s v="KG"/>
    <n v="240"/>
    <n v="120"/>
    <n v="6162"/>
    <n v="3507.48"/>
    <n v="23.26"/>
    <n v="75923.960000000006"/>
    <m/>
    <m/>
    <m/>
    <m/>
    <n v="2259.04"/>
    <n v="5401.52"/>
    <n v="29367.53"/>
    <n v="41308.699999999997"/>
    <m/>
    <m/>
    <n v="18.330420318078545"/>
  </r>
  <r>
    <x v="4"/>
    <x v="1"/>
    <s v="COLCHÃO M.E."/>
    <s v="DIRETO"/>
    <x v="1"/>
    <s v="NADA"/>
    <s v="URUGUAI"/>
    <n v="43536"/>
    <n v="2540008"/>
    <s v="100% POLIESTER- TAMPO DINO AREIA (A05375)-[Pe"/>
    <s v="DIVINO COLCHONES"/>
    <s v="EX"/>
    <s v="Colchão M.E."/>
    <n v="1"/>
    <s v="MARTIN"/>
    <n v="44837"/>
    <m/>
    <n v="29.51"/>
    <n v="-11071.57"/>
    <s v="KG"/>
    <n v="260"/>
    <n v="14"/>
    <n v="604"/>
    <n v="376.22"/>
    <n v="-22.76"/>
    <n v="7414.33"/>
    <m/>
    <m/>
    <m/>
    <m/>
    <n v="222.05"/>
    <m/>
    <m/>
    <n v="579.38"/>
    <m/>
    <m/>
    <n v="-18.330413907284768"/>
  </r>
  <r>
    <x v="4"/>
    <x v="1"/>
    <s v="COLCHÃO M.E."/>
    <s v="DIRETO"/>
    <x v="1"/>
    <s v="NADA"/>
    <s v="URUGUAI"/>
    <n v="43536"/>
    <n v="2540012"/>
    <s v="100% POLIESTER- TAMPO RASCUNHOS (A07820)-[Ped"/>
    <s v="DIVINO COLCHONES"/>
    <s v="EX"/>
    <s v="Colchão M.E."/>
    <n v="1"/>
    <s v="MARTIN"/>
    <n v="44837"/>
    <m/>
    <n v="28.11"/>
    <n v="-112952.05"/>
    <s v="KG"/>
    <n v="240"/>
    <n v="120"/>
    <n v="6162"/>
    <n v="3507.48"/>
    <n v="15.65"/>
    <n v="65596.47"/>
    <m/>
    <m/>
    <m/>
    <m/>
    <n v="1972.17"/>
    <m/>
    <m/>
    <n v="5401.52"/>
    <m/>
    <m/>
    <n v="-18.330420318078545"/>
  </r>
  <r>
    <x v="4"/>
    <x v="1"/>
    <s v="COLCHÃO M.E."/>
    <s v="DIRETO"/>
    <x v="1"/>
    <s v="NADA"/>
    <s v="URUGUAI"/>
    <n v="43538"/>
    <n v="2540008"/>
    <s v="100% POLIESTER- TAMPO DINO AREIA (A05375)-[Pe"/>
    <s v="DIVINO COLCHONES"/>
    <s v="EX"/>
    <s v="Colchão M.E."/>
    <n v="1"/>
    <s v="MARTIN"/>
    <n v="44837"/>
    <m/>
    <n v="29.51"/>
    <n v="11102.38"/>
    <s v="KG"/>
    <n v="260"/>
    <n v="14"/>
    <n v="604"/>
    <n v="376.22"/>
    <n v="-22.76"/>
    <n v="7414.33"/>
    <m/>
    <m/>
    <m/>
    <m/>
    <n v="222.05"/>
    <m/>
    <m/>
    <n v="579.38"/>
    <m/>
    <m/>
    <n v="18.3814238410596"/>
  </r>
  <r>
    <x v="4"/>
    <x v="1"/>
    <s v="COLCHÃO M.E."/>
    <s v="DIRETO"/>
    <x v="1"/>
    <s v="NADA"/>
    <s v="URUGUAI"/>
    <n v="43538"/>
    <n v="2540012"/>
    <s v="100% POLIESTER- TAMPO RASCUNHOS (A07820)-[Ped"/>
    <s v="DIVINO COLCHONES"/>
    <s v="EX"/>
    <s v="Colchão M.E."/>
    <n v="1"/>
    <s v="MARTIN"/>
    <n v="44837"/>
    <m/>
    <n v="28.11"/>
    <n v="98608.320000000007"/>
    <s v="KG"/>
    <n v="240"/>
    <n v="120"/>
    <n v="6162"/>
    <n v="3507.48"/>
    <n v="19.809999999999999"/>
    <n v="65596.47"/>
    <m/>
    <m/>
    <m/>
    <m/>
    <n v="1972.17"/>
    <m/>
    <m/>
    <n v="5401.52"/>
    <m/>
    <m/>
    <n v="16.002648490749756"/>
  </r>
  <r>
    <x v="4"/>
    <x v="1"/>
    <s v="COLCHÃO M.E."/>
    <s v="DIRETO"/>
    <x v="9"/>
    <s v="NADA"/>
    <s v="CHILE"/>
    <n v="43729"/>
    <n v="2810008"/>
    <s v="100% POLIESTER-  AURORA BOREAL - SPACE GRAY ("/>
    <s v="FLEX CHILE"/>
    <s v="EX"/>
    <s v="Colchão M.E."/>
    <n v="91"/>
    <s v="DIRETO"/>
    <n v="44855"/>
    <m/>
    <n v="27.43"/>
    <n v="17818.66"/>
    <s v="KG"/>
    <n v="180"/>
    <n v="40"/>
    <n v="1518"/>
    <n v="649.5"/>
    <n v="19.16"/>
    <n v="8548.76"/>
    <m/>
    <n v="3280.45"/>
    <m/>
    <m/>
    <n v="356.37"/>
    <m/>
    <m/>
    <n v="1000.23"/>
    <m/>
    <m/>
    <n v="11.738247694334651"/>
  </r>
  <r>
    <x v="4"/>
    <x v="1"/>
    <s v="COLCHÃO M.E."/>
    <s v="DIRETO"/>
    <x v="10"/>
    <s v="NADA"/>
    <s v="CHILE"/>
    <n v="43801"/>
    <s v="286.0004-A"/>
    <s v="99% POLIESTER 1% ELASTANO- TAMPO RETAS DEGRAD"/>
    <s v="COLCHONES DEL MUNDO"/>
    <s v="EX"/>
    <s v="Colchão M.E."/>
    <n v="91"/>
    <s v="DIRETO"/>
    <n v="44859"/>
    <m/>
    <n v="39.36"/>
    <n v="21323.03"/>
    <s v="KG"/>
    <n v="407"/>
    <n v="18"/>
    <n v="532"/>
    <n v="541.76"/>
    <n v="20.67"/>
    <n v="12584.71"/>
    <m/>
    <n v="1933.56"/>
    <m/>
    <m/>
    <n v="426.46"/>
    <m/>
    <m/>
    <n v="834.31"/>
    <m/>
    <m/>
    <n v="40.080883458646618"/>
  </r>
  <r>
    <x v="4"/>
    <x v="1"/>
    <s v="COLCHÃO M.E."/>
    <s v="DIRETO"/>
    <x v="10"/>
    <s v="NADA"/>
    <s v="CHILE"/>
    <n v="43801"/>
    <n v="2860006"/>
    <s v="100% POLIESTER- 22CDM FAIXA 16/8-[Pedido:017."/>
    <s v="COLCHONES DEL MUNDO"/>
    <s v="EX"/>
    <s v="Colchão M.E."/>
    <n v="91"/>
    <s v="DIRETO"/>
    <n v="44859"/>
    <m/>
    <n v="34.92"/>
    <n v="24588.57"/>
    <s v="KG"/>
    <n v="360"/>
    <n v="30"/>
    <n v="940"/>
    <n v="704.1"/>
    <n v="23.06"/>
    <n v="14389.79"/>
    <m/>
    <n v="2229.67"/>
    <m/>
    <m/>
    <n v="491.77"/>
    <m/>
    <m/>
    <n v="1084.31"/>
    <m/>
    <m/>
    <n v="26.158053191489362"/>
  </r>
  <r>
    <x v="4"/>
    <x v="1"/>
    <s v="COLCHÃO M.E."/>
    <s v="DIRETO"/>
    <x v="10"/>
    <s v="NADA"/>
    <s v="CHILE"/>
    <n v="43801"/>
    <n v="2860003"/>
    <s v="98% POLIESTER 2% ELASTANO- TAMPO QUADRADROS D"/>
    <s v="COLCHONES DEL MUNDO"/>
    <s v="EX"/>
    <s v="Colchão M.E."/>
    <n v="91"/>
    <s v="DIRETO"/>
    <n v="44859"/>
    <m/>
    <n v="39.24"/>
    <n v="24563.46"/>
    <s v="KG"/>
    <n v="420"/>
    <n v="19"/>
    <n v="689"/>
    <n v="625.91999999999996"/>
    <n v="27.8"/>
    <n v="14494.37"/>
    <m/>
    <n v="2227.4"/>
    <m/>
    <m/>
    <n v="491.27"/>
    <m/>
    <m/>
    <n v="963.92"/>
    <m/>
    <m/>
    <n v="35.650885341074016"/>
  </r>
  <r>
    <x v="4"/>
    <x v="1"/>
    <s v="COLCHÃO M.E."/>
    <s v="DIRETO"/>
    <x v="17"/>
    <s v="NADA"/>
    <s v="BOLIVIA"/>
    <n v="43879"/>
    <n v="3020004"/>
    <s v="100% POLIESTER-[Pedido:023.22 Parcial]"/>
    <s v="MAXI KING"/>
    <s v="EX"/>
    <s v="Colchão M.E."/>
    <n v="87"/>
    <s v="DIRETO"/>
    <n v="44865"/>
    <m/>
    <n v="36.619999999999997"/>
    <n v="27532.23"/>
    <s v="KG"/>
    <n v="160"/>
    <n v="34"/>
    <n v="1951"/>
    <n v="751.82"/>
    <n v="33.6"/>
    <n v="17564.11"/>
    <m/>
    <m/>
    <m/>
    <n v="1101.29"/>
    <n v="550.64"/>
    <m/>
    <m/>
    <n v="1157.8"/>
    <m/>
    <m/>
    <n v="14.111855458739107"/>
  </r>
  <r>
    <x v="4"/>
    <x v="1"/>
    <s v="COLCHÃO M.E."/>
    <s v="DIRETO"/>
    <x v="17"/>
    <s v="NADA"/>
    <s v="BOLIVIA"/>
    <n v="43879"/>
    <n v="3020002"/>
    <s v="100% POLIESTER-[Pedido:023.22 Parcial]"/>
    <s v="MAXI KING"/>
    <s v="EX"/>
    <s v="Colchão M.E."/>
    <n v="87"/>
    <s v="DIRETO"/>
    <n v="44865"/>
    <m/>
    <n v="29.89"/>
    <n v="20847.060000000001"/>
    <s v="KG"/>
    <n v="160"/>
    <n v="42"/>
    <n v="1950"/>
    <n v="697.48"/>
    <n v="16.37"/>
    <n v="13101.88"/>
    <m/>
    <m/>
    <m/>
    <n v="833.88"/>
    <n v="416.94"/>
    <m/>
    <m/>
    <n v="1074.1199999999999"/>
    <m/>
    <m/>
    <n v="10.690800000000001"/>
  </r>
  <r>
    <x v="4"/>
    <x v="1"/>
    <s v="COLCHÃO M.E."/>
    <s v="DIRETO"/>
    <x v="17"/>
    <s v="NADA"/>
    <s v="BOLIVIA"/>
    <n v="43879"/>
    <n v="3020005"/>
    <s v="100% POLIESTER-[Pedido:023.22 Parcial]"/>
    <s v="MAXI KING"/>
    <s v="EX"/>
    <s v="Colchão M.E."/>
    <n v="87"/>
    <s v="DIRETO"/>
    <n v="44865"/>
    <m/>
    <n v="32.89"/>
    <n v="32853.26"/>
    <s v="KG"/>
    <n v="240"/>
    <n v="37"/>
    <n v="1712"/>
    <n v="998.77"/>
    <n v="16.079999999999998"/>
    <n v="20802.11"/>
    <m/>
    <m/>
    <m/>
    <n v="1314.13"/>
    <n v="657.07"/>
    <m/>
    <m/>
    <n v="1538.11"/>
    <m/>
    <m/>
    <n v="19.18998831775701"/>
  </r>
  <r>
    <x v="4"/>
    <x v="1"/>
    <s v="COLCHÃO M.E."/>
    <s v="DIRETO"/>
    <x v="17"/>
    <s v="NADA"/>
    <s v="BOLIVIA"/>
    <n v="43879"/>
    <n v="3020006"/>
    <s v="97% POLIESTER 3% LINHO-[Pedido:023.22 Parcial"/>
    <s v="MAXI KING"/>
    <s v="EX"/>
    <s v="Colchão M.E."/>
    <n v="87"/>
    <s v="DIRETO"/>
    <n v="44865"/>
    <m/>
    <n v="45.15"/>
    <n v="49837.3"/>
    <s v="KG"/>
    <n v="260"/>
    <n v="41"/>
    <n v="1895"/>
    <n v="1103.92"/>
    <n v="18.079999999999998"/>
    <n v="32189.33"/>
    <m/>
    <m/>
    <m/>
    <n v="1993.49"/>
    <n v="996.75"/>
    <m/>
    <m/>
    <n v="1700.04"/>
    <m/>
    <m/>
    <n v="26.299366754617417"/>
  </r>
  <r>
    <x v="4"/>
    <x v="1"/>
    <s v="COLCHÃO M.E."/>
    <s v="DIRETO"/>
    <x v="17"/>
    <s v="NADA"/>
    <s v="BOLIVIA"/>
    <n v="43879"/>
    <n v="3020007"/>
    <s v="100% POLIESTER-[Pedido:023.22 Parcial]"/>
    <s v="MAXI KING"/>
    <s v="EX"/>
    <s v="Colchão M.E."/>
    <n v="87"/>
    <s v="DIRETO"/>
    <n v="44865"/>
    <m/>
    <n v="31.67"/>
    <n v="31062.12"/>
    <s v="KG"/>
    <n v="200"/>
    <n v="43"/>
    <n v="1950"/>
    <n v="980.9"/>
    <n v="21.19"/>
    <n v="19611.66"/>
    <m/>
    <m/>
    <m/>
    <n v="1242.48"/>
    <n v="621.24"/>
    <m/>
    <m/>
    <n v="1510.59"/>
    <m/>
    <m/>
    <n v="15.929292307692307"/>
  </r>
  <r>
    <x v="4"/>
    <x v="1"/>
    <s v="COLCHÃO M.E."/>
    <s v="DIRETO"/>
    <x v="17"/>
    <s v="NADA"/>
    <s v="BOLIVIA"/>
    <n v="43879"/>
    <n v="3020001"/>
    <s v="100% POLIESTER-[Pedido:023.22 Parcial]"/>
    <s v="MAXI KING"/>
    <s v="EX"/>
    <s v="Colchão M.E."/>
    <n v="87"/>
    <s v="DIRETO"/>
    <n v="44865"/>
    <m/>
    <n v="24.92"/>
    <n v="23005.32"/>
    <s v="KG"/>
    <n v="160"/>
    <n v="43"/>
    <n v="2339"/>
    <n v="923.04"/>
    <n v="19.63"/>
    <n v="14222.14"/>
    <m/>
    <m/>
    <m/>
    <n v="920.21"/>
    <n v="460.11"/>
    <m/>
    <m/>
    <n v="1421.48"/>
    <m/>
    <m/>
    <n v="9.8355365540829407"/>
  </r>
  <r>
    <x v="4"/>
    <x v="1"/>
    <s v="COLCHÃO M.E."/>
    <s v="DIRETO"/>
    <x v="17"/>
    <s v="NADA"/>
    <s v="BOLIVIA"/>
    <n v="43879"/>
    <n v="3020009"/>
    <s v="100% POLIESTER-[Pedido:023.22 Parcial]"/>
    <s v="MAXI KING"/>
    <s v="EX"/>
    <s v="Colchão M.E."/>
    <n v="87"/>
    <s v="DIRETO"/>
    <n v="44865"/>
    <m/>
    <n v="39.31"/>
    <n v="80090.820000000007"/>
    <s v="KG"/>
    <n v="260"/>
    <n v="67"/>
    <n v="3337"/>
    <n v="2037.62"/>
    <n v="24.14"/>
    <n v="54527.46"/>
    <m/>
    <m/>
    <m/>
    <m/>
    <n v="1601.82"/>
    <m/>
    <m/>
    <n v="3137.93"/>
    <m/>
    <m/>
    <n v="24.000845070422539"/>
  </r>
  <r>
    <x v="4"/>
    <x v="1"/>
    <s v="COLCHÃO M.E."/>
    <s v="DIRETO"/>
    <x v="17"/>
    <s v="NADA"/>
    <s v="BOLIVIA"/>
    <n v="43879"/>
    <n v="3020003"/>
    <s v="100% POLIESTER-[Pedido:023.22 Parcial]"/>
    <s v="MAXI KING"/>
    <s v="EX"/>
    <s v="Colchão M.E."/>
    <n v="87"/>
    <s v="DIRETO"/>
    <n v="44865"/>
    <m/>
    <n v="27.47"/>
    <n v="24578.15"/>
    <s v="KG"/>
    <n v="160"/>
    <n v="43"/>
    <n v="2299"/>
    <n v="894.68"/>
    <n v="25.16"/>
    <n v="15335.33"/>
    <m/>
    <m/>
    <m/>
    <n v="983.13"/>
    <n v="491.56"/>
    <m/>
    <m/>
    <n v="1377.81"/>
    <m/>
    <m/>
    <n v="10.690800347977381"/>
  </r>
  <r>
    <x v="5"/>
    <x v="1"/>
    <s v="COLCHÃO M.E."/>
    <s v="DIRETO"/>
    <x v="18"/>
    <s v="NADA"/>
    <s v="URUGUAI"/>
    <n v="43983"/>
    <n v="3030001"/>
    <s v="TECIDO 100% POLIESTER-[Pedido:031.22 Parcial]"/>
    <s v="POLYMAX"/>
    <s v="EX"/>
    <s v="Colchão M.E."/>
    <n v="90"/>
    <s v="MARTIN"/>
    <n v="44875"/>
    <m/>
    <n v="22.23"/>
    <n v="6270.63"/>
    <s v="KG"/>
    <n v="180"/>
    <n v="12"/>
    <n v="653"/>
    <n v="282.06"/>
    <n v="20.95"/>
    <n v="4080.48"/>
    <m/>
    <m/>
    <m/>
    <m/>
    <n v="125.41"/>
    <n v="434.37"/>
    <n v="1630.36"/>
    <n v="3662.73"/>
    <m/>
    <m/>
    <n v="9.60280245022971"/>
  </r>
  <r>
    <x v="5"/>
    <x v="1"/>
    <s v="COLCHÃO M.E."/>
    <s v="DIRETO"/>
    <x v="18"/>
    <s v="NADA"/>
    <s v="URUGUAI"/>
    <n v="43983"/>
    <n v="3030002"/>
    <s v="TECIDO 100% POLIESTER-[Pedido:031.22 Parcial]"/>
    <s v="POLYMAX"/>
    <s v="EX"/>
    <s v="Colchão M.E."/>
    <n v="90"/>
    <s v="MARTIN"/>
    <n v="44875"/>
    <m/>
    <n v="24.95"/>
    <n v="6050.8"/>
    <s v="KG"/>
    <n v="180"/>
    <n v="13"/>
    <n v="586"/>
    <n v="242.48"/>
    <n v="15.74"/>
    <n v="3983.16"/>
    <m/>
    <m/>
    <m/>
    <m/>
    <n v="121.02"/>
    <n v="373.42"/>
    <n v="1573.21"/>
    <n v="3669.21"/>
    <m/>
    <m/>
    <n v="10.325597269624573"/>
  </r>
  <r>
    <x v="5"/>
    <x v="1"/>
    <s v="COLCHÃO M.E."/>
    <s v="DIRETO"/>
    <x v="18"/>
    <s v="NADA"/>
    <s v="URUGUAI"/>
    <n v="43983"/>
    <n v="3030003"/>
    <s v="TECIDO 100% POLIESTER-[Pedido:031.22 Parcial]"/>
    <s v="POLYMAX"/>
    <s v="EX"/>
    <s v="Colchão M.E."/>
    <n v="90"/>
    <s v="MARTIN"/>
    <n v="44875"/>
    <m/>
    <n v="24.93"/>
    <n v="5823.64"/>
    <s v="KG"/>
    <n v="180"/>
    <n v="13"/>
    <n v="564"/>
    <n v="233.6"/>
    <n v="21.52"/>
    <n v="3833.28"/>
    <m/>
    <m/>
    <m/>
    <m/>
    <n v="116.47"/>
    <n v="359.74"/>
    <n v="1514.15"/>
    <n v="3170.6"/>
    <m/>
    <m/>
    <n v="10.325602836879433"/>
  </r>
  <r>
    <x v="5"/>
    <x v="1"/>
    <s v="COLCHÃO M.E."/>
    <s v="DIRETO"/>
    <x v="18"/>
    <s v="NADA"/>
    <s v="URUGUAI"/>
    <n v="43983"/>
    <n v="3030005"/>
    <s v="TECIDO 100% POLIESTER-[Pedido:031.22 Parcial]"/>
    <s v="POLYMAX"/>
    <s v="EX"/>
    <s v="Colchão M.E."/>
    <n v="90"/>
    <s v="MARTIN"/>
    <n v="44875"/>
    <m/>
    <n v="23.44"/>
    <n v="6350.04"/>
    <s v="KG"/>
    <n v="180"/>
    <n v="14"/>
    <n v="634"/>
    <n v="270.89"/>
    <n v="17.82"/>
    <n v="4154.8599999999997"/>
    <m/>
    <m/>
    <m/>
    <m/>
    <n v="127"/>
    <n v="417.17"/>
    <n v="1651.01"/>
    <n v="3606.64"/>
    <m/>
    <m/>
    <n v="10.015835962145111"/>
  </r>
  <r>
    <x v="5"/>
    <x v="1"/>
    <s v="COLCHÃO M.E."/>
    <s v="DIRETO"/>
    <x v="18"/>
    <s v="NADA"/>
    <s v="URUGUAI"/>
    <n v="43983"/>
    <n v="3030006"/>
    <s v="TECIDO 100% POLIESTER-[Pedido:031.22 Parcial]"/>
    <s v="POLYMAX"/>
    <s v="EX"/>
    <s v="Colchão M.E."/>
    <n v="90"/>
    <s v="MARTIN"/>
    <n v="44875"/>
    <m/>
    <n v="23.61"/>
    <n v="5629.52"/>
    <s v="KG"/>
    <n v="180"/>
    <n v="12"/>
    <n v="580"/>
    <n v="238.48"/>
    <n v="17.989999999999998"/>
    <n v="3686"/>
    <m/>
    <m/>
    <m/>
    <m/>
    <n v="112.59"/>
    <n v="367.26"/>
    <n v="1463.68"/>
    <n v="3084.8"/>
    <m/>
    <m/>
    <n v="9.7060689655172414"/>
  </r>
  <r>
    <x v="5"/>
    <x v="1"/>
    <s v="COLCHÃO M.E."/>
    <s v="DIRETO"/>
    <x v="18"/>
    <s v="NADA"/>
    <s v="URUGUAI"/>
    <n v="43983"/>
    <n v="3030008"/>
    <s v="TECIDO 100% POLIESTER-[Pedido:031.22 Parcial]"/>
    <s v="POLYMAX"/>
    <s v="EX"/>
    <s v="Colchão M.E."/>
    <n v="90"/>
    <s v="MARTIN"/>
    <n v="44875"/>
    <m/>
    <n v="25.03"/>
    <n v="6116.99"/>
    <s v="KG"/>
    <n v="160"/>
    <n v="13"/>
    <n v="637"/>
    <n v="244.42"/>
    <n v="10.86"/>
    <n v="4027.83"/>
    <m/>
    <m/>
    <m/>
    <m/>
    <n v="122.34"/>
    <n v="376.41"/>
    <n v="1590.42"/>
    <n v="3610.48"/>
    <m/>
    <m/>
    <n v="9.6028100470957618"/>
  </r>
  <r>
    <x v="5"/>
    <x v="1"/>
    <s v="COLCHÃO M.E."/>
    <s v="DIRETO"/>
    <x v="18"/>
    <s v="NADA"/>
    <s v="URUGUAI"/>
    <n v="43983"/>
    <n v="3030009"/>
    <s v="TECIDO 100% POLIESTER-[Pedido:031.22 Parcial]"/>
    <s v="POLYMAX"/>
    <s v="EX"/>
    <s v="Colchão M.E."/>
    <n v="90"/>
    <s v="MARTIN"/>
    <n v="44875"/>
    <m/>
    <n v="22.88"/>
    <n v="5610.93"/>
    <s v="KG"/>
    <n v="180"/>
    <n v="12"/>
    <n v="572"/>
    <n v="245.24"/>
    <n v="18.55"/>
    <n v="3662.2"/>
    <m/>
    <m/>
    <m/>
    <m/>
    <n v="112.22"/>
    <n v="377.67"/>
    <n v="1458.84"/>
    <n v="3182.8"/>
    <m/>
    <m/>
    <n v="9.8093181818181829"/>
  </r>
  <r>
    <x v="5"/>
    <x v="1"/>
    <s v="COLCHÃO M.E."/>
    <s v="DIRETO"/>
    <x v="18"/>
    <s v="NADA"/>
    <s v="URUGUAI"/>
    <n v="43983"/>
    <n v="3030011"/>
    <s v="TECIDO 100% POLIESTER-[Pedido:031.22 Parcial]"/>
    <s v="POLYMAX"/>
    <s v="EX"/>
    <s v="Colchão M.E."/>
    <n v="90"/>
    <s v="MARTIN"/>
    <n v="44875"/>
    <m/>
    <n v="21.41"/>
    <n v="6117.71"/>
    <s v="KG"/>
    <n v="180"/>
    <n v="12"/>
    <n v="644"/>
    <n v="285.8"/>
    <n v="18.239999999999998"/>
    <n v="3964.62"/>
    <m/>
    <m/>
    <m/>
    <m/>
    <n v="122.35"/>
    <n v="440.13"/>
    <n v="1590.6"/>
    <n v="3580.14"/>
    <m/>
    <m/>
    <n v="9.4995496894409932"/>
  </r>
  <r>
    <x v="5"/>
    <x v="1"/>
    <s v="COLCHÃO M.E."/>
    <s v="DIRETO"/>
    <x v="18"/>
    <s v="NADA"/>
    <s v="URUGUAI"/>
    <n v="43983"/>
    <n v="3030014"/>
    <s v="TECIDO 100% POLIESTER-[Pedido:031.22 Parcial]"/>
    <s v="POLYMAX"/>
    <s v="EX"/>
    <s v="Colchão M.E."/>
    <n v="90"/>
    <s v="MARTIN"/>
    <n v="44875"/>
    <m/>
    <n v="21.72"/>
    <n v="5227.8500000000004"/>
    <s v="KG"/>
    <n v="160"/>
    <n v="12"/>
    <n v="610"/>
    <n v="240.68"/>
    <n v="19.62"/>
    <n v="3393.4"/>
    <m/>
    <m/>
    <m/>
    <m/>
    <n v="104.56"/>
    <n v="370.65"/>
    <n v="1359.24"/>
    <n v="3186.14"/>
    <m/>
    <m/>
    <n v="8.5702459016393444"/>
  </r>
  <r>
    <x v="5"/>
    <x v="1"/>
    <s v="COLCHÃO M.E."/>
    <s v="DIRETO"/>
    <x v="18"/>
    <s v="NADA"/>
    <s v="URUGUAI"/>
    <n v="43983"/>
    <n v="3030017"/>
    <s v="TECIDO 100% POLIESTER-[Pedido:031.22 Parcial]"/>
    <s v="POLYMAX"/>
    <s v="EX"/>
    <s v="Colchão M.E."/>
    <n v="90"/>
    <s v="MARTIN"/>
    <n v="44875"/>
    <m/>
    <n v="27.86"/>
    <n v="7058.06"/>
    <s v="KG"/>
    <n v="160"/>
    <n v="12"/>
    <n v="651"/>
    <n v="253.38"/>
    <n v="19.45"/>
    <n v="4691.6000000000004"/>
    <m/>
    <m/>
    <m/>
    <m/>
    <n v="141.16"/>
    <n v="390.21"/>
    <n v="1835.1"/>
    <n v="4162.29"/>
    <m/>
    <m/>
    <n v="10.841874039938556"/>
  </r>
  <r>
    <x v="5"/>
    <x v="1"/>
    <s v="COLCHÃO M.E."/>
    <s v="DIRETO"/>
    <x v="18"/>
    <s v="NADA"/>
    <s v="URUGUAI"/>
    <n v="43983"/>
    <n v="3030019"/>
    <s v="TECIDO 100% POLIESTER-[Pedido:031.22 Parcial]"/>
    <s v="POLYMAX"/>
    <s v="EX"/>
    <s v="Colchão M.E."/>
    <n v="90"/>
    <s v="MARTIN"/>
    <n v="44875"/>
    <m/>
    <n v="26.12"/>
    <n v="13631.55"/>
    <s v="KG"/>
    <n v="160"/>
    <n v="27"/>
    <n v="1361"/>
    <n v="521.79999999999995"/>
    <n v="19.46"/>
    <n v="9011.14"/>
    <m/>
    <m/>
    <m/>
    <m/>
    <n v="272.63"/>
    <n v="803.57"/>
    <n v="3544.2"/>
    <n v="7816.11"/>
    <m/>
    <m/>
    <n v="10.015833945628215"/>
  </r>
  <r>
    <x v="5"/>
    <x v="1"/>
    <s v="COLCHÃO M.E."/>
    <s v="DIRETO"/>
    <x v="18"/>
    <s v="NADA"/>
    <s v="URUGUAI"/>
    <n v="43983"/>
    <n v="3030020"/>
    <s v="TECIDO 100% POLIESTER-[Pedido:031.22 Parcial]"/>
    <s v="POLYMAX"/>
    <s v="EX"/>
    <s v="Colchão M.E."/>
    <n v="90"/>
    <s v="MARTIN"/>
    <n v="44875"/>
    <m/>
    <n v="24.33"/>
    <n v="6846.8"/>
    <s v="KG"/>
    <n v="160"/>
    <n v="14"/>
    <n v="713"/>
    <n v="281.36"/>
    <n v="23.25"/>
    <n v="4496.3999999999996"/>
    <m/>
    <m/>
    <m/>
    <m/>
    <n v="136.94"/>
    <n v="433.29"/>
    <n v="1780.17"/>
    <n v="3892.26"/>
    <m/>
    <m/>
    <n v="9.6028050490883601"/>
  </r>
  <r>
    <x v="5"/>
    <x v="1"/>
    <s v="COLCHÃO M.E."/>
    <s v="DIRETO"/>
    <x v="18"/>
    <s v="NADA"/>
    <s v="URUGUAI"/>
    <n v="43983"/>
    <n v="3030018"/>
    <s v="TECIDO 100% POLIESTER-[Pedido:031.22 Parcial]"/>
    <s v="POLYMAX"/>
    <s v="EX"/>
    <s v="Colchão M.E."/>
    <n v="90"/>
    <s v="MARTIN"/>
    <n v="44875"/>
    <m/>
    <n v="26.16"/>
    <n v="7431.64"/>
    <s v="KG"/>
    <n v="160"/>
    <n v="14"/>
    <n v="727"/>
    <n v="284.08"/>
    <n v="22.08"/>
    <n v="4913.3"/>
    <m/>
    <m/>
    <m/>
    <m/>
    <n v="148.63"/>
    <n v="437.48"/>
    <n v="1932.23"/>
    <n v="3547.71"/>
    <m/>
    <m/>
    <n v="10.222338376891335"/>
  </r>
  <r>
    <x v="5"/>
    <x v="1"/>
    <s v="COLCHÃO M.E."/>
    <s v="DIRETO"/>
    <x v="18"/>
    <s v="NADA"/>
    <s v="URUGUAI"/>
    <n v="43983"/>
    <n v="3030013"/>
    <s v="TECIDO 100% POLIESTER-[Pedido:031.22 Parcial]"/>
    <s v="POLYMAX"/>
    <s v="EX"/>
    <s v="Colchão M.E."/>
    <n v="90"/>
    <s v="MARTIN"/>
    <n v="44875"/>
    <m/>
    <n v="22.01"/>
    <n v="6565.02"/>
    <s v="KG"/>
    <n v="160"/>
    <n v="15"/>
    <n v="748"/>
    <n v="298.26"/>
    <n v="23.09"/>
    <n v="4267.49"/>
    <m/>
    <m/>
    <m/>
    <m/>
    <n v="131.30000000000001"/>
    <n v="459.32"/>
    <n v="1706.91"/>
    <n v="3909.64"/>
    <m/>
    <m/>
    <n v="8.7767647058823535"/>
  </r>
  <r>
    <x v="5"/>
    <x v="1"/>
    <s v="COLCHÃO M.E."/>
    <s v="DIRETO"/>
    <x v="18"/>
    <s v="NADA"/>
    <s v="URUGUAI"/>
    <n v="43983"/>
    <n v="3030015"/>
    <s v="TECIDO 100% POLIESTER-[Pedido:031.22 Parcial]"/>
    <s v="POLYMAX"/>
    <s v="EX"/>
    <s v="Colchão M.E."/>
    <n v="90"/>
    <s v="MARTIN"/>
    <n v="44875"/>
    <m/>
    <n v="20.170000000000002"/>
    <n v="3033.92"/>
    <s v="KG"/>
    <n v="160"/>
    <n v="8"/>
    <n v="365"/>
    <n v="150.44"/>
    <n v="19.760000000000002"/>
    <n v="1952.74"/>
    <m/>
    <m/>
    <m/>
    <m/>
    <n v="60.68"/>
    <n v="231.68"/>
    <n v="788.82"/>
    <n v="1924.17"/>
    <m/>
    <m/>
    <n v="8.3121095890410963"/>
  </r>
  <r>
    <x v="5"/>
    <x v="1"/>
    <s v="COLCHÃO M.E."/>
    <s v="DIRETO"/>
    <x v="18"/>
    <s v="NADA"/>
    <s v="URUGUAI"/>
    <n v="43983"/>
    <n v="3030012"/>
    <s v="TECIDO 100% POLIESTER-[Pedido:031.22 Parcial]"/>
    <s v="POLYMAX"/>
    <s v="EX"/>
    <s v="Colchão M.E."/>
    <n v="90"/>
    <s v="MARTIN"/>
    <n v="44875"/>
    <m/>
    <n v="22.65"/>
    <n v="5569.42"/>
    <s v="KG"/>
    <n v="180"/>
    <n v="12"/>
    <n v="596"/>
    <n v="245.94"/>
    <n v="20.079999999999998"/>
    <n v="3631.23"/>
    <m/>
    <m/>
    <m/>
    <m/>
    <n v="111.39"/>
    <n v="378.75"/>
    <n v="1448.05"/>
    <n v="3129.15"/>
    <m/>
    <m/>
    <n v="9.3446644295302015"/>
  </r>
  <r>
    <x v="5"/>
    <x v="1"/>
    <s v="COLCHÃO M.E."/>
    <s v="DIRETO"/>
    <x v="18"/>
    <s v="NADA"/>
    <s v="URUGUAI"/>
    <n v="43983"/>
    <n v="3030010"/>
    <s v="TECIDO 100% POLIESTER-[Pedido:031.22 Parcial]"/>
    <s v="POLYMAX"/>
    <s v="EX"/>
    <s v="Colchão M.E."/>
    <n v="90"/>
    <s v="MARTIN"/>
    <n v="44875"/>
    <m/>
    <n v="22.06"/>
    <n v="12375.23"/>
    <s v="KG"/>
    <n v="180"/>
    <n v="26"/>
    <n v="1275"/>
    <n v="561.04"/>
    <n v="20.05"/>
    <n v="8046.16"/>
    <m/>
    <m/>
    <m/>
    <m/>
    <n v="247.5"/>
    <n v="864"/>
    <n v="3217.56"/>
    <n v="7032.38"/>
    <m/>
    <m/>
    <n v="9.7060627450980395"/>
  </r>
  <r>
    <x v="5"/>
    <x v="1"/>
    <s v="COLCHÃO M.E."/>
    <s v="DIRETO"/>
    <x v="18"/>
    <s v="NADA"/>
    <s v="URUGUAI"/>
    <n v="43983"/>
    <n v="3030007"/>
    <s v="TECIDO 100% POLIESTER-[Pedido:031.22 Parcial]"/>
    <s v="POLYMAX"/>
    <s v="EX"/>
    <s v="Colchão M.E."/>
    <n v="90"/>
    <s v="MARTIN"/>
    <n v="44875"/>
    <m/>
    <n v="27.86"/>
    <n v="5338.34"/>
    <s v="KG"/>
    <n v="160"/>
    <n v="10"/>
    <n v="517"/>
    <n v="191.58"/>
    <n v="22.4"/>
    <n v="3548.57"/>
    <m/>
    <m/>
    <m/>
    <m/>
    <n v="106.77"/>
    <n v="295.02999999999997"/>
    <n v="1387.97"/>
    <n v="2432.91"/>
    <m/>
    <m/>
    <n v="10.325609284332689"/>
  </r>
  <r>
    <x v="5"/>
    <x v="1"/>
    <s v="COLCHÃO M.E."/>
    <s v="DIRETO"/>
    <x v="18"/>
    <s v="NADA"/>
    <s v="URUGUAI"/>
    <n v="43983"/>
    <n v="3030004"/>
    <s v="TECIDO 100% POLIESTER-[Pedido:031.22 Parcial]"/>
    <s v="POLYMAX"/>
    <s v="EX"/>
    <s v="Colchão M.E."/>
    <n v="90"/>
    <s v="MARTIN"/>
    <n v="44875"/>
    <m/>
    <n v="23.7"/>
    <n v="7329.11"/>
    <s v="KG"/>
    <n v="160"/>
    <n v="16"/>
    <n v="780"/>
    <n v="309.24"/>
    <n v="20.29"/>
    <n v="4800.7299999999996"/>
    <m/>
    <m/>
    <m/>
    <m/>
    <n v="146.58000000000001"/>
    <n v="476.23"/>
    <n v="1905.57"/>
    <n v="4321"/>
    <m/>
    <m/>
    <n v="9.396294871794872"/>
  </r>
  <r>
    <x v="5"/>
    <x v="1"/>
    <s v="COLCHÃO M.E."/>
    <s v="DIRETO"/>
    <x v="18"/>
    <s v="NADA"/>
    <s v="URUGUAI"/>
    <n v="43983"/>
    <n v="3030016"/>
    <s v="TECIDO 100% POLIESTER-[Pedido:031.22 Parcial]"/>
    <s v="POLYMAX"/>
    <s v="EX"/>
    <s v="Colchão M.E."/>
    <n v="90"/>
    <s v="MARTIN"/>
    <n v="44875"/>
    <m/>
    <n v="22.14"/>
    <n v="12147.04"/>
    <s v="KG"/>
    <n v="160"/>
    <n v="29"/>
    <n v="1360"/>
    <n v="548.66"/>
    <n v="18.29"/>
    <n v="7900.93"/>
    <m/>
    <m/>
    <m/>
    <m/>
    <n v="242.94"/>
    <n v="844.94"/>
    <n v="3158.23"/>
    <n v="7331.61"/>
    <m/>
    <m/>
    <n v="8.9316470588235308"/>
  </r>
  <r>
    <x v="5"/>
    <x v="1"/>
    <s v="COLCHÃO M.E."/>
    <s v="DIRETO"/>
    <x v="18"/>
    <s v="NADA"/>
    <s v="URUGUAI"/>
    <n v="43983"/>
    <n v="3030021"/>
    <s v="TECIDO 100% POLIESTER-[Pedido:031.22 Parcial]"/>
    <s v="POLYMAX"/>
    <s v="EX"/>
    <s v="Colchão M.E."/>
    <n v="90"/>
    <s v="MARTIN"/>
    <n v="44875"/>
    <m/>
    <n v="35.31"/>
    <n v="16702.169999999998"/>
    <s v="KG"/>
    <n v="80"/>
    <n v="12"/>
    <n v="2941"/>
    <n v="473"/>
    <n v="67.459999999999994"/>
    <n v="11297.14"/>
    <m/>
    <m/>
    <m/>
    <m/>
    <n v="334.04"/>
    <n v="728.42"/>
    <n v="4342.5600000000004"/>
    <n v="1264.94"/>
    <m/>
    <m/>
    <n v="5.6790785447126826"/>
  </r>
  <r>
    <x v="5"/>
    <x v="1"/>
    <s v="COLCHÃO M.E."/>
    <s v="DIRETO"/>
    <x v="18"/>
    <s v="NADA"/>
    <s v="URUGUAI"/>
    <n v="43983"/>
    <n v="3030022"/>
    <s v="TECIDO 100% POLIESTER-[Pedido:031.22 Parcial]"/>
    <s v="POLYMAX"/>
    <s v="EX"/>
    <s v="Colchão M.E."/>
    <n v="90"/>
    <s v="MARTIN"/>
    <n v="44875"/>
    <m/>
    <n v="35.24"/>
    <n v="16418.22"/>
    <s v="KG"/>
    <n v="80"/>
    <n v="11"/>
    <n v="2891"/>
    <n v="465.91"/>
    <n v="67.459999999999994"/>
    <n v="11103.62"/>
    <m/>
    <m/>
    <m/>
    <m/>
    <n v="328.36"/>
    <n v="717.5"/>
    <n v="4268.74"/>
    <n v="1255.3"/>
    <m/>
    <m/>
    <n v="5.6790799031477004"/>
  </r>
  <r>
    <x v="5"/>
    <x v="1"/>
    <s v="COLCHÃO M.E."/>
    <s v="DIRETO"/>
    <x v="18"/>
    <s v="NADA"/>
    <s v="URUGUAI"/>
    <n v="43983"/>
    <n v="3030023"/>
    <s v="TECIDO 100% POLIESTER-[Pedido:031.22 Parcial]"/>
    <s v="POLYMAX"/>
    <s v="EX"/>
    <s v="Colchão M.E."/>
    <n v="90"/>
    <s v="MARTIN"/>
    <n v="44875"/>
    <m/>
    <n v="35.28"/>
    <n v="12465.58"/>
    <s v="KG"/>
    <n v="80"/>
    <n v="9"/>
    <n v="2195"/>
    <n v="353.38"/>
    <n v="67.459999999999994"/>
    <n v="8431.01"/>
    <m/>
    <m/>
    <m/>
    <m/>
    <n v="249.31"/>
    <n v="544.21"/>
    <n v="3241.05"/>
    <n v="927.93"/>
    <m/>
    <m/>
    <n v="5.679079726651481"/>
  </r>
  <r>
    <x v="5"/>
    <x v="1"/>
    <s v="COLCHÃO M.E."/>
    <s v="DIRETO"/>
    <x v="9"/>
    <s v="NADA"/>
    <s v="CHILE"/>
    <n v="43991"/>
    <n v="2810007"/>
    <s v="TECIDO 100% POLIESTER- TAMPO FOLHAS BG (A0676"/>
    <s v="FLEX CHILE"/>
    <s v="EX"/>
    <s v="Colchão M.E."/>
    <n v="91"/>
    <s v="DIRETO"/>
    <n v="44876"/>
    <m/>
    <n v="30.25"/>
    <n v="50466.81"/>
    <s v="KG"/>
    <n v="210"/>
    <n v="71"/>
    <n v="3361"/>
    <n v="1668.56"/>
    <n v="18.329999999999998"/>
    <n v="31747.85"/>
    <m/>
    <m/>
    <m/>
    <n v="2018.67"/>
    <n v="1009.34"/>
    <n v="2569.58"/>
    <n v="13121.37"/>
    <n v="24742.52"/>
    <m/>
    <m/>
    <n v="15.015415055043141"/>
  </r>
  <r>
    <x v="5"/>
    <x v="1"/>
    <s v="COLCHÃO M.E."/>
    <s v="DIRETO"/>
    <x v="14"/>
    <s v="NADA"/>
    <s v="PARAGUAI"/>
    <n v="44133"/>
    <n v="2920011"/>
    <s v="100% POLIESTER- FAIXA NATURE CAQUI (A09245)-["/>
    <s v="NATURE"/>
    <s v="EX"/>
    <s v="Colchão M.E."/>
    <n v="87"/>
    <s v="DIRETO"/>
    <n v="44887"/>
    <m/>
    <n v="31.72"/>
    <n v="9261.36"/>
    <s v="KG"/>
    <n v="300"/>
    <n v="11"/>
    <n v="470"/>
    <n v="328.8"/>
    <n v="27.12"/>
    <n v="6161.83"/>
    <m/>
    <m/>
    <m/>
    <m/>
    <n v="185.23"/>
    <n v="506.35"/>
    <n v="2407.9499999999998"/>
    <n v="4671.82"/>
    <m/>
    <m/>
    <n v="19.705021276595748"/>
  </r>
  <r>
    <x v="5"/>
    <x v="1"/>
    <s v="COLCHÃO M.E."/>
    <s v="DIRETO"/>
    <x v="14"/>
    <s v="NADA"/>
    <s v="PARAGUAI"/>
    <n v="44133"/>
    <n v="2920012"/>
    <s v="100% POLIESTER- TAPA FLORAS E BIODRESS (00150"/>
    <s v="NATURE"/>
    <s v="EX"/>
    <s v="Colchão M.E."/>
    <n v="87"/>
    <s v="DIRETO"/>
    <n v="44887"/>
    <m/>
    <n v="36.46"/>
    <n v="12312.08"/>
    <s v="KG"/>
    <n v="260"/>
    <n v="12"/>
    <n v="586"/>
    <n v="380.28"/>
    <n v="17.46"/>
    <n v="8277.2999999999993"/>
    <m/>
    <m/>
    <m/>
    <m/>
    <n v="246.24"/>
    <n v="585.63"/>
    <n v="3201.14"/>
    <n v="7724.45"/>
    <m/>
    <m/>
    <n v="21.01037542662116"/>
  </r>
  <r>
    <x v="5"/>
    <x v="1"/>
    <s v="COLCHÃO M.E."/>
    <s v="DIRETO"/>
    <x v="14"/>
    <s v="NADA"/>
    <s v="PARAGUAI"/>
    <n v="44133"/>
    <n v="2920013"/>
    <s v="100% POLIESTER- FAIXA NATURE VERDE (A09244)-["/>
    <s v="NATURE"/>
    <s v="EX"/>
    <s v="Colchão M.E."/>
    <n v="87"/>
    <s v="DIRETO"/>
    <n v="44887"/>
    <m/>
    <n v="31.99"/>
    <n v="12229.52"/>
    <s v="KG"/>
    <n v="300"/>
    <n v="15"/>
    <n v="649"/>
    <n v="430.56"/>
    <n v="18.54"/>
    <n v="8142.19"/>
    <m/>
    <m/>
    <m/>
    <m/>
    <n v="244.59"/>
    <n v="663.06"/>
    <n v="3179.68"/>
    <n v="7754.32"/>
    <m/>
    <m/>
    <n v="18.843636363636364"/>
  </r>
  <r>
    <x v="5"/>
    <x v="1"/>
    <s v="COLCHÃO M.E."/>
    <s v="DIRETO"/>
    <x v="14"/>
    <s v="NADA"/>
    <s v="PARAGUAI"/>
    <n v="44133"/>
    <n v="2920010"/>
    <s v="99% POLIESTER 1% ELASTANO- TAPA LOGO NATURE E"/>
    <s v="NATURE"/>
    <s v="EX"/>
    <s v="Colchão M.E."/>
    <n v="87"/>
    <s v="DIRETO"/>
    <n v="44887"/>
    <m/>
    <n v="32.47"/>
    <n v="12280.69"/>
    <s v="KG"/>
    <n v="300"/>
    <n v="14"/>
    <n v="591"/>
    <n v="425.9"/>
    <n v="22.99"/>
    <n v="8184.45"/>
    <m/>
    <m/>
    <m/>
    <m/>
    <n v="245.61"/>
    <n v="655.89"/>
    <n v="3192.98"/>
    <n v="6715.96"/>
    <m/>
    <m/>
    <n v="20.779509306260575"/>
  </r>
  <r>
    <x v="5"/>
    <x v="1"/>
    <s v="COLCHÃO M.E."/>
    <s v="DIRETO"/>
    <x v="14"/>
    <s v="NADA"/>
    <s v="PARAGUAI"/>
    <n v="44133"/>
    <n v="2920009"/>
    <s v="70% POLIESTER 30% ALGODAO- TC GORGURINHO CINZ"/>
    <s v="NATURE"/>
    <s v="EX"/>
    <s v="Colchão M.E."/>
    <n v="87"/>
    <s v="DIRETO"/>
    <n v="44887"/>
    <m/>
    <n v="39.06"/>
    <n v="3948.11"/>
    <s v="KG"/>
    <n v="97"/>
    <n v="4"/>
    <n v="600"/>
    <n v="113.83"/>
    <n v="52.6"/>
    <n v="2667.34"/>
    <m/>
    <m/>
    <m/>
    <m/>
    <n v="78.959999999999994"/>
    <n v="175.3"/>
    <n v="1026.51"/>
    <n v="795.67"/>
    <m/>
    <m/>
    <n v="6.5801833333333333"/>
  </r>
  <r>
    <x v="5"/>
    <x v="1"/>
    <s v="COLCHÃO M.E."/>
    <s v="DIRETO"/>
    <x v="14"/>
    <s v="NADA"/>
    <s v="PARAGUAI"/>
    <n v="44133"/>
    <n v="2920014"/>
    <s v="TECIDO 97% POLIESTER 3% LINHO- FAIXA NATURE L"/>
    <s v="NATURE"/>
    <s v="EX"/>
    <s v="Colchão M.E."/>
    <n v="87"/>
    <s v="DIRETO"/>
    <n v="44887"/>
    <m/>
    <n v="12.77"/>
    <n v="4087.97"/>
    <s v="KG"/>
    <n v="270"/>
    <n v="11"/>
    <n v="558"/>
    <n v="360.54"/>
    <n v="23.71"/>
    <n v="2388.11"/>
    <m/>
    <m/>
    <m/>
    <m/>
    <n v="81.760000000000005"/>
    <n v="555.23"/>
    <n v="1062.8699999999999"/>
    <n v="6317.99"/>
    <m/>
    <m/>
    <n v="7.3261111111111106"/>
  </r>
  <r>
    <x v="5"/>
    <x v="1"/>
    <s v="COLCHÃO M.E."/>
    <s v="DIRETO"/>
    <x v="14"/>
    <s v="NADA"/>
    <s v="PARAGUAI"/>
    <n v="44133"/>
    <n v="2920015"/>
    <s v="TECIDO 98% POLIESTER 2% LINHO- TAMPO FOLHAGEM"/>
    <s v="NATURE"/>
    <s v="EX"/>
    <s v="Colchão M.E."/>
    <n v="87"/>
    <s v="DIRETO"/>
    <n v="44887"/>
    <m/>
    <n v="37.049999999999997"/>
    <n v="12071.28"/>
    <s v="KG"/>
    <n v="280"/>
    <n v="11"/>
    <n v="539"/>
    <n v="366.9"/>
    <n v="20.5"/>
    <n v="8124.34"/>
    <m/>
    <m/>
    <m/>
    <m/>
    <n v="241.43"/>
    <n v="565.03"/>
    <n v="3138.53"/>
    <n v="7943.1"/>
    <m/>
    <m/>
    <n v="22.39569573283859"/>
  </r>
  <r>
    <x v="8"/>
    <x v="2"/>
    <s v="COLCHÃO M.E."/>
    <s v="DIRETO"/>
    <x v="1"/>
    <s v="NADA"/>
    <s v="URUGUAI"/>
    <n v="44163"/>
    <n v="2540012"/>
    <s v="100% POLIESTER- TAMPO RASCUNHOS (A07820)-[Ped"/>
    <s v="DIVINO COLCHONES"/>
    <s v="EX"/>
    <s v="Colchão M.E."/>
    <n v="1"/>
    <s v="MARTIN"/>
    <n v="44985"/>
    <m/>
    <m/>
    <n v="47389.95"/>
    <s v="KG"/>
    <n v="240"/>
    <m/>
    <m/>
    <n v="47389.95"/>
    <m/>
    <m/>
    <m/>
    <m/>
    <m/>
    <m/>
    <m/>
    <m/>
    <m/>
    <m/>
    <m/>
    <m/>
    <n v="0"/>
  </r>
  <r>
    <x v="8"/>
    <x v="2"/>
    <s v="COLCHÃO M.E."/>
    <s v="DIRETO"/>
    <x v="1"/>
    <s v="NADA"/>
    <s v="URUGUAI"/>
    <n v="44163"/>
    <n v="2540015"/>
    <s v="100% POLIESTER- TAMPO PONTILHADOS PRETO (A078"/>
    <s v="DIVINO COLCHONES"/>
    <s v="EX"/>
    <s v="Colchão M.E."/>
    <n v="1"/>
    <s v="MARTIN"/>
    <n v="44985"/>
    <m/>
    <m/>
    <n v="15909.99"/>
    <s v="KG"/>
    <n v="260"/>
    <m/>
    <m/>
    <n v="15909.99"/>
    <m/>
    <m/>
    <m/>
    <m/>
    <m/>
    <m/>
    <m/>
    <m/>
    <m/>
    <m/>
    <m/>
    <m/>
    <n v="0"/>
  </r>
  <r>
    <x v="8"/>
    <x v="2"/>
    <s v="COLCHÃO M.E."/>
    <s v="DIRETO"/>
    <x v="1"/>
    <s v="NADA"/>
    <s v="URUGUAI"/>
    <n v="44163"/>
    <n v="2540005"/>
    <s v="100% POLIESTER- TAMPO GEOMETRICO (A07370)-[Pe"/>
    <s v="DIVINO COLCHONES"/>
    <s v="EX"/>
    <s v="Colchão M.E."/>
    <n v="1"/>
    <s v="MARTIN"/>
    <n v="44985"/>
    <m/>
    <m/>
    <n v="24461.32"/>
    <s v="KG"/>
    <n v="240"/>
    <m/>
    <m/>
    <n v="24461.32"/>
    <m/>
    <m/>
    <m/>
    <m/>
    <m/>
    <m/>
    <m/>
    <m/>
    <m/>
    <m/>
    <m/>
    <m/>
    <n v="0"/>
  </r>
  <r>
    <x v="5"/>
    <x v="1"/>
    <s v="COLCHÃO M.E."/>
    <s v="DIRETO"/>
    <x v="1"/>
    <s v="NADA"/>
    <s v="URUGUAI"/>
    <n v="44231"/>
    <n v="2540015"/>
    <s v="100% POLIESTER- TAMPO PONTILHADOS PRETO (A078"/>
    <s v="DIVINO COLCHONES"/>
    <s v="EX"/>
    <s v="Colchão M.E."/>
    <n v="1"/>
    <s v="MARTIN"/>
    <n v="44894"/>
    <m/>
    <n v="25.22"/>
    <n v="50094.83"/>
    <s v="KG"/>
    <n v="260"/>
    <n v="57"/>
    <n v="3104"/>
    <n v="1986.06"/>
    <n v="20.71"/>
    <n v="33009.75"/>
    <m/>
    <m/>
    <m/>
    <m/>
    <n v="1001.9"/>
    <n v="3058.53"/>
    <n v="13024.66"/>
    <n v="28594.99"/>
    <m/>
    <m/>
    <n v="16.138798324742268"/>
  </r>
  <r>
    <x v="5"/>
    <x v="1"/>
    <s v="COLCHÃO M.E."/>
    <s v="DIRETO"/>
    <x v="1"/>
    <s v="NADA"/>
    <s v="URUGUAI"/>
    <n v="44231"/>
    <n v="2540010"/>
    <s v="97% POLIESTER 3% ELASTANO- TAMPO PERLA NOVA X"/>
    <s v="DIVINO COLCHONES"/>
    <s v="EX"/>
    <s v="Colchão M.E."/>
    <n v="1"/>
    <s v="MARTIN"/>
    <n v="44894"/>
    <m/>
    <n v="27.25"/>
    <n v="15142.34"/>
    <s v="KG"/>
    <n v="400"/>
    <n v="15"/>
    <n v="553"/>
    <n v="555.66"/>
    <n v="12.02"/>
    <n v="10045.23"/>
    <m/>
    <m/>
    <m/>
    <m/>
    <n v="302.85000000000002"/>
    <n v="855.72"/>
    <n v="3937.01"/>
    <n v="8531.2999999999993"/>
    <m/>
    <m/>
    <n v="27.382169981916817"/>
  </r>
  <r>
    <x v="5"/>
    <x v="1"/>
    <s v="COLCHÃO M.E."/>
    <s v="DIRETO"/>
    <x v="1"/>
    <s v="NADA"/>
    <s v="URUGUAI"/>
    <n v="44231"/>
    <n v="2540012"/>
    <s v="100% POLIESTER- TAMPO RASCUNHOS (A07820)-[Ped"/>
    <s v="DIVINO COLCHONES"/>
    <s v="EX"/>
    <s v="Colchão M.E."/>
    <n v="1"/>
    <s v="MARTIN"/>
    <n v="44894"/>
    <m/>
    <n v="25.92"/>
    <n v="110143.65"/>
    <s v="KG"/>
    <n v="240"/>
    <n v="135"/>
    <n v="6917"/>
    <n v="4249"/>
    <n v="19.809999999999999"/>
    <n v="72759.97"/>
    <m/>
    <m/>
    <m/>
    <m/>
    <n v="2202.87"/>
    <n v="6543.46"/>
    <n v="28637.35"/>
    <n v="58418.96"/>
    <m/>
    <m/>
    <n v="15.923615729362439"/>
  </r>
  <r>
    <x v="5"/>
    <x v="1"/>
    <s v="COLCHÃO M.E."/>
    <s v="DIRETO"/>
    <x v="1"/>
    <s v="NADA"/>
    <s v="URUGUAI"/>
    <n v="44231"/>
    <n v="2540007"/>
    <s v="100% POLIESTER- TAMPO DARK BLUE TRACADO BRILH"/>
    <s v="DIVINO COLCHONES"/>
    <s v="EX"/>
    <s v="Colchão M.E."/>
    <n v="1"/>
    <s v="MARTIN"/>
    <n v="44894"/>
    <m/>
    <n v="35.78"/>
    <n v="13766.02"/>
    <s v="KG"/>
    <n v="300"/>
    <n v="14"/>
    <n v="541"/>
    <n v="384.7"/>
    <n v="28.23"/>
    <n v="9319.1"/>
    <m/>
    <m/>
    <m/>
    <m/>
    <n v="275.32"/>
    <n v="592.44000000000005"/>
    <n v="3579.17"/>
    <n v="5508.96"/>
    <m/>
    <m/>
    <n v="25.445508317929761"/>
  </r>
  <r>
    <x v="5"/>
    <x v="1"/>
    <s v="COLCHÃO M.E."/>
    <s v="DIRETO"/>
    <x v="1"/>
    <s v="NADA"/>
    <s v="URUGUAI"/>
    <n v="44231"/>
    <n v="2540016"/>
    <s v="70% POLIESTER 30% ALGODAO- TC GORGURINHO CINZ"/>
    <s v="DIVINO COLCHONES"/>
    <s v="EX"/>
    <s v="Colchão M.E."/>
    <n v="1"/>
    <s v="MARTIN"/>
    <n v="44894"/>
    <m/>
    <n v="41.84"/>
    <n v="7862.82"/>
    <s v="KG"/>
    <n v="97"/>
    <n v="7"/>
    <n v="1015"/>
    <n v="187.92"/>
    <n v="48.6"/>
    <n v="5371.83"/>
    <m/>
    <m/>
    <m/>
    <m/>
    <n v="157.26"/>
    <n v="289.39999999999998"/>
    <n v="2044.33"/>
    <n v="1313.56"/>
    <m/>
    <m/>
    <n v="7.7466206896551721"/>
  </r>
  <r>
    <x v="6"/>
    <x v="1"/>
    <s v="COLCHÃO M.E."/>
    <s v="DIRETO"/>
    <x v="19"/>
    <s v="NADA"/>
    <s v="CHILE"/>
    <n v="44366"/>
    <n v="3080001"/>
    <s v="100% POLIESTER- TAPA / BLANCA MPR (A09399)-[P"/>
    <s v="MUEBLES MPR SPA"/>
    <s v="EX"/>
    <s v="Colchão M.E."/>
    <n v="91"/>
    <s v="DIRETO"/>
    <n v="44907"/>
    <m/>
    <n v="22.7"/>
    <n v="15753.57"/>
    <s v="KG"/>
    <n v="240"/>
    <n v="22"/>
    <n v="1198"/>
    <n v="694.06"/>
    <n v="-39.6"/>
    <n v="6825.67"/>
    <m/>
    <n v="2817.91"/>
    <m/>
    <n v="630.14"/>
    <n v="315.07"/>
    <n v="1068.8499999999999"/>
    <n v="4095.93"/>
    <n v="9390.92"/>
    <m/>
    <m/>
    <n v="13.149891485809682"/>
  </r>
  <r>
    <x v="6"/>
    <x v="1"/>
    <s v="COLCHÃO M.E."/>
    <s v="DIRETO"/>
    <x v="19"/>
    <s v="NADA"/>
    <s v="CHILE"/>
    <n v="44366"/>
    <n v="3080002"/>
    <s v="100% POLIESTER- TAMPO TC VERSATILLE-[Pedido:0"/>
    <s v="MUEBLES MPR SPA"/>
    <s v="EX"/>
    <s v="Colchão M.E."/>
    <n v="91"/>
    <s v="DIRETO"/>
    <n v="44907"/>
    <m/>
    <n v="50.48"/>
    <n v="12784.21"/>
    <s v="KG"/>
    <n v="130"/>
    <n v="11"/>
    <n v="980"/>
    <n v="253.26"/>
    <n v="-41.05"/>
    <n v="6016.48"/>
    <m/>
    <n v="2286.7600000000002"/>
    <m/>
    <n v="511.37"/>
    <n v="255.68"/>
    <n v="390.02"/>
    <n v="3323.89"/>
    <n v="9892.0400000000009"/>
    <m/>
    <m/>
    <n v="13.045112244897958"/>
  </r>
  <r>
    <x v="6"/>
    <x v="1"/>
    <s v="COLCHÃO M.E."/>
    <s v="DIRETO"/>
    <x v="1"/>
    <s v="NADA"/>
    <s v="URUGUAI"/>
    <n v="44371"/>
    <n v="2540017"/>
    <s v="100% POLIESTER- TAMPO GEOMETRICFORM 280G-[Ped"/>
    <s v="DIVINO COLCHONES"/>
    <s v="EX"/>
    <s v="Colchão M.E."/>
    <n v="1"/>
    <s v="MARTIN"/>
    <n v="44907"/>
    <m/>
    <n v="33.94"/>
    <n v="18577"/>
    <s v="KG"/>
    <n v="280"/>
    <n v="21"/>
    <n v="1013"/>
    <n v="547.28"/>
    <n v="24.91"/>
    <n v="12532.63"/>
    <m/>
    <m/>
    <m/>
    <m/>
    <n v="371.54"/>
    <n v="842.81"/>
    <n v="4830.0200000000004"/>
    <n v="7775.46"/>
    <m/>
    <m/>
    <n v="18.338598223099705"/>
  </r>
  <r>
    <x v="6"/>
    <x v="1"/>
    <s v="COLCHÃO M.E."/>
    <s v="DIRETO"/>
    <x v="9"/>
    <s v="NADA"/>
    <s v="CHILE"/>
    <n v="44409"/>
    <n v="2810009"/>
    <s v="100% POLIESTER- TAMPO ONDAS VITRAL MESCLA (A0"/>
    <s v="FLEX CHILE"/>
    <s v="EX"/>
    <s v="Colchão M.E."/>
    <n v="91"/>
    <s v="DIRETO"/>
    <n v="44909"/>
    <m/>
    <n v="28.34"/>
    <n v="14965.17"/>
    <s v="KG"/>
    <n v="180"/>
    <n v="35"/>
    <n v="1356"/>
    <n v="567.02"/>
    <n v="20.07"/>
    <n v="9303.1"/>
    <m/>
    <m/>
    <m/>
    <n v="598.61"/>
    <n v="299.3"/>
    <n v="873.21"/>
    <n v="3890.94"/>
    <n v="8523.02"/>
    <m/>
    <m/>
    <n v="11.036261061946902"/>
  </r>
  <r>
    <x v="6"/>
    <x v="1"/>
    <s v="COLCHÃO M.E."/>
    <s v="DIRETO"/>
    <x v="9"/>
    <s v="NADA"/>
    <s v="CHILE"/>
    <n v="44409"/>
    <n v="2810007"/>
    <s v="100% POLIESTER- TAMPO FOLHAS BG (A06761) - 21"/>
    <s v="FLEX CHILE"/>
    <s v="EX"/>
    <s v="Colchão M.E."/>
    <n v="91"/>
    <s v="DIRETO"/>
    <n v="44909"/>
    <m/>
    <n v="29.76"/>
    <n v="45266.46"/>
    <s v="KG"/>
    <n v="210"/>
    <n v="63"/>
    <n v="3261"/>
    <n v="1633.06"/>
    <n v="17.95"/>
    <n v="28266.28"/>
    <m/>
    <m/>
    <m/>
    <n v="1810.66"/>
    <n v="905.33"/>
    <n v="2514.91"/>
    <n v="11769.28"/>
    <n v="22709.86"/>
    <m/>
    <m/>
    <n v="13.881159153633854"/>
  </r>
  <r>
    <x v="6"/>
    <x v="1"/>
    <s v="COLCHÃO M.E."/>
    <s v="DIRETO"/>
    <x v="20"/>
    <s v="NADA"/>
    <s v="PARAGUAI"/>
    <n v="44450"/>
    <n v="3070001"/>
    <s v="100% POLIESTER- TAMPO AREIA XC26 (A06755)-[Pe"/>
    <s v="GRUPO SUENOLAR"/>
    <s v="EX"/>
    <s v="Colchão M.E."/>
    <n v="93"/>
    <s v="DIRETO"/>
    <n v="44911"/>
    <m/>
    <n v="22.91"/>
    <n v="24493.48"/>
    <s v="KG"/>
    <n v="210"/>
    <n v="40"/>
    <n v="1911"/>
    <n v="1069.02"/>
    <n v="12.87"/>
    <n v="14764.34"/>
    <m/>
    <m/>
    <m/>
    <n v="1224.67"/>
    <n v="489.87"/>
    <n v="1646.29"/>
    <n v="6368.3"/>
    <n v="14342"/>
    <m/>
    <m/>
    <n v="12.817100994243852"/>
  </r>
  <r>
    <x v="7"/>
    <x v="2"/>
    <s v="COLCHÃO M.E."/>
    <s v="DIRETO"/>
    <x v="14"/>
    <s v="NADA"/>
    <s v="PARAGUAI"/>
    <n v="44805"/>
    <n v="2920017"/>
    <s v="100% POLIESTER- TAMPO TRIANGULOS BRILHANTE-[P"/>
    <s v="NATURE"/>
    <s v="EX"/>
    <s v="Colchão M.E."/>
    <n v="87"/>
    <s v="DIRETO"/>
    <n v="44957"/>
    <m/>
    <n v="26.51"/>
    <n v="7879.62"/>
    <s v="KG"/>
    <n v="250"/>
    <n v="10"/>
    <m/>
    <n v="511"/>
    <n v="21.14"/>
    <n v="5215.5200000000004"/>
    <m/>
    <m/>
    <m/>
    <m/>
    <n v="157.59"/>
    <n v="457.81"/>
    <n v="2048.6999999999998"/>
    <n v="3411.68"/>
    <m/>
    <m/>
    <n v="0"/>
  </r>
  <r>
    <x v="7"/>
    <x v="2"/>
    <s v="COLCHÃO M.E."/>
    <s v="DIRETO"/>
    <x v="14"/>
    <s v="NADA"/>
    <s v="PARAGUAI"/>
    <n v="44805"/>
    <n v="2920018"/>
    <s v="100% POLIESTER- FAIXA INVERNO VERAO-[Pedido:0"/>
    <s v="NATURE"/>
    <s v="EX"/>
    <s v="Colchão M.E."/>
    <n v="87"/>
    <s v="DIRETO"/>
    <n v="44957"/>
    <m/>
    <n v="28.03"/>
    <n v="6826.4"/>
    <s v="KG"/>
    <n v="200"/>
    <n v="10"/>
    <m/>
    <n v="530"/>
    <n v="21.22"/>
    <n v="4539.8900000000003"/>
    <m/>
    <m/>
    <m/>
    <m/>
    <n v="136.53"/>
    <n v="375.11"/>
    <n v="1774.86"/>
    <n v="3039.18"/>
    <m/>
    <m/>
    <n v="0"/>
  </r>
  <r>
    <x v="7"/>
    <x v="2"/>
    <s v="COLCHÃO M.E."/>
    <s v="DIRETO"/>
    <x v="14"/>
    <s v="NADA"/>
    <s v="PARAGUAI"/>
    <n v="44805"/>
    <n v="2920020"/>
    <s v="100% POLIESTER- FAIXA PONTINHO CINZA ESCURO-["/>
    <s v="NATURE"/>
    <s v="EX"/>
    <s v="Colchão M.E."/>
    <n v="87"/>
    <s v="DIRETO"/>
    <n v="44957"/>
    <m/>
    <n v="30.4"/>
    <n v="12993.96"/>
    <s v="KG"/>
    <n v="310"/>
    <n v="20"/>
    <m/>
    <n v="651"/>
    <n v="17.63"/>
    <n v="8697.49"/>
    <m/>
    <m/>
    <m/>
    <m/>
    <n v="259.88"/>
    <n v="658.17"/>
    <n v="3378.43"/>
    <n v="5422.77"/>
    <m/>
    <m/>
    <n v="0"/>
  </r>
  <r>
    <x v="7"/>
    <x v="2"/>
    <s v="COLCHÃO M.E."/>
    <s v="DIRETO"/>
    <x v="14"/>
    <s v="NADA"/>
    <s v="PARAGUAI"/>
    <n v="44805"/>
    <n v="2920019"/>
    <s v="100% POLIESTER- TAMPO MANDALAS CINZA - MANDAL"/>
    <s v="NATURE"/>
    <s v="EX"/>
    <s v="Colchão M.E."/>
    <n v="87"/>
    <s v="DIRETO"/>
    <n v="44957"/>
    <m/>
    <n v="33.11"/>
    <n v="12880.84"/>
    <s v="KG"/>
    <n v="300"/>
    <n v="12"/>
    <m/>
    <n v="514"/>
    <n v="20.9"/>
    <n v="8673.1299999999992"/>
    <m/>
    <m/>
    <m/>
    <m/>
    <n v="257.62"/>
    <n v="599.03"/>
    <n v="3349.02"/>
    <n v="4998.8100000000004"/>
    <m/>
    <m/>
    <n v="0"/>
  </r>
  <r>
    <x v="7"/>
    <x v="2"/>
    <s v="COLCHÃO M.E."/>
    <s v="DIRETO"/>
    <x v="14"/>
    <s v="NADA"/>
    <s v="PARAGUAI"/>
    <n v="44805"/>
    <n v="2920016"/>
    <s v="100% POLIESTER- TAMPO TRIANGULOS CINZA - CLIM"/>
    <s v="NATURE"/>
    <s v="EX"/>
    <s v="Colchão M.E."/>
    <n v="87"/>
    <s v="DIRETO"/>
    <n v="44957"/>
    <m/>
    <n v="36.47"/>
    <n v="10616.49"/>
    <s v="KG"/>
    <n v="240"/>
    <n v="10"/>
    <m/>
    <n v="537"/>
    <n v="22.16"/>
    <n v="7193.97"/>
    <m/>
    <m/>
    <m/>
    <m/>
    <n v="212.33"/>
    <n v="448.29"/>
    <n v="2760.29"/>
    <n v="3788.06"/>
    <m/>
    <m/>
    <n v="0"/>
  </r>
  <r>
    <x v="7"/>
    <x v="2"/>
    <s v="COLCHÃO M.E."/>
    <s v="DIRETO"/>
    <x v="1"/>
    <s v="NADA"/>
    <s v="URUGUAI"/>
    <n v="44818"/>
    <n v="2540015"/>
    <s v="100% POLIESTER- TAMPO PONTILHADOS PRETO (A078"/>
    <s v="DIVINO COLCHONES"/>
    <s v="EX"/>
    <s v="Colchão M.E."/>
    <n v="1"/>
    <s v="MARTIN"/>
    <n v="44957"/>
    <m/>
    <n v="25.89"/>
    <n v="32837.980000000003"/>
    <s v="KG"/>
    <n v="260"/>
    <n v="53"/>
    <m/>
    <n v="2148"/>
    <n v="19.27"/>
    <n v="21690.33"/>
    <m/>
    <m/>
    <m/>
    <m/>
    <n v="656.76"/>
    <n v="1953.01"/>
    <n v="8537.8700000000008"/>
    <n v="15307.3"/>
    <m/>
    <m/>
    <n v="0"/>
  </r>
  <r>
    <x v="7"/>
    <x v="2"/>
    <s v="COLCHÃO M.E."/>
    <s v="DIRETO"/>
    <x v="1"/>
    <s v="NADA"/>
    <s v="URUGUAI"/>
    <n v="44818"/>
    <n v="2540012"/>
    <s v="100% POLIESTER- TAMPO RASCUNHOS (A07820)-[Ped"/>
    <s v="DIVINO COLCHONES"/>
    <s v="EX"/>
    <s v="Colchão M.E."/>
    <n v="1"/>
    <s v="MARTIN"/>
    <n v="44957"/>
    <m/>
    <n v="27.78"/>
    <n v="17376.61"/>
    <s v="KG"/>
    <n v="240"/>
    <n v="21"/>
    <m/>
    <n v="1152"/>
    <n v="23.26"/>
    <n v="11547.98"/>
    <m/>
    <m/>
    <m/>
    <m/>
    <n v="347.53"/>
    <n v="963.18"/>
    <n v="4517.92"/>
    <n v="6883.8"/>
    <m/>
    <m/>
    <n v="0"/>
  </r>
  <r>
    <x v="7"/>
    <x v="2"/>
    <s v="COLCHÃO M.E."/>
    <s v="DIRETO"/>
    <x v="1"/>
    <s v="NADA"/>
    <s v="URUGUAI"/>
    <n v="44818"/>
    <n v="2540018"/>
    <s v="100% POLIESTER- TAMPO PRETO CRUZADOS (A07806)"/>
    <s v="DIVINO COLCHONES"/>
    <s v="EX"/>
    <s v="Colchão M.E."/>
    <n v="1"/>
    <s v="MARTIN"/>
    <n v="44957"/>
    <m/>
    <n v="26.61"/>
    <n v="94877.5"/>
    <s v="KG"/>
    <n v="240"/>
    <n v="120"/>
    <m/>
    <n v="6290"/>
    <n v="22.56"/>
    <n v="62821.64"/>
    <m/>
    <m/>
    <m/>
    <m/>
    <n v="1897.55"/>
    <n v="5490.16"/>
    <n v="24668.15"/>
    <n v="43279.53"/>
    <m/>
    <m/>
    <n v="0"/>
  </r>
  <r>
    <x v="7"/>
    <x v="2"/>
    <s v="COLCHÃO M.E."/>
    <s v="DIRETO"/>
    <x v="1"/>
    <s v="NADA"/>
    <s v="URUGUAI"/>
    <n v="44818"/>
    <n v="2540020"/>
    <s v="100% POLIESTER- BANDA LATERAL - MARRON (A0949"/>
    <s v="DIVINO COLCHONES"/>
    <s v="EX"/>
    <s v="Colchão M.E."/>
    <n v="1"/>
    <s v="MARTIN"/>
    <n v="44957"/>
    <m/>
    <n v="28.8"/>
    <n v="27822.240000000002"/>
    <s v="KG"/>
    <n v="300"/>
    <n v="39"/>
    <m/>
    <n v="1433"/>
    <n v="21.75"/>
    <n v="18544.37"/>
    <m/>
    <m/>
    <m/>
    <m/>
    <n v="556.44000000000005"/>
    <n v="1487.64"/>
    <n v="7233.78"/>
    <n v="11788.19"/>
    <m/>
    <m/>
    <n v="0"/>
  </r>
  <r>
    <x v="7"/>
    <x v="2"/>
    <s v="COLCHÃO M.E."/>
    <s v="DIRETO"/>
    <x v="1"/>
    <s v="NADA"/>
    <s v="URUGUAI"/>
    <n v="44818"/>
    <n v="2540019"/>
    <s v="100% POLIESTER- ESTAMPA NUEVO GALHOS 3 V.02-["/>
    <s v="DIVINO COLCHONES"/>
    <s v="EX"/>
    <s v="Colchão M.E."/>
    <n v="1"/>
    <s v="MARTIN"/>
    <n v="44957"/>
    <m/>
    <n v="50.57"/>
    <n v="30123.9"/>
    <s v="KG"/>
    <n v="80"/>
    <n v="21"/>
    <m/>
    <n v="5374"/>
    <n v="53.04"/>
    <n v="20771.8"/>
    <m/>
    <m/>
    <m/>
    <m/>
    <n v="602.48"/>
    <n v="917.41"/>
    <n v="7832.21"/>
    <n v="2859.46"/>
    <m/>
    <m/>
    <n v="0"/>
  </r>
  <r>
    <x v="7"/>
    <x v="2"/>
    <s v="COLCHÃO M.E."/>
    <s v="DIRETO"/>
    <x v="1"/>
    <s v="NADA"/>
    <s v="URUGUAI"/>
    <n v="44818"/>
    <n v="2540016"/>
    <s v="TECIDO 70% POLIESTER 30% ALGODAO- TC GORGURIN"/>
    <s v="DIVINO COLCHONES"/>
    <s v="EX"/>
    <s v="Colchão M.E."/>
    <n v="1"/>
    <s v="MARTIN"/>
    <n v="44957"/>
    <m/>
    <n v="38.49"/>
    <n v="7705"/>
    <s v="KG"/>
    <n v="97"/>
    <n v="7"/>
    <m/>
    <n v="1050"/>
    <n v="48.6"/>
    <n v="5239.3500000000004"/>
    <m/>
    <m/>
    <m/>
    <m/>
    <n v="154.1"/>
    <n v="308.25"/>
    <n v="2003.3"/>
    <n v="1399.12"/>
    <m/>
    <m/>
    <n v="0"/>
  </r>
  <r>
    <x v="7"/>
    <x v="2"/>
    <s v="COLCHÃO M.E."/>
    <s v="DIRETO"/>
    <x v="9"/>
    <s v="NADA"/>
    <s v="CHILE"/>
    <n v="44822"/>
    <n v="2810007"/>
    <s v="100% POLIESTER- TAMPO FOLHAS BG (A06761) - 21"/>
    <s v="FLEX CHILE"/>
    <s v="EX"/>
    <s v="Colchão M.E."/>
    <n v="91"/>
    <s v="DIRETO"/>
    <n v="44957"/>
    <m/>
    <n v="28.74"/>
    <n v="46956.07"/>
    <s v="KG"/>
    <n v="210"/>
    <n v="65"/>
    <m/>
    <n v="3256"/>
    <n v="20.86"/>
    <n v="29413.919999999998"/>
    <m/>
    <m/>
    <m/>
    <n v="1878.24"/>
    <n v="939.12"/>
    <n v="2516.21"/>
    <n v="12208.58"/>
    <n v="20656.63"/>
    <m/>
    <m/>
    <n v="0"/>
  </r>
  <r>
    <x v="8"/>
    <x v="2"/>
    <s v="COLCHÃO M.E."/>
    <s v="DIRETO"/>
    <x v="1"/>
    <s v="NADA"/>
    <s v="URUGUAI"/>
    <n v="45157"/>
    <n v="2540020"/>
    <s v="100% POLIESTER- BANDA LATERAL - MARRON (A0949"/>
    <s v="DIVINO COLCHONES"/>
    <s v="EX"/>
    <s v="Colchão M.E."/>
    <n v="1"/>
    <s v="MARTIN"/>
    <n v="44985"/>
    <m/>
    <m/>
    <n v="12877.2"/>
    <s v="KG"/>
    <n v="300"/>
    <m/>
    <m/>
    <n v="12877.2"/>
    <m/>
    <m/>
    <m/>
    <m/>
    <m/>
    <m/>
    <m/>
    <m/>
    <m/>
    <m/>
    <m/>
    <m/>
    <n v="0"/>
  </r>
  <r>
    <x v="0"/>
    <x v="2"/>
    <s v="COLCHÃO M.E."/>
    <s v="DIRETO"/>
    <x v="1"/>
    <s v="NADA"/>
    <s v="URUGUAI"/>
    <n v="45283"/>
    <n v="1506"/>
    <s v="2540017 TP ML A08980 280G 2,10L DIVERSAS U"/>
    <s v="DIVINO COLCHONES"/>
    <s v="EX"/>
    <s v="Colchão M.E."/>
    <m/>
    <s v="MARTIN"/>
    <n v="44995"/>
    <m/>
    <m/>
    <n v="11698.82"/>
    <s v="MT "/>
    <n v="280"/>
    <m/>
    <n v="645"/>
    <n v="360.40999999999997"/>
    <m/>
    <m/>
    <m/>
    <m/>
    <m/>
    <m/>
    <m/>
    <m/>
    <m/>
    <m/>
    <s v="DIVINO S.A"/>
    <m/>
    <n v="18.13770542635659"/>
  </r>
  <r>
    <x v="0"/>
    <x v="2"/>
    <s v="COLCHÃO M.E."/>
    <s v="DIRETO"/>
    <x v="1"/>
    <s v="NADA"/>
    <s v="URUGUAI"/>
    <n v="45283"/>
    <n v="1523"/>
    <s v="TELA ANTIDESLIZANTE - 32282 DIVERSAS U"/>
    <s v="DIVINO COLCHONES"/>
    <s v="EX"/>
    <s v="Colchão M.E."/>
    <m/>
    <s v="MARTIN"/>
    <n v="44995"/>
    <m/>
    <m/>
    <n v="11827.85"/>
    <s v="MT "/>
    <m/>
    <m/>
    <n v="1585"/>
    <n v="304.14999999999998"/>
    <m/>
    <m/>
    <m/>
    <m/>
    <m/>
    <m/>
    <m/>
    <m/>
    <m/>
    <m/>
    <s v="DIVINO S.A"/>
    <m/>
    <n v="7.4623659305993693"/>
  </r>
  <r>
    <x v="0"/>
    <x v="2"/>
    <s v="COLCHÃO M.E."/>
    <s v="DIRETO"/>
    <x v="9"/>
    <s v="NADA"/>
    <s v="CHILE"/>
    <n v="45356"/>
    <n v="1419"/>
    <s v="2810009 TP ONDAS VIRAL MESCLA 180G 2,10L DIVERSAS U"/>
    <s v="FLEX CHILE"/>
    <s v="EX"/>
    <s v="Colchão M.E."/>
    <m/>
    <s v="DIRETO"/>
    <n v="45000"/>
    <m/>
    <m/>
    <n v="9731.2900000000009"/>
    <s v="MT "/>
    <n v="180"/>
    <m/>
    <n v="561.101"/>
    <n v="239.64000000000001"/>
    <m/>
    <m/>
    <m/>
    <m/>
    <m/>
    <m/>
    <m/>
    <m/>
    <m/>
    <m/>
    <s v="FLEX CHILE"/>
    <s v="CARLOS FIDENCIO D AVALOS RUIZ JUNIOR 34496952823"/>
    <n v="17.343205590437375"/>
  </r>
  <r>
    <x v="0"/>
    <x v="2"/>
    <s v="COLCHÃO M.E."/>
    <s v="DIRETO"/>
    <x v="4"/>
    <s v="NADA"/>
    <s v="BOLIVIA"/>
    <n v="45520"/>
    <n v="1706"/>
    <s v="SEGUNDAQUALIDADE DIVERSAS U"/>
    <s v="WENTURS TRADE"/>
    <s v="EX"/>
    <s v="Colchão M.E."/>
    <m/>
    <s v="DIRETO"/>
    <n v="45009"/>
    <m/>
    <m/>
    <n v="167939.21"/>
    <s v="MT "/>
    <m/>
    <m/>
    <n v="19943"/>
    <n v="0"/>
    <m/>
    <m/>
    <m/>
    <m/>
    <m/>
    <m/>
    <m/>
    <m/>
    <m/>
    <m/>
    <s v="WENTURS TRADE"/>
    <m/>
    <n v="8.4209602366745226"/>
  </r>
  <r>
    <x v="0"/>
    <x v="2"/>
    <s v="COLCHÃO M.E."/>
    <s v="DIRETO"/>
    <x v="17"/>
    <s v="NADA"/>
    <s v="BOLIVIA"/>
    <n v="45523"/>
    <n v="1227"/>
    <s v="3020004 TELA IMPERMEAVEL LOGO MAXI DIVERSAS U"/>
    <s v="MAXI KING"/>
    <s v="EX"/>
    <s v="Colchão M.E."/>
    <m/>
    <s v="DIRETO"/>
    <n v="45009"/>
    <m/>
    <m/>
    <n v="23990.400000000001"/>
    <s v="MT "/>
    <m/>
    <m/>
    <n v="1764"/>
    <n v="716.7"/>
    <m/>
    <m/>
    <m/>
    <m/>
    <m/>
    <m/>
    <m/>
    <m/>
    <m/>
    <m/>
    <s v="GRUPO EMPRESARIAL MAXI KING SRL"/>
    <m/>
    <n v="13.600000000000001"/>
  </r>
  <r>
    <x v="0"/>
    <x v="2"/>
    <s v="COLCHÃO M.E."/>
    <s v="DIRETO"/>
    <x v="1"/>
    <s v="NADA"/>
    <s v="URUGUAI"/>
    <n v="45704"/>
    <n v="1506"/>
    <s v="2540017 TP ML A08980 280G 2,10L DIVERSAS U"/>
    <s v="DIVINO COLCHONES"/>
    <s v="EX"/>
    <s v="Colchão M.E."/>
    <m/>
    <s v="MARTIN"/>
    <n v="45016"/>
    <m/>
    <m/>
    <n v="8016.86"/>
    <s v="MT "/>
    <n v="280"/>
    <m/>
    <n v="442"/>
    <n v="286.78000000000003"/>
    <m/>
    <m/>
    <m/>
    <m/>
    <m/>
    <m/>
    <m/>
    <m/>
    <m/>
    <m/>
    <s v="DIVINO S.A"/>
    <s v="CONEXAO MALHAS E DESENVOLVIMENTO LTDA"/>
    <n v="18.137692307692308"/>
  </r>
  <r>
    <x v="0"/>
    <x v="2"/>
    <s v="COLCHÃO M.E."/>
    <s v="DIRETO"/>
    <x v="1"/>
    <s v="NADA"/>
    <s v="URUGUAI"/>
    <n v="45707"/>
    <n v="1504"/>
    <s v="2540018 TP ML DIV 7806 240G 2,10L DIVERSAS U"/>
    <s v="DIVINO COLCHONES"/>
    <s v="EX"/>
    <s v="Colchão M.E."/>
    <m/>
    <s v="MARTIN"/>
    <n v="45016"/>
    <m/>
    <m/>
    <n v="16185.75"/>
    <s v="MT "/>
    <n v="240"/>
    <m/>
    <n v="1067"/>
    <n v="569.29999999999995"/>
    <m/>
    <m/>
    <m/>
    <m/>
    <m/>
    <m/>
    <m/>
    <m/>
    <m/>
    <m/>
    <s v="DIVINO S.A"/>
    <s v="CONEXAO MALHAS E DESENVOLVIMENTO LTDA"/>
    <n v="15.169400187441424"/>
  </r>
  <r>
    <x v="0"/>
    <x v="2"/>
    <s v="COLCHÃO M.E."/>
    <s v="DIRETO"/>
    <x v="1"/>
    <s v="NADA"/>
    <s v="URUGUAI"/>
    <n v="45707"/>
    <n v="1506"/>
    <s v="2540017 TP ML A08980 280G 2,10L DIVERSAS U"/>
    <s v="DIVINO COLCHONES"/>
    <s v="EX"/>
    <s v="Colchão M.E."/>
    <m/>
    <s v="MARTIN"/>
    <n v="45016"/>
    <m/>
    <m/>
    <n v="19710.599999999999"/>
    <s v="MT "/>
    <n v="280"/>
    <m/>
    <n v="1083"/>
    <n v="703.08"/>
    <m/>
    <m/>
    <m/>
    <m/>
    <m/>
    <m/>
    <m/>
    <m/>
    <m/>
    <m/>
    <s v="DIVINO S.A"/>
    <s v="CONEXAO MALHAS E DESENVOLVIMENTO LTDA"/>
    <n v="18.2"/>
  </r>
  <r>
    <x v="0"/>
    <x v="2"/>
    <s v="COLCHÃO M.E."/>
    <s v="DIRETO"/>
    <x v="1"/>
    <s v="NADA"/>
    <s v="URUGUAI"/>
    <n v="45707"/>
    <n v="1236"/>
    <s v="2540005 TAMPO GEOMETRICO (A07370) DIVERSAS U"/>
    <s v="DIVINO COLCHONES"/>
    <s v="EX"/>
    <s v="Colchão M.E."/>
    <m/>
    <s v="MARTIN"/>
    <n v="45016"/>
    <m/>
    <m/>
    <n v="19695.29"/>
    <s v="MT "/>
    <n v="240"/>
    <m/>
    <n v="1098.038"/>
    <n v="1134.4399999999998"/>
    <m/>
    <m/>
    <m/>
    <m/>
    <m/>
    <m/>
    <m/>
    <m/>
    <m/>
    <m/>
    <s v="DIVINO S.A"/>
    <s v="CONEXAO MALHAS E DESENVOLVIMENTO LTDA"/>
    <n v="17.936801822887734"/>
  </r>
  <r>
    <x v="0"/>
    <x v="2"/>
    <s v="COLCHÃO M.E."/>
    <s v="DIRETO"/>
    <x v="1"/>
    <s v="NADA"/>
    <s v="URUGUAI"/>
    <n v="45707"/>
    <n v="1503"/>
    <s v="2540008 TP ML DINOS 260G 2,20L DIVERSAS U"/>
    <s v="DIVINO COLCHONES"/>
    <s v="EX"/>
    <s v="Colchão M.E."/>
    <m/>
    <s v="MARTIN"/>
    <n v="45016"/>
    <m/>
    <m/>
    <n v="6377.3"/>
    <s v="MT "/>
    <n v="260"/>
    <m/>
    <n v="366"/>
    <n v="202.45999999999998"/>
    <m/>
    <m/>
    <m/>
    <m/>
    <m/>
    <m/>
    <m/>
    <m/>
    <m/>
    <m/>
    <s v="DIVINO S.A"/>
    <s v="CONEXAO MALHAS E DESENVOLVIMENTO LTDA"/>
    <n v="17.424316939890712"/>
  </r>
  <r>
    <x v="0"/>
    <x v="2"/>
    <s v="COLCHÃO M.E."/>
    <s v="DIRETO"/>
    <x v="1"/>
    <s v="NADA"/>
    <s v="URUGUAI"/>
    <n v="45707"/>
    <n v="1236"/>
    <s v="2540005 TAMPO GEOMETRICO (A07370) DIVERSAS U"/>
    <s v="DIVINO COLCHONES"/>
    <s v="EX"/>
    <s v="Colchão M.E."/>
    <m/>
    <s v="MARTIN"/>
    <n v="45016"/>
    <m/>
    <m/>
    <n v="18468"/>
    <s v="MT "/>
    <n v="240"/>
    <m/>
    <n v="1026"/>
    <n v="1134.4399999999998"/>
    <m/>
    <m/>
    <m/>
    <m/>
    <m/>
    <m/>
    <m/>
    <m/>
    <m/>
    <m/>
    <s v="DIVINO S.A"/>
    <s v="CONEXAO MALHAS E DESENVOLVIMENTO LTDA"/>
    <n v="18"/>
  </r>
  <r>
    <x v="0"/>
    <x v="2"/>
    <s v="COLCHÃO M.E."/>
    <s v="DIRETO"/>
    <x v="1"/>
    <s v="NADA"/>
    <s v="URUGUAI"/>
    <n v="45707"/>
    <n v="1226"/>
    <s v="2540015 TAMPO PONTILHADOS PRETO (A07803) DIVERSAS U"/>
    <s v="DIVINO COLCHONES"/>
    <s v="EX "/>
    <s v="Colchão M.E."/>
    <m/>
    <s v="MARTIN"/>
    <n v="45016"/>
    <m/>
    <m/>
    <n v="8225.2999999999993"/>
    <s v="MT "/>
    <n v="260"/>
    <m/>
    <n v="535"/>
    <n v="314.95999999999998"/>
    <m/>
    <m/>
    <m/>
    <m/>
    <m/>
    <m/>
    <m/>
    <m/>
    <m/>
    <m/>
    <s v="DIVINO S.A"/>
    <s v="CONEXAO MALHAS E DESENVOLVIMENTO LTDA"/>
    <n v="15.374392523364484"/>
  </r>
  <r>
    <x v="0"/>
    <x v="2"/>
    <s v="COLCHÃO M.E."/>
    <s v="DIRETO"/>
    <x v="1"/>
    <s v="NADA"/>
    <s v="URUGUAI"/>
    <n v="45707"/>
    <n v="1237"/>
    <s v="2540020 BANDA LATERAL - MARRON (A09497) DIVERSAS U"/>
    <s v="DIVINO COLCHONES"/>
    <s v="EX "/>
    <s v="Colchão M.E."/>
    <m/>
    <s v="MARTIN"/>
    <n v="45016"/>
    <m/>
    <m/>
    <n v="8708.33"/>
    <s v="MT "/>
    <n v="300"/>
    <m/>
    <n v="446"/>
    <n v="299.68"/>
    <m/>
    <m/>
    <m/>
    <m/>
    <m/>
    <m/>
    <m/>
    <m/>
    <m/>
    <m/>
    <s v="DIVINO S.A"/>
    <s v="CONEXAO MALHAS E DESENVOLVIMENTO LTDA"/>
    <n v="19.525403587443947"/>
  </r>
  <r>
    <x v="0"/>
    <x v="2"/>
    <s v="COLCHÃO M.E."/>
    <s v="DIRETO"/>
    <x v="1"/>
    <s v="NADA"/>
    <s v="URUGUAI"/>
    <n v="45708"/>
    <n v="1472"/>
    <s v="2940018 TP ML 1183 BEIGE 200G 2,10L DIVERSAS U"/>
    <s v="DIVINO COLCHONES"/>
    <s v="EX "/>
    <s v="Colchão M.E."/>
    <m/>
    <s v="MARTIN"/>
    <n v="45016"/>
    <m/>
    <m/>
    <n v="9894.2999999999993"/>
    <s v="MT "/>
    <n v="200"/>
    <m/>
    <n v="885"/>
    <n v="384.94"/>
    <m/>
    <m/>
    <m/>
    <m/>
    <m/>
    <m/>
    <m/>
    <m/>
    <m/>
    <m/>
    <s v="INDUCOL - INDUSTRIA DE COLCHONES SRL"/>
    <s v="CARLOS FIDENCIO D AVALOS RUIZ JUNIOR 34496952823"/>
    <n v="11.18"/>
  </r>
  <r>
    <x v="0"/>
    <x v="2"/>
    <s v="COLCHÃO M.E."/>
    <s v="DIRETO"/>
    <x v="1"/>
    <s v="NADA"/>
    <s v="URUGUAI"/>
    <n v="45708"/>
    <n v="1496"/>
    <s v="2940024 - TP ML 8063 BLACK 200G 2,10L DIVERSAS U"/>
    <s v="DIVINO COLCHONES"/>
    <s v="EX "/>
    <s v="Colchão M.E."/>
    <m/>
    <s v="MARTIN"/>
    <n v="45016"/>
    <m/>
    <m/>
    <n v="8680.43"/>
    <s v="MT "/>
    <n v="200"/>
    <m/>
    <n v="803"/>
    <n v="344.41999999999996"/>
    <m/>
    <m/>
    <m/>
    <m/>
    <m/>
    <m/>
    <m/>
    <m/>
    <m/>
    <m/>
    <s v="INDUCOL - INDUSTRIA DE COLCHONES SRL"/>
    <s v="CARLOS FIDENCIO D AVALOS RUIZ JUNIOR 34496952823"/>
    <n v="10.81"/>
  </r>
  <r>
    <x v="0"/>
    <x v="2"/>
    <s v="COLCHÃO M.E."/>
    <s v="DIRETO"/>
    <x v="1"/>
    <s v="NADA"/>
    <s v="URUGUAI"/>
    <n v="45708"/>
    <n v="1497"/>
    <s v="2940023 - TP ML 8053 BEIGE 200G 2,10L DIVERSAS U"/>
    <s v="DIVINO COLCHONES"/>
    <s v="EX "/>
    <s v="Colchão M.E."/>
    <m/>
    <s v="MARTIN"/>
    <n v="45016"/>
    <m/>
    <m/>
    <n v="9760.14"/>
    <s v="MT "/>
    <n v="200"/>
    <m/>
    <n v="873"/>
    <n v="375.7"/>
    <m/>
    <m/>
    <m/>
    <m/>
    <m/>
    <m/>
    <m/>
    <m/>
    <m/>
    <m/>
    <s v="INDUCOL - INDUSTRIA DE COLCHONES SRL"/>
    <s v="CARLOS FIDENCIO D AVALOS RUIZ JUNIOR 34496952823"/>
    <n v="11.18"/>
  </r>
  <r>
    <x v="0"/>
    <x v="2"/>
    <s v="COLCHÃO M.E."/>
    <s v="DIRETO"/>
    <x v="1"/>
    <s v="NADA"/>
    <s v="URUGUAI"/>
    <n v="45708"/>
    <n v="1474"/>
    <s v="2940020 TP ML 6013 CHERRY 200G 2,10L DIVERSAS U"/>
    <s v="DIVINO COLCHONES"/>
    <s v="EX "/>
    <s v="Colchão M.E."/>
    <m/>
    <s v="MARTIN"/>
    <n v="45016"/>
    <m/>
    <m/>
    <n v="6157.58"/>
    <s v="MT "/>
    <n v="200"/>
    <m/>
    <n v="569.61900000000003"/>
    <n v="249.60000000000002"/>
    <m/>
    <m/>
    <m/>
    <m/>
    <m/>
    <m/>
    <m/>
    <m/>
    <m/>
    <m/>
    <s v="INDUCOL - INDUSTRIA DE COLCHONES SRL"/>
    <s v="CARLOS FIDENCIO D AVALOS RUIZ JUNIOR 34496952823"/>
    <n v="10.809997559772409"/>
  </r>
  <r>
    <x v="0"/>
    <x v="2"/>
    <s v="COLCHÃO M.E."/>
    <s v="DIRETO"/>
    <x v="1"/>
    <s v="NADA"/>
    <s v="URUGUAI"/>
    <n v="45708"/>
    <n v="1549"/>
    <s v="2940025 TP ML NAVY BL 200G 2,10L DIVERSAS U"/>
    <s v="DIVINO COLCHONES"/>
    <s v="EX "/>
    <s v="Colchão M.E."/>
    <m/>
    <s v="MARTIN"/>
    <n v="45016"/>
    <m/>
    <m/>
    <n v="9372.0400000000009"/>
    <s v="MT "/>
    <n v="210"/>
    <m/>
    <n v="777.11800000000005"/>
    <n v="344.88"/>
    <m/>
    <m/>
    <m/>
    <m/>
    <m/>
    <m/>
    <m/>
    <m/>
    <m/>
    <m/>
    <s v="INDUCOL - INDUSTRIA DE COLCHONES SRL"/>
    <s v="CARLOS FIDENCIO D AVALOS RUIZ JUNIOR 34496952823"/>
    <n v="12.059996036637937"/>
  </r>
  <r>
    <x v="0"/>
    <x v="2"/>
    <s v="COLCHÃO M.E."/>
    <s v="DIRETO"/>
    <x v="1"/>
    <s v="NADA"/>
    <s v="URUGUAI"/>
    <n v="45708"/>
    <n v="1499"/>
    <s v="2940021 - TP ML 10003 BLUE 200G 2,10L DIVERSAS U"/>
    <s v="DIVINO COLCHONES"/>
    <s v="EX "/>
    <s v="Colchão M.E."/>
    <m/>
    <s v="MARTIN"/>
    <n v="45016"/>
    <m/>
    <m/>
    <n v="5024.3999999999996"/>
    <s v="MT "/>
    <n v="200"/>
    <m/>
    <n v="424"/>
    <n v="181.26000000000002"/>
    <m/>
    <m/>
    <m/>
    <m/>
    <m/>
    <m/>
    <m/>
    <m/>
    <m/>
    <m/>
    <s v="INDUCOL - INDUSTRIA DE COLCHONES SRL"/>
    <s v="CARLOS FIDENCIO D AVALOS RUIZ JUNIOR 34496952823"/>
    <n v="11.85"/>
  </r>
  <r>
    <x v="0"/>
    <x v="2"/>
    <s v="COLCHÃO M.E."/>
    <s v="DIRETO"/>
    <x v="1"/>
    <s v="NADA"/>
    <s v="URUGUAI"/>
    <n v="45708"/>
    <n v="1548"/>
    <s v="2940026 TP ML AIR YELLOW 200G 2,10L DIVERSAS U"/>
    <s v="DIVINO COLCHONES"/>
    <s v="EX "/>
    <s v="Colchão M.E."/>
    <m/>
    <s v="MARTIN"/>
    <n v="45016"/>
    <m/>
    <m/>
    <n v="5814.36"/>
    <s v="MT "/>
    <n v="210"/>
    <m/>
    <n v="431.97300000000001"/>
    <n v="187.14000000000001"/>
    <m/>
    <m/>
    <m/>
    <m/>
    <m/>
    <m/>
    <m/>
    <m/>
    <m/>
    <m/>
    <s v="INDUCOL - INDUSTRIA DE COLCHONES SRL"/>
    <s v="CARLOS FIDENCIO D AVALOS RUIZ JUNIOR 34496952823"/>
    <n v="13.460007917161487"/>
  </r>
  <r>
    <x v="0"/>
    <x v="2"/>
    <s v="COLCHÃO M.E."/>
    <s v="DIRETO"/>
    <x v="1"/>
    <s v="NADA"/>
    <s v="URUGUAI"/>
    <n v="45708"/>
    <n v="1471"/>
    <s v="2940017 TP ML 1163 SPACE GRAY 200G 2,10L DIVERSAS U"/>
    <s v="DIVINO COLCHONES"/>
    <s v="EX "/>
    <s v="Colchão M.E."/>
    <m/>
    <s v="MARTIN"/>
    <n v="45016"/>
    <m/>
    <m/>
    <n v="9807.5300000000007"/>
    <s v="MT "/>
    <n v="200"/>
    <m/>
    <n v="842.57100000000003"/>
    <n v="335.82000000000005"/>
    <m/>
    <m/>
    <m/>
    <m/>
    <m/>
    <m/>
    <m/>
    <m/>
    <m/>
    <m/>
    <s v="INDUCOL - INDUSTRIA DE COLCHONES SRL"/>
    <s v="CARLOS FIDENCIO D AVALOS RUIZ JUNIOR 34496952823"/>
    <n v="11.640004225163221"/>
  </r>
  <r>
    <x v="0"/>
    <x v="2"/>
    <s v="COLCHÃO M.E."/>
    <s v="DIRETO"/>
    <x v="1"/>
    <s v="NADA"/>
    <s v="URUGUAI"/>
    <n v="45708"/>
    <n v="1473"/>
    <s v="2940019 TP ML 1173 SPACE BROWN 200G2,10L DIVERSAS U"/>
    <s v="DIVINO COLCHONES"/>
    <s v="EX "/>
    <s v="Colchão M.E."/>
    <m/>
    <s v="MARTIN"/>
    <n v="45016"/>
    <m/>
    <m/>
    <n v="10359.540000000001"/>
    <s v="MT "/>
    <n v="200"/>
    <m/>
    <n v="859"/>
    <n v="380.77"/>
    <m/>
    <m/>
    <m/>
    <m/>
    <m/>
    <m/>
    <m/>
    <m/>
    <m/>
    <m/>
    <s v="INDUCOL - INDUSTRIA DE COLCHONES SRL"/>
    <s v="CARLOS FIDENCIO D AVALOS RUIZ JUNIOR 34496952823"/>
    <n v="12.06"/>
  </r>
  <r>
    <x v="0"/>
    <x v="2"/>
    <s v="COLCHÃO M.E."/>
    <s v="DIRETO"/>
    <x v="1"/>
    <s v="NADA"/>
    <s v="URUGUAI"/>
    <n v="45708"/>
    <n v="1498"/>
    <s v="2940022 - TP ML 5003 BROWN 200G 2,10L DIVERSAS U"/>
    <s v="DIVINO COLCHONES"/>
    <s v="EX "/>
    <s v="Colchão M.E."/>
    <m/>
    <s v="MARTIN"/>
    <n v="45016"/>
    <m/>
    <m/>
    <n v="12236.79"/>
    <s v="MT "/>
    <n v="200"/>
    <m/>
    <n v="1041.4290000000001"/>
    <n v="450.18"/>
    <m/>
    <m/>
    <m/>
    <m/>
    <m/>
    <m/>
    <m/>
    <m/>
    <m/>
    <m/>
    <s v="INDUCOL - INDUSTRIA DE COLCHONES SRL"/>
    <s v="CARLOS FIDENCIO D AVALOS RUIZ JUNIOR 34496952823"/>
    <n v="11.749999279835688"/>
  </r>
  <r>
    <x v="0"/>
    <x v="2"/>
    <s v="COLCHÃO M.E."/>
    <s v="DIRETO"/>
    <x v="1"/>
    <s v="NADA"/>
    <s v="URUGUAI"/>
    <n v="45709"/>
    <n v="1422"/>
    <s v="2810005 TP ME FOLHA 240G 2,20L DIVERSAS U"/>
    <s v="DIVINO COLCHONES"/>
    <s v="EX "/>
    <s v="Colchão M.E."/>
    <m/>
    <s v="MARTIN"/>
    <n v="45016"/>
    <m/>
    <m/>
    <n v="17617"/>
    <s v="MT "/>
    <n v="240"/>
    <m/>
    <n v="790"/>
    <n v="414.06000000000012"/>
    <m/>
    <m/>
    <m/>
    <m/>
    <m/>
    <m/>
    <m/>
    <m/>
    <m/>
    <m/>
    <s v="FLEX CHILE"/>
    <s v="CARLOS FIDENCIO D AVALOS RUIZ JUNIOR 34496952823"/>
    <n v="22.3"/>
  </r>
  <r>
    <x v="0"/>
    <x v="2"/>
    <s v="COLCHÃO M.E."/>
    <s v="DIRETO"/>
    <x v="1"/>
    <s v="NADA"/>
    <s v="URUGUAI"/>
    <n v="45709"/>
    <n v="1419"/>
    <s v="2810009 TP ONDAS VIRAL MESCLA 180G 2,10L DIVERSAS U"/>
    <s v="DIVINO COLCHONES"/>
    <s v="EX "/>
    <s v="Colchão M.E."/>
    <m/>
    <s v="MARTIN"/>
    <n v="45016"/>
    <m/>
    <m/>
    <n v="11402.37"/>
    <s v="MT "/>
    <n v="180"/>
    <m/>
    <n v="982.96299999999997"/>
    <n v="385.84"/>
    <m/>
    <m/>
    <m/>
    <m/>
    <m/>
    <m/>
    <m/>
    <m/>
    <m/>
    <m/>
    <s v="FLEX CHILE"/>
    <s v="CARLOS FIDENCIO D AVALOS RUIZ JUNIOR 34496952823"/>
    <n v="11.59999918613417"/>
  </r>
  <r>
    <x v="9"/>
    <x v="2"/>
    <s v="COLCHÃO M.E."/>
    <s v="DIRETO"/>
    <x v="4"/>
    <s v="NADA"/>
    <s v="BOLIVIA"/>
    <n v="45745"/>
    <n v="1706"/>
    <s v="SEGUNDAQUALIDADE DIVERSAS U"/>
    <s v="WENTURS TRADE"/>
    <s v="EX "/>
    <s v="Colchão M.E."/>
    <m/>
    <s v="DIRETO"/>
    <n v="45021"/>
    <m/>
    <m/>
    <n v="14363.35"/>
    <s v="MT "/>
    <m/>
    <m/>
    <n v="1820.45"/>
    <n v="1820.45"/>
    <m/>
    <m/>
    <m/>
    <m/>
    <m/>
    <m/>
    <m/>
    <m/>
    <m/>
    <m/>
    <s v="WENTURS TRADE"/>
    <m/>
    <n v="7.8899997253426353"/>
  </r>
  <r>
    <x v="9"/>
    <x v="2"/>
    <s v="COLCHÃO M.E."/>
    <s v="DIRETO"/>
    <x v="9"/>
    <s v="NADA"/>
    <s v="CHILE"/>
    <n v="45746"/>
    <n v="1703"/>
    <s v="2810010 TP ML STAR BRILHA 160G 2,10L DIVERSAS U"/>
    <s v="FLEX CHILE"/>
    <s v="EX "/>
    <s v="Colchão M.E."/>
    <m/>
    <s v="DIRETO"/>
    <n v="45021"/>
    <m/>
    <m/>
    <n v="21586.27"/>
    <s v="MT "/>
    <n v="160"/>
    <m/>
    <n v="2054"/>
    <n v="844.58"/>
    <m/>
    <m/>
    <m/>
    <m/>
    <m/>
    <m/>
    <m/>
    <m/>
    <m/>
    <m/>
    <s v="FLEX CHILE"/>
    <s v="CARLOS FIDENCIO D AVALOS RUIZ JUNIOR 34496952823"/>
    <n v="10.509381694255111"/>
  </r>
  <r>
    <x v="9"/>
    <x v="2"/>
    <s v="COLCHÃO M.E."/>
    <s v="DIRETO"/>
    <x v="1"/>
    <s v="NADA"/>
    <s v="URUGUAI"/>
    <n v="45780"/>
    <n v="1503"/>
    <s v="2540008 TP ML DINOS 260G 2,20L DIVERSAS U"/>
    <s v="DIVINO COLCHONES"/>
    <s v="EX "/>
    <s v="Colchão M.E."/>
    <m/>
    <s v="MARTIN"/>
    <n v="45022"/>
    <m/>
    <m/>
    <n v="592.42999999999995"/>
    <s v="MT "/>
    <n v="260"/>
    <m/>
    <n v="34"/>
    <n v="38.72"/>
    <m/>
    <m/>
    <m/>
    <m/>
    <m/>
    <m/>
    <m/>
    <m/>
    <m/>
    <m/>
    <s v="DIVINO S.A"/>
    <s v="CONEXAO MALHAS E DESENVOLVIMENTO LTDA"/>
    <n v="17.42441176470588"/>
  </r>
  <r>
    <x v="9"/>
    <x v="2"/>
    <s v="COLCHÃO M.E."/>
    <s v="DIRETO"/>
    <x v="1"/>
    <s v="NADA"/>
    <s v="URUGUAI"/>
    <n v="45780"/>
    <n v="1523"/>
    <s v="32282 - TELA ANTIDESLIZANTE DIVERSAS U"/>
    <s v="DIVINO COLCHONES"/>
    <s v="EX "/>
    <s v="Colchão M.E."/>
    <m/>
    <s v="MARTIN"/>
    <n v="45022"/>
    <m/>
    <m/>
    <n v="19171.240000000002"/>
    <s v="MT "/>
    <m/>
    <m/>
    <n v="2563"/>
    <n v="494.42000000000007"/>
    <m/>
    <m/>
    <m/>
    <m/>
    <m/>
    <m/>
    <m/>
    <m/>
    <m/>
    <m/>
    <s v="DIVINO S.A"/>
    <s v="CONEXAO MALHAS E DESENVOLVIMENTO LTDA"/>
    <n v="7.48"/>
  </r>
  <r>
    <x v="9"/>
    <x v="2"/>
    <s v="COLCHÃO M.E."/>
    <s v="DIRETO"/>
    <x v="1"/>
    <s v="NADA"/>
    <s v="URUGUAI"/>
    <n v="45780"/>
    <n v="1503"/>
    <s v="2540008 TP ML DINOS 260G 2,20L DIVERSAS U"/>
    <s v="DIVINO COLCHONES"/>
    <s v="EX "/>
    <s v="Colchão M.E."/>
    <m/>
    <s v="MARTIN"/>
    <n v="45022"/>
    <m/>
    <m/>
    <n v="557.58000000000004"/>
    <s v="MT "/>
    <n v="260"/>
    <m/>
    <n v="32"/>
    <n v="38.72"/>
    <m/>
    <m/>
    <m/>
    <m/>
    <m/>
    <m/>
    <m/>
    <m/>
    <m/>
    <m/>
    <s v="DIVINO S.A"/>
    <s v="CONEXAO MALHAS E DESENVOLVIMENTO LTDA"/>
    <n v="17.424375000000001"/>
  </r>
  <r>
    <x v="9"/>
    <x v="2"/>
    <s v="COLCHÃO M.E."/>
    <s v="DIRETO"/>
    <x v="1"/>
    <s v="NADA"/>
    <s v="URUGUAI"/>
    <n v="45780"/>
    <n v="1525"/>
    <s v="2540022 TP ML FOLHAS IMAG 320G 2,10 DIVERSAS U"/>
    <s v="DIVINO COLCHONES"/>
    <s v="EX "/>
    <s v="Colchão M.E."/>
    <m/>
    <s v="MARTIN"/>
    <n v="45022"/>
    <m/>
    <m/>
    <n v="483.01"/>
    <s v="MT "/>
    <n v="320"/>
    <m/>
    <n v="25"/>
    <n v="996.1600000000002"/>
    <m/>
    <m/>
    <m/>
    <m/>
    <m/>
    <m/>
    <m/>
    <m/>
    <m/>
    <m/>
    <s v="DIVINO S.A"/>
    <s v="CONEXAO MALHAS E DESENVOLVIMENTO LTDA"/>
    <n v="19.320399999999999"/>
  </r>
  <r>
    <x v="9"/>
    <x v="2"/>
    <s v="COLCHÃO M.E."/>
    <s v="DIRETO"/>
    <x v="1"/>
    <s v="NADA"/>
    <s v="URUGUAI"/>
    <n v="45780"/>
    <n v="1524"/>
    <s v="1922 - TELA POL GALHOS 3 V02 DIVERSAS U"/>
    <s v="DIVINO COLCHONES"/>
    <s v="EX "/>
    <s v="Colchão M.E."/>
    <m/>
    <s v="MARTIN"/>
    <n v="45022"/>
    <m/>
    <m/>
    <n v="28104.959999999999"/>
    <s v="MT "/>
    <m/>
    <m/>
    <n v="3378"/>
    <n v="678.97300000000007"/>
    <m/>
    <m/>
    <m/>
    <m/>
    <m/>
    <m/>
    <m/>
    <m/>
    <m/>
    <m/>
    <s v="DIVINO S.A"/>
    <s v="CONEXAO MALHAS E DESENVOLVIMENTO LTDA"/>
    <n v="8.32"/>
  </r>
  <r>
    <x v="9"/>
    <x v="2"/>
    <s v="COLCHÃO M.E."/>
    <s v="DIRETO"/>
    <x v="1"/>
    <s v="NADA"/>
    <s v="URUGUAI"/>
    <n v="45780"/>
    <n v="1226"/>
    <s v="2540015 TAMPO PONTILHADOS PRETO (A07803) DIVERSAS U"/>
    <s v="DIVINO COLCHONES"/>
    <s v="EX "/>
    <s v="Colchão M.E."/>
    <m/>
    <s v="MARTIN"/>
    <n v="45022"/>
    <m/>
    <m/>
    <n v="6841.61"/>
    <s v="MT "/>
    <n v="260"/>
    <m/>
    <n v="445"/>
    <n v="269.036"/>
    <m/>
    <m/>
    <m/>
    <m/>
    <m/>
    <m/>
    <m/>
    <m/>
    <m/>
    <m/>
    <s v="DIVINO S.A"/>
    <s v="CONEXAO MALHAS E DESENVOLVIMENTO LTDA"/>
    <n v="15.374404494382022"/>
  </r>
  <r>
    <x v="9"/>
    <x v="2"/>
    <s v="COLCHÃO M.E."/>
    <s v="DIRETO"/>
    <x v="1"/>
    <s v="NADA"/>
    <s v="URUGUAI"/>
    <n v="45780"/>
    <n v="1652"/>
    <s v="2540023 TP ML COLMEIA COOL 460G 2,10L DIVERSAS U"/>
    <s v="DIVINO COLCHONES"/>
    <s v="EX "/>
    <s v="Colchão M.E."/>
    <m/>
    <s v="MARTIN"/>
    <n v="45022"/>
    <m/>
    <m/>
    <n v="30104.15"/>
    <s v="MT "/>
    <n v="460"/>
    <m/>
    <n v="1021.172"/>
    <n v="1091.98"/>
    <m/>
    <m/>
    <m/>
    <m/>
    <m/>
    <m/>
    <m/>
    <m/>
    <m/>
    <m/>
    <s v="DIVINO S.A"/>
    <s v="CONEXAO MALHAS E DESENVOLVIMENTO LTDA"/>
    <n v="29.479999451610503"/>
  </r>
  <r>
    <x v="9"/>
    <x v="2"/>
    <s v="COLCHÃO M.E."/>
    <s v="DIRETO"/>
    <x v="1"/>
    <s v="NADA"/>
    <s v="URUGUAI"/>
    <n v="45780"/>
    <n v="1525"/>
    <s v="2540022 TP ML FOLHAS IMAG 320G 2,10 DIVERSAS U"/>
    <s v="DIVINO COLCHONES"/>
    <s v="EX "/>
    <s v="Colchão M.E."/>
    <m/>
    <s v="MARTIN"/>
    <n v="45022"/>
    <m/>
    <m/>
    <n v="26488.400000000001"/>
    <s v="MT "/>
    <n v="320"/>
    <m/>
    <n v="1371"/>
    <n v="996.1600000000002"/>
    <m/>
    <m/>
    <m/>
    <m/>
    <m/>
    <m/>
    <m/>
    <m/>
    <m/>
    <m/>
    <s v="DIVINO S.A"/>
    <s v="CONEXAO MALHAS E DESENVOLVIMENTO LTDA"/>
    <n v="19.320495988329686"/>
  </r>
  <r>
    <x v="9"/>
    <x v="2"/>
    <s v="COLCHÃO M.E."/>
    <s v="DIRETO"/>
    <x v="1"/>
    <s v="NADA"/>
    <s v="URUGUAI"/>
    <n v="45782"/>
    <n v="1525"/>
    <s v="2540022 TP ML FOLHAS IMAG 320G 2,10 DIVERSAS U"/>
    <s v="DIVINO COLCHONES"/>
    <s v="EX "/>
    <s v="Colchão M.E."/>
    <m/>
    <s v="MARTIN"/>
    <n v="45022"/>
    <m/>
    <m/>
    <n v="16789.509999999998"/>
    <s v="MT "/>
    <n v="320"/>
    <m/>
    <n v="869"/>
    <n v="635.50000000000011"/>
    <m/>
    <m/>
    <m/>
    <m/>
    <m/>
    <m/>
    <m/>
    <m/>
    <m/>
    <m/>
    <s v="DIVINO S.A"/>
    <s v="CONEXAO MALHAS E DESENVOLVIMENTO LTDA"/>
    <n v="19.32049482163406"/>
  </r>
  <r>
    <x v="9"/>
    <x v="2"/>
    <s v="COLCHÃO M.E."/>
    <s v="DIRETO"/>
    <x v="9"/>
    <s v="NADA"/>
    <s v="CHILE"/>
    <n v="45915"/>
    <n v="1703"/>
    <s v="2810010 TP ML STAR BRILHA 160G 2,10L DIVERSAS U"/>
    <s v="FLEX CHILE"/>
    <s v="EX "/>
    <s v="Colchão M.E."/>
    <m/>
    <s v="DIRETO"/>
    <n v="45033"/>
    <m/>
    <m/>
    <n v="19610.5"/>
    <s v="MT "/>
    <n v="160"/>
    <m/>
    <n v="1866"/>
    <n v="767.84000000000026"/>
    <m/>
    <m/>
    <m/>
    <m/>
    <m/>
    <m/>
    <m/>
    <m/>
    <m/>
    <m/>
    <s v="FLEX CHILE"/>
    <s v="CARLOS FIDENCIO D AVALOS RUIZ JUNIOR 34496952823"/>
    <n v="10.509378349410504"/>
  </r>
  <r>
    <x v="9"/>
    <x v="2"/>
    <s v="COLCHÃO M.E."/>
    <s v="DIRETO"/>
    <x v="9"/>
    <s v="NADA"/>
    <s v="CHILE"/>
    <n v="45918"/>
    <n v="1419"/>
    <s v="2810009 TP ONDAS VIRAL MESCLA 180G 2,20L DIVERSAS U"/>
    <s v="FLEX CHILE"/>
    <s v="EX "/>
    <s v="Colchão M.E."/>
    <m/>
    <s v="DIRETO"/>
    <n v="45033"/>
    <m/>
    <m/>
    <n v="6644.65"/>
    <s v="MT "/>
    <n v="180"/>
    <m/>
    <n v="572.81500000000005"/>
    <n v="259.22000000000003"/>
    <m/>
    <m/>
    <m/>
    <m/>
    <m/>
    <m/>
    <m/>
    <m/>
    <m/>
    <m/>
    <s v="FLEX CHILE"/>
    <s v="CARLOS FIDENCIO D AVALOS RUIZ JUNIOR 34496952823"/>
    <n v="11.599993016942641"/>
  </r>
  <r>
    <x v="9"/>
    <x v="2"/>
    <s v="COLCHÃO M.E."/>
    <s v="DIRETO"/>
    <x v="9"/>
    <s v="NADA"/>
    <s v="CHILE"/>
    <n v="45918"/>
    <n v="1422"/>
    <s v="2810005 TP ME FOLHA 240G 2,20L DIVERSAS U"/>
    <s v="FLEX CHILE"/>
    <s v="EX "/>
    <s v="Colchão M.E."/>
    <m/>
    <s v="DIRETO"/>
    <n v="45033"/>
    <m/>
    <m/>
    <n v="45269"/>
    <s v="MT "/>
    <n v="240"/>
    <m/>
    <n v="2030"/>
    <n v="1043.7599999999998"/>
    <m/>
    <m/>
    <m/>
    <m/>
    <m/>
    <m/>
    <m/>
    <m/>
    <m/>
    <m/>
    <s v="FLEX CHILE"/>
    <s v="CARLOS FIDENCIO D AVALOS RUIZ JUNIOR 34496952823"/>
    <n v="22.3"/>
  </r>
  <r>
    <x v="9"/>
    <x v="2"/>
    <s v="COLCHÃO M.E."/>
    <s v="DIRETO"/>
    <x v="9"/>
    <s v="NADA"/>
    <s v="CHILE"/>
    <n v="45919"/>
    <n v="1419"/>
    <s v="2810009 TP ONDAS VIRAL MESCLA 180G 2,20L DIVERSAS U"/>
    <s v="FLEX CHILE"/>
    <s v="EX "/>
    <s v="Colchão M.E."/>
    <m/>
    <s v="DIRETO"/>
    <n v="45033"/>
    <m/>
    <m/>
    <n v="50309.2"/>
    <s v="MT "/>
    <n v="180"/>
    <m/>
    <n v="4337"/>
    <n v="1862.0139999999999"/>
    <m/>
    <m/>
    <m/>
    <m/>
    <m/>
    <m/>
    <m/>
    <m/>
    <m/>
    <m/>
    <s v="FLEX CHILE"/>
    <s v="CARLOS FIDENCIO D AVALOS RUIZ JUNIOR 34496952823"/>
    <n v="11.6"/>
  </r>
  <r>
    <x v="9"/>
    <x v="2"/>
    <s v="COLCHÃO M.E."/>
    <s v="DIRETO"/>
    <x v="9"/>
    <s v="NADA"/>
    <s v="CHILE"/>
    <n v="45920"/>
    <n v="1422"/>
    <s v="2810005 TP ME FOLHA 240G 2,20L DIVERSAS U"/>
    <s v="FLEX CHILE"/>
    <s v="EX "/>
    <s v="Colchão M.E."/>
    <m/>
    <s v="DIRETO"/>
    <n v="45033"/>
    <m/>
    <m/>
    <n v="55727.7"/>
    <s v="MT "/>
    <n v="240"/>
    <m/>
    <n v="2499"/>
    <n v="1337.4179999999999"/>
    <m/>
    <m/>
    <m/>
    <m/>
    <m/>
    <m/>
    <m/>
    <m/>
    <m/>
    <m/>
    <s v="FLEX CHILE"/>
    <s v="CARLOS FIDENCIO D AVALOS RUIZ JUNIOR 34496952823"/>
    <n v="22.299999999999997"/>
  </r>
  <r>
    <x v="9"/>
    <x v="2"/>
    <s v="COLCHÃO M.E."/>
    <s v="DIRETO"/>
    <x v="9"/>
    <s v="NADA"/>
    <s v="CHILE"/>
    <n v="45921"/>
    <n v="1703"/>
    <s v="2810010 TP ML STAR BRILHA 160G 2,10L DIVERSAS U"/>
    <s v="FLEX CHILE"/>
    <s v="EX "/>
    <s v="Colchão M.E."/>
    <m/>
    <s v="DIRETO"/>
    <n v="45033"/>
    <m/>
    <m/>
    <n v="535.98"/>
    <s v="MT "/>
    <n v="160"/>
    <m/>
    <n v="51"/>
    <n v="17.135999999999999"/>
    <m/>
    <m/>
    <m/>
    <m/>
    <m/>
    <m/>
    <m/>
    <m/>
    <m/>
    <m/>
    <s v="FLEX CHILE"/>
    <s v="CARLOS FIDENCIO D AVALOS RUIZ JUNIOR 34496952823"/>
    <n v="10.509411764705883"/>
  </r>
  <r>
    <x v="9"/>
    <x v="2"/>
    <s v="COLCHÃO M.E."/>
    <s v="DIRETO"/>
    <x v="9"/>
    <s v="NADA"/>
    <s v="CHILE"/>
    <n v="45923"/>
    <n v="1703"/>
    <s v="2810010 TP ML STAR BRILHA 160G 2,10L DIVERSAS U"/>
    <s v="FLEX CHILE"/>
    <s v="EX "/>
    <s v="Colchão M.E."/>
    <m/>
    <s v="DIRETO"/>
    <n v="45033"/>
    <m/>
    <m/>
    <n v="52809.63"/>
    <s v="MT "/>
    <n v="160"/>
    <m/>
    <n v="5025"/>
    <n v="1970.5590000000002"/>
    <m/>
    <m/>
    <m/>
    <m/>
    <m/>
    <m/>
    <m/>
    <m/>
    <m/>
    <m/>
    <s v="FLEX CHILE"/>
    <s v="CARLOS FIDENCIO D AVALOS RUIZ JUNIOR 34496952823"/>
    <n v="10.509379104477611"/>
  </r>
  <r>
    <x v="9"/>
    <x v="2"/>
    <s v="COLCHÃO M.E."/>
    <s v="DIRETO"/>
    <x v="9"/>
    <s v="NADA"/>
    <s v="CHILE"/>
    <n v="45924"/>
    <n v="1419"/>
    <s v="2810009 TP ONDAS VIRAL MESCLA 180G 2,20L DIVERSAS U"/>
    <s v="FLEX CHILE"/>
    <s v="EX "/>
    <s v="Colchão M.E."/>
    <m/>
    <s v="DIRETO"/>
    <n v="45033"/>
    <m/>
    <m/>
    <n v="3259.6"/>
    <s v="MT "/>
    <n v="180"/>
    <m/>
    <n v="281"/>
    <n v="113.05999999999999"/>
    <m/>
    <m/>
    <m/>
    <m/>
    <m/>
    <m/>
    <m/>
    <m/>
    <m/>
    <m/>
    <s v="FLEX CHILE"/>
    <s v="CARLOS FIDENCIO D AVALOS RUIZ JUNIOR 34496952823"/>
    <n v="11.6"/>
  </r>
  <r>
    <x v="9"/>
    <x v="2"/>
    <s v="COLCHÃO M.E."/>
    <s v="DIRETO"/>
    <x v="9"/>
    <s v="NADA"/>
    <s v="CHILE"/>
    <n v="45928"/>
    <n v="1703"/>
    <s v="2810010 TP ML STAR BRILHA 160G 2,10L DIVERSAS U"/>
    <s v="FLEX CHILE"/>
    <s v="EX "/>
    <s v="Colchão M.E."/>
    <m/>
    <s v="DIRETO"/>
    <n v="45033"/>
    <m/>
    <m/>
    <n v="1399.32"/>
    <s v="MT "/>
    <n v="160"/>
    <m/>
    <n v="207"/>
    <n v="92.76"/>
    <m/>
    <m/>
    <m/>
    <m/>
    <m/>
    <m/>
    <m/>
    <m/>
    <m/>
    <m/>
    <s v="FLEX CHILE"/>
    <s v="CARLOS FIDENCIO D AVALOS RUIZ JUNIOR 34496952823"/>
    <n v="6.76"/>
  </r>
  <r>
    <x v="9"/>
    <x v="2"/>
    <s v="COLCHÃO M.E."/>
    <s v="DIRETO"/>
    <x v="9"/>
    <s v="NADA"/>
    <s v="CHILE"/>
    <n v="45929"/>
    <n v="1422"/>
    <s v="2810005 TP ME FOLHA 240G 2,20L DIVERSAS U"/>
    <s v="FLEX CHILE"/>
    <s v="EX "/>
    <s v="Colchão M.E."/>
    <m/>
    <s v="DIRETO"/>
    <n v="45033"/>
    <m/>
    <m/>
    <n v="28053.4"/>
    <s v="MT "/>
    <n v="240"/>
    <m/>
    <n v="1258"/>
    <n v="693.96"/>
    <m/>
    <m/>
    <m/>
    <m/>
    <m/>
    <m/>
    <m/>
    <m/>
    <m/>
    <m/>
    <s v="FLEX CHILE"/>
    <s v="CARLOS FIDENCIO D AVALOS RUIZ JUNIOR 34496952823"/>
    <n v="22.3"/>
  </r>
  <r>
    <x v="9"/>
    <x v="2"/>
    <s v="COLCHÃO M.E."/>
    <s v="DIRETO"/>
    <x v="9"/>
    <s v="NADA"/>
    <s v="CHILE"/>
    <n v="45929"/>
    <n v="1419"/>
    <s v="2810009 TP ONDAS VIRAL MESCLA 180G 2,20L DIVERSAS U"/>
    <s v="FLEX CHILE"/>
    <s v="EX "/>
    <s v="Colchão M.E."/>
    <m/>
    <s v="DIRETO"/>
    <n v="45033"/>
    <m/>
    <m/>
    <n v="18365.18"/>
    <s v="MT "/>
    <n v="180"/>
    <m/>
    <n v="1559"/>
    <n v="568.13"/>
    <m/>
    <m/>
    <m/>
    <m/>
    <m/>
    <m/>
    <m/>
    <m/>
    <m/>
    <m/>
    <s v="FLEX CHILE"/>
    <s v="CARLOS FIDENCIO D AVALOS RUIZ JUNIOR 34496952823"/>
    <n v="11.780102629890957"/>
  </r>
  <r>
    <x v="9"/>
    <x v="2"/>
    <s v="COLCHÃO M.E."/>
    <s v="DIRETO"/>
    <x v="9"/>
    <s v="NADA"/>
    <s v="CHILE"/>
    <n v="45930"/>
    <n v="1419"/>
    <s v="2810009 TP ONDAS VIRAL MESCLA 180G 2,20L DIVERSAS U"/>
    <s v="FLEX CHILE"/>
    <s v="EX "/>
    <s v="Colchão M.E."/>
    <m/>
    <s v="DIRETO"/>
    <n v="45033"/>
    <m/>
    <m/>
    <n v="6414.8"/>
    <s v="MT "/>
    <n v="180"/>
    <m/>
    <n v="553"/>
    <n v="218.16"/>
    <m/>
    <m/>
    <m/>
    <m/>
    <m/>
    <m/>
    <m/>
    <m/>
    <m/>
    <m/>
    <s v="FLEX CHILE"/>
    <s v="CARLOS FIDENCIO D AVALOS RUIZ JUNIOR 34496952823"/>
    <n v="11.6"/>
  </r>
  <r>
    <x v="9"/>
    <x v="2"/>
    <s v="COLCHÃO M.E."/>
    <s v="DIRETO"/>
    <x v="13"/>
    <s v="NADA"/>
    <s v="BOLIVIA"/>
    <n v="45951"/>
    <n v="1707"/>
    <s v="2940027 TP ML SPACE GR 200G 2,10L DIVERSAS U"/>
    <s v="INDUCOL INDUSTRIA"/>
    <s v="EX "/>
    <s v="Colchão M.E."/>
    <m/>
    <s v="JOSIMAR"/>
    <n v="45035"/>
    <m/>
    <m/>
    <n v="13190.8"/>
    <s v="MT "/>
    <n v="200"/>
    <m/>
    <n v="980"/>
    <n v="488.22"/>
    <m/>
    <m/>
    <m/>
    <m/>
    <m/>
    <m/>
    <m/>
    <m/>
    <m/>
    <m/>
    <s v="INDUCOL - INDUSTRIA DE COLCHONES SRL"/>
    <s v="CARLOS FIDENCIO D AVALOS RUIZ JUNIOR 34496952823"/>
    <n v="13.459999999999999"/>
  </r>
  <r>
    <x v="9"/>
    <x v="2"/>
    <s v="COLCHÃO M.E."/>
    <s v="DIRETO"/>
    <x v="13"/>
    <s v="NADA"/>
    <s v="BOLIVIA"/>
    <n v="45951"/>
    <n v="1723"/>
    <s v="2940029 TP ML CHERRY 220G 2,10L DIVERSAS U"/>
    <s v="INDUCOL INDUSTRIA"/>
    <s v="EX "/>
    <s v="Colchão M.E."/>
    <m/>
    <s v="JOSIMAR"/>
    <n v="45035"/>
    <m/>
    <m/>
    <n v="7264.4"/>
    <s v="MT "/>
    <n v="220"/>
    <m/>
    <n v="508"/>
    <n v="251.22000000000003"/>
    <m/>
    <m/>
    <m/>
    <m/>
    <m/>
    <m/>
    <m/>
    <m/>
    <m/>
    <m/>
    <s v="INDUCOL - INDUSTRIA DE COLCHONES SRL"/>
    <s v="CARLOS FIDENCIO D AVALOS RUIZ JUNIOR 34496952823"/>
    <n v="14.299999999999999"/>
  </r>
  <r>
    <x v="9"/>
    <x v="2"/>
    <s v="COLCHÃO M.E."/>
    <s v="DIRETO"/>
    <x v="13"/>
    <s v="NADA"/>
    <s v="BOLIVIA"/>
    <n v="45951"/>
    <n v="1708"/>
    <s v="2940028 TP ML NAVY BLU 220G 2,10L DIVERSAS U"/>
    <s v="INDUCOL INDUSTRIA"/>
    <s v="EX "/>
    <s v="Colchão M.E."/>
    <m/>
    <s v="JOSIMAR"/>
    <n v="45035"/>
    <m/>
    <m/>
    <n v="13542.1"/>
    <s v="MT "/>
    <n v="220"/>
    <m/>
    <n v="947"/>
    <n v="448.38"/>
    <m/>
    <m/>
    <m/>
    <m/>
    <m/>
    <m/>
    <m/>
    <m/>
    <m/>
    <m/>
    <s v="INDUCOL - INDUSTRIA DE COLCHONES SRL"/>
    <s v="CARLOS FIDENCIO D AVALOS RUIZ JUNIOR 34496952823"/>
    <n v="14.3"/>
  </r>
  <r>
    <x v="9"/>
    <x v="2"/>
    <s v="COLCHÃO M.E."/>
    <s v="DIRETO"/>
    <x v="13"/>
    <s v="NADA"/>
    <s v="BOLIVIA"/>
    <n v="45951"/>
    <n v="1727"/>
    <s v="2940030 TP ML RAIN BLUE 220G 2,10L DIVERSAS U"/>
    <s v="INDUCOL INDUSTRIA"/>
    <s v="EX "/>
    <s v="Colchão M.E."/>
    <m/>
    <s v="JOSIMAR"/>
    <n v="45035"/>
    <m/>
    <m/>
    <n v="12026.3"/>
    <s v="MT "/>
    <n v="220"/>
    <m/>
    <n v="841"/>
    <n v="447.42"/>
    <m/>
    <m/>
    <m/>
    <m/>
    <m/>
    <m/>
    <m/>
    <m/>
    <m/>
    <m/>
    <s v="INDUCOL - INDUSTRIA DE COLCHONES SRL"/>
    <s v="CARLOS FIDENCIO D AVALOS RUIZ JUNIOR 34496952823"/>
    <n v="14.299999999999999"/>
  </r>
  <r>
    <x v="9"/>
    <x v="2"/>
    <s v="COLCHÃO M.E."/>
    <s v="DIRETO"/>
    <x v="13"/>
    <s v="NADA"/>
    <s v="BOLIVIA"/>
    <n v="45954"/>
    <n v="1727"/>
    <s v="2940030 TP ML RAIN BLUE 220G 2,10L DIVERSAS U"/>
    <s v="INDUCOL INDUSTRIA"/>
    <s v="EX "/>
    <s v="Colchão M.E."/>
    <m/>
    <s v="JOSIMAR"/>
    <n v="45035"/>
    <m/>
    <m/>
    <n v="1301.3"/>
    <s v="MT "/>
    <n v="220"/>
    <m/>
    <n v="91"/>
    <n v="47.06"/>
    <m/>
    <m/>
    <m/>
    <m/>
    <m/>
    <m/>
    <m/>
    <m/>
    <m/>
    <m/>
    <s v="INDUCOL - INDUSTRIA DE COLCHONES SRL"/>
    <s v="CARLOS FIDENCIO D AVALOS RUIZ JUNIOR 34496952823"/>
    <n v="14.299999999999999"/>
  </r>
  <r>
    <x v="9"/>
    <x v="2"/>
    <s v="COLCHÃO M.E."/>
    <s v="DIRETO"/>
    <x v="13"/>
    <s v="NADA"/>
    <s v="BOLIVIA"/>
    <n v="45954"/>
    <n v="1549"/>
    <s v="2940025 TP ML NAVY BL 200G 2,10L DIVERSAS U"/>
    <s v="INDUCOL INDUSTRIA"/>
    <s v="EX "/>
    <s v="Colchão M.E."/>
    <m/>
    <s v="JOSIMAR"/>
    <n v="45035"/>
    <m/>
    <m/>
    <n v="518.58000000000004"/>
    <s v="MT "/>
    <n v="210"/>
    <m/>
    <n v="43"/>
    <n v="19.48"/>
    <m/>
    <m/>
    <m/>
    <m/>
    <m/>
    <m/>
    <m/>
    <m/>
    <m/>
    <m/>
    <s v="INDUCOL - INDUSTRIA DE COLCHONES SRL"/>
    <s v="CARLOS FIDENCIO D AVALOS RUIZ JUNIOR 34496952823"/>
    <n v="12.06"/>
  </r>
  <r>
    <x v="9"/>
    <x v="2"/>
    <s v="COLCHÃO M.E."/>
    <s v="DIRETO"/>
    <x v="13"/>
    <s v="NADA"/>
    <s v="BOLIVIA"/>
    <n v="45954"/>
    <n v="1496"/>
    <s v="2940024 - TP ML 8063 BLACK 200G 2,10L DIVERSAS U"/>
    <s v="INDUCOL INDUSTRIA"/>
    <s v="EX "/>
    <s v="Colchão M.E."/>
    <m/>
    <s v="JOSIMAR"/>
    <n v="45035"/>
    <m/>
    <m/>
    <n v="799.94"/>
    <s v="MT "/>
    <n v="200"/>
    <m/>
    <n v="74"/>
    <n v="33.660000000000004"/>
    <m/>
    <m/>
    <m/>
    <m/>
    <m/>
    <m/>
    <m/>
    <m/>
    <m/>
    <m/>
    <s v="INDUCOL - INDUSTRIA DE COLCHONES SRL"/>
    <s v="CARLOS FIDENCIO D AVALOS RUIZ JUNIOR 34496952823"/>
    <n v="10.81"/>
  </r>
  <r>
    <x v="9"/>
    <x v="2"/>
    <s v="COLCHÃO M.E."/>
    <s v="DIRETO"/>
    <x v="13"/>
    <s v="NADA"/>
    <s v="BOLIVIA"/>
    <n v="45954"/>
    <n v="1473"/>
    <s v="2940019 TP ML 1173 SPACE BROWN 200G2,10L DIVERSAS U"/>
    <s v="INDUCOL INDUSTRIA"/>
    <s v="EX "/>
    <s v="Colchão M.E."/>
    <m/>
    <s v="JOSIMAR"/>
    <n v="45035"/>
    <m/>
    <m/>
    <n v="446.22"/>
    <s v="MT "/>
    <n v="200"/>
    <m/>
    <n v="37"/>
    <n v="15.54"/>
    <m/>
    <m/>
    <m/>
    <m/>
    <m/>
    <m/>
    <m/>
    <m/>
    <m/>
    <m/>
    <s v="INDUCOL - INDUSTRIA DE COLCHONES SRL"/>
    <s v="CARLOS FIDENCIO D AVALOS RUIZ JUNIOR 34496952823"/>
    <n v="12.06"/>
  </r>
  <r>
    <x v="9"/>
    <x v="2"/>
    <s v="COLCHÃO M.E."/>
    <s v="DIRETO"/>
    <x v="13"/>
    <s v="NADA"/>
    <s v="BOLIVIA"/>
    <n v="45954"/>
    <n v="1472"/>
    <s v="2940018 TP ML 1183 BEIGE 200G 2,10L DIVERSAS U"/>
    <s v="INDUCOL INDUSTRIA"/>
    <s v="EX "/>
    <s v="Colchão M.E."/>
    <m/>
    <s v="JOSIMAR"/>
    <n v="45035"/>
    <m/>
    <m/>
    <n v="1028.56"/>
    <s v="MT "/>
    <n v="200"/>
    <m/>
    <n v="92"/>
    <n v="77.900000000000006"/>
    <m/>
    <m/>
    <m/>
    <m/>
    <m/>
    <m/>
    <m/>
    <m/>
    <m/>
    <m/>
    <s v="INDUCOL - INDUSTRIA DE COLCHONES SRL"/>
    <s v="CARLOS FIDENCIO D AVALOS RUIZ JUNIOR 34496952823"/>
    <n v="11.18"/>
  </r>
  <r>
    <x v="9"/>
    <x v="2"/>
    <s v="COLCHÃO M.E."/>
    <s v="DIRETO"/>
    <x v="13"/>
    <s v="NADA"/>
    <s v="BOLIVIA"/>
    <n v="45954"/>
    <n v="1499"/>
    <s v="2940021 - TP ML 10003 BLUE 200G 2,10L DIVERSAS U"/>
    <s v="INDUCOL INDUSTRIA"/>
    <s v="EX "/>
    <s v="Colchão M.E."/>
    <m/>
    <s v="JOSIMAR"/>
    <n v="45035"/>
    <m/>
    <m/>
    <n v="284.39999999999998"/>
    <s v="MT "/>
    <n v="200"/>
    <m/>
    <n v="24"/>
    <n v="10.38"/>
    <m/>
    <m/>
    <m/>
    <m/>
    <m/>
    <m/>
    <m/>
    <m/>
    <m/>
    <m/>
    <s v="INDUCOL - INDUSTRIA DE COLCHONES SRL"/>
    <s v="CARLOS FIDENCIO D AVALOS RUIZ JUNIOR 34496952823"/>
    <n v="11.85"/>
  </r>
  <r>
    <x v="9"/>
    <x v="2"/>
    <s v="COLCHÃO M.E."/>
    <s v="DIRETO"/>
    <x v="13"/>
    <s v="NADA"/>
    <s v="BOLIVIA"/>
    <n v="46008"/>
    <n v="1496"/>
    <s v="2940024 - TP ML 8063 BLACK 200G 2,10L DIVERSAS U"/>
    <s v="INDUCOL INDUSTRIA"/>
    <s v="EX "/>
    <s v="Colchão M.E."/>
    <m/>
    <s v="JOSIMAR"/>
    <n v="45036"/>
    <m/>
    <m/>
    <n v="356.73"/>
    <s v="MT "/>
    <n v="200"/>
    <m/>
    <n v="33"/>
    <n v="14.9"/>
    <m/>
    <m/>
    <m/>
    <m/>
    <m/>
    <m/>
    <m/>
    <m/>
    <m/>
    <m/>
    <s v="INDUCOL - INDUSTRIA DE COLCHONES SRL"/>
    <s v="CARLOS FIDENCIO D AVALOS RUIZ JUNIOR 34496952823"/>
    <n v="10.81"/>
  </r>
  <r>
    <x v="9"/>
    <x v="2"/>
    <s v="COLCHÃO M.E."/>
    <s v="DIRETO"/>
    <x v="13"/>
    <s v="NADA"/>
    <s v="BOLIVIA"/>
    <n v="46008"/>
    <n v="1497"/>
    <s v="2940023 - TP ML 8053 BEIGE 200G 2,10L DIVERSAS U"/>
    <s v="INDUCOL INDUSTRIA"/>
    <s v="EX "/>
    <s v="Colchão M.E."/>
    <m/>
    <s v="JOSIMAR"/>
    <n v="45036"/>
    <m/>
    <m/>
    <n v="1151.54"/>
    <s v="MT "/>
    <n v="200"/>
    <m/>
    <n v="103"/>
    <n v="54.591999999999999"/>
    <m/>
    <m/>
    <m/>
    <m/>
    <m/>
    <m/>
    <m/>
    <m/>
    <m/>
    <m/>
    <s v="INDUCOL - INDUSTRIA DE COLCHONES SRL"/>
    <s v="CARLOS FIDENCIO D AVALOS RUIZ JUNIOR 34496952823"/>
    <n v="11.18"/>
  </r>
  <r>
    <x v="9"/>
    <x v="2"/>
    <s v="COLCHÃO M.E."/>
    <s v="DIRETO"/>
    <x v="13"/>
    <s v="NADA"/>
    <s v="BOLIVIA"/>
    <n v="46008"/>
    <n v="1471"/>
    <s v="2940017 TP ML 1163 SPACE GRAY 200G 2,10L DIVERSAS U"/>
    <s v="INDUCOL INDUSTRIA"/>
    <s v="EX "/>
    <s v="Colchão M.E."/>
    <m/>
    <s v="JOSIMAR"/>
    <n v="45036"/>
    <m/>
    <m/>
    <n v="1699.44"/>
    <s v="MT "/>
    <n v="200"/>
    <m/>
    <n v="146"/>
    <n v="68.149999999999991"/>
    <m/>
    <m/>
    <m/>
    <m/>
    <m/>
    <m/>
    <m/>
    <m/>
    <m/>
    <m/>
    <s v="INDUCOL - INDUSTRIA DE COLCHONES SRL"/>
    <s v="CARLOS FIDENCIO D AVALOS RUIZ JUNIOR 34496952823"/>
    <n v="11.64"/>
  </r>
  <r>
    <x v="9"/>
    <x v="2"/>
    <s v="COLCHÃO M.E."/>
    <s v="DIRETO"/>
    <x v="13"/>
    <s v="NADA"/>
    <s v="BOLIVIA"/>
    <n v="46008"/>
    <n v="1549"/>
    <s v="2940025 TP ML NAVY BL 200G 2,10L DIVERSAS U"/>
    <s v="INDUCOL INDUSTRIA"/>
    <s v="EX "/>
    <s v="Colchão M.E."/>
    <m/>
    <s v="JOSIMAR"/>
    <n v="45036"/>
    <m/>
    <m/>
    <n v="2110.5"/>
    <s v="MT "/>
    <n v="210"/>
    <m/>
    <n v="175"/>
    <n v="96.02"/>
    <m/>
    <m/>
    <m/>
    <m/>
    <m/>
    <m/>
    <m/>
    <m/>
    <m/>
    <m/>
    <s v="INDUCOL - INDUSTRIA DE COLCHONES SRL"/>
    <s v="CARLOS FIDENCIO D AVALOS RUIZ JUNIOR 34496952823"/>
    <n v="12.06"/>
  </r>
  <r>
    <x v="9"/>
    <x v="2"/>
    <s v="COLCHÃO M.E."/>
    <s v="DIRETO"/>
    <x v="13"/>
    <s v="NADA"/>
    <s v="BOLIVIA"/>
    <n v="46008"/>
    <n v="1708"/>
    <s v="2940028 TP ML NAVY BLU 220G 2,10L DIVERSAS U"/>
    <s v="INDUCOL INDUSTRIA"/>
    <s v="EX "/>
    <s v="Colchão M.E."/>
    <m/>
    <s v="JOSIMAR"/>
    <n v="45036"/>
    <m/>
    <m/>
    <n v="600.6"/>
    <s v="MT "/>
    <n v="220"/>
    <m/>
    <n v="42"/>
    <n v="19.54"/>
    <m/>
    <m/>
    <m/>
    <m/>
    <m/>
    <m/>
    <m/>
    <m/>
    <m/>
    <m/>
    <s v="INDUCOL - INDUSTRIA DE COLCHONES SRL"/>
    <s v="CARLOS FIDENCIO D AVALOS RUIZ JUNIOR 34496952823"/>
    <n v="14.3"/>
  </r>
  <r>
    <x v="9"/>
    <x v="2"/>
    <s v="COLCHÃO M.E."/>
    <s v="DIRETO"/>
    <x v="13"/>
    <s v="NADA"/>
    <s v="BOLIVIA"/>
    <n v="46008"/>
    <n v="1473"/>
    <s v="2940019 TP ML 1173 SPACE BROWN 200G2,10L DIVERSAS U"/>
    <s v="INDUCOL INDUSTRIA"/>
    <s v="EX "/>
    <s v="Colchão M.E."/>
    <m/>
    <s v="JOSIMAR"/>
    <n v="45036"/>
    <m/>
    <m/>
    <n v="2568.7800000000002"/>
    <s v="MT "/>
    <n v="200"/>
    <m/>
    <n v="213"/>
    <n v="103.9"/>
    <m/>
    <m/>
    <m/>
    <m/>
    <m/>
    <m/>
    <m/>
    <m/>
    <m/>
    <m/>
    <s v="INDUCOL - INDUSTRIA DE COLCHONES SRL"/>
    <s v="CARLOS FIDENCIO D AVALOS RUIZ JUNIOR 34496952823"/>
    <n v="12.06"/>
  </r>
  <r>
    <x v="9"/>
    <x v="2"/>
    <s v="COLCHÃO M.E."/>
    <s v="DIRETO"/>
    <x v="13"/>
    <s v="NADA"/>
    <s v="BOLIVIA"/>
    <n v="46008"/>
    <n v="1707"/>
    <s v="2940027 TP ML SPACE GR 200G 2,10L DIVERSAS U"/>
    <s v="INDUCOL INDUSTRIA"/>
    <s v="EX "/>
    <s v="Colchão M.E."/>
    <m/>
    <s v="JOSIMAR"/>
    <n v="45036"/>
    <m/>
    <m/>
    <n v="1494.06"/>
    <s v="MT "/>
    <n v="200"/>
    <m/>
    <n v="111"/>
    <n v="48.22"/>
    <m/>
    <m/>
    <m/>
    <m/>
    <m/>
    <m/>
    <m/>
    <m/>
    <m/>
    <m/>
    <s v="INDUCOL - INDUSTRIA DE COLCHONES SRL"/>
    <s v="CARLOS FIDENCIO D AVALOS RUIZ JUNIOR 34496952823"/>
    <n v="13.459999999999999"/>
  </r>
  <r>
    <x v="10"/>
    <x v="2"/>
    <s v="COLCHÃO M.E."/>
    <s v="DIRETO"/>
    <x v="1"/>
    <s v="NADA"/>
    <s v="URUGUAI"/>
    <n v="46548"/>
    <n v="1226"/>
    <s v="2540015 TAMPO PONTILHADOS PRETO (A07803) DIVERSAS U"/>
    <s v="DIVINO COLCHONES"/>
    <s v="EX "/>
    <s v="Colchão M.E."/>
    <m/>
    <s v="MARTIN"/>
    <n v="45070"/>
    <m/>
    <m/>
    <n v="31904.25"/>
    <s v="MT "/>
    <n v="260"/>
    <m/>
    <n v="2065"/>
    <n v="1212.6600000000001"/>
    <m/>
    <m/>
    <m/>
    <m/>
    <m/>
    <m/>
    <m/>
    <m/>
    <m/>
    <m/>
    <s v="DIVINO S.A"/>
    <s v="CONEXAO MALHAS E DESENVOLVIMENTO LTDA"/>
    <n v="15.45"/>
  </r>
  <r>
    <x v="10"/>
    <x v="2"/>
    <s v="COLCHÃO M.E."/>
    <s v="DIRETO"/>
    <x v="1"/>
    <s v="NADA"/>
    <s v="URUGUAI"/>
    <n v="46548"/>
    <n v="1237"/>
    <s v="2540020 BANDA LATERAL - MARRON (A09497) DIVERSAS U"/>
    <s v="DIVINO COLCHONES"/>
    <s v="EX "/>
    <s v="Colchão M.E."/>
    <m/>
    <s v="MARTIN"/>
    <n v="45070"/>
    <m/>
    <m/>
    <n v="1640.13"/>
    <s v="MT "/>
    <n v="300"/>
    <m/>
    <n v="84"/>
    <n v="54.9"/>
    <m/>
    <m/>
    <m/>
    <m/>
    <m/>
    <m/>
    <m/>
    <m/>
    <m/>
    <m/>
    <s v="DIVINO S.A"/>
    <s v="CONEXAO MALHAS E DESENVOLVIMENTO LTDA"/>
    <n v="19.525357142857143"/>
  </r>
  <r>
    <x v="10"/>
    <x v="2"/>
    <s v="COLCHÃO M.E."/>
    <s v="DIRETO"/>
    <x v="1"/>
    <s v="NADA"/>
    <s v="URUGUAI"/>
    <n v="46548"/>
    <n v="1504"/>
    <s v="2540018 TP ML DIV 7806 240G 2,10L DIVERSAS U"/>
    <s v="DIVINO COLCHONES"/>
    <s v="EX "/>
    <s v="Colchão M.E."/>
    <m/>
    <s v="MARTIN"/>
    <n v="45070"/>
    <m/>
    <m/>
    <n v="68039.19"/>
    <s v="MT "/>
    <n v="240"/>
    <m/>
    <n v="4421"/>
    <n v="2527.3560000000002"/>
    <m/>
    <m/>
    <m/>
    <m/>
    <m/>
    <m/>
    <m/>
    <m/>
    <m/>
    <m/>
    <s v="DIVINO S.A"/>
    <s v="CONEXAO MALHAS E DESENVOLVIMENTO LTDA"/>
    <n v="15.39"/>
  </r>
  <r>
    <x v="10"/>
    <x v="2"/>
    <s v="COLCHÃO M.E."/>
    <s v="DIRETO"/>
    <x v="1"/>
    <s v="NADA"/>
    <s v="URUGUAI"/>
    <n v="46548"/>
    <n v="1525"/>
    <s v="2540022 TP ML FOLHAS IMAG 320G 2,10 DIVERSAS U"/>
    <s v="DIVINO COLCHONES"/>
    <s v="EX "/>
    <s v="Colchão M.E."/>
    <m/>
    <s v="MARTIN"/>
    <n v="45070"/>
    <m/>
    <m/>
    <n v="5235.8500000000004"/>
    <s v="MT "/>
    <n v="320"/>
    <m/>
    <n v="271"/>
    <n v="191.83199999999999"/>
    <m/>
    <m/>
    <m/>
    <m/>
    <m/>
    <m/>
    <m/>
    <m/>
    <m/>
    <m/>
    <s v="DIVINO S.A"/>
    <s v="CONEXAO MALHAS E DESENVOLVIMENTO LTDA"/>
    <n v="19.320479704797048"/>
  </r>
  <r>
    <x v="10"/>
    <x v="2"/>
    <s v="COLCHÃO M.E."/>
    <s v="DIRETO"/>
    <x v="1"/>
    <s v="NADA"/>
    <s v="URUGUAI"/>
    <n v="46548"/>
    <n v="1236"/>
    <s v="2540005 TAMPO GEOMETRICO (A07370) DIVERSAS U"/>
    <s v="DIVINO COLCHONES"/>
    <s v="EX "/>
    <s v="Colchão M.E."/>
    <m/>
    <s v="MARTIN"/>
    <n v="45070"/>
    <m/>
    <m/>
    <n v="27342"/>
    <s v="MT "/>
    <n v="240"/>
    <m/>
    <n v="1519"/>
    <n v="872.47599999999966"/>
    <m/>
    <m/>
    <m/>
    <m/>
    <m/>
    <m/>
    <m/>
    <m/>
    <m/>
    <m/>
    <s v="DIVINO S.A"/>
    <s v="CONEXAO MALHAS E DESENVOLVIMENTO LTDA"/>
    <n v="18"/>
  </r>
  <r>
    <x v="10"/>
    <x v="2"/>
    <s v="COLCHÃO M.E."/>
    <s v="DIRETO"/>
    <x v="1"/>
    <s v="NADA"/>
    <s v="URUGUAI"/>
    <n v="46548"/>
    <n v="1905"/>
    <s v="2540019 NUEVO GALHOS 3 V02 (1922) - TOL DIVERSAS U"/>
    <s v="DIVINO COLCHONES"/>
    <s v="EX "/>
    <s v="Colchão M.E."/>
    <m/>
    <s v="MARTIN"/>
    <n v="45070"/>
    <m/>
    <m/>
    <n v="33679.360000000001"/>
    <s v="MT "/>
    <m/>
    <m/>
    <n v="4048"/>
    <n v="813.64800000000025"/>
    <m/>
    <m/>
    <m/>
    <m/>
    <m/>
    <m/>
    <m/>
    <m/>
    <m/>
    <m/>
    <s v="DIVINO S.A"/>
    <s v="CONEXAO MALHAS E DESENVOLVIMENTO LTDA"/>
    <n v="8.32"/>
  </r>
  <r>
    <x v="10"/>
    <x v="2"/>
    <s v="COLCHÃO M.E."/>
    <s v="DIRETO"/>
    <x v="1"/>
    <s v="NADA"/>
    <s v="URUGUAI"/>
    <n v="46548"/>
    <n v="1225"/>
    <s v="2540012 TAMPO RASCUNHOS (A07820) DIVERSAS U"/>
    <s v="DIVINO COLCHONES"/>
    <s v="EX "/>
    <s v="Colchão M.E."/>
    <m/>
    <s v="MARTIN"/>
    <n v="45070"/>
    <m/>
    <m/>
    <n v="52338"/>
    <s v="MT "/>
    <n v="240"/>
    <m/>
    <n v="3432"/>
    <n v="1991.64"/>
    <m/>
    <m/>
    <m/>
    <m/>
    <m/>
    <m/>
    <m/>
    <m/>
    <m/>
    <m/>
    <s v="DIVINO S.A"/>
    <s v="CONEXAO MALHAS E DESENVOLVIMENTO LTDA"/>
    <n v="15.25"/>
  </r>
  <r>
    <x v="10"/>
    <x v="2"/>
    <s v="COLCHÃO M.E."/>
    <s v="DIRETO"/>
    <x v="9"/>
    <s v="NADA"/>
    <s v="CHILE"/>
    <n v="46580"/>
    <n v="1419"/>
    <s v="2810009 TP ONDAS VIRAL MESCLA 180G 2,20L DIVERSAS U"/>
    <s v="FLEX CHILE"/>
    <s v="EX "/>
    <s v="Colchão M.E."/>
    <m/>
    <s v="DIRETO"/>
    <n v="45072"/>
    <m/>
    <m/>
    <n v="14720.4"/>
    <s v="MT "/>
    <n v="180"/>
    <m/>
    <n v="1269"/>
    <n v="494.65999999999985"/>
    <m/>
    <m/>
    <m/>
    <m/>
    <m/>
    <m/>
    <m/>
    <m/>
    <m/>
    <m/>
    <s v="FLEX CHILE"/>
    <s v="CARLOS FIDENCIO D AVALOS RUIZ JUNIOR 34496952823"/>
    <n v="11.6"/>
  </r>
  <r>
    <x v="10"/>
    <x v="2"/>
    <s v="COLCHÃO M.E."/>
    <s v="DIRETO"/>
    <x v="10"/>
    <s v="NADA"/>
    <s v="CHILE"/>
    <n v="46586"/>
    <n v="1903"/>
    <s v="2860003-TP ME DECRADE 420G 2,20L DIVERSAS U"/>
    <s v="COLCHONES DEL MUNDO"/>
    <s v="EX "/>
    <s v="Colchão M.E."/>
    <m/>
    <s v="DIRETO"/>
    <n v="45072"/>
    <m/>
    <m/>
    <n v="29465.399999999998"/>
    <s v="MT "/>
    <n v="420"/>
    <m/>
    <n v="672"/>
    <n v="617.88"/>
    <m/>
    <m/>
    <m/>
    <m/>
    <m/>
    <m/>
    <m/>
    <m/>
    <m/>
    <m/>
    <s v="COLCHONES DEL MUNDO"/>
    <s v="CARLOS FIDENCIO D AVALOS RUIZ JUNIOR 34496952823"/>
    <n v="43.847321428571426"/>
  </r>
  <r>
    <x v="10"/>
    <x v="2"/>
    <s v="COLCHÃO M.E."/>
    <s v="DIRETO"/>
    <x v="10"/>
    <s v="NADA"/>
    <s v="CHILE"/>
    <n v="46586"/>
    <n v="1904"/>
    <s v="2860004-ME TP RETAS DEGRADE 450G 2,20L DIVERSAS U"/>
    <s v="COLCHONES DEL MUNDO"/>
    <s v="EX "/>
    <s v="Colchão M.E."/>
    <m/>
    <s v="DIRETO"/>
    <n v="45072"/>
    <m/>
    <m/>
    <n v="24009.200000000001"/>
    <s v="MT "/>
    <n v="450"/>
    <m/>
    <n v="622"/>
    <n v="614.51999999999987"/>
    <m/>
    <m/>
    <m/>
    <m/>
    <m/>
    <m/>
    <m/>
    <m/>
    <m/>
    <m/>
    <s v="COLCHONES DEL MUNDO"/>
    <s v="CARLOS FIDENCIO D AVALOS RUIZ JUNIOR 34496952823"/>
    <n v="38.6"/>
  </r>
  <r>
    <x v="1"/>
    <x v="2"/>
    <s v="COLCHÃO M.E."/>
    <s v="DIRETO"/>
    <x v="21"/>
    <s v="NADA"/>
    <s v="PARAGUAI"/>
    <n v="46971"/>
    <n v="1757"/>
    <s v="3200004 TP ML IMPERAL BLACK 350G 2,10L DIVERSAS U"/>
    <s v="SUPERESPUMA"/>
    <s v="EX "/>
    <s v="Colchão M.E."/>
    <m/>
    <s v="CONEXÃO MALHAS"/>
    <n v="45098"/>
    <m/>
    <m/>
    <n v="38245.480000000003"/>
    <s v="MT "/>
    <n v="350"/>
    <m/>
    <n v="1862"/>
    <n v="1388.2600000000002"/>
    <m/>
    <m/>
    <m/>
    <m/>
    <m/>
    <m/>
    <m/>
    <m/>
    <m/>
    <m/>
    <s v="SUPERSPUMA DEL PARAGUAY S.A.E.C.A"/>
    <m/>
    <n v="20.540000000000003"/>
  </r>
  <r>
    <x v="1"/>
    <x v="2"/>
    <s v="COLCHÃO M.E."/>
    <s v="DIRETO"/>
    <x v="21"/>
    <s v="NADA"/>
    <s v="PARAGUAI"/>
    <n v="46971"/>
    <n v="1979"/>
    <s v="3200010 TP ML WAVES LINO 320G 2,20L DIVERSAS U"/>
    <s v="SUPERESPUMA"/>
    <s v="EX "/>
    <s v="Colchão M.E."/>
    <m/>
    <s v="CONEXÃO MALHAS"/>
    <n v="45098"/>
    <m/>
    <m/>
    <n v="36392.46"/>
    <s v="MT "/>
    <n v="320"/>
    <m/>
    <n v="1443"/>
    <n v="759.75999999999988"/>
    <m/>
    <m/>
    <m/>
    <m/>
    <m/>
    <m/>
    <m/>
    <m/>
    <m/>
    <m/>
    <s v="SUPERSPUMA DEL PARAGUAY S.A.E.C.A"/>
    <m/>
    <n v="25.22"/>
  </r>
  <r>
    <x v="1"/>
    <x v="2"/>
    <s v="COLCHÃO M.E."/>
    <s v="DIRETO"/>
    <x v="21"/>
    <s v="NADA"/>
    <s v="PARAGUAI"/>
    <n v="46971"/>
    <n v="1755"/>
    <s v="3200002 TP ML WAVES CARPE 290G 2,10L DIVERSAS U"/>
    <s v="SUPERESPUMA"/>
    <s v="EX "/>
    <s v="Colchão M.E."/>
    <m/>
    <s v="CONEXÃO MALHAS"/>
    <n v="45098"/>
    <m/>
    <m/>
    <n v="39030.53"/>
    <s v="MT "/>
    <n v="290"/>
    <m/>
    <n v="2051"/>
    <n v="1222.8799999999997"/>
    <m/>
    <m/>
    <m/>
    <m/>
    <m/>
    <m/>
    <m/>
    <m/>
    <m/>
    <m/>
    <s v="SUPERSPUMA DEL PARAGUAY S.A.E.C.A"/>
    <m/>
    <n v="19.03"/>
  </r>
  <r>
    <x v="1"/>
    <x v="2"/>
    <s v="COLCHÃO M.E."/>
    <s v="DIRETO"/>
    <x v="21"/>
    <s v="NADA"/>
    <s v="PARAGUAI"/>
    <n v="46971"/>
    <n v="1759"/>
    <s v="3200006 TP ML IMPERIAL GRAY 280G 2,10L DIVERSAS U"/>
    <s v="SUPERESPUMA"/>
    <s v="EX "/>
    <s v="Colchão M.E."/>
    <m/>
    <s v="CONEXÃO MALHAS"/>
    <n v="45098"/>
    <m/>
    <m/>
    <n v="37536.36"/>
    <s v="MT "/>
    <n v="280"/>
    <m/>
    <n v="2229"/>
    <n v="1487.502"/>
    <m/>
    <m/>
    <m/>
    <m/>
    <m/>
    <m/>
    <m/>
    <m/>
    <m/>
    <m/>
    <s v="SUPERSPUMA DEL PARAGUAY S.A.E.C.A"/>
    <m/>
    <n v="16.84"/>
  </r>
  <r>
    <x v="1"/>
    <x v="2"/>
    <s v="COLCHÃO M.E."/>
    <s v="DIRETO"/>
    <x v="21"/>
    <s v="NADA"/>
    <s v="PARAGUAI"/>
    <n v="46971"/>
    <n v="1760"/>
    <s v="3200007 TP ML WHITE BORDER 180G 2,10L DIVERSAS U"/>
    <s v="SUPERESPUMA"/>
    <s v="EX "/>
    <s v="Colchão M.E."/>
    <m/>
    <s v="CONEXÃO MALHAS"/>
    <n v="45098"/>
    <m/>
    <m/>
    <n v="23220.68"/>
    <s v="MT "/>
    <n v="180"/>
    <m/>
    <n v="2612"/>
    <n v="1220.2200000000003"/>
    <m/>
    <m/>
    <m/>
    <m/>
    <m/>
    <m/>
    <m/>
    <m/>
    <m/>
    <m/>
    <s v="SUPERSPUMA DEL PARAGUAY S.A.E.C.A"/>
    <m/>
    <n v="8.89"/>
  </r>
  <r>
    <x v="1"/>
    <x v="2"/>
    <s v="COLCHÃO M.E."/>
    <s v="DIRETO"/>
    <x v="21"/>
    <s v="NADA"/>
    <s v="PARAGUAI"/>
    <n v="46971"/>
    <n v="1758"/>
    <s v="3200005 TP ML SERRAT COBE 300G 2,10L DIVERSAS U"/>
    <s v="SUPERESPUMA"/>
    <s v="EX "/>
    <s v="Colchão M.E."/>
    <m/>
    <s v="CONEXÃO MALHAS"/>
    <n v="45098"/>
    <m/>
    <m/>
    <n v="63344.2"/>
    <s v="MT "/>
    <n v="300"/>
    <m/>
    <n v="3452"/>
    <n v="2291.4800000000005"/>
    <m/>
    <m/>
    <m/>
    <m/>
    <m/>
    <m/>
    <m/>
    <m/>
    <m/>
    <m/>
    <s v="SUPERSPUMA DEL PARAGUAY S.A.E.C.A"/>
    <m/>
    <n v="18.349999999999998"/>
  </r>
  <r>
    <x v="1"/>
    <x v="2"/>
    <s v="COLCHÃO M.E."/>
    <s v="DIRETO"/>
    <x v="21"/>
    <s v="NADA"/>
    <s v="PARAGUAI"/>
    <n v="46971"/>
    <n v="1754"/>
    <s v="3200001 TP ML SOUL WHITE 160G 2,10L DIVERSAS U"/>
    <s v="SUPERESPUMA"/>
    <s v="EX "/>
    <s v="Colchão M.E."/>
    <m/>
    <s v="CONEXÃO MALHAS"/>
    <n v="45098"/>
    <m/>
    <m/>
    <n v="17809.740000000002"/>
    <s v="MT "/>
    <n v="160"/>
    <m/>
    <n v="2301"/>
    <n v="960.08000000000015"/>
    <m/>
    <m/>
    <m/>
    <m/>
    <m/>
    <m/>
    <m/>
    <m/>
    <m/>
    <m/>
    <s v="SUPERSPUMA DEL PARAGUAY S.A.E.C.A"/>
    <m/>
    <n v="7.7400000000000011"/>
  </r>
  <r>
    <x v="1"/>
    <x v="2"/>
    <s v="COLCHÃO M.E."/>
    <s v="DIRETO"/>
    <x v="21"/>
    <s v="NADA"/>
    <s v="PARAGUAI"/>
    <n v="46971"/>
    <n v="1761"/>
    <s v="3200008 TP ML IMPULSE GRAY 280G 2,10L DIVERSAS U"/>
    <s v="SUPERESPUMA"/>
    <s v="EX "/>
    <s v="Colchão M.E."/>
    <m/>
    <s v="CONEXÃO MALHAS"/>
    <n v="45098"/>
    <m/>
    <m/>
    <n v="15621.24"/>
    <s v="MT "/>
    <n v="280"/>
    <m/>
    <n v="1047"/>
    <n v="613.29999999999995"/>
    <m/>
    <m/>
    <m/>
    <m/>
    <m/>
    <m/>
    <m/>
    <m/>
    <m/>
    <m/>
    <s v="SUPERSPUMA DEL PARAGUAY S.A.E.C.A"/>
    <m/>
    <n v="14.92"/>
  </r>
  <r>
    <x v="1"/>
    <x v="2"/>
    <s v="COLCHÃO M.E."/>
    <s v="DIRETO"/>
    <x v="21"/>
    <s v="NADA"/>
    <s v="PARAGUAI"/>
    <n v="46971"/>
    <n v="1762"/>
    <s v="3200009 TP ML IMPULSE ORANGE 280G 2,10L DIVERSAS U"/>
    <s v="SUPERESPUMA"/>
    <s v="EX "/>
    <s v="Colchão M.E."/>
    <m/>
    <s v="CONEXÃO MALHAS"/>
    <n v="45098"/>
    <m/>
    <m/>
    <n v="21199.200000000001"/>
    <s v="MT "/>
    <n v="280"/>
    <m/>
    <n v="1210"/>
    <n v="730.81999999999994"/>
    <m/>
    <m/>
    <m/>
    <m/>
    <m/>
    <m/>
    <m/>
    <m/>
    <m/>
    <m/>
    <s v="SUPERSPUMA DEL PARAGUAY S.A.E.C.A"/>
    <m/>
    <n v="17.52"/>
  </r>
  <r>
    <x v="1"/>
    <x v="2"/>
    <s v="COLCHÃO M.E."/>
    <s v="DIRETO"/>
    <x v="10"/>
    <s v="NADA"/>
    <s v="CHILE"/>
    <n v="47129"/>
    <n v="2001"/>
    <s v="2860009 TP ML GREEN WINDOW 430G 2,20L DIVERSAS U"/>
    <s v="COLCHONES DEL MUNDO"/>
    <s v="EX "/>
    <s v="Colchão M.E."/>
    <m/>
    <s v="DIRETO"/>
    <n v="45107"/>
    <m/>
    <m/>
    <n v="14925.98"/>
    <s v="MT "/>
    <n v="430"/>
    <m/>
    <n v="466"/>
    <n v="453.25799999999998"/>
    <m/>
    <m/>
    <m/>
    <m/>
    <m/>
    <m/>
    <m/>
    <m/>
    <m/>
    <m/>
    <s v="COLCHONES DEL MUNDO SPA"/>
    <s v="CARLOS FIDENCIO D AVALOS RUIZ JUNIOR 34496952823"/>
    <n v="32.03"/>
  </r>
  <r>
    <x v="1"/>
    <x v="2"/>
    <s v="COLCHÃO M.E."/>
    <s v="DIRETO"/>
    <x v="10"/>
    <s v="NADA"/>
    <s v="CHILE"/>
    <n v="47129"/>
    <n v="2000"/>
    <s v="2860008 TP ML GRAY WINDOW 380G 2,20L DIVERSAS U"/>
    <s v="COLCHONES DEL MUNDO"/>
    <s v="EX "/>
    <s v="Colchão M.E."/>
    <m/>
    <s v="DIRETO"/>
    <n v="45107"/>
    <m/>
    <m/>
    <n v="13466.88"/>
    <s v="MT "/>
    <n v="380"/>
    <m/>
    <n v="501"/>
    <n v="458.18"/>
    <m/>
    <m/>
    <m/>
    <m/>
    <m/>
    <m/>
    <m/>
    <m/>
    <m/>
    <m/>
    <s v="COLCHONES DEL MUNDO SPA"/>
    <s v="CARLOS FIDENCIO D AVALOS RUIZ JUNIOR 34496952823"/>
    <n v="26.88"/>
  </r>
  <r>
    <x v="1"/>
    <x v="2"/>
    <s v="COLCHÃO M.E."/>
    <s v="DIRETO"/>
    <x v="10"/>
    <s v="NADA"/>
    <s v="CHILE"/>
    <n v="47129"/>
    <n v="2002"/>
    <s v="2860010 TP ML BLACK WINDOW 440G 2,20L DIVERSAS U"/>
    <s v="COLCHONES DEL MUNDO"/>
    <s v="EX "/>
    <s v="Colchão M.E."/>
    <m/>
    <s v="DIRETO"/>
    <n v="45107"/>
    <m/>
    <m/>
    <n v="15486.66"/>
    <s v="MT "/>
    <n v="440"/>
    <m/>
    <n v="482"/>
    <n v="447.94"/>
    <m/>
    <m/>
    <m/>
    <m/>
    <m/>
    <m/>
    <m/>
    <m/>
    <m/>
    <m/>
    <s v="COLCHONES DEL MUNDO SPA"/>
    <s v="CARLOS FIDENCIO D AVALOS RUIZ JUNIOR 34496952823"/>
    <n v="32.130000000000003"/>
  </r>
  <r>
    <x v="1"/>
    <x v="2"/>
    <s v="COLCHÃO M.E."/>
    <s v="DIRETO"/>
    <x v="10"/>
    <s v="NADA"/>
    <s v="CHILE"/>
    <n v="47129"/>
    <n v="1999"/>
    <s v="2860007 TP ML DIAG YELLOW 440G 2,20L DIVERSAS U"/>
    <s v="COLCHONES DEL MUNDO"/>
    <s v="EX "/>
    <s v="Colchão M.E."/>
    <m/>
    <s v="DIRETO"/>
    <n v="45107"/>
    <m/>
    <m/>
    <n v="28575.690000000013"/>
    <s v="MT "/>
    <n v="440"/>
    <m/>
    <n v="564"/>
    <n v="534.08000000000004"/>
    <m/>
    <m/>
    <m/>
    <m/>
    <m/>
    <m/>
    <m/>
    <m/>
    <m/>
    <m/>
    <s v="COLCHONES DEL MUNDO SPA"/>
    <s v="CARLOS FIDENCIO D AVALOS RUIZ JUNIOR 34496952823"/>
    <n v="50.666117021276619"/>
  </r>
  <r>
    <x v="1"/>
    <x v="2"/>
    <s v="COLCHÃO M.E."/>
    <s v="DIRETO"/>
    <x v="22"/>
    <s v="NADA"/>
    <s v="AMERICA CENTRAL E CARIBE"/>
    <n v="47145"/>
    <n v="2049"/>
    <s v="TECIDO PLANO LISO 02429 CZ PRATA DIVERSAS U"/>
    <s v="RMD RECYCLING"/>
    <s v="EX "/>
    <s v="Colchão M.E."/>
    <m/>
    <s v="DIRETO"/>
    <n v="45107"/>
    <m/>
    <m/>
    <n v="8435.19"/>
    <s v="MT "/>
    <m/>
    <m/>
    <n v="1174"/>
    <n v="130.31"/>
    <m/>
    <m/>
    <m/>
    <m/>
    <m/>
    <m/>
    <m/>
    <m/>
    <m/>
    <m/>
    <s v="RMD RECYCLING 753 LLC"/>
    <s v="CARLOS FIDENCIO D AVALOS RUIZ JUNIOR 34496952823"/>
    <n v="7.1850000000000005"/>
  </r>
  <r>
    <x v="1"/>
    <x v="2"/>
    <s v="COLCHÃO M.E."/>
    <s v="DIRETO"/>
    <x v="22"/>
    <s v="NADA"/>
    <s v="AMERICA CENTRAL E CARIBE"/>
    <n v="47145"/>
    <n v="1880"/>
    <s v="3250001 TP ML LINES GRAY 280G 2,10L DIVERSAS U"/>
    <s v="RMD RECYCLING"/>
    <s v="EX "/>
    <s v="Colchão M.E."/>
    <m/>
    <s v="DIRETO"/>
    <n v="45107"/>
    <m/>
    <m/>
    <n v="20588.03"/>
    <s v="MT "/>
    <n v="280"/>
    <m/>
    <n v="614"/>
    <n v="397.10000000000008"/>
    <m/>
    <m/>
    <m/>
    <m/>
    <m/>
    <m/>
    <m/>
    <m/>
    <m/>
    <m/>
    <s v="RMD RECYCLING 753 LLC"/>
    <s v="CARLOS FIDENCIO D AVALOS RUIZ JUNIOR 34496952823"/>
    <n v="33.530993485342016"/>
  </r>
  <r>
    <x v="1"/>
    <x v="2"/>
    <s v="COLCHÃO M.E."/>
    <s v="DIRETO"/>
    <x v="22"/>
    <s v="NADA"/>
    <s v="AMERICA CENTRAL E CARIBE"/>
    <n v="47145"/>
    <n v="2050"/>
    <s v="TECIDO PLANO LISO 02705 BEGE OTL DIVERSAS U"/>
    <s v="RMD RECYCLING"/>
    <s v="EX "/>
    <s v="Colchão M.E."/>
    <m/>
    <s v="DIRETO"/>
    <n v="45107"/>
    <m/>
    <m/>
    <n v="7062.86"/>
    <s v="MT "/>
    <m/>
    <m/>
    <n v="983"/>
    <n v="109.11"/>
    <m/>
    <m/>
    <m/>
    <m/>
    <m/>
    <m/>
    <m/>
    <m/>
    <m/>
    <m/>
    <s v="RMD RECYCLING 753 LLC"/>
    <s v="CARLOS FIDENCIO D AVALOS RUIZ JUNIOR 34496952823"/>
    <n v="7.1850050864699897"/>
  </r>
  <r>
    <x v="1"/>
    <x v="2"/>
    <s v="COLCHÃO M.E."/>
    <s v="DIRETO"/>
    <x v="22"/>
    <s v="NADA"/>
    <s v="AMERICA CENTRAL E CARIBE"/>
    <n v="47145"/>
    <n v="1885"/>
    <s v="3250003 TP ML CASHMERE BEIGE 280G 2,10L DIVERSAS U"/>
    <s v="RMD RECYCLING"/>
    <s v="EX "/>
    <s v="Colchão M.E."/>
    <m/>
    <s v="DIRETO"/>
    <n v="45107"/>
    <m/>
    <m/>
    <n v="14820.7"/>
    <s v="MT "/>
    <n v="280"/>
    <m/>
    <n v="442"/>
    <n v="330.95000000000005"/>
    <m/>
    <m/>
    <m/>
    <m/>
    <m/>
    <m/>
    <m/>
    <m/>
    <m/>
    <m/>
    <s v="RMD RECYCLING 753 LLC"/>
    <s v="CARLOS FIDENCIO D AVALOS RUIZ JUNIOR 34496952823"/>
    <n v="33.530995475113123"/>
  </r>
  <r>
    <x v="1"/>
    <x v="2"/>
    <s v="COLCHÃO M.E."/>
    <s v="DIRETO"/>
    <x v="22"/>
    <s v="NADA"/>
    <s v="AMERICA CENTRAL E CARIBE"/>
    <n v="47145"/>
    <n v="2051"/>
    <s v="BASEBOX 157X197 DIVERSAS U"/>
    <s v="RMD RECYCLING"/>
    <s v="EX "/>
    <s v="Colchão M.E."/>
    <m/>
    <s v="DIRETO"/>
    <n v="45107"/>
    <m/>
    <m/>
    <n v="287.41000000000003"/>
    <s v="UN "/>
    <m/>
    <m/>
    <n v="1"/>
    <n v="31.277000000000001"/>
    <m/>
    <m/>
    <m/>
    <m/>
    <m/>
    <m/>
    <m/>
    <m/>
    <m/>
    <m/>
    <s v="RMD RECYCLING 753 LLC"/>
    <s v="CARLOS FIDENCIO D AVALOS RUIZ JUNIOR 34496952823"/>
    <n v="287.41000000000003"/>
  </r>
  <r>
    <x v="1"/>
    <x v="2"/>
    <s v="COLCHÃO M.E."/>
    <s v="DIRETO"/>
    <x v="22"/>
    <s v="NADA"/>
    <s v="AMERICA CENTRAL E CARIBE"/>
    <n v="47145"/>
    <n v="2041"/>
    <s v="288 2.0 133X188X0145 DIVERSAS U"/>
    <s v="RMD RECYCLING"/>
    <s v="EX "/>
    <s v="Colchão M.E."/>
    <m/>
    <s v="DIRETO"/>
    <n v="45107"/>
    <m/>
    <m/>
    <n v="30298"/>
    <s v="UN "/>
    <m/>
    <m/>
    <n v="100"/>
    <n v="1134.5999999999999"/>
    <m/>
    <m/>
    <m/>
    <m/>
    <m/>
    <m/>
    <m/>
    <m/>
    <m/>
    <m/>
    <s v="RMD RECYCLING 753 LLC"/>
    <s v="CARLOS FIDENCIO D AVALOS RUIZ JUNIOR 34496952823"/>
    <n v="302.98"/>
  </r>
  <r>
    <x v="1"/>
    <x v="2"/>
    <s v="COLCHÃO M.E."/>
    <s v="DIRETO"/>
    <x v="22"/>
    <s v="NADA"/>
    <s v="AMERICA CENTRAL E CARIBE"/>
    <n v="47145"/>
    <n v="1883"/>
    <s v="3250002 TP ML FLORAL BEIGE 280G 2,10L DIVERSAS U"/>
    <s v="RMD RECYCLING"/>
    <s v="EX "/>
    <s v="Colchão M.E."/>
    <m/>
    <s v="DIRETO"/>
    <n v="45107"/>
    <m/>
    <m/>
    <n v="17268.47"/>
    <s v="MT "/>
    <n v="280"/>
    <m/>
    <n v="515"/>
    <n v="359.04"/>
    <m/>
    <m/>
    <m/>
    <m/>
    <m/>
    <m/>
    <m/>
    <m/>
    <m/>
    <m/>
    <s v="RMD RECYCLING 753 LLC"/>
    <s v="CARLOS FIDENCIO D AVALOS RUIZ JUNIOR 34496952823"/>
    <n v="33.531009708737869"/>
  </r>
  <r>
    <x v="1"/>
    <x v="2"/>
    <s v="COLCHÃO M.E."/>
    <s v="DIRETO"/>
    <x v="22"/>
    <s v="NADA"/>
    <s v="AMERICA CENTRAL E CARIBE"/>
    <n v="47145"/>
    <n v="1886"/>
    <s v="3250004 TP ML ABSTRACT CREM 280G 2,10L DIVERSAS U"/>
    <s v="RMD RECYCLING"/>
    <s v="EX "/>
    <s v="Colchão M.E."/>
    <m/>
    <s v="DIRETO"/>
    <n v="45107"/>
    <m/>
    <m/>
    <n v="17905.55"/>
    <s v="MT "/>
    <n v="280"/>
    <m/>
    <n v="534"/>
    <n v="359.83"/>
    <m/>
    <m/>
    <m/>
    <m/>
    <m/>
    <m/>
    <m/>
    <m/>
    <m/>
    <m/>
    <s v="RMD RECYCLING 753 LLC"/>
    <s v="CARLOS FIDENCIO D AVALOS RUIZ JUNIOR 34496952823"/>
    <n v="33.530992509363294"/>
  </r>
  <r>
    <x v="1"/>
    <x v="2"/>
    <s v="COLCHÃO M.E."/>
    <s v="DIRETO"/>
    <x v="22"/>
    <s v="NADA"/>
    <s v="AMERICA CENTRAL E CARIBE"/>
    <n v="47145"/>
    <n v="2048"/>
    <s v="FITA CARAMELO DIVERSAS U"/>
    <s v="RMD RECYCLING"/>
    <s v="EX "/>
    <s v="Colchão M.E."/>
    <m/>
    <s v="DIRETO"/>
    <n v="45107"/>
    <m/>
    <m/>
    <n v="3134.53"/>
    <s v="MT "/>
    <m/>
    <m/>
    <n v="6397"/>
    <n v="43.22"/>
    <m/>
    <m/>
    <m/>
    <m/>
    <m/>
    <m/>
    <m/>
    <m/>
    <m/>
    <m/>
    <s v="RMD RECYCLING 753 LLC"/>
    <s v="CARLOS FIDENCIO D AVALOS RUIZ JUNIOR 34496952823"/>
    <n v="0.49000000000000005"/>
  </r>
  <r>
    <x v="1"/>
    <x v="2"/>
    <s v="COLCHÃO M.E."/>
    <s v="DIRETO"/>
    <x v="22"/>
    <s v="NADA"/>
    <s v="AMERICA CENTRAL E CARIBE"/>
    <n v="47145"/>
    <n v="2047"/>
    <s v="FITIM CINZA DIVERSAS U"/>
    <s v="RMD RECYCLING"/>
    <s v="EX "/>
    <s v="Colchão M.E."/>
    <m/>
    <s v="DIRETO"/>
    <n v="45107"/>
    <m/>
    <m/>
    <n v="3163.93"/>
    <s v="MT "/>
    <m/>
    <m/>
    <n v="6457"/>
    <n v="43.22"/>
    <m/>
    <m/>
    <m/>
    <m/>
    <m/>
    <m/>
    <m/>
    <m/>
    <m/>
    <m/>
    <s v="RMD RECYCLING 753 LLC"/>
    <s v="CARLOS FIDENCIO D AVALOS RUIZ JUNIOR 34496952823"/>
    <n v="0.49"/>
  </r>
  <r>
    <x v="1"/>
    <x v="2"/>
    <s v="COLCHÃO M.E."/>
    <s v="DIRETO"/>
    <x v="22"/>
    <s v="NADA"/>
    <s v="AMERICA CENTRAL E CARIBE"/>
    <n v="47145"/>
    <n v="1995"/>
    <s v="RESINADO LARGURA 2,00M 500G DIVERSAS U"/>
    <s v="RMD RECYCLING"/>
    <s v="EX "/>
    <s v="Colchão M.E."/>
    <m/>
    <s v="DIRETO"/>
    <n v="45107"/>
    <m/>
    <m/>
    <n v="24908"/>
    <s v="M2 "/>
    <m/>
    <m/>
    <n v="2000"/>
    <n v="0"/>
    <m/>
    <m/>
    <m/>
    <m/>
    <m/>
    <m/>
    <m/>
    <m/>
    <m/>
    <m/>
    <s v="RMD RECYCLING 753 LLC"/>
    <s v="CARLOS FIDENCIO D AVALOS RUIZ JUNIOR 34496952823"/>
    <n v="12.454000000000001"/>
  </r>
  <r>
    <x v="1"/>
    <x v="2"/>
    <s v="COLCHÃO M.E."/>
    <s v="DIRETO"/>
    <x v="4"/>
    <s v="NADA"/>
    <s v="BOLIVIA"/>
    <n v="47155"/>
    <n v="1992"/>
    <s v="A0003 - M3 ESTAMPA BAMB 1 (230) DIVERSAS U"/>
    <s v="WENTURS TRADE"/>
    <s v="EX "/>
    <s v="Colchão M.E."/>
    <m/>
    <s v="DIRETO"/>
    <n v="45107"/>
    <m/>
    <m/>
    <n v="11989.12"/>
    <s v="MT "/>
    <m/>
    <m/>
    <n v="2096"/>
    <n v="232.65599999999998"/>
    <m/>
    <m/>
    <m/>
    <m/>
    <m/>
    <m/>
    <m/>
    <m/>
    <m/>
    <m/>
    <s v="WENTURS TRADE"/>
    <s v="CONEXAO MALHAS E DESENVOLVIMENTO LTDA"/>
    <n v="5.7200000000000006"/>
  </r>
  <r>
    <x v="1"/>
    <x v="2"/>
    <s v="COLCHÃO M.E."/>
    <s v="DIRETO"/>
    <x v="4"/>
    <s v="NADA"/>
    <s v="BOLIVIA"/>
    <n v="47155"/>
    <n v="1990"/>
    <s v="A0001- M1 ESTAMPA 7562 (2775) DIVERSAS U"/>
    <s v="WENTURS TRADE"/>
    <s v="EX "/>
    <s v="Colchão M.E."/>
    <m/>
    <s v="DIRETO"/>
    <n v="45107"/>
    <m/>
    <m/>
    <n v="11468.6"/>
    <s v="MT "/>
    <m/>
    <m/>
    <n v="2005"/>
    <n v="322.80499999999995"/>
    <m/>
    <m/>
    <m/>
    <m/>
    <m/>
    <m/>
    <m/>
    <m/>
    <m/>
    <m/>
    <s v="WENTURS TRADE"/>
    <s v="CONEXAO MALHAS E DESENVOLVIMENTO LTDA"/>
    <n v="5.72"/>
  </r>
  <r>
    <x v="1"/>
    <x v="2"/>
    <s v="COLCHÃO M.E."/>
    <s v="DIRETO"/>
    <x v="4"/>
    <s v="NADA"/>
    <s v="BOLIVIA"/>
    <n v="47155"/>
    <n v="1991"/>
    <s v="A0002 - M2 ESTAMPA BAMB CZ (1584) DIVERSAS U"/>
    <s v="WENTURS TRADE"/>
    <s v="EX "/>
    <s v="Colchão M.E."/>
    <m/>
    <s v="DIRETO"/>
    <n v="45107"/>
    <m/>
    <m/>
    <n v="7207.2"/>
    <s v="MT "/>
    <m/>
    <m/>
    <n v="1260"/>
    <n v="202.85999999999999"/>
    <m/>
    <m/>
    <m/>
    <m/>
    <m/>
    <m/>
    <m/>
    <m/>
    <m/>
    <m/>
    <s v="WENTURS TRADE"/>
    <s v="CONEXAO MALHAS E DESENVOLVIMENTO LTDA"/>
    <n v="5.72"/>
  </r>
  <r>
    <x v="2"/>
    <x v="2"/>
    <s v="COLCHÃO M.E."/>
    <s v="DIRETO"/>
    <x v="1"/>
    <s v="NADA"/>
    <s v="URUGUAI"/>
    <n v="47239"/>
    <n v="1226"/>
    <s v="2540015 TAMPO PONTILHADOS PRETO (A07803) DIVERSAS U"/>
    <s v="DIVINO COLCHONES"/>
    <s v="EX "/>
    <s v="Colchão M.E."/>
    <m/>
    <s v="CONEXÃO MALHAS"/>
    <n v="45114"/>
    <m/>
    <m/>
    <n v="65322.6"/>
    <s v="MT "/>
    <n v="260"/>
    <m/>
    <n v="4228"/>
    <n v="2541.5299999999993"/>
    <m/>
    <m/>
    <m/>
    <m/>
    <m/>
    <m/>
    <m/>
    <m/>
    <m/>
    <m/>
    <s v="DIVINO S.A"/>
    <s v="CONEXAO MALHAS E DESENVOLVIMENTO LTDA"/>
    <n v="15.45"/>
  </r>
  <r>
    <x v="2"/>
    <x v="2"/>
    <s v="COLCHÃO M.E."/>
    <s v="DIRETO"/>
    <x v="1"/>
    <s v="NADA"/>
    <s v="URUGUAI"/>
    <n v="47239"/>
    <n v="1225"/>
    <s v="2540012 TAMPO RASCUNHOS (A07820) DIVERSAS U"/>
    <s v="DIVINO COLCHONES"/>
    <s v="EX "/>
    <s v="Colchão M.E."/>
    <m/>
    <s v="CONEXÃO MALHAS"/>
    <n v="45114"/>
    <m/>
    <m/>
    <n v="34998.75"/>
    <s v="MT "/>
    <n v="240"/>
    <m/>
    <n v="2295"/>
    <n v="1266.9399999999996"/>
    <m/>
    <m/>
    <m/>
    <m/>
    <m/>
    <m/>
    <m/>
    <m/>
    <m/>
    <m/>
    <s v="DIVINO S.A"/>
    <s v="CONEXAO MALHAS E DESENVOLVIMENTO LTDA"/>
    <n v="15.25"/>
  </r>
  <r>
    <x v="2"/>
    <x v="2"/>
    <s v="COLCHÃO M.E."/>
    <s v="DIRETO"/>
    <x v="1"/>
    <s v="NADA"/>
    <s v="URUGUAI"/>
    <n v="47239"/>
    <n v="2054"/>
    <s v="2540026 TP ML 0072051 - 280G 2,20L DEGRA DIVERSAS U"/>
    <s v="DIVINO COLCHONES"/>
    <s v="EX "/>
    <s v="Colchão M.E."/>
    <m/>
    <s v="CONEXÃO MALHAS"/>
    <n v="45114"/>
    <m/>
    <m/>
    <n v="36391.68"/>
    <s v="MT "/>
    <n v="280"/>
    <m/>
    <n v="2187"/>
    <n v="1349.64"/>
    <m/>
    <m/>
    <m/>
    <m/>
    <m/>
    <m/>
    <m/>
    <m/>
    <m/>
    <m/>
    <s v="DIVINO S.A"/>
    <s v="CONEXAO MALHAS E DESENVOLVIMENTO LTDA"/>
    <n v="16.64"/>
  </r>
  <r>
    <x v="2"/>
    <x v="2"/>
    <s v="COLCHÃO M.E."/>
    <s v="DIRETO"/>
    <x v="1"/>
    <s v="NADA"/>
    <s v="URUGUAI"/>
    <n v="47239"/>
    <n v="1237"/>
    <s v="2540020 BANDA LATERAL - MARRON (A09497) DIVERSAS U"/>
    <s v="DIVINO COLCHONES"/>
    <s v="EX "/>
    <s v="Colchão M.E."/>
    <m/>
    <s v="CONEXÃO MALHAS"/>
    <n v="45114"/>
    <m/>
    <m/>
    <n v="19756.8"/>
    <s v="MT "/>
    <n v="300"/>
    <m/>
    <n v="1008"/>
    <n v="730.28"/>
    <m/>
    <m/>
    <m/>
    <m/>
    <m/>
    <m/>
    <m/>
    <m/>
    <m/>
    <m/>
    <s v="DIVINO S.A"/>
    <s v="CONEXAO MALHAS E DESENVOLVIMENTO LTDA"/>
    <n v="19.599999999999998"/>
  </r>
  <r>
    <x v="2"/>
    <x v="2"/>
    <s v="COLCHÃO M.E."/>
    <s v="DIRETO"/>
    <x v="1"/>
    <s v="NADA"/>
    <s v="URUGUAI"/>
    <n v="47239"/>
    <n v="1504"/>
    <s v="2540018 TP ML DIV 7806 240G 2,10L DIVERSAS U"/>
    <s v="DIVINO COLCHONES"/>
    <s v="EX "/>
    <s v="Colchão M.E."/>
    <m/>
    <s v="CONEXÃO MALHAS"/>
    <n v="45114"/>
    <m/>
    <m/>
    <n v="43184.34"/>
    <s v="MT "/>
    <n v="240"/>
    <m/>
    <n v="2806"/>
    <n v="1568.84"/>
    <m/>
    <m/>
    <m/>
    <m/>
    <m/>
    <m/>
    <m/>
    <m/>
    <m/>
    <m/>
    <s v="DIVINO S.A"/>
    <s v="CONEXAO MALHAS E DESENVOLVIMENTO LTDA"/>
    <n v="15.389999999999999"/>
  </r>
  <r>
    <x v="2"/>
    <x v="2"/>
    <s v="COLCHÃO M.E."/>
    <s v="DIRETO"/>
    <x v="1"/>
    <s v="NADA"/>
    <s v="URUGUAI"/>
    <n v="47239"/>
    <n v="1506"/>
    <s v="2540017 TP ML A08980 280G 2,10L DIVERSAS U"/>
    <s v="DIVINO COLCHONES"/>
    <s v="EX "/>
    <s v="Colchão M.E."/>
    <m/>
    <s v="CONEXÃO MALHAS"/>
    <n v="45114"/>
    <m/>
    <m/>
    <n v="9227.4"/>
    <s v="MT "/>
    <n v="280"/>
    <m/>
    <n v="507"/>
    <n v="335.71999999999991"/>
    <m/>
    <m/>
    <m/>
    <m/>
    <m/>
    <m/>
    <m/>
    <m/>
    <m/>
    <m/>
    <s v="DIVINO S.A"/>
    <s v="CONEXAO MALHAS E DESENVOLVIMENTO LTDA"/>
    <n v="18.2"/>
  </r>
  <r>
    <x v="2"/>
    <x v="2"/>
    <s v="COLCHÃO M.E."/>
    <s v="DIRETO"/>
    <x v="1"/>
    <s v="NADA"/>
    <s v="URUGUAI"/>
    <n v="47239"/>
    <n v="1503"/>
    <s v="2540008 TP ML DINOS 260G 2,20L DIVERSAS U"/>
    <s v="DIVINO COLCHONES"/>
    <s v="EX "/>
    <s v="Colchão M.E."/>
    <m/>
    <s v="CONEXÃO MALHAS"/>
    <n v="45114"/>
    <m/>
    <m/>
    <n v="12388.73"/>
    <s v="MT "/>
    <n v="260"/>
    <m/>
    <n v="700.72"/>
    <n v="415.13999999999993"/>
    <m/>
    <m/>
    <m/>
    <m/>
    <m/>
    <m/>
    <m/>
    <m/>
    <m/>
    <m/>
    <s v="DIVINO S.A"/>
    <s v="CONEXAO MALHAS E DESENVOLVIMENTO LTDA"/>
    <n v="17.680000570841418"/>
  </r>
  <r>
    <x v="2"/>
    <x v="2"/>
    <s v="COLCHÃO M.E."/>
    <s v="DIRETO"/>
    <x v="1"/>
    <s v="NADA"/>
    <s v="URUGUAI"/>
    <n v="47239"/>
    <n v="1525"/>
    <s v="2540022 TP ML FOLHAS IMAG 320G 2,10 DIVERSAS U"/>
    <s v="DIVINO COLCHONES"/>
    <s v="EX "/>
    <s v="Colchão M.E."/>
    <m/>
    <s v="CONEXÃO MALHAS"/>
    <n v="45114"/>
    <m/>
    <m/>
    <n v="26107.200000000001"/>
    <s v="MT "/>
    <n v="320"/>
    <m/>
    <n v="1332"/>
    <n v="877.05999999999983"/>
    <m/>
    <m/>
    <m/>
    <m/>
    <m/>
    <m/>
    <m/>
    <m/>
    <m/>
    <m/>
    <s v="DIVINO S.A"/>
    <s v="CONEXAO MALHAS E DESENVOLVIMENTO LTDA"/>
    <n v="19.600000000000001"/>
  </r>
  <r>
    <x v="2"/>
    <x v="2"/>
    <s v="COLCHÃO M.E."/>
    <s v="DIRETO"/>
    <x v="1"/>
    <s v="NADA"/>
    <s v="URUGUAI"/>
    <n v="47239"/>
    <n v="1523"/>
    <s v="32282 - TELA ANTIDESLIZANTE DIVERSAS U"/>
    <s v="DIVINO COLCHONES"/>
    <s v="EX "/>
    <s v="Colchão M.E."/>
    <m/>
    <s v="CONEXÃO MALHAS"/>
    <n v="45114"/>
    <m/>
    <m/>
    <n v="4488"/>
    <s v="MT "/>
    <m/>
    <m/>
    <n v="600"/>
    <n v="118.8"/>
    <m/>
    <m/>
    <m/>
    <m/>
    <m/>
    <m/>
    <m/>
    <m/>
    <m/>
    <m/>
    <s v="DIVINO S.A"/>
    <s v="CONEXAO MALHAS E DESENVOLVIMENTO LTDA"/>
    <n v="7.48"/>
  </r>
  <r>
    <x v="2"/>
    <x v="2"/>
    <s v="COLCHÃO M.E."/>
    <s v="DIRETO"/>
    <x v="1"/>
    <s v="NADA"/>
    <s v="URUGUAI"/>
    <n v="47239"/>
    <n v="1524"/>
    <s v="1922 - TELA POL GALHOS 3 V02 DIVERSAS U"/>
    <s v="DIVINO COLCHONES"/>
    <s v="EX "/>
    <s v="Colchão M.E."/>
    <m/>
    <s v="CONEXÃO MALHAS"/>
    <n v="45114"/>
    <m/>
    <m/>
    <n v="30318.080000000002"/>
    <s v="MT "/>
    <m/>
    <m/>
    <n v="3644"/>
    <n v="732.73800000000006"/>
    <m/>
    <m/>
    <m/>
    <m/>
    <m/>
    <m/>
    <m/>
    <m/>
    <m/>
    <m/>
    <s v="DIVINO S.A"/>
    <s v="CONEXAO MALHAS E DESENVOLVIMENTO LTDA"/>
    <n v="8.32"/>
  </r>
  <r>
    <x v="2"/>
    <x v="2"/>
    <s v="COLCHÃO M.E."/>
    <s v="DIRETO"/>
    <x v="1"/>
    <s v="NADA"/>
    <s v="URUGUAI"/>
    <n v="47239"/>
    <n v="2053"/>
    <s v="2540025 TP ML 0069001 - 300G 2,20L CONTE DIVERSAS U"/>
    <s v="DIVINO COLCHONES"/>
    <s v="EX "/>
    <s v="Colchão M.E."/>
    <m/>
    <s v="CONEXÃO MALHAS"/>
    <n v="45114"/>
    <m/>
    <m/>
    <n v="18733.830000000002"/>
    <s v="MT "/>
    <n v="300"/>
    <m/>
    <n v="1059.606"/>
    <n v="752.48"/>
    <m/>
    <m/>
    <m/>
    <m/>
    <m/>
    <m/>
    <m/>
    <m/>
    <m/>
    <m/>
    <s v="DIVINO S.A"/>
    <s v="CONEXAO MALHAS E DESENVOLVIMENTO LTDA"/>
    <n v="17.679996149512178"/>
  </r>
  <r>
    <x v="2"/>
    <x v="2"/>
    <s v="COLCHÃO M.E."/>
    <s v="DIRETO"/>
    <x v="23"/>
    <s v="NADA"/>
    <s v="PARAGUAI"/>
    <n v="47415"/>
    <n v="1984"/>
    <s v="2920023 TP ML ABSTRACT 300G 2,20L DIVERSAS U"/>
    <s v="NM ESPUMA S.A."/>
    <s v="EX "/>
    <s v="Colchão M.E."/>
    <m/>
    <s v="CONEXÃO MALHAS"/>
    <n v="45124"/>
    <m/>
    <m/>
    <n v="8747.76"/>
    <s v="MT "/>
    <m/>
    <m/>
    <n v="492"/>
    <n v="334.81999999999994"/>
    <m/>
    <m/>
    <m/>
    <m/>
    <m/>
    <m/>
    <m/>
    <m/>
    <m/>
    <m/>
    <s v="NM ESPUMA S.A."/>
    <s v="CONEXAO MALHAS E DESENVOLVIMENTO LTDA"/>
    <n v="17.78"/>
  </r>
  <r>
    <x v="2"/>
    <x v="2"/>
    <s v="COLCHÃO M.E."/>
    <s v="DIRETO"/>
    <x v="23"/>
    <s v="NADA"/>
    <s v="PARAGUAI"/>
    <n v="47415"/>
    <n v="1982"/>
    <s v="2920022 FX ORGANIC CARPE 160G 2,10L DIVERSAS U"/>
    <s v="NM ESPUMA S.A."/>
    <s v="EX "/>
    <s v="Colchão M.E."/>
    <m/>
    <s v="CONEXÃO MALHAS"/>
    <n v="45124"/>
    <m/>
    <m/>
    <n v="5098.32"/>
    <s v="MT "/>
    <m/>
    <m/>
    <n v="438"/>
    <n v="178.95999999999998"/>
    <m/>
    <m/>
    <m/>
    <m/>
    <m/>
    <m/>
    <m/>
    <m/>
    <m/>
    <m/>
    <s v="NM ESPUMA S.A."/>
    <s v="CONEXAO MALHAS E DESENVOLVIMENTO LTDA"/>
    <n v="11.639999999999999"/>
  </r>
  <r>
    <x v="2"/>
    <x v="2"/>
    <s v="COLCHÃO M.E."/>
    <s v="DIRETO"/>
    <x v="23"/>
    <s v="NADA"/>
    <s v="PARAGUAI"/>
    <n v="47415"/>
    <n v="1981"/>
    <s v="2920021 TP ML ORGANIC CARP 260G 2,20L DIVERSAS U"/>
    <s v="NM ESPUMA S.A."/>
    <s v="EX "/>
    <s v="Colchão M.E."/>
    <m/>
    <s v="CONEXÃO MALHAS"/>
    <n v="45124"/>
    <m/>
    <m/>
    <n v="9396"/>
    <s v="MT "/>
    <m/>
    <m/>
    <n v="522"/>
    <n v="327.86"/>
    <m/>
    <m/>
    <m/>
    <m/>
    <m/>
    <m/>
    <m/>
    <m/>
    <m/>
    <m/>
    <s v="NM ESPUMA S.A."/>
    <s v="CONEXAO MALHAS E DESENVOLVIMENTO LTDA"/>
    <n v="18"/>
  </r>
  <r>
    <x v="2"/>
    <x v="2"/>
    <s v="COLCHÃO M.E."/>
    <s v="DIRETO"/>
    <x v="23"/>
    <s v="NADA"/>
    <s v="PARAGUAI"/>
    <n v="47415"/>
    <n v="1986"/>
    <s v="2920024 FX ABSRACT 160G 2,10L DIVERSAS U"/>
    <s v="NM ESPUMA S.A."/>
    <s v="EX "/>
    <s v="Colchão M.E."/>
    <m/>
    <s v="CONEXÃO MALHAS"/>
    <n v="45124"/>
    <m/>
    <m/>
    <n v="4318.08"/>
    <s v="MT "/>
    <m/>
    <m/>
    <n v="519"/>
    <n v="199.13900000000001"/>
    <m/>
    <m/>
    <m/>
    <m/>
    <m/>
    <m/>
    <m/>
    <m/>
    <m/>
    <m/>
    <s v="NM ESPUMA S.A."/>
    <s v="CONEXAO MALHAS E DESENVOLVIMENTO LTDA"/>
    <n v="8.32"/>
  </r>
  <r>
    <x v="2"/>
    <x v="2"/>
    <s v="COLCHÃO M.E."/>
    <s v="DIRETO"/>
    <x v="1"/>
    <s v="NADA"/>
    <s v="URUGUAI"/>
    <n v="47495"/>
    <n v="1225"/>
    <s v="2540012 TAMPO RASCUNHOS (A07820) DIVERSAS U"/>
    <s v="DIVINO COLCHONES"/>
    <s v="EX "/>
    <s v="Colchão M.E."/>
    <m/>
    <s v="CONEXÃO MALHAS"/>
    <n v="45126"/>
    <m/>
    <m/>
    <n v="12099.94"/>
    <s v="MT "/>
    <m/>
    <m/>
    <n v="1084"/>
    <n v="624.29999999999995"/>
    <m/>
    <m/>
    <m/>
    <m/>
    <m/>
    <m/>
    <m/>
    <m/>
    <m/>
    <m/>
    <s v="DIVINO S.A"/>
    <s v="CONEXAO MALHAS E DESENVOLVIMENTO LTDA"/>
    <n v="11.162306273062731"/>
  </r>
  <r>
    <x v="2"/>
    <x v="2"/>
    <s v="COLCHÃO M.E."/>
    <s v="DIRETO"/>
    <x v="1"/>
    <s v="NADA"/>
    <s v="URUGUAI"/>
    <n v="47495"/>
    <n v="2157"/>
    <s v="2540007 - ME TP DARK BRILHA 300G 2,20L DIVERSAS U"/>
    <s v="DIVINO COLCHONES"/>
    <s v="EX "/>
    <s v="Colchão M.E."/>
    <m/>
    <s v="CONEXÃO MALHAS"/>
    <n v="45126"/>
    <m/>
    <m/>
    <n v="18532.73"/>
    <s v="MT "/>
    <m/>
    <m/>
    <n v="1039"/>
    <n v="779.5"/>
    <m/>
    <m/>
    <m/>
    <m/>
    <m/>
    <m/>
    <m/>
    <m/>
    <m/>
    <m/>
    <s v="DIVINO S.A"/>
    <s v="CONEXAO MALHAS E DESENVOLVIMENTO LTDA"/>
    <n v="17.837083734359961"/>
  </r>
  <r>
    <x v="2"/>
    <x v="2"/>
    <s v="COLCHÃO M.E."/>
    <s v="DIRETO"/>
    <x v="10"/>
    <s v="NADA"/>
    <s v="CHILE"/>
    <n v="47716"/>
    <n v="1904"/>
    <s v="2860004-ME TP RETAS DEGRADE 450G 2,20L DIVERSAS U"/>
    <s v="COLCHONES DEL MUNDO"/>
    <s v="EX "/>
    <s v="Colchão M.E."/>
    <m/>
    <s v="DIRETO"/>
    <n v="45138"/>
    <m/>
    <m/>
    <n v="49418.36"/>
    <s v="MT "/>
    <m/>
    <m/>
    <n v="1075"/>
    <n v="976.66"/>
    <m/>
    <m/>
    <m/>
    <m/>
    <m/>
    <m/>
    <m/>
    <m/>
    <m/>
    <m/>
    <s v="COLCHONES DEL MUNDO SPA"/>
    <s v="CARLOS FIDENCIO D AVALOS RUIZ JUNIOR 34496952823"/>
    <n v="45.970567441860467"/>
  </r>
  <r>
    <x v="2"/>
    <x v="2"/>
    <s v="COLCHÃO M.E."/>
    <s v="DIRETO"/>
    <x v="10"/>
    <s v="NADA"/>
    <s v="CHILE"/>
    <n v="47716"/>
    <n v="2002"/>
    <s v="2860010 TP ML BLACK WINDOW 440G 2,20L DIVERSAS U"/>
    <s v="COLCHONES DEL MUNDO"/>
    <s v="EX "/>
    <s v="Colchão M.E."/>
    <m/>
    <s v="DIRETO"/>
    <n v="45138"/>
    <m/>
    <m/>
    <n v="14583.55"/>
    <s v="MT "/>
    <m/>
    <m/>
    <n v="500"/>
    <n v="441.29600000000005"/>
    <m/>
    <m/>
    <m/>
    <m/>
    <m/>
    <m/>
    <m/>
    <m/>
    <m/>
    <m/>
    <s v="COLCHONES DEL MUNDO SPA"/>
    <s v="CARLOS FIDENCIO D AVALOS RUIZ JUNIOR 34496952823"/>
    <n v="29.167099999999998"/>
  </r>
  <r>
    <x v="2"/>
    <x v="2"/>
    <s v="COLCHÃO M.E."/>
    <s v="DIRETO"/>
    <x v="10"/>
    <s v="NADA"/>
    <s v="CHILE"/>
    <n v="47716"/>
    <n v="2032"/>
    <s v="2860005 TP ML NEVOA 360G 2,15L DIVERSAS U"/>
    <s v="COLCHONES DEL MUNDO"/>
    <s v="EX "/>
    <s v="Colchão M.E."/>
    <m/>
    <s v="DIRETO"/>
    <n v="45138"/>
    <m/>
    <m/>
    <n v="12606.22"/>
    <s v="MT "/>
    <m/>
    <m/>
    <n v="544"/>
    <n v="419.76000000000005"/>
    <m/>
    <m/>
    <m/>
    <m/>
    <m/>
    <m/>
    <m/>
    <m/>
    <m/>
    <m/>
    <s v="COLCHONES DEL MUNDO SPA"/>
    <s v="CARLOS FIDENCIO D AVALOS RUIZ JUNIOR 34496952823"/>
    <n v="23.173198529411764"/>
  </r>
  <r>
    <x v="2"/>
    <x v="2"/>
    <s v="COLCHÃO M.E."/>
    <s v="DIRETO"/>
    <x v="10"/>
    <s v="NADA"/>
    <s v="CHILE"/>
    <n v="47716"/>
    <n v="1903"/>
    <s v="2860003-TP ME DECRADE 420G 2,20L DIVERSAS U"/>
    <s v="COLCHONES DEL MUNDO"/>
    <s v="EX "/>
    <s v="Colchão M.E."/>
    <m/>
    <s v="DIRETO"/>
    <n v="45138"/>
    <m/>
    <m/>
    <n v="59398.9"/>
    <s v="MT "/>
    <m/>
    <m/>
    <n v="1656"/>
    <n v="1477.8899999999996"/>
    <m/>
    <m/>
    <m/>
    <m/>
    <m/>
    <m/>
    <m/>
    <m/>
    <m/>
    <m/>
    <s v="COLCHONES DEL MUNDO SPA"/>
    <s v="CARLOS FIDENCIO D AVALOS RUIZ JUNIOR 34496952823"/>
    <n v="35.868900966183574"/>
  </r>
  <r>
    <x v="11"/>
    <x v="2"/>
    <s v="COLCHÃO M.E."/>
    <s v="DIRETO"/>
    <x v="9"/>
    <s v="NADA"/>
    <s v="CHILE"/>
    <n v="47892"/>
    <n v="1422"/>
    <s v="2810005 TP FOLHA 240G 2,20L (1121110) DIVERSAS U"/>
    <s v="FLEX CHILE"/>
    <s v="EX "/>
    <s v="Colchão M.E."/>
    <m/>
    <s v="DIRETO"/>
    <n v="45147"/>
    <m/>
    <m/>
    <n v="22656.799999999999"/>
    <s v="MT "/>
    <n v="240"/>
    <m/>
    <n v="1016"/>
    <n v="530.86"/>
    <m/>
    <m/>
    <m/>
    <m/>
    <m/>
    <m/>
    <m/>
    <m/>
    <m/>
    <m/>
    <s v="FLEX CHILE"/>
    <s v="CARLOS FIDENCIO D AVALOS RUIZ JUNIOR 34496952823"/>
    <n v="22.3"/>
  </r>
  <r>
    <x v="11"/>
    <x v="2"/>
    <s v="COLCHÃO M.E."/>
    <s v="DIRETO"/>
    <x v="9"/>
    <s v="NADA"/>
    <s v="CHILE"/>
    <n v="47892"/>
    <n v="2029"/>
    <s v="2810004 FX BEGE 400G 2,10L (1120818) DIVERSAS U"/>
    <s v="FLEX CHILE"/>
    <s v="EX "/>
    <s v="Colchão M.E."/>
    <m/>
    <s v="DIRETO"/>
    <n v="45147"/>
    <m/>
    <m/>
    <n v="32422"/>
    <s v="MT "/>
    <n v="400"/>
    <m/>
    <n v="1075"/>
    <n v="1105.7"/>
    <m/>
    <m/>
    <m/>
    <m/>
    <m/>
    <m/>
    <m/>
    <m/>
    <m/>
    <m/>
    <s v="FLEX CHILE"/>
    <s v="CARLOS FIDENCIO D AVALOS RUIZ JUNIOR 34496952823"/>
    <n v="30.16"/>
  </r>
  <r>
    <x v="11"/>
    <x v="2"/>
    <s v="COLCHÃO M.E."/>
    <s v="DIRETO"/>
    <x v="9"/>
    <s v="NADA"/>
    <s v="CHILE"/>
    <n v="47892"/>
    <n v="1419"/>
    <s v="2810009 TP MESCLA 180G 2,20L (1122580) DIVERSAS U"/>
    <s v="FLEX CHILE"/>
    <s v="EX "/>
    <s v="Colchão M.E."/>
    <m/>
    <s v="DIRETO"/>
    <n v="45147"/>
    <m/>
    <m/>
    <n v="23408.799999999999"/>
    <s v="MT "/>
    <n v="180"/>
    <m/>
    <n v="2018"/>
    <n v="1937.762999999999"/>
    <m/>
    <m/>
    <m/>
    <m/>
    <m/>
    <m/>
    <m/>
    <m/>
    <m/>
    <m/>
    <s v="FLEX CHILE"/>
    <s v="CARLOS FIDENCIO D AVALOS RUIZ JUNIOR 34496952823"/>
    <n v="11.6"/>
  </r>
  <r>
    <x v="11"/>
    <x v="2"/>
    <s v="COLCHÃO M.E."/>
    <s v="DIRETO"/>
    <x v="9"/>
    <s v="NADA"/>
    <s v="CHILE"/>
    <n v="47892"/>
    <n v="1419"/>
    <s v="2810009 TP MESCLA 180G 2,20L (1122580) DIVERSAS U"/>
    <s v="FLEX CHILE"/>
    <s v="EX "/>
    <s v="Colchão M.E."/>
    <m/>
    <s v="DIRETO"/>
    <n v="45147"/>
    <m/>
    <m/>
    <n v="29081.200000000001"/>
    <s v="MT "/>
    <n v="180"/>
    <m/>
    <n v="2507"/>
    <n v="1937.762999999999"/>
    <m/>
    <m/>
    <m/>
    <m/>
    <m/>
    <m/>
    <m/>
    <m/>
    <m/>
    <m/>
    <s v="FLEX CHILE"/>
    <s v="CARLOS FIDENCIO D AVALOS RUIZ JUNIOR 34496952823"/>
    <n v="11.6"/>
  </r>
  <r>
    <x v="11"/>
    <x v="2"/>
    <s v="COLCHÃO M.E."/>
    <s v="DIRETO"/>
    <x v="1"/>
    <s v="NADA"/>
    <s v="URUGUAI"/>
    <n v="48173"/>
    <n v="1226"/>
    <s v="2540015 TAMPO PONTILHADOS PRETO (A07803) DIVERSAS U"/>
    <s v="DIVINO COLCHONES"/>
    <s v="EX "/>
    <s v="Colchão M.E."/>
    <m/>
    <s v="CONEXÃO MALHAS"/>
    <n v="45160"/>
    <m/>
    <m/>
    <n v="63507.6"/>
    <s v="MT "/>
    <n v="260"/>
    <m/>
    <n v="4071"/>
    <n v="2579.8800000000006"/>
    <m/>
    <m/>
    <m/>
    <m/>
    <m/>
    <m/>
    <m/>
    <m/>
    <m/>
    <m/>
    <s v="DIVINO S.A"/>
    <s v="CONEXAO MALHAS E DESENVOLVIMENTO LTDA"/>
    <n v="15.6"/>
  </r>
  <r>
    <x v="11"/>
    <x v="2"/>
    <s v="COLCHÃO M.E."/>
    <s v="DIRETO"/>
    <x v="1"/>
    <s v="NADA"/>
    <s v="URUGUAI"/>
    <n v="48173"/>
    <n v="2157"/>
    <s v="2540007 - ME TP DARK BRILHA 300G 2,20L DIVERSAS U"/>
    <s v="DIVINO COLCHONES"/>
    <s v="EX "/>
    <s v="Colchão M.E."/>
    <m/>
    <s v="CONEXÃO MALHAS"/>
    <n v="45160"/>
    <m/>
    <m/>
    <n v="12546"/>
    <s v="MT "/>
    <n v="300"/>
    <m/>
    <n v="510"/>
    <n v="347.22"/>
    <m/>
    <m/>
    <m/>
    <m/>
    <m/>
    <m/>
    <m/>
    <m/>
    <m/>
    <m/>
    <s v="DIVINO S.A"/>
    <s v="CONEXAO MALHAS E DESENVOLVIMENTO LTDA"/>
    <n v="24.6"/>
  </r>
  <r>
    <x v="11"/>
    <x v="2"/>
    <s v="COLCHÃO M.E."/>
    <s v="DIRETO"/>
    <x v="1"/>
    <s v="NADA"/>
    <s v="URUGUAI"/>
    <n v="48173"/>
    <n v="1225"/>
    <s v="2540012 TAMPO RASCUNHOS (A07820) DIVERSAS U"/>
    <s v="DIVINO COLCHONES"/>
    <s v="EX "/>
    <s v="Colchão M.E."/>
    <m/>
    <s v="CONEXÃO MALHAS"/>
    <n v="45160"/>
    <m/>
    <m/>
    <n v="106798.67"/>
    <s v="MT "/>
    <n v="240"/>
    <m/>
    <n v="6939.4849999999997"/>
    <n v="4129.12"/>
    <m/>
    <m/>
    <m/>
    <m/>
    <m/>
    <m/>
    <m/>
    <m/>
    <m/>
    <m/>
    <s v="DIVINO S.A"/>
    <s v="CONEXAO MALHAS E DESENVOLVIMENTO LTDA"/>
    <n v="15.389999401972913"/>
  </r>
  <r>
    <x v="11"/>
    <x v="2"/>
    <s v="COLCHÃO M.E."/>
    <s v="DIRETO"/>
    <x v="1"/>
    <s v="NADA"/>
    <s v="URUGUAI"/>
    <n v="48173"/>
    <n v="1236"/>
    <s v="2540005 TAMPO GEOMETRICO (A07370) DIVERSAS U"/>
    <s v="DIVINO COLCHONES"/>
    <s v="EX "/>
    <s v="Colchão M.E."/>
    <m/>
    <s v="CONEXÃO MALHAS"/>
    <n v="45160"/>
    <m/>
    <m/>
    <n v="7079.8"/>
    <s v="MT "/>
    <n v="240"/>
    <m/>
    <n v="389"/>
    <n v="199.56"/>
    <m/>
    <m/>
    <m/>
    <m/>
    <m/>
    <m/>
    <m/>
    <m/>
    <m/>
    <m/>
    <s v="DIVINO S.A"/>
    <s v="CONEXAO MALHAS E DESENVOLVIMENTO LTDA"/>
    <n v="18.2"/>
  </r>
  <r>
    <x v="11"/>
    <x v="2"/>
    <s v="COLCHÃO M.E."/>
    <s v="DIRETO"/>
    <x v="1"/>
    <s v="NADA"/>
    <s v="URUGUAI"/>
    <n v="48173"/>
    <n v="1523"/>
    <s v="32282 - TELA ANTIDESLIZANTE DIVERSAS U"/>
    <s v="DIVINO COLCHONES"/>
    <s v="EX "/>
    <s v="Colchão M.E."/>
    <m/>
    <s v="CONEXÃO MALHAS"/>
    <n v="45160"/>
    <m/>
    <m/>
    <n v="4464"/>
    <s v="MT "/>
    <m/>
    <m/>
    <n v="600"/>
    <n v="119.74"/>
    <m/>
    <m/>
    <m/>
    <m/>
    <m/>
    <m/>
    <m/>
    <m/>
    <m/>
    <m/>
    <s v="DIVINO S.A"/>
    <s v="CONEXAO MALHAS E DESENVOLVIMENTO LTDA"/>
    <n v="7.44"/>
  </r>
  <r>
    <x v="11"/>
    <x v="2"/>
    <s v="COLCHÃO M.E."/>
    <s v="DIRETO"/>
    <x v="1"/>
    <s v="NADA"/>
    <s v="URUGUAI"/>
    <n v="48173"/>
    <n v="1504"/>
    <s v="2540018 TP ML DIV 7806 240G 2,10L DIVERSAS U"/>
    <s v="DIVINO COLCHONES"/>
    <s v="EX "/>
    <s v="Colchão M.E."/>
    <m/>
    <s v="CONEXÃO MALHAS"/>
    <n v="45160"/>
    <m/>
    <m/>
    <n v="74337.64"/>
    <s v="MT "/>
    <n v="240"/>
    <m/>
    <n v="4846"/>
    <n v="2743.2800000000007"/>
    <m/>
    <m/>
    <m/>
    <m/>
    <m/>
    <m/>
    <m/>
    <m/>
    <m/>
    <m/>
    <s v="DIVINO S.A"/>
    <s v="CONEXAO MALHAS E DESENVOLVIMENTO LTDA"/>
    <n v="15.34"/>
  </r>
  <r>
    <x v="11"/>
    <x v="2"/>
    <s v="COLCHÃO M.E."/>
    <s v="DIRETO"/>
    <x v="1"/>
    <s v="NADA"/>
    <s v="URUGUAI"/>
    <n v="48173"/>
    <n v="1506"/>
    <s v="2540017 TP ML A08980 280G 2,10L DIVERSAS U"/>
    <s v="DIVINO COLCHONES"/>
    <s v="EX "/>
    <s v="Colchão M.E."/>
    <m/>
    <s v="CONEXÃO MALHAS"/>
    <n v="45160"/>
    <m/>
    <m/>
    <n v="45791.199999999997"/>
    <s v="MT "/>
    <n v="280"/>
    <m/>
    <n v="2516"/>
    <n v="1614.48"/>
    <m/>
    <m/>
    <m/>
    <m/>
    <m/>
    <m/>
    <m/>
    <m/>
    <m/>
    <m/>
    <s v="DIVINO S.A"/>
    <s v="CONEXAO MALHAS E DESENVOLVIMENTO LTDA"/>
    <n v="18.2"/>
  </r>
  <r>
    <x v="11"/>
    <x v="2"/>
    <s v="COLCHÃO M.E."/>
    <s v="DIRETO"/>
    <x v="1"/>
    <s v="NADA"/>
    <s v="URUGUAI"/>
    <n v="48343"/>
    <n v="1504"/>
    <s v="2540018 TP ML DIV 7806 240G 2,10L DIVERSAS U"/>
    <s v="DIVINO COLCHONES"/>
    <s v="EX "/>
    <s v="Colchão M.E."/>
    <m/>
    <s v="CONEXÃO MALHAS"/>
    <n v="45168"/>
    <m/>
    <m/>
    <n v="2678.57"/>
    <s v="MT "/>
    <n v="240"/>
    <m/>
    <n v="186"/>
    <n v="105.64"/>
    <m/>
    <m/>
    <m/>
    <m/>
    <m/>
    <m/>
    <m/>
    <m/>
    <m/>
    <m/>
    <s v="DIVINO S.A"/>
    <s v="CONEXAO MALHAS E DESENVOLVIMENTO LTDA"/>
    <n v="14.400913978494625"/>
  </r>
  <r>
    <x v="11"/>
    <x v="2"/>
    <s v="COLCHÃO M.E."/>
    <s v="DIRETO"/>
    <x v="1"/>
    <s v="NADA"/>
    <s v="URUGUAI"/>
    <n v="48343"/>
    <n v="1525"/>
    <s v="2540022 TP ML FOLHAS IMAG 320G 2,10 DIVERSAS U"/>
    <s v="DIVINO COLCHONES"/>
    <s v="EX "/>
    <s v="Colchão M.E."/>
    <m/>
    <s v="CONEXÃO MALHAS"/>
    <n v="45168"/>
    <m/>
    <m/>
    <n v="35087.86"/>
    <s v="MT "/>
    <n v="320"/>
    <m/>
    <n v="1913"/>
    <n v="1338.3899999999999"/>
    <m/>
    <m/>
    <m/>
    <m/>
    <m/>
    <m/>
    <m/>
    <m/>
    <m/>
    <m/>
    <s v="DIVINO S.A"/>
    <s v="CONEXAO MALHAS E DESENVOLVIMENTO LTDA"/>
    <n v="18.341798222686879"/>
  </r>
  <r>
    <x v="11"/>
    <x v="2"/>
    <s v="COLCHÃO M.E."/>
    <s v="DIRETO"/>
    <x v="1"/>
    <s v="NADA"/>
    <s v="URUGUAI"/>
    <n v="48343"/>
    <n v="2339"/>
    <s v="436882 CETIM 76 CONEXAO 51 DIVERSAS U"/>
    <s v="DIVINO COLCHONES"/>
    <s v="EX "/>
    <s v="Colchão M.E."/>
    <m/>
    <s v="CONEXÃO MALHAS"/>
    <n v="45168"/>
    <m/>
    <m/>
    <n v="10946.7"/>
    <s v="MT "/>
    <m/>
    <m/>
    <n v="1500"/>
    <n v="313.5"/>
    <m/>
    <m/>
    <m/>
    <m/>
    <m/>
    <m/>
    <m/>
    <m/>
    <m/>
    <m/>
    <s v="DIVINO S.A"/>
    <s v="CONEXAO MALHAS E DESENVOLVIMENTO LTDA"/>
    <n v="7.2978000000000005"/>
  </r>
  <r>
    <x v="11"/>
    <x v="2"/>
    <s v="COLCHÃO M.E."/>
    <s v="DIRETO"/>
    <x v="1"/>
    <s v="NADA"/>
    <s v="URUGUAI"/>
    <n v="48343"/>
    <n v="1236"/>
    <s v="2540005 TAMPO GEOMETRICO (A07370) DIVERSAS U"/>
    <s v="DIVINO COLCHONES"/>
    <s v="EX "/>
    <s v="Colchão M.E."/>
    <m/>
    <s v="CONEXÃO MALHAS"/>
    <n v="45168"/>
    <m/>
    <m/>
    <n v="44528.74"/>
    <s v="MT "/>
    <n v="240"/>
    <m/>
    <n v="2615"/>
    <n v="1398.96"/>
    <m/>
    <m/>
    <m/>
    <m/>
    <m/>
    <m/>
    <m/>
    <m/>
    <m/>
    <m/>
    <s v="DIVINO S.A"/>
    <s v="CONEXAO MALHAS E DESENVOLVIMENTO LTDA"/>
    <n v="17.028198852772466"/>
  </r>
  <r>
    <x v="3"/>
    <x v="2"/>
    <s v="COLCHÃO M.E."/>
    <s v="DIRETO"/>
    <x v="16"/>
    <s v="NADA"/>
    <s v="BOLIVIA"/>
    <n v="48652"/>
    <n v="2208"/>
    <s v="3370007 BAMBUZINHO DIVERSAS U"/>
    <s v="DAVID MORENO VISCARR"/>
    <s v="EX "/>
    <s v="Colchão M.E."/>
    <m/>
    <s v="CONEXÃO MALHAS"/>
    <n v="45187"/>
    <m/>
    <m/>
    <n v="9608.23"/>
    <s v="MT "/>
    <m/>
    <m/>
    <n v="1716"/>
    <n v="343.2"/>
    <m/>
    <m/>
    <m/>
    <m/>
    <m/>
    <m/>
    <m/>
    <m/>
    <m/>
    <m/>
    <s v="DAVID MORENO VISCARRA"/>
    <s v="CARLOS FIDENCIO D AVALOS RUIZ JUNIOR 34496952823"/>
    <n v="5.5992016317016313"/>
  </r>
  <r>
    <x v="3"/>
    <x v="2"/>
    <s v="COLCHÃO M.E."/>
    <s v="DIRETO"/>
    <x v="16"/>
    <s v="NADA"/>
    <s v="BOLIVIA"/>
    <n v="48652"/>
    <n v="2210"/>
    <s v="3370009 TP ML BOOK 180G 2,10L DIVERSAS U"/>
    <s v="DAVID MORENO VISCARR"/>
    <s v="EX "/>
    <s v="Colchão M.E."/>
    <m/>
    <s v="CONEXÃO MALHAS"/>
    <n v="45187"/>
    <m/>
    <m/>
    <n v="16781.13"/>
    <s v="MT "/>
    <n v="180"/>
    <m/>
    <n v="1814"/>
    <n v="772.29000000000019"/>
    <m/>
    <m/>
    <m/>
    <m/>
    <m/>
    <m/>
    <m/>
    <m/>
    <m/>
    <m/>
    <s v="DAVID MORENO VISCARRA"/>
    <s v="CARLOS FIDENCIO D AVALOS RUIZ JUNIOR 34496952823"/>
    <n v="9.2508985667034178"/>
  </r>
  <r>
    <x v="3"/>
    <x v="2"/>
    <s v="COLCHÃO M.E."/>
    <s v="DIRETO"/>
    <x v="16"/>
    <s v="NADA"/>
    <s v="BOLIVIA"/>
    <n v="48652"/>
    <n v="2207"/>
    <s v="3370006 TP ML B W 200G 2,10L DIVERSAS U"/>
    <s v="DAVID MORENO VISCARR"/>
    <s v="EX "/>
    <s v="Colchão M.E."/>
    <m/>
    <s v="CONEXÃO MALHAS"/>
    <n v="45187"/>
    <m/>
    <m/>
    <n v="8965.48"/>
    <s v="MT "/>
    <n v="200"/>
    <m/>
    <n v="1188"/>
    <n v="510.98"/>
    <m/>
    <m/>
    <m/>
    <m/>
    <m/>
    <m/>
    <m/>
    <m/>
    <m/>
    <m/>
    <s v="DAVID MORENO VISCARRA"/>
    <s v="CARLOS FIDENCIO D AVALOS RUIZ JUNIOR 34496952823"/>
    <n v="7.5467003367003365"/>
  </r>
  <r>
    <x v="3"/>
    <x v="2"/>
    <s v="COLCHÃO M.E."/>
    <s v="DIRETO"/>
    <x v="16"/>
    <s v="NADA"/>
    <s v="BOLIVIA"/>
    <n v="48652"/>
    <n v="2202"/>
    <s v="3370001 TP SIM BLACK 300G 2,20L DIVERSAS U"/>
    <s v="DAVID MORENO VISCARR"/>
    <s v="EX "/>
    <s v="Colchão M.E."/>
    <m/>
    <s v="CONEXÃO MALHAS"/>
    <n v="45187"/>
    <m/>
    <m/>
    <n v="9535.2199999999993"/>
    <s v="MT "/>
    <n v="300"/>
    <m/>
    <n v="576"/>
    <n v="434.68"/>
    <m/>
    <m/>
    <m/>
    <m/>
    <m/>
    <m/>
    <m/>
    <m/>
    <m/>
    <m/>
    <s v="DAVID MORENO VISCARRA"/>
    <s v="CARLOS FIDENCIO D AVALOS RUIZ JUNIOR 34496952823"/>
    <n v="16.554201388888888"/>
  </r>
  <r>
    <x v="3"/>
    <x v="2"/>
    <s v="COLCHÃO M.E."/>
    <s v="DIRETO"/>
    <x v="16"/>
    <s v="NADA"/>
    <s v="BOLIVIA"/>
    <n v="48652"/>
    <n v="2209"/>
    <s v="3370008 TP ML CZ CARIOCA 200G 2,10L DIVERSAS U"/>
    <s v="DAVID MORENO VISCARR"/>
    <s v="EX "/>
    <s v="Colchão M.E."/>
    <m/>
    <s v="CONEXÃO MALHAS"/>
    <n v="45187"/>
    <m/>
    <m/>
    <n v="11165.84"/>
    <s v="MT "/>
    <n v="200"/>
    <m/>
    <n v="1207"/>
    <n v="524.68000000000006"/>
    <m/>
    <m/>
    <m/>
    <m/>
    <m/>
    <m/>
    <m/>
    <m/>
    <m/>
    <m/>
    <s v="DAVID MORENO VISCARRA"/>
    <s v="CARLOS FIDENCIO D AVALOS RUIZ JUNIOR 34496952823"/>
    <n v="9.2509030654515332"/>
  </r>
  <r>
    <x v="3"/>
    <x v="2"/>
    <s v="COLCHÃO M.E."/>
    <s v="DIRETO"/>
    <x v="16"/>
    <s v="NADA"/>
    <s v="BOLIVIA"/>
    <n v="48652"/>
    <n v="2205"/>
    <s v="3370004 TP BORDO 200G 2,20L DIVERSAS U"/>
    <s v="DAVID MORENO VISCARR"/>
    <s v="EX "/>
    <s v="Colchão M.E."/>
    <m/>
    <s v="CONEXÃO MALHAS"/>
    <n v="45187"/>
    <m/>
    <m/>
    <n v="13730.23"/>
    <s v="MT "/>
    <n v="200"/>
    <m/>
    <n v="1175"/>
    <n v="608.41999999999996"/>
    <m/>
    <m/>
    <m/>
    <m/>
    <m/>
    <m/>
    <m/>
    <m/>
    <m/>
    <m/>
    <s v="DAVID MORENO VISCARRA"/>
    <s v="CARLOS FIDENCIO D AVALOS RUIZ JUNIOR 34496952823"/>
    <n v="11.685302127659574"/>
  </r>
  <r>
    <x v="3"/>
    <x v="2"/>
    <s v="COLCHÃO M.E."/>
    <s v="DIRETO"/>
    <x v="16"/>
    <s v="NADA"/>
    <s v="BOLIVIA"/>
    <n v="48652"/>
    <n v="2203"/>
    <s v="3370002 TP ML CZ P 280G 2,20L DIVERSAS U"/>
    <s v="DAVID MORENO VISCARR"/>
    <s v="EX "/>
    <s v="Colchão M.E."/>
    <m/>
    <s v="CONEXÃO MALHAS"/>
    <n v="45187"/>
    <m/>
    <m/>
    <n v="17273.84"/>
    <s v="MT "/>
    <n v="280"/>
    <m/>
    <n v="1095"/>
    <n v="720.25999999999976"/>
    <m/>
    <m/>
    <m/>
    <m/>
    <m/>
    <m/>
    <m/>
    <m/>
    <m/>
    <m/>
    <s v="DAVID MORENO VISCARRA"/>
    <s v="CARLOS FIDENCIO D AVALOS RUIZ JUNIOR 34496952823"/>
    <n v="15.775196347031963"/>
  </r>
  <r>
    <x v="3"/>
    <x v="2"/>
    <s v="COLCHÃO M.E."/>
    <s v="DIRETO"/>
    <x v="16"/>
    <s v="NADA"/>
    <s v="BOLIVIA"/>
    <n v="48652"/>
    <n v="2206"/>
    <s v="3370005 TP ML BOL 180G 2,20L DIVERSAS U"/>
    <s v="DAVID MORENO VISCARR"/>
    <s v="EX "/>
    <s v="Colchão M.E."/>
    <m/>
    <s v="CONEXÃO MALHAS"/>
    <n v="45187"/>
    <m/>
    <m/>
    <n v="25220.720000000001"/>
    <s v="MT "/>
    <n v="180"/>
    <m/>
    <n v="2800"/>
    <n v="1205.0499999999997"/>
    <m/>
    <m/>
    <m/>
    <m/>
    <m/>
    <m/>
    <m/>
    <m/>
    <m/>
    <m/>
    <s v="DAVID MORENO VISCARRA"/>
    <s v="CARLOS FIDENCIO D AVALOS RUIZ JUNIOR 34496952823"/>
    <n v="9.0074000000000005"/>
  </r>
  <r>
    <x v="3"/>
    <x v="2"/>
    <s v="COLCHÃO M.E."/>
    <s v="DIRETO"/>
    <x v="16"/>
    <s v="NADA"/>
    <s v="BOLIVIA"/>
    <n v="48652"/>
    <n v="2204"/>
    <s v="3370003 FX BLACK 200G 2,10L DIVERSAS U"/>
    <s v="DAVID MORENO VISCARR"/>
    <s v="EX "/>
    <s v="Colchão M.E."/>
    <m/>
    <s v="CONEXÃO MALHAS"/>
    <n v="45187"/>
    <m/>
    <m/>
    <n v="11761.76"/>
    <s v="MT "/>
    <n v="200"/>
    <m/>
    <n v="1421"/>
    <n v="593.3599999999999"/>
    <m/>
    <m/>
    <m/>
    <m/>
    <m/>
    <m/>
    <m/>
    <m/>
    <m/>
    <m/>
    <s v="DAVID MORENO VISCARRA"/>
    <s v="CARLOS FIDENCIO D AVALOS RUIZ JUNIOR 34496952823"/>
    <n v="8.2771006333567918"/>
  </r>
  <r>
    <x v="3"/>
    <x v="2"/>
    <s v="COLCHÃO M.E."/>
    <s v="DIRETO"/>
    <x v="9"/>
    <s v="NADA"/>
    <s v="CHILE"/>
    <n v="48969"/>
    <n v="1419"/>
    <s v="2810009 TP MESCLA 180G 2,20L (1122580) DIVERSAS U"/>
    <s v="FLEX CHILE"/>
    <s v="EX "/>
    <s v="Colchão M.E."/>
    <m/>
    <s v="DIRETO"/>
    <n v="45199"/>
    <m/>
    <m/>
    <n v="47682.35"/>
    <s v="MT "/>
    <n v="180"/>
    <m/>
    <n v="4232"/>
    <n v="1850.2300000000007"/>
    <m/>
    <m/>
    <m/>
    <m/>
    <m/>
    <m/>
    <m/>
    <m/>
    <m/>
    <m/>
    <s v="FLEX CHILE"/>
    <s v="CARLOS FIDENCIO D AVALOS RUIZ JUNIOR 34496952823"/>
    <n v="11.267095935727788"/>
  </r>
  <r>
    <x v="3"/>
    <x v="2"/>
    <s v="COLCHÃO M.E."/>
    <s v="DIRETO"/>
    <x v="9"/>
    <s v="NADA"/>
    <s v="CHILE"/>
    <n v="48969"/>
    <n v="1422"/>
    <s v="2810005 TP FOLHA 240G 2,20L (1121110) DIVERSAS U"/>
    <s v="FLEX CHILE"/>
    <s v="EX "/>
    <s v="Colchão M.E."/>
    <m/>
    <s v="DIRETO"/>
    <n v="45199"/>
    <m/>
    <m/>
    <n v="40121.89"/>
    <s v="MT "/>
    <n v="240"/>
    <m/>
    <n v="1383"/>
    <n v="760.34"/>
    <m/>
    <m/>
    <m/>
    <m/>
    <m/>
    <m/>
    <m/>
    <m/>
    <m/>
    <m/>
    <s v="FLEX CHILE"/>
    <s v="CARLOS FIDENCIO D AVALOS RUIZ JUNIOR 34496952823"/>
    <n v="29.010766449746928"/>
  </r>
  <r>
    <x v="3"/>
    <x v="2"/>
    <s v="COLCHÃO M.E."/>
    <s v="DIRETO"/>
    <x v="1"/>
    <s v="NADA"/>
    <s v="URUGUAI"/>
    <n v="48986"/>
    <n v="1506"/>
    <s v="2540017 TP ML A08980 280G 2,10L DIVERSAS U"/>
    <s v="DIVINO COLCHONES"/>
    <s v="EX "/>
    <s v="Colchão M.E."/>
    <m/>
    <s v="CONEXÃO MALHAS"/>
    <n v="45199"/>
    <m/>
    <m/>
    <n v="45989.79"/>
    <s v="MT "/>
    <n v="280"/>
    <m/>
    <n v="2624"/>
    <n v="1695.8360000000002"/>
    <m/>
    <m/>
    <m/>
    <m/>
    <m/>
    <m/>
    <m/>
    <m/>
    <m/>
    <m/>
    <s v="DIVINO S.A"/>
    <s v="CONEXAO MALHAS E DESENVOLVIMENTO LTDA"/>
    <n v="17.526596798780488"/>
  </r>
  <r>
    <x v="3"/>
    <x v="2"/>
    <s v="COLCHÃO M.E."/>
    <s v="DIRETO"/>
    <x v="1"/>
    <s v="NADA"/>
    <s v="URUGUAI"/>
    <n v="48986"/>
    <n v="1523"/>
    <s v="32282 - TELA ANTIDESLIZANTE DIVERSAS U"/>
    <s v="DIVINO COLCHONES"/>
    <s v="EX "/>
    <s v="Colchão M.E."/>
    <m/>
    <s v="CONEXÃO MALHAS"/>
    <n v="45199"/>
    <m/>
    <m/>
    <n v="29096.16"/>
    <s v="MT "/>
    <m/>
    <m/>
    <n v="4035"/>
    <n v="756.70999999999992"/>
    <m/>
    <m/>
    <m/>
    <m/>
    <m/>
    <m/>
    <m/>
    <m/>
    <m/>
    <m/>
    <s v="DIVINO S.A"/>
    <s v="CONEXAO MALHAS E DESENVOLVIMENTO LTDA"/>
    <n v="7.2109442379182154"/>
  </r>
  <r>
    <x v="3"/>
    <x v="2"/>
    <s v="COLCHÃO M.E."/>
    <s v="DIRETO"/>
    <x v="1"/>
    <s v="NADA"/>
    <s v="URUGUAI"/>
    <n v="48986"/>
    <n v="2157"/>
    <s v="2540007 - ME TP DARK BRILHA 300G 2,20L DIVERSAS U"/>
    <s v="DIVINO COLCHONES"/>
    <s v="EX "/>
    <s v="Colchão M.E."/>
    <m/>
    <s v="CONEXÃO MALHAS"/>
    <n v="45199"/>
    <m/>
    <m/>
    <n v="40147.67"/>
    <s v="MT "/>
    <n v="300"/>
    <m/>
    <n v="1695"/>
    <n v="1202.02"/>
    <m/>
    <m/>
    <m/>
    <m/>
    <m/>
    <m/>
    <m/>
    <m/>
    <m/>
    <m/>
    <s v="DIVINO S.A"/>
    <s v="CONEXAO MALHAS E DESENVOLVIMENTO LTDA"/>
    <n v="23.68594100294985"/>
  </r>
  <r>
    <x v="3"/>
    <x v="2"/>
    <s v="COLCHÃO M.E."/>
    <s v="DIRETO"/>
    <x v="1"/>
    <s v="NADA"/>
    <s v="URUGUAI"/>
    <n v="48986"/>
    <n v="1225"/>
    <s v="2540012 TAMPO RASCUNHOS (A07820) DIVERSAS U"/>
    <s v="DIVINO COLCHONES"/>
    <s v="EX "/>
    <s v="Colchão M.E."/>
    <m/>
    <s v="CONEXÃO MALHAS"/>
    <n v="45199"/>
    <m/>
    <m/>
    <n v="82338.95"/>
    <s v="MT "/>
    <n v="240"/>
    <m/>
    <n v="5555"/>
    <n v="3117.36"/>
    <m/>
    <m/>
    <m/>
    <m/>
    <m/>
    <m/>
    <m/>
    <m/>
    <m/>
    <m/>
    <s v="DIVINO S.A"/>
    <s v="CONEXAO MALHAS E DESENVOLVIMENTO LTDA"/>
    <n v="14.822493249324932"/>
  </r>
  <r>
    <x v="3"/>
    <x v="2"/>
    <s v="COLCHÃO M.E."/>
    <s v="DIRETO"/>
    <x v="1"/>
    <s v="NADA"/>
    <s v="URUGUAI"/>
    <n v="48986"/>
    <n v="1226"/>
    <s v="2540015 TAMPO PONTILHADOS PRETO (A07803) DIVERSAS U"/>
    <s v="DIVINO COLCHONES"/>
    <s v="EX "/>
    <s v="Colchão M.E."/>
    <m/>
    <s v="CONEXÃO MALHAS"/>
    <n v="45199"/>
    <m/>
    <m/>
    <n v="67407.289999999994"/>
    <s v="MT "/>
    <n v="260"/>
    <m/>
    <n v="4487"/>
    <n v="2716.2919999999995"/>
    <m/>
    <m/>
    <m/>
    <m/>
    <m/>
    <m/>
    <m/>
    <m/>
    <m/>
    <m/>
    <s v="DIVINO S.A"/>
    <s v="CONEXAO MALHAS E DESENVOLVIMENTO LTDA"/>
    <n v="15.022796969021616"/>
  </r>
  <r>
    <x v="3"/>
    <x v="2"/>
    <s v="COLCHÃO M.E."/>
    <s v="DIRETO"/>
    <x v="1"/>
    <s v="NADA"/>
    <s v="URUGUAI"/>
    <n v="48986"/>
    <n v="2053"/>
    <s v="2540025 TP ML 0069001 - 300G 2,20L CONTE DIVERSAS U"/>
    <s v="DIVINO COLCHONES"/>
    <s v="EX "/>
    <s v="Colchão M.E."/>
    <m/>
    <s v="CONEXÃO MALHAS"/>
    <n v="45199"/>
    <m/>
    <m/>
    <n v="23972.38"/>
    <s v="MT "/>
    <n v="300"/>
    <m/>
    <n v="1408"/>
    <n v="931.56000000000006"/>
    <m/>
    <m/>
    <m/>
    <m/>
    <m/>
    <m/>
    <m/>
    <m/>
    <m/>
    <m/>
    <s v="DIVINO S.A"/>
    <s v="CONEXAO MALHAS E DESENVOLVIMENTO LTDA"/>
    <n v="17.02583806818182"/>
  </r>
  <r>
    <x v="3"/>
    <x v="2"/>
    <s v="COLCHÃO M.E."/>
    <s v="DIRETO"/>
    <x v="1"/>
    <s v="NADA"/>
    <s v="URUGUAI"/>
    <n v="48986"/>
    <n v="1236"/>
    <s v="2540005 TAMPO GEOMETRICO (A07370) DIVERSAS U"/>
    <s v="DIVINO COLCHONES"/>
    <s v="EX "/>
    <s v="Colchão M.E."/>
    <m/>
    <s v="CONEXÃO MALHAS"/>
    <n v="45199"/>
    <m/>
    <m/>
    <n v="50932.29"/>
    <s v="MT "/>
    <n v="240"/>
    <m/>
    <n v="2906"/>
    <n v="1646.3999999999999"/>
    <m/>
    <m/>
    <m/>
    <m/>
    <m/>
    <m/>
    <m/>
    <m/>
    <m/>
    <m/>
    <s v="DIVINO S.A"/>
    <s v="CONEXAO MALHAS E DESENVOLVIMENTO LTDA"/>
    <n v="17.526596696490021"/>
  </r>
  <r>
    <x v="3"/>
    <x v="2"/>
    <s v="COLCHÃO M.E."/>
    <s v="DIRETO"/>
    <x v="1"/>
    <s v="NADA"/>
    <s v="URUGUAI"/>
    <n v="48986"/>
    <n v="1525"/>
    <s v="2540022 TP ML FOLHAS IMAG 320G 2,10 DIVERSAS U"/>
    <s v="DIVINO COLCHONES"/>
    <s v="EX "/>
    <s v="Colchão M.E."/>
    <m/>
    <s v="CONEXÃO MALHAS"/>
    <n v="45199"/>
    <m/>
    <m/>
    <n v="31810.52"/>
    <s v="MT "/>
    <n v="320"/>
    <m/>
    <n v="1685"/>
    <n v="1171.3399999999997"/>
    <m/>
    <m/>
    <m/>
    <m/>
    <m/>
    <m/>
    <m/>
    <m/>
    <m/>
    <m/>
    <s v="DIVINO S.A"/>
    <s v="CONEXAO MALHAS E DESENVOLVIMENTO LTDA"/>
    <n v="18.878646884272996"/>
  </r>
  <r>
    <x v="3"/>
    <x v="2"/>
    <s v="COLCHÃO M.E."/>
    <s v="DIRETO"/>
    <x v="22"/>
    <s v="NADA"/>
    <s v="AMERICA CENTRAL E CARIBE"/>
    <n v="48987"/>
    <n v="1706"/>
    <s v="SEGUNDAQUALIDADE DIVERSAS U"/>
    <s v="RMD RECYCLING"/>
    <s v="EX "/>
    <s v="Colchão M.E."/>
    <m/>
    <s v="DIRETO"/>
    <n v="45199"/>
    <m/>
    <m/>
    <n v="148882.23999999999"/>
    <s v="MT "/>
    <m/>
    <m/>
    <n v="22024"/>
    <n v="11291"/>
    <m/>
    <m/>
    <m/>
    <m/>
    <m/>
    <m/>
    <m/>
    <m/>
    <m/>
    <m/>
    <s v="RMD RECYCLING 753 LLC"/>
    <s v="CARLOS FIDENCIO D AVALOS RUIZ JUNIOR 34496952823"/>
    <n v="6.76"/>
  </r>
  <r>
    <x v="4"/>
    <x v="2"/>
    <s v="COLCHÃO M.E."/>
    <s v="DIRETO"/>
    <x v="1"/>
    <s v="NADA"/>
    <s v="URUGUAI"/>
    <n v="49095"/>
    <n v="1225"/>
    <s v="2540012 TAMPO RASCUNHOS (A07820) DIVERSAS U"/>
    <s v="DIVINO COLCHONES"/>
    <s v="EX "/>
    <s v="Colchão M.E."/>
    <m/>
    <s v="CONEXÃO MALHAS"/>
    <n v="45205"/>
    <m/>
    <m/>
    <n v="9213.77"/>
    <s v="MT "/>
    <n v="240"/>
    <m/>
    <n v="602"/>
    <n v="342.5"/>
    <m/>
    <m/>
    <m/>
    <m/>
    <m/>
    <m/>
    <m/>
    <m/>
    <m/>
    <m/>
    <s v="DIVINO S.A"/>
    <s v="CONEXAO MALHAS E DESENVOLVIMENTO LTDA"/>
    <n v="15.305265780730897"/>
  </r>
  <r>
    <x v="4"/>
    <x v="2"/>
    <s v="COLCHÃO M.E."/>
    <s v="DIRETO"/>
    <x v="1"/>
    <s v="NADA"/>
    <s v="URUGUAI"/>
    <n v="49095"/>
    <n v="1525"/>
    <s v="2540022 TP ML FOLHAS IMAG 320G 2,10 DIVERSAS U"/>
    <s v="DIVINO COLCHONES"/>
    <s v="EX "/>
    <s v="Colchão M.E."/>
    <m/>
    <s v="CONEXÃO MALHAS"/>
    <n v="45205"/>
    <m/>
    <m/>
    <n v="1793.41"/>
    <s v="MT "/>
    <n v="320"/>
    <m/>
    <n v="92"/>
    <n v="67.36"/>
    <m/>
    <m/>
    <m/>
    <m/>
    <m/>
    <m/>
    <m/>
    <m/>
    <m/>
    <m/>
    <s v="DIVINO S.A"/>
    <s v="CONEXAO MALHAS E DESENVOLVIMENTO LTDA"/>
    <n v="19.493586956521739"/>
  </r>
  <r>
    <x v="4"/>
    <x v="2"/>
    <s v="COLCHÃO M.E."/>
    <s v="DIRETO"/>
    <x v="1"/>
    <s v="NADA"/>
    <s v="URUGUAI"/>
    <n v="49095"/>
    <n v="1524"/>
    <s v="1922 - TELA POL GALHOS 3 V02 DIVERSAS U"/>
    <s v="DIVINO COLCHONES"/>
    <s v="EX "/>
    <s v="Colchão M.E."/>
    <m/>
    <s v="CONEXÃO MALHAS"/>
    <n v="45205"/>
    <m/>
    <m/>
    <n v="24413.98"/>
    <s v="MT "/>
    <m/>
    <m/>
    <n v="2951"/>
    <n v="593.15100000000007"/>
    <m/>
    <m/>
    <m/>
    <m/>
    <m/>
    <m/>
    <m/>
    <m/>
    <m/>
    <m/>
    <s v="DIVINO S.A"/>
    <s v="CONEXAO MALHAS E DESENVOLVIMENTO LTDA"/>
    <n v="8.2731209759403583"/>
  </r>
  <r>
    <x v="5"/>
    <x v="2"/>
    <s v="COLCHÃO M.E."/>
    <s v="DIRETO"/>
    <x v="9"/>
    <s v="NADA"/>
    <s v="CHILE"/>
    <n v="49837"/>
    <n v="1419"/>
    <s v="2810009 TP MESCLA 180G 2,20L (1122580) DIVERSAS U"/>
    <s v="FLEX CHILE"/>
    <s v="EX "/>
    <s v="Colchão M.E."/>
    <m/>
    <s v="DIRETO"/>
    <n v="45240"/>
    <m/>
    <m/>
    <n v="71330.899999999994"/>
    <s v="MT "/>
    <n v="180"/>
    <m/>
    <n v="6469"/>
    <m/>
    <m/>
    <m/>
    <m/>
    <m/>
    <m/>
    <m/>
    <m/>
    <m/>
    <m/>
    <m/>
    <m/>
    <m/>
    <n v="11.026572886072035"/>
  </r>
  <r>
    <x v="5"/>
    <x v="2"/>
    <s v="COLCHÃO M.E."/>
    <s v="DIRETO"/>
    <x v="9"/>
    <s v="NADA"/>
    <s v="CHILE"/>
    <n v="49837"/>
    <n v="1422"/>
    <s v="2810005 TP FOLHA 240G 2,20L (1121110) DIVERSAS U"/>
    <s v="FLEX CHILE"/>
    <s v="EX "/>
    <s v="Colchão M.E."/>
    <m/>
    <s v="DIRETO"/>
    <n v="45240"/>
    <m/>
    <m/>
    <n v="8709.7199999999993"/>
    <s v="MT "/>
    <n v="240"/>
    <m/>
    <n v="628"/>
    <m/>
    <m/>
    <m/>
    <m/>
    <m/>
    <m/>
    <m/>
    <m/>
    <m/>
    <m/>
    <m/>
    <m/>
    <m/>
    <n v="13.868980891719744"/>
  </r>
  <r>
    <x v="5"/>
    <x v="2"/>
    <s v="COLCHÃO M.E."/>
    <s v="DIRETO"/>
    <x v="22"/>
    <s v="NADA"/>
    <s v="AMERICA CENTRAL E CARIBE"/>
    <n v="50132"/>
    <n v="1706"/>
    <s v="SEGUNDAQUALIDADE DIVERSAS U"/>
    <s v="RMD RECYCLING"/>
    <s v="EX "/>
    <s v="Colchão M.E."/>
    <m/>
    <s v="DIRETO"/>
    <n v="45254"/>
    <m/>
    <m/>
    <n v="81092.77"/>
    <s v="MT "/>
    <m/>
    <m/>
    <n v="12339"/>
    <m/>
    <m/>
    <m/>
    <m/>
    <m/>
    <m/>
    <m/>
    <m/>
    <m/>
    <m/>
    <m/>
    <m/>
    <m/>
    <n v="6.5720698597941487"/>
  </r>
  <r>
    <x v="5"/>
    <x v="2"/>
    <s v="COLCHÃO M.E."/>
    <s v="DIRETO"/>
    <x v="22"/>
    <s v="NADA"/>
    <s v="AMERICA CENTRAL E CARIBE"/>
    <n v="50132"/>
    <n v="2047"/>
    <s v="FITIM CINZA DIVERSAS U"/>
    <s v="RMD RECYCLING"/>
    <s v="EX "/>
    <s v="Colchão M.E."/>
    <m/>
    <s v="DIRETO"/>
    <n v="45254"/>
    <m/>
    <m/>
    <n v="1601.64"/>
    <s v="MT "/>
    <m/>
    <m/>
    <n v="3290"/>
    <m/>
    <m/>
    <m/>
    <m/>
    <m/>
    <m/>
    <m/>
    <m/>
    <m/>
    <m/>
    <m/>
    <m/>
    <m/>
    <n v="0.48682066869300916"/>
  </r>
  <r>
    <x v="5"/>
    <x v="2"/>
    <s v="COLCHÃO M.E."/>
    <s v="DIRETO"/>
    <x v="22"/>
    <s v="NADA"/>
    <s v="AMERICA CENTRAL E CARIBE"/>
    <n v="50132"/>
    <n v="2479"/>
    <s v="FITIM BCO DOURADO DIVERSAS U"/>
    <s v="RMD RECYCLING"/>
    <s v="EX "/>
    <s v="Colchão M.E."/>
    <m/>
    <s v="DIRETO"/>
    <n v="45254"/>
    <m/>
    <m/>
    <n v="2934.55"/>
    <s v="MT "/>
    <m/>
    <m/>
    <n v="6028"/>
    <m/>
    <m/>
    <m/>
    <m/>
    <m/>
    <m/>
    <m/>
    <m/>
    <m/>
    <m/>
    <m/>
    <m/>
    <m/>
    <n v="0.48681984074319845"/>
  </r>
  <r>
    <x v="5"/>
    <x v="2"/>
    <s v="COLCHÃO M.E."/>
    <s v="DIRETO"/>
    <x v="22"/>
    <s v="NADA"/>
    <s v="AMERICA CENTRAL E CARIBE"/>
    <n v="50132"/>
    <n v="2480"/>
    <s v="FITIM CARAMELO DIVERSAS U"/>
    <s v="RMD RECYCLING"/>
    <s v="EX "/>
    <s v="Colchão M.E."/>
    <m/>
    <s v="DIRETO"/>
    <n v="45254"/>
    <m/>
    <m/>
    <n v="1470.2"/>
    <s v="MT "/>
    <m/>
    <m/>
    <n v="3020"/>
    <m/>
    <m/>
    <m/>
    <m/>
    <m/>
    <m/>
    <m/>
    <m/>
    <m/>
    <m/>
    <m/>
    <m/>
    <m/>
    <n v="0.48682119205298013"/>
  </r>
  <r>
    <x v="5"/>
    <x v="2"/>
    <s v="COLCHÃO M.E."/>
    <s v="DIRETO"/>
    <x v="22"/>
    <s v="NADA"/>
    <s v="AMERICA CENTRAL E CARIBE"/>
    <n v="50132"/>
    <n v="2481"/>
    <s v="FITIM BRANCO DIVERSAS U"/>
    <s v="RMD RECYCLING"/>
    <s v="EX "/>
    <s v="Colchão M.E."/>
    <m/>
    <s v="DIRETO"/>
    <n v="45254"/>
    <m/>
    <m/>
    <n v="1662.49"/>
    <s v="MT "/>
    <m/>
    <m/>
    <n v="3415"/>
    <m/>
    <m/>
    <m/>
    <m/>
    <m/>
    <m/>
    <m/>
    <m/>
    <m/>
    <m/>
    <m/>
    <m/>
    <m/>
    <n v="0.48681991215226939"/>
  </r>
  <r>
    <x v="5"/>
    <x v="2"/>
    <s v="COLCHÃO M.E."/>
    <s v="DIRETO"/>
    <x v="22"/>
    <s v="NADA"/>
    <s v="AMERICA CENTRAL E CARIBE"/>
    <n v="50133"/>
    <n v="1706"/>
    <s v="SEGUNDAQUALIDADE DIVERSAS U"/>
    <s v="RMD RECYCLING"/>
    <s v="EX "/>
    <s v="Colchão M.E."/>
    <m/>
    <s v="DIRETO"/>
    <n v="45254"/>
    <m/>
    <m/>
    <n v="63282.46"/>
    <s v="MT "/>
    <m/>
    <m/>
    <n v="9629"/>
    <m/>
    <m/>
    <m/>
    <m/>
    <m/>
    <m/>
    <m/>
    <m/>
    <m/>
    <m/>
    <m/>
    <m/>
    <m/>
    <n v="6.5720697891785234"/>
  </r>
  <r>
    <x v="5"/>
    <x v="2"/>
    <s v="COLCHÃO M.E."/>
    <s v="DIRETO"/>
    <x v="18"/>
    <s v="NADA"/>
    <s v="URUGUAI"/>
    <n v="50231"/>
    <n v="2429"/>
    <s v="3030040 -MI PL 160G 2,10L DIVERSAS U"/>
    <s v="POLYMAX"/>
    <s v="EX "/>
    <s v="Colchão M.E."/>
    <m/>
    <s v="MARTIN"/>
    <n v="45260"/>
    <m/>
    <m/>
    <n v="5746.85"/>
    <s v="MT "/>
    <n v="160"/>
    <m/>
    <n v="587"/>
    <m/>
    <m/>
    <m/>
    <m/>
    <m/>
    <m/>
    <m/>
    <m/>
    <m/>
    <m/>
    <m/>
    <m/>
    <m/>
    <n v="9.790204429301534"/>
  </r>
  <r>
    <x v="5"/>
    <x v="2"/>
    <s v="COLCHÃO M.E."/>
    <s v="DIRETO"/>
    <x v="18"/>
    <s v="NADA"/>
    <s v="URUGUAI"/>
    <n v="50231"/>
    <n v="2428"/>
    <s v="3030039 - MI PL 160G 2,10G DIVERSAS U"/>
    <s v="POLYMAX"/>
    <s v="EX "/>
    <s v="Colchão M.E."/>
    <m/>
    <s v="MARTIN"/>
    <n v="45260"/>
    <m/>
    <m/>
    <n v="8360.83"/>
    <s v="MT "/>
    <n v="160"/>
    <m/>
    <n v="854"/>
    <m/>
    <m/>
    <m/>
    <m/>
    <m/>
    <m/>
    <m/>
    <m/>
    <m/>
    <m/>
    <m/>
    <m/>
    <m/>
    <n v="9.7901990632318494"/>
  </r>
  <r>
    <x v="5"/>
    <x v="2"/>
    <s v="COLCHÃO M.E."/>
    <s v="DIRETO"/>
    <x v="18"/>
    <s v="NADA"/>
    <s v="URUGUAI"/>
    <n v="50231"/>
    <n v="2427"/>
    <s v="3030038 - MI 160G 2,10L DIVERSAS U"/>
    <s v="POLYMAX"/>
    <s v="EX "/>
    <s v="Colchão M.E."/>
    <m/>
    <s v="MARTIN"/>
    <n v="45260"/>
    <m/>
    <m/>
    <n v="4131.46"/>
    <s v="MT "/>
    <n v="160"/>
    <m/>
    <n v="422"/>
    <m/>
    <m/>
    <m/>
    <m/>
    <m/>
    <m/>
    <m/>
    <m/>
    <m/>
    <m/>
    <m/>
    <m/>
    <m/>
    <n v="9.7901895734597151"/>
  </r>
  <r>
    <x v="5"/>
    <x v="2"/>
    <s v="COLCHÃO M.E."/>
    <s v="DIRETO"/>
    <x v="18"/>
    <s v="NADA"/>
    <s v="URUGUAI"/>
    <n v="50231"/>
    <n v="2430"/>
    <s v="3030041-MI PL 160G 2,10L DIVERSAS U"/>
    <s v="POLYMAX"/>
    <s v="EX "/>
    <s v="Colchão M.E."/>
    <m/>
    <s v="MARTIN"/>
    <n v="45260"/>
    <m/>
    <m/>
    <n v="3896.5"/>
    <s v="MT "/>
    <n v="160"/>
    <m/>
    <n v="398"/>
    <m/>
    <m/>
    <m/>
    <m/>
    <m/>
    <m/>
    <m/>
    <m/>
    <m/>
    <m/>
    <m/>
    <m/>
    <m/>
    <n v="9.7902010050251249"/>
  </r>
  <r>
    <x v="5"/>
    <x v="2"/>
    <s v="COLCHÃO M.E."/>
    <s v="DIRETO"/>
    <x v="18"/>
    <s v="NADA"/>
    <s v="URUGUAI"/>
    <n v="50231"/>
    <n v="2426"/>
    <s v="3030037- MI 160G 2,10L DIVERSAS U"/>
    <s v="POLYMAX"/>
    <s v="EX "/>
    <s v="Colchão M.E."/>
    <m/>
    <s v="MARTIN"/>
    <n v="45260"/>
    <m/>
    <m/>
    <n v="4060.49"/>
    <s v="MT "/>
    <n v="160"/>
    <m/>
    <n v="553"/>
    <m/>
    <m/>
    <m/>
    <m/>
    <m/>
    <m/>
    <m/>
    <m/>
    <m/>
    <m/>
    <m/>
    <m/>
    <m/>
    <n v="7.3426582278481005"/>
  </r>
  <r>
    <x v="5"/>
    <x v="2"/>
    <s v="COLCHÃO M.E."/>
    <s v="DIRETO"/>
    <x v="18"/>
    <s v="NADA"/>
    <s v="URUGUAI"/>
    <n v="50231"/>
    <n v="2425"/>
    <s v="3030036- MI 160G 2,10L DIVERSAS U"/>
    <s v="POLYMAX"/>
    <s v="EX "/>
    <s v="Colchão M.E."/>
    <m/>
    <s v="MARTIN"/>
    <n v="45260"/>
    <m/>
    <m/>
    <n v="3563.63"/>
    <s v="MT "/>
    <n v="160"/>
    <m/>
    <n v="560"/>
    <m/>
    <m/>
    <m/>
    <m/>
    <m/>
    <m/>
    <m/>
    <m/>
    <m/>
    <m/>
    <m/>
    <m/>
    <m/>
    <n v="6.3636249999999999"/>
  </r>
  <r>
    <x v="5"/>
    <x v="2"/>
    <s v="COLCHÃO M.E."/>
    <s v="DIRETO"/>
    <x v="18"/>
    <s v="NADA"/>
    <s v="URUGUAI"/>
    <n v="50231"/>
    <n v="2424"/>
    <s v="3030035- MI 180G 2,10L DIVERSAS U"/>
    <s v="POLYMAX"/>
    <s v="EX "/>
    <s v="Colchão M.E."/>
    <m/>
    <s v="MARTIN"/>
    <n v="45260"/>
    <m/>
    <m/>
    <n v="9128.3799999999992"/>
    <s v="MT "/>
    <n v="180"/>
    <m/>
    <n v="1332"/>
    <m/>
    <m/>
    <m/>
    <m/>
    <m/>
    <m/>
    <m/>
    <m/>
    <m/>
    <m/>
    <m/>
    <m/>
    <m/>
    <n v="6.8531381381381378"/>
  </r>
  <r>
    <x v="5"/>
    <x v="2"/>
    <s v="COLCHÃO M.E."/>
    <s v="DIRETO"/>
    <x v="18"/>
    <s v="NADA"/>
    <s v="URUGUAI"/>
    <n v="50231"/>
    <n v="2423"/>
    <s v="3030034-MI 180G 2,10L DIVERSAS U"/>
    <s v="POLYMAX"/>
    <s v="EX "/>
    <s v="Colchão M.E."/>
    <m/>
    <s v="MARTIN"/>
    <n v="45260"/>
    <m/>
    <m/>
    <n v="3811.32"/>
    <s v="MT "/>
    <n v="180"/>
    <m/>
    <n v="458"/>
    <m/>
    <m/>
    <m/>
    <m/>
    <m/>
    <m/>
    <m/>
    <m/>
    <m/>
    <m/>
    <m/>
    <m/>
    <m/>
    <n v="8.3216593886462888"/>
  </r>
  <r>
    <x v="5"/>
    <x v="2"/>
    <s v="COLCHÃO M.E."/>
    <s v="DIRETO"/>
    <x v="18"/>
    <s v="NADA"/>
    <s v="URUGUAI"/>
    <n v="50231"/>
    <n v="2431"/>
    <s v="3030042 - MI PL 160G 2,10L DIVERSAS U"/>
    <s v="POLYMAX"/>
    <s v="EX "/>
    <s v="Colchão M.E."/>
    <m/>
    <s v="MARTIN"/>
    <n v="45260"/>
    <m/>
    <m/>
    <n v="4307.6899999999996"/>
    <s v="MT "/>
    <n v="160"/>
    <m/>
    <n v="440"/>
    <m/>
    <m/>
    <m/>
    <m/>
    <m/>
    <m/>
    <m/>
    <m/>
    <m/>
    <m/>
    <m/>
    <m/>
    <m/>
    <n v="9.7902045454545448"/>
  </r>
  <r>
    <x v="5"/>
    <x v="2"/>
    <s v="COLCHÃO M.E."/>
    <s v="DIRETO"/>
    <x v="18"/>
    <s v="NADA"/>
    <s v="URUGUAI"/>
    <n v="50231"/>
    <n v="2432"/>
    <s v="3030043-MI PL 160G 2,10L DIVERSAS U"/>
    <s v="POLYMAX"/>
    <s v="EX "/>
    <s v="Colchão M.E."/>
    <m/>
    <s v="MARTIN"/>
    <n v="45260"/>
    <m/>
    <m/>
    <n v="7176.22"/>
    <s v="MT "/>
    <n v="160"/>
    <m/>
    <n v="733"/>
    <m/>
    <m/>
    <m/>
    <m/>
    <m/>
    <m/>
    <m/>
    <m/>
    <m/>
    <m/>
    <m/>
    <m/>
    <m/>
    <n v="9.7902046384720336"/>
  </r>
  <r>
    <x v="5"/>
    <x v="2"/>
    <s v="COLCHÃO M.E."/>
    <s v="DIRETO"/>
    <x v="18"/>
    <s v="NADA"/>
    <s v="URUGUAI"/>
    <n v="50231"/>
    <n v="2433"/>
    <s v="3030044 ME PL 160G 2,10L DIVERSAS U"/>
    <s v="POLYMAX"/>
    <s v="EX "/>
    <s v="Colchão M.E."/>
    <m/>
    <s v="MARTIN"/>
    <n v="45260"/>
    <m/>
    <m/>
    <n v="3994.4"/>
    <s v="MT "/>
    <n v="160"/>
    <m/>
    <n v="408"/>
    <m/>
    <m/>
    <m/>
    <m/>
    <m/>
    <m/>
    <m/>
    <m/>
    <m/>
    <m/>
    <m/>
    <m/>
    <m/>
    <n v="9.7901960784313733"/>
  </r>
  <r>
    <x v="5"/>
    <x v="2"/>
    <s v="COLCHÃO M.E."/>
    <s v="DIRETO"/>
    <x v="18"/>
    <s v="NADA"/>
    <s v="URUGUAI"/>
    <n v="50231"/>
    <n v="2434"/>
    <s v="3030008 ME PL 180G 2,10L DIVERSAS U"/>
    <s v="POLYMAX"/>
    <s v="EX "/>
    <s v="Colchão M.E."/>
    <m/>
    <s v="MARTIN"/>
    <n v="45260"/>
    <m/>
    <m/>
    <n v="4864.26"/>
    <s v="MT "/>
    <n v="180"/>
    <m/>
    <n v="523"/>
    <m/>
    <m/>
    <m/>
    <m/>
    <m/>
    <m/>
    <m/>
    <m/>
    <m/>
    <m/>
    <m/>
    <m/>
    <m/>
    <n v="9.3006883365200768"/>
  </r>
  <r>
    <x v="5"/>
    <x v="2"/>
    <s v="COLCHÃO M.E."/>
    <s v="DIRETO"/>
    <x v="18"/>
    <s v="NADA"/>
    <s v="URUGUAI"/>
    <n v="50231"/>
    <n v="2435"/>
    <s v="3030007-ME PL 180G 2,10L DIVERSAS U"/>
    <s v="POLYMAX"/>
    <s v="EX "/>
    <s v="Colchão M.E."/>
    <m/>
    <s v="MARTIN"/>
    <n v="45260"/>
    <m/>
    <m/>
    <n v="5269.09"/>
    <s v="MT "/>
    <n v="180"/>
    <m/>
    <n v="598"/>
    <m/>
    <m/>
    <m/>
    <m/>
    <m/>
    <m/>
    <m/>
    <m/>
    <m/>
    <m/>
    <m/>
    <m/>
    <m/>
    <n v="8.8111872909698992"/>
  </r>
  <r>
    <x v="5"/>
    <x v="2"/>
    <s v="COLCHÃO M.E."/>
    <s v="DIRETO"/>
    <x v="18"/>
    <s v="NADA"/>
    <s v="URUGUAI"/>
    <n v="50231"/>
    <n v="2544"/>
    <s v="3030049 MI 180G 2,10L PTO DIVERSAS U"/>
    <s v="POLYMAX"/>
    <s v="EX "/>
    <s v="Colchão M.E."/>
    <m/>
    <s v="MARTIN"/>
    <n v="45260"/>
    <m/>
    <m/>
    <n v="2165.59"/>
    <s v="MT "/>
    <n v="180"/>
    <m/>
    <n v="316"/>
    <m/>
    <m/>
    <m/>
    <m/>
    <m/>
    <m/>
    <m/>
    <m/>
    <m/>
    <m/>
    <m/>
    <m/>
    <m/>
    <n v="6.8531329113924055"/>
  </r>
  <r>
    <x v="5"/>
    <x v="2"/>
    <s v="COLCHÃO M.E."/>
    <s v="DIRETO"/>
    <x v="18"/>
    <s v="NADA"/>
    <s v="URUGUAI"/>
    <n v="50231"/>
    <n v="2411"/>
    <s v="3030030-MI 200G 2,10L DIVERSAS U"/>
    <s v="POLYMAX"/>
    <s v="EX "/>
    <s v="Colchão M.E."/>
    <m/>
    <s v="MARTIN"/>
    <n v="45260"/>
    <m/>
    <m/>
    <n v="4486.3599999999997"/>
    <s v="MT "/>
    <n v="200"/>
    <m/>
    <n v="470"/>
    <m/>
    <m/>
    <m/>
    <m/>
    <m/>
    <m/>
    <m/>
    <m/>
    <m/>
    <m/>
    <m/>
    <m/>
    <m/>
    <n v="9.5454468085106381"/>
  </r>
  <r>
    <x v="5"/>
    <x v="2"/>
    <s v="COLCHÃO M.E."/>
    <s v="DIRETO"/>
    <x v="18"/>
    <s v="NADA"/>
    <s v="URUGUAI"/>
    <n v="50231"/>
    <n v="2413"/>
    <s v="3030032-MI 200G 2,10L DIVERSAS U"/>
    <s v="POLYMAX"/>
    <s v="EX "/>
    <s v="Colchão M.E."/>
    <m/>
    <s v="MARTIN"/>
    <n v="45260"/>
    <m/>
    <m/>
    <n v="8469.99"/>
    <s v="MT "/>
    <n v="200"/>
    <m/>
    <n v="1331"/>
    <m/>
    <m/>
    <m/>
    <m/>
    <m/>
    <m/>
    <m/>
    <m/>
    <m/>
    <m/>
    <m/>
    <m/>
    <m/>
    <n v="6.3636288504883547"/>
  </r>
  <r>
    <x v="5"/>
    <x v="2"/>
    <s v="COLCHÃO M.E."/>
    <s v="DIRETO"/>
    <x v="18"/>
    <s v="NADA"/>
    <s v="URUGUAI"/>
    <n v="50231"/>
    <n v="2406"/>
    <s v="3030026 -ME  200G 2,10L DIVERSAS U"/>
    <s v="POLYMAX"/>
    <s v="EX "/>
    <s v="Colchão M.E."/>
    <m/>
    <s v="MARTIN"/>
    <n v="45260"/>
    <m/>
    <m/>
    <n v="4620.97"/>
    <s v="MT "/>
    <n v="200"/>
    <m/>
    <n v="472"/>
    <m/>
    <m/>
    <m/>
    <m/>
    <m/>
    <m/>
    <m/>
    <m/>
    <m/>
    <m/>
    <m/>
    <m/>
    <m/>
    <n v="9.7901906779661019"/>
  </r>
  <r>
    <x v="5"/>
    <x v="2"/>
    <s v="COLCHÃO M.E."/>
    <s v="DIRETO"/>
    <x v="18"/>
    <s v="NADA"/>
    <s v="URUGUAI"/>
    <n v="50231"/>
    <n v="2407"/>
    <s v="3030027-MI 200G 2,10L DIVERSAS U"/>
    <s v="POLYMAX"/>
    <s v="EX "/>
    <s v="Colchão M.E."/>
    <m/>
    <s v="MARTIN"/>
    <n v="45260"/>
    <m/>
    <m/>
    <n v="4305"/>
    <s v="MT "/>
    <n v="200"/>
    <m/>
    <n v="429"/>
    <m/>
    <m/>
    <m/>
    <m/>
    <m/>
    <m/>
    <m/>
    <m/>
    <m/>
    <m/>
    <m/>
    <m/>
    <m/>
    <n v="10.034965034965035"/>
  </r>
  <r>
    <x v="5"/>
    <x v="2"/>
    <s v="COLCHÃO M.E."/>
    <s v="DIRETO"/>
    <x v="18"/>
    <s v="NADA"/>
    <s v="URUGUAI"/>
    <n v="50231"/>
    <n v="2408"/>
    <s v="3030028-MI 200G 2,10L DIVERSAS U"/>
    <s v="POLYMAX"/>
    <s v="EX "/>
    <s v="Colchão M.E."/>
    <m/>
    <s v="MARTIN"/>
    <n v="45260"/>
    <m/>
    <m/>
    <n v="3913.63"/>
    <s v="MT "/>
    <n v="200"/>
    <m/>
    <n v="410"/>
    <m/>
    <m/>
    <m/>
    <m/>
    <m/>
    <m/>
    <m/>
    <m/>
    <m/>
    <m/>
    <m/>
    <m/>
    <m/>
    <n v="9.5454390243902445"/>
  </r>
  <r>
    <x v="5"/>
    <x v="2"/>
    <s v="COLCHÃO M.E."/>
    <s v="DIRETO"/>
    <x v="18"/>
    <s v="NADA"/>
    <s v="URUGUAI"/>
    <n v="50231"/>
    <n v="2409"/>
    <s v="3030029-MI 200G 2,10L DIVERSAS U"/>
    <s v="POLYMAX"/>
    <s v="EX "/>
    <s v="Colchão M.E."/>
    <m/>
    <s v="MARTIN"/>
    <n v="45260"/>
    <m/>
    <m/>
    <n v="3763.11"/>
    <s v="MT "/>
    <n v="200"/>
    <m/>
    <n v="375"/>
    <m/>
    <m/>
    <m/>
    <m/>
    <m/>
    <m/>
    <m/>
    <m/>
    <m/>
    <m/>
    <m/>
    <m/>
    <m/>
    <n v="10.03496"/>
  </r>
  <r>
    <x v="5"/>
    <x v="2"/>
    <s v="COLCHÃO M.E."/>
    <s v="DIRETO"/>
    <x v="18"/>
    <s v="NADA"/>
    <s v="URUGUAI"/>
    <n v="50231"/>
    <n v="2412"/>
    <s v="3030031- MI 200G 2,10L DIVERSAS U"/>
    <s v="POLYMAX"/>
    <s v="EX "/>
    <s v="Colchão M.E."/>
    <m/>
    <s v="MARTIN"/>
    <n v="45260"/>
    <m/>
    <m/>
    <n v="4724.75"/>
    <s v="MT "/>
    <n v="200"/>
    <m/>
    <n v="508"/>
    <m/>
    <m/>
    <m/>
    <m/>
    <m/>
    <m/>
    <m/>
    <m/>
    <m/>
    <m/>
    <m/>
    <m/>
    <m/>
    <n v="9.3006889763779519"/>
  </r>
  <r>
    <x v="5"/>
    <x v="2"/>
    <s v="COLCHÃO M.E."/>
    <s v="DIRETO"/>
    <x v="18"/>
    <s v="NADA"/>
    <s v="URUGUAI"/>
    <n v="50231"/>
    <n v="2422"/>
    <s v="3030025-MI 180G 2,10L DIVERSAS U"/>
    <s v="POLYMAX"/>
    <s v="EX "/>
    <s v="Colchão M.E."/>
    <m/>
    <s v="MARTIN"/>
    <n v="45260"/>
    <m/>
    <m/>
    <n v="4696.8500000000004"/>
    <s v="MT "/>
    <n v="180"/>
    <m/>
    <n v="505"/>
    <m/>
    <m/>
    <m/>
    <m/>
    <m/>
    <m/>
    <m/>
    <m/>
    <m/>
    <m/>
    <m/>
    <m/>
    <m/>
    <n v="9.3006930693069307"/>
  </r>
  <r>
    <x v="5"/>
    <x v="2"/>
    <s v="COLCHÃO M.E."/>
    <s v="DIRETO"/>
    <x v="18"/>
    <s v="NADA"/>
    <s v="URUGUAI"/>
    <n v="50231"/>
    <n v="2418"/>
    <s v="3030048-MI 200G 2,10L DIVERSAS U"/>
    <s v="POLYMAX"/>
    <s v="EX "/>
    <s v="Colchão M.E."/>
    <m/>
    <s v="MARTIN"/>
    <n v="45260"/>
    <m/>
    <m/>
    <n v="4244.93"/>
    <s v="MT "/>
    <n v="200"/>
    <m/>
    <n v="447"/>
    <m/>
    <m/>
    <m/>
    <m/>
    <m/>
    <m/>
    <m/>
    <m/>
    <m/>
    <m/>
    <m/>
    <m/>
    <m/>
    <n v="9.4964876957494422"/>
  </r>
  <r>
    <x v="5"/>
    <x v="2"/>
    <s v="COLCHÃO M.E."/>
    <s v="DIRETO"/>
    <x v="18"/>
    <s v="NADA"/>
    <s v="URUGUAI"/>
    <n v="50231"/>
    <n v="2420"/>
    <s v="3030033- MI 160G 2,10L DIVERSAS U"/>
    <s v="POLYMAX"/>
    <s v="EX "/>
    <s v="Colchão M.E."/>
    <m/>
    <s v="MARTIN"/>
    <n v="45260"/>
    <m/>
    <m/>
    <n v="12829.08"/>
    <s v="MT "/>
    <n v="160"/>
    <m/>
    <n v="2016"/>
    <m/>
    <m/>
    <m/>
    <m/>
    <m/>
    <m/>
    <m/>
    <m/>
    <m/>
    <m/>
    <m/>
    <m/>
    <m/>
    <n v="6.3636309523809524"/>
  </r>
  <r>
    <x v="5"/>
    <x v="2"/>
    <s v="COLCHÃO M.E."/>
    <s v="DIRETO"/>
    <x v="18"/>
    <s v="NADA"/>
    <s v="URUGUAI"/>
    <n v="50231"/>
    <n v="2419"/>
    <s v="3030024-MI 180G 2,10L DIVERSAS U"/>
    <s v="POLYMAX"/>
    <s v="EX "/>
    <s v="Colchão M.E."/>
    <m/>
    <s v="MARTIN"/>
    <n v="45260"/>
    <m/>
    <m/>
    <n v="4758.04"/>
    <s v="MT "/>
    <n v="180"/>
    <m/>
    <n v="486"/>
    <m/>
    <m/>
    <m/>
    <m/>
    <m/>
    <m/>
    <m/>
    <m/>
    <m/>
    <m/>
    <m/>
    <m/>
    <m/>
    <n v="9.7902057613168729"/>
  </r>
  <r>
    <x v="5"/>
    <x v="2"/>
    <s v="COLCHÃO M.E."/>
    <s v="DIRETO"/>
    <x v="18"/>
    <s v="NADA"/>
    <s v="URUGUAI"/>
    <n v="50231"/>
    <n v="2415"/>
    <s v="3030045- XN 200G 2,10L DIVERSAS U"/>
    <s v="POLYMAX"/>
    <s v="EX "/>
    <s v="Colchão M.E."/>
    <m/>
    <s v="MARTIN"/>
    <n v="45260"/>
    <m/>
    <m/>
    <n v="10318.629999999999"/>
    <s v="MT "/>
    <n v="200"/>
    <m/>
    <n v="1081"/>
    <m/>
    <m/>
    <m/>
    <m/>
    <m/>
    <m/>
    <m/>
    <m/>
    <m/>
    <m/>
    <m/>
    <m/>
    <m/>
    <n v="9.5454486586493985"/>
  </r>
  <r>
    <x v="5"/>
    <x v="2"/>
    <s v="COLCHÃO M.E."/>
    <s v="DIRETO"/>
    <x v="18"/>
    <s v="NADA"/>
    <s v="URUGUAI"/>
    <n v="50231"/>
    <n v="2417"/>
    <s v="3030047-MI 200G 2,10L DIVERSAS U"/>
    <s v="POLYMAX"/>
    <s v="EX "/>
    <s v="Colchão M.E."/>
    <m/>
    <s v="MARTIN"/>
    <n v="45260"/>
    <m/>
    <m/>
    <n v="3494.71"/>
    <s v="MT "/>
    <n v="200"/>
    <m/>
    <n v="368"/>
    <m/>
    <m/>
    <m/>
    <m/>
    <m/>
    <m/>
    <m/>
    <m/>
    <m/>
    <m/>
    <m/>
    <m/>
    <m/>
    <n v="9.4964945652173913"/>
  </r>
  <r>
    <x v="5"/>
    <x v="2"/>
    <s v="COLCHÃO M.E."/>
    <s v="DIRETO"/>
    <x v="18"/>
    <s v="NADA"/>
    <s v="URUGUAI"/>
    <n v="50231"/>
    <n v="2416"/>
    <s v="3030046-MI 200G 2,10L DIVERSAS U"/>
    <s v="POLYMAX"/>
    <s v="EX "/>
    <s v="Colchão M.E."/>
    <m/>
    <s v="MARTIN"/>
    <n v="45260"/>
    <m/>
    <m/>
    <n v="4901.46"/>
    <s v="MT "/>
    <n v="200"/>
    <m/>
    <n v="527"/>
    <m/>
    <m/>
    <m/>
    <m/>
    <m/>
    <m/>
    <m/>
    <m/>
    <m/>
    <m/>
    <m/>
    <m/>
    <m/>
    <n v="9.3006831119544593"/>
  </r>
  <r>
    <x v="5"/>
    <x v="2"/>
    <s v="COLCHÃO M.E."/>
    <s v="DIRETO"/>
    <x v="1"/>
    <s v="NADA"/>
    <s v="URUGUAI"/>
    <n v="50234"/>
    <n v="2054"/>
    <s v="2540026 TP ML 0072051 - 280G 2,20L DEGRA DIVERSAS U"/>
    <s v="DIVINO COLCHONES"/>
    <s v="EX "/>
    <s v="Colchão M.E."/>
    <m/>
    <s v="CONEXÃO MALHAS"/>
    <n v="45260"/>
    <m/>
    <m/>
    <n v="14640.75"/>
    <s v="MT "/>
    <n v="280"/>
    <m/>
    <n v="935"/>
    <m/>
    <m/>
    <m/>
    <m/>
    <m/>
    <m/>
    <m/>
    <m/>
    <m/>
    <m/>
    <m/>
    <m/>
    <m/>
    <n v="15.65855614973262"/>
  </r>
  <r>
    <x v="5"/>
    <x v="2"/>
    <s v="COLCHÃO M.E."/>
    <s v="DIRETO"/>
    <x v="1"/>
    <s v="NADA"/>
    <s v="URUGUAI"/>
    <n v="50234"/>
    <n v="2157"/>
    <s v="2540007 - ME TP DARK BRILHA 300G 2,20L DIVERSAS U"/>
    <s v="DIVINO COLCHONES"/>
    <s v="EX "/>
    <s v="Colchão M.E."/>
    <m/>
    <s v="CONEXÃO MALHAS"/>
    <n v="45260"/>
    <m/>
    <m/>
    <n v="22612.97"/>
    <s v="MT "/>
    <n v="300"/>
    <m/>
    <n v="977"/>
    <m/>
    <m/>
    <m/>
    <m/>
    <m/>
    <m/>
    <m/>
    <m/>
    <m/>
    <m/>
    <m/>
    <m/>
    <m/>
    <n v="23.145312180143296"/>
  </r>
  <r>
    <x v="5"/>
    <x v="2"/>
    <s v="COLCHÃO M.E."/>
    <s v="DIRETO"/>
    <x v="1"/>
    <s v="NADA"/>
    <s v="URUGUAI"/>
    <n v="50234"/>
    <n v="1905"/>
    <s v="2540019 NUEVO GALHOS 3 V02 (1922) - TOL DIVERSAS U"/>
    <s v="DIVINO COLCHONES"/>
    <s v="EX "/>
    <s v="Colchão M.E."/>
    <m/>
    <s v="CONEXÃO MALHAS"/>
    <n v="45260"/>
    <m/>
    <m/>
    <n v="7829.28"/>
    <s v="MT "/>
    <m/>
    <m/>
    <n v="1000"/>
    <m/>
    <m/>
    <m/>
    <m/>
    <m/>
    <m/>
    <m/>
    <m/>
    <m/>
    <m/>
    <m/>
    <m/>
    <m/>
    <n v="7.8292799999999998"/>
  </r>
  <r>
    <x v="5"/>
    <x v="2"/>
    <s v="COLCHÃO M.E."/>
    <s v="DIRETO"/>
    <x v="1"/>
    <s v="NADA"/>
    <s v="URUGUAI"/>
    <n v="50234"/>
    <n v="2495"/>
    <s v="2540027 TP COLMENA 470G 2,10L (A09706) DIVERSAS U"/>
    <s v="DIVINO COLCHONES"/>
    <s v="EX "/>
    <s v="Colchão M.E."/>
    <m/>
    <s v="CONEXÃO MALHAS"/>
    <n v="45260"/>
    <m/>
    <m/>
    <n v="23083.85"/>
    <s v="MT "/>
    <n v="470"/>
    <m/>
    <n v="832"/>
    <m/>
    <m/>
    <m/>
    <m/>
    <m/>
    <m/>
    <m/>
    <m/>
    <m/>
    <m/>
    <m/>
    <m/>
    <m/>
    <n v="27.745012019230767"/>
  </r>
  <r>
    <x v="5"/>
    <x v="2"/>
    <s v="COLCHÃO M.E."/>
    <s v="DIRETO"/>
    <x v="1"/>
    <s v="NADA"/>
    <s v="URUGUAI"/>
    <n v="50234"/>
    <n v="2496"/>
    <s v="2540028 TP CORDERO 310G 2,10L 0186002 DIVERSAS U"/>
    <s v="DIVINO COLCHONES"/>
    <s v="EX "/>
    <s v="Colchão M.E."/>
    <m/>
    <s v="CONEXÃO MALHAS"/>
    <n v="45260"/>
    <m/>
    <m/>
    <n v="10070.41"/>
    <s v="MT "/>
    <n v="310"/>
    <m/>
    <n v="490"/>
    <m/>
    <m/>
    <m/>
    <m/>
    <m/>
    <m/>
    <m/>
    <m/>
    <m/>
    <m/>
    <m/>
    <m/>
    <m/>
    <n v="20.551857142857141"/>
  </r>
  <r>
    <x v="5"/>
    <x v="2"/>
    <s v="COLCHÃO M.E."/>
    <s v="DIRETO"/>
    <x v="1"/>
    <s v="NADA"/>
    <s v="URUGUAI"/>
    <n v="50234"/>
    <n v="2497"/>
    <s v="2540029 TP LUNA 230G 2,20L 0070001 DIVERSAS U"/>
    <s v="DIVINO COLCHONES"/>
    <s v="EX "/>
    <s v="Colchão M.E."/>
    <m/>
    <s v="CONEXÃO MALHAS"/>
    <n v="45260"/>
    <m/>
    <m/>
    <n v="1972.98"/>
    <s v="MT "/>
    <n v="230"/>
    <m/>
    <n v="168"/>
    <m/>
    <m/>
    <m/>
    <m/>
    <m/>
    <m/>
    <m/>
    <m/>
    <m/>
    <m/>
    <m/>
    <m/>
    <m/>
    <n v="11.743928571428572"/>
  </r>
  <r>
    <x v="5"/>
    <x v="2"/>
    <s v="COLCHÃO M.E."/>
    <s v="DIRETO"/>
    <x v="1"/>
    <s v="NADA"/>
    <s v="URUGUAI"/>
    <n v="50234"/>
    <n v="1504"/>
    <s v="2540018 TP ML DIV 7806 240G 2,10L DIVERSAS U"/>
    <s v="DIVINO COLCHONES"/>
    <s v="EX "/>
    <s v="Colchão M.E."/>
    <m/>
    <s v="CONEXÃO MALHAS"/>
    <n v="45260"/>
    <m/>
    <m/>
    <n v="63370.68"/>
    <s v="MT "/>
    <n v="240"/>
    <m/>
    <n v="4390"/>
    <m/>
    <m/>
    <m/>
    <m/>
    <m/>
    <m/>
    <m/>
    <m/>
    <m/>
    <m/>
    <m/>
    <m/>
    <m/>
    <n v="14.435234624145785"/>
  </r>
  <r>
    <x v="5"/>
    <x v="2"/>
    <s v="COLCHÃO M.E."/>
    <s v="DIRETO"/>
    <x v="1"/>
    <s v="NADA"/>
    <s v="URUGUAI"/>
    <n v="50234"/>
    <n v="1523"/>
    <s v="32282 - TELA ANTIDESLIZANTE DIVERSAS U"/>
    <s v="DIVINO COLCHONES"/>
    <s v="EX "/>
    <s v="Colchão M.E."/>
    <m/>
    <s v="CONEXÃO MALHAS"/>
    <n v="45260"/>
    <m/>
    <m/>
    <n v="10569.53"/>
    <s v="MT "/>
    <m/>
    <m/>
    <n v="1500"/>
    <m/>
    <m/>
    <m/>
    <m/>
    <m/>
    <m/>
    <m/>
    <m/>
    <m/>
    <m/>
    <m/>
    <m/>
    <m/>
    <n v="7.0463533333333341"/>
  </r>
  <r>
    <x v="5"/>
    <x v="2"/>
    <s v="COLCHÃO M.E."/>
    <s v="DIRETO"/>
    <x v="1"/>
    <s v="NADA"/>
    <s v="URUGUAI"/>
    <n v="50234"/>
    <n v="1236"/>
    <s v="2540005 TAMPO GEOMETRICO (A07370) DIVERSAS U"/>
    <s v="DIVINO COLCHONES"/>
    <s v="EX "/>
    <s v="Colchão M.E."/>
    <m/>
    <s v="CONEXÃO MALHAS"/>
    <n v="45260"/>
    <m/>
    <m/>
    <n v="27796.39"/>
    <s v="MT "/>
    <n v="240"/>
    <m/>
    <n v="1623"/>
    <m/>
    <m/>
    <m/>
    <m/>
    <m/>
    <m/>
    <m/>
    <m/>
    <m/>
    <m/>
    <m/>
    <m/>
    <m/>
    <n v="17.126549599507086"/>
  </r>
  <r>
    <x v="5"/>
    <x v="2"/>
    <s v="COLCHÃO M.E."/>
    <s v="DIRETO"/>
    <x v="1"/>
    <s v="NADA"/>
    <s v="URUGUAI"/>
    <n v="50234"/>
    <n v="1226"/>
    <s v="2540015 TAMPO PONTILHADOS PRETO (A07803) DIVERSAS U"/>
    <s v="DIVINO COLCHONES"/>
    <s v="EX "/>
    <s v="Colchão M.E."/>
    <m/>
    <s v="CONEXÃO MALHAS"/>
    <n v="45260"/>
    <m/>
    <m/>
    <n v="20610.580000000002"/>
    <s v="MT "/>
    <n v="260"/>
    <m/>
    <n v="1404"/>
    <m/>
    <m/>
    <m/>
    <m/>
    <m/>
    <m/>
    <m/>
    <m/>
    <m/>
    <m/>
    <m/>
    <m/>
    <m/>
    <n v="14.679900284900286"/>
  </r>
  <r>
    <x v="5"/>
    <x v="2"/>
    <s v="COLCHÃO M.E."/>
    <s v="DIRETO"/>
    <x v="1"/>
    <s v="NADA"/>
    <s v="URUGUAI"/>
    <n v="50234"/>
    <n v="1225"/>
    <s v="2540012 TAMPO RASCUNHOS (A07820) DIVERSAS U"/>
    <s v="DIVINO COLCHONES"/>
    <s v="EX "/>
    <s v="Colchão M.E."/>
    <m/>
    <s v="CONEXÃO MALHAS"/>
    <n v="45260"/>
    <m/>
    <m/>
    <n v="118002.52"/>
    <s v="MT "/>
    <n v="240"/>
    <m/>
    <n v="8147"/>
    <m/>
    <m/>
    <m/>
    <m/>
    <m/>
    <m/>
    <m/>
    <m/>
    <m/>
    <m/>
    <m/>
    <m/>
    <m/>
    <n v="14.484168405548054"/>
  </r>
  <r>
    <x v="5"/>
    <x v="2"/>
    <s v="COLCHÃO M.E."/>
    <s v="DIRETO"/>
    <x v="1"/>
    <s v="NADA"/>
    <s v="URUGUAI"/>
    <n v="50234"/>
    <n v="1525"/>
    <s v="2540022 TP ML FOLHAS IMAG 320G 2,10 DIVERSAS U"/>
    <s v="DIVINO COLCHONES"/>
    <s v="EX "/>
    <s v="Colchão M.E."/>
    <m/>
    <s v="CONEXÃO MALHAS"/>
    <n v="45260"/>
    <m/>
    <m/>
    <n v="53572.24"/>
    <s v="MT "/>
    <n v="320"/>
    <m/>
    <n v="2904"/>
    <m/>
    <m/>
    <m/>
    <m/>
    <m/>
    <m/>
    <m/>
    <m/>
    <m/>
    <m/>
    <m/>
    <m/>
    <m/>
    <n v="18.447741046831954"/>
  </r>
  <r>
    <x v="6"/>
    <x v="2"/>
    <s v="COLCHÃO M.E."/>
    <s v="DIRETO"/>
    <x v="1"/>
    <s v="NADA"/>
    <s v="URUGUAI"/>
    <n v="50258"/>
    <n v="2497"/>
    <s v="2540029 TP LUNA 230G 2,20L 0070001 DIVERSAS U"/>
    <s v="DIVINO COLCHONES"/>
    <s v="EX "/>
    <s v="Colchão M.E."/>
    <m/>
    <s v="CONEXÃO MALHAS"/>
    <n v="45264"/>
    <m/>
    <m/>
    <n v="1251.42"/>
    <s v="MT "/>
    <n v="230"/>
    <m/>
    <n v="106"/>
    <m/>
    <m/>
    <m/>
    <m/>
    <m/>
    <m/>
    <m/>
    <m/>
    <m/>
    <m/>
    <m/>
    <s v="DIVINO S.A"/>
    <s v="CONEXAO MALHAS E DESENVOLVIMENTO LTDA"/>
    <n v="11.805849056603774"/>
  </r>
  <r>
    <x v="6"/>
    <x v="2"/>
    <s v="COLCHÃO M.E."/>
    <s v="DIRETO"/>
    <x v="24"/>
    <s v="NADA"/>
    <s v="EQUADOR"/>
    <n v="50316"/>
    <n v="2543"/>
    <s v="A07137 TP ML PARAISO PREMIUM DIVERSAS U"/>
    <s v="PRODUCTOS PARAISO DEL ECUADOR"/>
    <s v="EX "/>
    <s v="Colchão M.E."/>
    <m/>
    <s v="CONEXÃO MALHAS"/>
    <n v="45265"/>
    <m/>
    <m/>
    <n v="5447.24"/>
    <s v="MT "/>
    <n v="260"/>
    <m/>
    <n v="509"/>
    <m/>
    <m/>
    <m/>
    <m/>
    <m/>
    <m/>
    <m/>
    <m/>
    <m/>
    <m/>
    <m/>
    <s v="PRODUCTOS PARAISO DEL ECUADOR"/>
    <s v="CARLOS FIDENCIO D AVALOS RUIZ JUNIOR 34496952823"/>
    <n v="10.701846758349705"/>
  </r>
  <r>
    <x v="6"/>
    <x v="2"/>
    <s v="COLCHÃO M.E."/>
    <s v="DIRETO"/>
    <x v="1"/>
    <s v="NADA"/>
    <s v="URUGUAI"/>
    <n v="50334"/>
    <n v="2157"/>
    <s v="2540007 - ME TP DARK BRILHA 300G 2,20L DIVERSAS U"/>
    <s v="DIVINO COLCHONES"/>
    <s v="EX "/>
    <s v="Colchão M.E."/>
    <m/>
    <s v="CONEXÃO MALHAS"/>
    <n v="45266"/>
    <m/>
    <m/>
    <n v="22885.16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s v="URUGUAI"/>
    <n v="50334"/>
    <n v="2495"/>
    <s v="2540027 TP COLMENA 470G 2,10L (A09706) DIVERSAS U"/>
    <s v="DIVINO COLCHONES"/>
    <s v="EX "/>
    <s v="Colchão M.E."/>
    <m/>
    <s v="CONEXÃO MALHAS"/>
    <n v="45266"/>
    <m/>
    <m/>
    <n v="23361.71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s v="URUGUAI"/>
    <n v="50334"/>
    <n v="2054"/>
    <s v="2540026 TP ML 0072051 - 280G 2,20L DEGRA DIVERSAS U"/>
    <s v="DIVINO COLCHONES"/>
    <s v="EX "/>
    <s v="Colchão M.E."/>
    <m/>
    <s v="CONEXÃO MALHAS"/>
    <n v="45266"/>
    <m/>
    <m/>
    <n v="14816.98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s v="URUGUAI"/>
    <n v="50334"/>
    <n v="1905"/>
    <s v="2540019 NUEVO GALHOS 3 V02 (1922) - TOL DIVERSAS U"/>
    <s v="DIVINO COLCHONES"/>
    <s v="EX "/>
    <s v="Colchão M.E."/>
    <m/>
    <s v="CONEXÃO MALHAS"/>
    <n v="45266"/>
    <m/>
    <m/>
    <n v="7923.52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s v="URUGUAI"/>
    <n v="50334"/>
    <n v="2496"/>
    <s v="2540028 TP CORDERO 310G 2,10L 0186002 DIVERSAS U"/>
    <s v="DIVINO COLCHONES"/>
    <s v="EX "/>
    <s v="Colchão M.E."/>
    <m/>
    <s v="CONEXÃO MALHAS"/>
    <n v="45266"/>
    <m/>
    <m/>
    <n v="10191.629999999999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s v="URUGUAI"/>
    <n v="50334"/>
    <n v="2497"/>
    <s v="2540029 TP LUNA 230G 2,20L 0070001 DIVERSAS U"/>
    <s v="DIVINO COLCHONES"/>
    <s v="EX "/>
    <s v="Colchão M.E."/>
    <m/>
    <s v="CONEXÃO MALHAS"/>
    <n v="45266"/>
    <m/>
    <m/>
    <n v="3256.57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s v="URUGUAI"/>
    <n v="50334"/>
    <n v="1226"/>
    <s v="2540015 TAMPO PONTILHADOS PRETO (A07803) DIVERSAS U"/>
    <s v="DIVINO COLCHONES"/>
    <s v="EX "/>
    <s v="Colchão M.E."/>
    <m/>
    <s v="CONEXÃO MALHAS"/>
    <n v="45266"/>
    <m/>
    <m/>
    <n v="20858.669999999998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s v="URUGUAI"/>
    <n v="50334"/>
    <n v="1525"/>
    <s v="2540022 TP ML FOLHAS IMAG 320G 2,10 DIVERSAS U"/>
    <s v="DIVINO COLCHONES"/>
    <s v="EX "/>
    <s v="Colchão M.E."/>
    <m/>
    <s v="CONEXÃO MALHAS"/>
    <n v="45266"/>
    <m/>
    <m/>
    <n v="54217.08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s v="URUGUAI"/>
    <n v="50334"/>
    <n v="1523"/>
    <s v="32282 - TELA ANTIDESLIZANTE DIVERSAS U"/>
    <s v="DIVINO COLCHONES"/>
    <s v="EX "/>
    <s v="Colchão M.E."/>
    <m/>
    <s v="CONEXÃO MALHAS"/>
    <n v="45266"/>
    <m/>
    <m/>
    <n v="10696.75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s v="URUGUAI"/>
    <n v="50334"/>
    <n v="1504"/>
    <s v="2540018 TP ML DIV 7806 240G 2,10L DIVERSAS U"/>
    <s v="DIVINO COLCHONES"/>
    <s v="EX "/>
    <s v="Colchão M.E."/>
    <m/>
    <s v="CONEXÃO MALHAS"/>
    <n v="45266"/>
    <m/>
    <m/>
    <n v="64133.47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s v="URUGUAI"/>
    <n v="50334"/>
    <n v="1236"/>
    <s v="2540005 TAMPO GEOMETRICO (A07370) DIVERSAS U"/>
    <s v="DIVINO COLCHONES"/>
    <s v="EX "/>
    <s v="Colchão M.E."/>
    <m/>
    <s v="CONEXÃO MALHAS"/>
    <n v="45266"/>
    <m/>
    <m/>
    <n v="28130.97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s v="URUGUAI"/>
    <n v="50334"/>
    <n v="1225"/>
    <s v="2540012 TAMPO RASCUNHOS (A07820) DIVERSAS U"/>
    <s v="DIVINO COLCHONES"/>
    <s v="EX "/>
    <s v="Colchão M.E."/>
    <m/>
    <s v="CONEXÃO MALHAS"/>
    <n v="45266"/>
    <m/>
    <m/>
    <n v="119422.9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8"/>
    <s v="NADA"/>
    <s v="URUGUAI"/>
    <n v="50332"/>
    <n v="2427"/>
    <s v="3030038 - MI 16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26"/>
    <s v="3030037- MI 16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28"/>
    <s v="3030039 - MI PL 160G 2,10G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29"/>
    <s v="3030040 -MI PL 16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25"/>
    <s v="3030036- MI 16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24"/>
    <s v="3030035- MI 18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23"/>
    <s v="3030034-MI 18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30"/>
    <s v="3030041-MI PL 16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31"/>
    <s v="3030042 - MI PL 16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32"/>
    <s v="3030043-MI PL 16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33"/>
    <s v="3030044 ME PL 16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34"/>
    <s v="3030008 ME PL 18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35"/>
    <s v="3030007-ME PL 18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544"/>
    <s v="3030049 MI 180G 2,10L PTO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20"/>
    <s v="3030033- MI 16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12"/>
    <s v="3030031- MI 20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06"/>
    <s v="3030026 -ME  20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07"/>
    <s v="3030027-MI 20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08"/>
    <s v="3030028-MI 20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09"/>
    <s v="3030029-MI 20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11"/>
    <s v="3030030-MI 20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22"/>
    <s v="3030025-MI 18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13"/>
    <s v="3030032-MI 20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15"/>
    <s v="3030045- XN 20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16"/>
    <s v="3030046-MI 20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17"/>
    <s v="3030047-MI 20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18"/>
    <s v="3030048-MI 20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s v="URUGUAI"/>
    <n v="50332"/>
    <n v="2419"/>
    <s v="3030024-MI 180G 2,10L DIVERSAS U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9"/>
    <s v="NADA"/>
    <s v="CHILE"/>
    <n v="50341"/>
    <n v="1419"/>
    <s v="2810009 TP MESCLA 180G 2,20L (1122580) DIVERSAS U"/>
    <s v="FLEX CHILE"/>
    <s v="EX "/>
    <s v="Colchão M.E."/>
    <m/>
    <s v="DIRETO"/>
    <n v="45267"/>
    <m/>
    <m/>
    <n v="8713.99"/>
    <s v="MT "/>
    <m/>
    <m/>
    <m/>
    <m/>
    <m/>
    <m/>
    <m/>
    <m/>
    <m/>
    <m/>
    <m/>
    <m/>
    <m/>
    <m/>
    <s v="FLEX CHILE"/>
    <s v="CARLOS FIDENCIO D AVALOS RUIZ JUNIOR 34496952823"/>
    <n v="0"/>
  </r>
  <r>
    <x v="6"/>
    <x v="2"/>
    <s v="COLCHÃO M.E."/>
    <s v="DIRETO"/>
    <x v="9"/>
    <s v="NADA"/>
    <s v="CHILE"/>
    <n v="50341"/>
    <n v="1422"/>
    <s v="2810005 TP FOLHA 240G 2,20L (1121110) DIVERSAS U"/>
    <s v="FLEX CHILE"/>
    <s v="EX "/>
    <s v="Colchão M.E."/>
    <m/>
    <s v="DIRETO"/>
    <n v="45267"/>
    <m/>
    <m/>
    <n v="71365.850000000006"/>
    <s v="MT "/>
    <m/>
    <m/>
    <m/>
    <m/>
    <m/>
    <m/>
    <m/>
    <m/>
    <m/>
    <m/>
    <m/>
    <m/>
    <m/>
    <m/>
    <s v="FLEX CHILE"/>
    <s v="CARLOS FIDENCIO D AVALOS RUIZ JUNIOR 34496952823"/>
    <n v="0"/>
  </r>
  <r>
    <x v="6"/>
    <x v="2"/>
    <s v="COLCHÃO M.E."/>
    <s v="DIRETO"/>
    <x v="9"/>
    <s v="NADA"/>
    <s v="CHILE"/>
    <n v="50350"/>
    <n v="1419"/>
    <s v="2810009 TP MESCLA 180G 2,20L (1122580) DIVERSAS U"/>
    <s v="FLEX CHILE"/>
    <s v="EX "/>
    <s v="Colchão M.E."/>
    <m/>
    <s v="DIRETO"/>
    <n v="45268"/>
    <m/>
    <m/>
    <n v="11307.77"/>
    <s v="MT "/>
    <n v="180"/>
    <m/>
    <n v="1025"/>
    <m/>
    <m/>
    <m/>
    <m/>
    <m/>
    <m/>
    <m/>
    <m/>
    <m/>
    <m/>
    <m/>
    <s v="FLEX CHILE"/>
    <s v="CARLOS FIDENCIO D AVALOS RUIZ JUNIOR 34496952823"/>
    <n v="11.031970731707318"/>
  </r>
  <r>
    <x v="6"/>
    <x v="2"/>
    <s v="COLCHÃO M.E."/>
    <s v="DIRETO"/>
    <x v="5"/>
    <s v="NADA"/>
    <s v="PARAGUAI"/>
    <n v="50352"/>
    <n v="2566"/>
    <s v="2670007 TP ML BCA MINI JAC 220G 2,10L DIVERSAS U"/>
    <s v="INMAPOL SACIF"/>
    <s v="EX "/>
    <s v="Colchão M.E."/>
    <m/>
    <s v="DIRETO"/>
    <n v="45268"/>
    <m/>
    <m/>
    <n v="16796.36"/>
    <s v="MT "/>
    <n v="220"/>
    <m/>
    <n v="1634"/>
    <m/>
    <m/>
    <m/>
    <m/>
    <m/>
    <m/>
    <m/>
    <m/>
    <m/>
    <m/>
    <m/>
    <s v="INMAPOL SACIF"/>
    <s v="CONEXAO MALHAS E DESENVOLVIMENTO LTDA"/>
    <n v="10.279290085679316"/>
  </r>
  <r>
    <x v="6"/>
    <x v="2"/>
    <s v="COLCHÃO M.E."/>
    <s v="DIRETO"/>
    <x v="5"/>
    <s v="NADA"/>
    <s v="PARAGUAI"/>
    <n v="50393"/>
    <n v="2566"/>
    <s v="2670007 TP ML BCA MINI JAC 220G 2,10L DIVERSAS U"/>
    <s v="INMAPOL SACIF"/>
    <s v="EX "/>
    <s v="Colchão M.E."/>
    <m/>
    <s v="DIRETO"/>
    <n v="45271"/>
    <m/>
    <m/>
    <n v="16868.080000000002"/>
    <s v="MT "/>
    <n v="310"/>
    <m/>
    <n v="1634"/>
    <m/>
    <m/>
    <m/>
    <m/>
    <m/>
    <m/>
    <m/>
    <m/>
    <m/>
    <m/>
    <m/>
    <s v="INMAPOL SACIF"/>
    <s v="CONEXAO MALHAS E DESENVOLVIMENTO LTDA"/>
    <n v="10.323182374541005"/>
  </r>
  <r>
    <x v="6"/>
    <x v="2"/>
    <s v="COLCHÃO M.E."/>
    <s v="DIRETO"/>
    <x v="10"/>
    <s v="NADA"/>
    <s v="CHILE"/>
    <n v="50469"/>
    <n v="2535"/>
    <s v="2860011 TP ML DOLPHIN ME 430G 2,20L DIVERSAS U"/>
    <s v="COLCHONES DEL MUNDO"/>
    <s v="EX "/>
    <s v="Colchão M.E."/>
    <m/>
    <s v="DIRETO"/>
    <n v="45275"/>
    <m/>
    <m/>
    <n v="17472.34"/>
    <s v="MT "/>
    <n v="430"/>
    <m/>
    <n v="543"/>
    <m/>
    <m/>
    <m/>
    <m/>
    <m/>
    <m/>
    <m/>
    <m/>
    <m/>
    <m/>
    <m/>
    <s v="COLCHONES DEL MUNDO SPA"/>
    <s v="CARLOS FIDENCIO D AVALOS RUIZ JUNIOR 34496952823"/>
    <n v="32.177421731123388"/>
  </r>
  <r>
    <x v="6"/>
    <x v="2"/>
    <s v="COLCHÃO M.E."/>
    <s v="DIRETO"/>
    <x v="10"/>
    <s v="NADA"/>
    <s v="CHILE"/>
    <n v="50469"/>
    <n v="2536"/>
    <s v="2860012 TP ML HARMONY ME 440G 2,20L DIVERSAS U"/>
    <s v="COLCHONES DEL MUNDO"/>
    <s v="EX "/>
    <s v="Colchão M.E."/>
    <m/>
    <s v="DIRETO"/>
    <n v="45275"/>
    <m/>
    <m/>
    <n v="19885.650000000001"/>
    <s v="MT "/>
    <n v="440"/>
    <m/>
    <n v="618"/>
    <m/>
    <m/>
    <m/>
    <m/>
    <m/>
    <m/>
    <m/>
    <m/>
    <m/>
    <m/>
    <m/>
    <s v="COLCHONES DEL MUNDO SPA"/>
    <s v="CARLOS FIDENCIO D AVALOS RUIZ JUNIOR 34496952823"/>
    <n v="32.177427184466019"/>
  </r>
  <r>
    <x v="6"/>
    <x v="2"/>
    <s v="COLCHÃO M.E."/>
    <s v="DIRETO"/>
    <x v="10"/>
    <s v="NADA"/>
    <s v="CHILE"/>
    <n v="50469"/>
    <n v="2032"/>
    <s v="2860005 TP ML NEVOA 360G 2,15L DIVERSAS U"/>
    <s v="COLCHONES DEL MUNDO"/>
    <s v="EX "/>
    <s v="Colchão M.E."/>
    <m/>
    <s v="DIRETO"/>
    <n v="45275"/>
    <m/>
    <m/>
    <n v="14898.39"/>
    <s v="MT "/>
    <n v="360"/>
    <m/>
    <n v="612"/>
    <m/>
    <m/>
    <m/>
    <m/>
    <m/>
    <m/>
    <m/>
    <m/>
    <m/>
    <m/>
    <m/>
    <s v="COLCHONES DEL MUNDO SPA"/>
    <s v="CARLOS FIDENCIO D AVALOS RUIZ JUNIOR 34496952823"/>
    <n v="24.343774509803922"/>
  </r>
  <r>
    <x v="6"/>
    <x v="2"/>
    <s v="COLCHÃO M.E."/>
    <s v="DIRETO"/>
    <x v="10"/>
    <s v="NADA"/>
    <s v="CHILE"/>
    <n v="50469"/>
    <n v="2000"/>
    <s v="2860008 TP ML GRAY WINDOW 380G 2,20L DIVERSAS U"/>
    <s v="COLCHONES DEL MUNDO"/>
    <s v="EX "/>
    <s v="Colchão M.E."/>
    <m/>
    <s v="DIRETO"/>
    <n v="45275"/>
    <m/>
    <m/>
    <n v="16686.990000000002"/>
    <s v="MT "/>
    <n v="380"/>
    <m/>
    <n v="651"/>
    <m/>
    <m/>
    <m/>
    <m/>
    <m/>
    <m/>
    <m/>
    <m/>
    <m/>
    <m/>
    <m/>
    <s v="COLCHONES DEL MUNDO SPA"/>
    <s v="CARLOS FIDENCIO D AVALOS RUIZ JUNIOR 34496952823"/>
    <n v="25.632857142857144"/>
  </r>
  <r>
    <x v="6"/>
    <x v="2"/>
    <s v="COLCHÃO M.E."/>
    <s v="DIRETO"/>
    <x v="1"/>
    <s v="NADA"/>
    <s v="URUGUAI"/>
    <n v="50474"/>
    <n v="1225"/>
    <s v="2540012 TAMPO RASCUNHOS (A07820) DIVERSAS U"/>
    <s v="DIVINO COLCHONES"/>
    <s v="EX "/>
    <s v="Colchão M.E."/>
    <m/>
    <s v="CONEXÃO MALHAS"/>
    <n v="45275"/>
    <m/>
    <m/>
    <n v="839.72"/>
    <s v="MT "/>
    <n v="240"/>
    <m/>
    <n v="58"/>
    <m/>
    <m/>
    <m/>
    <m/>
    <m/>
    <m/>
    <m/>
    <m/>
    <m/>
    <m/>
    <m/>
    <s v="DIVINO S.A"/>
    <s v="CONEXAO MALHAS E DESENVOLVIMENTO LTDA"/>
    <n v="14.47793103448276"/>
  </r>
  <r>
    <x v="6"/>
    <x v="2"/>
    <s v="COLCHÃO M.E."/>
    <s v="DIRETO"/>
    <x v="1"/>
    <s v="NADA"/>
    <s v="URUGUAI"/>
    <n v="50474"/>
    <n v="1225"/>
    <s v="2540012 TAMPO RASCUNHOS (A07820) DIVERSAS U"/>
    <s v="DIVINO COLCHONES"/>
    <s v="EX "/>
    <s v="Colchão M.E."/>
    <m/>
    <s v="CONEXÃO MALHAS"/>
    <n v="45275"/>
    <m/>
    <m/>
    <n v="6355.82"/>
    <s v="MT "/>
    <n v="240"/>
    <m/>
    <n v="439"/>
    <m/>
    <m/>
    <m/>
    <m/>
    <m/>
    <m/>
    <m/>
    <m/>
    <m/>
    <m/>
    <m/>
    <s v="DIVINO S.A"/>
    <s v="CONEXAO MALHAS E DESENVOLVIMENTO LTDA"/>
    <n v="14.477949886104783"/>
  </r>
  <r>
    <x v="6"/>
    <x v="2"/>
    <s v="COLCHÃO M.E."/>
    <s v="DIRETO"/>
    <x v="1"/>
    <s v="NADA"/>
    <s v="URUGUAI"/>
    <n v="50474"/>
    <n v="2339"/>
    <s v="436882 CETIM 76 CONEXAO 51 DIVERSAS U"/>
    <s v="DIVINO COLCHONES"/>
    <s v="EX "/>
    <s v="Colchão M.E."/>
    <m/>
    <s v="CONEXÃO MALHAS"/>
    <n v="45275"/>
    <m/>
    <m/>
    <n v="18342"/>
    <s v="MT "/>
    <m/>
    <m/>
    <n v="2500"/>
    <m/>
    <m/>
    <m/>
    <m/>
    <m/>
    <m/>
    <m/>
    <m/>
    <m/>
    <m/>
    <m/>
    <s v="DIVINO S.A"/>
    <s v="CONEXAO MALHAS E DESENVOLVIMENTO LTDA"/>
    <n v="7.3368000000000002"/>
  </r>
  <r>
    <x v="6"/>
    <x v="2"/>
    <s v="COLCHÃO M.E."/>
    <s v="DIRETO"/>
    <x v="22"/>
    <s v="NADA"/>
    <s v="AMERICA CENTRAL E CARIBE"/>
    <n v="50484"/>
    <n v="2047"/>
    <s v="FITIM CINZA DIVERSAS U"/>
    <s v="RMD RECYCLING"/>
    <s v="EX "/>
    <s v="Colchão M.E."/>
    <m/>
    <s v="DIRETO"/>
    <n v="45278"/>
    <m/>
    <m/>
    <n v="1625.16"/>
    <s v="MT "/>
    <m/>
    <m/>
    <n v="3290"/>
    <m/>
    <m/>
    <m/>
    <m/>
    <m/>
    <m/>
    <m/>
    <m/>
    <m/>
    <m/>
    <m/>
    <s v="RMD RECYCLING 753 LLC"/>
    <s v="CARLOS FIDENCIO D AVALOS RUIZ JUNIOR 34496952823"/>
    <n v="0.49396960486322189"/>
  </r>
  <r>
    <x v="6"/>
    <x v="2"/>
    <s v="COLCHÃO M.E."/>
    <s v="DIRETO"/>
    <x v="22"/>
    <s v="NADA"/>
    <s v="AMERICA CENTRAL E CARIBE"/>
    <n v="50484"/>
    <n v="2479"/>
    <s v="FITIM BCO DOURADO DIVERSAS U"/>
    <s v="RMD RECYCLING"/>
    <s v="EX "/>
    <s v="Colchão M.E."/>
    <m/>
    <s v="DIRETO"/>
    <n v="45278"/>
    <m/>
    <m/>
    <n v="2977.65"/>
    <s v="MT "/>
    <m/>
    <m/>
    <n v="6028"/>
    <m/>
    <m/>
    <m/>
    <m/>
    <m/>
    <m/>
    <m/>
    <m/>
    <m/>
    <m/>
    <m/>
    <s v="RMD RECYCLING 753 LLC"/>
    <s v="CARLOS FIDENCIO D AVALOS RUIZ JUNIOR 34496952823"/>
    <n v="0.4939698075646981"/>
  </r>
  <r>
    <x v="6"/>
    <x v="2"/>
    <s v="COLCHÃO M.E."/>
    <s v="DIRETO"/>
    <x v="22"/>
    <s v="NADA"/>
    <s v="AMERICA CENTRAL E CARIBE"/>
    <n v="50484"/>
    <n v="2480"/>
    <s v="FITIM CARAMELO DIVERSAS U"/>
    <s v="RMD RECYCLING"/>
    <s v="EX "/>
    <s v="Colchão M.E."/>
    <m/>
    <s v="DIRETO"/>
    <n v="45278"/>
    <m/>
    <m/>
    <n v="1491.79"/>
    <s v="MT "/>
    <m/>
    <m/>
    <n v="3020"/>
    <m/>
    <m/>
    <m/>
    <m/>
    <m/>
    <m/>
    <m/>
    <m/>
    <m/>
    <m/>
    <m/>
    <s v="RMD RECYCLING 753 LLC"/>
    <s v="CARLOS FIDENCIO D AVALOS RUIZ JUNIOR 34496952823"/>
    <n v="0.49397019867549669"/>
  </r>
  <r>
    <x v="6"/>
    <x v="2"/>
    <s v="COLCHÃO M.E."/>
    <s v="DIRETO"/>
    <x v="22"/>
    <s v="NADA"/>
    <s v="AMERICA CENTRAL E CARIBE"/>
    <n v="50484"/>
    <n v="2481"/>
    <s v="FITIM BRANCO DIVERSAS U"/>
    <s v="RMD RECYCLING"/>
    <s v="EX "/>
    <s v="Colchão M.E."/>
    <m/>
    <s v="DIRETO"/>
    <n v="45278"/>
    <m/>
    <m/>
    <n v="1686.91"/>
    <s v="MT "/>
    <m/>
    <m/>
    <n v="3415"/>
    <m/>
    <m/>
    <m/>
    <m/>
    <m/>
    <m/>
    <m/>
    <m/>
    <m/>
    <m/>
    <m/>
    <s v="RMD RECYCLING 753 LLC"/>
    <s v="CARLOS FIDENCIO D AVALOS RUIZ JUNIOR 34496952823"/>
    <n v="0.49397071742313325"/>
  </r>
  <r>
    <x v="6"/>
    <x v="2"/>
    <s v="COLCHÃO M.E."/>
    <s v="DIRETO"/>
    <x v="22"/>
    <s v="NADA"/>
    <s v="AMERICA CENTRAL E CARIBE"/>
    <n v="50484"/>
    <n v="1706"/>
    <s v="SEGUNDAQUALIDADE DIVERSAS U"/>
    <s v="RMD RECYCLING"/>
    <s v="EX "/>
    <s v="Colchão M.E."/>
    <m/>
    <s v="DIRETO"/>
    <n v="45278"/>
    <m/>
    <m/>
    <n v="52121.74"/>
    <s v="MT "/>
    <m/>
    <m/>
    <n v="7816"/>
    <m/>
    <m/>
    <m/>
    <m/>
    <m/>
    <m/>
    <m/>
    <m/>
    <m/>
    <m/>
    <m/>
    <s v="RMD RECYCLING 753 LLC"/>
    <s v="CARLOS FIDENCIO D AVALOS RUIZ JUNIOR 34496952823"/>
    <n v="6.6685951893551687"/>
  </r>
  <r>
    <x v="6"/>
    <x v="2"/>
    <s v="COLCHÃO M.E."/>
    <s v="DIRETO"/>
    <x v="22"/>
    <s v="NADA"/>
    <s v="AMERICA CENTRAL E CARIBE"/>
    <n v="50485"/>
    <n v="1706"/>
    <s v="SEGUNDAQUALIDADE DIVERSAS U"/>
    <s v="RMD RECYCLING"/>
    <s v="EX "/>
    <s v="Colchão M.E."/>
    <m/>
    <s v="DIRETO"/>
    <n v="45278"/>
    <m/>
    <m/>
    <n v="30539.32"/>
    <s v="MT "/>
    <m/>
    <m/>
    <n v="4512"/>
    <m/>
    <m/>
    <m/>
    <m/>
    <m/>
    <m/>
    <m/>
    <m/>
    <m/>
    <m/>
    <m/>
    <s v="RMD RECYCLING 753 LLC"/>
    <s v="CARLOS FIDENCIO D AVALOS RUIZ JUNIOR 34496952823"/>
    <n v="6.7684663120567379"/>
  </r>
  <r>
    <x v="6"/>
    <x v="2"/>
    <s v="COLCHÃO M.E."/>
    <s v="DIRETO"/>
    <x v="25"/>
    <s v="NADA"/>
    <s v="AMERICA CENTRAL E CARIBE"/>
    <n v="50486"/>
    <n v="1706"/>
    <s v="SEGUNDAQUALIDADE DIVERSAS U"/>
    <s v="AGT AMERICAN GARMENT TEXTIL"/>
    <s v="EX "/>
    <s v="Colchão M.E."/>
    <m/>
    <s v="DIRETO"/>
    <n v="45278"/>
    <m/>
    <m/>
    <n v="65173.56"/>
    <s v="MT "/>
    <m/>
    <m/>
    <n v="9629"/>
    <m/>
    <m/>
    <m/>
    <m/>
    <m/>
    <m/>
    <m/>
    <m/>
    <m/>
    <m/>
    <m/>
    <s v="AGT AMERICAN GARMENT TEXTIL"/>
    <s v="CARLOS FIDENCIO D AVALOS RUIZ JUNIOR 34496952823"/>
    <n v="6.7684660920137087"/>
  </r>
  <r>
    <x v="6"/>
    <x v="2"/>
    <s v="COLCHÃO M.E."/>
    <s v="DIRETO"/>
    <x v="26"/>
    <s v="NADA"/>
    <s v="PARAGUAI"/>
    <n v="50525"/>
    <n v="2509"/>
    <s v="3040001 TP ML 180G 2,10L 0074011 DIVERSAS U"/>
    <s v="FERNANDO B. GONZALEZ MINIOTIS"/>
    <s v="EX "/>
    <s v="Colchão M.E."/>
    <m/>
    <s v="CONEXÃO MALHAS"/>
    <n v="45280"/>
    <m/>
    <m/>
    <n v="4049.17"/>
    <s v="MT "/>
    <m/>
    <m/>
    <m/>
    <m/>
    <m/>
    <m/>
    <m/>
    <m/>
    <m/>
    <m/>
    <m/>
    <m/>
    <m/>
    <m/>
    <s v="FERNANDO B. GONZALEZ MINIOTIS"/>
    <s v="CARLOS FIDENCIO D AVALOS RUIZ JUNIOR 34496952823"/>
    <n v="0"/>
  </r>
  <r>
    <x v="6"/>
    <x v="2"/>
    <s v="COLCHÃO M.E."/>
    <s v="DIRETO"/>
    <x v="26"/>
    <s v="NADA"/>
    <s v="PARAGUAI"/>
    <n v="50525"/>
    <n v="2510"/>
    <s v="3040002 TP ML 180G 2,10L 0079001 DIVERSAS U"/>
    <s v="FERNANDO B. GONZALEZ MINIOTIS"/>
    <s v="EX "/>
    <s v="Colchão M.E."/>
    <m/>
    <s v="CONEXÃO MALHAS"/>
    <n v="45280"/>
    <m/>
    <m/>
    <n v="4190.3500000000004"/>
    <s v="MT "/>
    <m/>
    <m/>
    <m/>
    <m/>
    <m/>
    <m/>
    <m/>
    <m/>
    <m/>
    <m/>
    <m/>
    <m/>
    <m/>
    <m/>
    <s v="FERNANDO B. GONZALEZ MINIOTIS"/>
    <s v="CARLOS FIDENCIO D AVALOS RUIZ JUNIOR 34496952823"/>
    <n v="0"/>
  </r>
  <r>
    <x v="6"/>
    <x v="2"/>
    <s v="COLCHÃO M.E."/>
    <s v="DIRETO"/>
    <x v="26"/>
    <s v="NADA"/>
    <s v="PARAGUAI"/>
    <n v="50525"/>
    <n v="2511"/>
    <s v="3040003 TP ML 180G 2,10L 0080001 DIVERSAS U"/>
    <s v="FERNANDO B. GONZALEZ MINIOTIS"/>
    <s v="EX "/>
    <s v="Colchão M.E."/>
    <m/>
    <s v="CONEXÃO MALHAS"/>
    <n v="45280"/>
    <m/>
    <m/>
    <n v="3121.89"/>
    <s v="MT "/>
    <m/>
    <m/>
    <m/>
    <m/>
    <m/>
    <m/>
    <m/>
    <m/>
    <m/>
    <m/>
    <m/>
    <m/>
    <m/>
    <m/>
    <s v="FERNANDO B. GONZALEZ MINIOTIS"/>
    <s v="CARLOS FIDENCIO D AVALOS RUIZ JUNIOR 34496952823"/>
    <n v="0"/>
  </r>
  <r>
    <x v="6"/>
    <x v="2"/>
    <s v="COLCHÃO M.E."/>
    <s v="DIRETO"/>
    <x v="26"/>
    <s v="NADA"/>
    <s v="PARAGUAI"/>
    <n v="50525"/>
    <n v="2512"/>
    <s v="3040004 TP ML 180G 2,10L 0087001 DIVERSAS U"/>
    <s v="FERNANDO B. GONZALEZ MINIOTIS"/>
    <s v="EX "/>
    <s v="Colchão M.E."/>
    <m/>
    <s v="CONEXÃO MALHAS"/>
    <n v="45280"/>
    <m/>
    <m/>
    <n v="4161.2"/>
    <s v="MT "/>
    <m/>
    <m/>
    <m/>
    <m/>
    <m/>
    <m/>
    <m/>
    <m/>
    <m/>
    <m/>
    <m/>
    <m/>
    <m/>
    <m/>
    <s v="FERNANDO B. GONZALEZ MINIOTIS"/>
    <s v="CARLOS FIDENCIO D AVALOS RUIZ JUNIOR 34496952823"/>
    <n v="0"/>
  </r>
  <r>
    <x v="6"/>
    <x v="2"/>
    <s v="COLCHÃO M.E."/>
    <s v="DIRETO"/>
    <x v="26"/>
    <s v="NADA"/>
    <s v="PARAGUAI"/>
    <n v="50525"/>
    <n v="2513"/>
    <s v="3040005 TP ML 180G 2,10L 0012001 DIVERSAS U"/>
    <s v="FERNANDO B. GONZALEZ MINIOTIS"/>
    <s v="EX "/>
    <s v="Colchão M.E."/>
    <m/>
    <s v="CONEXÃO MALHAS"/>
    <n v="45280"/>
    <m/>
    <m/>
    <n v="4449.29"/>
    <s v="MT "/>
    <m/>
    <m/>
    <m/>
    <m/>
    <m/>
    <m/>
    <m/>
    <m/>
    <m/>
    <m/>
    <m/>
    <m/>
    <m/>
    <m/>
    <s v="FERNANDO B. GONZALEZ MINIOTIS"/>
    <s v="CARLOS FIDENCIO D AVALOS RUIZ JUNIOR 34496952823"/>
    <n v="0"/>
  </r>
  <r>
    <x v="6"/>
    <x v="2"/>
    <s v="COLCHÃO M.E."/>
    <s v="DIRETO"/>
    <x v="26"/>
    <s v="NADA"/>
    <s v="PARAGUAI"/>
    <n v="50557"/>
    <n v="2509"/>
    <s v="3040001 TP ML 180G 2,10L 0074011 DIVERSAS U"/>
    <s v="FERNANDO B. GONZALEZ MINIOTIS"/>
    <s v="EX "/>
    <s v="Colchão M.E."/>
    <m/>
    <s v="CONEXÃO MALHAS"/>
    <n v="45281"/>
    <m/>
    <m/>
    <n v="3082.01"/>
    <s v="MT "/>
    <n v="180"/>
    <m/>
    <n v="395"/>
    <m/>
    <m/>
    <m/>
    <m/>
    <m/>
    <m/>
    <m/>
    <m/>
    <m/>
    <m/>
    <m/>
    <s v="FERNANDO B. GONZALEZ MINIOTIS"/>
    <s v="CARLOS FIDENCIO D AVALOS RUIZ JUNIOR 34496952823"/>
    <n v="7.8025569620253172"/>
  </r>
  <r>
    <x v="6"/>
    <x v="2"/>
    <s v="COLCHÃO M.E."/>
    <s v="DIRETO"/>
    <x v="26"/>
    <s v="NADA"/>
    <s v="PARAGUAI"/>
    <n v="50557"/>
    <n v="2510"/>
    <s v="3040002 TP ML 180G 2,10L 0079001 DIVERSAS U"/>
    <s v="FERNANDO B. GONZALEZ MINIOTIS"/>
    <s v="EX "/>
    <s v="Colchão M.E."/>
    <m/>
    <s v="CONEXÃO MALHAS"/>
    <n v="45281"/>
    <m/>
    <m/>
    <n v="4392.45"/>
    <s v="MT "/>
    <n v="180"/>
    <m/>
    <n v="556"/>
    <m/>
    <m/>
    <m/>
    <m/>
    <m/>
    <m/>
    <m/>
    <m/>
    <m/>
    <m/>
    <m/>
    <s v="FERNANDO B. GONZALEZ MINIOTIS"/>
    <s v="CARLOS FIDENCIO D AVALOS RUIZ JUNIOR 34496952823"/>
    <n v="7.9000899280575538"/>
  </r>
  <r>
    <x v="6"/>
    <x v="2"/>
    <s v="COLCHÃO M.E."/>
    <s v="DIRETO"/>
    <x v="26"/>
    <s v="NADA"/>
    <s v="PARAGUAI"/>
    <n v="50557"/>
    <n v="2511"/>
    <s v="3040003 TP ML 180G 2,10L 0080001 DIVERSAS U"/>
    <s v="FERNANDO B. GONZALEZ MINIOTIS"/>
    <s v="EX "/>
    <s v="Colchão M.E."/>
    <m/>
    <s v="CONEXÃO MALHAS"/>
    <n v="45281"/>
    <m/>
    <m/>
    <n v="4108.05"/>
    <s v="MT "/>
    <n v="180"/>
    <m/>
    <n v="520"/>
    <m/>
    <m/>
    <m/>
    <m/>
    <m/>
    <m/>
    <m/>
    <m/>
    <m/>
    <m/>
    <m/>
    <s v="FERNANDO B. GONZALEZ MINIOTIS"/>
    <s v="CARLOS FIDENCIO D AVALOS RUIZ JUNIOR 34496952823"/>
    <n v="7.900096153846154"/>
  </r>
  <r>
    <x v="6"/>
    <x v="2"/>
    <s v="COLCHÃO M.E."/>
    <s v="DIRETO"/>
    <x v="26"/>
    <s v="NADA"/>
    <s v="PARAGUAI"/>
    <n v="50557"/>
    <n v="2512"/>
    <s v="3040004 TP ML 180G 2,10L 0087001 DIVERSAS U"/>
    <s v="FERNANDO B. GONZALEZ MINIOTIS"/>
    <s v="EX "/>
    <s v="Colchão M.E."/>
    <m/>
    <s v="CONEXÃO MALHAS"/>
    <n v="45281"/>
    <m/>
    <m/>
    <n v="4136.82"/>
    <s v="MT "/>
    <n v="180"/>
    <m/>
    <n v="499"/>
    <m/>
    <m/>
    <m/>
    <m/>
    <m/>
    <m/>
    <m/>
    <m/>
    <m/>
    <m/>
    <m/>
    <s v="FERNANDO B. GONZALEZ MINIOTIS"/>
    <s v="CARLOS FIDENCIO D AVALOS RUIZ JUNIOR 34496952823"/>
    <n v="8.2902204408817628"/>
  </r>
  <r>
    <x v="6"/>
    <x v="2"/>
    <s v="COLCHÃO M.E."/>
    <s v="DIRETO"/>
    <x v="26"/>
    <s v="NADA"/>
    <s v="PARAGUAI"/>
    <n v="50557"/>
    <n v="2513"/>
    <s v="3040005 TP ML 180G 2,10L 0012001 DIVERSAS U"/>
    <s v="FERNANDO B. GONZALEZ MINIOTIS"/>
    <s v="EX "/>
    <s v="Colchão M.E."/>
    <m/>
    <s v="CONEXÃO MALHAS"/>
    <n v="45281"/>
    <m/>
    <m/>
    <n v="3997.45"/>
    <s v="MT "/>
    <n v="180"/>
    <m/>
    <n v="506"/>
    <m/>
    <m/>
    <m/>
    <m/>
    <m/>
    <m/>
    <m/>
    <m/>
    <m/>
    <m/>
    <m/>
    <s v="FERNANDO B. GONZALEZ MINIOTIS"/>
    <s v="CARLOS FIDENCIO D AVALOS RUIZ JUNIOR 34496952823"/>
    <n v="7.9000988142292483"/>
  </r>
  <r>
    <x v="6"/>
    <x v="2"/>
    <s v="COLCHÃO M.E."/>
    <s v="DIRETO"/>
    <x v="24"/>
    <s v="NADA"/>
    <s v="EQUADOR"/>
    <n v="50561"/>
    <n v="2584"/>
    <s v="3260002 TP ESTRELLAS AZUL 160G 2,10L DIVERSAS U"/>
    <s v="PRODUCTOS PARAISO DEL ECUADOR"/>
    <s v="EX "/>
    <s v="Colchão M.E."/>
    <m/>
    <s v="CONEXÃO MALHAS"/>
    <n v="45286"/>
    <m/>
    <m/>
    <n v="15941.59"/>
    <s v="MT "/>
    <n v="160"/>
    <m/>
    <n v="1656"/>
    <m/>
    <m/>
    <m/>
    <m/>
    <m/>
    <m/>
    <m/>
    <m/>
    <m/>
    <m/>
    <m/>
    <s v="PRODUCTOS PARAISO DEL ECUADOR"/>
    <s v="CARLOS FIDENCIO D AVALOS RUIZ JUNIOR 34496952823"/>
    <n v="9.6265640096618359"/>
  </r>
  <r>
    <x v="6"/>
    <x v="2"/>
    <s v="COLCHÃO M.E."/>
    <s v="DIRETO"/>
    <x v="24"/>
    <s v="NADA"/>
    <s v="EQUADOR"/>
    <n v="50561"/>
    <n v="2582"/>
    <s v="3260001 TP PARAISO PREMIUM 240G 2,20L DIVERSAS U"/>
    <s v="PRODUCTOS PARAISO DEL ECUADOR"/>
    <s v="EX "/>
    <s v="Colchão M.E."/>
    <m/>
    <s v="CONEXÃO MALHAS"/>
    <n v="45286"/>
    <m/>
    <m/>
    <n v="35919.81"/>
    <s v="MT "/>
    <n v="240"/>
    <m/>
    <n v="3389"/>
    <m/>
    <m/>
    <m/>
    <m/>
    <m/>
    <m/>
    <m/>
    <m/>
    <m/>
    <m/>
    <m/>
    <s v="PRODUCTOS PARAISO DEL ECUADOR"/>
    <s v="CARLOS FIDENCIO D AVALOS RUIZ JUNIOR 34496952823"/>
    <n v="10.598940690469163"/>
  </r>
  <r>
    <x v="7"/>
    <x v="3"/>
    <s v="COLCHÃO M.E."/>
    <s v="DIRETO"/>
    <x v="1"/>
    <s v="NADA"/>
    <s v="URUGUAI"/>
    <n v="51145"/>
    <n v="2054"/>
    <s v="2540026 TP ML 0072051 - 280G 2,20L DEGRA DIVERSAS U"/>
    <s v="DIVINO COLCHONES"/>
    <s v="EX "/>
    <s v="Colchão M.E."/>
    <m/>
    <s v="CONEXÃO MALHAS"/>
    <n v="45320"/>
    <m/>
    <m/>
    <n v="18109.439999999999"/>
    <s v="MT "/>
    <m/>
    <m/>
    <n v="1152"/>
    <m/>
    <m/>
    <m/>
    <m/>
    <m/>
    <m/>
    <m/>
    <m/>
    <m/>
    <m/>
    <m/>
    <s v="DIVINO S.A"/>
    <s v="CONEXAO MALHAS E DESENVOLVIMENTO LTDA"/>
    <n v="15.719999999999999"/>
  </r>
  <r>
    <x v="7"/>
    <x v="3"/>
    <s v="COLCHÃO M.E."/>
    <s v="DIRETO"/>
    <x v="1"/>
    <s v="NADA"/>
    <s v="URUGUAI"/>
    <n v="51145"/>
    <n v="1905"/>
    <s v="2540019 NUEVO GALHOS 3 V02 (1922) - TOL DIVERSAS U"/>
    <s v="DIVINO COLCHONES"/>
    <s v="EX "/>
    <s v="Colchão M.E."/>
    <m/>
    <s v="CONEXÃO MALHAS"/>
    <n v="45320"/>
    <m/>
    <m/>
    <n v="11845.02"/>
    <s v="MT "/>
    <m/>
    <m/>
    <n v="1507"/>
    <m/>
    <m/>
    <m/>
    <m/>
    <m/>
    <m/>
    <m/>
    <m/>
    <m/>
    <m/>
    <m/>
    <s v="DIVINO S.A"/>
    <s v="CONEXAO MALHAS E DESENVOLVIMENTO LTDA"/>
    <n v="7.86"/>
  </r>
  <r>
    <x v="7"/>
    <x v="3"/>
    <s v="COLCHÃO M.E."/>
    <s v="DIRETO"/>
    <x v="1"/>
    <s v="NADA"/>
    <s v="URUGUAI"/>
    <n v="51145"/>
    <n v="1525"/>
    <s v="2540022 TP ML FOLHAS IMAG 320G 2,10 DIVERSAS U"/>
    <s v="DIVINO COLCHONES"/>
    <s v="EX "/>
    <s v="Colchão M.E."/>
    <m/>
    <s v="CONEXÃO MALHAS"/>
    <n v="45320"/>
    <m/>
    <m/>
    <n v="45096.5"/>
    <s v="MT "/>
    <m/>
    <m/>
    <n v="2435"/>
    <m/>
    <m/>
    <m/>
    <m/>
    <m/>
    <m/>
    <m/>
    <m/>
    <m/>
    <m/>
    <m/>
    <s v="DIVINO S.A"/>
    <s v="CONEXAO MALHAS E DESENVOLVIMENTO LTDA"/>
    <n v="18.520123203285422"/>
  </r>
  <r>
    <x v="7"/>
    <x v="3"/>
    <s v="COLCHÃO M.E."/>
    <s v="DIRETO"/>
    <x v="1"/>
    <s v="NADA"/>
    <s v="URUGUAI"/>
    <n v="51145"/>
    <n v="2339"/>
    <s v="436882 CETIM 76 CONEXAO 51 DIVERSAS U"/>
    <s v="DIVINO COLCHONES"/>
    <s v="EX "/>
    <s v="Colchão M.E."/>
    <m/>
    <s v="CONEXÃO MALHAS"/>
    <n v="45320"/>
    <m/>
    <m/>
    <n v="19202.96"/>
    <s v="MT "/>
    <m/>
    <m/>
    <n v="2606"/>
    <m/>
    <m/>
    <m/>
    <m/>
    <m/>
    <m/>
    <m/>
    <m/>
    <m/>
    <m/>
    <m/>
    <s v="DIVINO S.A"/>
    <s v="CONEXAO MALHAS E DESENVOLVIMENTO LTDA"/>
    <n v="7.3687490406753646"/>
  </r>
  <r>
    <x v="7"/>
    <x v="3"/>
    <s v="COLCHÃO M.E."/>
    <s v="DIRETO"/>
    <x v="1"/>
    <s v="NADA"/>
    <s v="URUGUAI"/>
    <n v="51145"/>
    <n v="2496"/>
    <s v="2540028 TP CORDERO 310G 2,10L 0186002 DIVERSAS U"/>
    <s v="DIVINO COLCHONES"/>
    <s v="EX "/>
    <s v="Colchão M.E."/>
    <m/>
    <s v="CONEXÃO MALHAS"/>
    <n v="45320"/>
    <m/>
    <m/>
    <n v="5385.08"/>
    <s v="MT "/>
    <m/>
    <m/>
    <n v="261"/>
    <m/>
    <m/>
    <m/>
    <m/>
    <m/>
    <m/>
    <m/>
    <m/>
    <m/>
    <m/>
    <m/>
    <s v="DIVINO S.A"/>
    <s v="CONEXAO MALHAS E DESENVOLVIMENTO LTDA"/>
    <n v="20.632490421455937"/>
  </r>
  <r>
    <x v="7"/>
    <x v="3"/>
    <s v="COLCHÃO M.E."/>
    <s v="DIRETO"/>
    <x v="1"/>
    <s v="NADA"/>
    <s v="URUGUAI"/>
    <n v="51145"/>
    <n v="2497"/>
    <s v="2540029 TP LUNA 230G 2,20L 0070001 DIVERSAS U"/>
    <s v="DIVINO COLCHONES"/>
    <s v="EX "/>
    <s v="Colchão M.E."/>
    <m/>
    <s v="CONEXÃO MALHAS"/>
    <n v="45320"/>
    <m/>
    <m/>
    <n v="8064.36"/>
    <s v="MT "/>
    <m/>
    <m/>
    <n v="684"/>
    <m/>
    <m/>
    <m/>
    <m/>
    <m/>
    <m/>
    <m/>
    <m/>
    <m/>
    <m/>
    <m/>
    <s v="DIVINO S.A"/>
    <s v="CONEXAO MALHAS E DESENVOLVIMENTO LTDA"/>
    <n v="11.79"/>
  </r>
  <r>
    <x v="7"/>
    <x v="3"/>
    <s v="COLCHÃO M.E."/>
    <s v="DIRETO"/>
    <x v="1"/>
    <s v="NADA"/>
    <s v="URUGUAI"/>
    <n v="51145"/>
    <n v="1506"/>
    <s v="2540017 TP ML A08980 280G 2,10L DIVERSAS U"/>
    <s v="DIVINO COLCHONES"/>
    <s v="EX "/>
    <s v="Colchão M.E."/>
    <m/>
    <s v="CONEXÃO MALHAS"/>
    <n v="45320"/>
    <m/>
    <m/>
    <n v="38135.74"/>
    <s v="MT "/>
    <m/>
    <m/>
    <n v="2218"/>
    <m/>
    <m/>
    <m/>
    <m/>
    <m/>
    <m/>
    <m/>
    <m/>
    <m/>
    <m/>
    <m/>
    <s v="DIVINO S.A"/>
    <s v="CONEXAO MALHAS E DESENVOLVIMENTO LTDA"/>
    <n v="17.193751127141567"/>
  </r>
  <r>
    <x v="7"/>
    <x v="3"/>
    <s v="COLCHÃO M.E."/>
    <s v="DIRETO"/>
    <x v="1"/>
    <s v="NADA"/>
    <s v="URUGUAI"/>
    <n v="51145"/>
    <n v="1504"/>
    <s v="2540018 TP ML DIV 7806 240G 2,10L DIVERSAS U"/>
    <s v="DIVINO COLCHONES"/>
    <s v="EX "/>
    <s v="Colchão M.E."/>
    <m/>
    <s v="CONEXÃO MALHAS"/>
    <n v="45320"/>
    <m/>
    <m/>
    <n v="78082.22"/>
    <s v="MT "/>
    <m/>
    <m/>
    <n v="5388"/>
    <m/>
    <m/>
    <m/>
    <m/>
    <m/>
    <m/>
    <m/>
    <m/>
    <m/>
    <m/>
    <m/>
    <s v="DIVINO S.A"/>
    <s v="CONEXAO MALHAS E DESENVOLVIMENTO LTDA"/>
    <n v="14.491874536005939"/>
  </r>
  <r>
    <x v="7"/>
    <x v="3"/>
    <s v="COLCHÃO M.E."/>
    <s v="DIRETO"/>
    <x v="1"/>
    <s v="NADA"/>
    <s v="URUGUAI"/>
    <n v="51145"/>
    <n v="1236"/>
    <s v="2540005 TAMPO GEOMETRICO (A07370) DIVERSAS U"/>
    <s v="DIVINO COLCHONES"/>
    <s v="EX "/>
    <s v="Colchão M.E."/>
    <m/>
    <s v="CONEXÃO MALHAS"/>
    <n v="45320"/>
    <m/>
    <m/>
    <n v="18380.12"/>
    <s v="MT "/>
    <m/>
    <m/>
    <n v="1069"/>
    <m/>
    <m/>
    <m/>
    <m/>
    <m/>
    <m/>
    <m/>
    <m/>
    <m/>
    <m/>
    <m/>
    <s v="DIVINO S.A"/>
    <s v="CONEXAO MALHAS E DESENVOLVIMENTO LTDA"/>
    <n v="17.193751169317117"/>
  </r>
  <r>
    <x v="7"/>
    <x v="3"/>
    <s v="COLCHÃO M.E."/>
    <s v="DIRETO"/>
    <x v="1"/>
    <s v="NADA"/>
    <s v="URUGUAI"/>
    <n v="51145"/>
    <n v="1226"/>
    <s v="2540015 TAMPO PONTILHADOS PRETO (A07803) DIVERSAS U"/>
    <s v="DIVINO COLCHONES"/>
    <s v="EX "/>
    <s v="Colchão M.E."/>
    <m/>
    <s v="CONEXÃO MALHAS"/>
    <n v="45320"/>
    <m/>
    <m/>
    <n v="5939.21"/>
    <s v="MT "/>
    <m/>
    <m/>
    <n v="403"/>
    <m/>
    <m/>
    <m/>
    <m/>
    <m/>
    <m/>
    <m/>
    <m/>
    <m/>
    <m/>
    <m/>
    <s v="DIVINO S.A"/>
    <s v="CONEXAO MALHAS E DESENVOLVIMENTO LTDA"/>
    <n v="14.737493796526055"/>
  </r>
  <r>
    <x v="7"/>
    <x v="3"/>
    <s v="COLCHÃO M.E."/>
    <s v="DIRETO"/>
    <x v="1"/>
    <s v="NADA"/>
    <s v="URUGUAI"/>
    <n v="51145"/>
    <n v="1225"/>
    <s v="2540012 TAMPO RASCUNHOS (A07820) DIVERSAS U"/>
    <s v="DIVINO COLCHONES"/>
    <s v="EX "/>
    <s v="Colchão M.E."/>
    <m/>
    <s v="CONEXÃO MALHAS"/>
    <n v="45320"/>
    <m/>
    <m/>
    <n v="101990.57"/>
    <s v="MT "/>
    <m/>
    <m/>
    <n v="7014"/>
    <m/>
    <m/>
    <m/>
    <m/>
    <m/>
    <m/>
    <m/>
    <m/>
    <m/>
    <m/>
    <m/>
    <s v="DIVINO S.A"/>
    <s v="CONEXAO MALHAS E DESENVOLVIMENTO LTDA"/>
    <n v="14.540999429712006"/>
  </r>
  <r>
    <x v="7"/>
    <x v="3"/>
    <s v="COLCHÃO M.E."/>
    <s v="DIRETO"/>
    <x v="9"/>
    <s v="NADA"/>
    <s v="CHILE"/>
    <n v="51203"/>
    <n v="1419"/>
    <s v="2810009 TP MESCLA 180G 2,20L (1122580) DIVERSAS U"/>
    <s v="FLEX CHILE"/>
    <s v="EX "/>
    <s v="Colchão M.E."/>
    <m/>
    <s v="DIRETO"/>
    <n v="45322"/>
    <m/>
    <m/>
    <n v="26862.52"/>
    <s v="MT "/>
    <m/>
    <m/>
    <n v="2427"/>
    <m/>
    <m/>
    <m/>
    <m/>
    <m/>
    <m/>
    <m/>
    <m/>
    <m/>
    <m/>
    <m/>
    <s v="FLEX CHILE"/>
    <s v="CARLOS FIDENCIO D AVALOS RUIZ JUNIOR 34496952823"/>
    <n v="11.068199423156161"/>
  </r>
  <r>
    <x v="7"/>
    <x v="3"/>
    <s v="COLCHÃO M.E."/>
    <s v="DIRETO"/>
    <x v="9"/>
    <s v="NADA"/>
    <s v="CHILE"/>
    <n v="51203"/>
    <n v="1422"/>
    <s v="2810005 TP FOLHA 240G 2,20L (1121110) DIVERSAS U"/>
    <s v="FLEX CHILE"/>
    <s v="EX "/>
    <s v="Colchão M.E."/>
    <m/>
    <s v="DIRETO"/>
    <n v="45322"/>
    <m/>
    <m/>
    <n v="19796.14"/>
    <s v="MT "/>
    <m/>
    <m/>
    <n v="1422"/>
    <m/>
    <m/>
    <m/>
    <m/>
    <m/>
    <m/>
    <m/>
    <m/>
    <m/>
    <m/>
    <m/>
    <s v="FLEX CHILE"/>
    <s v="CARLOS FIDENCIO D AVALOS RUIZ JUNIOR 34496952823"/>
    <n v="13.921336146272855"/>
  </r>
  <r>
    <x v="8"/>
    <x v="3"/>
    <s v="COLCHÃO M.E."/>
    <s v="DIRETO"/>
    <x v="9"/>
    <s v="NADA"/>
    <s v="CHILE"/>
    <n v="51277"/>
    <n v="1422"/>
    <s v="2810005 TP FOLHA 240G 2,20L (1121110) DIVERSAS U"/>
    <s v="FLEX CHILE"/>
    <s v="EX "/>
    <s v="Colchão M.E."/>
    <m/>
    <s v="DIRETO"/>
    <n v="45328"/>
    <m/>
    <m/>
    <n v="23668.59"/>
    <s v="MT "/>
    <n v="240"/>
    <m/>
    <n v="1422"/>
    <m/>
    <m/>
    <m/>
    <m/>
    <m/>
    <m/>
    <m/>
    <m/>
    <m/>
    <m/>
    <m/>
    <s v="FLEX CHILE"/>
    <s v="CARLOS FIDENCIO D AVALOS RUIZ JUNIOR 34496952823"/>
    <n v="16.64457805907173"/>
  </r>
  <r>
    <x v="8"/>
    <x v="3"/>
    <s v="COLCHÃO M.E."/>
    <s v="DIRETO"/>
    <x v="9"/>
    <s v="NADA"/>
    <s v="CHILE"/>
    <n v="51395"/>
    <n v="1419"/>
    <s v="2810009 TP MESCLA 180G 2,20L (1122580) DIVERSAS U"/>
    <s v="FLEX CHILE"/>
    <s v="EX "/>
    <s v="Colchão M.E."/>
    <m/>
    <s v="DIRETO"/>
    <n v="45336"/>
    <m/>
    <m/>
    <n v="27332.69"/>
    <s v="MT "/>
    <n v="180"/>
    <m/>
    <n v="2427"/>
    <m/>
    <m/>
    <m/>
    <m/>
    <m/>
    <m/>
    <m/>
    <m/>
    <m/>
    <m/>
    <m/>
    <s v="FLEX CHILE"/>
    <s v="CARLOS FIDENCIO D AVALOS RUIZ JUNIOR 34496952823"/>
    <n v="11.261924186238154"/>
  </r>
  <r>
    <x v="8"/>
    <x v="3"/>
    <s v="COLCHÃO M.E."/>
    <s v="DIRETO"/>
    <x v="27"/>
    <s v="NADA"/>
    <s v="CHILE"/>
    <n v="51485"/>
    <n v="2799"/>
    <s v="3310003 TP ML A09311 560G 2,20L DIVERSAS U"/>
    <s v="FIBERSOFT"/>
    <s v="SC "/>
    <s v="Colchão M.E."/>
    <m/>
    <s v="DIRETO"/>
    <n v="45342"/>
    <m/>
    <m/>
    <n v="10940"/>
    <s v="MT "/>
    <n v="560"/>
    <m/>
    <n v="547"/>
    <m/>
    <m/>
    <m/>
    <m/>
    <m/>
    <m/>
    <m/>
    <m/>
    <m/>
    <m/>
    <m/>
    <s v="FIBERSOFT INDUSTRIA TEXTIL LTDA"/>
    <s v="CARLOS FIDENCIO D AVALOS RUIZ JUNIOR 34496952823"/>
    <n v="20"/>
  </r>
  <r>
    <x v="8"/>
    <x v="3"/>
    <s v="COLCHÃO M.E."/>
    <s v="DIRETO"/>
    <x v="27"/>
    <s v="NADA"/>
    <s v="CHILE"/>
    <n v="51485"/>
    <n v="2800"/>
    <s v="3310002 FUNDA GRIS 300G 2,20L DIVERSAS U"/>
    <s v="FIBERSOFT"/>
    <s v="SC "/>
    <s v="Colchão M.E."/>
    <m/>
    <s v="DIRETO"/>
    <n v="45342"/>
    <m/>
    <m/>
    <n v="1540"/>
    <s v="MT "/>
    <n v="300"/>
    <m/>
    <n v="154"/>
    <m/>
    <m/>
    <m/>
    <m/>
    <m/>
    <m/>
    <m/>
    <m/>
    <m/>
    <m/>
    <m/>
    <s v="FIBERSOFT INDUSTRIA TEXTIL LTDA"/>
    <s v="CARLOS FIDENCIO D AVALOS RUIZ JUNIOR 34496952823"/>
    <n v="10"/>
  </r>
  <r>
    <x v="8"/>
    <x v="3"/>
    <s v="COLCHÃO M.E."/>
    <s v="DIRETO"/>
    <x v="27"/>
    <s v="NADA"/>
    <s v="CHILE"/>
    <n v="51485"/>
    <n v="2801"/>
    <s v="3310001 FUNDA AZUL 300G 2,20L DIVERSAS U"/>
    <s v="FIBERSOFT"/>
    <s v="SC "/>
    <s v="Colchão M.E."/>
    <m/>
    <s v="DIRETO"/>
    <n v="45342"/>
    <m/>
    <m/>
    <n v="1380"/>
    <s v="MT "/>
    <n v="300"/>
    <m/>
    <n v="138"/>
    <m/>
    <m/>
    <m/>
    <m/>
    <m/>
    <m/>
    <m/>
    <m/>
    <m/>
    <m/>
    <m/>
    <s v="FIBERSOFT INDUSTRIA TEXTIL LTDA"/>
    <s v="CARLOS FIDENCIO D AVALOS RUIZ JUNIOR 34496952823"/>
    <n v="10"/>
  </r>
  <r>
    <x v="8"/>
    <x v="3"/>
    <s v="COLCHÃO M.E."/>
    <s v="DIRETO"/>
    <x v="1"/>
    <s v="NADA"/>
    <s v="URUGUAI"/>
    <n v="51560"/>
    <n v="2157"/>
    <s v="2540007 - ME TP DARK BRILHA 300G 2,20L DIVERSAS U"/>
    <s v="DIVINO COLCHONES"/>
    <s v="EX "/>
    <s v="Colchão M.E."/>
    <m/>
    <s v="CONEXÃO MALHAS"/>
    <n v="45345"/>
    <m/>
    <m/>
    <n v="14562.74"/>
    <s v="MT "/>
    <n v="300"/>
    <m/>
    <n v="623"/>
    <m/>
    <m/>
    <m/>
    <m/>
    <m/>
    <m/>
    <m/>
    <m/>
    <m/>
    <m/>
    <m/>
    <s v="DIVINO S.A"/>
    <s v="CONEXAO MALHAS E DESENVOLVIMENTO LTDA"/>
    <n v="23.375184590690207"/>
  </r>
  <r>
    <x v="8"/>
    <x v="3"/>
    <s v="COLCHÃO M.E."/>
    <s v="DIRETO"/>
    <x v="1"/>
    <s v="NADA"/>
    <s v="URUGUAI"/>
    <n v="51560"/>
    <n v="2495"/>
    <s v="2540027 TP COLMENA 470G 2,10L (A09706) DIVERSAS U"/>
    <s v="DIVINO COLCHONES"/>
    <s v="EX "/>
    <s v="Colchão M.E."/>
    <m/>
    <s v="CONEXÃO MALHAS"/>
    <n v="45345"/>
    <m/>
    <m/>
    <n v="14374.55"/>
    <s v="MT "/>
    <n v="470"/>
    <m/>
    <n v="513"/>
    <m/>
    <m/>
    <m/>
    <m/>
    <m/>
    <m/>
    <m/>
    <m/>
    <m/>
    <m/>
    <m/>
    <s v="DIVINO S.A"/>
    <s v="CONEXAO MALHAS E DESENVOLVIMENTO LTDA"/>
    <n v="28.020565302144249"/>
  </r>
  <r>
    <x v="8"/>
    <x v="3"/>
    <s v="COLCHÃO M.E."/>
    <s v="DIRETO"/>
    <x v="1"/>
    <s v="NADA"/>
    <s v="URUGUAI"/>
    <n v="51560"/>
    <n v="2054"/>
    <s v="2540026 TP ML 0072051 - 280G 2,20L DEGRA DIVERSAS U"/>
    <s v="DIVINO COLCHONES"/>
    <s v="EX "/>
    <s v="Colchão M.E."/>
    <m/>
    <s v="CONEXÃO MALHAS"/>
    <n v="45345"/>
    <m/>
    <m/>
    <n v="11892.19"/>
    <s v="MT "/>
    <n v="280"/>
    <m/>
    <n v="752"/>
    <m/>
    <m/>
    <m/>
    <m/>
    <m/>
    <m/>
    <m/>
    <m/>
    <m/>
    <m/>
    <m/>
    <s v="DIVINO S.A"/>
    <s v="CONEXAO MALHAS E DESENVOLVIMENTO LTDA"/>
    <n v="15.814082446808511"/>
  </r>
  <r>
    <x v="8"/>
    <x v="3"/>
    <s v="COLCHÃO M.E."/>
    <s v="DIRETO"/>
    <x v="1"/>
    <s v="NADA"/>
    <s v="URUGUAI"/>
    <n v="51560"/>
    <n v="1525"/>
    <s v="2540022 TP ML FOLHAS IMAG 320G 2,10 DIVERSAS U"/>
    <s v="DIVINO COLCHONES"/>
    <s v="EX "/>
    <s v="Colchão M.E."/>
    <m/>
    <s v="CONEXÃO MALHAS"/>
    <n v="45345"/>
    <m/>
    <m/>
    <n v="22729.77"/>
    <s v="MT "/>
    <n v="320"/>
    <m/>
    <n v="1220"/>
    <m/>
    <m/>
    <m/>
    <m/>
    <m/>
    <m/>
    <m/>
    <m/>
    <m/>
    <m/>
    <m/>
    <s v="DIVINO S.A"/>
    <s v="CONEXAO MALHAS E DESENVOLVIMENTO LTDA"/>
    <n v="18.630959016393444"/>
  </r>
  <r>
    <x v="8"/>
    <x v="3"/>
    <s v="COLCHÃO M.E."/>
    <s v="DIRETO"/>
    <x v="1"/>
    <s v="NADA"/>
    <s v="URUGUAI"/>
    <n v="51560"/>
    <n v="2496"/>
    <s v="2540028 TP CORDERO 310G 2,10L 0186002 DIVERSAS U"/>
    <s v="DIVINO COLCHONES"/>
    <s v="EX "/>
    <s v="Colchão M.E."/>
    <m/>
    <s v="CONEXÃO MALHAS"/>
    <n v="45345"/>
    <m/>
    <m/>
    <n v="6766.45"/>
    <s v="MT "/>
    <n v="310"/>
    <m/>
    <n v="326"/>
    <m/>
    <m/>
    <m/>
    <m/>
    <m/>
    <m/>
    <m/>
    <m/>
    <m/>
    <m/>
    <m/>
    <s v="DIVINO S.A"/>
    <s v="CONEXAO MALHAS E DESENVOLVIMENTO LTDA"/>
    <n v="20.755981595092024"/>
  </r>
  <r>
    <x v="8"/>
    <x v="3"/>
    <s v="COLCHÃO M.E."/>
    <s v="DIRETO"/>
    <x v="1"/>
    <s v="NADA"/>
    <s v="URUGUAI"/>
    <n v="51560"/>
    <n v="2790"/>
    <s v="2540030 TP ML BCA MINI 220G 2,10L 97.012 DIVERSAS U"/>
    <s v="DIVINO COLCHONES"/>
    <s v="EX "/>
    <s v="Colchão M.E."/>
    <m/>
    <s v="CONEXÃO MALHAS"/>
    <n v="45345"/>
    <m/>
    <m/>
    <n v="20685.41"/>
    <s v="MT "/>
    <n v="220"/>
    <m/>
    <n v="1359"/>
    <m/>
    <m/>
    <m/>
    <m/>
    <m/>
    <m/>
    <m/>
    <m/>
    <m/>
    <m/>
    <m/>
    <s v="DIVINO S.A"/>
    <s v="CONEXAO MALHAS E DESENVOLVIMENTO LTDA"/>
    <n v="15.221052244297278"/>
  </r>
  <r>
    <x v="8"/>
    <x v="3"/>
    <s v="COLCHÃO M.E."/>
    <s v="DIRETO"/>
    <x v="1"/>
    <s v="NADA"/>
    <s v="URUGUAI"/>
    <n v="51560"/>
    <n v="1225"/>
    <s v="2540012 TAMPO RASCUNHOS (A07820) DIVERSAS U"/>
    <s v="DIVINO COLCHONES"/>
    <s v="EX "/>
    <s v="Colchão M.E."/>
    <m/>
    <s v="CONEXÃO MALHAS"/>
    <n v="45345"/>
    <m/>
    <m/>
    <n v="59954.95"/>
    <s v="MT "/>
    <n v="240"/>
    <m/>
    <n v="4098.6360000000004"/>
    <m/>
    <m/>
    <m/>
    <m/>
    <m/>
    <m/>
    <m/>
    <m/>
    <m/>
    <m/>
    <m/>
    <s v="DIVINO S.A"/>
    <s v="CONEXAO MALHAS E DESENVOLVIMENTO LTDA"/>
    <n v="14.628025030766331"/>
  </r>
  <r>
    <x v="8"/>
    <x v="3"/>
    <s v="COLCHÃO M.E."/>
    <s v="DIRETO"/>
    <x v="1"/>
    <s v="NADA"/>
    <s v="URUGUAI"/>
    <n v="51560"/>
    <n v="1523"/>
    <s v="32282 - TELA ANTIDESLIZANTE DIVERSAS U"/>
    <s v="DIVINO COLCHONES"/>
    <s v="EX "/>
    <s v="Colchão M.E."/>
    <m/>
    <s v="CONEXÃO MALHAS"/>
    <n v="45345"/>
    <m/>
    <m/>
    <n v="7472.15"/>
    <s v="MT "/>
    <m/>
    <m/>
    <n v="1050"/>
    <m/>
    <m/>
    <m/>
    <m/>
    <m/>
    <m/>
    <m/>
    <m/>
    <m/>
    <m/>
    <m/>
    <s v="DIVINO S.A"/>
    <s v="CONEXAO MALHAS E DESENVOLVIMENTO LTDA"/>
    <n v="7.1163333333333334"/>
  </r>
  <r>
    <x v="8"/>
    <x v="3"/>
    <s v="COLCHÃO M.E."/>
    <s v="DIRETO"/>
    <x v="1"/>
    <s v="NADA"/>
    <s v="URUGUAI"/>
    <n v="51560"/>
    <n v="1506"/>
    <s v="2540017 TP ML A08980 280G 2,10L DIVERSAS U"/>
    <s v="DIVINO COLCHONES"/>
    <s v="EX "/>
    <s v="Colchão M.E."/>
    <m/>
    <s v="CONEXÃO MALHAS"/>
    <n v="45345"/>
    <m/>
    <m/>
    <n v="53982.84"/>
    <s v="MT "/>
    <n v="280"/>
    <m/>
    <n v="3121"/>
    <m/>
    <m/>
    <m/>
    <m/>
    <m/>
    <m/>
    <m/>
    <m/>
    <m/>
    <m/>
    <m/>
    <s v="DIVINO S.A"/>
    <s v="CONEXAO MALHAS E DESENVOLVIMENTO LTDA"/>
    <n v="17.296648510092918"/>
  </r>
  <r>
    <x v="8"/>
    <x v="3"/>
    <s v="COLCHÃO M.E."/>
    <s v="DIRETO"/>
    <x v="1"/>
    <s v="NADA"/>
    <s v="URUGUAI"/>
    <n v="51560"/>
    <n v="1504"/>
    <s v="2540018 TP ML DIV 7806 240G 2,10L DIVERSAS U"/>
    <s v="DIVINO COLCHONES"/>
    <s v="EX "/>
    <s v="Colchão M.E."/>
    <m/>
    <s v="CONEXÃO MALHAS"/>
    <n v="45345"/>
    <m/>
    <m/>
    <n v="52803.71"/>
    <s v="MT "/>
    <n v="240"/>
    <m/>
    <n v="3622"/>
    <m/>
    <m/>
    <m/>
    <m/>
    <m/>
    <m/>
    <m/>
    <m/>
    <m/>
    <m/>
    <m/>
    <s v="DIVINO S.A"/>
    <s v="CONEXAO MALHAS E DESENVOLVIMENTO LTDA"/>
    <n v="14.5786057426836"/>
  </r>
  <r>
    <x v="8"/>
    <x v="3"/>
    <s v="COLCHÃO M.E."/>
    <s v="DIRETO"/>
    <x v="1"/>
    <s v="NADA"/>
    <s v="URUGUAI"/>
    <n v="51560"/>
    <n v="1504"/>
    <s v="2540018 TP ML DIV 7806 240G 2,10L DIVERSAS U"/>
    <s v="DIVINO COLCHONES"/>
    <s v="EX "/>
    <s v="Colchão M.E."/>
    <m/>
    <s v="CONEXÃO MALHAS"/>
    <n v="45345"/>
    <m/>
    <m/>
    <n v="17523.48"/>
    <s v="MT "/>
    <n v="240"/>
    <m/>
    <n v="1202"/>
    <m/>
    <m/>
    <m/>
    <m/>
    <m/>
    <m/>
    <m/>
    <m/>
    <m/>
    <m/>
    <m/>
    <s v="DIVINO S.A"/>
    <s v="CONEXAO MALHAS E DESENVOLVIMENTO LTDA"/>
    <n v="14.578602329450915"/>
  </r>
  <r>
    <x v="8"/>
    <x v="3"/>
    <s v="COLCHÃO M.E."/>
    <s v="DIRETO"/>
    <x v="1"/>
    <s v="NADA"/>
    <s v="URUGUAI"/>
    <n v="51560"/>
    <n v="1236"/>
    <s v="2540005 TAMPO GEOMETRICO (A07370) DIVERSAS U"/>
    <s v="DIVINO COLCHONES"/>
    <s v="EX "/>
    <s v="Colchão M.E."/>
    <m/>
    <s v="CONEXÃO MALHAS"/>
    <n v="45345"/>
    <m/>
    <m/>
    <n v="18247.97"/>
    <s v="MT "/>
    <n v="240"/>
    <m/>
    <n v="1055"/>
    <m/>
    <m/>
    <m/>
    <m/>
    <m/>
    <m/>
    <m/>
    <m/>
    <m/>
    <m/>
    <m/>
    <s v="DIVINO S.A"/>
    <s v="CONEXAO MALHAS E DESENVOLVIMENTO LTDA"/>
    <n v="17.29665402843602"/>
  </r>
  <r>
    <x v="8"/>
    <x v="3"/>
    <s v="COLCHÃO M.E."/>
    <s v="DIRETO"/>
    <x v="1"/>
    <s v="NADA"/>
    <s v="URUGUAI"/>
    <n v="51560"/>
    <n v="1226"/>
    <s v="2540015 TAMPO PONTILHADOS PRETO (A07803) DIVERSAS U"/>
    <s v="DIVINO COLCHONES"/>
    <s v="EX "/>
    <s v="Colchão M.E."/>
    <m/>
    <s v="CONEXÃO MALHAS"/>
    <n v="45345"/>
    <m/>
    <m/>
    <n v="10733.81"/>
    <s v="MT "/>
    <n v="260"/>
    <m/>
    <n v="724"/>
    <m/>
    <m/>
    <m/>
    <m/>
    <m/>
    <m/>
    <m/>
    <m/>
    <m/>
    <m/>
    <m/>
    <s v="DIVINO S.A"/>
    <s v="CONEXAO MALHAS E DESENVOLVIMENTO LTDA"/>
    <n v="14.825704419889503"/>
  </r>
  <r>
    <x v="8"/>
    <x v="3"/>
    <s v="COLCHÃO M.E."/>
    <s v="DIRETO"/>
    <x v="1"/>
    <s v="NADA"/>
    <s v="URUGUAI"/>
    <n v="51607"/>
    <n v="2790"/>
    <s v="2540030 TP ML BCA MINI 220G 2,10L 97.012 DIVERSAS U"/>
    <s v="DIVINO COLCHONES"/>
    <s v="EX "/>
    <s v="Colchão M.E."/>
    <m/>
    <s v="CONEXÃO MALHAS"/>
    <n v="45348"/>
    <m/>
    <m/>
    <n v="20866.23"/>
    <s v="MT "/>
    <n v="220"/>
    <m/>
    <n v="1359"/>
    <m/>
    <m/>
    <m/>
    <m/>
    <m/>
    <m/>
    <m/>
    <m/>
    <m/>
    <m/>
    <m/>
    <s v="DIVINO S.A"/>
    <s v="CONEXAO MALHAS E DESENVOLVIMENTO LTDA"/>
    <n v="15.354105960264901"/>
  </r>
  <r>
    <x v="8"/>
    <x v="3"/>
    <s v="COLCHÃO M.E."/>
    <s v="DIRETO"/>
    <x v="1"/>
    <s v="NADA"/>
    <s v="URUGUAI"/>
    <n v="51607"/>
    <n v="2496"/>
    <s v="2540028 TP CORDERO 310G 2,10L 0186002 DIVERSAS U"/>
    <s v="DIVINO COLCHONES"/>
    <s v="EX "/>
    <s v="Colchão M.E."/>
    <m/>
    <s v="CONEXÃO MALHAS"/>
    <n v="45348"/>
    <m/>
    <m/>
    <n v="6825.6"/>
    <s v="MT "/>
    <n v="310"/>
    <m/>
    <n v="326"/>
    <m/>
    <m/>
    <m/>
    <m/>
    <m/>
    <m/>
    <m/>
    <m/>
    <m/>
    <m/>
    <m/>
    <s v="DIVINO S.A"/>
    <s v="CONEXAO MALHAS E DESENVOLVIMENTO LTDA"/>
    <n v="20.937423312883435"/>
  </r>
  <r>
    <x v="8"/>
    <x v="3"/>
    <s v="COLCHÃO M.E."/>
    <s v="DIRETO"/>
    <x v="1"/>
    <s v="NADA"/>
    <s v="URUGUAI"/>
    <n v="51607"/>
    <n v="2495"/>
    <s v="2540027 TP COLMENA 470G 2,10L (A09706) DIVERSAS U"/>
    <s v="DIVINO COLCHONES"/>
    <s v="EX "/>
    <s v="Colchão M.E."/>
    <m/>
    <s v="CONEXÃO MALHAS"/>
    <n v="45348"/>
    <m/>
    <m/>
    <n v="14500.21"/>
    <s v="MT "/>
    <n v="470"/>
    <m/>
    <n v="513"/>
    <m/>
    <m/>
    <m/>
    <m/>
    <m/>
    <m/>
    <m/>
    <m/>
    <m/>
    <m/>
    <m/>
    <s v="DIVINO S.A"/>
    <s v="CONEXAO MALHAS E DESENVOLVIMENTO LTDA"/>
    <n v="28.265516569200777"/>
  </r>
  <r>
    <x v="8"/>
    <x v="3"/>
    <s v="COLCHÃO M.E."/>
    <s v="DIRETO"/>
    <x v="1"/>
    <s v="NADA"/>
    <s v="URUGUAI"/>
    <n v="51607"/>
    <n v="2157"/>
    <s v="2540007 - ME TP DARK BRILHA 300G 2,20L DIVERSAS U"/>
    <s v="DIVINO COLCHONES"/>
    <s v="EX "/>
    <s v="Colchão M.E."/>
    <m/>
    <s v="CONEXÃO MALHAS"/>
    <n v="45348"/>
    <m/>
    <m/>
    <n v="14690.04"/>
    <s v="MT "/>
    <n v="300"/>
    <m/>
    <n v="623"/>
    <m/>
    <m/>
    <m/>
    <m/>
    <m/>
    <m/>
    <m/>
    <m/>
    <m/>
    <m/>
    <m/>
    <s v="DIVINO S.A"/>
    <s v="CONEXAO MALHAS E DESENVOLVIMENTO LTDA"/>
    <n v="23.579518459069021"/>
  </r>
  <r>
    <x v="8"/>
    <x v="3"/>
    <s v="COLCHÃO M.E."/>
    <s v="DIRETO"/>
    <x v="1"/>
    <s v="NADA"/>
    <s v="URUGUAI"/>
    <n v="51607"/>
    <n v="2054"/>
    <s v="2540026 TP ML 0072051 - 280G 2,20L DEGRA DIVERSAS U"/>
    <s v="DIVINO COLCHONES"/>
    <s v="EX "/>
    <s v="Colchão M.E."/>
    <m/>
    <s v="CONEXÃO MALHAS"/>
    <n v="45348"/>
    <m/>
    <m/>
    <n v="11996.14"/>
    <s v="MT "/>
    <n v="280"/>
    <m/>
    <n v="752"/>
    <m/>
    <m/>
    <m/>
    <m/>
    <m/>
    <m/>
    <m/>
    <m/>
    <m/>
    <m/>
    <m/>
    <s v="DIVINO S.A"/>
    <s v="CONEXAO MALHAS E DESENVOLVIMENTO LTDA"/>
    <n v="15.952313829787233"/>
  </r>
  <r>
    <x v="8"/>
    <x v="3"/>
    <s v="COLCHÃO M.E."/>
    <s v="DIRETO"/>
    <x v="1"/>
    <s v="NADA"/>
    <s v="URUGUAI"/>
    <n v="51607"/>
    <n v="1525"/>
    <s v="2540022 TP ML FOLHAS IMAG 320G 2,10 DIVERSAS U"/>
    <s v="DIVINO COLCHONES"/>
    <s v="EX "/>
    <s v="Colchão M.E."/>
    <m/>
    <s v="CONEXÃO MALHAS"/>
    <n v="45348"/>
    <m/>
    <m/>
    <n v="22928.47"/>
    <s v="MT "/>
    <n v="320"/>
    <m/>
    <n v="1220"/>
    <m/>
    <m/>
    <m/>
    <m/>
    <m/>
    <m/>
    <m/>
    <m/>
    <m/>
    <m/>
    <m/>
    <s v="DIVINO S.A"/>
    <s v="CONEXAO MALHAS E DESENVOLVIMENTO LTDA"/>
    <n v="18.79382786885246"/>
  </r>
  <r>
    <x v="8"/>
    <x v="3"/>
    <s v="COLCHÃO M.E."/>
    <s v="DIRETO"/>
    <x v="1"/>
    <s v="NADA"/>
    <s v="URUGUAI"/>
    <n v="51607"/>
    <n v="1523"/>
    <s v="32282 - TELA ANTIDESLIZANTE DIVERSAS U"/>
    <s v="DIVINO COLCHONES"/>
    <s v="EX "/>
    <s v="Colchão M.E."/>
    <m/>
    <s v="CONEXÃO MALHAS"/>
    <n v="45348"/>
    <m/>
    <m/>
    <n v="7537.47"/>
    <s v="MT "/>
    <m/>
    <m/>
    <n v="1050"/>
    <m/>
    <m/>
    <m/>
    <m/>
    <m/>
    <m/>
    <m/>
    <m/>
    <m/>
    <m/>
    <m/>
    <s v="DIVINO S.A"/>
    <s v="CONEXAO MALHAS E DESENVOLVIMENTO LTDA"/>
    <n v="7.1785428571428573"/>
  </r>
  <r>
    <x v="8"/>
    <x v="3"/>
    <s v="COLCHÃO M.E."/>
    <s v="DIRETO"/>
    <x v="1"/>
    <s v="NADA"/>
    <s v="URUGUAI"/>
    <n v="51607"/>
    <n v="1506"/>
    <s v="2540017 TP ML A08980 280G 2,10L DIVERSAS U"/>
    <s v="DIVINO COLCHONES"/>
    <s v="EX "/>
    <s v="Colchão M.E."/>
    <m/>
    <s v="CONEXÃO MALHAS"/>
    <n v="45348"/>
    <m/>
    <m/>
    <n v="54454.74"/>
    <s v="MT "/>
    <n v="280"/>
    <m/>
    <n v="3121"/>
    <m/>
    <m/>
    <m/>
    <m/>
    <m/>
    <m/>
    <m/>
    <m/>
    <m/>
    <m/>
    <m/>
    <s v="DIVINO S.A"/>
    <s v="CONEXAO MALHAS E DESENVOLVIMENTO LTDA"/>
    <n v="17.447850048061518"/>
  </r>
  <r>
    <x v="8"/>
    <x v="3"/>
    <s v="COLCHÃO M.E."/>
    <s v="DIRETO"/>
    <x v="1"/>
    <s v="NADA"/>
    <s v="URUGUAI"/>
    <n v="51607"/>
    <n v="1504"/>
    <s v="2540018 TP ML DIV 7806 240G 2,10L DIVERSAS U"/>
    <s v="DIVINO COLCHONES"/>
    <s v="EX "/>
    <s v="Colchão M.E."/>
    <m/>
    <s v="CONEXÃO MALHAS"/>
    <n v="45348"/>
    <m/>
    <m/>
    <n v="71182.44"/>
    <s v="MT "/>
    <n v="240"/>
    <m/>
    <n v="4824"/>
    <m/>
    <m/>
    <m/>
    <m/>
    <m/>
    <m/>
    <m/>
    <m/>
    <m/>
    <m/>
    <m/>
    <s v="DIVINO S.A"/>
    <s v="CONEXAO MALHAS E DESENVOLVIMENTO LTDA"/>
    <n v="14.755895522388061"/>
  </r>
  <r>
    <x v="8"/>
    <x v="3"/>
    <s v="COLCHÃO M.E."/>
    <s v="DIRETO"/>
    <x v="1"/>
    <s v="NADA"/>
    <s v="URUGUAI"/>
    <n v="51607"/>
    <n v="1236"/>
    <s v="2540005 TAMPO GEOMETRICO (A07370) DIVERSAS U"/>
    <s v="DIVINO COLCHONES"/>
    <s v="EX "/>
    <s v="Colchão M.E."/>
    <m/>
    <s v="CONEXÃO MALHAS"/>
    <n v="45348"/>
    <m/>
    <m/>
    <n v="18407.48"/>
    <s v="MT "/>
    <n v="240"/>
    <m/>
    <n v="1055"/>
    <m/>
    <m/>
    <m/>
    <m/>
    <m/>
    <m/>
    <m/>
    <m/>
    <m/>
    <m/>
    <m/>
    <s v="DIVINO S.A"/>
    <s v="CONEXAO MALHAS E DESENVOLVIMENTO LTDA"/>
    <n v="17.447848341232227"/>
  </r>
  <r>
    <x v="8"/>
    <x v="3"/>
    <s v="COLCHÃO M.E."/>
    <s v="DIRETO"/>
    <x v="1"/>
    <s v="NADA"/>
    <s v="URUGUAI"/>
    <n v="51607"/>
    <n v="1226"/>
    <s v="2540015 TAMPO PONTILHADOS PRETO (A07803) DIVERSAS U"/>
    <s v="DIVINO COLCHONES"/>
    <s v="EX "/>
    <s v="Colchão M.E."/>
    <m/>
    <s v="CONEXÃO MALHAS"/>
    <n v="45348"/>
    <m/>
    <m/>
    <n v="10827.64"/>
    <s v="MT "/>
    <n v="260"/>
    <m/>
    <n v="724"/>
    <m/>
    <m/>
    <m/>
    <m/>
    <m/>
    <m/>
    <m/>
    <m/>
    <m/>
    <m/>
    <m/>
    <s v="DIVINO S.A"/>
    <s v="CONEXAO MALHAS E DESENVOLVIMENTO LTDA"/>
    <n v="14.955303867403314"/>
  </r>
  <r>
    <x v="8"/>
    <x v="3"/>
    <s v="COLCHÃO M.E."/>
    <s v="DIRETO"/>
    <x v="1"/>
    <s v="NADA"/>
    <s v="URUGUAI"/>
    <n v="51607"/>
    <n v="1225"/>
    <s v="2540012 TAMPO RASCUNHOS (A07820) DIVERSAS U"/>
    <s v="DIVINO COLCHONES"/>
    <s v="EX "/>
    <s v="Colchão M.E."/>
    <m/>
    <s v="CONEXÃO MALHAS"/>
    <n v="45348"/>
    <m/>
    <m/>
    <n v="60479.05"/>
    <s v="MT "/>
    <n v="240"/>
    <m/>
    <n v="4098.6360000000004"/>
    <m/>
    <m/>
    <m/>
    <m/>
    <m/>
    <m/>
    <m/>
    <m/>
    <m/>
    <m/>
    <m/>
    <s v="DIVINO S.A"/>
    <s v="CONEXAO MALHAS E DESENVOLVIMENTO LTDA"/>
    <n v="14.755896839826713"/>
  </r>
  <r>
    <x v="8"/>
    <x v="3"/>
    <s v="COLCHÃO M.E."/>
    <s v="DIRETO"/>
    <x v="1"/>
    <s v="NADA"/>
    <s v="URUGUAI"/>
    <n v="51591"/>
    <n v="2157"/>
    <s v="2540007 - ME TP DARK BRILHA 300G 2,20L DIVERSAS U"/>
    <s v="DIVINO COLCHONES"/>
    <s v="EX "/>
    <s v="Colchão M.E."/>
    <m/>
    <s v="CONEXÃO MALHAS"/>
    <n v="45345"/>
    <n v="14562.74"/>
    <s v="MT "/>
    <n v="-14562.74"/>
    <s v="MT "/>
    <n v="300"/>
    <m/>
    <n v="-623"/>
    <m/>
    <m/>
    <m/>
    <m/>
    <m/>
    <m/>
    <m/>
    <m/>
    <m/>
    <m/>
    <m/>
    <s v="DIVINO S.A"/>
    <s v="CONEXAO MALHAS E DESENVOLVIMENTO LTDA"/>
    <n v="23.375184590690207"/>
  </r>
  <r>
    <x v="8"/>
    <x v="3"/>
    <s v="COLCHÃO M.E."/>
    <s v="DIRETO"/>
    <x v="1"/>
    <s v="NADA"/>
    <s v="URUGUAI"/>
    <n v="51591"/>
    <n v="2495"/>
    <s v="2540027 TP COLMENA 470G 2,10L (A09706) DIVERSAS U"/>
    <s v="DIVINO COLCHONES"/>
    <s v="EX "/>
    <s v="Colchão M.E."/>
    <m/>
    <s v="CONEXÃO MALHAS"/>
    <n v="45345"/>
    <n v="14374.55"/>
    <s v="MT "/>
    <n v="-14374.55"/>
    <s v="MT "/>
    <n v="470"/>
    <m/>
    <n v="-513"/>
    <m/>
    <m/>
    <m/>
    <m/>
    <m/>
    <m/>
    <m/>
    <m/>
    <m/>
    <m/>
    <m/>
    <s v="DIVINO S.A"/>
    <s v="CONEXAO MALHAS E DESENVOLVIMENTO LTDA"/>
    <n v="28.020565302144249"/>
  </r>
  <r>
    <x v="8"/>
    <x v="3"/>
    <s v="COLCHÃO M.E."/>
    <s v="DIRETO"/>
    <x v="1"/>
    <s v="NADA"/>
    <s v="URUGUAI"/>
    <n v="51591"/>
    <n v="2054"/>
    <s v="2540026 TP ML 0072051 - 280G 2,20L DEGRA DIVERSAS U"/>
    <s v="DIVINO COLCHONES"/>
    <s v="EX "/>
    <s v="Colchão M.E."/>
    <m/>
    <s v="CONEXÃO MALHAS"/>
    <n v="45345"/>
    <n v="11892.19"/>
    <s v="MT "/>
    <n v="-11892.19"/>
    <s v="MT "/>
    <n v="280"/>
    <m/>
    <n v="-752"/>
    <m/>
    <m/>
    <m/>
    <m/>
    <m/>
    <m/>
    <m/>
    <m/>
    <m/>
    <m/>
    <m/>
    <s v="DIVINO S.A"/>
    <s v="CONEXAO MALHAS E DESENVOLVIMENTO LTDA"/>
    <n v="15.814082446808511"/>
  </r>
  <r>
    <x v="8"/>
    <x v="3"/>
    <s v="COLCHÃO M.E."/>
    <s v="DIRETO"/>
    <x v="1"/>
    <s v="NADA"/>
    <s v="URUGUAI"/>
    <n v="51591"/>
    <n v="1525"/>
    <s v="2540022 TP ML FOLHAS IMAG 320G 2,10 DIVERSAS U"/>
    <s v="DIVINO COLCHONES"/>
    <s v="EX "/>
    <s v="Colchão M.E."/>
    <m/>
    <s v="CONEXÃO MALHAS"/>
    <n v="45345"/>
    <n v="22729.77"/>
    <s v="MT "/>
    <n v="-22729.77"/>
    <s v="MT "/>
    <n v="320"/>
    <m/>
    <n v="-1220"/>
    <m/>
    <m/>
    <m/>
    <m/>
    <m/>
    <m/>
    <m/>
    <m/>
    <m/>
    <m/>
    <m/>
    <s v="DIVINO S.A"/>
    <s v="CONEXAO MALHAS E DESENVOLVIMENTO LTDA"/>
    <n v="18.630959016393444"/>
  </r>
  <r>
    <x v="8"/>
    <x v="3"/>
    <s v="COLCHÃO M.E."/>
    <s v="DIRETO"/>
    <x v="1"/>
    <s v="NADA"/>
    <s v="URUGUAI"/>
    <n v="51591"/>
    <n v="2496"/>
    <s v="2540028 TP CORDERO 310G 2,10L 0186002 DIVERSAS U"/>
    <s v="DIVINO COLCHONES"/>
    <s v="EX "/>
    <s v="Colchão M.E."/>
    <m/>
    <s v="CONEXÃO MALHAS"/>
    <n v="45345"/>
    <n v="6766.45"/>
    <s v="MT "/>
    <n v="-6766.45"/>
    <s v="MT "/>
    <n v="310"/>
    <m/>
    <n v="-326"/>
    <m/>
    <m/>
    <m/>
    <m/>
    <m/>
    <m/>
    <m/>
    <m/>
    <m/>
    <m/>
    <m/>
    <s v="DIVINO S.A"/>
    <s v="CONEXAO MALHAS E DESENVOLVIMENTO LTDA"/>
    <n v="20.755981595092024"/>
  </r>
  <r>
    <x v="8"/>
    <x v="3"/>
    <s v="COLCHÃO M.E."/>
    <s v="DIRETO"/>
    <x v="1"/>
    <s v="NADA"/>
    <s v="URUGUAI"/>
    <n v="51591"/>
    <n v="2790"/>
    <s v="2540030 TP ML BCA MINI 220G 2,10L 97.012 DIVERSAS U"/>
    <s v="DIVINO COLCHONES"/>
    <s v="EX "/>
    <s v="Colchão M.E."/>
    <m/>
    <s v="CONEXÃO MALHAS"/>
    <n v="45345"/>
    <n v="20685.41"/>
    <s v="MT "/>
    <n v="-20685.41"/>
    <s v="MT "/>
    <n v="220"/>
    <m/>
    <n v="-1359"/>
    <m/>
    <m/>
    <m/>
    <m/>
    <m/>
    <m/>
    <m/>
    <m/>
    <m/>
    <m/>
    <m/>
    <s v="DIVINO S.A"/>
    <s v="CONEXAO MALHAS E DESENVOLVIMENTO LTDA"/>
    <n v="15.221052244297278"/>
  </r>
  <r>
    <x v="8"/>
    <x v="3"/>
    <s v="COLCHÃO M.E."/>
    <s v="DIRETO"/>
    <x v="1"/>
    <s v="NADA"/>
    <s v="URUGUAI"/>
    <n v="51591"/>
    <n v="1225"/>
    <s v="2540012 TAMPO RASCUNHOS (A07820) DIVERSAS U"/>
    <s v="DIVINO COLCHONES"/>
    <s v="EX "/>
    <s v="Colchão M.E."/>
    <m/>
    <s v="CONEXÃO MALHAS"/>
    <n v="45345"/>
    <n v="59954.95"/>
    <s v="MT "/>
    <n v="-59954.95"/>
    <s v="MT "/>
    <n v="240"/>
    <m/>
    <n v="-4098.6360000000004"/>
    <m/>
    <m/>
    <m/>
    <m/>
    <m/>
    <m/>
    <m/>
    <m/>
    <m/>
    <m/>
    <m/>
    <s v="DIVINO S.A"/>
    <s v="CONEXAO MALHAS E DESENVOLVIMENTO LTDA"/>
    <n v="14.628025030766331"/>
  </r>
  <r>
    <x v="8"/>
    <x v="3"/>
    <s v="COLCHÃO M.E."/>
    <s v="DIRETO"/>
    <x v="1"/>
    <s v="NADA"/>
    <s v="URUGUAI"/>
    <n v="51591"/>
    <n v="1523"/>
    <s v="32282 - TELA ANTIDESLIZANTE DIVERSAS U"/>
    <s v="DIVINO COLCHONES"/>
    <s v="EX "/>
    <s v="Colchão M.E."/>
    <m/>
    <s v="CONEXÃO MALHAS"/>
    <n v="45345"/>
    <n v="7472.15"/>
    <s v="MT "/>
    <n v="-7472.15"/>
    <s v="MT "/>
    <m/>
    <m/>
    <n v="-1050"/>
    <m/>
    <m/>
    <m/>
    <m/>
    <m/>
    <m/>
    <m/>
    <m/>
    <m/>
    <m/>
    <m/>
    <s v="DIVINO S.A"/>
    <s v="CONEXAO MALHAS E DESENVOLVIMENTO LTDA"/>
    <n v="7.1163333333333334"/>
  </r>
  <r>
    <x v="8"/>
    <x v="3"/>
    <s v="COLCHÃO M.E."/>
    <s v="DIRETO"/>
    <x v="1"/>
    <s v="NADA"/>
    <s v="URUGUAI"/>
    <n v="51591"/>
    <n v="1506"/>
    <s v="2540017 TP ML A08980 280G 2,10L DIVERSAS U"/>
    <s v="DIVINO COLCHONES"/>
    <s v="EX "/>
    <s v="Colchão M.E."/>
    <m/>
    <s v="CONEXÃO MALHAS"/>
    <n v="45345"/>
    <n v="53982.84"/>
    <s v="MT "/>
    <n v="-53982.84"/>
    <s v="MT "/>
    <n v="280"/>
    <m/>
    <n v="-3121"/>
    <m/>
    <m/>
    <m/>
    <m/>
    <m/>
    <m/>
    <m/>
    <m/>
    <m/>
    <m/>
    <m/>
    <s v="DIVINO S.A"/>
    <s v="CONEXAO MALHAS E DESENVOLVIMENTO LTDA"/>
    <n v="17.296648510092918"/>
  </r>
  <r>
    <x v="8"/>
    <x v="3"/>
    <s v="COLCHÃO M.E."/>
    <s v="DIRETO"/>
    <x v="1"/>
    <s v="NADA"/>
    <s v="URUGUAI"/>
    <n v="51591"/>
    <n v="1504"/>
    <s v="2540018 TP ML DIV 7806 240G 2,10L DIVERSAS U"/>
    <s v="DIVINO COLCHONES"/>
    <s v="EX "/>
    <s v="Colchão M.E."/>
    <m/>
    <s v="CONEXÃO MALHAS"/>
    <n v="45345"/>
    <n v="52803.71"/>
    <s v="MT "/>
    <n v="-52803.71"/>
    <s v="MT "/>
    <n v="240"/>
    <m/>
    <n v="-3622"/>
    <m/>
    <m/>
    <m/>
    <m/>
    <m/>
    <m/>
    <m/>
    <m/>
    <m/>
    <m/>
    <m/>
    <s v="DIVINO S.A"/>
    <s v="CONEXAO MALHAS E DESENVOLVIMENTO LTDA"/>
    <n v="14.5786057426836"/>
  </r>
  <r>
    <x v="8"/>
    <x v="3"/>
    <s v="COLCHÃO M.E."/>
    <s v="DIRETO"/>
    <x v="1"/>
    <s v="NADA"/>
    <s v="URUGUAI"/>
    <n v="51591"/>
    <n v="1504"/>
    <s v="2540018 TP ML DIV 7806 240G 2,10L DIVERSAS U"/>
    <s v="DIVINO COLCHONES"/>
    <s v="EX "/>
    <s v="Colchão M.E."/>
    <m/>
    <s v="CONEXÃO MALHAS"/>
    <n v="45345"/>
    <n v="17523.48"/>
    <s v="MT "/>
    <n v="-17523.48"/>
    <s v="MT "/>
    <n v="240"/>
    <m/>
    <n v="-1202"/>
    <m/>
    <m/>
    <m/>
    <m/>
    <m/>
    <m/>
    <m/>
    <m/>
    <m/>
    <m/>
    <m/>
    <s v="DIVINO S.A"/>
    <s v="CONEXAO MALHAS E DESENVOLVIMENTO LTDA"/>
    <n v="14.578602329450915"/>
  </r>
  <r>
    <x v="8"/>
    <x v="3"/>
    <s v="COLCHÃO M.E."/>
    <s v="DIRETO"/>
    <x v="1"/>
    <s v="NADA"/>
    <s v="URUGUAI"/>
    <n v="51591"/>
    <n v="1236"/>
    <s v="2540005 TAMPO GEOMETRICO (A07370) DIVERSAS U"/>
    <s v="DIVINO COLCHONES"/>
    <s v="EX "/>
    <s v="Colchão M.E."/>
    <m/>
    <s v="CONEXÃO MALHAS"/>
    <n v="45345"/>
    <n v="18247.97"/>
    <s v="MT "/>
    <n v="-18247.97"/>
    <s v="MT "/>
    <n v="240"/>
    <m/>
    <n v="-1055"/>
    <m/>
    <m/>
    <m/>
    <m/>
    <m/>
    <m/>
    <m/>
    <m/>
    <m/>
    <m/>
    <m/>
    <s v="DIVINO S.A"/>
    <s v="CONEXAO MALHAS E DESENVOLVIMENTO LTDA"/>
    <n v="17.29665402843602"/>
  </r>
  <r>
    <x v="8"/>
    <x v="3"/>
    <s v="COLCHÃO M.E."/>
    <s v="DIRETO"/>
    <x v="1"/>
    <s v="NADA"/>
    <s v="URUGUAI"/>
    <n v="51591"/>
    <n v="1226"/>
    <s v="2540015 TAMPO PONTILHADOS PRETO (A07803) DIVERSAS U"/>
    <s v="DIVINO COLCHONES"/>
    <s v="EX "/>
    <s v="Colchão M.E."/>
    <m/>
    <s v="CONEXÃO MALHAS"/>
    <n v="45345"/>
    <n v="10733.81"/>
    <s v="MT "/>
    <n v="-10733.81"/>
    <s v="MT "/>
    <n v="260"/>
    <m/>
    <n v="-724"/>
    <m/>
    <m/>
    <m/>
    <m/>
    <m/>
    <m/>
    <m/>
    <m/>
    <m/>
    <m/>
    <m/>
    <s v="DIVINO S.A"/>
    <s v="CONEXAO MALHAS E DESENVOLVIMENTO LTDA"/>
    <n v="14.825704419889503"/>
  </r>
  <r>
    <x v="8"/>
    <x v="3"/>
    <s v="COLCHÃO M.E."/>
    <s v="DIRETO"/>
    <x v="9"/>
    <s v="NADA"/>
    <s v="CHILE"/>
    <n v="51273"/>
    <n v="1419"/>
    <s v="2810009 TP MESCLA 180G 2,20L (1122580) DIVERSAS U"/>
    <s v="FLEX CHILE"/>
    <s v="EX "/>
    <s v="Colchão M.E."/>
    <m/>
    <s v="DIRETO"/>
    <n v="45327"/>
    <n v="26862.52"/>
    <s v="MT "/>
    <n v="-26862.52"/>
    <s v="MT "/>
    <m/>
    <m/>
    <n v="-2427"/>
    <m/>
    <m/>
    <m/>
    <m/>
    <m/>
    <m/>
    <m/>
    <m/>
    <m/>
    <m/>
    <m/>
    <s v="FLEX CHILE"/>
    <s v="CARLOS FIDENCIO D AVALOS RUIZ JUNIOR 34496952823"/>
    <n v="11.068199423156161"/>
  </r>
  <r>
    <x v="8"/>
    <x v="3"/>
    <s v="COLCHÃO M.E."/>
    <s v="DIRETO"/>
    <x v="9"/>
    <s v="NADA"/>
    <s v="CHILE"/>
    <n v="51273"/>
    <n v="1422"/>
    <s v="2810005 TP FOLHA 240G 2,20L (1121110) DIVERSAS U"/>
    <s v="FLEX CHILE"/>
    <s v="EX "/>
    <s v="Colchão M.E."/>
    <m/>
    <s v="DIRETO"/>
    <n v="45327"/>
    <n v="19796.14"/>
    <s v="MT "/>
    <n v="-19796.14"/>
    <s v="MT "/>
    <m/>
    <m/>
    <n v="-1422"/>
    <m/>
    <m/>
    <m/>
    <m/>
    <m/>
    <m/>
    <m/>
    <m/>
    <m/>
    <m/>
    <m/>
    <s v="FLEX CHILE"/>
    <s v="CARLOS FIDENCIO D AVALOS RUIZ JUNIOR 34496952823"/>
    <n v="13.921336146272855"/>
  </r>
  <r>
    <x v="6"/>
    <x v="2"/>
    <s v="COLCHÃO M.E."/>
    <e v="#N/A"/>
    <x v="9"/>
    <s v="NADA"/>
    <s v="CHILE"/>
    <n v="50542"/>
    <n v="1419"/>
    <s v="2810009 TP MESCLA 180G 2,20L (1122580) DIVERSAS U"/>
    <s v="FLEX CHILE"/>
    <s v="EX "/>
    <s v="Colchão M.E."/>
    <m/>
    <e v="#N/A"/>
    <n v="45281"/>
    <m/>
    <m/>
    <n v="-71330.899999999994"/>
    <s v="MT "/>
    <n v="180"/>
    <m/>
    <n v="-6469"/>
    <m/>
    <m/>
    <m/>
    <m/>
    <m/>
    <m/>
    <m/>
    <m/>
    <m/>
    <m/>
    <m/>
    <m/>
    <m/>
    <n v="11.026572886072035"/>
  </r>
  <r>
    <x v="6"/>
    <x v="2"/>
    <s v="COLCHÃO M.E."/>
    <e v="#N/A"/>
    <x v="9"/>
    <s v="NADA"/>
    <s v="CHILE"/>
    <n v="50542"/>
    <n v="1422"/>
    <s v="2810005 TP FOLHA 240G 2,20L (1121110) DIVERSAS U"/>
    <s v="FLEX CHILE"/>
    <s v="EX "/>
    <s v="Colchão M.E."/>
    <m/>
    <e v="#N/A"/>
    <n v="45281"/>
    <m/>
    <m/>
    <n v="-8709.7199999999993"/>
    <s v="MT "/>
    <n v="240"/>
    <m/>
    <n v="-628"/>
    <m/>
    <m/>
    <m/>
    <m/>
    <m/>
    <m/>
    <m/>
    <m/>
    <m/>
    <m/>
    <m/>
    <m/>
    <m/>
    <n v="13.868980891719744"/>
  </r>
  <r>
    <x v="6"/>
    <x v="2"/>
    <s v="COLCHÃO M.E."/>
    <e v="#N/A"/>
    <x v="26"/>
    <s v="NADA"/>
    <s v="PARAGUAI"/>
    <n v="50559"/>
    <n v="2513"/>
    <s v="3040005 TP ML 180G 2,10L 0012001 DIVERSAS U"/>
    <s v="FERNANDO B. GONZALEZ MINIOTIS"/>
    <s v="EX "/>
    <s v="Colchão M.E."/>
    <m/>
    <e v="#N/A"/>
    <n v="45286"/>
    <m/>
    <m/>
    <n v="-4049.17"/>
    <s v="MT "/>
    <n v="180"/>
    <m/>
    <n v="-506"/>
    <m/>
    <m/>
    <m/>
    <m/>
    <m/>
    <m/>
    <m/>
    <m/>
    <m/>
    <m/>
    <m/>
    <m/>
    <m/>
    <n v="8.0023122529644262"/>
  </r>
  <r>
    <x v="6"/>
    <x v="2"/>
    <s v="COLCHÃO M.E."/>
    <e v="#N/A"/>
    <x v="26"/>
    <s v="NADA"/>
    <s v="PARAGUAI"/>
    <n v="50559"/>
    <n v="2512"/>
    <s v="3040004 TP ML 180G 2,10L 0087001 DIVERSAS U"/>
    <s v="FERNANDO B. GONZALEZ MINIOTIS"/>
    <s v="EX "/>
    <s v="Colchão M.E."/>
    <m/>
    <e v="#N/A"/>
    <n v="45286"/>
    <m/>
    <m/>
    <n v="-4190.3500000000004"/>
    <s v="MT "/>
    <n v="180"/>
    <m/>
    <n v="-499"/>
    <m/>
    <m/>
    <m/>
    <m/>
    <m/>
    <m/>
    <m/>
    <m/>
    <m/>
    <m/>
    <m/>
    <m/>
    <m/>
    <n v="8.3974949899799611"/>
  </r>
  <r>
    <x v="6"/>
    <x v="2"/>
    <s v="COLCHÃO M.E."/>
    <e v="#N/A"/>
    <x v="26"/>
    <s v="NADA"/>
    <s v="PARAGUAI"/>
    <n v="50559"/>
    <n v="2509"/>
    <s v="3040001 TP ML 180G 2,10L 0074011 DIVERSAS U"/>
    <s v="FERNANDO B. GONZALEZ MINIOTIS"/>
    <s v="EX "/>
    <s v="Colchão M.E."/>
    <m/>
    <e v="#N/A"/>
    <n v="45286"/>
    <m/>
    <m/>
    <n v="-3121.89"/>
    <s v="MT "/>
    <n v="180"/>
    <m/>
    <n v="-395"/>
    <m/>
    <m/>
    <m/>
    <m/>
    <m/>
    <m/>
    <m/>
    <m/>
    <m/>
    <m/>
    <m/>
    <m/>
    <m/>
    <n v="7.9035189873417719"/>
  </r>
  <r>
    <x v="6"/>
    <x v="2"/>
    <s v="COLCHÃO M.E."/>
    <e v="#N/A"/>
    <x v="26"/>
    <s v="NADA"/>
    <s v="PARAGUAI"/>
    <n v="50559"/>
    <n v="2511"/>
    <s v="3040003 TP ML 180G 2,10L 0080001 DIVERSAS U"/>
    <s v="FERNANDO B. GONZALEZ MINIOTIS"/>
    <s v="EX "/>
    <s v="Colchão M.E."/>
    <m/>
    <e v="#N/A"/>
    <n v="45286"/>
    <m/>
    <m/>
    <n v="-4161.2"/>
    <s v="MT "/>
    <n v="180"/>
    <m/>
    <n v="-520"/>
    <m/>
    <m/>
    <m/>
    <m/>
    <m/>
    <m/>
    <m/>
    <m/>
    <m/>
    <m/>
    <m/>
    <m/>
    <m/>
    <n v="8.0023076923076921"/>
  </r>
  <r>
    <x v="6"/>
    <x v="2"/>
    <s v="COLCHÃO M.E."/>
    <e v="#N/A"/>
    <x v="26"/>
    <s v="NADA"/>
    <s v="PARAGUAI"/>
    <n v="50559"/>
    <n v="2510"/>
    <s v="3040002 TP ML 180G 2,10L 0079001 DIVERSAS U"/>
    <s v="FERNANDO B. GONZALEZ MINIOTIS"/>
    <s v="EX "/>
    <s v="Colchão M.E."/>
    <m/>
    <e v="#N/A"/>
    <n v="45286"/>
    <m/>
    <m/>
    <n v="-4449.29"/>
    <s v="MT "/>
    <n v="180"/>
    <m/>
    <n v="-556"/>
    <m/>
    <m/>
    <m/>
    <m/>
    <m/>
    <m/>
    <m/>
    <m/>
    <m/>
    <m/>
    <m/>
    <m/>
    <m/>
    <n v="8.0023201438848925"/>
  </r>
  <r>
    <x v="6"/>
    <x v="2"/>
    <s v="COLCHÃO M.E."/>
    <e v="#N/A"/>
    <x v="1"/>
    <s v="NADA"/>
    <s v="URUGUAI"/>
    <n v="50560"/>
    <n v="2054"/>
    <s v="2540026 TP ML 0072051 - 280G 2,20L DEGRA DIVERSAS U"/>
    <s v="DIVINO COLCHONES"/>
    <s v="EX "/>
    <s v="Colchão M.E."/>
    <m/>
    <e v="#N/A"/>
    <n v="45286"/>
    <m/>
    <m/>
    <n v="-14640.75"/>
    <s v="MT "/>
    <n v="280"/>
    <m/>
    <n v="-935"/>
    <m/>
    <m/>
    <m/>
    <m/>
    <m/>
    <m/>
    <m/>
    <m/>
    <m/>
    <m/>
    <m/>
    <m/>
    <m/>
    <n v="15.65855614973262"/>
  </r>
  <r>
    <x v="6"/>
    <x v="2"/>
    <s v="COLCHÃO M.E."/>
    <e v="#N/A"/>
    <x v="1"/>
    <s v="NADA"/>
    <s v="URUGUAI"/>
    <n v="50560"/>
    <n v="2157"/>
    <s v="2540007 - ME TP DARK BRILHA 300G 2,20L DIVERSAS U"/>
    <s v="DIVINO COLCHONES"/>
    <s v="EX "/>
    <s v="Colchão M.E."/>
    <m/>
    <e v="#N/A"/>
    <n v="45286"/>
    <m/>
    <m/>
    <n v="-22612.97"/>
    <s v="MT "/>
    <n v="300"/>
    <m/>
    <n v="-977"/>
    <m/>
    <m/>
    <m/>
    <m/>
    <m/>
    <m/>
    <m/>
    <m/>
    <m/>
    <m/>
    <m/>
    <m/>
    <m/>
    <n v="23.145312180143296"/>
  </r>
  <r>
    <x v="6"/>
    <x v="2"/>
    <s v="COLCHÃO M.E."/>
    <e v="#N/A"/>
    <x v="1"/>
    <s v="NADA"/>
    <s v="URUGUAI"/>
    <n v="50560"/>
    <n v="1905"/>
    <s v="2540019 NUEVO GALHOS 3 V02 (1922) - TOL DIVERSAS U"/>
    <s v="DIVINO COLCHONES"/>
    <s v="EX "/>
    <s v="Colchão M.E."/>
    <m/>
    <e v="#N/A"/>
    <n v="45286"/>
    <m/>
    <m/>
    <n v="-7829.28"/>
    <s v="MT "/>
    <m/>
    <m/>
    <n v="-1000"/>
    <m/>
    <m/>
    <m/>
    <m/>
    <m/>
    <m/>
    <m/>
    <m/>
    <m/>
    <m/>
    <m/>
    <m/>
    <m/>
    <n v="7.8292799999999998"/>
  </r>
  <r>
    <x v="6"/>
    <x v="2"/>
    <s v="COLCHÃO M.E."/>
    <e v="#N/A"/>
    <x v="1"/>
    <s v="NADA"/>
    <s v="URUGUAI"/>
    <n v="50560"/>
    <n v="2495"/>
    <s v="2540027 TP COLMENA 470G 2,10L (A09706) DIVERSAS U"/>
    <s v="DIVINO COLCHONES"/>
    <s v="EX "/>
    <s v="Colchão M.E."/>
    <m/>
    <e v="#N/A"/>
    <n v="45286"/>
    <m/>
    <m/>
    <n v="-23083.85"/>
    <s v="MT "/>
    <n v="470"/>
    <m/>
    <n v="-832"/>
    <m/>
    <m/>
    <m/>
    <m/>
    <m/>
    <m/>
    <m/>
    <m/>
    <m/>
    <m/>
    <m/>
    <m/>
    <m/>
    <n v="27.745012019230767"/>
  </r>
  <r>
    <x v="6"/>
    <x v="2"/>
    <s v="COLCHÃO M.E."/>
    <e v="#N/A"/>
    <x v="1"/>
    <s v="NADA"/>
    <s v="URUGUAI"/>
    <n v="50560"/>
    <n v="2496"/>
    <s v="2540028 TP CORDERO 310G 2,10L 0186002 DIVERSAS U"/>
    <s v="DIVINO COLCHONES"/>
    <s v="EX "/>
    <s v="Colchão M.E."/>
    <m/>
    <e v="#N/A"/>
    <n v="45286"/>
    <m/>
    <m/>
    <n v="-10070.41"/>
    <s v="MT "/>
    <n v="310"/>
    <m/>
    <n v="-490"/>
    <m/>
    <m/>
    <m/>
    <m/>
    <m/>
    <m/>
    <m/>
    <m/>
    <m/>
    <m/>
    <m/>
    <m/>
    <m/>
    <n v="20.551857142857141"/>
  </r>
  <r>
    <x v="6"/>
    <x v="2"/>
    <s v="COLCHÃO M.E."/>
    <e v="#N/A"/>
    <x v="1"/>
    <s v="NADA"/>
    <s v="URUGUAI"/>
    <n v="50560"/>
    <n v="2497"/>
    <s v="2540029 TP LUNA 230G 2,20L 0070001 DIVERSAS U"/>
    <s v="DIVINO COLCHONES"/>
    <s v="EX "/>
    <s v="Colchão M.E."/>
    <m/>
    <e v="#N/A"/>
    <n v="45286"/>
    <m/>
    <m/>
    <n v="-1972.98"/>
    <s v="MT "/>
    <n v="230"/>
    <m/>
    <n v="-168"/>
    <m/>
    <m/>
    <m/>
    <m/>
    <m/>
    <m/>
    <m/>
    <m/>
    <m/>
    <m/>
    <m/>
    <m/>
    <m/>
    <n v="11.743928571428572"/>
  </r>
  <r>
    <x v="6"/>
    <x v="2"/>
    <s v="COLCHÃO M.E."/>
    <e v="#N/A"/>
    <x v="1"/>
    <s v="NADA"/>
    <s v="URUGUAI"/>
    <n v="50560"/>
    <n v="1504"/>
    <s v="2540018 TP ML DIV 7806 240G 2,10L DIVERSAS U"/>
    <s v="DIVINO COLCHONES"/>
    <s v="EX "/>
    <s v="Colchão M.E."/>
    <m/>
    <e v="#N/A"/>
    <n v="45286"/>
    <m/>
    <m/>
    <n v="-63370.68"/>
    <s v="MT "/>
    <n v="240"/>
    <m/>
    <n v="-4390"/>
    <m/>
    <m/>
    <m/>
    <m/>
    <m/>
    <m/>
    <m/>
    <m/>
    <m/>
    <m/>
    <m/>
    <m/>
    <m/>
    <n v="14.435234624145785"/>
  </r>
  <r>
    <x v="6"/>
    <x v="2"/>
    <s v="COLCHÃO M.E."/>
    <e v="#N/A"/>
    <x v="1"/>
    <s v="NADA"/>
    <s v="URUGUAI"/>
    <n v="50560"/>
    <n v="1523"/>
    <s v="32282 - TELA ANTIDESLIZANTE DIVERSAS U"/>
    <s v="DIVINO COLCHONES"/>
    <s v="EX "/>
    <s v="Colchão M.E."/>
    <m/>
    <e v="#N/A"/>
    <n v="45286"/>
    <m/>
    <m/>
    <n v="-10569.53"/>
    <s v="MT "/>
    <m/>
    <m/>
    <n v="-1500"/>
    <m/>
    <m/>
    <m/>
    <m/>
    <m/>
    <m/>
    <m/>
    <m/>
    <m/>
    <m/>
    <m/>
    <m/>
    <m/>
    <n v="7.0463533333333341"/>
  </r>
  <r>
    <x v="6"/>
    <x v="2"/>
    <s v="COLCHÃO M.E."/>
    <e v="#N/A"/>
    <x v="1"/>
    <s v="NADA"/>
    <s v="URUGUAI"/>
    <n v="50560"/>
    <n v="1236"/>
    <s v="2540005 TAMPO GEOMETRICO (A07370) DIVERSAS U"/>
    <s v="DIVINO COLCHONES"/>
    <s v="EX "/>
    <s v="Colchão M.E."/>
    <m/>
    <e v="#N/A"/>
    <n v="45286"/>
    <m/>
    <m/>
    <n v="-27796.39"/>
    <s v="MT "/>
    <n v="240"/>
    <m/>
    <n v="-1623"/>
    <m/>
    <m/>
    <m/>
    <m/>
    <m/>
    <m/>
    <m/>
    <m/>
    <m/>
    <m/>
    <m/>
    <m/>
    <m/>
    <n v="17.126549599507086"/>
  </r>
  <r>
    <x v="6"/>
    <x v="2"/>
    <s v="COLCHÃO M.E."/>
    <e v="#N/A"/>
    <x v="1"/>
    <s v="NADA"/>
    <s v="URUGUAI"/>
    <n v="50560"/>
    <n v="1226"/>
    <s v="2540015 TAMPO PONTILHADOS PRETO (A07803) DIVERSAS U"/>
    <s v="DIVINO COLCHONES"/>
    <s v="EX "/>
    <s v="Colchão M.E."/>
    <m/>
    <e v="#N/A"/>
    <n v="45286"/>
    <m/>
    <m/>
    <n v="-20610.580000000002"/>
    <s v="MT "/>
    <n v="260"/>
    <m/>
    <n v="-1404"/>
    <m/>
    <m/>
    <m/>
    <m/>
    <m/>
    <m/>
    <m/>
    <m/>
    <m/>
    <m/>
    <m/>
    <m/>
    <m/>
    <n v="14.679900284900286"/>
  </r>
  <r>
    <x v="6"/>
    <x v="2"/>
    <s v="COLCHÃO M.E."/>
    <e v="#N/A"/>
    <x v="1"/>
    <s v="NADA"/>
    <s v="URUGUAI"/>
    <n v="50560"/>
    <n v="1225"/>
    <s v="2540012 TAMPO RASCUNHOS (A07820) DIVERSAS U"/>
    <s v="DIVINO COLCHONES"/>
    <s v="EX "/>
    <s v="Colchão M.E."/>
    <m/>
    <e v="#N/A"/>
    <n v="45286"/>
    <m/>
    <m/>
    <n v="-118002.52"/>
    <s v="MT "/>
    <n v="240"/>
    <m/>
    <n v="-8147"/>
    <m/>
    <m/>
    <m/>
    <m/>
    <m/>
    <m/>
    <m/>
    <m/>
    <m/>
    <m/>
    <m/>
    <m/>
    <m/>
    <n v="14.484168405548054"/>
  </r>
  <r>
    <x v="6"/>
    <x v="2"/>
    <s v="COLCHÃO M.E."/>
    <e v="#N/A"/>
    <x v="1"/>
    <s v="NADA"/>
    <s v="URUGUAI"/>
    <n v="50560"/>
    <n v="1525"/>
    <s v="2540022 TP ML FOLHAS IMAG 320G 2,10 DIVERSAS U"/>
    <s v="DIVINO COLCHONES"/>
    <s v="EX "/>
    <s v="Colchão M.E."/>
    <m/>
    <e v="#N/A"/>
    <n v="45286"/>
    <m/>
    <m/>
    <n v="-53572.24"/>
    <s v="MT "/>
    <n v="320"/>
    <m/>
    <n v="-2904"/>
    <m/>
    <m/>
    <m/>
    <m/>
    <m/>
    <m/>
    <m/>
    <m/>
    <m/>
    <m/>
    <m/>
    <m/>
    <m/>
    <n v="18.447741046831954"/>
  </r>
  <r>
    <x v="6"/>
    <x v="2"/>
    <s v="COLCHÃO M.E."/>
    <e v="#N/A"/>
    <x v="18"/>
    <s v="NADA"/>
    <s v="URUGUAI"/>
    <n v="50566"/>
    <n v="2428"/>
    <s v="3030039 - MI PL 160G 2,10G DIVERSAS U"/>
    <s v="POLYMAX"/>
    <s v="EX "/>
    <s v="Colchão M.E."/>
    <m/>
    <e v="#N/A"/>
    <n v="45286"/>
    <m/>
    <m/>
    <n v="-8360.83"/>
    <s v="MT "/>
    <n v="160"/>
    <m/>
    <n v="-854"/>
    <m/>
    <m/>
    <m/>
    <m/>
    <m/>
    <m/>
    <m/>
    <m/>
    <m/>
    <m/>
    <m/>
    <m/>
    <m/>
    <n v="9.7901990632318494"/>
  </r>
  <r>
    <x v="6"/>
    <x v="2"/>
    <s v="COLCHÃO M.E."/>
    <e v="#N/A"/>
    <x v="18"/>
    <s v="NADA"/>
    <s v="URUGUAI"/>
    <n v="50566"/>
    <n v="2427"/>
    <s v="3030038 - MI 160G 2,10L DIVERSAS U"/>
    <s v="POLYMAX"/>
    <s v="EX "/>
    <s v="Colchão M.E."/>
    <m/>
    <e v="#N/A"/>
    <n v="45286"/>
    <m/>
    <m/>
    <n v="-4131.46"/>
    <s v="MT "/>
    <n v="160"/>
    <m/>
    <n v="-422"/>
    <m/>
    <m/>
    <m/>
    <m/>
    <m/>
    <m/>
    <m/>
    <m/>
    <m/>
    <m/>
    <m/>
    <m/>
    <m/>
    <n v="9.7901895734597151"/>
  </r>
  <r>
    <x v="6"/>
    <x v="2"/>
    <s v="COLCHÃO M.E."/>
    <e v="#N/A"/>
    <x v="18"/>
    <s v="NADA"/>
    <s v="URUGUAI"/>
    <n v="50566"/>
    <n v="2426"/>
    <s v="3030037- MI 160G 2,10L DIVERSAS U"/>
    <s v="POLYMAX"/>
    <s v="EX "/>
    <s v="Colchão M.E."/>
    <m/>
    <e v="#N/A"/>
    <n v="45286"/>
    <m/>
    <m/>
    <n v="-4060.49"/>
    <s v="MT "/>
    <n v="160"/>
    <m/>
    <n v="-553"/>
    <m/>
    <m/>
    <m/>
    <m/>
    <m/>
    <m/>
    <m/>
    <m/>
    <m/>
    <m/>
    <m/>
    <m/>
    <m/>
    <n v="7.3426582278481005"/>
  </r>
  <r>
    <x v="6"/>
    <x v="2"/>
    <s v="COLCHÃO M.E."/>
    <e v="#N/A"/>
    <x v="18"/>
    <s v="NADA"/>
    <s v="URUGUAI"/>
    <n v="50566"/>
    <n v="2429"/>
    <s v="3030040 -MI PL 160G 2,10L DIVERSAS U"/>
    <s v="POLYMAX"/>
    <s v="EX "/>
    <s v="Colchão M.E."/>
    <m/>
    <e v="#N/A"/>
    <n v="45286"/>
    <m/>
    <m/>
    <n v="-5746.85"/>
    <s v="MT "/>
    <n v="160"/>
    <m/>
    <n v="-587"/>
    <m/>
    <m/>
    <m/>
    <m/>
    <m/>
    <m/>
    <m/>
    <m/>
    <m/>
    <m/>
    <m/>
    <m/>
    <m/>
    <n v="9.790204429301534"/>
  </r>
  <r>
    <x v="6"/>
    <x v="2"/>
    <s v="COLCHÃO M.E."/>
    <e v="#N/A"/>
    <x v="18"/>
    <s v="NADA"/>
    <s v="URUGUAI"/>
    <n v="50566"/>
    <n v="2425"/>
    <s v="3030036- MI 160G 2,10L DIVERSAS U"/>
    <s v="POLYMAX"/>
    <s v="EX "/>
    <s v="Colchão M.E."/>
    <m/>
    <e v="#N/A"/>
    <n v="45286"/>
    <m/>
    <m/>
    <n v="-3563.63"/>
    <s v="MT "/>
    <n v="160"/>
    <m/>
    <n v="-560"/>
    <m/>
    <m/>
    <m/>
    <m/>
    <m/>
    <m/>
    <m/>
    <m/>
    <m/>
    <m/>
    <m/>
    <m/>
    <m/>
    <n v="6.3636249999999999"/>
  </r>
  <r>
    <x v="6"/>
    <x v="2"/>
    <s v="COLCHÃO M.E."/>
    <e v="#N/A"/>
    <x v="18"/>
    <s v="NADA"/>
    <s v="URUGUAI"/>
    <n v="50566"/>
    <n v="2424"/>
    <s v="3030035- MI 180G 2,10L DIVERSAS U"/>
    <s v="POLYMAX"/>
    <s v="EX "/>
    <s v="Colchão M.E."/>
    <m/>
    <e v="#N/A"/>
    <n v="45286"/>
    <m/>
    <m/>
    <n v="-9128.3799999999992"/>
    <s v="MT "/>
    <n v="180"/>
    <m/>
    <n v="-1332"/>
    <m/>
    <m/>
    <m/>
    <m/>
    <m/>
    <m/>
    <m/>
    <m/>
    <m/>
    <m/>
    <m/>
    <m/>
    <m/>
    <n v="6.8531381381381378"/>
  </r>
  <r>
    <x v="6"/>
    <x v="2"/>
    <s v="COLCHÃO M.E."/>
    <e v="#N/A"/>
    <x v="18"/>
    <s v="NADA"/>
    <s v="URUGUAI"/>
    <n v="50566"/>
    <n v="2423"/>
    <s v="3030034-MI 180G 2,10L DIVERSAS U"/>
    <s v="POLYMAX"/>
    <s v="EX "/>
    <s v="Colchão M.E."/>
    <m/>
    <e v="#N/A"/>
    <n v="45286"/>
    <m/>
    <m/>
    <n v="-3811.32"/>
    <s v="MT "/>
    <n v="180"/>
    <m/>
    <n v="-458"/>
    <m/>
    <m/>
    <m/>
    <m/>
    <m/>
    <m/>
    <m/>
    <m/>
    <m/>
    <m/>
    <m/>
    <m/>
    <m/>
    <n v="8.3216593886462888"/>
  </r>
  <r>
    <x v="6"/>
    <x v="2"/>
    <s v="COLCHÃO M.E."/>
    <e v="#N/A"/>
    <x v="18"/>
    <s v="NADA"/>
    <s v="URUGUAI"/>
    <n v="50566"/>
    <n v="2433"/>
    <s v="3030044 ME PL 160G 2,10L DIVERSAS U"/>
    <s v="POLYMAX"/>
    <s v="EX "/>
    <s v="Colchão M.E."/>
    <m/>
    <e v="#N/A"/>
    <n v="45286"/>
    <m/>
    <m/>
    <n v="-3994.4"/>
    <s v="MT "/>
    <n v="160"/>
    <m/>
    <n v="-408"/>
    <m/>
    <m/>
    <m/>
    <m/>
    <m/>
    <m/>
    <m/>
    <m/>
    <m/>
    <m/>
    <m/>
    <m/>
    <m/>
    <n v="9.7901960784313733"/>
  </r>
  <r>
    <x v="6"/>
    <x v="2"/>
    <s v="COLCHÃO M.E."/>
    <e v="#N/A"/>
    <x v="18"/>
    <s v="NADA"/>
    <s v="URUGUAI"/>
    <n v="50566"/>
    <n v="2430"/>
    <s v="3030041-MI PL 160G 2,10L DIVERSAS U"/>
    <s v="POLYMAX"/>
    <s v="EX "/>
    <s v="Colchão M.E."/>
    <m/>
    <e v="#N/A"/>
    <n v="45286"/>
    <m/>
    <m/>
    <n v="-3896.5"/>
    <s v="MT "/>
    <n v="160"/>
    <m/>
    <n v="-398"/>
    <m/>
    <m/>
    <m/>
    <m/>
    <m/>
    <m/>
    <m/>
    <m/>
    <m/>
    <m/>
    <m/>
    <m/>
    <m/>
    <n v="9.7902010050251249"/>
  </r>
  <r>
    <x v="6"/>
    <x v="2"/>
    <s v="COLCHÃO M.E."/>
    <e v="#N/A"/>
    <x v="18"/>
    <s v="NADA"/>
    <s v="URUGUAI"/>
    <n v="50566"/>
    <n v="2431"/>
    <s v="3030042 - MI PL 160G 2,10L DIVERSAS U"/>
    <s v="POLYMAX"/>
    <s v="EX "/>
    <s v="Colchão M.E."/>
    <m/>
    <e v="#N/A"/>
    <n v="45286"/>
    <m/>
    <m/>
    <n v="-4307.6899999999996"/>
    <s v="MT "/>
    <n v="160"/>
    <m/>
    <n v="-440"/>
    <m/>
    <m/>
    <m/>
    <m/>
    <m/>
    <m/>
    <m/>
    <m/>
    <m/>
    <m/>
    <m/>
    <m/>
    <m/>
    <n v="9.7902045454545448"/>
  </r>
  <r>
    <x v="6"/>
    <x v="2"/>
    <s v="COLCHÃO M.E."/>
    <e v="#N/A"/>
    <x v="18"/>
    <s v="NADA"/>
    <s v="URUGUAI"/>
    <n v="50566"/>
    <n v="2432"/>
    <s v="3030043-MI PL 160G 2,10L DIVERSAS U"/>
    <s v="POLYMAX"/>
    <s v="EX "/>
    <s v="Colchão M.E."/>
    <m/>
    <e v="#N/A"/>
    <n v="45286"/>
    <m/>
    <m/>
    <n v="-7176.22"/>
    <s v="MT "/>
    <n v="160"/>
    <m/>
    <n v="-733"/>
    <m/>
    <m/>
    <m/>
    <m/>
    <m/>
    <m/>
    <m/>
    <m/>
    <m/>
    <m/>
    <m/>
    <m/>
    <m/>
    <n v="9.7902046384720336"/>
  </r>
  <r>
    <x v="6"/>
    <x v="2"/>
    <s v="COLCHÃO M.E."/>
    <e v="#N/A"/>
    <x v="18"/>
    <s v="NADA"/>
    <s v="URUGUAI"/>
    <n v="50566"/>
    <n v="2434"/>
    <s v="3030008 ME PL 180G 2,10L DIVERSAS U"/>
    <s v="POLYMAX"/>
    <s v="EX "/>
    <s v="Colchão M.E."/>
    <m/>
    <e v="#N/A"/>
    <n v="45286"/>
    <m/>
    <m/>
    <n v="-4864.26"/>
    <s v="MT "/>
    <n v="180"/>
    <m/>
    <n v="-523"/>
    <m/>
    <m/>
    <m/>
    <m/>
    <m/>
    <m/>
    <m/>
    <m/>
    <m/>
    <m/>
    <m/>
    <m/>
    <m/>
    <n v="9.3006883365200768"/>
  </r>
  <r>
    <x v="6"/>
    <x v="2"/>
    <s v="COLCHÃO M.E."/>
    <e v="#N/A"/>
    <x v="18"/>
    <s v="NADA"/>
    <s v="URUGUAI"/>
    <n v="50566"/>
    <n v="2435"/>
    <s v="3030007-ME PL 180G 2,10L DIVERSAS U"/>
    <s v="POLYMAX"/>
    <s v="EX "/>
    <s v="Colchão M.E."/>
    <m/>
    <e v="#N/A"/>
    <n v="45286"/>
    <m/>
    <m/>
    <n v="-5269.09"/>
    <s v="MT "/>
    <n v="180"/>
    <m/>
    <n v="-598"/>
    <m/>
    <m/>
    <m/>
    <m/>
    <m/>
    <m/>
    <m/>
    <m/>
    <m/>
    <m/>
    <m/>
    <m/>
    <m/>
    <n v="8.8111872909698992"/>
  </r>
  <r>
    <x v="6"/>
    <x v="2"/>
    <s v="COLCHÃO M.E."/>
    <e v="#N/A"/>
    <x v="18"/>
    <s v="NADA"/>
    <s v="URUGUAI"/>
    <n v="50566"/>
    <n v="2544"/>
    <s v="3030049 MI 180G 2,10L PTO DIVERSAS U"/>
    <s v="POLYMAX"/>
    <s v="EX "/>
    <s v="Colchão M.E."/>
    <m/>
    <e v="#N/A"/>
    <n v="45286"/>
    <m/>
    <m/>
    <n v="-2165.59"/>
    <s v="MT "/>
    <n v="180"/>
    <m/>
    <n v="-316"/>
    <m/>
    <m/>
    <m/>
    <m/>
    <m/>
    <m/>
    <m/>
    <m/>
    <m/>
    <m/>
    <m/>
    <m/>
    <m/>
    <n v="6.8531329113924055"/>
  </r>
  <r>
    <x v="6"/>
    <x v="2"/>
    <s v="COLCHÃO M.E."/>
    <e v="#N/A"/>
    <x v="18"/>
    <s v="NADA"/>
    <s v="URUGUAI"/>
    <n v="50566"/>
    <n v="2422"/>
    <s v="3030025-MI 180G 2,10L DIVERSAS U"/>
    <s v="POLYMAX"/>
    <s v="EX "/>
    <s v="Colchão M.E."/>
    <m/>
    <e v="#N/A"/>
    <n v="45286"/>
    <m/>
    <m/>
    <n v="-4696.8500000000004"/>
    <s v="MT "/>
    <n v="180"/>
    <m/>
    <n v="-505"/>
    <m/>
    <m/>
    <m/>
    <m/>
    <m/>
    <m/>
    <m/>
    <m/>
    <m/>
    <m/>
    <m/>
    <m/>
    <m/>
    <n v="9.3006930693069307"/>
  </r>
  <r>
    <x v="6"/>
    <x v="2"/>
    <s v="COLCHÃO M.E."/>
    <e v="#N/A"/>
    <x v="18"/>
    <s v="NADA"/>
    <s v="URUGUAI"/>
    <n v="50566"/>
    <n v="2412"/>
    <s v="3030031- MI 200G 2,10L DIVERSAS U"/>
    <s v="POLYMAX"/>
    <s v="EX "/>
    <s v="Colchão M.E."/>
    <m/>
    <e v="#N/A"/>
    <n v="45286"/>
    <m/>
    <m/>
    <n v="-4724.75"/>
    <s v="MT "/>
    <n v="200"/>
    <m/>
    <n v="-508"/>
    <m/>
    <m/>
    <m/>
    <m/>
    <m/>
    <m/>
    <m/>
    <m/>
    <m/>
    <m/>
    <m/>
    <m/>
    <m/>
    <n v="9.3006889763779519"/>
  </r>
  <r>
    <x v="6"/>
    <x v="2"/>
    <s v="COLCHÃO M.E."/>
    <e v="#N/A"/>
    <x v="18"/>
    <s v="NADA"/>
    <s v="URUGUAI"/>
    <n v="50566"/>
    <n v="2406"/>
    <s v="3030026 -ME  200G 2,10L DIVERSAS U"/>
    <s v="POLYMAX"/>
    <s v="EX "/>
    <s v="Colchão M.E."/>
    <m/>
    <e v="#N/A"/>
    <n v="45286"/>
    <m/>
    <m/>
    <n v="-4620.97"/>
    <s v="MT "/>
    <n v="200"/>
    <m/>
    <n v="-472"/>
    <m/>
    <m/>
    <m/>
    <m/>
    <m/>
    <m/>
    <m/>
    <m/>
    <m/>
    <m/>
    <m/>
    <m/>
    <m/>
    <n v="9.7901906779661019"/>
  </r>
  <r>
    <x v="6"/>
    <x v="2"/>
    <s v="COLCHÃO M.E."/>
    <e v="#N/A"/>
    <x v="18"/>
    <s v="NADA"/>
    <s v="URUGUAI"/>
    <n v="50566"/>
    <n v="2407"/>
    <s v="3030027-MI 200G 2,10L DIVERSAS U"/>
    <s v="POLYMAX"/>
    <s v="EX "/>
    <s v="Colchão M.E."/>
    <m/>
    <e v="#N/A"/>
    <n v="45286"/>
    <m/>
    <m/>
    <n v="-4305"/>
    <s v="MT "/>
    <n v="200"/>
    <m/>
    <n v="-429"/>
    <m/>
    <m/>
    <m/>
    <m/>
    <m/>
    <m/>
    <m/>
    <m/>
    <m/>
    <m/>
    <m/>
    <m/>
    <m/>
    <n v="10.034965034965035"/>
  </r>
  <r>
    <x v="6"/>
    <x v="2"/>
    <s v="COLCHÃO M.E."/>
    <e v="#N/A"/>
    <x v="18"/>
    <s v="NADA"/>
    <s v="URUGUAI"/>
    <n v="50566"/>
    <n v="2408"/>
    <s v="3030028-MI 200G 2,10L DIVERSAS U"/>
    <s v="POLYMAX"/>
    <s v="EX "/>
    <s v="Colchão M.E."/>
    <m/>
    <e v="#N/A"/>
    <n v="45286"/>
    <m/>
    <m/>
    <n v="-3913.63"/>
    <s v="MT "/>
    <n v="200"/>
    <m/>
    <n v="-410"/>
    <m/>
    <m/>
    <m/>
    <m/>
    <m/>
    <m/>
    <m/>
    <m/>
    <m/>
    <m/>
    <m/>
    <m/>
    <m/>
    <n v="9.5454390243902445"/>
  </r>
  <r>
    <x v="6"/>
    <x v="2"/>
    <s v="COLCHÃO M.E."/>
    <e v="#N/A"/>
    <x v="18"/>
    <s v="NADA"/>
    <s v="URUGUAI"/>
    <n v="50566"/>
    <n v="2409"/>
    <s v="3030029-MI 200G 2,10L DIVERSAS U"/>
    <s v="POLYMAX"/>
    <s v="EX "/>
    <s v="Colchão M.E."/>
    <m/>
    <e v="#N/A"/>
    <n v="45286"/>
    <m/>
    <m/>
    <n v="-3763.11"/>
    <s v="MT "/>
    <n v="200"/>
    <m/>
    <n v="-375"/>
    <m/>
    <m/>
    <m/>
    <m/>
    <m/>
    <m/>
    <m/>
    <m/>
    <m/>
    <m/>
    <m/>
    <m/>
    <m/>
    <n v="10.03496"/>
  </r>
  <r>
    <x v="6"/>
    <x v="2"/>
    <s v="COLCHÃO M.E."/>
    <e v="#N/A"/>
    <x v="18"/>
    <s v="NADA"/>
    <s v="URUGUAI"/>
    <n v="50566"/>
    <n v="2411"/>
    <s v="3030030-MI 200G 2,10L DIVERSAS U"/>
    <s v="POLYMAX"/>
    <s v="EX "/>
    <s v="Colchão M.E."/>
    <m/>
    <e v="#N/A"/>
    <n v="45286"/>
    <m/>
    <m/>
    <n v="-4486.3599999999997"/>
    <s v="MT "/>
    <n v="200"/>
    <m/>
    <n v="-470"/>
    <m/>
    <m/>
    <m/>
    <m/>
    <m/>
    <m/>
    <m/>
    <m/>
    <m/>
    <m/>
    <m/>
    <m/>
    <m/>
    <n v="9.5454468085106381"/>
  </r>
  <r>
    <x v="6"/>
    <x v="2"/>
    <s v="COLCHÃO M.E."/>
    <e v="#N/A"/>
    <x v="18"/>
    <s v="NADA"/>
    <s v="URUGUAI"/>
    <n v="50566"/>
    <n v="2420"/>
    <s v="3030033- MI 160G 2,10L DIVERSAS U"/>
    <s v="POLYMAX"/>
    <s v="EX "/>
    <s v="Colchão M.E."/>
    <m/>
    <e v="#N/A"/>
    <n v="45286"/>
    <m/>
    <m/>
    <n v="-12829.08"/>
    <s v="MT "/>
    <n v="160"/>
    <m/>
    <n v="-2016"/>
    <m/>
    <m/>
    <m/>
    <m/>
    <m/>
    <m/>
    <m/>
    <m/>
    <m/>
    <m/>
    <m/>
    <m/>
    <m/>
    <n v="6.3636309523809524"/>
  </r>
  <r>
    <x v="6"/>
    <x v="2"/>
    <s v="COLCHÃO M.E."/>
    <e v="#N/A"/>
    <x v="18"/>
    <s v="NADA"/>
    <s v="URUGUAI"/>
    <n v="50566"/>
    <n v="2417"/>
    <s v="3030047-MI 200G 2,10L DIVERSAS U"/>
    <s v="POLYMAX"/>
    <s v="EX "/>
    <s v="Colchão M.E."/>
    <m/>
    <e v="#N/A"/>
    <n v="45286"/>
    <m/>
    <m/>
    <n v="-3494.71"/>
    <s v="MT "/>
    <n v="200"/>
    <m/>
    <n v="-368"/>
    <m/>
    <m/>
    <m/>
    <m/>
    <m/>
    <m/>
    <m/>
    <m/>
    <m/>
    <m/>
    <m/>
    <m/>
    <m/>
    <n v="9.4964945652173913"/>
  </r>
  <r>
    <x v="6"/>
    <x v="2"/>
    <s v="COLCHÃO M.E."/>
    <e v="#N/A"/>
    <x v="18"/>
    <s v="NADA"/>
    <s v="URUGUAI"/>
    <n v="50566"/>
    <n v="2419"/>
    <s v="3030024-MI 180G 2,10L DIVERSAS U"/>
    <s v="POLYMAX"/>
    <s v="EX "/>
    <s v="Colchão M.E."/>
    <m/>
    <e v="#N/A"/>
    <n v="45286"/>
    <m/>
    <m/>
    <n v="-4758.04"/>
    <s v="MT "/>
    <n v="180"/>
    <m/>
    <n v="-486"/>
    <m/>
    <m/>
    <m/>
    <m/>
    <m/>
    <m/>
    <m/>
    <m/>
    <m/>
    <m/>
    <m/>
    <m/>
    <m/>
    <n v="9.7902057613168729"/>
  </r>
  <r>
    <x v="6"/>
    <x v="2"/>
    <s v="COLCHÃO M.E."/>
    <e v="#N/A"/>
    <x v="18"/>
    <s v="NADA"/>
    <s v="URUGUAI"/>
    <n v="50566"/>
    <n v="2418"/>
    <s v="3030048-MI 200G 2,10L DIVERSAS U"/>
    <s v="POLYMAX"/>
    <s v="EX "/>
    <s v="Colchão M.E."/>
    <m/>
    <e v="#N/A"/>
    <n v="45286"/>
    <m/>
    <m/>
    <n v="-4244.93"/>
    <s v="MT "/>
    <n v="200"/>
    <m/>
    <n v="-447"/>
    <m/>
    <m/>
    <m/>
    <m/>
    <m/>
    <m/>
    <m/>
    <m/>
    <m/>
    <m/>
    <m/>
    <m/>
    <m/>
    <n v="9.4964876957494422"/>
  </r>
  <r>
    <x v="6"/>
    <x v="2"/>
    <s v="COLCHÃO M.E."/>
    <e v="#N/A"/>
    <x v="18"/>
    <s v="NADA"/>
    <s v="URUGUAI"/>
    <n v="50566"/>
    <n v="2413"/>
    <s v="3030032-MI 200G 2,10L DIVERSAS U"/>
    <s v="POLYMAX"/>
    <s v="EX "/>
    <s v="Colchão M.E."/>
    <m/>
    <e v="#N/A"/>
    <n v="45286"/>
    <m/>
    <m/>
    <n v="-8469.99"/>
    <s v="MT "/>
    <n v="200"/>
    <m/>
    <n v="-1331"/>
    <m/>
    <m/>
    <m/>
    <m/>
    <m/>
    <m/>
    <m/>
    <m/>
    <m/>
    <m/>
    <m/>
    <m/>
    <m/>
    <n v="6.3636288504883547"/>
  </r>
  <r>
    <x v="6"/>
    <x v="2"/>
    <s v="COLCHÃO M.E."/>
    <e v="#N/A"/>
    <x v="18"/>
    <s v="NADA"/>
    <s v="URUGUAI"/>
    <n v="50566"/>
    <n v="2416"/>
    <s v="3030046-MI 200G 2,10L DIVERSAS U"/>
    <s v="POLYMAX"/>
    <s v="EX "/>
    <s v="Colchão M.E."/>
    <m/>
    <e v="#N/A"/>
    <n v="45286"/>
    <m/>
    <m/>
    <n v="-4901.46"/>
    <s v="MT "/>
    <n v="200"/>
    <m/>
    <n v="-527"/>
    <m/>
    <m/>
    <m/>
    <m/>
    <m/>
    <m/>
    <m/>
    <m/>
    <m/>
    <m/>
    <m/>
    <m/>
    <m/>
    <n v="9.3006831119544593"/>
  </r>
  <r>
    <x v="6"/>
    <x v="2"/>
    <s v="COLCHÃO M.E."/>
    <e v="#N/A"/>
    <x v="18"/>
    <s v="NADA"/>
    <s v="URUGUAI"/>
    <n v="50566"/>
    <n v="2415"/>
    <s v="3030045- XN 200G 2,10L DIVERSAS U"/>
    <s v="POLYMAX"/>
    <s v="EX "/>
    <s v="Colchão M.E."/>
    <m/>
    <e v="#N/A"/>
    <n v="45286"/>
    <m/>
    <m/>
    <n v="-10318.629999999999"/>
    <s v="MT "/>
    <n v="200"/>
    <m/>
    <n v="-1081"/>
    <m/>
    <m/>
    <m/>
    <m/>
    <m/>
    <m/>
    <m/>
    <m/>
    <m/>
    <m/>
    <m/>
    <m/>
    <m/>
    <n v="9.5454486586493985"/>
  </r>
  <r>
    <x v="0"/>
    <x v="3"/>
    <s v="COLCHÃO M.E."/>
    <s v="DIRETO"/>
    <x v="9"/>
    <s v="NADA"/>
    <s v="CHILE"/>
    <n v="51789"/>
    <n v="1422"/>
    <s v="2810005 TP FOLHA 240G 2,20L (1121110) DIVERSAS U"/>
    <s v="FLEX CHILE"/>
    <s v="EX "/>
    <s v="Colchão M.E."/>
    <m/>
    <s v="DIRETO"/>
    <n v="45358"/>
    <m/>
    <m/>
    <n v="7535.17"/>
    <s v="MT "/>
    <n v="240"/>
    <m/>
    <n v="380"/>
    <m/>
    <m/>
    <m/>
    <m/>
    <m/>
    <m/>
    <m/>
    <m/>
    <m/>
    <m/>
    <m/>
    <m/>
    <m/>
    <n v="19.829394736842104"/>
  </r>
  <r>
    <x v="0"/>
    <x v="3"/>
    <s v="COLCHÃO M.E."/>
    <s v="DIRETO"/>
    <x v="9"/>
    <s v="NADA"/>
    <s v="CHILE"/>
    <n v="52108"/>
    <n v="1419"/>
    <s v="2810009 TP MESCLA 180G 2,20L (1122580) DIVERSAS U"/>
    <s v="FLEX CHILE"/>
    <s v="EX "/>
    <s v="Colchão M.E."/>
    <m/>
    <s v="DIRETO"/>
    <n v="45377"/>
    <m/>
    <m/>
    <n v="6743.54"/>
    <s v="MT "/>
    <n v="180"/>
    <m/>
    <n v="601"/>
    <m/>
    <m/>
    <m/>
    <m/>
    <m/>
    <m/>
    <m/>
    <m/>
    <m/>
    <m/>
    <m/>
    <m/>
    <m/>
    <n v="11.22053244592346"/>
  </r>
  <r>
    <x v="0"/>
    <x v="3"/>
    <s v="COLCHÃO M.E."/>
    <s v="DIRETO"/>
    <x v="9"/>
    <s v="NADA"/>
    <s v="CHILE"/>
    <n v="52108"/>
    <n v="1419"/>
    <s v="2810009 TP MESCLA 180G 2,20L (1122580) DIVERSAS U"/>
    <s v="FLEX CHILE"/>
    <s v="EX "/>
    <s v="Colchão M.E."/>
    <m/>
    <s v="DIRETO"/>
    <n v="45377"/>
    <m/>
    <m/>
    <n v="46217.34"/>
    <s v="MT "/>
    <n v="180"/>
    <m/>
    <n v="4119"/>
    <m/>
    <m/>
    <m/>
    <m/>
    <m/>
    <m/>
    <m/>
    <m/>
    <m/>
    <m/>
    <m/>
    <m/>
    <m/>
    <n v="11.220524399126001"/>
  </r>
  <r>
    <x v="0"/>
    <x v="3"/>
    <s v="COLCHÃO M.E."/>
    <s v="DIRETO"/>
    <x v="9"/>
    <s v="NADA"/>
    <s v="CHILE"/>
    <n v="52108"/>
    <n v="1422"/>
    <s v="2810005 TP FOLHA 240G 2,20L (1121110) DIVERSAS U"/>
    <s v="FLEX CHILE"/>
    <s v="EX "/>
    <s v="Colchão M.E."/>
    <m/>
    <s v="DIRETO"/>
    <n v="45377"/>
    <m/>
    <m/>
    <n v="35211.75"/>
    <s v="MT "/>
    <n v="240"/>
    <m/>
    <n v="2495"/>
    <m/>
    <m/>
    <m/>
    <m/>
    <m/>
    <m/>
    <m/>
    <m/>
    <m/>
    <m/>
    <m/>
    <m/>
    <m/>
    <n v="14.112925851703407"/>
  </r>
  <r>
    <x v="0"/>
    <x v="3"/>
    <s v="COLCHÃO M.E."/>
    <s v="DIRETO"/>
    <x v="1"/>
    <s v="NADA"/>
    <s v="URUGUAI"/>
    <n v="52147"/>
    <n v="1525"/>
    <s v="2540022 TP ML FOLHAS IMAG 320G 2,10 DIVERSAS U"/>
    <s v="DIVINO COLCHONES"/>
    <s v="EX "/>
    <s v="Colchão M.E."/>
    <m/>
    <s v="CONEXÃO MALHAS"/>
    <n v="45379"/>
    <m/>
    <m/>
    <n v="27930.43"/>
    <s v="MT "/>
    <m/>
    <m/>
    <n v="1486"/>
    <m/>
    <m/>
    <m/>
    <m/>
    <m/>
    <m/>
    <m/>
    <m/>
    <m/>
    <m/>
    <m/>
    <m/>
    <m/>
    <n v="18.795713324360701"/>
  </r>
  <r>
    <x v="0"/>
    <x v="3"/>
    <s v="COLCHÃO M.E."/>
    <s v="DIRETO"/>
    <x v="1"/>
    <s v="NADA"/>
    <s v="URUGUAI"/>
    <n v="52147"/>
    <n v="2790"/>
    <s v="2540030 TP ML BCA MINI 220G 2,10L 97.012 DIVERSAS U"/>
    <s v="DIVINO COLCHONES"/>
    <s v="EX "/>
    <s v="Colchão M.E."/>
    <m/>
    <s v="CONEXÃO MALHAS"/>
    <n v="45379"/>
    <m/>
    <m/>
    <n v="5343.77"/>
    <s v="MT "/>
    <m/>
    <m/>
    <n v="348"/>
    <m/>
    <m/>
    <m/>
    <m/>
    <m/>
    <m/>
    <m/>
    <m/>
    <m/>
    <m/>
    <m/>
    <m/>
    <m/>
    <n v="15.355660919540231"/>
  </r>
  <r>
    <x v="0"/>
    <x v="3"/>
    <s v="COLCHÃO M.E."/>
    <s v="DIRETO"/>
    <x v="1"/>
    <s v="NADA"/>
    <s v="URUGUAI"/>
    <n v="52147"/>
    <n v="2497"/>
    <s v="2540029 TP LUNA 230G 2,20L 0070001 DIVERSAS U"/>
    <s v="DIVINO COLCHONES"/>
    <s v="EX "/>
    <s v="Colchão M.E."/>
    <m/>
    <s v="CONEXÃO MALHAS"/>
    <n v="45379"/>
    <m/>
    <m/>
    <n v="6760.47"/>
    <s v="MT "/>
    <m/>
    <m/>
    <n v="565"/>
    <m/>
    <m/>
    <m/>
    <m/>
    <m/>
    <m/>
    <m/>
    <m/>
    <m/>
    <m/>
    <m/>
    <m/>
    <m/>
    <n v="11.965433628318584"/>
  </r>
  <r>
    <x v="0"/>
    <x v="3"/>
    <s v="COLCHÃO M.E."/>
    <s v="DIRETO"/>
    <x v="1"/>
    <s v="NADA"/>
    <s v="URUGUAI"/>
    <n v="52147"/>
    <n v="2054"/>
    <s v="2540026 TP ML 0072051 - 280G 2,20L DEGRA DIVERSAS U"/>
    <s v="DIVINO COLCHONES"/>
    <s v="EX "/>
    <s v="Colchão M.E."/>
    <m/>
    <s v="CONEXÃO MALHAS"/>
    <n v="45379"/>
    <m/>
    <m/>
    <n v="9811.66"/>
    <s v="MT "/>
    <m/>
    <m/>
    <n v="615"/>
    <m/>
    <m/>
    <m/>
    <m/>
    <m/>
    <m/>
    <m/>
    <m/>
    <m/>
    <m/>
    <m/>
    <m/>
    <m/>
    <n v="15.953918699186991"/>
  </r>
  <r>
    <x v="0"/>
    <x v="3"/>
    <s v="COLCHÃO M.E."/>
    <s v="DIRETO"/>
    <x v="1"/>
    <s v="NADA"/>
    <s v="URUGUAI"/>
    <n v="52147"/>
    <n v="2053"/>
    <s v="2540025 TP ML 0069001 - 300G 2,20L CONTE DIVERSAS U"/>
    <s v="DIVINO COLCHONES"/>
    <s v="EX "/>
    <s v="Colchão M.E."/>
    <m/>
    <s v="CONEXÃO MALHAS"/>
    <n v="45379"/>
    <m/>
    <m/>
    <n v="11628.41"/>
    <s v="MT "/>
    <m/>
    <m/>
    <n v="686"/>
    <m/>
    <m/>
    <m/>
    <m/>
    <m/>
    <m/>
    <m/>
    <m/>
    <m/>
    <m/>
    <m/>
    <m/>
    <m/>
    <n v="16.951034985422741"/>
  </r>
  <r>
    <x v="0"/>
    <x v="3"/>
    <s v="COLCHÃO M.E."/>
    <s v="DIRETO"/>
    <x v="1"/>
    <s v="NADA"/>
    <s v="URUGUAI"/>
    <n v="52147"/>
    <n v="1905"/>
    <s v="2540019 NUEVO GALHOS 3 V02 (1922) - TOL DIVERSAS U"/>
    <s v="DIVINO COLCHONES"/>
    <s v="EX "/>
    <s v="Colchão M.E."/>
    <m/>
    <s v="CONEXÃO MALHAS"/>
    <n v="45379"/>
    <m/>
    <m/>
    <n v="8016.84"/>
    <s v="MT "/>
    <m/>
    <m/>
    <n v="1005"/>
    <m/>
    <m/>
    <m/>
    <m/>
    <m/>
    <m/>
    <m/>
    <m/>
    <m/>
    <m/>
    <m/>
    <m/>
    <m/>
    <n v="7.976955223880597"/>
  </r>
  <r>
    <x v="0"/>
    <x v="3"/>
    <s v="COLCHÃO M.E."/>
    <s v="DIRETO"/>
    <x v="1"/>
    <s v="NADA"/>
    <s v="URUGUAI"/>
    <n v="52147"/>
    <n v="1504"/>
    <s v="2540018 TP ML DIV 7806 240G 2,10L DIVERSAS U"/>
    <s v="DIVINO COLCHONES"/>
    <s v="EX "/>
    <s v="Colchão M.E."/>
    <m/>
    <s v="CONEXÃO MALHAS"/>
    <n v="45379"/>
    <m/>
    <m/>
    <n v="47152.31"/>
    <s v="MT "/>
    <m/>
    <m/>
    <n v="3206"/>
    <m/>
    <m/>
    <m/>
    <m/>
    <m/>
    <m/>
    <m/>
    <m/>
    <m/>
    <m/>
    <m/>
    <m/>
    <m/>
    <n v="14.70752027448534"/>
  </r>
  <r>
    <x v="0"/>
    <x v="3"/>
    <s v="COLCHÃO M.E."/>
    <s v="DIRETO"/>
    <x v="1"/>
    <s v="NADA"/>
    <s v="URUGUAI"/>
    <n v="52147"/>
    <n v="1523"/>
    <s v="32282 - TELA ANTIDESLIZANTE DIVERSAS U"/>
    <s v="DIVINO COLCHONES"/>
    <s v="EX "/>
    <s v="Colchão M.E."/>
    <m/>
    <s v="CONEXÃO MALHAS"/>
    <n v="45379"/>
    <m/>
    <m/>
    <n v="21537.79"/>
    <s v="MT "/>
    <m/>
    <m/>
    <n v="3000"/>
    <m/>
    <m/>
    <m/>
    <m/>
    <m/>
    <m/>
    <m/>
    <m/>
    <m/>
    <m/>
    <m/>
    <m/>
    <m/>
    <n v="7.179263333333334"/>
  </r>
  <r>
    <x v="0"/>
    <x v="3"/>
    <s v="COLCHÃO M.E."/>
    <s v="DIRETO"/>
    <x v="1"/>
    <s v="NADA"/>
    <s v="URUGUAI"/>
    <n v="52147"/>
    <n v="1236"/>
    <s v="2540005 TAMPO GEOMETRICO (A07370) DIVERSAS U"/>
    <s v="DIVINO COLCHONES"/>
    <s v="EX "/>
    <s v="Colchão M.E."/>
    <m/>
    <s v="CONEXÃO MALHAS"/>
    <n v="45379"/>
    <m/>
    <m/>
    <n v="26575.74"/>
    <s v="MT "/>
    <m/>
    <m/>
    <n v="1523"/>
    <m/>
    <m/>
    <m/>
    <m/>
    <m/>
    <m/>
    <m/>
    <m/>
    <m/>
    <m/>
    <m/>
    <m/>
    <m/>
    <n v="17.449599474720948"/>
  </r>
  <r>
    <x v="0"/>
    <x v="3"/>
    <s v="COLCHÃO M.E."/>
    <s v="DIRETO"/>
    <x v="1"/>
    <s v="NADA"/>
    <s v="URUGUAI"/>
    <n v="52147"/>
    <n v="1236"/>
    <s v="2540005 TAMPO GEOMETRICO (A07370) DIVERSAS U"/>
    <s v="DIVINO COLCHONES"/>
    <s v="EX "/>
    <s v="Colchão M.E."/>
    <m/>
    <s v="CONEXÃO MALHAS"/>
    <n v="45379"/>
    <m/>
    <m/>
    <n v="6770.44"/>
    <s v="MT "/>
    <m/>
    <m/>
    <n v="388"/>
    <m/>
    <m/>
    <m/>
    <m/>
    <m/>
    <m/>
    <m/>
    <m/>
    <m/>
    <m/>
    <m/>
    <m/>
    <m/>
    <n v="17.449587628865977"/>
  </r>
  <r>
    <x v="0"/>
    <x v="3"/>
    <s v="COLCHÃO M.E."/>
    <s v="DIRETO"/>
    <x v="1"/>
    <s v="NADA"/>
    <s v="URUGUAI"/>
    <n v="52147"/>
    <n v="1226"/>
    <s v="2540015 TAMPO PONTILHADOS PRETO (A07803) DIVERSAS U"/>
    <s v="DIVINO COLCHONES"/>
    <s v="EX "/>
    <s v="Colchão M.E."/>
    <m/>
    <s v="CONEXÃO MALHAS"/>
    <n v="45379"/>
    <m/>
    <m/>
    <n v="47652.36"/>
    <s v="MT "/>
    <m/>
    <m/>
    <n v="3186"/>
    <m/>
    <m/>
    <m/>
    <m/>
    <m/>
    <m/>
    <m/>
    <m/>
    <m/>
    <m/>
    <m/>
    <m/>
    <m/>
    <n v="14.956798493408662"/>
  </r>
  <r>
    <x v="0"/>
    <x v="3"/>
    <s v="COLCHÃO M.E."/>
    <s v="DIRETO"/>
    <x v="1"/>
    <s v="NADA"/>
    <s v="URUGUAI"/>
    <n v="52147"/>
    <n v="1226"/>
    <s v="2540015 TAMPO PONTILHADOS PRETO (A07803) DIVERSAS U"/>
    <s v="DIVINO COLCHONES"/>
    <s v="EX "/>
    <s v="Colchão M.E."/>
    <m/>
    <s v="CONEXÃO MALHAS"/>
    <n v="45379"/>
    <m/>
    <m/>
    <n v="5085.3100000000004"/>
    <s v="MT "/>
    <m/>
    <m/>
    <n v="340"/>
    <m/>
    <m/>
    <m/>
    <m/>
    <m/>
    <m/>
    <m/>
    <m/>
    <m/>
    <m/>
    <m/>
    <m/>
    <m/>
    <n v="14.95679411764706"/>
  </r>
  <r>
    <x v="0"/>
    <x v="3"/>
    <s v="COLCHÃO M.E."/>
    <s v="DIRETO"/>
    <x v="1"/>
    <s v="NADA"/>
    <s v="URUGUAI"/>
    <n v="52147"/>
    <n v="1225"/>
    <s v="2540012 TAMPO RASCUNHOS (A07820) DIVERSAS U"/>
    <s v="DIVINO COLCHONES"/>
    <s v="EX "/>
    <s v="Colchão M.E."/>
    <m/>
    <s v="CONEXÃO MALHAS"/>
    <n v="45379"/>
    <m/>
    <m/>
    <n v="76679.33"/>
    <s v="MT "/>
    <m/>
    <m/>
    <n v="5196"/>
    <m/>
    <m/>
    <m/>
    <m/>
    <m/>
    <m/>
    <m/>
    <m/>
    <m/>
    <m/>
    <m/>
    <m/>
    <m/>
    <n v="14.757376828329484"/>
  </r>
  <r>
    <x v="0"/>
    <x v="3"/>
    <s v="COLCHÃO M.E."/>
    <s v="DIRETO"/>
    <x v="24"/>
    <s v="NADA"/>
    <s v="EQUADOR"/>
    <n v="52175"/>
    <n v="2582"/>
    <s v="3260001 TP PARAISO PREMIUM 240G 2,20L DIVERSAS U"/>
    <s v="PRODUCTOS PARAISO DEL ECUADOR"/>
    <s v="EX "/>
    <s v="Colchão M.E."/>
    <m/>
    <s v="CONEXÃO MALHAS"/>
    <n v="45379"/>
    <m/>
    <m/>
    <n v="14063.98"/>
    <s v="MT "/>
    <m/>
    <m/>
    <n v="1294"/>
    <m/>
    <m/>
    <m/>
    <m/>
    <m/>
    <m/>
    <m/>
    <m/>
    <m/>
    <m/>
    <m/>
    <m/>
    <m/>
    <n v="10.868608964451314"/>
  </r>
  <r>
    <x v="0"/>
    <x v="3"/>
    <s v="COLCHÃO M.E."/>
    <s v="DIRETO"/>
    <x v="24"/>
    <s v="NADA"/>
    <s v="EQUADOR"/>
    <n v="52175"/>
    <n v="2941"/>
    <s v="3260003-ME PARAISO DEL 320G 2,20L DIVERSAS U"/>
    <s v="PRODUCTOS PARAISO DEL ECUADOR"/>
    <s v="EX "/>
    <s v="Colchão M.E."/>
    <m/>
    <s v="CONEXÃO MALHAS"/>
    <n v="45379"/>
    <m/>
    <m/>
    <n v="14096.78"/>
    <s v="MT "/>
    <m/>
    <m/>
    <n v="1131"/>
    <m/>
    <m/>
    <m/>
    <m/>
    <m/>
    <m/>
    <m/>
    <m/>
    <m/>
    <m/>
    <m/>
    <m/>
    <m/>
    <n v="12.463996463306808"/>
  </r>
  <r>
    <x v="0"/>
    <x v="3"/>
    <s v="COLCHÃO M.E."/>
    <s v="DIRETO"/>
    <x v="24"/>
    <s v="NADA"/>
    <s v="EQUADOR"/>
    <n v="52175"/>
    <n v="2942"/>
    <s v="3260004-ME PARAISO 260G 2,20L DIVERSAS U"/>
    <s v="PRODUCTOS PARAISO DEL ECUADOR"/>
    <s v="EX "/>
    <s v="Colchão M.E."/>
    <m/>
    <s v="CONEXÃO MALHAS"/>
    <n v="45379"/>
    <m/>
    <m/>
    <n v="16986.14"/>
    <s v="MT "/>
    <m/>
    <m/>
    <n v="1008"/>
    <m/>
    <m/>
    <m/>
    <m/>
    <m/>
    <m/>
    <m/>
    <m/>
    <m/>
    <m/>
    <m/>
    <m/>
    <m/>
    <n v="16.851329365079366"/>
  </r>
  <r>
    <x v="0"/>
    <x v="3"/>
    <s v="COLCHÃO M.E."/>
    <s v="DIRETO"/>
    <x v="24"/>
    <s v="NADA"/>
    <s v="EQUADOR"/>
    <n v="52175"/>
    <n v="2950"/>
    <s v="3260005-PL ME 180G 2,10L DIVERSAS U"/>
    <s v="PRODUCTOS PARAISO DEL ECUADOR"/>
    <s v="EX "/>
    <s v="Colchão M.E."/>
    <m/>
    <s v="CONEXÃO MALHAS"/>
    <n v="45379"/>
    <m/>
    <m/>
    <n v="421.18"/>
    <s v="MT "/>
    <m/>
    <m/>
    <n v="48"/>
    <m/>
    <m/>
    <m/>
    <m/>
    <m/>
    <m/>
    <m/>
    <m/>
    <m/>
    <m/>
    <m/>
    <m/>
    <m/>
    <n v="8.7745833333333341"/>
  </r>
  <r>
    <x v="0"/>
    <x v="3"/>
    <s v="COLCHÃO M.E."/>
    <s v="DIRETO"/>
    <x v="24"/>
    <s v="NADA"/>
    <s v="EQUADOR"/>
    <n v="52175"/>
    <n v="2951"/>
    <s v="3260007-ME 280G 2,20L DIVERSAS U"/>
    <s v="PRODUCTOS PARAISO DEL ECUADOR"/>
    <s v="EX "/>
    <s v="Colchão M.E."/>
    <m/>
    <s v="CONEXÃO MALHAS"/>
    <n v="45379"/>
    <m/>
    <m/>
    <n v="10177.11"/>
    <s v="MT "/>
    <m/>
    <m/>
    <n v="685"/>
    <m/>
    <m/>
    <m/>
    <m/>
    <m/>
    <m/>
    <m/>
    <m/>
    <m/>
    <m/>
    <m/>
    <m/>
    <m/>
    <n v="14.85709489051095"/>
  </r>
  <r>
    <x v="9"/>
    <x v="3"/>
    <s v="COLCHÃO M.E."/>
    <s v="DIRETO"/>
    <x v="1"/>
    <s v="NADA"/>
    <s v="URUGUAI"/>
    <n v="52180"/>
    <n v="1905"/>
    <s v="2540019 NUEVO GALHOS 3 V02 (1922) - TOL DIVERSAS U"/>
    <s v="DIVINO COLCHONES"/>
    <s v="EX "/>
    <s v="Colchão M.E."/>
    <m/>
    <s v="CONEXÃO MALHAS"/>
    <n v="45383"/>
    <m/>
    <m/>
    <n v="8033.89"/>
    <s v="MT "/>
    <m/>
    <m/>
    <n v="1005"/>
    <m/>
    <m/>
    <m/>
    <m/>
    <m/>
    <m/>
    <m/>
    <m/>
    <m/>
    <m/>
    <m/>
    <s v="DIVINO S.A"/>
    <s v="CONEXAO MALHAS E DESENVOLVIMENTO LTDA"/>
    <n v="7.9939203980099505"/>
  </r>
  <r>
    <x v="9"/>
    <x v="3"/>
    <s v="COLCHÃO M.E."/>
    <s v="DIRETO"/>
    <x v="1"/>
    <s v="NADA"/>
    <s v="URUGUAI"/>
    <n v="52180"/>
    <n v="2790"/>
    <s v="2540030 TP ML BCA MINI 220G 2,10L 97.012 DIVERSAS U"/>
    <s v="DIVINO COLCHONES"/>
    <s v="EX "/>
    <s v="Colchão M.E."/>
    <m/>
    <s v="CONEXÃO MALHAS"/>
    <n v="45383"/>
    <m/>
    <m/>
    <n v="5355.13"/>
    <s v="MT "/>
    <n v="220"/>
    <m/>
    <n v="348"/>
    <m/>
    <m/>
    <m/>
    <m/>
    <m/>
    <m/>
    <m/>
    <m/>
    <m/>
    <m/>
    <m/>
    <s v="DIVINO S.A"/>
    <s v="CONEXAO MALHAS E DESENVOLVIMENTO LTDA"/>
    <n v="15.388304597701151"/>
  </r>
  <r>
    <x v="9"/>
    <x v="3"/>
    <s v="COLCHÃO M.E."/>
    <s v="DIRETO"/>
    <x v="1"/>
    <s v="NADA"/>
    <s v="URUGUAI"/>
    <n v="52180"/>
    <n v="2497"/>
    <s v="2540029 TP LUNA 230G 2,20L 0070001 DIVERSAS U"/>
    <s v="DIVINO COLCHONES"/>
    <s v="EX "/>
    <s v="Colchão M.E."/>
    <m/>
    <s v="CONEXÃO MALHAS"/>
    <n v="45383"/>
    <m/>
    <m/>
    <n v="6774.85"/>
    <s v="MT "/>
    <n v="230"/>
    <m/>
    <n v="565"/>
    <m/>
    <m/>
    <m/>
    <m/>
    <m/>
    <m/>
    <m/>
    <m/>
    <m/>
    <m/>
    <m/>
    <s v="DIVINO S.A"/>
    <s v="CONEXAO MALHAS E DESENVOLVIMENTO LTDA"/>
    <n v="11.990884955752213"/>
  </r>
  <r>
    <x v="9"/>
    <x v="3"/>
    <s v="COLCHÃO M.E."/>
    <s v="DIRETO"/>
    <x v="1"/>
    <s v="NADA"/>
    <s v="URUGUAI"/>
    <n v="52180"/>
    <n v="2054"/>
    <s v="2540026 TP ML 0072051 - 280G 2,20L DEGRA DIVERSAS U"/>
    <s v="DIVINO COLCHONES"/>
    <s v="EX "/>
    <s v="Colchão M.E."/>
    <m/>
    <s v="CONEXÃO MALHAS"/>
    <n v="45383"/>
    <m/>
    <m/>
    <n v="9832.52"/>
    <s v="MT "/>
    <n v="280"/>
    <m/>
    <n v="615"/>
    <m/>
    <m/>
    <m/>
    <m/>
    <m/>
    <m/>
    <m/>
    <m/>
    <m/>
    <m/>
    <m/>
    <s v="DIVINO S.A"/>
    <s v="CONEXAO MALHAS E DESENVOLVIMENTO LTDA"/>
    <n v="15.987837398373985"/>
  </r>
  <r>
    <x v="9"/>
    <x v="3"/>
    <s v="COLCHÃO M.E."/>
    <s v="DIRETO"/>
    <x v="1"/>
    <s v="NADA"/>
    <s v="URUGUAI"/>
    <n v="52180"/>
    <n v="2053"/>
    <s v="2540025 TP ML 0069001 - 300G 2,20L CONTE DIVERSAS U"/>
    <s v="DIVINO COLCHONES"/>
    <s v="EX "/>
    <s v="Colchão M.E."/>
    <m/>
    <s v="CONEXÃO MALHAS"/>
    <n v="45383"/>
    <m/>
    <m/>
    <n v="11653.14"/>
    <s v="MT "/>
    <n v="300"/>
    <m/>
    <n v="686"/>
    <m/>
    <m/>
    <m/>
    <m/>
    <m/>
    <m/>
    <m/>
    <m/>
    <m/>
    <m/>
    <m/>
    <s v="DIVINO S.A"/>
    <s v="CONEXAO MALHAS E DESENVOLVIMENTO LTDA"/>
    <n v="16.987084548104956"/>
  </r>
  <r>
    <x v="9"/>
    <x v="3"/>
    <s v="COLCHÃO M.E."/>
    <s v="DIRETO"/>
    <x v="1"/>
    <s v="NADA"/>
    <s v="URUGUAI"/>
    <n v="52180"/>
    <n v="1225"/>
    <s v="2540012 TAMPO RASCUNHOS (A07820) DIVERSAS U"/>
    <s v="DIVINO COLCHONES"/>
    <s v="EX "/>
    <s v="Colchão M.E."/>
    <m/>
    <s v="CONEXÃO MALHAS"/>
    <n v="45383"/>
    <m/>
    <m/>
    <n v="76842.36"/>
    <s v="MT "/>
    <n v="240"/>
    <m/>
    <n v="5196"/>
    <m/>
    <m/>
    <m/>
    <m/>
    <m/>
    <m/>
    <m/>
    <m/>
    <m/>
    <m/>
    <m/>
    <s v="DIVINO S.A"/>
    <s v="CONEXAO MALHAS E DESENVOLVIMENTO LTDA"/>
    <n v="14.788752886836027"/>
  </r>
  <r>
    <x v="9"/>
    <x v="3"/>
    <s v="COLCHÃO M.E."/>
    <s v="DIRETO"/>
    <x v="1"/>
    <s v="NADA"/>
    <s v="URUGUAI"/>
    <n v="52180"/>
    <n v="1525"/>
    <s v="2540022 TP ML FOLHAS IMAG 320G 2,10 DIVERSAS U"/>
    <s v="DIVINO COLCHONES"/>
    <s v="EX "/>
    <s v="Colchão M.E."/>
    <m/>
    <s v="CONEXÃO MALHAS"/>
    <n v="45383"/>
    <m/>
    <m/>
    <n v="27989.81"/>
    <s v="MT "/>
    <n v="320"/>
    <m/>
    <n v="1486"/>
    <m/>
    <m/>
    <m/>
    <m/>
    <m/>
    <m/>
    <m/>
    <m/>
    <m/>
    <m/>
    <m/>
    <s v="DIVINO S.A"/>
    <s v="CONEXAO MALHAS E DESENVOLVIMENTO LTDA"/>
    <n v="18.835672947510094"/>
  </r>
  <r>
    <x v="9"/>
    <x v="3"/>
    <s v="COLCHÃO M.E."/>
    <s v="DIRETO"/>
    <x v="1"/>
    <s v="NADA"/>
    <s v="URUGUAI"/>
    <n v="52180"/>
    <n v="1523"/>
    <s v="32282 - TELA ANTIDESLIZANTE DIVERSAS U"/>
    <s v="DIVINO COLCHONES"/>
    <s v="EX "/>
    <s v="Colchão M.E."/>
    <m/>
    <s v="CONEXÃO MALHAS"/>
    <n v="45383"/>
    <m/>
    <m/>
    <n v="21583.58"/>
    <s v="MT "/>
    <m/>
    <m/>
    <n v="3000"/>
    <m/>
    <m/>
    <m/>
    <m/>
    <m/>
    <m/>
    <m/>
    <m/>
    <m/>
    <m/>
    <m/>
    <s v="DIVINO S.A"/>
    <s v="CONEXAO MALHAS E DESENVOLVIMENTO LTDA"/>
    <n v="7.1945266666666674"/>
  </r>
  <r>
    <x v="9"/>
    <x v="3"/>
    <s v="COLCHÃO M.E."/>
    <s v="DIRETO"/>
    <x v="1"/>
    <s v="NADA"/>
    <s v="URUGUAI"/>
    <n v="52180"/>
    <n v="1504"/>
    <s v="2540018 TP ML DIV 7806 240G 2,10L DIVERSAS U"/>
    <s v="DIVINO COLCHONES"/>
    <s v="EX "/>
    <s v="Colchão M.E."/>
    <m/>
    <s v="CONEXÃO MALHAS"/>
    <n v="45383"/>
    <m/>
    <m/>
    <n v="47412.74"/>
    <s v="MT "/>
    <n v="240"/>
    <m/>
    <n v="3206"/>
    <m/>
    <m/>
    <m/>
    <m/>
    <m/>
    <m/>
    <m/>
    <m/>
    <m/>
    <m/>
    <m/>
    <s v="DIVINO S.A"/>
    <s v="CONEXAO MALHAS E DESENVOLVIMENTO LTDA"/>
    <n v="14.788752339363693"/>
  </r>
  <r>
    <x v="9"/>
    <x v="3"/>
    <s v="COLCHÃO M.E."/>
    <s v="DIRETO"/>
    <x v="1"/>
    <s v="NADA"/>
    <s v="URUGUAI"/>
    <n v="52180"/>
    <n v="1236"/>
    <s v="2540005 TAMPO GEOMETRICO (A07370) DIVERSAS U"/>
    <s v="DIVINO COLCHONES"/>
    <s v="EX "/>
    <s v="Colchão M.E."/>
    <m/>
    <s v="CONEXÃO MALHAS"/>
    <n v="45383"/>
    <m/>
    <m/>
    <n v="33417.08"/>
    <s v="MT "/>
    <n v="240"/>
    <m/>
    <n v="1911"/>
    <m/>
    <m/>
    <m/>
    <m/>
    <m/>
    <m/>
    <m/>
    <m/>
    <m/>
    <m/>
    <m/>
    <s v="DIVINO S.A"/>
    <s v="CONEXAO MALHAS E DESENVOLVIMENTO LTDA"/>
    <n v="17.486698063840922"/>
  </r>
  <r>
    <x v="9"/>
    <x v="3"/>
    <s v="COLCHÃO M.E."/>
    <s v="DIRETO"/>
    <x v="1"/>
    <s v="NADA"/>
    <s v="URUGUAI"/>
    <n v="52180"/>
    <n v="1226"/>
    <s v="2540015 TAMPO PONTILHADOS PRETO (A07803) DIVERSAS U"/>
    <s v="DIVINO COLCHONES"/>
    <s v="EX "/>
    <s v="Colchão M.E."/>
    <m/>
    <s v="CONEXÃO MALHAS"/>
    <n v="45383"/>
    <m/>
    <m/>
    <n v="52849.8"/>
    <s v="MT "/>
    <n v="260"/>
    <m/>
    <n v="3526"/>
    <m/>
    <m/>
    <m/>
    <m/>
    <m/>
    <m/>
    <m/>
    <m/>
    <m/>
    <m/>
    <m/>
    <s v="DIVINO S.A"/>
    <s v="CONEXAO MALHAS E DESENVOLVIMENTO LTDA"/>
    <n v="14.988598979013046"/>
  </r>
  <r>
    <x v="9"/>
    <x v="3"/>
    <s v="COLCHÃO M.E."/>
    <s v="DIRETO"/>
    <x v="1"/>
    <s v="NADA"/>
    <s v="URUGUAI"/>
    <n v="52194"/>
    <n v="1525"/>
    <s v="2540022 TP ML FOLHAS IMAG 320G 2,10 DIVERSAS U"/>
    <s v="DIVINO COLCHONES"/>
    <s v="EX "/>
    <s v="Colchão M.E."/>
    <m/>
    <s v="CONEXÃO MALHAS"/>
    <n v="45384"/>
    <m/>
    <m/>
    <n v="-27930.43"/>
    <s v="MT "/>
    <m/>
    <m/>
    <n v="-1486"/>
    <m/>
    <m/>
    <m/>
    <m/>
    <m/>
    <m/>
    <m/>
    <m/>
    <m/>
    <m/>
    <m/>
    <m/>
    <m/>
    <n v="18.795713324360701"/>
  </r>
  <r>
    <x v="9"/>
    <x v="3"/>
    <s v="COLCHÃO M.E."/>
    <s v="DIRETO"/>
    <x v="1"/>
    <s v="NADA"/>
    <s v="URUGUAI"/>
    <n v="52194"/>
    <n v="2790"/>
    <s v="2540030 TP ML BCA MINI 220G 2,10L 97.012 DIVERSAS U"/>
    <s v="DIVINO COLCHONES"/>
    <s v="EX "/>
    <s v="Colchão M.E."/>
    <m/>
    <s v="CONEXÃO MALHAS"/>
    <n v="45384"/>
    <m/>
    <m/>
    <n v="-5343.77"/>
    <s v="MT "/>
    <m/>
    <m/>
    <n v="-348"/>
    <m/>
    <m/>
    <m/>
    <m/>
    <m/>
    <m/>
    <m/>
    <m/>
    <m/>
    <m/>
    <m/>
    <m/>
    <m/>
    <n v="15.355660919540231"/>
  </r>
  <r>
    <x v="9"/>
    <x v="3"/>
    <s v="COLCHÃO M.E."/>
    <s v="DIRETO"/>
    <x v="1"/>
    <s v="NADA"/>
    <s v="URUGUAI"/>
    <n v="52194"/>
    <n v="2497"/>
    <s v="2540029 TP LUNA 230G 2,20L 0070001 DIVERSAS U"/>
    <s v="DIVINO COLCHONES"/>
    <s v="EX "/>
    <s v="Colchão M.E."/>
    <m/>
    <s v="CONEXÃO MALHAS"/>
    <n v="45384"/>
    <m/>
    <m/>
    <n v="-6760.47"/>
    <s v="MT "/>
    <m/>
    <m/>
    <n v="-565"/>
    <m/>
    <m/>
    <m/>
    <m/>
    <m/>
    <m/>
    <m/>
    <m/>
    <m/>
    <m/>
    <m/>
    <m/>
    <m/>
    <n v="11.965433628318584"/>
  </r>
  <r>
    <x v="9"/>
    <x v="3"/>
    <s v="COLCHÃO M.E."/>
    <s v="DIRETO"/>
    <x v="1"/>
    <s v="NADA"/>
    <s v="URUGUAI"/>
    <n v="52194"/>
    <n v="2054"/>
    <s v="2540026 TP ML 0072051 - 280G 2,20L DEGRA DIVERSAS U"/>
    <s v="DIVINO COLCHONES"/>
    <s v="EX "/>
    <s v="Colchão M.E."/>
    <m/>
    <s v="CONEXÃO MALHAS"/>
    <n v="45384"/>
    <m/>
    <m/>
    <n v="-9811.66"/>
    <s v="MT "/>
    <m/>
    <m/>
    <n v="-615"/>
    <m/>
    <m/>
    <m/>
    <m/>
    <m/>
    <m/>
    <m/>
    <m/>
    <m/>
    <m/>
    <m/>
    <m/>
    <m/>
    <n v="15.953918699186991"/>
  </r>
  <r>
    <x v="9"/>
    <x v="3"/>
    <s v="COLCHÃO M.E."/>
    <s v="DIRETO"/>
    <x v="1"/>
    <s v="NADA"/>
    <s v="URUGUAI"/>
    <n v="52194"/>
    <n v="2053"/>
    <s v="2540025 TP ML 0069001 - 300G 2,20L CONTE DIVERSAS U"/>
    <s v="DIVINO COLCHONES"/>
    <s v="EX "/>
    <s v="Colchão M.E."/>
    <m/>
    <s v="CONEXÃO MALHAS"/>
    <n v="45384"/>
    <m/>
    <m/>
    <n v="-11628.41"/>
    <s v="MT "/>
    <m/>
    <m/>
    <n v="-686"/>
    <m/>
    <m/>
    <m/>
    <m/>
    <m/>
    <m/>
    <m/>
    <m/>
    <m/>
    <m/>
    <m/>
    <m/>
    <m/>
    <n v="16.951034985422741"/>
  </r>
  <r>
    <x v="9"/>
    <x v="3"/>
    <s v="COLCHÃO M.E."/>
    <s v="DIRETO"/>
    <x v="1"/>
    <s v="NADA"/>
    <s v="URUGUAI"/>
    <n v="52194"/>
    <n v="1905"/>
    <s v="2540019 NUEVO GALHOS 3 V02 (1922) - TOL DIVERSAS U"/>
    <s v="DIVINO COLCHONES"/>
    <s v="EX "/>
    <s v="Colchão M.E."/>
    <m/>
    <s v="CONEXÃO MALHAS"/>
    <n v="45384"/>
    <m/>
    <m/>
    <n v="-8016.84"/>
    <s v="MT "/>
    <m/>
    <m/>
    <n v="-1005"/>
    <m/>
    <m/>
    <m/>
    <m/>
    <m/>
    <m/>
    <m/>
    <m/>
    <m/>
    <m/>
    <m/>
    <m/>
    <m/>
    <n v="7.976955223880597"/>
  </r>
  <r>
    <x v="9"/>
    <x v="3"/>
    <s v="COLCHÃO M.E."/>
    <s v="DIRETO"/>
    <x v="1"/>
    <s v="NADA"/>
    <s v="URUGUAI"/>
    <n v="52194"/>
    <n v="1504"/>
    <s v="2540018 TP ML DIV 7806 240G 2,10L DIVERSAS U"/>
    <s v="DIVINO COLCHONES"/>
    <s v="EX "/>
    <s v="Colchão M.E."/>
    <m/>
    <s v="CONEXÃO MALHAS"/>
    <n v="45384"/>
    <m/>
    <m/>
    <n v="-47152.31"/>
    <s v="MT "/>
    <m/>
    <m/>
    <n v="-3206"/>
    <m/>
    <m/>
    <m/>
    <m/>
    <m/>
    <m/>
    <m/>
    <m/>
    <m/>
    <m/>
    <m/>
    <m/>
    <m/>
    <n v="14.70752027448534"/>
  </r>
  <r>
    <x v="9"/>
    <x v="3"/>
    <s v="COLCHÃO M.E."/>
    <s v="DIRETO"/>
    <x v="1"/>
    <s v="NADA"/>
    <s v="URUGUAI"/>
    <n v="52194"/>
    <n v="1523"/>
    <s v="32282 - TELA ANTIDESLIZANTE DIVERSAS U"/>
    <s v="DIVINO COLCHONES"/>
    <s v="EX "/>
    <s v="Colchão M.E."/>
    <m/>
    <s v="CONEXÃO MALHAS"/>
    <n v="45384"/>
    <m/>
    <m/>
    <n v="-21537.79"/>
    <s v="MT "/>
    <m/>
    <m/>
    <n v="-3000"/>
    <m/>
    <m/>
    <m/>
    <m/>
    <m/>
    <m/>
    <m/>
    <m/>
    <m/>
    <m/>
    <m/>
    <m/>
    <m/>
    <n v="7.179263333333334"/>
  </r>
  <r>
    <x v="9"/>
    <x v="3"/>
    <s v="COLCHÃO M.E."/>
    <s v="DIRETO"/>
    <x v="1"/>
    <s v="NADA"/>
    <s v="URUGUAI"/>
    <n v="52194"/>
    <n v="1236"/>
    <s v="2540005 TAMPO GEOMETRICO (A07370) DIVERSAS U"/>
    <s v="DIVINO COLCHONES"/>
    <s v="EX "/>
    <s v="Colchão M.E."/>
    <m/>
    <s v="CONEXÃO MALHAS"/>
    <n v="45384"/>
    <m/>
    <m/>
    <n v="-26575.74"/>
    <s v="MT "/>
    <m/>
    <m/>
    <n v="-1523"/>
    <m/>
    <m/>
    <m/>
    <m/>
    <m/>
    <m/>
    <m/>
    <m/>
    <m/>
    <m/>
    <m/>
    <m/>
    <m/>
    <n v="17.449599474720948"/>
  </r>
  <r>
    <x v="9"/>
    <x v="3"/>
    <s v="COLCHÃO M.E."/>
    <s v="DIRETO"/>
    <x v="1"/>
    <s v="NADA"/>
    <s v="URUGUAI"/>
    <n v="52194"/>
    <n v="1236"/>
    <s v="2540005 TAMPO GEOMETRICO (A07370) DIVERSAS U"/>
    <s v="DIVINO COLCHONES"/>
    <s v="EX "/>
    <s v="Colchão M.E."/>
    <m/>
    <s v="CONEXÃO MALHAS"/>
    <n v="45384"/>
    <m/>
    <m/>
    <n v="-6770.44"/>
    <s v="MT "/>
    <m/>
    <m/>
    <n v="-388"/>
    <m/>
    <m/>
    <m/>
    <m/>
    <m/>
    <m/>
    <m/>
    <m/>
    <m/>
    <m/>
    <m/>
    <m/>
    <m/>
    <n v="17.449587628865977"/>
  </r>
  <r>
    <x v="9"/>
    <x v="3"/>
    <s v="COLCHÃO M.E."/>
    <s v="DIRETO"/>
    <x v="1"/>
    <s v="NADA"/>
    <s v="URUGUAI"/>
    <n v="52194"/>
    <n v="1226"/>
    <s v="2540015 TAMPO PONTILHADOS PRETO (A07803) DIVERSAS U"/>
    <s v="DIVINO COLCHONES"/>
    <s v="EX "/>
    <s v="Colchão M.E."/>
    <m/>
    <s v="CONEXÃO MALHAS"/>
    <n v="45384"/>
    <m/>
    <m/>
    <n v="-47652.36"/>
    <s v="MT "/>
    <m/>
    <m/>
    <n v="-3186"/>
    <m/>
    <m/>
    <m/>
    <m/>
    <m/>
    <m/>
    <m/>
    <m/>
    <m/>
    <m/>
    <m/>
    <m/>
    <m/>
    <n v="14.956798493408662"/>
  </r>
  <r>
    <x v="9"/>
    <x v="3"/>
    <s v="COLCHÃO M.E."/>
    <s v="DIRETO"/>
    <x v="1"/>
    <s v="NADA"/>
    <s v="URUGUAI"/>
    <n v="52194"/>
    <n v="1226"/>
    <s v="2540015 TAMPO PONTILHADOS PRETO (A07803) DIVERSAS U"/>
    <s v="DIVINO COLCHONES"/>
    <s v="EX "/>
    <s v="Colchão M.E."/>
    <m/>
    <s v="CONEXÃO MALHAS"/>
    <n v="45384"/>
    <m/>
    <m/>
    <n v="-5085.3100000000004"/>
    <s v="MT "/>
    <m/>
    <m/>
    <n v="-340"/>
    <m/>
    <m/>
    <m/>
    <m/>
    <m/>
    <m/>
    <m/>
    <m/>
    <m/>
    <m/>
    <m/>
    <m/>
    <m/>
    <n v="14.95679411764706"/>
  </r>
  <r>
    <x v="9"/>
    <x v="3"/>
    <s v="COLCHÃO M.E."/>
    <s v="DIRETO"/>
    <x v="1"/>
    <s v="NADA"/>
    <s v="URUGUAI"/>
    <n v="52194"/>
    <n v="1225"/>
    <s v="2540012 TAMPO RASCUNHOS (A07820) DIVERSAS U"/>
    <s v="DIVINO COLCHONES"/>
    <s v="EX "/>
    <s v="Colchão M.E."/>
    <m/>
    <s v="CONEXÃO MALHAS"/>
    <n v="45384"/>
    <m/>
    <m/>
    <n v="-76679.33"/>
    <s v="MT "/>
    <m/>
    <m/>
    <n v="-5196"/>
    <m/>
    <m/>
    <m/>
    <m/>
    <m/>
    <m/>
    <m/>
    <m/>
    <m/>
    <m/>
    <m/>
    <m/>
    <m/>
    <n v="14.757376828329484"/>
  </r>
  <r>
    <x v="9"/>
    <x v="3"/>
    <s v="COLCHÃO M.E."/>
    <s v="DIRETO"/>
    <x v="9"/>
    <s v="NADA"/>
    <s v="CHILE"/>
    <n v="52192"/>
    <n v="1419"/>
    <s v="2810009 TP MESCLA 180G 2,20L (1122580) DIVERSAS U"/>
    <s v="FLEX CHILE"/>
    <s v="EX "/>
    <s v="Colchão M.E."/>
    <m/>
    <s v="DIRETO"/>
    <n v="45384"/>
    <m/>
    <m/>
    <n v="-6743.54"/>
    <s v="MT "/>
    <n v="180"/>
    <m/>
    <n v="-601"/>
    <m/>
    <m/>
    <m/>
    <m/>
    <m/>
    <m/>
    <m/>
    <m/>
    <m/>
    <m/>
    <m/>
    <m/>
    <m/>
    <n v="11.22053244592346"/>
  </r>
  <r>
    <x v="9"/>
    <x v="3"/>
    <s v="COLCHÃO M.E."/>
    <s v="DIRETO"/>
    <x v="9"/>
    <s v="NADA"/>
    <s v="CHILE"/>
    <n v="52192"/>
    <n v="1419"/>
    <s v="2810009 TP MESCLA 180G 2,20L (1122580) DIVERSAS U"/>
    <s v="FLEX CHILE"/>
    <s v="EX "/>
    <s v="Colchão M.E."/>
    <m/>
    <s v="DIRETO"/>
    <n v="45384"/>
    <m/>
    <m/>
    <n v="-46217.34"/>
    <s v="MT "/>
    <n v="180"/>
    <m/>
    <n v="-4119"/>
    <m/>
    <m/>
    <m/>
    <m/>
    <m/>
    <m/>
    <m/>
    <m/>
    <m/>
    <m/>
    <m/>
    <m/>
    <m/>
    <n v="11.220524399126001"/>
  </r>
  <r>
    <x v="9"/>
    <x v="3"/>
    <s v="COLCHÃO M.E."/>
    <s v="DIRETO"/>
    <x v="9"/>
    <s v="NADA"/>
    <s v="CHILE"/>
    <n v="52192"/>
    <n v="1422"/>
    <s v="2810005 TP FOLHA 240G 2,20L (1121110) DIVERSAS U"/>
    <s v="FLEX CHILE"/>
    <s v="EX "/>
    <s v="Colchão M.E."/>
    <m/>
    <s v="DIRETO"/>
    <n v="45384"/>
    <m/>
    <m/>
    <n v="-35211.75"/>
    <s v="MT "/>
    <n v="240"/>
    <m/>
    <n v="-2495"/>
    <m/>
    <m/>
    <m/>
    <m/>
    <m/>
    <m/>
    <m/>
    <m/>
    <m/>
    <m/>
    <m/>
    <m/>
    <m/>
    <n v="14.112925851703407"/>
  </r>
  <r>
    <x v="9"/>
    <x v="3"/>
    <s v="COLCHÃO M.E."/>
    <s v="DIRETO"/>
    <x v="9"/>
    <s v="NADA"/>
    <s v="CHILE"/>
    <n v="52184"/>
    <n v="1422"/>
    <s v="2810005 TP FOLHA 240G 2,20L (1121110) DIVERSAS U"/>
    <s v="FLEX CHILE"/>
    <s v="EX "/>
    <s v="Colchão M.E."/>
    <m/>
    <s v="DIRETO"/>
    <n v="45384"/>
    <m/>
    <m/>
    <n v="35679.89"/>
    <s v="MT "/>
    <n v="240"/>
    <m/>
    <n v="2495"/>
    <m/>
    <m/>
    <m/>
    <m/>
    <m/>
    <m/>
    <m/>
    <m/>
    <m/>
    <m/>
    <m/>
    <s v="FLEX CHILE"/>
    <s v="CARLOS FIDENCIO D AVALOS RUIZ JUNIOR 34496952823"/>
    <n v="14.300557114228457"/>
  </r>
  <r>
    <x v="9"/>
    <x v="3"/>
    <s v="COLCHÃO M.E."/>
    <s v="DIRETO"/>
    <x v="9"/>
    <s v="NADA"/>
    <s v="CHILE"/>
    <n v="52184"/>
    <n v="1419"/>
    <s v="2810009 TP MESCLA 180G 2,20L (1122580) DIVERSAS U"/>
    <s v="FLEX CHILE"/>
    <s v="EX "/>
    <s v="Colchão M.E."/>
    <m/>
    <s v="DIRETO"/>
    <n v="45384"/>
    <m/>
    <m/>
    <n v="53664.98"/>
    <s v="MT "/>
    <n v="180"/>
    <m/>
    <n v="4720"/>
    <m/>
    <m/>
    <m/>
    <m/>
    <m/>
    <m/>
    <m/>
    <m/>
    <m/>
    <m/>
    <m/>
    <s v="FLEX CHILE"/>
    <s v="CARLOS FIDENCIO D AVALOS RUIZ JUNIOR 34496952823"/>
    <n v="11.369699152542374"/>
  </r>
  <r>
    <x v="9"/>
    <x v="3"/>
    <s v="COLCHÃO M.E."/>
    <s v="DIRETO"/>
    <x v="25"/>
    <s v="NADA"/>
    <s v="AMERICA CENTRAL E CARIBE"/>
    <n v="52356"/>
    <n v="1706"/>
    <s v="SEGUNDAQUALIDADE DIVERSAS U"/>
    <s v="AGT AMERICAN GARMENT TEXTIL"/>
    <m/>
    <s v="Colchão M.E."/>
    <m/>
    <s v="DIRETO"/>
    <n v="45398"/>
    <m/>
    <m/>
    <n v="125278.33"/>
    <s v="MT "/>
    <m/>
    <m/>
    <n v="18124"/>
    <m/>
    <m/>
    <m/>
    <m/>
    <m/>
    <m/>
    <m/>
    <m/>
    <m/>
    <m/>
    <m/>
    <s v="AGT AMERICAN GARMENT TEXTIL"/>
    <s v="CONEXAO MALHAS E DESENVOLVIMENTO LTDA"/>
    <n v="6.9122892297506073"/>
  </r>
  <r>
    <x v="9"/>
    <x v="3"/>
    <s v="COLCHÃO M.E."/>
    <s v="DIRETO"/>
    <x v="25"/>
    <s v="NADA"/>
    <s v="AMERICA CENTRAL E CARIBE"/>
    <n v="52399"/>
    <n v="1706"/>
    <s v="SEGUNDAQUALIDADE DIVERSAS U"/>
    <s v="AGT AMERICAN GARMENT TEXTIL"/>
    <m/>
    <s v="Colchão M.E."/>
    <m/>
    <s v="DIRETO"/>
    <n v="45400"/>
    <m/>
    <m/>
    <n v="127041.12"/>
    <s v="MT "/>
    <m/>
    <m/>
    <n v="18124"/>
    <m/>
    <m/>
    <m/>
    <m/>
    <m/>
    <m/>
    <m/>
    <m/>
    <m/>
    <m/>
    <m/>
    <s v="AGT AMERICAN GARMENT TEXTIL"/>
    <s v="CARLOS FIDENCIO D AVALOS RUIZ JUNIOR 34496952823"/>
    <n v="7.0095519752813944"/>
  </r>
  <r>
    <x v="9"/>
    <x v="3"/>
    <s v="COLCHÃO M.E."/>
    <s v="DIRETO"/>
    <x v="25"/>
    <s v="NADA"/>
    <s v="AMERICA CENTRAL E CARIBE"/>
    <n v="52402"/>
    <n v="1706"/>
    <s v="SEGUNDAQUALIDADE DIVERSAS U"/>
    <s v="AGT AMERICAN GARMENT TEXTIL"/>
    <m/>
    <s v="Colchão M.E."/>
    <m/>
    <s v="DIRETO"/>
    <n v="45400"/>
    <m/>
    <m/>
    <n v="127041.12"/>
    <s v="MT "/>
    <m/>
    <m/>
    <n v="18124"/>
    <m/>
    <m/>
    <m/>
    <m/>
    <m/>
    <m/>
    <m/>
    <m/>
    <m/>
    <m/>
    <m/>
    <s v="AGT AMERICAN GARMENT TEXTIL"/>
    <s v="CARLOS FIDENCIO D AVALOS RUIZ JUNIOR 34496952823"/>
    <n v="7.0095519752813944"/>
  </r>
  <r>
    <x v="9"/>
    <x v="3"/>
    <s v="COLCHÃO M.E."/>
    <s v="DIRETO"/>
    <x v="25"/>
    <s v="NADA"/>
    <s v="AMERICA CENTRAL E CARIBE"/>
    <n v="52406"/>
    <n v="1706"/>
    <s v="SEGUNDAQUALIDADE DIVERSAS U"/>
    <s v="AGT AMERICAN GARMENT TEXTIL"/>
    <m/>
    <s v="Colchão M.E."/>
    <m/>
    <s v="DIRETO"/>
    <n v="45400"/>
    <m/>
    <m/>
    <n v="127041.12"/>
    <s v="MT "/>
    <m/>
    <m/>
    <n v="18124"/>
    <m/>
    <m/>
    <m/>
    <m/>
    <m/>
    <m/>
    <m/>
    <m/>
    <m/>
    <m/>
    <m/>
    <s v="AGT AMERICAN GARMENT TEXTIL"/>
    <s v="CARLOS FIDENCIO D AVALOS RUIZ JUNIOR 34496952823"/>
    <n v="7.0095519752813944"/>
  </r>
  <r>
    <x v="9"/>
    <x v="3"/>
    <s v="COLCHÃO M.E."/>
    <s v="DIRETO"/>
    <x v="25"/>
    <s v="NADA"/>
    <s v="AMERICA CENTRAL E CARIBE"/>
    <n v="52401"/>
    <n v="1706"/>
    <s v="SEGUNDAQUALIDADE DIVERSAS U"/>
    <s v="AGT AMERICAN GARMENT TEXTIL"/>
    <m/>
    <s v="Colchão M.E."/>
    <m/>
    <s v="DIRETO"/>
    <n v="45400"/>
    <m/>
    <m/>
    <n v="-127041.12"/>
    <s v="MT "/>
    <m/>
    <m/>
    <n v="-18124"/>
    <m/>
    <m/>
    <m/>
    <m/>
    <m/>
    <m/>
    <m/>
    <m/>
    <m/>
    <m/>
    <m/>
    <m/>
    <m/>
    <n v="7.0095519752813944"/>
  </r>
  <r>
    <x v="9"/>
    <x v="3"/>
    <s v="COLCHÃO M.E."/>
    <s v="DIRETO"/>
    <x v="25"/>
    <s v="NADA"/>
    <s v="AMERICA CENTRAL E CARIBE"/>
    <n v="52397"/>
    <n v="1706"/>
    <s v="SEGUNDAQUALIDADE DIVERSAS U"/>
    <s v="AGT AMERICAN GARMENT TEXTIL"/>
    <m/>
    <s v="Colchão M.E."/>
    <m/>
    <s v="DIRETO"/>
    <n v="45398"/>
    <m/>
    <m/>
    <n v="-125278.33"/>
    <s v="MT "/>
    <m/>
    <m/>
    <n v="-18124"/>
    <m/>
    <m/>
    <m/>
    <m/>
    <m/>
    <m/>
    <m/>
    <m/>
    <m/>
    <m/>
    <m/>
    <m/>
    <m/>
    <n v="6.9122892297506073"/>
  </r>
  <r>
    <x v="9"/>
    <x v="3"/>
    <s v="COLCHÃO M.E."/>
    <s v="DIRETO"/>
    <x v="19"/>
    <s v="NADA"/>
    <s v="CHILE"/>
    <n v="52426"/>
    <n v="2807"/>
    <s v="FUNDA AZUL 2 PLAZAS 77622 AZUL UNICA U"/>
    <s v="MUEBLES MPR SPA"/>
    <s v="EX"/>
    <s v="Colchão M.E."/>
    <m/>
    <s v="DIRETO"/>
    <n v="45401"/>
    <m/>
    <m/>
    <n v="16835.71"/>
    <s v="UN "/>
    <m/>
    <m/>
    <n v="63"/>
    <m/>
    <m/>
    <m/>
    <m/>
    <m/>
    <m/>
    <m/>
    <m/>
    <m/>
    <m/>
    <m/>
    <s v="MUEBLES MPR SPA"/>
    <s v="CARLOS FIDENCIO D AVALOS RUIZ JUNIOR 34496952823"/>
    <n v="267.23349206349206"/>
  </r>
  <r>
    <x v="9"/>
    <x v="3"/>
    <s v="COLCHÃO M.E."/>
    <s v="DIRETO"/>
    <x v="19"/>
    <s v="NADA"/>
    <s v="CHILE"/>
    <n v="52426"/>
    <n v="2811"/>
    <s v="FUNDA AZUL 1 PLAZA 77624 AZUL UNICA U"/>
    <s v="MUEBLES MPR SPA"/>
    <s v="EX"/>
    <s v="Colchão M.E."/>
    <m/>
    <s v="DIRETO"/>
    <n v="45401"/>
    <m/>
    <m/>
    <n v="2697.17"/>
    <s v="UN "/>
    <m/>
    <m/>
    <n v="13"/>
    <m/>
    <m/>
    <m/>
    <m/>
    <m/>
    <m/>
    <m/>
    <m/>
    <m/>
    <m/>
    <m/>
    <s v="MUEBLES MPR SPA"/>
    <s v="CARLOS FIDENCIO D AVALOS RUIZ JUNIOR 34496952823"/>
    <n v="207.47461538461539"/>
  </r>
  <r>
    <x v="9"/>
    <x v="3"/>
    <s v="COLCHÃO M.E."/>
    <s v="DIRETO"/>
    <x v="19"/>
    <s v="NADA"/>
    <s v="CHILE"/>
    <n v="52426"/>
    <n v="2810"/>
    <s v="FUNDA AZUL 1/5 PLAZA 77623 AZUL UNICA U"/>
    <s v="MUEBLES MPR SPA"/>
    <s v="EX"/>
    <s v="Colchão M.E."/>
    <m/>
    <s v="DIRETO"/>
    <n v="45401"/>
    <m/>
    <m/>
    <n v="2443.38"/>
    <s v="UN "/>
    <m/>
    <m/>
    <n v="11"/>
    <m/>
    <m/>
    <m/>
    <m/>
    <m/>
    <m/>
    <m/>
    <m/>
    <m/>
    <m/>
    <m/>
    <s v="MUEBLES MPR SPA"/>
    <s v="CARLOS FIDENCIO D AVALOS RUIZ JUNIOR 34496952823"/>
    <n v="222.12545454545455"/>
  </r>
  <r>
    <x v="9"/>
    <x v="3"/>
    <s v="COLCHÃO M.E."/>
    <s v="DIRETO"/>
    <x v="19"/>
    <s v="NADA"/>
    <s v="CHILE"/>
    <n v="52426"/>
    <n v="2809"/>
    <s v="FUNDA AZUL SUPER KING 77620 AZUL UNICA U"/>
    <s v="MUEBLES MPR SPA"/>
    <s v="EX"/>
    <s v="Colchão M.E."/>
    <m/>
    <s v="DIRETO"/>
    <n v="45401"/>
    <m/>
    <m/>
    <n v="3733.6"/>
    <s v="UN "/>
    <m/>
    <m/>
    <n v="10"/>
    <m/>
    <m/>
    <m/>
    <m/>
    <m/>
    <m/>
    <m/>
    <m/>
    <m/>
    <m/>
    <m/>
    <s v="MUEBLES MPR SPA"/>
    <s v="CARLOS FIDENCIO D AVALOS RUIZ JUNIOR 34496952823"/>
    <n v="373.36"/>
  </r>
  <r>
    <x v="9"/>
    <x v="3"/>
    <s v="COLCHÃO M.E."/>
    <s v="DIRETO"/>
    <x v="19"/>
    <s v="NADA"/>
    <s v="CHILE"/>
    <n v="52426"/>
    <n v="2808"/>
    <s v="FUNDA AZUL KING 77621 AZUL UNICA U"/>
    <s v="MUEBLES MPR SPA"/>
    <s v="EX"/>
    <s v="Colchão M.E."/>
    <m/>
    <s v="DIRETO"/>
    <n v="45401"/>
    <m/>
    <m/>
    <n v="6174.36"/>
    <s v="UN "/>
    <m/>
    <m/>
    <n v="20"/>
    <m/>
    <m/>
    <m/>
    <m/>
    <m/>
    <m/>
    <m/>
    <m/>
    <m/>
    <m/>
    <m/>
    <s v="MUEBLES MPR SPA"/>
    <s v="CARLOS FIDENCIO D AVALOS RUIZ JUNIOR 34496952823"/>
    <n v="308.71799999999996"/>
  </r>
  <r>
    <x v="9"/>
    <x v="3"/>
    <s v="COLCHÃO M.E."/>
    <s v="DIRETO"/>
    <x v="19"/>
    <s v="NADA"/>
    <s v="CHILE"/>
    <n v="52426"/>
    <n v="2804"/>
    <s v="FUNDA GRIS SUPER KING 77620 CINZA UNICA U"/>
    <s v="MUEBLES MPR SPA"/>
    <s v="EX"/>
    <s v="Colchão M.E."/>
    <m/>
    <s v="DIRETO"/>
    <n v="45401"/>
    <m/>
    <m/>
    <n v="4106.96"/>
    <s v="UN "/>
    <m/>
    <m/>
    <n v="11"/>
    <m/>
    <m/>
    <m/>
    <m/>
    <m/>
    <m/>
    <m/>
    <m/>
    <m/>
    <m/>
    <m/>
    <s v="MUEBLES MPR SPA"/>
    <s v="CARLOS FIDENCIO D AVALOS RUIZ JUNIOR 34496952823"/>
    <n v="373.36"/>
  </r>
  <r>
    <x v="9"/>
    <x v="3"/>
    <s v="COLCHÃO M.E."/>
    <s v="DIRETO"/>
    <x v="19"/>
    <s v="NADA"/>
    <s v="CHILE"/>
    <n v="52426"/>
    <n v="2806"/>
    <s v="FUNDA GRIS 1 PLAZA 77624 CINZA UNICA U"/>
    <s v="MUEBLES MPR SPA"/>
    <s v="EX"/>
    <s v="Colchão M.E."/>
    <m/>
    <s v="DIRETO"/>
    <n v="45401"/>
    <m/>
    <m/>
    <n v="2282.2199999999998"/>
    <s v="UN "/>
    <m/>
    <m/>
    <n v="11"/>
    <m/>
    <m/>
    <m/>
    <m/>
    <m/>
    <m/>
    <m/>
    <m/>
    <m/>
    <m/>
    <m/>
    <s v="MUEBLES MPR SPA"/>
    <s v="CARLOS FIDENCIO D AVALOS RUIZ JUNIOR 34496952823"/>
    <n v="207.47454545454545"/>
  </r>
  <r>
    <x v="9"/>
    <x v="3"/>
    <s v="COLCHÃO M.E."/>
    <s v="DIRETO"/>
    <x v="19"/>
    <s v="NADA"/>
    <s v="CHILE"/>
    <n v="52426"/>
    <n v="2805"/>
    <s v="FUNDA GRIS 1/5 PLAZAS 77623 CINZA UNICA U"/>
    <s v="MUEBLES MPR SPA"/>
    <s v="EX"/>
    <s v="Colchão M.E."/>
    <m/>
    <s v="DIRETO"/>
    <n v="45401"/>
    <m/>
    <m/>
    <n v="2443.38"/>
    <s v="UN "/>
    <m/>
    <m/>
    <n v="11"/>
    <m/>
    <m/>
    <m/>
    <m/>
    <m/>
    <m/>
    <m/>
    <m/>
    <m/>
    <m/>
    <m/>
    <s v="MUEBLES MPR SPA"/>
    <s v="CARLOS FIDENCIO D AVALOS RUIZ JUNIOR 34496952823"/>
    <n v="222.12545454545455"/>
  </r>
  <r>
    <x v="9"/>
    <x v="3"/>
    <s v="COLCHÃO M.E."/>
    <s v="DIRETO"/>
    <x v="19"/>
    <s v="NADA"/>
    <s v="CHILE"/>
    <n v="52426"/>
    <n v="2803"/>
    <s v="FUNDA GRIS KING 77621 CINZA UNICA U"/>
    <s v="MUEBLES MPR SPA"/>
    <s v="EX"/>
    <s v="Colchão M.E."/>
    <m/>
    <s v="DIRETO"/>
    <n v="45401"/>
    <m/>
    <m/>
    <n v="8644.11"/>
    <s v="UN "/>
    <m/>
    <m/>
    <n v="28"/>
    <m/>
    <m/>
    <m/>
    <m/>
    <m/>
    <m/>
    <m/>
    <m/>
    <m/>
    <m/>
    <m/>
    <s v="MUEBLES MPR SPA"/>
    <s v="CARLOS FIDENCIO D AVALOS RUIZ JUNIOR 34496952823"/>
    <n v="308.71821428571428"/>
  </r>
  <r>
    <x v="9"/>
    <x v="3"/>
    <s v="COLCHÃO M.E."/>
    <s v="DIRETO"/>
    <x v="19"/>
    <s v="NADA"/>
    <s v="CHILE"/>
    <n v="52426"/>
    <n v="2802"/>
    <s v="FUNDA GRIS 2 PLAZAS 77622 CINZA UNICA U"/>
    <s v="MUEBLES MPR SPA"/>
    <s v="EX"/>
    <s v="Colchão M.E."/>
    <m/>
    <s v="DIRETO"/>
    <n v="45401"/>
    <m/>
    <m/>
    <n v="12025.51"/>
    <s v="UN "/>
    <m/>
    <m/>
    <n v="45"/>
    <m/>
    <m/>
    <m/>
    <m/>
    <m/>
    <m/>
    <m/>
    <m/>
    <m/>
    <m/>
    <m/>
    <s v="MUEBLES MPR SPA"/>
    <s v="CARLOS FIDENCIO D AVALOS RUIZ JUNIOR 34496952823"/>
    <n v="267.23355555555554"/>
  </r>
  <r>
    <x v="9"/>
    <x v="3"/>
    <s v="COLCHÃO M.E."/>
    <s v="DIRETO"/>
    <x v="25"/>
    <s v="NADA"/>
    <s v="AMERICA CENTRAL E CARIBE"/>
    <n v="52402"/>
    <n v="1706"/>
    <s v="SEGUNDAQUALIDADE DIVERSAS U"/>
    <s v="AGT AMERICAN GARMENT TEXTIL"/>
    <m/>
    <s v="Colchão M.E."/>
    <m/>
    <s v="DIRETO"/>
    <n v="45400"/>
    <m/>
    <m/>
    <n v="-127041.12"/>
    <s v="MT "/>
    <m/>
    <m/>
    <n v="-18124"/>
    <m/>
    <m/>
    <m/>
    <m/>
    <m/>
    <m/>
    <m/>
    <m/>
    <m/>
    <m/>
    <m/>
    <m/>
    <m/>
    <n v="7.0095519752813944"/>
  </r>
  <r>
    <x v="9"/>
    <x v="3"/>
    <s v="COLCHÃO M.E."/>
    <s v="DIRETO"/>
    <x v="1"/>
    <s v="NADA"/>
    <s v="URUGUAI"/>
    <n v="52529"/>
    <n v="2054"/>
    <s v="2540026 TP ML 0072051 - 280G 2,20L DEGRA DIVERSAS U"/>
    <s v="DIVINO COLCHONES"/>
    <s v="EX"/>
    <s v="Colchão M.E."/>
    <m/>
    <s v="CONEXÃO MALHAS"/>
    <n v="45412"/>
    <m/>
    <m/>
    <n v="27108.06"/>
    <s v="MT "/>
    <n v="280"/>
    <m/>
    <n v="1656"/>
    <m/>
    <m/>
    <m/>
    <m/>
    <m/>
    <m/>
    <m/>
    <m/>
    <m/>
    <m/>
    <m/>
    <s v="DIVINO S.A"/>
    <s v="CONEXAO MALHAS E DESENVOLVIMENTO LTDA"/>
    <n v="16.369601449275365"/>
  </r>
  <r>
    <x v="9"/>
    <x v="3"/>
    <s v="COLCHÃO M.E."/>
    <s v="DIRETO"/>
    <x v="1"/>
    <s v="NADA"/>
    <s v="URUGUAI"/>
    <n v="52529"/>
    <n v="2157"/>
    <s v="2540007 - ME TP DARK BRILHA 300G 2,20L DIVERSAS U"/>
    <s v="DIVINO COLCHONES"/>
    <s v="EX"/>
    <s v="Colchão M.E."/>
    <m/>
    <s v="CONEXÃO MALHAS"/>
    <n v="45412"/>
    <m/>
    <m/>
    <n v="29398.52"/>
    <s v="MT "/>
    <n v="300"/>
    <m/>
    <n v="1215"/>
    <m/>
    <m/>
    <m/>
    <m/>
    <m/>
    <m/>
    <m/>
    <m/>
    <m/>
    <m/>
    <m/>
    <s v="DIVINO S.A"/>
    <s v="CONEXAO MALHAS E DESENVOLVIMENTO LTDA"/>
    <n v="24.196312757201646"/>
  </r>
  <r>
    <x v="9"/>
    <x v="3"/>
    <s v="COLCHÃO M.E."/>
    <s v="DIRETO"/>
    <x v="1"/>
    <s v="NADA"/>
    <s v="URUGUAI"/>
    <n v="52529"/>
    <n v="1525"/>
    <s v="2540022 TP ML FOLHAS IMAG 320G 2,10 DIVERSAS U"/>
    <s v="DIVINO COLCHONES"/>
    <s v="EX"/>
    <s v="Colchão M.E."/>
    <m/>
    <s v="CONEXÃO MALHAS"/>
    <n v="45412"/>
    <m/>
    <m/>
    <n v="57844.73"/>
    <s v="MT "/>
    <n v="320"/>
    <m/>
    <n v="2999.4"/>
    <m/>
    <m/>
    <m/>
    <m/>
    <m/>
    <m/>
    <m/>
    <m/>
    <m/>
    <m/>
    <m/>
    <s v="DIVINO S.A"/>
    <s v="CONEXAO MALHAS E DESENVOLVIMENTO LTDA"/>
    <n v="19.285433753417351"/>
  </r>
  <r>
    <x v="9"/>
    <x v="3"/>
    <s v="COLCHÃO M.E."/>
    <s v="DIRETO"/>
    <x v="1"/>
    <s v="NADA"/>
    <s v="URUGUAI"/>
    <n v="52529"/>
    <n v="2496"/>
    <s v="2540028 TP CORDERO 310G 2,10L 0186002 DIVERSAS U"/>
    <s v="DIVINO COLCHONES"/>
    <s v="EX"/>
    <s v="Colchão M.E."/>
    <m/>
    <s v="CONEXÃO MALHAS"/>
    <n v="45412"/>
    <m/>
    <m/>
    <n v="11902.75"/>
    <s v="MT "/>
    <n v="310"/>
    <m/>
    <n v="554"/>
    <m/>
    <m/>
    <m/>
    <m/>
    <m/>
    <m/>
    <m/>
    <m/>
    <m/>
    <m/>
    <m/>
    <s v="DIVINO S.A"/>
    <s v="CONEXAO MALHAS E DESENVOLVIMENTO LTDA"/>
    <n v="21.485108303249099"/>
  </r>
  <r>
    <x v="9"/>
    <x v="3"/>
    <s v="COLCHÃO M.E."/>
    <s v="DIRETO"/>
    <x v="1"/>
    <s v="NADA"/>
    <s v="URUGUAI"/>
    <n v="52529"/>
    <n v="3009"/>
    <s v="2540014 TP ML A05171 300G 2,20L DIVERSAS U"/>
    <s v="DIVINO COLCHONES"/>
    <s v="EX"/>
    <s v="Colchão M.E."/>
    <m/>
    <s v="CONEXÃO MALHAS"/>
    <n v="45412"/>
    <m/>
    <m/>
    <n v="11746.21"/>
    <s v="MT "/>
    <n v="300"/>
    <m/>
    <n v="534"/>
    <m/>
    <m/>
    <m/>
    <m/>
    <m/>
    <m/>
    <m/>
    <m/>
    <m/>
    <m/>
    <m/>
    <s v="DIVINO S.A"/>
    <s v="CONEXAO MALHAS E DESENVOLVIMENTO LTDA"/>
    <n v="21.996647940074904"/>
  </r>
  <r>
    <x v="9"/>
    <x v="3"/>
    <s v="COLCHÃO M.E."/>
    <s v="DIRETO"/>
    <x v="1"/>
    <s v="NADA"/>
    <s v="URUGUAI"/>
    <n v="52529"/>
    <n v="1226"/>
    <s v="2540015 TAMPO PONTILHADOS PRETO (A07803) DIVERSAS U"/>
    <s v="DIVINO COLCHONES"/>
    <s v="EX"/>
    <s v="Colchão M.E."/>
    <m/>
    <s v="CONEXÃO MALHAS"/>
    <n v="45412"/>
    <m/>
    <m/>
    <n v="23802.42"/>
    <s v="MT "/>
    <n v="260"/>
    <m/>
    <n v="1551"/>
    <m/>
    <m/>
    <m/>
    <m/>
    <m/>
    <m/>
    <m/>
    <m/>
    <m/>
    <m/>
    <m/>
    <s v="DIVINO S.A"/>
    <s v="CONEXAO MALHAS E DESENVOLVIMENTO LTDA"/>
    <n v="15.34649903288201"/>
  </r>
  <r>
    <x v="9"/>
    <x v="3"/>
    <s v="COLCHÃO M.E."/>
    <s v="DIRETO"/>
    <x v="1"/>
    <s v="NADA"/>
    <s v="URUGUAI"/>
    <n v="52529"/>
    <n v="1506"/>
    <s v="2540017 TP ML A08980 280G 2,10L DIVERSAS U"/>
    <s v="DIVINO COLCHONES"/>
    <s v="EX"/>
    <s v="Colchão M.E."/>
    <m/>
    <s v="CONEXÃO MALHAS"/>
    <n v="45412"/>
    <m/>
    <m/>
    <n v="50830.17"/>
    <s v="MT "/>
    <n v="280"/>
    <m/>
    <n v="2839"/>
    <m/>
    <m/>
    <m/>
    <m/>
    <m/>
    <m/>
    <m/>
    <m/>
    <m/>
    <m/>
    <m/>
    <s v="DIVINO S.A"/>
    <s v="CONEXAO MALHAS E DESENVOLVIMENTO LTDA"/>
    <n v="17.904251497005987"/>
  </r>
  <r>
    <x v="9"/>
    <x v="3"/>
    <s v="COLCHÃO M.E."/>
    <s v="DIRETO"/>
    <x v="1"/>
    <s v="NADA"/>
    <s v="URUGUAI"/>
    <n v="52529"/>
    <n v="1504"/>
    <s v="2540018 TP ML DIV 7806 240G 2,10L DIVERSAS U"/>
    <s v="DIVINO COLCHONES"/>
    <s v="EX"/>
    <s v="Colchão M.E."/>
    <m/>
    <s v="CONEXÃO MALHAS"/>
    <n v="45412"/>
    <m/>
    <m/>
    <n v="52633.17"/>
    <s v="MT "/>
    <n v="240"/>
    <m/>
    <n v="3476"/>
    <m/>
    <m/>
    <m/>
    <m/>
    <m/>
    <m/>
    <m/>
    <m/>
    <m/>
    <m/>
    <m/>
    <s v="DIVINO S.A"/>
    <s v="CONEXAO MALHAS E DESENVOLVIMENTO LTDA"/>
    <n v="15.141878596087457"/>
  </r>
  <r>
    <x v="9"/>
    <x v="3"/>
    <s v="COLCHÃO M.E."/>
    <s v="DIRETO"/>
    <x v="1"/>
    <s v="NADA"/>
    <s v="URUGUAI"/>
    <n v="52529"/>
    <n v="1236"/>
    <s v="2540005 TAMPO GEOMETRICO (A07370) DIVERSAS U"/>
    <s v="DIVINO COLCHONES"/>
    <s v="EX"/>
    <s v="Colchão M.E."/>
    <m/>
    <s v="CONEXÃO MALHAS"/>
    <n v="45412"/>
    <m/>
    <m/>
    <n v="43990.74"/>
    <s v="MT "/>
    <n v="240"/>
    <m/>
    <n v="2457"/>
    <m/>
    <m/>
    <m/>
    <m/>
    <m/>
    <m/>
    <m/>
    <m/>
    <m/>
    <m/>
    <m/>
    <s v="DIVINO S.A"/>
    <s v="CONEXAO MALHAS E DESENVOLVIMENTO LTDA"/>
    <n v="17.904249084249084"/>
  </r>
  <r>
    <x v="9"/>
    <x v="3"/>
    <s v="COLCHÃO M.E."/>
    <s v="DIRETO"/>
    <x v="1"/>
    <s v="NADA"/>
    <s v="URUGUAI"/>
    <n v="52529"/>
    <n v="1225"/>
    <s v="2540012 TAMPO RASCUNHOS (A07820) DIVERSAS U"/>
    <s v="DIVINO COLCHONES"/>
    <s v="EX"/>
    <s v="Colchão M.E."/>
    <m/>
    <s v="CONEXÃO MALHAS"/>
    <n v="45412"/>
    <m/>
    <m/>
    <n v="48393.45"/>
    <s v="MT "/>
    <n v="240"/>
    <m/>
    <n v="3196"/>
    <m/>
    <m/>
    <m/>
    <m/>
    <m/>
    <m/>
    <m/>
    <m/>
    <m/>
    <m/>
    <m/>
    <s v="DIVINO S.A"/>
    <s v="CONEXAO MALHAS E DESENVOLVIMENTO LTDA"/>
    <n v="15.141880475594492"/>
  </r>
  <r>
    <x v="9"/>
    <x v="3"/>
    <s v="COLCHÃO M.E."/>
    <s v="DIRETO"/>
    <x v="1"/>
    <s v="NADA"/>
    <s v="URUGUAI"/>
    <n v="52546"/>
    <n v="1905"/>
    <s v="2540019 NUEVO GALHOS 3 V02 (1922) - TOL DIVERSAS U"/>
    <s v="DIVINO COLCHONES"/>
    <s v="EX"/>
    <s v="Colchão M.E."/>
    <m/>
    <s v="CONEXÃO MALHAS"/>
    <n v="45412"/>
    <m/>
    <m/>
    <n v="4583.49"/>
    <s v="MT "/>
    <m/>
    <m/>
    <n v="560"/>
    <m/>
    <m/>
    <m/>
    <m/>
    <m/>
    <m/>
    <m/>
    <m/>
    <m/>
    <m/>
    <m/>
    <s v="DIVINO S.A"/>
    <s v="CONEXAO MALHAS E DESENVOLVIMENTO LTDA"/>
    <n v="8.1848035714285707"/>
  </r>
  <r>
    <x v="9"/>
    <x v="3"/>
    <s v="COLCHÃO M.E."/>
    <s v="DIRETO"/>
    <x v="1"/>
    <s v="NADA"/>
    <s v="URUGUAI"/>
    <n v="52546"/>
    <n v="1523"/>
    <s v="32282 - TELA ANTIDESLIZANTE DIVERSAS U"/>
    <s v="DIVINO COLCHONES"/>
    <s v="EX"/>
    <s v="Colchão M.E."/>
    <m/>
    <s v="CONEXÃO MALHAS"/>
    <n v="45412"/>
    <m/>
    <m/>
    <n v="11049.48"/>
    <s v="MT "/>
    <m/>
    <m/>
    <n v="1500"/>
    <m/>
    <m/>
    <m/>
    <m/>
    <m/>
    <m/>
    <m/>
    <m/>
    <m/>
    <m/>
    <m/>
    <s v="DIVINO S.A"/>
    <s v="CONEXAO MALHAS E DESENVOLVIMENTO LTDA"/>
    <n v="7.36632"/>
  </r>
  <r>
    <x v="9"/>
    <x v="3"/>
    <s v="COLCHÃO M.E."/>
    <s v="DIRETO"/>
    <x v="9"/>
    <s v="NADA"/>
    <s v="CHILE"/>
    <n v="52558"/>
    <n v="1419"/>
    <s v="2810009 TP MESCLA 180G 2,20L (1122580) DIVERSAS U"/>
    <s v="FLEX CHILE"/>
    <s v="EX"/>
    <s v="Colchão M.E."/>
    <m/>
    <s v="DIRETO"/>
    <n v="45412"/>
    <m/>
    <m/>
    <n v="17656.150000000001"/>
    <s v="MT "/>
    <n v="180"/>
    <m/>
    <n v="1534"/>
    <m/>
    <m/>
    <m/>
    <m/>
    <m/>
    <m/>
    <m/>
    <m/>
    <m/>
    <m/>
    <m/>
    <s v="FLEX CHILE"/>
    <s v="CARLOS FIDENCIO D AVALOS RUIZ JUNIOR 34496952823"/>
    <n v="11.509876140808345"/>
  </r>
  <r>
    <x v="9"/>
    <x v="3"/>
    <s v="COLCHÃO M.E."/>
    <s v="DIRETO"/>
    <x v="9"/>
    <s v="NADA"/>
    <s v="CHILE"/>
    <n v="52558"/>
    <n v="1422"/>
    <s v="2810005 TP FOLHA 240G 2,20L (1121110) DIVERSAS U"/>
    <s v="FLEX CHILE"/>
    <s v="EX"/>
    <s v="Colchão M.E."/>
    <m/>
    <s v="DIRETO"/>
    <n v="45412"/>
    <m/>
    <m/>
    <n v="33557.370000000003"/>
    <s v="MT "/>
    <n v="240"/>
    <m/>
    <n v="2318"/>
    <m/>
    <m/>
    <m/>
    <m/>
    <m/>
    <m/>
    <m/>
    <m/>
    <m/>
    <m/>
    <m/>
    <s v="FLEX CHILE"/>
    <s v="CARLOS FIDENCIO D AVALOS RUIZ JUNIOR 34496952823"/>
    <n v="14.476863675582401"/>
  </r>
  <r>
    <x v="9"/>
    <x v="3"/>
    <s v="COLCHÃO M.E."/>
    <s v="DIRETO"/>
    <x v="17"/>
    <s v="NADA"/>
    <s v="BOLIVIA"/>
    <n v="52563"/>
    <n v="3074"/>
    <s v="3020012 TP CACTUS 240G 2,20L DIVERSAS U"/>
    <s v="MAXI KING"/>
    <s v="EX"/>
    <s v="Colchão M.E."/>
    <m/>
    <s v="DIRETO"/>
    <n v="45412"/>
    <m/>
    <m/>
    <n v="22260.1"/>
    <s v="MT "/>
    <n v="240"/>
    <m/>
    <n v="1934"/>
    <m/>
    <m/>
    <m/>
    <m/>
    <m/>
    <m/>
    <m/>
    <m/>
    <m/>
    <m/>
    <m/>
    <s v="GRUPO EMPRESARIAL MAXI KING SRL"/>
    <s v="CARLOS FIDENCIO D AVALOS RUIZ JUNIOR 34496952823"/>
    <n v="11.509875904860392"/>
  </r>
  <r>
    <x v="9"/>
    <x v="3"/>
    <s v="COLCHÃO M.E."/>
    <s v="DIRETO"/>
    <x v="17"/>
    <s v="NADA"/>
    <s v="BOLIVIA"/>
    <n v="52563"/>
    <n v="3075"/>
    <s v="3020011 TP MAR E BARCOS 240G 2,20L DIVERSAS U"/>
    <s v="MAXI KING"/>
    <s v="EX"/>
    <s v="Colchão M.E."/>
    <m/>
    <s v="DIRETO"/>
    <n v="45412"/>
    <m/>
    <m/>
    <n v="17740.55"/>
    <s v="MT "/>
    <n v="240"/>
    <m/>
    <n v="1734"/>
    <m/>
    <m/>
    <m/>
    <m/>
    <m/>
    <m/>
    <m/>
    <m/>
    <m/>
    <m/>
    <m/>
    <s v="GRUPO EMPRESARIAL MAXI KING SRL"/>
    <s v="CARLOS FIDENCIO D AVALOS RUIZ JUNIOR 34496952823"/>
    <n v="10.230997693194924"/>
  </r>
  <r>
    <x v="9"/>
    <x v="3"/>
    <s v="COLCHÃO M.E."/>
    <s v="DIRETO"/>
    <x v="17"/>
    <s v="NADA"/>
    <s v="BOLIVIA"/>
    <n v="52563"/>
    <n v="3076"/>
    <s v="3020010 TP INFANTIL S 250G 2,20L DIVERSAS U"/>
    <s v="MAXI KING"/>
    <s v="EX"/>
    <s v="Colchão M.E."/>
    <m/>
    <s v="DIRETO"/>
    <n v="45412"/>
    <m/>
    <m/>
    <n v="31838.87"/>
    <s v="MT "/>
    <n v="250"/>
    <m/>
    <n v="3112"/>
    <m/>
    <m/>
    <m/>
    <m/>
    <m/>
    <m/>
    <m/>
    <m/>
    <m/>
    <m/>
    <m/>
    <s v="GRUPO EMPRESARIAL MAXI KING SRL"/>
    <s v="CARLOS FIDENCIO D AVALOS RUIZ JUNIOR 34496952823"/>
    <n v="10.230999357326478"/>
  </r>
  <r>
    <x v="9"/>
    <x v="3"/>
    <s v="COLCHÃO M.E."/>
    <s v="DIRETO"/>
    <x v="17"/>
    <s v="NADA"/>
    <s v="BOLIVIA"/>
    <n v="52563"/>
    <n v="3038"/>
    <s v="3020007-TP ML 0004002 200G 2,10L DIVERSAS U"/>
    <s v="MAXI KING"/>
    <s v="EX"/>
    <s v="Colchão M.E."/>
    <m/>
    <s v="DIRETO"/>
    <n v="45412"/>
    <m/>
    <m/>
    <n v="32937.370000000003"/>
    <s v="MT "/>
    <n v="200"/>
    <m/>
    <n v="2486"/>
    <m/>
    <m/>
    <m/>
    <m/>
    <m/>
    <m/>
    <m/>
    <m/>
    <m/>
    <m/>
    <m/>
    <s v="GRUPO EMPRESARIAL MAXI KING SRL"/>
    <s v="CARLOS FIDENCIO D AVALOS RUIZ JUNIOR 34496952823"/>
    <n v="13.249143201930814"/>
  </r>
  <r>
    <x v="9"/>
    <x v="3"/>
    <s v="COLCHÃO M.E."/>
    <s v="DIRETO"/>
    <x v="17"/>
    <s v="NADA"/>
    <s v="BOLIVIA"/>
    <n v="52563"/>
    <n v="3037"/>
    <s v="3020006 - TP ML 0023071 260G 2,10L DIVERSAS U"/>
    <s v="MAXI KING"/>
    <s v="EX"/>
    <s v="Colchão M.E."/>
    <m/>
    <s v="DIRETO"/>
    <n v="45412"/>
    <m/>
    <m/>
    <n v="66674.399999999994"/>
    <s v="MT "/>
    <n v="260"/>
    <m/>
    <n v="3342"/>
    <m/>
    <m/>
    <m/>
    <m/>
    <m/>
    <m/>
    <m/>
    <m/>
    <m/>
    <m/>
    <m/>
    <s v="GRUPO EMPRESARIAL MAXI KING SRL"/>
    <s v="CARLOS FIDENCIO D AVALOS RUIZ JUNIOR 34496952823"/>
    <n v="19.950448833034109"/>
  </r>
  <r>
    <x v="9"/>
    <x v="3"/>
    <s v="COLCHÃO M.E."/>
    <s v="DIRETO"/>
    <x v="24"/>
    <s v="NADA"/>
    <s v="EQUADOR"/>
    <n v="52576"/>
    <n v="2950"/>
    <s v="3260005-PL ME 180G 2,10L DIVERSAS U"/>
    <s v="PRODUCTOS PARAISO DEL ECUADOR"/>
    <s v="EX"/>
    <s v="Colchão M.E."/>
    <m/>
    <s v="CONEXÃO MALHAS"/>
    <n v="45412"/>
    <m/>
    <m/>
    <n v="4393.6000000000004"/>
    <s v="MT "/>
    <n v="180"/>
    <m/>
    <n v="488"/>
    <m/>
    <m/>
    <m/>
    <m/>
    <m/>
    <m/>
    <m/>
    <m/>
    <m/>
    <m/>
    <m/>
    <s v="PRODUCTOS PARAISO DEL ECUADOR"/>
    <s v="CARLOS FIDENCIO D AVALOS RUIZ JUNIOR 34496952823"/>
    <n v="9.0032786885245901"/>
  </r>
  <r>
    <x v="9"/>
    <x v="3"/>
    <s v="COLCHÃO M.E."/>
    <s v="DIRETO"/>
    <x v="24"/>
    <s v="NADA"/>
    <s v="EQUADOR"/>
    <n v="52576"/>
    <n v="3128"/>
    <s v="3260010 TP HOJA DE BAMBU 280G 2,10L DIVERSAS U"/>
    <s v="PRODUCTOS PARAISO DEL ECUADOR"/>
    <s v="EX"/>
    <s v="Colchão M.E."/>
    <m/>
    <s v="CONEXÃO MALHAS"/>
    <n v="45412"/>
    <m/>
    <m/>
    <n v="32196.959999999999"/>
    <s v="MT "/>
    <n v="280"/>
    <m/>
    <n v="2098"/>
    <m/>
    <m/>
    <m/>
    <m/>
    <m/>
    <m/>
    <m/>
    <m/>
    <m/>
    <m/>
    <m/>
    <s v="PRODUCTOS PARAISO DEL ECUADOR"/>
    <s v="CARLOS FIDENCIO D AVALOS RUIZ JUNIOR 34496952823"/>
    <n v="15.346501429933269"/>
  </r>
  <r>
    <x v="9"/>
    <x v="3"/>
    <s v="COLCHÃO M.E."/>
    <s v="DIRETO"/>
    <x v="24"/>
    <s v="NADA"/>
    <s v="EQUADOR"/>
    <n v="52576"/>
    <n v="3127"/>
    <s v="3260011 FX PALILLOS 200G 2,10L DIVERSAS U"/>
    <s v="PRODUCTOS PARAISO DEL ECUADOR"/>
    <s v="EX"/>
    <s v="Colchão M.E."/>
    <m/>
    <s v="CONEXÃO MALHAS"/>
    <n v="45412"/>
    <m/>
    <m/>
    <n v="12113.5"/>
    <s v="MT "/>
    <n v="200"/>
    <m/>
    <n v="1184"/>
    <m/>
    <m/>
    <m/>
    <m/>
    <m/>
    <m/>
    <m/>
    <m/>
    <m/>
    <m/>
    <m/>
    <s v="PRODUCTOS PARAISO DEL ECUADOR"/>
    <s v="CARLOS FIDENCIO D AVALOS RUIZ JUNIOR 34496952823"/>
    <n v="10.230996621621621"/>
  </r>
  <r>
    <x v="9"/>
    <x v="3"/>
    <s v="COLCHÃO M.E."/>
    <s v="DIRETO"/>
    <x v="24"/>
    <s v="NADA"/>
    <s v="EQUADOR"/>
    <n v="52576"/>
    <n v="2942"/>
    <s v="3260004-ME PARAISO 260G 2,20L DIVERSAS U"/>
    <s v="PRODUCTOS PARAISO DEL ECUADOR"/>
    <s v="EX"/>
    <s v="Colchão M.E."/>
    <m/>
    <s v="CONEXÃO MALHAS"/>
    <n v="45412"/>
    <m/>
    <m/>
    <n v="9336.81"/>
    <s v="MT "/>
    <n v="260"/>
    <m/>
    <n v="540"/>
    <m/>
    <m/>
    <m/>
    <m/>
    <m/>
    <m/>
    <m/>
    <m/>
    <m/>
    <m/>
    <m/>
    <s v="PRODUCTOS PARAISO DEL ECUADOR"/>
    <s v="CARLOS FIDENCIO D AVALOS RUIZ JUNIOR 34496952823"/>
    <n v="17.290388888888888"/>
  </r>
  <r>
    <x v="9"/>
    <x v="3"/>
    <s v="COLCHÃO M.E."/>
    <s v="DIRETO"/>
    <x v="24"/>
    <s v="NADA"/>
    <s v="EQUADOR"/>
    <n v="52576"/>
    <n v="2943"/>
    <s v="3260006-ME PARAISO 280G 2,20L DIVERSAS U"/>
    <s v="PRODUCTOS PARAISO DEL ECUADOR"/>
    <s v="EX"/>
    <s v="Colchão M.E."/>
    <m/>
    <s v="CONEXÃO MALHAS"/>
    <n v="45412"/>
    <m/>
    <m/>
    <n v="16758.38"/>
    <s v="MT "/>
    <n v="280"/>
    <m/>
    <n v="585"/>
    <m/>
    <m/>
    <m/>
    <m/>
    <m/>
    <m/>
    <m/>
    <m/>
    <m/>
    <m/>
    <m/>
    <s v="PRODUCTOS PARAISO DEL ECUADOR"/>
    <s v="CARLOS FIDENCIO D AVALOS RUIZ JUNIOR 34496952823"/>
    <n v="28.646803418803419"/>
  </r>
  <r>
    <x v="9"/>
    <x v="3"/>
    <s v="COLCHÃO M.E."/>
    <s v="DIRETO"/>
    <x v="24"/>
    <s v="NADA"/>
    <s v="EQUADOR"/>
    <n v="52576"/>
    <n v="2582"/>
    <s v="3260001 TP PARAISO PREMIUM 240G 2,20L DIVERSAS U"/>
    <s v="PRODUCTOS PARAISO DEL ECUADOR"/>
    <s v="EX"/>
    <s v="Colchão M.E."/>
    <m/>
    <s v="CONEXÃO MALHAS"/>
    <n v="45412"/>
    <m/>
    <m/>
    <n v="16225.85"/>
    <s v="MT "/>
    <n v="240"/>
    <m/>
    <n v="1455"/>
    <m/>
    <m/>
    <m/>
    <m/>
    <m/>
    <m/>
    <m/>
    <m/>
    <m/>
    <m/>
    <m/>
    <s v="PRODUCTOS PARAISO DEL ECUADOR"/>
    <s v="CARLOS FIDENCIO D AVALOS RUIZ JUNIOR 34496952823"/>
    <n v="11.151786941580756"/>
  </r>
  <r>
    <x v="9"/>
    <x v="3"/>
    <s v="COLCHÃO M.E."/>
    <s v="DIRETO"/>
    <x v="23"/>
    <s v="NADA"/>
    <s v="PARAGUAI"/>
    <n v="52585"/>
    <n v="3055"/>
    <s v="2920017 TP ML TRI BRILHANTE 250G 2,10L DIVERSAS U"/>
    <s v="NM ESPUMA S.A."/>
    <s v="EX"/>
    <s v="Colchão M.E."/>
    <m/>
    <s v="DIRETO"/>
    <n v="45412"/>
    <m/>
    <m/>
    <n v="6939"/>
    <s v="MT "/>
    <n v="250"/>
    <m/>
    <n v="450"/>
    <m/>
    <m/>
    <m/>
    <m/>
    <m/>
    <m/>
    <m/>
    <m/>
    <m/>
    <m/>
    <m/>
    <s v="NM ESPUMA S.A."/>
    <s v="CARLOS FIDENCIO D AVALOS RUIZ JUNIOR 34496952823"/>
    <n v="15.42"/>
  </r>
  <r>
    <x v="9"/>
    <x v="3"/>
    <s v="COLCHÃO M.E."/>
    <s v="DIRETO"/>
    <x v="23"/>
    <s v="NADA"/>
    <s v="PARAGUAI"/>
    <n v="52585"/>
    <n v="3056"/>
    <s v="2920018 FX ML INV VER 200G 2,10L DIVERSAS U"/>
    <s v="NM ESPUMA S.A."/>
    <s v="EX"/>
    <s v="Colchão M.E."/>
    <m/>
    <s v="DIRETO"/>
    <n v="45412"/>
    <m/>
    <m/>
    <n v="8359.1200000000008"/>
    <s v="MT "/>
    <n v="200"/>
    <m/>
    <n v="649"/>
    <m/>
    <m/>
    <m/>
    <m/>
    <m/>
    <m/>
    <m/>
    <m/>
    <m/>
    <m/>
    <m/>
    <s v="NM ESPUMA S.A."/>
    <s v="CARLOS FIDENCIO D AVALOS RUIZ JUNIOR 34496952823"/>
    <n v="12.88"/>
  </r>
  <r>
    <x v="9"/>
    <x v="3"/>
    <s v="COLCHÃO M.E."/>
    <s v="DIRETO"/>
    <x v="23"/>
    <s v="NADA"/>
    <s v="PARAGUAI"/>
    <n v="52585"/>
    <n v="1853"/>
    <s v="2920016-TP CLIMAX 240G 2,10L DIVERSAS U"/>
    <s v="NM ESPUMA S.A."/>
    <s v="EX"/>
    <s v="Colchão M.E."/>
    <m/>
    <s v="DIRETO"/>
    <n v="45412"/>
    <m/>
    <m/>
    <n v="6425.25"/>
    <s v="MT "/>
    <n v="240"/>
    <m/>
    <n v="325"/>
    <m/>
    <m/>
    <m/>
    <m/>
    <m/>
    <m/>
    <m/>
    <m/>
    <m/>
    <m/>
    <m/>
    <s v="NM ESPUMA S.A."/>
    <s v="CARLOS FIDENCIO D AVALOS RUIZ JUNIOR 34496952823"/>
    <n v="19.77"/>
  </r>
  <r>
    <x v="9"/>
    <x v="3"/>
    <s v="COLCHÃO M.E."/>
    <s v="DIRETO"/>
    <x v="5"/>
    <s v="NADA"/>
    <s v="PARAGUAI"/>
    <n v="52368"/>
    <n v="2566"/>
    <s v="2670007 TP ML BCA MINI JAC 220G 2,10L DIVERSAS U"/>
    <s v="INMAPOL SACIF"/>
    <s v="EX "/>
    <s v="Colchão M.E."/>
    <m/>
    <s v="DIRETO"/>
    <n v="45268"/>
    <m/>
    <m/>
    <n v="-16796.36"/>
    <s v="MT "/>
    <n v="220"/>
    <m/>
    <n v="-1634"/>
    <m/>
    <m/>
    <m/>
    <m/>
    <m/>
    <m/>
    <m/>
    <m/>
    <m/>
    <m/>
    <m/>
    <m/>
    <m/>
    <n v="10.279290085679316"/>
  </r>
  <r>
    <x v="10"/>
    <x v="3"/>
    <s v="COLCHÃO M.E."/>
    <s v="DIRETO"/>
    <x v="24"/>
    <s v="NADA"/>
    <s v="EQUADOR"/>
    <n v="52607"/>
    <n v="3152"/>
    <s v="3260012 TP 334003 160G 2,10L DIVERSAS U"/>
    <s v="PRODUCTOS PARAISO DEL ECUADOR"/>
    <s v="EX"/>
    <s v="Colchão M.E."/>
    <m/>
    <s v="CONEXÃO MALHAS"/>
    <n v="45419"/>
    <m/>
    <m/>
    <n v="7968.2"/>
    <s v="MT "/>
    <n v="160"/>
    <m/>
    <n v="160"/>
    <m/>
    <m/>
    <m/>
    <m/>
    <m/>
    <m/>
    <m/>
    <m/>
    <m/>
    <m/>
    <m/>
    <s v="PRODUCTOS PARAISO DEL ECUADOR"/>
    <s v="CARLOS FIDENCIO D AVALOS RUIZ JUNIOR 34496952823"/>
    <n v="49.801249999999996"/>
  </r>
  <r>
    <x v="10"/>
    <x v="3"/>
    <s v="COLCHÃO M.E."/>
    <s v="DIRETO"/>
    <x v="24"/>
    <s v="NADA"/>
    <s v="EQUADOR"/>
    <n v="52610"/>
    <n v="2582"/>
    <s v="3260001 TP PARAISO PREMIUM 240G 2,20L DIVERSAS U"/>
    <s v="PRODUCTOS PARAISO DEL ECUADOR"/>
    <s v="EX"/>
    <s v="Colchão M.E."/>
    <m/>
    <s v="CONEXÃO MALHAS"/>
    <n v="45419"/>
    <m/>
    <m/>
    <n v="6345.37"/>
    <s v="MT "/>
    <n v="240"/>
    <m/>
    <n v="240"/>
    <m/>
    <m/>
    <m/>
    <m/>
    <m/>
    <m/>
    <m/>
    <m/>
    <m/>
    <m/>
    <m/>
    <s v="PRODUCTOS PARAISO DEL ECUADOR"/>
    <s v="CARLOS FIDENCIO D AVALOS RUIZ JUNIOR 34496952823"/>
    <n v="26.439041666666665"/>
  </r>
  <r>
    <x v="10"/>
    <x v="3"/>
    <s v="COLCHÃO M.E."/>
    <s v="DIRETO"/>
    <x v="24"/>
    <s v="NADA"/>
    <s v="EQUADOR"/>
    <n v="52610"/>
    <n v="3152"/>
    <s v="3260012 TP 334003 160G 2,10L DIVERSAS U"/>
    <s v="PRODUCTOS PARAISO DEL ECUADOR"/>
    <s v="EX"/>
    <s v="Colchão M.E."/>
    <m/>
    <s v="CONEXÃO MALHAS"/>
    <n v="45419"/>
    <m/>
    <m/>
    <n v="3246.81"/>
    <s v="MT "/>
    <n v="160"/>
    <m/>
    <n v="160"/>
    <m/>
    <m/>
    <m/>
    <m/>
    <m/>
    <m/>
    <m/>
    <m/>
    <m/>
    <m/>
    <m/>
    <s v="PRODUCTOS PARAISO DEL ECUADOR"/>
    <s v="CARLOS FIDENCIO D AVALOS RUIZ JUNIOR 34496952823"/>
    <n v="20.292562499999999"/>
  </r>
  <r>
    <x v="10"/>
    <x v="3"/>
    <s v="COLCHÃO M.E."/>
    <s v="DIRETO"/>
    <x v="9"/>
    <s v="NADA"/>
    <s v="CHILE"/>
    <n v="52672"/>
    <n v="1419"/>
    <s v="2810009 TP MESCLA 180G 2,20L (1122580) DIVERSAS U"/>
    <s v="FLEX CHILE"/>
    <s v="EX"/>
    <s v="Colchão M.E."/>
    <m/>
    <s v="DIRETO"/>
    <n v="45425"/>
    <m/>
    <m/>
    <n v="17744.849999999999"/>
    <s v="MT "/>
    <n v="180"/>
    <m/>
    <n v="1534"/>
    <m/>
    <m/>
    <m/>
    <m/>
    <m/>
    <m/>
    <m/>
    <m/>
    <m/>
    <m/>
    <m/>
    <s v="FLEX CHILE"/>
    <s v="CARLOS FIDENCIO D AVALOS RUIZ JUNIOR 34496952823"/>
    <n v="11.56769882659713"/>
  </r>
  <r>
    <x v="10"/>
    <x v="3"/>
    <s v="COLCHÃO M.E."/>
    <s v="DIRETO"/>
    <x v="9"/>
    <s v="NADA"/>
    <s v="CHILE"/>
    <n v="52672"/>
    <n v="1422"/>
    <s v="2810005 TP FOLHA 240G 2,20L (1121110) DIVERSAS U"/>
    <s v="FLEX CHILE"/>
    <s v="EX"/>
    <s v="Colchão M.E."/>
    <m/>
    <s v="DIRETO"/>
    <n v="45425"/>
    <m/>
    <m/>
    <n v="33725.96"/>
    <s v="MT "/>
    <n v="240"/>
    <m/>
    <n v="2318"/>
    <m/>
    <m/>
    <m/>
    <m/>
    <m/>
    <m/>
    <m/>
    <m/>
    <m/>
    <m/>
    <m/>
    <s v="FLEX CHILE"/>
    <s v="CARLOS FIDENCIO D AVALOS RUIZ JUNIOR 34496952823"/>
    <n v="14.549594477998275"/>
  </r>
  <r>
    <x v="10"/>
    <x v="3"/>
    <s v="COLCHÃO M.E."/>
    <s v="DIRETO"/>
    <x v="9"/>
    <s v="NADA"/>
    <s v="CHILE"/>
    <n v="52669"/>
    <n v="1419"/>
    <s v="2810009 TP MESCLA 180G 2,20L (1122580) DIVERSAS U"/>
    <s v="FLEX CHILE"/>
    <s v="EX"/>
    <s v="Colchão M.E."/>
    <m/>
    <s v="DIRETO"/>
    <n v="45425"/>
    <m/>
    <m/>
    <n v="-17656.150000000001"/>
    <s v="MT "/>
    <n v="180"/>
    <m/>
    <n v="-1534"/>
    <m/>
    <m/>
    <m/>
    <m/>
    <m/>
    <m/>
    <m/>
    <m/>
    <m/>
    <m/>
    <m/>
    <s v="FLEX CHILE"/>
    <s v="CARLOS FIDENCIO D AVALOS RUIZ JUNIOR 34496952823"/>
    <n v="11.509876140808345"/>
  </r>
  <r>
    <x v="10"/>
    <x v="3"/>
    <s v="COLCHÃO M.E."/>
    <s v="DIRETO"/>
    <x v="9"/>
    <s v="NADA"/>
    <s v="CHILE"/>
    <n v="52669"/>
    <n v="1422"/>
    <s v="2810005 TP FOLHA 240G 2,20L (1121110) DIVERSAS U"/>
    <s v="FLEX CHILE"/>
    <s v="EX"/>
    <s v="Colchão M.E."/>
    <m/>
    <s v="DIRETO"/>
    <n v="45425"/>
    <m/>
    <m/>
    <n v="-33557.370000000003"/>
    <s v="MT "/>
    <n v="240"/>
    <m/>
    <n v="-2318"/>
    <m/>
    <m/>
    <m/>
    <m/>
    <m/>
    <m/>
    <m/>
    <m/>
    <m/>
    <m/>
    <m/>
    <s v="FLEX CHILE"/>
    <s v="CARLOS FIDENCIO D AVALOS RUIZ JUNIOR 34496952823"/>
    <n v="14.476863675582401"/>
  </r>
  <r>
    <x v="10"/>
    <x v="3"/>
    <s v="COLCHÃO M.E."/>
    <s v="DIRETO"/>
    <x v="24"/>
    <s v="NADA"/>
    <s v="EQUADOR"/>
    <n v="52710"/>
    <n v="2943"/>
    <s v="3260006-ME PARAISO 280G 2,20L DIVERSAS U"/>
    <s v="PRODUCTOS PARAISO DEL ECUADOR"/>
    <s v="EX"/>
    <s v="Colchão M.E."/>
    <m/>
    <s v="DIRETO"/>
    <n v="45427"/>
    <m/>
    <m/>
    <n v="16824.23"/>
    <s v="MT "/>
    <n v="280"/>
    <m/>
    <n v="585"/>
    <m/>
    <m/>
    <m/>
    <m/>
    <m/>
    <m/>
    <m/>
    <m/>
    <m/>
    <m/>
    <m/>
    <s v="PRODUCTOS PARAISO DEL ECUADOR"/>
    <s v="CARLOS FIDENCIO D AVALOS RUIZ JUNIOR 34496952823"/>
    <n v="28.759367521367519"/>
  </r>
  <r>
    <x v="10"/>
    <x v="3"/>
    <s v="COLCHÃO M.E."/>
    <s v="DIRETO"/>
    <x v="24"/>
    <s v="NADA"/>
    <s v="EQUADOR"/>
    <n v="52710"/>
    <n v="3127"/>
    <s v="3260011 FX PALILLOS 200G 2,10L DIVERSAS U"/>
    <s v="PRODUCTOS PARAISO DEL ECUADOR"/>
    <s v="EX"/>
    <s v="Colchão M.E."/>
    <m/>
    <s v="DIRETO"/>
    <n v="45427"/>
    <m/>
    <m/>
    <n v="12161.1"/>
    <s v="MT "/>
    <n v="200"/>
    <m/>
    <n v="1184"/>
    <m/>
    <m/>
    <m/>
    <m/>
    <m/>
    <m/>
    <m/>
    <m/>
    <m/>
    <m/>
    <m/>
    <s v="PRODUCTOS PARAISO DEL ECUADOR"/>
    <s v="CARLOS FIDENCIO D AVALOS RUIZ JUNIOR 34496952823"/>
    <n v="10.271199324324325"/>
  </r>
  <r>
    <x v="10"/>
    <x v="3"/>
    <s v="COLCHÃO M.E."/>
    <s v="DIRETO"/>
    <x v="24"/>
    <s v="NADA"/>
    <s v="EQUADOR"/>
    <n v="52710"/>
    <n v="3128"/>
    <s v="3260010 TP HOJA DE BAMBU 280G 2,10L DIVERSAS U"/>
    <s v="PRODUCTOS PARAISO DEL ECUADOR"/>
    <s v="EX"/>
    <s v="Colchão M.E."/>
    <m/>
    <s v="DIRETO"/>
    <n v="45427"/>
    <m/>
    <m/>
    <n v="16130.92"/>
    <s v="MT "/>
    <n v="280"/>
    <m/>
    <n v="1047"/>
    <m/>
    <m/>
    <m/>
    <m/>
    <m/>
    <m/>
    <m/>
    <m/>
    <m/>
    <m/>
    <m/>
    <s v="PRODUCTOS PARAISO DEL ECUADOR"/>
    <s v="CARLOS FIDENCIO D AVALOS RUIZ JUNIOR 34496952823"/>
    <n v="15.406800382043935"/>
  </r>
  <r>
    <x v="10"/>
    <x v="3"/>
    <s v="COLCHÃO M.E."/>
    <s v="DIRETO"/>
    <x v="24"/>
    <s v="NADA"/>
    <s v="EQUADOR"/>
    <n v="52706"/>
    <n v="2950"/>
    <s v="3260005-PL ME 180G 2,10L DIVERSAS U"/>
    <s v="PRODUCTOS PARAISO DEL ECUADOR"/>
    <s v="EX"/>
    <s v="Colchão M.E."/>
    <m/>
    <s v="CONEXÃO MALHAS"/>
    <n v="45427"/>
    <m/>
    <m/>
    <n v="-4393.6000000000004"/>
    <s v="MT "/>
    <n v="180"/>
    <m/>
    <n v="-488"/>
    <m/>
    <m/>
    <m/>
    <m/>
    <m/>
    <m/>
    <m/>
    <m/>
    <m/>
    <m/>
    <m/>
    <s v="PRODUCTOS PARAISO DEL ECUADOR"/>
    <s v="CARLOS FIDENCIO D AVALOS RUIZ JUNIOR 34496952823"/>
    <n v="9.0032786885245901"/>
  </r>
  <r>
    <x v="10"/>
    <x v="3"/>
    <s v="COLCHÃO M.E."/>
    <s v="DIRETO"/>
    <x v="24"/>
    <s v="NADA"/>
    <s v="EQUADOR"/>
    <n v="52706"/>
    <n v="3128"/>
    <s v="3260010 TP HOJA DE BAMBU 280G 2,10L DIVERSAS U"/>
    <s v="PRODUCTOS PARAISO DEL ECUADOR"/>
    <s v="EX"/>
    <s v="Colchão M.E."/>
    <m/>
    <s v="CONEXÃO MALHAS"/>
    <n v="45427"/>
    <m/>
    <m/>
    <n v="-32196.959999999999"/>
    <s v="MT "/>
    <n v="280"/>
    <m/>
    <n v="-2098"/>
    <m/>
    <m/>
    <m/>
    <m/>
    <m/>
    <m/>
    <m/>
    <m/>
    <m/>
    <m/>
    <m/>
    <s v="PRODUCTOS PARAISO DEL ECUADOR"/>
    <s v="CARLOS FIDENCIO D AVALOS RUIZ JUNIOR 34496952823"/>
    <n v="15.346501429933269"/>
  </r>
  <r>
    <x v="10"/>
    <x v="3"/>
    <s v="COLCHÃO M.E."/>
    <s v="DIRETO"/>
    <x v="24"/>
    <s v="NADA"/>
    <s v="EQUADOR"/>
    <n v="52706"/>
    <n v="3127"/>
    <s v="3260011 FX PALILLOS 200G 2,10L DIVERSAS U"/>
    <s v="PRODUCTOS PARAISO DEL ECUADOR"/>
    <s v="EX"/>
    <s v="Colchão M.E."/>
    <m/>
    <s v="CONEXÃO MALHAS"/>
    <n v="45427"/>
    <m/>
    <m/>
    <n v="-12113.5"/>
    <s v="MT "/>
    <n v="200"/>
    <m/>
    <n v="-1184"/>
    <m/>
    <m/>
    <m/>
    <m/>
    <m/>
    <m/>
    <m/>
    <m/>
    <m/>
    <m/>
    <m/>
    <s v="PRODUCTOS PARAISO DEL ECUADOR"/>
    <s v="CARLOS FIDENCIO D AVALOS RUIZ JUNIOR 34496952823"/>
    <n v="10.230996621621621"/>
  </r>
  <r>
    <x v="10"/>
    <x v="3"/>
    <s v="COLCHÃO M.E."/>
    <s v="DIRETO"/>
    <x v="24"/>
    <s v="NADA"/>
    <s v="EQUADOR"/>
    <n v="52706"/>
    <n v="2942"/>
    <s v="3260004-ME PARAISO 260G 2,20L DIVERSAS U"/>
    <s v="PRODUCTOS PARAISO DEL ECUADOR"/>
    <s v="EX"/>
    <s v="Colchão M.E."/>
    <m/>
    <s v="CONEXÃO MALHAS"/>
    <n v="45427"/>
    <m/>
    <m/>
    <n v="-9336.81"/>
    <s v="MT "/>
    <n v="260"/>
    <m/>
    <n v="-540"/>
    <m/>
    <m/>
    <m/>
    <m/>
    <m/>
    <m/>
    <m/>
    <m/>
    <m/>
    <m/>
    <m/>
    <s v="PRODUCTOS PARAISO DEL ECUADOR"/>
    <s v="CARLOS FIDENCIO D AVALOS RUIZ JUNIOR 34496952823"/>
    <n v="17.290388888888888"/>
  </r>
  <r>
    <x v="10"/>
    <x v="3"/>
    <s v="COLCHÃO M.E."/>
    <s v="DIRETO"/>
    <x v="24"/>
    <s v="NADA"/>
    <s v="EQUADOR"/>
    <n v="52706"/>
    <n v="2943"/>
    <s v="3260006-ME PARAISO 280G 2,20L DIVERSAS U"/>
    <s v="PRODUCTOS PARAISO DEL ECUADOR"/>
    <s v="EX"/>
    <s v="Colchão M.E."/>
    <m/>
    <s v="CONEXÃO MALHAS"/>
    <n v="45427"/>
    <m/>
    <m/>
    <n v="-16758.38"/>
    <s v="MT "/>
    <n v="280"/>
    <m/>
    <n v="-585"/>
    <m/>
    <m/>
    <m/>
    <m/>
    <m/>
    <m/>
    <m/>
    <m/>
    <m/>
    <m/>
    <m/>
    <s v="PRODUCTOS PARAISO DEL ECUADOR"/>
    <s v="CARLOS FIDENCIO D AVALOS RUIZ JUNIOR 34496952823"/>
    <n v="28.646803418803419"/>
  </r>
  <r>
    <x v="10"/>
    <x v="3"/>
    <s v="COLCHÃO M.E."/>
    <s v="DIRETO"/>
    <x v="24"/>
    <s v="NADA"/>
    <s v="EQUADOR"/>
    <n v="52706"/>
    <n v="2582"/>
    <s v="3260001 TP PARAISO PREMIUM 240G 2,20L DIVERSAS U"/>
    <s v="PRODUCTOS PARAISO DEL ECUADOR"/>
    <s v="EX"/>
    <s v="Colchão M.E."/>
    <m/>
    <s v="CONEXÃO MALHAS"/>
    <n v="45427"/>
    <m/>
    <m/>
    <n v="-16225.85"/>
    <s v="MT "/>
    <n v="240"/>
    <m/>
    <n v="-1455"/>
    <m/>
    <m/>
    <m/>
    <m/>
    <m/>
    <m/>
    <m/>
    <m/>
    <m/>
    <m/>
    <m/>
    <s v="PRODUCTOS PARAISO DEL ECUADOR"/>
    <s v="CARLOS FIDENCIO D AVALOS RUIZ JUNIOR 34496952823"/>
    <n v="11.151786941580756"/>
  </r>
  <r>
    <x v="10"/>
    <x v="3"/>
    <s v="COLCHÃO M.E."/>
    <s v="DIRETO"/>
    <x v="1"/>
    <s v="NADA"/>
    <s v="URUGUAI"/>
    <n v="52784"/>
    <n v="3009"/>
    <s v="2540014 TP ML A05171 300G 2,20L DIVERSAS U"/>
    <s v="DIVINO COLCHONES"/>
    <s v="EX"/>
    <s v="Colchão M.E."/>
    <m/>
    <s v="CONEXÃO MALHAS"/>
    <n v="45436"/>
    <m/>
    <m/>
    <n v="10706.32"/>
    <s v="MT "/>
    <n v="300"/>
    <m/>
    <n v="484"/>
    <m/>
    <m/>
    <m/>
    <m/>
    <m/>
    <m/>
    <m/>
    <m/>
    <m/>
    <m/>
    <m/>
    <s v="DIVINO S.A"/>
    <s v="CONEXAO MALHAS E DESENVOLVIMENTO LTDA"/>
    <n v="22.120495867768593"/>
  </r>
  <r>
    <x v="10"/>
    <x v="3"/>
    <s v="COLCHÃO M.E."/>
    <s v="DIRETO"/>
    <x v="1"/>
    <s v="NADA"/>
    <s v="URUGUAI"/>
    <n v="52784"/>
    <n v="2157"/>
    <s v="2540007 - ME TP DARK BRILHA 300G 2,20L DIVERSAS U"/>
    <s v="DIVINO COLCHONES"/>
    <s v="EX"/>
    <s v="Colchão M.E."/>
    <m/>
    <s v="CONEXÃO MALHAS"/>
    <n v="45436"/>
    <m/>
    <m/>
    <n v="23432.240000000002"/>
    <s v="MT "/>
    <n v="300"/>
    <m/>
    <n v="963"/>
    <m/>
    <m/>
    <m/>
    <m/>
    <m/>
    <m/>
    <m/>
    <m/>
    <m/>
    <m/>
    <m/>
    <s v="DIVINO S.A"/>
    <s v="CONEXAO MALHAS E DESENVOLVIMENTO LTDA"/>
    <n v="24.332544132917967"/>
  </r>
  <r>
    <x v="10"/>
    <x v="3"/>
    <s v="COLCHÃO M.E."/>
    <s v="DIRETO"/>
    <x v="1"/>
    <s v="NADA"/>
    <s v="URUGUAI"/>
    <n v="52784"/>
    <n v="2054"/>
    <s v="2540026 TP ML 0072051 - 280G 2,20L DEGRA DIVERSAS U"/>
    <s v="DIVINO COLCHONES"/>
    <s v="EX"/>
    <s v="Colchão M.E."/>
    <m/>
    <s v="CONEXÃO MALHAS"/>
    <n v="45436"/>
    <m/>
    <m/>
    <n v="17186.080000000002"/>
    <s v="MT "/>
    <n v="280"/>
    <m/>
    <n v="1044"/>
    <m/>
    <m/>
    <m/>
    <m/>
    <m/>
    <m/>
    <m/>
    <m/>
    <m/>
    <m/>
    <m/>
    <s v="DIVINO S.A"/>
    <s v="CONEXAO MALHAS E DESENVOLVIMENTO LTDA"/>
    <n v="16.46176245210728"/>
  </r>
  <r>
    <x v="10"/>
    <x v="3"/>
    <s v="COLCHÃO M.E."/>
    <s v="DIRETO"/>
    <x v="1"/>
    <s v="NADA"/>
    <s v="URUGUAI"/>
    <n v="52784"/>
    <n v="2054"/>
    <s v="2540026 TP ML 0072051 - 280G 2,20L DEGRA DIVERSAS U"/>
    <s v="DIVINO COLCHONES"/>
    <s v="EX"/>
    <s v="Colchão M.E."/>
    <m/>
    <s v="CONEXÃO MALHAS"/>
    <n v="45436"/>
    <m/>
    <m/>
    <n v="2271.7199999999998"/>
    <s v="MT "/>
    <n v="280"/>
    <m/>
    <n v="138"/>
    <m/>
    <m/>
    <m/>
    <m/>
    <m/>
    <m/>
    <m/>
    <m/>
    <m/>
    <m/>
    <m/>
    <s v="DIVINO S.A"/>
    <s v="CONEXAO MALHAS E DESENVOLVIMENTO LTDA"/>
    <n v="16.461739130434783"/>
  </r>
  <r>
    <x v="10"/>
    <x v="3"/>
    <s v="COLCHÃO M.E."/>
    <s v="DIRETO"/>
    <x v="1"/>
    <s v="NADA"/>
    <s v="URUGUAI"/>
    <n v="52784"/>
    <n v="1525"/>
    <s v="2540022 TP ML FOLHAS IMAG 320G 2,10 DIVERSAS U"/>
    <s v="DIVINO COLCHONES"/>
    <s v="EX"/>
    <s v="Colchão M.E."/>
    <m/>
    <s v="CONEXÃO MALHAS"/>
    <n v="45436"/>
    <m/>
    <m/>
    <n v="49668.06"/>
    <s v="MT "/>
    <n v="320"/>
    <m/>
    <n v="2561"/>
    <m/>
    <m/>
    <m/>
    <m/>
    <m/>
    <m/>
    <m/>
    <m/>
    <m/>
    <m/>
    <m/>
    <s v="DIVINO S.A"/>
    <s v="CONEXAO MALHAS E DESENVOLVIMENTO LTDA"/>
    <n v="19.394010152284263"/>
  </r>
  <r>
    <x v="10"/>
    <x v="3"/>
    <s v="COLCHÃO M.E."/>
    <s v="DIRETO"/>
    <x v="1"/>
    <s v="NADA"/>
    <s v="URUGUAI"/>
    <n v="52784"/>
    <n v="1525"/>
    <s v="2540022 TP ML FOLHAS IMAG 320G 2,10 DIVERSAS U"/>
    <s v="DIVINO COLCHONES"/>
    <s v="EX"/>
    <s v="Colchão M.E."/>
    <m/>
    <s v="CONEXÃO MALHAS"/>
    <n v="45436"/>
    <m/>
    <m/>
    <n v="5973.36"/>
    <s v="MT "/>
    <n v="320"/>
    <m/>
    <n v="308"/>
    <m/>
    <m/>
    <m/>
    <m/>
    <m/>
    <m/>
    <m/>
    <m/>
    <m/>
    <m/>
    <m/>
    <s v="DIVINO S.A"/>
    <s v="CONEXAO MALHAS E DESENVOLVIMENTO LTDA"/>
    <n v="19.394025974025972"/>
  </r>
  <r>
    <x v="10"/>
    <x v="3"/>
    <s v="COLCHÃO M.E."/>
    <s v="DIRETO"/>
    <x v="1"/>
    <s v="NADA"/>
    <s v="URUGUAI"/>
    <n v="52784"/>
    <n v="1506"/>
    <s v="2540017 TP ML A08980 280G 2,10L DIVERSAS U"/>
    <s v="DIVINO COLCHONES"/>
    <s v="EX"/>
    <s v="Colchão M.E."/>
    <m/>
    <s v="CONEXÃO MALHAS"/>
    <n v="45436"/>
    <m/>
    <m/>
    <n v="10370.91"/>
    <s v="MT "/>
    <n v="280"/>
    <m/>
    <n v="576"/>
    <m/>
    <m/>
    <m/>
    <m/>
    <m/>
    <m/>
    <m/>
    <m/>
    <m/>
    <m/>
    <m/>
    <s v="DIVINO S.A"/>
    <s v="CONEXAO MALHAS E DESENVOLVIMENTO LTDA"/>
    <n v="18.005052083333332"/>
  </r>
  <r>
    <x v="10"/>
    <x v="3"/>
    <s v="COLCHÃO M.E."/>
    <s v="DIRETO"/>
    <x v="1"/>
    <s v="NADA"/>
    <s v="URUGUAI"/>
    <n v="52784"/>
    <n v="1504"/>
    <s v="2540018 TP ML DIV 7806 240G 2,10L DIVERSAS U"/>
    <s v="DIVINO COLCHONES"/>
    <s v="EX"/>
    <s v="Colchão M.E."/>
    <m/>
    <s v="CONEXÃO MALHAS"/>
    <n v="45436"/>
    <m/>
    <m/>
    <n v="33682.410000000003"/>
    <s v="MT "/>
    <n v="240"/>
    <m/>
    <n v="2212"/>
    <m/>
    <m/>
    <m/>
    <m/>
    <m/>
    <m/>
    <m/>
    <m/>
    <m/>
    <m/>
    <m/>
    <s v="DIVINO S.A"/>
    <s v="CONEXAO MALHAS E DESENVOLVIMENTO LTDA"/>
    <n v="15.227129294755878"/>
  </r>
  <r>
    <x v="10"/>
    <x v="3"/>
    <s v="COLCHÃO M.E."/>
    <s v="DIRETO"/>
    <x v="1"/>
    <s v="NADA"/>
    <s v="URUGUAI"/>
    <n v="52784"/>
    <n v="1236"/>
    <s v="2540005 TAMPO GEOMETRICO (A07370) DIVERSAS U"/>
    <s v="DIVINO COLCHONES"/>
    <s v="EX"/>
    <s v="Colchão M.E."/>
    <m/>
    <s v="CONEXÃO MALHAS"/>
    <n v="45436"/>
    <m/>
    <m/>
    <n v="33039.269999999997"/>
    <s v="MT "/>
    <n v="240"/>
    <m/>
    <n v="1835"/>
    <m/>
    <m/>
    <m/>
    <m/>
    <m/>
    <m/>
    <m/>
    <m/>
    <m/>
    <m/>
    <m/>
    <s v="DIVINO S.A"/>
    <s v="CONEXAO MALHAS E DESENVOLVIMENTO LTDA"/>
    <n v="18.005051771117163"/>
  </r>
  <r>
    <x v="10"/>
    <x v="3"/>
    <s v="COLCHÃO M.E."/>
    <s v="DIRETO"/>
    <x v="1"/>
    <s v="NADA"/>
    <s v="URUGUAI"/>
    <n v="52784"/>
    <n v="1225"/>
    <s v="2540012 TAMPO RASCUNHOS (A07820) DIVERSAS U"/>
    <s v="DIVINO COLCHONES"/>
    <s v="EX"/>
    <s v="Colchão M.E."/>
    <m/>
    <s v="CONEXÃO MALHAS"/>
    <n v="45436"/>
    <m/>
    <m/>
    <n v="52015.87"/>
    <s v="MT "/>
    <n v="240"/>
    <m/>
    <n v="3416"/>
    <m/>
    <m/>
    <m/>
    <m/>
    <m/>
    <m/>
    <m/>
    <m/>
    <m/>
    <m/>
    <m/>
    <s v="DIVINO S.A"/>
    <s v="CONEXAO MALHAS E DESENVOLVIMENTO LTDA"/>
    <n v="15.227128220140516"/>
  </r>
  <r>
    <x v="10"/>
    <x v="3"/>
    <s v="COLCHÃO M.E."/>
    <s v="DIRETO"/>
    <x v="1"/>
    <s v="NADA"/>
    <s v="URUGUAI"/>
    <n v="52784"/>
    <n v="1506"/>
    <s v="2540017 TP ML A08980 280G 2,10L DIVERSAS U"/>
    <s v="DIVINO COLCHONES"/>
    <s v="EX"/>
    <s v="Colchão M.E."/>
    <m/>
    <s v="CONEXÃO MALHAS"/>
    <n v="45436"/>
    <m/>
    <m/>
    <n v="28664.04"/>
    <s v="MT "/>
    <n v="280"/>
    <m/>
    <n v="1592"/>
    <m/>
    <m/>
    <m/>
    <m/>
    <m/>
    <m/>
    <m/>
    <m/>
    <m/>
    <m/>
    <m/>
    <s v="DIVINO S.A"/>
    <s v="CONEXAO MALHAS E DESENVOLVIMENTO LTDA"/>
    <n v="18.005050251256282"/>
  </r>
  <r>
    <x v="10"/>
    <x v="3"/>
    <s v="COLCHÃO M.E."/>
    <s v="DIRETO"/>
    <x v="1"/>
    <s v="NADA"/>
    <s v="URUGUAI"/>
    <n v="52785"/>
    <n v="1905"/>
    <s v="2540019 NUEVO GALHOS 3 V02 (1922) - TOL DIVERSAS U"/>
    <s v="DIVINO COLCHONES"/>
    <s v="EX"/>
    <s v="Colchão M.E."/>
    <m/>
    <s v="CONEXÃO MALHAS"/>
    <n v="45436"/>
    <m/>
    <m/>
    <n v="3061.89"/>
    <s v="MT "/>
    <m/>
    <m/>
    <n v="372"/>
    <m/>
    <m/>
    <m/>
    <m/>
    <m/>
    <m/>
    <m/>
    <m/>
    <m/>
    <m/>
    <m/>
    <s v="DIVINO S.A"/>
    <s v="CONEXAO MALHAS E DESENVOLVIMENTO LTDA"/>
    <n v="8.2308870967741932"/>
  </r>
  <r>
    <x v="10"/>
    <x v="3"/>
    <s v="COLCHÃO M.E."/>
    <s v="DIRETO"/>
    <x v="18"/>
    <s v="NADA"/>
    <s v="URUGUAI"/>
    <n v="52799"/>
    <n v="3145"/>
    <s v="3030053 TP 282002 180G 2,10L DIVERSAS U"/>
    <s v="COLCHONES POLYMAX"/>
    <s v="EX"/>
    <s v="Colchão M.E."/>
    <m/>
    <s v="DIRETO"/>
    <n v="45436"/>
    <m/>
    <m/>
    <n v="5239.79"/>
    <s v="MT "/>
    <n v="180"/>
    <m/>
    <n v="789"/>
    <m/>
    <m/>
    <m/>
    <m/>
    <m/>
    <m/>
    <m/>
    <m/>
    <m/>
    <m/>
    <m/>
    <s v="COLCHONES POLYMAX"/>
    <s v="CARLOS FIDENCIO D AVALOS RUIZ JUNIOR 34496952823"/>
    <n v="6.6410519645120409"/>
  </r>
  <r>
    <x v="10"/>
    <x v="3"/>
    <s v="COLCHÃO M.E."/>
    <s v="DIRETO"/>
    <x v="18"/>
    <s v="NADA"/>
    <s v="URUGUAI"/>
    <n v="52799"/>
    <n v="3142"/>
    <s v="3030051 TP 150023 180G 2,10L DIVERSAS U"/>
    <s v="COLCHONES POLYMAX"/>
    <s v="EX"/>
    <s v="Colchão M.E."/>
    <m/>
    <s v="DIRETO"/>
    <n v="45436"/>
    <m/>
    <m/>
    <n v="3499.83"/>
    <s v="MT "/>
    <n v="180"/>
    <m/>
    <n v="650"/>
    <m/>
    <m/>
    <m/>
    <m/>
    <m/>
    <m/>
    <m/>
    <m/>
    <m/>
    <m/>
    <m/>
    <s v="COLCHONES POLYMAX"/>
    <s v="CARLOS FIDENCIO D AVALOS RUIZ JUNIOR 34496952823"/>
    <n v="5.3843538461538456"/>
  </r>
  <r>
    <x v="10"/>
    <x v="3"/>
    <s v="COLCHÃO M.E."/>
    <s v="DIRETO"/>
    <x v="18"/>
    <s v="NADA"/>
    <s v="URUGUAI"/>
    <n v="52799"/>
    <n v="3138"/>
    <s v="3030050 TP A06781 CAQUI 180G 2,10L DIVERSAS U"/>
    <s v="COLCHONES POLYMAX"/>
    <s v="EX"/>
    <s v="Colchão M.E."/>
    <m/>
    <s v="DIRETO"/>
    <n v="45436"/>
    <m/>
    <m/>
    <n v="4416.3"/>
    <s v="MT "/>
    <n v="180"/>
    <m/>
    <n v="455"/>
    <m/>
    <m/>
    <m/>
    <m/>
    <m/>
    <m/>
    <m/>
    <m/>
    <m/>
    <m/>
    <m/>
    <s v="COLCHONES POLYMAX"/>
    <s v="CARLOS FIDENCIO D AVALOS RUIZ JUNIOR 34496952823"/>
    <n v="9.7061538461538461"/>
  </r>
  <r>
    <x v="10"/>
    <x v="3"/>
    <s v="COLCHÃO M.E."/>
    <s v="DIRETO"/>
    <x v="18"/>
    <s v="NADA"/>
    <s v="URUGUAI"/>
    <n v="52799"/>
    <n v="3146"/>
    <s v="3030054 TP 119022 180G 2,10L DIVERSAS U"/>
    <s v="COLCHONES POLYMAX"/>
    <s v="EX"/>
    <s v="Colchão M.E."/>
    <m/>
    <s v="DIRETO"/>
    <n v="45436"/>
    <m/>
    <m/>
    <n v="5065.08"/>
    <s v="MT "/>
    <n v="180"/>
    <m/>
    <n v="667"/>
    <m/>
    <m/>
    <m/>
    <m/>
    <m/>
    <m/>
    <m/>
    <m/>
    <m/>
    <m/>
    <m/>
    <s v="COLCHONES POLYMAX"/>
    <s v="CARLOS FIDENCIO D AVALOS RUIZ JUNIOR 34496952823"/>
    <n v="7.593823088455772"/>
  </r>
  <r>
    <x v="10"/>
    <x v="3"/>
    <s v="COLCHÃO M.E."/>
    <s v="DIRETO"/>
    <x v="18"/>
    <s v="NADA"/>
    <s v="URUGUAI"/>
    <n v="52799"/>
    <n v="3147"/>
    <s v="3030055 TP 291001 180G 2,20L DIVERSAS U"/>
    <s v="COLCHONES POLYMAX"/>
    <s v="EX"/>
    <s v="Colchão M.E."/>
    <m/>
    <s v="DIRETO"/>
    <n v="45436"/>
    <m/>
    <m/>
    <n v="5827.78"/>
    <s v="MT "/>
    <n v="180"/>
    <m/>
    <n v="713"/>
    <m/>
    <m/>
    <m/>
    <m/>
    <m/>
    <m/>
    <m/>
    <m/>
    <m/>
    <m/>
    <m/>
    <s v="COLCHONES POLYMAX"/>
    <s v="CARLOS FIDENCIO D AVALOS RUIZ JUNIOR 34496952823"/>
    <n v="8.1736044880785403"/>
  </r>
  <r>
    <x v="10"/>
    <x v="3"/>
    <s v="COLCHÃO M.E."/>
    <s v="DIRETO"/>
    <x v="18"/>
    <s v="NADA"/>
    <s v="URUGUAI"/>
    <n v="52799"/>
    <n v="3148"/>
    <s v="3030056 TP 292012 180G 2,20L DIVERSAS U"/>
    <s v="COLCHONES POLYMAX"/>
    <s v="EX"/>
    <s v="Colchão M.E."/>
    <m/>
    <s v="DIRETO"/>
    <n v="45436"/>
    <m/>
    <m/>
    <n v="6201.41"/>
    <s v="MT "/>
    <n v="180"/>
    <m/>
    <n v="976"/>
    <m/>
    <m/>
    <m/>
    <m/>
    <m/>
    <m/>
    <m/>
    <m/>
    <m/>
    <m/>
    <m/>
    <s v="COLCHONES POLYMAX"/>
    <s v="CARLOS FIDENCIO D AVALOS RUIZ JUNIOR 34496952823"/>
    <n v="6.3539036885245901"/>
  </r>
  <r>
    <x v="10"/>
    <x v="3"/>
    <s v="COLCHÃO M.E."/>
    <s v="DIRETO"/>
    <x v="18"/>
    <s v="NADA"/>
    <s v="URUGUAI"/>
    <n v="52799"/>
    <n v="3144"/>
    <s v="3030052 TP 240015 200G 2,10L DIVERSAS U"/>
    <s v="COLCHONES POLYMAX"/>
    <s v="EX"/>
    <s v="Colchão M.E."/>
    <m/>
    <s v="DIRETO"/>
    <n v="45436"/>
    <m/>
    <m/>
    <n v="6222.15"/>
    <s v="MT "/>
    <n v="200"/>
    <m/>
    <n v="609"/>
    <m/>
    <m/>
    <m/>
    <m/>
    <m/>
    <m/>
    <m/>
    <m/>
    <m/>
    <m/>
    <m/>
    <s v="COLCHONES POLYMAX"/>
    <s v="CARLOS FIDENCIO D AVALOS RUIZ JUNIOR 34496952823"/>
    <n v="10.216995073891624"/>
  </r>
  <r>
    <x v="10"/>
    <x v="3"/>
    <s v="COLCHÃO M.E."/>
    <s v="DIRETO"/>
    <x v="18"/>
    <s v="NADA"/>
    <s v="URUGUAI"/>
    <n v="52799"/>
    <n v="3135"/>
    <s v="3030040 A09535 160G 2,10 DIVERSAS U"/>
    <s v="COLCHONES POLYMAX"/>
    <s v="EX"/>
    <s v="Colchão M.E."/>
    <m/>
    <s v="DIRETO"/>
    <n v="45436"/>
    <m/>
    <m/>
    <n v="6309"/>
    <s v="MT "/>
    <n v="160"/>
    <m/>
    <n v="661"/>
    <m/>
    <m/>
    <m/>
    <m/>
    <m/>
    <m/>
    <m/>
    <m/>
    <m/>
    <m/>
    <m/>
    <s v="COLCHONES POLYMAX"/>
    <s v="CARLOS FIDENCIO D AVALOS RUIZ JUNIOR 34496952823"/>
    <n v="9.5446293494704992"/>
  </r>
  <r>
    <x v="10"/>
    <x v="3"/>
    <s v="COLCHÃO M.E."/>
    <s v="DIRETO"/>
    <x v="18"/>
    <s v="NADA"/>
    <s v="URUGUAI"/>
    <n v="52799"/>
    <n v="3134"/>
    <s v="3030042 TP 68006 160G 2,10L DIVERSAS U"/>
    <s v="COLCHONES POLYMAX"/>
    <s v="EX"/>
    <s v="Colchão M.E."/>
    <m/>
    <s v="DIRETO"/>
    <n v="45436"/>
    <m/>
    <m/>
    <n v="6634.41"/>
    <s v="MT "/>
    <n v="160"/>
    <m/>
    <n v="1133"/>
    <m/>
    <m/>
    <m/>
    <m/>
    <m/>
    <m/>
    <m/>
    <m/>
    <m/>
    <m/>
    <m/>
    <s v="COLCHONES POLYMAX"/>
    <s v="CARLOS FIDENCIO D AVALOS RUIZ JUNIOR 34496952823"/>
    <n v="5.8556134157105033"/>
  </r>
  <r>
    <x v="10"/>
    <x v="3"/>
    <s v="COLCHÃO M.E."/>
    <s v="DIRETO"/>
    <x v="18"/>
    <s v="NADA"/>
    <s v="URUGUAI"/>
    <n v="52799"/>
    <n v="3133"/>
    <s v="3030036 TP 71021 160G 2,10L DIVERSAS U"/>
    <s v="COLCHONES POLYMAX"/>
    <s v="EX"/>
    <s v="Colchão M.E."/>
    <m/>
    <s v="DIRETO"/>
    <n v="45436"/>
    <m/>
    <m/>
    <n v="8681.9"/>
    <s v="MT "/>
    <n v="160"/>
    <m/>
    <n v="527"/>
    <m/>
    <m/>
    <m/>
    <m/>
    <m/>
    <m/>
    <m/>
    <m/>
    <m/>
    <m/>
    <m/>
    <s v="COLCHONES POLYMAX"/>
    <s v="CARLOS FIDENCIO D AVALOS RUIZ JUNIOR 34496952823"/>
    <n v="16.474193548387095"/>
  </r>
  <r>
    <x v="10"/>
    <x v="3"/>
    <s v="COLCHÃO M.E."/>
    <s v="DIRETO"/>
    <x v="18"/>
    <s v="NADA"/>
    <s v="URUGUAI"/>
    <n v="52799"/>
    <n v="3132"/>
    <s v="3030033 TP 73001 160G 2,10 DIVERSAS U"/>
    <s v="COLCHONES POLYMAX"/>
    <s v="EX"/>
    <s v="Colchão M.E."/>
    <m/>
    <s v="DIRETO"/>
    <n v="45436"/>
    <m/>
    <m/>
    <n v="9111.52"/>
    <s v="MT "/>
    <n v="160"/>
    <m/>
    <n v="1372"/>
    <m/>
    <m/>
    <m/>
    <m/>
    <m/>
    <m/>
    <m/>
    <m/>
    <m/>
    <m/>
    <m/>
    <s v="COLCHONES POLYMAX"/>
    <s v="CARLOS FIDENCIO D AVALOS RUIZ JUNIOR 34496952823"/>
    <n v="6.6410495626822161"/>
  </r>
  <r>
    <x v="10"/>
    <x v="3"/>
    <s v="COLCHÃO M.E."/>
    <s v="DIRETO"/>
    <x v="18"/>
    <s v="NADA"/>
    <s v="URUGUAI"/>
    <n v="52799"/>
    <n v="3131"/>
    <s v="3030026 TP ML 16055 200G 2,10L DIVERSAS U"/>
    <s v="COLCHONES POLYMAX"/>
    <s v="EX"/>
    <s v="Colchão M.E."/>
    <m/>
    <s v="DIRETO"/>
    <n v="45436"/>
    <m/>
    <m/>
    <n v="10221.09"/>
    <s v="MT "/>
    <n v="200"/>
    <m/>
    <n v="1015"/>
    <m/>
    <m/>
    <m/>
    <m/>
    <m/>
    <m/>
    <m/>
    <m/>
    <m/>
    <m/>
    <m/>
    <s v="COLCHONES POLYMAX"/>
    <s v="CARLOS FIDENCIO D AVALOS RUIZ JUNIOR 34496952823"/>
    <n v="10.070039408866995"/>
  </r>
  <r>
    <x v="10"/>
    <x v="3"/>
    <s v="COLCHÃO M.E."/>
    <s v="DIRETO"/>
    <x v="18"/>
    <s v="NADA"/>
    <s v="URUGUAI"/>
    <n v="52799"/>
    <n v="3136"/>
    <s v="3030032 TP STAR WHITE 200G 2,10L DIVERSAS U"/>
    <s v="COLCHONES POLYMAX"/>
    <s v="EX"/>
    <s v="Colchão M.E."/>
    <m/>
    <s v="DIRETO"/>
    <n v="45436"/>
    <m/>
    <m/>
    <n v="10370.26"/>
    <s v="MT "/>
    <n v="200"/>
    <m/>
    <n v="999"/>
    <m/>
    <m/>
    <m/>
    <m/>
    <m/>
    <m/>
    <m/>
    <m/>
    <m/>
    <m/>
    <m/>
    <s v="COLCHONES POLYMAX"/>
    <s v="CARLOS FIDENCIO D AVALOS RUIZ JUNIOR 34496952823"/>
    <n v="10.380640640640641"/>
  </r>
  <r>
    <x v="10"/>
    <x v="3"/>
    <s v="COLCHÃO M.E."/>
    <s v="DIRETO"/>
    <x v="9"/>
    <s v="NADA"/>
    <s v="CHILE"/>
    <n v="52883"/>
    <n v="1422"/>
    <s v="2810005 TP FOLHA 240G 2,20L (1121110) DIVERSAS U"/>
    <s v="FLEX CHILE"/>
    <s v="EX"/>
    <s v="Colchão M.E."/>
    <m/>
    <s v="DIRETO"/>
    <n v="45442"/>
    <m/>
    <m/>
    <n v="19208.78"/>
    <s v="MT "/>
    <n v="240"/>
    <m/>
    <n v="1317"/>
    <m/>
    <m/>
    <m/>
    <m/>
    <m/>
    <m/>
    <m/>
    <m/>
    <m/>
    <m/>
    <m/>
    <s v="FLEX CHILE"/>
    <s v="CARLOS FIDENCIO D AVALOS RUIZ JUNIOR 34496952823"/>
    <n v="14.585254365983294"/>
  </r>
  <r>
    <x v="10"/>
    <x v="3"/>
    <s v="COLCHÃO M.E."/>
    <s v="DIRETO"/>
    <x v="9"/>
    <s v="NADA"/>
    <s v="CHILE"/>
    <n v="52883"/>
    <n v="1419"/>
    <s v="2810009 TP MESCLA 180G 2,20L (1122580) DIVERSAS U"/>
    <s v="FLEX CHILE"/>
    <s v="EX"/>
    <s v="Colchão M.E."/>
    <m/>
    <s v="DIRETO"/>
    <n v="45442"/>
    <m/>
    <m/>
    <n v="25070.66"/>
    <s v="MT "/>
    <n v="180"/>
    <m/>
    <n v="2162"/>
    <m/>
    <m/>
    <m/>
    <m/>
    <m/>
    <m/>
    <m/>
    <m/>
    <m/>
    <m/>
    <m/>
    <s v="FLEX CHILE"/>
    <s v="CARLOS FIDENCIO D AVALOS RUIZ JUNIOR 34496952823"/>
    <n v="11.596049953746531"/>
  </r>
  <r>
    <x v="1"/>
    <x v="3"/>
    <s v="COLCHÃO M.E."/>
    <s v="DIRETO"/>
    <x v="23"/>
    <s v="NADA"/>
    <s v="PARAGUAI"/>
    <n v="52945"/>
    <n v="3252"/>
    <s v="COLCHAO ANTI SLIP 2685 72%PP 28%CO UNICA U"/>
    <s v="NM ESPUMA S.A."/>
    <s v="EX"/>
    <s v="Colchão M.E."/>
    <m/>
    <s v="DIRETO"/>
    <n v="45449"/>
    <m/>
    <m/>
    <n v="6024"/>
    <s v="MT "/>
    <m/>
    <m/>
    <n v="502"/>
    <m/>
    <m/>
    <m/>
    <m/>
    <m/>
    <m/>
    <m/>
    <m/>
    <m/>
    <m/>
    <m/>
    <s v="NM ESPUMA S.A."/>
    <s v="CARLOS FIDENCIO D AVALOS RUIZ JUNIOR 34496952823"/>
    <n v="12"/>
  </r>
  <r>
    <x v="1"/>
    <x v="3"/>
    <s v="COLCHÃO M.E."/>
    <s v="DIRETO"/>
    <x v="9"/>
    <s v="NADA"/>
    <s v="CHILE"/>
    <n v="53030"/>
    <n v="1422"/>
    <s v="2810005 TP FOLHA 240G 2,20L (1121110) DIVERSAS U"/>
    <s v="FLEX CHILE"/>
    <s v="EX"/>
    <s v="Colchão M.E."/>
    <m/>
    <s v="DIRETO"/>
    <n v="45456"/>
    <m/>
    <m/>
    <n v="-19208.78"/>
    <s v="MT "/>
    <n v="240"/>
    <m/>
    <n v="-1317"/>
    <m/>
    <m/>
    <m/>
    <m/>
    <m/>
    <m/>
    <m/>
    <m/>
    <m/>
    <m/>
    <m/>
    <s v="FLEX CHILE"/>
    <s v="CARLOS FIDENCIO D AVALOS RUIZ JUNIOR 34496952823"/>
    <n v="14.585254365983294"/>
  </r>
  <r>
    <x v="1"/>
    <x v="3"/>
    <s v="COLCHÃO M.E."/>
    <s v="DIRETO"/>
    <x v="9"/>
    <s v="NADA"/>
    <s v="CHILE"/>
    <n v="53030"/>
    <n v="1419"/>
    <s v="2810009 TP MESCLA 180G 2,20L (1122580) DIVERSAS U"/>
    <s v="FLEX CHILE"/>
    <s v="EX"/>
    <s v="Colchão M.E."/>
    <m/>
    <s v="DIRETO"/>
    <n v="45456"/>
    <m/>
    <m/>
    <n v="-25070.66"/>
    <s v="MT "/>
    <n v="180"/>
    <m/>
    <n v="-2162"/>
    <m/>
    <m/>
    <m/>
    <m/>
    <m/>
    <m/>
    <m/>
    <m/>
    <m/>
    <m/>
    <m/>
    <s v="FLEX CHILE"/>
    <s v="CARLOS FIDENCIO D AVALOS RUIZ JUNIOR 34496952823"/>
    <n v="11.596049953746531"/>
  </r>
  <r>
    <x v="1"/>
    <x v="3"/>
    <s v="COLCHÃO M.E."/>
    <s v="DIRETO"/>
    <x v="9"/>
    <s v="NADA"/>
    <s v="CHILE"/>
    <n v="53037"/>
    <n v="1419"/>
    <s v="2810009 TP MESCLA 180G 2,20L (1122580) DIVERSAS U"/>
    <s v="FLEX CHILE"/>
    <s v="EX"/>
    <s v="Colchão M.E."/>
    <m/>
    <s v="DIRETO"/>
    <n v="45457"/>
    <m/>
    <m/>
    <n v="26255.65"/>
    <s v="MT "/>
    <n v="180"/>
    <m/>
    <n v="2162"/>
    <m/>
    <m/>
    <m/>
    <m/>
    <m/>
    <m/>
    <m/>
    <m/>
    <m/>
    <m/>
    <m/>
    <s v="FLEX CHILE"/>
    <s v="CARLOS FIDENCIO D AVALOS RUIZ JUNIOR 34496952823"/>
    <n v="12.144148936170213"/>
  </r>
  <r>
    <x v="1"/>
    <x v="3"/>
    <s v="COLCHÃO M.E."/>
    <s v="DIRETO"/>
    <x v="9"/>
    <s v="NADA"/>
    <s v="CHILE"/>
    <n v="53037"/>
    <n v="1422"/>
    <s v="2810005 TP FOLHA 240G 2,20L (1121110) DIVERSAS U"/>
    <s v="FLEX CHILE"/>
    <s v="EX"/>
    <s v="Colchão M.E."/>
    <m/>
    <s v="DIRETO"/>
    <n v="45457"/>
    <m/>
    <m/>
    <n v="20116.7"/>
    <s v="MT "/>
    <n v="240"/>
    <m/>
    <n v="1317"/>
    <m/>
    <m/>
    <m/>
    <m/>
    <m/>
    <m/>
    <m/>
    <m/>
    <m/>
    <m/>
    <m/>
    <s v="FLEX CHILE"/>
    <s v="CARLOS FIDENCIO D AVALOS RUIZ JUNIOR 34496952823"/>
    <n v="15.274639331814731"/>
  </r>
  <r>
    <x v="1"/>
    <x v="3"/>
    <s v="COLCHÃO M.E."/>
    <s v="DIRETO"/>
    <x v="1"/>
    <s v="NADA"/>
    <s v="URUGUAI"/>
    <n v="53147"/>
    <n v="1506"/>
    <s v="2540017 TP ML A08980 280G 2,10L DIVERSAS U"/>
    <s v="DIVINO COLCHONES"/>
    <s v="EX"/>
    <s v="Colchão M.E."/>
    <m/>
    <s v="CONEXÃO MALHAS"/>
    <n v="45467"/>
    <m/>
    <m/>
    <n v="55098.92"/>
    <s v="MT "/>
    <n v="280"/>
    <m/>
    <n v="2893"/>
    <m/>
    <m/>
    <m/>
    <m/>
    <m/>
    <m/>
    <m/>
    <m/>
    <m/>
    <m/>
    <m/>
    <s v="DIVINO S.A"/>
    <s v="CONEXAO MALHAS E DESENVOLVIMENTO LTDA"/>
    <n v="19.045599723470445"/>
  </r>
  <r>
    <x v="1"/>
    <x v="3"/>
    <s v="COLCHÃO M.E."/>
    <s v="DIRETO"/>
    <x v="1"/>
    <s v="NADA"/>
    <s v="URUGUAI"/>
    <n v="53147"/>
    <n v="2054"/>
    <s v="2540026 TP ML 0072051 - 280G 2,20L DEGRA DIVERSAS U"/>
    <s v="DIVINO COLCHONES"/>
    <s v="EX"/>
    <s v="Colchão M.E."/>
    <m/>
    <s v="CONEXÃO MALHAS"/>
    <n v="45467"/>
    <m/>
    <m/>
    <n v="9455.32"/>
    <s v="MT "/>
    <n v="280"/>
    <m/>
    <n v="543"/>
    <m/>
    <m/>
    <m/>
    <m/>
    <m/>
    <m/>
    <m/>
    <m/>
    <m/>
    <m/>
    <m/>
    <s v="DIVINO S.A"/>
    <s v="CONEXAO MALHAS E DESENVOLVIMENTO LTDA"/>
    <n v="17.413112338858195"/>
  </r>
  <r>
    <x v="1"/>
    <x v="3"/>
    <s v="COLCHÃO M.E."/>
    <s v="DIRETO"/>
    <x v="1"/>
    <s v="NADA"/>
    <s v="URUGUAI"/>
    <n v="53147"/>
    <n v="1236"/>
    <s v="2540005 TAMPO GEOMETRICO (A07370) DIVERSAS U"/>
    <s v="DIVINO COLCHONES"/>
    <s v="EX"/>
    <s v="Colchão M.E."/>
    <m/>
    <s v="CONEXÃO MALHAS"/>
    <n v="45467"/>
    <m/>
    <m/>
    <n v="51099.34"/>
    <s v="MT "/>
    <n v="240"/>
    <m/>
    <n v="2683"/>
    <m/>
    <m/>
    <m/>
    <m/>
    <m/>
    <m/>
    <m/>
    <m/>
    <m/>
    <m/>
    <m/>
    <s v="DIVINO S.A"/>
    <s v="CONEXAO MALHAS E DESENVOLVIMENTO LTDA"/>
    <n v="19.045598210957881"/>
  </r>
  <r>
    <x v="1"/>
    <x v="3"/>
    <s v="COLCHÃO M.E."/>
    <s v="DIRETO"/>
    <x v="1"/>
    <s v="NADA"/>
    <s v="URUGUAI"/>
    <n v="53147"/>
    <n v="1504"/>
    <s v="2540018 TP ML DIV 7806 240G 2,10L DIVERSAS U"/>
    <s v="DIVINO COLCHONES"/>
    <s v="EX"/>
    <s v="Colchão M.E."/>
    <m/>
    <s v="CONEXÃO MALHAS"/>
    <n v="45467"/>
    <m/>
    <m/>
    <n v="68906.33"/>
    <s v="MT "/>
    <n v="240"/>
    <m/>
    <n v="4278"/>
    <m/>
    <m/>
    <m/>
    <m/>
    <m/>
    <m/>
    <m/>
    <m/>
    <m/>
    <m/>
    <m/>
    <s v="DIVINO S.A"/>
    <s v="CONEXAO MALHAS E DESENVOLVIMENTO LTDA"/>
    <n v="16.107136512388966"/>
  </r>
  <r>
    <x v="1"/>
    <x v="3"/>
    <s v="COLCHÃO M.E."/>
    <s v="DIRETO"/>
    <x v="1"/>
    <s v="NADA"/>
    <s v="URUGUAI"/>
    <n v="53147"/>
    <n v="1225"/>
    <s v="2540012 TAMPO RASCUNHOS (A07820) DIVERSAS U"/>
    <s v="DIVINO COLCHONES"/>
    <s v="EX"/>
    <s v="Colchão M.E."/>
    <m/>
    <s v="CONEXÃO MALHAS"/>
    <n v="45467"/>
    <m/>
    <m/>
    <n v="70710.33"/>
    <s v="MT "/>
    <n v="240"/>
    <m/>
    <n v="4390"/>
    <m/>
    <m/>
    <m/>
    <m/>
    <m/>
    <m/>
    <m/>
    <m/>
    <m/>
    <m/>
    <m/>
    <s v="DIVINO S.A"/>
    <s v="CONEXAO MALHAS E DESENVOLVIMENTO LTDA"/>
    <n v="16.107136674259682"/>
  </r>
  <r>
    <x v="1"/>
    <x v="3"/>
    <s v="COLCHÃO M.E."/>
    <s v="DIRETO"/>
    <x v="21"/>
    <s v="NADA"/>
    <s v="PARAGUAI"/>
    <n v="53158"/>
    <n v="3274"/>
    <s v="3200011-ME 200G 2,20L DIVERSAS U"/>
    <s v="SUPERESPUMA"/>
    <s v="EX"/>
    <s v="Colchão M.E."/>
    <m/>
    <s v="DIRETO"/>
    <n v="45467"/>
    <m/>
    <m/>
    <n v="8751.18"/>
    <s v="MT "/>
    <n v="220"/>
    <m/>
    <n v="731"/>
    <m/>
    <m/>
    <m/>
    <m/>
    <m/>
    <m/>
    <m/>
    <m/>
    <m/>
    <m/>
    <m/>
    <s v="SUPERSPUMA DEL PARAGUAY S.A.E.C.A"/>
    <s v="CARLOS FIDENCIO D AVALOS RUIZ JUNIOR 34496952823"/>
    <n v="11.971518467852258"/>
  </r>
  <r>
    <x v="1"/>
    <x v="3"/>
    <s v="COLCHÃO M.E."/>
    <s v="DIRETO"/>
    <x v="21"/>
    <s v="NADA"/>
    <s v="PARAGUAI"/>
    <n v="53158"/>
    <n v="1761"/>
    <s v="3200008 TP ML IMPULSE GRAY 280G 2,10L DIVERSAS U"/>
    <s v="SUPERESPUMA"/>
    <s v="EX"/>
    <s v="Colchão M.E."/>
    <m/>
    <s v="DIRETO"/>
    <n v="45467"/>
    <m/>
    <m/>
    <n v="9032.2900000000009"/>
    <s v="MT "/>
    <n v="280"/>
    <m/>
    <n v="557"/>
    <m/>
    <m/>
    <m/>
    <m/>
    <m/>
    <m/>
    <m/>
    <m/>
    <m/>
    <m/>
    <m/>
    <s v="SUPERSPUMA DEL PARAGUAY S.A.E.C.A"/>
    <s v="CARLOS FIDENCIO D AVALOS RUIZ JUNIOR 34496952823"/>
    <n v="16.215960502693001"/>
  </r>
  <r>
    <x v="1"/>
    <x v="3"/>
    <s v="COLCHÃO M.E."/>
    <s v="DIRETO"/>
    <x v="21"/>
    <s v="NADA"/>
    <s v="PARAGUAI"/>
    <n v="53158"/>
    <n v="3270"/>
    <s v="3200012-ME 220G 2,20L DIVERSAS U"/>
    <s v="SUPERESPUMA"/>
    <s v="EX"/>
    <s v="Colchão M.E."/>
    <m/>
    <s v="DIRETO"/>
    <n v="45467"/>
    <m/>
    <m/>
    <n v="6285.05"/>
    <s v="MT "/>
    <n v="220"/>
    <m/>
    <n v="525"/>
    <m/>
    <m/>
    <m/>
    <m/>
    <m/>
    <m/>
    <m/>
    <m/>
    <m/>
    <m/>
    <m/>
    <s v="SUPERSPUMA DEL PARAGUAY S.A.E.C.A"/>
    <s v="CARLOS FIDENCIO D AVALOS RUIZ JUNIOR 34496952823"/>
    <n v="11.971523809523809"/>
  </r>
  <r>
    <x v="1"/>
    <x v="3"/>
    <s v="COLCHÃO M.E."/>
    <s v="DIRETO"/>
    <x v="1"/>
    <s v="NADA"/>
    <s v="URUGUAI"/>
    <n v="53163"/>
    <n v="1523"/>
    <s v="32282 - TELA ANTIDESLIZANTE DIVERSAS U"/>
    <s v="DIVINO COLCHONES"/>
    <s v="EX"/>
    <s v="Colchão M.E."/>
    <m/>
    <s v="CONEXÃO MALHAS"/>
    <n v="45467"/>
    <m/>
    <m/>
    <n v="8257.9"/>
    <s v="MT "/>
    <m/>
    <m/>
    <n v="1005"/>
    <m/>
    <m/>
    <m/>
    <m/>
    <m/>
    <m/>
    <m/>
    <m/>
    <m/>
    <m/>
    <m/>
    <s v="DIVINO S.A"/>
    <s v="CONEXAO MALHAS E DESENVOLVIMENTO LTDA"/>
    <n v="8.2168159203980089"/>
  </r>
  <r>
    <x v="1"/>
    <x v="3"/>
    <s v="COLCHÃO M.E."/>
    <s v="DIRETO"/>
    <x v="1"/>
    <s v="NADA"/>
    <s v="URUGUAI"/>
    <n v="53163"/>
    <n v="1523"/>
    <s v="32282 - TELA ANTIDESLIZANTE DIVERSAS U"/>
    <s v="DIVINO COLCHONES"/>
    <s v="EX"/>
    <s v="Colchão M.E."/>
    <m/>
    <s v="CONEXÃO MALHAS"/>
    <n v="45467"/>
    <m/>
    <m/>
    <n v="12752.5"/>
    <s v="MT "/>
    <m/>
    <m/>
    <n v="1552"/>
    <m/>
    <m/>
    <m/>
    <m/>
    <m/>
    <m/>
    <m/>
    <m/>
    <m/>
    <m/>
    <m/>
    <s v="DIVINO S.A"/>
    <s v="CONEXAO MALHAS E DESENVOLVIMENTO LTDA"/>
    <n v="8.2168170103092777"/>
  </r>
  <r>
    <x v="1"/>
    <x v="3"/>
    <s v="COLCHÃO M.E."/>
    <s v="DIRETO"/>
    <x v="9"/>
    <s v="NADA"/>
    <s v="CHILE"/>
    <n v="53263"/>
    <n v="1419"/>
    <s v="2810009 TP MESCLA 180G 2,20L (1122580) DIVERSAS U"/>
    <s v="FLEX CHILE"/>
    <s v="EX"/>
    <s v="Colchão M.E."/>
    <m/>
    <s v="DIRETO"/>
    <n v="45471"/>
    <m/>
    <m/>
    <n v="66631.03"/>
    <s v="MT "/>
    <n v="180"/>
    <m/>
    <n v="5362"/>
    <m/>
    <m/>
    <m/>
    <m/>
    <m/>
    <m/>
    <m/>
    <m/>
    <m/>
    <m/>
    <m/>
    <s v="FLEX CHILE"/>
    <s v="CARLOS FIDENCIO D AVALOS RUIZ JUNIOR 34496952823"/>
    <n v="12.426525550167847"/>
  </r>
  <r>
    <x v="1"/>
    <x v="3"/>
    <s v="COLCHÃO M.E."/>
    <s v="DIRETO"/>
    <x v="9"/>
    <s v="NADA"/>
    <s v="CHILE"/>
    <n v="53263"/>
    <n v="1422"/>
    <s v="2810005 TP FOLHA 240G 2,20L (1121110) DIVERSAS U"/>
    <s v="FLEX CHILE"/>
    <s v="EX"/>
    <s v="Colchão M.E."/>
    <m/>
    <s v="DIRETO"/>
    <n v="45471"/>
    <m/>
    <m/>
    <n v="47248.91"/>
    <s v="MT "/>
    <n v="240"/>
    <m/>
    <n v="3023"/>
    <m/>
    <m/>
    <m/>
    <m/>
    <m/>
    <m/>
    <m/>
    <m/>
    <m/>
    <m/>
    <m/>
    <s v="FLEX CHILE"/>
    <s v="CARLOS FIDENCIO D AVALOS RUIZ JUNIOR 34496952823"/>
    <n v="15.629808137611645"/>
  </r>
  <r>
    <x v="1"/>
    <x v="3"/>
    <s v="COLCHÃO M.E."/>
    <s v="DIRETO"/>
    <x v="28"/>
    <s v="NADA"/>
    <s v="CHILE"/>
    <n v="53265"/>
    <n v="3276"/>
    <s v="2860014 TP ML A09686 370G 2,20L DIVERSAS U"/>
    <s v="COMERCIALIZADORA SL SUNLOCK LTDA"/>
    <s v="EX"/>
    <s v="Colchão M.E."/>
    <m/>
    <s v="DIRETO"/>
    <n v="45471"/>
    <m/>
    <m/>
    <n v="16127.97"/>
    <s v="MT "/>
    <n v="370"/>
    <m/>
    <n v="471"/>
    <m/>
    <m/>
    <m/>
    <m/>
    <m/>
    <m/>
    <m/>
    <m/>
    <m/>
    <m/>
    <m/>
    <s v="COMERCIALIZADORA SL SUNLOCK LTDA"/>
    <s v="CARLOS FIDENCIO D AVALOS RUIZ JUNIOR 34496952823"/>
    <n v="34.241974522292992"/>
  </r>
  <r>
    <x v="1"/>
    <x v="3"/>
    <s v="COLCHÃO M.E."/>
    <s v="DIRETO"/>
    <x v="28"/>
    <s v="NADA"/>
    <s v="CHILE"/>
    <n v="53265"/>
    <n v="2536"/>
    <s v="2860012 TP ML HARMONY ME 440G 2,20L DIVERSAS U"/>
    <s v="COMERCIALIZADORA SL SUNLOCK LTDA"/>
    <s v="EX"/>
    <s v="Colchão M.E."/>
    <m/>
    <s v="DIRETO"/>
    <n v="45471"/>
    <m/>
    <m/>
    <n v="36237.9"/>
    <s v="MT "/>
    <n v="440"/>
    <m/>
    <n v="1011"/>
    <m/>
    <m/>
    <m/>
    <m/>
    <m/>
    <m/>
    <m/>
    <m/>
    <m/>
    <m/>
    <m/>
    <s v="COMERCIALIZADORA SL SUNLOCK LTDA"/>
    <s v="CARLOS FIDENCIO D AVALOS RUIZ JUNIOR 34496952823"/>
    <n v="35.843620178041547"/>
  </r>
  <r>
    <x v="1"/>
    <x v="3"/>
    <s v="COLCHÃO M.E."/>
    <s v="DIRETO"/>
    <x v="28"/>
    <s v="NADA"/>
    <s v="CHILE"/>
    <n v="53265"/>
    <n v="2000"/>
    <s v="2860008 TP ML GRAY WINDOW 380G 2,20L DIVERSAS U"/>
    <s v="COMERCIALIZADORA SL SUNLOCK LTDA"/>
    <s v="EX"/>
    <s v="Colchão M.E."/>
    <m/>
    <s v="DIRETO"/>
    <n v="45471"/>
    <m/>
    <m/>
    <n v="29295.78"/>
    <s v="MT "/>
    <n v="380"/>
    <m/>
    <n v="1026"/>
    <m/>
    <m/>
    <m/>
    <m/>
    <m/>
    <m/>
    <m/>
    <m/>
    <m/>
    <m/>
    <m/>
    <s v="COMERCIALIZADORA SL SUNLOCK LTDA"/>
    <s v="CARLOS FIDENCIO D AVALOS RUIZ JUNIOR 34496952823"/>
    <n v="28.553391812865495"/>
  </r>
  <r>
    <x v="2"/>
    <x v="3"/>
    <s v="COLCHÃO M.E."/>
    <s v="DIRETO"/>
    <x v="24"/>
    <s v="NADA"/>
    <s v="EQUADOR"/>
    <n v="53471"/>
    <n v="2582"/>
    <s v="3260001 TP PARAISO PREMIUM 240G 2,20L DIVERSAS U"/>
    <s v="PRODUCTOS PARAISO DEL ECUADOR"/>
    <s v="EX"/>
    <s v="Colchão M.E."/>
    <m/>
    <s v="DIRETO"/>
    <n v="45491"/>
    <m/>
    <m/>
    <n v="23790.21"/>
    <s v="MT "/>
    <n v="240"/>
    <m/>
    <n v="1449"/>
    <m/>
    <m/>
    <m/>
    <m/>
    <m/>
    <m/>
    <m/>
    <m/>
    <m/>
    <m/>
    <m/>
    <s v="PRODUCTOS PARAISO DEL ECUADOR"/>
    <s v="CARLOS FIDENCIO D AVALOS RUIZ JUNIOR 34496952823"/>
    <n v="16.418364389233954"/>
  </r>
  <r>
    <x v="2"/>
    <x v="3"/>
    <s v="COLCHÃO M.E."/>
    <s v="DIRETO"/>
    <x v="24"/>
    <s v="NADA"/>
    <s v="EQUADOR"/>
    <n v="53471"/>
    <n v="2950"/>
    <s v="3260005-PL ME 180G 2,10L DIVERSAS U"/>
    <s v="PRODUCTOS PARAISO DEL ECUADOR"/>
    <s v="EX"/>
    <s v="Colchão M.E."/>
    <m/>
    <s v="DIRETO"/>
    <n v="45491"/>
    <m/>
    <m/>
    <n v="5951.58"/>
    <s v="MT "/>
    <n v="180"/>
    <m/>
    <n v="449"/>
    <m/>
    <m/>
    <m/>
    <m/>
    <m/>
    <m/>
    <m/>
    <m/>
    <m/>
    <m/>
    <m/>
    <s v="PRODUCTOS PARAISO DEL ECUADOR"/>
    <s v="CARLOS FIDENCIO D AVALOS RUIZ JUNIOR 34496952823"/>
    <n v="13.255189309576837"/>
  </r>
  <r>
    <x v="2"/>
    <x v="3"/>
    <s v="COLCHÃO M.E."/>
    <s v="DIRETO"/>
    <x v="1"/>
    <s v="NADA"/>
    <s v="URUGUAI"/>
    <n v="53637"/>
    <n v="1525"/>
    <s v="2540022 TP ML FOLHAS IMAG 320G 2,10 DIVERSAS U"/>
    <s v="DIVINO COLCHONES"/>
    <s v="EX"/>
    <s v="Colchão M.E."/>
    <m/>
    <s v="CONEXÃO MALHAS"/>
    <n v="45502"/>
    <m/>
    <m/>
    <n v="34059.69"/>
    <s v="MT "/>
    <n v="320"/>
    <m/>
    <n v="1600"/>
    <m/>
    <m/>
    <m/>
    <m/>
    <m/>
    <m/>
    <m/>
    <m/>
    <m/>
    <m/>
    <m/>
    <s v="DIVINO S.A"/>
    <s v="CONEXAO MALHAS E DESENVOLVIMENTO LTDA"/>
    <n v="21.28730625"/>
  </r>
  <r>
    <x v="2"/>
    <x v="3"/>
    <s v="COLCHÃO M.E."/>
    <s v="DIRETO"/>
    <x v="1"/>
    <s v="NADA"/>
    <s v="URUGUAI"/>
    <n v="53637"/>
    <n v="1506"/>
    <s v="2540017 TP ML A08980 280G 2,10L DIVERSAS U"/>
    <s v="DIVINO COLCHONES"/>
    <s v="EX"/>
    <s v="Colchão M.E."/>
    <m/>
    <s v="CONEXÃO MALHAS"/>
    <n v="45502"/>
    <m/>
    <m/>
    <n v="25533.47"/>
    <s v="MT "/>
    <n v="280"/>
    <m/>
    <n v="1292"/>
    <m/>
    <m/>
    <m/>
    <m/>
    <m/>
    <m/>
    <m/>
    <m/>
    <m/>
    <m/>
    <m/>
    <s v="DIVINO S.A"/>
    <s v="CONEXAO MALHAS E DESENVOLVIMENTO LTDA"/>
    <n v="19.762747678018577"/>
  </r>
  <r>
    <x v="2"/>
    <x v="3"/>
    <s v="COLCHÃO M.E."/>
    <s v="DIRETO"/>
    <x v="1"/>
    <s v="NADA"/>
    <s v="URUGUAI"/>
    <n v="53637"/>
    <n v="3009"/>
    <s v="2540014 TP ML A05171 300G 2,20L DIVERSAS U"/>
    <s v="DIVINO COLCHONES"/>
    <s v="EX"/>
    <s v="Colchão M.E."/>
    <m/>
    <s v="CONEXÃO MALHAS"/>
    <n v="45502"/>
    <m/>
    <m/>
    <n v="15539.17"/>
    <s v="MT "/>
    <n v="300"/>
    <m/>
    <n v="640"/>
    <m/>
    <m/>
    <m/>
    <m/>
    <m/>
    <m/>
    <m/>
    <m/>
    <m/>
    <m/>
    <m/>
    <s v="DIVINO S.A"/>
    <s v="CONEXAO MALHAS E DESENVOLVIMENTO LTDA"/>
    <n v="24.279953124999999"/>
  </r>
  <r>
    <x v="2"/>
    <x v="3"/>
    <s v="COLCHÃO M.E."/>
    <s v="DIRETO"/>
    <x v="1"/>
    <s v="NADA"/>
    <s v="URUGUAI"/>
    <n v="53637"/>
    <n v="3343"/>
    <s v="2540031 TP ML A09792 390G 2,20L DV U"/>
    <s v="DIVINO COLCHONES"/>
    <s v="EX"/>
    <s v="Colchão M.E."/>
    <m/>
    <s v="CONEXÃO MALHAS"/>
    <n v="45502"/>
    <m/>
    <m/>
    <n v="17250.060000000001"/>
    <s v="MT "/>
    <n v="390"/>
    <m/>
    <n v="611"/>
    <m/>
    <m/>
    <m/>
    <m/>
    <m/>
    <m/>
    <m/>
    <m/>
    <m/>
    <m/>
    <m/>
    <s v="DIVINO S.A"/>
    <s v="CONEXAO MALHAS E DESENVOLVIMENTO LTDA"/>
    <n v="28.232504091653031"/>
  </r>
  <r>
    <x v="2"/>
    <x v="3"/>
    <s v="COLCHÃO M.E."/>
    <s v="DIRETO"/>
    <x v="1"/>
    <s v="NADA"/>
    <s v="URUGUAI"/>
    <n v="53637"/>
    <n v="1236"/>
    <s v="2540005 TAMPO GEOMETRICO (A07370) DIVERSAS U"/>
    <s v="DIVINO COLCHONES"/>
    <s v="EX"/>
    <s v="Colchão M.E."/>
    <m/>
    <s v="CONEXÃO MALHAS"/>
    <n v="45502"/>
    <m/>
    <m/>
    <n v="7035.54"/>
    <s v="MT "/>
    <n v="240"/>
    <m/>
    <n v="356"/>
    <m/>
    <m/>
    <m/>
    <m/>
    <m/>
    <m/>
    <m/>
    <m/>
    <m/>
    <m/>
    <m/>
    <s v="DIVINO S.A"/>
    <s v="CONEXAO MALHAS E DESENVOLVIMENTO LTDA"/>
    <n v="19.762752808988765"/>
  </r>
  <r>
    <x v="2"/>
    <x v="3"/>
    <s v="COLCHÃO M.E."/>
    <s v="DIRETO"/>
    <x v="1"/>
    <s v="NADA"/>
    <s v="URUGUAI"/>
    <n v="53637"/>
    <n v="1504"/>
    <s v="2540018 TP ML DIV 7806 240G 2,10L DIVERSAS U"/>
    <s v="DIVINO COLCHONES"/>
    <s v="EX"/>
    <s v="Colchão M.E."/>
    <m/>
    <s v="CONEXÃO MALHAS"/>
    <n v="45502"/>
    <m/>
    <m/>
    <n v="51645.15"/>
    <s v="MT "/>
    <n v="240"/>
    <m/>
    <n v="3090"/>
    <m/>
    <m/>
    <m/>
    <m/>
    <m/>
    <m/>
    <m/>
    <m/>
    <m/>
    <m/>
    <m/>
    <s v="DIVINO S.A"/>
    <s v="CONEXAO MALHAS E DESENVOLVIMENTO LTDA"/>
    <n v="16.71364077669903"/>
  </r>
  <r>
    <x v="2"/>
    <x v="3"/>
    <s v="COLCHÃO M.E."/>
    <s v="DIRETO"/>
    <x v="1"/>
    <s v="NADA"/>
    <s v="URUGUAI"/>
    <n v="53637"/>
    <n v="1236"/>
    <s v="2540005 TAMPO GEOMETRICO (A07370) DIVERSAS U"/>
    <s v="DIVINO COLCHONES"/>
    <s v="EX"/>
    <s v="Colchão M.E."/>
    <m/>
    <s v="CONEXÃO MALHAS"/>
    <n v="45502"/>
    <m/>
    <m/>
    <n v="24327.95"/>
    <s v="MT "/>
    <n v="240"/>
    <m/>
    <n v="1231"/>
    <m/>
    <m/>
    <m/>
    <m/>
    <m/>
    <m/>
    <m/>
    <m/>
    <m/>
    <m/>
    <m/>
    <s v="DIVINO S.A"/>
    <s v="CONEXAO MALHAS E DESENVOLVIMENTO LTDA"/>
    <n v="19.762753858651504"/>
  </r>
  <r>
    <x v="2"/>
    <x v="3"/>
    <s v="COLCHÃO M.E."/>
    <s v="DIRETO"/>
    <x v="1"/>
    <s v="NADA"/>
    <s v="URUGUAI"/>
    <n v="53637"/>
    <n v="1236"/>
    <s v="2540005 TAMPO GEOMETRICO (A07370) DIVERSAS U"/>
    <s v="DIVINO COLCHONES"/>
    <s v="EX"/>
    <s v="Colchão M.E."/>
    <m/>
    <s v="CONEXÃO MALHAS"/>
    <n v="45502"/>
    <m/>
    <m/>
    <n v="3675.87"/>
    <s v="MT "/>
    <n v="240"/>
    <m/>
    <n v="186"/>
    <m/>
    <m/>
    <m/>
    <m/>
    <m/>
    <m/>
    <m/>
    <m/>
    <m/>
    <m/>
    <m/>
    <s v="DIVINO S.A"/>
    <s v="CONEXAO MALHAS E DESENVOLVIMENTO LTDA"/>
    <n v="19.76274193548387"/>
  </r>
  <r>
    <x v="2"/>
    <x v="3"/>
    <s v="COLCHÃO M.E."/>
    <s v="DIRETO"/>
    <x v="1"/>
    <s v="NADA"/>
    <s v="URUGUAI"/>
    <n v="53637"/>
    <n v="1225"/>
    <s v="2540012 TAMPO RASCUNHOS (A07820) DIVERSAS U"/>
    <s v="DIVINO COLCHONES"/>
    <s v="EX"/>
    <s v="Colchão M.E."/>
    <m/>
    <s v="CONEXÃO MALHAS"/>
    <n v="45502"/>
    <m/>
    <m/>
    <n v="25488.3"/>
    <s v="MT "/>
    <n v="240"/>
    <m/>
    <n v="1525"/>
    <m/>
    <m/>
    <m/>
    <m/>
    <m/>
    <m/>
    <m/>
    <m/>
    <m/>
    <m/>
    <m/>
    <s v="DIVINO S.A"/>
    <s v="CONEXAO MALHAS E DESENVOLVIMENTO LTDA"/>
    <n v="16.713639344262294"/>
  </r>
  <r>
    <x v="2"/>
    <x v="3"/>
    <s v="COLCHÃO M.E."/>
    <s v="DIRETO"/>
    <x v="1"/>
    <s v="NADA"/>
    <s v="URUGUAI"/>
    <n v="53638"/>
    <n v="1523"/>
    <s v="32282 - TELA ANTIDESLIZANTE DIVERSAS U"/>
    <s v="DIVINO COLCHONES"/>
    <s v="EX"/>
    <s v="Colchão M.E."/>
    <m/>
    <s v="CONEXÃO MALHAS"/>
    <n v="45502"/>
    <m/>
    <m/>
    <n v="3836.8"/>
    <s v="MT "/>
    <m/>
    <m/>
    <n v="450"/>
    <m/>
    <m/>
    <m/>
    <m/>
    <m/>
    <m/>
    <m/>
    <m/>
    <m/>
    <m/>
    <m/>
    <s v="DIVINO S.A"/>
    <s v="CONEXAO MALHAS E DESENVOLVIMENTO LTDA"/>
    <n v="8.5262222222222235"/>
  </r>
  <r>
    <x v="2"/>
    <x v="3"/>
    <s v="COLCHÃO M.E."/>
    <s v="DIRETO"/>
    <x v="1"/>
    <s v="NADA"/>
    <s v="URUGUAI"/>
    <n v="53638"/>
    <n v="1523"/>
    <s v="32282 - TELA ANTIDESLIZANTE DIVERSAS U"/>
    <s v="DIVINO COLCHONES"/>
    <s v="EX"/>
    <s v="Colchão M.E."/>
    <m/>
    <s v="CONEXÃO MALHAS"/>
    <n v="45502"/>
    <m/>
    <m/>
    <n v="6053.61"/>
    <s v="MT "/>
    <m/>
    <m/>
    <n v="710"/>
    <m/>
    <m/>
    <m/>
    <m/>
    <m/>
    <m/>
    <m/>
    <m/>
    <m/>
    <m/>
    <m/>
    <s v="DIVINO S.A"/>
    <s v="CONEXAO MALHAS E DESENVOLVIMENTO LTDA"/>
    <n v="8.5262112676056336"/>
  </r>
  <r>
    <x v="2"/>
    <x v="3"/>
    <s v="COLCHÃO M.E."/>
    <s v="DIRETO"/>
    <x v="1"/>
    <s v="NADA"/>
    <s v="URUGUAI"/>
    <n v="53638"/>
    <n v="1905"/>
    <s v="2540019 NUEVO GALHOS 3 V02 (1922) - TOL DIVERSAS U"/>
    <s v="DIVINO COLCHONES"/>
    <s v="EX"/>
    <s v="Colchão M.E."/>
    <m/>
    <s v="CONEXÃO MALHAS"/>
    <n v="45502"/>
    <m/>
    <m/>
    <n v="1174.47"/>
    <s v="MT "/>
    <m/>
    <m/>
    <n v="130"/>
    <m/>
    <m/>
    <m/>
    <m/>
    <m/>
    <m/>
    <m/>
    <m/>
    <m/>
    <m/>
    <m/>
    <s v="DIVINO S.A"/>
    <s v="CONEXAO MALHAS E DESENVOLVIMENTO LTDA"/>
    <n v="9.0343846153846155"/>
  </r>
  <r>
    <x v="2"/>
    <x v="3"/>
    <s v="COLCHÃO M.E."/>
    <s v="DIRETO"/>
    <x v="1"/>
    <s v="NADA"/>
    <s v="URUGUAI"/>
    <n v="53638"/>
    <n v="1905"/>
    <s v="2540019 NUEVO GALHOS 3 V02 (1922) - TOL DIVERSAS U"/>
    <s v="DIVINO COLCHONES"/>
    <s v="EX"/>
    <s v="Colchão M.E."/>
    <m/>
    <s v="CONEXÃO MALHAS"/>
    <n v="45502"/>
    <m/>
    <m/>
    <n v="10389.56"/>
    <s v="MT "/>
    <m/>
    <m/>
    <n v="1150"/>
    <m/>
    <m/>
    <m/>
    <m/>
    <m/>
    <m/>
    <m/>
    <m/>
    <m/>
    <m/>
    <m/>
    <s v="DIVINO S.A"/>
    <s v="CONEXAO MALHAS E DESENVOLVIMENTO LTDA"/>
    <n v="9.0343999999999998"/>
  </r>
  <r>
    <x v="11"/>
    <x v="3"/>
    <s v="COLCHÃO M.E."/>
    <s v="DIRETO"/>
    <x v="29"/>
    <s v="NADA"/>
    <s v="COLOMBIA"/>
    <n v="53841"/>
    <n v="3334"/>
    <s v="3380001 TP ML A09874 260G 2,20L DV U"/>
    <s v="ESPUMAS PLASTICAS SAS - COMODISIMO"/>
    <s v="EX"/>
    <s v="COLCHAO ME"/>
    <m/>
    <s v="DIRETO"/>
    <n v="45511"/>
    <m/>
    <m/>
    <n v="32870.47"/>
    <s v="MT "/>
    <n v="260"/>
    <m/>
    <n v="2982"/>
    <m/>
    <m/>
    <m/>
    <m/>
    <m/>
    <m/>
    <m/>
    <m/>
    <m/>
    <m/>
    <m/>
    <s v="ESPUMAS PLASTICAS SAS - COMODISIMO"/>
    <s v="CARLOS FIDENCIO D AVALOS RUIZ JUNIOR 34496952823"/>
    <n v="11.022961099932932"/>
  </r>
  <r>
    <x v="11"/>
    <x v="3"/>
    <s v="COLCHÃO M.E."/>
    <s v="DIRETO"/>
    <x v="9"/>
    <s v="NADA"/>
    <s v="CHILE"/>
    <n v="54041"/>
    <n v="1422"/>
    <s v="2810005 TP FOLHA 240G 2,20L (1121110) DIVERSAS U"/>
    <s v="FLEX CHILE"/>
    <s v="EX"/>
    <s v="COLCHAO ME"/>
    <m/>
    <s v="DIRETO"/>
    <n v="45524"/>
    <m/>
    <m/>
    <n v="7935.47"/>
    <s v="MT "/>
    <n v="240"/>
    <m/>
    <n v="517"/>
    <m/>
    <m/>
    <m/>
    <m/>
    <m/>
    <m/>
    <m/>
    <m/>
    <m/>
    <m/>
    <m/>
    <s v="FLEX CHILE"/>
    <s v="CARLOS FIDENCIO D AVALOS RUIZ JUNIOR 34496952823"/>
    <n v="15.349071566731142"/>
  </r>
  <r>
    <x v="11"/>
    <x v="3"/>
    <s v="COLCHÃO M.E."/>
    <s v="DIRETO"/>
    <x v="9"/>
    <s v="NADA"/>
    <s v="CHILE"/>
    <n v="54041"/>
    <n v="3378"/>
    <s v="2810011 TP PARADISE 122034 370G 2,20L DV U"/>
    <s v="FLEX CHILE"/>
    <s v="EX"/>
    <s v="COLCHAO ME"/>
    <m/>
    <s v="DIRETO"/>
    <n v="45524"/>
    <m/>
    <m/>
    <n v="14336.2"/>
    <s v="MT "/>
    <n v="370"/>
    <m/>
    <n v="545"/>
    <m/>
    <m/>
    <m/>
    <m/>
    <m/>
    <m/>
    <m/>
    <m/>
    <m/>
    <m/>
    <m/>
    <s v="FLEX CHILE"/>
    <s v="CARLOS FIDENCIO D AVALOS RUIZ JUNIOR 34496952823"/>
    <n v="26.304954128440368"/>
  </r>
  <r>
    <x v="11"/>
    <x v="3"/>
    <s v="COLCHÃO M.E."/>
    <s v="DIRETO"/>
    <x v="9"/>
    <s v="NADA"/>
    <s v="CHILE"/>
    <n v="54041"/>
    <n v="3378"/>
    <s v="2810011 TP PARADISE 122034 370G 2,20L DV U"/>
    <s v="FLEX CHILE"/>
    <s v="EX"/>
    <s v="COLCHAO ME"/>
    <m/>
    <s v="DIRETO"/>
    <n v="45524"/>
    <m/>
    <m/>
    <n v="1157.42"/>
    <s v="MT "/>
    <n v="370"/>
    <m/>
    <n v="44"/>
    <m/>
    <m/>
    <m/>
    <m/>
    <m/>
    <m/>
    <m/>
    <m/>
    <m/>
    <m/>
    <m/>
    <s v="FLEX CHILE"/>
    <s v="CARLOS FIDENCIO D AVALOS RUIZ JUNIOR 34496952823"/>
    <n v="26.305000000000003"/>
  </r>
  <r>
    <x v="11"/>
    <x v="3"/>
    <s v="COLCHÃO M.E."/>
    <s v="DIRETO"/>
    <x v="9"/>
    <s v="NADA"/>
    <s v="CHILE"/>
    <n v="54041"/>
    <n v="1422"/>
    <s v="2810005 TP FOLHA 240G 2,20L (1121110) DIVERSAS U"/>
    <s v="FLEX CHILE"/>
    <s v="EX"/>
    <s v="COLCHAO ME"/>
    <m/>
    <s v="DIRETO"/>
    <n v="45524"/>
    <m/>
    <m/>
    <n v="16960.72"/>
    <s v="MT "/>
    <n v="240"/>
    <m/>
    <n v="1105"/>
    <m/>
    <m/>
    <m/>
    <m/>
    <m/>
    <m/>
    <m/>
    <m/>
    <m/>
    <m/>
    <m/>
    <s v="FLEX CHILE"/>
    <s v="CARLOS FIDENCIO D AVALOS RUIZ JUNIOR 34496952823"/>
    <n v="15.349067873303168"/>
  </r>
  <r>
    <x v="11"/>
    <x v="3"/>
    <s v="COLCHÃO M.E."/>
    <s v="DIRETO"/>
    <x v="9"/>
    <s v="NADA"/>
    <s v="CHILE"/>
    <n v="54041"/>
    <n v="1419"/>
    <s v="2810009 TP MESCLA 180G 2,20L (1122580) DIVERSAS U"/>
    <s v="FLEX CHILE"/>
    <s v="EX"/>
    <s v="COLCHAO ME"/>
    <m/>
    <s v="DIRETO"/>
    <n v="45524"/>
    <m/>
    <m/>
    <n v="30679.16"/>
    <s v="MT "/>
    <n v="180"/>
    <m/>
    <n v="2514"/>
    <m/>
    <m/>
    <m/>
    <m/>
    <m/>
    <m/>
    <m/>
    <m/>
    <m/>
    <m/>
    <m/>
    <s v="FLEX CHILE"/>
    <s v="CARLOS FIDENCIO D AVALOS RUIZ JUNIOR 34496952823"/>
    <n v="12.20332537788385"/>
  </r>
  <r>
    <x v="11"/>
    <x v="3"/>
    <s v="COLCHÃO M.E."/>
    <s v="DIRETO"/>
    <x v="9"/>
    <s v="NADA"/>
    <s v="CHILE"/>
    <n v="54041"/>
    <n v="1422"/>
    <s v="2810005 TP FOLHA 240G 2,20L (1121110) DIVERSAS U"/>
    <s v="FLEX CHILE"/>
    <s v="EX"/>
    <s v="COLCHAO ME"/>
    <m/>
    <s v="DIRETO"/>
    <n v="45524"/>
    <m/>
    <m/>
    <n v="3254"/>
    <s v="MT "/>
    <n v="240"/>
    <m/>
    <n v="212"/>
    <m/>
    <m/>
    <m/>
    <m/>
    <m/>
    <m/>
    <m/>
    <m/>
    <m/>
    <m/>
    <m/>
    <s v="FLEX CHILE"/>
    <s v="CARLOS FIDENCIO D AVALOS RUIZ JUNIOR 34496952823"/>
    <n v="15.349056603773585"/>
  </r>
  <r>
    <x v="11"/>
    <x v="3"/>
    <s v="COLCHÃO M.E."/>
    <s v="DIRETO"/>
    <x v="9"/>
    <s v="NADA"/>
    <s v="CHILE"/>
    <n v="54041"/>
    <n v="1422"/>
    <s v="2810005 TP FOLHA 240G 2,20L (1121110) DIVERSAS U"/>
    <s v="FLEX CHILE"/>
    <s v="EX"/>
    <s v="COLCHAO ME"/>
    <m/>
    <s v="DIRETO"/>
    <n v="45524"/>
    <m/>
    <m/>
    <n v="3161.91"/>
    <s v="MT "/>
    <n v="240"/>
    <m/>
    <n v="206"/>
    <m/>
    <m/>
    <m/>
    <m/>
    <m/>
    <m/>
    <m/>
    <m/>
    <m/>
    <m/>
    <m/>
    <s v="FLEX CHILE"/>
    <s v="CARLOS FIDENCIO D AVALOS RUIZ JUNIOR 34496952823"/>
    <n v="15.349077669902911"/>
  </r>
  <r>
    <x v="11"/>
    <x v="3"/>
    <s v="COLCHÃO M.E."/>
    <s v="DIRETO"/>
    <x v="9"/>
    <s v="NADA"/>
    <s v="CHILE"/>
    <n v="54041"/>
    <n v="1419"/>
    <s v="2810009 TP MESCLA 180G 2,20L (1122580) DIVERSAS U"/>
    <s v="FLEX CHILE"/>
    <s v="EX"/>
    <s v="COLCHAO ME"/>
    <m/>
    <s v="DIRETO"/>
    <n v="45524"/>
    <m/>
    <m/>
    <n v="65434.23"/>
    <s v="MT "/>
    <n v="180"/>
    <m/>
    <n v="5362"/>
    <m/>
    <m/>
    <m/>
    <m/>
    <m/>
    <m/>
    <m/>
    <m/>
    <m/>
    <m/>
    <m/>
    <s v="FLEX CHILE"/>
    <s v="CARLOS FIDENCIO D AVALOS RUIZ JUNIOR 34496952823"/>
    <n v="12.203325251771728"/>
  </r>
  <r>
    <x v="11"/>
    <x v="3"/>
    <s v="COLCHÃO M.E."/>
    <s v="DIRETO"/>
    <x v="28"/>
    <s v="NADA"/>
    <s v="CHILE"/>
    <n v="54121"/>
    <n v="2000"/>
    <s v="2860008 TP ML GRAY WINDOW 380G 2,20L DIVERSAS U"/>
    <s v="COMERCIALIZADORA SL SUNLOCK LTDA"/>
    <s v="EX"/>
    <s v="COLCHAO ME"/>
    <m/>
    <s v="DIRETO"/>
    <n v="45527"/>
    <m/>
    <m/>
    <n v="29452.26"/>
    <s v="MT "/>
    <n v="380"/>
    <m/>
    <n v="1026"/>
    <m/>
    <m/>
    <m/>
    <m/>
    <m/>
    <m/>
    <m/>
    <m/>
    <m/>
    <m/>
    <m/>
    <s v="COMERCIALIZADORA SL SUNLOCK LTDA"/>
    <s v="CARLOS FIDENCIO D AVALOS RUIZ JUNIOR 34496952823"/>
    <n v="28.705906432748538"/>
  </r>
  <r>
    <x v="11"/>
    <x v="3"/>
    <s v="COLCHÃO M.E."/>
    <s v="DIRETO"/>
    <x v="28"/>
    <s v="NADA"/>
    <s v="CHILE"/>
    <n v="54121"/>
    <n v="2536"/>
    <s v="2860012 TP ML HARMONY ME 440G 2,20L DIVERSAS U"/>
    <s v="COMERCIALIZADORA SL SUNLOCK LTDA"/>
    <s v="EX"/>
    <s v="COLCHAO ME"/>
    <m/>
    <s v="DIRETO"/>
    <n v="45527"/>
    <m/>
    <m/>
    <n v="36431.46"/>
    <s v="MT "/>
    <n v="440"/>
    <m/>
    <n v="1011"/>
    <m/>
    <m/>
    <m/>
    <m/>
    <m/>
    <m/>
    <m/>
    <m/>
    <m/>
    <m/>
    <m/>
    <s v="COMERCIALIZADORA SL SUNLOCK LTDA"/>
    <s v="CARLOS FIDENCIO D AVALOS RUIZ JUNIOR 34496952823"/>
    <n v="36.035074183976263"/>
  </r>
  <r>
    <x v="11"/>
    <x v="3"/>
    <s v="COLCHÃO M.E."/>
    <s v="DIRETO"/>
    <x v="28"/>
    <s v="NADA"/>
    <s v="CHILE"/>
    <n v="54121"/>
    <n v="3275"/>
    <s v="2860013 TP ML A09687 350G 2,20L DIVERSAS U"/>
    <s v="COMERCIALIZADORA SL SUNLOCK LTDA"/>
    <s v="EX"/>
    <s v="COLCHAO ME"/>
    <m/>
    <s v="DIRETO"/>
    <n v="45527"/>
    <m/>
    <m/>
    <n v="13556.18"/>
    <s v="MT "/>
    <n v="350"/>
    <m/>
    <n v="514"/>
    <m/>
    <m/>
    <m/>
    <m/>
    <m/>
    <m/>
    <m/>
    <m/>
    <m/>
    <m/>
    <m/>
    <s v="COMERCIALIZADORA SL SUNLOCK LTDA"/>
    <s v="CARLOS FIDENCIO D AVALOS RUIZ JUNIOR 34496952823"/>
    <n v="26.373891050583659"/>
  </r>
  <r>
    <x v="11"/>
    <x v="3"/>
    <s v="COLCHÃO M.E."/>
    <s v="DIRETO"/>
    <x v="28"/>
    <s v="NADA"/>
    <s v="CHILE"/>
    <n v="54121"/>
    <n v="3276"/>
    <s v="2860014 TP ML A09686 370G 2,20L DIVERSAS U"/>
    <s v="COMERCIALIZADORA SL SUNLOCK LTDA"/>
    <s v="EX"/>
    <s v="COLCHAO ME"/>
    <m/>
    <s v="DIRETO"/>
    <n v="45527"/>
    <m/>
    <m/>
    <n v="30362.74"/>
    <s v="MT "/>
    <n v="380"/>
    <m/>
    <n v="882"/>
    <m/>
    <m/>
    <m/>
    <m/>
    <m/>
    <m/>
    <m/>
    <m/>
    <m/>
    <m/>
    <m/>
    <s v="COMERCIALIZADORA SL SUNLOCK LTDA"/>
    <s v="CARLOS FIDENCIO D AVALOS RUIZ JUNIOR 34496952823"/>
    <n v="34.424875283446717"/>
  </r>
  <r>
    <x v="11"/>
    <x v="3"/>
    <s v="COLCHÃO M.E."/>
    <s v="DIRETO"/>
    <x v="28"/>
    <s v="NADA"/>
    <s v="CHILE"/>
    <n v="54121"/>
    <n v="3397"/>
    <s v="2860015 TP A09682 GRIS 2 370G 2,20L DV U"/>
    <s v="COMERCIALIZADORA SL SUNLOCK LTDA"/>
    <s v="EX"/>
    <s v="COLCHAO ME"/>
    <m/>
    <s v="DIRETO"/>
    <n v="45527"/>
    <m/>
    <m/>
    <n v="14205.26"/>
    <s v="MT "/>
    <n v="380"/>
    <m/>
    <n v="492"/>
    <m/>
    <m/>
    <m/>
    <m/>
    <m/>
    <m/>
    <m/>
    <m/>
    <m/>
    <m/>
    <m/>
    <s v="COMERCIALIZADORA SL SUNLOCK LTDA"/>
    <s v="CARLOS FIDENCIO D AVALOS RUIZ JUNIOR 34496952823"/>
    <n v="28.872479674796747"/>
  </r>
  <r>
    <x v="11"/>
    <x v="3"/>
    <s v="COLCHÃO M.E."/>
    <s v="DIRETO"/>
    <x v="28"/>
    <s v="NADA"/>
    <s v="CHILE"/>
    <n v="54121"/>
    <n v="1904"/>
    <s v="2860004-ME TP RETAS DEGRADE 450G 2,20L DIVERSAS U"/>
    <s v="COMERCIALIZADORA SL SUNLOCK LTDA"/>
    <s v="EX"/>
    <s v="COLCHAO ME"/>
    <m/>
    <s v="DIRETO"/>
    <n v="45527"/>
    <m/>
    <m/>
    <n v="11221.4"/>
    <s v="MT "/>
    <n v="450"/>
    <m/>
    <n v="470"/>
    <m/>
    <m/>
    <m/>
    <m/>
    <m/>
    <m/>
    <m/>
    <m/>
    <m/>
    <m/>
    <m/>
    <s v="COMERCIALIZADORA SL SUNLOCK LTDA"/>
    <s v="CARLOS FIDENCIO D AVALOS RUIZ JUNIOR 34496952823"/>
    <n v="23.875319148936171"/>
  </r>
  <r>
    <x v="11"/>
    <x v="3"/>
    <s v="COLCHÃO M.E."/>
    <s v="DIRETO"/>
    <x v="30"/>
    <s v="NADA"/>
    <s v="VENEZUELA"/>
    <n v="54252"/>
    <n v="3384"/>
    <s v="3390007 TP 0156032 280G 2,20L CLC7 DV U"/>
    <s v="CLC COLCHONES C.A."/>
    <s v="EX"/>
    <s v="COLCHAO ME"/>
    <m/>
    <s v="DIRETO"/>
    <n v="45534"/>
    <m/>
    <m/>
    <n v="19481.830000000002"/>
    <s v="MT "/>
    <n v="280"/>
    <m/>
    <n v="1192"/>
    <m/>
    <m/>
    <m/>
    <m/>
    <m/>
    <m/>
    <m/>
    <m/>
    <m/>
    <m/>
    <m/>
    <s v="CLC COLCHONES C.A."/>
    <s v="CARLOS FIDENCIO D AVALOS RUIZ JUNIOR 34496952823"/>
    <n v="16.343817114093962"/>
  </r>
  <r>
    <x v="11"/>
    <x v="3"/>
    <s v="COLCHÃO M.E."/>
    <s v="DIRETO"/>
    <x v="30"/>
    <s v="NADA"/>
    <s v="VENEZUELA"/>
    <n v="54252"/>
    <n v="3402"/>
    <s v="3390012 FX A09914 180G 2,10L CLC12 DV U"/>
    <s v="CLC COLCHONES C.A."/>
    <s v="EX"/>
    <s v="COLCHAO ME"/>
    <m/>
    <s v="DIRETO"/>
    <n v="45534"/>
    <m/>
    <m/>
    <n v="8845.0499999999993"/>
    <s v="MT "/>
    <n v="180"/>
    <m/>
    <n v="1154"/>
    <m/>
    <m/>
    <m/>
    <m/>
    <m/>
    <m/>
    <m/>
    <m/>
    <m/>
    <m/>
    <m/>
    <s v="CLC COLCHONES C.A."/>
    <s v="CARLOS FIDENCIO D AVALOS RUIZ JUNIOR 34496952823"/>
    <n v="7.6646880415944532"/>
  </r>
  <r>
    <x v="11"/>
    <x v="3"/>
    <s v="COLCHÃO M.E."/>
    <s v="DIRETO"/>
    <x v="30"/>
    <s v="NADA"/>
    <s v="VENEZUELA"/>
    <n v="54252"/>
    <n v="3401"/>
    <s v="3390011 TP A09908 180G 2,10L CLC11 DV U"/>
    <s v="CLC COLCHONES C.A."/>
    <s v="EX"/>
    <s v="COLCHAO ME"/>
    <m/>
    <s v="DIRETO"/>
    <n v="45534"/>
    <m/>
    <m/>
    <n v="7304.45"/>
    <s v="MT "/>
    <n v="180"/>
    <m/>
    <n v="953"/>
    <m/>
    <m/>
    <m/>
    <m/>
    <m/>
    <m/>
    <m/>
    <m/>
    <m/>
    <m/>
    <m/>
    <s v="CLC COLCHONES C.A."/>
    <s v="CARLOS FIDENCIO D AVALOS RUIZ JUNIOR 34496952823"/>
    <n v="7.6646904512067158"/>
  </r>
  <r>
    <x v="11"/>
    <x v="3"/>
    <s v="COLCHÃO M.E."/>
    <s v="DIRETO"/>
    <x v="30"/>
    <s v="NADA"/>
    <s v="VENEZUELA"/>
    <n v="54252"/>
    <n v="3400"/>
    <s v="3390010 TP 0354011 300G 2,20L CLC9 DV U"/>
    <s v="CLC COLCHONES C.A."/>
    <s v="EX"/>
    <s v="COLCHAO ME"/>
    <m/>
    <s v="DIRETO"/>
    <n v="45534"/>
    <m/>
    <m/>
    <n v="26685.29"/>
    <s v="MT "/>
    <n v="300"/>
    <m/>
    <n v="1308"/>
    <m/>
    <m/>
    <m/>
    <m/>
    <m/>
    <m/>
    <m/>
    <m/>
    <m/>
    <m/>
    <m/>
    <s v="CLC COLCHONES C.A."/>
    <s v="CARLOS FIDENCIO D AVALOS RUIZ JUNIOR 34496952823"/>
    <n v="20.401597859327218"/>
  </r>
  <r>
    <x v="11"/>
    <x v="3"/>
    <s v="COLCHÃO M.E."/>
    <s v="DIRETO"/>
    <x v="30"/>
    <s v="NADA"/>
    <s v="VENEZUELA"/>
    <n v="54252"/>
    <n v="3386"/>
    <s v="3390009 TP 0284003 180G 2,10L CLC10 DV U"/>
    <s v="CLC COLCHONES C.A."/>
    <s v="EX"/>
    <s v="COLCHAO ME"/>
    <m/>
    <s v="DIRETO"/>
    <n v="45534"/>
    <m/>
    <m/>
    <n v="10997.25"/>
    <s v="MT "/>
    <n v="180"/>
    <m/>
    <n v="2121"/>
    <m/>
    <m/>
    <m/>
    <m/>
    <m/>
    <m/>
    <m/>
    <m/>
    <m/>
    <m/>
    <m/>
    <s v="CLC COLCHONES C.A."/>
    <s v="CARLOS FIDENCIO D AVALOS RUIZ JUNIOR 34496952823"/>
    <n v="5.1849363507779351"/>
  </r>
  <r>
    <x v="11"/>
    <x v="3"/>
    <s v="COLCHÃO M.E."/>
    <s v="DIRETO"/>
    <x v="30"/>
    <s v="NADA"/>
    <s v="VENEZUELA"/>
    <n v="54252"/>
    <n v="3385"/>
    <s v="3390008 TP 0080001 260G 2,20L CLC8 DV U"/>
    <s v="CLC COLCHONES C.A."/>
    <s v="EX"/>
    <s v="COLCHAO ME"/>
    <m/>
    <s v="DIRETO"/>
    <n v="45534"/>
    <m/>
    <m/>
    <n v="12731.27"/>
    <s v="MT "/>
    <n v="260"/>
    <m/>
    <n v="1255"/>
    <m/>
    <m/>
    <m/>
    <m/>
    <m/>
    <m/>
    <m/>
    <m/>
    <m/>
    <m/>
    <m/>
    <s v="CLC COLCHONES C.A."/>
    <s v="CARLOS FIDENCIO D AVALOS RUIZ JUNIOR 34496952823"/>
    <n v="10.144438247011953"/>
  </r>
  <r>
    <x v="11"/>
    <x v="3"/>
    <s v="COLCHÃO M.E."/>
    <s v="DIRETO"/>
    <x v="30"/>
    <s v="NADA"/>
    <s v="VENEZUELA"/>
    <n v="54252"/>
    <n v="3357"/>
    <s v="3390001 TP 346001 180G 2,20L CLC1 DV U"/>
    <s v="CLC COLCHONES C.A."/>
    <s v="EX"/>
    <s v="COLCHAO ME"/>
    <m/>
    <s v="DIRETO"/>
    <n v="45534"/>
    <m/>
    <m/>
    <n v="18823.57"/>
    <s v="MT "/>
    <n v="180"/>
    <m/>
    <n v="2672"/>
    <m/>
    <m/>
    <m/>
    <m/>
    <m/>
    <m/>
    <m/>
    <m/>
    <m/>
    <m/>
    <m/>
    <s v="CLC COLCHONES C.A."/>
    <s v="CARLOS FIDENCIO D AVALOS RUIZ JUNIOR 34496952823"/>
    <n v="7.0447492514970058"/>
  </r>
  <r>
    <x v="11"/>
    <x v="3"/>
    <s v="COLCHÃO M.E."/>
    <s v="DIRETO"/>
    <x v="30"/>
    <s v="NADA"/>
    <s v="VENEZUELA"/>
    <n v="54252"/>
    <n v="3383"/>
    <s v="3390006 TP 0246031 260G 2,20L CLC6 DV U"/>
    <s v="CLC COLCHONES C.A."/>
    <s v="EX"/>
    <s v="COLCHAO ME"/>
    <m/>
    <s v="DIRETO"/>
    <n v="45534"/>
    <m/>
    <m/>
    <n v="27175.15"/>
    <s v="MT "/>
    <n v="260"/>
    <m/>
    <n v="2026"/>
    <m/>
    <m/>
    <m/>
    <m/>
    <m/>
    <m/>
    <m/>
    <m/>
    <m/>
    <m/>
    <m/>
    <s v="CLC COLCHONES C.A."/>
    <s v="CARLOS FIDENCIO D AVALOS RUIZ JUNIOR 34496952823"/>
    <n v="13.413203356367227"/>
  </r>
  <r>
    <x v="11"/>
    <x v="3"/>
    <s v="COLCHÃO M.E."/>
    <s v="DIRETO"/>
    <x v="30"/>
    <s v="NADA"/>
    <s v="VENEZUELA"/>
    <n v="54252"/>
    <n v="3382"/>
    <s v="3390005 TP 0143041 240G 2,20L CLC5 DV U"/>
    <s v="CLC COLCHONES C.A."/>
    <s v="EX"/>
    <s v="COLCHAO ME"/>
    <m/>
    <s v="DIRETO"/>
    <n v="45534"/>
    <m/>
    <m/>
    <n v="25455.11"/>
    <s v="MT "/>
    <n v="240"/>
    <m/>
    <n v="1981"/>
    <m/>
    <m/>
    <m/>
    <m/>
    <m/>
    <m/>
    <m/>
    <m/>
    <m/>
    <m/>
    <m/>
    <s v="CLC COLCHONES C.A."/>
    <s v="CARLOS FIDENCIO D AVALOS RUIZ JUNIOR 34496952823"/>
    <n v="12.849626451287229"/>
  </r>
  <r>
    <x v="11"/>
    <x v="3"/>
    <s v="COLCHÃO M.E."/>
    <s v="DIRETO"/>
    <x v="30"/>
    <s v="NADA"/>
    <s v="VENEZUELA"/>
    <n v="54252"/>
    <n v="3374"/>
    <s v="3390004 TP 240001 240G 2,10L CLC4 DV U"/>
    <s v="CLC COLCHONES C.A."/>
    <s v="EX"/>
    <s v="COLCHAO ME"/>
    <m/>
    <s v="DIRETO"/>
    <n v="45534"/>
    <m/>
    <m/>
    <n v="26714.37"/>
    <s v="MT "/>
    <n v="240"/>
    <m/>
    <n v="2079"/>
    <m/>
    <m/>
    <m/>
    <m/>
    <m/>
    <m/>
    <m/>
    <m/>
    <m/>
    <m/>
    <m/>
    <s v="CLC COLCHONES C.A."/>
    <s v="CARLOS FIDENCIO D AVALOS RUIZ JUNIOR 34496952823"/>
    <n v="12.84962481962482"/>
  </r>
  <r>
    <x v="11"/>
    <x v="3"/>
    <s v="COLCHÃO M.E."/>
    <s v="DIRETO"/>
    <x v="30"/>
    <s v="NADA"/>
    <s v="VENEZUELA"/>
    <n v="54252"/>
    <n v="3360"/>
    <s v="3390003 TP 269013 180G 2,10L CLC2 DV U"/>
    <s v="CLC COLCHONES C.A."/>
    <s v="EX"/>
    <s v="COLCHAO ME"/>
    <m/>
    <s v="DIRETO"/>
    <n v="45534"/>
    <m/>
    <m/>
    <n v="20944.04"/>
    <s v="MT "/>
    <n v="180"/>
    <m/>
    <n v="2973"/>
    <m/>
    <m/>
    <m/>
    <m/>
    <m/>
    <m/>
    <m/>
    <m/>
    <m/>
    <m/>
    <m/>
    <s v="CLC COLCHONES C.A."/>
    <s v="CARLOS FIDENCIO D AVALOS RUIZ JUNIOR 34496952823"/>
    <n v="7.0447494113689881"/>
  </r>
  <r>
    <x v="11"/>
    <x v="3"/>
    <s v="COLCHÃO M.E."/>
    <s v="DIRETO"/>
    <x v="30"/>
    <s v="NADA"/>
    <s v="VENEZUELA"/>
    <n v="54252"/>
    <n v="3358"/>
    <s v="3390002 TP 256033 180G 2,10L CLC3 DV U"/>
    <s v="CLC COLCHONES C.A."/>
    <s v="EX"/>
    <s v="COLCHAO ME"/>
    <m/>
    <s v="DIRETO"/>
    <n v="45534"/>
    <m/>
    <m/>
    <n v="23292.99"/>
    <s v="MT "/>
    <n v="180"/>
    <m/>
    <n v="3039"/>
    <m/>
    <m/>
    <m/>
    <m/>
    <m/>
    <m/>
    <m/>
    <m/>
    <m/>
    <m/>
    <m/>
    <s v="CLC COLCHONES C.A."/>
    <s v="CARLOS FIDENCIO D AVALOS RUIZ JUNIOR 34496952823"/>
    <n v="7.664689042448174"/>
  </r>
  <r>
    <x v="11"/>
    <x v="3"/>
    <s v="COLCHÃO M.E."/>
    <s v="DIRETO"/>
    <x v="1"/>
    <s v="NADA"/>
    <s v="URUGUAI"/>
    <n v="54260"/>
    <n v="2157"/>
    <s v="2540007 - ME TP DARK BRILHA 300G 2,20L DIVERSAS U"/>
    <s v="DIVINO COLCHONES"/>
    <s v="EX"/>
    <s v="COLCHAO ME"/>
    <m/>
    <s v="CONEXÃO MALHAS"/>
    <n v="45534"/>
    <m/>
    <m/>
    <n v="17967.04"/>
    <s v="MT "/>
    <n v="300"/>
    <m/>
    <n v="674"/>
    <m/>
    <m/>
    <m/>
    <m/>
    <m/>
    <m/>
    <m/>
    <m/>
    <m/>
    <m/>
    <m/>
    <s v="DIVINO S.A"/>
    <s v="CONEXAO MALHAS E DESENVOLVIMENTO LTDA"/>
    <n v="26.657329376854602"/>
  </r>
  <r>
    <x v="11"/>
    <x v="3"/>
    <s v="COLCHÃO M.E."/>
    <s v="DIRETO"/>
    <x v="1"/>
    <s v="NADA"/>
    <s v="URUGUAI"/>
    <n v="54260"/>
    <n v="2054"/>
    <s v="2540026 TP ML 0072051 - 280G 2,20L DEGRA DIVERSAS U"/>
    <s v="DIVINO COLCHONES"/>
    <s v="EX"/>
    <s v="COLCHAO ME"/>
    <m/>
    <s v="CONEXÃO MALHAS"/>
    <n v="45534"/>
    <m/>
    <m/>
    <n v="16500.11"/>
    <s v="MT "/>
    <n v="280"/>
    <m/>
    <n v="914.91600000000005"/>
    <m/>
    <m/>
    <m/>
    <m/>
    <m/>
    <m/>
    <m/>
    <m/>
    <m/>
    <m/>
    <m/>
    <s v="DIVINO S.A"/>
    <s v="CONEXAO MALHAS E DESENVOLVIMENTO LTDA"/>
    <n v="18.034562735813999"/>
  </r>
  <r>
    <x v="11"/>
    <x v="3"/>
    <s v="COLCHÃO M.E."/>
    <s v="DIRETO"/>
    <x v="1"/>
    <s v="NADA"/>
    <s v="URUGUAI"/>
    <n v="54260"/>
    <n v="1506"/>
    <s v="2540017 TP ML A08980 280G 2,10L DIVERSAS U"/>
    <s v="DIVINO COLCHONES"/>
    <s v="EX"/>
    <s v="COLCHAO ME"/>
    <m/>
    <s v="CONEXÃO MALHAS"/>
    <n v="45534"/>
    <m/>
    <m/>
    <n v="24321.29"/>
    <s v="MT "/>
    <n v="280"/>
    <m/>
    <n v="1233"/>
    <m/>
    <m/>
    <m/>
    <m/>
    <m/>
    <m/>
    <m/>
    <m/>
    <m/>
    <m/>
    <m/>
    <s v="DIVINO S.A"/>
    <s v="CONEXAO MALHAS E DESENVOLVIMENTO LTDA"/>
    <n v="19.725296025952961"/>
  </r>
  <r>
    <x v="11"/>
    <x v="3"/>
    <s v="COLCHÃO M.E."/>
    <s v="DIRETO"/>
    <x v="1"/>
    <s v="NADA"/>
    <s v="URUGUAI"/>
    <n v="54260"/>
    <n v="1525"/>
    <s v="2540022 TP ML FOLHAS IMAG 320G 2,10 DIVERSAS U"/>
    <s v="DIVINO COLCHONES"/>
    <s v="EX"/>
    <s v="COLCHAO ME"/>
    <m/>
    <s v="CONEXÃO MALHAS"/>
    <n v="45534"/>
    <m/>
    <m/>
    <n v="29065.85"/>
    <s v="MT "/>
    <n v="320"/>
    <m/>
    <n v="1368"/>
    <m/>
    <m/>
    <m/>
    <m/>
    <m/>
    <m/>
    <m/>
    <m/>
    <m/>
    <m/>
    <m/>
    <s v="DIVINO S.A"/>
    <s v="CONEXAO MALHAS E DESENVOLVIMENTO LTDA"/>
    <n v="21.246966374269004"/>
  </r>
  <r>
    <x v="11"/>
    <x v="3"/>
    <s v="COLCHÃO M.E."/>
    <s v="DIRETO"/>
    <x v="1"/>
    <s v="NADA"/>
    <s v="URUGUAI"/>
    <n v="54260"/>
    <n v="1236"/>
    <s v="2540005 TAMPO GEOMETRICO (A07370) DIVERSAS U"/>
    <s v="DIVINO COLCHONES"/>
    <s v="EX"/>
    <s v="COLCHAO ME"/>
    <m/>
    <s v="CONEXÃO MALHAS"/>
    <n v="45534"/>
    <m/>
    <m/>
    <n v="22269.86"/>
    <s v="MT "/>
    <n v="240"/>
    <m/>
    <n v="1129"/>
    <m/>
    <m/>
    <m/>
    <m/>
    <m/>
    <m/>
    <m/>
    <m/>
    <m/>
    <m/>
    <m/>
    <s v="DIVINO S.A"/>
    <s v="CONEXAO MALHAS E DESENVOLVIMENTO LTDA"/>
    <n v="19.72529672276351"/>
  </r>
  <r>
    <x v="11"/>
    <x v="3"/>
    <s v="COLCHÃO M.E."/>
    <s v="DIRETO"/>
    <x v="1"/>
    <s v="NADA"/>
    <s v="URUGUAI"/>
    <n v="54260"/>
    <n v="1225"/>
    <s v="2540012 TAMPO RASCUNHOS (A07820) DIVERSAS U"/>
    <s v="DIVINO COLCHONES"/>
    <s v="EX"/>
    <s v="COLCHAO ME"/>
    <m/>
    <s v="CONEXÃO MALHAS"/>
    <n v="45534"/>
    <m/>
    <m/>
    <n v="47904.04"/>
    <s v="MT "/>
    <n v="240"/>
    <m/>
    <n v="2871.6060000000002"/>
    <m/>
    <m/>
    <m/>
    <m/>
    <m/>
    <m/>
    <m/>
    <m/>
    <m/>
    <m/>
    <m/>
    <s v="DIVINO S.A"/>
    <s v="CONEXAO MALHAS E DESENVOLVIMENTO LTDA"/>
    <n v="16.681968208730584"/>
  </r>
  <r>
    <x v="11"/>
    <x v="3"/>
    <s v="COLCHÃO M.E."/>
    <s v="DIRETO"/>
    <x v="1"/>
    <s v="NADA"/>
    <s v="URUGUAI"/>
    <n v="54260"/>
    <n v="1504"/>
    <s v="2540018 TP ML DIV 7806 240G 2,10L DIVERSAS U"/>
    <s v="DIVINO COLCHONES"/>
    <s v="EX"/>
    <s v="COLCHAO ME"/>
    <m/>
    <s v="CONEXÃO MALHAS"/>
    <n v="45534"/>
    <m/>
    <m/>
    <n v="11860.88"/>
    <s v="MT "/>
    <n v="240"/>
    <m/>
    <n v="711"/>
    <m/>
    <m/>
    <m/>
    <m/>
    <m/>
    <m/>
    <m/>
    <m/>
    <m/>
    <m/>
    <m/>
    <s v="DIVINO S.A"/>
    <s v="CONEXAO MALHAS E DESENVOLVIMENTO LTDA"/>
    <n v="16.68196905766526"/>
  </r>
  <r>
    <x v="11"/>
    <x v="3"/>
    <s v="COLCHÃO M.E."/>
    <s v="DIRETO"/>
    <x v="1"/>
    <s v="NADA"/>
    <s v="URUGUAI"/>
    <n v="54261"/>
    <n v="1523"/>
    <s v="32282 - TELA ANTIDESLIZANTE DIVERSAS U"/>
    <s v="DIVINO COLCHONES"/>
    <s v="EX"/>
    <s v="COLCHAO ME"/>
    <m/>
    <s v="CONEXÃO MALHAS"/>
    <n v="45534"/>
    <m/>
    <m/>
    <n v="8833.44"/>
    <s v="MT "/>
    <m/>
    <m/>
    <n v="1038"/>
    <m/>
    <m/>
    <m/>
    <m/>
    <m/>
    <m/>
    <m/>
    <m/>
    <m/>
    <m/>
    <m/>
    <s v="DIVINO S.A"/>
    <s v="CONEXAO MALHAS E DESENVOLVIMENTO LTDA"/>
    <n v="8.5100578034682091"/>
  </r>
  <r>
    <x v="11"/>
    <x v="3"/>
    <s v="COLCHÃO M.E."/>
    <s v="DIRETO"/>
    <x v="1"/>
    <s v="NADA"/>
    <s v="URUGUAI"/>
    <n v="54261"/>
    <n v="1905"/>
    <s v="2540019 NUEVO GALHOS 3 V02 (1922) - TOL DIVERSAS U"/>
    <s v="DIVINO COLCHONES"/>
    <s v="EX"/>
    <s v="COLCHAO ME"/>
    <m/>
    <s v="CONEXÃO MALHAS"/>
    <n v="45534"/>
    <m/>
    <m/>
    <n v="10414.959999999999"/>
    <s v="MT "/>
    <m/>
    <m/>
    <n v="1155"/>
    <m/>
    <m/>
    <m/>
    <m/>
    <m/>
    <m/>
    <m/>
    <m/>
    <m/>
    <m/>
    <m/>
    <s v="DIVINO S.A"/>
    <s v="CONEXAO MALHAS E DESENVOLVIMENTO LTDA"/>
    <n v="9.0172813852813842"/>
  </r>
  <r>
    <x v="11"/>
    <x v="3"/>
    <s v="COLCHÃO M.E."/>
    <s v="DIRETO"/>
    <x v="1"/>
    <s v="NADA"/>
    <s v="URUGUAI"/>
    <n v="54261"/>
    <n v="1523"/>
    <s v="32282 - TELA ANTIDESLIZANTE DIVERSAS U"/>
    <s v="DIVINO COLCHONES"/>
    <s v="EX"/>
    <s v="COLCHAO ME"/>
    <m/>
    <s v="CONEXÃO MALHAS"/>
    <n v="45534"/>
    <m/>
    <m/>
    <n v="2501.96"/>
    <s v="MT "/>
    <m/>
    <m/>
    <n v="294"/>
    <m/>
    <m/>
    <m/>
    <m/>
    <m/>
    <m/>
    <m/>
    <m/>
    <m/>
    <m/>
    <m/>
    <s v="DIVINO S.A"/>
    <s v="CONEXAO MALHAS E DESENVOLVIMENTO LTDA"/>
    <n v="8.5100680272108846"/>
  </r>
  <r>
    <x v="3"/>
    <x v="3"/>
    <s v="COLCHÃO M.E."/>
    <s v="DIRETO"/>
    <x v="1"/>
    <s v="NADA"/>
    <s v="URUGUAI"/>
    <n v="54306"/>
    <n v="1504"/>
    <s v="2540018 TP ML DIV 7806 240G 2,10L DIVERSAS U"/>
    <s v="DIVINO COLCHONES"/>
    <s v="EX"/>
    <s v="COLCHAO ME"/>
    <m/>
    <s v="DIRETO"/>
    <n v="45537"/>
    <m/>
    <m/>
    <n v="14950.92"/>
    <s v="MT "/>
    <n v="240"/>
    <m/>
    <n v="893"/>
    <m/>
    <m/>
    <m/>
    <m/>
    <m/>
    <m/>
    <m/>
    <m/>
    <m/>
    <m/>
    <m/>
    <s v="DIVINO S.A"/>
    <s v="CONEXAO MALHAS E DESENVOLVIMENTO LTDA"/>
    <n v="16.742351623740202"/>
  </r>
  <r>
    <x v="3"/>
    <x v="3"/>
    <s v="COLCHÃO M.E."/>
    <s v="DIRETO"/>
    <x v="24"/>
    <s v="NADA"/>
    <s v="EQUADOR"/>
    <n v="54419"/>
    <n v="2582"/>
    <s v="3260001 TP PARAISO PREMIUM 240G 2,20L DIVERSAS U"/>
    <s v="PRODUCTOS PARAISO DEL ECUADOR"/>
    <s v="EX"/>
    <s v="COLCHAO ME"/>
    <m/>
    <s v="DIRETO"/>
    <n v="45544"/>
    <m/>
    <m/>
    <n v="7771.54"/>
    <s v="MT "/>
    <n v="240"/>
    <m/>
    <n v="640"/>
    <m/>
    <m/>
    <m/>
    <m/>
    <m/>
    <m/>
    <m/>
    <m/>
    <m/>
    <m/>
    <m/>
    <s v="PRODUCTOS PARAISO DEL ECUADOR"/>
    <s v="CARLOS FIDENCIO D AVALOS RUIZ JUNIOR 34496952823"/>
    <n v="12.14303125"/>
  </r>
  <r>
    <x v="3"/>
    <x v="3"/>
    <s v="COLCHÃO M.E."/>
    <s v="DIRETO"/>
    <x v="24"/>
    <s v="NADA"/>
    <s v="EQUADOR"/>
    <n v="54419"/>
    <n v="2941"/>
    <s v="3260003-ME PARAISO DEL 320G 2,20L DIVERSAS U"/>
    <s v="PRODUCTOS PARAISO DEL ECUADOR"/>
    <s v="EX"/>
    <s v="COLCHAO ME"/>
    <m/>
    <s v="DIRETO"/>
    <n v="45544"/>
    <m/>
    <m/>
    <n v="6349.92"/>
    <s v="MT "/>
    <n v="320"/>
    <m/>
    <n v="202"/>
    <m/>
    <m/>
    <m/>
    <m/>
    <m/>
    <m/>
    <m/>
    <m/>
    <m/>
    <m/>
    <m/>
    <s v="PRODUCTOS PARAISO DEL ECUADOR"/>
    <s v="CARLOS FIDENCIO D AVALOS RUIZ JUNIOR 34496952823"/>
    <n v="31.435247524752477"/>
  </r>
  <r>
    <x v="3"/>
    <x v="3"/>
    <s v="COLCHÃO M.E."/>
    <s v="DIRETO"/>
    <x v="29"/>
    <s v="NADA"/>
    <s v="COLOMBIA"/>
    <n v="54429"/>
    <n v="3334"/>
    <s v="3380001 TP ML A09874 260G 2,20L DV U"/>
    <s v="ESPUMAS PLASTICAS SAS - COMODISIMO"/>
    <s v="EX"/>
    <s v="COLCHAO ME"/>
    <m/>
    <s v="DIRETO"/>
    <n v="45545"/>
    <m/>
    <m/>
    <n v="113794.25"/>
    <s v="MT "/>
    <n v="260"/>
    <m/>
    <n v="10402.700000000001"/>
    <m/>
    <m/>
    <m/>
    <m/>
    <m/>
    <m/>
    <m/>
    <m/>
    <m/>
    <m/>
    <m/>
    <s v="ESPUMAS PLASTICAS SAS - COMODISIMO"/>
    <s v="CARLOS FIDENCIO D AVALOS RUIZ JUNIOR 34496952823"/>
    <n v="10.938914897094023"/>
  </r>
  <r>
    <x v="3"/>
    <x v="3"/>
    <s v="COLCHÃO M.E."/>
    <s v="DIRETO"/>
    <x v="24"/>
    <s v="NADA"/>
    <s v="EQUADOR"/>
    <n v="54542"/>
    <n v="3516"/>
    <s v="0274011 TP ME AMOSTR DV U"/>
    <s v="PRODUCTOS PARAISO DEL ECUADOR"/>
    <s v="EX"/>
    <s v="COLCHAO ME"/>
    <m/>
    <s v="DIRETO"/>
    <n v="45551"/>
    <m/>
    <m/>
    <n v="170.49"/>
    <s v="MT "/>
    <n v="240"/>
    <m/>
    <n v="17"/>
    <m/>
    <m/>
    <m/>
    <m/>
    <m/>
    <m/>
    <m/>
    <m/>
    <m/>
    <m/>
    <m/>
    <s v="PRODUCTOS PARAISO DEL ECUADOR"/>
    <s v="CARLOS FIDENCIO D AVALOS RUIZ JUNIOR 34496952823"/>
    <n v="10.028823529411765"/>
  </r>
  <r>
    <x v="3"/>
    <x v="3"/>
    <s v="COLCHÃO M.E."/>
    <s v="DIRETO"/>
    <x v="24"/>
    <s v="NADA"/>
    <s v="EQUADOR"/>
    <n v="54542"/>
    <n v="3517"/>
    <s v="A09863 TP ME AMOSTR DV U"/>
    <s v="PRODUCTOS PARAISO DEL ECUADOR"/>
    <s v="EX"/>
    <s v="COLCHAO ME"/>
    <m/>
    <s v="DIRETO"/>
    <n v="45551"/>
    <m/>
    <m/>
    <n v="120.35"/>
    <s v="MT "/>
    <n v="220"/>
    <m/>
    <n v="12"/>
    <m/>
    <m/>
    <m/>
    <m/>
    <m/>
    <m/>
    <m/>
    <m/>
    <m/>
    <m/>
    <m/>
    <s v="PRODUCTOS PARAISO DEL ECUADOR"/>
    <s v="CARLOS FIDENCIO D AVALOS RUIZ JUNIOR 34496952823"/>
    <n v="10.029166666666667"/>
  </r>
  <r>
    <x v="3"/>
    <x v="3"/>
    <s v="COLCHÃO M.E."/>
    <s v="DIRETO"/>
    <x v="24"/>
    <s v="NADA"/>
    <s v="EQUADOR"/>
    <n v="54542"/>
    <n v="3522"/>
    <s v="0367003 TP ME AMOSTR DV U"/>
    <s v="PRODUCTOS PARAISO DEL ECUADOR"/>
    <s v="EX"/>
    <s v="COLCHAO ME"/>
    <m/>
    <s v="DIRETO"/>
    <n v="45551"/>
    <m/>
    <m/>
    <n v="100.29"/>
    <s v="MT "/>
    <n v="160"/>
    <m/>
    <n v="10"/>
    <m/>
    <m/>
    <m/>
    <m/>
    <m/>
    <m/>
    <m/>
    <m/>
    <m/>
    <m/>
    <m/>
    <s v="PRODUCTOS PARAISO DEL ECUADOR"/>
    <s v="CARLOS FIDENCIO D AVALOS RUIZ JUNIOR 34496952823"/>
    <n v="10.029"/>
  </r>
  <r>
    <x v="3"/>
    <x v="3"/>
    <s v="COLCHÃO M.E."/>
    <s v="DIRETO"/>
    <x v="24"/>
    <s v="NADA"/>
    <s v="EQUADOR"/>
    <n v="54542"/>
    <n v="3524"/>
    <s v="0368003 TP ME AMOSTR DV U"/>
    <s v="PRODUCTOS PARAISO DEL ECUADOR"/>
    <s v="EX"/>
    <s v="COLCHAO ME"/>
    <m/>
    <s v="DIRETO"/>
    <n v="45551"/>
    <m/>
    <m/>
    <n v="501.45"/>
    <s v="MT "/>
    <n v="160"/>
    <m/>
    <n v="10"/>
    <m/>
    <m/>
    <m/>
    <m/>
    <m/>
    <m/>
    <m/>
    <m/>
    <m/>
    <m/>
    <m/>
    <s v="PRODUCTOS PARAISO DEL ECUADOR"/>
    <s v="CARLOS FIDENCIO D AVALOS RUIZ JUNIOR 34496952823"/>
    <n v="50.144999999999996"/>
  </r>
  <r>
    <x v="3"/>
    <x v="3"/>
    <s v="COLCHÃO M.E."/>
    <s v="DIRETO"/>
    <x v="24"/>
    <s v="NADA"/>
    <s v="EQUADOR"/>
    <n v="54709"/>
    <n v="2950"/>
    <s v="3260005-PL ME 180G 2,10L DIVERSAS U"/>
    <s v="PRODUCTOS PARAISO DEL ECUADOR"/>
    <s v="EX"/>
    <s v="COLCHAO ME"/>
    <m/>
    <s v="DIRETO"/>
    <n v="45558"/>
    <m/>
    <m/>
    <n v="4878.04"/>
    <s v="MT "/>
    <n v="180"/>
    <m/>
    <n v="506"/>
    <m/>
    <m/>
    <m/>
    <m/>
    <m/>
    <m/>
    <m/>
    <m/>
    <m/>
    <m/>
    <m/>
    <s v="PRODUCTOS PARAISO DEL ECUADOR"/>
    <s v="CARLOS FIDENCIO D AVALOS RUIZ JUNIOR 34496952823"/>
    <n v="9.6403952569169959"/>
  </r>
  <r>
    <x v="3"/>
    <x v="3"/>
    <s v="COLCHÃO M.E."/>
    <s v="DIRETO"/>
    <x v="24"/>
    <s v="NADA"/>
    <s v="EQUADOR"/>
    <n v="54709"/>
    <n v="3399"/>
    <s v="3260013 BANDA ORIGENES 200G 2,20L DV U"/>
    <s v="PRODUCTOS PARAISO DEL ECUADOR"/>
    <s v="EX"/>
    <s v="COLCHAO ME"/>
    <m/>
    <s v="DIRETO"/>
    <n v="45558"/>
    <m/>
    <m/>
    <n v="10543.91"/>
    <s v="MT "/>
    <n v="200"/>
    <m/>
    <n v="939"/>
    <m/>
    <m/>
    <m/>
    <m/>
    <m/>
    <m/>
    <m/>
    <m/>
    <m/>
    <m/>
    <m/>
    <s v="PRODUCTOS PARAISO DEL ECUADOR"/>
    <s v="CARLOS FIDENCIO D AVALOS RUIZ JUNIOR 34496952823"/>
    <n v="11.228871139510117"/>
  </r>
  <r>
    <x v="3"/>
    <x v="3"/>
    <s v="COLCHÃO M.E."/>
    <s v="DIRETO"/>
    <x v="24"/>
    <s v="NADA"/>
    <s v="EQUADOR"/>
    <n v="54709"/>
    <n v="3398"/>
    <s v="3260014 TELA ORIGENES 240G 2,20L DV U"/>
    <s v="PRODUCTOS PARAISO DEL ECUADOR"/>
    <s v="EX"/>
    <s v="COLCHAO ME"/>
    <m/>
    <s v="DIRETO"/>
    <n v="45558"/>
    <m/>
    <m/>
    <n v="30564.45"/>
    <s v="MT "/>
    <n v="240"/>
    <m/>
    <n v="2232"/>
    <m/>
    <m/>
    <m/>
    <m/>
    <m/>
    <m/>
    <m/>
    <m/>
    <m/>
    <m/>
    <m/>
    <s v="PRODUCTOS PARAISO DEL ECUADOR"/>
    <s v="CARLOS FIDENCIO D AVALOS RUIZ JUNIOR 34496952823"/>
    <n v="13.69375"/>
  </r>
  <r>
    <x v="3"/>
    <x v="3"/>
    <s v="COLCHÃO M.E."/>
    <s v="DIRETO"/>
    <x v="24"/>
    <s v="NADA"/>
    <s v="EQUADOR"/>
    <n v="54709"/>
    <n v="3152"/>
    <s v="3260012 TP 334003 160G 2,10L DIVERSAS U"/>
    <s v="PRODUCTOS PARAISO DEL ECUADOR"/>
    <s v="EX"/>
    <s v="COLCHAO ME"/>
    <m/>
    <s v="DIRETO"/>
    <n v="45558"/>
    <m/>
    <m/>
    <n v="3295.81"/>
    <s v="MT "/>
    <n v="160"/>
    <m/>
    <n v="547"/>
    <m/>
    <m/>
    <m/>
    <m/>
    <m/>
    <m/>
    <m/>
    <m/>
    <m/>
    <m/>
    <m/>
    <s v="PRODUCTOS PARAISO DEL ECUADOR"/>
    <s v="CARLOS FIDENCIO D AVALOS RUIZ JUNIOR 34496952823"/>
    <n v="6.025246800731261"/>
  </r>
  <r>
    <x v="3"/>
    <x v="3"/>
    <s v="COLCHÃO M.E."/>
    <s v="DIRETO"/>
    <x v="24"/>
    <s v="NADA"/>
    <s v="EQUADOR"/>
    <n v="54709"/>
    <n v="3128"/>
    <s v="3260010 TP HOJA DE BAMBU 280G 2,10L DIVERSAS U"/>
    <s v="PRODUCTOS PARAISO DEL ECUADOR"/>
    <s v="EX"/>
    <s v="COLCHAO ME"/>
    <m/>
    <s v="DIRETO"/>
    <n v="45558"/>
    <m/>
    <m/>
    <n v="17270.560000000001"/>
    <s v="MT "/>
    <n v="280"/>
    <m/>
    <n v="1051"/>
    <m/>
    <m/>
    <m/>
    <m/>
    <m/>
    <m/>
    <m/>
    <m/>
    <m/>
    <m/>
    <m/>
    <s v="PRODUCTOS PARAISO DEL ECUADOR"/>
    <s v="CARLOS FIDENCIO D AVALOS RUIZ JUNIOR 34496952823"/>
    <n v="16.432502378686966"/>
  </r>
  <r>
    <x v="3"/>
    <x v="3"/>
    <s v="COLCHÃO M.E."/>
    <s v="DIRETO"/>
    <x v="24"/>
    <s v="NADA"/>
    <s v="EQUADOR"/>
    <n v="54709"/>
    <n v="2951"/>
    <s v="3260007-ME 280G 2,20L DIVERSAS U"/>
    <s v="PRODUCTOS PARAISO DEL ECUADOR"/>
    <s v="EX"/>
    <s v="COLCHAO ME"/>
    <m/>
    <s v="DIRETO"/>
    <n v="45558"/>
    <m/>
    <m/>
    <n v="946.73"/>
    <s v="MT "/>
    <n v="280"/>
    <m/>
    <n v="58"/>
    <m/>
    <m/>
    <m/>
    <m/>
    <m/>
    <m/>
    <m/>
    <m/>
    <m/>
    <m/>
    <m/>
    <s v="PRODUCTOS PARAISO DEL ECUADOR"/>
    <s v="CARLOS FIDENCIO D AVALOS RUIZ JUNIOR 34496952823"/>
    <n v="16.32293103448276"/>
  </r>
  <r>
    <x v="3"/>
    <x v="3"/>
    <s v="COLCHÃO M.E."/>
    <s v="DIRETO"/>
    <x v="24"/>
    <s v="NADA"/>
    <s v="EQUADOR"/>
    <n v="54709"/>
    <n v="2582"/>
    <s v="3260001 TP PARAISO PREMIUM 240G 2,20L DIVERSAS U"/>
    <s v="PRODUCTOS PARAISO DEL ECUADOR"/>
    <s v="EX"/>
    <s v="COLCHAO ME"/>
    <m/>
    <s v="DIRETO"/>
    <n v="45558"/>
    <m/>
    <m/>
    <n v="7498.92"/>
    <s v="MT "/>
    <n v="240"/>
    <m/>
    <n v="628"/>
    <m/>
    <m/>
    <m/>
    <m/>
    <m/>
    <m/>
    <m/>
    <m/>
    <m/>
    <m/>
    <m/>
    <s v="PRODUCTOS PARAISO DEL ECUADOR"/>
    <s v="CARLOS FIDENCIO D AVALOS RUIZ JUNIOR 34496952823"/>
    <n v="11.940955414012739"/>
  </r>
  <r>
    <x v="3"/>
    <x v="3"/>
    <s v="COLCHÃO M.E."/>
    <s v="DIRETO"/>
    <x v="24"/>
    <s v="NADA"/>
    <s v="EQUADOR"/>
    <n v="54709"/>
    <n v="2950"/>
    <s v="3260005-PL ME 180G 2,10L DIVERSAS U"/>
    <s v="PRODUCTOS PARAISO DEL ECUADOR"/>
    <s v="EX"/>
    <s v="COLCHAO ME"/>
    <m/>
    <s v="DIRETO"/>
    <n v="45558"/>
    <m/>
    <m/>
    <n v="443.46"/>
    <s v="MT "/>
    <n v="180"/>
    <m/>
    <n v="46"/>
    <m/>
    <m/>
    <m/>
    <m/>
    <m/>
    <m/>
    <m/>
    <m/>
    <m/>
    <m/>
    <m/>
    <s v="PRODUCTOS PARAISO DEL ECUADOR"/>
    <s v="CARLOS FIDENCIO D AVALOS RUIZ JUNIOR 34496952823"/>
    <n v="9.6404347826086951"/>
  </r>
  <r>
    <x v="3"/>
    <x v="3"/>
    <s v="COLCHÃO M.E."/>
    <s v="DIRETO"/>
    <x v="24"/>
    <s v="NADA"/>
    <s v="EQUADOR"/>
    <n v="54709"/>
    <n v="2942"/>
    <s v="3260004-ME PARAISO 260G 2,20L DIVERSAS U"/>
    <s v="PRODUCTOS PARAISO DEL ECUADOR"/>
    <s v="EX"/>
    <s v="COLCHAO ME"/>
    <m/>
    <s v="DIRETO"/>
    <n v="45558"/>
    <m/>
    <m/>
    <n v="18884.23"/>
    <s v="MT "/>
    <n v="260"/>
    <m/>
    <n v="1020"/>
    <m/>
    <m/>
    <m/>
    <m/>
    <m/>
    <m/>
    <m/>
    <m/>
    <m/>
    <m/>
    <m/>
    <s v="PRODUCTOS PARAISO DEL ECUADOR"/>
    <s v="CARLOS FIDENCIO D AVALOS RUIZ JUNIOR 34496952823"/>
    <n v="18.513950980392156"/>
  </r>
  <r>
    <x v="3"/>
    <x v="3"/>
    <s v="COLCHÃO M.E."/>
    <s v="DIRETO"/>
    <x v="24"/>
    <s v="NADA"/>
    <s v="EQUADOR"/>
    <n v="54709"/>
    <n v="2942"/>
    <s v="3260004-ME PARAISO 260G 2,20L DIVERSAS U"/>
    <s v="PRODUCTOS PARAISO DEL ECUADOR"/>
    <s v="EX"/>
    <s v="COLCHAO ME"/>
    <m/>
    <s v="DIRETO"/>
    <n v="45558"/>
    <m/>
    <m/>
    <n v="8553.44"/>
    <s v="MT "/>
    <n v="260"/>
    <m/>
    <n v="462"/>
    <m/>
    <m/>
    <m/>
    <m/>
    <m/>
    <m/>
    <m/>
    <m/>
    <m/>
    <m/>
    <m/>
    <s v="PRODUCTOS PARAISO DEL ECUADOR"/>
    <s v="CARLOS FIDENCIO D AVALOS RUIZ JUNIOR 34496952823"/>
    <n v="18.513939393939395"/>
  </r>
  <r>
    <x v="3"/>
    <x v="3"/>
    <s v="COLCHÃO M.E."/>
    <s v="DIRETO"/>
    <x v="24"/>
    <s v="NADA"/>
    <s v="EQUADOR"/>
    <n v="54709"/>
    <n v="2941"/>
    <s v="3260003-ME PARAISO DEL 320G 2,20L DIVERSAS U"/>
    <s v="PRODUCTOS PARAISO DEL ECUADOR"/>
    <s v="EX"/>
    <s v="COLCHAO ME"/>
    <m/>
    <s v="DIRETO"/>
    <n v="45558"/>
    <m/>
    <m/>
    <n v="23786.04"/>
    <s v="MT "/>
    <n v="320"/>
    <m/>
    <n v="1737"/>
    <m/>
    <m/>
    <m/>
    <m/>
    <m/>
    <m/>
    <m/>
    <m/>
    <m/>
    <m/>
    <m/>
    <s v="PRODUCTOS PARAISO DEL ECUADOR"/>
    <s v="CARLOS FIDENCIO D AVALOS RUIZ JUNIOR 34496952823"/>
    <n v="13.693747841105354"/>
  </r>
  <r>
    <x v="3"/>
    <x v="3"/>
    <s v="COLCHÃO M.E."/>
    <s v="DIRETO"/>
    <x v="24"/>
    <s v="NADA"/>
    <s v="EQUADOR"/>
    <n v="54709"/>
    <n v="2582"/>
    <s v="3260001 TP PARAISO PREMIUM 240G 2,20L DIVERSAS U"/>
    <s v="PRODUCTOS PARAISO DEL ECUADOR"/>
    <s v="EX"/>
    <s v="COLCHAO ME"/>
    <m/>
    <s v="DIRETO"/>
    <n v="45558"/>
    <m/>
    <m/>
    <n v="45865.19"/>
    <s v="MT "/>
    <n v="240"/>
    <m/>
    <n v="3841"/>
    <m/>
    <m/>
    <m/>
    <m/>
    <m/>
    <m/>
    <m/>
    <m/>
    <m/>
    <m/>
    <m/>
    <s v="PRODUCTOS PARAISO DEL ECUADOR"/>
    <s v="CARLOS FIDENCIO D AVALOS RUIZ JUNIOR 34496952823"/>
    <n v="11.940950273366312"/>
  </r>
  <r>
    <x v="3"/>
    <x v="3"/>
    <s v="COLCHÃO M.E."/>
    <s v="DIRETO"/>
    <x v="16"/>
    <s v="NADA"/>
    <s v="BOLIVIA"/>
    <n v="54855"/>
    <n v="2206"/>
    <s v="3370005 TP ML BOL 180G 2,20L DIVERSAS U"/>
    <s v="DAVID MORENO VISCARRA"/>
    <s v="EX"/>
    <s v="COLCHAO ME"/>
    <m/>
    <s v="DIRETO"/>
    <n v="45565"/>
    <m/>
    <m/>
    <n v="19192.91"/>
    <s v="MT "/>
    <n v="180"/>
    <m/>
    <n v="1906"/>
    <m/>
    <m/>
    <m/>
    <m/>
    <m/>
    <m/>
    <m/>
    <m/>
    <m/>
    <m/>
    <m/>
    <s v="DAVID MORENO VISCARRA"/>
    <s v="CARLOS FIDENCIO D AVALOS RUIZ JUNIOR 34496952823"/>
    <n v="10.069732423924449"/>
  </r>
  <r>
    <x v="3"/>
    <x v="3"/>
    <s v="COLCHÃO M.E."/>
    <s v="DIRETO"/>
    <x v="16"/>
    <s v="NADA"/>
    <s v="BOLIVIA"/>
    <n v="54855"/>
    <n v="2210"/>
    <s v="3370009 TP ML BOOK 180G 2,10L DIVERSAS U"/>
    <s v="DAVID MORENO VISCARRA"/>
    <s v="EX"/>
    <s v="COLCHAO ME"/>
    <m/>
    <s v="DIRETO"/>
    <n v="45565"/>
    <m/>
    <m/>
    <n v="15357.71"/>
    <s v="MT "/>
    <n v="180"/>
    <m/>
    <n v="1485"/>
    <m/>
    <m/>
    <m/>
    <m/>
    <m/>
    <m/>
    <m/>
    <m/>
    <m/>
    <m/>
    <m/>
    <s v="DAVID MORENO VISCARRA"/>
    <s v="CARLOS FIDENCIO D AVALOS RUIZ JUNIOR 34496952823"/>
    <n v="10.341892255892255"/>
  </r>
  <r>
    <x v="3"/>
    <x v="3"/>
    <s v="COLCHÃO M.E."/>
    <s v="DIRETO"/>
    <x v="16"/>
    <s v="NADA"/>
    <s v="BOLIVIA"/>
    <n v="54858"/>
    <n v="3439"/>
    <s v="CETIM/76 COR 51 33%PES 67%PP DV U"/>
    <s v="DAVID MORENO VISCARRA"/>
    <s v="EX"/>
    <s v="COLCHAO ME"/>
    <m/>
    <s v="DIRETO"/>
    <n v="45565"/>
    <m/>
    <m/>
    <n v="13771.04"/>
    <s v="UN "/>
    <m/>
    <m/>
    <n v="1012"/>
    <m/>
    <m/>
    <m/>
    <m/>
    <m/>
    <m/>
    <m/>
    <m/>
    <m/>
    <m/>
    <m/>
    <s v="DAVID MORENO VISCARRA"/>
    <s v="CARLOS FIDENCIO D AVALOS RUIZ JUNIOR 34496952823"/>
    <n v="13.607747035573123"/>
  </r>
  <r>
    <x v="3"/>
    <x v="3"/>
    <s v="COLCHÃO M.E."/>
    <s v="DIRETO"/>
    <x v="1"/>
    <s v="NADA"/>
    <s v="URUGUAI"/>
    <n v="54861"/>
    <n v="1523"/>
    <s v="32282 - TELA ANTIDESLIZANTE DIVERSAS U"/>
    <s v="DIVINO COLCHONES"/>
    <s v="EX"/>
    <s v="COLCHAO ME"/>
    <m/>
    <s v="CONEXÃO MALHAS"/>
    <n v="45565"/>
    <m/>
    <m/>
    <n v="8671.1299999999992"/>
    <s v="MT "/>
    <m/>
    <m/>
    <n v="1055"/>
    <m/>
    <m/>
    <m/>
    <m/>
    <m/>
    <m/>
    <m/>
    <m/>
    <m/>
    <m/>
    <m/>
    <s v="DIVINO S.A"/>
    <s v="CONEXAO MALHAS E DESENVOLVIMENTO LTDA"/>
    <n v="8.2190805687203792"/>
  </r>
  <r>
    <x v="3"/>
    <x v="3"/>
    <s v="COLCHÃO M.E."/>
    <s v="DIRETO"/>
    <x v="18"/>
    <s v="NADA"/>
    <s v="URUGUAI"/>
    <n v="54859"/>
    <n v="3511"/>
    <s v="3030066 TP ML 94001 200G 2,20L DV U"/>
    <s v="COLCHONES POLYMAX"/>
    <s v="EX"/>
    <s v="COLCHAO ME"/>
    <m/>
    <s v="DIRETO"/>
    <n v="45565"/>
    <m/>
    <m/>
    <n v="11218.23"/>
    <s v="MT "/>
    <n v="200"/>
    <m/>
    <n v="1374"/>
    <m/>
    <m/>
    <m/>
    <m/>
    <m/>
    <m/>
    <m/>
    <m/>
    <m/>
    <m/>
    <m/>
    <s v="COLCHONES POLYMAX"/>
    <s v="CARLOS FIDENCIO D AVALOS RUIZ JUNIOR 34496952823"/>
    <n v="8.1646506550218341"/>
  </r>
  <r>
    <x v="3"/>
    <x v="3"/>
    <s v="COLCHÃO M.E."/>
    <s v="DIRETO"/>
    <x v="18"/>
    <s v="NADA"/>
    <s v="URUGUAI"/>
    <n v="54859"/>
    <n v="3506"/>
    <s v="3030062 TP ML 243003 180G 2,10L DV U"/>
    <s v="COLCHONES POLYMAX"/>
    <s v="EX"/>
    <s v="COLCHAO ME"/>
    <m/>
    <s v="DIRETO"/>
    <n v="45565"/>
    <m/>
    <m/>
    <n v="5939.08"/>
    <s v="MT "/>
    <n v="180"/>
    <m/>
    <n v="593"/>
    <m/>
    <m/>
    <m/>
    <m/>
    <m/>
    <m/>
    <m/>
    <m/>
    <m/>
    <m/>
    <m/>
    <s v="COLCHONES POLYMAX"/>
    <s v="CARLOS FIDENCIO D AVALOS RUIZ JUNIOR 34496952823"/>
    <n v="10.01531197301855"/>
  </r>
  <r>
    <x v="3"/>
    <x v="3"/>
    <s v="COLCHÃO M.E."/>
    <s v="DIRETO"/>
    <x v="18"/>
    <s v="NADA"/>
    <s v="URUGUAI"/>
    <n v="54859"/>
    <n v="3505"/>
    <s v="3030061 TP ML A09957 180G 2,10L DV U"/>
    <s v="COLCHONES POLYMAX"/>
    <s v="EX"/>
    <s v="COLCHAO ME"/>
    <m/>
    <s v="DIRETO"/>
    <n v="45565"/>
    <m/>
    <m/>
    <n v="5800.17"/>
    <s v="MT "/>
    <n v="180"/>
    <m/>
    <n v="888"/>
    <m/>
    <m/>
    <m/>
    <m/>
    <m/>
    <m/>
    <m/>
    <m/>
    <m/>
    <m/>
    <m/>
    <s v="COLCHONES POLYMAX"/>
    <s v="CARLOS FIDENCIO D AVALOS RUIZ JUNIOR 34496952823"/>
    <n v="6.5317229729729727"/>
  </r>
  <r>
    <x v="3"/>
    <x v="3"/>
    <s v="COLCHÃO M.E."/>
    <s v="DIRETO"/>
    <x v="18"/>
    <s v="NADA"/>
    <s v="URUGUAI"/>
    <n v="54859"/>
    <n v="3504"/>
    <s v="3030060 TP ML A09956 180G 2,10L DV U"/>
    <s v="COLCHONES POLYMAX"/>
    <s v="EX"/>
    <s v="COLCHAO ME"/>
    <m/>
    <s v="DIRETO"/>
    <n v="45565"/>
    <m/>
    <m/>
    <n v="8262.6299999999992"/>
    <s v="MT "/>
    <n v="180"/>
    <m/>
    <n v="1012"/>
    <m/>
    <m/>
    <m/>
    <m/>
    <m/>
    <m/>
    <m/>
    <m/>
    <m/>
    <m/>
    <m/>
    <s v="COLCHONES POLYMAX"/>
    <s v="CARLOS FIDENCIO D AVALOS RUIZ JUNIOR 34496952823"/>
    <n v="8.1646541501976273"/>
  </r>
  <r>
    <x v="3"/>
    <x v="3"/>
    <s v="COLCHÃO M.E."/>
    <s v="DIRETO"/>
    <x v="18"/>
    <s v="NADA"/>
    <s v="URUGUAI"/>
    <n v="54859"/>
    <n v="3503"/>
    <s v="3030059 TP ML A09955 200G 2,10L DV U"/>
    <s v="COLCHONES POLYMAX"/>
    <s v="EX"/>
    <s v="COLCHAO ME"/>
    <m/>
    <s v="DIRETO"/>
    <n v="45565"/>
    <m/>
    <m/>
    <n v="9464.4599999999991"/>
    <s v="MT "/>
    <n v="200"/>
    <m/>
    <n v="966"/>
    <m/>
    <m/>
    <m/>
    <m/>
    <m/>
    <m/>
    <m/>
    <m/>
    <m/>
    <m/>
    <m/>
    <s v="COLCHONES POLYMAX"/>
    <s v="CARLOS FIDENCIO D AVALOS RUIZ JUNIOR 34496952823"/>
    <n v="9.7975776397515517"/>
  </r>
  <r>
    <x v="3"/>
    <x v="3"/>
    <s v="COLCHÃO M.E."/>
    <s v="DIRETO"/>
    <x v="18"/>
    <s v="NADA"/>
    <s v="URUGUAI"/>
    <n v="54859"/>
    <n v="3501"/>
    <s v="3030017 TP ML A09275 160G 2,10L DV U"/>
    <s v="COLCHONES POLYMAX"/>
    <s v="EX"/>
    <s v="COLCHAO ME"/>
    <m/>
    <s v="DIRETO"/>
    <n v="45565"/>
    <m/>
    <m/>
    <n v="5909.57"/>
    <s v="MT "/>
    <n v="160"/>
    <m/>
    <n v="517"/>
    <m/>
    <m/>
    <m/>
    <m/>
    <m/>
    <m/>
    <m/>
    <m/>
    <m/>
    <m/>
    <m/>
    <s v="COLCHONES POLYMAX"/>
    <s v="CARLOS FIDENCIO D AVALOS RUIZ JUNIOR 34496952823"/>
    <n v="11.430502901353965"/>
  </r>
  <r>
    <x v="3"/>
    <x v="3"/>
    <s v="COLCHÃO M.E."/>
    <s v="DIRETO"/>
    <x v="18"/>
    <s v="NADA"/>
    <s v="URUGUAI"/>
    <n v="54859"/>
    <n v="3148"/>
    <s v="3030056 TP 292012 180G 2,20L DIVERSAS U"/>
    <s v="COLCHONES POLYMAX"/>
    <s v="EX"/>
    <s v="COLCHAO ME"/>
    <m/>
    <s v="DIRETO"/>
    <n v="45565"/>
    <m/>
    <m/>
    <n v="27918.2"/>
    <s v="MT "/>
    <n v="180"/>
    <m/>
    <n v="2502"/>
    <m/>
    <m/>
    <m/>
    <m/>
    <m/>
    <m/>
    <m/>
    <m/>
    <m/>
    <m/>
    <m/>
    <s v="COLCHONES POLYMAX"/>
    <s v="CARLOS FIDENCIO D AVALOS RUIZ JUNIOR 34496952823"/>
    <n v="11.158353317346123"/>
  </r>
  <r>
    <x v="3"/>
    <x v="3"/>
    <s v="COLCHÃO M.E."/>
    <s v="DIRETO"/>
    <x v="18"/>
    <s v="NADA"/>
    <s v="URUGUAI"/>
    <n v="54859"/>
    <n v="3138"/>
    <s v="3030050 TP A06781 CAQUI 180G 2,10L DIVERSAS U"/>
    <s v="COLCHONES POLYMAX"/>
    <s v="EX"/>
    <s v="COLCHAO ME"/>
    <m/>
    <s v="DIRETO"/>
    <n v="45565"/>
    <m/>
    <m/>
    <n v="12689.5"/>
    <s v="MT "/>
    <n v="180"/>
    <m/>
    <n v="1227"/>
    <m/>
    <m/>
    <m/>
    <m/>
    <m/>
    <m/>
    <m/>
    <m/>
    <m/>
    <m/>
    <m/>
    <s v="COLCHONES POLYMAX"/>
    <s v="CARLOS FIDENCIO D AVALOS RUIZ JUNIOR 34496952823"/>
    <n v="10.341890790546048"/>
  </r>
  <r>
    <x v="3"/>
    <x v="3"/>
    <s v="COLCHÃO M.E."/>
    <s v="DIRETO"/>
    <x v="18"/>
    <s v="NADA"/>
    <s v="URUGUAI"/>
    <n v="54859"/>
    <n v="3136"/>
    <s v="3030032 TP STAR WHITE 200G 2,10L DIVERSAS U"/>
    <s v="COLCHONES POLYMAX"/>
    <s v="EX"/>
    <s v="COLCHAO ME"/>
    <m/>
    <s v="DIRETO"/>
    <n v="45565"/>
    <m/>
    <m/>
    <n v="3403.57"/>
    <s v="MT "/>
    <n v="200"/>
    <m/>
    <n v="481"/>
    <m/>
    <m/>
    <m/>
    <m/>
    <m/>
    <m/>
    <m/>
    <m/>
    <m/>
    <m/>
    <m/>
    <s v="COLCHONES POLYMAX"/>
    <s v="CARLOS FIDENCIO D AVALOS RUIZ JUNIOR 34496952823"/>
    <n v="7.0760291060291065"/>
  </r>
  <r>
    <x v="3"/>
    <x v="3"/>
    <s v="COLCHÃO M.E."/>
    <s v="DIRETO"/>
    <x v="18"/>
    <s v="NADA"/>
    <s v="URUGUAI"/>
    <n v="54859"/>
    <n v="2430"/>
    <s v="3030041-MI PL 160G 2,10L DIVERSAS U"/>
    <s v="COLCHONES POLYMAX"/>
    <s v="EX"/>
    <s v="COLCHAO ME"/>
    <m/>
    <s v="DIRETO"/>
    <n v="45565"/>
    <m/>
    <m/>
    <n v="6205.13"/>
    <s v="MT "/>
    <n v="160"/>
    <m/>
    <n v="570"/>
    <m/>
    <m/>
    <m/>
    <m/>
    <m/>
    <m/>
    <m/>
    <m/>
    <m/>
    <m/>
    <m/>
    <s v="COLCHONES POLYMAX"/>
    <s v="CARLOS FIDENCIO D AVALOS RUIZ JUNIOR 34496952823"/>
    <n v="10.886192982456141"/>
  </r>
  <r>
    <x v="3"/>
    <x v="3"/>
    <s v="COLCHÃO M.E."/>
    <s v="DIRETO"/>
    <x v="18"/>
    <s v="NADA"/>
    <s v="URUGUAI"/>
    <n v="54859"/>
    <n v="2415"/>
    <s v="3030045- XN ME  200G 2,10L DIVERSAS U"/>
    <s v="COLCHONES POLYMAX"/>
    <s v="EX"/>
    <s v="COLCHAO ME"/>
    <m/>
    <s v="DIRETO"/>
    <n v="45565"/>
    <m/>
    <m/>
    <n v="3354.04"/>
    <s v="MT "/>
    <n v="200"/>
    <m/>
    <n v="316"/>
    <m/>
    <m/>
    <m/>
    <m/>
    <m/>
    <m/>
    <m/>
    <m/>
    <m/>
    <m/>
    <m/>
    <s v="COLCHONES POLYMAX"/>
    <s v="CARLOS FIDENCIO D AVALOS RUIZ JUNIOR 34496952823"/>
    <n v="10.614050632911392"/>
  </r>
  <r>
    <x v="3"/>
    <x v="3"/>
    <s v="COLCHÃO M.E."/>
    <s v="DIRETO"/>
    <x v="18"/>
    <s v="NADA"/>
    <s v="URUGUAI"/>
    <n v="54859"/>
    <n v="3500"/>
    <s v="3030013 TP ML A09270 160G 2,10L DV U"/>
    <s v="COLCHONES POLYMAX"/>
    <s v="EX"/>
    <s v="COLCHAO ME"/>
    <m/>
    <s v="DIRETO"/>
    <n v="45565"/>
    <m/>
    <m/>
    <n v="4682.1499999999996"/>
    <s v="MT "/>
    <n v="160"/>
    <m/>
    <n v="506"/>
    <m/>
    <m/>
    <m/>
    <m/>
    <m/>
    <m/>
    <m/>
    <m/>
    <m/>
    <m/>
    <m/>
    <s v="COLCHONES POLYMAX"/>
    <s v="CARLOS FIDENCIO D AVALOS RUIZ JUNIOR 34496952823"/>
    <n v="9.2532608695652172"/>
  </r>
  <r>
    <x v="4"/>
    <x v="3"/>
    <s v="COLCHÃO M.E."/>
    <s v="DIRETO"/>
    <x v="1"/>
    <s v="NADA"/>
    <s v="URUGUAI"/>
    <n v="54881"/>
    <n v="3343"/>
    <s v="2540031 TP ML A09792 390G 2,20L DV U"/>
    <s v="DIVINO COLCHONES"/>
    <s v="EX"/>
    <s v="COLCHAO ME"/>
    <m/>
    <s v="CONEXÃO MALHAS"/>
    <n v="45566"/>
    <m/>
    <m/>
    <n v="14737.11"/>
    <s v="MT "/>
    <n v="390"/>
    <m/>
    <n v="541"/>
    <m/>
    <m/>
    <m/>
    <m/>
    <m/>
    <m/>
    <m/>
    <m/>
    <m/>
    <m/>
    <m/>
    <s v="DIVINO S.A"/>
    <s v="CONEXAO MALHAS E DESENVOLVIMENTO LTDA"/>
    <n v="27.240499075785582"/>
  </r>
  <r>
    <x v="4"/>
    <x v="3"/>
    <s v="COLCHÃO M.E."/>
    <s v="DIRETO"/>
    <x v="1"/>
    <s v="NADA"/>
    <s v="URUGUAI"/>
    <n v="54885"/>
    <n v="3009"/>
    <s v="2540014 TP ML A05171 300G 2,20L DIVERSAS U"/>
    <s v="DIVINO COLCHONES"/>
    <s v="EX"/>
    <s v="COLCHAO ME"/>
    <m/>
    <s v="CONEXÃO MALHAS"/>
    <n v="45566"/>
    <m/>
    <m/>
    <n v="12580.21"/>
    <s v="MT "/>
    <n v="300"/>
    <m/>
    <n v="537"/>
    <m/>
    <m/>
    <m/>
    <m/>
    <m/>
    <m/>
    <m/>
    <m/>
    <m/>
    <m/>
    <m/>
    <s v="DIVINO S.A"/>
    <s v="CONEXAO MALHAS E DESENVOLVIMENTO LTDA"/>
    <n v="23.426834264432028"/>
  </r>
  <r>
    <x v="4"/>
    <x v="3"/>
    <s v="COLCHÃO M.E."/>
    <s v="DIRETO"/>
    <x v="1"/>
    <s v="NADA"/>
    <s v="URUGUAI"/>
    <n v="54885"/>
    <n v="2497"/>
    <s v="2540029 TP LUNA 230G 2,20L 0070001 DIVERSAS U"/>
    <s v="DIVINO COLCHONES"/>
    <s v="EX"/>
    <s v="COLCHAO ME"/>
    <m/>
    <s v="CONEXÃO MALHAS"/>
    <n v="45566"/>
    <m/>
    <m/>
    <n v="9793.5"/>
    <s v="MT "/>
    <n v="230"/>
    <m/>
    <n v="749"/>
    <m/>
    <m/>
    <m/>
    <m/>
    <m/>
    <m/>
    <m/>
    <m/>
    <m/>
    <m/>
    <m/>
    <s v="DIVINO S.A"/>
    <s v="CONEXAO MALHAS E DESENVOLVIMENTO LTDA"/>
    <n v="13.075433911882509"/>
  </r>
  <r>
    <x v="4"/>
    <x v="3"/>
    <s v="COLCHÃO M.E."/>
    <s v="DIRETO"/>
    <x v="1"/>
    <s v="NADA"/>
    <s v="URUGUAI"/>
    <n v="54885"/>
    <n v="2496"/>
    <s v="2540028 TP CORDERO 310G 2,10L 0186002 DIVERSAS U"/>
    <s v="DIVINO COLCHONES"/>
    <s v="EX"/>
    <s v="COLCHAO ME"/>
    <m/>
    <s v="CONEXÃO MALHAS"/>
    <n v="45566"/>
    <m/>
    <m/>
    <n v="11074.9"/>
    <s v="MT "/>
    <n v="310"/>
    <m/>
    <n v="484"/>
    <m/>
    <m/>
    <m/>
    <m/>
    <m/>
    <m/>
    <m/>
    <m/>
    <m/>
    <m/>
    <m/>
    <s v="DIVINO S.A"/>
    <s v="CONEXAO MALHAS E DESENVOLVIMENTO LTDA"/>
    <n v="22.882024793388428"/>
  </r>
  <r>
    <x v="4"/>
    <x v="3"/>
    <s v="COLCHÃO M.E."/>
    <s v="DIRETO"/>
    <x v="1"/>
    <s v="NADA"/>
    <s v="URUGUAI"/>
    <n v="54885"/>
    <n v="1525"/>
    <s v="2540022 TP ML FOLHAS IMAG 320G 2,10 DIVERSAS U"/>
    <s v="DIVINO COLCHONES"/>
    <s v="EX"/>
    <s v="COLCHAO ME"/>
    <m/>
    <s v="CONEXÃO MALHAS"/>
    <n v="45566"/>
    <m/>
    <m/>
    <n v="43954.18"/>
    <s v="MT "/>
    <n v="320"/>
    <m/>
    <n v="2140"/>
    <m/>
    <m/>
    <m/>
    <m/>
    <m/>
    <m/>
    <m/>
    <m/>
    <m/>
    <m/>
    <m/>
    <s v="DIVINO S.A"/>
    <s v="CONEXAO MALHAS E DESENVOLVIMENTO LTDA"/>
    <n v="20.539336448598132"/>
  </r>
  <r>
    <x v="4"/>
    <x v="3"/>
    <s v="COLCHÃO M.E."/>
    <s v="DIRETO"/>
    <x v="1"/>
    <s v="NADA"/>
    <s v="URUGUAI"/>
    <n v="54885"/>
    <n v="2054"/>
    <s v="2540026 TP ML 0072051 - 280G 2,20L DEGRA DIVERSAS U"/>
    <s v="DIVINO COLCHONES"/>
    <s v="EX"/>
    <s v="COLCHAO ME"/>
    <m/>
    <s v="CONEXÃO MALHAS"/>
    <n v="45566"/>
    <m/>
    <m/>
    <n v="19386.52"/>
    <s v="MT "/>
    <n v="280"/>
    <m/>
    <n v="1112"/>
    <m/>
    <m/>
    <m/>
    <m/>
    <m/>
    <m/>
    <m/>
    <m/>
    <m/>
    <m/>
    <m/>
    <s v="DIVINO S.A"/>
    <s v="CONEXAO MALHAS E DESENVOLVIMENTO LTDA"/>
    <n v="17.433920863309353"/>
  </r>
  <r>
    <x v="4"/>
    <x v="3"/>
    <s v="COLCHÃO M.E."/>
    <s v="DIRETO"/>
    <x v="1"/>
    <s v="NADA"/>
    <s v="URUGUAI"/>
    <n v="54885"/>
    <n v="1506"/>
    <s v="2540017 TP ML A08980 280G 2,10L DIVERSAS U"/>
    <s v="DIVINO COLCHONES"/>
    <s v="EX"/>
    <s v="COLCHAO ME"/>
    <m/>
    <s v="CONEXÃO MALHAS"/>
    <n v="45566"/>
    <m/>
    <m/>
    <n v="40253.29"/>
    <s v="MT "/>
    <n v="280"/>
    <m/>
    <n v="2111"/>
    <m/>
    <m/>
    <m/>
    <m/>
    <m/>
    <m/>
    <m/>
    <m/>
    <m/>
    <m/>
    <m/>
    <s v="DIVINO S.A"/>
    <s v="CONEXAO MALHAS E DESENVOLVIMENTO LTDA"/>
    <n v="19.068351492183801"/>
  </r>
  <r>
    <x v="4"/>
    <x v="3"/>
    <s v="COLCHÃO M.E."/>
    <s v="DIRETO"/>
    <x v="1"/>
    <s v="NADA"/>
    <s v="URUGUAI"/>
    <n v="54885"/>
    <n v="1504"/>
    <s v="2540018 TP ML DIV 7806 240G 2,10L DIVERSAS U"/>
    <s v="DIVINO COLCHONES"/>
    <s v="EX"/>
    <s v="COLCHAO ME"/>
    <m/>
    <s v="CONEXÃO MALHAS"/>
    <n v="45566"/>
    <m/>
    <m/>
    <n v="93162.07"/>
    <s v="MT "/>
    <n v="240"/>
    <m/>
    <n v="5777"/>
    <m/>
    <m/>
    <m/>
    <m/>
    <m/>
    <m/>
    <m/>
    <m/>
    <m/>
    <m/>
    <m/>
    <s v="DIVINO S.A"/>
    <s v="CONEXAO MALHAS E DESENVOLVIMENTO LTDA"/>
    <n v="16.126375281287867"/>
  </r>
  <r>
    <x v="4"/>
    <x v="3"/>
    <s v="COLCHÃO M.E."/>
    <s v="DIRETO"/>
    <x v="1"/>
    <s v="NADA"/>
    <s v="URUGUAI"/>
    <n v="54885"/>
    <n v="1236"/>
    <s v="2540005 TAMPO GEOMETRICO (A07370) DIVERSAS U"/>
    <s v="DIVINO COLCHONES"/>
    <s v="EX"/>
    <s v="COLCHAO ME"/>
    <m/>
    <s v="CONEXÃO MALHAS"/>
    <n v="45566"/>
    <m/>
    <m/>
    <n v="50226.03"/>
    <s v="MT "/>
    <n v="240"/>
    <m/>
    <n v="2634"/>
    <m/>
    <m/>
    <m/>
    <m/>
    <m/>
    <m/>
    <m/>
    <m/>
    <m/>
    <m/>
    <m/>
    <s v="DIVINO S.A"/>
    <s v="CONEXAO MALHAS E DESENVOLVIMENTO LTDA"/>
    <n v="19.068348519362186"/>
  </r>
  <r>
    <x v="4"/>
    <x v="3"/>
    <s v="COLCHÃO M.E."/>
    <s v="DIRETO"/>
    <x v="1"/>
    <s v="NADA"/>
    <s v="URUGUAI"/>
    <n v="54885"/>
    <n v="1225"/>
    <s v="2540012 TAMPO RASCUNHOS (A07820) DIVERSAS U"/>
    <s v="DIVINO COLCHONES"/>
    <s v="EX"/>
    <s v="COLCHAO ME"/>
    <m/>
    <s v="CONEXÃO MALHAS"/>
    <n v="45566"/>
    <m/>
    <m/>
    <n v="83437.87"/>
    <s v="MT "/>
    <n v="240"/>
    <m/>
    <n v="5174"/>
    <m/>
    <m/>
    <m/>
    <m/>
    <m/>
    <m/>
    <m/>
    <m/>
    <m/>
    <m/>
    <m/>
    <s v="DIVINO S.A"/>
    <s v="CONEXAO MALHAS E DESENVOLVIMENTO LTDA"/>
    <n v="16.126376111325857"/>
  </r>
  <r>
    <x v="4"/>
    <x v="3"/>
    <s v="COLCHÃO M.E."/>
    <s v="DIRETO"/>
    <x v="1"/>
    <s v="NADA"/>
    <s v="URUGUAI"/>
    <n v="54972"/>
    <n v="1504"/>
    <s v="2540018 TP ML DIV 7806 240G 2,10L DIVERSAS U"/>
    <s v="DIVINO COLCHONES"/>
    <s v="EX"/>
    <s v="COLCHAO ME"/>
    <m/>
    <s v="CONEXÃO MALHAS"/>
    <n v="45572"/>
    <m/>
    <m/>
    <n v="11039.57"/>
    <s v="MT "/>
    <n v="240"/>
    <m/>
    <n v="682"/>
    <m/>
    <m/>
    <m/>
    <m/>
    <m/>
    <m/>
    <m/>
    <m/>
    <m/>
    <m/>
    <m/>
    <s v="DIVINO S.A"/>
    <s v="CONEXAO MALHAS E DESENVOLVIMENTO LTDA"/>
    <n v="16.187052785923754"/>
  </r>
  <r>
    <x v="4"/>
    <x v="3"/>
    <s v="COLCHÃO M.E."/>
    <s v="DIRETO"/>
    <x v="1"/>
    <s v="NADA"/>
    <s v="URUGUAI"/>
    <n v="54972"/>
    <n v="1506"/>
    <s v="2540017 TP ML A08980 280G 2,10L DIVERSAS U"/>
    <s v="DIVINO COLCHONES"/>
    <s v="EX"/>
    <s v="COLCHAO ME"/>
    <m/>
    <s v="CONEXÃO MALHAS"/>
    <n v="45572"/>
    <m/>
    <m/>
    <n v="64827.519999999997"/>
    <s v="MT "/>
    <n v="280"/>
    <m/>
    <n v="3387"/>
    <m/>
    <m/>
    <m/>
    <m/>
    <m/>
    <m/>
    <m/>
    <m/>
    <m/>
    <m/>
    <m/>
    <s v="DIVINO S.A"/>
    <s v="CONEXAO MALHAS E DESENVOLVIMENTO LTDA"/>
    <n v="19.140100383820489"/>
  </r>
  <r>
    <x v="4"/>
    <x v="3"/>
    <s v="COLCHÃO M.E."/>
    <s v="DIRETO"/>
    <x v="31"/>
    <s v="NADA"/>
    <s v="PARAGUAI"/>
    <n v="55127"/>
    <n v="3467"/>
    <s v="3420001 TP ML A08182 160G 2,20L DV U"/>
    <s v="SEA TRADING COMPANY SA"/>
    <s v="EX"/>
    <s v="COLCHAO ME"/>
    <m/>
    <s v="DIRETO"/>
    <n v="45580"/>
    <m/>
    <m/>
    <n v="6980.97"/>
    <s v="MT "/>
    <n v="160"/>
    <m/>
    <n v="1038"/>
    <m/>
    <m/>
    <m/>
    <m/>
    <m/>
    <m/>
    <m/>
    <m/>
    <m/>
    <m/>
    <m/>
    <s v="SEA TRADING COMPANY SA"/>
    <s v="CARLOS FIDENCIO D AVALOS RUIZ JUNIOR 34496952823"/>
    <n v="6.7254046242774566"/>
  </r>
  <r>
    <x v="4"/>
    <x v="3"/>
    <s v="COLCHÃO M.E."/>
    <s v="DIRETO"/>
    <x v="31"/>
    <s v="NADA"/>
    <s v="PARAGUAI"/>
    <n v="55202"/>
    <n v="3467"/>
    <s v="3420001 TP ML A08182 160G 2,20L DV U"/>
    <s v="SEA TRADING COMPANY SA"/>
    <s v="EX"/>
    <s v="COLCHAO MI"/>
    <m/>
    <s v="DIRETO"/>
    <n v="45583"/>
    <m/>
    <m/>
    <n v="9340.1"/>
    <s v="MT "/>
    <n v="160"/>
    <m/>
    <n v="1038"/>
    <m/>
    <m/>
    <m/>
    <m/>
    <m/>
    <m/>
    <m/>
    <m/>
    <m/>
    <m/>
    <m/>
    <s v="SEA TRADING COMPANY SA"/>
    <s v="CARLOS FIDENCIO D AVALOS RUIZ JUNIOR 34496952823"/>
    <n v="8.998169556840077"/>
  </r>
  <r>
    <x v="4"/>
    <x v="3"/>
    <s v="COLCHÃO M.E."/>
    <s v="DIRETO"/>
    <x v="1"/>
    <s v="NADA"/>
    <s v="URUGUAI"/>
    <n v="55327"/>
    <n v="2497"/>
    <s v="2540029 TP LUNA 230G 2,20L 0070001 DIVERSAS U"/>
    <s v="DIVINO COLCHONES"/>
    <s v="EX"/>
    <s v="COLCHAO ME"/>
    <m/>
    <s v="CONEXÃO MALHAS"/>
    <n v="45590"/>
    <m/>
    <m/>
    <n v="7631.39"/>
    <s v="MT "/>
    <n v="230"/>
    <m/>
    <n v="557"/>
    <m/>
    <m/>
    <m/>
    <m/>
    <m/>
    <m/>
    <m/>
    <m/>
    <m/>
    <m/>
    <m/>
    <s v="DIVINO S.A"/>
    <s v="CONEXAO MALHAS E DESENVOLVIMENTO LTDA"/>
    <n v="13.700879712746859"/>
  </r>
  <r>
    <x v="4"/>
    <x v="3"/>
    <s v="COLCHÃO M.E."/>
    <s v="DIRETO"/>
    <x v="1"/>
    <s v="NADA"/>
    <s v="URUGUAI"/>
    <n v="55327"/>
    <n v="1525"/>
    <s v="2540022 TP ML FOLHAS IMAG 320G 2,10 DIVERSAS U"/>
    <s v="DIVINO COLCHONES"/>
    <s v="EX"/>
    <s v="COLCHAO ME"/>
    <m/>
    <s v="CONEXÃO MALHAS"/>
    <n v="45590"/>
    <m/>
    <m/>
    <n v="25266.59"/>
    <s v="MT "/>
    <n v="320"/>
    <m/>
    <n v="1174"/>
    <m/>
    <m/>
    <m/>
    <m/>
    <m/>
    <m/>
    <m/>
    <m/>
    <m/>
    <m/>
    <m/>
    <s v="DIVINO S.A"/>
    <s v="CONEXAO MALHAS E DESENVOLVIMENTO LTDA"/>
    <n v="21.521797274275979"/>
  </r>
  <r>
    <x v="4"/>
    <x v="3"/>
    <s v="COLCHÃO M.E."/>
    <s v="DIRETO"/>
    <x v="1"/>
    <s v="NADA"/>
    <s v="URUGUAI"/>
    <n v="55327"/>
    <n v="1506"/>
    <s v="2540017 TP ML A08980 280G 2,10L DIVERSAS U"/>
    <s v="DIVINO COLCHONES"/>
    <s v="EX"/>
    <s v="COLCHAO ME"/>
    <m/>
    <s v="CONEXÃO MALHAS"/>
    <n v="45590"/>
    <m/>
    <m/>
    <n v="20000.43"/>
    <s v="MT "/>
    <n v="280"/>
    <m/>
    <n v="1001"/>
    <m/>
    <m/>
    <m/>
    <m/>
    <m/>
    <m/>
    <m/>
    <m/>
    <m/>
    <m/>
    <m/>
    <s v="DIVINO S.A"/>
    <s v="CONEXAO MALHAS E DESENVOLVIMENTO LTDA"/>
    <n v="19.980449550449549"/>
  </r>
  <r>
    <x v="4"/>
    <x v="3"/>
    <s v="COLCHÃO M.E."/>
    <s v="DIRETO"/>
    <x v="1"/>
    <s v="NADA"/>
    <s v="URUGUAI"/>
    <n v="55327"/>
    <n v="1504"/>
    <s v="2540018 TP ML DIV 7806 240G 2,10L DIVERSAS U"/>
    <s v="DIVINO COLCHONES"/>
    <s v="EX"/>
    <s v="COLCHAO ME"/>
    <m/>
    <s v="CONEXÃO MALHAS"/>
    <n v="45590"/>
    <m/>
    <m/>
    <n v="26563.27"/>
    <s v="MT "/>
    <n v="240"/>
    <m/>
    <n v="1572"/>
    <m/>
    <m/>
    <m/>
    <m/>
    <m/>
    <m/>
    <m/>
    <m/>
    <m/>
    <m/>
    <m/>
    <s v="DIVINO S.A"/>
    <s v="CONEXAO MALHAS E DESENVOLVIMENTO LTDA"/>
    <n v="16.897754452926208"/>
  </r>
  <r>
    <x v="4"/>
    <x v="3"/>
    <s v="COLCHÃO M.E."/>
    <s v="DIRETO"/>
    <x v="1"/>
    <s v="NADA"/>
    <s v="URUGUAI"/>
    <n v="55327"/>
    <n v="1236"/>
    <s v="2540005 TAMPO GEOMETRICO (A07370) DIVERSAS U"/>
    <s v="DIVINO COLCHONES"/>
    <s v="EX"/>
    <s v="COLCHAO ME"/>
    <m/>
    <s v="CONEXÃO MALHAS"/>
    <n v="45590"/>
    <m/>
    <m/>
    <n v="31888.799999999999"/>
    <s v="MT "/>
    <n v="240"/>
    <m/>
    <n v="1596"/>
    <m/>
    <m/>
    <m/>
    <m/>
    <m/>
    <m/>
    <m/>
    <m/>
    <m/>
    <m/>
    <m/>
    <s v="DIVINO S.A"/>
    <s v="CONEXAO MALHAS E DESENVOLVIMENTO LTDA"/>
    <n v="19.980451127819549"/>
  </r>
  <r>
    <x v="4"/>
    <x v="3"/>
    <s v="COLCHÃO M.E."/>
    <s v="DIRETO"/>
    <x v="1"/>
    <s v="NADA"/>
    <s v="URUGUAI"/>
    <n v="55327"/>
    <n v="1225"/>
    <s v="2540012 TAMPO RASCUNHOS (A07820) DIVERSAS U"/>
    <s v="DIVINO COLCHONES"/>
    <s v="EX"/>
    <s v="COLCHAO ME"/>
    <m/>
    <s v="CONEXÃO MALHAS"/>
    <n v="45590"/>
    <m/>
    <m/>
    <n v="46891.26"/>
    <s v="MT "/>
    <n v="240"/>
    <m/>
    <n v="2775"/>
    <m/>
    <m/>
    <m/>
    <m/>
    <m/>
    <m/>
    <m/>
    <m/>
    <m/>
    <m/>
    <m/>
    <s v="DIVINO S.A"/>
    <s v="CONEXAO MALHAS E DESENVOLVIMENTO LTDA"/>
    <n v="16.897751351351353"/>
  </r>
  <r>
    <x v="4"/>
    <x v="3"/>
    <s v="COLCHÃO M.E."/>
    <s v="DIRETO"/>
    <x v="1"/>
    <s v="NADA"/>
    <s v="URUGUAI"/>
    <n v="55328"/>
    <n v="1905"/>
    <s v="2540019 NUEVO GALHOS 3 V02 (1922) - TOL DIVERSAS U"/>
    <s v="DIVINO COLCHONES"/>
    <s v="EX"/>
    <s v="COLCHAO ME"/>
    <m/>
    <s v="CONEXÃO MALHAS"/>
    <n v="45590"/>
    <m/>
    <m/>
    <n v="10522.28"/>
    <s v="MT "/>
    <m/>
    <m/>
    <n v="1152"/>
    <m/>
    <m/>
    <m/>
    <m/>
    <m/>
    <m/>
    <m/>
    <m/>
    <m/>
    <m/>
    <m/>
    <s v="DIVINO S.A"/>
    <s v="CONEXAO MALHAS E DESENVOLVIMENTO LTDA"/>
    <n v="9.1339236111111113"/>
  </r>
  <r>
    <x v="4"/>
    <x v="3"/>
    <s v="COLCHÃO M.E."/>
    <s v="DIRETO"/>
    <x v="1"/>
    <s v="NADA"/>
    <s v="URUGUAI"/>
    <n v="55329"/>
    <n v="3547"/>
    <s v="2540032 TP ML 245021 240G 2,20L DV U"/>
    <s v="DIVINO COLCHONES"/>
    <s v="EX"/>
    <s v="COLCHAO ME"/>
    <m/>
    <s v="CONEXÃO MALHAS"/>
    <n v="45590"/>
    <m/>
    <m/>
    <n v="38872.82"/>
    <s v="MT "/>
    <n v="240"/>
    <m/>
    <n v="1170"/>
    <m/>
    <m/>
    <m/>
    <m/>
    <m/>
    <m/>
    <m/>
    <m/>
    <m/>
    <m/>
    <m/>
    <s v="DIVINO S.A"/>
    <s v="CONEXAO MALHAS E DESENVOLVIMENTO LTDA"/>
    <n v="33.224632478632479"/>
  </r>
  <r>
    <x v="4"/>
    <x v="3"/>
    <s v="COLCHÃO M.E."/>
    <s v="DIRETO"/>
    <x v="9"/>
    <s v="NADA"/>
    <s v="CHILE"/>
    <n v="55465"/>
    <n v="3378"/>
    <s v="2810011 TP PARADISE 122034 370G 2,20L DV U"/>
    <s v="FLEX CHILE"/>
    <s v="EX"/>
    <s v="COLCHAO ME"/>
    <m/>
    <s v="DIRETO"/>
    <n v="45596"/>
    <m/>
    <m/>
    <n v="16427.62"/>
    <s v="MT "/>
    <n v="370"/>
    <m/>
    <n v="586"/>
    <m/>
    <m/>
    <m/>
    <m/>
    <m/>
    <m/>
    <m/>
    <m/>
    <m/>
    <m/>
    <m/>
    <s v="FLEX CHILE"/>
    <s v="CARLOS FIDENCIO D AVALOS RUIZ JUNIOR 34496952823"/>
    <n v="28.03348122866894"/>
  </r>
  <r>
    <x v="4"/>
    <x v="3"/>
    <s v="COLCHÃO M.E."/>
    <s v="DIRETO"/>
    <x v="9"/>
    <s v="NADA"/>
    <s v="CHILE"/>
    <n v="55465"/>
    <n v="1422"/>
    <s v="2810005 TP FOLHA 240G 2,20L (1121110) DIVERSAS U"/>
    <s v="FLEX CHILE"/>
    <s v="EX"/>
    <s v="COLCHAO ME"/>
    <m/>
    <s v="DIRETO"/>
    <n v="45596"/>
    <m/>
    <m/>
    <n v="34498.35"/>
    <s v="MT "/>
    <n v="240"/>
    <m/>
    <n v="2109"/>
    <m/>
    <m/>
    <m/>
    <m/>
    <m/>
    <m/>
    <m/>
    <m/>
    <m/>
    <m/>
    <m/>
    <s v="FLEX CHILE"/>
    <s v="CARLOS FIDENCIO D AVALOS RUIZ JUNIOR 34496952823"/>
    <n v="16.357681365576102"/>
  </r>
  <r>
    <x v="4"/>
    <x v="3"/>
    <s v="COLCHÃO M.E."/>
    <s v="DIRETO"/>
    <x v="9"/>
    <s v="NADA"/>
    <s v="CHILE"/>
    <n v="55465"/>
    <n v="3512"/>
    <s v="2810012 TP ML A09887 340G 2,20L DV U"/>
    <s v="FLEX CHILE"/>
    <s v="EX"/>
    <s v="COLCHAO ME"/>
    <m/>
    <s v="DIRETO"/>
    <n v="45596"/>
    <m/>
    <m/>
    <n v="12230.69"/>
    <s v="MT "/>
    <n v="340"/>
    <m/>
    <n v="575"/>
    <m/>
    <m/>
    <m/>
    <m/>
    <m/>
    <m/>
    <m/>
    <m/>
    <m/>
    <m/>
    <m/>
    <s v="FLEX CHILE"/>
    <s v="CARLOS FIDENCIO D AVALOS RUIZ JUNIOR 34496952823"/>
    <n v="21.270765217391304"/>
  </r>
  <r>
    <x v="4"/>
    <x v="3"/>
    <s v="COLCHÃO M.E."/>
    <s v="DIRETO"/>
    <x v="9"/>
    <s v="NADA"/>
    <s v="CHILE"/>
    <n v="55465"/>
    <n v="1419"/>
    <s v="2810009 TP MESCLA 180G 2,20L (1122580) DIVERSAS U"/>
    <s v="FLEX CHILE"/>
    <s v="EX"/>
    <s v="COLCHAO ME"/>
    <m/>
    <s v="DIRETO"/>
    <n v="45596"/>
    <m/>
    <m/>
    <n v="8323.34"/>
    <s v="MT "/>
    <n v="180"/>
    <m/>
    <n v="640"/>
    <m/>
    <m/>
    <m/>
    <m/>
    <m/>
    <m/>
    <m/>
    <m/>
    <m/>
    <m/>
    <m/>
    <s v="FLEX CHILE"/>
    <s v="CARLOS FIDENCIO D AVALOS RUIZ JUNIOR 34496952823"/>
    <n v="13.005218750000001"/>
  </r>
  <r>
    <x v="4"/>
    <x v="3"/>
    <s v="COLCHÃO M.E."/>
    <s v="DIRETO"/>
    <x v="9"/>
    <s v="NADA"/>
    <s v="CHILE"/>
    <n v="55465"/>
    <n v="1422"/>
    <s v="2810005 TP FOLHA 240G 2,20L (1121110) DIVERSAS U"/>
    <s v="FLEX CHILE"/>
    <s v="EX"/>
    <s v="COLCHAO ME"/>
    <m/>
    <s v="DIRETO"/>
    <n v="45596"/>
    <m/>
    <m/>
    <n v="19743.72"/>
    <s v="MT "/>
    <n v="240"/>
    <m/>
    <n v="1207"/>
    <m/>
    <m/>
    <m/>
    <m/>
    <m/>
    <m/>
    <m/>
    <m/>
    <m/>
    <m/>
    <m/>
    <s v="FLEX CHILE"/>
    <s v="CARLOS FIDENCIO D AVALOS RUIZ JUNIOR 34496952823"/>
    <n v="16.3576801988401"/>
  </r>
  <r>
    <x v="4"/>
    <x v="3"/>
    <s v="COLCHÃO M.E."/>
    <s v="DIRETO"/>
    <x v="16"/>
    <s v="NADA"/>
    <s v="BOLIVIA"/>
    <n v="55491"/>
    <n v="3590"/>
    <s v="3370010 TP ML 357001 280G 2,20L DV U"/>
    <s v="DAVID MORENO VISCARRA"/>
    <s v="EX"/>
    <s v="COLCHAO ME"/>
    <m/>
    <s v="DIRETO"/>
    <n v="45596"/>
    <m/>
    <m/>
    <n v="14473.37"/>
    <s v="MT "/>
    <n v="280"/>
    <m/>
    <n v="626"/>
    <m/>
    <m/>
    <m/>
    <m/>
    <m/>
    <m/>
    <m/>
    <m/>
    <m/>
    <m/>
    <m/>
    <s v="DAVID MORENO VISCARRA"/>
    <s v="CARLOS FIDENCIO D AVALOS RUIZ JUNIOR 34496952823"/>
    <n v="23.120399361022365"/>
  </r>
  <r>
    <x v="4"/>
    <x v="3"/>
    <s v="COLCHÃO M.E."/>
    <s v="DIRETO"/>
    <x v="9"/>
    <s v="NADA"/>
    <s v="CHILE"/>
    <n v="55492"/>
    <n v="1419"/>
    <s v="2810009 TP MESCLA 180G 2,20L (1122580) DIVERSAS U"/>
    <s v="FLEX CHILE"/>
    <s v="EX"/>
    <s v="COLCHAO ME"/>
    <m/>
    <s v="DIRETO"/>
    <n v="45596"/>
    <m/>
    <m/>
    <n v="5397.17"/>
    <s v="MT "/>
    <n v="180"/>
    <m/>
    <n v="415"/>
    <m/>
    <m/>
    <m/>
    <m/>
    <m/>
    <m/>
    <m/>
    <m/>
    <m/>
    <m/>
    <m/>
    <s v="FLEX CHILE"/>
    <s v="CARLOS FIDENCIO D AVALOS RUIZ JUNIOR 34496952823"/>
    <n v="13.00522891566265"/>
  </r>
  <r>
    <x v="4"/>
    <x v="3"/>
    <s v="COLCHÃO M.E."/>
    <s v="DIRETO"/>
    <x v="9"/>
    <s v="NADA"/>
    <s v="CHILE"/>
    <n v="55492"/>
    <n v="1422"/>
    <s v="2810005 TP FOLHA 240G 2,20L (1121110) DIVERSAS U"/>
    <s v="FLEX CHILE"/>
    <s v="EX"/>
    <s v="COLCHAO ME"/>
    <m/>
    <s v="DIRETO"/>
    <n v="45596"/>
    <m/>
    <m/>
    <n v="21929.11"/>
    <s v="MT "/>
    <n v="240"/>
    <m/>
    <n v="1340.6"/>
    <m/>
    <m/>
    <m/>
    <m/>
    <m/>
    <m/>
    <m/>
    <m/>
    <m/>
    <m/>
    <m/>
    <s v="FLEX CHILE"/>
    <s v="CARLOS FIDENCIO D AVALOS RUIZ JUNIOR 34496952823"/>
    <n v="16.357683126958079"/>
  </r>
  <r>
    <x v="4"/>
    <x v="3"/>
    <s v="COLCHÃO M.E."/>
    <s v="DIRETO"/>
    <x v="18"/>
    <s v="NADA"/>
    <s v="URUGUAI"/>
    <n v="55503"/>
    <n v="3502"/>
    <s v="3030058 TP ML 246006 200G 2,10L DV U"/>
    <s v="COLCHONES POLYMAX"/>
    <s v="EX"/>
    <s v="COLCHAO ME"/>
    <m/>
    <s v="DIRETO"/>
    <n v="45596"/>
    <m/>
    <m/>
    <n v="7359.8"/>
    <s v="MT "/>
    <n v="200"/>
    <m/>
    <n v="749"/>
    <m/>
    <m/>
    <m/>
    <m/>
    <m/>
    <m/>
    <m/>
    <m/>
    <m/>
    <m/>
    <m/>
    <s v="COLCHONES POLYMAX"/>
    <s v="CARLOS FIDENCIO D AVALOS RUIZ JUNIOR 34496952823"/>
    <n v="9.8261682242990656"/>
  </r>
  <r>
    <x v="4"/>
    <x v="3"/>
    <s v="COLCHÃO M.E."/>
    <s v="DIRETO"/>
    <x v="18"/>
    <s v="NADA"/>
    <s v="URUGUAI"/>
    <n v="55503"/>
    <n v="3510"/>
    <s v="3030065 TP ML 253006 200G 2,10L DV U"/>
    <s v="COLCHONES POLYMAX"/>
    <s v="EX"/>
    <s v="COLCHAO ME"/>
    <m/>
    <s v="DIRETO"/>
    <n v="45596"/>
    <m/>
    <m/>
    <n v="9315.2099999999991"/>
    <s v="MT "/>
    <n v="200"/>
    <m/>
    <n v="948"/>
    <m/>
    <m/>
    <m/>
    <m/>
    <m/>
    <m/>
    <m/>
    <m/>
    <m/>
    <m/>
    <m/>
    <s v="COLCHONES POLYMAX"/>
    <s v="CARLOS FIDENCIO D AVALOS RUIZ JUNIOR 34496952823"/>
    <n v="9.826170886075948"/>
  </r>
  <r>
    <x v="4"/>
    <x v="3"/>
    <s v="COLCHÃO M.E."/>
    <s v="DIRETO"/>
    <x v="18"/>
    <s v="NADA"/>
    <s v="URUGUAI"/>
    <n v="55503"/>
    <n v="3509"/>
    <s v="3030064 TP ML 256006 200G 2,10L DV U"/>
    <s v="COLCHONES POLYMAX"/>
    <s v="EX"/>
    <s v="COLCHAO ME"/>
    <m/>
    <s v="DIRETO"/>
    <n v="45596"/>
    <m/>
    <m/>
    <n v="8800.2000000000007"/>
    <s v="MT "/>
    <n v="200"/>
    <m/>
    <n v="1015"/>
    <m/>
    <m/>
    <m/>
    <m/>
    <m/>
    <m/>
    <m/>
    <m/>
    <m/>
    <m/>
    <m/>
    <s v="COLCHONES POLYMAX"/>
    <s v="CARLOS FIDENCIO D AVALOS RUIZ JUNIOR 34496952823"/>
    <n v="8.6701477832512328"/>
  </r>
  <r>
    <x v="4"/>
    <x v="3"/>
    <s v="COLCHÃO M.E."/>
    <s v="DIRETO"/>
    <x v="18"/>
    <s v="NADA"/>
    <s v="URUGUAI"/>
    <n v="55503"/>
    <n v="3507"/>
    <s v="3030063 TP ML 283001 200G 2,20L DV U"/>
    <s v="COLCHONES POLYMAX"/>
    <s v="EX"/>
    <s v="COLCHAO ME"/>
    <m/>
    <s v="DIRETO"/>
    <n v="45596"/>
    <m/>
    <m/>
    <n v="5067.99"/>
    <s v="MT "/>
    <n v="200"/>
    <m/>
    <n v="548"/>
    <m/>
    <m/>
    <m/>
    <m/>
    <m/>
    <m/>
    <m/>
    <m/>
    <m/>
    <m/>
    <m/>
    <s v="COLCHONES POLYMAX"/>
    <s v="CARLOS FIDENCIO D AVALOS RUIZ JUNIOR 34496952823"/>
    <n v="9.2481569343065697"/>
  </r>
  <r>
    <x v="4"/>
    <x v="3"/>
    <s v="COLCHÃO M.E."/>
    <s v="DIRETO"/>
    <x v="18"/>
    <s v="NADA"/>
    <s v="URUGUAI"/>
    <n v="55503"/>
    <n v="3499"/>
    <s v="3030057 TP ML 90026 200G 2,10L DV U"/>
    <s v="COLCHONES POLYMAX"/>
    <s v="EX"/>
    <s v="COLCHAO ME"/>
    <m/>
    <s v="DIRETO"/>
    <n v="45596"/>
    <m/>
    <m/>
    <n v="6793.93"/>
    <s v="MT "/>
    <n v="200"/>
    <m/>
    <n v="653"/>
    <m/>
    <m/>
    <m/>
    <m/>
    <m/>
    <m/>
    <m/>
    <m/>
    <m/>
    <m/>
    <m/>
    <s v="COLCHONES POLYMAX"/>
    <s v="CARLOS FIDENCIO D AVALOS RUIZ JUNIOR 34496952823"/>
    <n v="10.404180704441043"/>
  </r>
  <r>
    <x v="4"/>
    <x v="3"/>
    <s v="COLCHÃO M.E."/>
    <s v="DIRETO"/>
    <x v="18"/>
    <s v="NADA"/>
    <s v="URUGUAI"/>
    <n v="55503"/>
    <n v="3132"/>
    <s v="3030033 TP 73001 160G 2,10 DIVERSAS U"/>
    <s v="COLCHONES POLYMAX"/>
    <s v="EX"/>
    <s v="COLCHAO ME"/>
    <m/>
    <s v="DIRETO"/>
    <n v="45596"/>
    <m/>
    <m/>
    <n v="6003.79"/>
    <s v="MT "/>
    <n v="160"/>
    <m/>
    <n v="799"/>
    <m/>
    <m/>
    <m/>
    <m/>
    <m/>
    <m/>
    <m/>
    <m/>
    <m/>
    <m/>
    <m/>
    <s v="COLCHONES POLYMAX"/>
    <s v="CARLOS FIDENCIO D AVALOS RUIZ JUNIOR 34496952823"/>
    <n v="7.5141301627033794"/>
  </r>
  <r>
    <x v="4"/>
    <x v="3"/>
    <s v="COLCHÃO M.E."/>
    <s v="DIRETO"/>
    <x v="18"/>
    <s v="NADA"/>
    <s v="URUGUAI"/>
    <n v="55503"/>
    <n v="2419"/>
    <s v="3030024-MI 180G 2,10L DIVERSAS U"/>
    <s v="COLCHONES POLYMAX"/>
    <s v="EX"/>
    <s v="COLCHAO MI"/>
    <m/>
    <s v="DIRETO"/>
    <n v="45596"/>
    <m/>
    <m/>
    <n v="5317.69"/>
    <s v="MT "/>
    <n v="180"/>
    <m/>
    <n v="460"/>
    <m/>
    <m/>
    <m/>
    <m/>
    <m/>
    <m/>
    <m/>
    <m/>
    <m/>
    <m/>
    <m/>
    <s v="COLCHONES POLYMAX"/>
    <s v="CARLOS FIDENCIO D AVALOS RUIZ JUNIOR 34496952823"/>
    <n v="11.560195652173912"/>
  </r>
  <r>
    <x v="4"/>
    <x v="3"/>
    <s v="COLCHÃO M.E."/>
    <s v="DIRETO"/>
    <x v="24"/>
    <s v="NADA"/>
    <s v="EQUADOR"/>
    <n v="55510"/>
    <n v="3578"/>
    <s v="3260015- ME 300G 2,20L DV U"/>
    <s v="PRODUCTOS PARAISO DEL ECUADOR"/>
    <s v="EX"/>
    <s v="COLCHAO ME"/>
    <m/>
    <s v="DIRETO"/>
    <n v="45596"/>
    <m/>
    <m/>
    <n v="14201.71"/>
    <s v="MT "/>
    <n v="300"/>
    <m/>
    <n v="819"/>
    <m/>
    <m/>
    <m/>
    <m/>
    <m/>
    <m/>
    <m/>
    <m/>
    <m/>
    <m/>
    <m/>
    <s v="PRODUCTOS PARAISO DEL ECUADOR"/>
    <s v="CARLOS FIDENCIO D AVALOS RUIZ JUNIOR 34496952823"/>
    <n v="17.340305250305249"/>
  </r>
  <r>
    <x v="4"/>
    <x v="3"/>
    <s v="COLCHÃO M.E."/>
    <s v="DIRETO"/>
    <x v="24"/>
    <s v="NADA"/>
    <s v="EQUADOR"/>
    <n v="55510"/>
    <n v="3399"/>
    <s v="3260013 BANDA ORIGENES 200G 2,20L DV U"/>
    <s v="PRODUCTOS PARAISO DEL ECUADOR"/>
    <s v="EX"/>
    <s v="COLCHAO ME"/>
    <m/>
    <s v="DIRETO"/>
    <n v="45596"/>
    <m/>
    <m/>
    <n v="27667.89"/>
    <s v="MT "/>
    <n v="200"/>
    <m/>
    <n v="2335"/>
    <m/>
    <m/>
    <m/>
    <m/>
    <m/>
    <m/>
    <m/>
    <m/>
    <m/>
    <m/>
    <m/>
    <s v="PRODUCTOS PARAISO DEL ECUADOR"/>
    <s v="CARLOS FIDENCIO D AVALOS RUIZ JUNIOR 34496952823"/>
    <n v="11.849203426124197"/>
  </r>
  <r>
    <x v="4"/>
    <x v="3"/>
    <s v="COLCHÃO M.E."/>
    <s v="DIRETO"/>
    <x v="24"/>
    <s v="NADA"/>
    <s v="EQUADOR"/>
    <n v="55510"/>
    <n v="2950"/>
    <s v="3260005-PL ME 180G 2,10L DIVERSAS U"/>
    <s v="PRODUCTOS PARAISO DEL ECUADOR"/>
    <s v="EX"/>
    <s v="COLCHAO ME"/>
    <m/>
    <s v="DIRETO"/>
    <n v="45596"/>
    <m/>
    <m/>
    <n v="5361.16"/>
    <s v="MT "/>
    <n v="180"/>
    <m/>
    <n v="527"/>
    <m/>
    <m/>
    <m/>
    <m/>
    <m/>
    <m/>
    <m/>
    <m/>
    <m/>
    <m/>
    <m/>
    <s v="PRODUCTOS PARAISO DEL ECUADOR"/>
    <s v="CARLOS FIDENCIO D AVALOS RUIZ JUNIOR 34496952823"/>
    <n v="10.172979127134724"/>
  </r>
  <r>
    <x v="4"/>
    <x v="3"/>
    <s v="COLCHÃO M.E."/>
    <s v="DIRETO"/>
    <x v="24"/>
    <s v="NADA"/>
    <s v="EQUADOR"/>
    <n v="55510"/>
    <n v="2942"/>
    <s v="3260004-ME PARAISO 260G 2,20L DIVERSAS U"/>
    <s v="PRODUCTOS PARAISO DEL ECUADOR"/>
    <s v="EX"/>
    <s v="COLCHAO ME"/>
    <m/>
    <s v="DIRETO"/>
    <n v="45596"/>
    <m/>
    <m/>
    <n v="25729.88"/>
    <s v="MT "/>
    <n v="260"/>
    <m/>
    <n v="1317"/>
    <m/>
    <m/>
    <m/>
    <m/>
    <m/>
    <m/>
    <m/>
    <m/>
    <m/>
    <m/>
    <m/>
    <s v="PRODUCTOS PARAISO DEL ECUADOR"/>
    <s v="CARLOS FIDENCIO D AVALOS RUIZ JUNIOR 34496952823"/>
    <n v="19.536735003796508"/>
  </r>
  <r>
    <x v="4"/>
    <x v="3"/>
    <s v="COLCHÃO M.E."/>
    <s v="DIRETO"/>
    <x v="24"/>
    <s v="NADA"/>
    <s v="EQUADOR"/>
    <n v="55510"/>
    <n v="2942"/>
    <s v="3260004-ME PARAISO 260G 2,20L DIVERSAS U"/>
    <s v="PRODUCTOS PARAISO DEL ECUADOR"/>
    <s v="EX"/>
    <s v="COLCHAO ME"/>
    <m/>
    <s v="DIRETO"/>
    <n v="45596"/>
    <m/>
    <m/>
    <n v="1504.33"/>
    <s v="MT "/>
    <n v="260"/>
    <m/>
    <n v="77"/>
    <m/>
    <m/>
    <m/>
    <m/>
    <m/>
    <m/>
    <m/>
    <m/>
    <m/>
    <m/>
    <m/>
    <s v="PRODUCTOS PARAISO DEL ECUADOR"/>
    <s v="CARLOS FIDENCIO D AVALOS RUIZ JUNIOR 34496952823"/>
    <n v="19.536753246753246"/>
  </r>
  <r>
    <x v="4"/>
    <x v="3"/>
    <s v="COLCHÃO M.E."/>
    <s v="DIRETO"/>
    <x v="24"/>
    <s v="NADA"/>
    <s v="EQUADOR"/>
    <n v="55510"/>
    <n v="2582"/>
    <s v="3260001 TP PARAISO PREMIUM 240G 2,20L DIVERSAS U"/>
    <s v="PRODUCTOS PARAISO DEL ECUADOR"/>
    <s v="EX"/>
    <s v="COLCHAO ME"/>
    <m/>
    <s v="DIRETO"/>
    <n v="45596"/>
    <m/>
    <m/>
    <n v="67325.100000000006"/>
    <s v="MT "/>
    <n v="240"/>
    <m/>
    <n v="5343"/>
    <m/>
    <m/>
    <m/>
    <m/>
    <m/>
    <m/>
    <m/>
    <m/>
    <m/>
    <m/>
    <m/>
    <s v="PRODUCTOS PARAISO DEL ECUADOR"/>
    <s v="CARLOS FIDENCIO D AVALOS RUIZ JUNIOR 34496952823"/>
    <n v="12.600617630544638"/>
  </r>
  <r>
    <x v="5"/>
    <x v="3"/>
    <s v="COLCHÃO M.E."/>
    <s v="DIRETO"/>
    <x v="1"/>
    <s v="NADA"/>
    <s v="URUGUAI"/>
    <n v="55533"/>
    <n v="1506"/>
    <s v="2540017 TP ML A08980 280G 2,10L DIVERSAS U"/>
    <s v="DIVINO COLCHONES"/>
    <s v="EX"/>
    <s v="COLCHAO ME"/>
    <m/>
    <s v="CONEXÃO MALHAS"/>
    <n v="45597"/>
    <m/>
    <m/>
    <n v="20242.87"/>
    <s v="MT "/>
    <n v="280"/>
    <m/>
    <n v="1001"/>
    <m/>
    <m/>
    <m/>
    <m/>
    <m/>
    <m/>
    <m/>
    <m/>
    <m/>
    <m/>
    <m/>
    <s v="DIVINO S.A"/>
    <s v="CONEXAO MALHAS E DESENVOLVIMENTO LTDA"/>
    <n v="20.222647352647353"/>
  </r>
  <r>
    <x v="5"/>
    <x v="3"/>
    <s v="COLCHÃO M.E."/>
    <s v="DIRETO"/>
    <x v="1"/>
    <s v="NADA"/>
    <s v="URUGUAI"/>
    <n v="55533"/>
    <n v="2497"/>
    <s v="2540029 TP LUNA 230G 2,20L 0070001 DIVERSAS U"/>
    <s v="DIVINO COLCHONES"/>
    <s v="EX"/>
    <s v="COLCHAO ME"/>
    <m/>
    <s v="CONEXÃO MALHAS"/>
    <n v="45597"/>
    <m/>
    <m/>
    <n v="7723.9"/>
    <s v="MT "/>
    <n v="230"/>
    <m/>
    <n v="557"/>
    <m/>
    <m/>
    <m/>
    <m/>
    <m/>
    <m/>
    <m/>
    <m/>
    <m/>
    <m/>
    <m/>
    <s v="DIVINO S.A"/>
    <s v="CONEXAO MALHAS E DESENVOLVIMENTO LTDA"/>
    <n v="13.866965888689407"/>
  </r>
  <r>
    <x v="5"/>
    <x v="3"/>
    <s v="COLCHÃO M.E."/>
    <s v="DIRETO"/>
    <x v="1"/>
    <s v="NADA"/>
    <s v="URUGUAI"/>
    <n v="55533"/>
    <n v="1525"/>
    <s v="2540022 TP ML FOLHAS IMAG 320G 2,10 DIVERSAS U"/>
    <s v="DIVINO COLCHONES"/>
    <s v="EX"/>
    <s v="COLCHAO ME"/>
    <m/>
    <s v="CONEXÃO MALHAS"/>
    <n v="45597"/>
    <m/>
    <m/>
    <n v="25572.87"/>
    <s v="MT "/>
    <n v="320"/>
    <m/>
    <n v="1174"/>
    <m/>
    <m/>
    <m/>
    <m/>
    <m/>
    <m/>
    <m/>
    <m/>
    <m/>
    <m/>
    <m/>
    <s v="DIVINO S.A"/>
    <s v="CONEXAO MALHAS E DESENVOLVIMENTO LTDA"/>
    <n v="21.782683134582623"/>
  </r>
  <r>
    <x v="5"/>
    <x v="3"/>
    <s v="COLCHÃO M.E."/>
    <s v="DIRETO"/>
    <x v="1"/>
    <s v="NADA"/>
    <s v="URUGUAI"/>
    <n v="55533"/>
    <n v="1504"/>
    <s v="2540018 TP ML DIV 7806 240G 2,10L DIVERSAS U"/>
    <s v="DIVINO COLCHONES"/>
    <s v="EX"/>
    <s v="COLCHAO ME"/>
    <m/>
    <s v="CONEXÃO MALHAS"/>
    <n v="45597"/>
    <m/>
    <m/>
    <n v="26885.26"/>
    <s v="MT "/>
    <n v="240"/>
    <m/>
    <n v="1572"/>
    <m/>
    <m/>
    <m/>
    <m/>
    <m/>
    <m/>
    <m/>
    <m/>
    <m/>
    <m/>
    <m/>
    <s v="DIVINO S.A"/>
    <s v="CONEXAO MALHAS E DESENVOLVIMENTO LTDA"/>
    <n v="17.102582697201015"/>
  </r>
  <r>
    <x v="5"/>
    <x v="3"/>
    <s v="COLCHÃO M.E."/>
    <s v="DIRETO"/>
    <x v="1"/>
    <s v="NADA"/>
    <s v="URUGUAI"/>
    <n v="55533"/>
    <n v="1236"/>
    <s v="2540005 TAMPO GEOMETRICO (A07370) DIVERSAS U"/>
    <s v="DIVINO COLCHONES"/>
    <s v="EX"/>
    <s v="COLCHAO ME"/>
    <m/>
    <s v="CONEXÃO MALHAS"/>
    <n v="45597"/>
    <m/>
    <m/>
    <n v="32275.35"/>
    <s v="MT "/>
    <n v="240"/>
    <m/>
    <n v="1596"/>
    <m/>
    <m/>
    <m/>
    <m/>
    <m/>
    <m/>
    <m/>
    <m/>
    <m/>
    <m/>
    <m/>
    <s v="DIVINO S.A"/>
    <s v="CONEXAO MALHAS E DESENVOLVIMENTO LTDA"/>
    <n v="20.22265037593985"/>
  </r>
  <r>
    <x v="5"/>
    <x v="3"/>
    <s v="COLCHÃO M.E."/>
    <s v="DIRETO"/>
    <x v="1"/>
    <s v="NADA"/>
    <s v="URUGUAI"/>
    <n v="55533"/>
    <n v="1225"/>
    <s v="2540012 TAMPO RASCUNHOS (A07820) DIVERSAS U"/>
    <s v="DIVINO COLCHONES"/>
    <s v="EX"/>
    <s v="COLCHAO ME"/>
    <m/>
    <s v="CONEXÃO MALHAS"/>
    <n v="45597"/>
    <m/>
    <m/>
    <n v="47459.67"/>
    <s v="MT "/>
    <n v="240"/>
    <m/>
    <n v="2775"/>
    <m/>
    <m/>
    <m/>
    <m/>
    <m/>
    <m/>
    <m/>
    <m/>
    <m/>
    <m/>
    <m/>
    <s v="DIVINO S.A"/>
    <s v="CONEXAO MALHAS E DESENVOLVIMENTO LTDA"/>
    <n v="17.102583783783782"/>
  </r>
  <r>
    <x v="5"/>
    <x v="3"/>
    <s v="COLCHÃO M.E."/>
    <s v="DIRETO"/>
    <x v="28"/>
    <s v="NADA"/>
    <s v="CHILE"/>
    <n v="55874"/>
    <n v="1904"/>
    <s v="2860004-ME TP RETAS DEGRADE 450G 2,20L DIVERSAS U"/>
    <s v="COMERCIALIZADORA SL SUNLOCK LTDA"/>
    <s v="EX"/>
    <s v="COLCHAO ME"/>
    <m/>
    <s v="DIRETO"/>
    <n v="45618"/>
    <m/>
    <m/>
    <n v="21411.77"/>
    <s v="MT "/>
    <n v="450"/>
    <m/>
    <n v="554"/>
    <m/>
    <m/>
    <m/>
    <m/>
    <m/>
    <m/>
    <m/>
    <m/>
    <m/>
    <m/>
    <m/>
    <s v="COMERCIALIZADORA SL SUNLOCK LTDA"/>
    <s v="CARLOS FIDENCIO D AVALOS RUIZ JUNIOR 34496952823"/>
    <n v="38.649404332129961"/>
  </r>
  <r>
    <x v="5"/>
    <x v="3"/>
    <s v="COLCHÃO M.E."/>
    <s v="DIRETO"/>
    <x v="28"/>
    <s v="NADA"/>
    <s v="CHILE"/>
    <n v="55874"/>
    <n v="2032"/>
    <s v="2860005 TP ML NEVOA 360G 2,15L DIVERSAS U"/>
    <s v="COMERCIALIZADORA SL SUNLOCK LTDA"/>
    <s v="EX"/>
    <s v="COLCHAO ME"/>
    <m/>
    <s v="DIRETO"/>
    <n v="45618"/>
    <m/>
    <m/>
    <n v="29476.959999999999"/>
    <s v="MT "/>
    <n v="360"/>
    <m/>
    <n v="1032"/>
    <m/>
    <m/>
    <m/>
    <m/>
    <m/>
    <m/>
    <m/>
    <m/>
    <m/>
    <m/>
    <m/>
    <s v="COMERCIALIZADORA SL SUNLOCK LTDA"/>
    <s v="CARLOS FIDENCIO D AVALOS RUIZ JUNIOR 34496952823"/>
    <n v="28.562945736434109"/>
  </r>
  <r>
    <x v="5"/>
    <x v="3"/>
    <s v="COLCHÃO M.E."/>
    <s v="DIRETO"/>
    <x v="24"/>
    <s v="NADA"/>
    <s v="EQUADOR"/>
    <n v="55971"/>
    <n v="2941"/>
    <s v="3260003-ME PARAISO DEL 320G 2,20L DIVERSAS U"/>
    <s v="PRODUCTOS PARAISO DEL ECUADOR"/>
    <s v="EX"/>
    <s v="COLCHAO ME"/>
    <m/>
    <s v="DIRETO"/>
    <n v="45622"/>
    <m/>
    <m/>
    <n v="35801.730000000003"/>
    <s v="MT "/>
    <n v="320"/>
    <m/>
    <n v="2469"/>
    <m/>
    <m/>
    <m/>
    <m/>
    <m/>
    <m/>
    <m/>
    <m/>
    <m/>
    <m/>
    <m/>
    <s v="PRODUCTOS PARAISO DEL ECUADOR"/>
    <s v="CARLOS FIDENCIO D AVALOS RUIZ JUNIOR 34496952823"/>
    <n v="14.500498177399757"/>
  </r>
  <r>
    <x v="5"/>
    <x v="3"/>
    <s v="COLCHÃO M.E."/>
    <s v="DIRETO"/>
    <x v="24"/>
    <s v="NADA"/>
    <s v="EQUADOR"/>
    <n v="55971"/>
    <n v="2950"/>
    <s v="3260005-PL ME 180G 2,10L DIVERSAS U"/>
    <s v="PRODUCTOS PARAISO DEL ECUADOR"/>
    <s v="EX"/>
    <s v="COLCHAO ME"/>
    <m/>
    <s v="DIRETO"/>
    <n v="45622"/>
    <m/>
    <m/>
    <n v="4910.22"/>
    <s v="MT "/>
    <n v="180"/>
    <m/>
    <n v="481"/>
    <m/>
    <m/>
    <m/>
    <m/>
    <m/>
    <m/>
    <m/>
    <m/>
    <m/>
    <m/>
    <m/>
    <s v="PRODUCTOS PARAISO DEL ECUADOR"/>
    <s v="CARLOS FIDENCIO D AVALOS RUIZ JUNIOR 34496952823"/>
    <n v="10.20835758835759"/>
  </r>
  <r>
    <x v="5"/>
    <x v="3"/>
    <s v="COLCHÃO M.E."/>
    <s v="DIRETO"/>
    <x v="24"/>
    <s v="NADA"/>
    <s v="EQUADOR"/>
    <n v="55971"/>
    <n v="3398"/>
    <s v="3260014 TELA ORIGENES 240G 2,20L DV U"/>
    <s v="PRODUCTOS PARAISO DEL ECUADOR"/>
    <s v="EX"/>
    <s v="COLCHAO ME"/>
    <m/>
    <s v="DIRETO"/>
    <n v="45622"/>
    <m/>
    <m/>
    <n v="16980.09"/>
    <s v="MT "/>
    <n v="240"/>
    <m/>
    <n v="1171"/>
    <m/>
    <m/>
    <m/>
    <m/>
    <m/>
    <m/>
    <m/>
    <m/>
    <m/>
    <m/>
    <m/>
    <s v="PRODUCTOS PARAISO DEL ECUADOR"/>
    <s v="CARLOS FIDENCIO D AVALOS RUIZ JUNIOR 34496952823"/>
    <n v="14.500503842869342"/>
  </r>
  <r>
    <x v="5"/>
    <x v="3"/>
    <s v="COLCHÃO M.E."/>
    <s v="DIRETO"/>
    <x v="18"/>
    <s v="NADA"/>
    <s v="URUGUAI"/>
    <n v="55980"/>
    <n v="2427"/>
    <s v="3030038 - MI 160G 2,10L DIVERSAS U"/>
    <s v="COLCHONES POLYMAX"/>
    <s v="EX"/>
    <s v="COLCHAO ME"/>
    <m/>
    <s v="DIRETO"/>
    <n v="45623"/>
    <m/>
    <m/>
    <n v="5427.86"/>
    <s v="MT "/>
    <n v="160"/>
    <m/>
    <n v="468"/>
    <m/>
    <m/>
    <m/>
    <m/>
    <m/>
    <m/>
    <m/>
    <m/>
    <m/>
    <m/>
    <m/>
    <s v="COLCHONES POLYMAX"/>
    <s v="CARLOS FIDENCIO D AVALOS RUIZ JUNIOR 34496952823"/>
    <n v="11.597991452991453"/>
  </r>
  <r>
    <x v="5"/>
    <x v="3"/>
    <s v="COLCHÃO M.E."/>
    <s v="DIRETO"/>
    <x v="18"/>
    <s v="NADA"/>
    <s v="URUGUAI"/>
    <n v="55980"/>
    <n v="3135"/>
    <s v="3030040 A09535 160G 2,10 DIVERSAS U"/>
    <s v="COLCHONES POLYMAX"/>
    <s v="EX"/>
    <s v="COLCHAO ME"/>
    <m/>
    <s v="DIRETO"/>
    <n v="45623"/>
    <m/>
    <m/>
    <n v="6497.78"/>
    <s v="MT "/>
    <n v="160"/>
    <m/>
    <n v="747"/>
    <m/>
    <m/>
    <m/>
    <m/>
    <m/>
    <m/>
    <m/>
    <m/>
    <m/>
    <m/>
    <m/>
    <s v="COLCHONES POLYMAX"/>
    <s v="CARLOS FIDENCIO D AVALOS RUIZ JUNIOR 34496952823"/>
    <n v="8.6985006693440425"/>
  </r>
  <r>
    <x v="5"/>
    <x v="3"/>
    <s v="COLCHÃO M.E."/>
    <s v="DIRETO"/>
    <x v="18"/>
    <s v="NADA"/>
    <s v="URUGUAI"/>
    <n v="55980"/>
    <n v="3511"/>
    <s v="3030066 TP ML 94001 200G 2,20L DV U"/>
    <s v="COLCHONES POLYMAX"/>
    <s v="EX"/>
    <s v="COLCHAO ME"/>
    <m/>
    <s v="DIRETO"/>
    <n v="45623"/>
    <m/>
    <m/>
    <n v="452.32"/>
    <s v="MT "/>
    <n v="200"/>
    <m/>
    <n v="52"/>
    <m/>
    <m/>
    <m/>
    <m/>
    <m/>
    <m/>
    <m/>
    <m/>
    <m/>
    <m/>
    <m/>
    <s v="COLCHONES POLYMAX"/>
    <s v="CARLOS FIDENCIO D AVALOS RUIZ JUNIOR 34496952823"/>
    <n v="8.6984615384615385"/>
  </r>
  <r>
    <x v="5"/>
    <x v="3"/>
    <s v="COLCHÃO M.E."/>
    <s v="DIRETO"/>
    <x v="18"/>
    <s v="NADA"/>
    <s v="URUGUAI"/>
    <n v="55980"/>
    <n v="3652"/>
    <s v="3030067 TP 0386003 180G 2,10L DV U"/>
    <s v="COLCHONES POLYMAX"/>
    <s v="EX"/>
    <s v="COLCHAO ME"/>
    <m/>
    <s v="DIRETO"/>
    <n v="45623"/>
    <m/>
    <m/>
    <n v="2394.9899999999998"/>
    <s v="MT "/>
    <n v="180"/>
    <m/>
    <n v="295"/>
    <m/>
    <m/>
    <m/>
    <m/>
    <m/>
    <m/>
    <m/>
    <m/>
    <m/>
    <m/>
    <m/>
    <s v="COLCHONES POLYMAX"/>
    <s v="CARLOS FIDENCIO D AVALOS RUIZ JUNIOR 34496952823"/>
    <n v="8.1186101694915251"/>
  </r>
  <r>
    <x v="5"/>
    <x v="3"/>
    <s v="COLCHÃO M.E."/>
    <s v="DIRETO"/>
    <x v="23"/>
    <s v="NADA"/>
    <s v="PARAGUAI"/>
    <n v="56074"/>
    <n v="3629"/>
    <s v="2920006 TP LATERAL BEIGE 280G 2,00L DV U"/>
    <s v="NM ESPUMA S.A."/>
    <s v="EX"/>
    <s v="COLCHAO ME"/>
    <m/>
    <s v="DIRETO"/>
    <n v="45626"/>
    <m/>
    <m/>
    <n v="9330.09"/>
    <s v="MT "/>
    <n v="280"/>
    <m/>
    <n v="539"/>
    <m/>
    <m/>
    <m/>
    <m/>
    <m/>
    <m/>
    <m/>
    <m/>
    <m/>
    <m/>
    <m/>
    <s v="NM ESPUMA S.A."/>
    <s v="CARLOS FIDENCIO D AVALOS RUIZ JUNIOR 34496952823"/>
    <n v="17.309999999999999"/>
  </r>
  <r>
    <x v="5"/>
    <x v="3"/>
    <s v="COLCHÃO M.E."/>
    <s v="DIRETO"/>
    <x v="23"/>
    <s v="NADA"/>
    <s v="PARAGUAI"/>
    <n v="56074"/>
    <n v="3628"/>
    <s v="2920011 TP LATERAL CAQUI 300G 2,10L DV U"/>
    <s v="NM ESPUMA S.A."/>
    <s v="EX"/>
    <s v="COLCHAO ME"/>
    <m/>
    <s v="DIRETO"/>
    <n v="45626"/>
    <m/>
    <m/>
    <n v="12200.49"/>
    <s v="MT "/>
    <n v="300"/>
    <m/>
    <n v="619"/>
    <m/>
    <m/>
    <m/>
    <m/>
    <m/>
    <m/>
    <m/>
    <m/>
    <m/>
    <m/>
    <m/>
    <s v="NM ESPUMA S.A."/>
    <s v="CARLOS FIDENCIO D AVALOS RUIZ JUNIOR 34496952823"/>
    <n v="19.71"/>
  </r>
  <r>
    <x v="6"/>
    <x v="3"/>
    <s v="COLCHÃO M.E."/>
    <s v="DIRETO"/>
    <x v="1"/>
    <s v="DIRETO"/>
    <s v="URUGUAI"/>
    <n v="56101"/>
    <n v="1523"/>
    <s v="32282 - TELA ANTIDESLIZANTE DIVERSAS U"/>
    <s v="DIVINO COLCHONES"/>
    <s v="EX"/>
    <s v="REVENDA ME"/>
    <m/>
    <s v="CONEXÃO MALHAS"/>
    <n v="45629"/>
    <m/>
    <m/>
    <n v="4632.8"/>
    <s v="MT "/>
    <m/>
    <m/>
    <n v="506"/>
    <m/>
    <m/>
    <m/>
    <m/>
    <m/>
    <m/>
    <m/>
    <m/>
    <m/>
    <m/>
    <m/>
    <s v="DIVINO S.A"/>
    <s v="CONEXAO MALHAS E DESENVOLVIMENTO LTDA"/>
    <n v="9.1557312252964422"/>
  </r>
  <r>
    <x v="6"/>
    <x v="3"/>
    <s v="COLCHÃO M.E."/>
    <s v="DIRETO"/>
    <x v="1"/>
    <s v="DIRETO"/>
    <s v="URUGUAI"/>
    <n v="56102"/>
    <n v="2054"/>
    <s v="2540026 TP ML 0072051 - 280G 2,20L DEGRA DIVERSAS U"/>
    <s v="DIVINO COLCHONES"/>
    <s v="EX"/>
    <s v="COLCHAO ME"/>
    <m/>
    <s v="CONEXÃO MALHAS"/>
    <n v="45629"/>
    <m/>
    <m/>
    <n v="19441.689999999999"/>
    <s v="MT "/>
    <n v="280"/>
    <m/>
    <n v="1002"/>
    <m/>
    <m/>
    <m/>
    <m/>
    <m/>
    <m/>
    <m/>
    <m/>
    <m/>
    <m/>
    <m/>
    <s v="DIVINO S.A"/>
    <s v="CONEXAO MALHAS E DESENVOLVIMENTO LTDA"/>
    <n v="19.402884231536923"/>
  </r>
  <r>
    <x v="6"/>
    <x v="3"/>
    <s v="COLCHÃO M.E."/>
    <s v="DIRETO"/>
    <x v="1"/>
    <s v="DIRETO"/>
    <s v="URUGUAI"/>
    <n v="56102"/>
    <n v="1506"/>
    <s v="2540017 TP ML A08980 280G 2,10L DIVERSAS U"/>
    <s v="DIVINO COLCHONES"/>
    <s v="EX"/>
    <s v="COLCHAO ME"/>
    <m/>
    <s v="CONEXÃO MALHAS"/>
    <n v="45629"/>
    <m/>
    <m/>
    <n v="22940.87"/>
    <s v="MT "/>
    <n v="280"/>
    <m/>
    <n v="1081"/>
    <m/>
    <m/>
    <m/>
    <m/>
    <m/>
    <m/>
    <m/>
    <m/>
    <m/>
    <m/>
    <m/>
    <s v="DIVINO S.A"/>
    <s v="CONEXAO MALHAS E DESENVOLVIMENTO LTDA"/>
    <n v="21.221896392229418"/>
  </r>
  <r>
    <x v="6"/>
    <x v="3"/>
    <s v="COLCHÃO M.E."/>
    <s v="DIRETO"/>
    <x v="1"/>
    <s v="DIRETO"/>
    <s v="URUGUAI"/>
    <n v="56102"/>
    <n v="2497"/>
    <s v="2540029 TP LUNA 230G 2,20L 0070001 DIVERSAS U"/>
    <s v="DIVINO COLCHONES"/>
    <s v="EX"/>
    <s v="COLCHAO ME"/>
    <m/>
    <s v="CONEXÃO MALHAS"/>
    <n v="45629"/>
    <m/>
    <m/>
    <n v="7756.3"/>
    <s v="MT "/>
    <n v="230"/>
    <m/>
    <n v="533"/>
    <m/>
    <m/>
    <m/>
    <m/>
    <m/>
    <m/>
    <m/>
    <m/>
    <m/>
    <m/>
    <m/>
    <s v="DIVINO S.A"/>
    <s v="CONEXAO MALHAS E DESENVOLVIMENTO LTDA"/>
    <n v="14.552157598499063"/>
  </r>
  <r>
    <x v="6"/>
    <x v="3"/>
    <s v="COLCHÃO M.E."/>
    <s v="DIRETO"/>
    <x v="1"/>
    <s v="DIRETO"/>
    <s v="URUGUAI"/>
    <n v="56102"/>
    <n v="1225"/>
    <s v="2540012 TAMPO RASCUNHOS (A07820) DIVERSAS U"/>
    <s v="DIVINO COLCHONES"/>
    <s v="EX"/>
    <s v="COLCHAO ME"/>
    <m/>
    <s v="CONEXÃO MALHAS"/>
    <n v="45629"/>
    <m/>
    <m/>
    <n v="4792.03"/>
    <s v="MT "/>
    <n v="240"/>
    <m/>
    <n v="267"/>
    <m/>
    <m/>
    <m/>
    <m/>
    <m/>
    <m/>
    <m/>
    <m/>
    <m/>
    <m/>
    <m/>
    <s v="DIVINO S.A"/>
    <s v="CONEXAO MALHAS E DESENVOLVIMENTO LTDA"/>
    <n v="17.94767790262172"/>
  </r>
  <r>
    <x v="6"/>
    <x v="3"/>
    <s v="COLCHÃO M.E."/>
    <s v="DIRETO"/>
    <x v="1"/>
    <s v="DIRETO"/>
    <s v="URUGUAI"/>
    <n v="56102"/>
    <n v="1504"/>
    <s v="2540018 TP ML DIV 7806 240G 2,10L DIVERSAS U"/>
    <s v="DIVINO COLCHONES"/>
    <s v="EX"/>
    <s v="COLCHAO ME"/>
    <m/>
    <s v="CONEXÃO MALHAS"/>
    <n v="45629"/>
    <m/>
    <m/>
    <n v="28823.95"/>
    <s v="MT "/>
    <n v="240"/>
    <m/>
    <n v="1606"/>
    <m/>
    <m/>
    <m/>
    <m/>
    <m/>
    <m/>
    <m/>
    <m/>
    <m/>
    <m/>
    <m/>
    <s v="DIVINO S.A"/>
    <s v="CONEXAO MALHAS E DESENVOLVIMENTO LTDA"/>
    <n v="17.94766500622665"/>
  </r>
  <r>
    <x v="6"/>
    <x v="3"/>
    <s v="COLCHÃO M.E."/>
    <s v="DIRETO"/>
    <x v="1"/>
    <s v="DIRETO"/>
    <s v="URUGUAI"/>
    <n v="56102"/>
    <n v="1236"/>
    <s v="2540005 TAMPO GEOMETRICO (A07370) DIVERSAS U"/>
    <s v="DIVINO COLCHONES"/>
    <s v="EX"/>
    <s v="COLCHAO ME"/>
    <m/>
    <s v="CONEXÃO MALHAS"/>
    <n v="45629"/>
    <m/>
    <m/>
    <n v="30517.09"/>
    <s v="MT "/>
    <n v="240"/>
    <m/>
    <n v="1438"/>
    <m/>
    <m/>
    <m/>
    <m/>
    <m/>
    <m/>
    <m/>
    <m/>
    <m/>
    <m/>
    <m/>
    <s v="DIVINO S.A"/>
    <s v="CONEXAO MALHAS E DESENVOLVIMENTO LTDA"/>
    <n v="21.221898470097358"/>
  </r>
  <r>
    <x v="6"/>
    <x v="3"/>
    <s v="COLCHÃO M.E."/>
    <s v="DIRETO"/>
    <x v="1"/>
    <s v="DIRETO"/>
    <s v="URUGUAI"/>
    <n v="56102"/>
    <n v="1225"/>
    <s v="2540012 TAMPO RASCUNHOS (A07820) DIVERSAS U"/>
    <s v="DIVINO COLCHONES"/>
    <s v="EX"/>
    <s v="COLCHAO ME"/>
    <m/>
    <s v="CONEXÃO MALHAS"/>
    <n v="45629"/>
    <m/>
    <m/>
    <n v="11935.2"/>
    <s v="MT "/>
    <n v="240"/>
    <m/>
    <n v="665"/>
    <m/>
    <m/>
    <m/>
    <m/>
    <m/>
    <m/>
    <m/>
    <m/>
    <m/>
    <m/>
    <m/>
    <s v="DIVINO S.A"/>
    <s v="CONEXAO MALHAS E DESENVOLVIMENTO LTDA"/>
    <n v="17.947669172932333"/>
  </r>
  <r>
    <x v="6"/>
    <x v="3"/>
    <s v="COLCHÃO M.E."/>
    <s v="DIRETO"/>
    <x v="9"/>
    <s v="DIRETO"/>
    <s v="CHILE"/>
    <n v="56222"/>
    <n v="1422"/>
    <s v="2810005 TP FOLHA 240G 2,20L (1121110) DIVERSAS U"/>
    <s v="FLEX CHILE"/>
    <s v="EX"/>
    <s v="COLCHAO ME"/>
    <m/>
    <s v="DIRETO"/>
    <n v="45635"/>
    <m/>
    <m/>
    <n v="7422.37"/>
    <s v="MT "/>
    <n v="240"/>
    <m/>
    <n v="435"/>
    <m/>
    <m/>
    <m/>
    <m/>
    <m/>
    <m/>
    <m/>
    <m/>
    <m/>
    <m/>
    <m/>
    <s v="FLEX CHILE"/>
    <s v="CARLOS FIDENCIO D AVALOS RUIZ JUNIOR 34496952823"/>
    <n v="17.062919540229885"/>
  </r>
  <r>
    <x v="6"/>
    <x v="3"/>
    <s v="COLCHÃO M.E."/>
    <s v="DIRETO"/>
    <x v="1"/>
    <s v="DIRETO"/>
    <s v="URUGUAI"/>
    <n v="56509"/>
    <n v="1226"/>
    <s v="2540015 TAMPO PONTILHADOS PRETO (A07803) DIVERSAS U"/>
    <s v="DIVINO COLCHONES"/>
    <s v="EX"/>
    <s v="COLCHAO ME"/>
    <m/>
    <s v="CONEXÃO MALHAS"/>
    <n v="45646"/>
    <m/>
    <m/>
    <n v="13005.16"/>
    <s v="MT "/>
    <n v="260"/>
    <m/>
    <n v="701"/>
    <m/>
    <m/>
    <m/>
    <m/>
    <m/>
    <m/>
    <m/>
    <m/>
    <m/>
    <m/>
    <m/>
    <s v="DIVINO S.A"/>
    <s v="CONEXAO MALHAS E DESENVOLVIMENTO LTDA"/>
    <n v="18.552296718972897"/>
  </r>
  <r>
    <x v="6"/>
    <x v="3"/>
    <s v="COLCHÃO M.E."/>
    <s v="DIRETO"/>
    <x v="1"/>
    <s v="DIRETO"/>
    <s v="URUGUAI"/>
    <n v="56509"/>
    <n v="1236"/>
    <s v="2540005 TAMPO GEOMETRICO (A07370) DIVERSAS U"/>
    <s v="DIVINO COLCHONES"/>
    <s v="EX"/>
    <s v="COLCHAO ME"/>
    <m/>
    <s v="CONEXÃO MALHAS"/>
    <n v="45646"/>
    <m/>
    <m/>
    <n v="26535.97"/>
    <s v="MT "/>
    <n v="240"/>
    <m/>
    <n v="1226"/>
    <m/>
    <m/>
    <m/>
    <m/>
    <m/>
    <m/>
    <m/>
    <m/>
    <m/>
    <m/>
    <m/>
    <s v="DIVINO S.A"/>
    <s v="CONEXAO MALHAS E DESENVOLVIMENTO LTDA"/>
    <n v="21.644347471451876"/>
  </r>
  <r>
    <x v="6"/>
    <x v="3"/>
    <s v="COLCHÃO M.E."/>
    <s v="DIRETO"/>
    <x v="1"/>
    <s v="DIRETO"/>
    <s v="URUGUAI"/>
    <n v="56509"/>
    <n v="1506"/>
    <s v="2540017 TP ML A08980 280G 2,10L DIVERSAS U"/>
    <s v="DIVINO COLCHONES"/>
    <s v="EX"/>
    <s v="COLCHAO ME"/>
    <m/>
    <s v="CONEXÃO MALHAS"/>
    <n v="45646"/>
    <m/>
    <m/>
    <n v="34890.69"/>
    <s v="MT "/>
    <n v="280"/>
    <m/>
    <n v="1612"/>
    <m/>
    <m/>
    <m/>
    <m/>
    <m/>
    <m/>
    <m/>
    <m/>
    <m/>
    <m/>
    <m/>
    <s v="DIVINO S.A"/>
    <s v="CONEXAO MALHAS E DESENVOLVIMENTO LTDA"/>
    <n v="21.644348635235733"/>
  </r>
  <r>
    <x v="6"/>
    <x v="3"/>
    <s v="COLCHÃO M.E."/>
    <s v="DIRETO"/>
    <x v="32"/>
    <s v="DIRETO"/>
    <s v="EQUADOR"/>
    <n v="56510"/>
    <n v="1523"/>
    <s v="32282 - TELA ANTIDESLIZANTE DIVERSAS U"/>
    <s v="CARPINTERIA Y TAPECERIA INTERNACIONAL CTIN"/>
    <s v="EX"/>
    <s v="COLCHAO ME"/>
    <m/>
    <s v="DIRETO"/>
    <n v="45646"/>
    <m/>
    <m/>
    <n v="4638.08"/>
    <s v="MT "/>
    <m/>
    <m/>
    <n v="500"/>
    <m/>
    <m/>
    <m/>
    <m/>
    <m/>
    <m/>
    <m/>
    <m/>
    <m/>
    <m/>
    <m/>
    <s v="CARPINTERIA Y TAPECERIA INTERNACIONAL CTIN"/>
    <s v="CARLOS FIDENCIO D AVALOS RUIZ JUNIOR 34496952823"/>
    <n v="9.2761599999999991"/>
  </r>
  <r>
    <x v="6"/>
    <x v="3"/>
    <s v="COLCHÃO M.E."/>
    <s v="DIRETO"/>
    <x v="32"/>
    <s v="DIRETO"/>
    <s v="EQUADOR"/>
    <n v="56511"/>
    <n v="3692"/>
    <s v="3460001 TP ML 0148071 360G 2,20L DV U"/>
    <s v="CARPINTERIA Y TAPECERIA INTERNACIONAL CTIN"/>
    <s v="EX"/>
    <s v="COLCHAO ME"/>
    <m/>
    <s v="DIRETO"/>
    <n v="45646"/>
    <m/>
    <m/>
    <n v="15503.54"/>
    <s v="MT "/>
    <n v="200"/>
    <m/>
    <n v="502"/>
    <m/>
    <m/>
    <m/>
    <m/>
    <m/>
    <m/>
    <m/>
    <m/>
    <m/>
    <m/>
    <m/>
    <s v="CARPINTERIA Y TAPECERIA INTERNACIONAL CTIN"/>
    <s v="CARLOS FIDENCIO D AVALOS RUIZ JUNIOR 34496952823"/>
    <n v="30.883545816733069"/>
  </r>
  <r>
    <x v="6"/>
    <x v="3"/>
    <s v="COLCHÃO M.E."/>
    <s v="DIRETO"/>
    <x v="32"/>
    <s v="DIRETO"/>
    <s v="EQUADOR"/>
    <n v="56511"/>
    <n v="3693"/>
    <s v="3460002 TP ML 0383001 200G 2,20L DV U"/>
    <s v="CARPINTERIA Y TAPECERIA INTERNACIONAL CTIN"/>
    <s v="EX"/>
    <s v="COLCHAO ME"/>
    <m/>
    <s v="DIRETO"/>
    <n v="45646"/>
    <m/>
    <m/>
    <n v="5339.6"/>
    <s v="MT "/>
    <n v="360"/>
    <m/>
    <n v="575"/>
    <m/>
    <m/>
    <m/>
    <m/>
    <m/>
    <m/>
    <m/>
    <m/>
    <m/>
    <m/>
    <m/>
    <s v="CARPINTERIA Y TAPECERIA INTERNACIONAL CTIN"/>
    <s v="CARLOS FIDENCIO D AVALOS RUIZ JUNIOR 34496952823"/>
    <n v="9.2862608695652185"/>
  </r>
  <r>
    <x v="6"/>
    <x v="3"/>
    <s v="COLCHÃO M.E."/>
    <s v="DIRETO"/>
    <x v="9"/>
    <s v="DIRETO"/>
    <s v="CHILE"/>
    <n v="56527"/>
    <n v="1422"/>
    <s v="2810005 TP FOLHA 240G 2,20L (1121110) DIVERSAS U"/>
    <s v="FLEX CHILE"/>
    <s v="EX"/>
    <s v="COLCHAO ME"/>
    <m/>
    <s v="DIRETO"/>
    <n v="45652"/>
    <m/>
    <m/>
    <n v="6966.44"/>
    <s v="MT "/>
    <n v="240"/>
    <m/>
    <n v="400"/>
    <m/>
    <m/>
    <m/>
    <m/>
    <m/>
    <m/>
    <m/>
    <m/>
    <m/>
    <m/>
    <m/>
    <s v="FLEX CHILE"/>
    <s v="CARLOS FIDENCIO D AVALOS RUIZ JUNIOR 34496952823"/>
    <n v="17.4161"/>
  </r>
  <r>
    <x v="6"/>
    <x v="3"/>
    <s v="COLCHÃO M.E."/>
    <s v="DIRETO"/>
    <x v="9"/>
    <s v="DIRETO"/>
    <s v="CHILE"/>
    <n v="56527"/>
    <n v="1419"/>
    <s v="2810009 TP MESCLA 180G 2,20L (1122580) DIVERSAS U"/>
    <s v="FLEX CHILE"/>
    <s v="EX"/>
    <s v="COLCHAO ME"/>
    <m/>
    <s v="DIRETO"/>
    <n v="45652"/>
    <m/>
    <m/>
    <n v="66007.34"/>
    <s v="MT "/>
    <n v="180"/>
    <m/>
    <n v="4767"/>
    <m/>
    <m/>
    <m/>
    <m/>
    <m/>
    <m/>
    <m/>
    <m/>
    <m/>
    <m/>
    <m/>
    <s v="FLEX CHILE"/>
    <s v="CARLOS FIDENCIO D AVALOS RUIZ JUNIOR 34496952823"/>
    <n v="13.846725403817914"/>
  </r>
  <r>
    <x v="6"/>
    <x v="3"/>
    <s v="COLCHÃO M.E."/>
    <s v="DIRETO"/>
    <x v="1"/>
    <s v="DIRETO"/>
    <s v="URUGUAI"/>
    <n v="56528"/>
    <n v="1225"/>
    <s v="2540012 TAMPO RASCUNHOS (A07820) DIVERSAS U"/>
    <s v="DIVINO COLCHONES"/>
    <s v="EX"/>
    <s v="COLCHAO ME"/>
    <m/>
    <s v="CONEXÃO MALHAS"/>
    <n v="45652"/>
    <m/>
    <m/>
    <n v="44192.35"/>
    <s v="MT "/>
    <n v="240"/>
    <m/>
    <n v="2426"/>
    <m/>
    <m/>
    <m/>
    <m/>
    <m/>
    <m/>
    <m/>
    <m/>
    <m/>
    <m/>
    <m/>
    <s v="DIVINO S.A"/>
    <s v="CONEXAO MALHAS E DESENVOLVIMENTO LTDA"/>
    <n v="18.21613767518549"/>
  </r>
  <r>
    <x v="6"/>
    <x v="3"/>
    <s v="COLCHÃO M.E."/>
    <s v="DIRETO"/>
    <x v="1"/>
    <s v="DIRETO"/>
    <s v="URUGUAI"/>
    <n v="56528"/>
    <n v="3589"/>
    <s v="2540033 TP ML 132012 340G 2,20L DV U"/>
    <s v="DIVINO COLCHONES"/>
    <s v="EX"/>
    <s v="COLCHAO ME"/>
    <m/>
    <s v="CONEXÃO MALHAS"/>
    <n v="45652"/>
    <m/>
    <m/>
    <n v="12122.35"/>
    <s v="MT "/>
    <n v="340"/>
    <m/>
    <n v="469"/>
    <m/>
    <m/>
    <m/>
    <m/>
    <m/>
    <m/>
    <m/>
    <m/>
    <m/>
    <m/>
    <m/>
    <s v="DIVINO S.A"/>
    <s v="CONEXAO MALHAS E DESENVOLVIMENTO LTDA"/>
    <n v="25.847228144989341"/>
  </r>
  <r>
    <x v="6"/>
    <x v="3"/>
    <s v="COLCHÃO M.E."/>
    <s v="DIRETO"/>
    <x v="33"/>
    <s v="DIRETO"/>
    <s v="ARGENTINA"/>
    <n v="56529"/>
    <n v="3698"/>
    <s v="3470001 TP ML 405002 220G 2,20L DV U"/>
    <s v="SIMMONS DE ARGENTINA SAIC"/>
    <s v="EX"/>
    <s v="COLCHAO ME"/>
    <m/>
    <s v="DIRETO"/>
    <n v="45652"/>
    <m/>
    <m/>
    <n v="80838"/>
    <s v="MT "/>
    <n v="220"/>
    <m/>
    <n v="6025.52"/>
    <m/>
    <m/>
    <m/>
    <m/>
    <m/>
    <m/>
    <m/>
    <m/>
    <m/>
    <m/>
    <m/>
    <s v="SIMMONS DE ARGENTINA SAIC"/>
    <s v="CARLOS FIDENCIO D AVALOS RUIZ JUNIOR 34496952823"/>
    <n v="13.415937545639213"/>
  </r>
  <r>
    <x v="6"/>
    <x v="3"/>
    <s v="COLCHÃO M.E."/>
    <s v="DIRETO"/>
    <x v="33"/>
    <s v="DIRETO"/>
    <s v="ARGENTINA"/>
    <n v="56529"/>
    <n v="3699"/>
    <s v="3470003 TP ML 301002 260G 2,20L DV U"/>
    <s v="SIMMONS DE ARGENTINA SAIC"/>
    <s v="EX"/>
    <s v="COLCHAO ME"/>
    <m/>
    <s v="DIRETO"/>
    <n v="45652"/>
    <m/>
    <m/>
    <n v="32524.66"/>
    <s v="MT "/>
    <n v="260"/>
    <m/>
    <n v="2888"/>
    <m/>
    <m/>
    <m/>
    <m/>
    <m/>
    <m/>
    <m/>
    <m/>
    <m/>
    <m/>
    <m/>
    <s v="SIMMONS DE ARGENTINA SAIC"/>
    <s v="CARLOS FIDENCIO D AVALOS RUIZ JUNIOR 34496952823"/>
    <n v="11.26200138504155"/>
  </r>
  <r>
    <x v="6"/>
    <x v="3"/>
    <s v="COLCHÃO M.E."/>
    <s v="DIRETO"/>
    <x v="33"/>
    <s v="DIRETO"/>
    <s v="ARGENTINA"/>
    <n v="56529"/>
    <n v="3697"/>
    <s v="3470002 TP ML 404001 260G 2,20L DV U"/>
    <s v="SIMMONS DE ARGENTINA SAIC"/>
    <s v="EX"/>
    <s v="COLCHAO ME"/>
    <m/>
    <s v="DIRETO"/>
    <n v="45652"/>
    <m/>
    <m/>
    <n v="40065.65"/>
    <s v="MT "/>
    <n v="260"/>
    <m/>
    <n v="2504"/>
    <m/>
    <m/>
    <m/>
    <m/>
    <m/>
    <m/>
    <m/>
    <m/>
    <m/>
    <m/>
    <m/>
    <s v="SIMMONS DE ARGENTINA SAIC"/>
    <s v="CARLOS FIDENCIO D AVALOS RUIZ JUNIOR 34496952823"/>
    <n v="16.000658945686901"/>
  </r>
  <r>
    <x v="6"/>
    <x v="3"/>
    <s v="COLCHÃO M.E."/>
    <s v="DIRETO"/>
    <x v="24"/>
    <s v="DIRETO"/>
    <s v="EQUADOR"/>
    <n v="56540"/>
    <n v="2941"/>
    <s v="3260003-ME PARAISO DEL 320G 2,20L DIVERSAS U"/>
    <s v="PRODUCTOS PARAISO DEL ECUADOR"/>
    <s v="EX"/>
    <s v="COLCHAO ME"/>
    <m/>
    <s v="DIRETO"/>
    <n v="45652"/>
    <m/>
    <m/>
    <n v="8017.81"/>
    <s v="MT "/>
    <n v="320"/>
    <m/>
    <n v="521.13599999999997"/>
    <m/>
    <m/>
    <m/>
    <m/>
    <m/>
    <m/>
    <m/>
    <m/>
    <m/>
    <m/>
    <m/>
    <s v="PRODUCTOS PARAISO DEL ECUADOR"/>
    <s v="CARLOS FIDENCIO D AVALOS RUIZ JUNIOR 34496952823"/>
    <n v="15.38525452089282"/>
  </r>
  <r>
    <x v="6"/>
    <x v="3"/>
    <s v="COLCHÃO M.E."/>
    <s v="DIRETO"/>
    <x v="1"/>
    <s v="DIRETO"/>
    <s v="URUGUAI"/>
    <n v="56541"/>
    <n v="1523"/>
    <s v="32282 - TELA ANTIDESLIZANTE DIVERSAS U"/>
    <s v="DIVINO COLCHONES"/>
    <s v="EX"/>
    <s v="REVENDA ME"/>
    <m/>
    <s v="CONEXÃO MALHAS"/>
    <n v="45652"/>
    <m/>
    <m/>
    <n v="10017.52"/>
    <s v="MT "/>
    <m/>
    <m/>
    <n v="1078"/>
    <m/>
    <m/>
    <m/>
    <m/>
    <m/>
    <m/>
    <m/>
    <m/>
    <m/>
    <m/>
    <m/>
    <s v="DIVINO S.A"/>
    <s v="CONEXAO MALHAS E DESENVOLVIMENTO LTDA"/>
    <n v="9.2926901669758823"/>
  </r>
  <r>
    <x v="6"/>
    <x v="3"/>
    <s v="COLCHÃO M.E."/>
    <s v="DIRETO"/>
    <x v="28"/>
    <s v="DIRETO"/>
    <s v="CHILE"/>
    <n v="56543"/>
    <n v="3397"/>
    <s v="2860015 TP A09682 GRIS 2 370G 2,20L DV U"/>
    <s v="COMERCIALIZADORA SL SUNLOCK LTDA"/>
    <s v="EX"/>
    <s v="COLCHAO ME"/>
    <m/>
    <s v="DIRETO"/>
    <n v="45652"/>
    <m/>
    <m/>
    <n v="17472.72"/>
    <s v="MT "/>
    <n v="380"/>
    <m/>
    <n v="546"/>
    <m/>
    <m/>
    <m/>
    <m/>
    <m/>
    <m/>
    <m/>
    <m/>
    <m/>
    <m/>
    <m/>
    <s v="COMERCIALIZADORA SL SUNLOCK LTDA"/>
    <s v="CARLOS FIDENCIO D AVALOS RUIZ JUNIOR 34496952823"/>
    <n v="32.001318681318686"/>
  </r>
  <r>
    <x v="6"/>
    <x v="3"/>
    <s v="COLCHÃO M.E."/>
    <s v="DIRETO"/>
    <x v="21"/>
    <s v="DIRETO"/>
    <s v="PARAGUAI"/>
    <n v="56544"/>
    <n v="3700"/>
    <s v="3200013 TP ML A09969 180G 2,10L DV U"/>
    <s v="SUPERESPUMA"/>
    <s v="EX"/>
    <s v="COLCHAO ME"/>
    <m/>
    <s v="DIRETO"/>
    <n v="45652"/>
    <m/>
    <m/>
    <n v="3821.33"/>
    <s v="MT "/>
    <n v="180"/>
    <m/>
    <n v="474"/>
    <m/>
    <m/>
    <m/>
    <m/>
    <m/>
    <m/>
    <m/>
    <m/>
    <m/>
    <m/>
    <m/>
    <s v="SUPERSPUMA DEL PARAGUAY S.A.E.C.A"/>
    <s v="CARLOS FIDENCIO D AVALOS RUIZ JUNIOR 34496952823"/>
    <n v="8.0618776371308023"/>
  </r>
  <r>
    <x v="6"/>
    <x v="3"/>
    <s v="COLCHÃO M.E."/>
    <s v="DIRETO"/>
    <x v="21"/>
    <s v="DIRETO"/>
    <s v="PARAGUAI"/>
    <n v="56544"/>
    <n v="3702"/>
    <s v="3200015 TP ML A09971 180G 2,10L DV U"/>
    <s v="SUPERESPUMA"/>
    <s v="EX"/>
    <s v="COLCHAO ME"/>
    <m/>
    <s v="DIRETO"/>
    <n v="45652"/>
    <m/>
    <m/>
    <n v="6572.58"/>
    <s v="MT "/>
    <n v="180"/>
    <m/>
    <n v="534"/>
    <m/>
    <m/>
    <m/>
    <m/>
    <m/>
    <m/>
    <m/>
    <m/>
    <m/>
    <m/>
    <m/>
    <s v="SUPERSPUMA DEL PARAGUAY S.A.E.C.A"/>
    <s v="CARLOS FIDENCIO D AVALOS RUIZ JUNIOR 34496952823"/>
    <n v="12.30820224719101"/>
  </r>
  <r>
    <x v="6"/>
    <x v="3"/>
    <s v="COLCHÃO M.E."/>
    <s v="DIRETO"/>
    <x v="21"/>
    <s v="DIRETO"/>
    <s v="PARAGUAI"/>
    <n v="56544"/>
    <n v="3701"/>
    <s v="3200014 TP ML A09970 180G 2,10L DV U"/>
    <s v="SUPERESPUMA"/>
    <s v="EX"/>
    <s v="COLCHAO ME"/>
    <m/>
    <s v="DIRETO"/>
    <n v="45652"/>
    <m/>
    <m/>
    <n v="4315.1899999999996"/>
    <s v="MT "/>
    <n v="180"/>
    <m/>
    <n v="477"/>
    <m/>
    <m/>
    <m/>
    <m/>
    <m/>
    <m/>
    <m/>
    <m/>
    <m/>
    <m/>
    <m/>
    <s v="SUPERSPUMA DEL PARAGUAY S.A.E.C.A"/>
    <s v="CARLOS FIDENCIO D AVALOS RUIZ JUNIOR 34496952823"/>
    <n v="9.0465199161425573"/>
  </r>
  <r>
    <x v="6"/>
    <x v="3"/>
    <s v="COLCHÃO M.E."/>
    <s v="DIRETO"/>
    <x v="21"/>
    <s v="DIRETO"/>
    <s v="PARAGUAI"/>
    <n v="56544"/>
    <n v="1761"/>
    <s v="3200008 TP ML IMPULSE GRAY 280G 2,10L DIVERSAS U"/>
    <s v="SUPERESPUMA"/>
    <s v="EX"/>
    <s v="COLCHAO ME"/>
    <m/>
    <s v="DIRETO"/>
    <n v="45652"/>
    <m/>
    <m/>
    <n v="14928.12"/>
    <s v="MT "/>
    <n v="280"/>
    <m/>
    <n v="814"/>
    <m/>
    <m/>
    <m/>
    <m/>
    <m/>
    <m/>
    <m/>
    <m/>
    <m/>
    <m/>
    <m/>
    <s v="SUPERSPUMA DEL PARAGUAY S.A.E.C.A"/>
    <s v="CARLOS FIDENCIO D AVALOS RUIZ JUNIOR 34496952823"/>
    <n v="18.339213759213759"/>
  </r>
  <r>
    <x v="6"/>
    <x v="3"/>
    <s v="COLCHÃO M.E."/>
    <s v="DIRETO"/>
    <x v="21"/>
    <s v="DIRETO"/>
    <s v="PARAGUAI"/>
    <n v="56544"/>
    <n v="3274"/>
    <s v="3200011-ME 200G 2,20L DIVERSAS U"/>
    <s v="SUPERESPUMA"/>
    <s v="EX"/>
    <s v="COLCHAO ME"/>
    <m/>
    <s v="DIRETO"/>
    <n v="45652"/>
    <m/>
    <m/>
    <n v="4197.1000000000004"/>
    <s v="MT "/>
    <n v="220"/>
    <m/>
    <n v="310"/>
    <m/>
    <m/>
    <m/>
    <m/>
    <m/>
    <m/>
    <m/>
    <m/>
    <m/>
    <m/>
    <m/>
    <s v="SUPERSPUMA DEL PARAGUAY S.A.E.C.A"/>
    <s v="CARLOS FIDENCIO D AVALOS RUIZ JUNIOR 34496952823"/>
    <n v="13.539032258064518"/>
  </r>
  <r>
    <x v="6"/>
    <x v="3"/>
    <s v="COLCHÃO M.E."/>
    <s v="DIRETO"/>
    <x v="21"/>
    <s v="DIRETO"/>
    <s v="PARAGUAI"/>
    <n v="56544"/>
    <n v="3270"/>
    <s v="3200012-ME 220G 2,20L DIVERSAS U"/>
    <s v="SUPERESPUMA"/>
    <s v="EX"/>
    <s v="COLCHAO ME"/>
    <m/>
    <s v="DIRETO"/>
    <n v="45652"/>
    <m/>
    <m/>
    <n v="5564.54"/>
    <s v="MT "/>
    <n v="220"/>
    <m/>
    <n v="411"/>
    <m/>
    <m/>
    <m/>
    <m/>
    <m/>
    <m/>
    <m/>
    <m/>
    <m/>
    <m/>
    <m/>
    <s v="SUPERSPUMA DEL PARAGUAY S.A.E.C.A"/>
    <s v="CARLOS FIDENCIO D AVALOS RUIZ JUNIOR 34496952823"/>
    <n v="13.539026763990268"/>
  </r>
  <r>
    <x v="6"/>
    <x v="3"/>
    <s v="COLCHÃO M.E."/>
    <s v="DIRETO"/>
    <x v="21"/>
    <s v="DIRETO"/>
    <s v="PARAGUAI"/>
    <n v="56544"/>
    <n v="1761"/>
    <s v="3200008 TP ML IMPULSE GRAY 280G 2,10L DIVERSAS U"/>
    <s v="SUPERESPUMA"/>
    <s v="EX"/>
    <s v="COLCHAO ME"/>
    <m/>
    <s v="DIRETO"/>
    <n v="45652"/>
    <m/>
    <m/>
    <n v="9151.27"/>
    <s v="MT "/>
    <n v="280"/>
    <m/>
    <n v="499"/>
    <m/>
    <m/>
    <m/>
    <m/>
    <m/>
    <m/>
    <m/>
    <m/>
    <m/>
    <m/>
    <m/>
    <s v="SUPERSPUMA DEL PARAGUAY S.A.E.C.A"/>
    <s v="CARLOS FIDENCIO D AVALOS RUIZ JUNIOR 34496952823"/>
    <n v="18.339218436873747"/>
  </r>
  <r>
    <x v="7"/>
    <x v="4"/>
    <s v="COLCHÃO M.E."/>
    <s v="DIRETO"/>
    <x v="9"/>
    <s v="NADA"/>
    <s v="CHILE"/>
    <n v="56569"/>
    <n v="1419"/>
    <s v="2810009 TP MESCLA 180G 2,20L (1122580) DIVERSAS U"/>
    <s v="FLEX CHILE"/>
    <s v="EX"/>
    <s v="COLCHAO ME"/>
    <m/>
    <s v="DIRETO"/>
    <n v="45666"/>
    <m/>
    <m/>
    <n v="5725.85"/>
    <s v="MT "/>
    <n v="180"/>
    <m/>
    <n v="415"/>
    <m/>
    <m/>
    <m/>
    <m/>
    <m/>
    <m/>
    <m/>
    <m/>
    <m/>
    <m/>
    <m/>
    <s v="FLEX CHILE"/>
    <s v="CARLOS FIDENCIO D AVALOS RUIZ JUNIOR 34496952823"/>
    <n v="13.797228915662652"/>
  </r>
  <r>
    <x v="7"/>
    <x v="4"/>
    <s v="COLCHÃO M.E."/>
    <s v="DIRETO"/>
    <x v="9"/>
    <s v="NADA"/>
    <s v="CHILE"/>
    <n v="56569"/>
    <n v="1422"/>
    <s v="2810005 TP FOLHA 240G 2,20L (1121110) DIVERSAS U"/>
    <s v="FLEX CHILE"/>
    <s v="EX"/>
    <s v="COLCHAO ME"/>
    <m/>
    <s v="DIRETO"/>
    <n v="45666"/>
    <m/>
    <m/>
    <n v="23264.560000000001"/>
    <s v="MT "/>
    <n v="240"/>
    <m/>
    <n v="1340.6"/>
    <m/>
    <m/>
    <m/>
    <m/>
    <m/>
    <m/>
    <m/>
    <m/>
    <m/>
    <m/>
    <m/>
    <s v="FLEX CHILE"/>
    <s v="CARLOS FIDENCIO D AVALOS RUIZ JUNIOR 34496952823"/>
    <n v="17.35384156347904"/>
  </r>
  <r>
    <x v="7"/>
    <x v="4"/>
    <s v="COLCHÃO M.E."/>
    <s v="DIRETO"/>
    <x v="9"/>
    <s v="NADA"/>
    <s v="CHILE"/>
    <n v="56569"/>
    <n v="3512"/>
    <s v="2810012 TP ML A09887 340G 2,20L DV U"/>
    <s v="FLEX CHILE"/>
    <s v="EX"/>
    <s v="COLCHAO ME"/>
    <m/>
    <s v="DIRETO"/>
    <n v="45666"/>
    <m/>
    <m/>
    <n v="12975.52"/>
    <s v="MT "/>
    <n v="340"/>
    <m/>
    <n v="575"/>
    <m/>
    <m/>
    <m/>
    <m/>
    <m/>
    <m/>
    <m/>
    <m/>
    <m/>
    <m/>
    <m/>
    <s v="FLEX CHILE"/>
    <s v="CARLOS FIDENCIO D AVALOS RUIZ JUNIOR 34496952823"/>
    <n v="22.566121739130434"/>
  </r>
  <r>
    <x v="7"/>
    <x v="4"/>
    <s v="COLCHÃO M.E."/>
    <s v="DIRETO"/>
    <x v="1"/>
    <s v="NADA"/>
    <s v="URUGUAI"/>
    <n v="56691"/>
    <n v="3712"/>
    <s v="2540035 TP ML A10045 280G 2,20L DV U"/>
    <s v="DIVINO COLCHONES"/>
    <s v="EX"/>
    <s v="COLCHAO ME"/>
    <m/>
    <s v="CONEXÃO MALHAS"/>
    <n v="45679"/>
    <m/>
    <m/>
    <n v="9811.9500000000007"/>
    <s v="MT "/>
    <n v="280"/>
    <m/>
    <n v="522"/>
    <m/>
    <m/>
    <m/>
    <m/>
    <m/>
    <m/>
    <m/>
    <m/>
    <m/>
    <m/>
    <m/>
    <s v="DIVINO S.A"/>
    <s v="CONEXAO MALHAS E DESENVOLVIMENTO LTDA"/>
    <n v="18.796839080459772"/>
  </r>
  <r>
    <x v="7"/>
    <x v="4"/>
    <s v="COLCHÃO M.E."/>
    <s v="DIRETO"/>
    <x v="29"/>
    <s v="NADA"/>
    <s v="COLOMBIA"/>
    <n v="56707"/>
    <n v="3334"/>
    <s v="3380001 TP ML A09874 260G 2,20L DV U"/>
    <s v="ESPUMAS PLASTICAS SAS - COMODISIMO"/>
    <s v="EX"/>
    <s v="COLCHAO ME"/>
    <m/>
    <s v="DIRETO"/>
    <n v="45680"/>
    <m/>
    <m/>
    <n v="60369.8"/>
    <s v="MT "/>
    <n v="260"/>
    <m/>
    <n v="5188"/>
    <m/>
    <m/>
    <m/>
    <m/>
    <m/>
    <m/>
    <m/>
    <m/>
    <m/>
    <m/>
    <m/>
    <s v="ESPUMAS PLASTICAS SAS - COMODISIMO"/>
    <s v="CARLOS FIDENCIO D AVALOS RUIZ JUNIOR 34496952823"/>
    <n v="11.636430223592907"/>
  </r>
  <r>
    <x v="7"/>
    <x v="4"/>
    <s v="COLCHÃO M.E."/>
    <s v="DIRETO"/>
    <x v="21"/>
    <s v="NADA"/>
    <s v="PARAGUAI"/>
    <n v="56743"/>
    <n v="3700"/>
    <s v="3200013 TP ML A09969 180G 2,10L DV U"/>
    <s v="SUPERESPUMA"/>
    <s v="EX"/>
    <s v="COLCHAO ME"/>
    <m/>
    <s v="DIRETO"/>
    <n v="45684"/>
    <m/>
    <m/>
    <n v="3658.89"/>
    <s v="MT "/>
    <n v="180"/>
    <m/>
    <n v="474"/>
    <m/>
    <m/>
    <m/>
    <m/>
    <m/>
    <m/>
    <m/>
    <m/>
    <m/>
    <m/>
    <m/>
    <s v="SUPERSPUMA DEL PARAGUAY S.A.E.C.A"/>
    <s v="CARLOS FIDENCIO D AVALOS RUIZ JUNIOR 34496952823"/>
    <n v="7.7191772151898732"/>
  </r>
  <r>
    <x v="7"/>
    <x v="4"/>
    <s v="COLCHÃO M.E."/>
    <s v="DIRETO"/>
    <x v="21"/>
    <s v="NADA"/>
    <s v="PARAGUAI"/>
    <n v="56743"/>
    <n v="3702"/>
    <s v="3200015 TP ML A09971 180G 2,10L DV U"/>
    <s v="SUPERESPUMA"/>
    <s v="EX"/>
    <s v="COLCHAO ME"/>
    <m/>
    <s v="DIRETO"/>
    <n v="45684"/>
    <m/>
    <m/>
    <n v="6293.19"/>
    <s v="MT "/>
    <n v="180"/>
    <m/>
    <n v="534"/>
    <m/>
    <m/>
    <m/>
    <m/>
    <m/>
    <m/>
    <m/>
    <m/>
    <m/>
    <m/>
    <m/>
    <s v="SUPERSPUMA DEL PARAGUAY S.A.E.C.A"/>
    <s v="CARLOS FIDENCIO D AVALOS RUIZ JUNIOR 34496952823"/>
    <n v="11.784999999999998"/>
  </r>
  <r>
    <x v="7"/>
    <x v="4"/>
    <s v="COLCHÃO M.E."/>
    <s v="DIRETO"/>
    <x v="21"/>
    <s v="NADA"/>
    <s v="PARAGUAI"/>
    <n v="56743"/>
    <n v="3701"/>
    <s v="3200014 TP ML A09970 180G 2,10L DV U"/>
    <s v="SUPERESPUMA"/>
    <s v="EX"/>
    <s v="COLCHAO ME"/>
    <m/>
    <s v="DIRETO"/>
    <n v="45684"/>
    <m/>
    <m/>
    <n v="4131.76"/>
    <s v="MT "/>
    <n v="180"/>
    <m/>
    <n v="477"/>
    <m/>
    <m/>
    <m/>
    <m/>
    <m/>
    <m/>
    <m/>
    <m/>
    <m/>
    <m/>
    <m/>
    <s v="SUPERSPUMA DEL PARAGUAY S.A.E.C.A"/>
    <s v="CARLOS FIDENCIO D AVALOS RUIZ JUNIOR 34496952823"/>
    <n v="8.6619706498951778"/>
  </r>
  <r>
    <x v="7"/>
    <x v="4"/>
    <s v="COLCHÃO M.E."/>
    <s v="DIRETO"/>
    <x v="21"/>
    <s v="NADA"/>
    <s v="PARAGUAI"/>
    <n v="56743"/>
    <n v="3274"/>
    <s v="3200011-ME 220G 2,20L DV U"/>
    <s v="SUPERESPUMA"/>
    <s v="EX"/>
    <s v="COLCHAO ME"/>
    <m/>
    <s v="DIRETO"/>
    <n v="45684"/>
    <m/>
    <m/>
    <n v="4018.69"/>
    <s v="MT "/>
    <n v="220"/>
    <m/>
    <n v="310"/>
    <m/>
    <m/>
    <m/>
    <m/>
    <m/>
    <m/>
    <m/>
    <m/>
    <m/>
    <m/>
    <m/>
    <s v="SUPERSPUMA DEL PARAGUAY S.A.E.C.A"/>
    <s v="CARLOS FIDENCIO D AVALOS RUIZ JUNIOR 34496952823"/>
    <n v="12.963516129032259"/>
  </r>
  <r>
    <x v="7"/>
    <x v="4"/>
    <s v="COLCHÃO M.E."/>
    <s v="DIRETO"/>
    <x v="21"/>
    <s v="NADA"/>
    <s v="PARAGUAI"/>
    <n v="56743"/>
    <n v="3270"/>
    <s v="3200012-ME 220G 2,20L DIVERSAS U"/>
    <s v="SUPERESPUMA"/>
    <s v="EX"/>
    <s v="COLCHAO ME"/>
    <m/>
    <s v="DIRETO"/>
    <n v="45684"/>
    <m/>
    <m/>
    <n v="5328"/>
    <s v="MT "/>
    <n v="220"/>
    <m/>
    <n v="411"/>
    <m/>
    <m/>
    <m/>
    <m/>
    <m/>
    <m/>
    <m/>
    <m/>
    <m/>
    <m/>
    <m/>
    <s v="SUPERSPUMA DEL PARAGUAY S.A.E.C.A"/>
    <s v="CARLOS FIDENCIO D AVALOS RUIZ JUNIOR 34496952823"/>
    <n v="12.963503649635037"/>
  </r>
  <r>
    <x v="7"/>
    <x v="4"/>
    <s v="COLCHÃO M.E."/>
    <s v="DIRETO"/>
    <x v="21"/>
    <s v="NADA"/>
    <s v="PARAGUAI"/>
    <n v="56743"/>
    <n v="1761"/>
    <s v="3200008 TP ML IMPULSE GRAY 280G 2,10L DIVERSAS U"/>
    <s v="SUPERESPUMA"/>
    <s v="EX"/>
    <s v="COLCHAO ME"/>
    <m/>
    <s v="DIRETO"/>
    <n v="45684"/>
    <m/>
    <m/>
    <n v="14276"/>
    <s v="MT "/>
    <n v="280"/>
    <m/>
    <n v="813"/>
    <m/>
    <m/>
    <m/>
    <m/>
    <m/>
    <m/>
    <m/>
    <m/>
    <m/>
    <m/>
    <m/>
    <s v="SUPERSPUMA DEL PARAGUAY S.A.E.C.A"/>
    <s v="CARLOS FIDENCIO D AVALOS RUIZ JUNIOR 34496952823"/>
    <n v="17.559655596555967"/>
  </r>
  <r>
    <x v="7"/>
    <x v="4"/>
    <s v="COLCHÃO M.E."/>
    <s v="DIRETO"/>
    <x v="9"/>
    <s v="NADA"/>
    <s v="CHILE"/>
    <n v="56774"/>
    <n v="1419"/>
    <s v="2810009 TP MESCLA 180G 2,20L (1122580) DIVERSAS U"/>
    <s v="FLEX CHILE"/>
    <s v="EX"/>
    <s v="COLCHAO ME"/>
    <m/>
    <s v="DIRETO"/>
    <n v="45686"/>
    <m/>
    <m/>
    <n v="6881.55"/>
    <s v="MT "/>
    <n v="180"/>
    <m/>
    <n v="519"/>
    <m/>
    <m/>
    <m/>
    <m/>
    <m/>
    <m/>
    <m/>
    <m/>
    <m/>
    <m/>
    <m/>
    <s v="FLEX CHILE"/>
    <s v="CARLOS FIDENCIO D AVALOS RUIZ JUNIOR 34496952823"/>
    <n v="13.259248554913295"/>
  </r>
  <r>
    <x v="7"/>
    <x v="4"/>
    <s v="COLCHÃO M.E."/>
    <s v="DIRETO"/>
    <x v="9"/>
    <s v="NADA"/>
    <s v="CHILE"/>
    <n v="56774"/>
    <n v="1419"/>
    <s v="2810009 TP MESCLA 180G 2,20L (1122580) DIVERSAS U"/>
    <s v="FLEX CHILE"/>
    <s v="EX"/>
    <s v="COLCHAO ME"/>
    <m/>
    <s v="DIRETO"/>
    <n v="45686"/>
    <m/>
    <m/>
    <n v="8485.92"/>
    <s v="MT "/>
    <n v="180"/>
    <m/>
    <n v="640"/>
    <m/>
    <m/>
    <m/>
    <m/>
    <m/>
    <m/>
    <m/>
    <m/>
    <m/>
    <m/>
    <m/>
    <s v="FLEX CHILE"/>
    <s v="CARLOS FIDENCIO D AVALOS RUIZ JUNIOR 34496952823"/>
    <n v="13.25925"/>
  </r>
  <r>
    <x v="7"/>
    <x v="4"/>
    <s v="COLCHÃO M.E."/>
    <s v="DIRETO"/>
    <x v="9"/>
    <s v="NADA"/>
    <s v="CHILE"/>
    <n v="56774"/>
    <n v="1419"/>
    <s v="2810009 TP MESCLA 180G 2,20L (1122580) DIVERSAS U"/>
    <s v="FLEX CHILE"/>
    <s v="EX"/>
    <s v="COLCHAO ME"/>
    <m/>
    <s v="DIRETO"/>
    <n v="45686"/>
    <m/>
    <m/>
    <n v="38717.01"/>
    <s v="MT "/>
    <n v="180"/>
    <m/>
    <n v="2920"/>
    <m/>
    <m/>
    <m/>
    <m/>
    <m/>
    <m/>
    <m/>
    <m/>
    <m/>
    <m/>
    <m/>
    <s v="FLEX CHILE"/>
    <s v="CARLOS FIDENCIO D AVALOS RUIZ JUNIOR 34496952823"/>
    <n v="13.259250000000002"/>
  </r>
  <r>
    <x v="7"/>
    <x v="4"/>
    <s v="COLCHÃO M.E."/>
    <s v="DIRETO"/>
    <x v="9"/>
    <s v="NADA"/>
    <s v="CHILE"/>
    <n v="56774"/>
    <n v="1422"/>
    <s v="2810005 TP FOLHA 240G 2,20L (1121110) DIVERSAS U"/>
    <s v="FLEX CHILE"/>
    <s v="EX"/>
    <s v="COLCHAO ME"/>
    <m/>
    <s v="DIRETO"/>
    <n v="45686"/>
    <m/>
    <m/>
    <n v="13842.07"/>
    <s v="MT "/>
    <n v="240"/>
    <m/>
    <n v="830"/>
    <m/>
    <m/>
    <m/>
    <m/>
    <m/>
    <m/>
    <m/>
    <m/>
    <m/>
    <m/>
    <m/>
    <s v="FLEX CHILE"/>
    <s v="CARLOS FIDENCIO D AVALOS RUIZ JUNIOR 34496952823"/>
    <n v="16.677192771084336"/>
  </r>
  <r>
    <x v="7"/>
    <x v="4"/>
    <s v="COLCHÃO M.E."/>
    <s v="DIRETO"/>
    <x v="9"/>
    <s v="NADA"/>
    <s v="CHILE"/>
    <n v="56774"/>
    <n v="1422"/>
    <s v="2810005 TP FOLHA 240G 2,20L (1121110) DIVERSAS U"/>
    <s v="FLEX CHILE"/>
    <s v="EX"/>
    <s v="COLCHAO ME"/>
    <m/>
    <s v="DIRETO"/>
    <n v="45686"/>
    <m/>
    <m/>
    <n v="14459.12"/>
    <s v="MT "/>
    <n v="240"/>
    <m/>
    <n v="867"/>
    <m/>
    <m/>
    <m/>
    <m/>
    <m/>
    <m/>
    <m/>
    <m/>
    <m/>
    <m/>
    <m/>
    <s v="FLEX CHILE"/>
    <s v="CARLOS FIDENCIO D AVALOS RUIZ JUNIOR 34496952823"/>
    <n v="16.677185697808536"/>
  </r>
  <r>
    <x v="7"/>
    <x v="4"/>
    <s v="COLCHÃO M.E."/>
    <s v="DIRETO"/>
    <x v="1"/>
    <s v="NADA"/>
    <s v="URUGUAI"/>
    <n v="56800"/>
    <n v="3711"/>
    <s v="2540034 TP ML 237005 260G 2,20L DV U"/>
    <s v="DIVINO COLCHONES"/>
    <s v="EX"/>
    <s v="COLCHAO ME"/>
    <m/>
    <s v="CONEXÃO MALHAS"/>
    <n v="45687"/>
    <m/>
    <m/>
    <n v="37311"/>
    <s v="MT "/>
    <n v="260"/>
    <m/>
    <n v="2547"/>
    <m/>
    <m/>
    <m/>
    <m/>
    <m/>
    <m/>
    <m/>
    <m/>
    <m/>
    <m/>
    <m/>
    <s v="DIVINO S.A"/>
    <s v="CONEXAO MALHAS E DESENVOLVIMENTO LTDA"/>
    <n v="14.648998822143698"/>
  </r>
  <r>
    <x v="7"/>
    <x v="4"/>
    <s v="COLCHÃO M.E."/>
    <s v="DIRETO"/>
    <x v="1"/>
    <s v="NADA"/>
    <s v="URUGUAI"/>
    <n v="56800"/>
    <n v="3009"/>
    <s v="2540014 TP ML A05171 300G 2,20L DIVERSAS U"/>
    <s v="DIVINO COLCHONES"/>
    <s v="EX"/>
    <s v="COLCHAO ME"/>
    <m/>
    <s v="CONEXÃO MALHAS"/>
    <n v="45687"/>
    <m/>
    <m/>
    <n v="13127.26"/>
    <s v="MT "/>
    <n v="300"/>
    <m/>
    <n v="521"/>
    <m/>
    <m/>
    <m/>
    <m/>
    <m/>
    <m/>
    <m/>
    <m/>
    <m/>
    <m/>
    <m/>
    <s v="DIVINO S.A"/>
    <s v="CONEXAO MALHAS E DESENVOLVIMENTO LTDA"/>
    <n v="25.196276391554704"/>
  </r>
  <r>
    <x v="7"/>
    <x v="4"/>
    <s v="COLCHÃO M.E."/>
    <s v="DIRETO"/>
    <x v="1"/>
    <s v="NADA"/>
    <s v="URUGUAI"/>
    <n v="56800"/>
    <n v="2054"/>
    <s v="2540026 TP ML 0072051 - 280G 2,20L DEGRA DIVERSAS U"/>
    <s v="DIVINO COLCHONES"/>
    <s v="EX"/>
    <s v="COLCHAO ME"/>
    <m/>
    <s v="CONEXÃO MALHAS"/>
    <n v="45687"/>
    <m/>
    <m/>
    <n v="8906.59"/>
    <s v="MT "/>
    <n v="280"/>
    <m/>
    <n v="475"/>
    <m/>
    <m/>
    <m/>
    <m/>
    <m/>
    <m/>
    <m/>
    <m/>
    <m/>
    <m/>
    <m/>
    <s v="DIVINO S.A"/>
    <s v="CONEXAO MALHAS E DESENVOLVIMENTO LTDA"/>
    <n v="18.750715789473684"/>
  </r>
  <r>
    <x v="7"/>
    <x v="4"/>
    <s v="COLCHÃO M.E."/>
    <s v="DIRETO"/>
    <x v="1"/>
    <s v="NADA"/>
    <s v="URUGUAI"/>
    <n v="56800"/>
    <n v="3712"/>
    <s v="2540035 TP ML A10045 280G 2,20L DV U"/>
    <s v="DIVINO COLCHONES"/>
    <s v="EX"/>
    <s v="COLCHAO ME"/>
    <m/>
    <s v="CONEXÃO MALHAS"/>
    <n v="45687"/>
    <m/>
    <m/>
    <n v="62105.2"/>
    <s v="MT "/>
    <n v="280"/>
    <m/>
    <n v="3408"/>
    <m/>
    <m/>
    <m/>
    <m/>
    <m/>
    <m/>
    <m/>
    <m/>
    <m/>
    <m/>
    <m/>
    <s v="DIVINO S.A"/>
    <s v="CONEXAO MALHAS E DESENVOLVIMENTO LTDA"/>
    <n v="18.223356807511735"/>
  </r>
  <r>
    <x v="7"/>
    <x v="4"/>
    <s v="COLCHÃO M.E."/>
    <s v="DIRETO"/>
    <x v="1"/>
    <s v="NADA"/>
    <s v="URUGUAI"/>
    <n v="56800"/>
    <n v="1226"/>
    <s v="2540015 TAMPO PONTILHADOS PRETO (A07803) DIVERSAS U"/>
    <s v="DIVINO COLCHONES"/>
    <s v="EX"/>
    <s v="COLCHAO ME"/>
    <m/>
    <s v="CONEXÃO MALHAS"/>
    <n v="45687"/>
    <m/>
    <m/>
    <n v="15100.19"/>
    <s v="MT "/>
    <n v="260"/>
    <m/>
    <n v="859"/>
    <m/>
    <m/>
    <m/>
    <m/>
    <m/>
    <m/>
    <m/>
    <m/>
    <m/>
    <m/>
    <m/>
    <s v="DIVINO S.A"/>
    <s v="CONEXAO MALHAS E DESENVOLVIMENTO LTDA"/>
    <n v="17.578800931315484"/>
  </r>
  <r>
    <x v="7"/>
    <x v="4"/>
    <s v="COLCHÃO M.E."/>
    <s v="DIRETO"/>
    <x v="1"/>
    <s v="NADA"/>
    <s v="URUGUAI"/>
    <n v="56800"/>
    <n v="1504"/>
    <s v="2540018 TP ML DIV 7806 240G 2,10L DIVERSAS U"/>
    <s v="DIVINO COLCHONES"/>
    <s v="EX"/>
    <s v="COLCHAO ME"/>
    <m/>
    <s v="CONEXÃO MALHAS"/>
    <n v="45687"/>
    <m/>
    <m/>
    <n v="17205.66"/>
    <s v="MT "/>
    <n v="240"/>
    <m/>
    <n v="992"/>
    <m/>
    <m/>
    <m/>
    <m/>
    <m/>
    <m/>
    <m/>
    <m/>
    <m/>
    <m/>
    <m/>
    <s v="DIVINO S.A"/>
    <s v="CONEXAO MALHAS E DESENVOLVIMENTO LTDA"/>
    <n v="17.344415322580645"/>
  </r>
  <r>
    <x v="7"/>
    <x v="4"/>
    <s v="COLCHÃO M.E."/>
    <s v="DIRETO"/>
    <x v="1"/>
    <s v="NADA"/>
    <s v="URUGUAI"/>
    <n v="56800"/>
    <n v="1236"/>
    <s v="2540005 TAMPO GEOMETRICO (A07370) DIVERSAS U"/>
    <s v="DIVINO COLCHONES"/>
    <s v="EX"/>
    <s v="COLCHAO ME"/>
    <m/>
    <s v="CONEXÃO MALHAS"/>
    <n v="45687"/>
    <m/>
    <m/>
    <n v="31808.84"/>
    <s v="MT "/>
    <n v="240"/>
    <m/>
    <n v="1551"/>
    <m/>
    <m/>
    <m/>
    <m/>
    <m/>
    <m/>
    <m/>
    <m/>
    <m/>
    <m/>
    <m/>
    <s v="DIVINO S.A"/>
    <s v="CONEXAO MALHAS E DESENVOLVIMENTO LTDA"/>
    <n v="20.508600902643455"/>
  </r>
  <r>
    <x v="7"/>
    <x v="4"/>
    <s v="COLCHÃO M.E."/>
    <s v="DIRETO"/>
    <x v="1"/>
    <s v="NADA"/>
    <s v="URUGUAI"/>
    <n v="56800"/>
    <n v="1225"/>
    <s v="2540012 TAMPO RASCUNHOS (A07820) DIVERSAS U"/>
    <s v="DIVINO COLCHONES"/>
    <s v="EX"/>
    <s v="COLCHAO ME"/>
    <m/>
    <s v="CONEXÃO MALHAS"/>
    <n v="45687"/>
    <m/>
    <m/>
    <n v="34966.339999999997"/>
    <s v="MT "/>
    <n v="240"/>
    <m/>
    <n v="2016"/>
    <m/>
    <m/>
    <m/>
    <m/>
    <m/>
    <m/>
    <m/>
    <m/>
    <m/>
    <m/>
    <m/>
    <s v="DIVINO S.A"/>
    <s v="CONEXAO MALHAS E DESENVOLVIMENTO LTDA"/>
    <n v="17.344414682539682"/>
  </r>
  <r>
    <x v="7"/>
    <x v="4"/>
    <s v="COLCHÃO M.E."/>
    <s v="DIRETO"/>
    <x v="16"/>
    <s v="NADA"/>
    <s v="BOLIVIA"/>
    <n v="56802"/>
    <n v="3760"/>
    <s v="3370011 TP ML A10053 180G 2,10L DV U"/>
    <s v="DAVID MORENO VISCARRA"/>
    <s v="EX"/>
    <s v="COLCHAO ME"/>
    <m/>
    <s v="DIRETO"/>
    <n v="45687"/>
    <m/>
    <m/>
    <n v="26858.94"/>
    <s v="MT "/>
    <n v="180"/>
    <m/>
    <n v="2375"/>
    <m/>
    <m/>
    <m/>
    <m/>
    <m/>
    <m/>
    <m/>
    <m/>
    <m/>
    <m/>
    <m/>
    <s v="DAVID MORENO VISCARRA"/>
    <s v="CARLOS FIDENCIO D AVALOS RUIZ JUNIOR 34496952823"/>
    <n v="11.309027368421052"/>
  </r>
  <r>
    <x v="8"/>
    <x v="4"/>
    <s v="COLCHÃO M.E."/>
    <s v="DIRETO"/>
    <x v="34"/>
    <s v="NADA"/>
    <s v="AMERICA CENTRAL"/>
    <n v="56976"/>
    <n v="3873"/>
    <s v="0458013 TP ME AMOSTR DV U"/>
    <s v="ZONKD LIMITADA DE CV"/>
    <s v="EX"/>
    <s v="COLCHAO ME"/>
    <m/>
    <s v="DIRETO"/>
    <n v="45702"/>
    <m/>
    <m/>
    <n v="104.02"/>
    <s v="MT "/>
    <n v="240"/>
    <m/>
    <n v="10"/>
    <m/>
    <m/>
    <m/>
    <m/>
    <m/>
    <m/>
    <m/>
    <m/>
    <m/>
    <m/>
    <m/>
    <s v="ZONKD LIMITADA DE CV"/>
    <s v="CARLOS FIDENCIO D AVALOS RUIZ JUNIOR 34496952823"/>
    <n v="10.401999999999999"/>
  </r>
  <r>
    <x v="8"/>
    <x v="4"/>
    <s v="COLCHÃO M.E."/>
    <s v="DIRETO"/>
    <x v="9"/>
    <s v="NADA"/>
    <s v="CHILE"/>
    <n v="57134"/>
    <n v="3378"/>
    <s v="2810011 TP PARADISE 122034 370G 2,20L DV U"/>
    <s v="FLEX CHILE"/>
    <s v="EX"/>
    <s v="COLCHAO ME"/>
    <m/>
    <s v="DIRETO"/>
    <n v="45716"/>
    <m/>
    <m/>
    <n v="16548.98"/>
    <s v="MT "/>
    <n v="370"/>
    <m/>
    <n v="586"/>
    <m/>
    <m/>
    <m/>
    <m/>
    <m/>
    <m/>
    <m/>
    <m/>
    <m/>
    <m/>
    <m/>
    <s v="FLEX CHILE"/>
    <s v="CARLOS FIDENCIO D AVALOS RUIZ JUNIOR 34496952823"/>
    <n v="28.240580204778155"/>
  </r>
  <r>
    <x v="8"/>
    <x v="4"/>
    <s v="COLCHÃO M.E."/>
    <s v="DIRETO"/>
    <x v="9"/>
    <s v="NADA"/>
    <s v="CHILE"/>
    <n v="57134"/>
    <n v="1422"/>
    <s v="2810005 TP FOLHA 240G 2,20L (1121110) DIVERSAS U"/>
    <s v="FLEX CHILE"/>
    <s v="EX"/>
    <s v="COLCHAO ME"/>
    <m/>
    <s v="DIRETO"/>
    <n v="45716"/>
    <m/>
    <m/>
    <n v="30831.32"/>
    <s v="MT "/>
    <n v="240"/>
    <m/>
    <n v="1871"/>
    <m/>
    <m/>
    <m/>
    <m/>
    <m/>
    <m/>
    <m/>
    <m/>
    <m/>
    <m/>
    <m/>
    <s v="FLEX CHILE"/>
    <s v="CARLOS FIDENCIO D AVALOS RUIZ JUNIOR 34496952823"/>
    <n v="16.478524853019774"/>
  </r>
  <r>
    <x v="8"/>
    <x v="4"/>
    <s v="COLCHÃO M.E."/>
    <s v="DIRETO"/>
    <x v="16"/>
    <s v="NADA"/>
    <s v="BOLIVIA"/>
    <n v="57144"/>
    <n v="2210"/>
    <s v="3370009 TP ML BOOK 180G 2,10L DIVERSAS U"/>
    <s v="DAVID MORENO VISCARRA"/>
    <s v="EX"/>
    <s v="COLCHAO ME"/>
    <m/>
    <s v="DIRETO"/>
    <n v="45716"/>
    <m/>
    <m/>
    <n v="10532.28"/>
    <s v="MT "/>
    <n v="180"/>
    <m/>
    <n v="952"/>
    <m/>
    <m/>
    <m/>
    <m/>
    <m/>
    <m/>
    <m/>
    <m/>
    <m/>
    <m/>
    <m/>
    <s v="DAVID MORENO VISCARRA"/>
    <s v="CARLOS FIDENCIO D AVALOS RUIZ JUNIOR 34496952823"/>
    <n v="11.063319327731094"/>
  </r>
  <r>
    <x v="8"/>
    <x v="4"/>
    <s v="COLCHÃO M.E."/>
    <s v="DIRETO"/>
    <x v="16"/>
    <s v="NADA"/>
    <s v="BOLIVIA"/>
    <n v="57144"/>
    <n v="3590"/>
    <s v="3370010 TP ML 357001 280G 2,20L DV U"/>
    <s v="DAVID MORENO VISCARRA"/>
    <s v="EX"/>
    <s v="COLCHAO ME"/>
    <m/>
    <s v="DIRETO"/>
    <n v="45716"/>
    <m/>
    <m/>
    <n v="17328.650000000001"/>
    <s v="MT "/>
    <n v="280"/>
    <m/>
    <n v="744"/>
    <m/>
    <m/>
    <m/>
    <m/>
    <m/>
    <m/>
    <m/>
    <m/>
    <m/>
    <m/>
    <m/>
    <s v="DAVID MORENO VISCARRA"/>
    <s v="CARLOS FIDENCIO D AVALOS RUIZ JUNIOR 34496952823"/>
    <n v="23.291196236559141"/>
  </r>
  <r>
    <x v="8"/>
    <x v="4"/>
    <s v="COLCHÃO M.E."/>
    <s v="DIRETO"/>
    <x v="1"/>
    <s v="NADA"/>
    <s v="URUGUAI"/>
    <n v="57145"/>
    <n v="1506"/>
    <s v="2540017 TP ML A08980 280G 2,10L DIVERSAS U"/>
    <s v="DIVINO COLCHONES"/>
    <s v="EX"/>
    <s v="COLCHAO ME"/>
    <m/>
    <s v="CONEXÃO MALHAS"/>
    <n v="45716"/>
    <m/>
    <m/>
    <n v="23229.13"/>
    <s v="MT "/>
    <n v="280"/>
    <m/>
    <n v="1198"/>
    <m/>
    <m/>
    <m/>
    <m/>
    <m/>
    <m/>
    <m/>
    <m/>
    <m/>
    <m/>
    <m/>
    <s v="DIVINO S.A"/>
    <s v="CONEXAO MALHAS E DESENVOLVIMENTO LTDA"/>
    <n v="19.389924874791319"/>
  </r>
  <r>
    <x v="8"/>
    <x v="4"/>
    <s v="COLCHÃO M.E."/>
    <s v="DIRETO"/>
    <x v="1"/>
    <s v="NADA"/>
    <s v="URUGUAI"/>
    <n v="57145"/>
    <n v="3712"/>
    <s v="2540035 TP ML A10045 280G 2,20L DV U"/>
    <s v="DIVINO COLCHONES"/>
    <s v="EX"/>
    <s v="COLCHAO ME"/>
    <m/>
    <s v="CONEXÃO MALHAS"/>
    <n v="45716"/>
    <m/>
    <m/>
    <n v="62330.86"/>
    <s v="MT "/>
    <n v="280"/>
    <m/>
    <n v="3442"/>
    <m/>
    <m/>
    <m/>
    <m/>
    <m/>
    <m/>
    <m/>
    <m/>
    <m/>
    <m/>
    <m/>
    <s v="DIVINO S.A"/>
    <s v="CONEXAO MALHAS E DESENVOLVIMENTO LTDA"/>
    <n v="18.108907611853574"/>
  </r>
  <r>
    <x v="8"/>
    <x v="4"/>
    <s v="COLCHÃO M.E."/>
    <s v="DIRETO"/>
    <x v="1"/>
    <s v="NADA"/>
    <s v="URUGUAI"/>
    <n v="57145"/>
    <n v="1525"/>
    <s v="2540022 TP ML FOLHAS IMAG 320G 2,10 DIVERSAS U"/>
    <s v="DIVINO COLCHONES"/>
    <s v="EX"/>
    <s v="COLCHAO ME"/>
    <m/>
    <s v="CONEXÃO MALHAS"/>
    <n v="45716"/>
    <m/>
    <m/>
    <n v="21305.57"/>
    <s v="MT "/>
    <n v="320"/>
    <m/>
    <n v="997"/>
    <m/>
    <m/>
    <m/>
    <m/>
    <m/>
    <m/>
    <m/>
    <m/>
    <m/>
    <m/>
    <m/>
    <s v="DIVINO S.A"/>
    <s v="CONEXAO MALHAS E DESENVOLVIMENTO LTDA"/>
    <n v="21.369679037111332"/>
  </r>
  <r>
    <x v="8"/>
    <x v="4"/>
    <s v="COLCHÃO M.E."/>
    <s v="DIRETO"/>
    <x v="1"/>
    <s v="NADA"/>
    <s v="URUGUAI"/>
    <n v="57145"/>
    <n v="2054"/>
    <s v="2540026 TP ML 0072051 - 280G 2,20L DEGRA DIVERSAS U"/>
    <s v="DIVINO COLCHONES"/>
    <s v="EX"/>
    <s v="COLCHAO ME"/>
    <m/>
    <s v="CONEXÃO MALHAS"/>
    <n v="45716"/>
    <m/>
    <m/>
    <n v="20046.560000000001"/>
    <s v="MT "/>
    <n v="280"/>
    <m/>
    <n v="1107"/>
    <m/>
    <m/>
    <m/>
    <m/>
    <m/>
    <m/>
    <m/>
    <m/>
    <m/>
    <m/>
    <m/>
    <s v="DIVINO S.A"/>
    <s v="CONEXAO MALHAS E DESENVOLVIMENTO LTDA"/>
    <n v="18.108906955736224"/>
  </r>
  <r>
    <x v="8"/>
    <x v="4"/>
    <s v="COLCHÃO M.E."/>
    <s v="DIRETO"/>
    <x v="1"/>
    <s v="NADA"/>
    <s v="URUGUAI"/>
    <n v="57145"/>
    <n v="1504"/>
    <s v="2540018 TP ML DIV 7806 240G 2,10L DIVERSAS U"/>
    <s v="DIVINO COLCHONES"/>
    <s v="EX"/>
    <s v="COLCHAO ME"/>
    <m/>
    <s v="CONEXÃO MALHAS"/>
    <n v="45716"/>
    <m/>
    <m/>
    <n v="30589.54"/>
    <s v="MT "/>
    <n v="240"/>
    <m/>
    <n v="1869.54"/>
    <m/>
    <m/>
    <m/>
    <m/>
    <m/>
    <m/>
    <m/>
    <m/>
    <m/>
    <m/>
    <m/>
    <s v="DIVINO S.A"/>
    <s v="CONEXAO MALHAS E DESENVOLVIMENTO LTDA"/>
    <n v="16.362067674401189"/>
  </r>
  <r>
    <x v="8"/>
    <x v="4"/>
    <s v="COLCHÃO M.E."/>
    <s v="DIRETO"/>
    <x v="1"/>
    <s v="NADA"/>
    <s v="URUGUAI"/>
    <n v="57145"/>
    <n v="1226"/>
    <s v="2540015 TAMPO PONTILHADOS PRETO (A07803) DIVERSAS U"/>
    <s v="DIVINO COLCHONES"/>
    <s v="EX"/>
    <s v="COLCHAO ME"/>
    <m/>
    <s v="CONEXÃO MALHAS"/>
    <n v="45716"/>
    <m/>
    <m/>
    <n v="40532.28"/>
    <s v="MT "/>
    <n v="260"/>
    <m/>
    <n v="2417"/>
    <m/>
    <m/>
    <m/>
    <m/>
    <m/>
    <m/>
    <m/>
    <m/>
    <m/>
    <m/>
    <m/>
    <s v="DIVINO S.A"/>
    <s v="CONEXAO MALHAS E DESENVOLVIMENTO LTDA"/>
    <n v="16.769664873810509"/>
  </r>
  <r>
    <x v="8"/>
    <x v="4"/>
    <s v="COLCHÃO M.E."/>
    <s v="DIRETO"/>
    <x v="1"/>
    <s v="NADA"/>
    <s v="URUGUAI"/>
    <n v="57145"/>
    <n v="1225"/>
    <s v="2540012 TAMPO RASCUNHOS (A07820) DIVERSAS U"/>
    <s v="DIVINO COLCHONES"/>
    <s v="EX"/>
    <s v="COLCHAO ME"/>
    <m/>
    <s v="CONEXÃO MALHAS"/>
    <n v="45716"/>
    <m/>
    <m/>
    <n v="48684.2"/>
    <s v="MT "/>
    <n v="240"/>
    <m/>
    <n v="2944"/>
    <m/>
    <m/>
    <m/>
    <m/>
    <m/>
    <m/>
    <m/>
    <m/>
    <m/>
    <m/>
    <m/>
    <s v="DIVINO S.A"/>
    <s v="CONEXAO MALHAS E DESENVOLVIMENTO LTDA"/>
    <n v="16.536752717391302"/>
  </r>
  <r>
    <x v="0"/>
    <x v="4"/>
    <s v="COLCHÃO M.E."/>
    <s v="DIRETO"/>
    <x v="1"/>
    <s v="NADA"/>
    <s v="URUGUAI"/>
    <n v="57297"/>
    <n v="2054"/>
    <s v="2540026 TP ML 0072051 - 280G 2,20L DEGRA DIVERSAS U"/>
    <s v="DIVINO COLCHONES"/>
    <s v="EX"/>
    <s v="COLCHAO ME"/>
    <m/>
    <s v="CONEXÃO MALHAS"/>
    <n v="45734"/>
    <m/>
    <m/>
    <n v="1526.72"/>
    <s v="MT "/>
    <n v="280"/>
    <m/>
    <n v="86"/>
    <m/>
    <m/>
    <m/>
    <m/>
    <m/>
    <m/>
    <m/>
    <m/>
    <m/>
    <m/>
    <m/>
    <s v="DIVINO S.A"/>
    <s v="CONEXAO MALHAS E DESENVOLVIMENTO LTDA"/>
    <n v="17.752558139534884"/>
  </r>
  <r>
    <x v="0"/>
    <x v="4"/>
    <s v="COLCHÃO M.E."/>
    <s v="DIRETO"/>
    <x v="1"/>
    <s v="NADA"/>
    <s v="URUGUAI"/>
    <n v="57297"/>
    <n v="3712"/>
    <s v="2540035 TP ML A10045 280G 2,20L DV U"/>
    <s v="DIVINO COLCHONES"/>
    <s v="EX"/>
    <s v="COLCHAO ME"/>
    <m/>
    <s v="CONEXÃO MALHAS"/>
    <n v="45734"/>
    <m/>
    <m/>
    <n v="15000.86"/>
    <s v="MT "/>
    <n v="280"/>
    <m/>
    <n v="845"/>
    <m/>
    <m/>
    <m/>
    <m/>
    <m/>
    <m/>
    <m/>
    <m/>
    <m/>
    <m/>
    <m/>
    <s v="DIVINO S.A"/>
    <s v="CONEXAO MALHAS E DESENVOLVIMENTO LTDA"/>
    <n v="17.752497041420121"/>
  </r>
  <r>
    <x v="0"/>
    <x v="4"/>
    <s v="COLCHÃO M.E."/>
    <s v="DIRETO"/>
    <x v="1"/>
    <s v="NADA"/>
    <s v="URUGUAI"/>
    <n v="57297"/>
    <n v="1225"/>
    <s v="2540012 TAMPO RASCUNHOS (A07820) DIVERSAS U"/>
    <s v="DIVINO COLCHONES"/>
    <s v="EX"/>
    <s v="COLCHAO ME"/>
    <m/>
    <s v="CONEXÃO MALHAS"/>
    <n v="45734"/>
    <m/>
    <m/>
    <n v="25127.5"/>
    <s v="MT "/>
    <n v="260"/>
    <m/>
    <n v="1550"/>
    <m/>
    <m/>
    <m/>
    <m/>
    <m/>
    <m/>
    <m/>
    <m/>
    <m/>
    <m/>
    <m/>
    <s v="DIVINO S.A"/>
    <s v="CONEXAO MALHAS E DESENVOLVIMENTO LTDA"/>
    <n v="16.211290322580645"/>
  </r>
  <r>
    <x v="0"/>
    <x v="4"/>
    <s v="COLCHÃO M.E."/>
    <s v="DIRETO"/>
    <x v="1"/>
    <s v="NADA"/>
    <s v="URUGUAI"/>
    <n v="57297"/>
    <n v="1506"/>
    <s v="2540017 TP ML A08980 280G 2,10L DIVERSAS U"/>
    <s v="DIVINO COLCHONES"/>
    <s v="EX"/>
    <s v="COLCHAO ME"/>
    <m/>
    <s v="CONEXÃO MALHAS"/>
    <n v="45734"/>
    <m/>
    <m/>
    <n v="2984.3"/>
    <s v="MT "/>
    <n v="280"/>
    <m/>
    <n v="157"/>
    <m/>
    <m/>
    <m/>
    <m/>
    <m/>
    <m/>
    <m/>
    <m/>
    <m/>
    <m/>
    <m/>
    <s v="DIVINO S.A"/>
    <s v="CONEXAO MALHAS E DESENVOLVIMENTO LTDA"/>
    <n v="19.00828025477707"/>
  </r>
  <r>
    <x v="0"/>
    <x v="4"/>
    <s v="COLCHÃO M.E."/>
    <s v="DIRETO"/>
    <x v="1"/>
    <s v="NADA"/>
    <s v="URUGUAI"/>
    <n v="57297"/>
    <n v="1226"/>
    <s v="2540015 TAMPO PONTILHADOS PRETO (A07803) DIVERSAS U"/>
    <s v="DIVINO COLCHONES"/>
    <s v="EX"/>
    <s v="COLCHAO ME"/>
    <m/>
    <s v="CONEXÃO MALHAS"/>
    <n v="45734"/>
    <m/>
    <m/>
    <n v="854.86"/>
    <s v="MT "/>
    <n v="240"/>
    <m/>
    <n v="52"/>
    <m/>
    <m/>
    <m/>
    <m/>
    <m/>
    <m/>
    <m/>
    <m/>
    <m/>
    <m/>
    <m/>
    <s v="DIVINO S.A"/>
    <s v="CONEXAO MALHAS E DESENVOLVIMENTO LTDA"/>
    <n v="16.439615384615387"/>
  </r>
  <r>
    <x v="0"/>
    <x v="4"/>
    <s v="COLCHÃO M.E."/>
    <s v="DIRETO"/>
    <x v="1"/>
    <s v="NADA"/>
    <s v="URUGUAI"/>
    <n v="57298"/>
    <n v="1236"/>
    <s v="2540005 TAMPO GEOMETRICO (A07370) DIVERSAS U"/>
    <s v="DIVINO COLCHONES"/>
    <s v="EX"/>
    <s v="COLCHAO ME"/>
    <m/>
    <s v="CONEXÃO MALHAS"/>
    <n v="45734"/>
    <m/>
    <m/>
    <n v="17146.12"/>
    <s v="MT "/>
    <n v="240"/>
    <m/>
    <n v="913"/>
    <m/>
    <m/>
    <m/>
    <m/>
    <m/>
    <m/>
    <m/>
    <m/>
    <m/>
    <m/>
    <m/>
    <s v="DIVINO S.A"/>
    <s v="CONEXAO MALHAS E DESENVOLVIMENTO LTDA"/>
    <n v="18.779978094194959"/>
  </r>
  <r>
    <x v="0"/>
    <x v="4"/>
    <s v="COLCHÃO M.E."/>
    <s v="DIRETO"/>
    <x v="21"/>
    <s v="NADA"/>
    <s v="PARAGUAI"/>
    <n v="57396"/>
    <n v="1757"/>
    <s v="3200004 TP ML IMPERAL BLACK 350G 2,10L DIVERSAS U"/>
    <s v="SUPERESPUMA"/>
    <s v="EX"/>
    <s v="COLCHAO ME"/>
    <m/>
    <s v="DIRETO"/>
    <n v="45741"/>
    <m/>
    <m/>
    <n v="19993.72"/>
    <s v="MT "/>
    <n v="350"/>
    <m/>
    <n v="1006.66"/>
    <m/>
    <m/>
    <m/>
    <m/>
    <m/>
    <m/>
    <m/>
    <m/>
    <m/>
    <m/>
    <m/>
    <s v="SUPERSPUMA DEL PARAGUAY S.A.E.C.A"/>
    <s v="CARLOS FIDENCIO D AVALOS RUIZ JUNIOR 34496952823"/>
    <n v="19.861442791011864"/>
  </r>
  <r>
    <x v="0"/>
    <x v="4"/>
    <s v="COLCHÃO M.E."/>
    <s v="DIRETO"/>
    <x v="28"/>
    <s v="NADA"/>
    <s v="CHILE"/>
    <n v="57401"/>
    <n v="1904"/>
    <s v="2860004-ME TP RETAS DEGRADE 450G 2,20L DIVERSAS U"/>
    <s v="COMERCIALIZADORA SL SUNLOCK LTDA"/>
    <s v="EX"/>
    <s v="COLCHAO ME"/>
    <m/>
    <s v="DIRETO"/>
    <n v="45741"/>
    <m/>
    <m/>
    <n v="24559.87"/>
    <s v="MT "/>
    <n v="450"/>
    <m/>
    <n v="995"/>
    <m/>
    <m/>
    <m/>
    <m/>
    <m/>
    <m/>
    <m/>
    <m/>
    <m/>
    <m/>
    <m/>
    <s v="COMERCIALIZADORA SL SUNLOCK LTDA"/>
    <s v="CARLOS FIDENCIO D AVALOS RUIZ JUNIOR 34496952823"/>
    <n v="24.683286432160802"/>
  </r>
  <r>
    <x v="9"/>
    <x v="4"/>
    <s v="COLCHÃO M.E."/>
    <s v="NADA"/>
    <x v="1"/>
    <m/>
    <s v="URUGUAI"/>
    <n v="57558"/>
    <m/>
    <s v="2540026 TP ML 0072051 - 280G 2,20L DEGRA DIVERSAS U"/>
    <m/>
    <s v="URUGUAI"/>
    <s v="COLCHAO ME"/>
    <m/>
    <s v="CARLOS FIDENCIO D AVALOS RUIZ JUNIOR 34496952823"/>
    <n v="57558"/>
    <n v="0"/>
    <n v="17.968647000000001"/>
    <n v="15668.66"/>
    <s v="MT "/>
    <n v="280"/>
    <m/>
    <n v="872"/>
    <m/>
    <m/>
    <m/>
    <m/>
    <m/>
    <m/>
    <m/>
    <m/>
    <m/>
    <m/>
    <m/>
    <m/>
    <m/>
    <m/>
  </r>
  <r>
    <x v="9"/>
    <x v="4"/>
    <s v="COLCHÃO M.E."/>
    <s v="NADA"/>
    <x v="1"/>
    <m/>
    <s v="URUGUAI"/>
    <n v="57558"/>
    <m/>
    <s v="2540035 TP ML A10045 280G 2,20L DV U"/>
    <m/>
    <s v="URUGUAI"/>
    <s v="COLCHAO ME"/>
    <m/>
    <s v="CARLOS FIDENCIO D AVALOS RUIZ JUNIOR 34496952823"/>
    <n v="57558"/>
    <n v="0"/>
    <n v="18.488652999999999"/>
    <n v="4529.72"/>
    <s v="MT "/>
    <n v="280"/>
    <m/>
    <n v="245"/>
    <m/>
    <m/>
    <m/>
    <m/>
    <m/>
    <m/>
    <m/>
    <m/>
    <m/>
    <m/>
    <m/>
    <m/>
    <m/>
    <m/>
  </r>
  <r>
    <x v="9"/>
    <x v="4"/>
    <s v="COLCHÃO M.E."/>
    <s v="NADA"/>
    <x v="1"/>
    <m/>
    <s v="URUGUAI"/>
    <n v="57558"/>
    <m/>
    <s v="2540015 TAMPO PONTILHADOS PRETO (A07803) DIVERSAS U"/>
    <m/>
    <s v="URUGUAI"/>
    <s v="COLCHAO ME"/>
    <m/>
    <s v="CARLOS FIDENCIO D AVALOS RUIZ JUNIOR 34496952823"/>
    <n v="57558"/>
    <n v="0"/>
    <n v="16.639786999999998"/>
    <n v="1564.14"/>
    <s v="MT "/>
    <n v="260"/>
    <m/>
    <n v="94"/>
    <m/>
    <m/>
    <m/>
    <m/>
    <m/>
    <m/>
    <m/>
    <m/>
    <m/>
    <m/>
    <m/>
    <m/>
    <m/>
    <m/>
  </r>
  <r>
    <x v="9"/>
    <x v="4"/>
    <s v="COLCHÃO M.E."/>
    <s v="NADA"/>
    <x v="1"/>
    <m/>
    <s v="URUGUAI"/>
    <n v="57558"/>
    <m/>
    <s v="2540018 TP ML DIV 7806 240G 2,10L DIVERSAS U"/>
    <m/>
    <s v="URUGUAI"/>
    <s v="COLCHAO ME"/>
    <m/>
    <s v="CARLOS FIDENCIO D AVALOS RUIZ JUNIOR 34496952823"/>
    <n v="57558"/>
    <n v="0"/>
    <n v="16.235340999999998"/>
    <n v="13345.45"/>
    <s v="MT "/>
    <n v="240"/>
    <m/>
    <n v="822"/>
    <m/>
    <m/>
    <m/>
    <m/>
    <m/>
    <m/>
    <m/>
    <m/>
    <m/>
    <m/>
    <m/>
    <m/>
    <m/>
    <m/>
  </r>
  <r>
    <x v="9"/>
    <x v="4"/>
    <s v="COLCHÃO M.E."/>
    <s v="NADA"/>
    <x v="1"/>
    <m/>
    <s v="URUGUAI"/>
    <n v="57558"/>
    <m/>
    <s v="2540012 TAMPO RASCUNHOS (A07820) DIVERSAS U"/>
    <m/>
    <s v="URUGUAI"/>
    <s v="COLCHAO ME"/>
    <m/>
    <s v="CARLOS FIDENCIO D AVALOS RUIZ JUNIOR 34496952823"/>
    <n v="57558"/>
    <n v="0"/>
    <n v="16.408570999999998"/>
    <n v="804.02"/>
    <s v="MT "/>
    <n v="240"/>
    <m/>
    <n v="49"/>
    <m/>
    <m/>
    <m/>
    <m/>
    <m/>
    <m/>
    <m/>
    <m/>
    <m/>
    <m/>
    <m/>
    <m/>
    <m/>
    <m/>
  </r>
  <r>
    <x v="9"/>
    <x v="4"/>
    <s v="COLCHÃO"/>
    <s v="DIRETO"/>
    <x v="35"/>
    <m/>
    <s v="ESTADOS UNIDOS"/>
    <n v="57561"/>
    <m/>
    <s v="300043 TP ML 1101694 - A09718 240G 2,20L DV U"/>
    <m/>
    <s v="ESTADOS UNIDOS"/>
    <s v="COLCHAO MI"/>
    <m/>
    <s v="CONEXAO MALHAS E DESENVOLVIMENTO LTDA"/>
    <n v="57561"/>
    <n v="2772.44"/>
    <n v="23.55"/>
    <n v="23102.55"/>
    <s v="MT "/>
    <n v="240"/>
    <m/>
    <n v="981"/>
    <m/>
    <m/>
    <m/>
    <m/>
    <m/>
    <m/>
    <m/>
    <m/>
    <m/>
    <m/>
    <m/>
    <m/>
    <m/>
    <m/>
  </r>
  <r>
    <x v="9"/>
    <x v="4"/>
    <s v="COLCHÃO M.E."/>
    <s v="NADA"/>
    <x v="16"/>
    <s v="NADA"/>
    <s v="BOLIVIA"/>
    <n v="57600"/>
    <m/>
    <s v="3370010 TP ML 357001 280G 2,20L DV U"/>
    <s v="DAVID MORENO VISCARRA"/>
    <s v="BOLIVIA"/>
    <s v="COLCHAO ME"/>
    <m/>
    <s v="CARLOS FIDENCIO D AVALOS RUIZ JUNIOR 34496952823"/>
    <n v="57600"/>
    <n v="0"/>
    <n v="23.747198000000001"/>
    <n v="32462.42"/>
    <s v="MT "/>
    <n v="280"/>
    <m/>
    <n v="1367"/>
    <m/>
    <m/>
    <m/>
    <m/>
    <m/>
    <m/>
    <m/>
    <m/>
    <m/>
    <m/>
    <m/>
    <m/>
    <m/>
    <m/>
  </r>
  <r>
    <x v="9"/>
    <x v="4"/>
    <s v="COLCHÃO M.E."/>
    <s v="NADA"/>
    <x v="5"/>
    <m/>
    <s v="PARAGUAI"/>
    <n v="57658"/>
    <m/>
    <s v="2670007 TP ML BCA MINI JAC 220G 2,10L DIVERSAS U"/>
    <m/>
    <s v="PARAGUAI"/>
    <s v="COLCHAO ME"/>
    <m/>
    <s v="CARLOS FIDENCIO D AVALOS RUIZ JUNIOR 34496952823"/>
    <n v="57658"/>
    <n v="0"/>
    <n v="12.414147"/>
    <n v="10477.540000000001"/>
    <s v="MT "/>
    <n v="220"/>
    <m/>
    <n v="844"/>
    <m/>
    <m/>
    <m/>
    <m/>
    <m/>
    <m/>
    <m/>
    <m/>
    <m/>
    <m/>
    <m/>
    <m/>
    <m/>
    <m/>
  </r>
  <r>
    <x v="9"/>
    <x v="4"/>
    <s v="COLCHÃO M.E."/>
    <s v="NADA"/>
    <x v="5"/>
    <m/>
    <s v="PARAGUAI"/>
    <n v="57658"/>
    <m/>
    <s v="2670010 TP ML 0091012 280G 2,20L DV U"/>
    <m/>
    <s v="PARAGUAI"/>
    <s v="COLCHAO ME"/>
    <m/>
    <s v="CARLOS FIDENCIO D AVALOS RUIZ JUNIOR 34496952823"/>
    <n v="57658"/>
    <n v="0"/>
    <n v="20.099093"/>
    <n v="8863.7000000000007"/>
    <s v="MT "/>
    <n v="280"/>
    <m/>
    <n v="441"/>
    <m/>
    <m/>
    <m/>
    <m/>
    <m/>
    <m/>
    <m/>
    <m/>
    <m/>
    <m/>
    <m/>
    <m/>
    <m/>
    <m/>
  </r>
  <r>
    <x v="9"/>
    <x v="4"/>
    <s v="COLCHÃO M.E."/>
    <s v="NADA"/>
    <x v="5"/>
    <m/>
    <s v="PARAGUAI"/>
    <n v="57658"/>
    <m/>
    <s v="2670009 TP ML 0080001 300G 2,20L DV U"/>
    <m/>
    <s v="PARAGUAI"/>
    <s v="COLCHAO ME"/>
    <m/>
    <s v="CARLOS FIDENCIO D AVALOS RUIZ JUNIOR 34496952823"/>
    <n v="57658"/>
    <n v="0"/>
    <n v="21.87255"/>
    <n v="8836.51"/>
    <s v="MT "/>
    <n v="300"/>
    <m/>
    <n v="404"/>
    <m/>
    <m/>
    <m/>
    <m/>
    <m/>
    <m/>
    <m/>
    <m/>
    <m/>
    <m/>
    <m/>
    <m/>
    <m/>
    <m/>
  </r>
  <r>
    <x v="9"/>
    <x v="4"/>
    <s v="COLCHÃO M.E."/>
    <s v="NADA"/>
    <x v="5"/>
    <m/>
    <s v="PARAGUAI"/>
    <n v="57658"/>
    <m/>
    <s v="2670008 TP ML 0356001 280G 2,20L DV U"/>
    <m/>
    <s v="PARAGUAI"/>
    <s v="COLCHAO ME"/>
    <m/>
    <s v="CARLOS FIDENCIO D AVALOS RUIZ JUNIOR 34496952823"/>
    <n v="57658"/>
    <n v="0"/>
    <n v="23.586874000000002"/>
    <n v="9882.9"/>
    <s v="MT "/>
    <n v="300"/>
    <m/>
    <n v="419"/>
    <m/>
    <m/>
    <m/>
    <m/>
    <m/>
    <m/>
    <m/>
    <m/>
    <m/>
    <m/>
    <m/>
    <m/>
    <m/>
    <m/>
  </r>
  <r>
    <x v="9"/>
    <x v="4"/>
    <s v="COLCHÃO M.E."/>
    <s v="NADA"/>
    <x v="24"/>
    <m/>
    <s v="EQUADOR"/>
    <n v="57673"/>
    <m/>
    <s v="3260005-PL ME 180G 2,10L DIVERSAS U"/>
    <m/>
    <s v="EQUADOR"/>
    <s v="COLCHAO ME"/>
    <m/>
    <s v="CARLOS FIDENCIO D AVALOS RUIZ JUNIOR 34496952823"/>
    <n v="57673"/>
    <n v="0"/>
    <n v="10.925079"/>
    <n v="6948.35"/>
    <s v="MT "/>
    <n v="180"/>
    <m/>
    <n v="636"/>
    <m/>
    <m/>
    <m/>
    <m/>
    <m/>
    <m/>
    <m/>
    <m/>
    <m/>
    <m/>
    <m/>
    <m/>
    <m/>
    <m/>
  </r>
  <r>
    <x v="9"/>
    <x v="4"/>
    <s v="COLCHÃO M.E."/>
    <s v="NADA"/>
    <x v="24"/>
    <m/>
    <s v="EQUADOR"/>
    <n v="57673"/>
    <m/>
    <s v="3260004-ME PARAISO 260G 2,20L DIVERSAS U"/>
    <m/>
    <s v="EQUADOR"/>
    <s v="COLCHAO ME"/>
    <m/>
    <s v="CARLOS FIDENCIO D AVALOS RUIZ JUNIOR 34496952823"/>
    <n v="57673"/>
    <n v="0"/>
    <n v="19.265750000000001"/>
    <n v="4623.78"/>
    <s v="MT "/>
    <n v="260"/>
    <m/>
    <n v="240"/>
    <m/>
    <m/>
    <m/>
    <m/>
    <m/>
    <m/>
    <m/>
    <m/>
    <m/>
    <m/>
    <m/>
    <m/>
    <m/>
    <m/>
  </r>
  <r>
    <x v="9"/>
    <x v="4"/>
    <s v="COLCHÃO M.E."/>
    <s v="NADA"/>
    <x v="24"/>
    <m/>
    <s v="EQUADOR"/>
    <n v="57673"/>
    <m/>
    <s v="3260014 TELA ORIGENES 240G 2,20L DV U"/>
    <m/>
    <s v="EQUADOR"/>
    <s v="COLCHAO ME"/>
    <m/>
    <s v="CARLOS FIDENCIO D AVALOS RUIZ JUNIOR 34496952823"/>
    <n v="57673"/>
    <n v="0"/>
    <n v="14.096878"/>
    <n v="29391.99"/>
    <s v="MT "/>
    <n v="240"/>
    <m/>
    <n v="2085"/>
    <m/>
    <m/>
    <m/>
    <m/>
    <m/>
    <m/>
    <m/>
    <m/>
    <m/>
    <m/>
    <m/>
    <m/>
    <m/>
    <m/>
  </r>
  <r>
    <x v="9"/>
    <x v="4"/>
    <s v="COLCHÃO M.E."/>
    <s v="NADA"/>
    <x v="24"/>
    <m/>
    <s v="EQUADOR"/>
    <n v="57673"/>
    <m/>
    <s v="3260001 TP PARAISO PREMIUM 240G 2,20L DIVERSAS U"/>
    <m/>
    <s v="EQUADOR"/>
    <s v="COLCHAO ME"/>
    <m/>
    <s v="CARLOS FIDENCIO D AVALOS RUIZ JUNIOR 34496952823"/>
    <n v="57673"/>
    <n v="0"/>
    <n v="12.569718999999999"/>
    <n v="27301.43"/>
    <s v="MT "/>
    <n v="240"/>
    <m/>
    <n v="2172"/>
    <m/>
    <m/>
    <m/>
    <m/>
    <m/>
    <m/>
    <m/>
    <m/>
    <m/>
    <m/>
    <m/>
    <m/>
    <m/>
    <m/>
  </r>
  <r>
    <x v="9"/>
    <x v="4"/>
    <s v="COLCHÃO M.E."/>
    <s v="NADA"/>
    <x v="24"/>
    <m/>
    <s v="EQUADOR"/>
    <n v="57673"/>
    <m/>
    <s v="3260003-ME PARAISO DEL 320G 2,20L DIVERSAS U"/>
    <m/>
    <s v="EQUADOR"/>
    <s v="COLCHAO ME"/>
    <m/>
    <s v="CARLOS FIDENCIO D AVALOS RUIZ JUNIOR 34496952823"/>
    <n v="57673"/>
    <n v="0"/>
    <n v="15.154147"/>
    <n v="29274.19"/>
    <s v="MT "/>
    <n v="320"/>
    <m/>
    <n v="1931.761"/>
    <m/>
    <m/>
    <m/>
    <m/>
    <m/>
    <m/>
    <m/>
    <m/>
    <m/>
    <m/>
    <m/>
    <m/>
    <m/>
    <m/>
  </r>
  <r>
    <x v="9"/>
    <x v="4"/>
    <s v="COLCHÃO M.E."/>
    <s v="NADA"/>
    <x v="24"/>
    <m/>
    <s v="EQUADOR"/>
    <n v="57673"/>
    <m/>
    <s v="3260003-ME PARAISO DEL 320G 2,20L DIVERSAS U"/>
    <m/>
    <s v="EQUADOR"/>
    <s v="COLCHAO ME"/>
    <m/>
    <s v="CARLOS FIDENCIO D AVALOS RUIZ JUNIOR 34496952823"/>
    <n v="57673"/>
    <n v="0"/>
    <n v="15.154138"/>
    <n v="8458.07"/>
    <s v="MT "/>
    <n v="320"/>
    <m/>
    <n v="558.13599999999997"/>
    <m/>
    <m/>
    <m/>
    <m/>
    <m/>
    <m/>
    <m/>
    <m/>
    <m/>
    <m/>
    <m/>
    <m/>
    <m/>
    <m/>
  </r>
  <r>
    <x v="9"/>
    <x v="4"/>
    <s v="COLCHÃO M.E."/>
    <s v="NADA"/>
    <x v="1"/>
    <m/>
    <s v="URUGUAI"/>
    <n v="57746"/>
    <m/>
    <s v="2540022 TP ML FOLHAS IMAG 320G 2,10 DIVERSAS U"/>
    <m/>
    <s v="URUGUAI"/>
    <s v="COLCHAO ME"/>
    <m/>
    <s v="CARLOS FIDENCIO D AVALOS RUIZ JUNIOR 34496952823"/>
    <n v="57746"/>
    <n v="0"/>
    <n v="21.491143000000001"/>
    <n v="3008.76"/>
    <s v="MT "/>
    <n v="320"/>
    <m/>
    <n v="140"/>
    <m/>
    <m/>
    <m/>
    <m/>
    <m/>
    <m/>
    <m/>
    <m/>
    <m/>
    <m/>
    <m/>
    <m/>
    <m/>
    <m/>
  </r>
  <r>
    <x v="9"/>
    <x v="4"/>
    <s v="COLCHÃO M.E."/>
    <s v="NADA"/>
    <x v="1"/>
    <m/>
    <s v="URUGUAI"/>
    <n v="57746"/>
    <m/>
    <s v="2540035 TP ML A10045 280G 2,20L DV U"/>
    <m/>
    <s v="URUGUAI"/>
    <s v="COLCHAO ME"/>
    <m/>
    <s v="CARLOS FIDENCIO D AVALOS RUIZ JUNIOR 34496952823"/>
    <n v="57746"/>
    <n v="0"/>
    <n v="18.738880999999999"/>
    <n v="60451.63"/>
    <s v="MT "/>
    <n v="280"/>
    <m/>
    <n v="3226"/>
    <m/>
    <m/>
    <m/>
    <m/>
    <m/>
    <m/>
    <m/>
    <m/>
    <m/>
    <m/>
    <m/>
    <m/>
    <m/>
    <m/>
  </r>
  <r>
    <x v="9"/>
    <x v="4"/>
    <s v="COLCHÃO M.E."/>
    <s v="NADA"/>
    <x v="1"/>
    <m/>
    <s v="URUGUAI"/>
    <n v="57746"/>
    <m/>
    <s v="2540035 TP ML A10045 280G 2,20L DV U"/>
    <m/>
    <s v="URUGUAI"/>
    <s v="COLCHAO ME"/>
    <m/>
    <s v="CARLOS FIDENCIO D AVALOS RUIZ JUNIOR 34496952823"/>
    <n v="57746"/>
    <n v="0"/>
    <n v="18.738878"/>
    <n v="17876.89"/>
    <s v="MT "/>
    <n v="280"/>
    <m/>
    <n v="954"/>
    <m/>
    <m/>
    <m/>
    <m/>
    <m/>
    <m/>
    <m/>
    <m/>
    <m/>
    <m/>
    <m/>
    <m/>
    <m/>
    <m/>
  </r>
  <r>
    <x v="9"/>
    <x v="4"/>
    <s v="COLCHÃO M.E."/>
    <s v="NADA"/>
    <x v="1"/>
    <m/>
    <s v="URUGUAI"/>
    <n v="57746"/>
    <m/>
    <s v="2540014 TP ML A05171 300G 2,20L DIVERSAS U"/>
    <m/>
    <s v="URUGUAI"/>
    <s v="COLCHAO ME"/>
    <m/>
    <s v="CARLOS FIDENCIO D AVALOS RUIZ JUNIOR 34496952823"/>
    <n v="57746"/>
    <n v="0"/>
    <n v="25.180347000000001"/>
    <n v="5086.43"/>
    <s v="MT "/>
    <n v="300"/>
    <m/>
    <n v="202"/>
    <m/>
    <m/>
    <m/>
    <m/>
    <m/>
    <m/>
    <m/>
    <m/>
    <m/>
    <m/>
    <m/>
    <m/>
    <m/>
    <m/>
  </r>
  <r>
    <x v="9"/>
    <x v="4"/>
    <s v="COLCHÃO M.E."/>
    <s v="NADA"/>
    <x v="1"/>
    <m/>
    <s v="URUGUAI"/>
    <n v="57746"/>
    <m/>
    <s v="2540026 TP ML 0072051 - 280G 2,20L DEGRA DIVERSAS U"/>
    <m/>
    <s v="URUGUAI"/>
    <s v="COLCHAO ME"/>
    <m/>
    <s v="CARLOS FIDENCIO D AVALOS RUIZ JUNIOR 34496952823"/>
    <n v="57746"/>
    <n v="0"/>
    <n v="18.211849000000001"/>
    <n v="15662.19"/>
    <s v="MT "/>
    <n v="280"/>
    <m/>
    <n v="860"/>
    <m/>
    <m/>
    <m/>
    <m/>
    <m/>
    <m/>
    <m/>
    <m/>
    <m/>
    <m/>
    <m/>
    <m/>
    <m/>
    <m/>
  </r>
  <r>
    <x v="9"/>
    <x v="4"/>
    <s v="COLCHÃO M.E."/>
    <s v="NADA"/>
    <x v="1"/>
    <m/>
    <s v="URUGUAI"/>
    <n v="57746"/>
    <m/>
    <s v="2540025 TP ML 0069001 - 300G 2,20L CONTE DIVERSAS U"/>
    <m/>
    <s v="URUGUAI"/>
    <s v="COLCHAO ME"/>
    <m/>
    <s v="CARLOS FIDENCIO D AVALOS RUIZ JUNIOR 34496952823"/>
    <n v="57746"/>
    <n v="0"/>
    <n v="19.910052"/>
    <n v="11508.01"/>
    <s v="MT "/>
    <n v="300"/>
    <m/>
    <n v="578"/>
    <m/>
    <m/>
    <m/>
    <m/>
    <m/>
    <m/>
    <m/>
    <m/>
    <m/>
    <m/>
    <m/>
    <m/>
    <m/>
    <m/>
  </r>
  <r>
    <x v="9"/>
    <x v="4"/>
    <s v="COLCHÃO M.E."/>
    <s v="NADA"/>
    <x v="1"/>
    <m/>
    <s v="URUGUAI"/>
    <n v="57746"/>
    <m/>
    <s v="2540022 TP ML FOLHAS IMAG 320G 2,10 DIVERSAS U"/>
    <m/>
    <s v="URUGUAI"/>
    <s v="COLCHAO ME"/>
    <m/>
    <s v="CARLOS FIDENCIO D AVALOS RUIZ JUNIOR 34496952823"/>
    <n v="57746"/>
    <n v="0"/>
    <n v="21.491154000000002"/>
    <n v="17128.45"/>
    <s v="MT "/>
    <n v="320"/>
    <m/>
    <n v="797"/>
    <m/>
    <m/>
    <m/>
    <m/>
    <m/>
    <m/>
    <m/>
    <m/>
    <m/>
    <m/>
    <m/>
    <m/>
    <m/>
    <m/>
  </r>
  <r>
    <x v="9"/>
    <x v="4"/>
    <s v="COLCHÃO M.E."/>
    <s v="NADA"/>
    <x v="1"/>
    <m/>
    <s v="URUGUAI"/>
    <n v="57746"/>
    <m/>
    <s v="2540012 TAMPO RASCUNHOS (A07820) DIVERSAS U"/>
    <m/>
    <s v="URUGUAI"/>
    <s v="COLCHAO ME"/>
    <m/>
    <s v="CARLOS FIDENCIO D AVALOS RUIZ JUNIOR 34496952823"/>
    <n v="57746"/>
    <n v="0"/>
    <n v="16.630832999999999"/>
    <n v="798.28"/>
    <s v="MT "/>
    <n v="240"/>
    <m/>
    <n v="48"/>
    <m/>
    <m/>
    <m/>
    <m/>
    <m/>
    <m/>
    <m/>
    <m/>
    <m/>
    <m/>
    <m/>
    <m/>
    <m/>
    <m/>
  </r>
  <r>
    <x v="9"/>
    <x v="4"/>
    <s v="COLCHÃO M.E."/>
    <s v="NADA"/>
    <x v="1"/>
    <m/>
    <s v="URUGUAI"/>
    <n v="57746"/>
    <m/>
    <s v="2540017 TP ML A08980 280G 2,10L DIVERSAS U"/>
    <m/>
    <s v="URUGUAI"/>
    <s v="COLCHAO ME"/>
    <m/>
    <s v="CARLOS FIDENCIO D AVALOS RUIZ JUNIOR 34496952823"/>
    <n v="57746"/>
    <n v="0"/>
    <n v="19.500143000000001"/>
    <n v="19110.14"/>
    <s v="MT "/>
    <n v="280"/>
    <m/>
    <n v="980"/>
    <m/>
    <m/>
    <m/>
    <m/>
    <m/>
    <m/>
    <m/>
    <m/>
    <m/>
    <m/>
    <m/>
    <m/>
    <m/>
    <m/>
  </r>
  <r>
    <x v="9"/>
    <x v="4"/>
    <s v="COLCHÃO M.E."/>
    <s v="NADA"/>
    <x v="1"/>
    <m/>
    <s v="URUGUAI"/>
    <n v="57746"/>
    <m/>
    <s v="2540017 TP ML A08980 280G 2,10L DIVERSAS U"/>
    <m/>
    <s v="URUGUAI"/>
    <s v="COLCHAO ME"/>
    <m/>
    <s v="CARLOS FIDENCIO D AVALOS RUIZ JUNIOR 34496952823"/>
    <n v="57746"/>
    <n v="0"/>
    <n v="19.500142"/>
    <n v="15054.11"/>
    <s v="MT "/>
    <n v="280"/>
    <m/>
    <n v="772"/>
    <m/>
    <m/>
    <m/>
    <m/>
    <m/>
    <m/>
    <m/>
    <m/>
    <m/>
    <m/>
    <m/>
    <m/>
    <m/>
    <m/>
  </r>
  <r>
    <x v="9"/>
    <x v="4"/>
    <s v="COLCHÃO M.E."/>
    <s v="NADA"/>
    <x v="1"/>
    <m/>
    <s v="URUGUAI"/>
    <n v="57746"/>
    <m/>
    <s v="2540018 TP ML DIV 7806 240G 2,10L DIVERSAS U"/>
    <m/>
    <s v="URUGUAI"/>
    <s v="COLCHAO ME"/>
    <m/>
    <s v="CARLOS FIDENCIO D AVALOS RUIZ JUNIOR 34496952823"/>
    <n v="57746"/>
    <n v="0"/>
    <n v="16.455076999999999"/>
    <n v="27841.99"/>
    <s v="MT "/>
    <n v="240"/>
    <m/>
    <n v="1692"/>
    <m/>
    <m/>
    <m/>
    <m/>
    <m/>
    <m/>
    <m/>
    <m/>
    <m/>
    <m/>
    <m/>
    <m/>
    <m/>
    <m/>
  </r>
  <r>
    <x v="9"/>
    <x v="4"/>
    <s v="COLCHÃO M.E."/>
    <s v="NADA"/>
    <x v="1"/>
    <m/>
    <s v="URUGUAI"/>
    <n v="57746"/>
    <m/>
    <s v="2540018 TP ML DIV 7806 240G 2,10L DIVERSAS U"/>
    <m/>
    <s v="URUGUAI"/>
    <s v="COLCHAO ME"/>
    <m/>
    <s v="CARLOS FIDENCIO D AVALOS RUIZ JUNIOR 34496952823"/>
    <n v="57746"/>
    <n v="0"/>
    <n v="16.455071"/>
    <n v="3472.02"/>
    <s v="MT "/>
    <n v="240"/>
    <m/>
    <n v="211"/>
    <m/>
    <m/>
    <m/>
    <m/>
    <m/>
    <m/>
    <m/>
    <m/>
    <m/>
    <m/>
    <m/>
    <m/>
    <m/>
    <m/>
  </r>
  <r>
    <x v="9"/>
    <x v="4"/>
    <s v="COLCHÃO M.E."/>
    <s v="NADA"/>
    <x v="1"/>
    <m/>
    <s v="URUGUAI"/>
    <n v="57746"/>
    <m/>
    <s v="2540005 TAMPO GEOMETRICO (A07370) DIVERSAS U"/>
    <m/>
    <s v="URUGUAI"/>
    <s v="COLCHAO ME"/>
    <m/>
    <s v="CARLOS FIDENCIO D AVALOS RUIZ JUNIOR 34496952823"/>
    <n v="57746"/>
    <n v="0"/>
    <n v="19.265909000000001"/>
    <n v="44696.91"/>
    <s v="MT "/>
    <n v="240"/>
    <m/>
    <n v="2320"/>
    <m/>
    <m/>
    <m/>
    <m/>
    <m/>
    <m/>
    <m/>
    <m/>
    <m/>
    <m/>
    <m/>
    <m/>
    <m/>
    <m/>
  </r>
  <r>
    <x v="9"/>
    <x v="4"/>
    <s v="COLCHÃO M.E."/>
    <s v="NADA"/>
    <x v="1"/>
    <m/>
    <s v="URUGUAI"/>
    <n v="57746"/>
    <m/>
    <s v="2540015 TAMPO PONTILHADOS PRETO (A07803) DIVERSAS U"/>
    <m/>
    <s v="URUGUAI"/>
    <s v="COLCHAO ME"/>
    <m/>
    <s v="CARLOS FIDENCIO D AVALOS RUIZ JUNIOR 34496952823"/>
    <n v="57746"/>
    <n v="0"/>
    <n v="16.864992000000001"/>
    <n v="21688.38"/>
    <s v="MT "/>
    <n v="260"/>
    <m/>
    <n v="1286"/>
    <m/>
    <m/>
    <m/>
    <m/>
    <m/>
    <m/>
    <m/>
    <m/>
    <m/>
    <m/>
    <m/>
    <m/>
    <m/>
    <m/>
  </r>
  <r>
    <x v="9"/>
    <x v="4"/>
    <s v="COLCHÃO M.E."/>
    <s v="NADA"/>
    <x v="1"/>
    <m/>
    <s v="URUGUAI"/>
    <n v="57746"/>
    <m/>
    <s v="2540012 TAMPO RASCUNHOS (A07820) DIVERSAS U"/>
    <m/>
    <s v="URUGUAI"/>
    <s v="COLCHAO ME"/>
    <m/>
    <s v="CARLOS FIDENCIO D AVALOS RUIZ JUNIOR 34496952823"/>
    <n v="57746"/>
    <n v="0"/>
    <n v="16.630755000000001"/>
    <n v="31931.05"/>
    <s v="MT "/>
    <n v="240"/>
    <m/>
    <n v="1920"/>
    <m/>
    <m/>
    <m/>
    <m/>
    <m/>
    <m/>
    <m/>
    <m/>
    <m/>
    <m/>
    <m/>
    <m/>
    <m/>
    <m/>
  </r>
  <r>
    <x v="9"/>
    <x v="4"/>
    <s v="COLCHÃO M.E."/>
    <s v="NADA"/>
    <x v="9"/>
    <m/>
    <s v="CHILE"/>
    <n v="57775"/>
    <m/>
    <s v="2810013 TP ML A10131 310G 2,20L DV U"/>
    <m/>
    <s v="CHILE"/>
    <s v="COLCHAO ME"/>
    <m/>
    <s v="CARLOS FIDENCIO D AVALOS RUIZ JUNIOR 34496952823"/>
    <n v="57775"/>
    <n v="0"/>
    <n v="20.931837999999999"/>
    <n v="12642.83"/>
    <s v="MT "/>
    <n v="310"/>
    <m/>
    <n v="604"/>
    <m/>
    <m/>
    <m/>
    <m/>
    <m/>
    <m/>
    <m/>
    <m/>
    <m/>
    <m/>
    <m/>
    <m/>
    <m/>
    <m/>
  </r>
  <r>
    <x v="9"/>
    <x v="4"/>
    <s v="COLCHÃO M.E."/>
    <s v="NADA"/>
    <x v="9"/>
    <m/>
    <s v="CHILE"/>
    <n v="57898"/>
    <m/>
    <s v="2810009 TP MESCLA 180G 2,20L (1122580) DIVERSAS U"/>
    <m/>
    <s v="CHILE"/>
    <s v="COLCHAO ME"/>
    <m/>
    <s v="CARLOS FIDENCIO D AVALOS RUIZ JUNIOR 34496952823"/>
    <n v="57898"/>
    <n v="0"/>
    <n v="12.705074"/>
    <n v="18854.330000000002"/>
    <s v="MT "/>
    <n v="180"/>
    <m/>
    <n v="1484"/>
    <m/>
    <m/>
    <m/>
    <m/>
    <m/>
    <m/>
    <m/>
    <m/>
    <m/>
    <m/>
    <m/>
    <m/>
    <m/>
    <m/>
  </r>
  <r>
    <x v="9"/>
    <x v="4"/>
    <s v="COLCHÃO M.E."/>
    <s v="NADA"/>
    <x v="9"/>
    <m/>
    <s v="CHILE"/>
    <n v="57898"/>
    <m/>
    <s v="2810005 TP FOLHA 240G 2,20L (1121110) DIVERSAS U"/>
    <m/>
    <s v="CHILE"/>
    <s v="COLCHAO ME"/>
    <m/>
    <s v="CARLOS FIDENCIO D AVALOS RUIZ JUNIOR 34496952823"/>
    <n v="57898"/>
    <n v="0"/>
    <n v="15.980159"/>
    <n v="8038.02"/>
    <s v="MT "/>
    <n v="240"/>
    <m/>
    <n v="503"/>
    <m/>
    <m/>
    <m/>
    <m/>
    <m/>
    <m/>
    <m/>
    <m/>
    <m/>
    <m/>
    <m/>
    <m/>
    <m/>
    <m/>
  </r>
  <r>
    <x v="9"/>
    <x v="4"/>
    <s v="COLCHÃO M.E."/>
    <s v="NADA"/>
    <x v="28"/>
    <m/>
    <s v="CHILE"/>
    <n v="57899"/>
    <m/>
    <s v="2860016 TP ML A10066 260G 2,20L DV U"/>
    <m/>
    <s v="CHILE"/>
    <s v="COLCHAO ME"/>
    <m/>
    <s v="CARLOS FIDENCIO D AVALOS RUIZ JUNIOR 34496952823"/>
    <n v="57899"/>
    <n v="0"/>
    <n v="13.777944"/>
    <n v="15748.19"/>
    <s v="MT "/>
    <n v="260"/>
    <m/>
    <n v="1143"/>
    <m/>
    <m/>
    <m/>
    <m/>
    <m/>
    <m/>
    <m/>
    <m/>
    <m/>
    <m/>
    <m/>
    <m/>
    <m/>
    <m/>
  </r>
  <r>
    <x v="9"/>
    <x v="4"/>
    <s v="COLCHÃO M.E."/>
    <s v="NADA"/>
    <x v="17"/>
    <m/>
    <s v="BOLIVIA"/>
    <n v="57900"/>
    <m/>
    <s v="3020014 TP ML 0439011 160G 2,20L DV U"/>
    <m/>
    <s v="BOLIVIA"/>
    <s v="COLCHAO ME"/>
    <m/>
    <s v="CARLOS FIDENCIO D AVALOS RUIZ JUNIOR 34496952823"/>
    <n v="57900"/>
    <n v="0"/>
    <n v="8.1877130000000005"/>
    <n v="13386.91"/>
    <s v="MT "/>
    <n v="160"/>
    <m/>
    <n v="1635"/>
    <m/>
    <m/>
    <m/>
    <m/>
    <m/>
    <m/>
    <m/>
    <m/>
    <m/>
    <m/>
    <m/>
    <m/>
    <m/>
    <m/>
  </r>
  <r>
    <x v="9"/>
    <x v="4"/>
    <s v="COLCHÃO M.E."/>
    <s v="NADA"/>
    <x v="17"/>
    <m/>
    <s v="BOLIVIA"/>
    <n v="57900"/>
    <m/>
    <s v="3020013 TP ML 0446021 160G 2,20L DV U"/>
    <m/>
    <s v="BOLIVIA"/>
    <s v="COLCHAO ME"/>
    <m/>
    <s v="CARLOS FIDENCIO D AVALOS RUIZ JUNIOR 34496952823"/>
    <n v="57900"/>
    <n v="0"/>
    <n v="8.582986"/>
    <n v="23946.53"/>
    <s v="MT "/>
    <n v="160"/>
    <m/>
    <n v="2790"/>
    <m/>
    <m/>
    <m/>
    <m/>
    <m/>
    <m/>
    <m/>
    <m/>
    <m/>
    <m/>
    <m/>
    <m/>
    <m/>
    <m/>
  </r>
  <r>
    <x v="9"/>
    <x v="4"/>
    <s v="COLCHÃO M.E."/>
    <s v="NADA"/>
    <x v="17"/>
    <m/>
    <s v="BOLIVIA"/>
    <n v="57900"/>
    <m/>
    <s v="3020017 TP ML 0407021 160G 2,20L DV U"/>
    <m/>
    <s v="BOLIVIA"/>
    <s v="COLCHAO ME"/>
    <m/>
    <s v="CARLOS FIDENCIO D AVALOS RUIZ JUNIOR 34496952823"/>
    <n v="57900"/>
    <n v="0"/>
    <n v="8.4136170000000003"/>
    <n v="395.44"/>
    <s v="MT "/>
    <n v="160"/>
    <m/>
    <n v="47"/>
    <m/>
    <m/>
    <m/>
    <m/>
    <m/>
    <m/>
    <m/>
    <m/>
    <m/>
    <m/>
    <m/>
    <m/>
    <m/>
    <m/>
  </r>
  <r>
    <x v="9"/>
    <x v="4"/>
    <s v="COLCHÃO M.E."/>
    <s v="NADA"/>
    <x v="17"/>
    <m/>
    <s v="BOLIVIA"/>
    <n v="57900"/>
    <m/>
    <s v="3020016 TP ML 0434003 200G 2,10L DV U"/>
    <m/>
    <s v="BOLIVIA"/>
    <s v="COLCHAO ME"/>
    <m/>
    <s v="CARLOS FIDENCIO D AVALOS RUIZ JUNIOR 34496952823"/>
    <n v="57900"/>
    <n v="0"/>
    <n v="9.4299879999999998"/>
    <n v="16389.32"/>
    <s v="MT "/>
    <n v="160"/>
    <m/>
    <n v="1738"/>
    <m/>
    <m/>
    <m/>
    <m/>
    <m/>
    <m/>
    <m/>
    <m/>
    <m/>
    <m/>
    <m/>
    <m/>
    <m/>
    <m/>
  </r>
  <r>
    <x v="9"/>
    <x v="4"/>
    <s v="COLCHÃO M.E."/>
    <s v="NADA"/>
    <x v="17"/>
    <m/>
    <s v="BOLIVIA"/>
    <n v="57900"/>
    <m/>
    <s v="3020007-TP ML 0004002 200G 2,10L DIVERSAS U"/>
    <m/>
    <s v="BOLIVIA"/>
    <s v="COLCHAO ME"/>
    <m/>
    <s v="CARLOS FIDENCIO D AVALOS RUIZ JUNIOR 34496952823"/>
    <n v="57900"/>
    <n v="0"/>
    <n v="10.051125000000001"/>
    <n v="21167.67"/>
    <s v="MT "/>
    <n v="200"/>
    <m/>
    <n v="2106"/>
    <m/>
    <m/>
    <m/>
    <m/>
    <m/>
    <m/>
    <m/>
    <m/>
    <m/>
    <m/>
    <m/>
    <m/>
    <m/>
    <m/>
  </r>
  <r>
    <x v="10"/>
    <x v="4"/>
    <s v="COLCHÃO M.E."/>
    <s v="NADA"/>
    <x v="1"/>
    <m/>
    <s v="URUGUAI"/>
    <n v="57984"/>
    <n v="2540026"/>
    <s v="TP ML 0072051 - 280G 2,20L DEGRA DIVERSAS U"/>
    <m/>
    <m/>
    <m/>
    <m/>
    <s v="CONEXAO MALHAS E DESENVOLVIMENTO LTDA"/>
    <n v="57984"/>
    <m/>
    <n v="17.683467"/>
    <n v="2652.52"/>
    <m/>
    <m/>
    <m/>
    <n v="150"/>
    <m/>
    <m/>
    <m/>
    <m/>
    <m/>
    <m/>
    <m/>
    <m/>
    <m/>
    <m/>
    <m/>
    <m/>
    <m/>
    <m/>
  </r>
  <r>
    <x v="10"/>
    <x v="4"/>
    <s v="COLCHÃO M.E."/>
    <s v="NADA"/>
    <x v="1"/>
    <m/>
    <s v="URUGUAI"/>
    <n v="57984"/>
    <n v="2540014"/>
    <s v="TP ML A05171 300G 2,20L DIVERSAS U"/>
    <m/>
    <m/>
    <m/>
    <m/>
    <s v="CONEXAO MALHAS E DESENVOLVIMENTO LTDA"/>
    <n v="57984"/>
    <m/>
    <n v="24.449791999999999"/>
    <n v="7065.99"/>
    <m/>
    <m/>
    <m/>
    <n v="289"/>
    <m/>
    <m/>
    <m/>
    <m/>
    <m/>
    <m/>
    <m/>
    <m/>
    <m/>
    <m/>
    <m/>
    <m/>
    <m/>
    <m/>
  </r>
  <r>
    <x v="10"/>
    <x v="4"/>
    <s v="COLCHÃO M.E."/>
    <s v="NADA"/>
    <x v="1"/>
    <m/>
    <s v="URUGUAI"/>
    <n v="57984"/>
    <n v="2540022"/>
    <s v="TP ML FOLHAS IMAG 320G 2,10 DIVERSAS U"/>
    <m/>
    <m/>
    <m/>
    <m/>
    <s v="CONEXAO MALHAS E DESENVOLVIMENTO LTDA"/>
    <n v="57984"/>
    <m/>
    <n v="20.867618"/>
    <n v="20763.28"/>
    <m/>
    <m/>
    <m/>
    <n v="995"/>
    <m/>
    <m/>
    <m/>
    <m/>
    <m/>
    <m/>
    <m/>
    <m/>
    <m/>
    <m/>
    <m/>
    <m/>
    <m/>
    <m/>
  </r>
  <r>
    <x v="10"/>
    <x v="4"/>
    <s v="COLCHÃO M.E."/>
    <s v="NADA"/>
    <x v="1"/>
    <m/>
    <s v="URUGUAI"/>
    <n v="57984"/>
    <n v="2540033"/>
    <s v="TP ML 132012 340G 2,20L DV U"/>
    <m/>
    <m/>
    <m/>
    <m/>
    <s v="CONEXAO MALHAS E DESENVOLVIMENTO LTDA"/>
    <n v="57984"/>
    <m/>
    <n v="23.881197"/>
    <n v="33911.300000000003"/>
    <m/>
    <m/>
    <m/>
    <n v="1420"/>
    <m/>
    <m/>
    <m/>
    <m/>
    <m/>
    <m/>
    <m/>
    <m/>
    <m/>
    <m/>
    <m/>
    <m/>
    <m/>
    <m/>
  </r>
  <r>
    <x v="10"/>
    <x v="4"/>
    <s v="COLCHÃO M.E."/>
    <s v="NADA"/>
    <x v="1"/>
    <m/>
    <s v="URUGUAI"/>
    <n v="57984"/>
    <n v="2540035"/>
    <s v="TP ML A10045 280G 2,20L DV U"/>
    <m/>
    <m/>
    <m/>
    <m/>
    <s v="CONEXAO MALHAS E DESENVOLVIMENTO LTDA"/>
    <n v="57984"/>
    <m/>
    <n v="18.195198999999999"/>
    <n v="13264.3"/>
    <m/>
    <m/>
    <m/>
    <n v="729"/>
    <m/>
    <m/>
    <m/>
    <m/>
    <m/>
    <m/>
    <m/>
    <m/>
    <m/>
    <m/>
    <m/>
    <m/>
    <m/>
    <m/>
  </r>
  <r>
    <x v="10"/>
    <x v="4"/>
    <s v="COLCHÃO M.E."/>
    <s v="NADA"/>
    <x v="1"/>
    <m/>
    <s v="URUGUAI"/>
    <n v="57984"/>
    <n v="2540036"/>
    <s v="TP ML 0245051 280G 2,20L DV U"/>
    <m/>
    <m/>
    <m/>
    <m/>
    <s v="CONEXAO MALHAS E DESENVOLVIMENTO LTDA"/>
    <n v="57984"/>
    <m/>
    <n v="20.924482000000001"/>
    <n v="19606.240000000002"/>
    <m/>
    <m/>
    <m/>
    <n v="937"/>
    <m/>
    <m/>
    <m/>
    <m/>
    <m/>
    <m/>
    <m/>
    <m/>
    <m/>
    <m/>
    <m/>
    <m/>
    <m/>
    <m/>
  </r>
  <r>
    <x v="10"/>
    <x v="4"/>
    <s v="COLCHÃO M.E."/>
    <s v="NADA"/>
    <x v="1"/>
    <m/>
    <s v="URUGUAI"/>
    <n v="57984"/>
    <n v="2540018"/>
    <s v="TP ML DIV 7806 240G 2,10L DIVERSAS U"/>
    <m/>
    <m/>
    <m/>
    <m/>
    <s v="CONEXAO MALHAS E DESENVOLVIMENTO LTDA"/>
    <n v="57984"/>
    <m/>
    <n v="15.977658999999999"/>
    <n v="63750.86"/>
    <m/>
    <m/>
    <m/>
    <n v="3990"/>
    <m/>
    <m/>
    <m/>
    <m/>
    <m/>
    <m/>
    <m/>
    <m/>
    <m/>
    <m/>
    <m/>
    <m/>
    <m/>
    <m/>
  </r>
  <r>
    <x v="10"/>
    <x v="4"/>
    <s v="COLCHÃO M.E."/>
    <s v="NADA"/>
    <x v="1"/>
    <m/>
    <s v="URUGUAI"/>
    <n v="57984"/>
    <n v="2540018"/>
    <s v="TP ML DIV 7806 240G 2,10L DIVERSAS U"/>
    <m/>
    <m/>
    <m/>
    <m/>
    <s v="CONEXAO MALHAS E DESENVOLVIMENTO LTDA"/>
    <n v="57984"/>
    <m/>
    <n v="15.977636"/>
    <n v="2636.31"/>
    <m/>
    <m/>
    <m/>
    <n v="165"/>
    <m/>
    <m/>
    <m/>
    <m/>
    <m/>
    <m/>
    <m/>
    <m/>
    <m/>
    <m/>
    <m/>
    <m/>
    <m/>
    <m/>
  </r>
  <r>
    <x v="10"/>
    <x v="4"/>
    <s v="COLCHÃO M.E."/>
    <s v="NADA"/>
    <x v="1"/>
    <m/>
    <s v="URUGUAI"/>
    <n v="57984"/>
    <n v="2540005"/>
    <s v="TAMPO GEOMETRICO (A07370) DIVERSAS U"/>
    <m/>
    <m/>
    <m/>
    <m/>
    <s v="CONEXAO MALHAS E DESENVOLVIMENTO LTDA"/>
    <n v="57984"/>
    <m/>
    <n v="18.706939999999999"/>
    <n v="66147.740000000005"/>
    <m/>
    <m/>
    <m/>
    <n v="3536"/>
    <m/>
    <m/>
    <m/>
    <m/>
    <m/>
    <m/>
    <m/>
    <m/>
    <m/>
    <m/>
    <m/>
    <m/>
    <m/>
    <m/>
  </r>
  <r>
    <x v="10"/>
    <x v="4"/>
    <s v="COLCHÃO M.E."/>
    <s v="NADA"/>
    <x v="1"/>
    <m/>
    <s v="URUGUAI"/>
    <n v="57984"/>
    <n v="2540005"/>
    <s v="TAMPO GEOMETRICO (A07370) DIVERSAS U"/>
    <m/>
    <m/>
    <m/>
    <m/>
    <s v="CONEXAO MALHAS E DESENVOLVIMENTO LTDA"/>
    <n v="57984"/>
    <m/>
    <n v="18.70693"/>
    <n v="4021.99"/>
    <m/>
    <m/>
    <m/>
    <n v="215"/>
    <m/>
    <m/>
    <m/>
    <m/>
    <m/>
    <m/>
    <m/>
    <m/>
    <m/>
    <m/>
    <m/>
    <m/>
    <m/>
    <m/>
  </r>
  <r>
    <x v="10"/>
    <x v="4"/>
    <s v="COLCHÃO M.E."/>
    <s v="NADA"/>
    <x v="1"/>
    <m/>
    <s v="URUGUAI"/>
    <n v="57984"/>
    <n v="2540015"/>
    <s v="TAMPO PONTILHADOS PRETO (A07803) DIVERSAS U"/>
    <m/>
    <m/>
    <m/>
    <m/>
    <s v="CONEXAO MALHAS E DESENVOLVIMENTO LTDA"/>
    <n v="57984"/>
    <m/>
    <n v="16.375678000000001"/>
    <n v="33193.5"/>
    <m/>
    <m/>
    <m/>
    <n v="2027"/>
    <m/>
    <m/>
    <m/>
    <m/>
    <m/>
    <m/>
    <m/>
    <m/>
    <m/>
    <m/>
    <m/>
    <m/>
    <m/>
    <m/>
  </r>
  <r>
    <x v="10"/>
    <x v="4"/>
    <s v="COLCHÃO M.E."/>
    <s v="NADA"/>
    <x v="1"/>
    <m/>
    <s v="URUGUAI"/>
    <n v="57984"/>
    <n v="2540017"/>
    <s v="TP ML A08980 280G 2,10L DIVERSAS U"/>
    <m/>
    <m/>
    <m/>
    <m/>
    <s v="CONEXAO MALHAS E DESENVOLVIMENTO LTDA"/>
    <n v="57984"/>
    <m/>
    <n v="18.934380000000001"/>
    <n v="61858.62"/>
    <m/>
    <m/>
    <m/>
    <n v="3267"/>
    <m/>
    <m/>
    <m/>
    <m/>
    <m/>
    <m/>
    <m/>
    <m/>
    <m/>
    <m/>
    <m/>
    <m/>
    <m/>
    <m/>
  </r>
  <r>
    <x v="10"/>
    <x v="4"/>
    <s v="COLCHÃO M.E."/>
    <s v="NADA"/>
    <x v="9"/>
    <m/>
    <s v="CHILE"/>
    <n v="58048"/>
    <n v="2810009"/>
    <s v="TP MESCLA 180G 2,20L (1122580) DIVERSAS U"/>
    <m/>
    <m/>
    <m/>
    <m/>
    <s v="CARLOS FIDENCIO D AVALOS RUIZ JUNIOR 34496952823"/>
    <n v="58048"/>
    <m/>
    <n v="12.658958"/>
    <n v="3278.67"/>
    <m/>
    <m/>
    <m/>
    <n v="259"/>
    <m/>
    <m/>
    <m/>
    <m/>
    <m/>
    <m/>
    <m/>
    <m/>
    <m/>
    <m/>
    <m/>
    <m/>
    <m/>
    <m/>
  </r>
  <r>
    <x v="10"/>
    <x v="4"/>
    <s v="COLCHÃO M.E."/>
    <s v="NADA"/>
    <x v="9"/>
    <m/>
    <s v="CHILE"/>
    <n v="58048"/>
    <n v="2810011"/>
    <s v="TP PARADISE 122034 370G 2,20L DV U"/>
    <m/>
    <m/>
    <m/>
    <m/>
    <s v="CARLOS FIDENCIO D AVALOS RUIZ JUNIOR 34496952823"/>
    <n v="58048"/>
    <m/>
    <n v="27.287068999999999"/>
    <n v="11542.43"/>
    <m/>
    <m/>
    <m/>
    <n v="423"/>
    <m/>
    <m/>
    <m/>
    <m/>
    <m/>
    <m/>
    <m/>
    <m/>
    <m/>
    <m/>
    <m/>
    <m/>
    <m/>
    <m/>
  </r>
  <r>
    <x v="10"/>
    <x v="4"/>
    <s v="COLCHÃO M.E."/>
    <s v="NADA"/>
    <x v="9"/>
    <m/>
    <s v="CHILE"/>
    <n v="58048"/>
    <n v="2810013"/>
    <s v="TP ML A10131 310G 2,20L DV U"/>
    <m/>
    <m/>
    <m/>
    <m/>
    <s v="CARLOS FIDENCIO D AVALOS RUIZ JUNIOR 34496952823"/>
    <n v="58048"/>
    <m/>
    <n v="20.704421"/>
    <n v="8757.9699999999993"/>
    <m/>
    <m/>
    <m/>
    <n v="423"/>
    <m/>
    <m/>
    <m/>
    <m/>
    <m/>
    <m/>
    <m/>
    <m/>
    <m/>
    <m/>
    <m/>
    <m/>
    <m/>
    <m/>
  </r>
  <r>
    <x v="10"/>
    <x v="4"/>
    <s v="COLCHÃO M.E."/>
    <s v="NADA"/>
    <x v="17"/>
    <m/>
    <s v="BOLIVIA"/>
    <n v="58050"/>
    <n v="3020017"/>
    <s v="TP ML 0407021 160G 2,20L DV U"/>
    <m/>
    <m/>
    <m/>
    <m/>
    <s v="CARLOS FIDENCIO D AVALOS RUIZ JUNIOR 34496952823"/>
    <n v="58050"/>
    <m/>
    <n v="8.3830390000000001"/>
    <n v="14427.21"/>
    <m/>
    <m/>
    <m/>
    <n v="1721"/>
    <m/>
    <m/>
    <m/>
    <m/>
    <m/>
    <m/>
    <m/>
    <m/>
    <m/>
    <m/>
    <m/>
    <m/>
    <m/>
    <m/>
  </r>
  <r>
    <x v="10"/>
    <x v="4"/>
    <s v="COLCHÃO M.E."/>
    <s v="NADA"/>
    <x v="17"/>
    <m/>
    <s v="BOLIVIA"/>
    <n v="58050"/>
    <n v="3020016"/>
    <s v="TP ML 0434003 200G 2,10L DV U"/>
    <m/>
    <m/>
    <m/>
    <m/>
    <s v="CARLOS FIDENCIO D AVALOS RUIZ JUNIOR 34496952823"/>
    <n v="58050"/>
    <m/>
    <n v="9.3957510000000006"/>
    <n v="12693.66"/>
    <m/>
    <m/>
    <m/>
    <n v="1351"/>
    <m/>
    <m/>
    <m/>
    <m/>
    <m/>
    <m/>
    <m/>
    <m/>
    <m/>
    <m/>
    <m/>
    <m/>
    <m/>
    <m/>
  </r>
  <r>
    <x v="10"/>
    <x v="4"/>
    <s v="COLCHÃO M.E."/>
    <s v="NADA"/>
    <x v="17"/>
    <m/>
    <s v="BOLIVIA"/>
    <n v="58050"/>
    <n v="3020015"/>
    <s v="TP ML 0428011 160G 2,20L DV U"/>
    <m/>
    <m/>
    <m/>
    <m/>
    <s v="CARLOS FIDENCIO D AVALOS RUIZ JUNIOR 34496952823"/>
    <n v="58050"/>
    <m/>
    <n v="8.6080850000000009"/>
    <n v="25841.47"/>
    <m/>
    <m/>
    <m/>
    <n v="3002"/>
    <m/>
    <m/>
    <m/>
    <m/>
    <m/>
    <m/>
    <m/>
    <m/>
    <m/>
    <m/>
    <m/>
    <m/>
    <m/>
    <m/>
  </r>
  <r>
    <x v="10"/>
    <x v="4"/>
    <s v="COLCHÃO M.E."/>
    <s v="NADA"/>
    <x v="17"/>
    <m/>
    <s v="BOLIVIA"/>
    <n v="58050"/>
    <n v="3020014"/>
    <s v="TP ML 0439011 160G 2,20L DV U"/>
    <m/>
    <m/>
    <m/>
    <m/>
    <s v="CARLOS FIDENCIO D AVALOS RUIZ JUNIOR 34496952823"/>
    <n v="58050"/>
    <m/>
    <n v="8.1579879999999996"/>
    <n v="11111.18"/>
    <m/>
    <m/>
    <m/>
    <n v="1362"/>
    <m/>
    <m/>
    <m/>
    <m/>
    <m/>
    <m/>
    <m/>
    <m/>
    <m/>
    <m/>
    <m/>
    <m/>
    <m/>
    <m/>
  </r>
  <r>
    <x v="10"/>
    <x v="4"/>
    <s v="COLCHÃO M.E."/>
    <s v="NADA"/>
    <x v="36"/>
    <m/>
    <s v="ARGENTINA"/>
    <n v="58275"/>
    <n v="3530002"/>
    <s v="TP ML A10168 200G 2,10L DV U"/>
    <m/>
    <m/>
    <m/>
    <m/>
    <s v="CARLOS FIDENCIO D AVALOS RUIZ JUNIOR 34496952823"/>
    <n v="58275"/>
    <m/>
    <n v="8.9383250000000007"/>
    <n v="63703.44"/>
    <m/>
    <m/>
    <m/>
    <n v="7127"/>
    <m/>
    <m/>
    <m/>
    <m/>
    <m/>
    <m/>
    <m/>
    <m/>
    <m/>
    <m/>
    <m/>
    <m/>
    <m/>
    <m/>
  </r>
  <r>
    <x v="10"/>
    <x v="4"/>
    <s v="COLCHÃO M.E."/>
    <s v="NADA"/>
    <x v="36"/>
    <m/>
    <s v="ARGENTINA"/>
    <n v="58275"/>
    <n v="3530001"/>
    <s v="TP ML A10169 240G 2,10L DV U"/>
    <m/>
    <m/>
    <m/>
    <m/>
    <s v="CARLOS FIDENCIO D AVALOS RUIZ JUNIOR 34496952823"/>
    <n v="58275"/>
    <m/>
    <n v="11.3864"/>
    <n v="151632.69"/>
    <m/>
    <m/>
    <m/>
    <n v="13317"/>
    <m/>
    <m/>
    <m/>
    <m/>
    <m/>
    <m/>
    <m/>
    <m/>
    <m/>
    <m/>
    <m/>
    <m/>
    <m/>
    <m/>
  </r>
  <r>
    <x v="10"/>
    <x v="4"/>
    <s v="COLCHÃO M.E."/>
    <s v="NADA"/>
    <x v="16"/>
    <s v="NADA"/>
    <s v="BOLIVIA"/>
    <n v="58293"/>
    <n v="3370001"/>
    <s v="TP SIM BLACK 300G 2,20L DIVERSAS U"/>
    <s v="DAVID MORENO VISCARRA"/>
    <m/>
    <m/>
    <m/>
    <s v="CARLOS FIDENCIO D AVALOS RUIZ JUNIOR 34496952823"/>
    <n v="58293"/>
    <m/>
    <n v="19.250463"/>
    <n v="20809.75"/>
    <s v="MT "/>
    <n v="300"/>
    <m/>
    <n v="1081"/>
    <m/>
    <m/>
    <m/>
    <m/>
    <m/>
    <m/>
    <m/>
    <m/>
    <m/>
    <m/>
    <m/>
    <m/>
    <m/>
    <m/>
  </r>
  <r>
    <x v="10"/>
    <x v="4"/>
    <s v="COLCHÃO M.E."/>
    <s v="NADA"/>
    <x v="16"/>
    <s v="NADA"/>
    <s v="BOLIVIA"/>
    <n v="58293"/>
    <n v="3370005"/>
    <s v="TP ML BOL 180G 2,20L DIVERSAS U"/>
    <s v="DAVID MORENO VISCARRA"/>
    <m/>
    <m/>
    <m/>
    <s v="CARLOS FIDENCIO D AVALOS RUIZ JUNIOR 34496952823"/>
    <n v="58293"/>
    <m/>
    <n v="10.474515"/>
    <n v="10579.26"/>
    <s v="MT "/>
    <n v="180"/>
    <m/>
    <n v="1010"/>
    <m/>
    <m/>
    <m/>
    <m/>
    <m/>
    <m/>
    <m/>
    <m/>
    <m/>
    <m/>
    <m/>
    <m/>
    <m/>
    <m/>
  </r>
  <r>
    <x v="10"/>
    <x v="4"/>
    <s v="COLCHÃO M.E."/>
    <s v="NADA"/>
    <x v="37"/>
    <m/>
    <s v="ARGENTINA"/>
    <n v="58340"/>
    <n v="3520003"/>
    <s v="TP ML 0010181 180G 2,20L DV U"/>
    <m/>
    <m/>
    <m/>
    <m/>
    <s v="CARLOS FIDENCIO D AVALOS RUIZ JUNIOR 34496952823"/>
    <n v="58340"/>
    <m/>
    <n v="8.9389540000000007"/>
    <n v="22110.46"/>
    <m/>
    <m/>
    <m/>
    <n v="2026"/>
    <m/>
    <m/>
    <m/>
    <m/>
    <m/>
    <m/>
    <m/>
    <m/>
    <m/>
    <m/>
    <m/>
    <m/>
    <m/>
    <m/>
  </r>
  <r>
    <x v="10"/>
    <x v="4"/>
    <s v="COLCHÃO M.E."/>
    <s v="NADA"/>
    <x v="37"/>
    <m/>
    <s v="ARGENTINA"/>
    <n v="58340"/>
    <n v="3520002"/>
    <s v="TP ML 0066001 180G 2,20L DV U"/>
    <m/>
    <m/>
    <m/>
    <m/>
    <s v="CARLOS FIDENCIO D AVALOS RUIZ JUNIOR 34496952823"/>
    <n v="58340"/>
    <m/>
    <n v="8.9389470000000006"/>
    <n v="11091.05"/>
    <m/>
    <m/>
    <m/>
    <n v="1016.283"/>
    <m/>
    <m/>
    <m/>
    <m/>
    <m/>
    <m/>
    <m/>
    <m/>
    <m/>
    <m/>
    <m/>
    <m/>
    <m/>
    <m/>
  </r>
  <r>
    <x v="10"/>
    <x v="4"/>
    <s v="COLCHÃO M.E."/>
    <s v="NADA"/>
    <x v="37"/>
    <m/>
    <s v="ARGENTINA"/>
    <n v="58340"/>
    <n v="3520001"/>
    <s v="TP ML 0074161 180G 2,20L DV U"/>
    <m/>
    <m/>
    <m/>
    <m/>
    <s v="CARLOS FIDENCIO D AVALOS RUIZ JUNIOR 34496952823"/>
    <n v="58340"/>
    <m/>
    <n v="8.9389489999999991"/>
    <n v="11524.5"/>
    <m/>
    <m/>
    <m/>
    <n v="1056"/>
    <m/>
    <m/>
    <m/>
    <m/>
    <m/>
    <m/>
    <m/>
    <m/>
    <m/>
    <m/>
    <m/>
    <m/>
    <m/>
    <m/>
  </r>
  <r>
    <x v="10"/>
    <x v="4"/>
    <s v="COLCHÃO M.E."/>
    <s v="NADA"/>
    <x v="37"/>
    <m/>
    <s v="ARGENTINA"/>
    <n v="58340"/>
    <n v="3520004"/>
    <s v="TP ML 0092193 160G 2,10L DV U"/>
    <m/>
    <m/>
    <m/>
    <m/>
    <s v="CARLOS FIDENCIO D AVALOS RUIZ JUNIOR 34496952823"/>
    <n v="58340"/>
    <m/>
    <n v="6.8323200000000002"/>
    <n v="32639.96"/>
    <m/>
    <m/>
    <m/>
    <n v="3913"/>
    <m/>
    <m/>
    <m/>
    <m/>
    <m/>
    <m/>
    <m/>
    <m/>
    <m/>
    <m/>
    <m/>
    <m/>
    <m/>
    <m/>
  </r>
  <r>
    <x v="10"/>
    <x v="4"/>
    <s v="COLCHÃO M.E."/>
    <s v="NADA"/>
    <x v="38"/>
    <m/>
    <s v="CHILE"/>
    <n v="58356"/>
    <n v="2860004"/>
    <s v="-ME TP RETAS DEGRADE 450G 2,20L DIVERSAS U"/>
    <m/>
    <m/>
    <m/>
    <m/>
    <s v="CARLOS FIDENCIO D AVALOS RUIZ JUNIOR 34496952823"/>
    <n v="58356"/>
    <m/>
    <n v="24.320366"/>
    <n v="23906.92"/>
    <m/>
    <m/>
    <m/>
    <n v="983"/>
    <m/>
    <m/>
    <m/>
    <m/>
    <m/>
    <m/>
    <m/>
    <m/>
    <m/>
    <m/>
    <m/>
    <m/>
    <m/>
    <m/>
  </r>
  <r>
    <x v="10"/>
    <x v="4"/>
    <s v="COLCHÃO M.E."/>
    <s v="NADA"/>
    <x v="38"/>
    <m/>
    <s v="CHILE"/>
    <n v="58356"/>
    <n v="2860013"/>
    <s v="TP ML A09687 350G 2,20L DIVERSAS U"/>
    <m/>
    <m/>
    <m/>
    <m/>
    <s v="CARLOS FIDENCIO D AVALOS RUIZ JUNIOR 34496952823"/>
    <n v="58356"/>
    <m/>
    <n v="26.865532000000002"/>
    <n v="14131.27"/>
    <m/>
    <m/>
    <m/>
    <n v="526"/>
    <m/>
    <m/>
    <m/>
    <m/>
    <m/>
    <m/>
    <m/>
    <m/>
    <m/>
    <m/>
    <m/>
    <m/>
    <m/>
    <m/>
  </r>
  <r>
    <x v="10"/>
    <x v="4"/>
    <s v="COLCHÃO M.E."/>
    <s v="NADA"/>
    <x v="38"/>
    <m/>
    <s v="CHILE"/>
    <n v="58356"/>
    <n v="2860015"/>
    <s v="TP A09682 GRIS 2 370G 2,20L DV U"/>
    <m/>
    <m/>
    <m/>
    <m/>
    <s v="CARLOS FIDENCIO D AVALOS RUIZ JUNIOR 34496952823"/>
    <n v="58356"/>
    <m/>
    <n v="29.410677"/>
    <n v="29528.32"/>
    <m/>
    <m/>
    <m/>
    <n v="1004"/>
    <m/>
    <m/>
    <m/>
    <m/>
    <m/>
    <m/>
    <m/>
    <m/>
    <m/>
    <m/>
    <m/>
    <m/>
    <m/>
    <m/>
  </r>
  <r>
    <x v="10"/>
    <x v="4"/>
    <s v="COLCHÃO M.E."/>
    <s v="NADA"/>
    <x v="9"/>
    <m/>
    <s v="CHILE"/>
    <n v="58358"/>
    <n v="2810005"/>
    <s v="TP FOLHA 240G 2,20L (1121110) DIVERSAS U"/>
    <m/>
    <m/>
    <m/>
    <m/>
    <s v="CARLOS FIDENCIO D AVALOS RUIZ JUNIOR 34496952823"/>
    <n v="58358"/>
    <m/>
    <n v="16.006198999999999"/>
    <n v="23833.23"/>
    <m/>
    <m/>
    <m/>
    <n v="1489"/>
    <m/>
    <m/>
    <m/>
    <m/>
    <m/>
    <m/>
    <m/>
    <m/>
    <m/>
    <m/>
    <m/>
    <m/>
    <m/>
    <m/>
  </r>
  <r>
    <x v="10"/>
    <x v="4"/>
    <s v="COLCHÃO M.E."/>
    <s v="NADA"/>
    <x v="9"/>
    <m/>
    <s v="CHILE"/>
    <n v="58358"/>
    <n v="2810009"/>
    <s v="TP MESCLA 180G 2,20L (1122580) DIVERSAS U"/>
    <m/>
    <m/>
    <m/>
    <m/>
    <s v="CARLOS FIDENCIO D AVALOS RUIZ JUNIOR 34496952823"/>
    <n v="58358"/>
    <m/>
    <n v="12.725776"/>
    <n v="19190.47"/>
    <m/>
    <m/>
    <m/>
    <n v="1508"/>
    <m/>
    <m/>
    <m/>
    <m/>
    <m/>
    <m/>
    <m/>
    <m/>
    <m/>
    <m/>
    <m/>
    <m/>
    <m/>
    <m/>
  </r>
  <r>
    <x v="10"/>
    <x v="4"/>
    <s v="COLCHÃO M.E."/>
    <s v="NADA"/>
    <x v="9"/>
    <m/>
    <s v="CHILE"/>
    <n v="58358"/>
    <n v="2810009"/>
    <s v="TP MESCLA 180G 2,20L (1122580) DIVERSAS U"/>
    <m/>
    <m/>
    <m/>
    <m/>
    <s v="CARLOS FIDENCIO D AVALOS RUIZ JUNIOR 34496952823"/>
    <n v="58358"/>
    <m/>
    <n v="12.725775000000001"/>
    <n v="18223.310000000001"/>
    <m/>
    <m/>
    <m/>
    <n v="1432"/>
    <m/>
    <m/>
    <m/>
    <m/>
    <m/>
    <m/>
    <m/>
    <m/>
    <m/>
    <m/>
    <m/>
    <m/>
    <m/>
    <m/>
  </r>
  <r>
    <x v="1"/>
    <x v="4"/>
    <s v="COLCHÃO M.E."/>
    <s v="NADA"/>
    <x v="9"/>
    <b v="0"/>
    <s v="CHILE"/>
    <n v="58433"/>
    <n v="4041"/>
    <s v="2810013 TP ML A10131 310G 2,20L DV U"/>
    <m/>
    <m/>
    <m/>
    <m/>
    <m/>
    <n v="58433"/>
    <m/>
    <n v="20.863386999999999"/>
    <n v="10410.83"/>
    <m/>
    <m/>
    <m/>
    <n v="499"/>
    <m/>
    <m/>
    <m/>
    <m/>
    <m/>
    <m/>
    <m/>
    <m/>
    <m/>
    <m/>
    <m/>
    <m/>
    <m/>
    <m/>
  </r>
  <r>
    <x v="1"/>
    <x v="4"/>
    <s v="COLCHÃO M.E."/>
    <s v="NADA"/>
    <x v="39"/>
    <b v="0"/>
    <s v="PARAGUAI"/>
    <n v="58555"/>
    <n v="4160"/>
    <s v="3070002 TP ML 0054025 240G 2,20L DV U"/>
    <m/>
    <m/>
    <m/>
    <m/>
    <m/>
    <n v="58555"/>
    <m/>
    <n v="12.322952000000001"/>
    <n v="6888.53"/>
    <m/>
    <m/>
    <m/>
    <n v="559"/>
    <m/>
    <m/>
    <m/>
    <m/>
    <m/>
    <m/>
    <m/>
    <m/>
    <m/>
    <m/>
    <m/>
    <m/>
    <m/>
    <m/>
  </r>
  <r>
    <x v="1"/>
    <x v="4"/>
    <s v="COLCHÃO M.E."/>
    <s v="NADA"/>
    <x v="21"/>
    <b v="0"/>
    <s v="PARAGUAI"/>
    <n v="58807"/>
    <n v="1979"/>
    <s v="3200010 TP ML WAVES LINO 320G 2,20L DIVERSAS U"/>
    <m/>
    <m/>
    <m/>
    <m/>
    <m/>
    <n v="58807"/>
    <m/>
    <n v="26.104572999999998"/>
    <n v="15297.28"/>
    <m/>
    <m/>
    <m/>
    <n v="586"/>
    <m/>
    <m/>
    <m/>
    <m/>
    <m/>
    <m/>
    <m/>
    <m/>
    <m/>
    <m/>
    <m/>
    <m/>
    <m/>
    <m/>
  </r>
  <r>
    <x v="1"/>
    <x v="4"/>
    <s v="COLCHÃO M.E."/>
    <s v="NADA"/>
    <x v="21"/>
    <b v="0"/>
    <s v="PARAGUAI"/>
    <n v="58807"/>
    <n v="3274"/>
    <s v="3200011-ME 220G 2,20L DV U"/>
    <m/>
    <m/>
    <m/>
    <m/>
    <m/>
    <n v="58807"/>
    <m/>
    <n v="12.090540000000001"/>
    <n v="6492.62"/>
    <m/>
    <m/>
    <m/>
    <n v="537"/>
    <m/>
    <m/>
    <m/>
    <m/>
    <m/>
    <m/>
    <m/>
    <m/>
    <m/>
    <m/>
    <m/>
    <m/>
    <m/>
    <m/>
  </r>
  <r>
    <x v="1"/>
    <x v="4"/>
    <s v="COLCHÃO M.E."/>
    <s v="NADA"/>
    <x v="21"/>
    <b v="0"/>
    <s v="PARAGUAI"/>
    <n v="58807"/>
    <n v="3700"/>
    <s v="3200013 TP ML A09969 160G 2,10L DV U"/>
    <m/>
    <m/>
    <m/>
    <m/>
    <m/>
    <n v="58807"/>
    <m/>
    <n v="7.5291059999999996"/>
    <n v="12212.21"/>
    <m/>
    <m/>
    <m/>
    <n v="1622"/>
    <m/>
    <m/>
    <m/>
    <m/>
    <m/>
    <m/>
    <m/>
    <m/>
    <m/>
    <m/>
    <m/>
    <m/>
    <m/>
    <m/>
  </r>
  <r>
    <x v="1"/>
    <x v="4"/>
    <s v="COLCHÃO M.E."/>
    <s v="NADA"/>
    <x v="21"/>
    <b v="0"/>
    <s v="PARAGUAI"/>
    <n v="58807"/>
    <n v="3701"/>
    <s v="3200014 TP ML A09970 160G 2,10L DV U"/>
    <m/>
    <m/>
    <m/>
    <m/>
    <m/>
    <n v="58807"/>
    <m/>
    <n v="7.913805"/>
    <n v="9963.48"/>
    <m/>
    <m/>
    <m/>
    <n v="1259"/>
    <m/>
    <m/>
    <m/>
    <m/>
    <m/>
    <m/>
    <m/>
    <m/>
    <m/>
    <m/>
    <m/>
    <m/>
    <m/>
    <m/>
  </r>
  <r>
    <x v="1"/>
    <x v="4"/>
    <s v="COLCHÃO M.E."/>
    <s v="NADA"/>
    <x v="21"/>
    <b v="0"/>
    <s v="PARAGUAI"/>
    <n v="58807"/>
    <n v="3702"/>
    <s v="3200015 TP ML A09971 180G 2,10L DV U"/>
    <m/>
    <m/>
    <m/>
    <m/>
    <m/>
    <n v="58807"/>
    <m/>
    <n v="12.530193000000001"/>
    <n v="17384.39"/>
    <m/>
    <m/>
    <m/>
    <n v="1387.4"/>
    <m/>
    <m/>
    <m/>
    <m/>
    <m/>
    <m/>
    <m/>
    <m/>
    <m/>
    <m/>
    <m/>
    <m/>
    <m/>
    <m/>
  </r>
  <r>
    <x v="1"/>
    <x v="4"/>
    <s v="COLCHÃO M.E."/>
    <s v="NADA"/>
    <x v="1"/>
    <b v="0"/>
    <s v="URUGUAI"/>
    <n v="58963"/>
    <n v="1225"/>
    <s v="2540012 TAMPO RASCUNHOS (A07820) DIVERSAS U"/>
    <m/>
    <m/>
    <m/>
    <m/>
    <m/>
    <n v="58963"/>
    <m/>
    <n v="15.551558999999999"/>
    <n v="22238.73"/>
    <m/>
    <m/>
    <m/>
    <n v="1430"/>
    <m/>
    <m/>
    <m/>
    <m/>
    <m/>
    <m/>
    <m/>
    <m/>
    <m/>
    <m/>
    <m/>
    <m/>
    <m/>
    <m/>
  </r>
  <r>
    <x v="1"/>
    <x v="4"/>
    <s v="COLCHÃO M.E."/>
    <s v="NADA"/>
    <x v="1"/>
    <b v="0"/>
    <s v="URUGUAI"/>
    <n v="58963"/>
    <n v="1225"/>
    <s v="2540012 TAMPO RASCUNHOS (A07820) DIVERSAS U"/>
    <m/>
    <m/>
    <m/>
    <m/>
    <m/>
    <n v="58963"/>
    <m/>
    <n v="15.551556"/>
    <n v="62486.15"/>
    <m/>
    <m/>
    <m/>
    <n v="4018"/>
    <m/>
    <m/>
    <m/>
    <m/>
    <m/>
    <m/>
    <m/>
    <m/>
    <m/>
    <m/>
    <m/>
    <m/>
    <m/>
    <m/>
  </r>
  <r>
    <x v="1"/>
    <x v="4"/>
    <s v="COLCHÃO M.E."/>
    <s v="NADA"/>
    <x v="1"/>
    <b v="0"/>
    <s v="URUGUAI"/>
    <n v="58963"/>
    <n v="1506"/>
    <s v="2540017 TP ML A08980 280G 2,10L DIVERSAS U"/>
    <m/>
    <m/>
    <m/>
    <m/>
    <m/>
    <n v="58963"/>
    <m/>
    <n v="18.234745"/>
    <n v="45459.22"/>
    <m/>
    <m/>
    <m/>
    <n v="2493"/>
    <m/>
    <m/>
    <m/>
    <m/>
    <m/>
    <m/>
    <m/>
    <m/>
    <m/>
    <m/>
    <m/>
    <m/>
    <m/>
    <m/>
  </r>
  <r>
    <x v="1"/>
    <x v="4"/>
    <s v="COLCHÃO M.E."/>
    <s v="NADA"/>
    <x v="1"/>
    <b v="0"/>
    <s v="URUGUAI"/>
    <n v="58963"/>
    <n v="3343"/>
    <s v="2540031 TP ML A09792 390G 2,20L DV U"/>
    <m/>
    <m/>
    <m/>
    <m/>
    <m/>
    <n v="58963"/>
    <m/>
    <n v="27.379503"/>
    <n v="13771.89"/>
    <m/>
    <m/>
    <m/>
    <n v="503"/>
    <m/>
    <m/>
    <m/>
    <m/>
    <m/>
    <m/>
    <m/>
    <m/>
    <m/>
    <m/>
    <m/>
    <m/>
    <m/>
    <m/>
  </r>
  <r>
    <x v="1"/>
    <x v="4"/>
    <s v="COLCHÃO M.E."/>
    <s v="NADA"/>
    <x v="1"/>
    <b v="0"/>
    <s v="URUGUAI"/>
    <n v="58963"/>
    <n v="3589"/>
    <s v="2540033 TP ML 132012 340G 2,20L DV U"/>
    <m/>
    <m/>
    <m/>
    <m/>
    <m/>
    <n v="58963"/>
    <m/>
    <n v="22.998781000000001"/>
    <n v="21135.88"/>
    <m/>
    <m/>
    <m/>
    <n v="919"/>
    <m/>
    <m/>
    <m/>
    <m/>
    <m/>
    <m/>
    <m/>
    <m/>
    <m/>
    <m/>
    <m/>
    <m/>
    <m/>
    <m/>
  </r>
  <r>
    <x v="1"/>
    <x v="4"/>
    <s v="COLCHÃO M.E."/>
    <s v="NADA"/>
    <x v="38"/>
    <b v="0"/>
    <s v="CHILE"/>
    <n v="58964"/>
    <n v="2535"/>
    <s v="2860011 TP ML DOLPHIN ME 430G 2,20L DIVERSAS U"/>
    <m/>
    <m/>
    <m/>
    <m/>
    <m/>
    <n v="58964"/>
    <m/>
    <n v="35.538598"/>
    <n v="22640.93"/>
    <m/>
    <m/>
    <m/>
    <n v="637.08000000000004"/>
    <m/>
    <m/>
    <m/>
    <m/>
    <m/>
    <m/>
    <m/>
    <m/>
    <m/>
    <m/>
    <m/>
    <m/>
    <m/>
    <m/>
  </r>
  <r>
    <x v="1"/>
    <x v="4"/>
    <s v="COLCHÃO M.E."/>
    <s v="NADA"/>
    <x v="9"/>
    <b v="0"/>
    <s v="CHILE"/>
    <n v="58965"/>
    <n v="1419"/>
    <s v="2810009 TP MESCLA 180G 2,20L (1122580) DIVERSAS U"/>
    <m/>
    <m/>
    <m/>
    <m/>
    <m/>
    <n v="58965"/>
    <m/>
    <n v="12.320772"/>
    <n v="13565.17"/>
    <m/>
    <m/>
    <m/>
    <n v="1101"/>
    <m/>
    <m/>
    <m/>
    <m/>
    <m/>
    <m/>
    <m/>
    <m/>
    <m/>
    <m/>
    <m/>
    <m/>
    <m/>
    <m/>
  </r>
  <r>
    <x v="1"/>
    <x v="4"/>
    <s v="COLCHÃO M.E."/>
    <s v="NADA"/>
    <x v="9"/>
    <b v="0"/>
    <s v="CHILE"/>
    <n v="58965"/>
    <n v="4041"/>
    <s v="2810013 TP ML A10131 310G 2,20L DV U"/>
    <m/>
    <m/>
    <m/>
    <m/>
    <m/>
    <n v="58965"/>
    <m/>
    <n v="20.151312000000001"/>
    <n v="28111.08"/>
    <m/>
    <m/>
    <m/>
    <n v="1395"/>
    <m/>
    <m/>
    <m/>
    <m/>
    <m/>
    <m/>
    <m/>
    <m/>
    <m/>
    <m/>
    <m/>
    <m/>
    <m/>
    <m/>
  </r>
  <r>
    <x v="2"/>
    <x v="4"/>
    <s v="COLCHÃO M.E."/>
    <s v="NADA"/>
    <x v="9"/>
    <m/>
    <s v="CHILE"/>
    <n v="59373"/>
    <n v="1422"/>
    <s v="2810005 TP FOLHA 240G 2,20L (1121110) DIVERSAS U"/>
    <m/>
    <m/>
    <m/>
    <m/>
    <m/>
    <m/>
    <m/>
    <n v="15.632635000000001"/>
    <n v="23495.85"/>
    <m/>
    <m/>
    <m/>
    <n v="1503"/>
    <m/>
    <m/>
    <m/>
    <m/>
    <m/>
    <m/>
    <m/>
    <m/>
    <m/>
    <m/>
    <m/>
    <m/>
    <m/>
    <m/>
  </r>
  <r>
    <x v="2"/>
    <x v="4"/>
    <s v="COLCHÃO M.E."/>
    <s v="NADA"/>
    <x v="9"/>
    <m/>
    <s v="CHILE"/>
    <n v="59373"/>
    <n v="3378"/>
    <s v="2810011 TP PARADISE 122034 370G 2,20L DV U"/>
    <m/>
    <m/>
    <m/>
    <m/>
    <m/>
    <m/>
    <m/>
    <n v="26.790908999999999"/>
    <n v="11198.6"/>
    <m/>
    <m/>
    <m/>
    <n v="418"/>
    <m/>
    <m/>
    <m/>
    <m/>
    <m/>
    <m/>
    <m/>
    <m/>
    <m/>
    <m/>
    <m/>
    <m/>
    <m/>
    <m/>
  </r>
  <r>
    <x v="2"/>
    <x v="4"/>
    <s v="COLCHÃO M.E."/>
    <s v="NADA"/>
    <x v="9"/>
    <m/>
    <s v="CHILE"/>
    <n v="59373"/>
    <n v="4041"/>
    <s v="2810013 TP ML A10131 310G 2,20L DV U"/>
    <m/>
    <m/>
    <m/>
    <m/>
    <m/>
    <m/>
    <m/>
    <n v="20.327950000000001"/>
    <n v="28357.49"/>
    <m/>
    <m/>
    <m/>
    <n v="1395"/>
    <m/>
    <m/>
    <m/>
    <m/>
    <m/>
    <m/>
    <m/>
    <m/>
    <m/>
    <m/>
    <m/>
    <m/>
    <m/>
    <m/>
  </r>
  <r>
    <x v="2"/>
    <x v="4"/>
    <s v="COLCHÃO M.E."/>
    <s v="NADA"/>
    <x v="40"/>
    <m/>
    <s v="ARGENTINA"/>
    <n v="59537"/>
    <n v="4350"/>
    <s v="3550001 TP ML 0292001 220G 2,20L DV U"/>
    <m/>
    <m/>
    <m/>
    <m/>
    <m/>
    <m/>
    <m/>
    <n v="11.038697000000001"/>
    <n v="37222.300000000003"/>
    <m/>
    <m/>
    <m/>
    <n v="3371.9830000000002"/>
    <m/>
    <m/>
    <m/>
    <m/>
    <m/>
    <m/>
    <m/>
    <m/>
    <m/>
    <m/>
    <m/>
    <m/>
    <m/>
    <m/>
  </r>
  <r>
    <x v="2"/>
    <x v="4"/>
    <s v="COLCHÃO M.E."/>
    <s v="NADA"/>
    <x v="40"/>
    <m/>
    <s v="ARGENTINA"/>
    <n v="59537"/>
    <n v="4350"/>
    <s v="3550001 TP ML 0292001 220G 2,20L DV U"/>
    <m/>
    <m/>
    <m/>
    <m/>
    <m/>
    <m/>
    <m/>
    <n v="11.038698"/>
    <n v="66475.039999999994"/>
    <m/>
    <m/>
    <m/>
    <n v="6022"/>
    <m/>
    <m/>
    <m/>
    <m/>
    <m/>
    <m/>
    <m/>
    <m/>
    <m/>
    <m/>
    <m/>
    <m/>
    <m/>
    <m/>
  </r>
  <r>
    <x v="2"/>
    <x v="4"/>
    <s v="COLCHÃO M.E."/>
    <s v="NADA"/>
    <x v="1"/>
    <m/>
    <s v="URUGUAI"/>
    <n v="59540"/>
    <n v="3009"/>
    <s v="2540014 TP ML A05171 300G 2,20L DIVERSAS U"/>
    <m/>
    <m/>
    <m/>
    <m/>
    <m/>
    <m/>
    <m/>
    <n v="24.094622000000001"/>
    <n v="11469.04"/>
    <m/>
    <m/>
    <m/>
    <n v="476"/>
    <m/>
    <m/>
    <m/>
    <m/>
    <m/>
    <m/>
    <m/>
    <m/>
    <m/>
    <m/>
    <m/>
    <m/>
    <m/>
    <m/>
  </r>
  <r>
    <x v="2"/>
    <x v="4"/>
    <s v="COLCHÃO M.E."/>
    <s v="NADA"/>
    <x v="1"/>
    <m/>
    <s v="URUGUAI"/>
    <n v="59540"/>
    <n v="3712"/>
    <s v="2540035 TP ML A10045 280G 2,20L DV U"/>
    <m/>
    <m/>
    <m/>
    <m/>
    <m/>
    <m/>
    <m/>
    <n v="17.930879000000001"/>
    <n v="53828.5"/>
    <m/>
    <m/>
    <m/>
    <n v="3002"/>
    <m/>
    <m/>
    <m/>
    <m/>
    <m/>
    <m/>
    <m/>
    <m/>
    <m/>
    <m/>
    <m/>
    <m/>
    <m/>
    <m/>
  </r>
  <r>
    <x v="2"/>
    <x v="4"/>
    <s v="COLCHÃO M.E."/>
    <s v="NADA"/>
    <x v="1"/>
    <m/>
    <s v="URUGUAI"/>
    <n v="59540"/>
    <n v="3589"/>
    <s v="2540033 TP ML 132012 340G 2,20L DV U"/>
    <m/>
    <m/>
    <m/>
    <m/>
    <m/>
    <m/>
    <m/>
    <n v="23.534282999999999"/>
    <n v="23298.94"/>
    <m/>
    <m/>
    <m/>
    <n v="990"/>
    <m/>
    <m/>
    <m/>
    <m/>
    <m/>
    <m/>
    <m/>
    <m/>
    <m/>
    <m/>
    <m/>
    <m/>
    <m/>
    <m/>
  </r>
  <r>
    <x v="2"/>
    <x v="4"/>
    <s v="COLCHÃO M.E."/>
    <s v="NADA"/>
    <x v="1"/>
    <m/>
    <s v="URUGUAI"/>
    <n v="59540"/>
    <n v="3547"/>
    <s v="2540032 TP ML 245021 240G 2,20L DV U"/>
    <m/>
    <m/>
    <m/>
    <m/>
    <m/>
    <m/>
    <m/>
    <n v="32.611773999999997"/>
    <n v="10664.05"/>
    <m/>
    <m/>
    <m/>
    <n v="327"/>
    <m/>
    <m/>
    <m/>
    <m/>
    <m/>
    <m/>
    <m/>
    <m/>
    <m/>
    <m/>
    <m/>
    <m/>
    <m/>
    <m/>
  </r>
  <r>
    <x v="2"/>
    <x v="4"/>
    <s v="COLCHÃO M.E."/>
    <s v="NADA"/>
    <x v="1"/>
    <m/>
    <s v="URUGUAI"/>
    <n v="59540"/>
    <n v="3547"/>
    <s v="2540032 TP ML 245021 240G 2,20L DV U"/>
    <m/>
    <m/>
    <m/>
    <m/>
    <m/>
    <m/>
    <m/>
    <n v="32.611781000000001"/>
    <n v="10435.77"/>
    <m/>
    <m/>
    <m/>
    <n v="320"/>
    <m/>
    <m/>
    <m/>
    <m/>
    <m/>
    <m/>
    <m/>
    <m/>
    <m/>
    <m/>
    <m/>
    <m/>
    <m/>
    <m/>
  </r>
  <r>
    <x v="2"/>
    <x v="4"/>
    <s v="COLCHÃO M.E."/>
    <s v="NADA"/>
    <x v="1"/>
    <m/>
    <s v="URUGUAI"/>
    <n v="59540"/>
    <n v="1225"/>
    <s v="2540012 TAMPO RASCUNHOS (A07820) DIVERSAS U"/>
    <m/>
    <m/>
    <m/>
    <m/>
    <m/>
    <m/>
    <m/>
    <n v="15.913656"/>
    <n v="69383.539999999994"/>
    <m/>
    <m/>
    <m/>
    <n v="4360"/>
    <m/>
    <m/>
    <m/>
    <m/>
    <m/>
    <m/>
    <m/>
    <m/>
    <m/>
    <m/>
    <m/>
    <m/>
    <m/>
    <m/>
  </r>
  <r>
    <x v="2"/>
    <x v="4"/>
    <s v="COLCHÃO M.E."/>
    <s v="NADA"/>
    <x v="1"/>
    <m/>
    <s v="URUGUAI"/>
    <n v="59540"/>
    <n v="2054"/>
    <s v="2540026 TP ML 0072051 - 280G 2,20L DEGRA DIVERSAS U"/>
    <m/>
    <m/>
    <m/>
    <m/>
    <m/>
    <m/>
    <m/>
    <n v="17.426573000000001"/>
    <n v="18053.93"/>
    <m/>
    <m/>
    <m/>
    <n v="1036"/>
    <m/>
    <m/>
    <m/>
    <m/>
    <m/>
    <m/>
    <m/>
    <m/>
    <m/>
    <m/>
    <m/>
    <m/>
    <m/>
    <m/>
  </r>
  <r>
    <x v="2"/>
    <x v="4"/>
    <s v="COLCHÃO M.E."/>
    <s v="NADA"/>
    <x v="1"/>
    <m/>
    <s v="URUGUAI"/>
    <n v="59540"/>
    <n v="1506"/>
    <s v="2540017 TP ML A08980 280G 2,10L DIVERSAS U"/>
    <m/>
    <m/>
    <m/>
    <m/>
    <m/>
    <m/>
    <m/>
    <n v="18.659322"/>
    <n v="62264.29"/>
    <m/>
    <m/>
    <m/>
    <n v="3336.9"/>
    <m/>
    <m/>
    <m/>
    <m/>
    <m/>
    <m/>
    <m/>
    <m/>
    <m/>
    <m/>
    <m/>
    <m/>
    <m/>
    <m/>
  </r>
  <r>
    <x v="2"/>
    <x v="4"/>
    <s v="COLCHÃO M.E."/>
    <s v="NADA"/>
    <x v="1"/>
    <m/>
    <s v="URUGUAI"/>
    <n v="59540"/>
    <n v="1504"/>
    <s v="2540018 TP ML DIV 7806 240G 2,10L DIVERSAS U"/>
    <m/>
    <m/>
    <m/>
    <m/>
    <m/>
    <m/>
    <m/>
    <n v="15.745552999999999"/>
    <n v="25208.63"/>
    <m/>
    <m/>
    <m/>
    <n v="1601"/>
    <m/>
    <m/>
    <m/>
    <m/>
    <m/>
    <m/>
    <m/>
    <m/>
    <m/>
    <m/>
    <m/>
    <m/>
    <m/>
    <m/>
  </r>
  <r>
    <x v="2"/>
    <x v="4"/>
    <s v="COLCHÃO M.E."/>
    <s v="NADA"/>
    <x v="1"/>
    <m/>
    <s v="URUGUAI"/>
    <n v="59540"/>
    <n v="1236"/>
    <s v="2540005 TAMPO GEOMETRICO (A07370) DIVERSAS U"/>
    <m/>
    <m/>
    <m/>
    <m/>
    <m/>
    <m/>
    <m/>
    <n v="18.435184"/>
    <n v="30583.97"/>
    <m/>
    <m/>
    <m/>
    <n v="1659"/>
    <m/>
    <m/>
    <m/>
    <m/>
    <m/>
    <m/>
    <m/>
    <m/>
    <m/>
    <m/>
    <m/>
    <m/>
    <m/>
    <m/>
  </r>
  <r>
    <x v="2"/>
    <x v="4"/>
    <s v="COLCHÃO M.E."/>
    <s v="NADA"/>
    <x v="36"/>
    <m/>
    <s v="ARGENTINA"/>
    <n v="59541"/>
    <n v="4332"/>
    <s v="3530004 TP ML A10108 200G 2,20L DV U"/>
    <m/>
    <m/>
    <m/>
    <m/>
    <m/>
    <m/>
    <m/>
    <n v="9.9180159999999997"/>
    <n v="10999.08"/>
    <m/>
    <m/>
    <m/>
    <n v="1109"/>
    <m/>
    <m/>
    <m/>
    <m/>
    <m/>
    <m/>
    <m/>
    <m/>
    <m/>
    <m/>
    <m/>
    <m/>
    <m/>
    <m/>
  </r>
  <r>
    <x v="2"/>
    <x v="4"/>
    <s v="COLCHÃO M.E."/>
    <s v="NADA"/>
    <x v="36"/>
    <m/>
    <s v="ARGENTINA"/>
    <n v="59541"/>
    <n v="4333"/>
    <s v="3530005 TP ML A10224 200G 2,20L DV U"/>
    <m/>
    <m/>
    <m/>
    <m/>
    <m/>
    <m/>
    <m/>
    <n v="9.918018"/>
    <n v="25370.29"/>
    <m/>
    <m/>
    <m/>
    <n v="2558"/>
    <m/>
    <m/>
    <m/>
    <m/>
    <m/>
    <m/>
    <m/>
    <m/>
    <m/>
    <m/>
    <m/>
    <m/>
    <m/>
    <m/>
  </r>
  <r>
    <x v="2"/>
    <x v="4"/>
    <s v="COLCHÃO M.E."/>
    <s v="NADA"/>
    <x v="36"/>
    <m/>
    <s v="ARGENTINA"/>
    <n v="59541"/>
    <n v="4114"/>
    <s v="3530001 TP ML A10169 240G 2,10L DV U"/>
    <m/>
    <m/>
    <m/>
    <m/>
    <m/>
    <m/>
    <m/>
    <n v="11.206797999999999"/>
    <n v="17325.71"/>
    <m/>
    <m/>
    <m/>
    <n v="1546"/>
    <m/>
    <m/>
    <m/>
    <m/>
    <m/>
    <m/>
    <m/>
    <m/>
    <m/>
    <m/>
    <m/>
    <m/>
    <m/>
    <m/>
  </r>
  <r>
    <x v="2"/>
    <x v="4"/>
    <s v="COLCHÃO M.E."/>
    <s v="NADA"/>
    <x v="36"/>
    <m/>
    <s v="ARGENTINA"/>
    <n v="59541"/>
    <n v="4331"/>
    <s v="3530003 TP ML A10104-A 200G 2,20L DV U"/>
    <m/>
    <m/>
    <m/>
    <m/>
    <m/>
    <m/>
    <m/>
    <n v="10.198188"/>
    <n v="71825.84"/>
    <m/>
    <m/>
    <m/>
    <n v="7043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56"/>
    <s v="2940050 TP ML 0447011 180G 2,20L DV U"/>
    <m/>
    <m/>
    <m/>
    <m/>
    <m/>
    <m/>
    <m/>
    <n v="9.1895699999999998"/>
    <n v="5982.41"/>
    <m/>
    <m/>
    <m/>
    <n v="651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51"/>
    <s v="2940045 TP ML 0149101 180G 2,20L DV U"/>
    <m/>
    <m/>
    <m/>
    <m/>
    <m/>
    <m/>
    <m/>
    <n v="9.3016400000000008"/>
    <n v="6464.64"/>
    <m/>
    <m/>
    <m/>
    <n v="695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52"/>
    <s v="2940046 TP ML 0271051 180G 2,20L DV U"/>
    <m/>
    <m/>
    <m/>
    <m/>
    <m/>
    <m/>
    <m/>
    <n v="9.3016489999999994"/>
    <n v="6204.2"/>
    <m/>
    <m/>
    <m/>
    <n v="667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53"/>
    <s v="2940047 TP ML 0276001 180G 2,20L DV U"/>
    <m/>
    <m/>
    <m/>
    <m/>
    <m/>
    <m/>
    <m/>
    <n v="9.1335370000000005"/>
    <n v="6713.15"/>
    <m/>
    <m/>
    <m/>
    <n v="735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54"/>
    <s v="2940048 TP ML 0446031 180G 2,20L DV U"/>
    <m/>
    <m/>
    <m/>
    <m/>
    <m/>
    <m/>
    <m/>
    <n v="9.1335429999999995"/>
    <n v="6548.75"/>
    <m/>
    <m/>
    <m/>
    <n v="717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55"/>
    <s v="2940049 TP ML 0449021 180G 2,20L DV U"/>
    <m/>
    <m/>
    <m/>
    <m/>
    <m/>
    <m/>
    <m/>
    <n v="9.1335359999999994"/>
    <n v="6019"/>
    <m/>
    <m/>
    <m/>
    <n v="659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59"/>
    <s v="2940053 TP ML 0389011 180G 2,20L DV U"/>
    <m/>
    <m/>
    <m/>
    <m/>
    <m/>
    <m/>
    <m/>
    <n v="9.1335390000000007"/>
    <n v="6503.08"/>
    <m/>
    <m/>
    <m/>
    <n v="712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57"/>
    <s v="2940051 TP ML 0441021 180G 2,20L DV U"/>
    <m/>
    <m/>
    <m/>
    <m/>
    <m/>
    <m/>
    <m/>
    <n v="9.1335359999999994"/>
    <n v="6302.14"/>
    <m/>
    <m/>
    <m/>
    <n v="690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58"/>
    <s v="2940052 TP ML 0418011 180G 2,20L DV U"/>
    <m/>
    <m/>
    <m/>
    <m/>
    <m/>
    <m/>
    <m/>
    <n v="9.1335350000000002"/>
    <n v="6329.54"/>
    <m/>
    <m/>
    <m/>
    <n v="693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65"/>
    <s v="2940056 TP ML 0276011 180G 2,20L DV U"/>
    <m/>
    <m/>
    <m/>
    <m/>
    <m/>
    <m/>
    <m/>
    <n v="9.5257860000000001"/>
    <n v="5696.42"/>
    <m/>
    <m/>
    <m/>
    <n v="598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66"/>
    <s v="2940055 TP ML 0389021 180G 2,20L DV U"/>
    <m/>
    <m/>
    <m/>
    <m/>
    <m/>
    <m/>
    <m/>
    <n v="9.5257830000000006"/>
    <n v="6325.12"/>
    <m/>
    <m/>
    <m/>
    <n v="664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67"/>
    <s v="2940054 TP ML 0269031 180G 2,20L DV U"/>
    <m/>
    <m/>
    <m/>
    <m/>
    <m/>
    <m/>
    <m/>
    <n v="9.5257850000000008"/>
    <n v="6553.74"/>
    <m/>
    <m/>
    <m/>
    <n v="688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49"/>
    <s v="2940043 TP ML 0263021 180G 2,20L DV U"/>
    <m/>
    <m/>
    <m/>
    <m/>
    <m/>
    <m/>
    <m/>
    <n v="9.3016369999999995"/>
    <n v="6362.32"/>
    <m/>
    <m/>
    <m/>
    <n v="684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43"/>
    <s v="2940037 TP ML 0076061 180G 2,20L DV U"/>
    <m/>
    <m/>
    <m/>
    <m/>
    <m/>
    <m/>
    <m/>
    <n v="9.8059460000000005"/>
    <n v="6216.97"/>
    <m/>
    <m/>
    <m/>
    <n v="634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37"/>
    <s v="2940031 TP ML 0072091 180G 2,20L DV U"/>
    <m/>
    <m/>
    <m/>
    <m/>
    <m/>
    <m/>
    <m/>
    <n v="9.1335420000000003"/>
    <n v="6704.02"/>
    <m/>
    <m/>
    <m/>
    <n v="734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38"/>
    <s v="2940032 TP ML 0274031 180G 2,20L DV U"/>
    <m/>
    <m/>
    <m/>
    <m/>
    <m/>
    <m/>
    <m/>
    <n v="9.3576750000000004"/>
    <n v="7364.49"/>
    <m/>
    <m/>
    <m/>
    <n v="787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39"/>
    <s v="2940033 TP ML 0389011 180G 2,20L DV U"/>
    <m/>
    <m/>
    <m/>
    <m/>
    <m/>
    <m/>
    <m/>
    <n v="9.1335329999999999"/>
    <n v="3954.82"/>
    <m/>
    <m/>
    <m/>
    <n v="433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41"/>
    <s v="2940035 TP ML 0143001 180G 2,20L DV U"/>
    <m/>
    <m/>
    <m/>
    <m/>
    <m/>
    <m/>
    <m/>
    <n v="9.5818119999999993"/>
    <n v="5816.16"/>
    <m/>
    <m/>
    <m/>
    <n v="607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42"/>
    <s v="2940036 TP ML 0066011 180G 2,20L DV U"/>
    <m/>
    <m/>
    <m/>
    <m/>
    <m/>
    <m/>
    <m/>
    <n v="9.3576739999999994"/>
    <n v="6597.16"/>
    <m/>
    <m/>
    <m/>
    <n v="705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50"/>
    <s v="2940044 TP ML 0149111 180G 2,20L DV U"/>
    <m/>
    <m/>
    <m/>
    <m/>
    <m/>
    <m/>
    <m/>
    <n v="9.1335379999999997"/>
    <n v="6530.48"/>
    <m/>
    <m/>
    <m/>
    <n v="715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44"/>
    <s v="2940038 TP ML 0262031 180G 2,20L DV U"/>
    <m/>
    <m/>
    <m/>
    <m/>
    <m/>
    <m/>
    <m/>
    <n v="9.1335409999999992"/>
    <n v="6758.82"/>
    <m/>
    <m/>
    <m/>
    <n v="740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45"/>
    <s v="2940039 TP ML 0245061 180G 2,20L DV U"/>
    <m/>
    <m/>
    <m/>
    <m/>
    <m/>
    <m/>
    <m/>
    <n v="9.3576730000000001"/>
    <n v="6756.24"/>
    <m/>
    <m/>
    <m/>
    <n v="722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46"/>
    <s v="2940040 TP ML 0147101 180G 2,20L DV U"/>
    <m/>
    <m/>
    <m/>
    <m/>
    <m/>
    <m/>
    <m/>
    <n v="9.3576759999999997"/>
    <n v="6363.22"/>
    <m/>
    <m/>
    <m/>
    <n v="680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47"/>
    <s v="2940041 TP ML 0269021 180G 2,20L DV U"/>
    <m/>
    <m/>
    <m/>
    <m/>
    <m/>
    <m/>
    <m/>
    <n v="9.3576709999999999"/>
    <n v="6026.34"/>
    <m/>
    <m/>
    <m/>
    <n v="644"/>
    <m/>
    <m/>
    <m/>
    <m/>
    <m/>
    <m/>
    <m/>
    <m/>
    <m/>
    <m/>
    <m/>
    <m/>
    <m/>
    <m/>
  </r>
  <r>
    <x v="2"/>
    <x v="4"/>
    <s v="COLCHÃO M.E."/>
    <s v="NADA"/>
    <x v="13"/>
    <m/>
    <s v="BOLIVIA"/>
    <n v="59544"/>
    <n v="4248"/>
    <s v="2940042 TP ML 0074171 180G 2,20L DV U"/>
    <m/>
    <m/>
    <m/>
    <m/>
    <m/>
    <m/>
    <m/>
    <n v="9.5818180000000002"/>
    <n v="6534.8"/>
    <m/>
    <m/>
    <m/>
    <n v="682"/>
    <m/>
    <m/>
    <m/>
    <m/>
    <m/>
    <m/>
    <m/>
    <m/>
    <m/>
    <m/>
    <m/>
    <m/>
    <m/>
    <m/>
  </r>
  <r>
    <x v="2"/>
    <x v="4"/>
    <s v="COLCHÃO M.E."/>
    <s v="NADA"/>
    <x v="18"/>
    <m/>
    <s v="URUGUAI"/>
    <n v="59546"/>
    <n v="3511"/>
    <s v="3030066 TP ML 0094001 200G 2,20L DV U"/>
    <m/>
    <m/>
    <m/>
    <m/>
    <m/>
    <m/>
    <m/>
    <n v="10.198187000000001"/>
    <n v="13165.86"/>
    <m/>
    <m/>
    <m/>
    <n v="1291"/>
    <m/>
    <m/>
    <m/>
    <m/>
    <m/>
    <m/>
    <m/>
    <m/>
    <m/>
    <m/>
    <m/>
    <m/>
    <m/>
    <m/>
  </r>
  <r>
    <x v="2"/>
    <x v="4"/>
    <s v="COLCHÃO M.E."/>
    <s v="NADA"/>
    <x v="18"/>
    <m/>
    <s v="URUGUAI"/>
    <n v="59546"/>
    <n v="3652"/>
    <s v="3030067 TP 0386003 180G 2,10L DV U"/>
    <m/>
    <m/>
    <m/>
    <m/>
    <m/>
    <m/>
    <m/>
    <n v="8.7412500000000009"/>
    <n v="489.51"/>
    <m/>
    <m/>
    <m/>
    <n v="56"/>
    <m/>
    <m/>
    <m/>
    <m/>
    <m/>
    <m/>
    <m/>
    <m/>
    <m/>
    <m/>
    <m/>
    <m/>
    <m/>
    <m/>
  </r>
  <r>
    <x v="2"/>
    <x v="4"/>
    <s v="COLCHÃO M.E."/>
    <s v="NADA"/>
    <x v="18"/>
    <m/>
    <s v="URUGUAI"/>
    <n v="59546"/>
    <n v="3505"/>
    <s v="3030061 PL 180G 2,10L NEGRO DV U"/>
    <m/>
    <m/>
    <m/>
    <m/>
    <m/>
    <m/>
    <m/>
    <n v="10.422326"/>
    <n v="11204"/>
    <m/>
    <m/>
    <m/>
    <n v="1075"/>
    <m/>
    <m/>
    <m/>
    <m/>
    <m/>
    <m/>
    <m/>
    <m/>
    <m/>
    <m/>
    <m/>
    <m/>
    <m/>
    <m/>
  </r>
  <r>
    <x v="2"/>
    <x v="4"/>
    <s v="COLCHÃO M.E."/>
    <s v="NADA"/>
    <x v="18"/>
    <m/>
    <s v="URUGUAI"/>
    <n v="59546"/>
    <n v="3500"/>
    <s v="3030013 PL 160G 2,10L AZUL MARINO DV U"/>
    <m/>
    <m/>
    <m/>
    <m/>
    <m/>
    <m/>
    <m/>
    <n v="9.5257819999999995"/>
    <n v="5601.16"/>
    <m/>
    <m/>
    <m/>
    <n v="588"/>
    <m/>
    <m/>
    <m/>
    <m/>
    <m/>
    <m/>
    <m/>
    <m/>
    <m/>
    <m/>
    <m/>
    <m/>
    <m/>
    <m/>
  </r>
  <r>
    <x v="2"/>
    <x v="4"/>
    <s v="COLCHÃO M.E."/>
    <s v="NADA"/>
    <x v="18"/>
    <m/>
    <s v="URUGUAI"/>
    <n v="59546"/>
    <n v="4323"/>
    <s v="3030024 PL 180G 2,10L GRIS ESCURO DV U"/>
    <m/>
    <m/>
    <m/>
    <m/>
    <m/>
    <m/>
    <m/>
    <n v="11.935245"/>
    <n v="6325.68"/>
    <m/>
    <m/>
    <m/>
    <n v="530"/>
    <m/>
    <m/>
    <m/>
    <m/>
    <m/>
    <m/>
    <m/>
    <m/>
    <m/>
    <m/>
    <m/>
    <m/>
    <m/>
    <m/>
  </r>
  <r>
    <x v="2"/>
    <x v="4"/>
    <s v="COLCHÃO M.E."/>
    <s v="NADA"/>
    <x v="18"/>
    <m/>
    <s v="URUGUAI"/>
    <n v="59546"/>
    <n v="4324"/>
    <s v="CM 200G 2,10L GRIS PERLA DV U"/>
    <m/>
    <m/>
    <m/>
    <m/>
    <m/>
    <m/>
    <m/>
    <n v="12.27145"/>
    <n v="7276.97"/>
    <m/>
    <m/>
    <m/>
    <n v="593"/>
    <m/>
    <m/>
    <m/>
    <m/>
    <m/>
    <m/>
    <m/>
    <m/>
    <m/>
    <m/>
    <m/>
    <m/>
    <m/>
    <m/>
  </r>
  <r>
    <x v="2"/>
    <x v="4"/>
    <s v="COLCHÃO M.E."/>
    <s v="NADA"/>
    <x v="18"/>
    <m/>
    <s v="URUGUAI"/>
    <n v="59546"/>
    <n v="4328"/>
    <s v="3030068 CM 180G 2,10L GRIS PERLA DV U"/>
    <m/>
    <m/>
    <m/>
    <m/>
    <m/>
    <m/>
    <m/>
    <n v="10.422326"/>
    <n v="11245.69"/>
    <m/>
    <m/>
    <m/>
    <n v="1079"/>
    <m/>
    <m/>
    <m/>
    <m/>
    <m/>
    <m/>
    <m/>
    <m/>
    <m/>
    <m/>
    <m/>
    <m/>
    <m/>
    <m/>
  </r>
  <r>
    <x v="2"/>
    <x v="4"/>
    <s v="COLCHÃO M.E."/>
    <s v="NADA"/>
    <x v="18"/>
    <m/>
    <s v="URUGUAI"/>
    <n v="59546"/>
    <n v="3132"/>
    <s v="3030033 PL 160G 2,10L NEGRO DV U"/>
    <m/>
    <m/>
    <m/>
    <m/>
    <m/>
    <m/>
    <m/>
    <n v="8.0688940000000002"/>
    <n v="6568.08"/>
    <m/>
    <m/>
    <m/>
    <n v="814"/>
    <m/>
    <m/>
    <m/>
    <m/>
    <m/>
    <m/>
    <m/>
    <m/>
    <m/>
    <m/>
    <m/>
    <m/>
    <m/>
    <m/>
  </r>
  <r>
    <x v="2"/>
    <x v="4"/>
    <s v="COLCHÃO M.E."/>
    <s v="NADA"/>
    <x v="18"/>
    <m/>
    <s v="URUGUAI"/>
    <n v="59546"/>
    <n v="3146"/>
    <s v="3030054 PL 180G 2,10L GRIS PERLA DV U"/>
    <m/>
    <m/>
    <m/>
    <m/>
    <m/>
    <m/>
    <m/>
    <n v="10.366289999999999"/>
    <n v="6510.03"/>
    <m/>
    <m/>
    <m/>
    <n v="628"/>
    <m/>
    <m/>
    <m/>
    <m/>
    <m/>
    <m/>
    <m/>
    <m/>
    <m/>
    <m/>
    <m/>
    <m/>
    <m/>
    <m/>
  </r>
  <r>
    <x v="2"/>
    <x v="4"/>
    <s v="COLCHÃO M.E."/>
    <s v="NADA"/>
    <x v="18"/>
    <m/>
    <s v="URUGUAI"/>
    <n v="59546"/>
    <n v="3144"/>
    <s v="3030052 CM 200G 2,10L NEGRO DV U"/>
    <m/>
    <m/>
    <m/>
    <m/>
    <m/>
    <m/>
    <m/>
    <n v="10.198188999999999"/>
    <n v="6588.03"/>
    <m/>
    <m/>
    <m/>
    <n v="646"/>
    <m/>
    <m/>
    <m/>
    <m/>
    <m/>
    <m/>
    <m/>
    <m/>
    <m/>
    <m/>
    <m/>
    <m/>
    <m/>
    <m/>
  </r>
  <r>
    <x v="2"/>
    <x v="4"/>
    <s v="COLCHÃO M.E."/>
    <s v="NADA"/>
    <x v="18"/>
    <m/>
    <s v="URUGUAI"/>
    <n v="59546"/>
    <n v="3138"/>
    <s v="3030050 PL 180G 2,10L CAQUI DV U"/>
    <m/>
    <m/>
    <m/>
    <m/>
    <m/>
    <m/>
    <m/>
    <n v="10.142156"/>
    <n v="4279.99"/>
    <m/>
    <m/>
    <m/>
    <n v="422"/>
    <m/>
    <m/>
    <m/>
    <m/>
    <m/>
    <m/>
    <m/>
    <m/>
    <m/>
    <m/>
    <m/>
    <m/>
    <m/>
    <m/>
  </r>
  <r>
    <x v="2"/>
    <x v="4"/>
    <s v="COLCHÃO M.E."/>
    <s v="NADA"/>
    <x v="18"/>
    <m/>
    <s v="URUGUAI"/>
    <n v="59546"/>
    <n v="3136"/>
    <s v="3030032 CM 200G 2,10L BLANCO DV U"/>
    <m/>
    <m/>
    <m/>
    <m/>
    <m/>
    <m/>
    <m/>
    <n v="9.1895760000000006"/>
    <n v="3905.57"/>
    <m/>
    <m/>
    <m/>
    <n v="425"/>
    <m/>
    <m/>
    <m/>
    <m/>
    <m/>
    <m/>
    <m/>
    <m/>
    <m/>
    <m/>
    <m/>
    <m/>
    <m/>
    <m/>
  </r>
  <r>
    <x v="2"/>
    <x v="4"/>
    <s v="COLCHÃO M.E."/>
    <s v="NADA"/>
    <x v="18"/>
    <m/>
    <s v="URUGUAI"/>
    <n v="59546"/>
    <n v="3135"/>
    <s v="3030040 PL 160G 2,10L NEGRO DV U"/>
    <m/>
    <m/>
    <m/>
    <m/>
    <m/>
    <m/>
    <m/>
    <n v="8.9654640000000008"/>
    <n v="869.65"/>
    <m/>
    <m/>
    <m/>
    <n v="97"/>
    <m/>
    <m/>
    <m/>
    <m/>
    <m/>
    <m/>
    <m/>
    <m/>
    <m/>
    <m/>
    <m/>
    <m/>
    <m/>
    <m/>
  </r>
  <r>
    <x v="2"/>
    <x v="4"/>
    <s v="COLCHÃO M.E."/>
    <s v="NADA"/>
    <x v="18"/>
    <m/>
    <s v="URUGUAI"/>
    <n v="59546"/>
    <n v="3133"/>
    <s v="3030036 PL 160G 2,10L NEGRO DV U"/>
    <m/>
    <m/>
    <m/>
    <m/>
    <m/>
    <m/>
    <m/>
    <n v="9.8059440000000002"/>
    <n v="4206.75"/>
    <m/>
    <m/>
    <m/>
    <n v="429"/>
    <m/>
    <m/>
    <m/>
    <m/>
    <m/>
    <m/>
    <m/>
    <m/>
    <m/>
    <m/>
    <m/>
    <m/>
    <m/>
    <m/>
  </r>
  <r>
    <x v="11"/>
    <x v="4"/>
    <s v="COLCHÃO M.E."/>
    <s v="NADA"/>
    <x v="40"/>
    <m/>
    <s v="ARGENTINA"/>
    <n v="59640"/>
    <n v="4350"/>
    <s v="3550001 TP ML 0292001 220G 2,20L DV U"/>
    <m/>
    <m/>
    <m/>
    <m/>
    <m/>
    <m/>
    <m/>
    <n v="10.9604"/>
    <n v="133278.46"/>
    <m/>
    <m/>
    <m/>
    <n v="12160"/>
    <m/>
    <m/>
    <m/>
    <m/>
    <m/>
    <m/>
    <m/>
    <m/>
    <m/>
    <m/>
    <m/>
    <m/>
    <m/>
    <m/>
  </r>
  <r>
    <x v="11"/>
    <x v="4"/>
    <s v="COLCHÃO M.E."/>
    <s v="NADA"/>
    <x v="1"/>
    <m/>
    <s v="URUGUAI"/>
    <n v="59677"/>
    <n v="2496"/>
    <s v="2540028 TP CORDERO 310G 2,10L 0186002 DIVERSAS U"/>
    <m/>
    <m/>
    <m/>
    <m/>
    <m/>
    <m/>
    <m/>
    <n v="22.947969000000001"/>
    <n v="10510.17"/>
    <m/>
    <m/>
    <m/>
    <n v="458"/>
    <m/>
    <m/>
    <m/>
    <m/>
    <m/>
    <m/>
    <m/>
    <m/>
    <m/>
    <m/>
    <m/>
    <m/>
    <m/>
    <m/>
  </r>
  <r>
    <x v="11"/>
    <x v="4"/>
    <s v="COLCHÃO M.E."/>
    <s v="NADA"/>
    <x v="1"/>
    <m/>
    <s v="URUGUAI"/>
    <n v="59696"/>
    <n v="3343"/>
    <s v="2540031 TP ML A09792 390G 2,20L DV U"/>
    <m/>
    <m/>
    <m/>
    <m/>
    <m/>
    <m/>
    <m/>
    <n v="27.126998"/>
    <n v="14187.42"/>
    <m/>
    <m/>
    <m/>
    <n v="523"/>
    <m/>
    <m/>
    <m/>
    <m/>
    <m/>
    <m/>
    <m/>
    <m/>
    <m/>
    <m/>
    <m/>
    <m/>
    <m/>
    <m/>
  </r>
  <r>
    <x v="11"/>
    <x v="4"/>
    <s v="COLCHÃO M.E."/>
    <s v="NADA"/>
    <x v="18"/>
    <m/>
    <s v="URUGUAI"/>
    <n v="59814"/>
    <n v="4325"/>
    <s v="3030038 PL 160G 2,10L GRIS ESCURO DV U"/>
    <m/>
    <m/>
    <m/>
    <m/>
    <m/>
    <m/>
    <m/>
    <n v="10.246320000000001"/>
    <n v="4928.4799999999996"/>
    <m/>
    <m/>
    <m/>
    <n v="481"/>
    <m/>
    <m/>
    <m/>
    <m/>
    <m/>
    <m/>
    <m/>
    <m/>
    <m/>
    <m/>
    <m/>
    <m/>
    <m/>
    <m/>
  </r>
  <r>
    <x v="11"/>
    <x v="4"/>
    <s v="COLCHÃO M.E."/>
    <s v="NADA"/>
    <x v="18"/>
    <m/>
    <s v="URUGUAI"/>
    <n v="59814"/>
    <n v="4326"/>
    <s v="3030045 XN 200G 2,10L NEGRO DV U"/>
    <m/>
    <m/>
    <m/>
    <m/>
    <m/>
    <m/>
    <m/>
    <n v="11.594519"/>
    <n v="8800.24"/>
    <m/>
    <m/>
    <m/>
    <n v="759"/>
    <m/>
    <m/>
    <m/>
    <m/>
    <m/>
    <m/>
    <m/>
    <m/>
    <m/>
    <m/>
    <m/>
    <m/>
    <m/>
    <m/>
  </r>
  <r>
    <x v="11"/>
    <x v="4"/>
    <s v="COLCHÃO M.E."/>
    <s v="NADA"/>
    <x v="18"/>
    <m/>
    <s v="URUGUAI"/>
    <n v="59814"/>
    <n v="4322"/>
    <s v="3030015 PL 160G 2,10L NEGRO DV U"/>
    <m/>
    <m/>
    <m/>
    <m/>
    <m/>
    <m/>
    <m/>
    <n v="9.6531070000000003"/>
    <n v="5125.8"/>
    <m/>
    <m/>
    <m/>
    <n v="531"/>
    <m/>
    <m/>
    <m/>
    <m/>
    <m/>
    <m/>
    <m/>
    <m/>
    <m/>
    <m/>
    <m/>
    <m/>
    <m/>
    <m/>
  </r>
  <r>
    <x v="11"/>
    <x v="4"/>
    <s v="COLCHÃO M.E."/>
    <s v="NADA"/>
    <x v="18"/>
    <m/>
    <s v="URUGUAI"/>
    <n v="59814"/>
    <n v="4327"/>
    <s v="30300046 XN 200G 2,10L AZUL MARINO DV U"/>
    <m/>
    <m/>
    <m/>
    <m/>
    <m/>
    <m/>
    <m/>
    <n v="11.163102"/>
    <n v="6909.96"/>
    <m/>
    <m/>
    <m/>
    <n v="619"/>
    <m/>
    <m/>
    <m/>
    <m/>
    <m/>
    <m/>
    <m/>
    <m/>
    <m/>
    <m/>
    <m/>
    <m/>
    <m/>
    <m/>
  </r>
  <r>
    <x v="11"/>
    <x v="4"/>
    <s v="COLCHÃO M.E."/>
    <s v="NADA"/>
    <x v="18"/>
    <m/>
    <s v="URUGUAI"/>
    <n v="59814"/>
    <n v="4329"/>
    <s v="3030069 CM 180G 2,20L NEGRO DV U"/>
    <m/>
    <m/>
    <m/>
    <m/>
    <m/>
    <m/>
    <m/>
    <n v="10.62382"/>
    <n v="11569.34"/>
    <m/>
    <m/>
    <m/>
    <n v="1089"/>
    <m/>
    <m/>
    <m/>
    <m/>
    <m/>
    <m/>
    <m/>
    <m/>
    <m/>
    <m/>
    <m/>
    <m/>
    <m/>
    <m/>
  </r>
  <r>
    <x v="11"/>
    <x v="4"/>
    <s v="COLCHÃO M.E."/>
    <s v="NADA"/>
    <x v="18"/>
    <m/>
    <s v="URUGUAI"/>
    <n v="59814"/>
    <n v="3147"/>
    <s v="3030055 CM 180G 2,20L NEGRO DV U"/>
    <m/>
    <m/>
    <m/>
    <m/>
    <m/>
    <m/>
    <m/>
    <n v="10.569884999999999"/>
    <n v="5538.62"/>
    <m/>
    <m/>
    <m/>
    <n v="524"/>
    <m/>
    <m/>
    <m/>
    <m/>
    <m/>
    <m/>
    <m/>
    <m/>
    <m/>
    <m/>
    <m/>
    <m/>
    <m/>
    <m/>
  </r>
  <r>
    <x v="11"/>
    <x v="4"/>
    <s v="COLCHÃO M.E."/>
    <s v="NADA"/>
    <x v="18"/>
    <m/>
    <s v="URUGUAI"/>
    <n v="59814"/>
    <n v="3148"/>
    <s v="3030056 CM 180G 2,20L ARENA DV U"/>
    <m/>
    <m/>
    <m/>
    <m/>
    <m/>
    <m/>
    <m/>
    <n v="11.109169"/>
    <n v="19107.77"/>
    <m/>
    <m/>
    <m/>
    <n v="1720"/>
    <m/>
    <m/>
    <m/>
    <m/>
    <m/>
    <m/>
    <m/>
    <m/>
    <m/>
    <m/>
    <m/>
    <m/>
    <m/>
    <m/>
  </r>
  <r>
    <x v="11"/>
    <x v="4"/>
    <s v="COLCHÃO M.E."/>
    <s v="NADA"/>
    <x v="18"/>
    <m/>
    <s v="URUGUAI"/>
    <n v="59814"/>
    <n v="3138"/>
    <s v="3030050 PL 180G 2,10L CAQUI DV U"/>
    <m/>
    <m/>
    <m/>
    <m/>
    <m/>
    <m/>
    <m/>
    <n v="9.7609659999999998"/>
    <n v="8892.24"/>
    <m/>
    <m/>
    <m/>
    <n v="911"/>
    <m/>
    <m/>
    <m/>
    <m/>
    <m/>
    <m/>
    <m/>
    <m/>
    <m/>
    <m/>
    <m/>
    <m/>
    <m/>
    <m/>
  </r>
  <r>
    <x v="11"/>
    <x v="4"/>
    <s v="COLCHÃO M.E."/>
    <s v="NADA"/>
    <x v="18"/>
    <m/>
    <s v="URUGUAI"/>
    <n v="59814"/>
    <n v="3135"/>
    <s v="3030040 PL 160G 2,10L NEGRO DV U"/>
    <m/>
    <m/>
    <m/>
    <m/>
    <m/>
    <m/>
    <m/>
    <n v="8.6284759999999991"/>
    <n v="6454.1"/>
    <m/>
    <m/>
    <m/>
    <n v="748"/>
    <m/>
    <m/>
    <m/>
    <m/>
    <m/>
    <m/>
    <m/>
    <m/>
    <m/>
    <m/>
    <m/>
    <m/>
    <m/>
    <m/>
  </r>
  <r>
    <x v="11"/>
    <x v="4"/>
    <s v="COLCHÃO M.E."/>
    <s v="NADA"/>
    <x v="18"/>
    <m/>
    <s v="URUGUAI"/>
    <n v="59814"/>
    <n v="3131"/>
    <s v="3030026 CM 200G 2,10L NEGRO DV U"/>
    <m/>
    <m/>
    <m/>
    <m/>
    <m/>
    <m/>
    <m/>
    <n v="9.7609659999999998"/>
    <n v="2830.68"/>
    <m/>
    <m/>
    <m/>
    <n v="290"/>
    <m/>
    <m/>
    <m/>
    <m/>
    <m/>
    <m/>
    <m/>
    <m/>
    <m/>
    <m/>
    <m/>
    <m/>
    <m/>
    <m/>
  </r>
  <r>
    <x v="11"/>
    <x v="4"/>
    <s v="COLCHÃO M.E."/>
    <s v="NADA"/>
    <x v="18"/>
    <m/>
    <s v="URUGUAI"/>
    <n v="59814"/>
    <n v="3652"/>
    <s v="3030067 TP 0386003 180G 2,10L DV U"/>
    <m/>
    <m/>
    <m/>
    <m/>
    <m/>
    <m/>
    <m/>
    <n v="8.4127650000000003"/>
    <n v="4290.51"/>
    <m/>
    <m/>
    <m/>
    <n v="510"/>
    <m/>
    <m/>
    <m/>
    <m/>
    <m/>
    <m/>
    <m/>
    <m/>
    <m/>
    <m/>
    <m/>
    <m/>
    <m/>
    <m/>
  </r>
  <r>
    <x v="11"/>
    <x v="4"/>
    <s v="COLCHÃO M.E."/>
    <s v="NADA"/>
    <x v="13"/>
    <m/>
    <s v="BOLIVIA"/>
    <n v="59818"/>
    <n v="4370"/>
    <s v="2940059 TP ML 0071061 300G 2,20L DV U"/>
    <m/>
    <m/>
    <m/>
    <m/>
    <m/>
    <m/>
    <m/>
    <n v="21.583897"/>
    <n v="10856.7"/>
    <m/>
    <m/>
    <m/>
    <n v="503"/>
    <m/>
    <m/>
    <m/>
    <m/>
    <m/>
    <m/>
    <m/>
    <m/>
    <m/>
    <m/>
    <m/>
    <m/>
    <m/>
    <m/>
  </r>
  <r>
    <x v="11"/>
    <x v="4"/>
    <s v="COLCHÃO M.E."/>
    <s v="NADA"/>
    <x v="13"/>
    <m/>
    <s v="BOLIVIA"/>
    <n v="59818"/>
    <n v="4368"/>
    <s v="2940057 TP ML 0423021 300G 2,20L DV U"/>
    <m/>
    <m/>
    <m/>
    <m/>
    <m/>
    <m/>
    <m/>
    <n v="21.583901999999998"/>
    <n v="14051.12"/>
    <m/>
    <m/>
    <m/>
    <n v="651"/>
    <m/>
    <m/>
    <m/>
    <m/>
    <m/>
    <m/>
    <m/>
    <m/>
    <m/>
    <m/>
    <m/>
    <m/>
    <m/>
    <m/>
  </r>
  <r>
    <x v="11"/>
    <x v="4"/>
    <s v="COLCHÃO M.E."/>
    <s v="NADA"/>
    <x v="13"/>
    <m/>
    <s v="BOLIVIA"/>
    <n v="59818"/>
    <n v="4363"/>
    <s v="2940060 TP ML 0260025 260G 2,20L DV U"/>
    <m/>
    <m/>
    <m/>
    <m/>
    <m/>
    <m/>
    <m/>
    <n v="16.985831999999998"/>
    <n v="8272.1"/>
    <m/>
    <m/>
    <m/>
    <n v="487"/>
    <m/>
    <m/>
    <m/>
    <m/>
    <m/>
    <m/>
    <m/>
    <m/>
    <m/>
    <m/>
    <m/>
    <m/>
    <m/>
    <m/>
  </r>
  <r>
    <x v="11"/>
    <x v="4"/>
    <s v="COLCHÃO M.E."/>
    <s v="NADA"/>
    <x v="13"/>
    <m/>
    <s v="BOLIVIA"/>
    <n v="59818"/>
    <n v="4371"/>
    <s v="2940062 TP ML 0408051 300G 2,20L DV U"/>
    <m/>
    <m/>
    <m/>
    <m/>
    <m/>
    <m/>
    <m/>
    <n v="16.012128000000001"/>
    <n v="7749.87"/>
    <m/>
    <m/>
    <m/>
    <n v="484"/>
    <m/>
    <m/>
    <m/>
    <m/>
    <m/>
    <m/>
    <m/>
    <m/>
    <m/>
    <m/>
    <m/>
    <m/>
    <m/>
    <m/>
  </r>
  <r>
    <x v="11"/>
    <x v="4"/>
    <s v="COLCHÃO M.E."/>
    <s v="NADA"/>
    <x v="13"/>
    <m/>
    <s v="BOLIVIA"/>
    <n v="59818"/>
    <n v="4372"/>
    <s v="2940063 TP ML 0239022 300G 2,20L DV U"/>
    <m/>
    <m/>
    <m/>
    <m/>
    <m/>
    <m/>
    <m/>
    <n v="16.174405"/>
    <n v="5030.24"/>
    <m/>
    <m/>
    <m/>
    <n v="311"/>
    <m/>
    <m/>
    <m/>
    <m/>
    <m/>
    <m/>
    <m/>
    <m/>
    <m/>
    <m/>
    <m/>
    <m/>
    <m/>
    <m/>
  </r>
  <r>
    <x v="11"/>
    <x v="4"/>
    <s v="COLCHÃO M.E."/>
    <s v="NADA"/>
    <x v="13"/>
    <m/>
    <s v="BOLIVIA"/>
    <n v="59818"/>
    <n v="4358"/>
    <s v="2940066 TP ML 0389031 320G 2,20L DV U"/>
    <m/>
    <m/>
    <m/>
    <m/>
    <m/>
    <m/>
    <m/>
    <n v="16.715354999999999"/>
    <n v="9176.73"/>
    <m/>
    <m/>
    <m/>
    <n v="549"/>
    <m/>
    <m/>
    <m/>
    <m/>
    <m/>
    <m/>
    <m/>
    <m/>
    <m/>
    <m/>
    <m/>
    <m/>
    <m/>
    <m/>
  </r>
  <r>
    <x v="11"/>
    <x v="4"/>
    <s v="COLCHÃO M.E."/>
    <s v="NADA"/>
    <x v="13"/>
    <m/>
    <s v="BOLIVIA"/>
    <n v="59818"/>
    <n v="4362"/>
    <s v="2940061 TP ML 0269041 300G 2,20L DV U"/>
    <m/>
    <m/>
    <m/>
    <m/>
    <m/>
    <m/>
    <m/>
    <n v="16.228494999999999"/>
    <n v="6361.57"/>
    <m/>
    <m/>
    <m/>
    <n v="392"/>
    <m/>
    <m/>
    <m/>
    <m/>
    <m/>
    <m/>
    <m/>
    <m/>
    <m/>
    <m/>
    <m/>
    <m/>
    <m/>
    <m/>
  </r>
  <r>
    <x v="11"/>
    <x v="4"/>
    <s v="COLCHÃO M.E."/>
    <s v="NADA"/>
    <x v="13"/>
    <m/>
    <s v="BOLIVIA"/>
    <n v="59818"/>
    <n v="4360"/>
    <s v="2940064 TP ML 0416061 300G 2,20L DV U"/>
    <m/>
    <m/>
    <m/>
    <m/>
    <m/>
    <m/>
    <m/>
    <n v="16.174403999999999"/>
    <n v="9219.41"/>
    <m/>
    <m/>
    <m/>
    <n v="570"/>
    <m/>
    <m/>
    <m/>
    <m/>
    <m/>
    <m/>
    <m/>
    <m/>
    <m/>
    <m/>
    <m/>
    <m/>
    <m/>
    <m/>
  </r>
  <r>
    <x v="11"/>
    <x v="4"/>
    <s v="COLCHÃO M.E."/>
    <s v="NADA"/>
    <x v="13"/>
    <m/>
    <s v="BOLIVIA"/>
    <n v="59818"/>
    <n v="4359"/>
    <s v="2940065 TP ML 0441041 320G 2,20L DV U"/>
    <m/>
    <m/>
    <m/>
    <m/>
    <m/>
    <m/>
    <m/>
    <n v="17.202200999999999"/>
    <n v="8205.4500000000007"/>
    <m/>
    <m/>
    <m/>
    <n v="477"/>
    <m/>
    <m/>
    <m/>
    <m/>
    <m/>
    <m/>
    <m/>
    <m/>
    <m/>
    <m/>
    <m/>
    <m/>
    <m/>
    <m/>
  </r>
  <r>
    <x v="11"/>
    <x v="4"/>
    <s v="COLCHÃO M.E."/>
    <s v="NADA"/>
    <x v="13"/>
    <m/>
    <s v="BOLIVIA"/>
    <n v="59818"/>
    <n v="4247"/>
    <s v="2940041 TP ML 0269021 180G 2,20L DV U"/>
    <m/>
    <m/>
    <m/>
    <m/>
    <m/>
    <m/>
    <m/>
    <n v="9.0337999999999994"/>
    <n v="451.69"/>
    <m/>
    <m/>
    <m/>
    <n v="50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59"/>
    <s v="2940053 TP ML 0389011 180G 2,20L DV U"/>
    <m/>
    <m/>
    <m/>
    <m/>
    <m/>
    <m/>
    <m/>
    <n v="8.827261"/>
    <n v="6964.6100000000006"/>
    <m/>
    <m/>
    <m/>
    <n v="712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67"/>
    <s v="2940054 TP ML 0269031 180G 2,20L DV U"/>
    <m/>
    <m/>
    <m/>
    <m/>
    <m/>
    <m/>
    <m/>
    <n v="9.2063520000000008"/>
    <n v="7018.8600000000006"/>
    <m/>
    <m/>
    <m/>
    <n v="688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66"/>
    <s v="2940055 TP ML 0389021 180G 2,20L DV U"/>
    <m/>
    <m/>
    <m/>
    <m/>
    <m/>
    <m/>
    <m/>
    <n v="9.2063550000000003"/>
    <n v="6774.02"/>
    <m/>
    <m/>
    <m/>
    <n v="664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358"/>
    <s v="2940066 TP ML 0389031 320G 2,20L DV U"/>
    <m/>
    <m/>
    <m/>
    <m/>
    <m/>
    <m/>
    <m/>
    <n v="16.733898"/>
    <n v="10180.289999999999"/>
    <m/>
    <m/>
    <m/>
    <n v="549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58"/>
    <s v="2940052 TP ML 0418011 180G 2,20L DV U"/>
    <m/>
    <m/>
    <m/>
    <m/>
    <m/>
    <m/>
    <m/>
    <n v="8.8272580000000005"/>
    <n v="6778.75"/>
    <m/>
    <m/>
    <m/>
    <n v="693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57"/>
    <s v="2940051 TP ML 0441021 180G 2,20L DV U"/>
    <m/>
    <m/>
    <m/>
    <m/>
    <m/>
    <m/>
    <m/>
    <n v="8.827261"/>
    <n v="6749.4100000000008"/>
    <m/>
    <m/>
    <m/>
    <n v="690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56"/>
    <s v="2940050 TP ML 0447011 180G 2,20L DV U"/>
    <m/>
    <m/>
    <m/>
    <m/>
    <m/>
    <m/>
    <m/>
    <n v="8.8814130000000002"/>
    <n v="6406.99"/>
    <m/>
    <m/>
    <m/>
    <n v="651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55"/>
    <s v="2940049 TP ML 0449021 180G 2,20L DV U"/>
    <m/>
    <m/>
    <m/>
    <m/>
    <m/>
    <m/>
    <m/>
    <n v="8.8272689999999994"/>
    <n v="6446.18"/>
    <m/>
    <m/>
    <m/>
    <n v="659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359"/>
    <s v="2940065 TP ML 0441041 320G 2,20L DV U"/>
    <m/>
    <m/>
    <m/>
    <m/>
    <m/>
    <m/>
    <m/>
    <n v="17.221299999999999"/>
    <n v="9102.7999999999993"/>
    <m/>
    <m/>
    <m/>
    <n v="477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360"/>
    <s v="2940064 TP ML 0416061 300G 2,20L DV U"/>
    <m/>
    <m/>
    <m/>
    <m/>
    <m/>
    <m/>
    <m/>
    <n v="16.192350999999999"/>
    <n v="10227.64"/>
    <m/>
    <m/>
    <m/>
    <n v="570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362"/>
    <s v="2940061 TP ML 0269041 300G 2,20L DV U"/>
    <m/>
    <m/>
    <m/>
    <m/>
    <m/>
    <m/>
    <m/>
    <n v="16.246504999999999"/>
    <n v="7057.27"/>
    <m/>
    <m/>
    <m/>
    <n v="392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363"/>
    <s v="2940060 TP ML 0260025 260G 2,20L DV U"/>
    <m/>
    <m/>
    <m/>
    <m/>
    <m/>
    <m/>
    <m/>
    <n v="17.004660999999999"/>
    <n v="9176.73"/>
    <m/>
    <m/>
    <m/>
    <n v="487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368"/>
    <s v="2940057 TP ML 0423021 300G 2,20L DV U"/>
    <m/>
    <m/>
    <m/>
    <m/>
    <m/>
    <m/>
    <m/>
    <n v="21.607849000000002"/>
    <n v="15587.75"/>
    <m/>
    <m/>
    <m/>
    <n v="651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370"/>
    <s v="2940059 TP ML 0071061 300G 2,20L DV U"/>
    <m/>
    <m/>
    <m/>
    <m/>
    <m/>
    <m/>
    <m/>
    <n v="21.607852999999999"/>
    <n v="12043.99"/>
    <m/>
    <m/>
    <m/>
    <n v="503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371"/>
    <s v="2940062 TP ML 0408051 300G 2,20L DV U"/>
    <m/>
    <m/>
    <m/>
    <m/>
    <m/>
    <m/>
    <m/>
    <n v="16.029876000000002"/>
    <n v="8597.3799999999992"/>
    <m/>
    <m/>
    <m/>
    <n v="484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372"/>
    <s v="2940063 TP ML 0239022 300G 2,20L DV U"/>
    <m/>
    <m/>
    <m/>
    <m/>
    <m/>
    <m/>
    <m/>
    <n v="16.192347000000002"/>
    <n v="5580.34"/>
    <m/>
    <m/>
    <m/>
    <n v="311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65"/>
    <s v="2940056 TP ML 0276011 180G 2,20L DV U"/>
    <m/>
    <m/>
    <m/>
    <m/>
    <m/>
    <m/>
    <m/>
    <n v="9.2063550000000003"/>
    <n v="6100.7"/>
    <m/>
    <m/>
    <m/>
    <n v="598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45"/>
    <s v="2940039 TP ML 0245061 180G 2,20L DV U"/>
    <m/>
    <m/>
    <m/>
    <m/>
    <m/>
    <m/>
    <m/>
    <n v="9.0438779999999994"/>
    <n v="7235.74"/>
    <m/>
    <m/>
    <m/>
    <n v="722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37"/>
    <s v="2940031 TP ML 0072091 180G 2,20L DV U"/>
    <m/>
    <m/>
    <m/>
    <m/>
    <m/>
    <m/>
    <m/>
    <n v="8.8272619999999993"/>
    <n v="7179.81"/>
    <m/>
    <m/>
    <m/>
    <n v="734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38"/>
    <s v="2940032 TP ML 0274031 180G 2,20L DV U"/>
    <m/>
    <m/>
    <m/>
    <m/>
    <m/>
    <m/>
    <m/>
    <n v="9.0438880000000008"/>
    <n v="7887.16"/>
    <m/>
    <m/>
    <m/>
    <n v="787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39"/>
    <s v="2940033 TP ML 0389011 180G 2,20L DV U"/>
    <m/>
    <m/>
    <m/>
    <m/>
    <m/>
    <m/>
    <m/>
    <n v="8.8272750000000002"/>
    <n v="4235.51"/>
    <m/>
    <m/>
    <m/>
    <n v="433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41"/>
    <s v="2940035 TP ML 0143001 180G 2,20L DV U"/>
    <m/>
    <m/>
    <m/>
    <m/>
    <m/>
    <m/>
    <m/>
    <n v="9.2605109999999993"/>
    <n v="6228.9400000000005"/>
    <m/>
    <m/>
    <m/>
    <n v="607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42"/>
    <s v="2940036 TP ML 0066011 180G 2,20L DV U"/>
    <m/>
    <m/>
    <m/>
    <m/>
    <m/>
    <m/>
    <m/>
    <n v="9.0438869999999998"/>
    <n v="7065.37"/>
    <m/>
    <m/>
    <m/>
    <n v="705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43"/>
    <s v="2940037 TP ML 0076061 180G 2,20L DV U"/>
    <m/>
    <m/>
    <m/>
    <m/>
    <m/>
    <m/>
    <m/>
    <n v="9.4771289999999997"/>
    <n v="6658.2"/>
    <m/>
    <m/>
    <m/>
    <n v="634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44"/>
    <s v="2940038 TP ML 0262031 180G 2,20L DV U"/>
    <m/>
    <m/>
    <m/>
    <m/>
    <m/>
    <m/>
    <m/>
    <n v="8.8272700000000004"/>
    <n v="7238.51"/>
    <m/>
    <m/>
    <m/>
    <n v="740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54"/>
    <s v="2940048 TP ML 0446031 180G 2,20L DV U"/>
    <m/>
    <m/>
    <m/>
    <m/>
    <m/>
    <m/>
    <m/>
    <n v="8.8272659999999998"/>
    <n v="7013.5199999999995"/>
    <m/>
    <m/>
    <m/>
    <n v="717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46"/>
    <s v="2940040 TP ML 0147101 180G 2,20L DV U"/>
    <m/>
    <m/>
    <m/>
    <m/>
    <m/>
    <m/>
    <m/>
    <n v="9.043882"/>
    <n v="6814.82"/>
    <m/>
    <m/>
    <m/>
    <n v="680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47"/>
    <s v="2940041 TP ML 0269021 180G 2,20L DV U"/>
    <m/>
    <m/>
    <m/>
    <m/>
    <m/>
    <m/>
    <m/>
    <n v="9.0438899999999993"/>
    <n v="6955.13"/>
    <m/>
    <m/>
    <m/>
    <n v="694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48"/>
    <s v="2940042 TP ML 0074171 180G 2,20L DV U"/>
    <m/>
    <m/>
    <m/>
    <m/>
    <m/>
    <m/>
    <m/>
    <n v="9.2604989999999994"/>
    <n v="6998.57"/>
    <m/>
    <m/>
    <m/>
    <n v="682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49"/>
    <s v="2940043 TP ML 0263021 180G 2,20L DV U"/>
    <m/>
    <m/>
    <m/>
    <m/>
    <m/>
    <m/>
    <m/>
    <n v="8.9897369999999999"/>
    <n v="6813.87"/>
    <m/>
    <m/>
    <m/>
    <n v="684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50"/>
    <s v="2940044 TP ML 0149111 180G 2,20L DV U"/>
    <m/>
    <m/>
    <m/>
    <m/>
    <m/>
    <m/>
    <m/>
    <n v="8.8272589999999997"/>
    <n v="6993.95"/>
    <m/>
    <m/>
    <m/>
    <n v="715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51"/>
    <s v="2940045 TP ML 0149101 180G 2,20L DV U"/>
    <m/>
    <m/>
    <m/>
    <m/>
    <m/>
    <m/>
    <m/>
    <n v="8.9897270000000002"/>
    <n v="6923.44"/>
    <m/>
    <m/>
    <m/>
    <n v="695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52"/>
    <s v="2940046 TP ML 0271051 180G 2,20L DV U"/>
    <m/>
    <m/>
    <m/>
    <m/>
    <m/>
    <m/>
    <m/>
    <n v="8.9897299999999998"/>
    <n v="6644.5099999999993"/>
    <m/>
    <m/>
    <m/>
    <n v="667"/>
    <m/>
    <m/>
    <m/>
    <m/>
    <m/>
    <m/>
    <m/>
    <m/>
    <m/>
    <m/>
    <m/>
    <m/>
    <m/>
    <m/>
  </r>
  <r>
    <x v="11"/>
    <x v="4"/>
    <s v="COLCHÃO M.E."/>
    <s v="NADA"/>
    <x v="13"/>
    <m/>
    <s v="BOLIVIA"/>
    <n v="59929"/>
    <n v="4253"/>
    <s v="2940047 TP ML 0276001 180G 2,20L DV U"/>
    <m/>
    <m/>
    <m/>
    <m/>
    <m/>
    <m/>
    <m/>
    <n v="8.8272650000000006"/>
    <n v="7189.59"/>
    <m/>
    <m/>
    <m/>
    <n v="735"/>
    <m/>
    <m/>
    <m/>
    <m/>
    <m/>
    <m/>
    <m/>
    <m/>
    <m/>
    <m/>
    <m/>
    <m/>
    <m/>
    <m/>
  </r>
  <r>
    <x v="11"/>
    <x v="4"/>
    <s v="COLCHÃO M.E."/>
    <s v="NADA"/>
    <x v="36"/>
    <m/>
    <s v="ARGENTINA"/>
    <n v="60101"/>
    <n v="4333"/>
    <s v="3530005 TP ML A10224 200G 2,20L DV U"/>
    <m/>
    <m/>
    <m/>
    <m/>
    <m/>
    <m/>
    <m/>
    <n v="9.790559"/>
    <n v="25572.94"/>
    <m/>
    <m/>
    <m/>
    <n v="2612"/>
    <m/>
    <m/>
    <m/>
    <m/>
    <m/>
    <m/>
    <m/>
    <m/>
    <m/>
    <m/>
    <m/>
    <m/>
    <m/>
    <m/>
  </r>
  <r>
    <x v="11"/>
    <x v="4"/>
    <s v="COLCHÃO M.E."/>
    <s v="NADA"/>
    <x v="36"/>
    <m/>
    <s v="ARGENTINA"/>
    <n v="60101"/>
    <n v="4332"/>
    <s v="3530004 TP ML A10108 200G 2,20L DV U"/>
    <m/>
    <m/>
    <m/>
    <m/>
    <m/>
    <m/>
    <m/>
    <n v="9.7905599999999993"/>
    <n v="38790.199999999997"/>
    <m/>
    <m/>
    <m/>
    <n v="3962"/>
    <m/>
    <m/>
    <m/>
    <m/>
    <m/>
    <m/>
    <m/>
    <m/>
    <m/>
    <m/>
    <m/>
    <m/>
    <m/>
    <m/>
  </r>
  <r>
    <x v="11"/>
    <x v="4"/>
    <s v="COLCHÃO M.E."/>
    <s v="NADA"/>
    <x v="36"/>
    <m/>
    <s v="ARGENTINA"/>
    <n v="60101"/>
    <n v="4331"/>
    <s v="3530003 TP ML A10104-A 200G 2,20L DV U"/>
    <m/>
    <m/>
    <m/>
    <m/>
    <m/>
    <m/>
    <m/>
    <n v="10.062519999999999"/>
    <n v="70870.33"/>
    <m/>
    <m/>
    <m/>
    <n v="7043"/>
    <m/>
    <m/>
    <m/>
    <m/>
    <m/>
    <m/>
    <m/>
    <m/>
    <m/>
    <m/>
    <m/>
    <m/>
    <m/>
    <m/>
  </r>
  <r>
    <x v="11"/>
    <x v="4"/>
    <s v="COLCHÃO M.E."/>
    <s v="NADA"/>
    <x v="36"/>
    <m/>
    <s v="ARGENTINA"/>
    <n v="60101"/>
    <n v="4114"/>
    <s v="3530001 TP ML A10169 240G 2,10L DV U"/>
    <m/>
    <m/>
    <m/>
    <m/>
    <m/>
    <m/>
    <m/>
    <n v="11.041575999999999"/>
    <n v="101593.54"/>
    <m/>
    <m/>
    <m/>
    <n v="9201"/>
    <m/>
    <m/>
    <m/>
    <m/>
    <m/>
    <m/>
    <m/>
    <m/>
    <m/>
    <m/>
    <m/>
    <m/>
    <m/>
    <m/>
  </r>
  <r>
    <x v="11"/>
    <x v="4"/>
    <s v="COLCHÃO M.E."/>
    <s v="NADA"/>
    <x v="9"/>
    <m/>
    <s v="CHILE"/>
    <n v="60119"/>
    <n v="1419"/>
    <s v="2810009 TP MESCLA 180G 2,20L (1122580) DIVERSAS U"/>
    <m/>
    <m/>
    <m/>
    <m/>
    <m/>
    <m/>
    <m/>
    <n v="12.238199"/>
    <n v="21269.99"/>
    <m/>
    <m/>
    <m/>
    <n v="1738"/>
    <m/>
    <m/>
    <m/>
    <m/>
    <m/>
    <m/>
    <m/>
    <m/>
    <m/>
    <m/>
    <m/>
    <m/>
    <m/>
    <m/>
  </r>
  <r>
    <x v="11"/>
    <x v="4"/>
    <s v="COLCHÃO M.E."/>
    <s v="NADA"/>
    <x v="9"/>
    <m/>
    <s v="CHILE"/>
    <n v="60119"/>
    <n v="1422"/>
    <s v="2810005 TP FOLHA 240G 2,20L (1121110) DIVERSAS U"/>
    <m/>
    <m/>
    <m/>
    <m/>
    <m/>
    <m/>
    <m/>
    <n v="15.392943000000001"/>
    <n v="8681.6200000000008"/>
    <m/>
    <m/>
    <m/>
    <n v="564"/>
    <m/>
    <m/>
    <m/>
    <m/>
    <m/>
    <m/>
    <m/>
    <m/>
    <m/>
    <m/>
    <m/>
    <m/>
    <m/>
    <m/>
  </r>
  <r>
    <x v="11"/>
    <x v="4"/>
    <s v="COLCHÃO M.E."/>
    <s v="NADA"/>
    <x v="24"/>
    <m/>
    <s v="EQUADOR"/>
    <n v="60186"/>
    <n v="4357"/>
    <s v="3260021 TP ML 0147125 220G 2,20L DV U"/>
    <m/>
    <m/>
    <m/>
    <m/>
    <m/>
    <m/>
    <m/>
    <n v="12.199"/>
    <n v="121.99"/>
    <m/>
    <m/>
    <m/>
    <n v="10"/>
    <m/>
    <m/>
    <m/>
    <m/>
    <m/>
    <m/>
    <m/>
    <m/>
    <m/>
    <m/>
    <m/>
    <m/>
    <m/>
    <m/>
  </r>
  <r>
    <x v="11"/>
    <x v="4"/>
    <s v="COLCHÃO M.E."/>
    <s v="NADA"/>
    <x v="24"/>
    <m/>
    <s v="EQUADOR"/>
    <n v="60186"/>
    <n v="4356"/>
    <s v="3260020 TP ML 0291084 280G 2,20L DV U"/>
    <m/>
    <m/>
    <m/>
    <m/>
    <m/>
    <m/>
    <m/>
    <n v="15.289479"/>
    <n v="9387.74"/>
    <m/>
    <m/>
    <m/>
    <n v="614"/>
    <m/>
    <m/>
    <m/>
    <m/>
    <m/>
    <m/>
    <m/>
    <m/>
    <m/>
    <m/>
    <m/>
    <m/>
    <m/>
    <m/>
  </r>
  <r>
    <x v="11"/>
    <x v="4"/>
    <s v="COLCHÃO M.E."/>
    <s v="NADA"/>
    <x v="24"/>
    <m/>
    <s v="EQUADOR"/>
    <n v="60186"/>
    <n v="4355"/>
    <s v="3260018 TP ML 0304002 280G 2,20L DV U"/>
    <m/>
    <m/>
    <m/>
    <m/>
    <m/>
    <m/>
    <m/>
    <n v="14.909948"/>
    <n v="19904.78"/>
    <m/>
    <m/>
    <m/>
    <n v="1335"/>
    <m/>
    <m/>
    <m/>
    <m/>
    <m/>
    <m/>
    <m/>
    <m/>
    <m/>
    <m/>
    <m/>
    <m/>
    <m/>
    <m/>
  </r>
  <r>
    <x v="11"/>
    <x v="4"/>
    <s v="COLCHÃO M.E."/>
    <s v="NADA"/>
    <x v="24"/>
    <m/>
    <s v="EQUADOR"/>
    <n v="60186"/>
    <n v="4354"/>
    <s v="3260019 TP ML 0274055 220G 2,20L DV U"/>
    <m/>
    <m/>
    <m/>
    <m/>
    <m/>
    <m/>
    <m/>
    <n v="15.018393"/>
    <n v="6728.24"/>
    <m/>
    <m/>
    <m/>
    <n v="448"/>
    <m/>
    <m/>
    <m/>
    <m/>
    <m/>
    <m/>
    <m/>
    <m/>
    <m/>
    <m/>
    <m/>
    <m/>
    <m/>
    <m/>
  </r>
  <r>
    <x v="11"/>
    <x v="4"/>
    <s v="COLCHÃO M.E."/>
    <s v="NADA"/>
    <x v="24"/>
    <m/>
    <s v="EQUADOR"/>
    <n v="60186"/>
    <n v="4352"/>
    <s v="3260016 TP ML  A10016 220G 2,20L DV U"/>
    <m/>
    <m/>
    <m/>
    <m/>
    <m/>
    <m/>
    <m/>
    <n v="12.632792999999999"/>
    <n v="10447.32"/>
    <m/>
    <m/>
    <m/>
    <n v="827"/>
    <m/>
    <m/>
    <m/>
    <m/>
    <m/>
    <m/>
    <m/>
    <m/>
    <m/>
    <m/>
    <m/>
    <m/>
    <m/>
    <m/>
  </r>
  <r>
    <x v="11"/>
    <x v="4"/>
    <s v="COLCHÃO M.E."/>
    <s v="NADA"/>
    <x v="24"/>
    <m/>
    <s v="EQUADOR"/>
    <n v="60186"/>
    <n v="4351"/>
    <s v="3260017 TP ML A10230 220G 2,20L DV U"/>
    <m/>
    <m/>
    <m/>
    <m/>
    <m/>
    <m/>
    <m/>
    <n v="10.952038999999999"/>
    <n v="5585.54"/>
    <m/>
    <m/>
    <m/>
    <n v="510"/>
    <m/>
    <m/>
    <m/>
    <m/>
    <m/>
    <m/>
    <m/>
    <m/>
    <m/>
    <m/>
    <m/>
    <m/>
    <m/>
    <m/>
  </r>
  <r>
    <x v="11"/>
    <x v="4"/>
    <s v="COLCHÃO M.E."/>
    <s v="NADA"/>
    <x v="24"/>
    <m/>
    <s v="EQUADOR"/>
    <n v="60186"/>
    <n v="3578"/>
    <s v="3260015- ME 300G 2,20L DV U"/>
    <m/>
    <m/>
    <m/>
    <m/>
    <m/>
    <m/>
    <m/>
    <n v="16.265395999999999"/>
    <n v="15403.33"/>
    <m/>
    <m/>
    <m/>
    <n v="947"/>
    <m/>
    <m/>
    <m/>
    <m/>
    <m/>
    <m/>
    <m/>
    <m/>
    <m/>
    <m/>
    <m/>
    <m/>
    <m/>
    <m/>
  </r>
  <r>
    <x v="11"/>
    <x v="4"/>
    <s v="COLCHÃO M.E."/>
    <s v="NADA"/>
    <x v="18"/>
    <m/>
    <s v="URUGUAI"/>
    <n v="60215"/>
    <n v="3131"/>
    <s v="3030026 CM 200G 2,10L NEGRO DV U"/>
    <m/>
    <m/>
    <m/>
    <m/>
    <m/>
    <m/>
    <m/>
    <n v="9.8514660000000003"/>
    <n v="3428.31"/>
    <m/>
    <m/>
    <m/>
    <n v="348"/>
    <m/>
    <m/>
    <m/>
    <m/>
    <m/>
    <m/>
    <m/>
    <m/>
    <m/>
    <m/>
    <m/>
    <m/>
    <m/>
    <m/>
  </r>
  <r>
    <x v="3"/>
    <x v="4"/>
    <s v="COLCHÃO M.E."/>
    <s v="NADA"/>
    <x v="18"/>
    <m/>
    <s v="URUGUAI"/>
    <n v="60627"/>
    <n v="3135"/>
    <s v="3030040 PL 160G 2,10L NEGRO DV U"/>
    <m/>
    <m/>
    <m/>
    <m/>
    <m/>
    <m/>
    <m/>
    <n v="8.5883219999999998"/>
    <n v="6140.65"/>
    <m/>
    <n v="160"/>
    <m/>
    <n v="715"/>
    <m/>
    <m/>
    <m/>
    <m/>
    <m/>
    <m/>
    <m/>
    <m/>
    <m/>
    <m/>
    <m/>
    <m/>
    <m/>
    <m/>
  </r>
  <r>
    <x v="3"/>
    <x v="4"/>
    <s v="COLCHÃO M.E. COMPL "/>
    <s v="NADA"/>
    <x v="38"/>
    <m/>
    <s v="NADA"/>
    <n v="60628"/>
    <n v="1912"/>
    <s v="DIFERENCA DE REALINHAMENTO DE PRECO COMPLEMENTO U"/>
    <m/>
    <m/>
    <m/>
    <m/>
    <m/>
    <m/>
    <m/>
    <n v="3366.68"/>
    <n v="3366.68"/>
    <m/>
    <m/>
    <m/>
    <n v="1"/>
    <m/>
    <m/>
    <m/>
    <m/>
    <m/>
    <m/>
    <m/>
    <m/>
    <m/>
    <m/>
    <m/>
    <m/>
    <m/>
    <m/>
  </r>
  <r>
    <x v="3"/>
    <x v="4"/>
    <s v="COLCHÃO M.E. COMPL "/>
    <s v="NADA"/>
    <x v="38"/>
    <m/>
    <s v="NADA"/>
    <n v="60634"/>
    <n v="1912"/>
    <s v="DIFERENCA DE REALINHAMENTO DE PRECO COMPLEMENTO U"/>
    <m/>
    <m/>
    <m/>
    <m/>
    <m/>
    <m/>
    <m/>
    <n v="5702.76"/>
    <n v="5702.76"/>
    <m/>
    <m/>
    <m/>
    <n v="1"/>
    <m/>
    <m/>
    <m/>
    <m/>
    <m/>
    <m/>
    <m/>
    <m/>
    <m/>
    <m/>
    <m/>
    <m/>
    <m/>
    <m/>
  </r>
  <r>
    <x v="3"/>
    <x v="4"/>
    <s v="COLCHÃO M.E."/>
    <s v="NADA"/>
    <x v="24"/>
    <m/>
    <s v="EQUADOR"/>
    <n v="60777"/>
    <n v="4351"/>
    <s v="3260017 TP ML A10230 220G 2,20L DV U"/>
    <m/>
    <m/>
    <m/>
    <m/>
    <m/>
    <m/>
    <m/>
    <n v="10.708102999999999"/>
    <n v="621.07000000000005"/>
    <m/>
    <n v="220"/>
    <m/>
    <n v="58"/>
    <m/>
    <m/>
    <m/>
    <m/>
    <m/>
    <m/>
    <m/>
    <m/>
    <m/>
    <m/>
    <m/>
    <m/>
    <m/>
    <m/>
  </r>
  <r>
    <x v="3"/>
    <x v="4"/>
    <s v="COLCHÃO M.E."/>
    <s v="NADA"/>
    <x v="24"/>
    <m/>
    <s v="EQUADOR"/>
    <n v="60777"/>
    <n v="4352"/>
    <s v="3260016 TP ML  A10016 220G 2,20L DV U"/>
    <m/>
    <m/>
    <m/>
    <m/>
    <m/>
    <m/>
    <m/>
    <n v="12.351338999999999"/>
    <n v="1383.35"/>
    <m/>
    <n v="220"/>
    <m/>
    <n v="112"/>
    <m/>
    <m/>
    <m/>
    <m/>
    <m/>
    <m/>
    <m/>
    <m/>
    <m/>
    <m/>
    <m/>
    <m/>
    <m/>
    <m/>
  </r>
  <r>
    <x v="3"/>
    <x v="4"/>
    <s v="COLCHÃO M.E."/>
    <s v="NADA"/>
    <x v="1"/>
    <m/>
    <s v="URUGUAI"/>
    <n v="60876"/>
    <n v="1523"/>
    <s v="32282 - TELA ANTIDESLIZANTE DIVERSAS U"/>
    <m/>
    <m/>
    <m/>
    <m/>
    <m/>
    <m/>
    <m/>
    <n v="8.0720100000000006"/>
    <n v="4617.1899999999996"/>
    <m/>
    <m/>
    <m/>
    <n v="572"/>
    <m/>
    <m/>
    <m/>
    <m/>
    <m/>
    <m/>
    <m/>
    <m/>
    <m/>
    <m/>
    <m/>
    <m/>
    <m/>
    <m/>
  </r>
  <r>
    <x v="3"/>
    <x v="4"/>
    <s v="COLCHÃO M.E."/>
    <s v="NADA"/>
    <x v="1"/>
    <m/>
    <s v="URUGUAI"/>
    <n v="60876"/>
    <n v="1523"/>
    <s v="32282 - TELA ANTIDESLIZANTE DIVERSAS U"/>
    <m/>
    <m/>
    <m/>
    <m/>
    <m/>
    <m/>
    <m/>
    <n v="8.0720100000000006"/>
    <n v="15264.17"/>
    <m/>
    <m/>
    <m/>
    <n v="1891"/>
    <m/>
    <m/>
    <m/>
    <m/>
    <m/>
    <m/>
    <m/>
    <m/>
    <m/>
    <m/>
    <m/>
    <m/>
    <m/>
    <m/>
  </r>
  <r>
    <x v="3"/>
    <x v="4"/>
    <s v="COLCHÃO M.E."/>
    <s v="NADA"/>
    <x v="1"/>
    <m/>
    <s v="URUGUAI"/>
    <n v="60877"/>
    <n v="1226"/>
    <s v="2540015 TAMPO PONTILHADOS PRETO (A07803) DIVERSAS U"/>
    <m/>
    <m/>
    <m/>
    <m/>
    <m/>
    <m/>
    <m/>
    <n v="15.395617"/>
    <n v="32176.84"/>
    <m/>
    <n v="260"/>
    <m/>
    <n v="2090"/>
    <m/>
    <m/>
    <m/>
    <m/>
    <m/>
    <m/>
    <m/>
    <m/>
    <m/>
    <m/>
    <m/>
    <m/>
    <m/>
    <m/>
  </r>
  <r>
    <x v="3"/>
    <x v="4"/>
    <s v="COLCHÃO M.E."/>
    <s v="NADA"/>
    <x v="1"/>
    <m/>
    <s v="URUGUAI"/>
    <n v="60877"/>
    <n v="2053"/>
    <s v="2540025 TP ML 0069001 - 300G 2,20L CONTE DIVERSAS U"/>
    <m/>
    <m/>
    <m/>
    <m/>
    <m/>
    <m/>
    <m/>
    <n v="18.175374000000001"/>
    <n v="9469.3700000000008"/>
    <m/>
    <n v="300"/>
    <m/>
    <n v="521"/>
    <m/>
    <m/>
    <m/>
    <m/>
    <m/>
    <m/>
    <m/>
    <m/>
    <m/>
    <m/>
    <m/>
    <m/>
    <m/>
    <m/>
  </r>
  <r>
    <x v="3"/>
    <x v="4"/>
    <s v="COLCHÃO M.E."/>
    <s v="NADA"/>
    <x v="1"/>
    <m/>
    <s v="URUGUAI"/>
    <n v="60877"/>
    <n v="3009"/>
    <s v="2540014 TP ML A05171 300G 2,20L DIVERSAS U"/>
    <m/>
    <m/>
    <m/>
    <m/>
    <m/>
    <m/>
    <m/>
    <n v="22.986509000000002"/>
    <n v="10665.74"/>
    <m/>
    <n v="300"/>
    <m/>
    <n v="464"/>
    <m/>
    <m/>
    <m/>
    <m/>
    <m/>
    <m/>
    <m/>
    <m/>
    <m/>
    <m/>
    <m/>
    <m/>
    <m/>
    <m/>
  </r>
  <r>
    <x v="3"/>
    <x v="4"/>
    <s v="COLCHÃO M.E."/>
    <s v="NADA"/>
    <x v="1"/>
    <m/>
    <s v="URUGUAI"/>
    <n v="60877"/>
    <n v="3712"/>
    <s v="2540035 TP ML A10045 280G 2,20L DV U"/>
    <m/>
    <m/>
    <m/>
    <m/>
    <m/>
    <m/>
    <m/>
    <n v="17.106238999999999"/>
    <n v="32108.41"/>
    <m/>
    <n v="280"/>
    <m/>
    <n v="1877"/>
    <m/>
    <m/>
    <m/>
    <m/>
    <m/>
    <m/>
    <m/>
    <m/>
    <m/>
    <m/>
    <m/>
    <m/>
    <m/>
    <m/>
  </r>
  <r>
    <x v="3"/>
    <x v="4"/>
    <s v="COLCHÃO M.E."/>
    <s v="NADA"/>
    <x v="9"/>
    <m/>
    <s v="CHILE"/>
    <n v="60927"/>
    <n v="3378"/>
    <s v="2810011 TP PARADISE 122034 370G 2,20L DV U"/>
    <m/>
    <m/>
    <m/>
    <m/>
    <m/>
    <m/>
    <m/>
    <n v="25.759307"/>
    <n v="9299.11"/>
    <m/>
    <n v="370"/>
    <m/>
    <n v="361"/>
    <m/>
    <m/>
    <m/>
    <m/>
    <m/>
    <m/>
    <m/>
    <m/>
    <m/>
    <m/>
    <m/>
    <m/>
    <m/>
    <m/>
  </r>
  <r>
    <x v="3"/>
    <x v="4"/>
    <s v="COLCHÃO M.E."/>
    <s v="NADA"/>
    <x v="9"/>
    <m/>
    <s v="CHILE"/>
    <n v="60927"/>
    <n v="1419"/>
    <s v="2810009 TP MESCLA 180G 2,20L (1122580) DIVERSAS U"/>
    <m/>
    <m/>
    <m/>
    <m/>
    <m/>
    <m/>
    <m/>
    <n v="11.950198"/>
    <n v="6022.9"/>
    <m/>
    <n v="180"/>
    <m/>
    <n v="504"/>
    <m/>
    <m/>
    <m/>
    <m/>
    <m/>
    <m/>
    <m/>
    <m/>
    <m/>
    <m/>
    <m/>
    <m/>
    <m/>
    <m/>
  </r>
  <r>
    <x v="3"/>
    <x v="4"/>
    <s v="COLCHÃO M.E."/>
    <s v="NADA"/>
    <x v="9"/>
    <m/>
    <s v="CHILE"/>
    <n v="60927"/>
    <n v="1422"/>
    <s v="2810005 TP FOLHA 240G 2,20L (1121110) DIVERSAS U"/>
    <m/>
    <m/>
    <m/>
    <m/>
    <m/>
    <m/>
    <m/>
    <n v="15.030706"/>
    <n v="7455.23"/>
    <m/>
    <n v="240"/>
    <m/>
    <n v="496"/>
    <m/>
    <m/>
    <m/>
    <m/>
    <m/>
    <m/>
    <m/>
    <m/>
    <m/>
    <m/>
    <m/>
    <m/>
    <m/>
    <m/>
  </r>
  <r>
    <x v="3"/>
    <x v="4"/>
    <s v="COLCHÃO M.E."/>
    <s v="NADA"/>
    <x v="33"/>
    <m/>
    <s v="ARGENTINA"/>
    <n v="61049"/>
    <n v="4401"/>
    <s v="3470004 TP ML A10097 240G 2,30L DV U"/>
    <m/>
    <m/>
    <m/>
    <m/>
    <m/>
    <m/>
    <m/>
    <n v="15.542868"/>
    <n v="89628.26"/>
    <m/>
    <n v="240"/>
    <m/>
    <n v="5766.52"/>
    <m/>
    <m/>
    <m/>
    <m/>
    <m/>
    <m/>
    <m/>
    <m/>
    <m/>
    <m/>
    <m/>
    <m/>
    <m/>
    <m/>
  </r>
  <r>
    <x v="3"/>
    <x v="4"/>
    <s v="COLCHÃO M.E."/>
    <s v="NADA"/>
    <x v="33"/>
    <m/>
    <s v="ARGENTINA"/>
    <n v="61049"/>
    <n v="4402"/>
    <s v="3470005 TP ML A10101 240G 2,30L DV U"/>
    <m/>
    <m/>
    <m/>
    <m/>
    <m/>
    <m/>
    <m/>
    <n v="14.850891000000001"/>
    <n v="90501.33"/>
    <m/>
    <n v="240"/>
    <m/>
    <n v="6094"/>
    <m/>
    <m/>
    <m/>
    <m/>
    <m/>
    <m/>
    <m/>
    <m/>
    <m/>
    <m/>
    <m/>
    <m/>
    <m/>
    <m/>
  </r>
  <r>
    <x v="3"/>
    <x v="4"/>
    <s v="COLCHÃO M.E."/>
    <s v="NADA"/>
    <x v="21"/>
    <m/>
    <s v="PARAGUAI"/>
    <n v="61050"/>
    <n v="3702"/>
    <s v="3200015 TP ML A09971 180G 2,10L DV U"/>
    <m/>
    <m/>
    <m/>
    <m/>
    <m/>
    <m/>
    <m/>
    <n v="12.136214000000001"/>
    <n v="25546.73"/>
    <m/>
    <n v="180"/>
    <m/>
    <n v="2105"/>
    <m/>
    <m/>
    <m/>
    <m/>
    <m/>
    <m/>
    <m/>
    <m/>
    <m/>
    <m/>
    <m/>
    <m/>
    <m/>
    <m/>
  </r>
  <r>
    <x v="3"/>
    <x v="4"/>
    <s v="COLCHÃO M.E."/>
    <s v="NADA"/>
    <x v="21"/>
    <m/>
    <s v="PARAGUAI"/>
    <n v="61050"/>
    <n v="3701"/>
    <s v="3200014 TP ML A09970 160G 2,10L DV U"/>
    <m/>
    <m/>
    <m/>
    <m/>
    <m/>
    <m/>
    <m/>
    <n v="7.6649789999999998"/>
    <n v="10868.94"/>
    <m/>
    <n v="180"/>
    <m/>
    <n v="1418"/>
    <m/>
    <m/>
    <m/>
    <m/>
    <m/>
    <m/>
    <m/>
    <m/>
    <m/>
    <m/>
    <m/>
    <m/>
    <m/>
    <m/>
  </r>
  <r>
    <x v="3"/>
    <x v="4"/>
    <s v="COLCHÃO M.E."/>
    <s v="NADA"/>
    <x v="21"/>
    <m/>
    <s v="PARAGUAI"/>
    <n v="61050"/>
    <n v="3700"/>
    <s v="3200013 TP ML A09969 160G 2,10L DV U"/>
    <m/>
    <m/>
    <m/>
    <m/>
    <m/>
    <m/>
    <m/>
    <n v="7.2923660000000003"/>
    <n v="2989.87"/>
    <m/>
    <n v="180"/>
    <m/>
    <n v="410"/>
    <m/>
    <m/>
    <m/>
    <m/>
    <m/>
    <m/>
    <m/>
    <m/>
    <m/>
    <m/>
    <m/>
    <m/>
    <m/>
    <m/>
  </r>
  <r>
    <x v="3"/>
    <x v="4"/>
    <s v="COLCHÃO M.E."/>
    <s v="NADA"/>
    <x v="21"/>
    <m/>
    <s v="PARAGUAI"/>
    <n v="61050"/>
    <n v="3270"/>
    <s v="3200012-ME 220G 2,20L DIVERSAS U"/>
    <m/>
    <m/>
    <m/>
    <m/>
    <m/>
    <m/>
    <m/>
    <n v="11.710379"/>
    <n v="5246.25"/>
    <m/>
    <n v="220"/>
    <m/>
    <n v="448"/>
    <m/>
    <m/>
    <m/>
    <m/>
    <m/>
    <m/>
    <m/>
    <m/>
    <m/>
    <m/>
    <m/>
    <m/>
    <m/>
    <m/>
  </r>
  <r>
    <x v="3"/>
    <x v="4"/>
    <s v="COLCHÃO M.E."/>
    <s v="NADA"/>
    <x v="21"/>
    <m/>
    <s v="PARAGUAI"/>
    <n v="61050"/>
    <n v="1979"/>
    <s v="3200010 TP ML WAVES LINO 320G 2,20L DIVERSAS U"/>
    <m/>
    <m/>
    <m/>
    <m/>
    <m/>
    <m/>
    <m/>
    <n v="25.283774000000001"/>
    <n v="16080.48"/>
    <m/>
    <n v="320"/>
    <m/>
    <n v="636"/>
    <m/>
    <m/>
    <m/>
    <m/>
    <m/>
    <m/>
    <m/>
    <m/>
    <m/>
    <m/>
    <m/>
    <m/>
    <m/>
    <m/>
  </r>
  <r>
    <x v="3"/>
    <x v="4"/>
    <s v="COLCHÃO M.E."/>
    <s v="NADA"/>
    <x v="21"/>
    <m/>
    <s v="PARAGUAI"/>
    <n v="61050"/>
    <n v="1757"/>
    <s v="3200004 TP ML IMPERAL BLACK 350G 2,10L DIVERSAS U"/>
    <m/>
    <m/>
    <m/>
    <m/>
    <m/>
    <m/>
    <m/>
    <n v="18.41724"/>
    <n v="13812.93"/>
    <m/>
    <n v="350"/>
    <m/>
    <n v="750"/>
    <m/>
    <m/>
    <m/>
    <m/>
    <m/>
    <m/>
    <m/>
    <m/>
    <m/>
    <m/>
    <m/>
    <m/>
    <m/>
    <m/>
  </r>
  <r>
    <x v="3"/>
    <x v="4"/>
    <s v="COLCHÃO M.E."/>
    <s v="NADA"/>
    <x v="36"/>
    <m/>
    <s v="ARGENTINA"/>
    <n v="61051"/>
    <n v="4114"/>
    <s v="3530001 TP ML A10169 240G 2,10L DV U"/>
    <m/>
    <m/>
    <m/>
    <m/>
    <m/>
    <m/>
    <m/>
    <n v="10.805486999999999"/>
    <n v="98038.18"/>
    <m/>
    <n v="240"/>
    <m/>
    <n v="9073"/>
    <m/>
    <m/>
    <m/>
    <m/>
    <m/>
    <m/>
    <m/>
    <m/>
    <m/>
    <m/>
    <m/>
    <m/>
    <m/>
    <m/>
  </r>
  <r>
    <x v="3"/>
    <x v="4"/>
    <s v="COLCHÃO M.E."/>
    <s v="NADA"/>
    <x v="36"/>
    <m/>
    <s v="ARGENTINA"/>
    <n v="61051"/>
    <n v="4331"/>
    <s v="3530003 TP ML A10104-A 200G 2,20L DV U"/>
    <m/>
    <m/>
    <m/>
    <m/>
    <m/>
    <m/>
    <m/>
    <n v="9.8473640000000007"/>
    <n v="60640.07"/>
    <m/>
    <n v="200"/>
    <m/>
    <n v="6158"/>
    <m/>
    <m/>
    <m/>
    <m/>
    <m/>
    <m/>
    <m/>
    <m/>
    <m/>
    <m/>
    <m/>
    <m/>
    <m/>
    <m/>
  </r>
  <r>
    <x v="3"/>
    <x v="4"/>
    <s v="COLCHÃO M.E."/>
    <s v="NADA"/>
    <x v="36"/>
    <m/>
    <s v="ARGENTINA"/>
    <n v="61051"/>
    <n v="4332"/>
    <s v="3530004 TP ML A10108 200G 2,20L DV U"/>
    <m/>
    <m/>
    <m/>
    <m/>
    <m/>
    <m/>
    <m/>
    <n v="9.5812190000000008"/>
    <n v="46909.65"/>
    <m/>
    <n v="200"/>
    <m/>
    <n v="4896"/>
    <m/>
    <m/>
    <m/>
    <m/>
    <m/>
    <m/>
    <m/>
    <m/>
    <m/>
    <m/>
    <m/>
    <m/>
    <m/>
    <m/>
  </r>
  <r>
    <x v="3"/>
    <x v="4"/>
    <s v="COLCHÃO M.E."/>
    <s v="NADA"/>
    <x v="36"/>
    <m/>
    <s v="ARGENTINA"/>
    <n v="61051"/>
    <n v="4333"/>
    <s v="3530005 TP ML A10224 200G 2,20L DV U"/>
    <m/>
    <m/>
    <m/>
    <m/>
    <m/>
    <m/>
    <m/>
    <n v="9.5812209999999993"/>
    <n v="25495.63"/>
    <m/>
    <n v="200"/>
    <m/>
    <n v="2661"/>
    <m/>
    <m/>
    <m/>
    <m/>
    <m/>
    <m/>
    <m/>
    <m/>
    <m/>
    <m/>
    <m/>
    <m/>
    <m/>
    <m/>
  </r>
  <r>
    <x v="3"/>
    <x v="4"/>
    <s v="COLCHÃO M.E."/>
    <s v="NADA"/>
    <x v="5"/>
    <m/>
    <s v="PARAGUAI"/>
    <n v="61063"/>
    <n v="2566"/>
    <s v="2670007 TP ML BCA MINI JAC 220G 2,10L DIVERSAS U"/>
    <m/>
    <m/>
    <m/>
    <m/>
    <m/>
    <m/>
    <m/>
    <n v="11.178091"/>
    <n v="36954.769999999997"/>
    <m/>
    <n v="220"/>
    <m/>
    <n v="3306"/>
    <m/>
    <m/>
    <m/>
    <m/>
    <m/>
    <m/>
    <m/>
    <m/>
    <m/>
    <m/>
    <m/>
    <m/>
    <m/>
    <m/>
  </r>
  <r>
    <x v="4"/>
    <x v="4"/>
    <s v="COLCHÃO M.E."/>
    <s v="NADA"/>
    <x v="41"/>
    <m/>
    <s v="PARAGUAI"/>
    <n v="61146"/>
    <n v="4447"/>
    <s v="3560001 TP ML 0347024 280G 2,20L DV U"/>
    <m/>
    <m/>
    <m/>
    <m/>
    <m/>
    <m/>
    <m/>
    <n v="17.82"/>
    <n v="9872.2800000000007"/>
    <m/>
    <n v="280"/>
    <m/>
    <n v="554"/>
    <m/>
    <m/>
    <m/>
    <m/>
    <m/>
    <m/>
    <m/>
    <m/>
    <m/>
    <m/>
    <m/>
    <m/>
    <m/>
    <m/>
  </r>
  <r>
    <x v="4"/>
    <x v="4"/>
    <s v="COLCHÃO M.E."/>
    <s v="NADA"/>
    <x v="41"/>
    <m/>
    <s v="PARAGUAI"/>
    <n v="61146"/>
    <n v="4448"/>
    <s v="3560002 TP ML 0156004 280G 2,20L DV U"/>
    <m/>
    <m/>
    <m/>
    <m/>
    <m/>
    <m/>
    <m/>
    <n v="15.9"/>
    <n v="8919.9"/>
    <m/>
    <n v="280"/>
    <m/>
    <n v="561"/>
    <m/>
    <m/>
    <m/>
    <m/>
    <m/>
    <m/>
    <m/>
    <m/>
    <m/>
    <m/>
    <m/>
    <m/>
    <m/>
    <m/>
  </r>
  <r>
    <x v="4"/>
    <x v="4"/>
    <s v="COLCHÃO M.E."/>
    <s v="NADA"/>
    <x v="41"/>
    <m/>
    <s v="PARAGUAI"/>
    <n v="61146"/>
    <n v="4449"/>
    <s v="3560003 TP ML 0156014 280G 2,20L DV U"/>
    <m/>
    <m/>
    <m/>
    <m/>
    <m/>
    <m/>
    <m/>
    <n v="15.9"/>
    <n v="8617.7999999999993"/>
    <m/>
    <n v="280"/>
    <m/>
    <n v="542"/>
    <m/>
    <m/>
    <m/>
    <m/>
    <m/>
    <m/>
    <m/>
    <m/>
    <m/>
    <m/>
    <m/>
    <m/>
    <m/>
    <m/>
  </r>
  <r>
    <x v="4"/>
    <x v="4"/>
    <s v="COLCHÃO M.E."/>
    <s v="NADA"/>
    <x v="1"/>
    <m/>
    <s v="URUGUAI"/>
    <n v="61537"/>
    <n v="1225"/>
    <s v="2540012 TAMPO RASCUNHOS (A07820) DIVERSAS U"/>
    <m/>
    <m/>
    <m/>
    <m/>
    <m/>
    <m/>
    <m/>
    <n v="15.436536"/>
    <n v="33775.14"/>
    <m/>
    <n v="240"/>
    <m/>
    <n v="2188"/>
    <m/>
    <m/>
    <m/>
    <m/>
    <m/>
    <m/>
    <m/>
    <m/>
    <m/>
    <m/>
    <m/>
    <m/>
    <m/>
    <m/>
  </r>
  <r>
    <x v="4"/>
    <x v="4"/>
    <s v="COLCHÃO M.E."/>
    <s v="NADA"/>
    <x v="1"/>
    <m/>
    <s v="URUGUAI"/>
    <n v="61537"/>
    <n v="3589"/>
    <s v="2540033 TP ML 132012 340G 2,20L DV U"/>
    <m/>
    <m/>
    <m/>
    <m/>
    <m/>
    <m/>
    <m/>
    <n v="22.828685"/>
    <n v="17874.86"/>
    <m/>
    <n v="340"/>
    <m/>
    <n v="783"/>
    <m/>
    <m/>
    <m/>
    <m/>
    <m/>
    <m/>
    <m/>
    <m/>
    <m/>
    <m/>
    <m/>
    <m/>
    <m/>
    <m/>
  </r>
  <r>
    <x v="4"/>
    <x v="4"/>
    <s v="COLCHÃO M.E."/>
    <s v="NADA"/>
    <x v="1"/>
    <m/>
    <s v="URUGUAI"/>
    <n v="61538"/>
    <n v="1523"/>
    <s v="32282 - TELA ANTIDESLIZANTE DIVERSAS U"/>
    <m/>
    <m/>
    <m/>
    <m/>
    <m/>
    <m/>
    <m/>
    <n v="8.2074569999999998"/>
    <n v="8617.83"/>
    <m/>
    <m/>
    <m/>
    <n v="1050"/>
    <m/>
    <m/>
    <m/>
    <m/>
    <m/>
    <m/>
    <m/>
    <m/>
    <m/>
    <m/>
    <m/>
    <m/>
    <m/>
    <m/>
  </r>
  <r>
    <x v="4"/>
    <x v="4"/>
    <s v="COLCHÃO M.E."/>
    <s v="NADA"/>
    <x v="42"/>
    <m/>
    <s v="BOLIVIA"/>
    <n v="61539"/>
    <n v="2206"/>
    <s v="3370005 TP ML BOL 180G 2,20L DIVERSAS U"/>
    <m/>
    <m/>
    <m/>
    <m/>
    <m/>
    <m/>
    <m/>
    <n v="10.055490000000001"/>
    <n v="27401.21"/>
    <m/>
    <n v="180"/>
    <m/>
    <n v="2725"/>
    <m/>
    <m/>
    <m/>
    <m/>
    <m/>
    <m/>
    <m/>
    <m/>
    <m/>
    <m/>
    <m/>
    <m/>
    <m/>
    <m/>
  </r>
  <r>
    <x v="4"/>
    <x v="4"/>
    <s v="COLCHÃO M.E."/>
    <s v="NADA"/>
    <x v="42"/>
    <m/>
    <s v="BOLIVIA"/>
    <n v="61539"/>
    <n v="2209"/>
    <s v="3370008 TP ML CZ CARIOCA 200G 2,10L DIVERSAS U"/>
    <m/>
    <m/>
    <m/>
    <m/>
    <m/>
    <m/>
    <m/>
    <n v="10.327259"/>
    <n v="19890.3"/>
    <m/>
    <n v="200"/>
    <m/>
    <n v="1926"/>
    <m/>
    <m/>
    <m/>
    <m/>
    <m/>
    <m/>
    <m/>
    <m/>
    <m/>
    <m/>
    <m/>
    <m/>
    <m/>
    <m/>
  </r>
  <r>
    <x v="4"/>
    <x v="4"/>
    <s v="COLCHÃO M.E."/>
    <s v="NADA"/>
    <x v="42"/>
    <m/>
    <s v="BOLIVIA"/>
    <n v="61540"/>
    <n v="2208"/>
    <s v="3370007 BAMBUZINHO DIVERSAS U"/>
    <m/>
    <m/>
    <m/>
    <m/>
    <m/>
    <m/>
    <m/>
    <n v="6.2507109999999999"/>
    <n v="13795.32"/>
    <m/>
    <m/>
    <m/>
    <n v="2207"/>
    <m/>
    <m/>
    <m/>
    <m/>
    <m/>
    <m/>
    <m/>
    <m/>
    <m/>
    <m/>
    <m/>
    <m/>
    <m/>
    <m/>
  </r>
  <r>
    <x v="4"/>
    <x v="4"/>
    <s v="COLCHÃO M.E."/>
    <s v="NADA"/>
    <x v="42"/>
    <m/>
    <s v="BOLIVIA"/>
    <n v="61540"/>
    <n v="4454"/>
    <s v="CAFE PUFF ONDAS DV U"/>
    <m/>
    <m/>
    <m/>
    <m/>
    <m/>
    <m/>
    <m/>
    <n v="5.9789399999999997"/>
    <n v="29272.89"/>
    <m/>
    <m/>
    <m/>
    <n v="4896"/>
    <m/>
    <m/>
    <m/>
    <m/>
    <m/>
    <m/>
    <m/>
    <m/>
    <m/>
    <m/>
    <m/>
    <m/>
    <m/>
    <m/>
  </r>
  <r>
    <x v="4"/>
    <x v="4"/>
    <s v="COLCHÃO M.E."/>
    <s v="NADA"/>
    <x v="9"/>
    <m/>
    <s v="CHILE"/>
    <n v="61771"/>
    <n v="1419"/>
    <s v="2810009 TP MESCLA 180G 2,20L (1122580) DIVERSAS U"/>
    <m/>
    <m/>
    <m/>
    <m/>
    <m/>
    <m/>
    <m/>
    <n v="12.113996999999999"/>
    <n v="15215.18"/>
    <m/>
    <n v="180"/>
    <m/>
    <n v="1256"/>
    <m/>
    <m/>
    <m/>
    <m/>
    <m/>
    <m/>
    <m/>
    <m/>
    <m/>
    <m/>
    <m/>
    <m/>
    <m/>
    <m/>
  </r>
  <r>
    <x v="5"/>
    <x v="4"/>
    <s v="COLCHÃO M.E."/>
    <s v="NADA"/>
    <x v="38"/>
    <m/>
    <s v="CHILE"/>
    <n v="62206"/>
    <n v="4600"/>
    <s v="2860006 TP ML 360G 2,10L DV U"/>
    <m/>
    <m/>
    <m/>
    <m/>
    <m/>
    <m/>
    <m/>
    <n v="24.144183999999999"/>
    <n v="10212.99"/>
    <m/>
    <n v="260"/>
    <m/>
    <n v="423"/>
    <m/>
    <m/>
    <m/>
    <m/>
    <m/>
    <m/>
    <m/>
    <m/>
    <m/>
    <m/>
    <m/>
    <m/>
    <m/>
    <m/>
  </r>
  <r>
    <x v="5"/>
    <x v="4"/>
    <s v="COLCHÃO M.E."/>
    <s v="NADA"/>
    <x v="38"/>
    <m/>
    <s v="CHILE"/>
    <n v="62206"/>
    <n v="4594"/>
    <s v="2860017 TP ML 0091012 280G 2,20L DV U"/>
    <m/>
    <m/>
    <m/>
    <m/>
    <m/>
    <m/>
    <m/>
    <n v="16.007482"/>
    <n v="6675.12"/>
    <m/>
    <n v="280"/>
    <m/>
    <n v="417"/>
    <m/>
    <m/>
    <m/>
    <m/>
    <m/>
    <m/>
    <m/>
    <m/>
    <m/>
    <m/>
    <m/>
    <m/>
    <m/>
    <m/>
  </r>
  <r>
    <x v="5"/>
    <x v="4"/>
    <s v="COLCHÃO M.E."/>
    <s v="NADA"/>
    <x v="38"/>
    <m/>
    <s v="CHILE"/>
    <n v="62206"/>
    <n v="4703"/>
    <s v="2860018 TP ML A10310 300G 2,20L DV U"/>
    <m/>
    <m/>
    <m/>
    <m/>
    <m/>
    <m/>
    <m/>
    <n v="15.847937999999999"/>
    <n v="8145.84"/>
    <m/>
    <n v="300"/>
    <m/>
    <n v="514"/>
    <m/>
    <m/>
    <m/>
    <m/>
    <m/>
    <m/>
    <m/>
    <m/>
    <m/>
    <m/>
    <m/>
    <m/>
    <m/>
    <m/>
  </r>
  <r>
    <x v="5"/>
    <x v="4"/>
    <s v="COLCHÃO M.E."/>
    <s v="NADA"/>
    <x v="38"/>
    <m/>
    <s v="CHILE"/>
    <n v="62206"/>
    <n v="2000"/>
    <s v="2860008 TP ML GRAY WINDOW 380G 2,20L DIVERSAS U"/>
    <m/>
    <m/>
    <m/>
    <m/>
    <m/>
    <m/>
    <m/>
    <n v="27.494568000000001"/>
    <n v="13059.92"/>
    <m/>
    <n v="380"/>
    <m/>
    <n v="475"/>
    <m/>
    <m/>
    <m/>
    <m/>
    <m/>
    <m/>
    <m/>
    <m/>
    <m/>
    <m/>
    <m/>
    <m/>
    <m/>
    <m/>
  </r>
  <r>
    <x v="5"/>
    <x v="4"/>
    <s v="COLCHÃO M.E."/>
    <s v="NADA"/>
    <x v="38"/>
    <m/>
    <s v="CHILE"/>
    <n v="62206"/>
    <n v="3276"/>
    <s v="2860014 TP ML A09686 370G 2,20L DIVERSAS U"/>
    <m/>
    <m/>
    <m/>
    <m/>
    <m/>
    <m/>
    <m/>
    <n v="32.972209999999997"/>
    <n v="14771.55"/>
    <m/>
    <n v="380"/>
    <m/>
    <n v="448"/>
    <m/>
    <m/>
    <m/>
    <m/>
    <m/>
    <m/>
    <m/>
    <m/>
    <m/>
    <m/>
    <m/>
    <m/>
    <m/>
    <m/>
  </r>
  <r>
    <x v="5"/>
    <x v="4"/>
    <s v="COLCHÃO M.E."/>
    <s v="NADA"/>
    <x v="38"/>
    <m/>
    <s v="CHILE"/>
    <n v="62206"/>
    <n v="3275"/>
    <s v="2860013 TP ML A09687 350G 2,20L DIVERSAS U"/>
    <m/>
    <m/>
    <m/>
    <m/>
    <m/>
    <m/>
    <m/>
    <n v="25.260985000000002"/>
    <n v="11796.88"/>
    <m/>
    <n v="350"/>
    <m/>
    <n v="467"/>
    <m/>
    <m/>
    <m/>
    <m/>
    <m/>
    <m/>
    <m/>
    <m/>
    <m/>
    <m/>
    <m/>
    <m/>
    <m/>
    <m/>
  </r>
  <r>
    <x v="5"/>
    <x v="4"/>
    <s v="COLCHÃO M.E."/>
    <s v="NADA"/>
    <x v="6"/>
    <m/>
    <s v="PARAGUAI"/>
    <n v="62395"/>
    <n v="4613"/>
    <s v="2730008 TP ML A05853-B 180G 2,20L DV U"/>
    <m/>
    <m/>
    <m/>
    <m/>
    <m/>
    <m/>
    <m/>
    <n v="10.32564"/>
    <n v="4997.6099999999997"/>
    <m/>
    <n v="180"/>
    <m/>
    <n v="484"/>
    <m/>
    <m/>
    <m/>
    <m/>
    <m/>
    <m/>
    <m/>
    <m/>
    <m/>
    <m/>
    <m/>
    <m/>
    <m/>
    <m/>
  </r>
  <r>
    <x v="5"/>
    <x v="4"/>
    <s v="COLCHÃO M.E."/>
    <s v="NADA"/>
    <x v="6"/>
    <m/>
    <s v="PARAGUAI"/>
    <n v="62395"/>
    <n v="4614"/>
    <s v="2730007 TP ME AMOSTR DV U"/>
    <m/>
    <m/>
    <m/>
    <m/>
    <m/>
    <m/>
    <m/>
    <n v="9.8490800000000007"/>
    <n v="4067.67"/>
    <m/>
    <n v="180"/>
    <m/>
    <n v="413"/>
    <m/>
    <m/>
    <m/>
    <m/>
    <m/>
    <m/>
    <m/>
    <m/>
    <m/>
    <m/>
    <m/>
    <m/>
    <m/>
    <m/>
  </r>
  <r>
    <x v="5"/>
    <x v="4"/>
    <s v="COLCHÃO M.E."/>
    <s v="NADA"/>
    <x v="6"/>
    <m/>
    <s v="PARAGUAI"/>
    <n v="62395"/>
    <n v="4616"/>
    <s v="2730006 TP ML A05853    180G 2,20L DV U"/>
    <m/>
    <m/>
    <m/>
    <m/>
    <m/>
    <m/>
    <m/>
    <n v="9.9020279999999996"/>
    <n v="5614.45"/>
    <m/>
    <n v="180"/>
    <m/>
    <n v="567"/>
    <m/>
    <m/>
    <m/>
    <m/>
    <m/>
    <m/>
    <m/>
    <m/>
    <m/>
    <m/>
    <m/>
    <m/>
    <m/>
    <m/>
  </r>
  <r>
    <x v="5"/>
    <x v="4"/>
    <s v="COLCHÃO M.E."/>
    <s v="NADA"/>
    <x v="6"/>
    <m/>
    <s v="PARAGUAI"/>
    <n v="62395"/>
    <n v="4617"/>
    <s v="2730005 TP ML A05853   180G 2,20L DV U"/>
    <m/>
    <m/>
    <m/>
    <m/>
    <m/>
    <m/>
    <m/>
    <n v="9.9020229999999998"/>
    <n v="5188.66"/>
    <m/>
    <n v="180"/>
    <m/>
    <n v="524"/>
    <m/>
    <m/>
    <m/>
    <m/>
    <m/>
    <m/>
    <m/>
    <m/>
    <m/>
    <m/>
    <m/>
    <m/>
    <m/>
    <m/>
  </r>
  <r>
    <x v="5"/>
    <x v="4"/>
    <s v="COLCHÃO M.E."/>
    <s v="NADA"/>
    <x v="6"/>
    <m/>
    <s v="PARAGUAI"/>
    <n v="62468"/>
    <n v="1422"/>
    <s v="2810005 TP FOLHA 240G 2,20L (1121110) DIVERSAS U"/>
    <m/>
    <m/>
    <m/>
    <m/>
    <m/>
    <m/>
    <m/>
    <n v="10.138597000000001"/>
    <n v="5637.06"/>
    <m/>
    <n v="240"/>
    <m/>
    <n v="556"/>
    <m/>
    <m/>
    <m/>
    <m/>
    <m/>
    <m/>
    <m/>
    <m/>
    <m/>
    <m/>
    <m/>
    <m/>
    <m/>
    <m/>
  </r>
  <r>
    <x v="5"/>
    <x v="4"/>
    <s v="COLCHÃO M.E."/>
    <s v="NADA"/>
    <x v="6"/>
    <m/>
    <s v="PARAGUAI"/>
    <n v="62468"/>
    <n v="3549"/>
    <s v="3430001 TP ML 87052 220G 2,20L DV U"/>
    <m/>
    <m/>
    <m/>
    <m/>
    <m/>
    <m/>
    <m/>
    <n v="10.138597000000001"/>
    <n v="5637.06"/>
    <m/>
    <n v="220"/>
    <m/>
    <n v="556"/>
    <m/>
    <m/>
    <m/>
    <m/>
    <m/>
    <m/>
    <m/>
    <m/>
    <m/>
    <m/>
    <m/>
    <m/>
    <m/>
    <m/>
  </r>
  <r>
    <x v="5"/>
    <x v="4"/>
    <s v="COLCHÃO M.E."/>
    <s v="NADA"/>
    <x v="33"/>
    <m/>
    <s v="ARGENTINA"/>
    <n v="62567"/>
    <n v="3699"/>
    <s v="3470003 TP ML 301002 260G 2,20L DV U"/>
    <m/>
    <m/>
    <m/>
    <m/>
    <m/>
    <m/>
    <m/>
    <n v="9.8640659999999993"/>
    <n v="95819.54"/>
    <m/>
    <n v="260"/>
    <m/>
    <n v="9714"/>
    <m/>
    <m/>
    <m/>
    <m/>
    <m/>
    <m/>
    <m/>
    <m/>
    <m/>
    <m/>
    <m/>
    <m/>
    <m/>
    <m/>
  </r>
  <r>
    <x v="5"/>
    <x v="4"/>
    <s v="COLCHÃO M.E."/>
    <s v="NADA"/>
    <x v="1"/>
    <m/>
    <s v="URUGUAI"/>
    <n v="62679"/>
    <n v="3589"/>
    <s v="2540033 TP ML 132012 340G 2,20L DV U"/>
    <m/>
    <m/>
    <m/>
    <m/>
    <m/>
    <m/>
    <m/>
    <n v="22.551480000000002"/>
    <n v="33985.08"/>
    <m/>
    <n v="340"/>
    <m/>
    <n v="1507"/>
    <m/>
    <m/>
    <m/>
    <m/>
    <m/>
    <m/>
    <m/>
    <m/>
    <m/>
    <m/>
    <m/>
    <m/>
    <m/>
    <m/>
  </r>
  <r>
    <x v="5"/>
    <x v="4"/>
    <s v="COLCHÃO M.E."/>
    <s v="NADA"/>
    <x v="1"/>
    <m/>
    <s v="URUGUAI"/>
    <n v="62679"/>
    <n v="3589"/>
    <s v="2540033 TP ML 132012 340G 2,20L DV U"/>
    <m/>
    <m/>
    <m/>
    <m/>
    <m/>
    <m/>
    <m/>
    <n v="22.551487000000002"/>
    <n v="11072.78"/>
    <m/>
    <n v="340"/>
    <m/>
    <n v="491"/>
    <m/>
    <m/>
    <m/>
    <m/>
    <m/>
    <m/>
    <m/>
    <m/>
    <m/>
    <m/>
    <m/>
    <m/>
    <m/>
    <m/>
  </r>
  <r>
    <x v="5"/>
    <x v="4"/>
    <s v="COLCHÃO M.E."/>
    <s v="NADA"/>
    <x v="1"/>
    <m/>
    <s v="URUGUAI"/>
    <n v="62679"/>
    <n v="3009"/>
    <s v="2540014 TP ML A05171 300G 2,20L DIVERSAS U"/>
    <m/>
    <m/>
    <m/>
    <m/>
    <m/>
    <m/>
    <m/>
    <n v="23.088418999999998"/>
    <n v="23226.95"/>
    <m/>
    <n v="300"/>
    <m/>
    <n v="1006"/>
    <m/>
    <m/>
    <m/>
    <m/>
    <m/>
    <m/>
    <m/>
    <m/>
    <m/>
    <m/>
    <m/>
    <m/>
    <m/>
    <m/>
  </r>
  <r>
    <x v="5"/>
    <x v="4"/>
    <s v="COLCHÃO M.E."/>
    <s v="NADA"/>
    <x v="1"/>
    <m/>
    <s v="URUGUAI"/>
    <n v="62679"/>
    <n v="3711"/>
    <s v="2540034 TP ML 237005 260G 2,20L DV U"/>
    <m/>
    <m/>
    <m/>
    <m/>
    <m/>
    <m/>
    <m/>
    <n v="13.423499"/>
    <n v="49908.57"/>
    <m/>
    <n v="260"/>
    <m/>
    <n v="3718"/>
    <m/>
    <m/>
    <m/>
    <m/>
    <m/>
    <m/>
    <m/>
    <m/>
    <m/>
    <m/>
    <m/>
    <m/>
    <m/>
    <m/>
  </r>
  <r>
    <x v="5"/>
    <x v="4"/>
    <s v="COLCHÃO M.E."/>
    <s v="NADA"/>
    <x v="1"/>
    <m/>
    <s v="URUGUAI"/>
    <n v="62679"/>
    <n v="2054"/>
    <s v="2540026 TP ML 0072051 - 280G 2,20L DEGRA DIVERSAS U"/>
    <m/>
    <m/>
    <m/>
    <m/>
    <m/>
    <m/>
    <m/>
    <n v="16.698836"/>
    <n v="24397"/>
    <m/>
    <n v="280"/>
    <m/>
    <n v="1461"/>
    <m/>
    <m/>
    <m/>
    <m/>
    <m/>
    <m/>
    <m/>
    <m/>
    <m/>
    <m/>
    <m/>
    <m/>
    <m/>
    <m/>
  </r>
  <r>
    <x v="5"/>
    <x v="4"/>
    <s v="COLCHÃO M.E."/>
    <s v="NADA"/>
    <x v="1"/>
    <m/>
    <s v="URUGUAI"/>
    <n v="62679"/>
    <n v="3009"/>
    <s v="2540014 TP ML A05171 300G 2,20L DIVERSAS U"/>
    <m/>
    <m/>
    <m/>
    <m/>
    <m/>
    <m/>
    <m/>
    <n v="23.088415999999999"/>
    <n v="10205.08"/>
    <m/>
    <n v="300"/>
    <m/>
    <n v="442"/>
    <m/>
    <m/>
    <m/>
    <m/>
    <m/>
    <m/>
    <m/>
    <m/>
    <m/>
    <m/>
    <m/>
    <m/>
    <m/>
    <m/>
  </r>
  <r>
    <x v="5"/>
    <x v="4"/>
    <s v="COLCHÃO M.E."/>
    <s v="NADA"/>
    <x v="1"/>
    <m/>
    <s v="URUGUAI"/>
    <n v="62679"/>
    <n v="2497"/>
    <s v="2540029 TP LUNA 230G 2,20L 0070001 DIVERSAS U"/>
    <m/>
    <m/>
    <m/>
    <m/>
    <m/>
    <m/>
    <m/>
    <n v="12.886556000000001"/>
    <n v="9316.98"/>
    <m/>
    <n v="230"/>
    <m/>
    <n v="723"/>
    <m/>
    <m/>
    <m/>
    <m/>
    <m/>
    <m/>
    <m/>
    <m/>
    <m/>
    <m/>
    <m/>
    <m/>
    <m/>
    <m/>
  </r>
  <r>
    <x v="5"/>
    <x v="4"/>
    <s v="COLCHÃO M.E."/>
    <s v="NADA"/>
    <x v="1"/>
    <m/>
    <s v="URUGUAI"/>
    <n v="62679"/>
    <n v="2053"/>
    <s v="2540025 TP ML 0069001 - 300G 2,20L CONTE DIVERSAS U"/>
    <m/>
    <m/>
    <m/>
    <m/>
    <m/>
    <m/>
    <m/>
    <n v="18.255959000000001"/>
    <n v="8945.42"/>
    <m/>
    <n v="300"/>
    <m/>
    <n v="490"/>
    <m/>
    <m/>
    <m/>
    <m/>
    <m/>
    <m/>
    <m/>
    <m/>
    <m/>
    <m/>
    <m/>
    <m/>
    <m/>
    <m/>
  </r>
  <r>
    <x v="5"/>
    <x v="4"/>
    <s v="COLCHÃO M.E."/>
    <s v="NADA"/>
    <x v="1"/>
    <m/>
    <s v="URUGUAI"/>
    <n v="62680"/>
    <n v="1523"/>
    <s v="32282 - TELA ANTIDESLIZANTE DIVERSAS U"/>
    <m/>
    <m/>
    <m/>
    <m/>
    <m/>
    <m/>
    <m/>
    <n v="8.1077940000000002"/>
    <n v="34620.28"/>
    <m/>
    <n v="200"/>
    <m/>
    <n v="4270"/>
    <m/>
    <m/>
    <m/>
    <m/>
    <m/>
    <m/>
    <m/>
    <m/>
    <m/>
    <m/>
    <m/>
    <m/>
    <m/>
    <m/>
  </r>
  <r>
    <x v="5"/>
    <x v="4"/>
    <s v="COLCHÃO M.E."/>
    <s v="NADA"/>
    <x v="43"/>
    <m/>
    <s v="PERU "/>
    <n v="62736"/>
    <n v="4690"/>
    <s v="3570007 TP ML 0270081 200G 2,10L DV U"/>
    <m/>
    <m/>
    <m/>
    <m/>
    <m/>
    <m/>
    <m/>
    <n v="11.040965"/>
    <n v="12354.84"/>
    <m/>
    <n v="200"/>
    <m/>
    <n v="1119"/>
    <m/>
    <m/>
    <m/>
    <m/>
    <m/>
    <m/>
    <m/>
    <m/>
    <m/>
    <m/>
    <m/>
    <m/>
    <m/>
    <m/>
  </r>
  <r>
    <x v="5"/>
    <x v="4"/>
    <s v="COLCHÃO M.E."/>
    <s v="NADA"/>
    <x v="43"/>
    <m/>
    <s v="PERU "/>
    <n v="62736"/>
    <n v="4698"/>
    <s v="3570015 TP ML 0399031 200G 2,10L DV U"/>
    <m/>
    <m/>
    <m/>
    <m/>
    <m/>
    <m/>
    <m/>
    <n v="9.7075169999999993"/>
    <n v="10086.11"/>
    <m/>
    <n v="200"/>
    <m/>
    <n v="1039"/>
    <m/>
    <m/>
    <m/>
    <m/>
    <m/>
    <m/>
    <m/>
    <m/>
    <m/>
    <m/>
    <m/>
    <m/>
    <m/>
    <m/>
  </r>
  <r>
    <x v="5"/>
    <x v="4"/>
    <s v="COLCHÃO M.E."/>
    <s v="NADA"/>
    <x v="43"/>
    <m/>
    <s v="PERU "/>
    <n v="62736"/>
    <n v="4697"/>
    <s v="3570014 TP ML 0411041 200G 2,10L DV U"/>
    <m/>
    <m/>
    <m/>
    <m/>
    <m/>
    <m/>
    <m/>
    <n v="9.707516"/>
    <n v="8872.67"/>
    <m/>
    <n v="200"/>
    <m/>
    <n v="914"/>
    <m/>
    <m/>
    <m/>
    <m/>
    <m/>
    <m/>
    <m/>
    <m/>
    <m/>
    <m/>
    <m/>
    <m/>
    <m/>
    <m/>
  </r>
  <r>
    <x v="5"/>
    <x v="4"/>
    <s v="COLCHÃO M.E."/>
    <s v="NADA"/>
    <x v="43"/>
    <m/>
    <s v="PERU "/>
    <n v="62736"/>
    <n v="4696"/>
    <s v="3570013 TP ML 0416071 200G 2,10L DV U"/>
    <m/>
    <m/>
    <m/>
    <m/>
    <m/>
    <m/>
    <m/>
    <n v="9.7075130000000005"/>
    <n v="11357.79"/>
    <m/>
    <n v="200"/>
    <m/>
    <n v="1170"/>
    <m/>
    <m/>
    <m/>
    <m/>
    <m/>
    <m/>
    <m/>
    <m/>
    <m/>
    <m/>
    <m/>
    <m/>
    <m/>
    <m/>
  </r>
  <r>
    <x v="5"/>
    <x v="4"/>
    <s v="COLCHÃO M.E."/>
    <s v="NADA"/>
    <x v="43"/>
    <m/>
    <s v="PERU "/>
    <n v="62736"/>
    <n v="4693"/>
    <s v="3570010 TP ML 0473003 180G 2,10L DV U"/>
    <m/>
    <m/>
    <m/>
    <m/>
    <m/>
    <m/>
    <m/>
    <n v="9.0142220000000002"/>
    <n v="405.64"/>
    <m/>
    <n v="180"/>
    <m/>
    <n v="45"/>
    <m/>
    <m/>
    <m/>
    <m/>
    <m/>
    <m/>
    <m/>
    <m/>
    <m/>
    <m/>
    <m/>
    <m/>
    <m/>
    <m/>
  </r>
  <r>
    <x v="5"/>
    <x v="4"/>
    <s v="COLCHÃO M.E."/>
    <s v="NADA"/>
    <x v="43"/>
    <m/>
    <s v="PERU "/>
    <n v="62736"/>
    <n v="4692"/>
    <s v="3570009 TP ML A10344 200G 2,10L DV U"/>
    <m/>
    <m/>
    <m/>
    <m/>
    <m/>
    <m/>
    <m/>
    <n v="10.027547999999999"/>
    <n v="11982.92"/>
    <m/>
    <n v="200"/>
    <m/>
    <n v="1195"/>
    <m/>
    <m/>
    <m/>
    <m/>
    <m/>
    <m/>
    <m/>
    <m/>
    <m/>
    <m/>
    <m/>
    <m/>
    <m/>
    <m/>
  </r>
  <r>
    <x v="5"/>
    <x v="4"/>
    <s v="COLCHÃO M.E."/>
    <s v="NADA"/>
    <x v="43"/>
    <m/>
    <s v="PERU "/>
    <n v="62736"/>
    <n v="4684"/>
    <s v="3570001 TP ML 0071071 200G 2,10L DV U"/>
    <m/>
    <m/>
    <m/>
    <m/>
    <m/>
    <m/>
    <m/>
    <n v="11.040969"/>
    <n v="10477.879999999999"/>
    <m/>
    <n v="200"/>
    <m/>
    <n v="949"/>
    <m/>
    <m/>
    <m/>
    <m/>
    <m/>
    <m/>
    <m/>
    <m/>
    <m/>
    <m/>
    <m/>
    <m/>
    <m/>
    <m/>
  </r>
  <r>
    <x v="5"/>
    <x v="4"/>
    <s v="COLCHÃO M.E."/>
    <s v="NADA"/>
    <x v="43"/>
    <m/>
    <s v="PERU "/>
    <n v="62736"/>
    <n v="4689"/>
    <s v="3570006 TP ML 0262041 200G 2,10L DV U"/>
    <m/>
    <m/>
    <m/>
    <m/>
    <m/>
    <m/>
    <m/>
    <n v="11.040975"/>
    <n v="4416.3900000000003"/>
    <m/>
    <n v="200"/>
    <m/>
    <n v="400"/>
    <m/>
    <m/>
    <m/>
    <m/>
    <m/>
    <m/>
    <m/>
    <m/>
    <m/>
    <m/>
    <m/>
    <m/>
    <m/>
    <m/>
  </r>
  <r>
    <x v="5"/>
    <x v="4"/>
    <s v="COLCHÃO M.E."/>
    <s v="NADA"/>
    <x v="43"/>
    <m/>
    <s v="PERU "/>
    <n v="62736"/>
    <n v="4688"/>
    <s v="3570005 TP ML 0080081 200G 2,10L DV U"/>
    <m/>
    <m/>
    <m/>
    <m/>
    <m/>
    <m/>
    <m/>
    <n v="11.040967"/>
    <n v="14264.93"/>
    <m/>
    <n v="200"/>
    <m/>
    <n v="1292"/>
    <m/>
    <m/>
    <m/>
    <m/>
    <m/>
    <m/>
    <m/>
    <m/>
    <m/>
    <m/>
    <m/>
    <m/>
    <m/>
    <m/>
  </r>
  <r>
    <x v="5"/>
    <x v="4"/>
    <s v="COLCHÃO M.E."/>
    <s v="NADA"/>
    <x v="43"/>
    <m/>
    <s v="PERU "/>
    <n v="62736"/>
    <n v="4687"/>
    <s v="3570004 TP ML 0074201 200G 2,10L DV U"/>
    <m/>
    <m/>
    <m/>
    <m/>
    <m/>
    <m/>
    <m/>
    <n v="11.040967"/>
    <n v="14044.11"/>
    <m/>
    <n v="200"/>
    <m/>
    <n v="1272"/>
    <m/>
    <m/>
    <m/>
    <m/>
    <m/>
    <m/>
    <m/>
    <m/>
    <m/>
    <m/>
    <m/>
    <m/>
    <m/>
    <m/>
  </r>
  <r>
    <x v="5"/>
    <x v="4"/>
    <s v="COLCHÃO M.E."/>
    <s v="NADA"/>
    <x v="43"/>
    <m/>
    <s v="PERU "/>
    <n v="62736"/>
    <n v="4686"/>
    <s v="3570003 TP ML 0073101 200G 2,10L DV U"/>
    <m/>
    <m/>
    <m/>
    <m/>
    <m/>
    <m/>
    <m/>
    <n v="11.040969"/>
    <n v="15893.21"/>
    <m/>
    <n v="200"/>
    <m/>
    <n v="1439.4760000000001"/>
    <m/>
    <m/>
    <m/>
    <m/>
    <m/>
    <m/>
    <m/>
    <m/>
    <m/>
    <m/>
    <m/>
    <m/>
    <m/>
    <m/>
  </r>
  <r>
    <x v="5"/>
    <x v="4"/>
    <s v="COLCHÃO M.E."/>
    <s v="NADA"/>
    <x v="43"/>
    <m/>
    <s v="PERU "/>
    <n v="62736"/>
    <n v="4685"/>
    <s v="3570002 TP ML 0072101 200G 2,10L DV U"/>
    <m/>
    <m/>
    <m/>
    <m/>
    <m/>
    <m/>
    <m/>
    <n v="11.040965"/>
    <n v="12354.84"/>
    <m/>
    <n v="200"/>
    <m/>
    <n v="1119"/>
    <m/>
    <m/>
    <m/>
    <m/>
    <m/>
    <m/>
    <m/>
    <m/>
    <m/>
    <m/>
    <m/>
    <m/>
    <m/>
    <m/>
  </r>
  <r>
    <x v="5"/>
    <x v="4"/>
    <s v="COLCHÃO M.E."/>
    <s v="NADA"/>
    <x v="21"/>
    <m/>
    <s v="PARAGUAI"/>
    <n v="62739"/>
    <n v="1757"/>
    <s v="3200004 TP ML IMPERAL BLACK 350G 2,10L DIVERSAS U"/>
    <m/>
    <m/>
    <m/>
    <m/>
    <m/>
    <m/>
    <m/>
    <n v="18.454946"/>
    <n v="37758.82"/>
    <m/>
    <n v="350"/>
    <m/>
    <n v="2046"/>
    <m/>
    <m/>
    <m/>
    <m/>
    <m/>
    <m/>
    <m/>
    <m/>
    <m/>
    <m/>
    <m/>
    <m/>
    <m/>
    <m/>
  </r>
  <r>
    <x v="5"/>
    <x v="4"/>
    <s v="COLCHÃO M.E."/>
    <s v="NADA"/>
    <x v="21"/>
    <m/>
    <s v="PARAGUAI"/>
    <n v="62739"/>
    <n v="1761"/>
    <s v="3200008 TP ML IMPULSE GRAY 280G 2,10L DIVERSAS U"/>
    <m/>
    <m/>
    <m/>
    <m/>
    <m/>
    <m/>
    <m/>
    <n v="15.308002"/>
    <n v="13027.11"/>
    <m/>
    <n v="280"/>
    <m/>
    <n v="851"/>
    <m/>
    <m/>
    <m/>
    <m/>
    <m/>
    <m/>
    <m/>
    <m/>
    <m/>
    <m/>
    <m/>
    <m/>
    <m/>
    <m/>
  </r>
  <r>
    <x v="5"/>
    <x v="4"/>
    <s v="COLCHÃO M.E."/>
    <s v="NADA"/>
    <x v="21"/>
    <m/>
    <s v="PARAGUAI"/>
    <n v="62739"/>
    <n v="1979"/>
    <s v="3200010 TP ML WAVES LINO 320G 2,20L DIVERSAS U"/>
    <m/>
    <m/>
    <m/>
    <m/>
    <m/>
    <m/>
    <m/>
    <n v="25.335549"/>
    <n v="48948.28"/>
    <m/>
    <n v="320"/>
    <m/>
    <n v="1932"/>
    <m/>
    <m/>
    <m/>
    <m/>
    <m/>
    <m/>
    <m/>
    <m/>
    <m/>
    <m/>
    <m/>
    <m/>
    <m/>
    <m/>
  </r>
  <r>
    <x v="5"/>
    <x v="4"/>
    <s v="COLCHÃO M.E."/>
    <s v="NADA"/>
    <x v="21"/>
    <m/>
    <s v="PARAGUAI"/>
    <n v="62739"/>
    <n v="3701"/>
    <s v="3200014 TP ML A09970 160G 2,10L DV U"/>
    <m/>
    <m/>
    <m/>
    <m/>
    <m/>
    <m/>
    <m/>
    <n v="7.6806789999999996"/>
    <n v="4301.18"/>
    <m/>
    <n v="180"/>
    <m/>
    <n v="560"/>
    <m/>
    <m/>
    <m/>
    <m/>
    <m/>
    <m/>
    <m/>
    <m/>
    <m/>
    <m/>
    <m/>
    <m/>
    <m/>
    <m/>
  </r>
  <r>
    <x v="6"/>
    <x v="4"/>
    <s v="COLCHÃO M.E."/>
    <s v="CONEXAO MALHAS E DESENVOLVIMENTO LTDA"/>
    <x v="1"/>
    <m/>
    <s v="URUGUAI"/>
    <n v="62743"/>
    <n v="2497"/>
    <s v="2540029 TP LUNA 230G 2,20L 0070001 DIVERSAS U"/>
    <m/>
    <m/>
    <m/>
    <m/>
    <m/>
    <m/>
    <m/>
    <n v="12.801119999999999"/>
    <n v="9255.2099999999991"/>
    <m/>
    <n v="230"/>
    <m/>
    <n v="723"/>
    <m/>
    <m/>
    <m/>
    <m/>
    <m/>
    <m/>
    <m/>
    <m/>
    <m/>
    <m/>
    <m/>
    <m/>
    <m/>
    <m/>
  </r>
  <r>
    <x v="6"/>
    <x v="4"/>
    <s v="COLCHÃO M.E."/>
    <s v="CONEXAO MALHAS E DESENVOLVIMENTO LTDA"/>
    <x v="1"/>
    <m/>
    <s v="URUGUAI"/>
    <n v="62743"/>
    <n v="3009"/>
    <s v="2540014 TP ML A05171 300G 2,20L DIVERSAS U"/>
    <m/>
    <m/>
    <m/>
    <m/>
    <m/>
    <m/>
    <m/>
    <n v="22.935344000000001"/>
    <n v="13990.56"/>
    <m/>
    <n v="300"/>
    <m/>
    <n v="610"/>
    <m/>
    <m/>
    <m/>
    <m/>
    <m/>
    <m/>
    <m/>
    <m/>
    <m/>
    <m/>
    <m/>
    <m/>
    <m/>
    <m/>
  </r>
  <r>
    <x v="6"/>
    <x v="4"/>
    <s v="COLCHÃO M.E."/>
    <s v="CONEXAO MALHAS E DESENVOLVIMENTO LTDA"/>
    <x v="1"/>
    <m/>
    <s v="URUGUAI"/>
    <n v="62743"/>
    <n v="3589"/>
    <s v="2540033 TP ML 132012 340G 2,20L DV U"/>
    <m/>
    <m/>
    <m/>
    <m/>
    <m/>
    <m/>
    <m/>
    <n v="22.401956999999999"/>
    <n v="24149.31"/>
    <m/>
    <n v="340"/>
    <m/>
    <n v="1078"/>
    <m/>
    <m/>
    <m/>
    <m/>
    <m/>
    <m/>
    <m/>
    <m/>
    <m/>
    <m/>
    <m/>
    <m/>
    <m/>
    <m/>
  </r>
  <r>
    <x v="6"/>
    <x v="4"/>
    <s v="COLCHÃO M.E."/>
    <s v="CONEXAO MALHAS E DESENVOLVIMENTO LTDA"/>
    <x v="1"/>
    <m/>
    <s v="URUGUAI"/>
    <n v="62743"/>
    <n v="3711"/>
    <s v="2540034 TP ML 237005 260G 2,20L DV U"/>
    <m/>
    <m/>
    <m/>
    <m/>
    <m/>
    <m/>
    <m/>
    <n v="13.3345"/>
    <n v="49577.67"/>
    <m/>
    <n v="260"/>
    <m/>
    <n v="3718"/>
    <m/>
    <m/>
    <m/>
    <m/>
    <m/>
    <m/>
    <m/>
    <m/>
    <m/>
    <m/>
    <m/>
    <m/>
    <m/>
    <m/>
  </r>
  <r>
    <x v="6"/>
    <x v="4"/>
    <s v="COLCHÃO M.E."/>
    <s v="CONEXAO MALHAS E DESENVOLVIMENTO LTDA"/>
    <x v="1"/>
    <m/>
    <s v="URUGUAI"/>
    <n v="62891"/>
    <n v="2053"/>
    <s v="2540025 TP ML 0069001 - 300G 2,20L CONTE DIVERSAS U"/>
    <m/>
    <m/>
    <m/>
    <m/>
    <m/>
    <m/>
    <m/>
    <n v="18.444652999999999"/>
    <n v="9037.8799999999992"/>
    <m/>
    <n v="300"/>
    <m/>
    <n v="490"/>
    <m/>
    <m/>
    <m/>
    <m/>
    <m/>
    <m/>
    <m/>
    <m/>
    <m/>
    <m/>
    <m/>
    <m/>
    <m/>
    <m/>
  </r>
  <r>
    <x v="6"/>
    <x v="4"/>
    <s v="COLCHÃO M.E."/>
    <s v="CONEXAO MALHAS E DESENVOLVIMENTO LTDA"/>
    <x v="1"/>
    <m/>
    <s v="URUGUAI"/>
    <n v="62891"/>
    <n v="2054"/>
    <s v="2540026 TP ML 0072051 - 280G 2,20L DEGRA DIVERSAS U"/>
    <m/>
    <m/>
    <m/>
    <m/>
    <m/>
    <m/>
    <m/>
    <n v="16.871437"/>
    <n v="24649.17"/>
    <m/>
    <n v="280"/>
    <m/>
    <n v="1461"/>
    <m/>
    <m/>
    <m/>
    <m/>
    <m/>
    <m/>
    <m/>
    <m/>
    <m/>
    <m/>
    <m/>
    <m/>
    <m/>
    <m/>
  </r>
  <r>
    <x v="6"/>
    <x v="4"/>
    <s v="COLCHÃO M.E."/>
    <s v="CONEXAO MALHAS E DESENVOLVIMENTO LTDA"/>
    <x v="1"/>
    <m/>
    <s v="URUGUAI"/>
    <n v="62891"/>
    <n v="3009"/>
    <s v="2540014 TP ML A05171 300G 2,20L DIVERSAS U"/>
    <m/>
    <m/>
    <m/>
    <m/>
    <m/>
    <m/>
    <m/>
    <n v="23.327064"/>
    <n v="19548.080000000002"/>
    <m/>
    <n v="300"/>
    <m/>
    <n v="838"/>
    <m/>
    <m/>
    <m/>
    <m/>
    <m/>
    <m/>
    <m/>
    <m/>
    <m/>
    <m/>
    <m/>
    <m/>
    <m/>
    <m/>
  </r>
  <r>
    <x v="6"/>
    <x v="4"/>
    <s v="COLCHÃO M.E."/>
    <s v="CONEXAO MALHAS E DESENVOLVIMENTO LTDA"/>
    <x v="1"/>
    <m/>
    <s v="URUGUAI"/>
    <n v="62891"/>
    <n v="3589"/>
    <s v="2540033 TP ML 132012 340G 2,20L DV U"/>
    <m/>
    <m/>
    <m/>
    <m/>
    <m/>
    <m/>
    <m/>
    <n v="22.784576000000001"/>
    <n v="20961.810000000001"/>
    <m/>
    <n v="340"/>
    <m/>
    <n v="920"/>
    <m/>
    <m/>
    <m/>
    <m/>
    <m/>
    <m/>
    <m/>
    <m/>
    <m/>
    <m/>
    <m/>
    <m/>
    <m/>
    <m/>
  </r>
  <r>
    <x v="6"/>
    <x v="4"/>
    <s v="COLCHÃO M.E."/>
    <s v="CARLOS FIDENCIO D AVALOS RUIZ JUNIOR 34496952823"/>
    <x v="18"/>
    <m/>
    <s v="URUGUAI"/>
    <n v="62892"/>
    <n v="4707"/>
    <s v="3030072 TP ML 0149003 180G 2,10L DV U"/>
    <m/>
    <m/>
    <m/>
    <m/>
    <m/>
    <m/>
    <m/>
    <n v="9.2223299999999995"/>
    <n v="33890.31"/>
    <m/>
    <n v="180"/>
    <m/>
    <n v="3674.81"/>
    <m/>
    <m/>
    <m/>
    <m/>
    <m/>
    <m/>
    <m/>
    <m/>
    <m/>
    <m/>
    <m/>
    <m/>
    <m/>
    <m/>
  </r>
  <r>
    <x v="6"/>
    <x v="4"/>
    <s v="COLCHÃO M.E."/>
    <s v="CARLOS FIDENCIO D AVALOS RUIZ JUNIOR 34496952823"/>
    <x v="18"/>
    <m/>
    <s v="URUGUAI"/>
    <n v="62892"/>
    <n v="3135"/>
    <s v="3030040 PL 160G 2,10L NEGRO DV U"/>
    <m/>
    <m/>
    <m/>
    <m/>
    <m/>
    <m/>
    <m/>
    <n v="8.6798450000000003"/>
    <n v="3914.61"/>
    <m/>
    <n v="160"/>
    <m/>
    <n v="451"/>
    <m/>
    <m/>
    <m/>
    <m/>
    <m/>
    <m/>
    <m/>
    <m/>
    <m/>
    <m/>
    <m/>
    <m/>
    <m/>
    <m/>
  </r>
  <r>
    <x v="6"/>
    <x v="4"/>
    <s v="COLCHÃO M.E."/>
    <s v="CARLOS FIDENCIO D AVALOS RUIZ JUNIOR 34496952823"/>
    <x v="18"/>
    <m/>
    <s v="URUGUAI"/>
    <n v="62892"/>
    <n v="4325"/>
    <s v="3030038 PL 160G 2,10L GRIS ESCURO DV U"/>
    <m/>
    <m/>
    <m/>
    <m/>
    <m/>
    <m/>
    <m/>
    <n v="10.307313000000001"/>
    <n v="4947.51"/>
    <m/>
    <n v="160"/>
    <m/>
    <n v="480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95"/>
    <s v="3570012 TP ML 0211013 180G 2,10L DV U"/>
    <m/>
    <m/>
    <m/>
    <m/>
    <m/>
    <m/>
    <m/>
    <n v="8.5207999999999995"/>
    <n v="1704.16"/>
    <m/>
    <n v="180"/>
    <m/>
    <n v="200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94"/>
    <s v="3570011 TP ML 0388043 180G 2,10L DV U"/>
    <m/>
    <m/>
    <m/>
    <m/>
    <m/>
    <m/>
    <m/>
    <n v="9.1140000000000008"/>
    <n v="12850.74"/>
    <m/>
    <n v="180"/>
    <m/>
    <n v="1410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95"/>
    <s v="3570012 TP ML 0211013 180G 2,10L DV U"/>
    <m/>
    <m/>
    <m/>
    <m/>
    <m/>
    <m/>
    <m/>
    <n v="8.5207789999999992"/>
    <n v="11153.7"/>
    <m/>
    <n v="180"/>
    <m/>
    <n v="1309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93"/>
    <s v="3570010 TP ML 0473003 180G 2,10L DV U"/>
    <m/>
    <m/>
    <m/>
    <m/>
    <m/>
    <m/>
    <m/>
    <n v="9.1139989999999997"/>
    <n v="13607.2"/>
    <m/>
    <n v="180"/>
    <m/>
    <n v="1493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92"/>
    <s v="3570009 TP ML A10344 200G 2,10L DV U"/>
    <m/>
    <m/>
    <m/>
    <m/>
    <m/>
    <m/>
    <m/>
    <n v="10.138648"/>
    <n v="3224.09"/>
    <m/>
    <n v="200"/>
    <m/>
    <n v="318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92"/>
    <s v="3570009 TP ML A10344 200G 2,10L DV U"/>
    <m/>
    <m/>
    <m/>
    <m/>
    <m/>
    <m/>
    <m/>
    <n v="10.13875"/>
    <n v="405.55"/>
    <m/>
    <n v="200"/>
    <m/>
    <n v="40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96"/>
    <s v="3570013 TP ML 0416071 200G 2,10L DV U"/>
    <m/>
    <m/>
    <m/>
    <m/>
    <m/>
    <m/>
    <m/>
    <n v="9.8150879999999994"/>
    <n v="559.46"/>
    <m/>
    <n v="200"/>
    <m/>
    <n v="57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96"/>
    <s v="3570013 TP ML 0416071 200G 2,10L DV U"/>
    <m/>
    <m/>
    <m/>
    <m/>
    <m/>
    <m/>
    <m/>
    <n v="9.8150870000000001"/>
    <n v="2816.93"/>
    <m/>
    <n v="200"/>
    <m/>
    <n v="287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97"/>
    <s v="3570014 TP ML 0411041 200G 2,10L DV U"/>
    <m/>
    <m/>
    <m/>
    <m/>
    <m/>
    <m/>
    <m/>
    <n v="9.8150619999999993"/>
    <n v="2365.4299999999998"/>
    <m/>
    <n v="200"/>
    <m/>
    <n v="241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97"/>
    <s v="3570014 TP ML 0411041 200G 2,10L DV U"/>
    <m/>
    <m/>
    <m/>
    <m/>
    <m/>
    <m/>
    <m/>
    <n v="9.8150700000000004"/>
    <n v="4200.8500000000004"/>
    <m/>
    <n v="200"/>
    <m/>
    <n v="428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98"/>
    <s v="3570015 TP ML 0399031 200G 2,10L DV U"/>
    <m/>
    <m/>
    <m/>
    <m/>
    <m/>
    <m/>
    <m/>
    <n v="9.8150879999999994"/>
    <n v="1118.92"/>
    <m/>
    <n v="200"/>
    <m/>
    <n v="114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98"/>
    <s v="3570015 TP ML 0399031 200G 2,10L DV U"/>
    <m/>
    <m/>
    <m/>
    <m/>
    <m/>
    <m/>
    <m/>
    <n v="9.8150820000000003"/>
    <n v="3572.69"/>
    <m/>
    <n v="200"/>
    <m/>
    <n v="364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90"/>
    <s v="3570007 TP ML 0270081 200G 2,10L DV U"/>
    <m/>
    <m/>
    <m/>
    <m/>
    <m/>
    <m/>
    <m/>
    <n v="11.163304"/>
    <n v="3750.87"/>
    <m/>
    <n v="200"/>
    <m/>
    <n v="336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88"/>
    <s v="3570005 TP ML 0080081 200G 2,10L DV U"/>
    <m/>
    <m/>
    <m/>
    <m/>
    <m/>
    <m/>
    <m/>
    <n v="11.163409"/>
    <n v="491.19"/>
    <m/>
    <n v="200"/>
    <m/>
    <n v="44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84"/>
    <s v="3570001 TP ML 0071071 200G 2,10L DV U"/>
    <m/>
    <m/>
    <m/>
    <m/>
    <m/>
    <m/>
    <m/>
    <n v="11.163299"/>
    <n v="1082.8399999999999"/>
    <m/>
    <n v="200"/>
    <m/>
    <n v="97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84"/>
    <s v="3570001 TP ML 0071071 200G 2,10L DV U"/>
    <m/>
    <m/>
    <m/>
    <m/>
    <m/>
    <m/>
    <m/>
    <n v="11.163299"/>
    <n v="4364.8500000000004"/>
    <m/>
    <n v="200"/>
    <m/>
    <n v="391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85"/>
    <s v="3570002 TP ML 0072101 200G 2,10L DV U"/>
    <m/>
    <m/>
    <m/>
    <m/>
    <m/>
    <m/>
    <m/>
    <n v="11.163304999999999"/>
    <n v="5202.1000000000004"/>
    <m/>
    <n v="200"/>
    <m/>
    <n v="466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86"/>
    <s v="3570003 TP ML 0073101 200G 2,10L DV U"/>
    <m/>
    <m/>
    <m/>
    <m/>
    <m/>
    <m/>
    <m/>
    <n v="11.163333"/>
    <n v="602.82000000000005"/>
    <m/>
    <n v="200"/>
    <m/>
    <n v="54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87"/>
    <s v="3570004 TP ML 0074201 200G 2,10L DV U"/>
    <m/>
    <m/>
    <m/>
    <m/>
    <m/>
    <m/>
    <m/>
    <n v="11.163285999999999"/>
    <n v="2344.29"/>
    <m/>
    <n v="200"/>
    <m/>
    <n v="210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91"/>
    <s v="3570008 TP ML 0411051 200G 2,10L DV U"/>
    <m/>
    <m/>
    <m/>
    <m/>
    <m/>
    <m/>
    <m/>
    <n v="11.163304999999999"/>
    <n v="14289.03"/>
    <m/>
    <n v="200"/>
    <m/>
    <n v="1280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88"/>
    <s v="3570005 TP ML 0080081 200G 2,10L DV U"/>
    <m/>
    <m/>
    <m/>
    <m/>
    <m/>
    <m/>
    <m/>
    <n v="11.163321"/>
    <n v="2924.79"/>
    <m/>
    <n v="200"/>
    <m/>
    <n v="262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89"/>
    <s v="3570006 TP ML 0262041 200G 2,10L DV U"/>
    <m/>
    <m/>
    <m/>
    <m/>
    <m/>
    <m/>
    <m/>
    <n v="11.163290999999999"/>
    <n v="2612.21"/>
    <m/>
    <n v="200"/>
    <m/>
    <n v="234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89"/>
    <s v="3570006 TP ML 0262041 200G 2,10L DV U"/>
    <m/>
    <m/>
    <m/>
    <m/>
    <m/>
    <m/>
    <m/>
    <n v="11.163302"/>
    <n v="10616.3"/>
    <m/>
    <n v="200"/>
    <m/>
    <n v="951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90"/>
    <s v="3570007 TP ML 0270081 200G 2,10L DV U"/>
    <m/>
    <m/>
    <m/>
    <m/>
    <m/>
    <m/>
    <m/>
    <n v="11.163304999999999"/>
    <n v="1317.27"/>
    <m/>
    <n v="200"/>
    <m/>
    <n v="118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097"/>
    <n v="4691"/>
    <s v="3570008 TP ML 0411051 200G 2,10L DV U"/>
    <m/>
    <m/>
    <m/>
    <m/>
    <m/>
    <m/>
    <m/>
    <n v="11.16329"/>
    <n v="3427.13"/>
    <m/>
    <n v="200"/>
    <m/>
    <n v="307"/>
    <m/>
    <m/>
    <m/>
    <m/>
    <m/>
    <m/>
    <m/>
    <m/>
    <m/>
    <m/>
    <m/>
    <m/>
    <m/>
    <m/>
  </r>
  <r>
    <x v="6"/>
    <x v="4"/>
    <s v="COLCHÃO M.E."/>
    <s v="CARLOS FIDENCIO D AVALOS RUIZ JUNIOR 34496952823"/>
    <x v="38"/>
    <m/>
    <s v="CHILE"/>
    <n v="63139"/>
    <n v="1912"/>
    <s v="DIFERENCA DE REALINHAMENTO DE PRECO COMPLEMENTO U"/>
    <m/>
    <m/>
    <m/>
    <m/>
    <m/>
    <m/>
    <m/>
    <n v="3287.13"/>
    <n v="3287.13"/>
    <m/>
    <n v="280"/>
    <m/>
    <n v="1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143"/>
    <n v="4693"/>
    <s v="3570010 TP ML 0473003 180G 2,10L DV U"/>
    <m/>
    <m/>
    <m/>
    <m/>
    <m/>
    <m/>
    <m/>
    <n v="9.2113460000000007"/>
    <n v="14167.05"/>
    <m/>
    <n v="180"/>
    <m/>
    <n v="1538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143"/>
    <n v="4694"/>
    <s v="3570011 TP ML 0388043 180G 2,10L DV U"/>
    <m/>
    <m/>
    <m/>
    <m/>
    <m/>
    <m/>
    <m/>
    <n v="9.2113479999999992"/>
    <n v="12988"/>
    <m/>
    <n v="180"/>
    <m/>
    <n v="1410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143"/>
    <n v="4695"/>
    <s v="3570012 TP ML 0211013 180G 2,10L DV U"/>
    <m/>
    <m/>
    <m/>
    <m/>
    <m/>
    <m/>
    <m/>
    <n v="8.6117889999999999"/>
    <n v="12995.19"/>
    <m/>
    <n v="180"/>
    <m/>
    <n v="1509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143"/>
    <n v="4692"/>
    <s v="3570009 TP ML A10344 200G 2,10L DV U"/>
    <m/>
    <m/>
    <m/>
    <m/>
    <m/>
    <m/>
    <m/>
    <n v="10.246941"/>
    <n v="15913.5"/>
    <m/>
    <n v="200"/>
    <m/>
    <n v="1553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143"/>
    <n v="4696"/>
    <s v="3570013 TP ML 0416071 200G 2,10L DV U"/>
    <m/>
    <m/>
    <m/>
    <m/>
    <m/>
    <m/>
    <m/>
    <n v="9.9199079999999995"/>
    <n v="15018.74"/>
    <m/>
    <n v="200"/>
    <m/>
    <n v="1514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143"/>
    <n v="4697"/>
    <s v="3570014 TP ML 0411041 200G 2,10L DV U"/>
    <m/>
    <m/>
    <m/>
    <m/>
    <m/>
    <m/>
    <m/>
    <n v="9.9199120000000001"/>
    <n v="15703.22"/>
    <m/>
    <n v="200"/>
    <m/>
    <n v="1583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143"/>
    <n v="4698"/>
    <s v="3570015 TP ML 0399031 200G 2,10L DV U"/>
    <m/>
    <m/>
    <m/>
    <m/>
    <m/>
    <m/>
    <m/>
    <n v="9.9199079999999995"/>
    <n v="15048.5"/>
    <m/>
    <n v="200"/>
    <m/>
    <n v="1517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143"/>
    <n v="4687"/>
    <s v="3570004 TP ML 0074201 200G 2,10L DV U"/>
    <m/>
    <m/>
    <m/>
    <m/>
    <m/>
    <m/>
    <m/>
    <n v="11.282537"/>
    <n v="16720.72"/>
    <m/>
    <n v="200"/>
    <m/>
    <n v="1482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143"/>
    <n v="4691"/>
    <s v="3570008 TP ML 0411051 200G 2,10L DV U"/>
    <m/>
    <m/>
    <m/>
    <m/>
    <m/>
    <m/>
    <m/>
    <n v="11.282533000000001"/>
    <n v="17905.38"/>
    <m/>
    <n v="200"/>
    <m/>
    <n v="1587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143"/>
    <n v="4690"/>
    <s v="3570007 TP ML 0270081 200G 2,10L DV U"/>
    <m/>
    <m/>
    <m/>
    <m/>
    <m/>
    <m/>
    <m/>
    <n v="11.282537"/>
    <n v="17747.43"/>
    <m/>
    <n v="200"/>
    <m/>
    <n v="1573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143"/>
    <n v="4689"/>
    <s v="3570006 TP ML 0262041 200G 2,10L DV U"/>
    <m/>
    <m/>
    <m/>
    <m/>
    <m/>
    <m/>
    <m/>
    <n v="11.282536"/>
    <n v="17882.82"/>
    <m/>
    <n v="200"/>
    <m/>
    <n v="1585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143"/>
    <n v="4688"/>
    <s v="3570005 TP ML 0080081 200G 2,10L DV U"/>
    <m/>
    <m/>
    <m/>
    <m/>
    <m/>
    <m/>
    <m/>
    <n v="11.282534"/>
    <n v="18029.490000000002"/>
    <m/>
    <n v="200"/>
    <m/>
    <n v="1598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143"/>
    <n v="4686"/>
    <s v="3570003 TP ML 0073101 200G 2,10L DV U"/>
    <m/>
    <m/>
    <m/>
    <m/>
    <m/>
    <m/>
    <m/>
    <n v="11.282534999999999"/>
    <n v="16850.240000000002"/>
    <m/>
    <n v="200"/>
    <m/>
    <n v="1493.48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143"/>
    <n v="4685"/>
    <s v="3570002 TP ML 0072101 200G 2,10L DV U"/>
    <m/>
    <m/>
    <m/>
    <m/>
    <m/>
    <m/>
    <m/>
    <n v="11.282536"/>
    <n v="17882.82"/>
    <m/>
    <n v="200"/>
    <m/>
    <n v="1585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s v="PERU"/>
    <n v="63143"/>
    <n v="4684"/>
    <s v="3570001 TP ML 0071071 200G 2,10L DV U"/>
    <m/>
    <m/>
    <m/>
    <m/>
    <m/>
    <m/>
    <m/>
    <n v="11.282533000000001"/>
    <n v="16213"/>
    <m/>
    <n v="200"/>
    <m/>
    <n v="1437"/>
    <m/>
    <m/>
    <m/>
    <m/>
    <m/>
    <m/>
    <m/>
    <m/>
    <m/>
    <m/>
    <m/>
    <m/>
    <m/>
    <m/>
  </r>
  <r>
    <x v="6"/>
    <x v="4"/>
    <s v="COLCHÃO M.E."/>
    <s v="CARLOS FIDENCIO D AVALOS RUIZ JUNIOR 34496952823"/>
    <x v="18"/>
    <m/>
    <s v="URUGUAI"/>
    <n v="63209"/>
    <n v="3504"/>
    <s v="3030060 TP ML A09956 180G 2,10L DV U"/>
    <m/>
    <m/>
    <m/>
    <m/>
    <m/>
    <m/>
    <m/>
    <n v="8.2924419999999994"/>
    <n v="4992.05"/>
    <m/>
    <n v="180"/>
    <m/>
    <n v="602"/>
    <m/>
    <m/>
    <m/>
    <m/>
    <m/>
    <m/>
    <m/>
    <m/>
    <m/>
    <m/>
    <m/>
    <m/>
    <m/>
    <m/>
  </r>
  <r>
    <x v="6"/>
    <x v="4"/>
    <s v="COLCHÃO M.E."/>
    <s v="CARLOS FIDENCIO D AVALOS RUIZ JUNIOR 34496952823"/>
    <x v="18"/>
    <m/>
    <s v="URUGUAI"/>
    <n v="63209"/>
    <n v="4705"/>
    <s v="3030070 TP ML 0253003 180G 2,10L DV U"/>
    <m/>
    <m/>
    <m/>
    <m/>
    <m/>
    <m/>
    <m/>
    <n v="9.3428290000000001"/>
    <n v="12351.22"/>
    <m/>
    <n v="180"/>
    <m/>
    <n v="1322"/>
    <m/>
    <m/>
    <m/>
    <m/>
    <m/>
    <m/>
    <m/>
    <m/>
    <m/>
    <m/>
    <m/>
    <m/>
    <m/>
    <m/>
  </r>
  <r>
    <x v="6"/>
    <x v="4"/>
    <s v="COLCHÃO M.E."/>
    <s v="CARLOS FIDENCIO D AVALOS RUIZ JUNIOR 34496952823"/>
    <x v="18"/>
    <m/>
    <s v="URUGUAI"/>
    <n v="63209"/>
    <n v="4706"/>
    <s v="3030071 TP ML 0071013 180G 2,10L DV U"/>
    <m/>
    <m/>
    <m/>
    <m/>
    <m/>
    <m/>
    <m/>
    <n v="9.3981089999999998"/>
    <n v="14708.04"/>
    <m/>
    <n v="180"/>
    <m/>
    <n v="1565"/>
    <m/>
    <m/>
    <m/>
    <m/>
    <m/>
    <m/>
    <m/>
    <m/>
    <m/>
    <m/>
    <m/>
    <m/>
    <m/>
    <m/>
  </r>
  <r>
    <x v="6"/>
    <x v="4"/>
    <s v="COLCHÃO M.E."/>
    <s v="CARLOS FIDENCIO D AVALOS RUIZ JUNIOR 34496952823"/>
    <x v="44"/>
    <m/>
    <s v="BOLIVIA"/>
    <n v="63243"/>
    <n v="4745"/>
    <s v="3580003 TP ML 0245005 260G 2,20L DV U"/>
    <m/>
    <m/>
    <m/>
    <m/>
    <m/>
    <m/>
    <m/>
    <n v="16.548006999999998"/>
    <n v="8969.02"/>
    <m/>
    <n v="260"/>
    <m/>
    <n v="542"/>
    <m/>
    <m/>
    <m/>
    <m/>
    <m/>
    <m/>
    <m/>
    <m/>
    <m/>
    <m/>
    <m/>
    <m/>
    <m/>
    <m/>
  </r>
  <r>
    <x v="6"/>
    <x v="4"/>
    <s v="COLCHÃO M.E."/>
    <s v="CARLOS FIDENCIO D AVALOS RUIZ JUNIOR 34496952823"/>
    <x v="44"/>
    <m/>
    <s v="BOLIVIA"/>
    <n v="63243"/>
    <n v="4746"/>
    <s v="3580004 TP ML 0524004 440G 2,20L DV U"/>
    <m/>
    <m/>
    <m/>
    <m/>
    <m/>
    <m/>
    <m/>
    <n v="40.652915"/>
    <n v="12408.53"/>
    <m/>
    <n v="440"/>
    <m/>
    <n v="305.23099999999999"/>
    <m/>
    <m/>
    <m/>
    <m/>
    <m/>
    <m/>
    <m/>
    <m/>
    <m/>
    <m/>
    <m/>
    <m/>
    <m/>
    <m/>
  </r>
  <r>
    <x v="6"/>
    <x v="4"/>
    <s v="COLCHÃO M.E."/>
    <s v="CARLOS FIDENCIO D AVALOS RUIZ JUNIOR 34496952823"/>
    <x v="44"/>
    <m/>
    <s v="BOLIVIA"/>
    <n v="63243"/>
    <n v="4744"/>
    <s v="3580002 TP ML 0153011 240G 2,20L DV U"/>
    <m/>
    <m/>
    <m/>
    <m/>
    <m/>
    <m/>
    <m/>
    <n v="12.300684"/>
    <n v="11870.16"/>
    <m/>
    <n v="240"/>
    <m/>
    <n v="965"/>
    <m/>
    <m/>
    <m/>
    <m/>
    <m/>
    <m/>
    <m/>
    <m/>
    <m/>
    <m/>
    <m/>
    <m/>
    <m/>
    <m/>
  </r>
  <r>
    <x v="6"/>
    <x v="4"/>
    <s v="COLCHÃO M.E."/>
    <s v="CARLOS FIDENCIO D AVALOS RUIZ JUNIOR 34496952823"/>
    <x v="44"/>
    <m/>
    <s v="BOLIVIA"/>
    <n v="63243"/>
    <n v="4743"/>
    <s v="3580001 TP ML A10390 220G 2,10L DV U"/>
    <m/>
    <m/>
    <m/>
    <m/>
    <m/>
    <m/>
    <m/>
    <n v="10.701036999999999"/>
    <n v="11450.11"/>
    <m/>
    <n v="220"/>
    <m/>
    <n v="1070"/>
    <m/>
    <m/>
    <m/>
    <m/>
    <m/>
    <m/>
    <m/>
    <m/>
    <m/>
    <m/>
    <m/>
    <m/>
    <m/>
    <m/>
  </r>
  <r>
    <x v="6"/>
    <x v="4"/>
    <s v="COLCHÃO M.E."/>
    <s v="CARLOS FIDENCIO D AVALOS RUIZ JUNIOR 34496952823"/>
    <x v="38"/>
    <m/>
    <s v="CHILE"/>
    <n v="63248"/>
    <n v="1904"/>
    <s v="2860004-ME TP RETAS DEGRADE 450G 2,20L DIVERSAS U"/>
    <m/>
    <m/>
    <m/>
    <m/>
    <m/>
    <m/>
    <m/>
    <n v="23.718800999999999"/>
    <n v="13448.56"/>
    <m/>
    <n v="450"/>
    <m/>
    <n v="567"/>
    <m/>
    <m/>
    <m/>
    <m/>
    <m/>
    <m/>
    <m/>
    <m/>
    <m/>
    <m/>
    <m/>
    <m/>
    <m/>
    <m/>
  </r>
  <r>
    <x v="6"/>
    <x v="4"/>
    <s v="COLCHÃO M.E."/>
    <s v="CARLOS FIDENCIO D AVALOS RUIZ JUNIOR 34496952823"/>
    <x v="38"/>
    <m/>
    <s v="CHILE"/>
    <n v="63248"/>
    <n v="2536"/>
    <s v="2860012 TP ML HARMONY ME 440G 2,20L DIVERSAS U"/>
    <m/>
    <m/>
    <m/>
    <m/>
    <m/>
    <m/>
    <m/>
    <n v="35.798836000000001"/>
    <n v="16610.66"/>
    <m/>
    <n v="440"/>
    <m/>
    <n v="464"/>
    <m/>
    <m/>
    <m/>
    <m/>
    <m/>
    <m/>
    <m/>
    <m/>
    <m/>
    <m/>
    <m/>
    <m/>
    <m/>
    <m/>
  </r>
  <r>
    <x v="6"/>
    <x v="4"/>
    <s v="COLCHÃO M.E."/>
    <s v="CARLOS FIDENCIO D AVALOS RUIZ JUNIOR 34496952823"/>
    <x v="38"/>
    <m/>
    <s v="CHILE"/>
    <n v="63248"/>
    <n v="4740"/>
    <s v="2860019 TP ML 0427001 400G 2,20L DV U"/>
    <m/>
    <m/>
    <m/>
    <m/>
    <m/>
    <m/>
    <m/>
    <n v="31.827311999999999"/>
    <n v="16932.13"/>
    <m/>
    <n v="400"/>
    <m/>
    <n v="532"/>
    <m/>
    <m/>
    <m/>
    <m/>
    <m/>
    <m/>
    <m/>
    <m/>
    <m/>
    <m/>
    <m/>
    <m/>
    <m/>
    <m/>
  </r>
  <r>
    <x v="6"/>
    <x v="4"/>
    <s v="COLCHÃO M.E."/>
    <s v="CARLOS FIDENCIO D AVALOS RUIZ JUNIOR 34496952823"/>
    <x v="38"/>
    <m/>
    <s v="CHILE"/>
    <n v="63248"/>
    <n v="4741"/>
    <s v="2860020 TP ML 0414001 380G 2,20L DV U"/>
    <m/>
    <m/>
    <m/>
    <m/>
    <m/>
    <m/>
    <m/>
    <n v="27.249030999999999"/>
    <n v="12371.06"/>
    <m/>
    <n v="380"/>
    <m/>
    <n v="454"/>
    <m/>
    <m/>
    <m/>
    <m/>
    <m/>
    <m/>
    <m/>
    <m/>
    <m/>
    <m/>
    <m/>
    <m/>
    <m/>
    <m/>
  </r>
  <r>
    <x v="6"/>
    <x v="4"/>
    <s v="COLCHÃO M.E."/>
    <s v="CARLOS FIDENCIO D AVALOS RUIZ JUNIOR 34496952823"/>
    <x v="38"/>
    <m/>
    <s v="CHILE"/>
    <n v="63248"/>
    <n v="4742"/>
    <s v="2860021 TP ML 0354001 380G 2,30L DV U"/>
    <m/>
    <m/>
    <m/>
    <m/>
    <m/>
    <m/>
    <m/>
    <n v="38.99812"/>
    <n v="18875.09"/>
    <m/>
    <n v="380"/>
    <m/>
    <n v="484"/>
    <m/>
    <m/>
    <m/>
    <m/>
    <m/>
    <m/>
    <m/>
    <m/>
    <m/>
    <m/>
    <m/>
    <m/>
    <m/>
    <m/>
  </r>
  <r>
    <x v="7"/>
    <x v="5"/>
    <s v="COLCHÃO M.E."/>
    <s v="CARLOS FIDENCIO D AVALOS RUIZ JUNIOR 34496952823"/>
    <x v="9"/>
    <m/>
    <s v="CHILE"/>
    <n v="63251"/>
    <n v="1419"/>
    <s v="2810009 TP MESCLA 180G 2,20L (1122580) DIVERSAS U"/>
    <m/>
    <m/>
    <m/>
    <m/>
    <m/>
    <m/>
    <m/>
    <n v="12.228977"/>
    <n v="21156.13"/>
    <m/>
    <n v="180"/>
    <m/>
    <n v="1730"/>
    <m/>
    <m/>
    <m/>
    <m/>
    <m/>
    <m/>
    <m/>
    <m/>
    <m/>
    <m/>
    <m/>
    <m/>
    <m/>
    <m/>
  </r>
  <r>
    <x v="7"/>
    <x v="5"/>
    <s v="COLCHÃO M.E."/>
    <s v="CARLOS FIDENCIO D AVALOS RUIZ JUNIOR 34496952823"/>
    <x v="9"/>
    <m/>
    <s v="CHILE"/>
    <n v="63251"/>
    <n v="3378"/>
    <s v="2810011 TP PARADISE 122034 370G 2,20L DV U"/>
    <m/>
    <m/>
    <m/>
    <m/>
    <m/>
    <m/>
    <m/>
    <n v="26.360243000000001"/>
    <n v="14076.37"/>
    <m/>
    <n v="370"/>
    <m/>
    <n v="534"/>
    <m/>
    <m/>
    <m/>
    <m/>
    <m/>
    <m/>
    <m/>
    <m/>
    <m/>
    <m/>
    <m/>
    <m/>
    <m/>
    <m/>
  </r>
  <r>
    <x v="7"/>
    <x v="5"/>
    <s v="COLCHÃO M.E."/>
    <s v="CARLOS FIDENCIO D AVALOS RUIZ JUNIOR 34496952823"/>
    <x v="9"/>
    <m/>
    <s v="CHILE"/>
    <n v="63662"/>
    <n v="1419"/>
    <s v="2810009 TP MESCLA 180G 2,20L (1122580) DIVERSAS U"/>
    <m/>
    <m/>
    <m/>
    <m/>
    <m/>
    <m/>
    <m/>
    <n v="11.788199000000001"/>
    <n v="14593.79"/>
    <m/>
    <n v="180"/>
    <m/>
    <n v="1238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s v="URUGUAI"/>
    <n v="63819"/>
    <n v="4777"/>
    <s v="3590004 TP ML 0461031 340G 2,20L DV U"/>
    <m/>
    <m/>
    <m/>
    <m/>
    <m/>
    <m/>
    <m/>
    <n v="18.455577999999999"/>
    <n v="11017.98"/>
    <m/>
    <n v="340"/>
    <m/>
    <n v="597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s v="URUGUAI"/>
    <n v="63819"/>
    <n v="4781"/>
    <s v="3590008 TP ML A10399 180G 2,10L DV U"/>
    <m/>
    <m/>
    <m/>
    <m/>
    <m/>
    <m/>
    <m/>
    <n v="7.8869930000000004"/>
    <n v="3462.39"/>
    <m/>
    <n v="180"/>
    <m/>
    <n v="439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s v="URUGUAI"/>
    <n v="63819"/>
    <n v="4780"/>
    <s v="3590007 TP ML A10136 200G 2,20L DV U"/>
    <m/>
    <m/>
    <m/>
    <m/>
    <m/>
    <m/>
    <m/>
    <n v="9.9902040000000003"/>
    <n v="4905.1899999999996"/>
    <m/>
    <n v="200"/>
    <m/>
    <n v="491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s v="URUGUAI"/>
    <n v="63819"/>
    <n v="4779"/>
    <s v="3590006 TP ML A10156 220G 2,20L DV U"/>
    <m/>
    <m/>
    <m/>
    <m/>
    <m/>
    <m/>
    <m/>
    <n v="10.358257999999999"/>
    <n v="6183.88"/>
    <m/>
    <n v="220"/>
    <m/>
    <n v="597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s v="URUGUAI"/>
    <n v="63819"/>
    <n v="4778"/>
    <s v="3590005 TP ML 0416001 240G 2,20L DV U"/>
    <m/>
    <m/>
    <m/>
    <m/>
    <m/>
    <m/>
    <m/>
    <n v="11.672765"/>
    <n v="6501.73"/>
    <m/>
    <n v="240"/>
    <m/>
    <n v="557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s v="URUGUAI"/>
    <n v="63819"/>
    <n v="4776"/>
    <s v="3590003 TP ML 0271001 340G 2,20L DV U"/>
    <m/>
    <m/>
    <m/>
    <m/>
    <m/>
    <m/>
    <m/>
    <n v="18.508158999999999"/>
    <n v="11660.14"/>
    <m/>
    <n v="340"/>
    <m/>
    <n v="630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s v="URUGUAI"/>
    <n v="63819"/>
    <n v="4775"/>
    <s v="3590002 TP ML 0246015 340G 2,20L DV U"/>
    <m/>
    <m/>
    <m/>
    <m/>
    <m/>
    <m/>
    <m/>
    <n v="24.975494000000001"/>
    <n v="13911.35"/>
    <m/>
    <n v="340"/>
    <m/>
    <n v="557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s v="URUGUAI"/>
    <n v="63819"/>
    <n v="4773"/>
    <s v="3590009 TP ML A10402 200G 2,10L DV U"/>
    <m/>
    <m/>
    <m/>
    <m/>
    <m/>
    <m/>
    <m/>
    <n v="26.184839"/>
    <n v="50379.63"/>
    <m/>
    <n v="200"/>
    <m/>
    <n v="1924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s v="URUGUAI"/>
    <n v="63819"/>
    <n v="4772"/>
    <s v="3590001 TP ML A06917 440G 2,20L DV U"/>
    <m/>
    <m/>
    <m/>
    <m/>
    <m/>
    <m/>
    <m/>
    <n v="26.027106"/>
    <n v="14210.8"/>
    <m/>
    <n v="440"/>
    <m/>
    <n v="546"/>
    <m/>
    <m/>
    <m/>
    <m/>
    <m/>
    <m/>
    <m/>
    <m/>
    <m/>
    <m/>
    <m/>
    <m/>
    <m/>
    <m/>
  </r>
  <r>
    <x v="8"/>
    <x v="5"/>
    <s v="COLCHÃO M.E."/>
    <s v="CARLOS FIDENCIO D AVALOS RUIZ JUNIOR 34496952823"/>
    <x v="38"/>
    <m/>
    <s v="CHILE"/>
    <n v="64026"/>
    <n v="2000"/>
    <s v="2860008 TP ML GRAY WINDOW 380G 2,20L DIVERSAS U"/>
    <m/>
    <m/>
    <m/>
    <m/>
    <m/>
    <m/>
    <m/>
    <n v="27.061330000000002"/>
    <n v="27467.25"/>
    <m/>
    <n v="380"/>
    <m/>
    <n v="1015"/>
    <m/>
    <m/>
    <m/>
    <m/>
    <m/>
    <m/>
    <m/>
    <m/>
    <m/>
    <m/>
    <m/>
    <m/>
    <m/>
    <m/>
  </r>
  <r>
    <x v="8"/>
    <x v="5"/>
    <s v="COLCHÃO M.E."/>
    <s v="CARLOS FIDENCIO D AVALOS RUIZ JUNIOR 34496952823"/>
    <x v="38"/>
    <m/>
    <s v="CHILE"/>
    <n v="64026"/>
    <n v="2536"/>
    <s v="2860012 TP ML HARMONY ME 440G 2,20L DIVERSAS U"/>
    <m/>
    <m/>
    <m/>
    <m/>
    <m/>
    <m/>
    <m/>
    <n v="33.970605999999997"/>
    <n v="30845.31"/>
    <m/>
    <n v="440"/>
    <m/>
    <n v="908"/>
    <m/>
    <m/>
    <m/>
    <m/>
    <m/>
    <m/>
    <m/>
    <m/>
    <m/>
    <m/>
    <m/>
    <m/>
    <m/>
    <m/>
  </r>
  <r>
    <x v="8"/>
    <x v="5"/>
    <s v="COLCHÃO M.E."/>
    <s v="CARLOS FIDENCIO D AVALOS RUIZ JUNIOR 34496952823"/>
    <x v="38"/>
    <m/>
    <s v="CHILE"/>
    <n v="64026"/>
    <n v="4703"/>
    <s v="2860018 TP ML A10310 300G 2,20L DV U"/>
    <m/>
    <m/>
    <m/>
    <m/>
    <m/>
    <m/>
    <m/>
    <n v="15.598216000000001"/>
    <n v="21681.52"/>
    <m/>
    <n v="300"/>
    <m/>
    <n v="1390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s v="PARAGUAI"/>
    <n v="64034"/>
    <n v="3801"/>
    <s v="3480004 TP 292021 - 88201 - 160G 2,20L DV U"/>
    <m/>
    <m/>
    <m/>
    <m/>
    <m/>
    <m/>
    <m/>
    <n v="7.8514650000000001"/>
    <n v="2143.4499999999998"/>
    <m/>
    <n v="160"/>
    <m/>
    <n v="273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s v="PARAGUAI"/>
    <n v="64034"/>
    <n v="4240"/>
    <s v="2940034 TP ML 0408041 180G 2,20L DV U"/>
    <m/>
    <m/>
    <m/>
    <m/>
    <m/>
    <m/>
    <m/>
    <n v="7.8514619999999997"/>
    <n v="2041.38"/>
    <m/>
    <n v="180"/>
    <m/>
    <n v="260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s v="PARAGUAI"/>
    <n v="64034"/>
    <n v="3815"/>
    <s v="340047 TP ML 0091012 280G 2,20L DV U"/>
    <m/>
    <m/>
    <m/>
    <m/>
    <m/>
    <m/>
    <m/>
    <n v="7.8514609999999996"/>
    <n v="2418.25"/>
    <m/>
    <n v="280"/>
    <m/>
    <n v="308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s v="PARAGUAI"/>
    <n v="64034"/>
    <n v="3814"/>
    <s v="340048 TP ML 0245031 - 280G 2,20L DV U"/>
    <m/>
    <m/>
    <m/>
    <m/>
    <m/>
    <m/>
    <m/>
    <n v="7.851445"/>
    <n v="1358.3"/>
    <m/>
    <n v="280"/>
    <m/>
    <n v="173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s v="PARAGUAI"/>
    <n v="64034"/>
    <n v="3813"/>
    <s v="340046 TP ML 0091052 280G 2,20L DV U"/>
    <m/>
    <m/>
    <m/>
    <m/>
    <m/>
    <m/>
    <m/>
    <n v="7.8514390000000001"/>
    <n v="2127.7399999999998"/>
    <m/>
    <n v="280"/>
    <m/>
    <n v="271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s v="PARAGUAI"/>
    <n v="64034"/>
    <n v="3811"/>
    <s v="340044 TP 0121065 280G 2,20L DV U"/>
    <m/>
    <m/>
    <m/>
    <m/>
    <m/>
    <m/>
    <m/>
    <n v="7.8514189999999999"/>
    <n v="1162.01"/>
    <m/>
    <n v="280"/>
    <m/>
    <n v="148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s v="PARAGUAI"/>
    <n v="64034"/>
    <n v="650"/>
    <s v="110013 - C TAMPO AX GOLD CHAMPAGNE (A017 DIVERSAS U"/>
    <m/>
    <m/>
    <m/>
    <m/>
    <m/>
    <m/>
    <m/>
    <n v="7.8514489999999997"/>
    <n v="6987.79"/>
    <m/>
    <n v="220"/>
    <m/>
    <n v="890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s v="PARAGUAI"/>
    <n v="64034"/>
    <n v="3699"/>
    <s v="3470003 TP ML 301002 260G 2,20L DV U"/>
    <m/>
    <m/>
    <m/>
    <m/>
    <m/>
    <m/>
    <m/>
    <n v="7.851413"/>
    <n v="722.33"/>
    <m/>
    <n v="260"/>
    <m/>
    <n v="92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s v="PARAGUAI"/>
    <n v="64034"/>
    <n v="1852"/>
    <s v="280018 TP ML FOLHAS 300G 2,30L DIVERSAS U"/>
    <m/>
    <m/>
    <m/>
    <m/>
    <m/>
    <m/>
    <m/>
    <n v="7.8514480000000004"/>
    <n v="1138.46"/>
    <m/>
    <n v="300"/>
    <m/>
    <n v="145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s v="PARAGUAI"/>
    <n v="64034"/>
    <n v="1504"/>
    <s v="2540018 TP ML DIV 7806 240G 2,10L DIVERSAS U"/>
    <m/>
    <m/>
    <m/>
    <m/>
    <m/>
    <m/>
    <m/>
    <n v="7.8514559999999998"/>
    <n v="1617.4"/>
    <m/>
    <n v="240"/>
    <m/>
    <n v="206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s v="PARAGUAI"/>
    <n v="64034"/>
    <n v="1236"/>
    <s v="2540005 TAMPO GEOMETRICO (A07370) DIVERSAS U"/>
    <m/>
    <m/>
    <m/>
    <m/>
    <m/>
    <m/>
    <m/>
    <n v="7.8514629999999999"/>
    <n v="965.73"/>
    <m/>
    <n v="240"/>
    <m/>
    <n v="123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s v="PARAGUAI"/>
    <n v="64034"/>
    <n v="1095"/>
    <s v="2620001 - TEC, TAMPO HARMONY MLH008 380 DIVERSAS U"/>
    <m/>
    <m/>
    <m/>
    <m/>
    <m/>
    <m/>
    <m/>
    <n v="7.8514160000000004"/>
    <n v="887.21"/>
    <m/>
    <n v="280"/>
    <m/>
    <n v="113"/>
    <m/>
    <m/>
    <m/>
    <m/>
    <m/>
    <m/>
    <m/>
    <m/>
    <m/>
    <m/>
    <m/>
    <m/>
    <m/>
    <m/>
  </r>
  <r>
    <x v="8"/>
    <x v="5"/>
    <s v="COLCHÃO M.E."/>
    <s v="CARLOS FIDENCIO D AVALOS RUIZ JUNIOR 34496952823"/>
    <x v="33"/>
    <m/>
    <s v="ARGENTINA"/>
    <n v="64130"/>
    <n v="3699"/>
    <s v="3470003 TP ML 301002 260G 2,20L DV U"/>
    <m/>
    <m/>
    <m/>
    <m/>
    <m/>
    <m/>
    <m/>
    <n v="9.4481070000000003"/>
    <n v="114700.02"/>
    <m/>
    <n v="260"/>
    <m/>
    <n v="12140"/>
    <m/>
    <m/>
    <m/>
    <m/>
    <m/>
    <m/>
    <m/>
    <m/>
    <m/>
    <m/>
    <m/>
    <m/>
    <m/>
    <m/>
  </r>
  <r>
    <x v="8"/>
    <x v="5"/>
    <s v="COLCHÃO M.E."/>
    <s v="CARLOS FIDENCIO D AVALOS RUIZ JUNIOR 34496952823"/>
    <x v="9"/>
    <m/>
    <s v="CHILE"/>
    <n v="64173"/>
    <n v="1419"/>
    <s v="2810009 TP MESCLA 180G 2,20L (1122580) DIVERSAS U"/>
    <m/>
    <m/>
    <m/>
    <m/>
    <m/>
    <m/>
    <m/>
    <n v="11.616529999999999"/>
    <n v="10780.14"/>
    <m/>
    <n v="180"/>
    <m/>
    <n v="928"/>
    <m/>
    <m/>
    <m/>
    <m/>
    <m/>
    <m/>
    <m/>
    <m/>
    <m/>
    <m/>
    <m/>
    <m/>
    <m/>
    <m/>
  </r>
  <r>
    <x v="8"/>
    <x v="5"/>
    <s v="COLCHÃO M.E."/>
    <s v="CARLOS FIDENCIO D AVALOS RUIZ JUNIOR 34496952823"/>
    <x v="9"/>
    <m/>
    <s v="CHILE"/>
    <n v="64173"/>
    <n v="4848"/>
    <s v="2810014 TP ML A10411 320G 2,20L DV U"/>
    <m/>
    <m/>
    <m/>
    <m/>
    <m/>
    <m/>
    <m/>
    <n v="20.341819999999998"/>
    <n v="8380.83"/>
    <m/>
    <n v="320"/>
    <m/>
    <n v="412"/>
    <m/>
    <m/>
    <m/>
    <m/>
    <m/>
    <m/>
    <m/>
    <m/>
    <m/>
    <m/>
    <m/>
    <m/>
    <m/>
    <m/>
  </r>
  <r>
    <x v="8"/>
    <x v="5"/>
    <s v="COLCHÃO M.E."/>
    <s v="CARLOS FIDENCIO D AVALOS RUIZ JUNIOR 34496952823"/>
    <x v="1"/>
    <m/>
    <s v="URUGUAI"/>
    <n v="64233"/>
    <n v="1523"/>
    <s v="32282 - TELA ANTIDESLIZANTE DIVERSAS U"/>
    <m/>
    <m/>
    <m/>
    <m/>
    <m/>
    <m/>
    <m/>
    <n v="7.766534"/>
    <n v="63701.11"/>
    <m/>
    <n v="180"/>
    <m/>
    <n v="8202"/>
    <m/>
    <m/>
    <m/>
    <m/>
    <m/>
    <m/>
    <m/>
    <m/>
    <m/>
    <m/>
    <m/>
    <m/>
    <m/>
    <m/>
  </r>
  <r>
    <x v="0"/>
    <x v="5"/>
    <s v="COLCHÃO M.E."/>
    <s v="CARLOS FIDENCIO D AVALOS RUIZ JUNIOR 34496952823"/>
    <x v="42"/>
    <m/>
    <s v="BOLIVIA"/>
    <n v="65010"/>
    <n v="4454"/>
    <s v="CAFE PUFF ONDAS DV U"/>
    <m/>
    <m/>
    <m/>
    <m/>
    <m/>
    <m/>
    <m/>
    <n v="6.80511"/>
    <n v="33242.959999999999"/>
    <m/>
    <n v="180"/>
    <m/>
    <n v="4885"/>
    <m/>
    <m/>
    <m/>
    <m/>
    <m/>
    <m/>
    <m/>
    <m/>
    <m/>
    <m/>
    <m/>
    <m/>
    <m/>
    <m/>
  </r>
  <r>
    <x v="0"/>
    <x v="5"/>
    <s v="COLCHÃO M.E."/>
    <s v="CARLOS FIDENCIO D AVALOS RUIZ JUNIOR 34496952823"/>
    <x v="21"/>
    <m/>
    <s v="PARAGUAI"/>
    <n v="65022"/>
    <n v="1759"/>
    <s v="3200006 TP ML IMPERIAL GRAY 280G 2,10L DIVERSAS U"/>
    <m/>
    <m/>
    <m/>
    <m/>
    <m/>
    <m/>
    <m/>
    <n v="16.018196"/>
    <n v="5237.95"/>
    <m/>
    <n v="280"/>
    <m/>
    <n v="327"/>
    <m/>
    <m/>
    <m/>
    <m/>
    <m/>
    <m/>
    <m/>
    <m/>
    <m/>
    <m/>
    <m/>
    <m/>
    <m/>
    <m/>
  </r>
  <r>
    <x v="0"/>
    <x v="5"/>
    <s v="COLCHÃO M.E."/>
    <s v="CARLOS FIDENCIO D AVALOS RUIZ JUNIOR 34496952823"/>
    <x v="21"/>
    <m/>
    <s v="PARAGUAI"/>
    <n v="65022"/>
    <n v="1761"/>
    <s v="3200008 TP ML IMPULSE GRAY 280G 2,10L DIVERSAS U"/>
    <m/>
    <m/>
    <m/>
    <m/>
    <m/>
    <m/>
    <m/>
    <n v="15.0236"/>
    <n v="5258.26"/>
    <m/>
    <n v="280"/>
    <m/>
    <n v="350"/>
    <m/>
    <m/>
    <m/>
    <m/>
    <m/>
    <m/>
    <m/>
    <m/>
    <m/>
    <m/>
    <m/>
    <m/>
    <m/>
    <m/>
  </r>
  <r>
    <x v="0"/>
    <x v="5"/>
    <s v="COLCHÃO M.E."/>
    <s v="CARLOS FIDENCIO D AVALOS RUIZ JUNIOR 34496952823"/>
    <x v="21"/>
    <m/>
    <s v="PARAGUAI"/>
    <n v="65022"/>
    <n v="3274"/>
    <s v="3200011-ME 220G 2,20L DV U"/>
    <m/>
    <m/>
    <m/>
    <m/>
    <m/>
    <m/>
    <m/>
    <n v="11.516343000000001"/>
    <n v="7243.78"/>
    <m/>
    <n v="220"/>
    <m/>
    <n v="629"/>
    <m/>
    <m/>
    <m/>
    <m/>
    <m/>
    <m/>
    <m/>
    <m/>
    <m/>
    <m/>
    <m/>
    <m/>
    <m/>
    <m/>
  </r>
  <r>
    <x v="0"/>
    <x v="5"/>
    <s v="COLCHÃO M.E."/>
    <s v="CARLOS FIDENCIO D AVALOS RUIZ JUNIOR 34496952823"/>
    <x v="21"/>
    <m/>
    <s v="PARAGUAI"/>
    <n v="65022"/>
    <n v="3700"/>
    <s v="3200013 TP ML A09969 160G 2,10L DV U"/>
    <m/>
    <m/>
    <m/>
    <m/>
    <m/>
    <m/>
    <m/>
    <n v="7.171538"/>
    <n v="6110.15"/>
    <m/>
    <n v="160"/>
    <m/>
    <n v="852"/>
    <m/>
    <m/>
    <m/>
    <m/>
    <m/>
    <m/>
    <m/>
    <m/>
    <m/>
    <m/>
    <m/>
    <m/>
    <m/>
    <m/>
  </r>
  <r>
    <x v="0"/>
    <x v="5"/>
    <s v="COLCHÃO M.E."/>
    <s v="CARLOS FIDENCIO D AVALOS RUIZ JUNIOR 34496952823"/>
    <x v="21"/>
    <m/>
    <s v="PARAGUAI"/>
    <n v="65022"/>
    <n v="3701"/>
    <s v="3200014 TP ML A09970 160G 2,10L DV U"/>
    <m/>
    <m/>
    <m/>
    <m/>
    <m/>
    <m/>
    <m/>
    <n v="7.537973"/>
    <n v="6135.91"/>
    <m/>
    <n v="160"/>
    <m/>
    <n v="814"/>
    <m/>
    <m/>
    <m/>
    <m/>
    <m/>
    <m/>
    <m/>
    <m/>
    <m/>
    <m/>
    <m/>
    <m/>
    <m/>
    <m/>
  </r>
  <r>
    <x v="0"/>
    <x v="5"/>
    <s v="COLCHÃO M.E."/>
    <s v="CARLOS FIDENCIO D AVALOS RUIZ JUNIOR 34496952823"/>
    <x v="21"/>
    <m/>
    <s v="PARAGUAI"/>
    <n v="65022"/>
    <n v="3702"/>
    <s v="3200015 TP ML A09971 180G 2,10L DV U"/>
    <m/>
    <m/>
    <m/>
    <m/>
    <m/>
    <m/>
    <m/>
    <n v="11.935119"/>
    <n v="9488.42"/>
    <m/>
    <n v="180"/>
    <m/>
    <n v="795"/>
    <m/>
    <m/>
    <m/>
    <m/>
    <m/>
    <m/>
    <m/>
    <m/>
    <m/>
    <m/>
    <m/>
    <m/>
    <m/>
    <m/>
  </r>
  <r>
    <x v="9"/>
    <x v="5"/>
    <s v="COLCHÃO M.E."/>
    <m/>
    <x v="36"/>
    <m/>
    <s v="ARGENTINA"/>
    <n v="65382"/>
    <n v="4114"/>
    <s v="3530001 TP ML A10169 240G 2,10L DV U"/>
    <m/>
    <m/>
    <m/>
    <m/>
    <m/>
    <m/>
    <m/>
    <n v="10.0002"/>
    <n v="170393.41"/>
    <m/>
    <n v="240"/>
    <m/>
    <n v="17039"/>
    <m/>
    <m/>
    <m/>
    <m/>
    <m/>
    <m/>
    <m/>
    <m/>
    <m/>
    <m/>
    <m/>
    <m/>
    <m/>
    <m/>
  </r>
  <r>
    <x v="9"/>
    <x v="5"/>
    <s v="COLCHÃO M.E."/>
    <m/>
    <x v="36"/>
    <m/>
    <s v="ARGENTINA"/>
    <n v="65382"/>
    <n v="4332"/>
    <s v="3530004 TP ML A10108 200G 2,20L DV U"/>
    <m/>
    <m/>
    <m/>
    <m/>
    <m/>
    <m/>
    <m/>
    <n v="8.8501770000000004"/>
    <n v="70367.759999999995"/>
    <m/>
    <n v="200"/>
    <m/>
    <n v="7951"/>
    <m/>
    <m/>
    <m/>
    <m/>
    <m/>
    <m/>
    <m/>
    <m/>
    <m/>
    <m/>
    <m/>
    <m/>
    <m/>
    <m/>
  </r>
  <r>
    <x v="9"/>
    <x v="5"/>
    <s v="COLCHÃO M.E."/>
    <m/>
    <x v="36"/>
    <m/>
    <s v="ARGENTINA"/>
    <n v="65383"/>
    <n v="4114"/>
    <s v="3530001 TP ML A10169 240G 2,10L DV U"/>
    <m/>
    <m/>
    <m/>
    <m/>
    <m/>
    <m/>
    <m/>
    <n v="10.000202"/>
    <n v="30760.62"/>
    <m/>
    <n v="240"/>
    <m/>
    <n v="3076"/>
    <m/>
    <m/>
    <m/>
    <m/>
    <m/>
    <m/>
    <m/>
    <m/>
    <m/>
    <m/>
    <m/>
    <m/>
    <m/>
    <m/>
  </r>
  <r>
    <x v="9"/>
    <x v="5"/>
    <s v="COLCHÃO M.E."/>
    <m/>
    <x v="9"/>
    <m/>
    <s v="CHILE"/>
    <n v="65456"/>
    <n v="1419"/>
    <s v="2810009 TP MESCLA 180G 2,20L (1122580) DIVERSAS U"/>
    <m/>
    <m/>
    <m/>
    <m/>
    <m/>
    <m/>
    <m/>
    <n v="11.213547"/>
    <n v="13624.46"/>
    <m/>
    <n v="180"/>
    <m/>
    <n v="1215"/>
    <m/>
    <m/>
    <m/>
    <m/>
    <m/>
    <m/>
    <m/>
    <m/>
    <m/>
    <m/>
    <m/>
    <m/>
    <m/>
    <m/>
  </r>
  <r>
    <x v="9"/>
    <x v="5"/>
    <s v="COLCHÃO M.E."/>
    <m/>
    <x v="9"/>
    <m/>
    <s v="CHILE"/>
    <n v="65456"/>
    <n v="1422"/>
    <s v="2810005 TP FOLHA 240G 2,20L (1121110) DIVERSAS U"/>
    <m/>
    <m/>
    <m/>
    <m/>
    <m/>
    <m/>
    <m/>
    <n v="14.10416"/>
    <n v="9322.85"/>
    <m/>
    <n v="240"/>
    <m/>
    <n v="661"/>
    <m/>
    <m/>
    <m/>
    <m/>
    <m/>
    <m/>
    <m/>
    <m/>
    <m/>
    <m/>
    <m/>
    <m/>
    <m/>
    <m/>
  </r>
  <r>
    <x v="9"/>
    <x v="5"/>
    <s v="COLCHÃO M.E."/>
    <m/>
    <x v="9"/>
    <m/>
    <s v="CHILE"/>
    <n v="65456"/>
    <n v="3378"/>
    <s v="2810011 TP PARADISE 122034 370G 2,20L DV U"/>
    <m/>
    <m/>
    <m/>
    <m/>
    <m/>
    <m/>
    <m/>
    <n v="24.171437000000001"/>
    <n v="12279.09"/>
    <m/>
    <n v="370"/>
    <m/>
    <n v="508"/>
    <m/>
    <m/>
    <m/>
    <m/>
    <m/>
    <m/>
    <m/>
    <m/>
    <m/>
    <m/>
    <m/>
    <m/>
    <m/>
    <m/>
  </r>
  <r>
    <x v="9"/>
    <x v="5"/>
    <s v="COLCHÃO M.E."/>
    <m/>
    <x v="9"/>
    <m/>
    <s v="CHILE"/>
    <n v="65456"/>
    <n v="4848"/>
    <s v="2810014 TP ML A10411 320G 2,20L DV U"/>
    <m/>
    <m/>
    <m/>
    <m/>
    <m/>
    <m/>
    <m/>
    <n v="19.636175000000001"/>
    <n v="14373.68"/>
    <m/>
    <n v="320"/>
    <m/>
    <n v="732"/>
    <m/>
    <m/>
    <m/>
    <m/>
    <m/>
    <m/>
    <m/>
    <m/>
    <m/>
    <m/>
    <m/>
    <m/>
    <m/>
    <m/>
  </r>
  <r>
    <x v="9"/>
    <x v="5"/>
    <s v="COLCHÃO M.E."/>
    <m/>
    <x v="18"/>
    <m/>
    <s v="URUGUAI"/>
    <n v="65581"/>
    <n v="3148"/>
    <s v="3030056 CM 180G 2,20L ARENA DV U"/>
    <m/>
    <m/>
    <m/>
    <m/>
    <m/>
    <m/>
    <m/>
    <n v="10.273631999999999"/>
    <n v="13972.14"/>
    <m/>
    <n v="180"/>
    <m/>
    <n v="1360"/>
    <m/>
    <m/>
    <m/>
    <m/>
    <m/>
    <m/>
    <m/>
    <m/>
    <m/>
    <m/>
    <m/>
    <m/>
    <m/>
    <m/>
  </r>
  <r>
    <x v="9"/>
    <x v="5"/>
    <s v="COLCHÃO M.E."/>
    <m/>
    <x v="18"/>
    <m/>
    <s v="URUGUAI"/>
    <n v="65581"/>
    <n v="4707"/>
    <s v="3030072 TP ML 0149003 180G 2,10L DV U"/>
    <m/>
    <m/>
    <m/>
    <m/>
    <m/>
    <m/>
    <m/>
    <n v="8.4782399999999996"/>
    <n v="27851.02"/>
    <m/>
    <n v="180"/>
    <m/>
    <n v="3285"/>
    <m/>
    <m/>
    <m/>
    <m/>
    <m/>
    <m/>
    <m/>
    <m/>
    <m/>
    <m/>
    <m/>
    <m/>
    <m/>
    <m/>
  </r>
  <r>
    <x v="9"/>
    <x v="5"/>
    <s v="COLCHÃO M.E."/>
    <m/>
    <x v="18"/>
    <m/>
    <s v="URUGUAI"/>
    <n v="65581"/>
    <n v="4706"/>
    <s v="3030071 TP ML 0071013 180G 2,10L DV U"/>
    <m/>
    <m/>
    <m/>
    <m/>
    <m/>
    <m/>
    <m/>
    <n v="8.478237"/>
    <n v="13946.7"/>
    <m/>
    <n v="180"/>
    <m/>
    <n v="1645"/>
    <m/>
    <m/>
    <m/>
    <m/>
    <m/>
    <m/>
    <m/>
    <m/>
    <m/>
    <m/>
    <m/>
    <m/>
    <m/>
    <m/>
  </r>
  <r>
    <x v="9"/>
    <x v="5"/>
    <s v="COLCHÃO M.E."/>
    <m/>
    <x v="18"/>
    <m/>
    <s v="URUGUAI"/>
    <n v="65581"/>
    <n v="4323"/>
    <s v="3030024 PL 180G 2,10L GRIS ESCURO DV U"/>
    <m/>
    <m/>
    <m/>
    <m/>
    <m/>
    <m/>
    <m/>
    <n v="10.62274"/>
    <n v="6979.14"/>
    <m/>
    <n v="180"/>
    <m/>
    <n v="657"/>
    <m/>
    <m/>
    <m/>
    <m/>
    <m/>
    <m/>
    <m/>
    <m/>
    <m/>
    <m/>
    <m/>
    <m/>
    <m/>
    <m/>
  </r>
  <r>
    <x v="9"/>
    <x v="5"/>
    <s v="COLCHÃO M.E."/>
    <m/>
    <x v="18"/>
    <m/>
    <s v="URUGUAI"/>
    <n v="65581"/>
    <n v="3500"/>
    <s v="3030013 PL 160G 2,10L AZUL MARINO DV U"/>
    <m/>
    <m/>
    <m/>
    <m/>
    <m/>
    <m/>
    <m/>
    <n v="8.4782360000000008"/>
    <n v="8842.7999999999993"/>
    <m/>
    <n v="160"/>
    <m/>
    <n v="1043"/>
    <m/>
    <m/>
    <m/>
    <m/>
    <m/>
    <m/>
    <m/>
    <m/>
    <m/>
    <m/>
    <m/>
    <m/>
    <m/>
    <m/>
  </r>
  <r>
    <x v="9"/>
    <x v="5"/>
    <s v="COLCHÃO M.E."/>
    <m/>
    <x v="18"/>
    <m/>
    <s v="URUGUAI"/>
    <n v="65581"/>
    <n v="3504"/>
    <s v="3030060 TP ML A09956 180G 2,10L DV U"/>
    <m/>
    <m/>
    <m/>
    <m/>
    <m/>
    <m/>
    <m/>
    <n v="7.4807940000000004"/>
    <n v="4144.3599999999997"/>
    <m/>
    <n v="180"/>
    <m/>
    <n v="554"/>
    <m/>
    <m/>
    <m/>
    <m/>
    <m/>
    <m/>
    <m/>
    <m/>
    <m/>
    <m/>
    <m/>
    <m/>
    <m/>
    <m/>
  </r>
  <r>
    <x v="9"/>
    <x v="5"/>
    <s v="COLCHÃO M.E."/>
    <m/>
    <x v="18"/>
    <m/>
    <s v="URUGUAI"/>
    <n v="65581"/>
    <n v="2433"/>
    <s v="3030044 ME PL 160G 2,10L DIVERSAS U"/>
    <m/>
    <m/>
    <m/>
    <m/>
    <m/>
    <m/>
    <m/>
    <n v="10.971849000000001"/>
    <n v="4213.1899999999996"/>
    <m/>
    <n v="160"/>
    <m/>
    <n v="384"/>
    <m/>
    <m/>
    <m/>
    <m/>
    <m/>
    <m/>
    <m/>
    <m/>
    <m/>
    <m/>
    <m/>
    <m/>
    <m/>
    <m/>
  </r>
  <r>
    <x v="9"/>
    <x v="5"/>
    <s v="COLCHÃO M.E."/>
    <m/>
    <x v="18"/>
    <m/>
    <s v="URUGUAI"/>
    <n v="65581"/>
    <n v="3135"/>
    <s v="3030040 PL 160G 2,10L NEGRO DV U"/>
    <m/>
    <m/>
    <m/>
    <m/>
    <m/>
    <m/>
    <m/>
    <n v="7.9795230000000004"/>
    <n v="4181.2700000000004"/>
    <m/>
    <n v="160"/>
    <m/>
    <n v="524"/>
    <m/>
    <m/>
    <m/>
    <m/>
    <m/>
    <m/>
    <m/>
    <m/>
    <m/>
    <m/>
    <m/>
    <m/>
    <m/>
    <m/>
  </r>
  <r>
    <x v="9"/>
    <x v="5"/>
    <s v="COLCHÃO M.E."/>
    <m/>
    <x v="18"/>
    <m/>
    <s v="URUGUAI"/>
    <n v="65581"/>
    <n v="3131"/>
    <s v="3030026 CM 200G 2,10L NEGRO DV U"/>
    <m/>
    <m/>
    <m/>
    <m/>
    <m/>
    <m/>
    <m/>
    <n v="9.0268359999999994"/>
    <n v="4793.25"/>
    <m/>
    <n v="200"/>
    <m/>
    <n v="531"/>
    <m/>
    <m/>
    <m/>
    <m/>
    <m/>
    <m/>
    <m/>
    <m/>
    <m/>
    <m/>
    <m/>
    <m/>
    <m/>
    <m/>
  </r>
  <r>
    <x v="9"/>
    <x v="5"/>
    <s v="COLCHÃO M.E."/>
    <m/>
    <x v="18"/>
    <m/>
    <s v="URUGUAI"/>
    <n v="65581"/>
    <n v="3132"/>
    <s v="3030033 PL 160G 2,10L NEGRO DV U"/>
    <m/>
    <m/>
    <m/>
    <m/>
    <m/>
    <m/>
    <m/>
    <n v="7.1815689999999996"/>
    <n v="8330.6200000000008"/>
    <m/>
    <n v="160"/>
    <m/>
    <n v="1160"/>
    <m/>
    <m/>
    <m/>
    <m/>
    <m/>
    <m/>
    <m/>
    <m/>
    <m/>
    <m/>
    <m/>
    <m/>
    <m/>
    <m/>
  </r>
  <r>
    <x v="9"/>
    <x v="5"/>
    <s v="COLCHÃO M.E."/>
    <m/>
    <x v="47"/>
    <m/>
    <s v="ARGENTINA"/>
    <n v="65619"/>
    <n v="4919"/>
    <s v="3610004 TP ML 0403034 240G 2,20L DV U"/>
    <m/>
    <m/>
    <m/>
    <m/>
    <m/>
    <m/>
    <m/>
    <n v="16.692986000000001"/>
    <n v="37175.279999999999"/>
    <m/>
    <n v="240"/>
    <m/>
    <n v="2227"/>
    <m/>
    <m/>
    <m/>
    <m/>
    <m/>
    <m/>
    <m/>
    <m/>
    <m/>
    <m/>
    <m/>
    <m/>
    <m/>
    <m/>
  </r>
  <r>
    <x v="9"/>
    <x v="5"/>
    <s v="COLCHÃO M.E."/>
    <m/>
    <x v="47"/>
    <m/>
    <s v="ARGENTINA"/>
    <n v="65619"/>
    <n v="4922"/>
    <s v="3610007 TP ML 0558004 380G 2,20L DV U"/>
    <m/>
    <m/>
    <m/>
    <m/>
    <m/>
    <m/>
    <m/>
    <n v="33.985722000000003"/>
    <n v="60222.7"/>
    <m/>
    <n v="380"/>
    <m/>
    <n v="1772"/>
    <m/>
    <m/>
    <m/>
    <m/>
    <m/>
    <m/>
    <m/>
    <m/>
    <m/>
    <m/>
    <m/>
    <m/>
    <m/>
    <m/>
  </r>
  <r>
    <x v="9"/>
    <x v="5"/>
    <s v="COLCHÃO M.E."/>
    <m/>
    <x v="47"/>
    <m/>
    <s v="ARGENTINA"/>
    <n v="65619"/>
    <n v="4921"/>
    <s v="3610006 TP ML A10418 180G 2,10L DV U"/>
    <m/>
    <m/>
    <m/>
    <m/>
    <m/>
    <m/>
    <m/>
    <n v="8.8962610000000009"/>
    <n v="44018.7"/>
    <m/>
    <n v="180"/>
    <m/>
    <n v="4948"/>
    <m/>
    <m/>
    <m/>
    <m/>
    <m/>
    <m/>
    <m/>
    <m/>
    <m/>
    <m/>
    <m/>
    <m/>
    <m/>
    <m/>
  </r>
  <r>
    <x v="9"/>
    <x v="5"/>
    <s v="COLCHÃO M.E."/>
    <m/>
    <x v="47"/>
    <m/>
    <s v="ARGENTINA"/>
    <n v="65619"/>
    <n v="4920"/>
    <s v="3610005 TP ML 0566001 220G 2,20L DV U"/>
    <m/>
    <m/>
    <m/>
    <m/>
    <m/>
    <m/>
    <m/>
    <n v="10.745486"/>
    <n v="91186.19"/>
    <m/>
    <n v="220"/>
    <m/>
    <n v="8486"/>
    <m/>
    <m/>
    <m/>
    <m/>
    <m/>
    <m/>
    <m/>
    <m/>
    <m/>
    <m/>
    <m/>
    <m/>
    <m/>
    <m/>
  </r>
  <r>
    <x v="9"/>
    <x v="5"/>
    <s v="COLCHÃO M.E."/>
    <m/>
    <x v="47"/>
    <m/>
    <s v="ARGENTINA"/>
    <n v="65619"/>
    <n v="4918"/>
    <s v="3610003 TP ML A10420 360G 2,20L DV U"/>
    <m/>
    <m/>
    <m/>
    <m/>
    <m/>
    <m/>
    <m/>
    <n v="23.390173999999998"/>
    <n v="51177.7"/>
    <m/>
    <n v="360"/>
    <m/>
    <n v="2188"/>
    <m/>
    <m/>
    <m/>
    <m/>
    <m/>
    <m/>
    <m/>
    <m/>
    <m/>
    <m/>
    <m/>
    <m/>
    <m/>
    <m/>
  </r>
  <r>
    <x v="9"/>
    <x v="5"/>
    <s v="COLCHÃO M.E."/>
    <m/>
    <x v="47"/>
    <m/>
    <s v="ARGENTINA"/>
    <n v="65619"/>
    <n v="4917"/>
    <s v="3610002 TP ML 0555004 280G 2,20L DV U"/>
    <m/>
    <m/>
    <m/>
    <m/>
    <m/>
    <m/>
    <m/>
    <n v="16.093239000000001"/>
    <n v="30013.89"/>
    <m/>
    <n v="280"/>
    <m/>
    <n v="1865"/>
    <m/>
    <m/>
    <m/>
    <m/>
    <m/>
    <m/>
    <m/>
    <m/>
    <m/>
    <m/>
    <m/>
    <m/>
    <m/>
    <m/>
  </r>
  <r>
    <x v="9"/>
    <x v="5"/>
    <s v="COLCHÃO M.E."/>
    <m/>
    <x v="47"/>
    <m/>
    <s v="ARGENTINA"/>
    <n v="65619"/>
    <n v="4916"/>
    <s v="3610001 TP ML 0552001 280G 2,20L DV U"/>
    <m/>
    <m/>
    <m/>
    <m/>
    <m/>
    <m/>
    <m/>
    <n v="15.243596"/>
    <n v="41919.89"/>
    <m/>
    <n v="280"/>
    <m/>
    <n v="2750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45"/>
    <s v="2940083 TP ML 0446031 180G 2,20L DV U"/>
    <m/>
    <m/>
    <m/>
    <m/>
    <m/>
    <m/>
    <m/>
    <n v="9.5959760000000003"/>
    <n v="4817.18"/>
    <m/>
    <n v="180"/>
    <m/>
    <n v="502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47"/>
    <s v="2940085 TP ML 0251021 180G 2,20L DV U"/>
    <m/>
    <m/>
    <m/>
    <m/>
    <m/>
    <m/>
    <m/>
    <n v="10.045785"/>
    <n v="4862.16"/>
    <m/>
    <n v="180"/>
    <m/>
    <n v="484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46"/>
    <s v="2940084 TP ML 0399041 180G 2,20L DV U"/>
    <m/>
    <m/>
    <m/>
    <m/>
    <m/>
    <m/>
    <m/>
    <n v="9.5959669999999999"/>
    <n v="5258.59"/>
    <m/>
    <n v="180"/>
    <m/>
    <n v="548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42"/>
    <s v="2940080 TP ML 0264011 180G 2,20L DV U"/>
    <m/>
    <m/>
    <m/>
    <m/>
    <m/>
    <m/>
    <m/>
    <n v="9.5959660000000007"/>
    <n v="5613.64"/>
    <m/>
    <n v="180"/>
    <m/>
    <n v="585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44"/>
    <s v="2940082 TP ML 0260011 180G 2,20L DV U"/>
    <m/>
    <m/>
    <m/>
    <m/>
    <m/>
    <m/>
    <m/>
    <n v="10.195722999999999"/>
    <n v="4791.99"/>
    <m/>
    <n v="180"/>
    <m/>
    <n v="470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43"/>
    <s v="2940081 TP ML 0262031 180G 2,20L DV U"/>
    <m/>
    <m/>
    <m/>
    <m/>
    <m/>
    <m/>
    <m/>
    <n v="9.5959649999999996"/>
    <n v="4375.76"/>
    <m/>
    <n v="180"/>
    <m/>
    <n v="456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41"/>
    <s v="2940079 TP ML 0269021 180G 2,20L DV U"/>
    <m/>
    <m/>
    <m/>
    <m/>
    <m/>
    <m/>
    <m/>
    <n v="9.3960480000000004"/>
    <n v="4707.42"/>
    <m/>
    <n v="180"/>
    <m/>
    <n v="501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48"/>
    <s v="2940086 TP ML 0240031 180G 2,20L DV U"/>
    <m/>
    <m/>
    <m/>
    <m/>
    <m/>
    <m/>
    <m/>
    <n v="9.7459039999999995"/>
    <n v="5067.87"/>
    <m/>
    <n v="180"/>
    <m/>
    <n v="520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49"/>
    <s v="2940087 TP ML 0239031 180G 2,20L DV U"/>
    <m/>
    <m/>
    <m/>
    <m/>
    <m/>
    <m/>
    <m/>
    <n v="9.5459960000000006"/>
    <n v="4696.63"/>
    <m/>
    <n v="180"/>
    <m/>
    <n v="492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50"/>
    <s v="2940088 TP ML 0157001 180G 2,20L DV U"/>
    <m/>
    <m/>
    <m/>
    <m/>
    <m/>
    <m/>
    <m/>
    <n v="9.5459790000000009"/>
    <n v="4534.34"/>
    <m/>
    <n v="180"/>
    <m/>
    <n v="475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51"/>
    <s v="2940089 TP ML 0149111 180G 2,20L DV U"/>
    <m/>
    <m/>
    <m/>
    <m/>
    <m/>
    <m/>
    <m/>
    <n v="9.5959640000000004"/>
    <n v="3780.81"/>
    <m/>
    <n v="180"/>
    <m/>
    <n v="394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52"/>
    <s v="2940090 TP ML 0148081 180G 2,20L DV U"/>
    <m/>
    <m/>
    <m/>
    <m/>
    <m/>
    <m/>
    <m/>
    <n v="9.7958929999999995"/>
    <n v="4770.6000000000004"/>
    <m/>
    <n v="180"/>
    <m/>
    <n v="487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56"/>
    <s v="2940091 TP ML 0246001 180G 2,20L DV U"/>
    <m/>
    <m/>
    <m/>
    <m/>
    <m/>
    <m/>
    <m/>
    <n v="9.5959690000000002"/>
    <n v="4308.59"/>
    <m/>
    <n v="180"/>
    <m/>
    <n v="449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32"/>
    <s v="2940073 TP ML 0486001 180G 2,20L DV U"/>
    <m/>
    <m/>
    <m/>
    <m/>
    <m/>
    <m/>
    <m/>
    <n v="9.5959669999999999"/>
    <n v="5853.54"/>
    <m/>
    <n v="180"/>
    <m/>
    <n v="610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30"/>
    <s v="2940071 TP ML 0513001 180G 2,20L DV U"/>
    <m/>
    <m/>
    <m/>
    <m/>
    <m/>
    <m/>
    <m/>
    <n v="9.6959269999999993"/>
    <n v="4809.18"/>
    <m/>
    <n v="180"/>
    <m/>
    <n v="496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256"/>
    <s v="2940050 TP ML 0447011 180G 2,20L DV U"/>
    <m/>
    <m/>
    <m/>
    <m/>
    <m/>
    <m/>
    <m/>
    <n v="8.93431"/>
    <n v="518.19000000000005"/>
    <m/>
    <n v="180"/>
    <m/>
    <n v="58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372"/>
    <s v="2940063 TP ML 0239022 300G 2,20L DV U"/>
    <m/>
    <m/>
    <m/>
    <m/>
    <m/>
    <m/>
    <m/>
    <n v="16.288681"/>
    <n v="2345.5700000000002"/>
    <m/>
    <n v="300"/>
    <m/>
    <n v="144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27"/>
    <s v="2940068 TP ML 0521051 180G 2,20L DV U"/>
    <m/>
    <m/>
    <m/>
    <m/>
    <m/>
    <m/>
    <m/>
    <n v="9.6459419999999998"/>
    <n v="4658.99"/>
    <m/>
    <n v="180"/>
    <m/>
    <n v="483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28"/>
    <s v="2940069 TP ML 0515011 180G 2,20L DV U"/>
    <m/>
    <m/>
    <m/>
    <m/>
    <m/>
    <m/>
    <m/>
    <n v="9.5959649999999996"/>
    <n v="4970.71"/>
    <m/>
    <n v="180"/>
    <m/>
    <n v="518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29"/>
    <s v="2940070 TP ML 0514001 180G 2,20L DV U"/>
    <m/>
    <m/>
    <m/>
    <m/>
    <m/>
    <m/>
    <m/>
    <n v="9.6459440000000001"/>
    <n v="5469.25"/>
    <m/>
    <n v="180"/>
    <m/>
    <n v="567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40"/>
    <s v="2940078 TP ML 0269021 180G 2,20L DV U"/>
    <m/>
    <m/>
    <m/>
    <m/>
    <m/>
    <m/>
    <m/>
    <n v="10.045785"/>
    <n v="6268.57"/>
    <m/>
    <n v="180"/>
    <m/>
    <n v="624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31"/>
    <s v="2940072 TP ML 0488001 180G 2,20L DV U"/>
    <m/>
    <m/>
    <m/>
    <m/>
    <m/>
    <m/>
    <m/>
    <n v="9.7459000000000007"/>
    <n v="5087.3599999999997"/>
    <m/>
    <n v="180"/>
    <m/>
    <n v="522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36"/>
    <s v="2940074 TP ML 0434001 180G 2,20L DV U"/>
    <m/>
    <m/>
    <m/>
    <m/>
    <m/>
    <m/>
    <m/>
    <n v="9.3960489999999997"/>
    <n v="3805.4"/>
    <m/>
    <n v="180"/>
    <m/>
    <n v="405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37"/>
    <s v="2940075 TP ML 0418041 180G 2,20L DV U"/>
    <m/>
    <m/>
    <m/>
    <m/>
    <m/>
    <m/>
    <m/>
    <n v="9.5459809999999994"/>
    <n v="4037.95"/>
    <m/>
    <n v="180"/>
    <m/>
    <n v="423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38"/>
    <s v="2940076 TP ML 0416091 180G 2,20L DV U"/>
    <m/>
    <m/>
    <m/>
    <m/>
    <m/>
    <m/>
    <m/>
    <n v="9.5959610000000009"/>
    <n v="5392.93"/>
    <m/>
    <n v="180"/>
    <m/>
    <n v="562"/>
    <m/>
    <m/>
    <m/>
    <m/>
    <m/>
    <m/>
    <m/>
    <m/>
    <m/>
    <m/>
    <m/>
    <m/>
    <m/>
    <m/>
  </r>
  <r>
    <x v="9"/>
    <x v="5"/>
    <s v="COLCHÃO M.E."/>
    <m/>
    <x v="13"/>
    <m/>
    <s v="BOLIVIA"/>
    <n v="65649"/>
    <n v="4939"/>
    <s v="2940077 TP ML 0302041 180G 2,20L DV U"/>
    <m/>
    <m/>
    <m/>
    <m/>
    <m/>
    <m/>
    <m/>
    <n v="9.5959749999999993"/>
    <n v="4529.3"/>
    <m/>
    <n v="180"/>
    <m/>
    <n v="472"/>
    <m/>
    <m/>
    <m/>
    <m/>
    <m/>
    <m/>
    <m/>
    <m/>
    <m/>
    <m/>
    <m/>
    <m/>
    <m/>
    <m/>
  </r>
  <r>
    <x v="10"/>
    <x v="5"/>
    <s v="COLCHÃO M.E."/>
    <m/>
    <x v="38"/>
    <m/>
    <s v="CHILE"/>
    <n v="65751"/>
    <n v="3275"/>
    <s v="2860013 TP ML A09687 350G 2,20L DIVERSAS U"/>
    <m/>
    <m/>
    <m/>
    <m/>
    <m/>
    <m/>
    <m/>
    <n v="23.387091999999999"/>
    <n v="13026.61"/>
    <m/>
    <n v="350"/>
    <m/>
    <n v="557"/>
    <m/>
    <m/>
    <m/>
    <m/>
    <m/>
    <m/>
    <m/>
    <m/>
    <m/>
    <m/>
    <m/>
    <m/>
    <m/>
    <m/>
  </r>
  <r>
    <x v="10"/>
    <x v="5"/>
    <s v="COLCHÃO M.E."/>
    <m/>
    <x v="38"/>
    <m/>
    <s v="CHILE"/>
    <n v="65751"/>
    <n v="2535"/>
    <s v="2860011 TP ML DOLPHIN ME 430G 2,20L DIVERSAS U"/>
    <m/>
    <m/>
    <m/>
    <m/>
    <m/>
    <m/>
    <m/>
    <n v="31.954160000000002"/>
    <n v="28726.79"/>
    <m/>
    <n v="430"/>
    <m/>
    <n v="899"/>
    <m/>
    <m/>
    <m/>
    <m/>
    <m/>
    <m/>
    <m/>
    <m/>
    <m/>
    <m/>
    <m/>
    <m/>
    <m/>
    <m/>
  </r>
  <r>
    <x v="10"/>
    <x v="5"/>
    <s v="COLCHÃO M.E."/>
    <m/>
    <x v="38"/>
    <m/>
    <s v="CHILE"/>
    <n v="65751"/>
    <n v="1903"/>
    <s v="2860003-TP ME DECRADE 420G 2,20L DIVERSAS U"/>
    <m/>
    <m/>
    <m/>
    <m/>
    <m/>
    <m/>
    <m/>
    <n v="33.283532999999998"/>
    <n v="37310.839999999997"/>
    <m/>
    <n v="420"/>
    <m/>
    <n v="1121"/>
    <m/>
    <m/>
    <m/>
    <m/>
    <m/>
    <m/>
    <m/>
    <m/>
    <m/>
    <m/>
    <m/>
    <m/>
    <m/>
    <m/>
  </r>
  <r>
    <x v="10"/>
    <x v="5"/>
    <s v="COLCHÃO M.E."/>
    <m/>
    <x v="38"/>
    <m/>
    <s v="CHILE"/>
    <n v="65751"/>
    <n v="1904"/>
    <s v="2860004-ME TP RETAS DEGRADE 450G 2,20L DIVERSAS U"/>
    <m/>
    <m/>
    <m/>
    <m/>
    <m/>
    <m/>
    <m/>
    <n v="21.171482999999998"/>
    <n v="24410.720000000001"/>
    <m/>
    <n v="450"/>
    <m/>
    <n v="1153"/>
    <m/>
    <m/>
    <m/>
    <m/>
    <m/>
    <m/>
    <m/>
    <m/>
    <m/>
    <m/>
    <m/>
    <m/>
    <m/>
    <m/>
  </r>
  <r>
    <x v="10"/>
    <x v="5"/>
    <s v="COLCHÃO M.E."/>
    <m/>
    <x v="48"/>
    <m/>
    <s v="ARGENTINA"/>
    <n v="65824"/>
    <n v="4957"/>
    <s v="3630001 TP ML A03174 200G 2,20L DV U"/>
    <m/>
    <m/>
    <m/>
    <m/>
    <m/>
    <m/>
    <m/>
    <n v="11.317380999999999"/>
    <n v="18322.84"/>
    <m/>
    <n v="200"/>
    <m/>
    <n v="1619"/>
    <m/>
    <m/>
    <m/>
    <m/>
    <m/>
    <m/>
    <m/>
    <m/>
    <m/>
    <m/>
    <m/>
    <m/>
    <m/>
    <m/>
  </r>
  <r>
    <x v="10"/>
    <x v="5"/>
    <s v="COLCHÃO M.E."/>
    <m/>
    <x v="48"/>
    <m/>
    <s v="ARGENTINA"/>
    <n v="65824"/>
    <n v="4958"/>
    <s v="3630002 TP ML A10467 180G 2,20L DV U"/>
    <m/>
    <m/>
    <m/>
    <m/>
    <m/>
    <m/>
    <m/>
    <n v="10.484501"/>
    <n v="17865.59"/>
    <m/>
    <n v="180"/>
    <m/>
    <n v="1704"/>
    <m/>
    <m/>
    <m/>
    <m/>
    <m/>
    <m/>
    <m/>
    <m/>
    <m/>
    <m/>
    <m/>
    <m/>
    <m/>
    <m/>
  </r>
  <r>
    <x v="10"/>
    <x v="5"/>
    <s v="COLCHÃO M.E."/>
    <m/>
    <x v="48"/>
    <m/>
    <s v="ARGENTINA"/>
    <n v="65824"/>
    <n v="4959"/>
    <s v="3630003 TP ML A10466 400G 2,30L DV U"/>
    <m/>
    <m/>
    <m/>
    <m/>
    <m/>
    <m/>
    <m/>
    <n v="37.234679999999997"/>
    <n v="51160.45"/>
    <m/>
    <n v="400"/>
    <m/>
    <n v="1374"/>
    <m/>
    <m/>
    <m/>
    <m/>
    <m/>
    <m/>
    <m/>
    <m/>
    <m/>
    <m/>
    <m/>
    <m/>
    <m/>
    <m/>
  </r>
  <r>
    <x v="10"/>
    <x v="5"/>
    <s v="COLCHÃO M.E."/>
    <m/>
    <x v="24"/>
    <m/>
    <s v="EQUADOR"/>
    <n v="65857"/>
    <n v="4352"/>
    <s v="3260016 TP ML  A10016 220G 2,20L DV U"/>
    <m/>
    <m/>
    <m/>
    <m/>
    <m/>
    <m/>
    <m/>
    <n v="11.409309"/>
    <n v="9903.2800000000007"/>
    <m/>
    <n v="220"/>
    <m/>
    <n v="868"/>
    <m/>
    <m/>
    <m/>
    <m/>
    <m/>
    <m/>
    <m/>
    <m/>
    <m/>
    <m/>
    <m/>
    <m/>
    <m/>
    <m/>
  </r>
  <r>
    <x v="10"/>
    <x v="5"/>
    <s v="COLCHÃO M.E."/>
    <m/>
    <x v="24"/>
    <m/>
    <s v="EQUADOR"/>
    <n v="65857"/>
    <n v="4351"/>
    <s v="3260017 TP ML A10230 220G 2,20L DV U"/>
    <m/>
    <m/>
    <m/>
    <m/>
    <m/>
    <m/>
    <m/>
    <n v="9.8913290000000007"/>
    <n v="6399.69"/>
    <m/>
    <n v="220"/>
    <m/>
    <n v="647"/>
    <m/>
    <m/>
    <m/>
    <m/>
    <m/>
    <m/>
    <m/>
    <m/>
    <m/>
    <m/>
    <m/>
    <m/>
    <m/>
    <m/>
  </r>
  <r>
    <x v="10"/>
    <x v="5"/>
    <s v="COLCHÃO M.E."/>
    <m/>
    <x v="24"/>
    <m/>
    <s v="EQUADOR"/>
    <n v="65857"/>
    <n v="2584"/>
    <s v="3260002 TP ESTRELLAS AZUL 160G 2,10L DIVERSAS U"/>
    <m/>
    <m/>
    <m/>
    <m/>
    <m/>
    <m/>
    <m/>
    <n v="10.674804999999999"/>
    <n v="4376.67"/>
    <m/>
    <n v="160"/>
    <m/>
    <n v="410"/>
    <m/>
    <m/>
    <m/>
    <m/>
    <m/>
    <m/>
    <m/>
    <m/>
    <m/>
    <m/>
    <m/>
    <m/>
    <m/>
    <m/>
  </r>
  <r>
    <x v="10"/>
    <x v="5"/>
    <s v="COLCHÃO M.E."/>
    <m/>
    <x v="24"/>
    <m/>
    <s v="EQUADOR"/>
    <n v="65857"/>
    <n v="3578"/>
    <s v="3260015- ME 300G 2,20L DV U"/>
    <m/>
    <m/>
    <m/>
    <m/>
    <m/>
    <m/>
    <m/>
    <n v="14.690104"/>
    <n v="7080.63"/>
    <m/>
    <n v="300"/>
    <m/>
    <n v="482"/>
    <m/>
    <m/>
    <m/>
    <m/>
    <m/>
    <m/>
    <m/>
    <m/>
    <m/>
    <m/>
    <m/>
    <m/>
    <m/>
    <m/>
  </r>
  <r>
    <x v="10"/>
    <x v="5"/>
    <s v="COLCHÃO M.E."/>
    <m/>
    <x v="24"/>
    <m/>
    <s v="EQUADOR"/>
    <n v="65857"/>
    <n v="3398"/>
    <s v="3260014 TELA ORIGENES 240G 2,20L DV U"/>
    <m/>
    <m/>
    <m/>
    <m/>
    <m/>
    <m/>
    <m/>
    <n v="11.752082"/>
    <n v="16029.84"/>
    <m/>
    <n v="240"/>
    <m/>
    <n v="1364"/>
    <m/>
    <m/>
    <m/>
    <m/>
    <m/>
    <m/>
    <m/>
    <m/>
    <m/>
    <m/>
    <m/>
    <m/>
    <m/>
    <m/>
  </r>
  <r>
    <x v="10"/>
    <x v="5"/>
    <s v="COLCHÃO M.E."/>
    <m/>
    <x v="9"/>
    <m/>
    <s v="CHILE"/>
    <n v="66014"/>
    <n v="4848"/>
    <s v="2810014 TP ML A10411 320G 2,20L DV U"/>
    <m/>
    <m/>
    <m/>
    <m/>
    <m/>
    <m/>
    <m/>
    <n v="19.846557000000001"/>
    <n v="8474.48"/>
    <m/>
    <n v="320"/>
    <m/>
    <n v="427"/>
    <m/>
    <m/>
    <m/>
    <m/>
    <m/>
    <m/>
    <m/>
    <m/>
    <m/>
    <m/>
    <m/>
    <m/>
    <m/>
    <m/>
  </r>
  <r>
    <x v="10"/>
    <x v="5"/>
    <s v="COLCHÃO M.E."/>
    <m/>
    <x v="9"/>
    <m/>
    <s v="CHILE"/>
    <n v="66014"/>
    <n v="1422"/>
    <s v="2810005 TP FOLHA 240G 2,20L (1121110) DIVERSAS U"/>
    <m/>
    <m/>
    <m/>
    <m/>
    <m/>
    <m/>
    <m/>
    <n v="14.255280000000001"/>
    <n v="10691.46"/>
    <m/>
    <n v="240"/>
    <m/>
    <n v="750"/>
    <m/>
    <m/>
    <m/>
    <m/>
    <m/>
    <m/>
    <m/>
    <m/>
    <m/>
    <m/>
    <m/>
    <m/>
    <m/>
    <m/>
  </r>
  <r>
    <x v="10"/>
    <x v="5"/>
    <s v="COLCHÃO M.E."/>
    <m/>
    <x v="9"/>
    <m/>
    <s v="CHILE"/>
    <n v="66014"/>
    <n v="1419"/>
    <s v="2810009 TP MESCLA 180G 2,20L (1122580) DIVERSAS U"/>
    <m/>
    <m/>
    <m/>
    <m/>
    <m/>
    <m/>
    <m/>
    <n v="11.333701"/>
    <n v="24900.14"/>
    <m/>
    <n v="180"/>
    <m/>
    <n v="2197"/>
    <m/>
    <m/>
    <m/>
    <m/>
    <m/>
    <m/>
    <m/>
    <m/>
    <m/>
    <m/>
    <m/>
    <m/>
    <m/>
    <m/>
  </r>
  <r>
    <x v="10"/>
    <x v="5"/>
    <s v="COLCHÃO M.E."/>
    <m/>
    <x v="37"/>
    <m/>
    <s v="ARGENTINA"/>
    <n v="66068"/>
    <n v="4955"/>
    <s v="3520006 TP ML 0514011 220G 2,20L DV U"/>
    <m/>
    <m/>
    <m/>
    <m/>
    <m/>
    <m/>
    <m/>
    <n v="13.22758"/>
    <n v="12791.07"/>
    <m/>
    <n v="220"/>
    <m/>
    <n v="967"/>
    <m/>
    <m/>
    <m/>
    <m/>
    <m/>
    <m/>
    <m/>
    <m/>
    <m/>
    <m/>
    <m/>
    <m/>
    <m/>
    <m/>
  </r>
  <r>
    <x v="10"/>
    <x v="5"/>
    <s v="COLCHÃO M.E."/>
    <m/>
    <x v="37"/>
    <m/>
    <s v="ARGENTINA"/>
    <n v="66068"/>
    <n v="4954"/>
    <s v="3520005 TP ML 0454034 280G 2,20L DV U"/>
    <m/>
    <m/>
    <m/>
    <m/>
    <m/>
    <m/>
    <m/>
    <n v="19.564757"/>
    <n v="20151.7"/>
    <m/>
    <n v="280"/>
    <m/>
    <n v="1030"/>
    <m/>
    <m/>
    <m/>
    <m/>
    <m/>
    <m/>
    <m/>
    <m/>
    <m/>
    <m/>
    <m/>
    <m/>
    <m/>
    <m/>
  </r>
  <r>
    <x v="10"/>
    <x v="5"/>
    <s v="COLCHÃO M.E."/>
    <m/>
    <x v="37"/>
    <m/>
    <s v="ARGENTINA"/>
    <n v="66068"/>
    <n v="4094"/>
    <s v="3520001 TP ML 0074161 180G 2,20L DV U"/>
    <m/>
    <m/>
    <m/>
    <m/>
    <m/>
    <m/>
    <m/>
    <n v="8.9022129999999997"/>
    <n v="9009.0400000000009"/>
    <m/>
    <n v="180"/>
    <m/>
    <n v="1012"/>
    <m/>
    <m/>
    <m/>
    <m/>
    <m/>
    <m/>
    <m/>
    <m/>
    <m/>
    <m/>
    <m/>
    <m/>
    <m/>
    <m/>
  </r>
  <r>
    <x v="10"/>
    <x v="5"/>
    <s v="COLCHÃO M.E."/>
    <m/>
    <x v="37"/>
    <m/>
    <s v="ARGENTINA"/>
    <n v="66068"/>
    <n v="4159"/>
    <s v="3520004 TP ML 0092193 160G 2,10L DV U"/>
    <m/>
    <m/>
    <m/>
    <m/>
    <m/>
    <m/>
    <m/>
    <n v="8.9022170000000003"/>
    <n v="18071.5"/>
    <m/>
    <n v="160"/>
    <m/>
    <n v="2030"/>
    <m/>
    <m/>
    <m/>
    <m/>
    <m/>
    <m/>
    <m/>
    <m/>
    <m/>
    <m/>
    <m/>
    <m/>
    <m/>
    <m/>
  </r>
  <r>
    <x v="10"/>
    <x v="5"/>
    <s v="COLCHÃO M.E."/>
    <m/>
    <x v="37"/>
    <m/>
    <s v="ARGENTINA"/>
    <n v="66068"/>
    <n v="4092"/>
    <s v="3520003 TP ML 0010181 180G 2,20L DV U"/>
    <m/>
    <m/>
    <m/>
    <m/>
    <m/>
    <m/>
    <m/>
    <n v="8.902215"/>
    <n v="21062.639999999999"/>
    <m/>
    <n v="180"/>
    <m/>
    <n v="2366"/>
    <m/>
    <m/>
    <m/>
    <m/>
    <m/>
    <m/>
    <m/>
    <m/>
    <m/>
    <m/>
    <m/>
    <m/>
    <m/>
    <m/>
  </r>
  <r>
    <x v="1"/>
    <x v="5"/>
    <s v="COLCHÃO M.E."/>
    <m/>
    <x v="42"/>
    <m/>
    <s v="BOLIVIA"/>
    <n v="66480"/>
    <n v="5045"/>
    <s v="3370012 TP ML 0536016 180G 2,10L DV U"/>
    <m/>
    <m/>
    <m/>
    <m/>
    <m/>
    <m/>
    <m/>
    <n v="9.4074010000000001"/>
    <n v="10461.030000000001"/>
    <m/>
    <n v="180"/>
    <m/>
    <n v="1112"/>
    <m/>
    <m/>
    <m/>
    <m/>
    <m/>
    <m/>
    <m/>
    <m/>
    <m/>
    <m/>
    <m/>
    <m/>
    <m/>
    <m/>
  </r>
  <r>
    <x v="1"/>
    <x v="5"/>
    <s v="COLCHÃO M.E."/>
    <m/>
    <x v="42"/>
    <m/>
    <s v="BOLIVIA"/>
    <n v="66480"/>
    <n v="3760"/>
    <s v="3370011 TP ML A10053 180G 2,10L DV U"/>
    <m/>
    <m/>
    <m/>
    <m/>
    <m/>
    <m/>
    <m/>
    <n v="10.131045"/>
    <n v="24829.47"/>
    <m/>
    <n v="180"/>
    <m/>
    <n v="2450.83"/>
    <m/>
    <m/>
    <m/>
    <m/>
    <m/>
    <m/>
    <m/>
    <m/>
    <m/>
    <m/>
    <m/>
    <m/>
    <m/>
    <m/>
  </r>
  <r>
    <x v="1"/>
    <x v="5"/>
    <s v="COLCHÃO M.E."/>
    <m/>
    <x v="42"/>
    <m/>
    <s v="BOLIVIA"/>
    <n v="66480"/>
    <n v="2206"/>
    <s v="3370005 TP ML BOL 180G 2,20L DIVERSAS U"/>
    <m/>
    <m/>
    <m/>
    <m/>
    <m/>
    <m/>
    <m/>
    <n v="10.234419000000001"/>
    <n v="14891.08"/>
    <m/>
    <n v="180"/>
    <m/>
    <n v="1455"/>
    <m/>
    <m/>
    <m/>
    <m/>
    <m/>
    <m/>
    <m/>
    <m/>
    <m/>
    <m/>
    <m/>
    <m/>
    <m/>
    <m/>
  </r>
  <r>
    <x v="1"/>
    <x v="5"/>
    <s v="COLCHÃO M.E."/>
    <m/>
    <x v="47"/>
    <m/>
    <s v="ARGENTINA"/>
    <n v="66685"/>
    <n v="5168"/>
    <s v="3610008 TP ML A10512 400G 2,20L DV U"/>
    <m/>
    <m/>
    <m/>
    <m/>
    <m/>
    <m/>
    <m/>
    <n v="29.824013000000001"/>
    <n v="18133"/>
    <m/>
    <n v="400"/>
    <m/>
    <n v="608"/>
    <m/>
    <m/>
    <m/>
    <m/>
    <m/>
    <m/>
    <m/>
    <m/>
    <m/>
    <m/>
    <m/>
    <m/>
    <m/>
    <m/>
  </r>
  <r>
    <x v="1"/>
    <x v="5"/>
    <s v="COLCHÃO M.E."/>
    <m/>
    <x v="1"/>
    <m/>
    <s v="URUGUAI"/>
    <n v="66930"/>
    <n v="1523"/>
    <s v="32282 - TELA ANTIDESLIZANTE DIVERSAS U"/>
    <m/>
    <m/>
    <m/>
    <m/>
    <m/>
    <m/>
    <m/>
    <n v="9.0230490000000003"/>
    <n v="72861.119999999995"/>
    <m/>
    <n v="180"/>
    <m/>
    <n v="8075"/>
    <m/>
    <m/>
    <m/>
    <m/>
    <m/>
    <m/>
    <m/>
    <m/>
    <m/>
    <m/>
    <m/>
    <m/>
    <m/>
    <m/>
  </r>
  <r>
    <x v="1"/>
    <x v="5"/>
    <s v="COLCHÃO M.E."/>
    <m/>
    <x v="1"/>
    <m/>
    <s v="URUGUAI"/>
    <n v="66931"/>
    <n v="5176"/>
    <s v="2540037 TP ML A10518 460G 2,20L DV U"/>
    <m/>
    <m/>
    <m/>
    <m/>
    <m/>
    <m/>
    <m/>
    <n v="40.886001999999998"/>
    <n v="43461.82"/>
    <m/>
    <n v="460"/>
    <m/>
    <n v="1063"/>
    <m/>
    <m/>
    <m/>
    <m/>
    <m/>
    <m/>
    <m/>
    <m/>
    <m/>
    <m/>
    <m/>
    <m/>
    <m/>
    <m/>
  </r>
  <r>
    <x v="1"/>
    <x v="5"/>
    <s v="COLCHÃO M.E."/>
    <m/>
    <x v="9"/>
    <m/>
    <s v="CHILE"/>
    <n v="66960"/>
    <n v="4848"/>
    <s v="2810014 TP ML A10411 320G 2,20L DV U"/>
    <m/>
    <m/>
    <m/>
    <m/>
    <m/>
    <m/>
    <m/>
    <n v="23.185168999999998"/>
    <n v="11662.14"/>
    <m/>
    <n v="320"/>
    <m/>
    <n v="503"/>
    <m/>
    <m/>
    <m/>
    <m/>
    <m/>
    <m/>
    <m/>
    <m/>
    <m/>
    <m/>
    <m/>
    <m/>
    <m/>
    <m/>
  </r>
  <r>
    <x v="1"/>
    <x v="5"/>
    <s v="COLCHÃO M.E."/>
    <m/>
    <x v="9"/>
    <m/>
    <s v="CHILE"/>
    <n v="66960"/>
    <n v="1419"/>
    <s v="2810009 TP MESCLA 180G 2,20L (1122580) DIVERSAS U"/>
    <m/>
    <m/>
    <m/>
    <m/>
    <m/>
    <m/>
    <m/>
    <n v="13.240259999999999"/>
    <n v="37152.17"/>
    <m/>
    <n v="180"/>
    <m/>
    <n v="2806"/>
    <m/>
    <m/>
    <m/>
    <m/>
    <m/>
    <m/>
    <m/>
    <m/>
    <m/>
    <m/>
    <m/>
    <m/>
    <m/>
    <m/>
  </r>
  <r>
    <x v="1"/>
    <x v="5"/>
    <s v="COLCHÃO M.E."/>
    <m/>
    <x v="9"/>
    <m/>
    <s v="CHILE"/>
    <n v="66960"/>
    <n v="3378"/>
    <s v="2810011 TP PARADISE 122034 370G 2,20L DV U"/>
    <m/>
    <m/>
    <m/>
    <m/>
    <m/>
    <m/>
    <m/>
    <n v="28.540119000000001"/>
    <n v="14355.68"/>
    <m/>
    <n v="370"/>
    <m/>
    <n v="503"/>
    <m/>
    <m/>
    <m/>
    <m/>
    <m/>
    <m/>
    <m/>
    <m/>
    <m/>
    <m/>
    <m/>
    <m/>
    <m/>
    <m/>
  </r>
  <r>
    <x v="2"/>
    <x v="5"/>
    <s v="COLCHÃO M.E."/>
    <m/>
    <x v="45"/>
    <m/>
    <s v="URUGUAI"/>
    <n v="67052"/>
    <n v="4773"/>
    <s v="3590009 TP ML A10402 200G 2,10L DV U"/>
    <m/>
    <m/>
    <m/>
    <m/>
    <m/>
    <m/>
    <m/>
    <n v="25.742778999999999"/>
    <n v="63352.98"/>
    <m/>
    <n v="200"/>
    <m/>
    <n v="2461"/>
    <m/>
    <m/>
    <m/>
    <m/>
    <m/>
    <m/>
    <m/>
    <m/>
    <m/>
    <m/>
    <m/>
    <m/>
    <m/>
    <m/>
  </r>
  <r>
    <x v="2"/>
    <x v="5"/>
    <s v="COLCHÃO M.E."/>
    <m/>
    <x v="49"/>
    <m/>
    <s v="PERU"/>
    <n v="67488"/>
    <n v="5282"/>
    <s v="0521101 TP ME AMOSTR DV U"/>
    <m/>
    <m/>
    <m/>
    <m/>
    <m/>
    <m/>
    <m/>
    <n v="27.844895999999999"/>
    <n v="5346.22"/>
    <m/>
    <n v="320"/>
    <m/>
    <n v="192"/>
    <m/>
    <m/>
    <m/>
    <m/>
    <m/>
    <m/>
    <m/>
    <m/>
    <m/>
    <m/>
    <m/>
    <m/>
    <m/>
    <m/>
  </r>
  <r>
    <x v="2"/>
    <x v="5"/>
    <s v="COLCHÃO M.E."/>
    <m/>
    <x v="21"/>
    <m/>
    <s v="PARAGUAI"/>
    <n v="67490"/>
    <n v="1759"/>
    <s v="3200006 TP ML IMPERIAL GRAY 280G 2,10L DIVERSAS U"/>
    <m/>
    <m/>
    <m/>
    <m/>
    <m/>
    <m/>
    <m/>
    <n v="15.350398999999999"/>
    <n v="11911.91"/>
    <m/>
    <n v="280"/>
    <m/>
    <n v="776"/>
    <m/>
    <m/>
    <m/>
    <m/>
    <m/>
    <m/>
    <m/>
    <m/>
    <m/>
    <m/>
    <m/>
    <m/>
    <m/>
    <m/>
  </r>
  <r>
    <x v="2"/>
    <x v="5"/>
    <s v="COLCHÃO M.E."/>
    <m/>
    <x v="21"/>
    <m/>
    <s v="PARAGUAI"/>
    <n v="67490"/>
    <n v="3700"/>
    <s v="3200013 TP ML A09969 160G 2,10L DV U"/>
    <m/>
    <m/>
    <m/>
    <m/>
    <m/>
    <m/>
    <m/>
    <n v="7.649699"/>
    <n v="15001.06"/>
    <m/>
    <n v="160"/>
    <m/>
    <n v="1961"/>
    <m/>
    <m/>
    <m/>
    <m/>
    <m/>
    <m/>
    <m/>
    <m/>
    <m/>
    <m/>
    <m/>
    <m/>
    <m/>
    <m/>
  </r>
  <r>
    <x v="2"/>
    <x v="5"/>
    <s v="COLCHÃO M.E."/>
    <m/>
    <x v="21"/>
    <m/>
    <s v="PARAGUAI"/>
    <n v="67490"/>
    <n v="3701"/>
    <s v="3200014 TP ML A09970 160G 2,10L DV U"/>
    <m/>
    <m/>
    <m/>
    <m/>
    <m/>
    <m/>
    <m/>
    <n v="7.9556849999999999"/>
    <n v="6507.75"/>
    <m/>
    <n v="160"/>
    <m/>
    <n v="818"/>
    <m/>
    <m/>
    <m/>
    <m/>
    <m/>
    <m/>
    <m/>
    <m/>
    <m/>
    <m/>
    <m/>
    <m/>
    <m/>
    <m/>
  </r>
  <r>
    <x v="2"/>
    <x v="5"/>
    <s v="COLCHÃO M.E."/>
    <m/>
    <x v="21"/>
    <m/>
    <s v="PARAGUAI"/>
    <n v="67490"/>
    <n v="3702"/>
    <s v="3200015 TP ML A09971 180G 2,10L DV U"/>
    <m/>
    <m/>
    <m/>
    <m/>
    <m/>
    <m/>
    <m/>
    <n v="13.157482"/>
    <n v="7420.82"/>
    <m/>
    <n v="180"/>
    <m/>
    <n v="564"/>
    <m/>
    <m/>
    <m/>
    <m/>
    <m/>
    <m/>
    <m/>
    <m/>
    <m/>
    <m/>
    <m/>
    <m/>
    <m/>
    <m/>
  </r>
  <r>
    <x v="2"/>
    <x v="5"/>
    <s v="COLCHÃO M.E."/>
    <m/>
    <x v="42"/>
    <m/>
    <s v="BOLIVIA"/>
    <n v="67598"/>
    <n v="2209"/>
    <s v="3370008 TP ML CZ CARIOCA 200G 2,10L DIVERSAS U"/>
    <m/>
    <m/>
    <m/>
    <m/>
    <m/>
    <m/>
    <m/>
    <n v="9.8064359999999997"/>
    <n v="12022.69"/>
    <m/>
    <n v="200"/>
    <m/>
    <n v="1226"/>
    <m/>
    <m/>
    <m/>
    <m/>
    <m/>
    <m/>
    <m/>
    <m/>
    <m/>
    <m/>
    <m/>
    <m/>
    <m/>
    <m/>
  </r>
  <r>
    <x v="2"/>
    <x v="5"/>
    <s v="COLCHÃO M.E."/>
    <m/>
    <x v="42"/>
    <m/>
    <s v="BOLIVIA"/>
    <n v="67598"/>
    <n v="5057"/>
    <s v="3390015 TP ML A10496 180G 2,10L DV U"/>
    <m/>
    <m/>
    <m/>
    <m/>
    <m/>
    <m/>
    <m/>
    <n v="8.3405190000000005"/>
    <n v="8348.86"/>
    <m/>
    <n v="180"/>
    <m/>
    <n v="1001"/>
    <m/>
    <m/>
    <m/>
    <m/>
    <m/>
    <m/>
    <m/>
    <m/>
    <m/>
    <m/>
    <m/>
    <m/>
    <m/>
    <m/>
  </r>
  <r>
    <x v="2"/>
    <x v="5"/>
    <s v="COLCHÃO M.E."/>
    <m/>
    <x v="42"/>
    <m/>
    <s v="BOLIVIA"/>
    <n v="67598"/>
    <n v="5218"/>
    <s v="3370013 TP ML 0074211 180G 2,20L DV U"/>
    <m/>
    <m/>
    <m/>
    <m/>
    <m/>
    <m/>
    <m/>
    <n v="8.6438170000000003"/>
    <n v="9171.09"/>
    <m/>
    <n v="180"/>
    <m/>
    <n v="1061"/>
    <m/>
    <m/>
    <m/>
    <m/>
    <m/>
    <m/>
    <m/>
    <m/>
    <m/>
    <m/>
    <m/>
    <m/>
    <m/>
    <m/>
  </r>
  <r>
    <x v="11"/>
    <x v="5"/>
    <s v="COLCHÃO M.E."/>
    <m/>
    <x v="9"/>
    <m/>
    <s v="CHILE"/>
    <n v="67743"/>
    <n v="4848"/>
    <s v="2810014 TP ML A10411 320G 2,20L DV U"/>
    <m/>
    <m/>
    <m/>
    <m/>
    <m/>
    <m/>
    <m/>
    <n v="22.847096000000001"/>
    <n v="20219.68"/>
    <m/>
    <n v="320"/>
    <m/>
    <n v="885"/>
    <m/>
    <m/>
    <m/>
    <m/>
    <m/>
    <m/>
    <m/>
    <m/>
    <m/>
    <m/>
    <m/>
    <m/>
    <m/>
    <m/>
  </r>
  <r>
    <x v="11"/>
    <x v="5"/>
    <s v="COLCHÃO M.E."/>
    <m/>
    <x v="47"/>
    <m/>
    <s v="ARGENTINA"/>
    <n v="67766"/>
    <n v="5168"/>
    <s v="3610008 TP ML A10512 400G 2,20L DV U"/>
    <m/>
    <m/>
    <m/>
    <m/>
    <m/>
    <m/>
    <m/>
    <n v="30.411254"/>
    <n v="17942.64"/>
    <m/>
    <n v="400"/>
    <m/>
    <n v="590"/>
    <m/>
    <m/>
    <m/>
    <m/>
    <m/>
    <m/>
    <m/>
    <m/>
    <m/>
    <m/>
    <m/>
    <m/>
    <m/>
    <m/>
  </r>
  <r>
    <x v="11"/>
    <x v="5"/>
    <s v="COLCHÃO M.E."/>
    <m/>
    <x v="50"/>
    <m/>
    <s v="PARAGUAI"/>
    <n v="67801"/>
    <n v="5227"/>
    <s v="3650005 TP ML 0276005 280G 2,20L DV U"/>
    <m/>
    <m/>
    <m/>
    <m/>
    <m/>
    <m/>
    <m/>
    <n v="16.034604999999999"/>
    <n v="9749.0400000000009"/>
    <m/>
    <n v="280"/>
    <m/>
    <n v="608"/>
    <m/>
    <m/>
    <m/>
    <m/>
    <m/>
    <m/>
    <m/>
    <m/>
    <m/>
    <m/>
    <m/>
    <m/>
    <m/>
    <m/>
  </r>
  <r>
    <x v="11"/>
    <x v="5"/>
    <s v="COLCHÃO M.E."/>
    <m/>
    <x v="50"/>
    <m/>
    <s v="PARAGUAI"/>
    <n v="67801"/>
    <n v="5264"/>
    <s v="3650012 TP ML A10524 180G 2,10L DV U"/>
    <m/>
    <m/>
    <m/>
    <m/>
    <m/>
    <m/>
    <m/>
    <n v="7.9911969999999997"/>
    <n v="4139.4399999999996"/>
    <m/>
    <n v="180"/>
    <m/>
    <n v="518"/>
    <m/>
    <m/>
    <m/>
    <m/>
    <m/>
    <m/>
    <m/>
    <m/>
    <m/>
    <m/>
    <m/>
    <m/>
    <m/>
    <m/>
  </r>
  <r>
    <x v="11"/>
    <x v="5"/>
    <s v="COLCHÃO M.E."/>
    <m/>
    <x v="50"/>
    <m/>
    <s v="PARAGUAI"/>
    <n v="67801"/>
    <n v="5262"/>
    <s v="3650010 TP ML A10522 180G 2,10L DV U"/>
    <m/>
    <m/>
    <m/>
    <m/>
    <m/>
    <m/>
    <m/>
    <n v="7.9911830000000004"/>
    <n v="3851.75"/>
    <m/>
    <n v="180"/>
    <m/>
    <n v="482"/>
    <m/>
    <m/>
    <m/>
    <m/>
    <m/>
    <m/>
    <m/>
    <m/>
    <m/>
    <m/>
    <m/>
    <m/>
    <m/>
    <m/>
  </r>
  <r>
    <x v="11"/>
    <x v="5"/>
    <s v="COLCHÃO M.E."/>
    <m/>
    <x v="50"/>
    <m/>
    <s v="PARAGUAI"/>
    <n v="67801"/>
    <n v="5263"/>
    <s v="3650011 TP ML A10523 180G 2,10L DV U"/>
    <m/>
    <m/>
    <m/>
    <m/>
    <m/>
    <m/>
    <m/>
    <n v="7.9911950000000003"/>
    <n v="4347.21"/>
    <m/>
    <n v="180"/>
    <m/>
    <n v="544"/>
    <m/>
    <m/>
    <m/>
    <m/>
    <m/>
    <m/>
    <m/>
    <m/>
    <m/>
    <m/>
    <m/>
    <m/>
    <m/>
    <m/>
  </r>
  <r>
    <x v="11"/>
    <x v="5"/>
    <s v="COLCHÃO M.E."/>
    <m/>
    <x v="50"/>
    <m/>
    <s v="PARAGUAI"/>
    <n v="67801"/>
    <n v="5226"/>
    <s v="3650004 TP ML 0284001 380G 2,20L DV U"/>
    <m/>
    <m/>
    <m/>
    <m/>
    <m/>
    <m/>
    <m/>
    <n v="38.336818999999998"/>
    <n v="21813.65"/>
    <m/>
    <n v="380"/>
    <m/>
    <n v="569"/>
    <m/>
    <m/>
    <m/>
    <m/>
    <m/>
    <m/>
    <m/>
    <m/>
    <m/>
    <m/>
    <m/>
    <m/>
    <m/>
    <m/>
  </r>
  <r>
    <x v="11"/>
    <x v="5"/>
    <s v="COLCHÃO M.E."/>
    <m/>
    <x v="50"/>
    <m/>
    <s v="PARAGUAI"/>
    <n v="67801"/>
    <n v="5225"/>
    <s v="3650003 TP ML 0274005 280G 2,20L DV U"/>
    <m/>
    <m/>
    <m/>
    <m/>
    <m/>
    <m/>
    <m/>
    <n v="16.974748999999999"/>
    <n v="10150.9"/>
    <m/>
    <n v="280"/>
    <m/>
    <n v="598"/>
    <m/>
    <m/>
    <m/>
    <m/>
    <m/>
    <m/>
    <m/>
    <m/>
    <m/>
    <m/>
    <m/>
    <m/>
    <m/>
    <m/>
  </r>
  <r>
    <x v="11"/>
    <x v="5"/>
    <s v="COLCHÃO M.E."/>
    <m/>
    <x v="50"/>
    <m/>
    <s v="PARAGUAI"/>
    <n v="67801"/>
    <n v="5221"/>
    <s v="3650002 TP ML 0271001 360G 2,20L DV U"/>
    <m/>
    <m/>
    <m/>
    <m/>
    <m/>
    <m/>
    <m/>
    <n v="24.809256000000001"/>
    <n v="12677.53"/>
    <m/>
    <n v="360"/>
    <m/>
    <n v="511"/>
    <m/>
    <m/>
    <m/>
    <m/>
    <m/>
    <m/>
    <m/>
    <m/>
    <m/>
    <m/>
    <m/>
    <m/>
    <m/>
    <m/>
  </r>
  <r>
    <x v="11"/>
    <x v="5"/>
    <s v="COLCHÃO M.E."/>
    <m/>
    <x v="50"/>
    <m/>
    <s v="PARAGUAI"/>
    <n v="67801"/>
    <n v="5219"/>
    <s v="3650001 TP ML 0146004 340G 2,20L DV U"/>
    <m/>
    <m/>
    <m/>
    <m/>
    <m/>
    <m/>
    <m/>
    <n v="15.721234000000001"/>
    <n v="8536.6299999999992"/>
    <m/>
    <n v="340"/>
    <m/>
    <n v="543"/>
    <m/>
    <m/>
    <m/>
    <m/>
    <m/>
    <m/>
    <m/>
    <m/>
    <m/>
    <m/>
    <m/>
    <m/>
    <m/>
    <m/>
  </r>
  <r>
    <x v="11"/>
    <x v="5"/>
    <s v="COLCHÃO M.E."/>
    <m/>
    <x v="51"/>
    <m/>
    <s v="VENEZUELA"/>
    <n v="67814"/>
    <n v="5055"/>
    <s v="3390013 TP ML 0269121 220G 2,20L DV U"/>
    <m/>
    <m/>
    <m/>
    <m/>
    <m/>
    <m/>
    <m/>
    <n v="10.453609"/>
    <n v="22213.919999999998"/>
    <m/>
    <n v="220"/>
    <m/>
    <n v="2125"/>
    <m/>
    <m/>
    <m/>
    <m/>
    <m/>
    <m/>
    <m/>
    <m/>
    <m/>
    <m/>
    <m/>
    <m/>
    <m/>
    <m/>
  </r>
  <r>
    <x v="11"/>
    <x v="5"/>
    <s v="COLCHÃO M.E."/>
    <m/>
    <x v="51"/>
    <m/>
    <s v="VENEZUELA"/>
    <n v="67814"/>
    <n v="5055"/>
    <s v="3390013 TP ML 0269121 220G 2,20L DV U"/>
    <m/>
    <m/>
    <m/>
    <m/>
    <m/>
    <m/>
    <m/>
    <n v="10.453607999999999"/>
    <n v="42128.04"/>
    <m/>
    <n v="220"/>
    <m/>
    <n v="4030"/>
    <m/>
    <m/>
    <m/>
    <m/>
    <m/>
    <m/>
    <m/>
    <m/>
    <m/>
    <m/>
    <m/>
    <m/>
    <m/>
    <m/>
  </r>
  <r>
    <x v="11"/>
    <x v="5"/>
    <s v="COLCHÃO M.E."/>
    <m/>
    <x v="51"/>
    <m/>
    <s v="VENEZUELA"/>
    <n v="67814"/>
    <n v="5056"/>
    <s v="3390014 TP ML 0066041 220G 2,20L DV U"/>
    <m/>
    <m/>
    <m/>
    <m/>
    <m/>
    <m/>
    <m/>
    <n v="10.453613000000001"/>
    <n v="9606.8700000000008"/>
    <m/>
    <n v="220"/>
    <m/>
    <n v="919"/>
    <m/>
    <m/>
    <m/>
    <m/>
    <m/>
    <m/>
    <m/>
    <m/>
    <m/>
    <m/>
    <m/>
    <m/>
    <m/>
    <m/>
  </r>
  <r>
    <x v="11"/>
    <x v="5"/>
    <s v="COLCHÃO M.E."/>
    <m/>
    <x v="51"/>
    <m/>
    <s v="VENEZUELA"/>
    <n v="67814"/>
    <n v="5056"/>
    <s v="3390014 TP ML 0066041 220G 2,20L DV U"/>
    <m/>
    <m/>
    <m/>
    <m/>
    <m/>
    <m/>
    <m/>
    <n v="10.453609"/>
    <n v="55069.61"/>
    <m/>
    <n v="220"/>
    <m/>
    <n v="5268"/>
    <m/>
    <m/>
    <m/>
    <m/>
    <m/>
    <m/>
    <m/>
    <m/>
    <m/>
    <m/>
    <m/>
    <m/>
    <m/>
    <m/>
  </r>
  <r>
    <x v="11"/>
    <x v="5"/>
    <s v="COLCHÃO M.E."/>
    <m/>
    <x v="51"/>
    <m/>
    <s v="VENEZUELA"/>
    <n v="67814"/>
    <n v="5058"/>
    <s v="3390016 TP ML A10519 260G 2,20L DV U"/>
    <m/>
    <m/>
    <m/>
    <m/>
    <m/>
    <m/>
    <m/>
    <n v="20.387136999999999"/>
    <n v="51905.65"/>
    <m/>
    <n v="260"/>
    <m/>
    <n v="2546"/>
    <m/>
    <m/>
    <m/>
    <m/>
    <m/>
    <m/>
    <m/>
    <m/>
    <m/>
    <m/>
    <m/>
    <m/>
    <m/>
    <m/>
  </r>
  <r>
    <x v="11"/>
    <x v="5"/>
    <s v="COLCHÃO M.E."/>
    <m/>
    <x v="51"/>
    <m/>
    <s v="VENEZUELA"/>
    <n v="67814"/>
    <n v="5058"/>
    <s v="3390016 TP ML A10519 260G 2,20L DV U"/>
    <m/>
    <m/>
    <m/>
    <m/>
    <m/>
    <m/>
    <m/>
    <n v="20.387136999999999"/>
    <n v="61813.8"/>
    <m/>
    <n v="260"/>
    <m/>
    <n v="3032"/>
    <m/>
    <m/>
    <m/>
    <m/>
    <m/>
    <m/>
    <m/>
    <m/>
    <m/>
    <m/>
    <m/>
    <m/>
    <m/>
    <m/>
  </r>
  <r>
    <x v="11"/>
    <x v="5"/>
    <s v="COLCHÃO M.E."/>
    <m/>
    <x v="9"/>
    <m/>
    <s v="CHILE"/>
    <n v="67938"/>
    <n v="1419"/>
    <s v="2810009 TP MESCLA 180G 2,20L (1122580) DIVERSAS U"/>
    <m/>
    <m/>
    <m/>
    <m/>
    <m/>
    <m/>
    <m/>
    <n v="13.221309"/>
    <n v="13234.53"/>
    <m/>
    <n v="180"/>
    <m/>
    <n v="1001"/>
    <m/>
    <m/>
    <m/>
    <m/>
    <m/>
    <m/>
    <m/>
    <m/>
    <m/>
    <m/>
    <m/>
    <m/>
    <m/>
    <m/>
  </r>
  <r>
    <x v="11"/>
    <x v="5"/>
    <s v="COLCHÃO M.E."/>
    <m/>
    <x v="9"/>
    <m/>
    <s v="CHILE"/>
    <n v="67938"/>
    <n v="3378"/>
    <s v="2810011 TP PARADISE 122034 370G 2,20L DV U"/>
    <m/>
    <m/>
    <m/>
    <m/>
    <m/>
    <m/>
    <m/>
    <n v="28.499276999999999"/>
    <n v="14192.64"/>
    <m/>
    <n v="370"/>
    <m/>
    <n v="498"/>
    <m/>
    <m/>
    <m/>
    <m/>
    <m/>
    <m/>
    <m/>
    <m/>
    <m/>
    <m/>
    <m/>
    <m/>
    <m/>
    <m/>
  </r>
  <r>
    <x v="11"/>
    <x v="5"/>
    <s v="COLCHÃO M.E."/>
    <m/>
    <x v="52"/>
    <m/>
    <s v="BOLIVIA"/>
    <n v="67968"/>
    <n v="4454"/>
    <s v="CAFE PUFF ONDAS DV U"/>
    <m/>
    <m/>
    <m/>
    <m/>
    <m/>
    <m/>
    <m/>
    <n v="6.7483779999999998"/>
    <n v="34106.300000000003"/>
    <m/>
    <n v="180"/>
    <m/>
    <n v="5054"/>
    <m/>
    <m/>
    <m/>
    <m/>
    <m/>
    <m/>
    <m/>
    <m/>
    <m/>
    <m/>
    <m/>
    <m/>
    <m/>
    <m/>
  </r>
  <r>
    <x v="11"/>
    <x v="5"/>
    <s v="COLCHÃO M.E."/>
    <m/>
    <x v="9"/>
    <m/>
    <s v="CHILE"/>
    <n v="67969"/>
    <n v="4041"/>
    <s v="2810013 TP ML A10131 310G 2,20L DV U"/>
    <m/>
    <m/>
    <m/>
    <m/>
    <m/>
    <m/>
    <m/>
    <n v="21.775784000000002"/>
    <n v="11519.39"/>
    <m/>
    <n v="310"/>
    <m/>
    <n v="529"/>
    <m/>
    <m/>
    <m/>
    <m/>
    <m/>
    <m/>
    <m/>
    <m/>
    <m/>
    <m/>
    <m/>
    <m/>
    <m/>
    <m/>
  </r>
  <r>
    <x v="11"/>
    <x v="5"/>
    <s v="COLCHÃO M.E."/>
    <m/>
    <x v="53"/>
    <m/>
    <s v="CHILE"/>
    <n v="67970"/>
    <n v="5306"/>
    <s v="3670002 TP ML 0068016 180G 2,10L DV U"/>
    <m/>
    <m/>
    <m/>
    <m/>
    <m/>
    <m/>
    <m/>
    <n v="9.0998230000000007"/>
    <n v="23705.040000000001"/>
    <m/>
    <n v="180"/>
    <m/>
    <n v="2605"/>
    <m/>
    <m/>
    <m/>
    <m/>
    <m/>
    <m/>
    <m/>
    <m/>
    <m/>
    <m/>
    <m/>
    <m/>
    <m/>
    <m/>
  </r>
  <r>
    <x v="11"/>
    <x v="5"/>
    <s v="COLCHÃO M.E."/>
    <m/>
    <x v="53"/>
    <m/>
    <s v="CHILE"/>
    <n v="67970"/>
    <n v="5305"/>
    <s v="3670001 TP ML 0067006 180G 2,10L DV U"/>
    <m/>
    <m/>
    <m/>
    <m/>
    <m/>
    <m/>
    <m/>
    <n v="9.0998269999999994"/>
    <n v="25716.11"/>
    <m/>
    <n v="180"/>
    <m/>
    <n v="2826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40"/>
    <s v="3570025 TP ML 0067011 180G 2,20L DV U"/>
    <m/>
    <m/>
    <m/>
    <m/>
    <m/>
    <m/>
    <m/>
    <n v="9.1518280000000001"/>
    <n v="5106.72"/>
    <m/>
    <n v="180"/>
    <m/>
    <n v="558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42"/>
    <s v="3570024 TP ML 0066071 180G 2,20L DV U"/>
    <m/>
    <m/>
    <m/>
    <m/>
    <m/>
    <m/>
    <m/>
    <n v="8.6318300000000008"/>
    <n v="4764.7700000000004"/>
    <m/>
    <n v="180"/>
    <m/>
    <n v="552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43"/>
    <s v="3570027 TP ML 0066081 180G 2,20L DV U"/>
    <m/>
    <m/>
    <m/>
    <m/>
    <m/>
    <m/>
    <m/>
    <n v="9.5678249999999991"/>
    <n v="5147.49"/>
    <m/>
    <n v="180"/>
    <m/>
    <n v="538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44"/>
    <s v="3570035 TP ML 0012081 180G 2,20L DV U"/>
    <m/>
    <m/>
    <m/>
    <m/>
    <m/>
    <m/>
    <m/>
    <n v="9.5678190000000001"/>
    <n v="5616.31"/>
    <m/>
    <n v="180"/>
    <m/>
    <n v="587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45"/>
    <s v="3570032 TP ML 0012071 180G 2,20L DV U"/>
    <m/>
    <m/>
    <m/>
    <m/>
    <m/>
    <m/>
    <m/>
    <n v="8.6318370000000009"/>
    <n v="5498.48"/>
    <m/>
    <n v="180"/>
    <m/>
    <n v="637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47"/>
    <s v="3570033 TP ML 0012051 180G 2,20L DV U"/>
    <m/>
    <m/>
    <m/>
    <m/>
    <m/>
    <m/>
    <m/>
    <n v="9.1518259999999998"/>
    <n v="5362.97"/>
    <m/>
    <n v="180"/>
    <m/>
    <n v="586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49"/>
    <s v="3570040 TP ML 0274071 180G 2,20L DV U"/>
    <m/>
    <m/>
    <m/>
    <m/>
    <m/>
    <m/>
    <m/>
    <n v="8.6318330000000003"/>
    <n v="4333.18"/>
    <m/>
    <n v="180"/>
    <m/>
    <n v="502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39"/>
    <s v="3570037 TP ML 0392031 180G 2,20L DV U"/>
    <m/>
    <m/>
    <m/>
    <m/>
    <m/>
    <m/>
    <m/>
    <n v="9.1518289999999993"/>
    <n v="5152.4799999999996"/>
    <m/>
    <n v="180"/>
    <m/>
    <n v="563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52"/>
    <s v="3570023 TP ML 0071121 180G 2,20L DV U"/>
    <m/>
    <m/>
    <m/>
    <m/>
    <m/>
    <m/>
    <m/>
    <n v="9.5678110000000007"/>
    <n v="5377.11"/>
    <m/>
    <n v="180"/>
    <m/>
    <n v="562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53"/>
    <s v="3570020 TP ML 0071111 180G 2,20L DV U"/>
    <m/>
    <m/>
    <m/>
    <m/>
    <m/>
    <m/>
    <m/>
    <n v="8.6318400000000004"/>
    <n v="4643.93"/>
    <m/>
    <n v="180"/>
    <m/>
    <n v="538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54"/>
    <s v="3570022 TP ML 0071101 180G 2,20L DV U"/>
    <m/>
    <m/>
    <m/>
    <m/>
    <m/>
    <m/>
    <m/>
    <n v="8.9958320000000001"/>
    <n v="4920.72"/>
    <m/>
    <n v="180"/>
    <m/>
    <n v="547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58"/>
    <s v="3570028 TP ML 0017041 180G 2,20L DV U"/>
    <m/>
    <m/>
    <m/>
    <m/>
    <m/>
    <m/>
    <m/>
    <n v="8.6318350000000006"/>
    <n v="4704.3500000000004"/>
    <m/>
    <n v="180"/>
    <m/>
    <n v="545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59"/>
    <s v="3570031 TP ML 0017051 180G 2,20L DV U"/>
    <m/>
    <m/>
    <m/>
    <m/>
    <m/>
    <m/>
    <m/>
    <n v="9.5678239999999999"/>
    <n v="5099.6499999999996"/>
    <m/>
    <n v="180"/>
    <m/>
    <n v="533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60"/>
    <s v="3570045 TP ML 0705021 180G 2,10L DV U"/>
    <m/>
    <m/>
    <m/>
    <m/>
    <m/>
    <m/>
    <m/>
    <n v="8.21584"/>
    <n v="16275.58"/>
    <m/>
    <n v="180"/>
    <m/>
    <n v="1981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61"/>
    <s v="3570044 TP ML 0705011 180G 2,10L DV U"/>
    <m/>
    <m/>
    <m/>
    <m/>
    <m/>
    <m/>
    <m/>
    <n v="9.0998260000000002"/>
    <n v="15715.4"/>
    <m/>
    <n v="180"/>
    <m/>
    <n v="1727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50"/>
    <s v="3570042 TP ML 0274061 180G 2,20L DV U"/>
    <m/>
    <m/>
    <m/>
    <m/>
    <m/>
    <m/>
    <m/>
    <n v="8.9958320000000001"/>
    <n v="5352.52"/>
    <m/>
    <n v="180"/>
    <m/>
    <n v="595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4692"/>
    <s v="3570009 TP ML A10344 200G 2,10L DV U"/>
    <m/>
    <m/>
    <m/>
    <m/>
    <m/>
    <m/>
    <m/>
    <n v="10.035805999999999"/>
    <n v="21105.3"/>
    <m/>
    <n v="200"/>
    <m/>
    <n v="2103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697"/>
    <s v="410006 - B TAMPO 200,037 - MALHA PRES, C DIVERSAS U"/>
    <m/>
    <m/>
    <m/>
    <m/>
    <m/>
    <m/>
    <m/>
    <n v="9.5678190000000001"/>
    <n v="4870.0200000000004"/>
    <m/>
    <n v="380"/>
    <m/>
    <n v="509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1077"/>
    <s v="21706 TAMPO TRACEJADO CINZA (A04041) DIVERSAS U"/>
    <m/>
    <m/>
    <m/>
    <m/>
    <m/>
    <m/>
    <m/>
    <n v="8.9958349999999996"/>
    <n v="5118.63"/>
    <m/>
    <n v="260"/>
    <m/>
    <n v="569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1757"/>
    <s v="3200004 TP ML IMPERAL BLACK 350G 2,10L DIVERSAS U"/>
    <m/>
    <m/>
    <m/>
    <m/>
    <m/>
    <m/>
    <m/>
    <n v="8.9958189999999991"/>
    <n v="4560.88"/>
    <m/>
    <n v="350"/>
    <m/>
    <n v="507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1759"/>
    <s v="3200006 TP ML IMPERIAL GRAY 280G 2,10L DIVERSAS U"/>
    <m/>
    <m/>
    <m/>
    <m/>
    <m/>
    <m/>
    <m/>
    <n v="9.1518200000000007"/>
    <n v="4173.2299999999996"/>
    <m/>
    <n v="280"/>
    <m/>
    <n v="456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1761"/>
    <s v="3200008 TP ML IMPULSE GRAY 280G 2,10L DIVERSAS U"/>
    <m/>
    <m/>
    <m/>
    <m/>
    <m/>
    <m/>
    <m/>
    <n v="9.1518180000000005"/>
    <n v="4932.83"/>
    <m/>
    <n v="280"/>
    <m/>
    <n v="539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1920"/>
    <s v="2300007 TP ML GEOM MESC 230G 2,10L DIVERSAS U"/>
    <m/>
    <m/>
    <m/>
    <m/>
    <m/>
    <m/>
    <m/>
    <n v="8.9958369999999999"/>
    <n v="4515.91"/>
    <m/>
    <n v="230"/>
    <m/>
    <n v="502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3542"/>
    <s v="2870007 TP ML A10034 220G 2,20L DV U"/>
    <m/>
    <m/>
    <m/>
    <m/>
    <m/>
    <m/>
    <m/>
    <n v="9.1518200000000007"/>
    <n v="4575.91"/>
    <m/>
    <n v="220"/>
    <m/>
    <n v="500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38"/>
    <s v="3570038 TP ML 0392041 180G 2,20L DV U"/>
    <m/>
    <m/>
    <m/>
    <m/>
    <m/>
    <m/>
    <m/>
    <n v="8.9958229999999997"/>
    <n v="4974.6899999999996"/>
    <m/>
    <n v="180"/>
    <m/>
    <n v="553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4695"/>
    <s v="3570012 TP ML 0211013 180G 2,10L DV U"/>
    <m/>
    <m/>
    <m/>
    <m/>
    <m/>
    <m/>
    <m/>
    <n v="8.8918300000000006"/>
    <n v="15205.03"/>
    <m/>
    <n v="180"/>
    <m/>
    <n v="1710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32"/>
    <s v="3570019 TP ML 0256121 180G 2,20L DV U"/>
    <m/>
    <m/>
    <m/>
    <m/>
    <m/>
    <m/>
    <m/>
    <n v="9.5678160000000005"/>
    <n v="5826.8"/>
    <m/>
    <n v="180"/>
    <m/>
    <n v="609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33"/>
    <s v="3570016 TP ML 0256111 180G 2,20L DV U"/>
    <m/>
    <m/>
    <m/>
    <m/>
    <m/>
    <m/>
    <m/>
    <n v="8.6318389999999994"/>
    <n v="5161.84"/>
    <m/>
    <n v="180"/>
    <m/>
    <n v="598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34"/>
    <s v="3570018 TP ML 0256101 180G 2,20L DV U"/>
    <m/>
    <m/>
    <m/>
    <m/>
    <m/>
    <m/>
    <m/>
    <n v="8.9958170000000006"/>
    <n v="4237.03"/>
    <m/>
    <n v="180"/>
    <m/>
    <n v="471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35"/>
    <s v="3570017 TP ML 0256091 180G 2,20L DV U"/>
    <m/>
    <m/>
    <m/>
    <m/>
    <m/>
    <m/>
    <m/>
    <n v="9.1518239999999995"/>
    <n v="4264.75"/>
    <m/>
    <n v="180"/>
    <m/>
    <n v="466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36"/>
    <s v="3570039 TP ML 0392031 180G 2,20L DV U"/>
    <m/>
    <m/>
    <m/>
    <m/>
    <m/>
    <m/>
    <m/>
    <n v="9.5678070000000002"/>
    <n v="5367.54"/>
    <m/>
    <n v="180"/>
    <m/>
    <n v="561"/>
    <m/>
    <m/>
    <m/>
    <m/>
    <m/>
    <m/>
    <m/>
    <m/>
    <m/>
    <m/>
    <m/>
    <m/>
    <m/>
    <m/>
  </r>
  <r>
    <x v="11"/>
    <x v="5"/>
    <s v="COLCHÃO M.E."/>
    <m/>
    <x v="43"/>
    <m/>
    <s v="PERU"/>
    <n v="67971"/>
    <n v="5237"/>
    <s v="3570036 TP ML 0392051 180G 2,20L DV U"/>
    <m/>
    <m/>
    <m/>
    <m/>
    <m/>
    <m/>
    <m/>
    <n v="8.6318289999999998"/>
    <n v="4954.67"/>
    <m/>
    <n v="180"/>
    <m/>
    <n v="574"/>
    <m/>
    <m/>
    <m/>
    <m/>
    <m/>
    <m/>
    <m/>
    <m/>
    <m/>
    <m/>
    <m/>
    <m/>
    <m/>
    <m/>
  </r>
  <r>
    <x v="11"/>
    <x v="5"/>
    <s v="COLCHÃO M.E."/>
    <m/>
    <x v="31"/>
    <m/>
    <s v="PARAGUAI"/>
    <n v="67972"/>
    <n v="5328"/>
    <s v="3420005 TP ML 0594001 300G 2,20L DV U"/>
    <m/>
    <m/>
    <m/>
    <m/>
    <m/>
    <m/>
    <m/>
    <n v="12.895762"/>
    <n v="4990.66"/>
    <m/>
    <n v="300"/>
    <m/>
    <n v="387"/>
    <m/>
    <m/>
    <m/>
    <m/>
    <m/>
    <m/>
    <m/>
    <m/>
    <m/>
    <m/>
    <m/>
    <m/>
    <m/>
    <m/>
  </r>
  <r>
    <x v="11"/>
    <x v="5"/>
    <s v="COLCHÃO M.E."/>
    <m/>
    <x v="31"/>
    <m/>
    <s v="PARAGUAI"/>
    <n v="67972"/>
    <n v="5300"/>
    <s v="3420004 TP ML A10529 420G 2,20L DV U"/>
    <m/>
    <m/>
    <m/>
    <m/>
    <m/>
    <m/>
    <m/>
    <n v="23.347577999999999"/>
    <n v="2988.49"/>
    <m/>
    <n v="420"/>
    <m/>
    <n v="128"/>
    <m/>
    <m/>
    <m/>
    <m/>
    <m/>
    <m/>
    <m/>
    <m/>
    <m/>
    <m/>
    <m/>
    <m/>
    <m/>
    <m/>
  </r>
  <r>
    <x v="11"/>
    <x v="5"/>
    <s v="COLCHÃO M.E."/>
    <m/>
    <x v="31"/>
    <m/>
    <s v="PARAGUAI"/>
    <n v="67972"/>
    <n v="5299"/>
    <s v="3420003 TP ML A10539 420G 2,20L DV U"/>
    <m/>
    <m/>
    <m/>
    <m/>
    <m/>
    <m/>
    <m/>
    <n v="23.971537999999999"/>
    <n v="3116.3"/>
    <m/>
    <n v="420"/>
    <m/>
    <n v="130"/>
    <m/>
    <m/>
    <m/>
    <m/>
    <m/>
    <m/>
    <m/>
    <m/>
    <m/>
    <m/>
    <m/>
    <m/>
    <m/>
    <m/>
  </r>
  <r>
    <x v="11"/>
    <x v="5"/>
    <s v="COLCHÃO M.E."/>
    <m/>
    <x v="31"/>
    <m/>
    <s v="PARAGUAI"/>
    <n v="67972"/>
    <n v="5298"/>
    <s v="3420002 TP ML A10540 420G 2,20L DV U"/>
    <m/>
    <m/>
    <m/>
    <m/>
    <m/>
    <m/>
    <m/>
    <n v="23.659528000000002"/>
    <n v="3004.76"/>
    <m/>
    <n v="420"/>
    <m/>
    <n v="127"/>
    <m/>
    <m/>
    <m/>
    <m/>
    <m/>
    <m/>
    <m/>
    <m/>
    <m/>
    <m/>
    <m/>
    <m/>
    <m/>
    <m/>
  </r>
  <r>
    <x v="11"/>
    <x v="5"/>
    <s v="COLCHÃO M.E."/>
    <m/>
    <x v="31"/>
    <m/>
    <s v="PARAGUAI"/>
    <n v="67972"/>
    <n v="3467"/>
    <s v="3420001 TP ML A08182 160G 2,20L DV U"/>
    <m/>
    <m/>
    <m/>
    <m/>
    <m/>
    <m/>
    <m/>
    <n v="8.8918320000000008"/>
    <n v="5290.64"/>
    <m/>
    <n v="160"/>
    <m/>
    <n v="595"/>
    <m/>
    <m/>
    <m/>
    <m/>
    <m/>
    <m/>
    <m/>
    <m/>
    <m/>
    <m/>
    <m/>
    <m/>
    <m/>
    <m/>
  </r>
  <r>
    <x v="3"/>
    <x v="5"/>
    <s v="COLCHÃO M.E."/>
    <m/>
    <x v="54"/>
    <m/>
    <s v="CHILE"/>
    <n v="68022"/>
    <n v="5305"/>
    <s v="3670001 TP ML 0067006 180G 2,10L DV U"/>
    <m/>
    <m/>
    <m/>
    <m/>
    <m/>
    <m/>
    <m/>
    <n v="9.0237010000000009"/>
    <n v="25500.98"/>
    <m/>
    <n v="180"/>
    <m/>
    <n v="2826"/>
    <m/>
    <m/>
    <m/>
    <m/>
    <m/>
    <m/>
    <m/>
    <m/>
    <m/>
    <m/>
    <m/>
    <m/>
    <m/>
    <m/>
  </r>
  <r>
    <x v="3"/>
    <x v="5"/>
    <s v="COLCHÃO M.E."/>
    <m/>
    <x v="54"/>
    <m/>
    <s v="CHILE"/>
    <n v="68022"/>
    <n v="5306"/>
    <s v="3670002 TP ML 0068016 180G 2,10L DV U"/>
    <m/>
    <m/>
    <m/>
    <m/>
    <m/>
    <m/>
    <m/>
    <n v="9.0237010000000009"/>
    <n v="23506.74"/>
    <m/>
    <n v="180"/>
    <m/>
    <n v="2605"/>
    <m/>
    <m/>
    <m/>
    <m/>
    <m/>
    <m/>
    <m/>
    <m/>
    <m/>
    <m/>
    <m/>
    <m/>
    <m/>
    <m/>
  </r>
  <r>
    <x v="3"/>
    <x v="5"/>
    <s v="COLCHÃO M.E."/>
    <m/>
    <x v="55"/>
    <m/>
    <s v="BOLIVIA"/>
    <n v="68032"/>
    <n v="2209"/>
    <s v="3370008 TP ML CZ CARIOCA 200G 2,10L DIVERSAS U"/>
    <m/>
    <m/>
    <m/>
    <m/>
    <m/>
    <m/>
    <m/>
    <n v="9.990653"/>
    <n v="12248.54"/>
    <m/>
    <n v="200"/>
    <m/>
    <n v="1226"/>
    <m/>
    <m/>
    <m/>
    <m/>
    <m/>
    <m/>
    <m/>
    <m/>
    <m/>
    <m/>
    <m/>
    <m/>
    <m/>
    <m/>
  </r>
  <r>
    <x v="3"/>
    <x v="5"/>
    <s v="COLCHÃO M.E."/>
    <m/>
    <x v="55"/>
    <m/>
    <s v="BOLIVIA"/>
    <n v="68032"/>
    <n v="5057"/>
    <s v="3390015 TP ML A10496 180G 2,10L DV U"/>
    <m/>
    <m/>
    <m/>
    <m/>
    <m/>
    <m/>
    <m/>
    <n v="8.5080620000000007"/>
    <n v="8516.57"/>
    <m/>
    <n v="180"/>
    <m/>
    <n v="1001"/>
    <m/>
    <m/>
    <m/>
    <m/>
    <m/>
    <m/>
    <m/>
    <m/>
    <m/>
    <m/>
    <m/>
    <m/>
    <m/>
    <m/>
  </r>
  <r>
    <x v="3"/>
    <x v="5"/>
    <s v="COLCHÃO M.E."/>
    <m/>
    <x v="55"/>
    <m/>
    <s v="BOLIVIA"/>
    <n v="68032"/>
    <n v="5218"/>
    <s v="3370013 TP ML 0074211 180G 2,20L DV U"/>
    <m/>
    <m/>
    <m/>
    <m/>
    <m/>
    <m/>
    <m/>
    <n v="8.8174460000000003"/>
    <n v="9355.31"/>
    <m/>
    <n v="180"/>
    <m/>
    <n v="1061"/>
    <m/>
    <m/>
    <m/>
    <m/>
    <m/>
    <m/>
    <m/>
    <m/>
    <m/>
    <m/>
    <m/>
    <m/>
    <m/>
    <m/>
  </r>
  <r>
    <x v="3"/>
    <x v="5"/>
    <s v="COLCHÃO M.E."/>
    <m/>
    <x v="55"/>
    <m/>
    <s v="BOLIVIA"/>
    <n v="68023"/>
    <n v="2209"/>
    <s v="3370008 TP ML CZ CARIOCA 200G 2,10L DIVERSAS U"/>
    <m/>
    <m/>
    <m/>
    <m/>
    <m/>
    <m/>
    <m/>
    <n v="9.8064359999999997"/>
    <n v="12022.69"/>
    <m/>
    <n v="200"/>
    <m/>
    <n v="1226"/>
    <m/>
    <m/>
    <m/>
    <m/>
    <m/>
    <m/>
    <m/>
    <m/>
    <m/>
    <m/>
    <m/>
    <m/>
    <m/>
    <m/>
  </r>
  <r>
    <x v="3"/>
    <x v="5"/>
    <s v="COLCHÃO M.E."/>
    <m/>
    <x v="55"/>
    <m/>
    <s v="BOLIVIA"/>
    <n v="68023"/>
    <n v="5057"/>
    <s v="3390015 TP ML A10496 180G 2,10L DV U"/>
    <m/>
    <m/>
    <m/>
    <m/>
    <m/>
    <m/>
    <m/>
    <n v="8.3405190000000005"/>
    <n v="8348.86"/>
    <m/>
    <n v="180"/>
    <m/>
    <n v="1001"/>
    <m/>
    <m/>
    <m/>
    <m/>
    <m/>
    <m/>
    <m/>
    <m/>
    <m/>
    <m/>
    <m/>
    <m/>
    <m/>
    <m/>
  </r>
  <r>
    <x v="3"/>
    <x v="5"/>
    <s v="COLCHÃO M.E."/>
    <m/>
    <x v="55"/>
    <m/>
    <s v="BOLIVIA"/>
    <n v="68023"/>
    <n v="5218"/>
    <s v="3370013 TP ML 0074211 180G 2,20L DV U"/>
    <m/>
    <m/>
    <m/>
    <m/>
    <m/>
    <m/>
    <m/>
    <n v="8.6438170000000003"/>
    <n v="9171.09"/>
    <m/>
    <n v="180"/>
    <m/>
    <n v="1061"/>
    <m/>
    <m/>
    <m/>
    <m/>
    <m/>
    <m/>
    <m/>
    <m/>
    <m/>
    <m/>
    <m/>
    <m/>
    <m/>
    <m/>
  </r>
  <r>
    <x v="3"/>
    <x v="5"/>
    <s v="COLCHÃO M.E."/>
    <m/>
    <x v="47"/>
    <m/>
    <s v="ARGENTINA"/>
    <n v="68036"/>
    <n v="5168"/>
    <s v="3610008 TP ML A10512 400G 2,20L DV U"/>
    <m/>
    <m/>
    <m/>
    <m/>
    <m/>
    <m/>
    <m/>
    <n v="30.196262999999998"/>
    <n v="46381.46"/>
    <m/>
    <n v="400"/>
    <m/>
    <n v="1536"/>
    <m/>
    <m/>
    <m/>
    <m/>
    <m/>
    <m/>
    <m/>
    <m/>
    <m/>
    <m/>
    <m/>
    <m/>
    <m/>
    <m/>
  </r>
  <r>
    <x v="3"/>
    <x v="5"/>
    <s v="COLCHÃO M.E."/>
    <m/>
    <x v="47"/>
    <m/>
    <s v="ARGENTINA"/>
    <n v="68057"/>
    <n v="4921"/>
    <s v="3610006 TP ML A10418 180G 2,10L DV U"/>
    <m/>
    <m/>
    <m/>
    <m/>
    <m/>
    <m/>
    <m/>
    <n v="7.0056520000000004"/>
    <n v="34621.93"/>
    <m/>
    <n v="180"/>
    <m/>
    <n v="4942"/>
    <m/>
    <m/>
    <m/>
    <m/>
    <m/>
    <m/>
    <m/>
    <m/>
    <m/>
    <m/>
    <m/>
    <m/>
    <m/>
    <m/>
  </r>
  <r>
    <x v="3"/>
    <x v="5"/>
    <s v="COLCHÃO M.E."/>
    <m/>
    <x v="47"/>
    <m/>
    <s v="ARGENTINA"/>
    <n v="68057"/>
    <n v="5168"/>
    <s v="3610008 TP ML A10512 400G 2,20L DV U"/>
    <m/>
    <m/>
    <m/>
    <m/>
    <m/>
    <m/>
    <m/>
    <n v="28.076388000000001"/>
    <n v="88300.24"/>
    <m/>
    <n v="400"/>
    <m/>
    <n v="3145"/>
    <m/>
    <m/>
    <m/>
    <m/>
    <m/>
    <m/>
    <m/>
    <m/>
    <m/>
    <m/>
    <m/>
    <m/>
    <m/>
    <m/>
  </r>
  <r>
    <x v="3"/>
    <x v="5"/>
    <s v="COLCHÃO M.E."/>
    <m/>
    <x v="47"/>
    <m/>
    <s v="ARGENTINA"/>
    <n v="68057"/>
    <n v="4922"/>
    <s v="3610007 TP ML 0558004 380G 2,20L DV U"/>
    <m/>
    <m/>
    <m/>
    <m/>
    <m/>
    <m/>
    <m/>
    <n v="32.741684999999997"/>
    <n v="72097.19"/>
    <m/>
    <n v="380"/>
    <m/>
    <n v="2202"/>
    <m/>
    <m/>
    <m/>
    <m/>
    <m/>
    <m/>
    <m/>
    <m/>
    <m/>
    <m/>
    <m/>
    <m/>
    <m/>
    <m/>
  </r>
  <r>
    <x v="3"/>
    <x v="5"/>
    <s v="COLCHÃO M.E."/>
    <m/>
    <x v="47"/>
    <m/>
    <s v="ARGENTINA"/>
    <n v="68057"/>
    <n v="4919"/>
    <s v="3610004 TP ML 0403034 240G 2,20L DV U"/>
    <m/>
    <m/>
    <m/>
    <m/>
    <m/>
    <m/>
    <m/>
    <n v="15.003302"/>
    <n v="25400.59"/>
    <m/>
    <n v="240"/>
    <m/>
    <n v="1693"/>
    <m/>
    <m/>
    <m/>
    <m/>
    <m/>
    <m/>
    <m/>
    <m/>
    <m/>
    <m/>
    <m/>
    <m/>
    <m/>
    <m/>
  </r>
  <r>
    <x v="3"/>
    <x v="5"/>
    <s v="COLCHÃO M.E."/>
    <m/>
    <x v="47"/>
    <m/>
    <s v="ARGENTINA"/>
    <n v="68057"/>
    <n v="4920"/>
    <s v="3610005 TP ML 0566001 220G 2,20L DV U"/>
    <m/>
    <m/>
    <m/>
    <m/>
    <m/>
    <m/>
    <m/>
    <n v="8.9025300000000005"/>
    <n v="68763.14"/>
    <m/>
    <n v="220"/>
    <m/>
    <n v="7724"/>
    <m/>
    <m/>
    <m/>
    <m/>
    <m/>
    <m/>
    <m/>
    <m/>
    <m/>
    <m/>
    <m/>
    <m/>
    <m/>
    <m/>
  </r>
  <r>
    <x v="3"/>
    <x v="5"/>
    <s v="COLCHÃO M.E."/>
    <m/>
    <x v="47"/>
    <m/>
    <s v="ARGENTINA"/>
    <n v="68057"/>
    <n v="4917"/>
    <s v="3610002 TP ML 0555004 280G 2,20L DV U"/>
    <m/>
    <m/>
    <m/>
    <m/>
    <m/>
    <m/>
    <m/>
    <n v="14.3881"/>
    <n v="28545.99"/>
    <m/>
    <n v="280"/>
    <m/>
    <n v="1984"/>
    <m/>
    <m/>
    <m/>
    <m/>
    <m/>
    <m/>
    <m/>
    <m/>
    <m/>
    <m/>
    <m/>
    <m/>
    <m/>
    <m/>
  </r>
  <r>
    <x v="3"/>
    <x v="5"/>
    <s v="COLCHÃO M.E."/>
    <m/>
    <x v="47"/>
    <m/>
    <s v="ARGENTINA"/>
    <n v="68057"/>
    <n v="4916"/>
    <s v="3610001 TP ML 0552001 280G 2,20L DV U"/>
    <m/>
    <m/>
    <m/>
    <m/>
    <m/>
    <m/>
    <m/>
    <n v="13.516560999999999"/>
    <n v="41549.910000000003"/>
    <m/>
    <n v="280"/>
    <m/>
    <n v="3074"/>
    <m/>
    <m/>
    <m/>
    <m/>
    <m/>
    <m/>
    <m/>
    <m/>
    <m/>
    <m/>
    <m/>
    <m/>
    <m/>
    <m/>
  </r>
  <r>
    <x v="3"/>
    <x v="5"/>
    <s v="COLCHÃO M.E."/>
    <m/>
    <x v="31"/>
    <m/>
    <s v="PARAGUAI"/>
    <n v="68064"/>
    <n v="3467"/>
    <s v="3420001 TP ML A08182 160G 2,20L DV U"/>
    <m/>
    <m/>
    <m/>
    <m/>
    <m/>
    <m/>
    <m/>
    <n v="8.8918320000000008"/>
    <n v="5290.64"/>
    <m/>
    <n v="160"/>
    <m/>
    <n v="595"/>
    <m/>
    <m/>
    <m/>
    <m/>
    <m/>
    <m/>
    <m/>
    <m/>
    <m/>
    <m/>
    <m/>
    <m/>
    <m/>
    <m/>
  </r>
  <r>
    <x v="3"/>
    <x v="5"/>
    <s v="COLCHÃO M.E."/>
    <m/>
    <x v="31"/>
    <m/>
    <s v="PARAGUAI"/>
    <n v="68064"/>
    <n v="5298"/>
    <s v="3420002 TP ML A10540 420G 2,20L DV U"/>
    <m/>
    <m/>
    <m/>
    <m/>
    <m/>
    <m/>
    <m/>
    <n v="23.659528000000002"/>
    <n v="3004.76"/>
    <m/>
    <n v="420"/>
    <m/>
    <n v="127"/>
    <m/>
    <m/>
    <m/>
    <m/>
    <m/>
    <m/>
    <m/>
    <m/>
    <m/>
    <m/>
    <m/>
    <m/>
    <m/>
    <m/>
  </r>
  <r>
    <x v="3"/>
    <x v="5"/>
    <s v="COLCHÃO M.E."/>
    <m/>
    <x v="31"/>
    <m/>
    <s v="PARAGUAI"/>
    <n v="68064"/>
    <n v="5299"/>
    <s v="3420003 TP ML A10539 420G 2,20L DV U"/>
    <m/>
    <m/>
    <m/>
    <m/>
    <m/>
    <m/>
    <m/>
    <n v="23.971537999999999"/>
    <n v="3116.3"/>
    <m/>
    <n v="420"/>
    <m/>
    <n v="130"/>
    <m/>
    <m/>
    <m/>
    <m/>
    <m/>
    <m/>
    <m/>
    <m/>
    <m/>
    <m/>
    <m/>
    <m/>
    <m/>
    <m/>
  </r>
  <r>
    <x v="3"/>
    <x v="5"/>
    <s v="COLCHÃO M.E."/>
    <m/>
    <x v="31"/>
    <m/>
    <s v="PARAGUAI"/>
    <n v="68064"/>
    <n v="5300"/>
    <s v="3420004 TP ML A10529 420G 2,20L DV U"/>
    <m/>
    <m/>
    <m/>
    <m/>
    <m/>
    <m/>
    <m/>
    <n v="23.347577999999999"/>
    <n v="2988.49"/>
    <m/>
    <n v="420"/>
    <m/>
    <n v="128"/>
    <m/>
    <m/>
    <m/>
    <m/>
    <m/>
    <m/>
    <m/>
    <m/>
    <m/>
    <m/>
    <m/>
    <m/>
    <m/>
    <m/>
  </r>
  <r>
    <x v="3"/>
    <x v="5"/>
    <s v="COLCHÃO M.E."/>
    <m/>
    <x v="31"/>
    <m/>
    <s v="PARAGUAI"/>
    <n v="68064"/>
    <n v="5328"/>
    <s v="3420005 TP ML 0594001 300G 2,20L DV U"/>
    <m/>
    <m/>
    <m/>
    <m/>
    <m/>
    <m/>
    <m/>
    <n v="12.895762"/>
    <n v="4990.66"/>
    <m/>
    <n v="300"/>
    <m/>
    <n v="387"/>
    <m/>
    <m/>
    <m/>
    <m/>
    <m/>
    <m/>
    <m/>
    <m/>
    <m/>
    <m/>
    <m/>
    <m/>
    <m/>
    <m/>
  </r>
  <r>
    <x v="3"/>
    <x v="5"/>
    <s v="COLCHÃO M.E."/>
    <m/>
    <x v="31"/>
    <m/>
    <s v="PARAGUAI"/>
    <n v="68072"/>
    <n v="3467"/>
    <s v="3420001 TP ML A08182 160G 2,20L DV U"/>
    <m/>
    <m/>
    <m/>
    <m/>
    <m/>
    <m/>
    <m/>
    <n v="8.7632440000000003"/>
    <n v="5214.13"/>
    <m/>
    <n v="160"/>
    <m/>
    <n v="595"/>
    <m/>
    <m/>
    <m/>
    <m/>
    <m/>
    <m/>
    <m/>
    <m/>
    <m/>
    <m/>
    <m/>
    <m/>
    <m/>
    <m/>
  </r>
  <r>
    <x v="3"/>
    <x v="5"/>
    <s v="COLCHÃO M.E."/>
    <m/>
    <x v="31"/>
    <m/>
    <s v="PARAGUAI"/>
    <n v="68072"/>
    <n v="5298"/>
    <s v="3420002 TP ML A10540 420G 2,20L DV U"/>
    <m/>
    <m/>
    <m/>
    <m/>
    <m/>
    <m/>
    <m/>
    <n v="23.317402000000001"/>
    <n v="2961.31"/>
    <m/>
    <n v="420"/>
    <m/>
    <n v="127"/>
    <m/>
    <m/>
    <m/>
    <m/>
    <m/>
    <m/>
    <m/>
    <m/>
    <m/>
    <m/>
    <m/>
    <m/>
    <m/>
    <m/>
  </r>
  <r>
    <x v="3"/>
    <x v="5"/>
    <s v="COLCHÃO M.E."/>
    <m/>
    <x v="31"/>
    <m/>
    <s v="PARAGUAI"/>
    <n v="68072"/>
    <n v="5299"/>
    <s v="3420003 TP ML A10539 420G 2,20L DV U"/>
    <m/>
    <m/>
    <m/>
    <m/>
    <m/>
    <m/>
    <m/>
    <n v="23.624846000000002"/>
    <n v="3071.23"/>
    <m/>
    <n v="420"/>
    <m/>
    <n v="130"/>
    <m/>
    <m/>
    <m/>
    <m/>
    <m/>
    <m/>
    <m/>
    <m/>
    <m/>
    <m/>
    <m/>
    <m/>
    <m/>
    <m/>
  </r>
  <r>
    <x v="3"/>
    <x v="5"/>
    <s v="COLCHÃO M.E."/>
    <m/>
    <x v="31"/>
    <m/>
    <s v="PARAGUAI"/>
    <n v="68072"/>
    <n v="5300"/>
    <s v="3420004 TP ML A10529 420G 2,20L DV U"/>
    <m/>
    <m/>
    <m/>
    <m/>
    <m/>
    <m/>
    <m/>
    <n v="23.009922"/>
    <n v="2945.27"/>
    <m/>
    <n v="420"/>
    <m/>
    <n v="128"/>
    <m/>
    <m/>
    <m/>
    <m/>
    <m/>
    <m/>
    <m/>
    <m/>
    <m/>
    <m/>
    <m/>
    <m/>
    <m/>
    <m/>
  </r>
  <r>
    <x v="3"/>
    <x v="5"/>
    <s v="COLCHÃO M.E."/>
    <m/>
    <x v="31"/>
    <m/>
    <s v="PARAGUAI"/>
    <n v="68072"/>
    <n v="5328"/>
    <s v="3420005 TP ML 0594001 300G 2,20L DV U"/>
    <m/>
    <m/>
    <m/>
    <m/>
    <m/>
    <m/>
    <m/>
    <n v="12.709251"/>
    <n v="4918.4799999999996"/>
    <m/>
    <n v="300"/>
    <m/>
    <n v="387"/>
    <m/>
    <m/>
    <m/>
    <m/>
    <m/>
    <m/>
    <m/>
    <m/>
    <m/>
    <m/>
    <m/>
    <m/>
    <m/>
    <m/>
  </r>
  <r>
    <x v="3"/>
    <x v="5"/>
    <s v="COLCHÃO M.E."/>
    <m/>
    <x v="56"/>
    <m/>
    <s v="PARAGUAI"/>
    <n v="68085"/>
    <n v="4160"/>
    <s v="3070002 TP ML 0054025 240G 2,20L DV U"/>
    <m/>
    <m/>
    <m/>
    <m/>
    <m/>
    <m/>
    <m/>
    <n v="12.299284999999999"/>
    <n v="12041"/>
    <m/>
    <n v="240"/>
    <m/>
    <n v="979"/>
    <m/>
    <m/>
    <m/>
    <m/>
    <m/>
    <m/>
    <m/>
    <m/>
    <m/>
    <m/>
    <m/>
    <m/>
    <m/>
    <m/>
  </r>
  <r>
    <x v="3"/>
    <x v="5"/>
    <s v="COLCHÃO M.E."/>
    <m/>
    <x v="1"/>
    <m/>
    <s v="URUGUAI"/>
    <n v="68171"/>
    <n v="1523"/>
    <s v="32282 - TELA ANTIDESLIZANTE DIVERSAS U"/>
    <m/>
    <m/>
    <m/>
    <m/>
    <m/>
    <m/>
    <m/>
    <n v="8.9500250000000001"/>
    <n v="45806.23"/>
    <m/>
    <n v="180"/>
    <m/>
    <n v="5118"/>
    <m/>
    <m/>
    <m/>
    <m/>
    <m/>
    <m/>
    <m/>
    <m/>
    <m/>
    <m/>
    <m/>
    <m/>
    <m/>
    <m/>
  </r>
  <r>
    <x v="3"/>
    <x v="5"/>
    <s v="COLCHÃO M.E."/>
    <m/>
    <x v="38"/>
    <m/>
    <s v="CHILE"/>
    <n v="68348"/>
    <n v="2536"/>
    <s v="2860012 TP ML HARMONY ME 440G 2,20L DIVERSAS U"/>
    <m/>
    <m/>
    <m/>
    <m/>
    <m/>
    <m/>
    <m/>
    <n v="37.964247"/>
    <n v="18146.91"/>
    <m/>
    <n v="440"/>
    <m/>
    <n v="478"/>
    <m/>
    <m/>
    <m/>
    <m/>
    <m/>
    <m/>
    <m/>
    <m/>
    <m/>
    <m/>
    <m/>
    <m/>
    <m/>
    <m/>
  </r>
  <r>
    <x v="3"/>
    <x v="5"/>
    <s v="COLCHÃO M.E."/>
    <m/>
    <x v="38"/>
    <m/>
    <s v="CHILE"/>
    <n v="68348"/>
    <n v="3276"/>
    <s v="2860014 TP ML A09686 370G 2,20L DIVERSAS U"/>
    <m/>
    <m/>
    <m/>
    <m/>
    <m/>
    <m/>
    <m/>
    <n v="36.267845999999999"/>
    <n v="16501.87"/>
    <m/>
    <n v="380"/>
    <m/>
    <n v="455"/>
    <m/>
    <m/>
    <m/>
    <m/>
    <m/>
    <m/>
    <m/>
    <m/>
    <m/>
    <m/>
    <m/>
    <m/>
    <m/>
    <m/>
  </r>
  <r>
    <x v="3"/>
    <x v="5"/>
    <s v="COLCHÃO M.E."/>
    <m/>
    <x v="38"/>
    <m/>
    <s v="CHILE"/>
    <n v="68348"/>
    <n v="4600"/>
    <s v="2860006 TP ML 260G 2,10L DV U"/>
    <m/>
    <m/>
    <m/>
    <m/>
    <m/>
    <m/>
    <m/>
    <n v="26.557427000000001"/>
    <n v="40154.83"/>
    <m/>
    <n v="260"/>
    <m/>
    <n v="1512"/>
    <m/>
    <m/>
    <m/>
    <m/>
    <m/>
    <m/>
    <m/>
    <m/>
    <m/>
    <m/>
    <m/>
    <m/>
    <m/>
    <m/>
  </r>
  <r>
    <x v="3"/>
    <x v="5"/>
    <s v="COLCHÃO M.E."/>
    <m/>
    <x v="47"/>
    <m/>
    <s v="ARGENTINA"/>
    <n v="68349"/>
    <n v="5168"/>
    <s v="3610008 TP ML A10512 400G 2,20L DV U"/>
    <m/>
    <m/>
    <m/>
    <m/>
    <m/>
    <m/>
    <m/>
    <n v="29.824013000000001"/>
    <n v="18133"/>
    <m/>
    <n v="400"/>
    <m/>
    <n v="608"/>
    <m/>
    <m/>
    <m/>
    <m/>
    <m/>
    <m/>
    <m/>
    <m/>
    <m/>
    <m/>
    <m/>
    <m/>
    <m/>
    <m/>
  </r>
  <r>
    <x v="3"/>
    <x v="5"/>
    <s v="COLCHÃO M.E."/>
    <m/>
    <x v="57"/>
    <m/>
    <s v="BOLIVIA"/>
    <n v="68356"/>
    <n v="4745"/>
    <s v="3580003 TP ML 0245005 260G 2,20L DV U"/>
    <m/>
    <m/>
    <m/>
    <m/>
    <m/>
    <m/>
    <m/>
    <n v="14.886107000000001"/>
    <n v="13382.61"/>
    <m/>
    <n v="260"/>
    <m/>
    <n v="899"/>
    <m/>
    <m/>
    <m/>
    <m/>
    <m/>
    <m/>
    <m/>
    <m/>
    <m/>
    <m/>
    <m/>
    <m/>
    <m/>
    <m/>
  </r>
  <r>
    <x v="3"/>
    <x v="5"/>
    <s v="COLCHÃO M.E."/>
    <m/>
    <x v="57"/>
    <m/>
    <s v="BOLIVIA"/>
    <n v="68356"/>
    <n v="4746"/>
    <s v="3580004 TP ML 0524004 440G 2,20L DV U"/>
    <m/>
    <m/>
    <m/>
    <m/>
    <m/>
    <m/>
    <m/>
    <n v="39.900902000000002"/>
    <n v="94684.84"/>
    <m/>
    <n v="440"/>
    <m/>
    <n v="2373"/>
    <m/>
    <m/>
    <m/>
    <m/>
    <m/>
    <m/>
    <m/>
    <m/>
    <m/>
    <m/>
    <m/>
    <m/>
    <m/>
    <m/>
  </r>
  <r>
    <x v="3"/>
    <x v="5"/>
    <s v="COLCHÃO M.E."/>
    <m/>
    <x v="18"/>
    <m/>
    <s v="URUGUAI"/>
    <n v="68453"/>
    <n v="4325"/>
    <s v="3030038 PL 160G 2,10L GRIS ESCURO DV U"/>
    <m/>
    <m/>
    <m/>
    <m/>
    <m/>
    <m/>
    <m/>
    <n v="9.9176140000000004"/>
    <n v="6109.25"/>
    <m/>
    <n v="160"/>
    <m/>
    <n v="616"/>
    <m/>
    <m/>
    <m/>
    <m/>
    <m/>
    <m/>
    <m/>
    <m/>
    <m/>
    <m/>
    <m/>
    <m/>
    <m/>
    <m/>
  </r>
  <r>
    <x v="3"/>
    <x v="5"/>
    <s v="COLCHÃO M.E."/>
    <m/>
    <x v="18"/>
    <m/>
    <s v="URUGUAI"/>
    <n v="68453"/>
    <n v="5404"/>
    <s v="3030074 TP ML 0679011 180G 2,10L DV U"/>
    <m/>
    <m/>
    <m/>
    <m/>
    <m/>
    <m/>
    <m/>
    <n v="9.1346480000000003"/>
    <n v="13245.24"/>
    <m/>
    <n v="180"/>
    <m/>
    <n v="1450"/>
    <m/>
    <m/>
    <m/>
    <m/>
    <m/>
    <m/>
    <m/>
    <m/>
    <m/>
    <m/>
    <m/>
    <m/>
    <m/>
    <m/>
  </r>
  <r>
    <x v="3"/>
    <x v="5"/>
    <s v="COLCHÃO M.E."/>
    <m/>
    <x v="18"/>
    <m/>
    <s v="URUGUAI"/>
    <n v="68453"/>
    <n v="5403"/>
    <s v="3030073 TP ML A10579 180G 2,10L DV U"/>
    <m/>
    <m/>
    <m/>
    <m/>
    <m/>
    <m/>
    <m/>
    <n v="8.6126710000000006"/>
    <n v="17544.009999999998"/>
    <m/>
    <n v="180"/>
    <m/>
    <n v="2037"/>
    <m/>
    <m/>
    <m/>
    <m/>
    <m/>
    <m/>
    <m/>
    <m/>
    <m/>
    <m/>
    <m/>
    <m/>
    <m/>
    <m/>
  </r>
  <r>
    <x v="3"/>
    <x v="5"/>
    <s v="COLCHÃO M.E."/>
    <m/>
    <x v="18"/>
    <m/>
    <s v="URUGUAI"/>
    <n v="68453"/>
    <n v="4707"/>
    <s v="3030072 TP ML 0149003 180G 2,10L DV U"/>
    <m/>
    <m/>
    <m/>
    <m/>
    <m/>
    <m/>
    <m/>
    <n v="10.074215000000001"/>
    <n v="15463.92"/>
    <m/>
    <n v="180"/>
    <m/>
    <n v="1535"/>
    <m/>
    <m/>
    <m/>
    <m/>
    <m/>
    <m/>
    <m/>
    <m/>
    <m/>
    <m/>
    <m/>
    <m/>
    <m/>
    <m/>
  </r>
  <r>
    <x v="3"/>
    <x v="5"/>
    <s v="COLCHÃO M.E."/>
    <m/>
    <x v="18"/>
    <m/>
    <s v="URUGUAI"/>
    <n v="68453"/>
    <n v="4706"/>
    <s v="3030071 TP ML 0071013 180G 2,10L DV U"/>
    <m/>
    <m/>
    <m/>
    <m/>
    <m/>
    <m/>
    <m/>
    <n v="10.074211"/>
    <n v="15453.84"/>
    <m/>
    <n v="180"/>
    <m/>
    <n v="1534"/>
    <m/>
    <m/>
    <m/>
    <m/>
    <m/>
    <m/>
    <m/>
    <m/>
    <m/>
    <m/>
    <m/>
    <m/>
    <m/>
    <m/>
  </r>
  <r>
    <x v="3"/>
    <x v="5"/>
    <s v="COLCHÃO M.E."/>
    <m/>
    <x v="18"/>
    <m/>
    <s v="URUGUAI"/>
    <n v="68453"/>
    <n v="3500"/>
    <s v="3030013 PL 160G 2,10L AZUL MARINO DV U"/>
    <m/>
    <m/>
    <m/>
    <m/>
    <m/>
    <m/>
    <m/>
    <n v="10.074211999999999"/>
    <n v="10285.77"/>
    <m/>
    <n v="160"/>
    <m/>
    <n v="1021"/>
    <m/>
    <m/>
    <m/>
    <m/>
    <m/>
    <m/>
    <m/>
    <m/>
    <m/>
    <m/>
    <m/>
    <m/>
    <m/>
    <m/>
  </r>
  <r>
    <x v="3"/>
    <x v="5"/>
    <s v="COLCHÃO M.E."/>
    <m/>
    <x v="18"/>
    <m/>
    <s v="URUGUAI"/>
    <n v="68453"/>
    <n v="3146"/>
    <s v="3030054 PL 180G 2,10L GRIS PERLA DV U"/>
    <m/>
    <m/>
    <m/>
    <m/>
    <m/>
    <m/>
    <m/>
    <n v="10.804983999999999"/>
    <n v="13441.4"/>
    <m/>
    <n v="180"/>
    <m/>
    <n v="1244"/>
    <m/>
    <m/>
    <m/>
    <m/>
    <m/>
    <m/>
    <m/>
    <m/>
    <m/>
    <m/>
    <m/>
    <m/>
    <m/>
    <m/>
  </r>
  <r>
    <x v="3"/>
    <x v="5"/>
    <s v="COLCHÃO M.E."/>
    <m/>
    <x v="18"/>
    <m/>
    <s v="URUGUAI"/>
    <n v="68453"/>
    <n v="3135"/>
    <s v="3030040 PL 160G 2,10L NEGRO DV U"/>
    <m/>
    <m/>
    <m/>
    <m/>
    <m/>
    <m/>
    <m/>
    <n v="9.5000339999999994"/>
    <n v="8350.5300000000007"/>
    <m/>
    <n v="160"/>
    <m/>
    <n v="879"/>
    <m/>
    <m/>
    <m/>
    <m/>
    <m/>
    <m/>
    <m/>
    <m/>
    <m/>
    <m/>
    <m/>
    <m/>
    <m/>
    <m/>
  </r>
  <r>
    <x v="3"/>
    <x v="5"/>
    <s v="COLCHÃO M.E."/>
    <m/>
    <x v="18"/>
    <m/>
    <s v="URUGUAI"/>
    <n v="68453"/>
    <n v="2430"/>
    <s v="3030041-MI PL 160G 2,10L DIVERSAS U"/>
    <m/>
    <m/>
    <m/>
    <m/>
    <m/>
    <m/>
    <m/>
    <n v="10.074206"/>
    <n v="4694.58"/>
    <m/>
    <n v="160"/>
    <m/>
    <n v="466"/>
    <m/>
    <m/>
    <m/>
    <m/>
    <m/>
    <m/>
    <m/>
    <m/>
    <m/>
    <m/>
    <m/>
    <m/>
    <m/>
    <m/>
  </r>
  <r>
    <x v="3"/>
    <x v="5"/>
    <s v="COLCHÃO M.E."/>
    <m/>
    <x v="58"/>
    <m/>
    <s v="ARGENTINA"/>
    <n v="68475"/>
    <n v="5301"/>
    <s v="3660001 TP ML 0613021 260G 2,20L DV U"/>
    <m/>
    <m/>
    <m/>
    <m/>
    <m/>
    <m/>
    <m/>
    <n v="23.697892"/>
    <n v="94341.31"/>
    <m/>
    <n v="260"/>
    <m/>
    <n v="3981"/>
    <m/>
    <m/>
    <m/>
    <m/>
    <m/>
    <m/>
    <m/>
    <m/>
    <m/>
    <m/>
    <m/>
    <m/>
    <m/>
    <m/>
  </r>
  <r>
    <x v="3"/>
    <x v="5"/>
    <s v="COLCHÃO M.E."/>
    <m/>
    <x v="58"/>
    <m/>
    <s v="ARGENTINA"/>
    <n v="68475"/>
    <n v="5302"/>
    <s v="3660002 TP ML 0641014 280G 2,20L DV U"/>
    <m/>
    <m/>
    <m/>
    <m/>
    <m/>
    <m/>
    <m/>
    <n v="18.425892999999999"/>
    <n v="94893.35"/>
    <m/>
    <n v="280"/>
    <m/>
    <n v="5150"/>
    <m/>
    <m/>
    <m/>
    <m/>
    <m/>
    <m/>
    <m/>
    <m/>
    <m/>
    <m/>
    <m/>
    <m/>
    <m/>
    <m/>
  </r>
  <r>
    <x v="3"/>
    <x v="5"/>
    <s v="COLCHÃO M.E."/>
    <m/>
    <x v="58"/>
    <m/>
    <s v="ARGENTINA"/>
    <n v="68475"/>
    <n v="5304"/>
    <s v="3660004 TP ML 0629011 220G 2,20L DV U"/>
    <m/>
    <m/>
    <m/>
    <m/>
    <m/>
    <m/>
    <m/>
    <n v="10.700589000000001"/>
    <n v="55225.74"/>
    <m/>
    <n v="220"/>
    <m/>
    <n v="5161"/>
    <m/>
    <m/>
    <m/>
    <m/>
    <m/>
    <m/>
    <m/>
    <m/>
    <m/>
    <m/>
    <m/>
    <m/>
    <m/>
    <m/>
  </r>
  <r>
    <x v="3"/>
    <x v="5"/>
    <s v="COLCHÃO M.E."/>
    <m/>
    <x v="58"/>
    <m/>
    <s v="ARGENTINA"/>
    <n v="68475"/>
    <n v="5325"/>
    <s v="3660006 TP ML 0132054 280G 2,20L DV U"/>
    <m/>
    <m/>
    <m/>
    <m/>
    <m/>
    <m/>
    <m/>
    <n v="16.651157999999999"/>
    <n v="15668.74"/>
    <m/>
    <n v="280"/>
    <m/>
    <n v="941"/>
    <m/>
    <m/>
    <m/>
    <m/>
    <m/>
    <m/>
    <m/>
    <m/>
    <m/>
    <m/>
    <m/>
    <m/>
    <m/>
    <m/>
  </r>
  <r>
    <x v="3"/>
    <x v="5"/>
    <s v="COLCHÃO M.E."/>
    <m/>
    <x v="58"/>
    <m/>
    <s v="ARGENTINA"/>
    <n v="68475"/>
    <n v="5325"/>
    <s v="3660006 TP ML 0132054 280G 2,20L DV U"/>
    <m/>
    <m/>
    <m/>
    <m/>
    <m/>
    <m/>
    <m/>
    <n v="16.651163"/>
    <n v="83205.86"/>
    <m/>
    <n v="280"/>
    <m/>
    <n v="4997"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7">
  <r>
    <x v="0"/>
    <x v="0"/>
    <s v="COLCHÃO M.E."/>
    <s v="DIRETO"/>
    <x v="0"/>
    <s v="NADA"/>
    <x v="0"/>
    <n v="37002"/>
    <n v="2510001"/>
    <x v="0"/>
    <s v="DIRECTO"/>
    <s v="EX"/>
    <s v="Colchão M.E."/>
    <n v="1"/>
    <s v="DIRETO"/>
    <n v="44285"/>
    <m/>
    <n v="30.65"/>
    <n v="24488.12"/>
    <s v="KG"/>
    <n v="210"/>
    <n v="34"/>
    <n v="1551"/>
    <n v="798.96"/>
    <n v="16.739999999999998"/>
    <n v="16401.05"/>
    <m/>
    <m/>
    <m/>
    <n v="979.52"/>
    <n v="489.76"/>
    <n v="1230.4000000000001"/>
    <n v="5387.39"/>
    <n v="14152.18"/>
    <m/>
    <m/>
    <n v="15.788600902643456"/>
  </r>
  <r>
    <x v="0"/>
    <x v="0"/>
    <s v="COLCHÃO M.E."/>
    <s v="DIRETO"/>
    <x v="0"/>
    <s v="NADA"/>
    <x v="0"/>
    <n v="37002"/>
    <n v="2510002"/>
    <x v="0"/>
    <s v="DIRECTO"/>
    <s v="EX"/>
    <s v="Colchão M.E."/>
    <n v="1"/>
    <s v="DIRETO"/>
    <n v="44285"/>
    <m/>
    <n v="29.1"/>
    <n v="7397.8"/>
    <s v="KG"/>
    <n v="160"/>
    <n v="14"/>
    <n v="639"/>
    <n v="254.22"/>
    <n v="19.760000000000002"/>
    <n v="4934.92"/>
    <m/>
    <m/>
    <m/>
    <n v="295.91000000000003"/>
    <n v="147.96"/>
    <n v="391.5"/>
    <n v="1627.52"/>
    <n v="4031.27"/>
    <m/>
    <m/>
    <n v="11.577151799687011"/>
  </r>
  <r>
    <x v="0"/>
    <x v="0"/>
    <s v="COLCHÃO M.E."/>
    <s v="DIRETO"/>
    <x v="0"/>
    <s v="NADA"/>
    <x v="0"/>
    <n v="37002"/>
    <n v="2510003"/>
    <x v="0"/>
    <s v="DIRECTO"/>
    <s v="EX"/>
    <s v="Colchão M.E."/>
    <n v="1"/>
    <s v="DIRETO"/>
    <n v="44285"/>
    <m/>
    <n v="34.58"/>
    <n v="13620.37"/>
    <s v="KG"/>
    <n v="330"/>
    <n v="13"/>
    <n v="564"/>
    <n v="393.88"/>
    <n v="17.25"/>
    <n v="9200.09"/>
    <m/>
    <m/>
    <m/>
    <n v="544.80999999999995"/>
    <n v="272.41000000000003"/>
    <n v="606.58000000000004"/>
    <n v="2996.48"/>
    <n v="6660.94"/>
    <m/>
    <m/>
    <n v="24.149592198581562"/>
  </r>
  <r>
    <x v="0"/>
    <x v="0"/>
    <s v="COLCHÃO M.E."/>
    <s v="DIRETO"/>
    <x v="0"/>
    <s v="NADA"/>
    <x v="0"/>
    <n v="37002"/>
    <n v="2510004"/>
    <x v="0"/>
    <s v="DIRECTO"/>
    <s v="EX"/>
    <s v="Colchão M.E."/>
    <n v="1"/>
    <s v="DIRETO"/>
    <n v="44285"/>
    <m/>
    <n v="31.73"/>
    <n v="15171.38"/>
    <s v="KG"/>
    <n v="280"/>
    <n v="15"/>
    <n v="717"/>
    <n v="478.14"/>
    <n v="17.350000000000001"/>
    <n v="10187.06"/>
    <m/>
    <m/>
    <m/>
    <n v="606.86"/>
    <n v="303.43"/>
    <n v="736.34"/>
    <n v="3337.7"/>
    <n v="8345.8700000000008"/>
    <m/>
    <m/>
    <n v="21.159525801952579"/>
  </r>
  <r>
    <x v="0"/>
    <x v="0"/>
    <s v="COLCHÃO M.E."/>
    <s v="DIRETO"/>
    <x v="0"/>
    <s v="NADA"/>
    <x v="0"/>
    <n v="37002"/>
    <n v="2510005"/>
    <x v="0"/>
    <s v="DIRECTO"/>
    <s v="EX"/>
    <s v="Colchão M.E."/>
    <n v="1"/>
    <s v="DIRETO"/>
    <n v="44285"/>
    <m/>
    <n v="32.369999999999997"/>
    <n v="14176.12"/>
    <s v="KG"/>
    <n v="280"/>
    <n v="13"/>
    <n v="670"/>
    <n v="437.94"/>
    <n v="17.399999999999999"/>
    <n v="9532.3799999999992"/>
    <m/>
    <m/>
    <m/>
    <n v="567.04"/>
    <n v="283.52"/>
    <n v="674.43"/>
    <n v="3118.75"/>
    <n v="7635.89"/>
    <m/>
    <m/>
    <n v="21.158388059701494"/>
  </r>
  <r>
    <x v="0"/>
    <x v="0"/>
    <s v="COLCHÃO M.E."/>
    <s v="DIRETO"/>
    <x v="0"/>
    <s v="NADA"/>
    <x v="0"/>
    <n v="37002"/>
    <n v="2510006"/>
    <x v="0"/>
    <s v="DIRECTO"/>
    <s v="EX"/>
    <s v="Colchão M.E."/>
    <n v="1"/>
    <s v="DIRETO"/>
    <n v="44285"/>
    <m/>
    <n v="33.54"/>
    <n v="14033.14"/>
    <s v="KG"/>
    <n v="340"/>
    <n v="18"/>
    <n v="573"/>
    <n v="418.4"/>
    <n v="18.79"/>
    <n v="9459.52"/>
    <m/>
    <m/>
    <m/>
    <n v="561.33000000000004"/>
    <n v="280.66000000000003"/>
    <n v="644.34"/>
    <n v="3087.29"/>
    <n v="6727.51"/>
    <m/>
    <m/>
    <n v="24.49064572425829"/>
  </r>
  <r>
    <x v="0"/>
    <x v="0"/>
    <s v="COLCHÃO M.E."/>
    <s v="DIRETO"/>
    <x v="0"/>
    <s v="NADA"/>
    <x v="0"/>
    <n v="37002"/>
    <n v="2510007"/>
    <x v="1"/>
    <s v="DIRECTO"/>
    <s v="EX"/>
    <s v="Colchão M.E."/>
    <n v="1"/>
    <s v="DIRETO"/>
    <n v="44285"/>
    <m/>
    <n v="36.520000000000003"/>
    <n v="13055.17"/>
    <s v="KG"/>
    <n v="280"/>
    <n v="15"/>
    <n v="617"/>
    <n v="357.48"/>
    <n v="15.98"/>
    <n v="8849.2000000000007"/>
    <m/>
    <m/>
    <m/>
    <n v="522.21"/>
    <n v="261.10000000000002"/>
    <n v="550.52"/>
    <n v="2872.14"/>
    <n v="6409.85"/>
    <m/>
    <m/>
    <n v="21.159108589951376"/>
  </r>
  <r>
    <x v="1"/>
    <x v="0"/>
    <s v="COLCHÃO M.E."/>
    <s v="DIRETO"/>
    <x v="1"/>
    <s v="NADA"/>
    <x v="1"/>
    <n v="37611"/>
    <n v="2540001"/>
    <x v="2"/>
    <s v="DIVINO COLCHONES"/>
    <s v="EX"/>
    <s v="Colchão M.E."/>
    <n v="90"/>
    <s v="MARTIN"/>
    <n v="44351"/>
    <m/>
    <n v="27.94"/>
    <n v="114605.41"/>
    <s v="KG"/>
    <n v="180"/>
    <n v="200"/>
    <n v="10185"/>
    <n v="4101.84"/>
    <n v="6.74"/>
    <n v="76199.06"/>
    <m/>
    <m/>
    <m/>
    <n v="4584.22"/>
    <n v="2292.11"/>
    <n v="6316.83"/>
    <n v="25213.19"/>
    <n v="71206.27"/>
    <m/>
    <m/>
    <n v="11.252372115856652"/>
  </r>
  <r>
    <x v="1"/>
    <x v="0"/>
    <s v="COLCHÃO M.E."/>
    <s v="DIRETO"/>
    <x v="1"/>
    <s v="NADA"/>
    <x v="1"/>
    <n v="37611"/>
    <n v="2540002"/>
    <x v="3"/>
    <s v="DIVINO COLCHONES"/>
    <s v="EX"/>
    <s v="Colchão M.E."/>
    <n v="90"/>
    <s v="MARTIN"/>
    <n v="44351"/>
    <m/>
    <n v="35.909999999999997"/>
    <n v="196841.38"/>
    <s v="KG"/>
    <n v="300"/>
    <n v="215"/>
    <n v="7827"/>
    <n v="5481.52"/>
    <n v="21.33"/>
    <n v="141157.91"/>
    <m/>
    <m/>
    <m/>
    <m/>
    <n v="3936.83"/>
    <n v="8441.5400000000009"/>
    <n v="43305.1"/>
    <n v="102932.88"/>
    <m/>
    <m/>
    <n v="25.149020058770923"/>
  </r>
  <r>
    <x v="1"/>
    <x v="0"/>
    <s v="COLCHÃO M.E."/>
    <s v="DIRETO"/>
    <x v="1"/>
    <s v="NADA"/>
    <x v="1"/>
    <n v="37799"/>
    <n v="2540003"/>
    <x v="4"/>
    <s v="DIVINO COLCHONES"/>
    <s v="EX"/>
    <s v="Colchão M.E."/>
    <n v="90"/>
    <s v="MARTIN"/>
    <n v="44369"/>
    <m/>
    <n v="31.75"/>
    <n v="175133"/>
    <s v="KG"/>
    <n v="400"/>
    <n v="206"/>
    <n v="6345"/>
    <n v="5516"/>
    <n v="18.350000000000001"/>
    <n v="124606.44"/>
    <m/>
    <m/>
    <m/>
    <m/>
    <n v="3502.66"/>
    <n v="8494.64"/>
    <n v="38529.26"/>
    <n v="90084.05"/>
    <m/>
    <m/>
    <n v="27.601733648542158"/>
  </r>
  <r>
    <x v="1"/>
    <x v="0"/>
    <s v="COLCHÃO M.E."/>
    <s v="DIRETO"/>
    <x v="1"/>
    <s v="NADA"/>
    <x v="1"/>
    <n v="37921"/>
    <n v="2540003"/>
    <x v="5"/>
    <s v="DIVINO COLCHONES"/>
    <s v="EX"/>
    <s v="Colchão M.E."/>
    <n v="90"/>
    <s v="MARTIN"/>
    <n v="44376"/>
    <m/>
    <n v="30.03"/>
    <n v="40210.17"/>
    <s v="KG"/>
    <n v="400"/>
    <n v="50"/>
    <n v="1555"/>
    <n v="1339"/>
    <n v="18.350000000000001"/>
    <n v="28497.67"/>
    <m/>
    <m/>
    <m/>
    <m/>
    <n v="804.2"/>
    <n v="2062.06"/>
    <n v="8846.24"/>
    <n v="21867.759999999998"/>
    <m/>
    <m/>
    <n v="25.858630225080386"/>
  </r>
  <r>
    <x v="1"/>
    <x v="0"/>
    <s v="COLCHÃO M.E."/>
    <s v="DIRETO"/>
    <x v="1"/>
    <s v="NADA"/>
    <x v="1"/>
    <n v="37922"/>
    <n v="2540003"/>
    <x v="5"/>
    <s v="DIVINO COLCHONES"/>
    <s v="EX"/>
    <s v="Colchão M.E."/>
    <n v="90"/>
    <s v="MARTIN"/>
    <n v="44376"/>
    <m/>
    <n v="30.04"/>
    <n v="125477.08"/>
    <s v="KG"/>
    <n v="400"/>
    <n v="156"/>
    <n v="4790"/>
    <n v="4177"/>
    <n v="18.350000000000001"/>
    <n v="88930"/>
    <m/>
    <m/>
    <m/>
    <m/>
    <n v="2509.54"/>
    <n v="6432.58"/>
    <n v="27604.959999999999"/>
    <n v="68216.3"/>
    <m/>
    <m/>
    <n v="26.195632567849689"/>
  </r>
  <r>
    <x v="2"/>
    <x v="0"/>
    <s v="COLCHÃO M.E."/>
    <s v="DIRETO"/>
    <x v="2"/>
    <s v="NADA"/>
    <x v="2"/>
    <n v="38090"/>
    <n v="2590001"/>
    <x v="6"/>
    <s v="COLCHONES NOVATEX"/>
    <s v="EX"/>
    <s v="Colchão M.E."/>
    <n v="91"/>
    <s v="DIRETO"/>
    <n v="44391"/>
    <m/>
    <n v="24.1"/>
    <n v="76084.66"/>
    <s v="KG"/>
    <n v="160"/>
    <n v="158"/>
    <n v="8000"/>
    <n v="3157.04"/>
    <n v="12.94"/>
    <n v="39925.24"/>
    <m/>
    <n v="9993.8700000000008"/>
    <m/>
    <n v="3043.39"/>
    <n v="1521.69"/>
    <n v="4861.84"/>
    <n v="16738.63"/>
    <n v="48868.54"/>
    <m/>
    <m/>
    <n v="9.5105824999999999"/>
  </r>
  <r>
    <x v="2"/>
    <x v="0"/>
    <s v="COLCHÃO M.E."/>
    <s v="DIRETO"/>
    <x v="2"/>
    <s v="NADA"/>
    <x v="2"/>
    <n v="38090"/>
    <n v="2590002"/>
    <x v="7"/>
    <s v="COLCHONES NOVATEX"/>
    <s v="EX"/>
    <s v="Colchão M.E."/>
    <n v="91"/>
    <s v="DIRETO"/>
    <n v="44391"/>
    <m/>
    <n v="24.7"/>
    <n v="58692.88"/>
    <s v="KG"/>
    <n v="160"/>
    <n v="127"/>
    <n v="6000"/>
    <n v="2376.23"/>
    <n v="11.27"/>
    <n v="30890.06"/>
    <m/>
    <n v="7709.42"/>
    <m/>
    <n v="2347.7199999999998"/>
    <n v="1173.8599999999999"/>
    <n v="3659.39"/>
    <n v="12912.43"/>
    <n v="37931.949999999997"/>
    <m/>
    <m/>
    <n v="9.7821466666666659"/>
  </r>
  <r>
    <x v="3"/>
    <x v="0"/>
    <s v="COLCHÃO M.E."/>
    <s v="DIRETO"/>
    <x v="3"/>
    <s v="NADA"/>
    <x v="3"/>
    <n v="39001"/>
    <n v="2630002"/>
    <x v="8"/>
    <s v="COLCHONES REX"/>
    <s v="EX"/>
    <s v="Colchão M.E."/>
    <n v="87"/>
    <s v="DIRETO"/>
    <n v="44456"/>
    <m/>
    <n v="26.12"/>
    <n v="40036.74"/>
    <s v="KG"/>
    <n v="280"/>
    <n v="48"/>
    <n v="2369"/>
    <n v="1532.8"/>
    <n v="1.27"/>
    <n v="28067.41"/>
    <m/>
    <m/>
    <m/>
    <m/>
    <n v="800.73"/>
    <n v="2360.5100000000002"/>
    <n v="8808.08"/>
    <n v="29087.200000000001"/>
    <m/>
    <m/>
    <n v="16.900270156184042"/>
  </r>
  <r>
    <x v="3"/>
    <x v="0"/>
    <s v="COLCHÃO M.E."/>
    <s v="DIRETO"/>
    <x v="3"/>
    <s v="NADA"/>
    <x v="3"/>
    <n v="39001"/>
    <n v="2630001"/>
    <x v="9"/>
    <s v="COLCHONES REX"/>
    <s v="EX"/>
    <s v="Colchão M.E."/>
    <n v="87"/>
    <s v="DIRETO"/>
    <n v="44456"/>
    <m/>
    <n v="25.57"/>
    <n v="67892.44"/>
    <s v="KG"/>
    <n v="280"/>
    <n v="80"/>
    <n v="4016"/>
    <n v="2655.16"/>
    <n v="10.54"/>
    <n v="47509.31"/>
    <m/>
    <m/>
    <m/>
    <m/>
    <n v="1357.85"/>
    <n v="4088.95"/>
    <n v="14936.34"/>
    <n v="43440.37"/>
    <m/>
    <m/>
    <n v="16.905488047808767"/>
  </r>
  <r>
    <x v="3"/>
    <x v="0"/>
    <s v="COLCHÃO M.E."/>
    <s v="DIRETO"/>
    <x v="3"/>
    <s v="NADA"/>
    <x v="3"/>
    <n v="39001"/>
    <n v="2630003"/>
    <x v="10"/>
    <s v="COLCHONES REX"/>
    <s v="EX"/>
    <s v="Colchão M.E."/>
    <n v="87"/>
    <s v="DIRETO"/>
    <n v="44456"/>
    <m/>
    <n v="27.81"/>
    <n v="38371.68"/>
    <s v="KG"/>
    <n v="160"/>
    <n v="67"/>
    <n v="3582"/>
    <n v="1379.78"/>
    <n v="13.63"/>
    <n v="27037.62"/>
    <m/>
    <m/>
    <m/>
    <m/>
    <n v="767.43"/>
    <n v="2124.86"/>
    <n v="8441.77"/>
    <n v="22898.44"/>
    <m/>
    <m/>
    <n v="10.712361809045227"/>
  </r>
  <r>
    <x v="4"/>
    <x v="0"/>
    <s v="COLCHÃO M.E."/>
    <s v="DIRETO"/>
    <x v="1"/>
    <s v="NADA"/>
    <x v="1"/>
    <n v="39235"/>
    <n v="2540004"/>
    <x v="11"/>
    <s v="DIVINO COLCHONES"/>
    <s v="EX"/>
    <s v="Colchão M.E."/>
    <n v="87"/>
    <s v="MARTIN"/>
    <n v="44477"/>
    <m/>
    <n v="30.46"/>
    <n v="7330.5"/>
    <s v="KG"/>
    <n v="160"/>
    <n v="11"/>
    <n v="632"/>
    <n v="240.66"/>
    <n v="23.9"/>
    <n v="5200.5600000000004"/>
    <m/>
    <m/>
    <m/>
    <m/>
    <n v="146.61000000000001"/>
    <n v="370.62"/>
    <n v="1612.71"/>
    <n v="3805.06"/>
    <m/>
    <m/>
    <n v="11.598892405063291"/>
  </r>
  <r>
    <x v="4"/>
    <x v="0"/>
    <s v="COLCHÃO M.E."/>
    <s v="DIRETO"/>
    <x v="1"/>
    <s v="NADA"/>
    <x v="1"/>
    <n v="39235"/>
    <n v="2540005"/>
    <x v="12"/>
    <s v="DIVINO COLCHONES"/>
    <s v="EX"/>
    <s v="Colchão M.E."/>
    <n v="87"/>
    <s v="MARTIN"/>
    <n v="44477"/>
    <m/>
    <n v="33.6"/>
    <n v="111974.02"/>
    <s v="KG"/>
    <n v="240"/>
    <n v="120"/>
    <n v="6222"/>
    <n v="3332.56"/>
    <n v="21.63"/>
    <n v="79968.11"/>
    <m/>
    <m/>
    <m/>
    <m/>
    <n v="2239.48"/>
    <n v="5132.1400000000003"/>
    <n v="24634.28"/>
    <n v="57845.84"/>
    <m/>
    <m/>
    <n v="17.996467373834779"/>
  </r>
  <r>
    <x v="4"/>
    <x v="0"/>
    <s v="COLCHÃO M.E."/>
    <s v="DIRETO"/>
    <x v="4"/>
    <s v="NADA"/>
    <x v="0"/>
    <n v="39423"/>
    <s v="LOT 1 - 160G"/>
    <x v="13"/>
    <s v="WENTURS TRADE"/>
    <s v="EX"/>
    <s v="Colchão M.E."/>
    <n v="87"/>
    <s v="DIRETO"/>
    <n v="44494"/>
    <m/>
    <n v="29.06"/>
    <n v="16632.2"/>
    <s v="KG"/>
    <n v="160"/>
    <n v="31"/>
    <n v="1529"/>
    <n v="572.34"/>
    <n v="12.74"/>
    <n v="11759.07"/>
    <m/>
    <m/>
    <m/>
    <m/>
    <n v="332.64"/>
    <n v="881.4"/>
    <n v="3659.08"/>
    <n v="10032.32"/>
    <m/>
    <m/>
    <n v="10.87782864617397"/>
  </r>
  <r>
    <x v="4"/>
    <x v="0"/>
    <s v="COLCHÃO M.E."/>
    <s v="DIRETO"/>
    <x v="4"/>
    <s v="NADA"/>
    <x v="0"/>
    <n v="39423"/>
    <s v="LOT 1 - 260G"/>
    <x v="14"/>
    <s v="WENTURS TRADE"/>
    <s v="EX"/>
    <s v="Colchão M.E."/>
    <n v="87"/>
    <s v="DIRETO"/>
    <n v="44494"/>
    <m/>
    <n v="17.809999999999999"/>
    <n v="23774.93"/>
    <s v="KG"/>
    <n v="260"/>
    <n v="46"/>
    <n v="2185"/>
    <n v="1334.92"/>
    <n v="-29.01"/>
    <n v="16013.17"/>
    <m/>
    <m/>
    <m/>
    <m/>
    <n v="475.5"/>
    <n v="2055.7800000000002"/>
    <n v="5230.4799999999996"/>
    <n v="23946.86"/>
    <m/>
    <m/>
    <n v="10.880974828375287"/>
  </r>
  <r>
    <x v="4"/>
    <x v="0"/>
    <s v="COLCHÃO M.E."/>
    <s v="DIRETO"/>
    <x v="4"/>
    <s v="NADA"/>
    <x v="0"/>
    <n v="39423"/>
    <n v="2650001"/>
    <x v="15"/>
    <s v="WENTURS TRADE"/>
    <s v="EX"/>
    <s v="Colchão M.E."/>
    <n v="87"/>
    <s v="DIRETO"/>
    <n v="44494"/>
    <m/>
    <n v="23.81"/>
    <n v="7511.58"/>
    <s v="KG"/>
    <n v="260"/>
    <n v="9"/>
    <n v="477"/>
    <n v="315.48"/>
    <n v="9.5299999999999994"/>
    <n v="5222.96"/>
    <m/>
    <m/>
    <m/>
    <m/>
    <n v="150.22999999999999"/>
    <n v="485.84"/>
    <n v="1652.55"/>
    <n v="5400.19"/>
    <m/>
    <m/>
    <n v="15.747547169811321"/>
  </r>
  <r>
    <x v="4"/>
    <x v="0"/>
    <s v="COLCHÃO M.E."/>
    <s v="DIRETO"/>
    <x v="4"/>
    <s v="NADA"/>
    <x v="0"/>
    <n v="39423"/>
    <n v="2650003"/>
    <x v="16"/>
    <s v="WENTURS TRADE"/>
    <s v="EX"/>
    <s v="Colchão M.E."/>
    <n v="87"/>
    <s v="DIRETO"/>
    <n v="44494"/>
    <m/>
    <n v="25.3"/>
    <n v="9316.98"/>
    <s v="KG"/>
    <n v="320"/>
    <n v="10"/>
    <n v="493"/>
    <n v="368.26"/>
    <n v="12.38"/>
    <n v="6513.78"/>
    <m/>
    <m/>
    <m/>
    <m/>
    <n v="186.34"/>
    <n v="567.12"/>
    <n v="2049.7399999999998"/>
    <n v="6260.74"/>
    <m/>
    <m/>
    <n v="18.898539553752535"/>
  </r>
  <r>
    <x v="4"/>
    <x v="0"/>
    <s v="COLCHÃO M.E."/>
    <s v="DIRETO"/>
    <x v="4"/>
    <s v="NADA"/>
    <x v="0"/>
    <n v="39423"/>
    <n v="2650004"/>
    <x v="17"/>
    <s v="WENTURS TRADE"/>
    <s v="EX"/>
    <s v="Colchão M.E."/>
    <n v="87"/>
    <s v="DIRETO"/>
    <n v="44494"/>
    <m/>
    <n v="25.47"/>
    <n v="9274.14"/>
    <s v="KG"/>
    <n v="500"/>
    <n v="13"/>
    <n v="320"/>
    <n v="364.12"/>
    <n v="13.15"/>
    <n v="6487.6"/>
    <m/>
    <m/>
    <m/>
    <m/>
    <n v="185.48"/>
    <n v="560.74"/>
    <n v="2040.31"/>
    <n v="6330.08"/>
    <m/>
    <m/>
    <n v="28.9816875"/>
  </r>
  <r>
    <x v="4"/>
    <x v="0"/>
    <s v="COLCHÃO M.E."/>
    <s v="DIRETO"/>
    <x v="4"/>
    <s v="NADA"/>
    <x v="0"/>
    <n v="39423"/>
    <n v="2650005"/>
    <x v="18"/>
    <s v="WENTURS TRADE"/>
    <s v="EX"/>
    <s v="Colchão M.E."/>
    <n v="87"/>
    <s v="DIRETO"/>
    <n v="44494"/>
    <m/>
    <n v="27.83"/>
    <n v="10023.81"/>
    <s v="KG"/>
    <n v="350"/>
    <n v="13"/>
    <n v="442"/>
    <n v="360.18"/>
    <n v="8.2100000000000009"/>
    <n v="7063.42"/>
    <m/>
    <m/>
    <m/>
    <m/>
    <n v="200.48"/>
    <n v="554.67999999999995"/>
    <n v="2205.2399999999998"/>
    <n v="6810.16"/>
    <m/>
    <m/>
    <n v="22.678303167420815"/>
  </r>
  <r>
    <x v="4"/>
    <x v="0"/>
    <s v="COLCHÃO M.E."/>
    <s v="DIRETO"/>
    <x v="4"/>
    <s v="NADA"/>
    <x v="0"/>
    <n v="39423"/>
    <n v="2650006"/>
    <x v="19"/>
    <s v="WENTURS TRADE"/>
    <s v="EX"/>
    <s v="Colchão M.E."/>
    <n v="87"/>
    <s v="DIRETO"/>
    <n v="44494"/>
    <m/>
    <n v="22.69"/>
    <n v="11266.72"/>
    <s v="KG"/>
    <n v="640"/>
    <n v="13"/>
    <n v="353"/>
    <n v="496.55"/>
    <n v="6.97"/>
    <n v="7798.02"/>
    <m/>
    <m/>
    <m/>
    <m/>
    <n v="225.33"/>
    <n v="764.69"/>
    <n v="2478.6799999999998"/>
    <n v="8927"/>
    <m/>
    <m/>
    <n v="31.917053824362604"/>
  </r>
  <r>
    <x v="4"/>
    <x v="0"/>
    <s v="COLCHÃO M.E."/>
    <s v="DIRETO"/>
    <x v="4"/>
    <s v="NADA"/>
    <x v="0"/>
    <n v="39423"/>
    <n v="2650007"/>
    <x v="20"/>
    <s v="WENTURS TRADE"/>
    <s v="EX"/>
    <s v="Colchão M.E."/>
    <n v="87"/>
    <s v="DIRETO"/>
    <n v="44494"/>
    <m/>
    <n v="22.68"/>
    <n v="13314.52"/>
    <s v="KG"/>
    <n v="620"/>
    <n v="13"/>
    <n v="417"/>
    <n v="587.05999999999995"/>
    <n v="8.0299999999999994"/>
    <n v="9214.9599999999991"/>
    <m/>
    <m/>
    <m/>
    <m/>
    <n v="266.29000000000002"/>
    <n v="904.07"/>
    <n v="2929.19"/>
    <n v="10382.469999999999"/>
    <m/>
    <m/>
    <n v="31.929304556354918"/>
  </r>
  <r>
    <x v="4"/>
    <x v="0"/>
    <s v="COLCHÃO M.E."/>
    <s v="DIRETO"/>
    <x v="4"/>
    <s v="NADA"/>
    <x v="0"/>
    <n v="39423"/>
    <n v="2650008"/>
    <x v="21"/>
    <s v="WENTURS TRADE"/>
    <s v="EX"/>
    <s v="Colchão M.E."/>
    <n v="87"/>
    <s v="DIRETO"/>
    <n v="44494"/>
    <m/>
    <n v="22.57"/>
    <n v="3489.32"/>
    <s v="KG"/>
    <n v="160"/>
    <n v="8"/>
    <n v="410"/>
    <n v="154.6"/>
    <n v="4.0999999999999996"/>
    <n v="2274.23"/>
    <m/>
    <m/>
    <m/>
    <n v="139.57"/>
    <n v="69.790000000000006"/>
    <n v="238.08"/>
    <n v="767.65"/>
    <n v="2471.96"/>
    <m/>
    <m/>
    <n v="8.5105365853658537"/>
  </r>
  <r>
    <x v="4"/>
    <x v="0"/>
    <s v="COLCHÃO M.E."/>
    <s v="DIRETO"/>
    <x v="4"/>
    <s v="NADA"/>
    <x v="0"/>
    <n v="39423"/>
    <n v="2650009"/>
    <x v="22"/>
    <s v="WENTURS TRADE"/>
    <s v="EX"/>
    <s v="Colchão M.E."/>
    <n v="87"/>
    <s v="DIRETO"/>
    <n v="44494"/>
    <m/>
    <n v="21.13"/>
    <n v="3786.92"/>
    <s v="KG"/>
    <n v="160"/>
    <n v="9"/>
    <n v="445"/>
    <n v="179.22"/>
    <n v="0.94"/>
    <n v="2602.06"/>
    <m/>
    <m/>
    <m/>
    <m/>
    <n v="75.739999999999995"/>
    <n v="276"/>
    <n v="833.12"/>
    <n v="3197.42"/>
    <m/>
    <m/>
    <n v="8.5099325842696629"/>
  </r>
  <r>
    <x v="4"/>
    <x v="0"/>
    <s v="COLCHÃO M.E."/>
    <s v="DIRETO"/>
    <x v="4"/>
    <s v="NADA"/>
    <x v="0"/>
    <n v="39423"/>
    <n v="2650010"/>
    <x v="23"/>
    <s v="WENTURS TRADE"/>
    <s v="EX"/>
    <s v="Colchão M.E."/>
    <n v="87"/>
    <s v="DIRETO"/>
    <n v="44494"/>
    <m/>
    <n v="29.37"/>
    <n v="9243.91"/>
    <s v="KG"/>
    <n v="300"/>
    <n v="11"/>
    <n v="489"/>
    <n v="314.74"/>
    <n v="11.58"/>
    <n v="6540.67"/>
    <m/>
    <m/>
    <m/>
    <m/>
    <n v="184.88"/>
    <n v="484.7"/>
    <n v="2033.66"/>
    <n v="5434.62"/>
    <m/>
    <m/>
    <n v="18.903701431492841"/>
  </r>
  <r>
    <x v="4"/>
    <x v="0"/>
    <s v="COLCHÃO M.E."/>
    <s v="DIRETO"/>
    <x v="4"/>
    <s v="NADA"/>
    <x v="0"/>
    <n v="39423"/>
    <n v="2650011"/>
    <x v="24"/>
    <s v="WENTURS TRADE"/>
    <s v="EX"/>
    <s v="Colchão M.E."/>
    <n v="87"/>
    <s v="DIRETO"/>
    <n v="44494"/>
    <m/>
    <n v="27.14"/>
    <n v="12348.7"/>
    <s v="KG"/>
    <n v="580"/>
    <n v="14"/>
    <n v="392"/>
    <n v="455"/>
    <n v="-7.75"/>
    <n v="8684.31"/>
    <m/>
    <m/>
    <m/>
    <m/>
    <n v="246.97"/>
    <n v="700.7"/>
    <n v="2716.71"/>
    <n v="8493.65"/>
    <m/>
    <m/>
    <n v="31.501785714285717"/>
  </r>
  <r>
    <x v="4"/>
    <x v="0"/>
    <s v="COLCHÃO M.E."/>
    <s v="DIRETO"/>
    <x v="4"/>
    <s v="NADA"/>
    <x v="0"/>
    <n v="39423"/>
    <s v="265.0002-A"/>
    <x v="25"/>
    <s v="WENTURS TRADE"/>
    <s v="EX"/>
    <s v="Colchão M.E."/>
    <n v="87"/>
    <s v="DIRETO"/>
    <n v="44494"/>
    <m/>
    <n v="26.26"/>
    <n v="7880.63"/>
    <s v="KG"/>
    <n v="280"/>
    <n v="9"/>
    <n v="469"/>
    <n v="300.10000000000002"/>
    <n v="5.44"/>
    <n v="5211.8999999999996"/>
    <m/>
    <m/>
    <m/>
    <n v="315.23"/>
    <n v="157.61000000000001"/>
    <n v="462.15"/>
    <n v="1733.74"/>
    <n v="5090.9799999999996"/>
    <m/>
    <m/>
    <n v="16.803049040511727"/>
  </r>
  <r>
    <x v="4"/>
    <x v="0"/>
    <s v="COLCHÃO M.E."/>
    <s v="DIRETO"/>
    <x v="4"/>
    <s v="NADA"/>
    <x v="0"/>
    <n v="39423"/>
    <s v="LOT 2"/>
    <x v="26"/>
    <s v="WENTURS TRADE"/>
    <s v="EX"/>
    <s v="Colchão M.E."/>
    <n v="87"/>
    <s v="DIRETO"/>
    <n v="44494"/>
    <m/>
    <n v="13.6"/>
    <n v="35781.33"/>
    <s v="KG"/>
    <n v="160"/>
    <n v="150"/>
    <n v="2630.98"/>
    <n v="2630.98"/>
    <n v="-95.91"/>
    <n v="23142.1"/>
    <m/>
    <m/>
    <m/>
    <m/>
    <n v="715.63"/>
    <n v="4051.71"/>
    <n v="7871.89"/>
    <n v="46117.39"/>
    <m/>
    <m/>
    <n v="13.600000760173016"/>
  </r>
  <r>
    <x v="4"/>
    <x v="0"/>
    <s v="COLCHÃO M.E."/>
    <s v="DIRETO"/>
    <x v="4"/>
    <s v="NADA"/>
    <x v="0"/>
    <n v="39423"/>
    <s v="LOT 1 - 300G"/>
    <x v="27"/>
    <s v="WENTURS TRADE"/>
    <s v="EX"/>
    <s v="Colchão M.E."/>
    <n v="87"/>
    <s v="DIRETO"/>
    <n v="44494"/>
    <m/>
    <n v="15.32"/>
    <n v="16277.5"/>
    <s v="KG"/>
    <n v="300"/>
    <n v="48"/>
    <n v="1496"/>
    <n v="1062.5"/>
    <n v="-47.64"/>
    <n v="10734.65"/>
    <m/>
    <m/>
    <m/>
    <m/>
    <n v="325.55"/>
    <n v="1636.25"/>
    <n v="3581.05"/>
    <n v="19994.099999999999"/>
    <m/>
    <m/>
    <n v="10.880681818181818"/>
  </r>
  <r>
    <x v="5"/>
    <x v="0"/>
    <s v="COLCHÃO M.E."/>
    <s v="DIRETO"/>
    <x v="5"/>
    <s v="NADA"/>
    <x v="4"/>
    <n v="39673"/>
    <n v="2670001"/>
    <x v="28"/>
    <s v="INMAPOL SACIF"/>
    <s v="EX"/>
    <s v="Colchão M.E."/>
    <n v="1"/>
    <s v="DIRETO"/>
    <n v="44511"/>
    <m/>
    <n v="29.72"/>
    <n v="12068.1"/>
    <s v="KG"/>
    <n v="200"/>
    <n v="18"/>
    <n v="906"/>
    <n v="406.06"/>
    <n v="19.329999999999998"/>
    <n v="8546.42"/>
    <m/>
    <m/>
    <m/>
    <m/>
    <n v="241.36"/>
    <n v="625.33000000000004"/>
    <n v="2654.98"/>
    <n v="6475.8"/>
    <m/>
    <m/>
    <n v="13.320198675496689"/>
  </r>
  <r>
    <x v="5"/>
    <x v="0"/>
    <s v="COLCHÃO M.E."/>
    <s v="DIRETO"/>
    <x v="5"/>
    <s v="NADA"/>
    <x v="4"/>
    <n v="39673"/>
    <n v="2670002"/>
    <x v="29"/>
    <s v="INMAPOL SACIF"/>
    <s v="EX"/>
    <s v="Colchão M.E."/>
    <n v="1"/>
    <s v="DIRETO"/>
    <n v="44511"/>
    <m/>
    <n v="29.82"/>
    <n v="8116.41"/>
    <s v="KG"/>
    <n v="200"/>
    <n v="11"/>
    <n v="595"/>
    <n v="272.18"/>
    <n v="21.47"/>
    <n v="5749.31"/>
    <m/>
    <m/>
    <m/>
    <m/>
    <n v="162.33000000000001"/>
    <n v="419.16"/>
    <n v="1785.61"/>
    <n v="4270.57"/>
    <m/>
    <m/>
    <n v="13.641025210084033"/>
  </r>
  <r>
    <x v="6"/>
    <x v="0"/>
    <s v="COLCHÃO M.E."/>
    <s v="DIRETO"/>
    <x v="6"/>
    <s v="NADA"/>
    <x v="4"/>
    <n v="39969"/>
    <n v="2730001"/>
    <x v="30"/>
    <s v="COLCHONES PRINCE"/>
    <s v="EX"/>
    <s v="Colchão M.E."/>
    <n v="93"/>
    <s v="DIRETO"/>
    <n v="44533"/>
    <m/>
    <n v="27.45"/>
    <n v="4030.21"/>
    <s v="KG"/>
    <n v="180"/>
    <n v="8"/>
    <n v="349"/>
    <n v="146.82"/>
    <n v="10.029999999999999"/>
    <n v="2836.86"/>
    <m/>
    <m/>
    <m/>
    <m/>
    <n v="80.599999999999994"/>
    <n v="226.1"/>
    <n v="886.65"/>
    <n v="2791.32"/>
    <m/>
    <m/>
    <n v="11.547879656160459"/>
  </r>
  <r>
    <x v="6"/>
    <x v="0"/>
    <s v="COLCHÃO M.E."/>
    <s v="DIRETO"/>
    <x v="6"/>
    <s v="NADA"/>
    <x v="4"/>
    <n v="39969"/>
    <n v="2730002"/>
    <x v="31"/>
    <s v="COLCHONES PRINCE"/>
    <s v="EX"/>
    <s v="Colchão M.E."/>
    <n v="93"/>
    <s v="DIRETO"/>
    <n v="44533"/>
    <m/>
    <n v="28.68"/>
    <n v="4284.79"/>
    <s v="KG"/>
    <n v="180"/>
    <n v="8"/>
    <n v="371"/>
    <n v="149.4"/>
    <n v="18.43"/>
    <n v="3026.36"/>
    <m/>
    <m/>
    <m/>
    <m/>
    <n v="85.7"/>
    <n v="230.08"/>
    <n v="942.65"/>
    <n v="2448.79"/>
    <m/>
    <m/>
    <n v="11.549299191374663"/>
  </r>
  <r>
    <x v="6"/>
    <x v="0"/>
    <s v="COLCHÃO M.E."/>
    <s v="DIRETO"/>
    <x v="6"/>
    <s v="NADA"/>
    <x v="4"/>
    <n v="39969"/>
    <n v="2730003"/>
    <x v="32"/>
    <s v="COLCHONES PRINCE"/>
    <s v="EX"/>
    <s v="Colchão M.E."/>
    <n v="93"/>
    <s v="DIRETO"/>
    <n v="44533"/>
    <m/>
    <n v="28.36"/>
    <n v="4736.12"/>
    <s v="KG"/>
    <n v="180"/>
    <n v="8"/>
    <n v="410"/>
    <n v="167"/>
    <n v="16.95"/>
    <n v="3342.27"/>
    <m/>
    <m/>
    <m/>
    <m/>
    <n v="94.72"/>
    <n v="257.18"/>
    <n v="1041.95"/>
    <n v="2814.37"/>
    <m/>
    <m/>
    <n v="11.551512195121951"/>
  </r>
  <r>
    <x v="6"/>
    <x v="0"/>
    <s v="COLCHÃO M.E."/>
    <s v="DIRETO"/>
    <x v="6"/>
    <s v="NADA"/>
    <x v="4"/>
    <n v="39969"/>
    <n v="2730004"/>
    <x v="33"/>
    <s v="COLCHONES PRINCE"/>
    <s v="EX"/>
    <s v="Colchão M.E."/>
    <n v="93"/>
    <s v="DIRETO"/>
    <n v="44533"/>
    <m/>
    <n v="27.02"/>
    <n v="4042.73"/>
    <s v="KG"/>
    <n v="180"/>
    <n v="7"/>
    <n v="350"/>
    <n v="149.62"/>
    <n v="16.95"/>
    <n v="2842.06"/>
    <m/>
    <m/>
    <m/>
    <m/>
    <n v="80.849999999999994"/>
    <n v="230.41"/>
    <n v="889.4"/>
    <n v="2521.4699999999998"/>
    <m/>
    <m/>
    <n v="11.550657142857142"/>
  </r>
  <r>
    <x v="7"/>
    <x v="1"/>
    <s v="COLCHÃO M.E."/>
    <s v="DIRETO"/>
    <x v="7"/>
    <s v="NADA"/>
    <x v="4"/>
    <n v="40380"/>
    <n v="2780001"/>
    <x v="34"/>
    <s v="COLCHONERO GONZALEZ"/>
    <s v="EX"/>
    <s v="Colchão M.E."/>
    <n v="93"/>
    <s v="DIRETO"/>
    <n v="44586"/>
    <m/>
    <n v="30.92"/>
    <n v="27378.42"/>
    <s v="KG"/>
    <n v="180"/>
    <n v="41"/>
    <n v="2190"/>
    <n v="885.46"/>
    <n v="17.809999999999999"/>
    <n v="19443.990000000002"/>
    <m/>
    <m/>
    <m/>
    <m/>
    <n v="547.57000000000005"/>
    <n v="1363.61"/>
    <n v="6023.25"/>
    <n v="16222.28"/>
    <m/>
    <m/>
    <n v="12.501561643835617"/>
  </r>
  <r>
    <x v="7"/>
    <x v="1"/>
    <s v="COLCHÃO M.E."/>
    <s v="DIRETO"/>
    <x v="7"/>
    <s v="NADA"/>
    <x v="4"/>
    <n v="40380"/>
    <n v="2780002"/>
    <x v="35"/>
    <s v="COLCHONERO GONZALEZ"/>
    <s v="EX"/>
    <s v="Colchão M.E."/>
    <n v="93"/>
    <s v="DIRETO"/>
    <n v="44586"/>
    <m/>
    <n v="30.24"/>
    <n v="28560.47"/>
    <s v="KG"/>
    <n v="180"/>
    <n v="41"/>
    <n v="2285"/>
    <n v="944.46"/>
    <n v="17.75"/>
    <n v="20251.490000000002"/>
    <m/>
    <m/>
    <m/>
    <m/>
    <n v="571.21"/>
    <n v="1454.47"/>
    <n v="6283.3"/>
    <n v="17301.71"/>
    <m/>
    <m/>
    <n v="12.49911159737418"/>
  </r>
  <r>
    <x v="7"/>
    <x v="1"/>
    <s v="COLCHÃO M.E."/>
    <s v="DIRETO"/>
    <x v="7"/>
    <s v="NADA"/>
    <x v="4"/>
    <n v="40380"/>
    <n v="2780001"/>
    <x v="34"/>
    <s v="COLCHONERO GONZALEZ"/>
    <s v="EX"/>
    <s v="Colchão M.E."/>
    <n v="93"/>
    <s v="DIRETO"/>
    <n v="44586"/>
    <m/>
    <n v="30.92"/>
    <n v="-27378.42"/>
    <s v="KG"/>
    <n v="180"/>
    <n v="41"/>
    <n v="-2190"/>
    <n v="-885.46"/>
    <n v="17.809999999999999"/>
    <n v="-19443.990000000002"/>
    <m/>
    <m/>
    <m/>
    <m/>
    <n v="547.57000000000005"/>
    <n v="1363.61"/>
    <n v="6023.25"/>
    <n v="-16222.28"/>
    <m/>
    <m/>
    <n v="12.501561643835617"/>
  </r>
  <r>
    <x v="7"/>
    <x v="1"/>
    <s v="COLCHÃO M.E."/>
    <s v="DIRETO"/>
    <x v="7"/>
    <s v="NADA"/>
    <x v="4"/>
    <n v="40380"/>
    <n v="2780002"/>
    <x v="35"/>
    <s v="COLCHONERO GONZALEZ"/>
    <s v="EX"/>
    <s v="Colchão M.E."/>
    <n v="93"/>
    <s v="DIRETO"/>
    <n v="44586"/>
    <m/>
    <n v="30.24"/>
    <n v="-28560.47"/>
    <s v="KG"/>
    <n v="180"/>
    <n v="41"/>
    <n v="-2285"/>
    <n v="-944.46"/>
    <n v="17.75"/>
    <n v="-20251.490000000002"/>
    <m/>
    <m/>
    <m/>
    <m/>
    <n v="571.21"/>
    <n v="1454.47"/>
    <n v="6283.3"/>
    <n v="-17301.71"/>
    <m/>
    <m/>
    <n v="12.49911159737418"/>
  </r>
  <r>
    <x v="7"/>
    <x v="1"/>
    <s v="COLCHÃO M.E."/>
    <s v="DIRETO"/>
    <x v="8"/>
    <s v="NADA"/>
    <x v="3"/>
    <n v="40452"/>
    <s v="A06765"/>
    <x v="36"/>
    <s v="ADVANCED FOAM"/>
    <s v="EX"/>
    <s v="Colchão M.E."/>
    <n v="87"/>
    <s v="DIRETO"/>
    <n v="44592"/>
    <m/>
    <n v="32.22"/>
    <n v="616.04999999999995"/>
    <s v="KG"/>
    <n v="190"/>
    <n v="1"/>
    <n v="40"/>
    <n v="19.12"/>
    <n v="25.94"/>
    <n v="438.75"/>
    <m/>
    <m/>
    <m/>
    <m/>
    <n v="12.32"/>
    <n v="29.44"/>
    <n v="135.53"/>
    <n v="325.32"/>
    <m/>
    <m/>
    <n v="15.401249999999999"/>
  </r>
  <r>
    <x v="7"/>
    <x v="1"/>
    <s v="COLCHÃO M.E."/>
    <s v="DIRETO"/>
    <x v="8"/>
    <s v="NADA"/>
    <x v="3"/>
    <n v="40452"/>
    <s v="A06744"/>
    <x v="37"/>
    <s v="ADVANCED FOAM"/>
    <s v="EX"/>
    <s v="Colchão M.E."/>
    <n v="87"/>
    <s v="DIRETO"/>
    <n v="44592"/>
    <m/>
    <n v="29"/>
    <n v="826.5"/>
    <s v="KG"/>
    <n v="200"/>
    <n v="1"/>
    <n v="57"/>
    <n v="28.5"/>
    <n v="22.88"/>
    <n v="584.25"/>
    <m/>
    <m/>
    <m/>
    <m/>
    <n v="16.53"/>
    <n v="43.89"/>
    <n v="181.83"/>
    <n v="446.58"/>
    <m/>
    <m/>
    <n v="14.5"/>
  </r>
  <r>
    <x v="7"/>
    <x v="1"/>
    <s v="COLCHÃO M.E."/>
    <s v="DIRETO"/>
    <x v="8"/>
    <s v="NADA"/>
    <x v="3"/>
    <n v="40452"/>
    <s v="A06990"/>
    <x v="38"/>
    <s v="ADVANCED FOAM"/>
    <s v="EX"/>
    <s v="Colchão M.E."/>
    <n v="87"/>
    <s v="DIRETO"/>
    <n v="44592"/>
    <m/>
    <n v="32.770000000000003"/>
    <n v="980.48"/>
    <s v="KG"/>
    <n v="350"/>
    <n v="1"/>
    <n v="37"/>
    <n v="29.92"/>
    <n v="21.61"/>
    <n v="699.09"/>
    <m/>
    <m/>
    <m/>
    <m/>
    <n v="19.61"/>
    <n v="46.08"/>
    <n v="215.71"/>
    <n v="516.20000000000005"/>
    <m/>
    <m/>
    <n v="26.499459459459459"/>
  </r>
  <r>
    <x v="7"/>
    <x v="1"/>
    <s v="COLCHÃO M.E."/>
    <s v="DIRETO"/>
    <x v="8"/>
    <s v="NADA"/>
    <x v="3"/>
    <n v="40452"/>
    <s v="A06982"/>
    <x v="39"/>
    <s v="ADVANCED FOAM"/>
    <s v="EX"/>
    <s v="Colchão M.E."/>
    <n v="87"/>
    <s v="DIRETO"/>
    <n v="44592"/>
    <m/>
    <n v="40.6"/>
    <n v="1300.01"/>
    <s v="KG"/>
    <n v="420"/>
    <n v="1"/>
    <n v="40"/>
    <n v="32.020000000000003"/>
    <n v="24.62"/>
    <n v="938.7"/>
    <m/>
    <m/>
    <m/>
    <m/>
    <n v="26"/>
    <n v="49.31"/>
    <n v="286"/>
    <n v="540.91999999999996"/>
    <m/>
    <m/>
    <n v="32.500250000000001"/>
  </r>
  <r>
    <x v="7"/>
    <x v="1"/>
    <s v="COLCHÃO M.E."/>
    <s v="DIRETO"/>
    <x v="8"/>
    <s v="NADA"/>
    <x v="3"/>
    <n v="40452"/>
    <s v="A07931"/>
    <x v="40"/>
    <s v="ADVANCED FOAM"/>
    <s v="EX"/>
    <s v="Colchão M.E."/>
    <n v="87"/>
    <s v="DIRETO"/>
    <n v="44592"/>
    <m/>
    <n v="41.98"/>
    <n v="1340"/>
    <s v="KG"/>
    <n v="410"/>
    <n v="1"/>
    <n v="40"/>
    <n v="31.92"/>
    <n v="24.22"/>
    <n v="969.24"/>
    <m/>
    <m/>
    <m/>
    <m/>
    <n v="26.8"/>
    <n v="49.16"/>
    <n v="294.8"/>
    <n v="561.41"/>
    <m/>
    <m/>
    <n v="33.5"/>
  </r>
  <r>
    <x v="7"/>
    <x v="1"/>
    <s v="COLCHÃO M.E."/>
    <s v="DIRETO"/>
    <x v="8"/>
    <s v="NADA"/>
    <x v="3"/>
    <n v="40452"/>
    <s v="A08504"/>
    <x v="41"/>
    <s v="ADVANCED FOAM"/>
    <s v="EX"/>
    <s v="Colchão M.E."/>
    <n v="87"/>
    <s v="DIRETO"/>
    <n v="44592"/>
    <m/>
    <n v="58.9"/>
    <n v="1552.6"/>
    <s v="KG"/>
    <n v="280"/>
    <n v="1"/>
    <n v="45"/>
    <n v="26.36"/>
    <n v="39.04"/>
    <n v="1139.3800000000001"/>
    <m/>
    <m/>
    <m/>
    <m/>
    <n v="31.05"/>
    <n v="40.590000000000003"/>
    <n v="341.57"/>
    <n v="482.23"/>
    <m/>
    <m/>
    <n v="34.502222222222223"/>
  </r>
  <r>
    <x v="8"/>
    <x v="1"/>
    <s v="COLCHÃO M.E."/>
    <s v="DIRETO"/>
    <x v="8"/>
    <s v="NADA"/>
    <x v="3"/>
    <n v="40530"/>
    <s v="A07725"/>
    <x v="42"/>
    <s v="ADVANCED FOAM"/>
    <s v="EX"/>
    <s v="Colchão M.E."/>
    <n v="87"/>
    <s v="DIRETO"/>
    <n v="44596"/>
    <m/>
    <n v="13.03"/>
    <n v="334.09"/>
    <s v="KG"/>
    <n v="208"/>
    <n v="1"/>
    <n v="54"/>
    <n v="25.64"/>
    <n v="22.99"/>
    <n v="242.65"/>
    <m/>
    <n v="457.07"/>
    <m/>
    <m/>
    <n v="6.68"/>
    <n v="39.49"/>
    <n v="73.5"/>
    <n v="397.3"/>
    <m/>
    <m/>
    <n v="6.1868518518518512"/>
  </r>
  <r>
    <x v="8"/>
    <x v="1"/>
    <s v="COLCHÃO M.E."/>
    <s v="DIRETO"/>
    <x v="8"/>
    <s v="NADA"/>
    <x v="3"/>
    <n v="40530"/>
    <s v="A06765"/>
    <x v="36"/>
    <s v="ADVANCED FOAM"/>
    <s v="EX"/>
    <s v="Colchão M.E."/>
    <n v="87"/>
    <s v="DIRETO"/>
    <n v="44596"/>
    <m/>
    <n v="15.53"/>
    <n v="296.93"/>
    <s v="KG"/>
    <n v="190"/>
    <n v="1"/>
    <n v="40"/>
    <n v="19.12"/>
    <n v="25.94"/>
    <n v="210.01"/>
    <m/>
    <n v="406.23"/>
    <m/>
    <m/>
    <n v="5.94"/>
    <n v="29.44"/>
    <n v="65.319999999999993"/>
    <n v="317.79000000000002"/>
    <m/>
    <m/>
    <n v="7.4232500000000003"/>
  </r>
  <r>
    <x v="8"/>
    <x v="1"/>
    <s v="COLCHÃO M.E."/>
    <s v="DIRETO"/>
    <x v="8"/>
    <s v="NADA"/>
    <x v="3"/>
    <n v="40530"/>
    <s v="A06756"/>
    <x v="43"/>
    <s v="ADVANCED FOAM"/>
    <s v="EX"/>
    <s v="Colchão M.E."/>
    <n v="87"/>
    <s v="DIRETO"/>
    <n v="44596"/>
    <m/>
    <n v="11.88"/>
    <n v="297"/>
    <s v="KG"/>
    <n v="203"/>
    <n v="1"/>
    <n v="46"/>
    <n v="25"/>
    <n v="19.079999999999998"/>
    <n v="219.11"/>
    <m/>
    <n v="406.33"/>
    <m/>
    <m/>
    <n v="5.94"/>
    <n v="38.5"/>
    <n v="65.34"/>
    <n v="409.87"/>
    <m/>
    <m/>
    <n v="6.4565217391304346"/>
  </r>
  <r>
    <x v="8"/>
    <x v="1"/>
    <s v="COLCHÃO M.E."/>
    <s v="DIRETO"/>
    <x v="8"/>
    <s v="NADA"/>
    <x v="3"/>
    <n v="40530"/>
    <s v="A07492"/>
    <x v="44"/>
    <s v="ADVANCED FOAM"/>
    <s v="EX"/>
    <s v="Colchão M.E."/>
    <n v="87"/>
    <s v="DIRETO"/>
    <n v="44596"/>
    <m/>
    <n v="23.53"/>
    <n v="746.51"/>
    <s v="KG"/>
    <n v="339"/>
    <n v="1"/>
    <n v="43"/>
    <n v="31.72"/>
    <n v="38.03"/>
    <n v="502.82"/>
    <m/>
    <n v="1021.32"/>
    <m/>
    <m/>
    <n v="14.93"/>
    <n v="48.85"/>
    <n v="164.23"/>
    <n v="487.87"/>
    <m/>
    <m/>
    <n v="17.360697674418603"/>
  </r>
  <r>
    <x v="8"/>
    <x v="1"/>
    <s v="COLCHÃO M.E."/>
    <s v="DIRETO"/>
    <x v="8"/>
    <s v="NADA"/>
    <x v="3"/>
    <n v="40530"/>
    <s v="A06744"/>
    <x v="45"/>
    <s v="ADVANCED FOAM"/>
    <s v="EX"/>
    <s v="Colchão M.E."/>
    <n v="87"/>
    <s v="DIRETO"/>
    <n v="44596"/>
    <m/>
    <n v="9.82"/>
    <n v="279.94"/>
    <s v="KG"/>
    <n v="204"/>
    <n v="1"/>
    <n v="57"/>
    <n v="28.5"/>
    <n v="18.829999999999998"/>
    <n v="214.13"/>
    <m/>
    <n v="382.99"/>
    <m/>
    <m/>
    <n v="5.6"/>
    <n v="43.89"/>
    <n v="61.59"/>
    <n v="408.35"/>
    <m/>
    <m/>
    <n v="4.9112280701754383"/>
  </r>
  <r>
    <x v="8"/>
    <x v="1"/>
    <s v="COLCHÃO M.E."/>
    <s v="DIRETO"/>
    <x v="8"/>
    <s v="NADA"/>
    <x v="3"/>
    <n v="40530"/>
    <s v="A06810"/>
    <x v="46"/>
    <s v="ADVANCED FOAM"/>
    <s v="EX"/>
    <s v="Colchão M.E."/>
    <n v="87"/>
    <s v="DIRETO"/>
    <n v="44596"/>
    <m/>
    <n v="12.8"/>
    <n v="487.78"/>
    <s v="KG"/>
    <n v="313"/>
    <n v="1"/>
    <n v="40"/>
    <n v="38.119999999999997"/>
    <n v="14.57"/>
    <n v="355.33"/>
    <m/>
    <n v="667.34"/>
    <m/>
    <m/>
    <n v="9.76"/>
    <n v="58.7"/>
    <n v="107.31"/>
    <n v="656.26"/>
    <m/>
    <m/>
    <n v="12.1945"/>
  </r>
  <r>
    <x v="8"/>
    <x v="1"/>
    <s v="COLCHÃO M.E."/>
    <s v="DIRETO"/>
    <x v="8"/>
    <s v="NADA"/>
    <x v="3"/>
    <n v="40530"/>
    <s v="A06990"/>
    <x v="38"/>
    <s v="ADVANCED FOAM"/>
    <s v="EX"/>
    <s v="Colchão M.E."/>
    <n v="87"/>
    <s v="DIRETO"/>
    <n v="44596"/>
    <m/>
    <n v="17.079999999999998"/>
    <n v="511.1"/>
    <s v="KG"/>
    <n v="356"/>
    <n v="1"/>
    <n v="37"/>
    <n v="29.92"/>
    <n v="16.510000000000002"/>
    <n v="356.88"/>
    <m/>
    <n v="699.24"/>
    <m/>
    <m/>
    <n v="10.220000000000001"/>
    <n v="46.08"/>
    <n v="112.44"/>
    <n v="497.13"/>
    <m/>
    <m/>
    <n v="13.813513513513515"/>
  </r>
  <r>
    <x v="8"/>
    <x v="1"/>
    <s v="COLCHÃO M.E."/>
    <s v="DIRETO"/>
    <x v="8"/>
    <s v="NADA"/>
    <x v="3"/>
    <n v="40530"/>
    <s v="A06982"/>
    <x v="39"/>
    <s v="ADVANCED FOAM"/>
    <s v="EX"/>
    <s v="Colchão M.E."/>
    <n v="87"/>
    <s v="DIRETO"/>
    <n v="44596"/>
    <m/>
    <n v="19.57"/>
    <n v="626.69000000000005"/>
    <s v="KG"/>
    <n v="401"/>
    <n v="1"/>
    <n v="40"/>
    <n v="32.020000000000003"/>
    <n v="28.1"/>
    <n v="430.41"/>
    <m/>
    <n v="857.38"/>
    <m/>
    <m/>
    <n v="12.53"/>
    <n v="49.31"/>
    <n v="137.87"/>
    <n v="497.07"/>
    <m/>
    <m/>
    <n v="15.667250000000001"/>
  </r>
  <r>
    <x v="8"/>
    <x v="1"/>
    <s v="COLCHÃO M.E."/>
    <s v="DIRETO"/>
    <x v="8"/>
    <s v="NADA"/>
    <x v="3"/>
    <n v="40530"/>
    <s v="A07931"/>
    <x v="40"/>
    <s v="ADVANCED FOAM"/>
    <s v="EX"/>
    <s v="Colchão M.E."/>
    <n v="87"/>
    <s v="DIRETO"/>
    <n v="44596"/>
    <m/>
    <n v="20.23"/>
    <n v="645.77"/>
    <s v="KG"/>
    <n v="360"/>
    <n v="1"/>
    <n v="40"/>
    <n v="31.92"/>
    <n v="27.71"/>
    <n v="441.86"/>
    <m/>
    <n v="883.49"/>
    <m/>
    <m/>
    <n v="12.92"/>
    <n v="49.16"/>
    <n v="142.07"/>
    <n v="560.65"/>
    <m/>
    <m/>
    <n v="16.14425"/>
  </r>
  <r>
    <x v="8"/>
    <x v="1"/>
    <s v="COLCHÃO M.E."/>
    <s v="DIRETO"/>
    <x v="8"/>
    <s v="NADA"/>
    <x v="3"/>
    <n v="40530"/>
    <s v="A08504"/>
    <x v="47"/>
    <s v="ADVANCED FOAM"/>
    <s v="EX"/>
    <s v="Colchão M.E."/>
    <n v="87"/>
    <s v="DIRETO"/>
    <n v="44596"/>
    <m/>
    <n v="25.22"/>
    <n v="664.86"/>
    <s v="KG"/>
    <n v="262"/>
    <n v="1"/>
    <n v="45"/>
    <n v="26.36"/>
    <n v="40.21"/>
    <n v="444.91"/>
    <m/>
    <n v="909.61"/>
    <m/>
    <m/>
    <n v="13.3"/>
    <n v="40.590000000000003"/>
    <n v="146.27000000000001"/>
    <n v="447.15"/>
    <m/>
    <m/>
    <n v="14.774666666666667"/>
  </r>
  <r>
    <x v="8"/>
    <x v="1"/>
    <s v="COLCHÃO M.E."/>
    <s v="DIRETO"/>
    <x v="9"/>
    <s v="NADA"/>
    <x v="2"/>
    <n v="40780"/>
    <n v="2810001"/>
    <x v="48"/>
    <s v="FLEX CHILE"/>
    <s v="EX"/>
    <s v="Colchão M.E."/>
    <n v="91"/>
    <s v="DIRETO"/>
    <n v="44616"/>
    <m/>
    <n v="31.45"/>
    <n v="56602"/>
    <s v="KG"/>
    <n v="160"/>
    <n v="90"/>
    <n v="4136"/>
    <n v="1860.87"/>
    <n v="35.49"/>
    <n v="40151.78"/>
    <m/>
    <m/>
    <m/>
    <m/>
    <n v="1132.04"/>
    <n v="2865.74"/>
    <n v="12452.44"/>
    <n v="32137.54"/>
    <m/>
    <m/>
    <n v="13.685203094777563"/>
  </r>
  <r>
    <x v="0"/>
    <x v="1"/>
    <s v="COLCHÃO M.E."/>
    <s v="DIRETO"/>
    <x v="9"/>
    <s v="NADA"/>
    <x v="2"/>
    <n v="41049"/>
    <n v="2810002"/>
    <x v="49"/>
    <s v="FLEX CHILE"/>
    <s v="EX"/>
    <s v="Colchão M.E."/>
    <n v="91"/>
    <s v="DIRETO"/>
    <n v="44638"/>
    <m/>
    <n v="25.25"/>
    <n v="19710.150000000001"/>
    <s v="KG"/>
    <n v="280"/>
    <n v="24"/>
    <n v="1180"/>
    <n v="780.6"/>
    <n v="14.21"/>
    <n v="13777.59"/>
    <m/>
    <m/>
    <m/>
    <m/>
    <n v="394.2"/>
    <n v="1202.1199999999999"/>
    <n v="4336.2299999999996"/>
    <n v="12938.36"/>
    <m/>
    <m/>
    <n v="16.703516949152544"/>
  </r>
  <r>
    <x v="0"/>
    <x v="1"/>
    <s v="COLCHÃO M.E."/>
    <s v="DIRETO"/>
    <x v="9"/>
    <s v="NADA"/>
    <x v="2"/>
    <n v="41049"/>
    <s v="281.0002 - A"/>
    <x v="50"/>
    <s v="FLEX CHILE"/>
    <s v="EX"/>
    <s v="Colchão M.E."/>
    <n v="91"/>
    <s v="DIRETO"/>
    <n v="44638"/>
    <m/>
    <n v="24.06"/>
    <n v="65917.179999999993"/>
    <s v="KG"/>
    <n v="300"/>
    <n v="79"/>
    <n v="3946"/>
    <n v="2739.7"/>
    <n v="6.23"/>
    <n v="45877.919999999998"/>
    <m/>
    <m/>
    <m/>
    <m/>
    <n v="1318.34"/>
    <n v="4219.1400000000003"/>
    <n v="14501.78"/>
    <n v="45411.14"/>
    <m/>
    <m/>
    <n v="16.704809934110489"/>
  </r>
  <r>
    <x v="0"/>
    <x v="1"/>
    <s v="COLCHÃO M.E."/>
    <s v="DIRETO"/>
    <x v="9"/>
    <s v="NADA"/>
    <x v="2"/>
    <n v="41049"/>
    <n v="2810003"/>
    <x v="51"/>
    <s v="FLEX CHILE"/>
    <s v="EX"/>
    <s v="Colchão M.E."/>
    <n v="91"/>
    <s v="DIRETO"/>
    <n v="44638"/>
    <m/>
    <n v="30.51"/>
    <n v="11516.91"/>
    <s v="KG"/>
    <n v="160"/>
    <n v="18"/>
    <n v="810"/>
    <n v="377.48"/>
    <n v="31.09"/>
    <n v="8171.53"/>
    <m/>
    <m/>
    <m/>
    <m/>
    <n v="230.34"/>
    <n v="581.32000000000005"/>
    <n v="2533.7199999999998"/>
    <n v="6483.59"/>
    <m/>
    <m/>
    <n v="14.218407407407406"/>
  </r>
  <r>
    <x v="0"/>
    <x v="1"/>
    <s v="COLCHÃO M.E."/>
    <s v="DIRETO"/>
    <x v="10"/>
    <s v="NADA"/>
    <x v="2"/>
    <n v="41093"/>
    <s v="286.0001 - A"/>
    <x v="52"/>
    <s v="COLCHONES DEL MUNDO"/>
    <s v="EX"/>
    <s v="Colchão M.E."/>
    <n v="91"/>
    <s v="DIRETO"/>
    <n v="44643"/>
    <m/>
    <n v="32.700000000000003"/>
    <n v="26026.91"/>
    <s v="KG"/>
    <n v="300"/>
    <n v="28"/>
    <n v="1117"/>
    <n v="795.93"/>
    <n v="19.84"/>
    <n v="17513.64"/>
    <m/>
    <m/>
    <m/>
    <n v="1041.08"/>
    <n v="520.54"/>
    <n v="1225.73"/>
    <n v="5725.92"/>
    <n v="13332.9"/>
    <m/>
    <m/>
    <n v="23.30072515666965"/>
  </r>
  <r>
    <x v="0"/>
    <x v="1"/>
    <s v="COLCHÃO M.E."/>
    <s v="DIRETO"/>
    <x v="10"/>
    <s v="NADA"/>
    <x v="2"/>
    <n v="41093"/>
    <s v="286.0002 - A"/>
    <x v="53"/>
    <s v="COLCHONES DEL MUNDO"/>
    <s v="EX"/>
    <s v="Colchão M.E."/>
    <n v="91"/>
    <s v="DIRETO"/>
    <n v="44643"/>
    <m/>
    <n v="37.54"/>
    <n v="28967.74"/>
    <s v="KG"/>
    <n v="350"/>
    <n v="33"/>
    <n v="1019"/>
    <n v="771.65"/>
    <n v="26.55"/>
    <n v="19668.43"/>
    <m/>
    <m/>
    <m/>
    <n v="1158.71"/>
    <n v="579.35"/>
    <n v="1188.3399999999999"/>
    <n v="6372.9"/>
    <n v="12448.01"/>
    <m/>
    <m/>
    <n v="28.427615309126598"/>
  </r>
  <r>
    <x v="0"/>
    <x v="1"/>
    <s v="COLCHÃO M.E."/>
    <s v="DIRETO"/>
    <x v="10"/>
    <s v="NADA"/>
    <x v="2"/>
    <n v="41093"/>
    <s v="286.0001 - A"/>
    <x v="52"/>
    <s v="COLCHONES DEL MUNDO"/>
    <s v="EX"/>
    <s v="Colchão M.E."/>
    <n v="91"/>
    <s v="DIRETO"/>
    <n v="44643"/>
    <m/>
    <n v="32.700000000000003"/>
    <n v="262.58"/>
    <s v="KG"/>
    <n v="300"/>
    <n v="1"/>
    <n v="11"/>
    <n v="8.0299999999999994"/>
    <n v="19.84"/>
    <n v="176.69"/>
    <m/>
    <m/>
    <m/>
    <n v="10.5"/>
    <n v="5.25"/>
    <n v="12.37"/>
    <n v="57.77"/>
    <n v="134.51"/>
    <m/>
    <m/>
    <n v="23.870909090909091"/>
  </r>
  <r>
    <x v="0"/>
    <x v="1"/>
    <s v="COLCHÃO M.E."/>
    <s v="DIRETO"/>
    <x v="10"/>
    <s v="NADA"/>
    <x v="2"/>
    <n v="41093"/>
    <s v="286.0002 - A"/>
    <x v="53"/>
    <s v="COLCHONES DEL MUNDO"/>
    <s v="EX"/>
    <s v="Colchão M.E."/>
    <n v="91"/>
    <s v="DIRETO"/>
    <n v="44643"/>
    <m/>
    <n v="37.54"/>
    <n v="292.44"/>
    <s v="KG"/>
    <n v="350"/>
    <n v="1"/>
    <n v="10"/>
    <n v="7.79"/>
    <n v="26.55"/>
    <n v="198.56"/>
    <m/>
    <m/>
    <m/>
    <n v="11.7"/>
    <n v="5.85"/>
    <n v="12"/>
    <n v="64.34"/>
    <n v="125.67"/>
    <m/>
    <m/>
    <n v="29.244"/>
  </r>
  <r>
    <x v="9"/>
    <x v="1"/>
    <s v="COLCHÃO M.E."/>
    <s v="DIRETO"/>
    <x v="9"/>
    <s v="NADA"/>
    <x v="2"/>
    <n v="41266"/>
    <n v="2810004"/>
    <x v="54"/>
    <s v="FLEX CHILE"/>
    <s v="EX"/>
    <s v="Colchão M.E."/>
    <n v="1"/>
    <s v="DIRETO"/>
    <n v="44658"/>
    <m/>
    <n v="30.74"/>
    <n v="9184.7999999999993"/>
    <s v="KG"/>
    <n v="400"/>
    <n v="12"/>
    <n v="328"/>
    <n v="298.79000000000002"/>
    <n v="25.45"/>
    <n v="3645.21"/>
    <m/>
    <n v="2507.71"/>
    <m/>
    <m/>
    <n v="183.7"/>
    <n v="460.14"/>
    <n v="2388.0500000000002"/>
    <n v="3802.98"/>
    <m/>
    <m/>
    <n v="28.002439024390242"/>
  </r>
  <r>
    <x v="9"/>
    <x v="1"/>
    <s v="COLCHÃO M.E."/>
    <s v="DIRETO"/>
    <x v="1"/>
    <s v="NADA"/>
    <x v="1"/>
    <n v="41293"/>
    <n v="2540006"/>
    <x v="55"/>
    <s v="DIVINO COLCHONES"/>
    <s v="EX"/>
    <s v="Colchão M.E."/>
    <n v="1"/>
    <s v="MARTIN"/>
    <n v="44659"/>
    <m/>
    <n v="34.130000000000003"/>
    <n v="14989.9"/>
    <s v="KG"/>
    <n v="360"/>
    <n v="17"/>
    <n v="543"/>
    <n v="439.2"/>
    <n v="24.66"/>
    <n v="10116.36"/>
    <m/>
    <m/>
    <m/>
    <m/>
    <n v="299.8"/>
    <n v="676.37"/>
    <n v="3897.37"/>
    <n v="5394.65"/>
    <m/>
    <m/>
    <n v="27.605709023941067"/>
  </r>
  <r>
    <x v="9"/>
    <x v="1"/>
    <s v="COLCHÃO M.E."/>
    <s v="DIRETO"/>
    <x v="1"/>
    <s v="NADA"/>
    <x v="1"/>
    <n v="41293"/>
    <n v="2540007"/>
    <x v="56"/>
    <s v="DIVINO COLCHONES"/>
    <s v="EX"/>
    <s v="Colchão M.E."/>
    <n v="1"/>
    <s v="MARTIN"/>
    <n v="44659"/>
    <m/>
    <n v="31.8"/>
    <n v="12479.59"/>
    <s v="KG"/>
    <n v="300"/>
    <n v="14"/>
    <n v="586"/>
    <n v="392.44"/>
    <n v="28.23"/>
    <n v="8380.9500000000007"/>
    <m/>
    <m/>
    <m/>
    <m/>
    <n v="249.59"/>
    <n v="604.36"/>
    <n v="3244.69"/>
    <n v="4947"/>
    <m/>
    <m/>
    <n v="21.296228668941978"/>
  </r>
  <r>
    <x v="9"/>
    <x v="1"/>
    <s v="COLCHÃO M.E."/>
    <s v="DIRETO"/>
    <x v="1"/>
    <s v="NADA"/>
    <x v="1"/>
    <n v="41293"/>
    <n v="2540008"/>
    <x v="57"/>
    <s v="DIVINO COLCHONES"/>
    <s v="EX"/>
    <s v="Colchão M.E."/>
    <n v="1"/>
    <s v="MARTIN"/>
    <n v="44659"/>
    <m/>
    <n v="17.55"/>
    <n v="5249.21"/>
    <s v="KG"/>
    <n v="260"/>
    <n v="14"/>
    <n v="530"/>
    <n v="299.10000000000002"/>
    <n v="-22.76"/>
    <n v="3318.82"/>
    <m/>
    <m/>
    <m/>
    <m/>
    <n v="104.98"/>
    <n v="460.61"/>
    <n v="1364.79"/>
    <n v="4028.01"/>
    <m/>
    <m/>
    <n v="9.9041698113207541"/>
  </r>
  <r>
    <x v="9"/>
    <x v="1"/>
    <s v="COLCHÃO M.E."/>
    <s v="DIRETO"/>
    <x v="1"/>
    <s v="NADA"/>
    <x v="1"/>
    <n v="41293"/>
    <n v="2540009"/>
    <x v="58"/>
    <s v="DIVINO COLCHONES"/>
    <s v="EX"/>
    <s v="Colchão M.E."/>
    <n v="1"/>
    <s v="MARTIN"/>
    <n v="44659"/>
    <m/>
    <n v="36.33"/>
    <n v="7773.89"/>
    <s v="KG"/>
    <n v="97"/>
    <n v="7"/>
    <n v="1049"/>
    <n v="213.98"/>
    <n v="-14.66"/>
    <n v="5267.67"/>
    <m/>
    <m/>
    <m/>
    <m/>
    <n v="155.47999999999999"/>
    <n v="329.53"/>
    <n v="2021.21"/>
    <n v="7010.2"/>
    <m/>
    <m/>
    <n v="7.4107626310772163"/>
  </r>
  <r>
    <x v="9"/>
    <x v="1"/>
    <s v="COLCHÃO M.E."/>
    <s v="DIRETO"/>
    <x v="1"/>
    <s v="NADA"/>
    <x v="1"/>
    <n v="41293"/>
    <n v="2540010"/>
    <x v="59"/>
    <s v="DIVINO COLCHONES"/>
    <s v="EX"/>
    <s v="Colchão M.E."/>
    <n v="1"/>
    <s v="MARTIN"/>
    <n v="44659"/>
    <m/>
    <n v="26.41"/>
    <n v="17500.849999999999"/>
    <s v="KG"/>
    <n v="400"/>
    <n v="25"/>
    <n v="893"/>
    <n v="662.66"/>
    <n v="12.02"/>
    <n v="11578.58"/>
    <m/>
    <m/>
    <m/>
    <m/>
    <n v="350.02"/>
    <n v="1020.5"/>
    <n v="4550.22"/>
    <n v="8626.2199999999993"/>
    <m/>
    <m/>
    <n v="19.597816349384097"/>
  </r>
  <r>
    <x v="9"/>
    <x v="1"/>
    <s v="COLCHÃO M.E."/>
    <s v="DIRETO"/>
    <x v="11"/>
    <s v="NADA"/>
    <x v="0"/>
    <n v="41470"/>
    <n v="2900009"/>
    <x v="60"/>
    <s v="KORIGOMA"/>
    <s v="EX"/>
    <s v="Colchão M.E."/>
    <n v="1"/>
    <s v="DIRETO"/>
    <n v="44677"/>
    <m/>
    <n v="17.36"/>
    <n v="7225.93"/>
    <s v="KG"/>
    <n v="300"/>
    <n v="20"/>
    <n v="839"/>
    <n v="416.24"/>
    <n v="61.09"/>
    <n v="4561.66"/>
    <m/>
    <m/>
    <m/>
    <m/>
    <n v="144.52000000000001"/>
    <n v="641.01"/>
    <n v="1878.74"/>
    <m/>
    <m/>
    <m/>
    <n v="8.6125506555423126"/>
  </r>
  <r>
    <x v="9"/>
    <x v="1"/>
    <s v="COLCHÃO M.E."/>
    <s v="MORAES REPRESENTACOE"/>
    <x v="12"/>
    <s v="NADA"/>
    <x v="5"/>
    <n v="41493"/>
    <n v="2920001"/>
    <x v="61"/>
    <s v="FARIAS E KLEIN"/>
    <s v="PR"/>
    <s v="Colchão M.E."/>
    <n v="31"/>
    <s v="MORAES REPRESENTACOE"/>
    <n v="44678"/>
    <m/>
    <n v="23.33"/>
    <n v="6490"/>
    <s v="KG"/>
    <n v="160"/>
    <n v="15"/>
    <n v="589"/>
    <n v="278.18"/>
    <n v="23.63"/>
    <n v="3984.8"/>
    <m/>
    <m/>
    <m/>
    <n v="259.60000000000002"/>
    <n v="129.80000000000001"/>
    <n v="428.4"/>
    <n v="1687.4"/>
    <n v="2987.79"/>
    <m/>
    <m/>
    <n v="11.018675721561969"/>
  </r>
  <r>
    <x v="10"/>
    <x v="1"/>
    <s v="COLCHÃO M.E."/>
    <s v="DIRETO"/>
    <x v="9"/>
    <s v="NADA"/>
    <x v="2"/>
    <n v="41643"/>
    <n v="2810005"/>
    <x v="62"/>
    <s v="FLEX CHILE"/>
    <s v="EX"/>
    <s v="Colchão M.E."/>
    <n v="1"/>
    <s v="DIRETO"/>
    <n v="44687"/>
    <m/>
    <n v="24.44"/>
    <n v="28578.43"/>
    <s v="KG"/>
    <n v="240"/>
    <n v="43"/>
    <n v="2018"/>
    <n v="1169.33"/>
    <n v="30.94"/>
    <n v="13459.81"/>
    <m/>
    <n v="4172.75"/>
    <m/>
    <n v="1143.1400000000001"/>
    <n v="571.57000000000005"/>
    <n v="1800.77"/>
    <n v="7430.39"/>
    <n v="15797.13"/>
    <m/>
    <m/>
    <n v="14.161759167492567"/>
  </r>
  <r>
    <x v="10"/>
    <x v="1"/>
    <s v="COLCHÃO M.E."/>
    <s v="DIRETO"/>
    <x v="9"/>
    <s v="NADA"/>
    <x v="2"/>
    <n v="41829"/>
    <n v="2810004"/>
    <x v="54"/>
    <s v="FLEX CHILE"/>
    <s v="EX"/>
    <s v="Colchão M.E."/>
    <n v="1"/>
    <s v="DIRETO"/>
    <n v="44704"/>
    <m/>
    <n v="30.03"/>
    <n v="24861.84"/>
    <s v="KG"/>
    <n v="400"/>
    <n v="30"/>
    <n v="888"/>
    <n v="827.9"/>
    <n v="25.45"/>
    <n v="15526.92"/>
    <m/>
    <n v="1098.6400000000001"/>
    <m/>
    <m/>
    <n v="497.24"/>
    <n v="1274.97"/>
    <n v="6464.08"/>
    <n v="10537.46"/>
    <m/>
    <m/>
    <n v="27.997567567567568"/>
  </r>
  <r>
    <x v="10"/>
    <x v="1"/>
    <s v="COLCHÃO M.E."/>
    <s v="DIRETO"/>
    <x v="10"/>
    <s v="NADA"/>
    <x v="2"/>
    <n v="41982"/>
    <n v="2860003"/>
    <x v="63"/>
    <s v="COLCHONES DEL MUNDO"/>
    <s v="EX"/>
    <s v="Colchão M.E."/>
    <n v="91"/>
    <s v="DIRETO"/>
    <n v="44712"/>
    <m/>
    <n v="37.79"/>
    <n v="21131.41"/>
    <s v="KG"/>
    <n v="420"/>
    <n v="20"/>
    <n v="616"/>
    <n v="559.17999999999995"/>
    <n v="22.99"/>
    <n v="13508.22"/>
    <m/>
    <m/>
    <m/>
    <n v="845.26"/>
    <n v="422.63"/>
    <n v="861.14"/>
    <n v="5494.17"/>
    <n v="8032.41"/>
    <m/>
    <m/>
    <n v="34.304237012987009"/>
  </r>
  <r>
    <x v="10"/>
    <x v="1"/>
    <s v="COLCHÃO M.E."/>
    <s v="DIRETO"/>
    <x v="1"/>
    <s v="NADA"/>
    <x v="1"/>
    <n v="41983"/>
    <n v="2540010"/>
    <x v="64"/>
    <s v="DIVINO COLCHONES"/>
    <s v="EX"/>
    <s v="Colchão M.E."/>
    <n v="1"/>
    <s v="MARTIN"/>
    <n v="44712"/>
    <m/>
    <n v="31.16"/>
    <n v="10936.54"/>
    <s v="KG"/>
    <n v="400"/>
    <n v="11"/>
    <n v="378"/>
    <n v="350.98"/>
    <n v="12.02"/>
    <n v="7332.26"/>
    <m/>
    <m/>
    <m/>
    <m/>
    <n v="218.73"/>
    <n v="540.51"/>
    <n v="2843.5"/>
    <n v="4568.8999999999996"/>
    <m/>
    <m/>
    <n v="28.932645502645506"/>
  </r>
  <r>
    <x v="10"/>
    <x v="1"/>
    <s v="COLCHÃO M.E."/>
    <s v="DIRETO"/>
    <x v="1"/>
    <s v="NADA"/>
    <x v="1"/>
    <n v="41983"/>
    <n v="2540007"/>
    <x v="56"/>
    <s v="DIVINO COLCHONES"/>
    <s v="EX"/>
    <s v="Colchão M.E."/>
    <n v="1"/>
    <s v="MARTIN"/>
    <n v="44712"/>
    <m/>
    <n v="39.700000000000003"/>
    <n v="15295.62"/>
    <s v="KG"/>
    <n v="300"/>
    <n v="18"/>
    <n v="562"/>
    <n v="385.28"/>
    <n v="28.23"/>
    <n v="10419.52"/>
    <m/>
    <m/>
    <m/>
    <m/>
    <n v="305.91000000000003"/>
    <n v="593.33000000000004"/>
    <n v="3976.86"/>
    <n v="4856.75"/>
    <m/>
    <m/>
    <n v="27.216405693950179"/>
  </r>
  <r>
    <x v="10"/>
    <x v="1"/>
    <s v="COLCHÃO M.E."/>
    <s v="DIRETO"/>
    <x v="1"/>
    <s v="NADA"/>
    <x v="1"/>
    <n v="41983"/>
    <n v="2540006"/>
    <x v="55"/>
    <s v="DIVINO COLCHONES"/>
    <s v="EX"/>
    <s v="Colchão M.E."/>
    <n v="1"/>
    <s v="MARTIN"/>
    <n v="44712"/>
    <m/>
    <n v="34.08"/>
    <n v="13471.14"/>
    <s v="KG"/>
    <n v="360"/>
    <n v="16"/>
    <n v="488"/>
    <n v="395.28"/>
    <n v="24.66"/>
    <n v="9090.49"/>
    <m/>
    <m/>
    <m/>
    <m/>
    <n v="269.42"/>
    <n v="608.73"/>
    <n v="3502.5"/>
    <n v="4855.18"/>
    <m/>
    <m/>
    <n v="27.604795081967211"/>
  </r>
  <r>
    <x v="10"/>
    <x v="1"/>
    <s v="COLCHÃO M.E."/>
    <s v="DIRETO"/>
    <x v="1"/>
    <s v="NADA"/>
    <x v="1"/>
    <n v="41983"/>
    <n v="2540012"/>
    <x v="65"/>
    <s v="DIVINO COLCHONES"/>
    <s v="EX"/>
    <s v="Colchão M.E."/>
    <n v="1"/>
    <s v="MARTIN"/>
    <n v="44712"/>
    <m/>
    <n v="27.16"/>
    <n v="42211.53"/>
    <s v="KG"/>
    <n v="240"/>
    <n v="62"/>
    <n v="2688"/>
    <n v="1554.18"/>
    <n v="23.26"/>
    <n v="27998.86"/>
    <m/>
    <m/>
    <m/>
    <m/>
    <n v="844.23"/>
    <n v="2393.44"/>
    <n v="10975"/>
    <n v="18304.07"/>
    <m/>
    <m/>
    <n v="15.703694196428572"/>
  </r>
  <r>
    <x v="1"/>
    <x v="1"/>
    <s v="COLCHÃO M.E."/>
    <s v="DIRETO"/>
    <x v="7"/>
    <s v="NADA"/>
    <x v="4"/>
    <n v="41993"/>
    <n v="2780001"/>
    <x v="66"/>
    <s v="COLCHONERO GONZALEZ"/>
    <s v="EX"/>
    <s v="Colchão M.E."/>
    <n v="1"/>
    <s v="DIRETO"/>
    <n v="44714"/>
    <m/>
    <n v="26.81"/>
    <n v="23739.18"/>
    <s v="KG"/>
    <m/>
    <n v="41"/>
    <n v="2190"/>
    <n v="885.46"/>
    <n v="19.579999999999998"/>
    <n v="16678.169999999998"/>
    <m/>
    <m/>
    <m/>
    <m/>
    <n v="474.78"/>
    <n v="1363.61"/>
    <n v="5222.62"/>
    <n v="15477.77"/>
    <m/>
    <m/>
    <n v="10.839808219178082"/>
  </r>
  <r>
    <x v="1"/>
    <x v="1"/>
    <s v="COLCHÃO M.E."/>
    <s v="DIRETO"/>
    <x v="7"/>
    <s v="NADA"/>
    <x v="4"/>
    <n v="41993"/>
    <n v="2780002"/>
    <x v="66"/>
    <s v="COLCHONERO GONZALEZ"/>
    <s v="EX"/>
    <s v="Colchão M.E."/>
    <n v="1"/>
    <s v="DIRETO"/>
    <n v="44714"/>
    <m/>
    <n v="26.23"/>
    <n v="24773.19"/>
    <s v="KG"/>
    <m/>
    <n v="41"/>
    <n v="2285"/>
    <n v="944.46"/>
    <n v="19.52"/>
    <n v="17373.16"/>
    <m/>
    <m/>
    <m/>
    <m/>
    <n v="495.46"/>
    <n v="1454.47"/>
    <n v="5450.1"/>
    <n v="16529.59"/>
    <m/>
    <m/>
    <n v="10.841658643326038"/>
  </r>
  <r>
    <x v="1"/>
    <x v="1"/>
    <s v="COLCHÃO M.E."/>
    <s v="DIRETO"/>
    <x v="1"/>
    <s v="NADA"/>
    <x v="1"/>
    <n v="42047"/>
    <n v="2540006"/>
    <x v="55"/>
    <s v="DIVINO COLCHONES"/>
    <s v="EX"/>
    <s v="Colchão M.E."/>
    <n v="1"/>
    <s v="MARTIN"/>
    <n v="44719"/>
    <m/>
    <n v="34.14"/>
    <n v="331.16"/>
    <s v="KG"/>
    <n v="360"/>
    <n v="1"/>
    <n v="12"/>
    <n v="9.6999999999999993"/>
    <n v="23.76"/>
    <n v="236.74"/>
    <m/>
    <m/>
    <m/>
    <m/>
    <n v="6.62"/>
    <n v="14.94"/>
    <n v="72.86"/>
    <n v="169.36"/>
    <m/>
    <m/>
    <n v="27.596666666666668"/>
  </r>
  <r>
    <x v="1"/>
    <x v="1"/>
    <s v="COLCHÃO M.E."/>
    <s v="DIRETO"/>
    <x v="1"/>
    <s v="NADA"/>
    <x v="1"/>
    <n v="42047"/>
    <n v="2540012"/>
    <x v="65"/>
    <s v="DIVINO COLCHONES"/>
    <s v="EX"/>
    <s v="Colchão M.E."/>
    <n v="1"/>
    <s v="MARTIN"/>
    <n v="44719"/>
    <m/>
    <n v="27.36"/>
    <n v="6908.95"/>
    <s v="KG"/>
    <n v="240"/>
    <n v="9"/>
    <n v="440"/>
    <n v="252.52"/>
    <n v="19.579999999999998"/>
    <n v="4861.92"/>
    <m/>
    <m/>
    <m/>
    <m/>
    <n v="138.18"/>
    <n v="388.88"/>
    <n v="1519.97"/>
    <n v="3857.52"/>
    <m/>
    <m/>
    <n v="15.70215909090909"/>
  </r>
  <r>
    <x v="1"/>
    <x v="1"/>
    <s v="COLCHÃO M.E."/>
    <s v="DIRETO"/>
    <x v="1"/>
    <s v="NADA"/>
    <x v="1"/>
    <n v="42047"/>
    <n v="2540010"/>
    <x v="64"/>
    <s v="DIVINO COLCHONES"/>
    <s v="EX"/>
    <s v="Colchão M.E."/>
    <n v="1"/>
    <s v="MARTIN"/>
    <n v="44719"/>
    <m/>
    <n v="31.65"/>
    <n v="4455.05"/>
    <s v="KG"/>
    <n v="400"/>
    <n v="4"/>
    <n v="154"/>
    <n v="140.76"/>
    <n v="-0.77"/>
    <n v="3169.07"/>
    <m/>
    <m/>
    <m/>
    <m/>
    <n v="89.1"/>
    <n v="216.77"/>
    <n v="980.11"/>
    <n v="2353.94"/>
    <m/>
    <m/>
    <n v="28.928896103896104"/>
  </r>
  <r>
    <x v="1"/>
    <x v="1"/>
    <s v="COLCHÃO M.E."/>
    <s v="DIRETO"/>
    <x v="1"/>
    <s v="NADA"/>
    <x v="1"/>
    <n v="42047"/>
    <n v="2540007"/>
    <x v="56"/>
    <s v="DIVINO COLCHONES"/>
    <s v="EX"/>
    <s v="Colchão M.E."/>
    <n v="1"/>
    <s v="MARTIN"/>
    <n v="44719"/>
    <m/>
    <n v="37.86"/>
    <n v="3402.1"/>
    <s v="KG"/>
    <n v="300"/>
    <n v="3"/>
    <n v="125"/>
    <n v="89.86"/>
    <n v="28.8"/>
    <n v="2447.21"/>
    <m/>
    <m/>
    <m/>
    <m/>
    <n v="68.040000000000006"/>
    <n v="138.38"/>
    <n v="748.46"/>
    <n v="1510.33"/>
    <m/>
    <m/>
    <n v="27.216799999999999"/>
  </r>
  <r>
    <x v="1"/>
    <x v="1"/>
    <s v="COLCHÃO M.E."/>
    <s v="DIRETO"/>
    <x v="10"/>
    <s v="NADA"/>
    <x v="2"/>
    <n v="42145"/>
    <n v="2860005"/>
    <x v="67"/>
    <s v="COLCHONES DEL MUNDO"/>
    <s v="EX"/>
    <s v="Colchão M.E."/>
    <n v="91"/>
    <s v="DIRETO"/>
    <n v="44725"/>
    <m/>
    <n v="37.97"/>
    <n v="18750.349999999999"/>
    <s v="KG"/>
    <n v="360"/>
    <n v="20"/>
    <n v="625"/>
    <n v="493.82"/>
    <n v="22.66"/>
    <n v="10403.73"/>
    <m/>
    <n v="2336.04"/>
    <m/>
    <n v="750.01"/>
    <n v="375.01"/>
    <n v="760.48"/>
    <n v="4125.08"/>
    <n v="8867.34"/>
    <m/>
    <m/>
    <n v="30.000559999999997"/>
  </r>
  <r>
    <x v="1"/>
    <x v="1"/>
    <s v="COLCHÃO M.E."/>
    <s v="DIRETO"/>
    <x v="10"/>
    <s v="NADA"/>
    <x v="2"/>
    <n v="42145"/>
    <n v="2860004"/>
    <x v="68"/>
    <s v="COLCHONES DEL MUNDO"/>
    <s v="EX"/>
    <s v="Colchão M.E."/>
    <n v="91"/>
    <s v="DIRETO"/>
    <n v="44725"/>
    <m/>
    <n v="37.659999999999997"/>
    <n v="21344.560000000001"/>
    <s v="KG"/>
    <n v="450"/>
    <n v="20"/>
    <n v="553"/>
    <n v="566.77"/>
    <n v="26.42"/>
    <n v="12689.8"/>
    <m/>
    <n v="2659.24"/>
    <m/>
    <m/>
    <n v="426.89"/>
    <n v="872.83"/>
    <n v="4695.8"/>
    <n v="10206.75"/>
    <m/>
    <m/>
    <n v="38.597757685352626"/>
  </r>
  <r>
    <x v="1"/>
    <x v="1"/>
    <s v="COLCHÃO M.E."/>
    <s v="DIRETO"/>
    <x v="10"/>
    <s v="NADA"/>
    <x v="2"/>
    <n v="42145"/>
    <n v="2860003"/>
    <x v="69"/>
    <s v="COLCHONES DEL MUNDO"/>
    <s v="EX"/>
    <s v="Colchão M.E."/>
    <n v="91"/>
    <s v="DIRETO"/>
    <n v="44725"/>
    <m/>
    <n v="37.79"/>
    <n v="21131.41"/>
    <s v="KG"/>
    <n v="420"/>
    <n v="20"/>
    <n v="616"/>
    <n v="559.17999999999995"/>
    <n v="23.58"/>
    <n v="12566.04"/>
    <m/>
    <n v="2632.69"/>
    <m/>
    <m/>
    <n v="422.63"/>
    <n v="861.14"/>
    <n v="4648.91"/>
    <n v="10271.200000000001"/>
    <m/>
    <m/>
    <n v="34.304237012987009"/>
  </r>
  <r>
    <x v="1"/>
    <x v="1"/>
    <s v="COLCHÃO M.E."/>
    <s v="DIRETO"/>
    <x v="9"/>
    <s v="NADA"/>
    <x v="2"/>
    <n v="42156"/>
    <n v="2810006"/>
    <x v="70"/>
    <s v="FLEX CHILE"/>
    <s v="EX"/>
    <s v="Colchão M.E."/>
    <n v="91"/>
    <s v="DIRETO"/>
    <n v="44726"/>
    <m/>
    <n v="31.29"/>
    <n v="8746.18"/>
    <s v="KG"/>
    <n v="160"/>
    <n v="13"/>
    <n v="599"/>
    <n v="279.52"/>
    <n v="32.26"/>
    <n v="6216.64"/>
    <m/>
    <m/>
    <m/>
    <m/>
    <n v="174.92"/>
    <n v="430.46"/>
    <n v="1924.16"/>
    <n v="4595.22"/>
    <m/>
    <m/>
    <n v="14.601302170283807"/>
  </r>
  <r>
    <x v="1"/>
    <x v="1"/>
    <s v="COLCHÃO M.E."/>
    <s v="DIRETO"/>
    <x v="5"/>
    <s v="NADA"/>
    <x v="4"/>
    <n v="42293"/>
    <s v="A08100"/>
    <x v="71"/>
    <s v="INMAPOL SACIF"/>
    <s v="EX"/>
    <s v="Colchão M.E."/>
    <n v="1"/>
    <s v="DIRETO"/>
    <n v="44736"/>
    <m/>
    <n v="17.43"/>
    <n v="19870.2"/>
    <s v="KG"/>
    <n v="261"/>
    <n v="38"/>
    <n v="1900"/>
    <n v="1140"/>
    <n v="66.97"/>
    <n v="13345.75"/>
    <m/>
    <m/>
    <m/>
    <m/>
    <n v="397.4"/>
    <n v="1755.6"/>
    <n v="4371.4399999999996"/>
    <m/>
    <m/>
    <m/>
    <n v="10.458"/>
  </r>
  <r>
    <x v="1"/>
    <x v="1"/>
    <s v="COLCHÃO M.E."/>
    <s v="DIRETO"/>
    <x v="13"/>
    <s v="NADA"/>
    <x v="0"/>
    <n v="42395"/>
    <n v="2940001"/>
    <x v="72"/>
    <s v="INDUCOL INDUSTRIA"/>
    <s v="EX"/>
    <s v="Colchão M.E."/>
    <n v="88"/>
    <s v="JOSIMAR"/>
    <n v="44742"/>
    <m/>
    <n v="26.64"/>
    <n v="11770.88"/>
    <s v="KG"/>
    <n v="200"/>
    <n v="20"/>
    <n v="976"/>
    <n v="441.85"/>
    <n v="7.64"/>
    <n v="7794.58"/>
    <m/>
    <m/>
    <m/>
    <n v="470.84"/>
    <n v="235.42"/>
    <n v="680.45"/>
    <n v="2589.59"/>
    <n v="6381.86"/>
    <m/>
    <m/>
    <n v="12.060327868852458"/>
  </r>
  <r>
    <x v="1"/>
    <x v="1"/>
    <s v="COLCHÃO M.E."/>
    <s v="DIRETO"/>
    <x v="13"/>
    <s v="NADA"/>
    <x v="0"/>
    <n v="42395"/>
    <n v="2940002"/>
    <x v="73"/>
    <s v="INDUCOL INDUSTRIA"/>
    <s v="EX"/>
    <s v="Colchão M.E."/>
    <n v="88"/>
    <s v="JOSIMAR"/>
    <n v="44742"/>
    <m/>
    <n v="23.61"/>
    <n v="9548.83"/>
    <s v="KG"/>
    <n v="200"/>
    <n v="18"/>
    <n v="854"/>
    <n v="404.44"/>
    <n v="2.87"/>
    <n v="6252.32"/>
    <m/>
    <m/>
    <m/>
    <n v="381.95"/>
    <n v="190.98"/>
    <n v="622.84"/>
    <n v="2100.7399999999998"/>
    <n v="5839.5"/>
    <m/>
    <m/>
    <n v="11.181299765807962"/>
  </r>
  <r>
    <x v="1"/>
    <x v="1"/>
    <s v="COLCHÃO M.E."/>
    <s v="DIRETO"/>
    <x v="13"/>
    <s v="NADA"/>
    <x v="0"/>
    <n v="42395"/>
    <n v="2940003"/>
    <x v="74"/>
    <s v="INDUCOL INDUSTRIA"/>
    <s v="EX"/>
    <s v="Colchão M.E."/>
    <n v="88"/>
    <s v="JOSIMAR"/>
    <n v="44742"/>
    <m/>
    <n v="27.29"/>
    <n v="11120.13"/>
    <s v="KG"/>
    <n v="200"/>
    <n v="18"/>
    <n v="922"/>
    <n v="407.48"/>
    <n v="-0.22"/>
    <n v="7378.97"/>
    <m/>
    <m/>
    <m/>
    <n v="444.81"/>
    <n v="222.4"/>
    <n v="627.52"/>
    <n v="2446.4299999999998"/>
    <n v="6541.92"/>
    <m/>
    <m/>
    <n v="12.060878524945769"/>
  </r>
  <r>
    <x v="1"/>
    <x v="1"/>
    <s v="COLCHÃO M.E."/>
    <s v="DIRETO"/>
    <x v="13"/>
    <s v="NADA"/>
    <x v="0"/>
    <n v="42395"/>
    <n v="2940004"/>
    <x v="75"/>
    <s v="INDUCOL INDUSTRIA"/>
    <s v="EX"/>
    <s v="Colchão M.E."/>
    <n v="88"/>
    <s v="JOSIMAR"/>
    <n v="44742"/>
    <m/>
    <n v="24.67"/>
    <n v="8766.24"/>
    <s v="KG"/>
    <n v="200"/>
    <n v="19"/>
    <n v="784"/>
    <n v="355.34"/>
    <n v="1.49"/>
    <n v="5764.47"/>
    <m/>
    <m/>
    <m/>
    <n v="350.65"/>
    <n v="175.32"/>
    <n v="547.22"/>
    <n v="1928.57"/>
    <n v="5118.7299999999996"/>
    <m/>
    <m/>
    <n v="11.181428571428571"/>
  </r>
  <r>
    <x v="1"/>
    <x v="1"/>
    <s v="COLCHÃO M.E."/>
    <s v="DIRETO"/>
    <x v="13"/>
    <s v="NADA"/>
    <x v="0"/>
    <n v="42395"/>
    <n v="2940005"/>
    <x v="76"/>
    <s v="INDUCOL INDUSTRIA"/>
    <s v="EX"/>
    <s v="Colchão M.E."/>
    <n v="88"/>
    <s v="JOSIMAR"/>
    <n v="44742"/>
    <m/>
    <n v="24.84"/>
    <n v="10258.92"/>
    <s v="KG"/>
    <n v="200"/>
    <n v="20"/>
    <n v="948"/>
    <n v="413"/>
    <n v="-1.1000000000000001"/>
    <n v="6750.4"/>
    <m/>
    <m/>
    <m/>
    <n v="410.36"/>
    <n v="205.18"/>
    <n v="636.02"/>
    <n v="2256.96"/>
    <n v="5956.69"/>
    <m/>
    <m/>
    <n v="10.821645569620253"/>
  </r>
  <r>
    <x v="1"/>
    <x v="1"/>
    <s v="COLCHÃO M.E."/>
    <s v="DIRETO"/>
    <x v="13"/>
    <s v="NADA"/>
    <x v="0"/>
    <n v="42395"/>
    <n v="2940006"/>
    <x v="77"/>
    <s v="INDUCOL INDUSTRIA"/>
    <s v="EX"/>
    <s v="Colchão M.E."/>
    <n v="88"/>
    <s v="JOSIMAR"/>
    <n v="44742"/>
    <m/>
    <n v="28.13"/>
    <n v="9211.73"/>
    <s v="KG"/>
    <n v="200"/>
    <n v="15"/>
    <n v="786"/>
    <n v="327.47000000000003"/>
    <n v="-2"/>
    <n v="6128.14"/>
    <m/>
    <m/>
    <m/>
    <n v="368.47"/>
    <n v="184.23"/>
    <n v="504.3"/>
    <n v="2026.58"/>
    <n v="5241.37"/>
    <m/>
    <m/>
    <n v="11.719758269720101"/>
  </r>
  <r>
    <x v="1"/>
    <x v="1"/>
    <s v="COLCHÃO M.E."/>
    <s v="DIRETO"/>
    <x v="13"/>
    <s v="NADA"/>
    <x v="0"/>
    <n v="42395"/>
    <n v="2940007"/>
    <x v="78"/>
    <s v="INDUCOL INDUSTRIA"/>
    <s v="EX"/>
    <s v="Colchão M.E."/>
    <n v="88"/>
    <s v="JOSIMAR"/>
    <n v="44742"/>
    <m/>
    <n v="27.12"/>
    <n v="9457.02"/>
    <s v="KG"/>
    <n v="200"/>
    <n v="17"/>
    <n v="784"/>
    <n v="348.71"/>
    <n v="-4.99"/>
    <n v="6272.04"/>
    <m/>
    <m/>
    <m/>
    <n v="378.28"/>
    <n v="189.14"/>
    <n v="537.01"/>
    <n v="2080.54"/>
    <n v="5994.19"/>
    <m/>
    <m/>
    <n v="12.062525510204082"/>
  </r>
  <r>
    <x v="1"/>
    <x v="1"/>
    <s v="COLCHÃO M.E."/>
    <s v="DIRETO"/>
    <x v="13"/>
    <s v="NADA"/>
    <x v="0"/>
    <n v="42395"/>
    <n v="2940008"/>
    <x v="79"/>
    <s v="INDUCOL INDUSTRIA"/>
    <s v="EX"/>
    <s v="Colchão M.E."/>
    <n v="88"/>
    <s v="JOSIMAR"/>
    <n v="44742"/>
    <m/>
    <n v="27.06"/>
    <n v="8841.58"/>
    <s v="KG"/>
    <n v="200"/>
    <n v="14"/>
    <n v="733"/>
    <n v="326.74"/>
    <n v="5.91"/>
    <n v="6216.42"/>
    <m/>
    <m/>
    <m/>
    <m/>
    <n v="176.83"/>
    <n v="503.18"/>
    <n v="1945.15"/>
    <n v="5466.14"/>
    <m/>
    <m/>
    <n v="12.062182810368348"/>
  </r>
  <r>
    <x v="1"/>
    <x v="1"/>
    <s v="COLCHÃO M.E."/>
    <s v="DIRETO"/>
    <x v="13"/>
    <s v="NADA"/>
    <x v="0"/>
    <n v="42395"/>
    <n v="2940009"/>
    <x v="80"/>
    <s v="INDUCOL INDUSTRIA"/>
    <s v="EX"/>
    <s v="Colchão M.E."/>
    <n v="88"/>
    <s v="JOSIMAR"/>
    <n v="44742"/>
    <m/>
    <n v="26.44"/>
    <n v="7881.76"/>
    <s v="KG"/>
    <n v="200"/>
    <n v="15"/>
    <n v="705"/>
    <n v="298.10000000000002"/>
    <n v="7.09"/>
    <n v="5531.06"/>
    <m/>
    <m/>
    <m/>
    <m/>
    <n v="157.63999999999999"/>
    <n v="459.07"/>
    <n v="1733.99"/>
    <n v="4894.63"/>
    <m/>
    <m/>
    <n v="11.179801418439716"/>
  </r>
  <r>
    <x v="1"/>
    <x v="1"/>
    <s v="COLCHÃO M.E."/>
    <s v="DIRETO"/>
    <x v="13"/>
    <s v="NADA"/>
    <x v="0"/>
    <n v="42395"/>
    <n v="2940013"/>
    <x v="81"/>
    <s v="INDUCOL INDUSTRIA"/>
    <s v="EX"/>
    <s v="Colchão M.E."/>
    <n v="88"/>
    <s v="JOSIMAR"/>
    <n v="44742"/>
    <m/>
    <n v="25.98"/>
    <n v="9492.57"/>
    <s v="KG"/>
    <n v="200"/>
    <n v="17"/>
    <n v="849"/>
    <n v="365.38"/>
    <n v="5.08"/>
    <n v="6271.97"/>
    <m/>
    <m/>
    <m/>
    <n v="379.7"/>
    <n v="189.85"/>
    <n v="562.69000000000005"/>
    <n v="2088.37"/>
    <n v="5356"/>
    <m/>
    <m/>
    <n v="11.180883392226148"/>
  </r>
  <r>
    <x v="1"/>
    <x v="1"/>
    <s v="COLCHÃO M.E."/>
    <s v="DIRETO"/>
    <x v="13"/>
    <s v="NADA"/>
    <x v="0"/>
    <n v="42395"/>
    <n v="2940015"/>
    <x v="82"/>
    <s v="INDUCOL INDUSTRIA"/>
    <s v="EX"/>
    <s v="Colchão M.E."/>
    <n v="88"/>
    <s v="JOSIMAR"/>
    <n v="44742"/>
    <m/>
    <n v="26.89"/>
    <n v="4812.2299999999996"/>
    <s v="KG"/>
    <n v="200"/>
    <n v="8"/>
    <n v="399"/>
    <n v="178.96"/>
    <n v="6.3"/>
    <n v="3381.7"/>
    <m/>
    <m/>
    <m/>
    <m/>
    <n v="96.24"/>
    <n v="275.60000000000002"/>
    <n v="1058.69"/>
    <n v="2975.35"/>
    <m/>
    <m/>
    <n v="12.060726817042605"/>
  </r>
  <r>
    <x v="1"/>
    <x v="1"/>
    <s v="COLCHÃO M.E."/>
    <s v="DIRETO"/>
    <x v="13"/>
    <s v="NADA"/>
    <x v="0"/>
    <n v="42395"/>
    <n v="2940016"/>
    <x v="83"/>
    <s v="INDUCOL INDUSTRIA"/>
    <s v="EX"/>
    <s v="Colchão M.E."/>
    <n v="88"/>
    <s v="JOSIMAR"/>
    <n v="44742"/>
    <m/>
    <n v="31.04"/>
    <n v="8934.5499999999993"/>
    <s v="KG"/>
    <n v="200"/>
    <n v="14"/>
    <n v="646"/>
    <n v="287.83999999999997"/>
    <n v="4.07"/>
    <n v="5989.6"/>
    <m/>
    <m/>
    <m/>
    <n v="357.38"/>
    <n v="178.69"/>
    <n v="443.27"/>
    <n v="1965.6"/>
    <n v="5515.21"/>
    <m/>
    <m/>
    <n v="13.830572755417956"/>
  </r>
  <r>
    <x v="1"/>
    <x v="1"/>
    <s v="COLCHÃO M.E."/>
    <s v="DIRETO"/>
    <x v="13"/>
    <s v="NADA"/>
    <x v="0"/>
    <n v="42395"/>
    <n v="2940012"/>
    <x v="84"/>
    <s v="INDUCOL INDUSTRIA"/>
    <s v="EX"/>
    <s v="Colchão M.E."/>
    <n v="88"/>
    <s v="JOSIMAR"/>
    <n v="44742"/>
    <m/>
    <n v="26.05"/>
    <n v="8128.12"/>
    <s v="KG"/>
    <n v="200"/>
    <n v="16"/>
    <n v="674"/>
    <n v="312.02"/>
    <n v="0.14000000000000001"/>
    <n v="5371.74"/>
    <m/>
    <m/>
    <m/>
    <n v="325.12"/>
    <n v="162.56"/>
    <n v="480.51"/>
    <n v="1788.19"/>
    <n v="5363.5"/>
    <m/>
    <m/>
    <n v="12.059525222551928"/>
  </r>
  <r>
    <x v="1"/>
    <x v="1"/>
    <s v="COLCHÃO M.E."/>
    <s v="DIRETO"/>
    <x v="13"/>
    <s v="NADA"/>
    <x v="0"/>
    <n v="42395"/>
    <n v="2940001"/>
    <x v="72"/>
    <s v="INDUCOL INDUSTRIA"/>
    <s v="EX"/>
    <s v="Colchão M.E."/>
    <n v="88"/>
    <s v="JOSIMAR"/>
    <n v="44742"/>
    <m/>
    <n v="26.64"/>
    <n v="-11770.88"/>
    <s v="KG"/>
    <n v="200"/>
    <n v="20"/>
    <n v="-976"/>
    <n v="-441.85"/>
    <n v="7.64"/>
    <n v="-7794.58"/>
    <m/>
    <m/>
    <m/>
    <n v="470.84"/>
    <n v="235.42"/>
    <n v="680.45"/>
    <n v="2589.59"/>
    <n v="-6381.86"/>
    <m/>
    <m/>
    <n v="12.060327868852458"/>
  </r>
  <r>
    <x v="1"/>
    <x v="1"/>
    <s v="COLCHÃO M.E."/>
    <s v="DIRETO"/>
    <x v="13"/>
    <s v="NADA"/>
    <x v="0"/>
    <n v="42395"/>
    <n v="2940002"/>
    <x v="73"/>
    <s v="INDUCOL INDUSTRIA"/>
    <s v="EX"/>
    <s v="Colchão M.E."/>
    <n v="88"/>
    <s v="JOSIMAR"/>
    <n v="44742"/>
    <m/>
    <n v="23.61"/>
    <n v="-9548.83"/>
    <s v="KG"/>
    <n v="200"/>
    <n v="18"/>
    <n v="-854"/>
    <n v="-404.44"/>
    <n v="2.87"/>
    <n v="-6252.32"/>
    <m/>
    <m/>
    <m/>
    <n v="381.95"/>
    <n v="190.98"/>
    <n v="622.84"/>
    <n v="2100.7399999999998"/>
    <n v="-5839.5"/>
    <m/>
    <m/>
    <n v="11.181299765807962"/>
  </r>
  <r>
    <x v="1"/>
    <x v="1"/>
    <s v="COLCHÃO M.E."/>
    <s v="DIRETO"/>
    <x v="13"/>
    <s v="NADA"/>
    <x v="0"/>
    <n v="42395"/>
    <n v="2940003"/>
    <x v="74"/>
    <s v="INDUCOL INDUSTRIA"/>
    <s v="EX"/>
    <s v="Colchão M.E."/>
    <n v="88"/>
    <s v="JOSIMAR"/>
    <n v="44742"/>
    <m/>
    <n v="27.29"/>
    <n v="-11120.13"/>
    <s v="KG"/>
    <n v="200"/>
    <n v="18"/>
    <n v="-922"/>
    <n v="-407.48"/>
    <n v="-0.22"/>
    <n v="-7378.97"/>
    <m/>
    <m/>
    <m/>
    <n v="444.81"/>
    <n v="222.4"/>
    <n v="627.52"/>
    <n v="2446.4299999999998"/>
    <n v="-6541.92"/>
    <m/>
    <m/>
    <n v="12.060878524945769"/>
  </r>
  <r>
    <x v="1"/>
    <x v="1"/>
    <s v="COLCHÃO M.E."/>
    <s v="DIRETO"/>
    <x v="13"/>
    <s v="NADA"/>
    <x v="0"/>
    <n v="42395"/>
    <n v="2940004"/>
    <x v="75"/>
    <s v="INDUCOL INDUSTRIA"/>
    <s v="EX"/>
    <s v="Colchão M.E."/>
    <n v="88"/>
    <s v="JOSIMAR"/>
    <n v="44742"/>
    <m/>
    <n v="24.67"/>
    <n v="-8766.24"/>
    <s v="KG"/>
    <n v="200"/>
    <n v="19"/>
    <n v="-784"/>
    <n v="-355.34"/>
    <n v="1.49"/>
    <n v="-5764.47"/>
    <m/>
    <m/>
    <m/>
    <n v="350.65"/>
    <n v="175.32"/>
    <n v="547.22"/>
    <n v="1928.57"/>
    <n v="-5118.7299999999996"/>
    <m/>
    <m/>
    <n v="11.181428571428571"/>
  </r>
  <r>
    <x v="1"/>
    <x v="1"/>
    <s v="COLCHÃO M.E."/>
    <s v="DIRETO"/>
    <x v="13"/>
    <s v="NADA"/>
    <x v="0"/>
    <n v="42395"/>
    <n v="2940005"/>
    <x v="76"/>
    <s v="INDUCOL INDUSTRIA"/>
    <s v="EX"/>
    <s v="Colchão M.E."/>
    <n v="88"/>
    <s v="JOSIMAR"/>
    <n v="44742"/>
    <m/>
    <n v="24.84"/>
    <n v="-10258.92"/>
    <s v="KG"/>
    <n v="200"/>
    <n v="20"/>
    <n v="-948"/>
    <n v="-413"/>
    <n v="-1.1000000000000001"/>
    <n v="-6750.4"/>
    <m/>
    <m/>
    <m/>
    <n v="410.36"/>
    <n v="205.18"/>
    <n v="636.02"/>
    <n v="2256.96"/>
    <n v="-5956.69"/>
    <m/>
    <m/>
    <n v="10.821645569620253"/>
  </r>
  <r>
    <x v="1"/>
    <x v="1"/>
    <s v="COLCHÃO M.E."/>
    <s v="DIRETO"/>
    <x v="13"/>
    <s v="NADA"/>
    <x v="0"/>
    <n v="42395"/>
    <n v="2940006"/>
    <x v="77"/>
    <s v="INDUCOL INDUSTRIA"/>
    <s v="EX"/>
    <s v="Colchão M.E."/>
    <n v="88"/>
    <s v="JOSIMAR"/>
    <n v="44742"/>
    <m/>
    <n v="28.13"/>
    <n v="-9211.73"/>
    <s v="KG"/>
    <n v="200"/>
    <n v="15"/>
    <n v="-786"/>
    <n v="-327.47000000000003"/>
    <n v="-2"/>
    <n v="-6128.14"/>
    <m/>
    <m/>
    <m/>
    <n v="368.47"/>
    <n v="184.23"/>
    <n v="504.3"/>
    <n v="2026.58"/>
    <n v="-5241.37"/>
    <m/>
    <m/>
    <n v="11.719758269720101"/>
  </r>
  <r>
    <x v="1"/>
    <x v="1"/>
    <s v="COLCHÃO M.E."/>
    <s v="DIRETO"/>
    <x v="13"/>
    <s v="NADA"/>
    <x v="0"/>
    <n v="42395"/>
    <n v="2940007"/>
    <x v="78"/>
    <s v="INDUCOL INDUSTRIA"/>
    <s v="EX"/>
    <s v="Colchão M.E."/>
    <n v="88"/>
    <s v="JOSIMAR"/>
    <n v="44742"/>
    <m/>
    <n v="27.12"/>
    <n v="-9457.02"/>
    <s v="KG"/>
    <n v="200"/>
    <n v="17"/>
    <n v="-784"/>
    <n v="-348.71"/>
    <n v="-4.99"/>
    <n v="-6272.04"/>
    <m/>
    <m/>
    <m/>
    <n v="378.28"/>
    <n v="189.14"/>
    <n v="537.01"/>
    <n v="2080.54"/>
    <n v="-5994.19"/>
    <m/>
    <m/>
    <n v="12.062525510204082"/>
  </r>
  <r>
    <x v="1"/>
    <x v="1"/>
    <s v="COLCHÃO M.E."/>
    <s v="DIRETO"/>
    <x v="13"/>
    <s v="NADA"/>
    <x v="0"/>
    <n v="42395"/>
    <n v="2940008"/>
    <x v="79"/>
    <s v="INDUCOL INDUSTRIA"/>
    <s v="EX"/>
    <s v="Colchão M.E."/>
    <n v="88"/>
    <s v="JOSIMAR"/>
    <n v="44742"/>
    <m/>
    <n v="27.06"/>
    <n v="-8841.58"/>
    <s v="KG"/>
    <n v="200"/>
    <n v="14"/>
    <n v="-733"/>
    <n v="-326.74"/>
    <n v="5.91"/>
    <n v="-6216.42"/>
    <m/>
    <m/>
    <m/>
    <m/>
    <n v="176.83"/>
    <n v="503.18"/>
    <n v="1945.15"/>
    <n v="-5466.14"/>
    <m/>
    <m/>
    <n v="12.062182810368348"/>
  </r>
  <r>
    <x v="1"/>
    <x v="1"/>
    <s v="COLCHÃO M.E."/>
    <s v="DIRETO"/>
    <x v="13"/>
    <s v="NADA"/>
    <x v="0"/>
    <n v="42395"/>
    <n v="2940009"/>
    <x v="80"/>
    <s v="INDUCOL INDUSTRIA"/>
    <s v="EX"/>
    <s v="Colchão M.E."/>
    <n v="88"/>
    <s v="JOSIMAR"/>
    <n v="44742"/>
    <m/>
    <n v="26.44"/>
    <n v="-7881.76"/>
    <s v="KG"/>
    <n v="200"/>
    <n v="15"/>
    <n v="-705"/>
    <n v="-298.10000000000002"/>
    <n v="7.09"/>
    <n v="-5531.06"/>
    <m/>
    <m/>
    <m/>
    <m/>
    <n v="157.63999999999999"/>
    <n v="459.07"/>
    <n v="1733.99"/>
    <n v="-4894.63"/>
    <m/>
    <m/>
    <n v="11.179801418439716"/>
  </r>
  <r>
    <x v="1"/>
    <x v="1"/>
    <s v="COLCHÃO M.E."/>
    <s v="DIRETO"/>
    <x v="13"/>
    <s v="NADA"/>
    <x v="0"/>
    <n v="42395"/>
    <n v="2940013"/>
    <x v="81"/>
    <s v="INDUCOL INDUSTRIA"/>
    <s v="EX"/>
    <s v="Colchão M.E."/>
    <n v="88"/>
    <s v="JOSIMAR"/>
    <n v="44742"/>
    <m/>
    <n v="25.98"/>
    <n v="-9492.57"/>
    <s v="KG"/>
    <n v="200"/>
    <n v="17"/>
    <n v="-849"/>
    <n v="-365.38"/>
    <n v="5.08"/>
    <n v="-6271.97"/>
    <m/>
    <m/>
    <m/>
    <n v="379.7"/>
    <n v="189.85"/>
    <n v="562.69000000000005"/>
    <n v="2088.37"/>
    <n v="-5356"/>
    <m/>
    <m/>
    <n v="11.180883392226148"/>
  </r>
  <r>
    <x v="1"/>
    <x v="1"/>
    <s v="COLCHÃO M.E."/>
    <s v="DIRETO"/>
    <x v="13"/>
    <s v="NADA"/>
    <x v="0"/>
    <n v="42395"/>
    <n v="2940015"/>
    <x v="82"/>
    <s v="INDUCOL INDUSTRIA"/>
    <s v="EX"/>
    <s v="Colchão M.E."/>
    <n v="88"/>
    <s v="JOSIMAR"/>
    <n v="44742"/>
    <m/>
    <n v="26.89"/>
    <n v="-4812.2299999999996"/>
    <s v="KG"/>
    <n v="200"/>
    <n v="8"/>
    <n v="-399"/>
    <n v="-178.96"/>
    <n v="6.3"/>
    <n v="-3381.7"/>
    <m/>
    <m/>
    <m/>
    <m/>
    <n v="96.24"/>
    <n v="275.60000000000002"/>
    <n v="1058.69"/>
    <n v="-2975.35"/>
    <m/>
    <m/>
    <n v="12.060726817042605"/>
  </r>
  <r>
    <x v="1"/>
    <x v="1"/>
    <s v="COLCHÃO M.E."/>
    <s v="DIRETO"/>
    <x v="13"/>
    <s v="NADA"/>
    <x v="0"/>
    <n v="42395"/>
    <n v="2940016"/>
    <x v="83"/>
    <s v="INDUCOL INDUSTRIA"/>
    <s v="EX"/>
    <s v="Colchão M.E."/>
    <n v="88"/>
    <s v="JOSIMAR"/>
    <n v="44742"/>
    <m/>
    <n v="31.04"/>
    <n v="-8934.5499999999993"/>
    <s v="KG"/>
    <n v="200"/>
    <n v="14"/>
    <n v="-646"/>
    <n v="-287.83999999999997"/>
    <n v="4.07"/>
    <n v="-5989.6"/>
    <m/>
    <m/>
    <m/>
    <n v="357.38"/>
    <n v="178.69"/>
    <n v="443.27"/>
    <n v="1965.6"/>
    <n v="-5515.21"/>
    <m/>
    <m/>
    <n v="13.830572755417956"/>
  </r>
  <r>
    <x v="1"/>
    <x v="1"/>
    <s v="COLCHÃO M.E."/>
    <s v="DIRETO"/>
    <x v="13"/>
    <s v="NADA"/>
    <x v="0"/>
    <n v="42395"/>
    <n v="2940012"/>
    <x v="84"/>
    <s v="INDUCOL INDUSTRIA"/>
    <s v="EX"/>
    <s v="Colchão M.E."/>
    <n v="88"/>
    <s v="JOSIMAR"/>
    <n v="44742"/>
    <m/>
    <n v="26.05"/>
    <n v="-8128.12"/>
    <s v="KG"/>
    <n v="200"/>
    <n v="16"/>
    <n v="-674"/>
    <n v="-312.02"/>
    <n v="0.14000000000000001"/>
    <n v="-5371.74"/>
    <m/>
    <m/>
    <m/>
    <n v="325.12"/>
    <n v="162.56"/>
    <n v="480.51"/>
    <n v="1788.19"/>
    <n v="-5363.5"/>
    <m/>
    <m/>
    <n v="12.059525222551928"/>
  </r>
  <r>
    <x v="2"/>
    <x v="1"/>
    <s v="COLCHÃO M.E."/>
    <s v="DIRETO"/>
    <x v="13"/>
    <s v="NADA"/>
    <x v="0"/>
    <n v="42509"/>
    <n v="2940001"/>
    <x v="85"/>
    <s v="INDUCOL INDUSTRIA"/>
    <s v="EX"/>
    <s v="Colchão M.E."/>
    <n v="88"/>
    <s v="JOSIMAR"/>
    <n v="44754"/>
    <m/>
    <n v="26.58"/>
    <n v="11744.37"/>
    <s v="KG"/>
    <n v="200"/>
    <n v="20"/>
    <n v="976"/>
    <n v="441.85"/>
    <n v="7.64"/>
    <n v="7775.5"/>
    <m/>
    <m/>
    <m/>
    <n v="469.77"/>
    <n v="234.89"/>
    <n v="680.45"/>
    <n v="2583.7600000000002"/>
    <n v="6381.86"/>
    <m/>
    <m/>
    <n v="12.033165983606558"/>
  </r>
  <r>
    <x v="2"/>
    <x v="1"/>
    <s v="COLCHÃO M.E."/>
    <s v="DIRETO"/>
    <x v="13"/>
    <s v="NADA"/>
    <x v="0"/>
    <n v="42509"/>
    <n v="2940002"/>
    <x v="86"/>
    <s v="INDUCOL INDUSTRIA"/>
    <s v="EX"/>
    <s v="Colchão M.E."/>
    <n v="88"/>
    <s v="JOSIMAR"/>
    <n v="44754"/>
    <m/>
    <n v="23.59"/>
    <n v="9540.74"/>
    <s v="KG"/>
    <n v="200"/>
    <n v="18"/>
    <n v="854"/>
    <n v="404.44"/>
    <n v="2.87"/>
    <n v="6246.5"/>
    <m/>
    <m/>
    <m/>
    <n v="381.63"/>
    <n v="190.81"/>
    <n v="622.84"/>
    <n v="2098.96"/>
    <n v="5839.5"/>
    <m/>
    <m/>
    <n v="11.171826697892271"/>
  </r>
  <r>
    <x v="2"/>
    <x v="1"/>
    <s v="COLCHÃO M.E."/>
    <s v="DIRETO"/>
    <x v="13"/>
    <s v="NADA"/>
    <x v="0"/>
    <n v="42509"/>
    <n v="2940003"/>
    <x v="87"/>
    <s v="INDUCOL INDUSTRIA"/>
    <s v="EX"/>
    <s v="Colchão M.E."/>
    <n v="88"/>
    <s v="JOSIMAR"/>
    <n v="44754"/>
    <m/>
    <n v="27.22"/>
    <n v="11091.61"/>
    <s v="KG"/>
    <n v="200"/>
    <n v="18"/>
    <n v="922"/>
    <n v="407.48"/>
    <n v="-0.22"/>
    <n v="7358.44"/>
    <m/>
    <m/>
    <m/>
    <n v="443.66"/>
    <n v="221.83"/>
    <n v="627.52"/>
    <n v="2440.15"/>
    <n v="6541.92"/>
    <m/>
    <m/>
    <n v="12.029945770065076"/>
  </r>
  <r>
    <x v="2"/>
    <x v="1"/>
    <s v="COLCHÃO M.E."/>
    <s v="DIRETO"/>
    <x v="13"/>
    <s v="NADA"/>
    <x v="0"/>
    <n v="42509"/>
    <n v="2940004"/>
    <x v="88"/>
    <s v="INDUCOL INDUSTRIA"/>
    <s v="EX"/>
    <s v="Colchão M.E."/>
    <n v="88"/>
    <s v="JOSIMAR"/>
    <n v="44754"/>
    <m/>
    <n v="24.65"/>
    <n v="8759.1299999999992"/>
    <s v="KG"/>
    <n v="200"/>
    <n v="19"/>
    <n v="784"/>
    <n v="355.34"/>
    <n v="1.49"/>
    <n v="5759.35"/>
    <m/>
    <m/>
    <m/>
    <n v="350.37"/>
    <n v="175.18"/>
    <n v="547.22"/>
    <n v="1927.01"/>
    <n v="5118.7299999999996"/>
    <m/>
    <m/>
    <n v="11.172359693877549"/>
  </r>
  <r>
    <x v="2"/>
    <x v="1"/>
    <s v="COLCHÃO M.E."/>
    <s v="DIRETO"/>
    <x v="13"/>
    <s v="NADA"/>
    <x v="0"/>
    <n v="42509"/>
    <n v="2940005"/>
    <x v="89"/>
    <s v="INDUCOL INDUSTRIA"/>
    <s v="EX"/>
    <s v="Colchão M.E."/>
    <n v="88"/>
    <s v="JOSIMAR"/>
    <n v="44754"/>
    <m/>
    <n v="24.79"/>
    <n v="10238.27"/>
    <s v="KG"/>
    <n v="200"/>
    <n v="20"/>
    <n v="948"/>
    <n v="413"/>
    <n v="-1.1000000000000001"/>
    <n v="6735.53"/>
    <m/>
    <m/>
    <m/>
    <n v="409.53"/>
    <n v="204.77"/>
    <n v="636.02"/>
    <n v="2252.42"/>
    <n v="5956.69"/>
    <m/>
    <m/>
    <n v="10.799862869198313"/>
  </r>
  <r>
    <x v="2"/>
    <x v="1"/>
    <s v="COLCHÃO M.E."/>
    <s v="DIRETO"/>
    <x v="13"/>
    <s v="NADA"/>
    <x v="0"/>
    <n v="42509"/>
    <n v="2940006"/>
    <x v="90"/>
    <s v="INDUCOL INDUSTRIA"/>
    <s v="EX"/>
    <s v="Colchão M.E."/>
    <n v="88"/>
    <s v="JOSIMAR"/>
    <n v="44754"/>
    <m/>
    <n v="28.12"/>
    <n v="10024.5"/>
    <s v="KG"/>
    <n v="200"/>
    <n v="17"/>
    <n v="856"/>
    <n v="356.49"/>
    <n v="-2"/>
    <n v="6668.65"/>
    <m/>
    <m/>
    <m/>
    <n v="400.98"/>
    <n v="200.49"/>
    <n v="548.99"/>
    <n v="2205.39"/>
    <n v="5705.86"/>
    <m/>
    <m/>
    <n v="11.710864485981308"/>
  </r>
  <r>
    <x v="2"/>
    <x v="1"/>
    <s v="COLCHÃO M.E."/>
    <s v="DIRETO"/>
    <x v="13"/>
    <s v="NADA"/>
    <x v="0"/>
    <n v="42509"/>
    <n v="2940007"/>
    <x v="91"/>
    <s v="INDUCOL INDUSTRIA"/>
    <s v="EX"/>
    <s v="Colchão M.E."/>
    <n v="88"/>
    <s v="JOSIMAR"/>
    <n v="44754"/>
    <m/>
    <n v="27.05"/>
    <n v="9432.61"/>
    <s v="KG"/>
    <n v="200"/>
    <n v="17"/>
    <n v="784"/>
    <n v="348.71"/>
    <n v="-4.99"/>
    <n v="6254.47"/>
    <m/>
    <m/>
    <m/>
    <n v="377.3"/>
    <n v="188.65"/>
    <n v="537.01"/>
    <n v="2075.17"/>
    <n v="5994.19"/>
    <m/>
    <m/>
    <n v="12.03139030612245"/>
  </r>
  <r>
    <x v="2"/>
    <x v="1"/>
    <s v="COLCHÃO M.E."/>
    <s v="DIRETO"/>
    <x v="13"/>
    <s v="NADA"/>
    <x v="0"/>
    <n v="42509"/>
    <n v="2940008"/>
    <x v="92"/>
    <s v="INDUCOL INDUSTRIA"/>
    <s v="EX"/>
    <s v="Colchão M.E."/>
    <n v="88"/>
    <s v="JOSIMAR"/>
    <n v="44754"/>
    <m/>
    <n v="26.99"/>
    <n v="8818.7099999999991"/>
    <s v="KG"/>
    <n v="200"/>
    <n v="14"/>
    <n v="733"/>
    <n v="326.74"/>
    <n v="5.91"/>
    <n v="6199.04"/>
    <m/>
    <m/>
    <m/>
    <m/>
    <n v="176.37"/>
    <n v="503.18"/>
    <n v="1940.12"/>
    <n v="5466.14"/>
    <m/>
    <m/>
    <n v="12.030982264665756"/>
  </r>
  <r>
    <x v="2"/>
    <x v="1"/>
    <s v="COLCHÃO M.E."/>
    <s v="DIRETO"/>
    <x v="13"/>
    <s v="NADA"/>
    <x v="0"/>
    <n v="42509"/>
    <n v="2940009"/>
    <x v="93"/>
    <s v="INDUCOL INDUSTRIA"/>
    <s v="EX"/>
    <s v="Colchão M.E."/>
    <n v="88"/>
    <s v="JOSIMAR"/>
    <n v="44754"/>
    <m/>
    <n v="26.42"/>
    <n v="7875.8"/>
    <s v="KG"/>
    <n v="200"/>
    <n v="15"/>
    <n v="705"/>
    <n v="298.10000000000002"/>
    <n v="7.09"/>
    <n v="5526.53"/>
    <m/>
    <m/>
    <m/>
    <m/>
    <n v="157.52000000000001"/>
    <n v="459.07"/>
    <n v="1732.68"/>
    <n v="4894.63"/>
    <m/>
    <m/>
    <n v="11.171347517730498"/>
  </r>
  <r>
    <x v="2"/>
    <x v="1"/>
    <s v="COLCHÃO M.E."/>
    <s v="DIRETO"/>
    <x v="13"/>
    <s v="NADA"/>
    <x v="0"/>
    <n v="42509"/>
    <n v="2940011"/>
    <x v="94"/>
    <s v="INDUCOL INDUSTRIA"/>
    <s v="EX"/>
    <s v="Colchão M.E."/>
    <n v="88"/>
    <s v="JOSIMAR"/>
    <n v="44754"/>
    <m/>
    <n v="33.590000000000003"/>
    <n v="8154.98"/>
    <s v="KG"/>
    <n v="200"/>
    <n v="12"/>
    <n v="580"/>
    <n v="242.78"/>
    <n v="6.7"/>
    <n v="5823.9"/>
    <m/>
    <m/>
    <m/>
    <m/>
    <n v="163.1"/>
    <n v="373.88"/>
    <n v="1794.1"/>
    <n v="4753.58"/>
    <m/>
    <m/>
    <n v="14.060310344827585"/>
  </r>
  <r>
    <x v="2"/>
    <x v="1"/>
    <s v="COLCHÃO M.E."/>
    <s v="DIRETO"/>
    <x v="13"/>
    <s v="NADA"/>
    <x v="0"/>
    <n v="42509"/>
    <n v="2940010"/>
    <x v="95"/>
    <s v="INDUCOL INDUSTRIA"/>
    <s v="EX"/>
    <s v="Colchão M.E."/>
    <n v="88"/>
    <s v="JOSIMAR"/>
    <n v="44754"/>
    <m/>
    <n v="32.700000000000003"/>
    <n v="9883.58"/>
    <s v="KG"/>
    <n v="200"/>
    <n v="15"/>
    <n v="703"/>
    <n v="302.25"/>
    <n v="6.07"/>
    <n v="7046.06"/>
    <m/>
    <m/>
    <m/>
    <m/>
    <n v="197.67"/>
    <n v="465.47"/>
    <n v="2174.39"/>
    <n v="5976.02"/>
    <m/>
    <m/>
    <n v="14.059146514935989"/>
  </r>
  <r>
    <x v="2"/>
    <x v="1"/>
    <s v="COLCHÃO M.E."/>
    <s v="DIRETO"/>
    <x v="13"/>
    <s v="NADA"/>
    <x v="0"/>
    <n v="42509"/>
    <n v="2940013"/>
    <x v="96"/>
    <s v="INDUCOL INDUSTRIA"/>
    <s v="EX"/>
    <s v="Colchão M.E."/>
    <n v="88"/>
    <s v="JOSIMAR"/>
    <n v="44754"/>
    <m/>
    <n v="26.03"/>
    <n v="10132.959999999999"/>
    <s v="KG"/>
    <n v="200"/>
    <n v="18"/>
    <n v="907"/>
    <n v="389.28"/>
    <n v="5.08"/>
    <n v="6696.24"/>
    <m/>
    <m/>
    <m/>
    <n v="405.32"/>
    <n v="202.66"/>
    <n v="599.49"/>
    <n v="2229.25"/>
    <n v="5706.34"/>
    <m/>
    <m/>
    <n v="11.171951488423373"/>
  </r>
  <r>
    <x v="2"/>
    <x v="1"/>
    <s v="COLCHÃO M.E."/>
    <s v="DIRETO"/>
    <x v="13"/>
    <s v="NADA"/>
    <x v="0"/>
    <n v="42509"/>
    <n v="2940015"/>
    <x v="97"/>
    <s v="INDUCOL INDUSTRIA"/>
    <s v="EX"/>
    <s v="Colchão M.E."/>
    <n v="88"/>
    <s v="JOSIMAR"/>
    <n v="44754"/>
    <m/>
    <n v="26.14"/>
    <n v="8877.67"/>
    <s v="KG"/>
    <n v="200"/>
    <n v="16"/>
    <n v="738"/>
    <n v="339.62"/>
    <n v="6.3"/>
    <n v="6224.01"/>
    <m/>
    <m/>
    <m/>
    <m/>
    <n v="177.55"/>
    <n v="523.01"/>
    <n v="1953.09"/>
    <n v="5646.44"/>
    <m/>
    <m/>
    <n v="12.029363143631436"/>
  </r>
  <r>
    <x v="2"/>
    <x v="1"/>
    <s v="COLCHÃO M.E."/>
    <s v="DIRETO"/>
    <x v="13"/>
    <s v="NADA"/>
    <x v="0"/>
    <n v="42509"/>
    <n v="2940016"/>
    <x v="98"/>
    <s v="INDUCOL INDUSTRIA"/>
    <s v="EX"/>
    <s v="Colchão M.E."/>
    <n v="88"/>
    <s v="JOSIMAR"/>
    <n v="44754"/>
    <m/>
    <n v="32.229999999999997"/>
    <n v="9730.8799999999992"/>
    <s v="KG"/>
    <n v="200"/>
    <n v="15"/>
    <n v="692"/>
    <n v="301.92"/>
    <n v="4.07"/>
    <n v="6541.28"/>
    <m/>
    <m/>
    <m/>
    <n v="389.24"/>
    <n v="194.62"/>
    <n v="464.96"/>
    <n v="2140.79"/>
    <n v="5784.99"/>
    <m/>
    <m/>
    <n v="14.061965317919073"/>
  </r>
  <r>
    <x v="2"/>
    <x v="1"/>
    <s v="COLCHÃO M.E."/>
    <s v="DIRETO"/>
    <x v="13"/>
    <s v="NADA"/>
    <x v="0"/>
    <n v="42509"/>
    <n v="2940012"/>
    <x v="99"/>
    <s v="INDUCOL INDUSTRIA"/>
    <s v="EX"/>
    <s v="Colchão M.E."/>
    <n v="88"/>
    <s v="JOSIMAR"/>
    <n v="44754"/>
    <m/>
    <n v="25.85"/>
    <n v="8975.1200000000008"/>
    <s v="KG"/>
    <n v="200"/>
    <n v="18"/>
    <n v="746"/>
    <n v="347.2"/>
    <n v="0.14000000000000001"/>
    <n v="5927.4"/>
    <m/>
    <m/>
    <m/>
    <n v="359"/>
    <n v="179.5"/>
    <n v="534.69000000000005"/>
    <n v="1974.53"/>
    <n v="5968.23"/>
    <m/>
    <m/>
    <n v="12.030991957104559"/>
  </r>
  <r>
    <x v="2"/>
    <x v="1"/>
    <s v="COLCHÃO M.E."/>
    <s v="DIRETO"/>
    <x v="13"/>
    <s v="NADA"/>
    <x v="0"/>
    <n v="42509"/>
    <n v="2940014"/>
    <x v="100"/>
    <s v="INDUCOL INDUSTRIA"/>
    <s v="EX"/>
    <s v="Colchão M.E."/>
    <n v="88"/>
    <s v="JOSIMAR"/>
    <n v="44754"/>
    <m/>
    <n v="24.74"/>
    <n v="8565.48"/>
    <s v="KG"/>
    <n v="200"/>
    <n v="14"/>
    <n v="793"/>
    <n v="346.22"/>
    <n v="3.52"/>
    <n v="5633.97"/>
    <m/>
    <m/>
    <m/>
    <n v="342.62"/>
    <n v="171.31"/>
    <n v="533.17999999999995"/>
    <n v="1884.41"/>
    <n v="5013.37"/>
    <m/>
    <m/>
    <n v="10.801361916771752"/>
  </r>
  <r>
    <x v="2"/>
    <x v="1"/>
    <s v="COLCHÃO M.E."/>
    <s v="DIRETO"/>
    <x v="4"/>
    <s v="NADA"/>
    <x v="0"/>
    <n v="42514"/>
    <n v="2650100"/>
    <x v="101"/>
    <s v="WENTURS TRADE"/>
    <s v="EX"/>
    <s v="Colchão M.E."/>
    <n v="1"/>
    <s v="DIRETO"/>
    <n v="44754"/>
    <m/>
    <n v="17.18"/>
    <n v="58086.95"/>
    <s v="KG"/>
    <n v="261"/>
    <n v="160"/>
    <n v="5584"/>
    <n v="3381.08"/>
    <n v="66.92"/>
    <n v="38939.22"/>
    <m/>
    <m/>
    <m/>
    <m/>
    <n v="1161.74"/>
    <n v="5206.8599999999997"/>
    <n v="12779.13"/>
    <m/>
    <m/>
    <m/>
    <n v="10.40239075931232"/>
  </r>
  <r>
    <x v="2"/>
    <x v="1"/>
    <s v="COLCHÃO M.E."/>
    <s v="DIRETO"/>
    <x v="9"/>
    <s v="NADA"/>
    <x v="2"/>
    <n v="42559"/>
    <n v="2810001"/>
    <x v="48"/>
    <s v="FLEX CHILE"/>
    <s v="EX"/>
    <s v="Colchão M.E."/>
    <n v="91"/>
    <s v="DIRETO"/>
    <n v="44756"/>
    <m/>
    <n v="32.11"/>
    <n v="30934.13"/>
    <s v="KG"/>
    <n v="160"/>
    <n v="48"/>
    <n v="2230"/>
    <n v="963.38"/>
    <n v="35.93"/>
    <n v="18377.490000000002"/>
    <m/>
    <n v="3648.84"/>
    <m/>
    <m/>
    <n v="618.67999999999995"/>
    <n v="1483.61"/>
    <n v="6805.51"/>
    <n v="14639.83"/>
    <m/>
    <m/>
    <n v="13.871807174887893"/>
  </r>
  <r>
    <x v="2"/>
    <x v="1"/>
    <s v="COLCHÃO M.E."/>
    <s v="DIRETO"/>
    <x v="9"/>
    <s v="NADA"/>
    <x v="2"/>
    <n v="42559"/>
    <n v="2810005"/>
    <x v="62"/>
    <s v="FLEX CHILE"/>
    <s v="EX"/>
    <s v="Colchão M.E."/>
    <n v="91"/>
    <s v="DIRETO"/>
    <n v="44756"/>
    <m/>
    <n v="30.19"/>
    <n v="64228.02"/>
    <s v="KG"/>
    <n v="240"/>
    <n v="75"/>
    <n v="3626"/>
    <n v="2127.46"/>
    <n v="30.77"/>
    <n v="35391.86"/>
    <m/>
    <n v="7576.03"/>
    <m/>
    <n v="2569.12"/>
    <n v="1284.56"/>
    <n v="3276.29"/>
    <n v="14130.16"/>
    <n v="34770.629999999997"/>
    <m/>
    <m/>
    <n v="17.713188086045228"/>
  </r>
  <r>
    <x v="11"/>
    <x v="1"/>
    <s v="COLCHÃO M.E."/>
    <s v="DIRETO"/>
    <x v="1"/>
    <s v="NADA"/>
    <x v="1"/>
    <n v="42914"/>
    <n v="2540010"/>
    <x v="64"/>
    <s v="DIVINO COLCHONES"/>
    <s v="EX"/>
    <s v="Colchão M.E."/>
    <n v="1"/>
    <s v="MARTIN"/>
    <n v="44783"/>
    <m/>
    <n v="27.62"/>
    <n v="14726.71"/>
    <s v="KG"/>
    <n v="400"/>
    <n v="18"/>
    <n v="565"/>
    <n v="533.19000000000005"/>
    <n v="5.47"/>
    <n v="10369.65"/>
    <m/>
    <m/>
    <m/>
    <m/>
    <n v="294.52999999999997"/>
    <n v="821.11"/>
    <n v="3239.88"/>
    <n v="8857.26"/>
    <m/>
    <m/>
    <n v="26.064973451327432"/>
  </r>
  <r>
    <x v="11"/>
    <x v="1"/>
    <s v="COLCHÃO M.E."/>
    <s v="DIRETO"/>
    <x v="1"/>
    <s v="NADA"/>
    <x v="1"/>
    <n v="42914"/>
    <n v="2540006"/>
    <x v="55"/>
    <s v="DIVINO COLCHONES"/>
    <s v="EX"/>
    <s v="Colchão M.E."/>
    <n v="1"/>
    <s v="MARTIN"/>
    <n v="44783"/>
    <m/>
    <n v="36.54"/>
    <n v="9255.58"/>
    <s v="KG"/>
    <n v="360"/>
    <n v="13"/>
    <n v="347"/>
    <n v="253.3"/>
    <n v="18.87"/>
    <n v="6644.16"/>
    <m/>
    <m/>
    <m/>
    <m/>
    <n v="185.11"/>
    <n v="390.08"/>
    <n v="2036.23"/>
    <n v="3969.99"/>
    <m/>
    <m/>
    <n v="26.673141210374638"/>
  </r>
  <r>
    <x v="11"/>
    <x v="1"/>
    <s v="COLCHÃO M.E."/>
    <s v="DIRETO"/>
    <x v="1"/>
    <s v="NADA"/>
    <x v="1"/>
    <n v="42914"/>
    <n v="2540014"/>
    <x v="102"/>
    <s v="DIVINO COLCHONES"/>
    <s v="EX"/>
    <s v="Colchão M.E."/>
    <n v="1"/>
    <s v="MARTIN"/>
    <n v="44783"/>
    <m/>
    <n v="32.21"/>
    <n v="26186.09"/>
    <s v="KG"/>
    <n v="300"/>
    <n v="26"/>
    <n v="1189"/>
    <n v="812.98"/>
    <n v="17.59"/>
    <n v="18649.439999999999"/>
    <m/>
    <m/>
    <m/>
    <m/>
    <n v="523.72"/>
    <n v="1251.99"/>
    <n v="5760.94"/>
    <n v="13206.46"/>
    <m/>
    <m/>
    <n v="22.023624894869638"/>
  </r>
  <r>
    <x v="11"/>
    <x v="1"/>
    <s v="COLCHÃO M.E."/>
    <s v="DIRETO"/>
    <x v="1"/>
    <s v="NADA"/>
    <x v="1"/>
    <n v="42914"/>
    <n v="2540012"/>
    <x v="65"/>
    <s v="DIVINO COLCHONES"/>
    <s v="EX"/>
    <s v="Colchão M.E."/>
    <n v="1"/>
    <s v="MARTIN"/>
    <n v="44783"/>
    <m/>
    <n v="27.28"/>
    <n v="89860.32"/>
    <s v="KG"/>
    <n v="240"/>
    <n v="119"/>
    <n v="5932"/>
    <n v="3294"/>
    <n v="14.85"/>
    <n v="63221.08"/>
    <m/>
    <m/>
    <m/>
    <m/>
    <n v="1797.21"/>
    <n v="5072.76"/>
    <n v="19769.27"/>
    <n v="49296.46"/>
    <m/>
    <m/>
    <n v="15.148401888064734"/>
  </r>
  <r>
    <x v="11"/>
    <x v="1"/>
    <s v="COLCHÃO M.E."/>
    <s v="DIRETO"/>
    <x v="5"/>
    <s v="NADA"/>
    <x v="4"/>
    <n v="43021"/>
    <n v="2670005"/>
    <x v="103"/>
    <s v="INMAPOL SACIF"/>
    <s v="EX"/>
    <s v="Colchão M.E."/>
    <n v="1"/>
    <s v="DIRETO"/>
    <n v="44792"/>
    <m/>
    <n v="23.43"/>
    <n v="48068.99"/>
    <s v="KG"/>
    <n v="180"/>
    <n v="95"/>
    <n v="4787"/>
    <n v="2051.6"/>
    <n v="11.94"/>
    <n v="30969.52"/>
    <m/>
    <m/>
    <m/>
    <n v="2403.4499999999998"/>
    <n v="961.38"/>
    <n v="3159.46"/>
    <n v="10575.18"/>
    <n v="28933.72"/>
    <m/>
    <m/>
    <n v="10.04156883225402"/>
  </r>
  <r>
    <x v="11"/>
    <x v="1"/>
    <s v="COLCHÃO M.E."/>
    <s v="DIRETO"/>
    <x v="5"/>
    <s v="NADA"/>
    <x v="4"/>
    <n v="43021"/>
    <n v="2670006"/>
    <x v="104"/>
    <s v="INMAPOL SACIF"/>
    <s v="EX"/>
    <s v="Colchão M.E."/>
    <n v="1"/>
    <s v="DIRETO"/>
    <n v="44792"/>
    <m/>
    <n v="23.83"/>
    <n v="12030.34"/>
    <s v="KG"/>
    <n v="180"/>
    <n v="24"/>
    <n v="1198"/>
    <n v="504.84"/>
    <n v="10.85"/>
    <n v="7764.09"/>
    <m/>
    <m/>
    <m/>
    <n v="601.52"/>
    <n v="240.61"/>
    <n v="777.45"/>
    <n v="2646.67"/>
    <n v="7095.81"/>
    <m/>
    <m/>
    <n v="10.042020033388981"/>
  </r>
  <r>
    <x v="11"/>
    <x v="1"/>
    <s v="COLCHÃO M.E."/>
    <s v="DIRETO"/>
    <x v="9"/>
    <s v="NADA"/>
    <x v="2"/>
    <n v="43146"/>
    <n v="2810007"/>
    <x v="105"/>
    <s v="FLEX CHILE"/>
    <s v="EX"/>
    <s v="Colchão M.E."/>
    <n v="91"/>
    <s v="DIRETO"/>
    <n v="44803"/>
    <m/>
    <n v="27.42"/>
    <n v="13780.2"/>
    <s v="KG"/>
    <n v="210"/>
    <n v="18"/>
    <n v="957"/>
    <n v="502.56"/>
    <n v="18.34"/>
    <n v="9699.01"/>
    <m/>
    <m/>
    <m/>
    <m/>
    <n v="275.60000000000002"/>
    <n v="773.94"/>
    <n v="3031.64"/>
    <n v="7994.92"/>
    <m/>
    <m/>
    <n v="14.399373040752351"/>
  </r>
  <r>
    <x v="11"/>
    <x v="1"/>
    <s v="COLCHÃO M.E."/>
    <s v="DIRETO"/>
    <x v="14"/>
    <s v="NADA"/>
    <x v="4"/>
    <n v="43164"/>
    <n v="2920002"/>
    <x v="106"/>
    <s v="NATURE"/>
    <s v="EX"/>
    <s v="Colchão M.E."/>
    <n v="87"/>
    <s v="DIRETO"/>
    <n v="44803"/>
    <m/>
    <n v="33.24"/>
    <n v="16642"/>
    <s v="KG"/>
    <n v="390"/>
    <n v="17"/>
    <n v="628"/>
    <n v="500.66"/>
    <n v="17.989999999999998"/>
    <n v="11876.07"/>
    <m/>
    <m/>
    <m/>
    <m/>
    <n v="332.84"/>
    <n v="771.02"/>
    <n v="3661.24"/>
    <n v="7961.16"/>
    <m/>
    <m/>
    <n v="26.5"/>
  </r>
  <r>
    <x v="11"/>
    <x v="1"/>
    <s v="COLCHÃO M.E."/>
    <s v="DIRETO"/>
    <x v="14"/>
    <s v="NADA"/>
    <x v="4"/>
    <n v="43164"/>
    <n v="2920003"/>
    <x v="107"/>
    <s v="NATURE"/>
    <s v="EX"/>
    <s v="Colchão M.E."/>
    <n v="87"/>
    <s v="DIRETO"/>
    <n v="44803"/>
    <m/>
    <n v="25.71"/>
    <n v="10144.01"/>
    <s v="KG"/>
    <n v="280"/>
    <n v="13"/>
    <n v="586"/>
    <n v="394.6"/>
    <n v="-70.92"/>
    <n v="7101.76"/>
    <m/>
    <m/>
    <m/>
    <m/>
    <n v="202.88"/>
    <n v="607.67999999999995"/>
    <n v="2231.6799999999998"/>
    <n v="5994.74"/>
    <m/>
    <m/>
    <n v="17.310597269624573"/>
  </r>
  <r>
    <x v="11"/>
    <x v="1"/>
    <s v="COLCHÃO M.E."/>
    <s v="DIRETO"/>
    <x v="14"/>
    <s v="NADA"/>
    <x v="4"/>
    <n v="43164"/>
    <n v="2920004"/>
    <x v="108"/>
    <s v="NATURE"/>
    <s v="EX"/>
    <s v="Colchão M.E."/>
    <n v="87"/>
    <s v="DIRETO"/>
    <n v="44803"/>
    <m/>
    <n v="25.26"/>
    <n v="15004.79"/>
    <s v="KG"/>
    <n v="300"/>
    <n v="16"/>
    <n v="841"/>
    <n v="594.02"/>
    <n v="8.02"/>
    <n v="10488.85"/>
    <m/>
    <m/>
    <m/>
    <m/>
    <n v="300.10000000000002"/>
    <n v="914.79"/>
    <n v="3301.05"/>
    <n v="8441.14"/>
    <m/>
    <m/>
    <n v="17.841605231866826"/>
  </r>
  <r>
    <x v="11"/>
    <x v="1"/>
    <s v="COLCHÃO M.E."/>
    <s v="DIRETO"/>
    <x v="14"/>
    <s v="NADA"/>
    <x v="4"/>
    <n v="43164"/>
    <n v="2920006"/>
    <x v="109"/>
    <s v="NATURE"/>
    <s v="EX"/>
    <s v="Colchão M.E."/>
    <n v="87"/>
    <s v="DIRETO"/>
    <n v="44803"/>
    <m/>
    <n v="26.75"/>
    <n v="8534.1299999999992"/>
    <s v="KG"/>
    <n v="280"/>
    <n v="11"/>
    <n v="493"/>
    <n v="319.08"/>
    <n v="22.39"/>
    <n v="5994.56"/>
    <m/>
    <m/>
    <m/>
    <m/>
    <n v="170.68"/>
    <n v="491.38"/>
    <n v="1877.51"/>
    <n v="4708.1899999999996"/>
    <m/>
    <m/>
    <n v="17.310608519269774"/>
  </r>
  <r>
    <x v="11"/>
    <x v="1"/>
    <s v="COLCHÃO M.E."/>
    <s v="DIRETO"/>
    <x v="14"/>
    <s v="NADA"/>
    <x v="4"/>
    <n v="43164"/>
    <n v="2920007"/>
    <x v="110"/>
    <s v="NATURE"/>
    <s v="EX"/>
    <s v="Colchão M.E."/>
    <n v="87"/>
    <s v="DIRETO"/>
    <n v="44803"/>
    <m/>
    <n v="43.98"/>
    <n v="15513.93"/>
    <s v="KG"/>
    <n v="280"/>
    <n v="11"/>
    <n v="537"/>
    <n v="352.72"/>
    <n v="26.37"/>
    <n v="11245.44"/>
    <m/>
    <m/>
    <m/>
    <m/>
    <n v="310.27999999999997"/>
    <n v="543.19000000000005"/>
    <n v="3413.06"/>
    <n v="6757.02"/>
    <m/>
    <m/>
    <n v="28.89"/>
  </r>
  <r>
    <x v="11"/>
    <x v="1"/>
    <s v="COLCHÃO M.E."/>
    <s v="DIRETO"/>
    <x v="14"/>
    <s v="NADA"/>
    <x v="4"/>
    <n v="43164"/>
    <n v="2920008"/>
    <x v="111"/>
    <s v="NATURE"/>
    <s v="EX"/>
    <s v="Colchão M.E."/>
    <n v="87"/>
    <s v="DIRETO"/>
    <n v="44803"/>
    <m/>
    <n v="33.799999999999997"/>
    <n v="10305.01"/>
    <s v="KG"/>
    <n v="280"/>
    <n v="12"/>
    <n v="478"/>
    <n v="304.88"/>
    <n v="26.95"/>
    <n v="7362.29"/>
    <m/>
    <m/>
    <m/>
    <m/>
    <n v="206.1"/>
    <n v="469.52"/>
    <n v="2267.1"/>
    <n v="4693.3100000000004"/>
    <m/>
    <m/>
    <n v="21.558598326359832"/>
  </r>
  <r>
    <x v="11"/>
    <x v="1"/>
    <s v="COLCHÃO M.E."/>
    <s v="DIRETO"/>
    <x v="14"/>
    <s v="NADA"/>
    <x v="4"/>
    <n v="43164"/>
    <n v="2920009"/>
    <x v="112"/>
    <s v="NATURE"/>
    <s v="EX"/>
    <s v="Colchão M.E."/>
    <n v="87"/>
    <s v="DIRETO"/>
    <n v="44803"/>
    <m/>
    <n v="42.65"/>
    <n v="4446"/>
    <s v="KG"/>
    <n v="97"/>
    <n v="4"/>
    <n v="600"/>
    <n v="104.24"/>
    <n v="52.6"/>
    <n v="3218.43"/>
    <m/>
    <m/>
    <m/>
    <m/>
    <n v="88.92"/>
    <n v="160.53"/>
    <n v="978.12"/>
    <n v="759.91"/>
    <m/>
    <m/>
    <n v="7.41"/>
  </r>
  <r>
    <x v="3"/>
    <x v="1"/>
    <s v="COLCHÃO M.E."/>
    <s v="DIRETO"/>
    <x v="15"/>
    <s v="NADA"/>
    <x v="0"/>
    <n v="43199"/>
    <n v="2980001"/>
    <x v="113"/>
    <s v="CASA VALEN S.R.L."/>
    <s v="EX"/>
    <s v="Colchão M.E."/>
    <n v="1"/>
    <s v="DIRETO"/>
    <n v="44806"/>
    <m/>
    <n v="24.24"/>
    <n v="6240.82"/>
    <s v="KG"/>
    <n v="200"/>
    <n v="11"/>
    <n v="557"/>
    <n v="257.48"/>
    <n v="8.67"/>
    <n v="3847.24"/>
    <m/>
    <m/>
    <m/>
    <n v="249.63"/>
    <n v="124.82"/>
    <n v="396.52"/>
    <n v="1622.61"/>
    <n v="2890.37"/>
    <m/>
    <m/>
    <n v="11.204344703770197"/>
  </r>
  <r>
    <x v="3"/>
    <x v="1"/>
    <s v="COLCHÃO M.E."/>
    <s v="DIRETO"/>
    <x v="15"/>
    <s v="NADA"/>
    <x v="0"/>
    <n v="43199"/>
    <n v="2980002"/>
    <x v="114"/>
    <s v="CASA VALEN S.R.L."/>
    <s v="EX"/>
    <s v="Colchão M.E."/>
    <n v="1"/>
    <s v="DIRETO"/>
    <n v="44806"/>
    <m/>
    <n v="24.5"/>
    <n v="6476.12"/>
    <s v="KG"/>
    <n v="200"/>
    <n v="12"/>
    <n v="578"/>
    <n v="264.3"/>
    <n v="9.1"/>
    <n v="3996.74"/>
    <m/>
    <m/>
    <m/>
    <n v="259.04000000000002"/>
    <n v="129.52000000000001"/>
    <n v="407.02"/>
    <n v="1683.79"/>
    <n v="2427.09"/>
    <m/>
    <m/>
    <n v="11.204359861591696"/>
  </r>
  <r>
    <x v="3"/>
    <x v="1"/>
    <s v="COLCHÃO M.E."/>
    <s v="DIRETO"/>
    <x v="15"/>
    <s v="NADA"/>
    <x v="0"/>
    <n v="43199"/>
    <n v="2980003"/>
    <x v="115"/>
    <s v="CASA VALEN S.R.L."/>
    <s v="EX"/>
    <s v="Colchão M.E."/>
    <n v="1"/>
    <s v="DIRETO"/>
    <n v="44806"/>
    <m/>
    <n v="23.79"/>
    <n v="6459.1"/>
    <s v="KG"/>
    <n v="200"/>
    <n v="11"/>
    <n v="566"/>
    <n v="271.54000000000002"/>
    <n v="8.52"/>
    <n v="3974.02"/>
    <m/>
    <m/>
    <m/>
    <n v="258.36"/>
    <n v="129.18"/>
    <n v="418.17"/>
    <n v="1679.37"/>
    <n v="2803.68"/>
    <m/>
    <m/>
    <n v="11.411837455830389"/>
  </r>
  <r>
    <x v="3"/>
    <x v="1"/>
    <s v="COLCHÃO M.E."/>
    <s v="DIRETO"/>
    <x v="15"/>
    <s v="NADA"/>
    <x v="0"/>
    <n v="43199"/>
    <n v="2980004"/>
    <x v="116"/>
    <s v="CASA VALEN S.R.L."/>
    <s v="EX"/>
    <s v="Colchão M.E."/>
    <n v="1"/>
    <s v="DIRETO"/>
    <n v="44806"/>
    <m/>
    <n v="24.58"/>
    <n v="5945.57"/>
    <s v="KG"/>
    <n v="200"/>
    <n v="11"/>
    <n v="521"/>
    <n v="241.92"/>
    <n v="8.52"/>
    <n v="3670.43"/>
    <m/>
    <m/>
    <m/>
    <n v="237.82"/>
    <n v="118.91"/>
    <n v="372.56"/>
    <n v="1545.85"/>
    <n v="2497.85"/>
    <m/>
    <m/>
    <n v="11.411842610364683"/>
  </r>
  <r>
    <x v="3"/>
    <x v="1"/>
    <s v="COLCHÃO M.E."/>
    <s v="DIRETO"/>
    <x v="15"/>
    <s v="NADA"/>
    <x v="0"/>
    <n v="43199"/>
    <n v="2980005"/>
    <x v="117"/>
    <s v="CASA VALEN S.R.L."/>
    <s v="EX"/>
    <s v="Colchão M.E."/>
    <n v="1"/>
    <s v="DIRETO"/>
    <n v="44806"/>
    <m/>
    <n v="24.22"/>
    <n v="4336.5"/>
    <s v="KG"/>
    <n v="200"/>
    <n v="7"/>
    <n v="380"/>
    <n v="179.08"/>
    <n v="8.52"/>
    <n v="2673.04"/>
    <m/>
    <m/>
    <m/>
    <n v="173.46"/>
    <n v="86.73"/>
    <n v="275.77999999999997"/>
    <n v="1127.49"/>
    <n v="1849.02"/>
    <m/>
    <m/>
    <n v="11.411842105263158"/>
  </r>
  <r>
    <x v="3"/>
    <x v="1"/>
    <s v="COLCHÃO M.E."/>
    <s v="DIRETO"/>
    <x v="15"/>
    <s v="NADA"/>
    <x v="0"/>
    <n v="43199"/>
    <n v="2980006"/>
    <x v="118"/>
    <s v="CASA VALEN S.R.L."/>
    <s v="EX"/>
    <s v="Colchão M.E."/>
    <n v="1"/>
    <s v="DIRETO"/>
    <n v="44806"/>
    <m/>
    <n v="28.52"/>
    <n v="16339.68"/>
    <s v="KG"/>
    <n v="160"/>
    <n v="29"/>
    <n v="1500"/>
    <n v="572.91999999999996"/>
    <n v="24.47"/>
    <n v="10882.27"/>
    <m/>
    <m/>
    <m/>
    <m/>
    <n v="326.79000000000002"/>
    <n v="882.3"/>
    <n v="4248.32"/>
    <n v="5389.71"/>
    <m/>
    <m/>
    <n v="10.89312"/>
  </r>
  <r>
    <x v="3"/>
    <x v="1"/>
    <s v="COLCHÃO M.E."/>
    <s v="DIRETO"/>
    <x v="15"/>
    <s v="NADA"/>
    <x v="0"/>
    <n v="43199"/>
    <n v="2980007"/>
    <x v="119"/>
    <s v="CASA VALEN S.R.L."/>
    <s v="EX"/>
    <s v="Colchão M.E."/>
    <n v="1"/>
    <s v="DIRETO"/>
    <n v="44806"/>
    <m/>
    <n v="25.07"/>
    <n v="9240.74"/>
    <s v="KG"/>
    <n v="200"/>
    <n v="16"/>
    <n v="869"/>
    <n v="368.6"/>
    <n v="9.43"/>
    <n v="5716.06"/>
    <m/>
    <m/>
    <m/>
    <n v="369.63"/>
    <n v="184.81"/>
    <n v="567.64"/>
    <n v="2402.59"/>
    <n v="3590.36"/>
    <m/>
    <m/>
    <n v="10.633762945914844"/>
  </r>
  <r>
    <x v="3"/>
    <x v="1"/>
    <s v="COLCHÃO M.E."/>
    <s v="DIRETO"/>
    <x v="15"/>
    <s v="NADA"/>
    <x v="0"/>
    <n v="43199"/>
    <n v="2980008"/>
    <x v="120"/>
    <s v="CASA VALEN S.R.L."/>
    <s v="EX"/>
    <s v="Colchão M.E."/>
    <n v="1"/>
    <s v="DIRETO"/>
    <n v="44806"/>
    <m/>
    <n v="26.75"/>
    <n v="11388.76"/>
    <s v="KG"/>
    <n v="160"/>
    <n v="24"/>
    <n v="1071"/>
    <n v="425.72"/>
    <n v="20.48"/>
    <n v="7544.3"/>
    <m/>
    <m/>
    <m/>
    <m/>
    <n v="227.78"/>
    <n v="655.61"/>
    <n v="2961.08"/>
    <n v="4449.17"/>
    <m/>
    <m/>
    <n v="10.633762838468721"/>
  </r>
  <r>
    <x v="3"/>
    <x v="1"/>
    <s v="COLCHÃO M.E."/>
    <s v="DIRETO"/>
    <x v="15"/>
    <s v="NADA"/>
    <x v="0"/>
    <n v="43199"/>
    <n v="2980009"/>
    <x v="121"/>
    <s v="CASA VALEN S.R.L."/>
    <s v="EX"/>
    <s v="Colchão M.E."/>
    <n v="1"/>
    <s v="DIRETO"/>
    <n v="44806"/>
    <m/>
    <n v="26.84"/>
    <n v="12122.49"/>
    <s v="KG"/>
    <n v="160"/>
    <n v="23"/>
    <n v="1140"/>
    <n v="451.58"/>
    <n v="15.91"/>
    <n v="7547.86"/>
    <m/>
    <m/>
    <m/>
    <n v="484.9"/>
    <n v="242.45"/>
    <n v="695.43"/>
    <n v="3151.85"/>
    <n v="4438.91"/>
    <m/>
    <m/>
    <n v="10.633763157894737"/>
  </r>
  <r>
    <x v="3"/>
    <x v="1"/>
    <s v="COLCHÃO M.E."/>
    <s v="DIRETO"/>
    <x v="15"/>
    <s v="NADA"/>
    <x v="0"/>
    <n v="43199"/>
    <n v="2980100"/>
    <x v="122"/>
    <s v="CASA VALEN S.R.L."/>
    <s v="EX"/>
    <s v="Colchão M.E."/>
    <n v="1"/>
    <s v="DIRETO"/>
    <n v="44806"/>
    <m/>
    <n v="9.49"/>
    <n v="29040.54"/>
    <s v="KG"/>
    <n v="300"/>
    <n v="201"/>
    <n v="5599"/>
    <n v="3059.29"/>
    <n v="57.09"/>
    <n v="16197.88"/>
    <m/>
    <m/>
    <m/>
    <m/>
    <n v="580.80999999999995"/>
    <n v="4711.3100000000004"/>
    <n v="7550.54"/>
    <m/>
    <m/>
    <m/>
    <n v="5.1867369173066624"/>
  </r>
  <r>
    <x v="3"/>
    <x v="1"/>
    <s v="COLCHÃO M.E."/>
    <s v="DIRETO"/>
    <x v="15"/>
    <s v="NADA"/>
    <x v="0"/>
    <n v="43201"/>
    <n v="2980100"/>
    <x v="122"/>
    <s v="CASA VALEN S.R.L."/>
    <s v="EX"/>
    <s v="Colchão M.E."/>
    <n v="1"/>
    <s v="DIRETO"/>
    <n v="44806"/>
    <m/>
    <n v="11.68"/>
    <n v="93960.93"/>
    <s v="KG"/>
    <n v="300"/>
    <n v="325"/>
    <n v="12076"/>
    <n v="8046.79"/>
    <n v="57.09"/>
    <n v="55259.81"/>
    <m/>
    <m/>
    <m/>
    <m/>
    <n v="1879.22"/>
    <n v="12392.06"/>
    <n v="24429.84"/>
    <m/>
    <m/>
    <m/>
    <n v="7.7807991056641264"/>
  </r>
  <r>
    <x v="3"/>
    <x v="1"/>
    <s v="COLCHÃO M.E."/>
    <s v="DIRETO"/>
    <x v="4"/>
    <s v="NADA"/>
    <x v="0"/>
    <n v="43407"/>
    <n v="2650100"/>
    <x v="123"/>
    <s v="WENTURS TRADE"/>
    <s v="EX"/>
    <s v="Colchão M.E."/>
    <n v="1"/>
    <s v="DIRETO"/>
    <n v="44826"/>
    <m/>
    <n v="17.38"/>
    <n v="59223.519999999997"/>
    <s v="KG"/>
    <n v="261"/>
    <n v="138"/>
    <n v="6030"/>
    <n v="3407.61"/>
    <n v="62.92"/>
    <n v="37393.22"/>
    <m/>
    <m/>
    <m/>
    <m/>
    <n v="1184.47"/>
    <n v="5247.72"/>
    <n v="15398.12"/>
    <m/>
    <m/>
    <m/>
    <n v="9.8214792703150913"/>
  </r>
  <r>
    <x v="3"/>
    <x v="1"/>
    <s v="COLCHÃO M.E."/>
    <s v="DIRETO"/>
    <x v="16"/>
    <s v="NADA"/>
    <x v="0"/>
    <n v="43455"/>
    <n v="3040001"/>
    <x v="124"/>
    <s v="DAVID MORENO VISCARR"/>
    <s v="EX"/>
    <s v="Colchão M.E."/>
    <n v="1"/>
    <s v="DIRETO"/>
    <n v="44830"/>
    <m/>
    <n v="34.08"/>
    <n v="11302.54"/>
    <s v="KG"/>
    <n v="80"/>
    <n v="8"/>
    <n v="2060"/>
    <n v="331.66"/>
    <n v="0"/>
    <n v="7627.07"/>
    <m/>
    <m/>
    <m/>
    <m/>
    <n v="226.05"/>
    <n v="510.76"/>
    <n v="2938.66"/>
    <s v="######,##"/>
    <m/>
    <m/>
    <n v="5.486669902912622"/>
  </r>
  <r>
    <x v="3"/>
    <x v="1"/>
    <s v="COLCHÃO M.E."/>
    <s v="DIRETO"/>
    <x v="16"/>
    <s v="NADA"/>
    <x v="0"/>
    <n v="43455"/>
    <n v="3040002"/>
    <x v="125"/>
    <s v="DAVID MORENO VISCARR"/>
    <s v="EX"/>
    <s v="Colchão M.E."/>
    <n v="1"/>
    <s v="DIRETO"/>
    <n v="44830"/>
    <m/>
    <n v="34.119999999999997"/>
    <n v="6348.08"/>
    <s v="KG"/>
    <n v="80"/>
    <n v="4"/>
    <n v="1157"/>
    <n v="186.06"/>
    <n v="67.459999999999994"/>
    <n v="4284.09"/>
    <m/>
    <m/>
    <m/>
    <m/>
    <n v="126.96"/>
    <n v="286.52999999999997"/>
    <n v="1650.5"/>
    <s v="######,##"/>
    <m/>
    <m/>
    <n v="5.4866724286949005"/>
  </r>
  <r>
    <x v="3"/>
    <x v="1"/>
    <s v="COLCHÃO M.E."/>
    <s v="DIRETO"/>
    <x v="16"/>
    <s v="NADA"/>
    <x v="0"/>
    <n v="43455"/>
    <n v="3040003"/>
    <x v="126"/>
    <s v="DAVID MORENO VISCARR"/>
    <s v="EX"/>
    <s v="Colchão M.E."/>
    <n v="1"/>
    <s v="DIRETO"/>
    <n v="44830"/>
    <m/>
    <n v="34.1"/>
    <n v="11121.48"/>
    <s v="KG"/>
    <n v="80"/>
    <n v="8"/>
    <n v="2027"/>
    <n v="326.17"/>
    <n v="67.459999999999994"/>
    <n v="7505.16"/>
    <m/>
    <m/>
    <m/>
    <m/>
    <n v="222.43"/>
    <n v="502.3"/>
    <n v="2891.58"/>
    <s v="######,##"/>
    <m/>
    <m/>
    <n v="5.4866699555994076"/>
  </r>
  <r>
    <x v="3"/>
    <x v="1"/>
    <s v="COLCHÃO M.E."/>
    <s v="DIRETO"/>
    <x v="16"/>
    <s v="NADA"/>
    <x v="0"/>
    <n v="43455"/>
    <n v="3040004"/>
    <x v="127"/>
    <s v="DAVID MORENO VISCARR"/>
    <s v="EX"/>
    <s v="Colchão M.E."/>
    <n v="1"/>
    <s v="DIRETO"/>
    <n v="44830"/>
    <m/>
    <n v="34.08"/>
    <n v="11637.23"/>
    <s v="KG"/>
    <n v="80"/>
    <n v="9"/>
    <n v="2121"/>
    <n v="341.46"/>
    <n v="67.459999999999994"/>
    <n v="7852.96"/>
    <m/>
    <m/>
    <m/>
    <m/>
    <n v="232.74"/>
    <n v="525.85"/>
    <n v="3025.68"/>
    <s v="######,##"/>
    <m/>
    <m/>
    <n v="5.4866713814238564"/>
  </r>
  <r>
    <x v="3"/>
    <x v="1"/>
    <s v="COLCHÃO M.E."/>
    <s v="DIRETO"/>
    <x v="16"/>
    <s v="NADA"/>
    <x v="0"/>
    <n v="43455"/>
    <n v="3040005"/>
    <x v="128"/>
    <s v="DAVID MORENO VISCARR"/>
    <s v="EX"/>
    <s v="Colchão M.E."/>
    <n v="1"/>
    <s v="DIRETO"/>
    <n v="44830"/>
    <m/>
    <n v="34.08"/>
    <n v="12482.17"/>
    <s v="KG"/>
    <n v="80"/>
    <n v="9"/>
    <n v="2275"/>
    <n v="366.27"/>
    <n v="67.459999999999994"/>
    <n v="8423.11"/>
    <m/>
    <m/>
    <m/>
    <m/>
    <n v="249.64"/>
    <n v="564.05999999999995"/>
    <n v="3245.36"/>
    <s v="######,##"/>
    <m/>
    <m/>
    <n v="5.4866681318681323"/>
  </r>
  <r>
    <x v="3"/>
    <x v="1"/>
    <s v="COLCHÃO M.E."/>
    <s v="DIRETO"/>
    <x v="16"/>
    <s v="NADA"/>
    <x v="0"/>
    <n v="43455"/>
    <n v="3040006"/>
    <x v="129"/>
    <s v="DAVID MORENO VISCARR"/>
    <s v="EX"/>
    <s v="Colchão M.E."/>
    <n v="1"/>
    <s v="DIRETO"/>
    <n v="44830"/>
    <m/>
    <n v="34.08"/>
    <n v="9678.49"/>
    <s v="KG"/>
    <n v="80"/>
    <n v="7"/>
    <n v="1764"/>
    <n v="283.99"/>
    <n v="67.459999999999994"/>
    <n v="6531.17"/>
    <m/>
    <m/>
    <m/>
    <m/>
    <n v="193.57"/>
    <n v="437.34"/>
    <n v="2516.41"/>
    <s v="######,##"/>
    <m/>
    <m/>
    <n v="5.4866723356009066"/>
  </r>
  <r>
    <x v="3"/>
    <x v="1"/>
    <s v="COLCHÃO M.E."/>
    <s v="DIRETO"/>
    <x v="16"/>
    <s v="NADA"/>
    <x v="0"/>
    <n v="43455"/>
    <n v="3040007"/>
    <x v="130"/>
    <s v="DAVID MORENO VISCARR"/>
    <s v="EX"/>
    <s v="Colchão M.E."/>
    <n v="1"/>
    <s v="DIRETO"/>
    <n v="44830"/>
    <m/>
    <n v="34.08"/>
    <n v="11549.44"/>
    <s v="KG"/>
    <n v="80"/>
    <n v="8"/>
    <n v="2105"/>
    <n v="338.9"/>
    <n v="67.459999999999994"/>
    <n v="7793.69"/>
    <m/>
    <m/>
    <m/>
    <m/>
    <n v="230.99"/>
    <n v="521.91"/>
    <n v="3002.85"/>
    <s v="######,##"/>
    <m/>
    <m/>
    <n v="5.4866698337292164"/>
  </r>
  <r>
    <x v="3"/>
    <x v="1"/>
    <s v="COLCHÃO M.E."/>
    <s v="DIRETO"/>
    <x v="16"/>
    <s v="NADA"/>
    <x v="0"/>
    <n v="43455"/>
    <n v="3040008"/>
    <x v="131"/>
    <s v="DAVID MORENO VISCARR"/>
    <s v="EX"/>
    <s v="Colchão M.E."/>
    <n v="1"/>
    <s v="DIRETO"/>
    <n v="44830"/>
    <m/>
    <n v="34.08"/>
    <n v="10386.27"/>
    <s v="KG"/>
    <n v="80"/>
    <n v="7"/>
    <n v="1893"/>
    <n v="304.77"/>
    <n v="67.459999999999994"/>
    <n v="7008.77"/>
    <m/>
    <m/>
    <m/>
    <m/>
    <n v="207.73"/>
    <n v="469.35"/>
    <n v="2700.43"/>
    <s v="######,##"/>
    <m/>
    <m/>
    <n v="5.4866719492868468"/>
  </r>
  <r>
    <x v="3"/>
    <x v="1"/>
    <s v="COLCHÃO M.E."/>
    <s v="DIRETO"/>
    <x v="16"/>
    <s v="NADA"/>
    <x v="0"/>
    <n v="43455"/>
    <n v="3040009"/>
    <x v="132"/>
    <s v="DAVID MORENO VISCARR"/>
    <s v="EX"/>
    <s v="Colchão M.E."/>
    <n v="1"/>
    <s v="DIRETO"/>
    <n v="44830"/>
    <m/>
    <n v="34.08"/>
    <n v="11686.61"/>
    <s v="KG"/>
    <n v="80"/>
    <n v="8"/>
    <n v="2130"/>
    <n v="342.93"/>
    <n v="67.459999999999994"/>
    <n v="7886.25"/>
    <m/>
    <m/>
    <m/>
    <m/>
    <n v="233.73"/>
    <n v="528.11"/>
    <n v="3038.52"/>
    <s v="######,##"/>
    <m/>
    <m/>
    <n v="5.4866713615023475"/>
  </r>
  <r>
    <x v="3"/>
    <x v="1"/>
    <s v="COLCHÃO M.E."/>
    <s v="DIRETO"/>
    <x v="16"/>
    <s v="NADA"/>
    <x v="0"/>
    <n v="43455"/>
    <n v="3040010"/>
    <x v="133"/>
    <s v="DAVID MORENO VISCARR"/>
    <s v="EX"/>
    <s v="Colchão M.E."/>
    <n v="1"/>
    <s v="DIRETO"/>
    <n v="44830"/>
    <m/>
    <n v="33.590000000000003"/>
    <n v="11187.32"/>
    <s v="KG"/>
    <n v="80"/>
    <n v="8"/>
    <n v="2039"/>
    <n v="333.1"/>
    <n v="67.459999999999994"/>
    <n v="7541.9"/>
    <m/>
    <m/>
    <m/>
    <m/>
    <n v="223.75"/>
    <n v="512.97"/>
    <n v="2908.7"/>
    <s v="######,##"/>
    <m/>
    <m/>
    <n v="5.4866699362432563"/>
  </r>
  <r>
    <x v="3"/>
    <x v="1"/>
    <s v="COLCHÃO M.E."/>
    <s v="DIRETO"/>
    <x v="16"/>
    <s v="NADA"/>
    <x v="0"/>
    <n v="43455"/>
    <n v="3040011"/>
    <x v="134"/>
    <s v="DAVID MORENO VISCARR"/>
    <s v="EX"/>
    <s v="Colchão M.E."/>
    <n v="1"/>
    <s v="DIRETO"/>
    <n v="44830"/>
    <m/>
    <n v="37.33"/>
    <n v="10300.31"/>
    <s v="KG"/>
    <n v="80"/>
    <n v="11"/>
    <n v="1792"/>
    <n v="275.92"/>
    <n v="67.67"/>
    <n v="6991.31"/>
    <m/>
    <m/>
    <m/>
    <m/>
    <n v="206.01"/>
    <n v="424.92"/>
    <n v="2678.08"/>
    <m/>
    <m/>
    <m/>
    <n v="5.7479408482142853"/>
  </r>
  <r>
    <x v="3"/>
    <x v="1"/>
    <s v="COLCHÃO M.E."/>
    <s v="DIRETO"/>
    <x v="1"/>
    <s v="NADA"/>
    <x v="1"/>
    <n v="43532"/>
    <n v="2540008"/>
    <x v="57"/>
    <s v="DIVINO COLCHONES"/>
    <s v="EX"/>
    <s v="Colchão M.E."/>
    <n v="1"/>
    <s v="MARTIN"/>
    <n v="44834"/>
    <m/>
    <n v="29.43"/>
    <n v="11071.57"/>
    <s v="KG"/>
    <n v="260"/>
    <n v="14"/>
    <n v="604"/>
    <n v="376.22"/>
    <n v="-22.76"/>
    <n v="7392.15"/>
    <m/>
    <m/>
    <m/>
    <m/>
    <n v="221.43"/>
    <n v="579.38"/>
    <n v="2878.61"/>
    <n v="5066.6000000000004"/>
    <m/>
    <m/>
    <n v="18.330413907284768"/>
  </r>
  <r>
    <x v="3"/>
    <x v="1"/>
    <s v="COLCHÃO M.E."/>
    <s v="DIRETO"/>
    <x v="1"/>
    <s v="NADA"/>
    <x v="1"/>
    <n v="43532"/>
    <n v="2540012"/>
    <x v="65"/>
    <s v="DIVINO COLCHONES"/>
    <s v="EX"/>
    <s v="Colchão M.E."/>
    <n v="1"/>
    <s v="MARTIN"/>
    <n v="44834"/>
    <m/>
    <n v="32.200000000000003"/>
    <n v="112952.05"/>
    <s v="KG"/>
    <n v="240"/>
    <n v="120"/>
    <n v="6162"/>
    <n v="3507.48"/>
    <n v="23.26"/>
    <n v="75923.960000000006"/>
    <m/>
    <m/>
    <m/>
    <m/>
    <n v="2259.04"/>
    <n v="5401.52"/>
    <n v="29367.53"/>
    <n v="41308.699999999997"/>
    <m/>
    <m/>
    <n v="18.330420318078545"/>
  </r>
  <r>
    <x v="4"/>
    <x v="1"/>
    <s v="COLCHÃO M.E."/>
    <s v="DIRETO"/>
    <x v="1"/>
    <s v="NADA"/>
    <x v="1"/>
    <n v="43536"/>
    <n v="2540008"/>
    <x v="57"/>
    <s v="DIVINO COLCHONES"/>
    <s v="EX"/>
    <s v="Colchão M.E."/>
    <n v="1"/>
    <s v="MARTIN"/>
    <n v="44837"/>
    <m/>
    <n v="29.51"/>
    <n v="-11071.57"/>
    <s v="KG"/>
    <n v="260"/>
    <n v="14"/>
    <n v="604"/>
    <n v="376.22"/>
    <n v="-22.76"/>
    <n v="7414.33"/>
    <m/>
    <m/>
    <m/>
    <m/>
    <n v="222.05"/>
    <m/>
    <m/>
    <n v="579.38"/>
    <m/>
    <m/>
    <n v="-18.330413907284768"/>
  </r>
  <r>
    <x v="4"/>
    <x v="1"/>
    <s v="COLCHÃO M.E."/>
    <s v="DIRETO"/>
    <x v="1"/>
    <s v="NADA"/>
    <x v="1"/>
    <n v="43536"/>
    <n v="2540012"/>
    <x v="65"/>
    <s v="DIVINO COLCHONES"/>
    <s v="EX"/>
    <s v="Colchão M.E."/>
    <n v="1"/>
    <s v="MARTIN"/>
    <n v="44837"/>
    <m/>
    <n v="28.11"/>
    <n v="-112952.05"/>
    <s v="KG"/>
    <n v="240"/>
    <n v="120"/>
    <n v="6162"/>
    <n v="3507.48"/>
    <n v="15.65"/>
    <n v="65596.47"/>
    <m/>
    <m/>
    <m/>
    <m/>
    <n v="1972.17"/>
    <m/>
    <m/>
    <n v="5401.52"/>
    <m/>
    <m/>
    <n v="-18.330420318078545"/>
  </r>
  <r>
    <x v="4"/>
    <x v="1"/>
    <s v="COLCHÃO M.E."/>
    <s v="DIRETO"/>
    <x v="1"/>
    <s v="NADA"/>
    <x v="1"/>
    <n v="43538"/>
    <n v="2540008"/>
    <x v="57"/>
    <s v="DIVINO COLCHONES"/>
    <s v="EX"/>
    <s v="Colchão M.E."/>
    <n v="1"/>
    <s v="MARTIN"/>
    <n v="44837"/>
    <m/>
    <n v="29.51"/>
    <n v="11102.38"/>
    <s v="KG"/>
    <n v="260"/>
    <n v="14"/>
    <n v="604"/>
    <n v="376.22"/>
    <n v="-22.76"/>
    <n v="7414.33"/>
    <m/>
    <m/>
    <m/>
    <m/>
    <n v="222.05"/>
    <m/>
    <m/>
    <n v="579.38"/>
    <m/>
    <m/>
    <n v="18.3814238410596"/>
  </r>
  <r>
    <x v="4"/>
    <x v="1"/>
    <s v="COLCHÃO M.E."/>
    <s v="DIRETO"/>
    <x v="1"/>
    <s v="NADA"/>
    <x v="1"/>
    <n v="43538"/>
    <n v="2540012"/>
    <x v="65"/>
    <s v="DIVINO COLCHONES"/>
    <s v="EX"/>
    <s v="Colchão M.E."/>
    <n v="1"/>
    <s v="MARTIN"/>
    <n v="44837"/>
    <m/>
    <n v="28.11"/>
    <n v="98608.320000000007"/>
    <s v="KG"/>
    <n v="240"/>
    <n v="120"/>
    <n v="6162"/>
    <n v="3507.48"/>
    <n v="19.809999999999999"/>
    <n v="65596.47"/>
    <m/>
    <m/>
    <m/>
    <m/>
    <n v="1972.17"/>
    <m/>
    <m/>
    <n v="5401.52"/>
    <m/>
    <m/>
    <n v="16.002648490749756"/>
  </r>
  <r>
    <x v="4"/>
    <x v="1"/>
    <s v="COLCHÃO M.E."/>
    <s v="DIRETO"/>
    <x v="9"/>
    <s v="NADA"/>
    <x v="2"/>
    <n v="43729"/>
    <n v="2810008"/>
    <x v="135"/>
    <s v="FLEX CHILE"/>
    <s v="EX"/>
    <s v="Colchão M.E."/>
    <n v="91"/>
    <s v="DIRETO"/>
    <n v="44855"/>
    <m/>
    <n v="27.43"/>
    <n v="17818.66"/>
    <s v="KG"/>
    <n v="180"/>
    <n v="40"/>
    <n v="1518"/>
    <n v="649.5"/>
    <n v="19.16"/>
    <n v="8548.76"/>
    <m/>
    <n v="3280.45"/>
    <m/>
    <m/>
    <n v="356.37"/>
    <m/>
    <m/>
    <n v="1000.23"/>
    <m/>
    <m/>
    <n v="11.738247694334651"/>
  </r>
  <r>
    <x v="4"/>
    <x v="1"/>
    <s v="COLCHÃO M.E."/>
    <s v="DIRETO"/>
    <x v="10"/>
    <s v="NADA"/>
    <x v="2"/>
    <n v="43801"/>
    <s v="286.0004-A"/>
    <x v="68"/>
    <s v="COLCHONES DEL MUNDO"/>
    <s v="EX"/>
    <s v="Colchão M.E."/>
    <n v="91"/>
    <s v="DIRETO"/>
    <n v="44859"/>
    <m/>
    <n v="39.36"/>
    <n v="21323.03"/>
    <s v="KG"/>
    <n v="407"/>
    <n v="18"/>
    <n v="532"/>
    <n v="541.76"/>
    <n v="20.67"/>
    <n v="12584.71"/>
    <m/>
    <n v="1933.56"/>
    <m/>
    <m/>
    <n v="426.46"/>
    <m/>
    <m/>
    <n v="834.31"/>
    <m/>
    <m/>
    <n v="40.080883458646618"/>
  </r>
  <r>
    <x v="4"/>
    <x v="1"/>
    <s v="COLCHÃO M.E."/>
    <s v="DIRETO"/>
    <x v="10"/>
    <s v="NADA"/>
    <x v="2"/>
    <n v="43801"/>
    <n v="2860006"/>
    <x v="136"/>
    <s v="COLCHONES DEL MUNDO"/>
    <s v="EX"/>
    <s v="Colchão M.E."/>
    <n v="91"/>
    <s v="DIRETO"/>
    <n v="44859"/>
    <m/>
    <n v="34.92"/>
    <n v="24588.57"/>
    <s v="KG"/>
    <n v="360"/>
    <n v="30"/>
    <n v="940"/>
    <n v="704.1"/>
    <n v="23.06"/>
    <n v="14389.79"/>
    <m/>
    <n v="2229.67"/>
    <m/>
    <m/>
    <n v="491.77"/>
    <m/>
    <m/>
    <n v="1084.31"/>
    <m/>
    <m/>
    <n v="26.158053191489362"/>
  </r>
  <r>
    <x v="4"/>
    <x v="1"/>
    <s v="COLCHÃO M.E."/>
    <s v="DIRETO"/>
    <x v="10"/>
    <s v="NADA"/>
    <x v="2"/>
    <n v="43801"/>
    <n v="2860003"/>
    <x v="63"/>
    <s v="COLCHONES DEL MUNDO"/>
    <s v="EX"/>
    <s v="Colchão M.E."/>
    <n v="91"/>
    <s v="DIRETO"/>
    <n v="44859"/>
    <m/>
    <n v="39.24"/>
    <n v="24563.46"/>
    <s v="KG"/>
    <n v="420"/>
    <n v="19"/>
    <n v="689"/>
    <n v="625.91999999999996"/>
    <n v="27.8"/>
    <n v="14494.37"/>
    <m/>
    <n v="2227.4"/>
    <m/>
    <m/>
    <n v="491.27"/>
    <m/>
    <m/>
    <n v="963.92"/>
    <m/>
    <m/>
    <n v="35.650885341074016"/>
  </r>
  <r>
    <x v="4"/>
    <x v="1"/>
    <s v="COLCHÃO M.E."/>
    <s v="DIRETO"/>
    <x v="17"/>
    <s v="NADA"/>
    <x v="0"/>
    <n v="43879"/>
    <n v="3020004"/>
    <x v="137"/>
    <s v="MAXI KING"/>
    <s v="EX"/>
    <s v="Colchão M.E."/>
    <n v="87"/>
    <s v="DIRETO"/>
    <n v="44865"/>
    <m/>
    <n v="36.619999999999997"/>
    <n v="27532.23"/>
    <s v="KG"/>
    <n v="160"/>
    <n v="34"/>
    <n v="1951"/>
    <n v="751.82"/>
    <n v="33.6"/>
    <n v="17564.11"/>
    <m/>
    <m/>
    <m/>
    <n v="1101.29"/>
    <n v="550.64"/>
    <m/>
    <m/>
    <n v="1157.8"/>
    <m/>
    <m/>
    <n v="14.111855458739107"/>
  </r>
  <r>
    <x v="4"/>
    <x v="1"/>
    <s v="COLCHÃO M.E."/>
    <s v="DIRETO"/>
    <x v="17"/>
    <s v="NADA"/>
    <x v="0"/>
    <n v="43879"/>
    <n v="3020002"/>
    <x v="137"/>
    <s v="MAXI KING"/>
    <s v="EX"/>
    <s v="Colchão M.E."/>
    <n v="87"/>
    <s v="DIRETO"/>
    <n v="44865"/>
    <m/>
    <n v="29.89"/>
    <n v="20847.060000000001"/>
    <s v="KG"/>
    <n v="160"/>
    <n v="42"/>
    <n v="1950"/>
    <n v="697.48"/>
    <n v="16.37"/>
    <n v="13101.88"/>
    <m/>
    <m/>
    <m/>
    <n v="833.88"/>
    <n v="416.94"/>
    <m/>
    <m/>
    <n v="1074.1199999999999"/>
    <m/>
    <m/>
    <n v="10.690800000000001"/>
  </r>
  <r>
    <x v="4"/>
    <x v="1"/>
    <s v="COLCHÃO M.E."/>
    <s v="DIRETO"/>
    <x v="17"/>
    <s v="NADA"/>
    <x v="0"/>
    <n v="43879"/>
    <n v="3020005"/>
    <x v="137"/>
    <s v="MAXI KING"/>
    <s v="EX"/>
    <s v="Colchão M.E."/>
    <n v="87"/>
    <s v="DIRETO"/>
    <n v="44865"/>
    <m/>
    <n v="32.89"/>
    <n v="32853.26"/>
    <s v="KG"/>
    <n v="240"/>
    <n v="37"/>
    <n v="1712"/>
    <n v="998.77"/>
    <n v="16.079999999999998"/>
    <n v="20802.11"/>
    <m/>
    <m/>
    <m/>
    <n v="1314.13"/>
    <n v="657.07"/>
    <m/>
    <m/>
    <n v="1538.11"/>
    <m/>
    <m/>
    <n v="19.18998831775701"/>
  </r>
  <r>
    <x v="4"/>
    <x v="1"/>
    <s v="COLCHÃO M.E."/>
    <s v="DIRETO"/>
    <x v="17"/>
    <s v="NADA"/>
    <x v="0"/>
    <n v="43879"/>
    <n v="3020006"/>
    <x v="138"/>
    <s v="MAXI KING"/>
    <s v="EX"/>
    <s v="Colchão M.E."/>
    <n v="87"/>
    <s v="DIRETO"/>
    <n v="44865"/>
    <m/>
    <n v="45.15"/>
    <n v="49837.3"/>
    <s v="KG"/>
    <n v="260"/>
    <n v="41"/>
    <n v="1895"/>
    <n v="1103.92"/>
    <n v="18.079999999999998"/>
    <n v="32189.33"/>
    <m/>
    <m/>
    <m/>
    <n v="1993.49"/>
    <n v="996.75"/>
    <m/>
    <m/>
    <n v="1700.04"/>
    <m/>
    <m/>
    <n v="26.299366754617417"/>
  </r>
  <r>
    <x v="4"/>
    <x v="1"/>
    <s v="COLCHÃO M.E."/>
    <s v="DIRETO"/>
    <x v="17"/>
    <s v="NADA"/>
    <x v="0"/>
    <n v="43879"/>
    <n v="3020007"/>
    <x v="137"/>
    <s v="MAXI KING"/>
    <s v="EX"/>
    <s v="Colchão M.E."/>
    <n v="87"/>
    <s v="DIRETO"/>
    <n v="44865"/>
    <m/>
    <n v="31.67"/>
    <n v="31062.12"/>
    <s v="KG"/>
    <n v="200"/>
    <n v="43"/>
    <n v="1950"/>
    <n v="980.9"/>
    <n v="21.19"/>
    <n v="19611.66"/>
    <m/>
    <m/>
    <m/>
    <n v="1242.48"/>
    <n v="621.24"/>
    <m/>
    <m/>
    <n v="1510.59"/>
    <m/>
    <m/>
    <n v="15.929292307692307"/>
  </r>
  <r>
    <x v="4"/>
    <x v="1"/>
    <s v="COLCHÃO M.E."/>
    <s v="DIRETO"/>
    <x v="17"/>
    <s v="NADA"/>
    <x v="0"/>
    <n v="43879"/>
    <n v="3020001"/>
    <x v="137"/>
    <s v="MAXI KING"/>
    <s v="EX"/>
    <s v="Colchão M.E."/>
    <n v="87"/>
    <s v="DIRETO"/>
    <n v="44865"/>
    <m/>
    <n v="24.92"/>
    <n v="23005.32"/>
    <s v="KG"/>
    <n v="160"/>
    <n v="43"/>
    <n v="2339"/>
    <n v="923.04"/>
    <n v="19.63"/>
    <n v="14222.14"/>
    <m/>
    <m/>
    <m/>
    <n v="920.21"/>
    <n v="460.11"/>
    <m/>
    <m/>
    <n v="1421.48"/>
    <m/>
    <m/>
    <n v="9.8355365540829407"/>
  </r>
  <r>
    <x v="4"/>
    <x v="1"/>
    <s v="COLCHÃO M.E."/>
    <s v="DIRETO"/>
    <x v="17"/>
    <s v="NADA"/>
    <x v="0"/>
    <n v="43879"/>
    <n v="3020009"/>
    <x v="137"/>
    <s v="MAXI KING"/>
    <s v="EX"/>
    <s v="Colchão M.E."/>
    <n v="87"/>
    <s v="DIRETO"/>
    <n v="44865"/>
    <m/>
    <n v="39.31"/>
    <n v="80090.820000000007"/>
    <s v="KG"/>
    <n v="260"/>
    <n v="67"/>
    <n v="3337"/>
    <n v="2037.62"/>
    <n v="24.14"/>
    <n v="54527.46"/>
    <m/>
    <m/>
    <m/>
    <m/>
    <n v="1601.82"/>
    <m/>
    <m/>
    <n v="3137.93"/>
    <m/>
    <m/>
    <n v="24.000845070422539"/>
  </r>
  <r>
    <x v="4"/>
    <x v="1"/>
    <s v="COLCHÃO M.E."/>
    <s v="DIRETO"/>
    <x v="17"/>
    <s v="NADA"/>
    <x v="0"/>
    <n v="43879"/>
    <n v="3020003"/>
    <x v="137"/>
    <s v="MAXI KING"/>
    <s v="EX"/>
    <s v="Colchão M.E."/>
    <n v="87"/>
    <s v="DIRETO"/>
    <n v="44865"/>
    <m/>
    <n v="27.47"/>
    <n v="24578.15"/>
    <s v="KG"/>
    <n v="160"/>
    <n v="43"/>
    <n v="2299"/>
    <n v="894.68"/>
    <n v="25.16"/>
    <n v="15335.33"/>
    <m/>
    <m/>
    <m/>
    <n v="983.13"/>
    <n v="491.56"/>
    <m/>
    <m/>
    <n v="1377.81"/>
    <m/>
    <m/>
    <n v="10.690800347977381"/>
  </r>
  <r>
    <x v="5"/>
    <x v="1"/>
    <s v="COLCHÃO M.E."/>
    <s v="DIRETO"/>
    <x v="18"/>
    <s v="NADA"/>
    <x v="1"/>
    <n v="43983"/>
    <n v="3030001"/>
    <x v="139"/>
    <s v="POLYMAX"/>
    <s v="EX"/>
    <s v="Colchão M.E."/>
    <n v="90"/>
    <s v="MARTIN"/>
    <n v="44875"/>
    <m/>
    <n v="22.23"/>
    <n v="6270.63"/>
    <s v="KG"/>
    <n v="180"/>
    <n v="12"/>
    <n v="653"/>
    <n v="282.06"/>
    <n v="20.95"/>
    <n v="4080.48"/>
    <m/>
    <m/>
    <m/>
    <m/>
    <n v="125.41"/>
    <n v="434.37"/>
    <n v="1630.36"/>
    <n v="3662.73"/>
    <m/>
    <m/>
    <n v="9.60280245022971"/>
  </r>
  <r>
    <x v="5"/>
    <x v="1"/>
    <s v="COLCHÃO M.E."/>
    <s v="DIRETO"/>
    <x v="18"/>
    <s v="NADA"/>
    <x v="1"/>
    <n v="43983"/>
    <n v="3030002"/>
    <x v="139"/>
    <s v="POLYMAX"/>
    <s v="EX"/>
    <s v="Colchão M.E."/>
    <n v="90"/>
    <s v="MARTIN"/>
    <n v="44875"/>
    <m/>
    <n v="24.95"/>
    <n v="6050.8"/>
    <s v="KG"/>
    <n v="180"/>
    <n v="13"/>
    <n v="586"/>
    <n v="242.48"/>
    <n v="15.74"/>
    <n v="3983.16"/>
    <m/>
    <m/>
    <m/>
    <m/>
    <n v="121.02"/>
    <n v="373.42"/>
    <n v="1573.21"/>
    <n v="3669.21"/>
    <m/>
    <m/>
    <n v="10.325597269624573"/>
  </r>
  <r>
    <x v="5"/>
    <x v="1"/>
    <s v="COLCHÃO M.E."/>
    <s v="DIRETO"/>
    <x v="18"/>
    <s v="NADA"/>
    <x v="1"/>
    <n v="43983"/>
    <n v="3030003"/>
    <x v="139"/>
    <s v="POLYMAX"/>
    <s v="EX"/>
    <s v="Colchão M.E."/>
    <n v="90"/>
    <s v="MARTIN"/>
    <n v="44875"/>
    <m/>
    <n v="24.93"/>
    <n v="5823.64"/>
    <s v="KG"/>
    <n v="180"/>
    <n v="13"/>
    <n v="564"/>
    <n v="233.6"/>
    <n v="21.52"/>
    <n v="3833.28"/>
    <m/>
    <m/>
    <m/>
    <m/>
    <n v="116.47"/>
    <n v="359.74"/>
    <n v="1514.15"/>
    <n v="3170.6"/>
    <m/>
    <m/>
    <n v="10.325602836879433"/>
  </r>
  <r>
    <x v="5"/>
    <x v="1"/>
    <s v="COLCHÃO M.E."/>
    <s v="DIRETO"/>
    <x v="18"/>
    <s v="NADA"/>
    <x v="1"/>
    <n v="43983"/>
    <n v="3030005"/>
    <x v="139"/>
    <s v="POLYMAX"/>
    <s v="EX"/>
    <s v="Colchão M.E."/>
    <n v="90"/>
    <s v="MARTIN"/>
    <n v="44875"/>
    <m/>
    <n v="23.44"/>
    <n v="6350.04"/>
    <s v="KG"/>
    <n v="180"/>
    <n v="14"/>
    <n v="634"/>
    <n v="270.89"/>
    <n v="17.82"/>
    <n v="4154.8599999999997"/>
    <m/>
    <m/>
    <m/>
    <m/>
    <n v="127"/>
    <n v="417.17"/>
    <n v="1651.01"/>
    <n v="3606.64"/>
    <m/>
    <m/>
    <n v="10.015835962145111"/>
  </r>
  <r>
    <x v="5"/>
    <x v="1"/>
    <s v="COLCHÃO M.E."/>
    <s v="DIRETO"/>
    <x v="18"/>
    <s v="NADA"/>
    <x v="1"/>
    <n v="43983"/>
    <n v="3030006"/>
    <x v="139"/>
    <s v="POLYMAX"/>
    <s v="EX"/>
    <s v="Colchão M.E."/>
    <n v="90"/>
    <s v="MARTIN"/>
    <n v="44875"/>
    <m/>
    <n v="23.61"/>
    <n v="5629.52"/>
    <s v="KG"/>
    <n v="180"/>
    <n v="12"/>
    <n v="580"/>
    <n v="238.48"/>
    <n v="17.989999999999998"/>
    <n v="3686"/>
    <m/>
    <m/>
    <m/>
    <m/>
    <n v="112.59"/>
    <n v="367.26"/>
    <n v="1463.68"/>
    <n v="3084.8"/>
    <m/>
    <m/>
    <n v="9.7060689655172414"/>
  </r>
  <r>
    <x v="5"/>
    <x v="1"/>
    <s v="COLCHÃO M.E."/>
    <s v="DIRETO"/>
    <x v="18"/>
    <s v="NADA"/>
    <x v="1"/>
    <n v="43983"/>
    <n v="3030008"/>
    <x v="139"/>
    <s v="POLYMAX"/>
    <s v="EX"/>
    <s v="Colchão M.E."/>
    <n v="90"/>
    <s v="MARTIN"/>
    <n v="44875"/>
    <m/>
    <n v="25.03"/>
    <n v="6116.99"/>
    <s v="KG"/>
    <n v="160"/>
    <n v="13"/>
    <n v="637"/>
    <n v="244.42"/>
    <n v="10.86"/>
    <n v="4027.83"/>
    <m/>
    <m/>
    <m/>
    <m/>
    <n v="122.34"/>
    <n v="376.41"/>
    <n v="1590.42"/>
    <n v="3610.48"/>
    <m/>
    <m/>
    <n v="9.6028100470957618"/>
  </r>
  <r>
    <x v="5"/>
    <x v="1"/>
    <s v="COLCHÃO M.E."/>
    <s v="DIRETO"/>
    <x v="18"/>
    <s v="NADA"/>
    <x v="1"/>
    <n v="43983"/>
    <n v="3030009"/>
    <x v="139"/>
    <s v="POLYMAX"/>
    <s v="EX"/>
    <s v="Colchão M.E."/>
    <n v="90"/>
    <s v="MARTIN"/>
    <n v="44875"/>
    <m/>
    <n v="22.88"/>
    <n v="5610.93"/>
    <s v="KG"/>
    <n v="180"/>
    <n v="12"/>
    <n v="572"/>
    <n v="245.24"/>
    <n v="18.55"/>
    <n v="3662.2"/>
    <m/>
    <m/>
    <m/>
    <m/>
    <n v="112.22"/>
    <n v="377.67"/>
    <n v="1458.84"/>
    <n v="3182.8"/>
    <m/>
    <m/>
    <n v="9.8093181818181829"/>
  </r>
  <r>
    <x v="5"/>
    <x v="1"/>
    <s v="COLCHÃO M.E."/>
    <s v="DIRETO"/>
    <x v="18"/>
    <s v="NADA"/>
    <x v="1"/>
    <n v="43983"/>
    <n v="3030011"/>
    <x v="139"/>
    <s v="POLYMAX"/>
    <s v="EX"/>
    <s v="Colchão M.E."/>
    <n v="90"/>
    <s v="MARTIN"/>
    <n v="44875"/>
    <m/>
    <n v="21.41"/>
    <n v="6117.71"/>
    <s v="KG"/>
    <n v="180"/>
    <n v="12"/>
    <n v="644"/>
    <n v="285.8"/>
    <n v="18.239999999999998"/>
    <n v="3964.62"/>
    <m/>
    <m/>
    <m/>
    <m/>
    <n v="122.35"/>
    <n v="440.13"/>
    <n v="1590.6"/>
    <n v="3580.14"/>
    <m/>
    <m/>
    <n v="9.4995496894409932"/>
  </r>
  <r>
    <x v="5"/>
    <x v="1"/>
    <s v="COLCHÃO M.E."/>
    <s v="DIRETO"/>
    <x v="18"/>
    <s v="NADA"/>
    <x v="1"/>
    <n v="43983"/>
    <n v="3030014"/>
    <x v="139"/>
    <s v="POLYMAX"/>
    <s v="EX"/>
    <s v="Colchão M.E."/>
    <n v="90"/>
    <s v="MARTIN"/>
    <n v="44875"/>
    <m/>
    <n v="21.72"/>
    <n v="5227.8500000000004"/>
    <s v="KG"/>
    <n v="160"/>
    <n v="12"/>
    <n v="610"/>
    <n v="240.68"/>
    <n v="19.62"/>
    <n v="3393.4"/>
    <m/>
    <m/>
    <m/>
    <m/>
    <n v="104.56"/>
    <n v="370.65"/>
    <n v="1359.24"/>
    <n v="3186.14"/>
    <m/>
    <m/>
    <n v="8.5702459016393444"/>
  </r>
  <r>
    <x v="5"/>
    <x v="1"/>
    <s v="COLCHÃO M.E."/>
    <s v="DIRETO"/>
    <x v="18"/>
    <s v="NADA"/>
    <x v="1"/>
    <n v="43983"/>
    <n v="3030017"/>
    <x v="139"/>
    <s v="POLYMAX"/>
    <s v="EX"/>
    <s v="Colchão M.E."/>
    <n v="90"/>
    <s v="MARTIN"/>
    <n v="44875"/>
    <m/>
    <n v="27.86"/>
    <n v="7058.06"/>
    <s v="KG"/>
    <n v="160"/>
    <n v="12"/>
    <n v="651"/>
    <n v="253.38"/>
    <n v="19.45"/>
    <n v="4691.6000000000004"/>
    <m/>
    <m/>
    <m/>
    <m/>
    <n v="141.16"/>
    <n v="390.21"/>
    <n v="1835.1"/>
    <n v="4162.29"/>
    <m/>
    <m/>
    <n v="10.841874039938556"/>
  </r>
  <r>
    <x v="5"/>
    <x v="1"/>
    <s v="COLCHÃO M.E."/>
    <s v="DIRETO"/>
    <x v="18"/>
    <s v="NADA"/>
    <x v="1"/>
    <n v="43983"/>
    <n v="3030019"/>
    <x v="139"/>
    <s v="POLYMAX"/>
    <s v="EX"/>
    <s v="Colchão M.E."/>
    <n v="90"/>
    <s v="MARTIN"/>
    <n v="44875"/>
    <m/>
    <n v="26.12"/>
    <n v="13631.55"/>
    <s v="KG"/>
    <n v="160"/>
    <n v="27"/>
    <n v="1361"/>
    <n v="521.79999999999995"/>
    <n v="19.46"/>
    <n v="9011.14"/>
    <m/>
    <m/>
    <m/>
    <m/>
    <n v="272.63"/>
    <n v="803.57"/>
    <n v="3544.2"/>
    <n v="7816.11"/>
    <m/>
    <m/>
    <n v="10.015833945628215"/>
  </r>
  <r>
    <x v="5"/>
    <x v="1"/>
    <s v="COLCHÃO M.E."/>
    <s v="DIRETO"/>
    <x v="18"/>
    <s v="NADA"/>
    <x v="1"/>
    <n v="43983"/>
    <n v="3030020"/>
    <x v="139"/>
    <s v="POLYMAX"/>
    <s v="EX"/>
    <s v="Colchão M.E."/>
    <n v="90"/>
    <s v="MARTIN"/>
    <n v="44875"/>
    <m/>
    <n v="24.33"/>
    <n v="6846.8"/>
    <s v="KG"/>
    <n v="160"/>
    <n v="14"/>
    <n v="713"/>
    <n v="281.36"/>
    <n v="23.25"/>
    <n v="4496.3999999999996"/>
    <m/>
    <m/>
    <m/>
    <m/>
    <n v="136.94"/>
    <n v="433.29"/>
    <n v="1780.17"/>
    <n v="3892.26"/>
    <m/>
    <m/>
    <n v="9.6028050490883601"/>
  </r>
  <r>
    <x v="5"/>
    <x v="1"/>
    <s v="COLCHÃO M.E."/>
    <s v="DIRETO"/>
    <x v="18"/>
    <s v="NADA"/>
    <x v="1"/>
    <n v="43983"/>
    <n v="3030018"/>
    <x v="139"/>
    <s v="POLYMAX"/>
    <s v="EX"/>
    <s v="Colchão M.E."/>
    <n v="90"/>
    <s v="MARTIN"/>
    <n v="44875"/>
    <m/>
    <n v="26.16"/>
    <n v="7431.64"/>
    <s v="KG"/>
    <n v="160"/>
    <n v="14"/>
    <n v="727"/>
    <n v="284.08"/>
    <n v="22.08"/>
    <n v="4913.3"/>
    <m/>
    <m/>
    <m/>
    <m/>
    <n v="148.63"/>
    <n v="437.48"/>
    <n v="1932.23"/>
    <n v="3547.71"/>
    <m/>
    <m/>
    <n v="10.222338376891335"/>
  </r>
  <r>
    <x v="5"/>
    <x v="1"/>
    <s v="COLCHÃO M.E."/>
    <s v="DIRETO"/>
    <x v="18"/>
    <s v="NADA"/>
    <x v="1"/>
    <n v="43983"/>
    <n v="3030013"/>
    <x v="139"/>
    <s v="POLYMAX"/>
    <s v="EX"/>
    <s v="Colchão M.E."/>
    <n v="90"/>
    <s v="MARTIN"/>
    <n v="44875"/>
    <m/>
    <n v="22.01"/>
    <n v="6565.02"/>
    <s v="KG"/>
    <n v="160"/>
    <n v="15"/>
    <n v="748"/>
    <n v="298.26"/>
    <n v="23.09"/>
    <n v="4267.49"/>
    <m/>
    <m/>
    <m/>
    <m/>
    <n v="131.30000000000001"/>
    <n v="459.32"/>
    <n v="1706.91"/>
    <n v="3909.64"/>
    <m/>
    <m/>
    <n v="8.7767647058823535"/>
  </r>
  <r>
    <x v="5"/>
    <x v="1"/>
    <s v="COLCHÃO M.E."/>
    <s v="DIRETO"/>
    <x v="18"/>
    <s v="NADA"/>
    <x v="1"/>
    <n v="43983"/>
    <n v="3030015"/>
    <x v="139"/>
    <s v="POLYMAX"/>
    <s v="EX"/>
    <s v="Colchão M.E."/>
    <n v="90"/>
    <s v="MARTIN"/>
    <n v="44875"/>
    <m/>
    <n v="20.170000000000002"/>
    <n v="3033.92"/>
    <s v="KG"/>
    <n v="160"/>
    <n v="8"/>
    <n v="365"/>
    <n v="150.44"/>
    <n v="19.760000000000002"/>
    <n v="1952.74"/>
    <m/>
    <m/>
    <m/>
    <m/>
    <n v="60.68"/>
    <n v="231.68"/>
    <n v="788.82"/>
    <n v="1924.17"/>
    <m/>
    <m/>
    <n v="8.3121095890410963"/>
  </r>
  <r>
    <x v="5"/>
    <x v="1"/>
    <s v="COLCHÃO M.E."/>
    <s v="DIRETO"/>
    <x v="18"/>
    <s v="NADA"/>
    <x v="1"/>
    <n v="43983"/>
    <n v="3030012"/>
    <x v="139"/>
    <s v="POLYMAX"/>
    <s v="EX"/>
    <s v="Colchão M.E."/>
    <n v="90"/>
    <s v="MARTIN"/>
    <n v="44875"/>
    <m/>
    <n v="22.65"/>
    <n v="5569.42"/>
    <s v="KG"/>
    <n v="180"/>
    <n v="12"/>
    <n v="596"/>
    <n v="245.94"/>
    <n v="20.079999999999998"/>
    <n v="3631.23"/>
    <m/>
    <m/>
    <m/>
    <m/>
    <n v="111.39"/>
    <n v="378.75"/>
    <n v="1448.05"/>
    <n v="3129.15"/>
    <m/>
    <m/>
    <n v="9.3446644295302015"/>
  </r>
  <r>
    <x v="5"/>
    <x v="1"/>
    <s v="COLCHÃO M.E."/>
    <s v="DIRETO"/>
    <x v="18"/>
    <s v="NADA"/>
    <x v="1"/>
    <n v="43983"/>
    <n v="3030010"/>
    <x v="139"/>
    <s v="POLYMAX"/>
    <s v="EX"/>
    <s v="Colchão M.E."/>
    <n v="90"/>
    <s v="MARTIN"/>
    <n v="44875"/>
    <m/>
    <n v="22.06"/>
    <n v="12375.23"/>
    <s v="KG"/>
    <n v="180"/>
    <n v="26"/>
    <n v="1275"/>
    <n v="561.04"/>
    <n v="20.05"/>
    <n v="8046.16"/>
    <m/>
    <m/>
    <m/>
    <m/>
    <n v="247.5"/>
    <n v="864"/>
    <n v="3217.56"/>
    <n v="7032.38"/>
    <m/>
    <m/>
    <n v="9.7060627450980395"/>
  </r>
  <r>
    <x v="5"/>
    <x v="1"/>
    <s v="COLCHÃO M.E."/>
    <s v="DIRETO"/>
    <x v="18"/>
    <s v="NADA"/>
    <x v="1"/>
    <n v="43983"/>
    <n v="3030007"/>
    <x v="139"/>
    <s v="POLYMAX"/>
    <s v="EX"/>
    <s v="Colchão M.E."/>
    <n v="90"/>
    <s v="MARTIN"/>
    <n v="44875"/>
    <m/>
    <n v="27.86"/>
    <n v="5338.34"/>
    <s v="KG"/>
    <n v="160"/>
    <n v="10"/>
    <n v="517"/>
    <n v="191.58"/>
    <n v="22.4"/>
    <n v="3548.57"/>
    <m/>
    <m/>
    <m/>
    <m/>
    <n v="106.77"/>
    <n v="295.02999999999997"/>
    <n v="1387.97"/>
    <n v="2432.91"/>
    <m/>
    <m/>
    <n v="10.325609284332689"/>
  </r>
  <r>
    <x v="5"/>
    <x v="1"/>
    <s v="COLCHÃO M.E."/>
    <s v="DIRETO"/>
    <x v="18"/>
    <s v="NADA"/>
    <x v="1"/>
    <n v="43983"/>
    <n v="3030004"/>
    <x v="139"/>
    <s v="POLYMAX"/>
    <s v="EX"/>
    <s v="Colchão M.E."/>
    <n v="90"/>
    <s v="MARTIN"/>
    <n v="44875"/>
    <m/>
    <n v="23.7"/>
    <n v="7329.11"/>
    <s v="KG"/>
    <n v="160"/>
    <n v="16"/>
    <n v="780"/>
    <n v="309.24"/>
    <n v="20.29"/>
    <n v="4800.7299999999996"/>
    <m/>
    <m/>
    <m/>
    <m/>
    <n v="146.58000000000001"/>
    <n v="476.23"/>
    <n v="1905.57"/>
    <n v="4321"/>
    <m/>
    <m/>
    <n v="9.396294871794872"/>
  </r>
  <r>
    <x v="5"/>
    <x v="1"/>
    <s v="COLCHÃO M.E."/>
    <s v="DIRETO"/>
    <x v="18"/>
    <s v="NADA"/>
    <x v="1"/>
    <n v="43983"/>
    <n v="3030016"/>
    <x v="139"/>
    <s v="POLYMAX"/>
    <s v="EX"/>
    <s v="Colchão M.E."/>
    <n v="90"/>
    <s v="MARTIN"/>
    <n v="44875"/>
    <m/>
    <n v="22.14"/>
    <n v="12147.04"/>
    <s v="KG"/>
    <n v="160"/>
    <n v="29"/>
    <n v="1360"/>
    <n v="548.66"/>
    <n v="18.29"/>
    <n v="7900.93"/>
    <m/>
    <m/>
    <m/>
    <m/>
    <n v="242.94"/>
    <n v="844.94"/>
    <n v="3158.23"/>
    <n v="7331.61"/>
    <m/>
    <m/>
    <n v="8.9316470588235308"/>
  </r>
  <r>
    <x v="5"/>
    <x v="1"/>
    <s v="COLCHÃO M.E."/>
    <s v="DIRETO"/>
    <x v="18"/>
    <s v="NADA"/>
    <x v="1"/>
    <n v="43983"/>
    <n v="3030021"/>
    <x v="139"/>
    <s v="POLYMAX"/>
    <s v="EX"/>
    <s v="Colchão M.E."/>
    <n v="90"/>
    <s v="MARTIN"/>
    <n v="44875"/>
    <m/>
    <n v="35.31"/>
    <n v="16702.169999999998"/>
    <s v="KG"/>
    <n v="80"/>
    <n v="12"/>
    <n v="2941"/>
    <n v="473"/>
    <n v="67.459999999999994"/>
    <n v="11297.14"/>
    <m/>
    <m/>
    <m/>
    <m/>
    <n v="334.04"/>
    <n v="728.42"/>
    <n v="4342.5600000000004"/>
    <n v="1264.94"/>
    <m/>
    <m/>
    <n v="5.6790785447126826"/>
  </r>
  <r>
    <x v="5"/>
    <x v="1"/>
    <s v="COLCHÃO M.E."/>
    <s v="DIRETO"/>
    <x v="18"/>
    <s v="NADA"/>
    <x v="1"/>
    <n v="43983"/>
    <n v="3030022"/>
    <x v="139"/>
    <s v="POLYMAX"/>
    <s v="EX"/>
    <s v="Colchão M.E."/>
    <n v="90"/>
    <s v="MARTIN"/>
    <n v="44875"/>
    <m/>
    <n v="35.24"/>
    <n v="16418.22"/>
    <s v="KG"/>
    <n v="80"/>
    <n v="11"/>
    <n v="2891"/>
    <n v="465.91"/>
    <n v="67.459999999999994"/>
    <n v="11103.62"/>
    <m/>
    <m/>
    <m/>
    <m/>
    <n v="328.36"/>
    <n v="717.5"/>
    <n v="4268.74"/>
    <n v="1255.3"/>
    <m/>
    <m/>
    <n v="5.6790799031477004"/>
  </r>
  <r>
    <x v="5"/>
    <x v="1"/>
    <s v="COLCHÃO M.E."/>
    <s v="DIRETO"/>
    <x v="18"/>
    <s v="NADA"/>
    <x v="1"/>
    <n v="43983"/>
    <n v="3030023"/>
    <x v="139"/>
    <s v="POLYMAX"/>
    <s v="EX"/>
    <s v="Colchão M.E."/>
    <n v="90"/>
    <s v="MARTIN"/>
    <n v="44875"/>
    <m/>
    <n v="35.28"/>
    <n v="12465.58"/>
    <s v="KG"/>
    <n v="80"/>
    <n v="9"/>
    <n v="2195"/>
    <n v="353.38"/>
    <n v="67.459999999999994"/>
    <n v="8431.01"/>
    <m/>
    <m/>
    <m/>
    <m/>
    <n v="249.31"/>
    <n v="544.21"/>
    <n v="3241.05"/>
    <n v="927.93"/>
    <m/>
    <m/>
    <n v="5.679079726651481"/>
  </r>
  <r>
    <x v="5"/>
    <x v="1"/>
    <s v="COLCHÃO M.E."/>
    <s v="DIRETO"/>
    <x v="9"/>
    <s v="NADA"/>
    <x v="2"/>
    <n v="43991"/>
    <n v="2810007"/>
    <x v="140"/>
    <s v="FLEX CHILE"/>
    <s v="EX"/>
    <s v="Colchão M.E."/>
    <n v="91"/>
    <s v="DIRETO"/>
    <n v="44876"/>
    <m/>
    <n v="30.25"/>
    <n v="50466.81"/>
    <s v="KG"/>
    <n v="210"/>
    <n v="71"/>
    <n v="3361"/>
    <n v="1668.56"/>
    <n v="18.329999999999998"/>
    <n v="31747.85"/>
    <m/>
    <m/>
    <m/>
    <n v="2018.67"/>
    <n v="1009.34"/>
    <n v="2569.58"/>
    <n v="13121.37"/>
    <n v="24742.52"/>
    <m/>
    <m/>
    <n v="15.015415055043141"/>
  </r>
  <r>
    <x v="5"/>
    <x v="1"/>
    <s v="COLCHÃO M.E."/>
    <s v="DIRETO"/>
    <x v="14"/>
    <s v="NADA"/>
    <x v="4"/>
    <n v="44133"/>
    <n v="2920011"/>
    <x v="141"/>
    <s v="NATURE"/>
    <s v="EX"/>
    <s v="Colchão M.E."/>
    <n v="87"/>
    <s v="DIRETO"/>
    <n v="44887"/>
    <m/>
    <n v="31.72"/>
    <n v="9261.36"/>
    <s v="KG"/>
    <n v="300"/>
    <n v="11"/>
    <n v="470"/>
    <n v="328.8"/>
    <n v="27.12"/>
    <n v="6161.83"/>
    <m/>
    <m/>
    <m/>
    <m/>
    <n v="185.23"/>
    <n v="506.35"/>
    <n v="2407.9499999999998"/>
    <n v="4671.82"/>
    <m/>
    <m/>
    <n v="19.705021276595748"/>
  </r>
  <r>
    <x v="5"/>
    <x v="1"/>
    <s v="COLCHÃO M.E."/>
    <s v="DIRETO"/>
    <x v="14"/>
    <s v="NADA"/>
    <x v="4"/>
    <n v="44133"/>
    <n v="2920012"/>
    <x v="142"/>
    <s v="NATURE"/>
    <s v="EX"/>
    <s v="Colchão M.E."/>
    <n v="87"/>
    <s v="DIRETO"/>
    <n v="44887"/>
    <m/>
    <n v="36.46"/>
    <n v="12312.08"/>
    <s v="KG"/>
    <n v="260"/>
    <n v="12"/>
    <n v="586"/>
    <n v="380.28"/>
    <n v="17.46"/>
    <n v="8277.2999999999993"/>
    <m/>
    <m/>
    <m/>
    <m/>
    <n v="246.24"/>
    <n v="585.63"/>
    <n v="3201.14"/>
    <n v="7724.45"/>
    <m/>
    <m/>
    <n v="21.01037542662116"/>
  </r>
  <r>
    <x v="5"/>
    <x v="1"/>
    <s v="COLCHÃO M.E."/>
    <s v="DIRETO"/>
    <x v="14"/>
    <s v="NADA"/>
    <x v="4"/>
    <n v="44133"/>
    <n v="2920013"/>
    <x v="143"/>
    <s v="NATURE"/>
    <s v="EX"/>
    <s v="Colchão M.E."/>
    <n v="87"/>
    <s v="DIRETO"/>
    <n v="44887"/>
    <m/>
    <n v="31.99"/>
    <n v="12229.52"/>
    <s v="KG"/>
    <n v="300"/>
    <n v="15"/>
    <n v="649"/>
    <n v="430.56"/>
    <n v="18.54"/>
    <n v="8142.19"/>
    <m/>
    <m/>
    <m/>
    <m/>
    <n v="244.59"/>
    <n v="663.06"/>
    <n v="3179.68"/>
    <n v="7754.32"/>
    <m/>
    <m/>
    <n v="18.843636363636364"/>
  </r>
  <r>
    <x v="5"/>
    <x v="1"/>
    <s v="COLCHÃO M.E."/>
    <s v="DIRETO"/>
    <x v="14"/>
    <s v="NADA"/>
    <x v="4"/>
    <n v="44133"/>
    <n v="2920010"/>
    <x v="144"/>
    <s v="NATURE"/>
    <s v="EX"/>
    <s v="Colchão M.E."/>
    <n v="87"/>
    <s v="DIRETO"/>
    <n v="44887"/>
    <m/>
    <n v="32.47"/>
    <n v="12280.69"/>
    <s v="KG"/>
    <n v="300"/>
    <n v="14"/>
    <n v="591"/>
    <n v="425.9"/>
    <n v="22.99"/>
    <n v="8184.45"/>
    <m/>
    <m/>
    <m/>
    <m/>
    <n v="245.61"/>
    <n v="655.89"/>
    <n v="3192.98"/>
    <n v="6715.96"/>
    <m/>
    <m/>
    <n v="20.779509306260575"/>
  </r>
  <r>
    <x v="5"/>
    <x v="1"/>
    <s v="COLCHÃO M.E."/>
    <s v="DIRETO"/>
    <x v="14"/>
    <s v="NADA"/>
    <x v="4"/>
    <n v="44133"/>
    <n v="2920009"/>
    <x v="112"/>
    <s v="NATURE"/>
    <s v="EX"/>
    <s v="Colchão M.E."/>
    <n v="87"/>
    <s v="DIRETO"/>
    <n v="44887"/>
    <m/>
    <n v="39.06"/>
    <n v="3948.11"/>
    <s v="KG"/>
    <n v="97"/>
    <n v="4"/>
    <n v="600"/>
    <n v="113.83"/>
    <n v="52.6"/>
    <n v="2667.34"/>
    <m/>
    <m/>
    <m/>
    <m/>
    <n v="78.959999999999994"/>
    <n v="175.3"/>
    <n v="1026.51"/>
    <n v="795.67"/>
    <m/>
    <m/>
    <n v="6.5801833333333333"/>
  </r>
  <r>
    <x v="5"/>
    <x v="1"/>
    <s v="COLCHÃO M.E."/>
    <s v="DIRETO"/>
    <x v="14"/>
    <s v="NADA"/>
    <x v="4"/>
    <n v="44133"/>
    <n v="2920014"/>
    <x v="145"/>
    <s v="NATURE"/>
    <s v="EX"/>
    <s v="Colchão M.E."/>
    <n v="87"/>
    <s v="DIRETO"/>
    <n v="44887"/>
    <m/>
    <n v="12.77"/>
    <n v="4087.97"/>
    <s v="KG"/>
    <n v="270"/>
    <n v="11"/>
    <n v="558"/>
    <n v="360.54"/>
    <n v="23.71"/>
    <n v="2388.11"/>
    <m/>
    <m/>
    <m/>
    <m/>
    <n v="81.760000000000005"/>
    <n v="555.23"/>
    <n v="1062.8699999999999"/>
    <n v="6317.99"/>
    <m/>
    <m/>
    <n v="7.3261111111111106"/>
  </r>
  <r>
    <x v="5"/>
    <x v="1"/>
    <s v="COLCHÃO M.E."/>
    <s v="DIRETO"/>
    <x v="14"/>
    <s v="NADA"/>
    <x v="4"/>
    <n v="44133"/>
    <n v="2920015"/>
    <x v="146"/>
    <s v="NATURE"/>
    <s v="EX"/>
    <s v="Colchão M.E."/>
    <n v="87"/>
    <s v="DIRETO"/>
    <n v="44887"/>
    <m/>
    <n v="37.049999999999997"/>
    <n v="12071.28"/>
    <s v="KG"/>
    <n v="280"/>
    <n v="11"/>
    <n v="539"/>
    <n v="366.9"/>
    <n v="20.5"/>
    <n v="8124.34"/>
    <m/>
    <m/>
    <m/>
    <m/>
    <n v="241.43"/>
    <n v="565.03"/>
    <n v="3138.53"/>
    <n v="7943.1"/>
    <m/>
    <m/>
    <n v="22.39569573283859"/>
  </r>
  <r>
    <x v="8"/>
    <x v="2"/>
    <s v="COLCHÃO M.E."/>
    <s v="DIRETO"/>
    <x v="1"/>
    <s v="NADA"/>
    <x v="1"/>
    <n v="44163"/>
    <n v="2540012"/>
    <x v="65"/>
    <s v="DIVINO COLCHONES"/>
    <s v="EX"/>
    <s v="Colchão M.E."/>
    <n v="1"/>
    <s v="MARTIN"/>
    <n v="44985"/>
    <m/>
    <m/>
    <n v="47389.95"/>
    <s v="KG"/>
    <n v="240"/>
    <m/>
    <m/>
    <n v="47389.95"/>
    <m/>
    <m/>
    <m/>
    <m/>
    <m/>
    <m/>
    <m/>
    <m/>
    <m/>
    <m/>
    <m/>
    <m/>
    <n v="0"/>
  </r>
  <r>
    <x v="8"/>
    <x v="2"/>
    <s v="COLCHÃO M.E."/>
    <s v="DIRETO"/>
    <x v="1"/>
    <s v="NADA"/>
    <x v="1"/>
    <n v="44163"/>
    <n v="2540015"/>
    <x v="147"/>
    <s v="DIVINO COLCHONES"/>
    <s v="EX"/>
    <s v="Colchão M.E."/>
    <n v="1"/>
    <s v="MARTIN"/>
    <n v="44985"/>
    <m/>
    <m/>
    <n v="15909.99"/>
    <s v="KG"/>
    <n v="260"/>
    <m/>
    <m/>
    <n v="15909.99"/>
    <m/>
    <m/>
    <m/>
    <m/>
    <m/>
    <m/>
    <m/>
    <m/>
    <m/>
    <m/>
    <m/>
    <m/>
    <n v="0"/>
  </r>
  <r>
    <x v="8"/>
    <x v="2"/>
    <s v="COLCHÃO M.E."/>
    <s v="DIRETO"/>
    <x v="1"/>
    <s v="NADA"/>
    <x v="1"/>
    <n v="44163"/>
    <n v="2540005"/>
    <x v="12"/>
    <s v="DIVINO COLCHONES"/>
    <s v="EX"/>
    <s v="Colchão M.E."/>
    <n v="1"/>
    <s v="MARTIN"/>
    <n v="44985"/>
    <m/>
    <m/>
    <n v="24461.32"/>
    <s v="KG"/>
    <n v="240"/>
    <m/>
    <m/>
    <n v="24461.32"/>
    <m/>
    <m/>
    <m/>
    <m/>
    <m/>
    <m/>
    <m/>
    <m/>
    <m/>
    <m/>
    <m/>
    <m/>
    <n v="0"/>
  </r>
  <r>
    <x v="5"/>
    <x v="1"/>
    <s v="COLCHÃO M.E."/>
    <s v="DIRETO"/>
    <x v="1"/>
    <s v="NADA"/>
    <x v="1"/>
    <n v="44231"/>
    <n v="2540015"/>
    <x v="147"/>
    <s v="DIVINO COLCHONES"/>
    <s v="EX"/>
    <s v="Colchão M.E."/>
    <n v="1"/>
    <s v="MARTIN"/>
    <n v="44894"/>
    <m/>
    <n v="25.22"/>
    <n v="50094.83"/>
    <s v="KG"/>
    <n v="260"/>
    <n v="57"/>
    <n v="3104"/>
    <n v="1986.06"/>
    <n v="20.71"/>
    <n v="33009.75"/>
    <m/>
    <m/>
    <m/>
    <m/>
    <n v="1001.9"/>
    <n v="3058.53"/>
    <n v="13024.66"/>
    <n v="28594.99"/>
    <m/>
    <m/>
    <n v="16.138798324742268"/>
  </r>
  <r>
    <x v="5"/>
    <x v="1"/>
    <s v="COLCHÃO M.E."/>
    <s v="DIRETO"/>
    <x v="1"/>
    <s v="NADA"/>
    <x v="1"/>
    <n v="44231"/>
    <n v="2540010"/>
    <x v="64"/>
    <s v="DIVINO COLCHONES"/>
    <s v="EX"/>
    <s v="Colchão M.E."/>
    <n v="1"/>
    <s v="MARTIN"/>
    <n v="44894"/>
    <m/>
    <n v="27.25"/>
    <n v="15142.34"/>
    <s v="KG"/>
    <n v="400"/>
    <n v="15"/>
    <n v="553"/>
    <n v="555.66"/>
    <n v="12.02"/>
    <n v="10045.23"/>
    <m/>
    <m/>
    <m/>
    <m/>
    <n v="302.85000000000002"/>
    <n v="855.72"/>
    <n v="3937.01"/>
    <n v="8531.2999999999993"/>
    <m/>
    <m/>
    <n v="27.382169981916817"/>
  </r>
  <r>
    <x v="5"/>
    <x v="1"/>
    <s v="COLCHÃO M.E."/>
    <s v="DIRETO"/>
    <x v="1"/>
    <s v="NADA"/>
    <x v="1"/>
    <n v="44231"/>
    <n v="2540012"/>
    <x v="65"/>
    <s v="DIVINO COLCHONES"/>
    <s v="EX"/>
    <s v="Colchão M.E."/>
    <n v="1"/>
    <s v="MARTIN"/>
    <n v="44894"/>
    <m/>
    <n v="25.92"/>
    <n v="110143.65"/>
    <s v="KG"/>
    <n v="240"/>
    <n v="135"/>
    <n v="6917"/>
    <n v="4249"/>
    <n v="19.809999999999999"/>
    <n v="72759.97"/>
    <m/>
    <m/>
    <m/>
    <m/>
    <n v="2202.87"/>
    <n v="6543.46"/>
    <n v="28637.35"/>
    <n v="58418.96"/>
    <m/>
    <m/>
    <n v="15.923615729362439"/>
  </r>
  <r>
    <x v="5"/>
    <x v="1"/>
    <s v="COLCHÃO M.E."/>
    <s v="DIRETO"/>
    <x v="1"/>
    <s v="NADA"/>
    <x v="1"/>
    <n v="44231"/>
    <n v="2540007"/>
    <x v="56"/>
    <s v="DIVINO COLCHONES"/>
    <s v="EX"/>
    <s v="Colchão M.E."/>
    <n v="1"/>
    <s v="MARTIN"/>
    <n v="44894"/>
    <m/>
    <n v="35.78"/>
    <n v="13766.02"/>
    <s v="KG"/>
    <n v="300"/>
    <n v="14"/>
    <n v="541"/>
    <n v="384.7"/>
    <n v="28.23"/>
    <n v="9319.1"/>
    <m/>
    <m/>
    <m/>
    <m/>
    <n v="275.32"/>
    <n v="592.44000000000005"/>
    <n v="3579.17"/>
    <n v="5508.96"/>
    <m/>
    <m/>
    <n v="25.445508317929761"/>
  </r>
  <r>
    <x v="5"/>
    <x v="1"/>
    <s v="COLCHÃO M.E."/>
    <s v="DIRETO"/>
    <x v="1"/>
    <s v="NADA"/>
    <x v="1"/>
    <n v="44231"/>
    <n v="2540016"/>
    <x v="112"/>
    <s v="DIVINO COLCHONES"/>
    <s v="EX"/>
    <s v="Colchão M.E."/>
    <n v="1"/>
    <s v="MARTIN"/>
    <n v="44894"/>
    <m/>
    <n v="41.84"/>
    <n v="7862.82"/>
    <s v="KG"/>
    <n v="97"/>
    <n v="7"/>
    <n v="1015"/>
    <n v="187.92"/>
    <n v="48.6"/>
    <n v="5371.83"/>
    <m/>
    <m/>
    <m/>
    <m/>
    <n v="157.26"/>
    <n v="289.39999999999998"/>
    <n v="2044.33"/>
    <n v="1313.56"/>
    <m/>
    <m/>
    <n v="7.7466206896551721"/>
  </r>
  <r>
    <x v="6"/>
    <x v="1"/>
    <s v="COLCHÃO M.E."/>
    <s v="DIRETO"/>
    <x v="19"/>
    <s v="NADA"/>
    <x v="2"/>
    <n v="44366"/>
    <n v="3080001"/>
    <x v="148"/>
    <s v="MUEBLES MPR SPA"/>
    <s v="EX"/>
    <s v="Colchão M.E."/>
    <n v="91"/>
    <s v="DIRETO"/>
    <n v="44907"/>
    <m/>
    <n v="22.7"/>
    <n v="15753.57"/>
    <s v="KG"/>
    <n v="240"/>
    <n v="22"/>
    <n v="1198"/>
    <n v="694.06"/>
    <n v="-39.6"/>
    <n v="6825.67"/>
    <m/>
    <n v="2817.91"/>
    <m/>
    <n v="630.14"/>
    <n v="315.07"/>
    <n v="1068.8499999999999"/>
    <n v="4095.93"/>
    <n v="9390.92"/>
    <m/>
    <m/>
    <n v="13.149891485809682"/>
  </r>
  <r>
    <x v="6"/>
    <x v="1"/>
    <s v="COLCHÃO M.E."/>
    <s v="DIRETO"/>
    <x v="19"/>
    <s v="NADA"/>
    <x v="2"/>
    <n v="44366"/>
    <n v="3080002"/>
    <x v="149"/>
    <s v="MUEBLES MPR SPA"/>
    <s v="EX"/>
    <s v="Colchão M.E."/>
    <n v="91"/>
    <s v="DIRETO"/>
    <n v="44907"/>
    <m/>
    <n v="50.48"/>
    <n v="12784.21"/>
    <s v="KG"/>
    <n v="130"/>
    <n v="11"/>
    <n v="980"/>
    <n v="253.26"/>
    <n v="-41.05"/>
    <n v="6016.48"/>
    <m/>
    <n v="2286.7600000000002"/>
    <m/>
    <n v="511.37"/>
    <n v="255.68"/>
    <n v="390.02"/>
    <n v="3323.89"/>
    <n v="9892.0400000000009"/>
    <m/>
    <m/>
    <n v="13.045112244897958"/>
  </r>
  <r>
    <x v="6"/>
    <x v="1"/>
    <s v="COLCHÃO M.E."/>
    <s v="DIRETO"/>
    <x v="1"/>
    <s v="NADA"/>
    <x v="1"/>
    <n v="44371"/>
    <n v="2540017"/>
    <x v="150"/>
    <s v="DIVINO COLCHONES"/>
    <s v="EX"/>
    <s v="Colchão M.E."/>
    <n v="1"/>
    <s v="MARTIN"/>
    <n v="44907"/>
    <m/>
    <n v="33.94"/>
    <n v="18577"/>
    <s v="KG"/>
    <n v="280"/>
    <n v="21"/>
    <n v="1013"/>
    <n v="547.28"/>
    <n v="24.91"/>
    <n v="12532.63"/>
    <m/>
    <m/>
    <m/>
    <m/>
    <n v="371.54"/>
    <n v="842.81"/>
    <n v="4830.0200000000004"/>
    <n v="7775.46"/>
    <m/>
    <m/>
    <n v="18.338598223099705"/>
  </r>
  <r>
    <x v="6"/>
    <x v="1"/>
    <s v="COLCHÃO M.E."/>
    <s v="DIRETO"/>
    <x v="9"/>
    <s v="NADA"/>
    <x v="2"/>
    <n v="44409"/>
    <n v="2810009"/>
    <x v="151"/>
    <s v="FLEX CHILE"/>
    <s v="EX"/>
    <s v="Colchão M.E."/>
    <n v="91"/>
    <s v="DIRETO"/>
    <n v="44909"/>
    <m/>
    <n v="28.34"/>
    <n v="14965.17"/>
    <s v="KG"/>
    <n v="180"/>
    <n v="35"/>
    <n v="1356"/>
    <n v="567.02"/>
    <n v="20.07"/>
    <n v="9303.1"/>
    <m/>
    <m/>
    <m/>
    <n v="598.61"/>
    <n v="299.3"/>
    <n v="873.21"/>
    <n v="3890.94"/>
    <n v="8523.02"/>
    <m/>
    <m/>
    <n v="11.036261061946902"/>
  </r>
  <r>
    <x v="6"/>
    <x v="1"/>
    <s v="COLCHÃO M.E."/>
    <s v="DIRETO"/>
    <x v="9"/>
    <s v="NADA"/>
    <x v="2"/>
    <n v="44409"/>
    <n v="2810007"/>
    <x v="105"/>
    <s v="FLEX CHILE"/>
    <s v="EX"/>
    <s v="Colchão M.E."/>
    <n v="91"/>
    <s v="DIRETO"/>
    <n v="44909"/>
    <m/>
    <n v="29.76"/>
    <n v="45266.46"/>
    <s v="KG"/>
    <n v="210"/>
    <n v="63"/>
    <n v="3261"/>
    <n v="1633.06"/>
    <n v="17.95"/>
    <n v="28266.28"/>
    <m/>
    <m/>
    <m/>
    <n v="1810.66"/>
    <n v="905.33"/>
    <n v="2514.91"/>
    <n v="11769.28"/>
    <n v="22709.86"/>
    <m/>
    <m/>
    <n v="13.881159153633854"/>
  </r>
  <r>
    <x v="6"/>
    <x v="1"/>
    <s v="COLCHÃO M.E."/>
    <s v="DIRETO"/>
    <x v="20"/>
    <s v="NADA"/>
    <x v="4"/>
    <n v="44450"/>
    <n v="3070001"/>
    <x v="152"/>
    <s v="GRUPO SUENOLAR"/>
    <s v="EX"/>
    <s v="Colchão M.E."/>
    <n v="93"/>
    <s v="DIRETO"/>
    <n v="44911"/>
    <m/>
    <n v="22.91"/>
    <n v="24493.48"/>
    <s v="KG"/>
    <n v="210"/>
    <n v="40"/>
    <n v="1911"/>
    <n v="1069.02"/>
    <n v="12.87"/>
    <n v="14764.34"/>
    <m/>
    <m/>
    <m/>
    <n v="1224.67"/>
    <n v="489.87"/>
    <n v="1646.29"/>
    <n v="6368.3"/>
    <n v="14342"/>
    <m/>
    <m/>
    <n v="12.817100994243852"/>
  </r>
  <r>
    <x v="7"/>
    <x v="2"/>
    <s v="COLCHÃO M.E."/>
    <s v="DIRETO"/>
    <x v="14"/>
    <s v="NADA"/>
    <x v="4"/>
    <n v="44805"/>
    <n v="2920017"/>
    <x v="153"/>
    <s v="NATURE"/>
    <s v="EX"/>
    <s v="Colchão M.E."/>
    <n v="87"/>
    <s v="DIRETO"/>
    <n v="44957"/>
    <m/>
    <n v="26.51"/>
    <n v="7879.62"/>
    <s v="KG"/>
    <n v="250"/>
    <n v="10"/>
    <m/>
    <n v="511"/>
    <n v="21.14"/>
    <n v="5215.5200000000004"/>
    <m/>
    <m/>
    <m/>
    <m/>
    <n v="157.59"/>
    <n v="457.81"/>
    <n v="2048.6999999999998"/>
    <n v="3411.68"/>
    <m/>
    <m/>
    <n v="0"/>
  </r>
  <r>
    <x v="7"/>
    <x v="2"/>
    <s v="COLCHÃO M.E."/>
    <s v="DIRETO"/>
    <x v="14"/>
    <s v="NADA"/>
    <x v="4"/>
    <n v="44805"/>
    <n v="2920018"/>
    <x v="154"/>
    <s v="NATURE"/>
    <s v="EX"/>
    <s v="Colchão M.E."/>
    <n v="87"/>
    <s v="DIRETO"/>
    <n v="44957"/>
    <m/>
    <n v="28.03"/>
    <n v="6826.4"/>
    <s v="KG"/>
    <n v="200"/>
    <n v="10"/>
    <m/>
    <n v="530"/>
    <n v="21.22"/>
    <n v="4539.8900000000003"/>
    <m/>
    <m/>
    <m/>
    <m/>
    <n v="136.53"/>
    <n v="375.11"/>
    <n v="1774.86"/>
    <n v="3039.18"/>
    <m/>
    <m/>
    <n v="0"/>
  </r>
  <r>
    <x v="7"/>
    <x v="2"/>
    <s v="COLCHÃO M.E."/>
    <s v="DIRETO"/>
    <x v="14"/>
    <s v="NADA"/>
    <x v="4"/>
    <n v="44805"/>
    <n v="2920020"/>
    <x v="155"/>
    <s v="NATURE"/>
    <s v="EX"/>
    <s v="Colchão M.E."/>
    <n v="87"/>
    <s v="DIRETO"/>
    <n v="44957"/>
    <m/>
    <n v="30.4"/>
    <n v="12993.96"/>
    <s v="KG"/>
    <n v="310"/>
    <n v="20"/>
    <m/>
    <n v="651"/>
    <n v="17.63"/>
    <n v="8697.49"/>
    <m/>
    <m/>
    <m/>
    <m/>
    <n v="259.88"/>
    <n v="658.17"/>
    <n v="3378.43"/>
    <n v="5422.77"/>
    <m/>
    <m/>
    <n v="0"/>
  </r>
  <r>
    <x v="7"/>
    <x v="2"/>
    <s v="COLCHÃO M.E."/>
    <s v="DIRETO"/>
    <x v="14"/>
    <s v="NADA"/>
    <x v="4"/>
    <n v="44805"/>
    <n v="2920019"/>
    <x v="156"/>
    <s v="NATURE"/>
    <s v="EX"/>
    <s v="Colchão M.E."/>
    <n v="87"/>
    <s v="DIRETO"/>
    <n v="44957"/>
    <m/>
    <n v="33.11"/>
    <n v="12880.84"/>
    <s v="KG"/>
    <n v="300"/>
    <n v="12"/>
    <m/>
    <n v="514"/>
    <n v="20.9"/>
    <n v="8673.1299999999992"/>
    <m/>
    <m/>
    <m/>
    <m/>
    <n v="257.62"/>
    <n v="599.03"/>
    <n v="3349.02"/>
    <n v="4998.8100000000004"/>
    <m/>
    <m/>
    <n v="0"/>
  </r>
  <r>
    <x v="7"/>
    <x v="2"/>
    <s v="COLCHÃO M.E."/>
    <s v="DIRETO"/>
    <x v="14"/>
    <s v="NADA"/>
    <x v="4"/>
    <n v="44805"/>
    <n v="2920016"/>
    <x v="157"/>
    <s v="NATURE"/>
    <s v="EX"/>
    <s v="Colchão M.E."/>
    <n v="87"/>
    <s v="DIRETO"/>
    <n v="44957"/>
    <m/>
    <n v="36.47"/>
    <n v="10616.49"/>
    <s v="KG"/>
    <n v="240"/>
    <n v="10"/>
    <m/>
    <n v="537"/>
    <n v="22.16"/>
    <n v="7193.97"/>
    <m/>
    <m/>
    <m/>
    <m/>
    <n v="212.33"/>
    <n v="448.29"/>
    <n v="2760.29"/>
    <n v="3788.06"/>
    <m/>
    <m/>
    <n v="0"/>
  </r>
  <r>
    <x v="7"/>
    <x v="2"/>
    <s v="COLCHÃO M.E."/>
    <s v="DIRETO"/>
    <x v="1"/>
    <s v="NADA"/>
    <x v="1"/>
    <n v="44818"/>
    <n v="2540015"/>
    <x v="147"/>
    <s v="DIVINO COLCHONES"/>
    <s v="EX"/>
    <s v="Colchão M.E."/>
    <n v="1"/>
    <s v="MARTIN"/>
    <n v="44957"/>
    <m/>
    <n v="25.89"/>
    <n v="32837.980000000003"/>
    <s v="KG"/>
    <n v="260"/>
    <n v="53"/>
    <m/>
    <n v="2148"/>
    <n v="19.27"/>
    <n v="21690.33"/>
    <m/>
    <m/>
    <m/>
    <m/>
    <n v="656.76"/>
    <n v="1953.01"/>
    <n v="8537.8700000000008"/>
    <n v="15307.3"/>
    <m/>
    <m/>
    <n v="0"/>
  </r>
  <r>
    <x v="7"/>
    <x v="2"/>
    <s v="COLCHÃO M.E."/>
    <s v="DIRETO"/>
    <x v="1"/>
    <s v="NADA"/>
    <x v="1"/>
    <n v="44818"/>
    <n v="2540012"/>
    <x v="65"/>
    <s v="DIVINO COLCHONES"/>
    <s v="EX"/>
    <s v="Colchão M.E."/>
    <n v="1"/>
    <s v="MARTIN"/>
    <n v="44957"/>
    <m/>
    <n v="27.78"/>
    <n v="17376.61"/>
    <s v="KG"/>
    <n v="240"/>
    <n v="21"/>
    <m/>
    <n v="1152"/>
    <n v="23.26"/>
    <n v="11547.98"/>
    <m/>
    <m/>
    <m/>
    <m/>
    <n v="347.53"/>
    <n v="963.18"/>
    <n v="4517.92"/>
    <n v="6883.8"/>
    <m/>
    <m/>
    <n v="0"/>
  </r>
  <r>
    <x v="7"/>
    <x v="2"/>
    <s v="COLCHÃO M.E."/>
    <s v="DIRETO"/>
    <x v="1"/>
    <s v="NADA"/>
    <x v="1"/>
    <n v="44818"/>
    <n v="2540018"/>
    <x v="158"/>
    <s v="DIVINO COLCHONES"/>
    <s v="EX"/>
    <s v="Colchão M.E."/>
    <n v="1"/>
    <s v="MARTIN"/>
    <n v="44957"/>
    <m/>
    <n v="26.61"/>
    <n v="94877.5"/>
    <s v="KG"/>
    <n v="240"/>
    <n v="120"/>
    <m/>
    <n v="6290"/>
    <n v="22.56"/>
    <n v="62821.64"/>
    <m/>
    <m/>
    <m/>
    <m/>
    <n v="1897.55"/>
    <n v="5490.16"/>
    <n v="24668.15"/>
    <n v="43279.53"/>
    <m/>
    <m/>
    <n v="0"/>
  </r>
  <r>
    <x v="7"/>
    <x v="2"/>
    <s v="COLCHÃO M.E."/>
    <s v="DIRETO"/>
    <x v="1"/>
    <s v="NADA"/>
    <x v="1"/>
    <n v="44818"/>
    <n v="2540020"/>
    <x v="159"/>
    <s v="DIVINO COLCHONES"/>
    <s v="EX"/>
    <s v="Colchão M.E."/>
    <n v="1"/>
    <s v="MARTIN"/>
    <n v="44957"/>
    <m/>
    <n v="28.8"/>
    <n v="27822.240000000002"/>
    <s v="KG"/>
    <n v="300"/>
    <n v="39"/>
    <m/>
    <n v="1433"/>
    <n v="21.75"/>
    <n v="18544.37"/>
    <m/>
    <m/>
    <m/>
    <m/>
    <n v="556.44000000000005"/>
    <n v="1487.64"/>
    <n v="7233.78"/>
    <n v="11788.19"/>
    <m/>
    <m/>
    <n v="0"/>
  </r>
  <r>
    <x v="7"/>
    <x v="2"/>
    <s v="COLCHÃO M.E."/>
    <s v="DIRETO"/>
    <x v="1"/>
    <s v="NADA"/>
    <x v="1"/>
    <n v="44818"/>
    <n v="2540019"/>
    <x v="160"/>
    <s v="DIVINO COLCHONES"/>
    <s v="EX"/>
    <s v="Colchão M.E."/>
    <n v="1"/>
    <s v="MARTIN"/>
    <n v="44957"/>
    <m/>
    <n v="50.57"/>
    <n v="30123.9"/>
    <s v="KG"/>
    <n v="80"/>
    <n v="21"/>
    <m/>
    <n v="5374"/>
    <n v="53.04"/>
    <n v="20771.8"/>
    <m/>
    <m/>
    <m/>
    <m/>
    <n v="602.48"/>
    <n v="917.41"/>
    <n v="7832.21"/>
    <n v="2859.46"/>
    <m/>
    <m/>
    <n v="0"/>
  </r>
  <r>
    <x v="7"/>
    <x v="2"/>
    <s v="COLCHÃO M.E."/>
    <s v="DIRETO"/>
    <x v="1"/>
    <s v="NADA"/>
    <x v="1"/>
    <n v="44818"/>
    <n v="2540016"/>
    <x v="161"/>
    <s v="DIVINO COLCHONES"/>
    <s v="EX"/>
    <s v="Colchão M.E."/>
    <n v="1"/>
    <s v="MARTIN"/>
    <n v="44957"/>
    <m/>
    <n v="38.49"/>
    <n v="7705"/>
    <s v="KG"/>
    <n v="97"/>
    <n v="7"/>
    <m/>
    <n v="1050"/>
    <n v="48.6"/>
    <n v="5239.3500000000004"/>
    <m/>
    <m/>
    <m/>
    <m/>
    <n v="154.1"/>
    <n v="308.25"/>
    <n v="2003.3"/>
    <n v="1399.12"/>
    <m/>
    <m/>
    <n v="0"/>
  </r>
  <r>
    <x v="7"/>
    <x v="2"/>
    <s v="COLCHÃO M.E."/>
    <s v="DIRETO"/>
    <x v="9"/>
    <s v="NADA"/>
    <x v="2"/>
    <n v="44822"/>
    <n v="2810007"/>
    <x v="105"/>
    <s v="FLEX CHILE"/>
    <s v="EX"/>
    <s v="Colchão M.E."/>
    <n v="91"/>
    <s v="DIRETO"/>
    <n v="44957"/>
    <m/>
    <n v="28.74"/>
    <n v="46956.07"/>
    <s v="KG"/>
    <n v="210"/>
    <n v="65"/>
    <m/>
    <n v="3256"/>
    <n v="20.86"/>
    <n v="29413.919999999998"/>
    <m/>
    <m/>
    <m/>
    <n v="1878.24"/>
    <n v="939.12"/>
    <n v="2516.21"/>
    <n v="12208.58"/>
    <n v="20656.63"/>
    <m/>
    <m/>
    <n v="0"/>
  </r>
  <r>
    <x v="8"/>
    <x v="2"/>
    <s v="COLCHÃO M.E."/>
    <s v="DIRETO"/>
    <x v="1"/>
    <s v="NADA"/>
    <x v="1"/>
    <n v="45157"/>
    <n v="2540020"/>
    <x v="159"/>
    <s v="DIVINO COLCHONES"/>
    <s v="EX"/>
    <s v="Colchão M.E."/>
    <n v="1"/>
    <s v="MARTIN"/>
    <n v="44985"/>
    <m/>
    <m/>
    <n v="12877.2"/>
    <s v="KG"/>
    <n v="300"/>
    <m/>
    <m/>
    <n v="12877.2"/>
    <m/>
    <m/>
    <m/>
    <m/>
    <m/>
    <m/>
    <m/>
    <m/>
    <m/>
    <m/>
    <m/>
    <m/>
    <n v="0"/>
  </r>
  <r>
    <x v="0"/>
    <x v="2"/>
    <s v="COLCHÃO M.E."/>
    <s v="DIRETO"/>
    <x v="1"/>
    <s v="NADA"/>
    <x v="1"/>
    <n v="45283"/>
    <n v="1506"/>
    <x v="162"/>
    <s v="DIVINO COLCHONES"/>
    <s v="EX"/>
    <s v="Colchão M.E."/>
    <m/>
    <s v="MARTIN"/>
    <n v="44995"/>
    <m/>
    <m/>
    <n v="11698.82"/>
    <s v="MT "/>
    <n v="280"/>
    <m/>
    <n v="645"/>
    <n v="360.40999999999997"/>
    <m/>
    <m/>
    <m/>
    <m/>
    <m/>
    <m/>
    <m/>
    <m/>
    <m/>
    <m/>
    <s v="DIVINO S.A"/>
    <m/>
    <n v="18.13770542635659"/>
  </r>
  <r>
    <x v="0"/>
    <x v="2"/>
    <s v="COLCHÃO M.E."/>
    <s v="DIRETO"/>
    <x v="1"/>
    <s v="NADA"/>
    <x v="1"/>
    <n v="45283"/>
    <n v="1523"/>
    <x v="163"/>
    <s v="DIVINO COLCHONES"/>
    <s v="EX"/>
    <s v="Colchão M.E."/>
    <m/>
    <s v="MARTIN"/>
    <n v="44995"/>
    <m/>
    <m/>
    <n v="11827.85"/>
    <s v="MT "/>
    <m/>
    <m/>
    <n v="1585"/>
    <n v="304.14999999999998"/>
    <m/>
    <m/>
    <m/>
    <m/>
    <m/>
    <m/>
    <m/>
    <m/>
    <m/>
    <m/>
    <s v="DIVINO S.A"/>
    <m/>
    <n v="7.4623659305993693"/>
  </r>
  <r>
    <x v="0"/>
    <x v="2"/>
    <s v="COLCHÃO M.E."/>
    <s v="DIRETO"/>
    <x v="9"/>
    <s v="NADA"/>
    <x v="2"/>
    <n v="45356"/>
    <n v="1419"/>
    <x v="164"/>
    <s v="FLEX CHILE"/>
    <s v="EX"/>
    <s v="Colchão M.E."/>
    <m/>
    <s v="DIRETO"/>
    <n v="45000"/>
    <m/>
    <m/>
    <n v="9731.2900000000009"/>
    <s v="MT "/>
    <n v="180"/>
    <m/>
    <n v="561.101"/>
    <n v="239.64000000000001"/>
    <m/>
    <m/>
    <m/>
    <m/>
    <m/>
    <m/>
    <m/>
    <m/>
    <m/>
    <m/>
    <s v="FLEX CHILE"/>
    <s v="CARLOS FIDENCIO D AVALOS RUIZ JUNIOR 34496952823"/>
    <n v="17.343205590437375"/>
  </r>
  <r>
    <x v="0"/>
    <x v="2"/>
    <s v="COLCHÃO M.E."/>
    <s v="DIRETO"/>
    <x v="4"/>
    <s v="NADA"/>
    <x v="0"/>
    <n v="45520"/>
    <n v="1706"/>
    <x v="165"/>
    <s v="WENTURS TRADE"/>
    <s v="EX"/>
    <s v="Colchão M.E."/>
    <m/>
    <s v="DIRETO"/>
    <n v="45009"/>
    <m/>
    <m/>
    <n v="167939.21"/>
    <s v="MT "/>
    <m/>
    <m/>
    <n v="19943"/>
    <n v="0"/>
    <m/>
    <m/>
    <m/>
    <m/>
    <m/>
    <m/>
    <m/>
    <m/>
    <m/>
    <m/>
    <s v="WENTURS TRADE"/>
    <m/>
    <n v="8.4209602366745226"/>
  </r>
  <r>
    <x v="0"/>
    <x v="2"/>
    <s v="COLCHÃO M.E."/>
    <s v="DIRETO"/>
    <x v="17"/>
    <s v="NADA"/>
    <x v="0"/>
    <n v="45523"/>
    <n v="1227"/>
    <x v="166"/>
    <s v="MAXI KING"/>
    <s v="EX"/>
    <s v="Colchão M.E."/>
    <m/>
    <s v="DIRETO"/>
    <n v="45009"/>
    <m/>
    <m/>
    <n v="23990.400000000001"/>
    <s v="MT "/>
    <m/>
    <m/>
    <n v="1764"/>
    <n v="716.7"/>
    <m/>
    <m/>
    <m/>
    <m/>
    <m/>
    <m/>
    <m/>
    <m/>
    <m/>
    <m/>
    <s v="GRUPO EMPRESARIAL MAXI KING SRL"/>
    <m/>
    <n v="13.600000000000001"/>
  </r>
  <r>
    <x v="0"/>
    <x v="2"/>
    <s v="COLCHÃO M.E."/>
    <s v="DIRETO"/>
    <x v="1"/>
    <s v="NADA"/>
    <x v="1"/>
    <n v="45704"/>
    <n v="1506"/>
    <x v="162"/>
    <s v="DIVINO COLCHONES"/>
    <s v="EX"/>
    <s v="Colchão M.E."/>
    <m/>
    <s v="MARTIN"/>
    <n v="45016"/>
    <m/>
    <m/>
    <n v="8016.86"/>
    <s v="MT "/>
    <n v="280"/>
    <m/>
    <n v="442"/>
    <n v="286.78000000000003"/>
    <m/>
    <m/>
    <m/>
    <m/>
    <m/>
    <m/>
    <m/>
    <m/>
    <m/>
    <m/>
    <s v="DIVINO S.A"/>
    <s v="CONEXAO MALHAS E DESENVOLVIMENTO LTDA"/>
    <n v="18.137692307692308"/>
  </r>
  <r>
    <x v="0"/>
    <x v="2"/>
    <s v="COLCHÃO M.E."/>
    <s v="DIRETO"/>
    <x v="1"/>
    <s v="NADA"/>
    <x v="1"/>
    <n v="45707"/>
    <n v="1504"/>
    <x v="167"/>
    <s v="DIVINO COLCHONES"/>
    <s v="EX"/>
    <s v="Colchão M.E."/>
    <m/>
    <s v="MARTIN"/>
    <n v="45016"/>
    <m/>
    <m/>
    <n v="16185.75"/>
    <s v="MT "/>
    <n v="240"/>
    <m/>
    <n v="1067"/>
    <n v="569.29999999999995"/>
    <m/>
    <m/>
    <m/>
    <m/>
    <m/>
    <m/>
    <m/>
    <m/>
    <m/>
    <m/>
    <s v="DIVINO S.A"/>
    <s v="CONEXAO MALHAS E DESENVOLVIMENTO LTDA"/>
    <n v="15.169400187441424"/>
  </r>
  <r>
    <x v="0"/>
    <x v="2"/>
    <s v="COLCHÃO M.E."/>
    <s v="DIRETO"/>
    <x v="1"/>
    <s v="NADA"/>
    <x v="1"/>
    <n v="45707"/>
    <n v="1506"/>
    <x v="162"/>
    <s v="DIVINO COLCHONES"/>
    <s v="EX"/>
    <s v="Colchão M.E."/>
    <m/>
    <s v="MARTIN"/>
    <n v="45016"/>
    <m/>
    <m/>
    <n v="19710.599999999999"/>
    <s v="MT "/>
    <n v="280"/>
    <m/>
    <n v="1083"/>
    <n v="703.08"/>
    <m/>
    <m/>
    <m/>
    <m/>
    <m/>
    <m/>
    <m/>
    <m/>
    <m/>
    <m/>
    <s v="DIVINO S.A"/>
    <s v="CONEXAO MALHAS E DESENVOLVIMENTO LTDA"/>
    <n v="18.2"/>
  </r>
  <r>
    <x v="0"/>
    <x v="2"/>
    <s v="COLCHÃO M.E."/>
    <s v="DIRETO"/>
    <x v="1"/>
    <s v="NADA"/>
    <x v="1"/>
    <n v="45707"/>
    <n v="1236"/>
    <x v="168"/>
    <s v="DIVINO COLCHONES"/>
    <s v="EX"/>
    <s v="Colchão M.E."/>
    <m/>
    <s v="MARTIN"/>
    <n v="45016"/>
    <m/>
    <m/>
    <n v="19695.29"/>
    <s v="MT "/>
    <n v="240"/>
    <m/>
    <n v="1098.038"/>
    <n v="1134.4399999999998"/>
    <m/>
    <m/>
    <m/>
    <m/>
    <m/>
    <m/>
    <m/>
    <m/>
    <m/>
    <m/>
    <s v="DIVINO S.A"/>
    <s v="CONEXAO MALHAS E DESENVOLVIMENTO LTDA"/>
    <n v="17.936801822887734"/>
  </r>
  <r>
    <x v="0"/>
    <x v="2"/>
    <s v="COLCHÃO M.E."/>
    <s v="DIRETO"/>
    <x v="1"/>
    <s v="NADA"/>
    <x v="1"/>
    <n v="45707"/>
    <n v="1503"/>
    <x v="169"/>
    <s v="DIVINO COLCHONES"/>
    <s v="EX"/>
    <s v="Colchão M.E."/>
    <m/>
    <s v="MARTIN"/>
    <n v="45016"/>
    <m/>
    <m/>
    <n v="6377.3"/>
    <s v="MT "/>
    <n v="260"/>
    <m/>
    <n v="366"/>
    <n v="202.45999999999998"/>
    <m/>
    <m/>
    <m/>
    <m/>
    <m/>
    <m/>
    <m/>
    <m/>
    <m/>
    <m/>
    <s v="DIVINO S.A"/>
    <s v="CONEXAO MALHAS E DESENVOLVIMENTO LTDA"/>
    <n v="17.424316939890712"/>
  </r>
  <r>
    <x v="0"/>
    <x v="2"/>
    <s v="COLCHÃO M.E."/>
    <s v="DIRETO"/>
    <x v="1"/>
    <s v="NADA"/>
    <x v="1"/>
    <n v="45707"/>
    <n v="1236"/>
    <x v="168"/>
    <s v="DIVINO COLCHONES"/>
    <s v="EX"/>
    <s v="Colchão M.E."/>
    <m/>
    <s v="MARTIN"/>
    <n v="45016"/>
    <m/>
    <m/>
    <n v="18468"/>
    <s v="MT "/>
    <n v="240"/>
    <m/>
    <n v="1026"/>
    <n v="1134.4399999999998"/>
    <m/>
    <m/>
    <m/>
    <m/>
    <m/>
    <m/>
    <m/>
    <m/>
    <m/>
    <m/>
    <s v="DIVINO S.A"/>
    <s v="CONEXAO MALHAS E DESENVOLVIMENTO LTDA"/>
    <n v="18"/>
  </r>
  <r>
    <x v="0"/>
    <x v="2"/>
    <s v="COLCHÃO M.E."/>
    <s v="DIRETO"/>
    <x v="1"/>
    <s v="NADA"/>
    <x v="1"/>
    <n v="45707"/>
    <n v="1226"/>
    <x v="170"/>
    <s v="DIVINO COLCHONES"/>
    <s v="EX "/>
    <s v="Colchão M.E."/>
    <m/>
    <s v="MARTIN"/>
    <n v="45016"/>
    <m/>
    <m/>
    <n v="8225.2999999999993"/>
    <s v="MT "/>
    <n v="260"/>
    <m/>
    <n v="535"/>
    <n v="314.95999999999998"/>
    <m/>
    <m/>
    <m/>
    <m/>
    <m/>
    <m/>
    <m/>
    <m/>
    <m/>
    <m/>
    <s v="DIVINO S.A"/>
    <s v="CONEXAO MALHAS E DESENVOLVIMENTO LTDA"/>
    <n v="15.374392523364484"/>
  </r>
  <r>
    <x v="0"/>
    <x v="2"/>
    <s v="COLCHÃO M.E."/>
    <s v="DIRETO"/>
    <x v="1"/>
    <s v="NADA"/>
    <x v="1"/>
    <n v="45707"/>
    <n v="1237"/>
    <x v="171"/>
    <s v="DIVINO COLCHONES"/>
    <s v="EX "/>
    <s v="Colchão M.E."/>
    <m/>
    <s v="MARTIN"/>
    <n v="45016"/>
    <m/>
    <m/>
    <n v="8708.33"/>
    <s v="MT "/>
    <n v="300"/>
    <m/>
    <n v="446"/>
    <n v="299.68"/>
    <m/>
    <m/>
    <m/>
    <m/>
    <m/>
    <m/>
    <m/>
    <m/>
    <m/>
    <m/>
    <s v="DIVINO S.A"/>
    <s v="CONEXAO MALHAS E DESENVOLVIMENTO LTDA"/>
    <n v="19.525403587443947"/>
  </r>
  <r>
    <x v="0"/>
    <x v="2"/>
    <s v="COLCHÃO M.E."/>
    <s v="DIRETO"/>
    <x v="1"/>
    <s v="NADA"/>
    <x v="1"/>
    <n v="45708"/>
    <n v="1472"/>
    <x v="172"/>
    <s v="DIVINO COLCHONES"/>
    <s v="EX "/>
    <s v="Colchão M.E."/>
    <m/>
    <s v="MARTIN"/>
    <n v="45016"/>
    <m/>
    <m/>
    <n v="9894.2999999999993"/>
    <s v="MT "/>
    <n v="200"/>
    <m/>
    <n v="885"/>
    <n v="384.94"/>
    <m/>
    <m/>
    <m/>
    <m/>
    <m/>
    <m/>
    <m/>
    <m/>
    <m/>
    <m/>
    <s v="INDUCOL - INDUSTRIA DE COLCHONES SRL"/>
    <s v="CARLOS FIDENCIO D AVALOS RUIZ JUNIOR 34496952823"/>
    <n v="11.18"/>
  </r>
  <r>
    <x v="0"/>
    <x v="2"/>
    <s v="COLCHÃO M.E."/>
    <s v="DIRETO"/>
    <x v="1"/>
    <s v="NADA"/>
    <x v="1"/>
    <n v="45708"/>
    <n v="1496"/>
    <x v="173"/>
    <s v="DIVINO COLCHONES"/>
    <s v="EX "/>
    <s v="Colchão M.E."/>
    <m/>
    <s v="MARTIN"/>
    <n v="45016"/>
    <m/>
    <m/>
    <n v="8680.43"/>
    <s v="MT "/>
    <n v="200"/>
    <m/>
    <n v="803"/>
    <n v="344.41999999999996"/>
    <m/>
    <m/>
    <m/>
    <m/>
    <m/>
    <m/>
    <m/>
    <m/>
    <m/>
    <m/>
    <s v="INDUCOL - INDUSTRIA DE COLCHONES SRL"/>
    <s v="CARLOS FIDENCIO D AVALOS RUIZ JUNIOR 34496952823"/>
    <n v="10.81"/>
  </r>
  <r>
    <x v="0"/>
    <x v="2"/>
    <s v="COLCHÃO M.E."/>
    <s v="DIRETO"/>
    <x v="1"/>
    <s v="NADA"/>
    <x v="1"/>
    <n v="45708"/>
    <n v="1497"/>
    <x v="174"/>
    <s v="DIVINO COLCHONES"/>
    <s v="EX "/>
    <s v="Colchão M.E."/>
    <m/>
    <s v="MARTIN"/>
    <n v="45016"/>
    <m/>
    <m/>
    <n v="9760.14"/>
    <s v="MT "/>
    <n v="200"/>
    <m/>
    <n v="873"/>
    <n v="375.7"/>
    <m/>
    <m/>
    <m/>
    <m/>
    <m/>
    <m/>
    <m/>
    <m/>
    <m/>
    <m/>
    <s v="INDUCOL - INDUSTRIA DE COLCHONES SRL"/>
    <s v="CARLOS FIDENCIO D AVALOS RUIZ JUNIOR 34496952823"/>
    <n v="11.18"/>
  </r>
  <r>
    <x v="0"/>
    <x v="2"/>
    <s v="COLCHÃO M.E."/>
    <s v="DIRETO"/>
    <x v="1"/>
    <s v="NADA"/>
    <x v="1"/>
    <n v="45708"/>
    <n v="1474"/>
    <x v="175"/>
    <s v="DIVINO COLCHONES"/>
    <s v="EX "/>
    <s v="Colchão M.E."/>
    <m/>
    <s v="MARTIN"/>
    <n v="45016"/>
    <m/>
    <m/>
    <n v="6157.58"/>
    <s v="MT "/>
    <n v="200"/>
    <m/>
    <n v="569.61900000000003"/>
    <n v="249.60000000000002"/>
    <m/>
    <m/>
    <m/>
    <m/>
    <m/>
    <m/>
    <m/>
    <m/>
    <m/>
    <m/>
    <s v="INDUCOL - INDUSTRIA DE COLCHONES SRL"/>
    <s v="CARLOS FIDENCIO D AVALOS RUIZ JUNIOR 34496952823"/>
    <n v="10.809997559772409"/>
  </r>
  <r>
    <x v="0"/>
    <x v="2"/>
    <s v="COLCHÃO M.E."/>
    <s v="DIRETO"/>
    <x v="1"/>
    <s v="NADA"/>
    <x v="1"/>
    <n v="45708"/>
    <n v="1549"/>
    <x v="176"/>
    <s v="DIVINO COLCHONES"/>
    <s v="EX "/>
    <s v="Colchão M.E."/>
    <m/>
    <s v="MARTIN"/>
    <n v="45016"/>
    <m/>
    <m/>
    <n v="9372.0400000000009"/>
    <s v="MT "/>
    <n v="210"/>
    <m/>
    <n v="777.11800000000005"/>
    <n v="344.88"/>
    <m/>
    <m/>
    <m/>
    <m/>
    <m/>
    <m/>
    <m/>
    <m/>
    <m/>
    <m/>
    <s v="INDUCOL - INDUSTRIA DE COLCHONES SRL"/>
    <s v="CARLOS FIDENCIO D AVALOS RUIZ JUNIOR 34496952823"/>
    <n v="12.059996036637937"/>
  </r>
  <r>
    <x v="0"/>
    <x v="2"/>
    <s v="COLCHÃO M.E."/>
    <s v="DIRETO"/>
    <x v="1"/>
    <s v="NADA"/>
    <x v="1"/>
    <n v="45708"/>
    <n v="1499"/>
    <x v="177"/>
    <s v="DIVINO COLCHONES"/>
    <s v="EX "/>
    <s v="Colchão M.E."/>
    <m/>
    <s v="MARTIN"/>
    <n v="45016"/>
    <m/>
    <m/>
    <n v="5024.3999999999996"/>
    <s v="MT "/>
    <n v="200"/>
    <m/>
    <n v="424"/>
    <n v="181.26000000000002"/>
    <m/>
    <m/>
    <m/>
    <m/>
    <m/>
    <m/>
    <m/>
    <m/>
    <m/>
    <m/>
    <s v="INDUCOL - INDUSTRIA DE COLCHONES SRL"/>
    <s v="CARLOS FIDENCIO D AVALOS RUIZ JUNIOR 34496952823"/>
    <n v="11.85"/>
  </r>
  <r>
    <x v="0"/>
    <x v="2"/>
    <s v="COLCHÃO M.E."/>
    <s v="DIRETO"/>
    <x v="1"/>
    <s v="NADA"/>
    <x v="1"/>
    <n v="45708"/>
    <n v="1548"/>
    <x v="178"/>
    <s v="DIVINO COLCHONES"/>
    <s v="EX "/>
    <s v="Colchão M.E."/>
    <m/>
    <s v="MARTIN"/>
    <n v="45016"/>
    <m/>
    <m/>
    <n v="5814.36"/>
    <s v="MT "/>
    <n v="210"/>
    <m/>
    <n v="431.97300000000001"/>
    <n v="187.14000000000001"/>
    <m/>
    <m/>
    <m/>
    <m/>
    <m/>
    <m/>
    <m/>
    <m/>
    <m/>
    <m/>
    <s v="INDUCOL - INDUSTRIA DE COLCHONES SRL"/>
    <s v="CARLOS FIDENCIO D AVALOS RUIZ JUNIOR 34496952823"/>
    <n v="13.460007917161487"/>
  </r>
  <r>
    <x v="0"/>
    <x v="2"/>
    <s v="COLCHÃO M.E."/>
    <s v="DIRETO"/>
    <x v="1"/>
    <s v="NADA"/>
    <x v="1"/>
    <n v="45708"/>
    <n v="1471"/>
    <x v="179"/>
    <s v="DIVINO COLCHONES"/>
    <s v="EX "/>
    <s v="Colchão M.E."/>
    <m/>
    <s v="MARTIN"/>
    <n v="45016"/>
    <m/>
    <m/>
    <n v="9807.5300000000007"/>
    <s v="MT "/>
    <n v="200"/>
    <m/>
    <n v="842.57100000000003"/>
    <n v="335.82000000000005"/>
    <m/>
    <m/>
    <m/>
    <m/>
    <m/>
    <m/>
    <m/>
    <m/>
    <m/>
    <m/>
    <s v="INDUCOL - INDUSTRIA DE COLCHONES SRL"/>
    <s v="CARLOS FIDENCIO D AVALOS RUIZ JUNIOR 34496952823"/>
    <n v="11.640004225163221"/>
  </r>
  <r>
    <x v="0"/>
    <x v="2"/>
    <s v="COLCHÃO M.E."/>
    <s v="DIRETO"/>
    <x v="1"/>
    <s v="NADA"/>
    <x v="1"/>
    <n v="45708"/>
    <n v="1473"/>
    <x v="180"/>
    <s v="DIVINO COLCHONES"/>
    <s v="EX "/>
    <s v="Colchão M.E."/>
    <m/>
    <s v="MARTIN"/>
    <n v="45016"/>
    <m/>
    <m/>
    <n v="10359.540000000001"/>
    <s v="MT "/>
    <n v="200"/>
    <m/>
    <n v="859"/>
    <n v="380.77"/>
    <m/>
    <m/>
    <m/>
    <m/>
    <m/>
    <m/>
    <m/>
    <m/>
    <m/>
    <m/>
    <s v="INDUCOL - INDUSTRIA DE COLCHONES SRL"/>
    <s v="CARLOS FIDENCIO D AVALOS RUIZ JUNIOR 34496952823"/>
    <n v="12.06"/>
  </r>
  <r>
    <x v="0"/>
    <x v="2"/>
    <s v="COLCHÃO M.E."/>
    <s v="DIRETO"/>
    <x v="1"/>
    <s v="NADA"/>
    <x v="1"/>
    <n v="45708"/>
    <n v="1498"/>
    <x v="181"/>
    <s v="DIVINO COLCHONES"/>
    <s v="EX "/>
    <s v="Colchão M.E."/>
    <m/>
    <s v="MARTIN"/>
    <n v="45016"/>
    <m/>
    <m/>
    <n v="12236.79"/>
    <s v="MT "/>
    <n v="200"/>
    <m/>
    <n v="1041.4290000000001"/>
    <n v="450.18"/>
    <m/>
    <m/>
    <m/>
    <m/>
    <m/>
    <m/>
    <m/>
    <m/>
    <m/>
    <m/>
    <s v="INDUCOL - INDUSTRIA DE COLCHONES SRL"/>
    <s v="CARLOS FIDENCIO D AVALOS RUIZ JUNIOR 34496952823"/>
    <n v="11.749999279835688"/>
  </r>
  <r>
    <x v="0"/>
    <x v="2"/>
    <s v="COLCHÃO M.E."/>
    <s v="DIRETO"/>
    <x v="1"/>
    <s v="NADA"/>
    <x v="1"/>
    <n v="45709"/>
    <n v="1422"/>
    <x v="182"/>
    <s v="DIVINO COLCHONES"/>
    <s v="EX "/>
    <s v="Colchão M.E."/>
    <m/>
    <s v="MARTIN"/>
    <n v="45016"/>
    <m/>
    <m/>
    <n v="17617"/>
    <s v="MT "/>
    <n v="240"/>
    <m/>
    <n v="790"/>
    <n v="414.06000000000012"/>
    <m/>
    <m/>
    <m/>
    <m/>
    <m/>
    <m/>
    <m/>
    <m/>
    <m/>
    <m/>
    <s v="FLEX CHILE"/>
    <s v="CARLOS FIDENCIO D AVALOS RUIZ JUNIOR 34496952823"/>
    <n v="22.3"/>
  </r>
  <r>
    <x v="0"/>
    <x v="2"/>
    <s v="COLCHÃO M.E."/>
    <s v="DIRETO"/>
    <x v="1"/>
    <s v="NADA"/>
    <x v="1"/>
    <n v="45709"/>
    <n v="1419"/>
    <x v="164"/>
    <s v="DIVINO COLCHONES"/>
    <s v="EX "/>
    <s v="Colchão M.E."/>
    <m/>
    <s v="MARTIN"/>
    <n v="45016"/>
    <m/>
    <m/>
    <n v="11402.37"/>
    <s v="MT "/>
    <n v="180"/>
    <m/>
    <n v="982.96299999999997"/>
    <n v="385.84"/>
    <m/>
    <m/>
    <m/>
    <m/>
    <m/>
    <m/>
    <m/>
    <m/>
    <m/>
    <m/>
    <s v="FLEX CHILE"/>
    <s v="CARLOS FIDENCIO D AVALOS RUIZ JUNIOR 34496952823"/>
    <n v="11.59999918613417"/>
  </r>
  <r>
    <x v="9"/>
    <x v="2"/>
    <s v="COLCHÃO M.E."/>
    <s v="DIRETO"/>
    <x v="4"/>
    <s v="NADA"/>
    <x v="0"/>
    <n v="45745"/>
    <n v="1706"/>
    <x v="165"/>
    <s v="WENTURS TRADE"/>
    <s v="EX "/>
    <s v="Colchão M.E."/>
    <m/>
    <s v="DIRETO"/>
    <n v="45021"/>
    <m/>
    <m/>
    <n v="14363.35"/>
    <s v="MT "/>
    <m/>
    <m/>
    <n v="1820.45"/>
    <n v="1820.45"/>
    <m/>
    <m/>
    <m/>
    <m/>
    <m/>
    <m/>
    <m/>
    <m/>
    <m/>
    <m/>
    <s v="WENTURS TRADE"/>
    <m/>
    <n v="7.8899997253426353"/>
  </r>
  <r>
    <x v="9"/>
    <x v="2"/>
    <s v="COLCHÃO M.E."/>
    <s v="DIRETO"/>
    <x v="9"/>
    <s v="NADA"/>
    <x v="2"/>
    <n v="45746"/>
    <n v="1703"/>
    <x v="183"/>
    <s v="FLEX CHILE"/>
    <s v="EX "/>
    <s v="Colchão M.E."/>
    <m/>
    <s v="DIRETO"/>
    <n v="45021"/>
    <m/>
    <m/>
    <n v="21586.27"/>
    <s v="MT "/>
    <n v="160"/>
    <m/>
    <n v="2054"/>
    <n v="844.58"/>
    <m/>
    <m/>
    <m/>
    <m/>
    <m/>
    <m/>
    <m/>
    <m/>
    <m/>
    <m/>
    <s v="FLEX CHILE"/>
    <s v="CARLOS FIDENCIO D AVALOS RUIZ JUNIOR 34496952823"/>
    <n v="10.509381694255111"/>
  </r>
  <r>
    <x v="9"/>
    <x v="2"/>
    <s v="COLCHÃO M.E."/>
    <s v="DIRETO"/>
    <x v="1"/>
    <s v="NADA"/>
    <x v="1"/>
    <n v="45780"/>
    <n v="1503"/>
    <x v="169"/>
    <s v="DIVINO COLCHONES"/>
    <s v="EX "/>
    <s v="Colchão M.E."/>
    <m/>
    <s v="MARTIN"/>
    <n v="45022"/>
    <m/>
    <m/>
    <n v="592.42999999999995"/>
    <s v="MT "/>
    <n v="260"/>
    <m/>
    <n v="34"/>
    <n v="38.72"/>
    <m/>
    <m/>
    <m/>
    <m/>
    <m/>
    <m/>
    <m/>
    <m/>
    <m/>
    <m/>
    <s v="DIVINO S.A"/>
    <s v="CONEXAO MALHAS E DESENVOLVIMENTO LTDA"/>
    <n v="17.42441176470588"/>
  </r>
  <r>
    <x v="9"/>
    <x v="2"/>
    <s v="COLCHÃO M.E."/>
    <s v="DIRETO"/>
    <x v="1"/>
    <s v="NADA"/>
    <x v="1"/>
    <n v="45780"/>
    <n v="1523"/>
    <x v="184"/>
    <s v="DIVINO COLCHONES"/>
    <s v="EX "/>
    <s v="Colchão M.E."/>
    <m/>
    <s v="MARTIN"/>
    <n v="45022"/>
    <m/>
    <m/>
    <n v="19171.240000000002"/>
    <s v="MT "/>
    <m/>
    <m/>
    <n v="2563"/>
    <n v="494.42000000000007"/>
    <m/>
    <m/>
    <m/>
    <m/>
    <m/>
    <m/>
    <m/>
    <m/>
    <m/>
    <m/>
    <s v="DIVINO S.A"/>
    <s v="CONEXAO MALHAS E DESENVOLVIMENTO LTDA"/>
    <n v="7.48"/>
  </r>
  <r>
    <x v="9"/>
    <x v="2"/>
    <s v="COLCHÃO M.E."/>
    <s v="DIRETO"/>
    <x v="1"/>
    <s v="NADA"/>
    <x v="1"/>
    <n v="45780"/>
    <n v="1503"/>
    <x v="169"/>
    <s v="DIVINO COLCHONES"/>
    <s v="EX "/>
    <s v="Colchão M.E."/>
    <m/>
    <s v="MARTIN"/>
    <n v="45022"/>
    <m/>
    <m/>
    <n v="557.58000000000004"/>
    <s v="MT "/>
    <n v="260"/>
    <m/>
    <n v="32"/>
    <n v="38.72"/>
    <m/>
    <m/>
    <m/>
    <m/>
    <m/>
    <m/>
    <m/>
    <m/>
    <m/>
    <m/>
    <s v="DIVINO S.A"/>
    <s v="CONEXAO MALHAS E DESENVOLVIMENTO LTDA"/>
    <n v="17.424375000000001"/>
  </r>
  <r>
    <x v="9"/>
    <x v="2"/>
    <s v="COLCHÃO M.E."/>
    <s v="DIRETO"/>
    <x v="1"/>
    <s v="NADA"/>
    <x v="1"/>
    <n v="45780"/>
    <n v="1525"/>
    <x v="185"/>
    <s v="DIVINO COLCHONES"/>
    <s v="EX "/>
    <s v="Colchão M.E."/>
    <m/>
    <s v="MARTIN"/>
    <n v="45022"/>
    <m/>
    <m/>
    <n v="483.01"/>
    <s v="MT "/>
    <n v="320"/>
    <m/>
    <n v="25"/>
    <n v="996.1600000000002"/>
    <m/>
    <m/>
    <m/>
    <m/>
    <m/>
    <m/>
    <m/>
    <m/>
    <m/>
    <m/>
    <s v="DIVINO S.A"/>
    <s v="CONEXAO MALHAS E DESENVOLVIMENTO LTDA"/>
    <n v="19.320399999999999"/>
  </r>
  <r>
    <x v="9"/>
    <x v="2"/>
    <s v="COLCHÃO M.E."/>
    <s v="DIRETO"/>
    <x v="1"/>
    <s v="NADA"/>
    <x v="1"/>
    <n v="45780"/>
    <n v="1524"/>
    <x v="186"/>
    <s v="DIVINO COLCHONES"/>
    <s v="EX "/>
    <s v="Colchão M.E."/>
    <m/>
    <s v="MARTIN"/>
    <n v="45022"/>
    <m/>
    <m/>
    <n v="28104.959999999999"/>
    <s v="MT "/>
    <m/>
    <m/>
    <n v="3378"/>
    <n v="678.97300000000007"/>
    <m/>
    <m/>
    <m/>
    <m/>
    <m/>
    <m/>
    <m/>
    <m/>
    <m/>
    <m/>
    <s v="DIVINO S.A"/>
    <s v="CONEXAO MALHAS E DESENVOLVIMENTO LTDA"/>
    <n v="8.32"/>
  </r>
  <r>
    <x v="9"/>
    <x v="2"/>
    <s v="COLCHÃO M.E."/>
    <s v="DIRETO"/>
    <x v="1"/>
    <s v="NADA"/>
    <x v="1"/>
    <n v="45780"/>
    <n v="1226"/>
    <x v="170"/>
    <s v="DIVINO COLCHONES"/>
    <s v="EX "/>
    <s v="Colchão M.E."/>
    <m/>
    <s v="MARTIN"/>
    <n v="45022"/>
    <m/>
    <m/>
    <n v="6841.61"/>
    <s v="MT "/>
    <n v="260"/>
    <m/>
    <n v="445"/>
    <n v="269.036"/>
    <m/>
    <m/>
    <m/>
    <m/>
    <m/>
    <m/>
    <m/>
    <m/>
    <m/>
    <m/>
    <s v="DIVINO S.A"/>
    <s v="CONEXAO MALHAS E DESENVOLVIMENTO LTDA"/>
    <n v="15.374404494382022"/>
  </r>
  <r>
    <x v="9"/>
    <x v="2"/>
    <s v="COLCHÃO M.E."/>
    <s v="DIRETO"/>
    <x v="1"/>
    <s v="NADA"/>
    <x v="1"/>
    <n v="45780"/>
    <n v="1652"/>
    <x v="187"/>
    <s v="DIVINO COLCHONES"/>
    <s v="EX "/>
    <s v="Colchão M.E."/>
    <m/>
    <s v="MARTIN"/>
    <n v="45022"/>
    <m/>
    <m/>
    <n v="30104.15"/>
    <s v="MT "/>
    <n v="460"/>
    <m/>
    <n v="1021.172"/>
    <n v="1091.98"/>
    <m/>
    <m/>
    <m/>
    <m/>
    <m/>
    <m/>
    <m/>
    <m/>
    <m/>
    <m/>
    <s v="DIVINO S.A"/>
    <s v="CONEXAO MALHAS E DESENVOLVIMENTO LTDA"/>
    <n v="29.479999451610503"/>
  </r>
  <r>
    <x v="9"/>
    <x v="2"/>
    <s v="COLCHÃO M.E."/>
    <s v="DIRETO"/>
    <x v="1"/>
    <s v="NADA"/>
    <x v="1"/>
    <n v="45780"/>
    <n v="1525"/>
    <x v="185"/>
    <s v="DIVINO COLCHONES"/>
    <s v="EX "/>
    <s v="Colchão M.E."/>
    <m/>
    <s v="MARTIN"/>
    <n v="45022"/>
    <m/>
    <m/>
    <n v="26488.400000000001"/>
    <s v="MT "/>
    <n v="320"/>
    <m/>
    <n v="1371"/>
    <n v="996.1600000000002"/>
    <m/>
    <m/>
    <m/>
    <m/>
    <m/>
    <m/>
    <m/>
    <m/>
    <m/>
    <m/>
    <s v="DIVINO S.A"/>
    <s v="CONEXAO MALHAS E DESENVOLVIMENTO LTDA"/>
    <n v="19.320495988329686"/>
  </r>
  <r>
    <x v="9"/>
    <x v="2"/>
    <s v="COLCHÃO M.E."/>
    <s v="DIRETO"/>
    <x v="1"/>
    <s v="NADA"/>
    <x v="1"/>
    <n v="45782"/>
    <n v="1525"/>
    <x v="185"/>
    <s v="DIVINO COLCHONES"/>
    <s v="EX "/>
    <s v="Colchão M.E."/>
    <m/>
    <s v="MARTIN"/>
    <n v="45022"/>
    <m/>
    <m/>
    <n v="16789.509999999998"/>
    <s v="MT "/>
    <n v="320"/>
    <m/>
    <n v="869"/>
    <n v="635.50000000000011"/>
    <m/>
    <m/>
    <m/>
    <m/>
    <m/>
    <m/>
    <m/>
    <m/>
    <m/>
    <m/>
    <s v="DIVINO S.A"/>
    <s v="CONEXAO MALHAS E DESENVOLVIMENTO LTDA"/>
    <n v="19.32049482163406"/>
  </r>
  <r>
    <x v="9"/>
    <x v="2"/>
    <s v="COLCHÃO M.E."/>
    <s v="DIRETO"/>
    <x v="9"/>
    <s v="NADA"/>
    <x v="2"/>
    <n v="45915"/>
    <n v="1703"/>
    <x v="183"/>
    <s v="FLEX CHILE"/>
    <s v="EX "/>
    <s v="Colchão M.E."/>
    <m/>
    <s v="DIRETO"/>
    <n v="45033"/>
    <m/>
    <m/>
    <n v="19610.5"/>
    <s v="MT "/>
    <n v="160"/>
    <m/>
    <n v="1866"/>
    <n v="767.84000000000026"/>
    <m/>
    <m/>
    <m/>
    <m/>
    <m/>
    <m/>
    <m/>
    <m/>
    <m/>
    <m/>
    <s v="FLEX CHILE"/>
    <s v="CARLOS FIDENCIO D AVALOS RUIZ JUNIOR 34496952823"/>
    <n v="10.509378349410504"/>
  </r>
  <r>
    <x v="9"/>
    <x v="2"/>
    <s v="COLCHÃO M.E."/>
    <s v="DIRETO"/>
    <x v="9"/>
    <s v="NADA"/>
    <x v="2"/>
    <n v="45918"/>
    <n v="1419"/>
    <x v="188"/>
    <s v="FLEX CHILE"/>
    <s v="EX "/>
    <s v="Colchão M.E."/>
    <m/>
    <s v="DIRETO"/>
    <n v="45033"/>
    <m/>
    <m/>
    <n v="6644.65"/>
    <s v="MT "/>
    <n v="180"/>
    <m/>
    <n v="572.81500000000005"/>
    <n v="259.22000000000003"/>
    <m/>
    <m/>
    <m/>
    <m/>
    <m/>
    <m/>
    <m/>
    <m/>
    <m/>
    <m/>
    <s v="FLEX CHILE"/>
    <s v="CARLOS FIDENCIO D AVALOS RUIZ JUNIOR 34496952823"/>
    <n v="11.599993016942641"/>
  </r>
  <r>
    <x v="9"/>
    <x v="2"/>
    <s v="COLCHÃO M.E."/>
    <s v="DIRETO"/>
    <x v="9"/>
    <s v="NADA"/>
    <x v="2"/>
    <n v="45918"/>
    <n v="1422"/>
    <x v="182"/>
    <s v="FLEX CHILE"/>
    <s v="EX "/>
    <s v="Colchão M.E."/>
    <m/>
    <s v="DIRETO"/>
    <n v="45033"/>
    <m/>
    <m/>
    <n v="45269"/>
    <s v="MT "/>
    <n v="240"/>
    <m/>
    <n v="2030"/>
    <n v="1043.7599999999998"/>
    <m/>
    <m/>
    <m/>
    <m/>
    <m/>
    <m/>
    <m/>
    <m/>
    <m/>
    <m/>
    <s v="FLEX CHILE"/>
    <s v="CARLOS FIDENCIO D AVALOS RUIZ JUNIOR 34496952823"/>
    <n v="22.3"/>
  </r>
  <r>
    <x v="9"/>
    <x v="2"/>
    <s v="COLCHÃO M.E."/>
    <s v="DIRETO"/>
    <x v="9"/>
    <s v="NADA"/>
    <x v="2"/>
    <n v="45919"/>
    <n v="1419"/>
    <x v="188"/>
    <s v="FLEX CHILE"/>
    <s v="EX "/>
    <s v="Colchão M.E."/>
    <m/>
    <s v="DIRETO"/>
    <n v="45033"/>
    <m/>
    <m/>
    <n v="50309.2"/>
    <s v="MT "/>
    <n v="180"/>
    <m/>
    <n v="4337"/>
    <n v="1862.0139999999999"/>
    <m/>
    <m/>
    <m/>
    <m/>
    <m/>
    <m/>
    <m/>
    <m/>
    <m/>
    <m/>
    <s v="FLEX CHILE"/>
    <s v="CARLOS FIDENCIO D AVALOS RUIZ JUNIOR 34496952823"/>
    <n v="11.6"/>
  </r>
  <r>
    <x v="9"/>
    <x v="2"/>
    <s v="COLCHÃO M.E."/>
    <s v="DIRETO"/>
    <x v="9"/>
    <s v="NADA"/>
    <x v="2"/>
    <n v="45920"/>
    <n v="1422"/>
    <x v="182"/>
    <s v="FLEX CHILE"/>
    <s v="EX "/>
    <s v="Colchão M.E."/>
    <m/>
    <s v="DIRETO"/>
    <n v="45033"/>
    <m/>
    <m/>
    <n v="55727.7"/>
    <s v="MT "/>
    <n v="240"/>
    <m/>
    <n v="2499"/>
    <n v="1337.4179999999999"/>
    <m/>
    <m/>
    <m/>
    <m/>
    <m/>
    <m/>
    <m/>
    <m/>
    <m/>
    <m/>
    <s v="FLEX CHILE"/>
    <s v="CARLOS FIDENCIO D AVALOS RUIZ JUNIOR 34496952823"/>
    <n v="22.299999999999997"/>
  </r>
  <r>
    <x v="9"/>
    <x v="2"/>
    <s v="COLCHÃO M.E."/>
    <s v="DIRETO"/>
    <x v="9"/>
    <s v="NADA"/>
    <x v="2"/>
    <n v="45921"/>
    <n v="1703"/>
    <x v="183"/>
    <s v="FLEX CHILE"/>
    <s v="EX "/>
    <s v="Colchão M.E."/>
    <m/>
    <s v="DIRETO"/>
    <n v="45033"/>
    <m/>
    <m/>
    <n v="535.98"/>
    <s v="MT "/>
    <n v="160"/>
    <m/>
    <n v="51"/>
    <n v="17.135999999999999"/>
    <m/>
    <m/>
    <m/>
    <m/>
    <m/>
    <m/>
    <m/>
    <m/>
    <m/>
    <m/>
    <s v="FLEX CHILE"/>
    <s v="CARLOS FIDENCIO D AVALOS RUIZ JUNIOR 34496952823"/>
    <n v="10.509411764705883"/>
  </r>
  <r>
    <x v="9"/>
    <x v="2"/>
    <s v="COLCHÃO M.E."/>
    <s v="DIRETO"/>
    <x v="9"/>
    <s v="NADA"/>
    <x v="2"/>
    <n v="45923"/>
    <n v="1703"/>
    <x v="183"/>
    <s v="FLEX CHILE"/>
    <s v="EX "/>
    <s v="Colchão M.E."/>
    <m/>
    <s v="DIRETO"/>
    <n v="45033"/>
    <m/>
    <m/>
    <n v="52809.63"/>
    <s v="MT "/>
    <n v="160"/>
    <m/>
    <n v="5025"/>
    <n v="1970.5590000000002"/>
    <m/>
    <m/>
    <m/>
    <m/>
    <m/>
    <m/>
    <m/>
    <m/>
    <m/>
    <m/>
    <s v="FLEX CHILE"/>
    <s v="CARLOS FIDENCIO D AVALOS RUIZ JUNIOR 34496952823"/>
    <n v="10.509379104477611"/>
  </r>
  <r>
    <x v="9"/>
    <x v="2"/>
    <s v="COLCHÃO M.E."/>
    <s v="DIRETO"/>
    <x v="9"/>
    <s v="NADA"/>
    <x v="2"/>
    <n v="45924"/>
    <n v="1419"/>
    <x v="188"/>
    <s v="FLEX CHILE"/>
    <s v="EX "/>
    <s v="Colchão M.E."/>
    <m/>
    <s v="DIRETO"/>
    <n v="45033"/>
    <m/>
    <m/>
    <n v="3259.6"/>
    <s v="MT "/>
    <n v="180"/>
    <m/>
    <n v="281"/>
    <n v="113.05999999999999"/>
    <m/>
    <m/>
    <m/>
    <m/>
    <m/>
    <m/>
    <m/>
    <m/>
    <m/>
    <m/>
    <s v="FLEX CHILE"/>
    <s v="CARLOS FIDENCIO D AVALOS RUIZ JUNIOR 34496952823"/>
    <n v="11.6"/>
  </r>
  <r>
    <x v="9"/>
    <x v="2"/>
    <s v="COLCHÃO M.E."/>
    <s v="DIRETO"/>
    <x v="9"/>
    <s v="NADA"/>
    <x v="2"/>
    <n v="45928"/>
    <n v="1703"/>
    <x v="183"/>
    <s v="FLEX CHILE"/>
    <s v="EX "/>
    <s v="Colchão M.E."/>
    <m/>
    <s v="DIRETO"/>
    <n v="45033"/>
    <m/>
    <m/>
    <n v="1399.32"/>
    <s v="MT "/>
    <n v="160"/>
    <m/>
    <n v="207"/>
    <n v="92.76"/>
    <m/>
    <m/>
    <m/>
    <m/>
    <m/>
    <m/>
    <m/>
    <m/>
    <m/>
    <m/>
    <s v="FLEX CHILE"/>
    <s v="CARLOS FIDENCIO D AVALOS RUIZ JUNIOR 34496952823"/>
    <n v="6.76"/>
  </r>
  <r>
    <x v="9"/>
    <x v="2"/>
    <s v="COLCHÃO M.E."/>
    <s v="DIRETO"/>
    <x v="9"/>
    <s v="NADA"/>
    <x v="2"/>
    <n v="45929"/>
    <n v="1422"/>
    <x v="182"/>
    <s v="FLEX CHILE"/>
    <s v="EX "/>
    <s v="Colchão M.E."/>
    <m/>
    <s v="DIRETO"/>
    <n v="45033"/>
    <m/>
    <m/>
    <n v="28053.4"/>
    <s v="MT "/>
    <n v="240"/>
    <m/>
    <n v="1258"/>
    <n v="693.96"/>
    <m/>
    <m/>
    <m/>
    <m/>
    <m/>
    <m/>
    <m/>
    <m/>
    <m/>
    <m/>
    <s v="FLEX CHILE"/>
    <s v="CARLOS FIDENCIO D AVALOS RUIZ JUNIOR 34496952823"/>
    <n v="22.3"/>
  </r>
  <r>
    <x v="9"/>
    <x v="2"/>
    <s v="COLCHÃO M.E."/>
    <s v="DIRETO"/>
    <x v="9"/>
    <s v="NADA"/>
    <x v="2"/>
    <n v="45929"/>
    <n v="1419"/>
    <x v="188"/>
    <s v="FLEX CHILE"/>
    <s v="EX "/>
    <s v="Colchão M.E."/>
    <m/>
    <s v="DIRETO"/>
    <n v="45033"/>
    <m/>
    <m/>
    <n v="18365.18"/>
    <s v="MT "/>
    <n v="180"/>
    <m/>
    <n v="1559"/>
    <n v="568.13"/>
    <m/>
    <m/>
    <m/>
    <m/>
    <m/>
    <m/>
    <m/>
    <m/>
    <m/>
    <m/>
    <s v="FLEX CHILE"/>
    <s v="CARLOS FIDENCIO D AVALOS RUIZ JUNIOR 34496952823"/>
    <n v="11.780102629890957"/>
  </r>
  <r>
    <x v="9"/>
    <x v="2"/>
    <s v="COLCHÃO M.E."/>
    <s v="DIRETO"/>
    <x v="9"/>
    <s v="NADA"/>
    <x v="2"/>
    <n v="45930"/>
    <n v="1419"/>
    <x v="188"/>
    <s v="FLEX CHILE"/>
    <s v="EX "/>
    <s v="Colchão M.E."/>
    <m/>
    <s v="DIRETO"/>
    <n v="45033"/>
    <m/>
    <m/>
    <n v="6414.8"/>
    <s v="MT "/>
    <n v="180"/>
    <m/>
    <n v="553"/>
    <n v="218.16"/>
    <m/>
    <m/>
    <m/>
    <m/>
    <m/>
    <m/>
    <m/>
    <m/>
    <m/>
    <m/>
    <s v="FLEX CHILE"/>
    <s v="CARLOS FIDENCIO D AVALOS RUIZ JUNIOR 34496952823"/>
    <n v="11.6"/>
  </r>
  <r>
    <x v="9"/>
    <x v="2"/>
    <s v="COLCHÃO M.E."/>
    <s v="DIRETO"/>
    <x v="13"/>
    <s v="NADA"/>
    <x v="0"/>
    <n v="45951"/>
    <n v="1707"/>
    <x v="189"/>
    <s v="INDUCOL INDUSTRIA"/>
    <s v="EX "/>
    <s v="Colchão M.E."/>
    <m/>
    <s v="JOSIMAR"/>
    <n v="45035"/>
    <m/>
    <m/>
    <n v="13190.8"/>
    <s v="MT "/>
    <n v="200"/>
    <m/>
    <n v="980"/>
    <n v="488.22"/>
    <m/>
    <m/>
    <m/>
    <m/>
    <m/>
    <m/>
    <m/>
    <m/>
    <m/>
    <m/>
    <s v="INDUCOL - INDUSTRIA DE COLCHONES SRL"/>
    <s v="CARLOS FIDENCIO D AVALOS RUIZ JUNIOR 34496952823"/>
    <n v="13.459999999999999"/>
  </r>
  <r>
    <x v="9"/>
    <x v="2"/>
    <s v="COLCHÃO M.E."/>
    <s v="DIRETO"/>
    <x v="13"/>
    <s v="NADA"/>
    <x v="0"/>
    <n v="45951"/>
    <n v="1723"/>
    <x v="190"/>
    <s v="INDUCOL INDUSTRIA"/>
    <s v="EX "/>
    <s v="Colchão M.E."/>
    <m/>
    <s v="JOSIMAR"/>
    <n v="45035"/>
    <m/>
    <m/>
    <n v="7264.4"/>
    <s v="MT "/>
    <n v="220"/>
    <m/>
    <n v="508"/>
    <n v="251.22000000000003"/>
    <m/>
    <m/>
    <m/>
    <m/>
    <m/>
    <m/>
    <m/>
    <m/>
    <m/>
    <m/>
    <s v="INDUCOL - INDUSTRIA DE COLCHONES SRL"/>
    <s v="CARLOS FIDENCIO D AVALOS RUIZ JUNIOR 34496952823"/>
    <n v="14.299999999999999"/>
  </r>
  <r>
    <x v="9"/>
    <x v="2"/>
    <s v="COLCHÃO M.E."/>
    <s v="DIRETO"/>
    <x v="13"/>
    <s v="NADA"/>
    <x v="0"/>
    <n v="45951"/>
    <n v="1708"/>
    <x v="191"/>
    <s v="INDUCOL INDUSTRIA"/>
    <s v="EX "/>
    <s v="Colchão M.E."/>
    <m/>
    <s v="JOSIMAR"/>
    <n v="45035"/>
    <m/>
    <m/>
    <n v="13542.1"/>
    <s v="MT "/>
    <n v="220"/>
    <m/>
    <n v="947"/>
    <n v="448.38"/>
    <m/>
    <m/>
    <m/>
    <m/>
    <m/>
    <m/>
    <m/>
    <m/>
    <m/>
    <m/>
    <s v="INDUCOL - INDUSTRIA DE COLCHONES SRL"/>
    <s v="CARLOS FIDENCIO D AVALOS RUIZ JUNIOR 34496952823"/>
    <n v="14.3"/>
  </r>
  <r>
    <x v="9"/>
    <x v="2"/>
    <s v="COLCHÃO M.E."/>
    <s v="DIRETO"/>
    <x v="13"/>
    <s v="NADA"/>
    <x v="0"/>
    <n v="45951"/>
    <n v="1727"/>
    <x v="192"/>
    <s v="INDUCOL INDUSTRIA"/>
    <s v="EX "/>
    <s v="Colchão M.E."/>
    <m/>
    <s v="JOSIMAR"/>
    <n v="45035"/>
    <m/>
    <m/>
    <n v="12026.3"/>
    <s v="MT "/>
    <n v="220"/>
    <m/>
    <n v="841"/>
    <n v="447.42"/>
    <m/>
    <m/>
    <m/>
    <m/>
    <m/>
    <m/>
    <m/>
    <m/>
    <m/>
    <m/>
    <s v="INDUCOL - INDUSTRIA DE COLCHONES SRL"/>
    <s v="CARLOS FIDENCIO D AVALOS RUIZ JUNIOR 34496952823"/>
    <n v="14.299999999999999"/>
  </r>
  <r>
    <x v="9"/>
    <x v="2"/>
    <s v="COLCHÃO M.E."/>
    <s v="DIRETO"/>
    <x v="13"/>
    <s v="NADA"/>
    <x v="0"/>
    <n v="45954"/>
    <n v="1727"/>
    <x v="192"/>
    <s v="INDUCOL INDUSTRIA"/>
    <s v="EX "/>
    <s v="Colchão M.E."/>
    <m/>
    <s v="JOSIMAR"/>
    <n v="45035"/>
    <m/>
    <m/>
    <n v="1301.3"/>
    <s v="MT "/>
    <n v="220"/>
    <m/>
    <n v="91"/>
    <n v="47.06"/>
    <m/>
    <m/>
    <m/>
    <m/>
    <m/>
    <m/>
    <m/>
    <m/>
    <m/>
    <m/>
    <s v="INDUCOL - INDUSTRIA DE COLCHONES SRL"/>
    <s v="CARLOS FIDENCIO D AVALOS RUIZ JUNIOR 34496952823"/>
    <n v="14.299999999999999"/>
  </r>
  <r>
    <x v="9"/>
    <x v="2"/>
    <s v="COLCHÃO M.E."/>
    <s v="DIRETO"/>
    <x v="13"/>
    <s v="NADA"/>
    <x v="0"/>
    <n v="45954"/>
    <n v="1549"/>
    <x v="176"/>
    <s v="INDUCOL INDUSTRIA"/>
    <s v="EX "/>
    <s v="Colchão M.E."/>
    <m/>
    <s v="JOSIMAR"/>
    <n v="45035"/>
    <m/>
    <m/>
    <n v="518.58000000000004"/>
    <s v="MT "/>
    <n v="210"/>
    <m/>
    <n v="43"/>
    <n v="19.48"/>
    <m/>
    <m/>
    <m/>
    <m/>
    <m/>
    <m/>
    <m/>
    <m/>
    <m/>
    <m/>
    <s v="INDUCOL - INDUSTRIA DE COLCHONES SRL"/>
    <s v="CARLOS FIDENCIO D AVALOS RUIZ JUNIOR 34496952823"/>
    <n v="12.06"/>
  </r>
  <r>
    <x v="9"/>
    <x v="2"/>
    <s v="COLCHÃO M.E."/>
    <s v="DIRETO"/>
    <x v="13"/>
    <s v="NADA"/>
    <x v="0"/>
    <n v="45954"/>
    <n v="1496"/>
    <x v="173"/>
    <s v="INDUCOL INDUSTRIA"/>
    <s v="EX "/>
    <s v="Colchão M.E."/>
    <m/>
    <s v="JOSIMAR"/>
    <n v="45035"/>
    <m/>
    <m/>
    <n v="799.94"/>
    <s v="MT "/>
    <n v="200"/>
    <m/>
    <n v="74"/>
    <n v="33.660000000000004"/>
    <m/>
    <m/>
    <m/>
    <m/>
    <m/>
    <m/>
    <m/>
    <m/>
    <m/>
    <m/>
    <s v="INDUCOL - INDUSTRIA DE COLCHONES SRL"/>
    <s v="CARLOS FIDENCIO D AVALOS RUIZ JUNIOR 34496952823"/>
    <n v="10.81"/>
  </r>
  <r>
    <x v="9"/>
    <x v="2"/>
    <s v="COLCHÃO M.E."/>
    <s v="DIRETO"/>
    <x v="13"/>
    <s v="NADA"/>
    <x v="0"/>
    <n v="45954"/>
    <n v="1473"/>
    <x v="180"/>
    <s v="INDUCOL INDUSTRIA"/>
    <s v="EX "/>
    <s v="Colchão M.E."/>
    <m/>
    <s v="JOSIMAR"/>
    <n v="45035"/>
    <m/>
    <m/>
    <n v="446.22"/>
    <s v="MT "/>
    <n v="200"/>
    <m/>
    <n v="37"/>
    <n v="15.54"/>
    <m/>
    <m/>
    <m/>
    <m/>
    <m/>
    <m/>
    <m/>
    <m/>
    <m/>
    <m/>
    <s v="INDUCOL - INDUSTRIA DE COLCHONES SRL"/>
    <s v="CARLOS FIDENCIO D AVALOS RUIZ JUNIOR 34496952823"/>
    <n v="12.06"/>
  </r>
  <r>
    <x v="9"/>
    <x v="2"/>
    <s v="COLCHÃO M.E."/>
    <s v="DIRETO"/>
    <x v="13"/>
    <s v="NADA"/>
    <x v="0"/>
    <n v="45954"/>
    <n v="1472"/>
    <x v="172"/>
    <s v="INDUCOL INDUSTRIA"/>
    <s v="EX "/>
    <s v="Colchão M.E."/>
    <m/>
    <s v="JOSIMAR"/>
    <n v="45035"/>
    <m/>
    <m/>
    <n v="1028.56"/>
    <s v="MT "/>
    <n v="200"/>
    <m/>
    <n v="92"/>
    <n v="77.900000000000006"/>
    <m/>
    <m/>
    <m/>
    <m/>
    <m/>
    <m/>
    <m/>
    <m/>
    <m/>
    <m/>
    <s v="INDUCOL - INDUSTRIA DE COLCHONES SRL"/>
    <s v="CARLOS FIDENCIO D AVALOS RUIZ JUNIOR 34496952823"/>
    <n v="11.18"/>
  </r>
  <r>
    <x v="9"/>
    <x v="2"/>
    <s v="COLCHÃO M.E."/>
    <s v="DIRETO"/>
    <x v="13"/>
    <s v="NADA"/>
    <x v="0"/>
    <n v="45954"/>
    <n v="1499"/>
    <x v="177"/>
    <s v="INDUCOL INDUSTRIA"/>
    <s v="EX "/>
    <s v="Colchão M.E."/>
    <m/>
    <s v="JOSIMAR"/>
    <n v="45035"/>
    <m/>
    <m/>
    <n v="284.39999999999998"/>
    <s v="MT "/>
    <n v="200"/>
    <m/>
    <n v="24"/>
    <n v="10.38"/>
    <m/>
    <m/>
    <m/>
    <m/>
    <m/>
    <m/>
    <m/>
    <m/>
    <m/>
    <m/>
    <s v="INDUCOL - INDUSTRIA DE COLCHONES SRL"/>
    <s v="CARLOS FIDENCIO D AVALOS RUIZ JUNIOR 34496952823"/>
    <n v="11.85"/>
  </r>
  <r>
    <x v="9"/>
    <x v="2"/>
    <s v="COLCHÃO M.E."/>
    <s v="DIRETO"/>
    <x v="13"/>
    <s v="NADA"/>
    <x v="0"/>
    <n v="46008"/>
    <n v="1496"/>
    <x v="173"/>
    <s v="INDUCOL INDUSTRIA"/>
    <s v="EX "/>
    <s v="Colchão M.E."/>
    <m/>
    <s v="JOSIMAR"/>
    <n v="45036"/>
    <m/>
    <m/>
    <n v="356.73"/>
    <s v="MT "/>
    <n v="200"/>
    <m/>
    <n v="33"/>
    <n v="14.9"/>
    <m/>
    <m/>
    <m/>
    <m/>
    <m/>
    <m/>
    <m/>
    <m/>
    <m/>
    <m/>
    <s v="INDUCOL - INDUSTRIA DE COLCHONES SRL"/>
    <s v="CARLOS FIDENCIO D AVALOS RUIZ JUNIOR 34496952823"/>
    <n v="10.81"/>
  </r>
  <r>
    <x v="9"/>
    <x v="2"/>
    <s v="COLCHÃO M.E."/>
    <s v="DIRETO"/>
    <x v="13"/>
    <s v="NADA"/>
    <x v="0"/>
    <n v="46008"/>
    <n v="1497"/>
    <x v="174"/>
    <s v="INDUCOL INDUSTRIA"/>
    <s v="EX "/>
    <s v="Colchão M.E."/>
    <m/>
    <s v="JOSIMAR"/>
    <n v="45036"/>
    <m/>
    <m/>
    <n v="1151.54"/>
    <s v="MT "/>
    <n v="200"/>
    <m/>
    <n v="103"/>
    <n v="54.591999999999999"/>
    <m/>
    <m/>
    <m/>
    <m/>
    <m/>
    <m/>
    <m/>
    <m/>
    <m/>
    <m/>
    <s v="INDUCOL - INDUSTRIA DE COLCHONES SRL"/>
    <s v="CARLOS FIDENCIO D AVALOS RUIZ JUNIOR 34496952823"/>
    <n v="11.18"/>
  </r>
  <r>
    <x v="9"/>
    <x v="2"/>
    <s v="COLCHÃO M.E."/>
    <s v="DIRETO"/>
    <x v="13"/>
    <s v="NADA"/>
    <x v="0"/>
    <n v="46008"/>
    <n v="1471"/>
    <x v="179"/>
    <s v="INDUCOL INDUSTRIA"/>
    <s v="EX "/>
    <s v="Colchão M.E."/>
    <m/>
    <s v="JOSIMAR"/>
    <n v="45036"/>
    <m/>
    <m/>
    <n v="1699.44"/>
    <s v="MT "/>
    <n v="200"/>
    <m/>
    <n v="146"/>
    <n v="68.149999999999991"/>
    <m/>
    <m/>
    <m/>
    <m/>
    <m/>
    <m/>
    <m/>
    <m/>
    <m/>
    <m/>
    <s v="INDUCOL - INDUSTRIA DE COLCHONES SRL"/>
    <s v="CARLOS FIDENCIO D AVALOS RUIZ JUNIOR 34496952823"/>
    <n v="11.64"/>
  </r>
  <r>
    <x v="9"/>
    <x v="2"/>
    <s v="COLCHÃO M.E."/>
    <s v="DIRETO"/>
    <x v="13"/>
    <s v="NADA"/>
    <x v="0"/>
    <n v="46008"/>
    <n v="1549"/>
    <x v="176"/>
    <s v="INDUCOL INDUSTRIA"/>
    <s v="EX "/>
    <s v="Colchão M.E."/>
    <m/>
    <s v="JOSIMAR"/>
    <n v="45036"/>
    <m/>
    <m/>
    <n v="2110.5"/>
    <s v="MT "/>
    <n v="210"/>
    <m/>
    <n v="175"/>
    <n v="96.02"/>
    <m/>
    <m/>
    <m/>
    <m/>
    <m/>
    <m/>
    <m/>
    <m/>
    <m/>
    <m/>
    <s v="INDUCOL - INDUSTRIA DE COLCHONES SRL"/>
    <s v="CARLOS FIDENCIO D AVALOS RUIZ JUNIOR 34496952823"/>
    <n v="12.06"/>
  </r>
  <r>
    <x v="9"/>
    <x v="2"/>
    <s v="COLCHÃO M.E."/>
    <s v="DIRETO"/>
    <x v="13"/>
    <s v="NADA"/>
    <x v="0"/>
    <n v="46008"/>
    <n v="1708"/>
    <x v="191"/>
    <s v="INDUCOL INDUSTRIA"/>
    <s v="EX "/>
    <s v="Colchão M.E."/>
    <m/>
    <s v="JOSIMAR"/>
    <n v="45036"/>
    <m/>
    <m/>
    <n v="600.6"/>
    <s v="MT "/>
    <n v="220"/>
    <m/>
    <n v="42"/>
    <n v="19.54"/>
    <m/>
    <m/>
    <m/>
    <m/>
    <m/>
    <m/>
    <m/>
    <m/>
    <m/>
    <m/>
    <s v="INDUCOL - INDUSTRIA DE COLCHONES SRL"/>
    <s v="CARLOS FIDENCIO D AVALOS RUIZ JUNIOR 34496952823"/>
    <n v="14.3"/>
  </r>
  <r>
    <x v="9"/>
    <x v="2"/>
    <s v="COLCHÃO M.E."/>
    <s v="DIRETO"/>
    <x v="13"/>
    <s v="NADA"/>
    <x v="0"/>
    <n v="46008"/>
    <n v="1473"/>
    <x v="180"/>
    <s v="INDUCOL INDUSTRIA"/>
    <s v="EX "/>
    <s v="Colchão M.E."/>
    <m/>
    <s v="JOSIMAR"/>
    <n v="45036"/>
    <m/>
    <m/>
    <n v="2568.7800000000002"/>
    <s v="MT "/>
    <n v="200"/>
    <m/>
    <n v="213"/>
    <n v="103.9"/>
    <m/>
    <m/>
    <m/>
    <m/>
    <m/>
    <m/>
    <m/>
    <m/>
    <m/>
    <m/>
    <s v="INDUCOL - INDUSTRIA DE COLCHONES SRL"/>
    <s v="CARLOS FIDENCIO D AVALOS RUIZ JUNIOR 34496952823"/>
    <n v="12.06"/>
  </r>
  <r>
    <x v="9"/>
    <x v="2"/>
    <s v="COLCHÃO M.E."/>
    <s v="DIRETO"/>
    <x v="13"/>
    <s v="NADA"/>
    <x v="0"/>
    <n v="46008"/>
    <n v="1707"/>
    <x v="189"/>
    <s v="INDUCOL INDUSTRIA"/>
    <s v="EX "/>
    <s v="Colchão M.E."/>
    <m/>
    <s v="JOSIMAR"/>
    <n v="45036"/>
    <m/>
    <m/>
    <n v="1494.06"/>
    <s v="MT "/>
    <n v="200"/>
    <m/>
    <n v="111"/>
    <n v="48.22"/>
    <m/>
    <m/>
    <m/>
    <m/>
    <m/>
    <m/>
    <m/>
    <m/>
    <m/>
    <m/>
    <s v="INDUCOL - INDUSTRIA DE COLCHONES SRL"/>
    <s v="CARLOS FIDENCIO D AVALOS RUIZ JUNIOR 34496952823"/>
    <n v="13.459999999999999"/>
  </r>
  <r>
    <x v="10"/>
    <x v="2"/>
    <s v="COLCHÃO M.E."/>
    <s v="DIRETO"/>
    <x v="1"/>
    <s v="NADA"/>
    <x v="1"/>
    <n v="46548"/>
    <n v="1226"/>
    <x v="170"/>
    <s v="DIVINO COLCHONES"/>
    <s v="EX "/>
    <s v="Colchão M.E."/>
    <m/>
    <s v="MARTIN"/>
    <n v="45070"/>
    <m/>
    <m/>
    <n v="31904.25"/>
    <s v="MT "/>
    <n v="260"/>
    <m/>
    <n v="2065"/>
    <n v="1212.6600000000001"/>
    <m/>
    <m/>
    <m/>
    <m/>
    <m/>
    <m/>
    <m/>
    <m/>
    <m/>
    <m/>
    <s v="DIVINO S.A"/>
    <s v="CONEXAO MALHAS E DESENVOLVIMENTO LTDA"/>
    <n v="15.45"/>
  </r>
  <r>
    <x v="10"/>
    <x v="2"/>
    <s v="COLCHÃO M.E."/>
    <s v="DIRETO"/>
    <x v="1"/>
    <s v="NADA"/>
    <x v="1"/>
    <n v="46548"/>
    <n v="1237"/>
    <x v="171"/>
    <s v="DIVINO COLCHONES"/>
    <s v="EX "/>
    <s v="Colchão M.E."/>
    <m/>
    <s v="MARTIN"/>
    <n v="45070"/>
    <m/>
    <m/>
    <n v="1640.13"/>
    <s v="MT "/>
    <n v="300"/>
    <m/>
    <n v="84"/>
    <n v="54.9"/>
    <m/>
    <m/>
    <m/>
    <m/>
    <m/>
    <m/>
    <m/>
    <m/>
    <m/>
    <m/>
    <s v="DIVINO S.A"/>
    <s v="CONEXAO MALHAS E DESENVOLVIMENTO LTDA"/>
    <n v="19.525357142857143"/>
  </r>
  <r>
    <x v="10"/>
    <x v="2"/>
    <s v="COLCHÃO M.E."/>
    <s v="DIRETO"/>
    <x v="1"/>
    <s v="NADA"/>
    <x v="1"/>
    <n v="46548"/>
    <n v="1504"/>
    <x v="167"/>
    <s v="DIVINO COLCHONES"/>
    <s v="EX "/>
    <s v="Colchão M.E."/>
    <m/>
    <s v="MARTIN"/>
    <n v="45070"/>
    <m/>
    <m/>
    <n v="68039.19"/>
    <s v="MT "/>
    <n v="240"/>
    <m/>
    <n v="4421"/>
    <n v="2527.3560000000002"/>
    <m/>
    <m/>
    <m/>
    <m/>
    <m/>
    <m/>
    <m/>
    <m/>
    <m/>
    <m/>
    <s v="DIVINO S.A"/>
    <s v="CONEXAO MALHAS E DESENVOLVIMENTO LTDA"/>
    <n v="15.39"/>
  </r>
  <r>
    <x v="10"/>
    <x v="2"/>
    <s v="COLCHÃO M.E."/>
    <s v="DIRETO"/>
    <x v="1"/>
    <s v="NADA"/>
    <x v="1"/>
    <n v="46548"/>
    <n v="1525"/>
    <x v="185"/>
    <s v="DIVINO COLCHONES"/>
    <s v="EX "/>
    <s v="Colchão M.E."/>
    <m/>
    <s v="MARTIN"/>
    <n v="45070"/>
    <m/>
    <m/>
    <n v="5235.8500000000004"/>
    <s v="MT "/>
    <n v="320"/>
    <m/>
    <n v="271"/>
    <n v="191.83199999999999"/>
    <m/>
    <m/>
    <m/>
    <m/>
    <m/>
    <m/>
    <m/>
    <m/>
    <m/>
    <m/>
    <s v="DIVINO S.A"/>
    <s v="CONEXAO MALHAS E DESENVOLVIMENTO LTDA"/>
    <n v="19.320479704797048"/>
  </r>
  <r>
    <x v="10"/>
    <x v="2"/>
    <s v="COLCHÃO M.E."/>
    <s v="DIRETO"/>
    <x v="1"/>
    <s v="NADA"/>
    <x v="1"/>
    <n v="46548"/>
    <n v="1236"/>
    <x v="168"/>
    <s v="DIVINO COLCHONES"/>
    <s v="EX "/>
    <s v="Colchão M.E."/>
    <m/>
    <s v="MARTIN"/>
    <n v="45070"/>
    <m/>
    <m/>
    <n v="27342"/>
    <s v="MT "/>
    <n v="240"/>
    <m/>
    <n v="1519"/>
    <n v="872.47599999999966"/>
    <m/>
    <m/>
    <m/>
    <m/>
    <m/>
    <m/>
    <m/>
    <m/>
    <m/>
    <m/>
    <s v="DIVINO S.A"/>
    <s v="CONEXAO MALHAS E DESENVOLVIMENTO LTDA"/>
    <n v="18"/>
  </r>
  <r>
    <x v="10"/>
    <x v="2"/>
    <s v="COLCHÃO M.E."/>
    <s v="DIRETO"/>
    <x v="1"/>
    <s v="NADA"/>
    <x v="1"/>
    <n v="46548"/>
    <n v="1905"/>
    <x v="193"/>
    <s v="DIVINO COLCHONES"/>
    <s v="EX "/>
    <s v="Colchão M.E."/>
    <m/>
    <s v="MARTIN"/>
    <n v="45070"/>
    <m/>
    <m/>
    <n v="33679.360000000001"/>
    <s v="MT "/>
    <m/>
    <m/>
    <n v="4048"/>
    <n v="813.64800000000025"/>
    <m/>
    <m/>
    <m/>
    <m/>
    <m/>
    <m/>
    <m/>
    <m/>
    <m/>
    <m/>
    <s v="DIVINO S.A"/>
    <s v="CONEXAO MALHAS E DESENVOLVIMENTO LTDA"/>
    <n v="8.32"/>
  </r>
  <r>
    <x v="10"/>
    <x v="2"/>
    <s v="COLCHÃO M.E."/>
    <s v="DIRETO"/>
    <x v="1"/>
    <s v="NADA"/>
    <x v="1"/>
    <n v="46548"/>
    <n v="1225"/>
    <x v="194"/>
    <s v="DIVINO COLCHONES"/>
    <s v="EX "/>
    <s v="Colchão M.E."/>
    <m/>
    <s v="MARTIN"/>
    <n v="45070"/>
    <m/>
    <m/>
    <n v="52338"/>
    <s v="MT "/>
    <n v="240"/>
    <m/>
    <n v="3432"/>
    <n v="1991.64"/>
    <m/>
    <m/>
    <m/>
    <m/>
    <m/>
    <m/>
    <m/>
    <m/>
    <m/>
    <m/>
    <s v="DIVINO S.A"/>
    <s v="CONEXAO MALHAS E DESENVOLVIMENTO LTDA"/>
    <n v="15.25"/>
  </r>
  <r>
    <x v="10"/>
    <x v="2"/>
    <s v="COLCHÃO M.E."/>
    <s v="DIRETO"/>
    <x v="9"/>
    <s v="NADA"/>
    <x v="2"/>
    <n v="46580"/>
    <n v="1419"/>
    <x v="188"/>
    <s v="FLEX CHILE"/>
    <s v="EX "/>
    <s v="Colchão M.E."/>
    <m/>
    <s v="DIRETO"/>
    <n v="45072"/>
    <m/>
    <m/>
    <n v="14720.4"/>
    <s v="MT "/>
    <n v="180"/>
    <m/>
    <n v="1269"/>
    <n v="494.65999999999985"/>
    <m/>
    <m/>
    <m/>
    <m/>
    <m/>
    <m/>
    <m/>
    <m/>
    <m/>
    <m/>
    <s v="FLEX CHILE"/>
    <s v="CARLOS FIDENCIO D AVALOS RUIZ JUNIOR 34496952823"/>
    <n v="11.6"/>
  </r>
  <r>
    <x v="10"/>
    <x v="2"/>
    <s v="COLCHÃO M.E."/>
    <s v="DIRETO"/>
    <x v="10"/>
    <s v="NADA"/>
    <x v="2"/>
    <n v="46586"/>
    <n v="1903"/>
    <x v="195"/>
    <s v="COLCHONES DEL MUNDO"/>
    <s v="EX "/>
    <s v="Colchão M.E."/>
    <m/>
    <s v="DIRETO"/>
    <n v="45072"/>
    <m/>
    <m/>
    <n v="29465.399999999998"/>
    <s v="MT "/>
    <n v="420"/>
    <m/>
    <n v="672"/>
    <n v="617.88"/>
    <m/>
    <m/>
    <m/>
    <m/>
    <m/>
    <m/>
    <m/>
    <m/>
    <m/>
    <m/>
    <s v="COLCHONES DEL MUNDO"/>
    <s v="CARLOS FIDENCIO D AVALOS RUIZ JUNIOR 34496952823"/>
    <n v="43.847321428571426"/>
  </r>
  <r>
    <x v="10"/>
    <x v="2"/>
    <s v="COLCHÃO M.E."/>
    <s v="DIRETO"/>
    <x v="10"/>
    <s v="NADA"/>
    <x v="2"/>
    <n v="46586"/>
    <n v="1904"/>
    <x v="196"/>
    <s v="COLCHONES DEL MUNDO"/>
    <s v="EX "/>
    <s v="Colchão M.E."/>
    <m/>
    <s v="DIRETO"/>
    <n v="45072"/>
    <m/>
    <m/>
    <n v="24009.200000000001"/>
    <s v="MT "/>
    <n v="450"/>
    <m/>
    <n v="622"/>
    <n v="614.51999999999987"/>
    <m/>
    <m/>
    <m/>
    <m/>
    <m/>
    <m/>
    <m/>
    <m/>
    <m/>
    <m/>
    <s v="COLCHONES DEL MUNDO"/>
    <s v="CARLOS FIDENCIO D AVALOS RUIZ JUNIOR 34496952823"/>
    <n v="38.6"/>
  </r>
  <r>
    <x v="1"/>
    <x v="2"/>
    <s v="COLCHÃO M.E."/>
    <s v="DIRETO"/>
    <x v="21"/>
    <s v="NADA"/>
    <x v="4"/>
    <n v="46971"/>
    <n v="1757"/>
    <x v="197"/>
    <s v="SUPERESPUMA"/>
    <s v="EX "/>
    <s v="Colchão M.E."/>
    <m/>
    <s v="CONEXÃO MALHAS"/>
    <n v="45098"/>
    <m/>
    <m/>
    <n v="38245.480000000003"/>
    <s v="MT "/>
    <n v="350"/>
    <m/>
    <n v="1862"/>
    <n v="1388.2600000000002"/>
    <m/>
    <m/>
    <m/>
    <m/>
    <m/>
    <m/>
    <m/>
    <m/>
    <m/>
    <m/>
    <s v="SUPERSPUMA DEL PARAGUAY S.A.E.C.A"/>
    <m/>
    <n v="20.540000000000003"/>
  </r>
  <r>
    <x v="1"/>
    <x v="2"/>
    <s v="COLCHÃO M.E."/>
    <s v="DIRETO"/>
    <x v="21"/>
    <s v="NADA"/>
    <x v="4"/>
    <n v="46971"/>
    <n v="1979"/>
    <x v="198"/>
    <s v="SUPERESPUMA"/>
    <s v="EX "/>
    <s v="Colchão M.E."/>
    <m/>
    <s v="CONEXÃO MALHAS"/>
    <n v="45098"/>
    <m/>
    <m/>
    <n v="36392.46"/>
    <s v="MT "/>
    <n v="320"/>
    <m/>
    <n v="1443"/>
    <n v="759.75999999999988"/>
    <m/>
    <m/>
    <m/>
    <m/>
    <m/>
    <m/>
    <m/>
    <m/>
    <m/>
    <m/>
    <s v="SUPERSPUMA DEL PARAGUAY S.A.E.C.A"/>
    <m/>
    <n v="25.22"/>
  </r>
  <r>
    <x v="1"/>
    <x v="2"/>
    <s v="COLCHÃO M.E."/>
    <s v="DIRETO"/>
    <x v="21"/>
    <s v="NADA"/>
    <x v="4"/>
    <n v="46971"/>
    <n v="1755"/>
    <x v="199"/>
    <s v="SUPERESPUMA"/>
    <s v="EX "/>
    <s v="Colchão M.E."/>
    <m/>
    <s v="CONEXÃO MALHAS"/>
    <n v="45098"/>
    <m/>
    <m/>
    <n v="39030.53"/>
    <s v="MT "/>
    <n v="290"/>
    <m/>
    <n v="2051"/>
    <n v="1222.8799999999997"/>
    <m/>
    <m/>
    <m/>
    <m/>
    <m/>
    <m/>
    <m/>
    <m/>
    <m/>
    <m/>
    <s v="SUPERSPUMA DEL PARAGUAY S.A.E.C.A"/>
    <m/>
    <n v="19.03"/>
  </r>
  <r>
    <x v="1"/>
    <x v="2"/>
    <s v="COLCHÃO M.E."/>
    <s v="DIRETO"/>
    <x v="21"/>
    <s v="NADA"/>
    <x v="4"/>
    <n v="46971"/>
    <n v="1759"/>
    <x v="200"/>
    <s v="SUPERESPUMA"/>
    <s v="EX "/>
    <s v="Colchão M.E."/>
    <m/>
    <s v="CONEXÃO MALHAS"/>
    <n v="45098"/>
    <m/>
    <m/>
    <n v="37536.36"/>
    <s v="MT "/>
    <n v="280"/>
    <m/>
    <n v="2229"/>
    <n v="1487.502"/>
    <m/>
    <m/>
    <m/>
    <m/>
    <m/>
    <m/>
    <m/>
    <m/>
    <m/>
    <m/>
    <s v="SUPERSPUMA DEL PARAGUAY S.A.E.C.A"/>
    <m/>
    <n v="16.84"/>
  </r>
  <r>
    <x v="1"/>
    <x v="2"/>
    <s v="COLCHÃO M.E."/>
    <s v="DIRETO"/>
    <x v="21"/>
    <s v="NADA"/>
    <x v="4"/>
    <n v="46971"/>
    <n v="1760"/>
    <x v="201"/>
    <s v="SUPERESPUMA"/>
    <s v="EX "/>
    <s v="Colchão M.E."/>
    <m/>
    <s v="CONEXÃO MALHAS"/>
    <n v="45098"/>
    <m/>
    <m/>
    <n v="23220.68"/>
    <s v="MT "/>
    <n v="180"/>
    <m/>
    <n v="2612"/>
    <n v="1220.2200000000003"/>
    <m/>
    <m/>
    <m/>
    <m/>
    <m/>
    <m/>
    <m/>
    <m/>
    <m/>
    <m/>
    <s v="SUPERSPUMA DEL PARAGUAY S.A.E.C.A"/>
    <m/>
    <n v="8.89"/>
  </r>
  <r>
    <x v="1"/>
    <x v="2"/>
    <s v="COLCHÃO M.E."/>
    <s v="DIRETO"/>
    <x v="21"/>
    <s v="NADA"/>
    <x v="4"/>
    <n v="46971"/>
    <n v="1758"/>
    <x v="202"/>
    <s v="SUPERESPUMA"/>
    <s v="EX "/>
    <s v="Colchão M.E."/>
    <m/>
    <s v="CONEXÃO MALHAS"/>
    <n v="45098"/>
    <m/>
    <m/>
    <n v="63344.2"/>
    <s v="MT "/>
    <n v="300"/>
    <m/>
    <n v="3452"/>
    <n v="2291.4800000000005"/>
    <m/>
    <m/>
    <m/>
    <m/>
    <m/>
    <m/>
    <m/>
    <m/>
    <m/>
    <m/>
    <s v="SUPERSPUMA DEL PARAGUAY S.A.E.C.A"/>
    <m/>
    <n v="18.349999999999998"/>
  </r>
  <r>
    <x v="1"/>
    <x v="2"/>
    <s v="COLCHÃO M.E."/>
    <s v="DIRETO"/>
    <x v="21"/>
    <s v="NADA"/>
    <x v="4"/>
    <n v="46971"/>
    <n v="1754"/>
    <x v="203"/>
    <s v="SUPERESPUMA"/>
    <s v="EX "/>
    <s v="Colchão M.E."/>
    <m/>
    <s v="CONEXÃO MALHAS"/>
    <n v="45098"/>
    <m/>
    <m/>
    <n v="17809.740000000002"/>
    <s v="MT "/>
    <n v="160"/>
    <m/>
    <n v="2301"/>
    <n v="960.08000000000015"/>
    <m/>
    <m/>
    <m/>
    <m/>
    <m/>
    <m/>
    <m/>
    <m/>
    <m/>
    <m/>
    <s v="SUPERSPUMA DEL PARAGUAY S.A.E.C.A"/>
    <m/>
    <n v="7.7400000000000011"/>
  </r>
  <r>
    <x v="1"/>
    <x v="2"/>
    <s v="COLCHÃO M.E."/>
    <s v="DIRETO"/>
    <x v="21"/>
    <s v="NADA"/>
    <x v="4"/>
    <n v="46971"/>
    <n v="1761"/>
    <x v="204"/>
    <s v="SUPERESPUMA"/>
    <s v="EX "/>
    <s v="Colchão M.E."/>
    <m/>
    <s v="CONEXÃO MALHAS"/>
    <n v="45098"/>
    <m/>
    <m/>
    <n v="15621.24"/>
    <s v="MT "/>
    <n v="280"/>
    <m/>
    <n v="1047"/>
    <n v="613.29999999999995"/>
    <m/>
    <m/>
    <m/>
    <m/>
    <m/>
    <m/>
    <m/>
    <m/>
    <m/>
    <m/>
    <s v="SUPERSPUMA DEL PARAGUAY S.A.E.C.A"/>
    <m/>
    <n v="14.92"/>
  </r>
  <r>
    <x v="1"/>
    <x v="2"/>
    <s v="COLCHÃO M.E."/>
    <s v="DIRETO"/>
    <x v="21"/>
    <s v="NADA"/>
    <x v="4"/>
    <n v="46971"/>
    <n v="1762"/>
    <x v="205"/>
    <s v="SUPERESPUMA"/>
    <s v="EX "/>
    <s v="Colchão M.E."/>
    <m/>
    <s v="CONEXÃO MALHAS"/>
    <n v="45098"/>
    <m/>
    <m/>
    <n v="21199.200000000001"/>
    <s v="MT "/>
    <n v="280"/>
    <m/>
    <n v="1210"/>
    <n v="730.81999999999994"/>
    <m/>
    <m/>
    <m/>
    <m/>
    <m/>
    <m/>
    <m/>
    <m/>
    <m/>
    <m/>
    <s v="SUPERSPUMA DEL PARAGUAY S.A.E.C.A"/>
    <m/>
    <n v="17.52"/>
  </r>
  <r>
    <x v="1"/>
    <x v="2"/>
    <s v="COLCHÃO M.E."/>
    <s v="DIRETO"/>
    <x v="10"/>
    <s v="NADA"/>
    <x v="2"/>
    <n v="47129"/>
    <n v="2001"/>
    <x v="206"/>
    <s v="COLCHONES DEL MUNDO"/>
    <s v="EX "/>
    <s v="Colchão M.E."/>
    <m/>
    <s v="DIRETO"/>
    <n v="45107"/>
    <m/>
    <m/>
    <n v="14925.98"/>
    <s v="MT "/>
    <n v="430"/>
    <m/>
    <n v="466"/>
    <n v="453.25799999999998"/>
    <m/>
    <m/>
    <m/>
    <m/>
    <m/>
    <m/>
    <m/>
    <m/>
    <m/>
    <m/>
    <s v="COLCHONES DEL MUNDO SPA"/>
    <s v="CARLOS FIDENCIO D AVALOS RUIZ JUNIOR 34496952823"/>
    <n v="32.03"/>
  </r>
  <r>
    <x v="1"/>
    <x v="2"/>
    <s v="COLCHÃO M.E."/>
    <s v="DIRETO"/>
    <x v="10"/>
    <s v="NADA"/>
    <x v="2"/>
    <n v="47129"/>
    <n v="2000"/>
    <x v="207"/>
    <s v="COLCHONES DEL MUNDO"/>
    <s v="EX "/>
    <s v="Colchão M.E."/>
    <m/>
    <s v="DIRETO"/>
    <n v="45107"/>
    <m/>
    <m/>
    <n v="13466.88"/>
    <s v="MT "/>
    <n v="380"/>
    <m/>
    <n v="501"/>
    <n v="458.18"/>
    <m/>
    <m/>
    <m/>
    <m/>
    <m/>
    <m/>
    <m/>
    <m/>
    <m/>
    <m/>
    <s v="COLCHONES DEL MUNDO SPA"/>
    <s v="CARLOS FIDENCIO D AVALOS RUIZ JUNIOR 34496952823"/>
    <n v="26.88"/>
  </r>
  <r>
    <x v="1"/>
    <x v="2"/>
    <s v="COLCHÃO M.E."/>
    <s v="DIRETO"/>
    <x v="10"/>
    <s v="NADA"/>
    <x v="2"/>
    <n v="47129"/>
    <n v="2002"/>
    <x v="208"/>
    <s v="COLCHONES DEL MUNDO"/>
    <s v="EX "/>
    <s v="Colchão M.E."/>
    <m/>
    <s v="DIRETO"/>
    <n v="45107"/>
    <m/>
    <m/>
    <n v="15486.66"/>
    <s v="MT "/>
    <n v="440"/>
    <m/>
    <n v="482"/>
    <n v="447.94"/>
    <m/>
    <m/>
    <m/>
    <m/>
    <m/>
    <m/>
    <m/>
    <m/>
    <m/>
    <m/>
    <s v="COLCHONES DEL MUNDO SPA"/>
    <s v="CARLOS FIDENCIO D AVALOS RUIZ JUNIOR 34496952823"/>
    <n v="32.130000000000003"/>
  </r>
  <r>
    <x v="1"/>
    <x v="2"/>
    <s v="COLCHÃO M.E."/>
    <s v="DIRETO"/>
    <x v="10"/>
    <s v="NADA"/>
    <x v="2"/>
    <n v="47129"/>
    <n v="1999"/>
    <x v="209"/>
    <s v="COLCHONES DEL MUNDO"/>
    <s v="EX "/>
    <s v="Colchão M.E."/>
    <m/>
    <s v="DIRETO"/>
    <n v="45107"/>
    <m/>
    <m/>
    <n v="28575.690000000013"/>
    <s v="MT "/>
    <n v="440"/>
    <m/>
    <n v="564"/>
    <n v="534.08000000000004"/>
    <m/>
    <m/>
    <m/>
    <m/>
    <m/>
    <m/>
    <m/>
    <m/>
    <m/>
    <m/>
    <s v="COLCHONES DEL MUNDO SPA"/>
    <s v="CARLOS FIDENCIO D AVALOS RUIZ JUNIOR 34496952823"/>
    <n v="50.666117021276619"/>
  </r>
  <r>
    <x v="1"/>
    <x v="2"/>
    <s v="COLCHÃO M.E."/>
    <s v="DIRETO"/>
    <x v="22"/>
    <s v="NADA"/>
    <x v="3"/>
    <n v="47145"/>
    <n v="2049"/>
    <x v="210"/>
    <s v="RMD RECYCLING"/>
    <s v="EX "/>
    <s v="Colchão M.E."/>
    <m/>
    <s v="DIRETO"/>
    <n v="45107"/>
    <m/>
    <m/>
    <n v="8435.19"/>
    <s v="MT "/>
    <m/>
    <m/>
    <n v="1174"/>
    <n v="130.31"/>
    <m/>
    <m/>
    <m/>
    <m/>
    <m/>
    <m/>
    <m/>
    <m/>
    <m/>
    <m/>
    <s v="RMD RECYCLING 753 LLC"/>
    <s v="CARLOS FIDENCIO D AVALOS RUIZ JUNIOR 34496952823"/>
    <n v="7.1850000000000005"/>
  </r>
  <r>
    <x v="1"/>
    <x v="2"/>
    <s v="COLCHÃO M.E."/>
    <s v="DIRETO"/>
    <x v="22"/>
    <s v="NADA"/>
    <x v="3"/>
    <n v="47145"/>
    <n v="1880"/>
    <x v="211"/>
    <s v="RMD RECYCLING"/>
    <s v="EX "/>
    <s v="Colchão M.E."/>
    <m/>
    <s v="DIRETO"/>
    <n v="45107"/>
    <m/>
    <m/>
    <n v="20588.03"/>
    <s v="MT "/>
    <n v="280"/>
    <m/>
    <n v="614"/>
    <n v="397.10000000000008"/>
    <m/>
    <m/>
    <m/>
    <m/>
    <m/>
    <m/>
    <m/>
    <m/>
    <m/>
    <m/>
    <s v="RMD RECYCLING 753 LLC"/>
    <s v="CARLOS FIDENCIO D AVALOS RUIZ JUNIOR 34496952823"/>
    <n v="33.530993485342016"/>
  </r>
  <r>
    <x v="1"/>
    <x v="2"/>
    <s v="COLCHÃO M.E."/>
    <s v="DIRETO"/>
    <x v="22"/>
    <s v="NADA"/>
    <x v="3"/>
    <n v="47145"/>
    <n v="2050"/>
    <x v="212"/>
    <s v="RMD RECYCLING"/>
    <s v="EX "/>
    <s v="Colchão M.E."/>
    <m/>
    <s v="DIRETO"/>
    <n v="45107"/>
    <m/>
    <m/>
    <n v="7062.86"/>
    <s v="MT "/>
    <m/>
    <m/>
    <n v="983"/>
    <n v="109.11"/>
    <m/>
    <m/>
    <m/>
    <m/>
    <m/>
    <m/>
    <m/>
    <m/>
    <m/>
    <m/>
    <s v="RMD RECYCLING 753 LLC"/>
    <s v="CARLOS FIDENCIO D AVALOS RUIZ JUNIOR 34496952823"/>
    <n v="7.1850050864699897"/>
  </r>
  <r>
    <x v="1"/>
    <x v="2"/>
    <s v="COLCHÃO M.E."/>
    <s v="DIRETO"/>
    <x v="22"/>
    <s v="NADA"/>
    <x v="3"/>
    <n v="47145"/>
    <n v="1885"/>
    <x v="213"/>
    <s v="RMD RECYCLING"/>
    <s v="EX "/>
    <s v="Colchão M.E."/>
    <m/>
    <s v="DIRETO"/>
    <n v="45107"/>
    <m/>
    <m/>
    <n v="14820.7"/>
    <s v="MT "/>
    <n v="280"/>
    <m/>
    <n v="442"/>
    <n v="330.95000000000005"/>
    <m/>
    <m/>
    <m/>
    <m/>
    <m/>
    <m/>
    <m/>
    <m/>
    <m/>
    <m/>
    <s v="RMD RECYCLING 753 LLC"/>
    <s v="CARLOS FIDENCIO D AVALOS RUIZ JUNIOR 34496952823"/>
    <n v="33.530995475113123"/>
  </r>
  <r>
    <x v="1"/>
    <x v="2"/>
    <s v="COLCHÃO M.E."/>
    <s v="DIRETO"/>
    <x v="22"/>
    <s v="NADA"/>
    <x v="3"/>
    <n v="47145"/>
    <n v="2051"/>
    <x v="214"/>
    <s v="RMD RECYCLING"/>
    <s v="EX "/>
    <s v="Colchão M.E."/>
    <m/>
    <s v="DIRETO"/>
    <n v="45107"/>
    <m/>
    <m/>
    <n v="287.41000000000003"/>
    <s v="UN "/>
    <m/>
    <m/>
    <n v="1"/>
    <n v="31.277000000000001"/>
    <m/>
    <m/>
    <m/>
    <m/>
    <m/>
    <m/>
    <m/>
    <m/>
    <m/>
    <m/>
    <s v="RMD RECYCLING 753 LLC"/>
    <s v="CARLOS FIDENCIO D AVALOS RUIZ JUNIOR 34496952823"/>
    <n v="287.41000000000003"/>
  </r>
  <r>
    <x v="1"/>
    <x v="2"/>
    <s v="COLCHÃO M.E."/>
    <s v="DIRETO"/>
    <x v="22"/>
    <s v="NADA"/>
    <x v="3"/>
    <n v="47145"/>
    <n v="2041"/>
    <x v="215"/>
    <s v="RMD RECYCLING"/>
    <s v="EX "/>
    <s v="Colchão M.E."/>
    <m/>
    <s v="DIRETO"/>
    <n v="45107"/>
    <m/>
    <m/>
    <n v="30298"/>
    <s v="UN "/>
    <m/>
    <m/>
    <n v="100"/>
    <n v="1134.5999999999999"/>
    <m/>
    <m/>
    <m/>
    <m/>
    <m/>
    <m/>
    <m/>
    <m/>
    <m/>
    <m/>
    <s v="RMD RECYCLING 753 LLC"/>
    <s v="CARLOS FIDENCIO D AVALOS RUIZ JUNIOR 34496952823"/>
    <n v="302.98"/>
  </r>
  <r>
    <x v="1"/>
    <x v="2"/>
    <s v="COLCHÃO M.E."/>
    <s v="DIRETO"/>
    <x v="22"/>
    <s v="NADA"/>
    <x v="3"/>
    <n v="47145"/>
    <n v="1883"/>
    <x v="216"/>
    <s v="RMD RECYCLING"/>
    <s v="EX "/>
    <s v="Colchão M.E."/>
    <m/>
    <s v="DIRETO"/>
    <n v="45107"/>
    <m/>
    <m/>
    <n v="17268.47"/>
    <s v="MT "/>
    <n v="280"/>
    <m/>
    <n v="515"/>
    <n v="359.04"/>
    <m/>
    <m/>
    <m/>
    <m/>
    <m/>
    <m/>
    <m/>
    <m/>
    <m/>
    <m/>
    <s v="RMD RECYCLING 753 LLC"/>
    <s v="CARLOS FIDENCIO D AVALOS RUIZ JUNIOR 34496952823"/>
    <n v="33.531009708737869"/>
  </r>
  <r>
    <x v="1"/>
    <x v="2"/>
    <s v="COLCHÃO M.E."/>
    <s v="DIRETO"/>
    <x v="22"/>
    <s v="NADA"/>
    <x v="3"/>
    <n v="47145"/>
    <n v="1886"/>
    <x v="217"/>
    <s v="RMD RECYCLING"/>
    <s v="EX "/>
    <s v="Colchão M.E."/>
    <m/>
    <s v="DIRETO"/>
    <n v="45107"/>
    <m/>
    <m/>
    <n v="17905.55"/>
    <s v="MT "/>
    <n v="280"/>
    <m/>
    <n v="534"/>
    <n v="359.83"/>
    <m/>
    <m/>
    <m/>
    <m/>
    <m/>
    <m/>
    <m/>
    <m/>
    <m/>
    <m/>
    <s v="RMD RECYCLING 753 LLC"/>
    <s v="CARLOS FIDENCIO D AVALOS RUIZ JUNIOR 34496952823"/>
    <n v="33.530992509363294"/>
  </r>
  <r>
    <x v="1"/>
    <x v="2"/>
    <s v="COLCHÃO M.E."/>
    <s v="DIRETO"/>
    <x v="22"/>
    <s v="NADA"/>
    <x v="3"/>
    <n v="47145"/>
    <n v="2048"/>
    <x v="218"/>
    <s v="RMD RECYCLING"/>
    <s v="EX "/>
    <s v="Colchão M.E."/>
    <m/>
    <s v="DIRETO"/>
    <n v="45107"/>
    <m/>
    <m/>
    <n v="3134.53"/>
    <s v="MT "/>
    <m/>
    <m/>
    <n v="6397"/>
    <n v="43.22"/>
    <m/>
    <m/>
    <m/>
    <m/>
    <m/>
    <m/>
    <m/>
    <m/>
    <m/>
    <m/>
    <s v="RMD RECYCLING 753 LLC"/>
    <s v="CARLOS FIDENCIO D AVALOS RUIZ JUNIOR 34496952823"/>
    <n v="0.49000000000000005"/>
  </r>
  <r>
    <x v="1"/>
    <x v="2"/>
    <s v="COLCHÃO M.E."/>
    <s v="DIRETO"/>
    <x v="22"/>
    <s v="NADA"/>
    <x v="3"/>
    <n v="47145"/>
    <n v="2047"/>
    <x v="219"/>
    <s v="RMD RECYCLING"/>
    <s v="EX "/>
    <s v="Colchão M.E."/>
    <m/>
    <s v="DIRETO"/>
    <n v="45107"/>
    <m/>
    <m/>
    <n v="3163.93"/>
    <s v="MT "/>
    <m/>
    <m/>
    <n v="6457"/>
    <n v="43.22"/>
    <m/>
    <m/>
    <m/>
    <m/>
    <m/>
    <m/>
    <m/>
    <m/>
    <m/>
    <m/>
    <s v="RMD RECYCLING 753 LLC"/>
    <s v="CARLOS FIDENCIO D AVALOS RUIZ JUNIOR 34496952823"/>
    <n v="0.49"/>
  </r>
  <r>
    <x v="1"/>
    <x v="2"/>
    <s v="COLCHÃO M.E."/>
    <s v="DIRETO"/>
    <x v="22"/>
    <s v="NADA"/>
    <x v="3"/>
    <n v="47145"/>
    <n v="1995"/>
    <x v="220"/>
    <s v="RMD RECYCLING"/>
    <s v="EX "/>
    <s v="Colchão M.E."/>
    <m/>
    <s v="DIRETO"/>
    <n v="45107"/>
    <m/>
    <m/>
    <n v="24908"/>
    <s v="M2 "/>
    <m/>
    <m/>
    <n v="2000"/>
    <n v="0"/>
    <m/>
    <m/>
    <m/>
    <m/>
    <m/>
    <m/>
    <m/>
    <m/>
    <m/>
    <m/>
    <s v="RMD RECYCLING 753 LLC"/>
    <s v="CARLOS FIDENCIO D AVALOS RUIZ JUNIOR 34496952823"/>
    <n v="12.454000000000001"/>
  </r>
  <r>
    <x v="1"/>
    <x v="2"/>
    <s v="COLCHÃO M.E."/>
    <s v="DIRETO"/>
    <x v="4"/>
    <s v="NADA"/>
    <x v="0"/>
    <n v="47155"/>
    <n v="1992"/>
    <x v="221"/>
    <s v="WENTURS TRADE"/>
    <s v="EX "/>
    <s v="Colchão M.E."/>
    <m/>
    <s v="DIRETO"/>
    <n v="45107"/>
    <m/>
    <m/>
    <n v="11989.12"/>
    <s v="MT "/>
    <m/>
    <m/>
    <n v="2096"/>
    <n v="232.65599999999998"/>
    <m/>
    <m/>
    <m/>
    <m/>
    <m/>
    <m/>
    <m/>
    <m/>
    <m/>
    <m/>
    <s v="WENTURS TRADE"/>
    <s v="CONEXAO MALHAS E DESENVOLVIMENTO LTDA"/>
    <n v="5.7200000000000006"/>
  </r>
  <r>
    <x v="1"/>
    <x v="2"/>
    <s v="COLCHÃO M.E."/>
    <s v="DIRETO"/>
    <x v="4"/>
    <s v="NADA"/>
    <x v="0"/>
    <n v="47155"/>
    <n v="1990"/>
    <x v="222"/>
    <s v="WENTURS TRADE"/>
    <s v="EX "/>
    <s v="Colchão M.E."/>
    <m/>
    <s v="DIRETO"/>
    <n v="45107"/>
    <m/>
    <m/>
    <n v="11468.6"/>
    <s v="MT "/>
    <m/>
    <m/>
    <n v="2005"/>
    <n v="322.80499999999995"/>
    <m/>
    <m/>
    <m/>
    <m/>
    <m/>
    <m/>
    <m/>
    <m/>
    <m/>
    <m/>
    <s v="WENTURS TRADE"/>
    <s v="CONEXAO MALHAS E DESENVOLVIMENTO LTDA"/>
    <n v="5.72"/>
  </r>
  <r>
    <x v="1"/>
    <x v="2"/>
    <s v="COLCHÃO M.E."/>
    <s v="DIRETO"/>
    <x v="4"/>
    <s v="NADA"/>
    <x v="0"/>
    <n v="47155"/>
    <n v="1991"/>
    <x v="223"/>
    <s v="WENTURS TRADE"/>
    <s v="EX "/>
    <s v="Colchão M.E."/>
    <m/>
    <s v="DIRETO"/>
    <n v="45107"/>
    <m/>
    <m/>
    <n v="7207.2"/>
    <s v="MT "/>
    <m/>
    <m/>
    <n v="1260"/>
    <n v="202.85999999999999"/>
    <m/>
    <m/>
    <m/>
    <m/>
    <m/>
    <m/>
    <m/>
    <m/>
    <m/>
    <m/>
    <s v="WENTURS TRADE"/>
    <s v="CONEXAO MALHAS E DESENVOLVIMENTO LTDA"/>
    <n v="5.72"/>
  </r>
  <r>
    <x v="2"/>
    <x v="2"/>
    <s v="COLCHÃO M.E."/>
    <s v="DIRETO"/>
    <x v="1"/>
    <s v="NADA"/>
    <x v="1"/>
    <n v="47239"/>
    <n v="1226"/>
    <x v="170"/>
    <s v="DIVINO COLCHONES"/>
    <s v="EX "/>
    <s v="Colchão M.E."/>
    <m/>
    <s v="CONEXÃO MALHAS"/>
    <n v="45114"/>
    <m/>
    <m/>
    <n v="65322.6"/>
    <s v="MT "/>
    <n v="260"/>
    <m/>
    <n v="4228"/>
    <n v="2541.5299999999993"/>
    <m/>
    <m/>
    <m/>
    <m/>
    <m/>
    <m/>
    <m/>
    <m/>
    <m/>
    <m/>
    <s v="DIVINO S.A"/>
    <s v="CONEXAO MALHAS E DESENVOLVIMENTO LTDA"/>
    <n v="15.45"/>
  </r>
  <r>
    <x v="2"/>
    <x v="2"/>
    <s v="COLCHÃO M.E."/>
    <s v="DIRETO"/>
    <x v="1"/>
    <s v="NADA"/>
    <x v="1"/>
    <n v="47239"/>
    <n v="1225"/>
    <x v="194"/>
    <s v="DIVINO COLCHONES"/>
    <s v="EX "/>
    <s v="Colchão M.E."/>
    <m/>
    <s v="CONEXÃO MALHAS"/>
    <n v="45114"/>
    <m/>
    <m/>
    <n v="34998.75"/>
    <s v="MT "/>
    <n v="240"/>
    <m/>
    <n v="2295"/>
    <n v="1266.9399999999996"/>
    <m/>
    <m/>
    <m/>
    <m/>
    <m/>
    <m/>
    <m/>
    <m/>
    <m/>
    <m/>
    <s v="DIVINO S.A"/>
    <s v="CONEXAO MALHAS E DESENVOLVIMENTO LTDA"/>
    <n v="15.25"/>
  </r>
  <r>
    <x v="2"/>
    <x v="2"/>
    <s v="COLCHÃO M.E."/>
    <s v="DIRETO"/>
    <x v="1"/>
    <s v="NADA"/>
    <x v="1"/>
    <n v="47239"/>
    <n v="2054"/>
    <x v="224"/>
    <s v="DIVINO COLCHONES"/>
    <s v="EX "/>
    <s v="Colchão M.E."/>
    <m/>
    <s v="CONEXÃO MALHAS"/>
    <n v="45114"/>
    <m/>
    <m/>
    <n v="36391.68"/>
    <s v="MT "/>
    <n v="280"/>
    <m/>
    <n v="2187"/>
    <n v="1349.64"/>
    <m/>
    <m/>
    <m/>
    <m/>
    <m/>
    <m/>
    <m/>
    <m/>
    <m/>
    <m/>
    <s v="DIVINO S.A"/>
    <s v="CONEXAO MALHAS E DESENVOLVIMENTO LTDA"/>
    <n v="16.64"/>
  </r>
  <r>
    <x v="2"/>
    <x v="2"/>
    <s v="COLCHÃO M.E."/>
    <s v="DIRETO"/>
    <x v="1"/>
    <s v="NADA"/>
    <x v="1"/>
    <n v="47239"/>
    <n v="1237"/>
    <x v="171"/>
    <s v="DIVINO COLCHONES"/>
    <s v="EX "/>
    <s v="Colchão M.E."/>
    <m/>
    <s v="CONEXÃO MALHAS"/>
    <n v="45114"/>
    <m/>
    <m/>
    <n v="19756.8"/>
    <s v="MT "/>
    <n v="300"/>
    <m/>
    <n v="1008"/>
    <n v="730.28"/>
    <m/>
    <m/>
    <m/>
    <m/>
    <m/>
    <m/>
    <m/>
    <m/>
    <m/>
    <m/>
    <s v="DIVINO S.A"/>
    <s v="CONEXAO MALHAS E DESENVOLVIMENTO LTDA"/>
    <n v="19.599999999999998"/>
  </r>
  <r>
    <x v="2"/>
    <x v="2"/>
    <s v="COLCHÃO M.E."/>
    <s v="DIRETO"/>
    <x v="1"/>
    <s v="NADA"/>
    <x v="1"/>
    <n v="47239"/>
    <n v="1504"/>
    <x v="167"/>
    <s v="DIVINO COLCHONES"/>
    <s v="EX "/>
    <s v="Colchão M.E."/>
    <m/>
    <s v="CONEXÃO MALHAS"/>
    <n v="45114"/>
    <m/>
    <m/>
    <n v="43184.34"/>
    <s v="MT "/>
    <n v="240"/>
    <m/>
    <n v="2806"/>
    <n v="1568.84"/>
    <m/>
    <m/>
    <m/>
    <m/>
    <m/>
    <m/>
    <m/>
    <m/>
    <m/>
    <m/>
    <s v="DIVINO S.A"/>
    <s v="CONEXAO MALHAS E DESENVOLVIMENTO LTDA"/>
    <n v="15.389999999999999"/>
  </r>
  <r>
    <x v="2"/>
    <x v="2"/>
    <s v="COLCHÃO M.E."/>
    <s v="DIRETO"/>
    <x v="1"/>
    <s v="NADA"/>
    <x v="1"/>
    <n v="47239"/>
    <n v="1506"/>
    <x v="162"/>
    <s v="DIVINO COLCHONES"/>
    <s v="EX "/>
    <s v="Colchão M.E."/>
    <m/>
    <s v="CONEXÃO MALHAS"/>
    <n v="45114"/>
    <m/>
    <m/>
    <n v="9227.4"/>
    <s v="MT "/>
    <n v="280"/>
    <m/>
    <n v="507"/>
    <n v="335.71999999999991"/>
    <m/>
    <m/>
    <m/>
    <m/>
    <m/>
    <m/>
    <m/>
    <m/>
    <m/>
    <m/>
    <s v="DIVINO S.A"/>
    <s v="CONEXAO MALHAS E DESENVOLVIMENTO LTDA"/>
    <n v="18.2"/>
  </r>
  <r>
    <x v="2"/>
    <x v="2"/>
    <s v="COLCHÃO M.E."/>
    <s v="DIRETO"/>
    <x v="1"/>
    <s v="NADA"/>
    <x v="1"/>
    <n v="47239"/>
    <n v="1503"/>
    <x v="169"/>
    <s v="DIVINO COLCHONES"/>
    <s v="EX "/>
    <s v="Colchão M.E."/>
    <m/>
    <s v="CONEXÃO MALHAS"/>
    <n v="45114"/>
    <m/>
    <m/>
    <n v="12388.73"/>
    <s v="MT "/>
    <n v="260"/>
    <m/>
    <n v="700.72"/>
    <n v="415.13999999999993"/>
    <m/>
    <m/>
    <m/>
    <m/>
    <m/>
    <m/>
    <m/>
    <m/>
    <m/>
    <m/>
    <s v="DIVINO S.A"/>
    <s v="CONEXAO MALHAS E DESENVOLVIMENTO LTDA"/>
    <n v="17.680000570841418"/>
  </r>
  <r>
    <x v="2"/>
    <x v="2"/>
    <s v="COLCHÃO M.E."/>
    <s v="DIRETO"/>
    <x v="1"/>
    <s v="NADA"/>
    <x v="1"/>
    <n v="47239"/>
    <n v="1525"/>
    <x v="185"/>
    <s v="DIVINO COLCHONES"/>
    <s v="EX "/>
    <s v="Colchão M.E."/>
    <m/>
    <s v="CONEXÃO MALHAS"/>
    <n v="45114"/>
    <m/>
    <m/>
    <n v="26107.200000000001"/>
    <s v="MT "/>
    <n v="320"/>
    <m/>
    <n v="1332"/>
    <n v="877.05999999999983"/>
    <m/>
    <m/>
    <m/>
    <m/>
    <m/>
    <m/>
    <m/>
    <m/>
    <m/>
    <m/>
    <s v="DIVINO S.A"/>
    <s v="CONEXAO MALHAS E DESENVOLVIMENTO LTDA"/>
    <n v="19.600000000000001"/>
  </r>
  <r>
    <x v="2"/>
    <x v="2"/>
    <s v="COLCHÃO M.E."/>
    <s v="DIRETO"/>
    <x v="1"/>
    <s v="NADA"/>
    <x v="1"/>
    <n v="47239"/>
    <n v="1523"/>
    <x v="184"/>
    <s v="DIVINO COLCHONES"/>
    <s v="EX "/>
    <s v="Colchão M.E."/>
    <m/>
    <s v="CONEXÃO MALHAS"/>
    <n v="45114"/>
    <m/>
    <m/>
    <n v="4488"/>
    <s v="MT "/>
    <m/>
    <m/>
    <n v="600"/>
    <n v="118.8"/>
    <m/>
    <m/>
    <m/>
    <m/>
    <m/>
    <m/>
    <m/>
    <m/>
    <m/>
    <m/>
    <s v="DIVINO S.A"/>
    <s v="CONEXAO MALHAS E DESENVOLVIMENTO LTDA"/>
    <n v="7.48"/>
  </r>
  <r>
    <x v="2"/>
    <x v="2"/>
    <s v="COLCHÃO M.E."/>
    <s v="DIRETO"/>
    <x v="1"/>
    <s v="NADA"/>
    <x v="1"/>
    <n v="47239"/>
    <n v="1524"/>
    <x v="186"/>
    <s v="DIVINO COLCHONES"/>
    <s v="EX "/>
    <s v="Colchão M.E."/>
    <m/>
    <s v="CONEXÃO MALHAS"/>
    <n v="45114"/>
    <m/>
    <m/>
    <n v="30318.080000000002"/>
    <s v="MT "/>
    <m/>
    <m/>
    <n v="3644"/>
    <n v="732.73800000000006"/>
    <m/>
    <m/>
    <m/>
    <m/>
    <m/>
    <m/>
    <m/>
    <m/>
    <m/>
    <m/>
    <s v="DIVINO S.A"/>
    <s v="CONEXAO MALHAS E DESENVOLVIMENTO LTDA"/>
    <n v="8.32"/>
  </r>
  <r>
    <x v="2"/>
    <x v="2"/>
    <s v="COLCHÃO M.E."/>
    <s v="DIRETO"/>
    <x v="1"/>
    <s v="NADA"/>
    <x v="1"/>
    <n v="47239"/>
    <n v="2053"/>
    <x v="225"/>
    <s v="DIVINO COLCHONES"/>
    <s v="EX "/>
    <s v="Colchão M.E."/>
    <m/>
    <s v="CONEXÃO MALHAS"/>
    <n v="45114"/>
    <m/>
    <m/>
    <n v="18733.830000000002"/>
    <s v="MT "/>
    <n v="300"/>
    <m/>
    <n v="1059.606"/>
    <n v="752.48"/>
    <m/>
    <m/>
    <m/>
    <m/>
    <m/>
    <m/>
    <m/>
    <m/>
    <m/>
    <m/>
    <s v="DIVINO S.A"/>
    <s v="CONEXAO MALHAS E DESENVOLVIMENTO LTDA"/>
    <n v="17.679996149512178"/>
  </r>
  <r>
    <x v="2"/>
    <x v="2"/>
    <s v="COLCHÃO M.E."/>
    <s v="DIRETO"/>
    <x v="23"/>
    <s v="NADA"/>
    <x v="4"/>
    <n v="47415"/>
    <n v="1984"/>
    <x v="226"/>
    <s v="NM ESPUMA S.A."/>
    <s v="EX "/>
    <s v="Colchão M.E."/>
    <m/>
    <s v="CONEXÃO MALHAS"/>
    <n v="45124"/>
    <m/>
    <m/>
    <n v="8747.76"/>
    <s v="MT "/>
    <m/>
    <m/>
    <n v="492"/>
    <n v="334.81999999999994"/>
    <m/>
    <m/>
    <m/>
    <m/>
    <m/>
    <m/>
    <m/>
    <m/>
    <m/>
    <m/>
    <s v="NM ESPUMA S.A."/>
    <s v="CONEXAO MALHAS E DESENVOLVIMENTO LTDA"/>
    <n v="17.78"/>
  </r>
  <r>
    <x v="2"/>
    <x v="2"/>
    <s v="COLCHÃO M.E."/>
    <s v="DIRETO"/>
    <x v="23"/>
    <s v="NADA"/>
    <x v="4"/>
    <n v="47415"/>
    <n v="1982"/>
    <x v="227"/>
    <s v="NM ESPUMA S.A."/>
    <s v="EX "/>
    <s v="Colchão M.E."/>
    <m/>
    <s v="CONEXÃO MALHAS"/>
    <n v="45124"/>
    <m/>
    <m/>
    <n v="5098.32"/>
    <s v="MT "/>
    <m/>
    <m/>
    <n v="438"/>
    <n v="178.95999999999998"/>
    <m/>
    <m/>
    <m/>
    <m/>
    <m/>
    <m/>
    <m/>
    <m/>
    <m/>
    <m/>
    <s v="NM ESPUMA S.A."/>
    <s v="CONEXAO MALHAS E DESENVOLVIMENTO LTDA"/>
    <n v="11.639999999999999"/>
  </r>
  <r>
    <x v="2"/>
    <x v="2"/>
    <s v="COLCHÃO M.E."/>
    <s v="DIRETO"/>
    <x v="23"/>
    <s v="NADA"/>
    <x v="4"/>
    <n v="47415"/>
    <n v="1981"/>
    <x v="228"/>
    <s v="NM ESPUMA S.A."/>
    <s v="EX "/>
    <s v="Colchão M.E."/>
    <m/>
    <s v="CONEXÃO MALHAS"/>
    <n v="45124"/>
    <m/>
    <m/>
    <n v="9396"/>
    <s v="MT "/>
    <m/>
    <m/>
    <n v="522"/>
    <n v="327.86"/>
    <m/>
    <m/>
    <m/>
    <m/>
    <m/>
    <m/>
    <m/>
    <m/>
    <m/>
    <m/>
    <s v="NM ESPUMA S.A."/>
    <s v="CONEXAO MALHAS E DESENVOLVIMENTO LTDA"/>
    <n v="18"/>
  </r>
  <r>
    <x v="2"/>
    <x v="2"/>
    <s v="COLCHÃO M.E."/>
    <s v="DIRETO"/>
    <x v="23"/>
    <s v="NADA"/>
    <x v="4"/>
    <n v="47415"/>
    <n v="1986"/>
    <x v="229"/>
    <s v="NM ESPUMA S.A."/>
    <s v="EX "/>
    <s v="Colchão M.E."/>
    <m/>
    <s v="CONEXÃO MALHAS"/>
    <n v="45124"/>
    <m/>
    <m/>
    <n v="4318.08"/>
    <s v="MT "/>
    <m/>
    <m/>
    <n v="519"/>
    <n v="199.13900000000001"/>
    <m/>
    <m/>
    <m/>
    <m/>
    <m/>
    <m/>
    <m/>
    <m/>
    <m/>
    <m/>
    <s v="NM ESPUMA S.A."/>
    <s v="CONEXAO MALHAS E DESENVOLVIMENTO LTDA"/>
    <n v="8.32"/>
  </r>
  <r>
    <x v="2"/>
    <x v="2"/>
    <s v="COLCHÃO M.E."/>
    <s v="DIRETO"/>
    <x v="1"/>
    <s v="NADA"/>
    <x v="1"/>
    <n v="47495"/>
    <n v="1225"/>
    <x v="194"/>
    <s v="DIVINO COLCHONES"/>
    <s v="EX "/>
    <s v="Colchão M.E."/>
    <m/>
    <s v="CONEXÃO MALHAS"/>
    <n v="45126"/>
    <m/>
    <m/>
    <n v="12099.94"/>
    <s v="MT "/>
    <m/>
    <m/>
    <n v="1084"/>
    <n v="624.29999999999995"/>
    <m/>
    <m/>
    <m/>
    <m/>
    <m/>
    <m/>
    <m/>
    <m/>
    <m/>
    <m/>
    <s v="DIVINO S.A"/>
    <s v="CONEXAO MALHAS E DESENVOLVIMENTO LTDA"/>
    <n v="11.162306273062731"/>
  </r>
  <r>
    <x v="2"/>
    <x v="2"/>
    <s v="COLCHÃO M.E."/>
    <s v="DIRETO"/>
    <x v="1"/>
    <s v="NADA"/>
    <x v="1"/>
    <n v="47495"/>
    <n v="2157"/>
    <x v="230"/>
    <s v="DIVINO COLCHONES"/>
    <s v="EX "/>
    <s v="Colchão M.E."/>
    <m/>
    <s v="CONEXÃO MALHAS"/>
    <n v="45126"/>
    <m/>
    <m/>
    <n v="18532.73"/>
    <s v="MT "/>
    <m/>
    <m/>
    <n v="1039"/>
    <n v="779.5"/>
    <m/>
    <m/>
    <m/>
    <m/>
    <m/>
    <m/>
    <m/>
    <m/>
    <m/>
    <m/>
    <s v="DIVINO S.A"/>
    <s v="CONEXAO MALHAS E DESENVOLVIMENTO LTDA"/>
    <n v="17.837083734359961"/>
  </r>
  <r>
    <x v="2"/>
    <x v="2"/>
    <s v="COLCHÃO M.E."/>
    <s v="DIRETO"/>
    <x v="10"/>
    <s v="NADA"/>
    <x v="2"/>
    <n v="47716"/>
    <n v="1904"/>
    <x v="196"/>
    <s v="COLCHONES DEL MUNDO"/>
    <s v="EX "/>
    <s v="Colchão M.E."/>
    <m/>
    <s v="DIRETO"/>
    <n v="45138"/>
    <m/>
    <m/>
    <n v="49418.36"/>
    <s v="MT "/>
    <m/>
    <m/>
    <n v="1075"/>
    <n v="976.66"/>
    <m/>
    <m/>
    <m/>
    <m/>
    <m/>
    <m/>
    <m/>
    <m/>
    <m/>
    <m/>
    <s v="COLCHONES DEL MUNDO SPA"/>
    <s v="CARLOS FIDENCIO D AVALOS RUIZ JUNIOR 34496952823"/>
    <n v="45.970567441860467"/>
  </r>
  <r>
    <x v="2"/>
    <x v="2"/>
    <s v="COLCHÃO M.E."/>
    <s v="DIRETO"/>
    <x v="10"/>
    <s v="NADA"/>
    <x v="2"/>
    <n v="47716"/>
    <n v="2002"/>
    <x v="208"/>
    <s v="COLCHONES DEL MUNDO"/>
    <s v="EX "/>
    <s v="Colchão M.E."/>
    <m/>
    <s v="DIRETO"/>
    <n v="45138"/>
    <m/>
    <m/>
    <n v="14583.55"/>
    <s v="MT "/>
    <m/>
    <m/>
    <n v="500"/>
    <n v="441.29600000000005"/>
    <m/>
    <m/>
    <m/>
    <m/>
    <m/>
    <m/>
    <m/>
    <m/>
    <m/>
    <m/>
    <s v="COLCHONES DEL MUNDO SPA"/>
    <s v="CARLOS FIDENCIO D AVALOS RUIZ JUNIOR 34496952823"/>
    <n v="29.167099999999998"/>
  </r>
  <r>
    <x v="2"/>
    <x v="2"/>
    <s v="COLCHÃO M.E."/>
    <s v="DIRETO"/>
    <x v="10"/>
    <s v="NADA"/>
    <x v="2"/>
    <n v="47716"/>
    <n v="2032"/>
    <x v="231"/>
    <s v="COLCHONES DEL MUNDO"/>
    <s v="EX "/>
    <s v="Colchão M.E."/>
    <m/>
    <s v="DIRETO"/>
    <n v="45138"/>
    <m/>
    <m/>
    <n v="12606.22"/>
    <s v="MT "/>
    <m/>
    <m/>
    <n v="544"/>
    <n v="419.76000000000005"/>
    <m/>
    <m/>
    <m/>
    <m/>
    <m/>
    <m/>
    <m/>
    <m/>
    <m/>
    <m/>
    <s v="COLCHONES DEL MUNDO SPA"/>
    <s v="CARLOS FIDENCIO D AVALOS RUIZ JUNIOR 34496952823"/>
    <n v="23.173198529411764"/>
  </r>
  <r>
    <x v="2"/>
    <x v="2"/>
    <s v="COLCHÃO M.E."/>
    <s v="DIRETO"/>
    <x v="10"/>
    <s v="NADA"/>
    <x v="2"/>
    <n v="47716"/>
    <n v="1903"/>
    <x v="195"/>
    <s v="COLCHONES DEL MUNDO"/>
    <s v="EX "/>
    <s v="Colchão M.E."/>
    <m/>
    <s v="DIRETO"/>
    <n v="45138"/>
    <m/>
    <m/>
    <n v="59398.9"/>
    <s v="MT "/>
    <m/>
    <m/>
    <n v="1656"/>
    <n v="1477.8899999999996"/>
    <m/>
    <m/>
    <m/>
    <m/>
    <m/>
    <m/>
    <m/>
    <m/>
    <m/>
    <m/>
    <s v="COLCHONES DEL MUNDO SPA"/>
    <s v="CARLOS FIDENCIO D AVALOS RUIZ JUNIOR 34496952823"/>
    <n v="35.868900966183574"/>
  </r>
  <r>
    <x v="11"/>
    <x v="2"/>
    <s v="COLCHÃO M.E."/>
    <s v="DIRETO"/>
    <x v="9"/>
    <s v="NADA"/>
    <x v="2"/>
    <n v="47892"/>
    <n v="1422"/>
    <x v="232"/>
    <s v="FLEX CHILE"/>
    <s v="EX "/>
    <s v="Colchão M.E."/>
    <m/>
    <s v="DIRETO"/>
    <n v="45147"/>
    <m/>
    <m/>
    <n v="22656.799999999999"/>
    <s v="MT "/>
    <n v="240"/>
    <m/>
    <n v="1016"/>
    <n v="530.86"/>
    <m/>
    <m/>
    <m/>
    <m/>
    <m/>
    <m/>
    <m/>
    <m/>
    <m/>
    <m/>
    <s v="FLEX CHILE"/>
    <s v="CARLOS FIDENCIO D AVALOS RUIZ JUNIOR 34496952823"/>
    <n v="22.3"/>
  </r>
  <r>
    <x v="11"/>
    <x v="2"/>
    <s v="COLCHÃO M.E."/>
    <s v="DIRETO"/>
    <x v="9"/>
    <s v="NADA"/>
    <x v="2"/>
    <n v="47892"/>
    <n v="2029"/>
    <x v="233"/>
    <s v="FLEX CHILE"/>
    <s v="EX "/>
    <s v="Colchão M.E."/>
    <m/>
    <s v="DIRETO"/>
    <n v="45147"/>
    <m/>
    <m/>
    <n v="32422"/>
    <s v="MT "/>
    <n v="400"/>
    <m/>
    <n v="1075"/>
    <n v="1105.7"/>
    <m/>
    <m/>
    <m/>
    <m/>
    <m/>
    <m/>
    <m/>
    <m/>
    <m/>
    <m/>
    <s v="FLEX CHILE"/>
    <s v="CARLOS FIDENCIO D AVALOS RUIZ JUNIOR 34496952823"/>
    <n v="30.16"/>
  </r>
  <r>
    <x v="11"/>
    <x v="2"/>
    <s v="COLCHÃO M.E."/>
    <s v="DIRETO"/>
    <x v="9"/>
    <s v="NADA"/>
    <x v="2"/>
    <n v="47892"/>
    <n v="1419"/>
    <x v="234"/>
    <s v="FLEX CHILE"/>
    <s v="EX "/>
    <s v="Colchão M.E."/>
    <m/>
    <s v="DIRETO"/>
    <n v="45147"/>
    <m/>
    <m/>
    <n v="23408.799999999999"/>
    <s v="MT "/>
    <n v="180"/>
    <m/>
    <n v="2018"/>
    <n v="1937.762999999999"/>
    <m/>
    <m/>
    <m/>
    <m/>
    <m/>
    <m/>
    <m/>
    <m/>
    <m/>
    <m/>
    <s v="FLEX CHILE"/>
    <s v="CARLOS FIDENCIO D AVALOS RUIZ JUNIOR 34496952823"/>
    <n v="11.6"/>
  </r>
  <r>
    <x v="11"/>
    <x v="2"/>
    <s v="COLCHÃO M.E."/>
    <s v="DIRETO"/>
    <x v="9"/>
    <s v="NADA"/>
    <x v="2"/>
    <n v="47892"/>
    <n v="1419"/>
    <x v="234"/>
    <s v="FLEX CHILE"/>
    <s v="EX "/>
    <s v="Colchão M.E."/>
    <m/>
    <s v="DIRETO"/>
    <n v="45147"/>
    <m/>
    <m/>
    <n v="29081.200000000001"/>
    <s v="MT "/>
    <n v="180"/>
    <m/>
    <n v="2507"/>
    <n v="1937.762999999999"/>
    <m/>
    <m/>
    <m/>
    <m/>
    <m/>
    <m/>
    <m/>
    <m/>
    <m/>
    <m/>
    <s v="FLEX CHILE"/>
    <s v="CARLOS FIDENCIO D AVALOS RUIZ JUNIOR 34496952823"/>
    <n v="11.6"/>
  </r>
  <r>
    <x v="11"/>
    <x v="2"/>
    <s v="COLCHÃO M.E."/>
    <s v="DIRETO"/>
    <x v="1"/>
    <s v="NADA"/>
    <x v="1"/>
    <n v="48173"/>
    <n v="1226"/>
    <x v="170"/>
    <s v="DIVINO COLCHONES"/>
    <s v="EX "/>
    <s v="Colchão M.E."/>
    <m/>
    <s v="CONEXÃO MALHAS"/>
    <n v="45160"/>
    <m/>
    <m/>
    <n v="63507.6"/>
    <s v="MT "/>
    <n v="260"/>
    <m/>
    <n v="4071"/>
    <n v="2579.8800000000006"/>
    <m/>
    <m/>
    <m/>
    <m/>
    <m/>
    <m/>
    <m/>
    <m/>
    <m/>
    <m/>
    <s v="DIVINO S.A"/>
    <s v="CONEXAO MALHAS E DESENVOLVIMENTO LTDA"/>
    <n v="15.6"/>
  </r>
  <r>
    <x v="11"/>
    <x v="2"/>
    <s v="COLCHÃO M.E."/>
    <s v="DIRETO"/>
    <x v="1"/>
    <s v="NADA"/>
    <x v="1"/>
    <n v="48173"/>
    <n v="2157"/>
    <x v="230"/>
    <s v="DIVINO COLCHONES"/>
    <s v="EX "/>
    <s v="Colchão M.E."/>
    <m/>
    <s v="CONEXÃO MALHAS"/>
    <n v="45160"/>
    <m/>
    <m/>
    <n v="12546"/>
    <s v="MT "/>
    <n v="300"/>
    <m/>
    <n v="510"/>
    <n v="347.22"/>
    <m/>
    <m/>
    <m/>
    <m/>
    <m/>
    <m/>
    <m/>
    <m/>
    <m/>
    <m/>
    <s v="DIVINO S.A"/>
    <s v="CONEXAO MALHAS E DESENVOLVIMENTO LTDA"/>
    <n v="24.6"/>
  </r>
  <r>
    <x v="11"/>
    <x v="2"/>
    <s v="COLCHÃO M.E."/>
    <s v="DIRETO"/>
    <x v="1"/>
    <s v="NADA"/>
    <x v="1"/>
    <n v="48173"/>
    <n v="1225"/>
    <x v="194"/>
    <s v="DIVINO COLCHONES"/>
    <s v="EX "/>
    <s v="Colchão M.E."/>
    <m/>
    <s v="CONEXÃO MALHAS"/>
    <n v="45160"/>
    <m/>
    <m/>
    <n v="106798.67"/>
    <s v="MT "/>
    <n v="240"/>
    <m/>
    <n v="6939.4849999999997"/>
    <n v="4129.12"/>
    <m/>
    <m/>
    <m/>
    <m/>
    <m/>
    <m/>
    <m/>
    <m/>
    <m/>
    <m/>
    <s v="DIVINO S.A"/>
    <s v="CONEXAO MALHAS E DESENVOLVIMENTO LTDA"/>
    <n v="15.389999401972913"/>
  </r>
  <r>
    <x v="11"/>
    <x v="2"/>
    <s v="COLCHÃO M.E."/>
    <s v="DIRETO"/>
    <x v="1"/>
    <s v="NADA"/>
    <x v="1"/>
    <n v="48173"/>
    <n v="1236"/>
    <x v="168"/>
    <s v="DIVINO COLCHONES"/>
    <s v="EX "/>
    <s v="Colchão M.E."/>
    <m/>
    <s v="CONEXÃO MALHAS"/>
    <n v="45160"/>
    <m/>
    <m/>
    <n v="7079.8"/>
    <s v="MT "/>
    <n v="240"/>
    <m/>
    <n v="389"/>
    <n v="199.56"/>
    <m/>
    <m/>
    <m/>
    <m/>
    <m/>
    <m/>
    <m/>
    <m/>
    <m/>
    <m/>
    <s v="DIVINO S.A"/>
    <s v="CONEXAO MALHAS E DESENVOLVIMENTO LTDA"/>
    <n v="18.2"/>
  </r>
  <r>
    <x v="11"/>
    <x v="2"/>
    <s v="COLCHÃO M.E."/>
    <s v="DIRETO"/>
    <x v="1"/>
    <s v="NADA"/>
    <x v="1"/>
    <n v="48173"/>
    <n v="1523"/>
    <x v="184"/>
    <s v="DIVINO COLCHONES"/>
    <s v="EX "/>
    <s v="Colchão M.E."/>
    <m/>
    <s v="CONEXÃO MALHAS"/>
    <n v="45160"/>
    <m/>
    <m/>
    <n v="4464"/>
    <s v="MT "/>
    <m/>
    <m/>
    <n v="600"/>
    <n v="119.74"/>
    <m/>
    <m/>
    <m/>
    <m/>
    <m/>
    <m/>
    <m/>
    <m/>
    <m/>
    <m/>
    <s v="DIVINO S.A"/>
    <s v="CONEXAO MALHAS E DESENVOLVIMENTO LTDA"/>
    <n v="7.44"/>
  </r>
  <r>
    <x v="11"/>
    <x v="2"/>
    <s v="COLCHÃO M.E."/>
    <s v="DIRETO"/>
    <x v="1"/>
    <s v="NADA"/>
    <x v="1"/>
    <n v="48173"/>
    <n v="1504"/>
    <x v="167"/>
    <s v="DIVINO COLCHONES"/>
    <s v="EX "/>
    <s v="Colchão M.E."/>
    <m/>
    <s v="CONEXÃO MALHAS"/>
    <n v="45160"/>
    <m/>
    <m/>
    <n v="74337.64"/>
    <s v="MT "/>
    <n v="240"/>
    <m/>
    <n v="4846"/>
    <n v="2743.2800000000007"/>
    <m/>
    <m/>
    <m/>
    <m/>
    <m/>
    <m/>
    <m/>
    <m/>
    <m/>
    <m/>
    <s v="DIVINO S.A"/>
    <s v="CONEXAO MALHAS E DESENVOLVIMENTO LTDA"/>
    <n v="15.34"/>
  </r>
  <r>
    <x v="11"/>
    <x v="2"/>
    <s v="COLCHÃO M.E."/>
    <s v="DIRETO"/>
    <x v="1"/>
    <s v="NADA"/>
    <x v="1"/>
    <n v="48173"/>
    <n v="1506"/>
    <x v="162"/>
    <s v="DIVINO COLCHONES"/>
    <s v="EX "/>
    <s v="Colchão M.E."/>
    <m/>
    <s v="CONEXÃO MALHAS"/>
    <n v="45160"/>
    <m/>
    <m/>
    <n v="45791.199999999997"/>
    <s v="MT "/>
    <n v="280"/>
    <m/>
    <n v="2516"/>
    <n v="1614.48"/>
    <m/>
    <m/>
    <m/>
    <m/>
    <m/>
    <m/>
    <m/>
    <m/>
    <m/>
    <m/>
    <s v="DIVINO S.A"/>
    <s v="CONEXAO MALHAS E DESENVOLVIMENTO LTDA"/>
    <n v="18.2"/>
  </r>
  <r>
    <x v="11"/>
    <x v="2"/>
    <s v="COLCHÃO M.E."/>
    <s v="DIRETO"/>
    <x v="1"/>
    <s v="NADA"/>
    <x v="1"/>
    <n v="48343"/>
    <n v="1504"/>
    <x v="167"/>
    <s v="DIVINO COLCHONES"/>
    <s v="EX "/>
    <s v="Colchão M.E."/>
    <m/>
    <s v="CONEXÃO MALHAS"/>
    <n v="45168"/>
    <m/>
    <m/>
    <n v="2678.57"/>
    <s v="MT "/>
    <n v="240"/>
    <m/>
    <n v="186"/>
    <n v="105.64"/>
    <m/>
    <m/>
    <m/>
    <m/>
    <m/>
    <m/>
    <m/>
    <m/>
    <m/>
    <m/>
    <s v="DIVINO S.A"/>
    <s v="CONEXAO MALHAS E DESENVOLVIMENTO LTDA"/>
    <n v="14.400913978494625"/>
  </r>
  <r>
    <x v="11"/>
    <x v="2"/>
    <s v="COLCHÃO M.E."/>
    <s v="DIRETO"/>
    <x v="1"/>
    <s v="NADA"/>
    <x v="1"/>
    <n v="48343"/>
    <n v="1525"/>
    <x v="185"/>
    <s v="DIVINO COLCHONES"/>
    <s v="EX "/>
    <s v="Colchão M.E."/>
    <m/>
    <s v="CONEXÃO MALHAS"/>
    <n v="45168"/>
    <m/>
    <m/>
    <n v="35087.86"/>
    <s v="MT "/>
    <n v="320"/>
    <m/>
    <n v="1913"/>
    <n v="1338.3899999999999"/>
    <m/>
    <m/>
    <m/>
    <m/>
    <m/>
    <m/>
    <m/>
    <m/>
    <m/>
    <m/>
    <s v="DIVINO S.A"/>
    <s v="CONEXAO MALHAS E DESENVOLVIMENTO LTDA"/>
    <n v="18.341798222686879"/>
  </r>
  <r>
    <x v="11"/>
    <x v="2"/>
    <s v="COLCHÃO M.E."/>
    <s v="DIRETO"/>
    <x v="1"/>
    <s v="NADA"/>
    <x v="1"/>
    <n v="48343"/>
    <n v="2339"/>
    <x v="235"/>
    <s v="DIVINO COLCHONES"/>
    <s v="EX "/>
    <s v="Colchão M.E."/>
    <m/>
    <s v="CONEXÃO MALHAS"/>
    <n v="45168"/>
    <m/>
    <m/>
    <n v="10946.7"/>
    <s v="MT "/>
    <m/>
    <m/>
    <n v="1500"/>
    <n v="313.5"/>
    <m/>
    <m/>
    <m/>
    <m/>
    <m/>
    <m/>
    <m/>
    <m/>
    <m/>
    <m/>
    <s v="DIVINO S.A"/>
    <s v="CONEXAO MALHAS E DESENVOLVIMENTO LTDA"/>
    <n v="7.2978000000000005"/>
  </r>
  <r>
    <x v="11"/>
    <x v="2"/>
    <s v="COLCHÃO M.E."/>
    <s v="DIRETO"/>
    <x v="1"/>
    <s v="NADA"/>
    <x v="1"/>
    <n v="48343"/>
    <n v="1236"/>
    <x v="168"/>
    <s v="DIVINO COLCHONES"/>
    <s v="EX "/>
    <s v="Colchão M.E."/>
    <m/>
    <s v="CONEXÃO MALHAS"/>
    <n v="45168"/>
    <m/>
    <m/>
    <n v="44528.74"/>
    <s v="MT "/>
    <n v="240"/>
    <m/>
    <n v="2615"/>
    <n v="1398.96"/>
    <m/>
    <m/>
    <m/>
    <m/>
    <m/>
    <m/>
    <m/>
    <m/>
    <m/>
    <m/>
    <s v="DIVINO S.A"/>
    <s v="CONEXAO MALHAS E DESENVOLVIMENTO LTDA"/>
    <n v="17.028198852772466"/>
  </r>
  <r>
    <x v="3"/>
    <x v="2"/>
    <s v="COLCHÃO M.E."/>
    <s v="DIRETO"/>
    <x v="16"/>
    <s v="NADA"/>
    <x v="0"/>
    <n v="48652"/>
    <n v="2208"/>
    <x v="236"/>
    <s v="DAVID MORENO VISCARR"/>
    <s v="EX "/>
    <s v="Colchão M.E."/>
    <m/>
    <s v="CONEXÃO MALHAS"/>
    <n v="45187"/>
    <m/>
    <m/>
    <n v="9608.23"/>
    <s v="MT "/>
    <m/>
    <m/>
    <n v="1716"/>
    <n v="343.2"/>
    <m/>
    <m/>
    <m/>
    <m/>
    <m/>
    <m/>
    <m/>
    <m/>
    <m/>
    <m/>
    <s v="DAVID MORENO VISCARRA"/>
    <s v="CARLOS FIDENCIO D AVALOS RUIZ JUNIOR 34496952823"/>
    <n v="5.5992016317016313"/>
  </r>
  <r>
    <x v="3"/>
    <x v="2"/>
    <s v="COLCHÃO M.E."/>
    <s v="DIRETO"/>
    <x v="16"/>
    <s v="NADA"/>
    <x v="0"/>
    <n v="48652"/>
    <n v="2210"/>
    <x v="237"/>
    <s v="DAVID MORENO VISCARR"/>
    <s v="EX "/>
    <s v="Colchão M.E."/>
    <m/>
    <s v="CONEXÃO MALHAS"/>
    <n v="45187"/>
    <m/>
    <m/>
    <n v="16781.13"/>
    <s v="MT "/>
    <n v="180"/>
    <m/>
    <n v="1814"/>
    <n v="772.29000000000019"/>
    <m/>
    <m/>
    <m/>
    <m/>
    <m/>
    <m/>
    <m/>
    <m/>
    <m/>
    <m/>
    <s v="DAVID MORENO VISCARRA"/>
    <s v="CARLOS FIDENCIO D AVALOS RUIZ JUNIOR 34496952823"/>
    <n v="9.2508985667034178"/>
  </r>
  <r>
    <x v="3"/>
    <x v="2"/>
    <s v="COLCHÃO M.E."/>
    <s v="DIRETO"/>
    <x v="16"/>
    <s v="NADA"/>
    <x v="0"/>
    <n v="48652"/>
    <n v="2207"/>
    <x v="238"/>
    <s v="DAVID MORENO VISCARR"/>
    <s v="EX "/>
    <s v="Colchão M.E."/>
    <m/>
    <s v="CONEXÃO MALHAS"/>
    <n v="45187"/>
    <m/>
    <m/>
    <n v="8965.48"/>
    <s v="MT "/>
    <n v="200"/>
    <m/>
    <n v="1188"/>
    <n v="510.98"/>
    <m/>
    <m/>
    <m/>
    <m/>
    <m/>
    <m/>
    <m/>
    <m/>
    <m/>
    <m/>
    <s v="DAVID MORENO VISCARRA"/>
    <s v="CARLOS FIDENCIO D AVALOS RUIZ JUNIOR 34496952823"/>
    <n v="7.5467003367003365"/>
  </r>
  <r>
    <x v="3"/>
    <x v="2"/>
    <s v="COLCHÃO M.E."/>
    <s v="DIRETO"/>
    <x v="16"/>
    <s v="NADA"/>
    <x v="0"/>
    <n v="48652"/>
    <n v="2202"/>
    <x v="239"/>
    <s v="DAVID MORENO VISCARR"/>
    <s v="EX "/>
    <s v="Colchão M.E."/>
    <m/>
    <s v="CONEXÃO MALHAS"/>
    <n v="45187"/>
    <m/>
    <m/>
    <n v="9535.2199999999993"/>
    <s v="MT "/>
    <n v="300"/>
    <m/>
    <n v="576"/>
    <n v="434.68"/>
    <m/>
    <m/>
    <m/>
    <m/>
    <m/>
    <m/>
    <m/>
    <m/>
    <m/>
    <m/>
    <s v="DAVID MORENO VISCARRA"/>
    <s v="CARLOS FIDENCIO D AVALOS RUIZ JUNIOR 34496952823"/>
    <n v="16.554201388888888"/>
  </r>
  <r>
    <x v="3"/>
    <x v="2"/>
    <s v="COLCHÃO M.E."/>
    <s v="DIRETO"/>
    <x v="16"/>
    <s v="NADA"/>
    <x v="0"/>
    <n v="48652"/>
    <n v="2209"/>
    <x v="240"/>
    <s v="DAVID MORENO VISCARR"/>
    <s v="EX "/>
    <s v="Colchão M.E."/>
    <m/>
    <s v="CONEXÃO MALHAS"/>
    <n v="45187"/>
    <m/>
    <m/>
    <n v="11165.84"/>
    <s v="MT "/>
    <n v="200"/>
    <m/>
    <n v="1207"/>
    <n v="524.68000000000006"/>
    <m/>
    <m/>
    <m/>
    <m/>
    <m/>
    <m/>
    <m/>
    <m/>
    <m/>
    <m/>
    <s v="DAVID MORENO VISCARRA"/>
    <s v="CARLOS FIDENCIO D AVALOS RUIZ JUNIOR 34496952823"/>
    <n v="9.2509030654515332"/>
  </r>
  <r>
    <x v="3"/>
    <x v="2"/>
    <s v="COLCHÃO M.E."/>
    <s v="DIRETO"/>
    <x v="16"/>
    <s v="NADA"/>
    <x v="0"/>
    <n v="48652"/>
    <n v="2205"/>
    <x v="241"/>
    <s v="DAVID MORENO VISCARR"/>
    <s v="EX "/>
    <s v="Colchão M.E."/>
    <m/>
    <s v="CONEXÃO MALHAS"/>
    <n v="45187"/>
    <m/>
    <m/>
    <n v="13730.23"/>
    <s v="MT "/>
    <n v="200"/>
    <m/>
    <n v="1175"/>
    <n v="608.41999999999996"/>
    <m/>
    <m/>
    <m/>
    <m/>
    <m/>
    <m/>
    <m/>
    <m/>
    <m/>
    <m/>
    <s v="DAVID MORENO VISCARRA"/>
    <s v="CARLOS FIDENCIO D AVALOS RUIZ JUNIOR 34496952823"/>
    <n v="11.685302127659574"/>
  </r>
  <r>
    <x v="3"/>
    <x v="2"/>
    <s v="COLCHÃO M.E."/>
    <s v="DIRETO"/>
    <x v="16"/>
    <s v="NADA"/>
    <x v="0"/>
    <n v="48652"/>
    <n v="2203"/>
    <x v="242"/>
    <s v="DAVID MORENO VISCARR"/>
    <s v="EX "/>
    <s v="Colchão M.E."/>
    <m/>
    <s v="CONEXÃO MALHAS"/>
    <n v="45187"/>
    <m/>
    <m/>
    <n v="17273.84"/>
    <s v="MT "/>
    <n v="280"/>
    <m/>
    <n v="1095"/>
    <n v="720.25999999999976"/>
    <m/>
    <m/>
    <m/>
    <m/>
    <m/>
    <m/>
    <m/>
    <m/>
    <m/>
    <m/>
    <s v="DAVID MORENO VISCARRA"/>
    <s v="CARLOS FIDENCIO D AVALOS RUIZ JUNIOR 34496952823"/>
    <n v="15.775196347031963"/>
  </r>
  <r>
    <x v="3"/>
    <x v="2"/>
    <s v="COLCHÃO M.E."/>
    <s v="DIRETO"/>
    <x v="16"/>
    <s v="NADA"/>
    <x v="0"/>
    <n v="48652"/>
    <n v="2206"/>
    <x v="243"/>
    <s v="DAVID MORENO VISCARR"/>
    <s v="EX "/>
    <s v="Colchão M.E."/>
    <m/>
    <s v="CONEXÃO MALHAS"/>
    <n v="45187"/>
    <m/>
    <m/>
    <n v="25220.720000000001"/>
    <s v="MT "/>
    <n v="180"/>
    <m/>
    <n v="2800"/>
    <n v="1205.0499999999997"/>
    <m/>
    <m/>
    <m/>
    <m/>
    <m/>
    <m/>
    <m/>
    <m/>
    <m/>
    <m/>
    <s v="DAVID MORENO VISCARRA"/>
    <s v="CARLOS FIDENCIO D AVALOS RUIZ JUNIOR 34496952823"/>
    <n v="9.0074000000000005"/>
  </r>
  <r>
    <x v="3"/>
    <x v="2"/>
    <s v="COLCHÃO M.E."/>
    <s v="DIRETO"/>
    <x v="16"/>
    <s v="NADA"/>
    <x v="0"/>
    <n v="48652"/>
    <n v="2204"/>
    <x v="244"/>
    <s v="DAVID MORENO VISCARR"/>
    <s v="EX "/>
    <s v="Colchão M.E."/>
    <m/>
    <s v="CONEXÃO MALHAS"/>
    <n v="45187"/>
    <m/>
    <m/>
    <n v="11761.76"/>
    <s v="MT "/>
    <n v="200"/>
    <m/>
    <n v="1421"/>
    <n v="593.3599999999999"/>
    <m/>
    <m/>
    <m/>
    <m/>
    <m/>
    <m/>
    <m/>
    <m/>
    <m/>
    <m/>
    <s v="DAVID MORENO VISCARRA"/>
    <s v="CARLOS FIDENCIO D AVALOS RUIZ JUNIOR 34496952823"/>
    <n v="8.2771006333567918"/>
  </r>
  <r>
    <x v="3"/>
    <x v="2"/>
    <s v="COLCHÃO M.E."/>
    <s v="DIRETO"/>
    <x v="9"/>
    <s v="NADA"/>
    <x v="2"/>
    <n v="48969"/>
    <n v="1419"/>
    <x v="234"/>
    <s v="FLEX CHILE"/>
    <s v="EX "/>
    <s v="Colchão M.E."/>
    <m/>
    <s v="DIRETO"/>
    <n v="45199"/>
    <m/>
    <m/>
    <n v="47682.35"/>
    <s v="MT "/>
    <n v="180"/>
    <m/>
    <n v="4232"/>
    <n v="1850.2300000000007"/>
    <m/>
    <m/>
    <m/>
    <m/>
    <m/>
    <m/>
    <m/>
    <m/>
    <m/>
    <m/>
    <s v="FLEX CHILE"/>
    <s v="CARLOS FIDENCIO D AVALOS RUIZ JUNIOR 34496952823"/>
    <n v="11.267095935727788"/>
  </r>
  <r>
    <x v="3"/>
    <x v="2"/>
    <s v="COLCHÃO M.E."/>
    <s v="DIRETO"/>
    <x v="9"/>
    <s v="NADA"/>
    <x v="2"/>
    <n v="48969"/>
    <n v="1422"/>
    <x v="232"/>
    <s v="FLEX CHILE"/>
    <s v="EX "/>
    <s v="Colchão M.E."/>
    <m/>
    <s v="DIRETO"/>
    <n v="45199"/>
    <m/>
    <m/>
    <n v="40121.89"/>
    <s v="MT "/>
    <n v="240"/>
    <m/>
    <n v="1383"/>
    <n v="760.34"/>
    <m/>
    <m/>
    <m/>
    <m/>
    <m/>
    <m/>
    <m/>
    <m/>
    <m/>
    <m/>
    <s v="FLEX CHILE"/>
    <s v="CARLOS FIDENCIO D AVALOS RUIZ JUNIOR 34496952823"/>
    <n v="29.010766449746928"/>
  </r>
  <r>
    <x v="3"/>
    <x v="2"/>
    <s v="COLCHÃO M.E."/>
    <s v="DIRETO"/>
    <x v="1"/>
    <s v="NADA"/>
    <x v="1"/>
    <n v="48986"/>
    <n v="1506"/>
    <x v="162"/>
    <s v="DIVINO COLCHONES"/>
    <s v="EX "/>
    <s v="Colchão M.E."/>
    <m/>
    <s v="CONEXÃO MALHAS"/>
    <n v="45199"/>
    <m/>
    <m/>
    <n v="45989.79"/>
    <s v="MT "/>
    <n v="280"/>
    <m/>
    <n v="2624"/>
    <n v="1695.8360000000002"/>
    <m/>
    <m/>
    <m/>
    <m/>
    <m/>
    <m/>
    <m/>
    <m/>
    <m/>
    <m/>
    <s v="DIVINO S.A"/>
    <s v="CONEXAO MALHAS E DESENVOLVIMENTO LTDA"/>
    <n v="17.526596798780488"/>
  </r>
  <r>
    <x v="3"/>
    <x v="2"/>
    <s v="COLCHÃO M.E."/>
    <s v="DIRETO"/>
    <x v="1"/>
    <s v="NADA"/>
    <x v="1"/>
    <n v="48986"/>
    <n v="1523"/>
    <x v="184"/>
    <s v="DIVINO COLCHONES"/>
    <s v="EX "/>
    <s v="Colchão M.E."/>
    <m/>
    <s v="CONEXÃO MALHAS"/>
    <n v="45199"/>
    <m/>
    <m/>
    <n v="29096.16"/>
    <s v="MT "/>
    <m/>
    <m/>
    <n v="4035"/>
    <n v="756.70999999999992"/>
    <m/>
    <m/>
    <m/>
    <m/>
    <m/>
    <m/>
    <m/>
    <m/>
    <m/>
    <m/>
    <s v="DIVINO S.A"/>
    <s v="CONEXAO MALHAS E DESENVOLVIMENTO LTDA"/>
    <n v="7.2109442379182154"/>
  </r>
  <r>
    <x v="3"/>
    <x v="2"/>
    <s v="COLCHÃO M.E."/>
    <s v="DIRETO"/>
    <x v="1"/>
    <s v="NADA"/>
    <x v="1"/>
    <n v="48986"/>
    <n v="2157"/>
    <x v="230"/>
    <s v="DIVINO COLCHONES"/>
    <s v="EX "/>
    <s v="Colchão M.E."/>
    <m/>
    <s v="CONEXÃO MALHAS"/>
    <n v="45199"/>
    <m/>
    <m/>
    <n v="40147.67"/>
    <s v="MT "/>
    <n v="300"/>
    <m/>
    <n v="1695"/>
    <n v="1202.02"/>
    <m/>
    <m/>
    <m/>
    <m/>
    <m/>
    <m/>
    <m/>
    <m/>
    <m/>
    <m/>
    <s v="DIVINO S.A"/>
    <s v="CONEXAO MALHAS E DESENVOLVIMENTO LTDA"/>
    <n v="23.68594100294985"/>
  </r>
  <r>
    <x v="3"/>
    <x v="2"/>
    <s v="COLCHÃO M.E."/>
    <s v="DIRETO"/>
    <x v="1"/>
    <s v="NADA"/>
    <x v="1"/>
    <n v="48986"/>
    <n v="1225"/>
    <x v="194"/>
    <s v="DIVINO COLCHONES"/>
    <s v="EX "/>
    <s v="Colchão M.E."/>
    <m/>
    <s v="CONEXÃO MALHAS"/>
    <n v="45199"/>
    <m/>
    <m/>
    <n v="82338.95"/>
    <s v="MT "/>
    <n v="240"/>
    <m/>
    <n v="5555"/>
    <n v="3117.36"/>
    <m/>
    <m/>
    <m/>
    <m/>
    <m/>
    <m/>
    <m/>
    <m/>
    <m/>
    <m/>
    <s v="DIVINO S.A"/>
    <s v="CONEXAO MALHAS E DESENVOLVIMENTO LTDA"/>
    <n v="14.822493249324932"/>
  </r>
  <r>
    <x v="3"/>
    <x v="2"/>
    <s v="COLCHÃO M.E."/>
    <s v="DIRETO"/>
    <x v="1"/>
    <s v="NADA"/>
    <x v="1"/>
    <n v="48986"/>
    <n v="1226"/>
    <x v="170"/>
    <s v="DIVINO COLCHONES"/>
    <s v="EX "/>
    <s v="Colchão M.E."/>
    <m/>
    <s v="CONEXÃO MALHAS"/>
    <n v="45199"/>
    <m/>
    <m/>
    <n v="67407.289999999994"/>
    <s v="MT "/>
    <n v="260"/>
    <m/>
    <n v="4487"/>
    <n v="2716.2919999999995"/>
    <m/>
    <m/>
    <m/>
    <m/>
    <m/>
    <m/>
    <m/>
    <m/>
    <m/>
    <m/>
    <s v="DIVINO S.A"/>
    <s v="CONEXAO MALHAS E DESENVOLVIMENTO LTDA"/>
    <n v="15.022796969021616"/>
  </r>
  <r>
    <x v="3"/>
    <x v="2"/>
    <s v="COLCHÃO M.E."/>
    <s v="DIRETO"/>
    <x v="1"/>
    <s v="NADA"/>
    <x v="1"/>
    <n v="48986"/>
    <n v="2053"/>
    <x v="225"/>
    <s v="DIVINO COLCHONES"/>
    <s v="EX "/>
    <s v="Colchão M.E."/>
    <m/>
    <s v="CONEXÃO MALHAS"/>
    <n v="45199"/>
    <m/>
    <m/>
    <n v="23972.38"/>
    <s v="MT "/>
    <n v="300"/>
    <m/>
    <n v="1408"/>
    <n v="931.56000000000006"/>
    <m/>
    <m/>
    <m/>
    <m/>
    <m/>
    <m/>
    <m/>
    <m/>
    <m/>
    <m/>
    <s v="DIVINO S.A"/>
    <s v="CONEXAO MALHAS E DESENVOLVIMENTO LTDA"/>
    <n v="17.02583806818182"/>
  </r>
  <r>
    <x v="3"/>
    <x v="2"/>
    <s v="COLCHÃO M.E."/>
    <s v="DIRETO"/>
    <x v="1"/>
    <s v="NADA"/>
    <x v="1"/>
    <n v="48986"/>
    <n v="1236"/>
    <x v="168"/>
    <s v="DIVINO COLCHONES"/>
    <s v="EX "/>
    <s v="Colchão M.E."/>
    <m/>
    <s v="CONEXÃO MALHAS"/>
    <n v="45199"/>
    <m/>
    <m/>
    <n v="50932.29"/>
    <s v="MT "/>
    <n v="240"/>
    <m/>
    <n v="2906"/>
    <n v="1646.3999999999999"/>
    <m/>
    <m/>
    <m/>
    <m/>
    <m/>
    <m/>
    <m/>
    <m/>
    <m/>
    <m/>
    <s v="DIVINO S.A"/>
    <s v="CONEXAO MALHAS E DESENVOLVIMENTO LTDA"/>
    <n v="17.526596696490021"/>
  </r>
  <r>
    <x v="3"/>
    <x v="2"/>
    <s v="COLCHÃO M.E."/>
    <s v="DIRETO"/>
    <x v="1"/>
    <s v="NADA"/>
    <x v="1"/>
    <n v="48986"/>
    <n v="1525"/>
    <x v="185"/>
    <s v="DIVINO COLCHONES"/>
    <s v="EX "/>
    <s v="Colchão M.E."/>
    <m/>
    <s v="CONEXÃO MALHAS"/>
    <n v="45199"/>
    <m/>
    <m/>
    <n v="31810.52"/>
    <s v="MT "/>
    <n v="320"/>
    <m/>
    <n v="1685"/>
    <n v="1171.3399999999997"/>
    <m/>
    <m/>
    <m/>
    <m/>
    <m/>
    <m/>
    <m/>
    <m/>
    <m/>
    <m/>
    <s v="DIVINO S.A"/>
    <s v="CONEXAO MALHAS E DESENVOLVIMENTO LTDA"/>
    <n v="18.878646884272996"/>
  </r>
  <r>
    <x v="3"/>
    <x v="2"/>
    <s v="COLCHÃO M.E."/>
    <s v="DIRETO"/>
    <x v="22"/>
    <s v="NADA"/>
    <x v="3"/>
    <n v="48987"/>
    <n v="1706"/>
    <x v="165"/>
    <s v="RMD RECYCLING"/>
    <s v="EX "/>
    <s v="Colchão M.E."/>
    <m/>
    <s v="DIRETO"/>
    <n v="45199"/>
    <m/>
    <m/>
    <n v="148882.23999999999"/>
    <s v="MT "/>
    <m/>
    <m/>
    <n v="22024"/>
    <n v="11291"/>
    <m/>
    <m/>
    <m/>
    <m/>
    <m/>
    <m/>
    <m/>
    <m/>
    <m/>
    <m/>
    <s v="RMD RECYCLING 753 LLC"/>
    <s v="CARLOS FIDENCIO D AVALOS RUIZ JUNIOR 34496952823"/>
    <n v="6.76"/>
  </r>
  <r>
    <x v="4"/>
    <x v="2"/>
    <s v="COLCHÃO M.E."/>
    <s v="DIRETO"/>
    <x v="1"/>
    <s v="NADA"/>
    <x v="1"/>
    <n v="49095"/>
    <n v="1225"/>
    <x v="194"/>
    <s v="DIVINO COLCHONES"/>
    <s v="EX "/>
    <s v="Colchão M.E."/>
    <m/>
    <s v="CONEXÃO MALHAS"/>
    <n v="45205"/>
    <m/>
    <m/>
    <n v="9213.77"/>
    <s v="MT "/>
    <n v="240"/>
    <m/>
    <n v="602"/>
    <n v="342.5"/>
    <m/>
    <m/>
    <m/>
    <m/>
    <m/>
    <m/>
    <m/>
    <m/>
    <m/>
    <m/>
    <s v="DIVINO S.A"/>
    <s v="CONEXAO MALHAS E DESENVOLVIMENTO LTDA"/>
    <n v="15.305265780730897"/>
  </r>
  <r>
    <x v="4"/>
    <x v="2"/>
    <s v="COLCHÃO M.E."/>
    <s v="DIRETO"/>
    <x v="1"/>
    <s v="NADA"/>
    <x v="1"/>
    <n v="49095"/>
    <n v="1525"/>
    <x v="185"/>
    <s v="DIVINO COLCHONES"/>
    <s v="EX "/>
    <s v="Colchão M.E."/>
    <m/>
    <s v="CONEXÃO MALHAS"/>
    <n v="45205"/>
    <m/>
    <m/>
    <n v="1793.41"/>
    <s v="MT "/>
    <n v="320"/>
    <m/>
    <n v="92"/>
    <n v="67.36"/>
    <m/>
    <m/>
    <m/>
    <m/>
    <m/>
    <m/>
    <m/>
    <m/>
    <m/>
    <m/>
    <s v="DIVINO S.A"/>
    <s v="CONEXAO MALHAS E DESENVOLVIMENTO LTDA"/>
    <n v="19.493586956521739"/>
  </r>
  <r>
    <x v="4"/>
    <x v="2"/>
    <s v="COLCHÃO M.E."/>
    <s v="DIRETO"/>
    <x v="1"/>
    <s v="NADA"/>
    <x v="1"/>
    <n v="49095"/>
    <n v="1524"/>
    <x v="186"/>
    <s v="DIVINO COLCHONES"/>
    <s v="EX "/>
    <s v="Colchão M.E."/>
    <m/>
    <s v="CONEXÃO MALHAS"/>
    <n v="45205"/>
    <m/>
    <m/>
    <n v="24413.98"/>
    <s v="MT "/>
    <m/>
    <m/>
    <n v="2951"/>
    <n v="593.15100000000007"/>
    <m/>
    <m/>
    <m/>
    <m/>
    <m/>
    <m/>
    <m/>
    <m/>
    <m/>
    <m/>
    <s v="DIVINO S.A"/>
    <s v="CONEXAO MALHAS E DESENVOLVIMENTO LTDA"/>
    <n v="8.2731209759403583"/>
  </r>
  <r>
    <x v="5"/>
    <x v="2"/>
    <s v="COLCHÃO M.E."/>
    <s v="DIRETO"/>
    <x v="9"/>
    <s v="NADA"/>
    <x v="2"/>
    <n v="49837"/>
    <n v="1419"/>
    <x v="234"/>
    <s v="FLEX CHILE"/>
    <s v="EX "/>
    <s v="Colchão M.E."/>
    <m/>
    <s v="DIRETO"/>
    <n v="45240"/>
    <m/>
    <m/>
    <n v="71330.899999999994"/>
    <s v="MT "/>
    <n v="180"/>
    <m/>
    <n v="6469"/>
    <m/>
    <m/>
    <m/>
    <m/>
    <m/>
    <m/>
    <m/>
    <m/>
    <m/>
    <m/>
    <m/>
    <m/>
    <m/>
    <n v="11.026572886072035"/>
  </r>
  <r>
    <x v="5"/>
    <x v="2"/>
    <s v="COLCHÃO M.E."/>
    <s v="DIRETO"/>
    <x v="9"/>
    <s v="NADA"/>
    <x v="2"/>
    <n v="49837"/>
    <n v="1422"/>
    <x v="232"/>
    <s v="FLEX CHILE"/>
    <s v="EX "/>
    <s v="Colchão M.E."/>
    <m/>
    <s v="DIRETO"/>
    <n v="45240"/>
    <m/>
    <m/>
    <n v="8709.7199999999993"/>
    <s v="MT "/>
    <n v="240"/>
    <m/>
    <n v="628"/>
    <m/>
    <m/>
    <m/>
    <m/>
    <m/>
    <m/>
    <m/>
    <m/>
    <m/>
    <m/>
    <m/>
    <m/>
    <m/>
    <n v="13.868980891719744"/>
  </r>
  <r>
    <x v="5"/>
    <x v="2"/>
    <s v="COLCHÃO M.E."/>
    <s v="DIRETO"/>
    <x v="22"/>
    <s v="NADA"/>
    <x v="3"/>
    <n v="50132"/>
    <n v="1706"/>
    <x v="165"/>
    <s v="RMD RECYCLING"/>
    <s v="EX "/>
    <s v="Colchão M.E."/>
    <m/>
    <s v="DIRETO"/>
    <n v="45254"/>
    <m/>
    <m/>
    <n v="81092.77"/>
    <s v="MT "/>
    <m/>
    <m/>
    <n v="12339"/>
    <m/>
    <m/>
    <m/>
    <m/>
    <m/>
    <m/>
    <m/>
    <m/>
    <m/>
    <m/>
    <m/>
    <m/>
    <m/>
    <n v="6.5720698597941487"/>
  </r>
  <r>
    <x v="5"/>
    <x v="2"/>
    <s v="COLCHÃO M.E."/>
    <s v="DIRETO"/>
    <x v="22"/>
    <s v="NADA"/>
    <x v="3"/>
    <n v="50132"/>
    <n v="2047"/>
    <x v="219"/>
    <s v="RMD RECYCLING"/>
    <s v="EX "/>
    <s v="Colchão M.E."/>
    <m/>
    <s v="DIRETO"/>
    <n v="45254"/>
    <m/>
    <m/>
    <n v="1601.64"/>
    <s v="MT "/>
    <m/>
    <m/>
    <n v="3290"/>
    <m/>
    <m/>
    <m/>
    <m/>
    <m/>
    <m/>
    <m/>
    <m/>
    <m/>
    <m/>
    <m/>
    <m/>
    <m/>
    <n v="0.48682066869300916"/>
  </r>
  <r>
    <x v="5"/>
    <x v="2"/>
    <s v="COLCHÃO M.E."/>
    <s v="DIRETO"/>
    <x v="22"/>
    <s v="NADA"/>
    <x v="3"/>
    <n v="50132"/>
    <n v="2479"/>
    <x v="245"/>
    <s v="RMD RECYCLING"/>
    <s v="EX "/>
    <s v="Colchão M.E."/>
    <m/>
    <s v="DIRETO"/>
    <n v="45254"/>
    <m/>
    <m/>
    <n v="2934.55"/>
    <s v="MT "/>
    <m/>
    <m/>
    <n v="6028"/>
    <m/>
    <m/>
    <m/>
    <m/>
    <m/>
    <m/>
    <m/>
    <m/>
    <m/>
    <m/>
    <m/>
    <m/>
    <m/>
    <n v="0.48681984074319845"/>
  </r>
  <r>
    <x v="5"/>
    <x v="2"/>
    <s v="COLCHÃO M.E."/>
    <s v="DIRETO"/>
    <x v="22"/>
    <s v="NADA"/>
    <x v="3"/>
    <n v="50132"/>
    <n v="2480"/>
    <x v="246"/>
    <s v="RMD RECYCLING"/>
    <s v="EX "/>
    <s v="Colchão M.E."/>
    <m/>
    <s v="DIRETO"/>
    <n v="45254"/>
    <m/>
    <m/>
    <n v="1470.2"/>
    <s v="MT "/>
    <m/>
    <m/>
    <n v="3020"/>
    <m/>
    <m/>
    <m/>
    <m/>
    <m/>
    <m/>
    <m/>
    <m/>
    <m/>
    <m/>
    <m/>
    <m/>
    <m/>
    <n v="0.48682119205298013"/>
  </r>
  <r>
    <x v="5"/>
    <x v="2"/>
    <s v="COLCHÃO M.E."/>
    <s v="DIRETO"/>
    <x v="22"/>
    <s v="NADA"/>
    <x v="3"/>
    <n v="50132"/>
    <n v="2481"/>
    <x v="247"/>
    <s v="RMD RECYCLING"/>
    <s v="EX "/>
    <s v="Colchão M.E."/>
    <m/>
    <s v="DIRETO"/>
    <n v="45254"/>
    <m/>
    <m/>
    <n v="1662.49"/>
    <s v="MT "/>
    <m/>
    <m/>
    <n v="3415"/>
    <m/>
    <m/>
    <m/>
    <m/>
    <m/>
    <m/>
    <m/>
    <m/>
    <m/>
    <m/>
    <m/>
    <m/>
    <m/>
    <n v="0.48681991215226939"/>
  </r>
  <r>
    <x v="5"/>
    <x v="2"/>
    <s v="COLCHÃO M.E."/>
    <s v="DIRETO"/>
    <x v="22"/>
    <s v="NADA"/>
    <x v="3"/>
    <n v="50133"/>
    <n v="1706"/>
    <x v="165"/>
    <s v="RMD RECYCLING"/>
    <s v="EX "/>
    <s v="Colchão M.E."/>
    <m/>
    <s v="DIRETO"/>
    <n v="45254"/>
    <m/>
    <m/>
    <n v="63282.46"/>
    <s v="MT "/>
    <m/>
    <m/>
    <n v="9629"/>
    <m/>
    <m/>
    <m/>
    <m/>
    <m/>
    <m/>
    <m/>
    <m/>
    <m/>
    <m/>
    <m/>
    <m/>
    <m/>
    <n v="6.5720697891785234"/>
  </r>
  <r>
    <x v="5"/>
    <x v="2"/>
    <s v="COLCHÃO M.E."/>
    <s v="DIRETO"/>
    <x v="18"/>
    <s v="NADA"/>
    <x v="1"/>
    <n v="50231"/>
    <n v="2429"/>
    <x v="248"/>
    <s v="POLYMAX"/>
    <s v="EX "/>
    <s v="Colchão M.E."/>
    <m/>
    <s v="MARTIN"/>
    <n v="45260"/>
    <m/>
    <m/>
    <n v="5746.85"/>
    <s v="MT "/>
    <n v="160"/>
    <m/>
    <n v="587"/>
    <m/>
    <m/>
    <m/>
    <m/>
    <m/>
    <m/>
    <m/>
    <m/>
    <m/>
    <m/>
    <m/>
    <m/>
    <m/>
    <n v="9.790204429301534"/>
  </r>
  <r>
    <x v="5"/>
    <x v="2"/>
    <s v="COLCHÃO M.E."/>
    <s v="DIRETO"/>
    <x v="18"/>
    <s v="NADA"/>
    <x v="1"/>
    <n v="50231"/>
    <n v="2428"/>
    <x v="249"/>
    <s v="POLYMAX"/>
    <s v="EX "/>
    <s v="Colchão M.E."/>
    <m/>
    <s v="MARTIN"/>
    <n v="45260"/>
    <m/>
    <m/>
    <n v="8360.83"/>
    <s v="MT "/>
    <n v="160"/>
    <m/>
    <n v="854"/>
    <m/>
    <m/>
    <m/>
    <m/>
    <m/>
    <m/>
    <m/>
    <m/>
    <m/>
    <m/>
    <m/>
    <m/>
    <m/>
    <n v="9.7901990632318494"/>
  </r>
  <r>
    <x v="5"/>
    <x v="2"/>
    <s v="COLCHÃO M.E."/>
    <s v="DIRETO"/>
    <x v="18"/>
    <s v="NADA"/>
    <x v="1"/>
    <n v="50231"/>
    <n v="2427"/>
    <x v="250"/>
    <s v="POLYMAX"/>
    <s v="EX "/>
    <s v="Colchão M.E."/>
    <m/>
    <s v="MARTIN"/>
    <n v="45260"/>
    <m/>
    <m/>
    <n v="4131.46"/>
    <s v="MT "/>
    <n v="160"/>
    <m/>
    <n v="422"/>
    <m/>
    <m/>
    <m/>
    <m/>
    <m/>
    <m/>
    <m/>
    <m/>
    <m/>
    <m/>
    <m/>
    <m/>
    <m/>
    <n v="9.7901895734597151"/>
  </r>
  <r>
    <x v="5"/>
    <x v="2"/>
    <s v="COLCHÃO M.E."/>
    <s v="DIRETO"/>
    <x v="18"/>
    <s v="NADA"/>
    <x v="1"/>
    <n v="50231"/>
    <n v="2430"/>
    <x v="251"/>
    <s v="POLYMAX"/>
    <s v="EX "/>
    <s v="Colchão M.E."/>
    <m/>
    <s v="MARTIN"/>
    <n v="45260"/>
    <m/>
    <m/>
    <n v="3896.5"/>
    <s v="MT "/>
    <n v="160"/>
    <m/>
    <n v="398"/>
    <m/>
    <m/>
    <m/>
    <m/>
    <m/>
    <m/>
    <m/>
    <m/>
    <m/>
    <m/>
    <m/>
    <m/>
    <m/>
    <n v="9.7902010050251249"/>
  </r>
  <r>
    <x v="5"/>
    <x v="2"/>
    <s v="COLCHÃO M.E."/>
    <s v="DIRETO"/>
    <x v="18"/>
    <s v="NADA"/>
    <x v="1"/>
    <n v="50231"/>
    <n v="2426"/>
    <x v="252"/>
    <s v="POLYMAX"/>
    <s v="EX "/>
    <s v="Colchão M.E."/>
    <m/>
    <s v="MARTIN"/>
    <n v="45260"/>
    <m/>
    <m/>
    <n v="4060.49"/>
    <s v="MT "/>
    <n v="160"/>
    <m/>
    <n v="553"/>
    <m/>
    <m/>
    <m/>
    <m/>
    <m/>
    <m/>
    <m/>
    <m/>
    <m/>
    <m/>
    <m/>
    <m/>
    <m/>
    <n v="7.3426582278481005"/>
  </r>
  <r>
    <x v="5"/>
    <x v="2"/>
    <s v="COLCHÃO M.E."/>
    <s v="DIRETO"/>
    <x v="18"/>
    <s v="NADA"/>
    <x v="1"/>
    <n v="50231"/>
    <n v="2425"/>
    <x v="253"/>
    <s v="POLYMAX"/>
    <s v="EX "/>
    <s v="Colchão M.E."/>
    <m/>
    <s v="MARTIN"/>
    <n v="45260"/>
    <m/>
    <m/>
    <n v="3563.63"/>
    <s v="MT "/>
    <n v="160"/>
    <m/>
    <n v="560"/>
    <m/>
    <m/>
    <m/>
    <m/>
    <m/>
    <m/>
    <m/>
    <m/>
    <m/>
    <m/>
    <m/>
    <m/>
    <m/>
    <n v="6.3636249999999999"/>
  </r>
  <r>
    <x v="5"/>
    <x v="2"/>
    <s v="COLCHÃO M.E."/>
    <s v="DIRETO"/>
    <x v="18"/>
    <s v="NADA"/>
    <x v="1"/>
    <n v="50231"/>
    <n v="2424"/>
    <x v="254"/>
    <s v="POLYMAX"/>
    <s v="EX "/>
    <s v="Colchão M.E."/>
    <m/>
    <s v="MARTIN"/>
    <n v="45260"/>
    <m/>
    <m/>
    <n v="9128.3799999999992"/>
    <s v="MT "/>
    <n v="180"/>
    <m/>
    <n v="1332"/>
    <m/>
    <m/>
    <m/>
    <m/>
    <m/>
    <m/>
    <m/>
    <m/>
    <m/>
    <m/>
    <m/>
    <m/>
    <m/>
    <n v="6.8531381381381378"/>
  </r>
  <r>
    <x v="5"/>
    <x v="2"/>
    <s v="COLCHÃO M.E."/>
    <s v="DIRETO"/>
    <x v="18"/>
    <s v="NADA"/>
    <x v="1"/>
    <n v="50231"/>
    <n v="2423"/>
    <x v="255"/>
    <s v="POLYMAX"/>
    <s v="EX "/>
    <s v="Colchão M.E."/>
    <m/>
    <s v="MARTIN"/>
    <n v="45260"/>
    <m/>
    <m/>
    <n v="3811.32"/>
    <s v="MT "/>
    <n v="180"/>
    <m/>
    <n v="458"/>
    <m/>
    <m/>
    <m/>
    <m/>
    <m/>
    <m/>
    <m/>
    <m/>
    <m/>
    <m/>
    <m/>
    <m/>
    <m/>
    <n v="8.3216593886462888"/>
  </r>
  <r>
    <x v="5"/>
    <x v="2"/>
    <s v="COLCHÃO M.E."/>
    <s v="DIRETO"/>
    <x v="18"/>
    <s v="NADA"/>
    <x v="1"/>
    <n v="50231"/>
    <n v="2431"/>
    <x v="256"/>
    <s v="POLYMAX"/>
    <s v="EX "/>
    <s v="Colchão M.E."/>
    <m/>
    <s v="MARTIN"/>
    <n v="45260"/>
    <m/>
    <m/>
    <n v="4307.6899999999996"/>
    <s v="MT "/>
    <n v="160"/>
    <m/>
    <n v="440"/>
    <m/>
    <m/>
    <m/>
    <m/>
    <m/>
    <m/>
    <m/>
    <m/>
    <m/>
    <m/>
    <m/>
    <m/>
    <m/>
    <n v="9.7902045454545448"/>
  </r>
  <r>
    <x v="5"/>
    <x v="2"/>
    <s v="COLCHÃO M.E."/>
    <s v="DIRETO"/>
    <x v="18"/>
    <s v="NADA"/>
    <x v="1"/>
    <n v="50231"/>
    <n v="2432"/>
    <x v="257"/>
    <s v="POLYMAX"/>
    <s v="EX "/>
    <s v="Colchão M.E."/>
    <m/>
    <s v="MARTIN"/>
    <n v="45260"/>
    <m/>
    <m/>
    <n v="7176.22"/>
    <s v="MT "/>
    <n v="160"/>
    <m/>
    <n v="733"/>
    <m/>
    <m/>
    <m/>
    <m/>
    <m/>
    <m/>
    <m/>
    <m/>
    <m/>
    <m/>
    <m/>
    <m/>
    <m/>
    <n v="9.7902046384720336"/>
  </r>
  <r>
    <x v="5"/>
    <x v="2"/>
    <s v="COLCHÃO M.E."/>
    <s v="DIRETO"/>
    <x v="18"/>
    <s v="NADA"/>
    <x v="1"/>
    <n v="50231"/>
    <n v="2433"/>
    <x v="258"/>
    <s v="POLYMAX"/>
    <s v="EX "/>
    <s v="Colchão M.E."/>
    <m/>
    <s v="MARTIN"/>
    <n v="45260"/>
    <m/>
    <m/>
    <n v="3994.4"/>
    <s v="MT "/>
    <n v="160"/>
    <m/>
    <n v="408"/>
    <m/>
    <m/>
    <m/>
    <m/>
    <m/>
    <m/>
    <m/>
    <m/>
    <m/>
    <m/>
    <m/>
    <m/>
    <m/>
    <n v="9.7901960784313733"/>
  </r>
  <r>
    <x v="5"/>
    <x v="2"/>
    <s v="COLCHÃO M.E."/>
    <s v="DIRETO"/>
    <x v="18"/>
    <s v="NADA"/>
    <x v="1"/>
    <n v="50231"/>
    <n v="2434"/>
    <x v="259"/>
    <s v="POLYMAX"/>
    <s v="EX "/>
    <s v="Colchão M.E."/>
    <m/>
    <s v="MARTIN"/>
    <n v="45260"/>
    <m/>
    <m/>
    <n v="4864.26"/>
    <s v="MT "/>
    <n v="180"/>
    <m/>
    <n v="523"/>
    <m/>
    <m/>
    <m/>
    <m/>
    <m/>
    <m/>
    <m/>
    <m/>
    <m/>
    <m/>
    <m/>
    <m/>
    <m/>
    <n v="9.3006883365200768"/>
  </r>
  <r>
    <x v="5"/>
    <x v="2"/>
    <s v="COLCHÃO M.E."/>
    <s v="DIRETO"/>
    <x v="18"/>
    <s v="NADA"/>
    <x v="1"/>
    <n v="50231"/>
    <n v="2435"/>
    <x v="260"/>
    <s v="POLYMAX"/>
    <s v="EX "/>
    <s v="Colchão M.E."/>
    <m/>
    <s v="MARTIN"/>
    <n v="45260"/>
    <m/>
    <m/>
    <n v="5269.09"/>
    <s v="MT "/>
    <n v="180"/>
    <m/>
    <n v="598"/>
    <m/>
    <m/>
    <m/>
    <m/>
    <m/>
    <m/>
    <m/>
    <m/>
    <m/>
    <m/>
    <m/>
    <m/>
    <m/>
    <n v="8.8111872909698992"/>
  </r>
  <r>
    <x v="5"/>
    <x v="2"/>
    <s v="COLCHÃO M.E."/>
    <s v="DIRETO"/>
    <x v="18"/>
    <s v="NADA"/>
    <x v="1"/>
    <n v="50231"/>
    <n v="2544"/>
    <x v="261"/>
    <s v="POLYMAX"/>
    <s v="EX "/>
    <s v="Colchão M.E."/>
    <m/>
    <s v="MARTIN"/>
    <n v="45260"/>
    <m/>
    <m/>
    <n v="2165.59"/>
    <s v="MT "/>
    <n v="180"/>
    <m/>
    <n v="316"/>
    <m/>
    <m/>
    <m/>
    <m/>
    <m/>
    <m/>
    <m/>
    <m/>
    <m/>
    <m/>
    <m/>
    <m/>
    <m/>
    <n v="6.8531329113924055"/>
  </r>
  <r>
    <x v="5"/>
    <x v="2"/>
    <s v="COLCHÃO M.E."/>
    <s v="DIRETO"/>
    <x v="18"/>
    <s v="NADA"/>
    <x v="1"/>
    <n v="50231"/>
    <n v="2411"/>
    <x v="262"/>
    <s v="POLYMAX"/>
    <s v="EX "/>
    <s v="Colchão M.E."/>
    <m/>
    <s v="MARTIN"/>
    <n v="45260"/>
    <m/>
    <m/>
    <n v="4486.3599999999997"/>
    <s v="MT "/>
    <n v="200"/>
    <m/>
    <n v="470"/>
    <m/>
    <m/>
    <m/>
    <m/>
    <m/>
    <m/>
    <m/>
    <m/>
    <m/>
    <m/>
    <m/>
    <m/>
    <m/>
    <n v="9.5454468085106381"/>
  </r>
  <r>
    <x v="5"/>
    <x v="2"/>
    <s v="COLCHÃO M.E."/>
    <s v="DIRETO"/>
    <x v="18"/>
    <s v="NADA"/>
    <x v="1"/>
    <n v="50231"/>
    <n v="2413"/>
    <x v="263"/>
    <s v="POLYMAX"/>
    <s v="EX "/>
    <s v="Colchão M.E."/>
    <m/>
    <s v="MARTIN"/>
    <n v="45260"/>
    <m/>
    <m/>
    <n v="8469.99"/>
    <s v="MT "/>
    <n v="200"/>
    <m/>
    <n v="1331"/>
    <m/>
    <m/>
    <m/>
    <m/>
    <m/>
    <m/>
    <m/>
    <m/>
    <m/>
    <m/>
    <m/>
    <m/>
    <m/>
    <n v="6.3636288504883547"/>
  </r>
  <r>
    <x v="5"/>
    <x v="2"/>
    <s v="COLCHÃO M.E."/>
    <s v="DIRETO"/>
    <x v="18"/>
    <s v="NADA"/>
    <x v="1"/>
    <n v="50231"/>
    <n v="2406"/>
    <x v="264"/>
    <s v="POLYMAX"/>
    <s v="EX "/>
    <s v="Colchão M.E."/>
    <m/>
    <s v="MARTIN"/>
    <n v="45260"/>
    <m/>
    <m/>
    <n v="4620.97"/>
    <s v="MT "/>
    <n v="200"/>
    <m/>
    <n v="472"/>
    <m/>
    <m/>
    <m/>
    <m/>
    <m/>
    <m/>
    <m/>
    <m/>
    <m/>
    <m/>
    <m/>
    <m/>
    <m/>
    <n v="9.7901906779661019"/>
  </r>
  <r>
    <x v="5"/>
    <x v="2"/>
    <s v="COLCHÃO M.E."/>
    <s v="DIRETO"/>
    <x v="18"/>
    <s v="NADA"/>
    <x v="1"/>
    <n v="50231"/>
    <n v="2407"/>
    <x v="265"/>
    <s v="POLYMAX"/>
    <s v="EX "/>
    <s v="Colchão M.E."/>
    <m/>
    <s v="MARTIN"/>
    <n v="45260"/>
    <m/>
    <m/>
    <n v="4305"/>
    <s v="MT "/>
    <n v="200"/>
    <m/>
    <n v="429"/>
    <m/>
    <m/>
    <m/>
    <m/>
    <m/>
    <m/>
    <m/>
    <m/>
    <m/>
    <m/>
    <m/>
    <m/>
    <m/>
    <n v="10.034965034965035"/>
  </r>
  <r>
    <x v="5"/>
    <x v="2"/>
    <s v="COLCHÃO M.E."/>
    <s v="DIRETO"/>
    <x v="18"/>
    <s v="NADA"/>
    <x v="1"/>
    <n v="50231"/>
    <n v="2408"/>
    <x v="266"/>
    <s v="POLYMAX"/>
    <s v="EX "/>
    <s v="Colchão M.E."/>
    <m/>
    <s v="MARTIN"/>
    <n v="45260"/>
    <m/>
    <m/>
    <n v="3913.63"/>
    <s v="MT "/>
    <n v="200"/>
    <m/>
    <n v="410"/>
    <m/>
    <m/>
    <m/>
    <m/>
    <m/>
    <m/>
    <m/>
    <m/>
    <m/>
    <m/>
    <m/>
    <m/>
    <m/>
    <n v="9.5454390243902445"/>
  </r>
  <r>
    <x v="5"/>
    <x v="2"/>
    <s v="COLCHÃO M.E."/>
    <s v="DIRETO"/>
    <x v="18"/>
    <s v="NADA"/>
    <x v="1"/>
    <n v="50231"/>
    <n v="2409"/>
    <x v="267"/>
    <s v="POLYMAX"/>
    <s v="EX "/>
    <s v="Colchão M.E."/>
    <m/>
    <s v="MARTIN"/>
    <n v="45260"/>
    <m/>
    <m/>
    <n v="3763.11"/>
    <s v="MT "/>
    <n v="200"/>
    <m/>
    <n v="375"/>
    <m/>
    <m/>
    <m/>
    <m/>
    <m/>
    <m/>
    <m/>
    <m/>
    <m/>
    <m/>
    <m/>
    <m/>
    <m/>
    <n v="10.03496"/>
  </r>
  <r>
    <x v="5"/>
    <x v="2"/>
    <s v="COLCHÃO M.E."/>
    <s v="DIRETO"/>
    <x v="18"/>
    <s v="NADA"/>
    <x v="1"/>
    <n v="50231"/>
    <n v="2412"/>
    <x v="268"/>
    <s v="POLYMAX"/>
    <s v="EX "/>
    <s v="Colchão M.E."/>
    <m/>
    <s v="MARTIN"/>
    <n v="45260"/>
    <m/>
    <m/>
    <n v="4724.75"/>
    <s v="MT "/>
    <n v="200"/>
    <m/>
    <n v="508"/>
    <m/>
    <m/>
    <m/>
    <m/>
    <m/>
    <m/>
    <m/>
    <m/>
    <m/>
    <m/>
    <m/>
    <m/>
    <m/>
    <n v="9.3006889763779519"/>
  </r>
  <r>
    <x v="5"/>
    <x v="2"/>
    <s v="COLCHÃO M.E."/>
    <s v="DIRETO"/>
    <x v="18"/>
    <s v="NADA"/>
    <x v="1"/>
    <n v="50231"/>
    <n v="2422"/>
    <x v="269"/>
    <s v="POLYMAX"/>
    <s v="EX "/>
    <s v="Colchão M.E."/>
    <m/>
    <s v="MARTIN"/>
    <n v="45260"/>
    <m/>
    <m/>
    <n v="4696.8500000000004"/>
    <s v="MT "/>
    <n v="180"/>
    <m/>
    <n v="505"/>
    <m/>
    <m/>
    <m/>
    <m/>
    <m/>
    <m/>
    <m/>
    <m/>
    <m/>
    <m/>
    <m/>
    <m/>
    <m/>
    <n v="9.3006930693069307"/>
  </r>
  <r>
    <x v="5"/>
    <x v="2"/>
    <s v="COLCHÃO M.E."/>
    <s v="DIRETO"/>
    <x v="18"/>
    <s v="NADA"/>
    <x v="1"/>
    <n v="50231"/>
    <n v="2418"/>
    <x v="270"/>
    <s v="POLYMAX"/>
    <s v="EX "/>
    <s v="Colchão M.E."/>
    <m/>
    <s v="MARTIN"/>
    <n v="45260"/>
    <m/>
    <m/>
    <n v="4244.93"/>
    <s v="MT "/>
    <n v="200"/>
    <m/>
    <n v="447"/>
    <m/>
    <m/>
    <m/>
    <m/>
    <m/>
    <m/>
    <m/>
    <m/>
    <m/>
    <m/>
    <m/>
    <m/>
    <m/>
    <n v="9.4964876957494422"/>
  </r>
  <r>
    <x v="5"/>
    <x v="2"/>
    <s v="COLCHÃO M.E."/>
    <s v="DIRETO"/>
    <x v="18"/>
    <s v="NADA"/>
    <x v="1"/>
    <n v="50231"/>
    <n v="2420"/>
    <x v="271"/>
    <s v="POLYMAX"/>
    <s v="EX "/>
    <s v="Colchão M.E."/>
    <m/>
    <s v="MARTIN"/>
    <n v="45260"/>
    <m/>
    <m/>
    <n v="12829.08"/>
    <s v="MT "/>
    <n v="160"/>
    <m/>
    <n v="2016"/>
    <m/>
    <m/>
    <m/>
    <m/>
    <m/>
    <m/>
    <m/>
    <m/>
    <m/>
    <m/>
    <m/>
    <m/>
    <m/>
    <n v="6.3636309523809524"/>
  </r>
  <r>
    <x v="5"/>
    <x v="2"/>
    <s v="COLCHÃO M.E."/>
    <s v="DIRETO"/>
    <x v="18"/>
    <s v="NADA"/>
    <x v="1"/>
    <n v="50231"/>
    <n v="2419"/>
    <x v="272"/>
    <s v="POLYMAX"/>
    <s v="EX "/>
    <s v="Colchão M.E."/>
    <m/>
    <s v="MARTIN"/>
    <n v="45260"/>
    <m/>
    <m/>
    <n v="4758.04"/>
    <s v="MT "/>
    <n v="180"/>
    <m/>
    <n v="486"/>
    <m/>
    <m/>
    <m/>
    <m/>
    <m/>
    <m/>
    <m/>
    <m/>
    <m/>
    <m/>
    <m/>
    <m/>
    <m/>
    <n v="9.7902057613168729"/>
  </r>
  <r>
    <x v="5"/>
    <x v="2"/>
    <s v="COLCHÃO M.E."/>
    <s v="DIRETO"/>
    <x v="18"/>
    <s v="NADA"/>
    <x v="1"/>
    <n v="50231"/>
    <n v="2415"/>
    <x v="273"/>
    <s v="POLYMAX"/>
    <s v="EX "/>
    <s v="Colchão M.E."/>
    <m/>
    <s v="MARTIN"/>
    <n v="45260"/>
    <m/>
    <m/>
    <n v="10318.629999999999"/>
    <s v="MT "/>
    <n v="200"/>
    <m/>
    <n v="1081"/>
    <m/>
    <m/>
    <m/>
    <m/>
    <m/>
    <m/>
    <m/>
    <m/>
    <m/>
    <m/>
    <m/>
    <m/>
    <m/>
    <n v="9.5454486586493985"/>
  </r>
  <r>
    <x v="5"/>
    <x v="2"/>
    <s v="COLCHÃO M.E."/>
    <s v="DIRETO"/>
    <x v="18"/>
    <s v="NADA"/>
    <x v="1"/>
    <n v="50231"/>
    <n v="2417"/>
    <x v="274"/>
    <s v="POLYMAX"/>
    <s v="EX "/>
    <s v="Colchão M.E."/>
    <m/>
    <s v="MARTIN"/>
    <n v="45260"/>
    <m/>
    <m/>
    <n v="3494.71"/>
    <s v="MT "/>
    <n v="200"/>
    <m/>
    <n v="368"/>
    <m/>
    <m/>
    <m/>
    <m/>
    <m/>
    <m/>
    <m/>
    <m/>
    <m/>
    <m/>
    <m/>
    <m/>
    <m/>
    <n v="9.4964945652173913"/>
  </r>
  <r>
    <x v="5"/>
    <x v="2"/>
    <s v="COLCHÃO M.E."/>
    <s v="DIRETO"/>
    <x v="18"/>
    <s v="NADA"/>
    <x v="1"/>
    <n v="50231"/>
    <n v="2416"/>
    <x v="275"/>
    <s v="POLYMAX"/>
    <s v="EX "/>
    <s v="Colchão M.E."/>
    <m/>
    <s v="MARTIN"/>
    <n v="45260"/>
    <m/>
    <m/>
    <n v="4901.46"/>
    <s v="MT "/>
    <n v="200"/>
    <m/>
    <n v="527"/>
    <m/>
    <m/>
    <m/>
    <m/>
    <m/>
    <m/>
    <m/>
    <m/>
    <m/>
    <m/>
    <m/>
    <m/>
    <m/>
    <n v="9.3006831119544593"/>
  </r>
  <r>
    <x v="5"/>
    <x v="2"/>
    <s v="COLCHÃO M.E."/>
    <s v="DIRETO"/>
    <x v="1"/>
    <s v="NADA"/>
    <x v="1"/>
    <n v="50234"/>
    <n v="2054"/>
    <x v="224"/>
    <s v="DIVINO COLCHONES"/>
    <s v="EX "/>
    <s v="Colchão M.E."/>
    <m/>
    <s v="CONEXÃO MALHAS"/>
    <n v="45260"/>
    <m/>
    <m/>
    <n v="14640.75"/>
    <s v="MT "/>
    <n v="280"/>
    <m/>
    <n v="935"/>
    <m/>
    <m/>
    <m/>
    <m/>
    <m/>
    <m/>
    <m/>
    <m/>
    <m/>
    <m/>
    <m/>
    <m/>
    <m/>
    <n v="15.65855614973262"/>
  </r>
  <r>
    <x v="5"/>
    <x v="2"/>
    <s v="COLCHÃO M.E."/>
    <s v="DIRETO"/>
    <x v="1"/>
    <s v="NADA"/>
    <x v="1"/>
    <n v="50234"/>
    <n v="2157"/>
    <x v="230"/>
    <s v="DIVINO COLCHONES"/>
    <s v="EX "/>
    <s v="Colchão M.E."/>
    <m/>
    <s v="CONEXÃO MALHAS"/>
    <n v="45260"/>
    <m/>
    <m/>
    <n v="22612.97"/>
    <s v="MT "/>
    <n v="300"/>
    <m/>
    <n v="977"/>
    <m/>
    <m/>
    <m/>
    <m/>
    <m/>
    <m/>
    <m/>
    <m/>
    <m/>
    <m/>
    <m/>
    <m/>
    <m/>
    <n v="23.145312180143296"/>
  </r>
  <r>
    <x v="5"/>
    <x v="2"/>
    <s v="COLCHÃO M.E."/>
    <s v="DIRETO"/>
    <x v="1"/>
    <s v="NADA"/>
    <x v="1"/>
    <n v="50234"/>
    <n v="1905"/>
    <x v="193"/>
    <s v="DIVINO COLCHONES"/>
    <s v="EX "/>
    <s v="Colchão M.E."/>
    <m/>
    <s v="CONEXÃO MALHAS"/>
    <n v="45260"/>
    <m/>
    <m/>
    <n v="7829.28"/>
    <s v="MT "/>
    <m/>
    <m/>
    <n v="1000"/>
    <m/>
    <m/>
    <m/>
    <m/>
    <m/>
    <m/>
    <m/>
    <m/>
    <m/>
    <m/>
    <m/>
    <m/>
    <m/>
    <n v="7.8292799999999998"/>
  </r>
  <r>
    <x v="5"/>
    <x v="2"/>
    <s v="COLCHÃO M.E."/>
    <s v="DIRETO"/>
    <x v="1"/>
    <s v="NADA"/>
    <x v="1"/>
    <n v="50234"/>
    <n v="2495"/>
    <x v="276"/>
    <s v="DIVINO COLCHONES"/>
    <s v="EX "/>
    <s v="Colchão M.E."/>
    <m/>
    <s v="CONEXÃO MALHAS"/>
    <n v="45260"/>
    <m/>
    <m/>
    <n v="23083.85"/>
    <s v="MT "/>
    <n v="470"/>
    <m/>
    <n v="832"/>
    <m/>
    <m/>
    <m/>
    <m/>
    <m/>
    <m/>
    <m/>
    <m/>
    <m/>
    <m/>
    <m/>
    <m/>
    <m/>
    <n v="27.745012019230767"/>
  </r>
  <r>
    <x v="5"/>
    <x v="2"/>
    <s v="COLCHÃO M.E."/>
    <s v="DIRETO"/>
    <x v="1"/>
    <s v="NADA"/>
    <x v="1"/>
    <n v="50234"/>
    <n v="2496"/>
    <x v="277"/>
    <s v="DIVINO COLCHONES"/>
    <s v="EX "/>
    <s v="Colchão M.E."/>
    <m/>
    <s v="CONEXÃO MALHAS"/>
    <n v="45260"/>
    <m/>
    <m/>
    <n v="10070.41"/>
    <s v="MT "/>
    <n v="310"/>
    <m/>
    <n v="490"/>
    <m/>
    <m/>
    <m/>
    <m/>
    <m/>
    <m/>
    <m/>
    <m/>
    <m/>
    <m/>
    <m/>
    <m/>
    <m/>
    <n v="20.551857142857141"/>
  </r>
  <r>
    <x v="5"/>
    <x v="2"/>
    <s v="COLCHÃO M.E."/>
    <s v="DIRETO"/>
    <x v="1"/>
    <s v="NADA"/>
    <x v="1"/>
    <n v="50234"/>
    <n v="2497"/>
    <x v="278"/>
    <s v="DIVINO COLCHONES"/>
    <s v="EX "/>
    <s v="Colchão M.E."/>
    <m/>
    <s v="CONEXÃO MALHAS"/>
    <n v="45260"/>
    <m/>
    <m/>
    <n v="1972.98"/>
    <s v="MT "/>
    <n v="230"/>
    <m/>
    <n v="168"/>
    <m/>
    <m/>
    <m/>
    <m/>
    <m/>
    <m/>
    <m/>
    <m/>
    <m/>
    <m/>
    <m/>
    <m/>
    <m/>
    <n v="11.743928571428572"/>
  </r>
  <r>
    <x v="5"/>
    <x v="2"/>
    <s v="COLCHÃO M.E."/>
    <s v="DIRETO"/>
    <x v="1"/>
    <s v="NADA"/>
    <x v="1"/>
    <n v="50234"/>
    <n v="1504"/>
    <x v="167"/>
    <s v="DIVINO COLCHONES"/>
    <s v="EX "/>
    <s v="Colchão M.E."/>
    <m/>
    <s v="CONEXÃO MALHAS"/>
    <n v="45260"/>
    <m/>
    <m/>
    <n v="63370.68"/>
    <s v="MT "/>
    <n v="240"/>
    <m/>
    <n v="4390"/>
    <m/>
    <m/>
    <m/>
    <m/>
    <m/>
    <m/>
    <m/>
    <m/>
    <m/>
    <m/>
    <m/>
    <m/>
    <m/>
    <n v="14.435234624145785"/>
  </r>
  <r>
    <x v="5"/>
    <x v="2"/>
    <s v="COLCHÃO M.E."/>
    <s v="DIRETO"/>
    <x v="1"/>
    <s v="NADA"/>
    <x v="1"/>
    <n v="50234"/>
    <n v="1523"/>
    <x v="184"/>
    <s v="DIVINO COLCHONES"/>
    <s v="EX "/>
    <s v="Colchão M.E."/>
    <m/>
    <s v="CONEXÃO MALHAS"/>
    <n v="45260"/>
    <m/>
    <m/>
    <n v="10569.53"/>
    <s v="MT "/>
    <m/>
    <m/>
    <n v="1500"/>
    <m/>
    <m/>
    <m/>
    <m/>
    <m/>
    <m/>
    <m/>
    <m/>
    <m/>
    <m/>
    <m/>
    <m/>
    <m/>
    <n v="7.0463533333333341"/>
  </r>
  <r>
    <x v="5"/>
    <x v="2"/>
    <s v="COLCHÃO M.E."/>
    <s v="DIRETO"/>
    <x v="1"/>
    <s v="NADA"/>
    <x v="1"/>
    <n v="50234"/>
    <n v="1236"/>
    <x v="168"/>
    <s v="DIVINO COLCHONES"/>
    <s v="EX "/>
    <s v="Colchão M.E."/>
    <m/>
    <s v="CONEXÃO MALHAS"/>
    <n v="45260"/>
    <m/>
    <m/>
    <n v="27796.39"/>
    <s v="MT "/>
    <n v="240"/>
    <m/>
    <n v="1623"/>
    <m/>
    <m/>
    <m/>
    <m/>
    <m/>
    <m/>
    <m/>
    <m/>
    <m/>
    <m/>
    <m/>
    <m/>
    <m/>
    <n v="17.126549599507086"/>
  </r>
  <r>
    <x v="5"/>
    <x v="2"/>
    <s v="COLCHÃO M.E."/>
    <s v="DIRETO"/>
    <x v="1"/>
    <s v="NADA"/>
    <x v="1"/>
    <n v="50234"/>
    <n v="1226"/>
    <x v="170"/>
    <s v="DIVINO COLCHONES"/>
    <s v="EX "/>
    <s v="Colchão M.E."/>
    <m/>
    <s v="CONEXÃO MALHAS"/>
    <n v="45260"/>
    <m/>
    <m/>
    <n v="20610.580000000002"/>
    <s v="MT "/>
    <n v="260"/>
    <m/>
    <n v="1404"/>
    <m/>
    <m/>
    <m/>
    <m/>
    <m/>
    <m/>
    <m/>
    <m/>
    <m/>
    <m/>
    <m/>
    <m/>
    <m/>
    <n v="14.679900284900286"/>
  </r>
  <r>
    <x v="5"/>
    <x v="2"/>
    <s v="COLCHÃO M.E."/>
    <s v="DIRETO"/>
    <x v="1"/>
    <s v="NADA"/>
    <x v="1"/>
    <n v="50234"/>
    <n v="1225"/>
    <x v="194"/>
    <s v="DIVINO COLCHONES"/>
    <s v="EX "/>
    <s v="Colchão M.E."/>
    <m/>
    <s v="CONEXÃO MALHAS"/>
    <n v="45260"/>
    <m/>
    <m/>
    <n v="118002.52"/>
    <s v="MT "/>
    <n v="240"/>
    <m/>
    <n v="8147"/>
    <m/>
    <m/>
    <m/>
    <m/>
    <m/>
    <m/>
    <m/>
    <m/>
    <m/>
    <m/>
    <m/>
    <m/>
    <m/>
    <n v="14.484168405548054"/>
  </r>
  <r>
    <x v="5"/>
    <x v="2"/>
    <s v="COLCHÃO M.E."/>
    <s v="DIRETO"/>
    <x v="1"/>
    <s v="NADA"/>
    <x v="1"/>
    <n v="50234"/>
    <n v="1525"/>
    <x v="185"/>
    <s v="DIVINO COLCHONES"/>
    <s v="EX "/>
    <s v="Colchão M.E."/>
    <m/>
    <s v="CONEXÃO MALHAS"/>
    <n v="45260"/>
    <m/>
    <m/>
    <n v="53572.24"/>
    <s v="MT "/>
    <n v="320"/>
    <m/>
    <n v="2904"/>
    <m/>
    <m/>
    <m/>
    <m/>
    <m/>
    <m/>
    <m/>
    <m/>
    <m/>
    <m/>
    <m/>
    <m/>
    <m/>
    <n v="18.447741046831954"/>
  </r>
  <r>
    <x v="6"/>
    <x v="2"/>
    <s v="COLCHÃO M.E."/>
    <s v="DIRETO"/>
    <x v="1"/>
    <s v="NADA"/>
    <x v="1"/>
    <n v="50258"/>
    <n v="2497"/>
    <x v="278"/>
    <s v="DIVINO COLCHONES"/>
    <s v="EX "/>
    <s v="Colchão M.E."/>
    <m/>
    <s v="CONEXÃO MALHAS"/>
    <n v="45264"/>
    <m/>
    <m/>
    <n v="1251.42"/>
    <s v="MT "/>
    <n v="230"/>
    <m/>
    <n v="106"/>
    <m/>
    <m/>
    <m/>
    <m/>
    <m/>
    <m/>
    <m/>
    <m/>
    <m/>
    <m/>
    <m/>
    <s v="DIVINO S.A"/>
    <s v="CONEXAO MALHAS E DESENVOLVIMENTO LTDA"/>
    <n v="11.805849056603774"/>
  </r>
  <r>
    <x v="6"/>
    <x v="2"/>
    <s v="COLCHÃO M.E."/>
    <s v="DIRETO"/>
    <x v="24"/>
    <s v="NADA"/>
    <x v="6"/>
    <n v="50316"/>
    <n v="2543"/>
    <x v="279"/>
    <s v="PRODUCTOS PARAISO DEL ECUADOR"/>
    <s v="EX "/>
    <s v="Colchão M.E."/>
    <m/>
    <s v="CONEXÃO MALHAS"/>
    <n v="45265"/>
    <m/>
    <m/>
    <n v="5447.24"/>
    <s v="MT "/>
    <n v="260"/>
    <m/>
    <n v="509"/>
    <m/>
    <m/>
    <m/>
    <m/>
    <m/>
    <m/>
    <m/>
    <m/>
    <m/>
    <m/>
    <m/>
    <s v="PRODUCTOS PARAISO DEL ECUADOR"/>
    <s v="CARLOS FIDENCIO D AVALOS RUIZ JUNIOR 34496952823"/>
    <n v="10.701846758349705"/>
  </r>
  <r>
    <x v="6"/>
    <x v="2"/>
    <s v="COLCHÃO M.E."/>
    <s v="DIRETO"/>
    <x v="1"/>
    <s v="NADA"/>
    <x v="1"/>
    <n v="50334"/>
    <n v="2157"/>
    <x v="230"/>
    <s v="DIVINO COLCHONES"/>
    <s v="EX "/>
    <s v="Colchão M.E."/>
    <m/>
    <s v="CONEXÃO MALHAS"/>
    <n v="45266"/>
    <m/>
    <m/>
    <n v="22885.16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x v="1"/>
    <n v="50334"/>
    <n v="2495"/>
    <x v="276"/>
    <s v="DIVINO COLCHONES"/>
    <s v="EX "/>
    <s v="Colchão M.E."/>
    <m/>
    <s v="CONEXÃO MALHAS"/>
    <n v="45266"/>
    <m/>
    <m/>
    <n v="23361.71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x v="1"/>
    <n v="50334"/>
    <n v="2054"/>
    <x v="224"/>
    <s v="DIVINO COLCHONES"/>
    <s v="EX "/>
    <s v="Colchão M.E."/>
    <m/>
    <s v="CONEXÃO MALHAS"/>
    <n v="45266"/>
    <m/>
    <m/>
    <n v="14816.98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x v="1"/>
    <n v="50334"/>
    <n v="1905"/>
    <x v="193"/>
    <s v="DIVINO COLCHONES"/>
    <s v="EX "/>
    <s v="Colchão M.E."/>
    <m/>
    <s v="CONEXÃO MALHAS"/>
    <n v="45266"/>
    <m/>
    <m/>
    <n v="7923.52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x v="1"/>
    <n v="50334"/>
    <n v="2496"/>
    <x v="277"/>
    <s v="DIVINO COLCHONES"/>
    <s v="EX "/>
    <s v="Colchão M.E."/>
    <m/>
    <s v="CONEXÃO MALHAS"/>
    <n v="45266"/>
    <m/>
    <m/>
    <n v="10191.629999999999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x v="1"/>
    <n v="50334"/>
    <n v="2497"/>
    <x v="278"/>
    <s v="DIVINO COLCHONES"/>
    <s v="EX "/>
    <s v="Colchão M.E."/>
    <m/>
    <s v="CONEXÃO MALHAS"/>
    <n v="45266"/>
    <m/>
    <m/>
    <n v="3256.57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x v="1"/>
    <n v="50334"/>
    <n v="1226"/>
    <x v="170"/>
    <s v="DIVINO COLCHONES"/>
    <s v="EX "/>
    <s v="Colchão M.E."/>
    <m/>
    <s v="CONEXÃO MALHAS"/>
    <n v="45266"/>
    <m/>
    <m/>
    <n v="20858.669999999998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x v="1"/>
    <n v="50334"/>
    <n v="1525"/>
    <x v="185"/>
    <s v="DIVINO COLCHONES"/>
    <s v="EX "/>
    <s v="Colchão M.E."/>
    <m/>
    <s v="CONEXÃO MALHAS"/>
    <n v="45266"/>
    <m/>
    <m/>
    <n v="54217.08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x v="1"/>
    <n v="50334"/>
    <n v="1523"/>
    <x v="184"/>
    <s v="DIVINO COLCHONES"/>
    <s v="EX "/>
    <s v="Colchão M.E."/>
    <m/>
    <s v="CONEXÃO MALHAS"/>
    <n v="45266"/>
    <m/>
    <m/>
    <n v="10696.75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x v="1"/>
    <n v="50334"/>
    <n v="1504"/>
    <x v="167"/>
    <s v="DIVINO COLCHONES"/>
    <s v="EX "/>
    <s v="Colchão M.E."/>
    <m/>
    <s v="CONEXÃO MALHAS"/>
    <n v="45266"/>
    <m/>
    <m/>
    <n v="64133.47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x v="1"/>
    <n v="50334"/>
    <n v="1236"/>
    <x v="168"/>
    <s v="DIVINO COLCHONES"/>
    <s v="EX "/>
    <s v="Colchão M.E."/>
    <m/>
    <s v="CONEXÃO MALHAS"/>
    <n v="45266"/>
    <m/>
    <m/>
    <n v="28130.97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"/>
    <s v="NADA"/>
    <x v="1"/>
    <n v="50334"/>
    <n v="1225"/>
    <x v="194"/>
    <s v="DIVINO COLCHONES"/>
    <s v="EX "/>
    <s v="Colchão M.E."/>
    <m/>
    <s v="CONEXÃO MALHAS"/>
    <n v="45266"/>
    <m/>
    <m/>
    <n v="119422.9"/>
    <s v="MT "/>
    <m/>
    <m/>
    <m/>
    <m/>
    <m/>
    <m/>
    <m/>
    <m/>
    <m/>
    <m/>
    <m/>
    <m/>
    <m/>
    <m/>
    <s v="DIVINO S.A"/>
    <s v="CONEXAO MALHAS E DESENVOLVIMENTO LTDA"/>
    <n v="0"/>
  </r>
  <r>
    <x v="6"/>
    <x v="2"/>
    <s v="COLCHÃO M.E."/>
    <s v="DIRETO"/>
    <x v="18"/>
    <s v="NADA"/>
    <x v="1"/>
    <n v="50332"/>
    <n v="2427"/>
    <x v="250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26"/>
    <x v="252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28"/>
    <x v="249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29"/>
    <x v="248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25"/>
    <x v="253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24"/>
    <x v="254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23"/>
    <x v="255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30"/>
    <x v="251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31"/>
    <x v="256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32"/>
    <x v="257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33"/>
    <x v="258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34"/>
    <x v="259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35"/>
    <x v="260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544"/>
    <x v="261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20"/>
    <x v="271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12"/>
    <x v="268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06"/>
    <x v="264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07"/>
    <x v="265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08"/>
    <x v="266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09"/>
    <x v="267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11"/>
    <x v="262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22"/>
    <x v="269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13"/>
    <x v="263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15"/>
    <x v="273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16"/>
    <x v="275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17"/>
    <x v="274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18"/>
    <x v="270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18"/>
    <s v="NADA"/>
    <x v="1"/>
    <n v="50332"/>
    <n v="2419"/>
    <x v="272"/>
    <s v="COLCHONES POLYMAX"/>
    <s v="EX "/>
    <s v="Colchão M.E."/>
    <m/>
    <s v="CONEXÃO MALHAS"/>
    <n v="45266"/>
    <m/>
    <m/>
    <m/>
    <s v="MT "/>
    <m/>
    <m/>
    <m/>
    <m/>
    <m/>
    <m/>
    <m/>
    <m/>
    <m/>
    <m/>
    <m/>
    <m/>
    <m/>
    <m/>
    <s v="COLCHONES POLYMAX"/>
    <s v="CONEXAO MALHAS E DESENVOLVIMENTO LTDA"/>
    <n v="0"/>
  </r>
  <r>
    <x v="6"/>
    <x v="2"/>
    <s v="COLCHÃO M.E."/>
    <s v="DIRETO"/>
    <x v="9"/>
    <s v="NADA"/>
    <x v="2"/>
    <n v="50341"/>
    <n v="1419"/>
    <x v="234"/>
    <s v="FLEX CHILE"/>
    <s v="EX "/>
    <s v="Colchão M.E."/>
    <m/>
    <s v="DIRETO"/>
    <n v="45267"/>
    <m/>
    <m/>
    <n v="8713.99"/>
    <s v="MT "/>
    <m/>
    <m/>
    <m/>
    <m/>
    <m/>
    <m/>
    <m/>
    <m/>
    <m/>
    <m/>
    <m/>
    <m/>
    <m/>
    <m/>
    <s v="FLEX CHILE"/>
    <s v="CARLOS FIDENCIO D AVALOS RUIZ JUNIOR 34496952823"/>
    <n v="0"/>
  </r>
  <r>
    <x v="6"/>
    <x v="2"/>
    <s v="COLCHÃO M.E."/>
    <s v="DIRETO"/>
    <x v="9"/>
    <s v="NADA"/>
    <x v="2"/>
    <n v="50341"/>
    <n v="1422"/>
    <x v="232"/>
    <s v="FLEX CHILE"/>
    <s v="EX "/>
    <s v="Colchão M.E."/>
    <m/>
    <s v="DIRETO"/>
    <n v="45267"/>
    <m/>
    <m/>
    <n v="71365.850000000006"/>
    <s v="MT "/>
    <m/>
    <m/>
    <m/>
    <m/>
    <m/>
    <m/>
    <m/>
    <m/>
    <m/>
    <m/>
    <m/>
    <m/>
    <m/>
    <m/>
    <s v="FLEX CHILE"/>
    <s v="CARLOS FIDENCIO D AVALOS RUIZ JUNIOR 34496952823"/>
    <n v="0"/>
  </r>
  <r>
    <x v="6"/>
    <x v="2"/>
    <s v="COLCHÃO M.E."/>
    <s v="DIRETO"/>
    <x v="9"/>
    <s v="NADA"/>
    <x v="2"/>
    <n v="50350"/>
    <n v="1419"/>
    <x v="234"/>
    <s v="FLEX CHILE"/>
    <s v="EX "/>
    <s v="Colchão M.E."/>
    <m/>
    <s v="DIRETO"/>
    <n v="45268"/>
    <m/>
    <m/>
    <n v="11307.77"/>
    <s v="MT "/>
    <n v="180"/>
    <m/>
    <n v="1025"/>
    <m/>
    <m/>
    <m/>
    <m/>
    <m/>
    <m/>
    <m/>
    <m/>
    <m/>
    <m/>
    <m/>
    <s v="FLEX CHILE"/>
    <s v="CARLOS FIDENCIO D AVALOS RUIZ JUNIOR 34496952823"/>
    <n v="11.031970731707318"/>
  </r>
  <r>
    <x v="6"/>
    <x v="2"/>
    <s v="COLCHÃO M.E."/>
    <s v="DIRETO"/>
    <x v="5"/>
    <s v="NADA"/>
    <x v="4"/>
    <n v="50352"/>
    <n v="2566"/>
    <x v="280"/>
    <s v="INMAPOL SACIF"/>
    <s v="EX "/>
    <s v="Colchão M.E."/>
    <m/>
    <s v="DIRETO"/>
    <n v="45268"/>
    <m/>
    <m/>
    <n v="16796.36"/>
    <s v="MT "/>
    <n v="220"/>
    <m/>
    <n v="1634"/>
    <m/>
    <m/>
    <m/>
    <m/>
    <m/>
    <m/>
    <m/>
    <m/>
    <m/>
    <m/>
    <m/>
    <s v="INMAPOL SACIF"/>
    <s v="CONEXAO MALHAS E DESENVOLVIMENTO LTDA"/>
    <n v="10.279290085679316"/>
  </r>
  <r>
    <x v="6"/>
    <x v="2"/>
    <s v="COLCHÃO M.E."/>
    <s v="DIRETO"/>
    <x v="5"/>
    <s v="NADA"/>
    <x v="4"/>
    <n v="50393"/>
    <n v="2566"/>
    <x v="280"/>
    <s v="INMAPOL SACIF"/>
    <s v="EX "/>
    <s v="Colchão M.E."/>
    <m/>
    <s v="DIRETO"/>
    <n v="45271"/>
    <m/>
    <m/>
    <n v="16868.080000000002"/>
    <s v="MT "/>
    <n v="310"/>
    <m/>
    <n v="1634"/>
    <m/>
    <m/>
    <m/>
    <m/>
    <m/>
    <m/>
    <m/>
    <m/>
    <m/>
    <m/>
    <m/>
    <s v="INMAPOL SACIF"/>
    <s v="CONEXAO MALHAS E DESENVOLVIMENTO LTDA"/>
    <n v="10.323182374541005"/>
  </r>
  <r>
    <x v="6"/>
    <x v="2"/>
    <s v="COLCHÃO M.E."/>
    <s v="DIRETO"/>
    <x v="10"/>
    <s v="NADA"/>
    <x v="2"/>
    <n v="50469"/>
    <n v="2535"/>
    <x v="281"/>
    <s v="COLCHONES DEL MUNDO"/>
    <s v="EX "/>
    <s v="Colchão M.E."/>
    <m/>
    <s v="DIRETO"/>
    <n v="45275"/>
    <m/>
    <m/>
    <n v="17472.34"/>
    <s v="MT "/>
    <n v="430"/>
    <m/>
    <n v="543"/>
    <m/>
    <m/>
    <m/>
    <m/>
    <m/>
    <m/>
    <m/>
    <m/>
    <m/>
    <m/>
    <m/>
    <s v="COLCHONES DEL MUNDO SPA"/>
    <s v="CARLOS FIDENCIO D AVALOS RUIZ JUNIOR 34496952823"/>
    <n v="32.177421731123388"/>
  </r>
  <r>
    <x v="6"/>
    <x v="2"/>
    <s v="COLCHÃO M.E."/>
    <s v="DIRETO"/>
    <x v="10"/>
    <s v="NADA"/>
    <x v="2"/>
    <n v="50469"/>
    <n v="2536"/>
    <x v="282"/>
    <s v="COLCHONES DEL MUNDO"/>
    <s v="EX "/>
    <s v="Colchão M.E."/>
    <m/>
    <s v="DIRETO"/>
    <n v="45275"/>
    <m/>
    <m/>
    <n v="19885.650000000001"/>
    <s v="MT "/>
    <n v="440"/>
    <m/>
    <n v="618"/>
    <m/>
    <m/>
    <m/>
    <m/>
    <m/>
    <m/>
    <m/>
    <m/>
    <m/>
    <m/>
    <m/>
    <s v="COLCHONES DEL MUNDO SPA"/>
    <s v="CARLOS FIDENCIO D AVALOS RUIZ JUNIOR 34496952823"/>
    <n v="32.177427184466019"/>
  </r>
  <r>
    <x v="6"/>
    <x v="2"/>
    <s v="COLCHÃO M.E."/>
    <s v="DIRETO"/>
    <x v="10"/>
    <s v="NADA"/>
    <x v="2"/>
    <n v="50469"/>
    <n v="2032"/>
    <x v="231"/>
    <s v="COLCHONES DEL MUNDO"/>
    <s v="EX "/>
    <s v="Colchão M.E."/>
    <m/>
    <s v="DIRETO"/>
    <n v="45275"/>
    <m/>
    <m/>
    <n v="14898.39"/>
    <s v="MT "/>
    <n v="360"/>
    <m/>
    <n v="612"/>
    <m/>
    <m/>
    <m/>
    <m/>
    <m/>
    <m/>
    <m/>
    <m/>
    <m/>
    <m/>
    <m/>
    <s v="COLCHONES DEL MUNDO SPA"/>
    <s v="CARLOS FIDENCIO D AVALOS RUIZ JUNIOR 34496952823"/>
    <n v="24.343774509803922"/>
  </r>
  <r>
    <x v="6"/>
    <x v="2"/>
    <s v="COLCHÃO M.E."/>
    <s v="DIRETO"/>
    <x v="10"/>
    <s v="NADA"/>
    <x v="2"/>
    <n v="50469"/>
    <n v="2000"/>
    <x v="207"/>
    <s v="COLCHONES DEL MUNDO"/>
    <s v="EX "/>
    <s v="Colchão M.E."/>
    <m/>
    <s v="DIRETO"/>
    <n v="45275"/>
    <m/>
    <m/>
    <n v="16686.990000000002"/>
    <s v="MT "/>
    <n v="380"/>
    <m/>
    <n v="651"/>
    <m/>
    <m/>
    <m/>
    <m/>
    <m/>
    <m/>
    <m/>
    <m/>
    <m/>
    <m/>
    <m/>
    <s v="COLCHONES DEL MUNDO SPA"/>
    <s v="CARLOS FIDENCIO D AVALOS RUIZ JUNIOR 34496952823"/>
    <n v="25.632857142857144"/>
  </r>
  <r>
    <x v="6"/>
    <x v="2"/>
    <s v="COLCHÃO M.E."/>
    <s v="DIRETO"/>
    <x v="1"/>
    <s v="NADA"/>
    <x v="1"/>
    <n v="50474"/>
    <n v="1225"/>
    <x v="194"/>
    <s v="DIVINO COLCHONES"/>
    <s v="EX "/>
    <s v="Colchão M.E."/>
    <m/>
    <s v="CONEXÃO MALHAS"/>
    <n v="45275"/>
    <m/>
    <m/>
    <n v="839.72"/>
    <s v="MT "/>
    <n v="240"/>
    <m/>
    <n v="58"/>
    <m/>
    <m/>
    <m/>
    <m/>
    <m/>
    <m/>
    <m/>
    <m/>
    <m/>
    <m/>
    <m/>
    <s v="DIVINO S.A"/>
    <s v="CONEXAO MALHAS E DESENVOLVIMENTO LTDA"/>
    <n v="14.47793103448276"/>
  </r>
  <r>
    <x v="6"/>
    <x v="2"/>
    <s v="COLCHÃO M.E."/>
    <s v="DIRETO"/>
    <x v="1"/>
    <s v="NADA"/>
    <x v="1"/>
    <n v="50474"/>
    <n v="1225"/>
    <x v="194"/>
    <s v="DIVINO COLCHONES"/>
    <s v="EX "/>
    <s v="Colchão M.E."/>
    <m/>
    <s v="CONEXÃO MALHAS"/>
    <n v="45275"/>
    <m/>
    <m/>
    <n v="6355.82"/>
    <s v="MT "/>
    <n v="240"/>
    <m/>
    <n v="439"/>
    <m/>
    <m/>
    <m/>
    <m/>
    <m/>
    <m/>
    <m/>
    <m/>
    <m/>
    <m/>
    <m/>
    <s v="DIVINO S.A"/>
    <s v="CONEXAO MALHAS E DESENVOLVIMENTO LTDA"/>
    <n v="14.477949886104783"/>
  </r>
  <r>
    <x v="6"/>
    <x v="2"/>
    <s v="COLCHÃO M.E."/>
    <s v="DIRETO"/>
    <x v="1"/>
    <s v="NADA"/>
    <x v="1"/>
    <n v="50474"/>
    <n v="2339"/>
    <x v="235"/>
    <s v="DIVINO COLCHONES"/>
    <s v="EX "/>
    <s v="Colchão M.E."/>
    <m/>
    <s v="CONEXÃO MALHAS"/>
    <n v="45275"/>
    <m/>
    <m/>
    <n v="18342"/>
    <s v="MT "/>
    <m/>
    <m/>
    <n v="2500"/>
    <m/>
    <m/>
    <m/>
    <m/>
    <m/>
    <m/>
    <m/>
    <m/>
    <m/>
    <m/>
    <m/>
    <s v="DIVINO S.A"/>
    <s v="CONEXAO MALHAS E DESENVOLVIMENTO LTDA"/>
    <n v="7.3368000000000002"/>
  </r>
  <r>
    <x v="6"/>
    <x v="2"/>
    <s v="COLCHÃO M.E."/>
    <s v="DIRETO"/>
    <x v="22"/>
    <s v="NADA"/>
    <x v="3"/>
    <n v="50484"/>
    <n v="2047"/>
    <x v="219"/>
    <s v="RMD RECYCLING"/>
    <s v="EX "/>
    <s v="Colchão M.E."/>
    <m/>
    <s v="DIRETO"/>
    <n v="45278"/>
    <m/>
    <m/>
    <n v="1625.16"/>
    <s v="MT "/>
    <m/>
    <m/>
    <n v="3290"/>
    <m/>
    <m/>
    <m/>
    <m/>
    <m/>
    <m/>
    <m/>
    <m/>
    <m/>
    <m/>
    <m/>
    <s v="RMD RECYCLING 753 LLC"/>
    <s v="CARLOS FIDENCIO D AVALOS RUIZ JUNIOR 34496952823"/>
    <n v="0.49396960486322189"/>
  </r>
  <r>
    <x v="6"/>
    <x v="2"/>
    <s v="COLCHÃO M.E."/>
    <s v="DIRETO"/>
    <x v="22"/>
    <s v="NADA"/>
    <x v="3"/>
    <n v="50484"/>
    <n v="2479"/>
    <x v="245"/>
    <s v="RMD RECYCLING"/>
    <s v="EX "/>
    <s v="Colchão M.E."/>
    <m/>
    <s v="DIRETO"/>
    <n v="45278"/>
    <m/>
    <m/>
    <n v="2977.65"/>
    <s v="MT "/>
    <m/>
    <m/>
    <n v="6028"/>
    <m/>
    <m/>
    <m/>
    <m/>
    <m/>
    <m/>
    <m/>
    <m/>
    <m/>
    <m/>
    <m/>
    <s v="RMD RECYCLING 753 LLC"/>
    <s v="CARLOS FIDENCIO D AVALOS RUIZ JUNIOR 34496952823"/>
    <n v="0.4939698075646981"/>
  </r>
  <r>
    <x v="6"/>
    <x v="2"/>
    <s v="COLCHÃO M.E."/>
    <s v="DIRETO"/>
    <x v="22"/>
    <s v="NADA"/>
    <x v="3"/>
    <n v="50484"/>
    <n v="2480"/>
    <x v="246"/>
    <s v="RMD RECYCLING"/>
    <s v="EX "/>
    <s v="Colchão M.E."/>
    <m/>
    <s v="DIRETO"/>
    <n v="45278"/>
    <m/>
    <m/>
    <n v="1491.79"/>
    <s v="MT "/>
    <m/>
    <m/>
    <n v="3020"/>
    <m/>
    <m/>
    <m/>
    <m/>
    <m/>
    <m/>
    <m/>
    <m/>
    <m/>
    <m/>
    <m/>
    <s v="RMD RECYCLING 753 LLC"/>
    <s v="CARLOS FIDENCIO D AVALOS RUIZ JUNIOR 34496952823"/>
    <n v="0.49397019867549669"/>
  </r>
  <r>
    <x v="6"/>
    <x v="2"/>
    <s v="COLCHÃO M.E."/>
    <s v="DIRETO"/>
    <x v="22"/>
    <s v="NADA"/>
    <x v="3"/>
    <n v="50484"/>
    <n v="2481"/>
    <x v="247"/>
    <s v="RMD RECYCLING"/>
    <s v="EX "/>
    <s v="Colchão M.E."/>
    <m/>
    <s v="DIRETO"/>
    <n v="45278"/>
    <m/>
    <m/>
    <n v="1686.91"/>
    <s v="MT "/>
    <m/>
    <m/>
    <n v="3415"/>
    <m/>
    <m/>
    <m/>
    <m/>
    <m/>
    <m/>
    <m/>
    <m/>
    <m/>
    <m/>
    <m/>
    <s v="RMD RECYCLING 753 LLC"/>
    <s v="CARLOS FIDENCIO D AVALOS RUIZ JUNIOR 34496952823"/>
    <n v="0.49397071742313325"/>
  </r>
  <r>
    <x v="6"/>
    <x v="2"/>
    <s v="COLCHÃO M.E."/>
    <s v="DIRETO"/>
    <x v="22"/>
    <s v="NADA"/>
    <x v="3"/>
    <n v="50484"/>
    <n v="1706"/>
    <x v="165"/>
    <s v="RMD RECYCLING"/>
    <s v="EX "/>
    <s v="Colchão M.E."/>
    <m/>
    <s v="DIRETO"/>
    <n v="45278"/>
    <m/>
    <m/>
    <n v="52121.74"/>
    <s v="MT "/>
    <m/>
    <m/>
    <n v="7816"/>
    <m/>
    <m/>
    <m/>
    <m/>
    <m/>
    <m/>
    <m/>
    <m/>
    <m/>
    <m/>
    <m/>
    <s v="RMD RECYCLING 753 LLC"/>
    <s v="CARLOS FIDENCIO D AVALOS RUIZ JUNIOR 34496952823"/>
    <n v="6.6685951893551687"/>
  </r>
  <r>
    <x v="6"/>
    <x v="2"/>
    <s v="COLCHÃO M.E."/>
    <s v="DIRETO"/>
    <x v="22"/>
    <s v="NADA"/>
    <x v="3"/>
    <n v="50485"/>
    <n v="1706"/>
    <x v="165"/>
    <s v="RMD RECYCLING"/>
    <s v="EX "/>
    <s v="Colchão M.E."/>
    <m/>
    <s v="DIRETO"/>
    <n v="45278"/>
    <m/>
    <m/>
    <n v="30539.32"/>
    <s v="MT "/>
    <m/>
    <m/>
    <n v="4512"/>
    <m/>
    <m/>
    <m/>
    <m/>
    <m/>
    <m/>
    <m/>
    <m/>
    <m/>
    <m/>
    <m/>
    <s v="RMD RECYCLING 753 LLC"/>
    <s v="CARLOS FIDENCIO D AVALOS RUIZ JUNIOR 34496952823"/>
    <n v="6.7684663120567379"/>
  </r>
  <r>
    <x v="6"/>
    <x v="2"/>
    <s v="COLCHÃO M.E."/>
    <s v="DIRETO"/>
    <x v="25"/>
    <s v="NADA"/>
    <x v="3"/>
    <n v="50486"/>
    <n v="1706"/>
    <x v="165"/>
    <s v="AGT AMERICAN GARMENT TEXTIL"/>
    <s v="EX "/>
    <s v="Colchão M.E."/>
    <m/>
    <s v="DIRETO"/>
    <n v="45278"/>
    <m/>
    <m/>
    <n v="65173.56"/>
    <s v="MT "/>
    <m/>
    <m/>
    <n v="9629"/>
    <m/>
    <m/>
    <m/>
    <m/>
    <m/>
    <m/>
    <m/>
    <m/>
    <m/>
    <m/>
    <m/>
    <s v="AGT AMERICAN GARMENT TEXTIL"/>
    <s v="CARLOS FIDENCIO D AVALOS RUIZ JUNIOR 34496952823"/>
    <n v="6.7684660920137087"/>
  </r>
  <r>
    <x v="6"/>
    <x v="2"/>
    <s v="COLCHÃO M.E."/>
    <s v="DIRETO"/>
    <x v="26"/>
    <s v="NADA"/>
    <x v="4"/>
    <n v="50525"/>
    <n v="2509"/>
    <x v="283"/>
    <s v="FERNANDO B. GONZALEZ MINIOTIS"/>
    <s v="EX "/>
    <s v="Colchão M.E."/>
    <m/>
    <s v="CONEXÃO MALHAS"/>
    <n v="45280"/>
    <m/>
    <m/>
    <n v="4049.17"/>
    <s v="MT "/>
    <m/>
    <m/>
    <m/>
    <m/>
    <m/>
    <m/>
    <m/>
    <m/>
    <m/>
    <m/>
    <m/>
    <m/>
    <m/>
    <m/>
    <s v="FERNANDO B. GONZALEZ MINIOTIS"/>
    <s v="CARLOS FIDENCIO D AVALOS RUIZ JUNIOR 34496952823"/>
    <n v="0"/>
  </r>
  <r>
    <x v="6"/>
    <x v="2"/>
    <s v="COLCHÃO M.E."/>
    <s v="DIRETO"/>
    <x v="26"/>
    <s v="NADA"/>
    <x v="4"/>
    <n v="50525"/>
    <n v="2510"/>
    <x v="284"/>
    <s v="FERNANDO B. GONZALEZ MINIOTIS"/>
    <s v="EX "/>
    <s v="Colchão M.E."/>
    <m/>
    <s v="CONEXÃO MALHAS"/>
    <n v="45280"/>
    <m/>
    <m/>
    <n v="4190.3500000000004"/>
    <s v="MT "/>
    <m/>
    <m/>
    <m/>
    <m/>
    <m/>
    <m/>
    <m/>
    <m/>
    <m/>
    <m/>
    <m/>
    <m/>
    <m/>
    <m/>
    <s v="FERNANDO B. GONZALEZ MINIOTIS"/>
    <s v="CARLOS FIDENCIO D AVALOS RUIZ JUNIOR 34496952823"/>
    <n v="0"/>
  </r>
  <r>
    <x v="6"/>
    <x v="2"/>
    <s v="COLCHÃO M.E."/>
    <s v="DIRETO"/>
    <x v="26"/>
    <s v="NADA"/>
    <x v="4"/>
    <n v="50525"/>
    <n v="2511"/>
    <x v="285"/>
    <s v="FERNANDO B. GONZALEZ MINIOTIS"/>
    <s v="EX "/>
    <s v="Colchão M.E."/>
    <m/>
    <s v="CONEXÃO MALHAS"/>
    <n v="45280"/>
    <m/>
    <m/>
    <n v="3121.89"/>
    <s v="MT "/>
    <m/>
    <m/>
    <m/>
    <m/>
    <m/>
    <m/>
    <m/>
    <m/>
    <m/>
    <m/>
    <m/>
    <m/>
    <m/>
    <m/>
    <s v="FERNANDO B. GONZALEZ MINIOTIS"/>
    <s v="CARLOS FIDENCIO D AVALOS RUIZ JUNIOR 34496952823"/>
    <n v="0"/>
  </r>
  <r>
    <x v="6"/>
    <x v="2"/>
    <s v="COLCHÃO M.E."/>
    <s v="DIRETO"/>
    <x v="26"/>
    <s v="NADA"/>
    <x v="4"/>
    <n v="50525"/>
    <n v="2512"/>
    <x v="286"/>
    <s v="FERNANDO B. GONZALEZ MINIOTIS"/>
    <s v="EX "/>
    <s v="Colchão M.E."/>
    <m/>
    <s v="CONEXÃO MALHAS"/>
    <n v="45280"/>
    <m/>
    <m/>
    <n v="4161.2"/>
    <s v="MT "/>
    <m/>
    <m/>
    <m/>
    <m/>
    <m/>
    <m/>
    <m/>
    <m/>
    <m/>
    <m/>
    <m/>
    <m/>
    <m/>
    <m/>
    <s v="FERNANDO B. GONZALEZ MINIOTIS"/>
    <s v="CARLOS FIDENCIO D AVALOS RUIZ JUNIOR 34496952823"/>
    <n v="0"/>
  </r>
  <r>
    <x v="6"/>
    <x v="2"/>
    <s v="COLCHÃO M.E."/>
    <s v="DIRETO"/>
    <x v="26"/>
    <s v="NADA"/>
    <x v="4"/>
    <n v="50525"/>
    <n v="2513"/>
    <x v="287"/>
    <s v="FERNANDO B. GONZALEZ MINIOTIS"/>
    <s v="EX "/>
    <s v="Colchão M.E."/>
    <m/>
    <s v="CONEXÃO MALHAS"/>
    <n v="45280"/>
    <m/>
    <m/>
    <n v="4449.29"/>
    <s v="MT "/>
    <m/>
    <m/>
    <m/>
    <m/>
    <m/>
    <m/>
    <m/>
    <m/>
    <m/>
    <m/>
    <m/>
    <m/>
    <m/>
    <m/>
    <s v="FERNANDO B. GONZALEZ MINIOTIS"/>
    <s v="CARLOS FIDENCIO D AVALOS RUIZ JUNIOR 34496952823"/>
    <n v="0"/>
  </r>
  <r>
    <x v="6"/>
    <x v="2"/>
    <s v="COLCHÃO M.E."/>
    <s v="DIRETO"/>
    <x v="26"/>
    <s v="NADA"/>
    <x v="4"/>
    <n v="50557"/>
    <n v="2509"/>
    <x v="283"/>
    <s v="FERNANDO B. GONZALEZ MINIOTIS"/>
    <s v="EX "/>
    <s v="Colchão M.E."/>
    <m/>
    <s v="CONEXÃO MALHAS"/>
    <n v="45281"/>
    <m/>
    <m/>
    <n v="3082.01"/>
    <s v="MT "/>
    <n v="180"/>
    <m/>
    <n v="395"/>
    <m/>
    <m/>
    <m/>
    <m/>
    <m/>
    <m/>
    <m/>
    <m/>
    <m/>
    <m/>
    <m/>
    <s v="FERNANDO B. GONZALEZ MINIOTIS"/>
    <s v="CARLOS FIDENCIO D AVALOS RUIZ JUNIOR 34496952823"/>
    <n v="7.8025569620253172"/>
  </r>
  <r>
    <x v="6"/>
    <x v="2"/>
    <s v="COLCHÃO M.E."/>
    <s v="DIRETO"/>
    <x v="26"/>
    <s v="NADA"/>
    <x v="4"/>
    <n v="50557"/>
    <n v="2510"/>
    <x v="284"/>
    <s v="FERNANDO B. GONZALEZ MINIOTIS"/>
    <s v="EX "/>
    <s v="Colchão M.E."/>
    <m/>
    <s v="CONEXÃO MALHAS"/>
    <n v="45281"/>
    <m/>
    <m/>
    <n v="4392.45"/>
    <s v="MT "/>
    <n v="180"/>
    <m/>
    <n v="556"/>
    <m/>
    <m/>
    <m/>
    <m/>
    <m/>
    <m/>
    <m/>
    <m/>
    <m/>
    <m/>
    <m/>
    <s v="FERNANDO B. GONZALEZ MINIOTIS"/>
    <s v="CARLOS FIDENCIO D AVALOS RUIZ JUNIOR 34496952823"/>
    <n v="7.9000899280575538"/>
  </r>
  <r>
    <x v="6"/>
    <x v="2"/>
    <s v="COLCHÃO M.E."/>
    <s v="DIRETO"/>
    <x v="26"/>
    <s v="NADA"/>
    <x v="4"/>
    <n v="50557"/>
    <n v="2511"/>
    <x v="285"/>
    <s v="FERNANDO B. GONZALEZ MINIOTIS"/>
    <s v="EX "/>
    <s v="Colchão M.E."/>
    <m/>
    <s v="CONEXÃO MALHAS"/>
    <n v="45281"/>
    <m/>
    <m/>
    <n v="4108.05"/>
    <s v="MT "/>
    <n v="180"/>
    <m/>
    <n v="520"/>
    <m/>
    <m/>
    <m/>
    <m/>
    <m/>
    <m/>
    <m/>
    <m/>
    <m/>
    <m/>
    <m/>
    <s v="FERNANDO B. GONZALEZ MINIOTIS"/>
    <s v="CARLOS FIDENCIO D AVALOS RUIZ JUNIOR 34496952823"/>
    <n v="7.900096153846154"/>
  </r>
  <r>
    <x v="6"/>
    <x v="2"/>
    <s v="COLCHÃO M.E."/>
    <s v="DIRETO"/>
    <x v="26"/>
    <s v="NADA"/>
    <x v="4"/>
    <n v="50557"/>
    <n v="2512"/>
    <x v="286"/>
    <s v="FERNANDO B. GONZALEZ MINIOTIS"/>
    <s v="EX "/>
    <s v="Colchão M.E."/>
    <m/>
    <s v="CONEXÃO MALHAS"/>
    <n v="45281"/>
    <m/>
    <m/>
    <n v="4136.82"/>
    <s v="MT "/>
    <n v="180"/>
    <m/>
    <n v="499"/>
    <m/>
    <m/>
    <m/>
    <m/>
    <m/>
    <m/>
    <m/>
    <m/>
    <m/>
    <m/>
    <m/>
    <s v="FERNANDO B. GONZALEZ MINIOTIS"/>
    <s v="CARLOS FIDENCIO D AVALOS RUIZ JUNIOR 34496952823"/>
    <n v="8.2902204408817628"/>
  </r>
  <r>
    <x v="6"/>
    <x v="2"/>
    <s v="COLCHÃO M.E."/>
    <s v="DIRETO"/>
    <x v="26"/>
    <s v="NADA"/>
    <x v="4"/>
    <n v="50557"/>
    <n v="2513"/>
    <x v="287"/>
    <s v="FERNANDO B. GONZALEZ MINIOTIS"/>
    <s v="EX "/>
    <s v="Colchão M.E."/>
    <m/>
    <s v="CONEXÃO MALHAS"/>
    <n v="45281"/>
    <m/>
    <m/>
    <n v="3997.45"/>
    <s v="MT "/>
    <n v="180"/>
    <m/>
    <n v="506"/>
    <m/>
    <m/>
    <m/>
    <m/>
    <m/>
    <m/>
    <m/>
    <m/>
    <m/>
    <m/>
    <m/>
    <s v="FERNANDO B. GONZALEZ MINIOTIS"/>
    <s v="CARLOS FIDENCIO D AVALOS RUIZ JUNIOR 34496952823"/>
    <n v="7.9000988142292483"/>
  </r>
  <r>
    <x v="6"/>
    <x v="2"/>
    <s v="COLCHÃO M.E."/>
    <s v="DIRETO"/>
    <x v="24"/>
    <s v="NADA"/>
    <x v="6"/>
    <n v="50561"/>
    <n v="2584"/>
    <x v="288"/>
    <s v="PRODUCTOS PARAISO DEL ECUADOR"/>
    <s v="EX "/>
    <s v="Colchão M.E."/>
    <m/>
    <s v="CONEXÃO MALHAS"/>
    <n v="45286"/>
    <m/>
    <m/>
    <n v="15941.59"/>
    <s v="MT "/>
    <n v="160"/>
    <m/>
    <n v="1656"/>
    <m/>
    <m/>
    <m/>
    <m/>
    <m/>
    <m/>
    <m/>
    <m/>
    <m/>
    <m/>
    <m/>
    <s v="PRODUCTOS PARAISO DEL ECUADOR"/>
    <s v="CARLOS FIDENCIO D AVALOS RUIZ JUNIOR 34496952823"/>
    <n v="9.6265640096618359"/>
  </r>
  <r>
    <x v="6"/>
    <x v="2"/>
    <s v="COLCHÃO M.E."/>
    <s v="DIRETO"/>
    <x v="24"/>
    <s v="NADA"/>
    <x v="6"/>
    <n v="50561"/>
    <n v="2582"/>
    <x v="289"/>
    <s v="PRODUCTOS PARAISO DEL ECUADOR"/>
    <s v="EX "/>
    <s v="Colchão M.E."/>
    <m/>
    <s v="CONEXÃO MALHAS"/>
    <n v="45286"/>
    <m/>
    <m/>
    <n v="35919.81"/>
    <s v="MT "/>
    <n v="240"/>
    <m/>
    <n v="3389"/>
    <m/>
    <m/>
    <m/>
    <m/>
    <m/>
    <m/>
    <m/>
    <m/>
    <m/>
    <m/>
    <m/>
    <s v="PRODUCTOS PARAISO DEL ECUADOR"/>
    <s v="CARLOS FIDENCIO D AVALOS RUIZ JUNIOR 34496952823"/>
    <n v="10.598940690469163"/>
  </r>
  <r>
    <x v="7"/>
    <x v="3"/>
    <s v="COLCHÃO M.E."/>
    <s v="DIRETO"/>
    <x v="1"/>
    <s v="NADA"/>
    <x v="1"/>
    <n v="51145"/>
    <n v="2054"/>
    <x v="224"/>
    <s v="DIVINO COLCHONES"/>
    <s v="EX "/>
    <s v="Colchão M.E."/>
    <m/>
    <s v="CONEXÃO MALHAS"/>
    <n v="45320"/>
    <m/>
    <m/>
    <n v="18109.439999999999"/>
    <s v="MT "/>
    <m/>
    <m/>
    <n v="1152"/>
    <m/>
    <m/>
    <m/>
    <m/>
    <m/>
    <m/>
    <m/>
    <m/>
    <m/>
    <m/>
    <m/>
    <s v="DIVINO S.A"/>
    <s v="CONEXAO MALHAS E DESENVOLVIMENTO LTDA"/>
    <n v="15.719999999999999"/>
  </r>
  <r>
    <x v="7"/>
    <x v="3"/>
    <s v="COLCHÃO M.E."/>
    <s v="DIRETO"/>
    <x v="1"/>
    <s v="NADA"/>
    <x v="1"/>
    <n v="51145"/>
    <n v="1905"/>
    <x v="193"/>
    <s v="DIVINO COLCHONES"/>
    <s v="EX "/>
    <s v="Colchão M.E."/>
    <m/>
    <s v="CONEXÃO MALHAS"/>
    <n v="45320"/>
    <m/>
    <m/>
    <n v="11845.02"/>
    <s v="MT "/>
    <m/>
    <m/>
    <n v="1507"/>
    <m/>
    <m/>
    <m/>
    <m/>
    <m/>
    <m/>
    <m/>
    <m/>
    <m/>
    <m/>
    <m/>
    <s v="DIVINO S.A"/>
    <s v="CONEXAO MALHAS E DESENVOLVIMENTO LTDA"/>
    <n v="7.86"/>
  </r>
  <r>
    <x v="7"/>
    <x v="3"/>
    <s v="COLCHÃO M.E."/>
    <s v="DIRETO"/>
    <x v="1"/>
    <s v="NADA"/>
    <x v="1"/>
    <n v="51145"/>
    <n v="1525"/>
    <x v="185"/>
    <s v="DIVINO COLCHONES"/>
    <s v="EX "/>
    <s v="Colchão M.E."/>
    <m/>
    <s v="CONEXÃO MALHAS"/>
    <n v="45320"/>
    <m/>
    <m/>
    <n v="45096.5"/>
    <s v="MT "/>
    <m/>
    <m/>
    <n v="2435"/>
    <m/>
    <m/>
    <m/>
    <m/>
    <m/>
    <m/>
    <m/>
    <m/>
    <m/>
    <m/>
    <m/>
    <s v="DIVINO S.A"/>
    <s v="CONEXAO MALHAS E DESENVOLVIMENTO LTDA"/>
    <n v="18.520123203285422"/>
  </r>
  <r>
    <x v="7"/>
    <x v="3"/>
    <s v="COLCHÃO M.E."/>
    <s v="DIRETO"/>
    <x v="1"/>
    <s v="NADA"/>
    <x v="1"/>
    <n v="51145"/>
    <n v="2339"/>
    <x v="235"/>
    <s v="DIVINO COLCHONES"/>
    <s v="EX "/>
    <s v="Colchão M.E."/>
    <m/>
    <s v="CONEXÃO MALHAS"/>
    <n v="45320"/>
    <m/>
    <m/>
    <n v="19202.96"/>
    <s v="MT "/>
    <m/>
    <m/>
    <n v="2606"/>
    <m/>
    <m/>
    <m/>
    <m/>
    <m/>
    <m/>
    <m/>
    <m/>
    <m/>
    <m/>
    <m/>
    <s v="DIVINO S.A"/>
    <s v="CONEXAO MALHAS E DESENVOLVIMENTO LTDA"/>
    <n v="7.3687490406753646"/>
  </r>
  <r>
    <x v="7"/>
    <x v="3"/>
    <s v="COLCHÃO M.E."/>
    <s v="DIRETO"/>
    <x v="1"/>
    <s v="NADA"/>
    <x v="1"/>
    <n v="51145"/>
    <n v="2496"/>
    <x v="277"/>
    <s v="DIVINO COLCHONES"/>
    <s v="EX "/>
    <s v="Colchão M.E."/>
    <m/>
    <s v="CONEXÃO MALHAS"/>
    <n v="45320"/>
    <m/>
    <m/>
    <n v="5385.08"/>
    <s v="MT "/>
    <m/>
    <m/>
    <n v="261"/>
    <m/>
    <m/>
    <m/>
    <m/>
    <m/>
    <m/>
    <m/>
    <m/>
    <m/>
    <m/>
    <m/>
    <s v="DIVINO S.A"/>
    <s v="CONEXAO MALHAS E DESENVOLVIMENTO LTDA"/>
    <n v="20.632490421455937"/>
  </r>
  <r>
    <x v="7"/>
    <x v="3"/>
    <s v="COLCHÃO M.E."/>
    <s v="DIRETO"/>
    <x v="1"/>
    <s v="NADA"/>
    <x v="1"/>
    <n v="51145"/>
    <n v="2497"/>
    <x v="278"/>
    <s v="DIVINO COLCHONES"/>
    <s v="EX "/>
    <s v="Colchão M.E."/>
    <m/>
    <s v="CONEXÃO MALHAS"/>
    <n v="45320"/>
    <m/>
    <m/>
    <n v="8064.36"/>
    <s v="MT "/>
    <m/>
    <m/>
    <n v="684"/>
    <m/>
    <m/>
    <m/>
    <m/>
    <m/>
    <m/>
    <m/>
    <m/>
    <m/>
    <m/>
    <m/>
    <s v="DIVINO S.A"/>
    <s v="CONEXAO MALHAS E DESENVOLVIMENTO LTDA"/>
    <n v="11.79"/>
  </r>
  <r>
    <x v="7"/>
    <x v="3"/>
    <s v="COLCHÃO M.E."/>
    <s v="DIRETO"/>
    <x v="1"/>
    <s v="NADA"/>
    <x v="1"/>
    <n v="51145"/>
    <n v="1506"/>
    <x v="162"/>
    <s v="DIVINO COLCHONES"/>
    <s v="EX "/>
    <s v="Colchão M.E."/>
    <m/>
    <s v="CONEXÃO MALHAS"/>
    <n v="45320"/>
    <m/>
    <m/>
    <n v="38135.74"/>
    <s v="MT "/>
    <m/>
    <m/>
    <n v="2218"/>
    <m/>
    <m/>
    <m/>
    <m/>
    <m/>
    <m/>
    <m/>
    <m/>
    <m/>
    <m/>
    <m/>
    <s v="DIVINO S.A"/>
    <s v="CONEXAO MALHAS E DESENVOLVIMENTO LTDA"/>
    <n v="17.193751127141567"/>
  </r>
  <r>
    <x v="7"/>
    <x v="3"/>
    <s v="COLCHÃO M.E."/>
    <s v="DIRETO"/>
    <x v="1"/>
    <s v="NADA"/>
    <x v="1"/>
    <n v="51145"/>
    <n v="1504"/>
    <x v="167"/>
    <s v="DIVINO COLCHONES"/>
    <s v="EX "/>
    <s v="Colchão M.E."/>
    <m/>
    <s v="CONEXÃO MALHAS"/>
    <n v="45320"/>
    <m/>
    <m/>
    <n v="78082.22"/>
    <s v="MT "/>
    <m/>
    <m/>
    <n v="5388"/>
    <m/>
    <m/>
    <m/>
    <m/>
    <m/>
    <m/>
    <m/>
    <m/>
    <m/>
    <m/>
    <m/>
    <s v="DIVINO S.A"/>
    <s v="CONEXAO MALHAS E DESENVOLVIMENTO LTDA"/>
    <n v="14.491874536005939"/>
  </r>
  <r>
    <x v="7"/>
    <x v="3"/>
    <s v="COLCHÃO M.E."/>
    <s v="DIRETO"/>
    <x v="1"/>
    <s v="NADA"/>
    <x v="1"/>
    <n v="51145"/>
    <n v="1236"/>
    <x v="168"/>
    <s v="DIVINO COLCHONES"/>
    <s v="EX "/>
    <s v="Colchão M.E."/>
    <m/>
    <s v="CONEXÃO MALHAS"/>
    <n v="45320"/>
    <m/>
    <m/>
    <n v="18380.12"/>
    <s v="MT "/>
    <m/>
    <m/>
    <n v="1069"/>
    <m/>
    <m/>
    <m/>
    <m/>
    <m/>
    <m/>
    <m/>
    <m/>
    <m/>
    <m/>
    <m/>
    <s v="DIVINO S.A"/>
    <s v="CONEXAO MALHAS E DESENVOLVIMENTO LTDA"/>
    <n v="17.193751169317117"/>
  </r>
  <r>
    <x v="7"/>
    <x v="3"/>
    <s v="COLCHÃO M.E."/>
    <s v="DIRETO"/>
    <x v="1"/>
    <s v="NADA"/>
    <x v="1"/>
    <n v="51145"/>
    <n v="1226"/>
    <x v="170"/>
    <s v="DIVINO COLCHONES"/>
    <s v="EX "/>
    <s v="Colchão M.E."/>
    <m/>
    <s v="CONEXÃO MALHAS"/>
    <n v="45320"/>
    <m/>
    <m/>
    <n v="5939.21"/>
    <s v="MT "/>
    <m/>
    <m/>
    <n v="403"/>
    <m/>
    <m/>
    <m/>
    <m/>
    <m/>
    <m/>
    <m/>
    <m/>
    <m/>
    <m/>
    <m/>
    <s v="DIVINO S.A"/>
    <s v="CONEXAO MALHAS E DESENVOLVIMENTO LTDA"/>
    <n v="14.737493796526055"/>
  </r>
  <r>
    <x v="7"/>
    <x v="3"/>
    <s v="COLCHÃO M.E."/>
    <s v="DIRETO"/>
    <x v="1"/>
    <s v="NADA"/>
    <x v="1"/>
    <n v="51145"/>
    <n v="1225"/>
    <x v="194"/>
    <s v="DIVINO COLCHONES"/>
    <s v="EX "/>
    <s v="Colchão M.E."/>
    <m/>
    <s v="CONEXÃO MALHAS"/>
    <n v="45320"/>
    <m/>
    <m/>
    <n v="101990.57"/>
    <s v="MT "/>
    <m/>
    <m/>
    <n v="7014"/>
    <m/>
    <m/>
    <m/>
    <m/>
    <m/>
    <m/>
    <m/>
    <m/>
    <m/>
    <m/>
    <m/>
    <s v="DIVINO S.A"/>
    <s v="CONEXAO MALHAS E DESENVOLVIMENTO LTDA"/>
    <n v="14.540999429712006"/>
  </r>
  <r>
    <x v="7"/>
    <x v="3"/>
    <s v="COLCHÃO M.E."/>
    <s v="DIRETO"/>
    <x v="9"/>
    <s v="NADA"/>
    <x v="2"/>
    <n v="51203"/>
    <n v="1419"/>
    <x v="234"/>
    <s v="FLEX CHILE"/>
    <s v="EX "/>
    <s v="Colchão M.E."/>
    <m/>
    <s v="DIRETO"/>
    <n v="45322"/>
    <m/>
    <m/>
    <n v="26862.52"/>
    <s v="MT "/>
    <m/>
    <m/>
    <n v="2427"/>
    <m/>
    <m/>
    <m/>
    <m/>
    <m/>
    <m/>
    <m/>
    <m/>
    <m/>
    <m/>
    <m/>
    <s v="FLEX CHILE"/>
    <s v="CARLOS FIDENCIO D AVALOS RUIZ JUNIOR 34496952823"/>
    <n v="11.068199423156161"/>
  </r>
  <r>
    <x v="7"/>
    <x v="3"/>
    <s v="COLCHÃO M.E."/>
    <s v="DIRETO"/>
    <x v="9"/>
    <s v="NADA"/>
    <x v="2"/>
    <n v="51203"/>
    <n v="1422"/>
    <x v="232"/>
    <s v="FLEX CHILE"/>
    <s v="EX "/>
    <s v="Colchão M.E."/>
    <m/>
    <s v="DIRETO"/>
    <n v="45322"/>
    <m/>
    <m/>
    <n v="19796.14"/>
    <s v="MT "/>
    <m/>
    <m/>
    <n v="1422"/>
    <m/>
    <m/>
    <m/>
    <m/>
    <m/>
    <m/>
    <m/>
    <m/>
    <m/>
    <m/>
    <m/>
    <s v="FLEX CHILE"/>
    <s v="CARLOS FIDENCIO D AVALOS RUIZ JUNIOR 34496952823"/>
    <n v="13.921336146272855"/>
  </r>
  <r>
    <x v="8"/>
    <x v="3"/>
    <s v="COLCHÃO M.E."/>
    <s v="DIRETO"/>
    <x v="9"/>
    <s v="NADA"/>
    <x v="2"/>
    <n v="51277"/>
    <n v="1422"/>
    <x v="232"/>
    <s v="FLEX CHILE"/>
    <s v="EX "/>
    <s v="Colchão M.E."/>
    <m/>
    <s v="DIRETO"/>
    <n v="45328"/>
    <m/>
    <m/>
    <n v="23668.59"/>
    <s v="MT "/>
    <n v="240"/>
    <m/>
    <n v="1422"/>
    <m/>
    <m/>
    <m/>
    <m/>
    <m/>
    <m/>
    <m/>
    <m/>
    <m/>
    <m/>
    <m/>
    <s v="FLEX CHILE"/>
    <s v="CARLOS FIDENCIO D AVALOS RUIZ JUNIOR 34496952823"/>
    <n v="16.64457805907173"/>
  </r>
  <r>
    <x v="8"/>
    <x v="3"/>
    <s v="COLCHÃO M.E."/>
    <s v="DIRETO"/>
    <x v="9"/>
    <s v="NADA"/>
    <x v="2"/>
    <n v="51395"/>
    <n v="1419"/>
    <x v="234"/>
    <s v="FLEX CHILE"/>
    <s v="EX "/>
    <s v="Colchão M.E."/>
    <m/>
    <s v="DIRETO"/>
    <n v="45336"/>
    <m/>
    <m/>
    <n v="27332.69"/>
    <s v="MT "/>
    <n v="180"/>
    <m/>
    <n v="2427"/>
    <m/>
    <m/>
    <m/>
    <m/>
    <m/>
    <m/>
    <m/>
    <m/>
    <m/>
    <m/>
    <m/>
    <s v="FLEX CHILE"/>
    <s v="CARLOS FIDENCIO D AVALOS RUIZ JUNIOR 34496952823"/>
    <n v="11.261924186238154"/>
  </r>
  <r>
    <x v="8"/>
    <x v="3"/>
    <s v="COLCHÃO M.E."/>
    <s v="DIRETO"/>
    <x v="27"/>
    <s v="NADA"/>
    <x v="2"/>
    <n v="51485"/>
    <n v="2799"/>
    <x v="290"/>
    <s v="FIBERSOFT"/>
    <s v="SC "/>
    <s v="Colchão M.E."/>
    <m/>
    <s v="DIRETO"/>
    <n v="45342"/>
    <m/>
    <m/>
    <n v="10940"/>
    <s v="MT "/>
    <n v="560"/>
    <m/>
    <n v="547"/>
    <m/>
    <m/>
    <m/>
    <m/>
    <m/>
    <m/>
    <m/>
    <m/>
    <m/>
    <m/>
    <m/>
    <s v="FIBERSOFT INDUSTRIA TEXTIL LTDA"/>
    <s v="CARLOS FIDENCIO D AVALOS RUIZ JUNIOR 34496952823"/>
    <n v="20"/>
  </r>
  <r>
    <x v="8"/>
    <x v="3"/>
    <s v="COLCHÃO M.E."/>
    <s v="DIRETO"/>
    <x v="27"/>
    <s v="NADA"/>
    <x v="2"/>
    <n v="51485"/>
    <n v="2800"/>
    <x v="291"/>
    <s v="FIBERSOFT"/>
    <s v="SC "/>
    <s v="Colchão M.E."/>
    <m/>
    <s v="DIRETO"/>
    <n v="45342"/>
    <m/>
    <m/>
    <n v="1540"/>
    <s v="MT "/>
    <n v="300"/>
    <m/>
    <n v="154"/>
    <m/>
    <m/>
    <m/>
    <m/>
    <m/>
    <m/>
    <m/>
    <m/>
    <m/>
    <m/>
    <m/>
    <s v="FIBERSOFT INDUSTRIA TEXTIL LTDA"/>
    <s v="CARLOS FIDENCIO D AVALOS RUIZ JUNIOR 34496952823"/>
    <n v="10"/>
  </r>
  <r>
    <x v="8"/>
    <x v="3"/>
    <s v="COLCHÃO M.E."/>
    <s v="DIRETO"/>
    <x v="27"/>
    <s v="NADA"/>
    <x v="2"/>
    <n v="51485"/>
    <n v="2801"/>
    <x v="292"/>
    <s v="FIBERSOFT"/>
    <s v="SC "/>
    <s v="Colchão M.E."/>
    <m/>
    <s v="DIRETO"/>
    <n v="45342"/>
    <m/>
    <m/>
    <n v="1380"/>
    <s v="MT "/>
    <n v="300"/>
    <m/>
    <n v="138"/>
    <m/>
    <m/>
    <m/>
    <m/>
    <m/>
    <m/>
    <m/>
    <m/>
    <m/>
    <m/>
    <m/>
    <s v="FIBERSOFT INDUSTRIA TEXTIL LTDA"/>
    <s v="CARLOS FIDENCIO D AVALOS RUIZ JUNIOR 34496952823"/>
    <n v="10"/>
  </r>
  <r>
    <x v="8"/>
    <x v="3"/>
    <s v="COLCHÃO M.E."/>
    <s v="DIRETO"/>
    <x v="1"/>
    <s v="NADA"/>
    <x v="1"/>
    <n v="51560"/>
    <n v="2157"/>
    <x v="230"/>
    <s v="DIVINO COLCHONES"/>
    <s v="EX "/>
    <s v="Colchão M.E."/>
    <m/>
    <s v="CONEXÃO MALHAS"/>
    <n v="45345"/>
    <m/>
    <m/>
    <n v="14562.74"/>
    <s v="MT "/>
    <n v="300"/>
    <m/>
    <n v="623"/>
    <m/>
    <m/>
    <m/>
    <m/>
    <m/>
    <m/>
    <m/>
    <m/>
    <m/>
    <m/>
    <m/>
    <s v="DIVINO S.A"/>
    <s v="CONEXAO MALHAS E DESENVOLVIMENTO LTDA"/>
    <n v="23.375184590690207"/>
  </r>
  <r>
    <x v="8"/>
    <x v="3"/>
    <s v="COLCHÃO M.E."/>
    <s v="DIRETO"/>
    <x v="1"/>
    <s v="NADA"/>
    <x v="1"/>
    <n v="51560"/>
    <n v="2495"/>
    <x v="276"/>
    <s v="DIVINO COLCHONES"/>
    <s v="EX "/>
    <s v="Colchão M.E."/>
    <m/>
    <s v="CONEXÃO MALHAS"/>
    <n v="45345"/>
    <m/>
    <m/>
    <n v="14374.55"/>
    <s v="MT "/>
    <n v="470"/>
    <m/>
    <n v="513"/>
    <m/>
    <m/>
    <m/>
    <m/>
    <m/>
    <m/>
    <m/>
    <m/>
    <m/>
    <m/>
    <m/>
    <s v="DIVINO S.A"/>
    <s v="CONEXAO MALHAS E DESENVOLVIMENTO LTDA"/>
    <n v="28.020565302144249"/>
  </r>
  <r>
    <x v="8"/>
    <x v="3"/>
    <s v="COLCHÃO M.E."/>
    <s v="DIRETO"/>
    <x v="1"/>
    <s v="NADA"/>
    <x v="1"/>
    <n v="51560"/>
    <n v="2054"/>
    <x v="224"/>
    <s v="DIVINO COLCHONES"/>
    <s v="EX "/>
    <s v="Colchão M.E."/>
    <m/>
    <s v="CONEXÃO MALHAS"/>
    <n v="45345"/>
    <m/>
    <m/>
    <n v="11892.19"/>
    <s v="MT "/>
    <n v="280"/>
    <m/>
    <n v="752"/>
    <m/>
    <m/>
    <m/>
    <m/>
    <m/>
    <m/>
    <m/>
    <m/>
    <m/>
    <m/>
    <m/>
    <s v="DIVINO S.A"/>
    <s v="CONEXAO MALHAS E DESENVOLVIMENTO LTDA"/>
    <n v="15.814082446808511"/>
  </r>
  <r>
    <x v="8"/>
    <x v="3"/>
    <s v="COLCHÃO M.E."/>
    <s v="DIRETO"/>
    <x v="1"/>
    <s v="NADA"/>
    <x v="1"/>
    <n v="51560"/>
    <n v="1525"/>
    <x v="185"/>
    <s v="DIVINO COLCHONES"/>
    <s v="EX "/>
    <s v="Colchão M.E."/>
    <m/>
    <s v="CONEXÃO MALHAS"/>
    <n v="45345"/>
    <m/>
    <m/>
    <n v="22729.77"/>
    <s v="MT "/>
    <n v="320"/>
    <m/>
    <n v="1220"/>
    <m/>
    <m/>
    <m/>
    <m/>
    <m/>
    <m/>
    <m/>
    <m/>
    <m/>
    <m/>
    <m/>
    <s v="DIVINO S.A"/>
    <s v="CONEXAO MALHAS E DESENVOLVIMENTO LTDA"/>
    <n v="18.630959016393444"/>
  </r>
  <r>
    <x v="8"/>
    <x v="3"/>
    <s v="COLCHÃO M.E."/>
    <s v="DIRETO"/>
    <x v="1"/>
    <s v="NADA"/>
    <x v="1"/>
    <n v="51560"/>
    <n v="2496"/>
    <x v="277"/>
    <s v="DIVINO COLCHONES"/>
    <s v="EX "/>
    <s v="Colchão M.E."/>
    <m/>
    <s v="CONEXÃO MALHAS"/>
    <n v="45345"/>
    <m/>
    <m/>
    <n v="6766.45"/>
    <s v="MT "/>
    <n v="310"/>
    <m/>
    <n v="326"/>
    <m/>
    <m/>
    <m/>
    <m/>
    <m/>
    <m/>
    <m/>
    <m/>
    <m/>
    <m/>
    <m/>
    <s v="DIVINO S.A"/>
    <s v="CONEXAO MALHAS E DESENVOLVIMENTO LTDA"/>
    <n v="20.755981595092024"/>
  </r>
  <r>
    <x v="8"/>
    <x v="3"/>
    <s v="COLCHÃO M.E."/>
    <s v="DIRETO"/>
    <x v="1"/>
    <s v="NADA"/>
    <x v="1"/>
    <n v="51560"/>
    <n v="2790"/>
    <x v="293"/>
    <s v="DIVINO COLCHONES"/>
    <s v="EX "/>
    <s v="Colchão M.E."/>
    <m/>
    <s v="CONEXÃO MALHAS"/>
    <n v="45345"/>
    <m/>
    <m/>
    <n v="20685.41"/>
    <s v="MT "/>
    <n v="220"/>
    <m/>
    <n v="1359"/>
    <m/>
    <m/>
    <m/>
    <m/>
    <m/>
    <m/>
    <m/>
    <m/>
    <m/>
    <m/>
    <m/>
    <s v="DIVINO S.A"/>
    <s v="CONEXAO MALHAS E DESENVOLVIMENTO LTDA"/>
    <n v="15.221052244297278"/>
  </r>
  <r>
    <x v="8"/>
    <x v="3"/>
    <s v="COLCHÃO M.E."/>
    <s v="DIRETO"/>
    <x v="1"/>
    <s v="NADA"/>
    <x v="1"/>
    <n v="51560"/>
    <n v="1225"/>
    <x v="194"/>
    <s v="DIVINO COLCHONES"/>
    <s v="EX "/>
    <s v="Colchão M.E."/>
    <m/>
    <s v="CONEXÃO MALHAS"/>
    <n v="45345"/>
    <m/>
    <m/>
    <n v="59954.95"/>
    <s v="MT "/>
    <n v="240"/>
    <m/>
    <n v="4098.6360000000004"/>
    <m/>
    <m/>
    <m/>
    <m/>
    <m/>
    <m/>
    <m/>
    <m/>
    <m/>
    <m/>
    <m/>
    <s v="DIVINO S.A"/>
    <s v="CONEXAO MALHAS E DESENVOLVIMENTO LTDA"/>
    <n v="14.628025030766331"/>
  </r>
  <r>
    <x v="8"/>
    <x v="3"/>
    <s v="COLCHÃO M.E."/>
    <s v="DIRETO"/>
    <x v="1"/>
    <s v="NADA"/>
    <x v="1"/>
    <n v="51560"/>
    <n v="1523"/>
    <x v="184"/>
    <s v="DIVINO COLCHONES"/>
    <s v="EX "/>
    <s v="Colchão M.E."/>
    <m/>
    <s v="CONEXÃO MALHAS"/>
    <n v="45345"/>
    <m/>
    <m/>
    <n v="7472.15"/>
    <s v="MT "/>
    <m/>
    <m/>
    <n v="1050"/>
    <m/>
    <m/>
    <m/>
    <m/>
    <m/>
    <m/>
    <m/>
    <m/>
    <m/>
    <m/>
    <m/>
    <s v="DIVINO S.A"/>
    <s v="CONEXAO MALHAS E DESENVOLVIMENTO LTDA"/>
    <n v="7.1163333333333334"/>
  </r>
  <r>
    <x v="8"/>
    <x v="3"/>
    <s v="COLCHÃO M.E."/>
    <s v="DIRETO"/>
    <x v="1"/>
    <s v="NADA"/>
    <x v="1"/>
    <n v="51560"/>
    <n v="1506"/>
    <x v="162"/>
    <s v="DIVINO COLCHONES"/>
    <s v="EX "/>
    <s v="Colchão M.E."/>
    <m/>
    <s v="CONEXÃO MALHAS"/>
    <n v="45345"/>
    <m/>
    <m/>
    <n v="53982.84"/>
    <s v="MT "/>
    <n v="280"/>
    <m/>
    <n v="3121"/>
    <m/>
    <m/>
    <m/>
    <m/>
    <m/>
    <m/>
    <m/>
    <m/>
    <m/>
    <m/>
    <m/>
    <s v="DIVINO S.A"/>
    <s v="CONEXAO MALHAS E DESENVOLVIMENTO LTDA"/>
    <n v="17.296648510092918"/>
  </r>
  <r>
    <x v="8"/>
    <x v="3"/>
    <s v="COLCHÃO M.E."/>
    <s v="DIRETO"/>
    <x v="1"/>
    <s v="NADA"/>
    <x v="1"/>
    <n v="51560"/>
    <n v="1504"/>
    <x v="167"/>
    <s v="DIVINO COLCHONES"/>
    <s v="EX "/>
    <s v="Colchão M.E."/>
    <m/>
    <s v="CONEXÃO MALHAS"/>
    <n v="45345"/>
    <m/>
    <m/>
    <n v="52803.71"/>
    <s v="MT "/>
    <n v="240"/>
    <m/>
    <n v="3622"/>
    <m/>
    <m/>
    <m/>
    <m/>
    <m/>
    <m/>
    <m/>
    <m/>
    <m/>
    <m/>
    <m/>
    <s v="DIVINO S.A"/>
    <s v="CONEXAO MALHAS E DESENVOLVIMENTO LTDA"/>
    <n v="14.5786057426836"/>
  </r>
  <r>
    <x v="8"/>
    <x v="3"/>
    <s v="COLCHÃO M.E."/>
    <s v="DIRETO"/>
    <x v="1"/>
    <s v="NADA"/>
    <x v="1"/>
    <n v="51560"/>
    <n v="1504"/>
    <x v="167"/>
    <s v="DIVINO COLCHONES"/>
    <s v="EX "/>
    <s v="Colchão M.E."/>
    <m/>
    <s v="CONEXÃO MALHAS"/>
    <n v="45345"/>
    <m/>
    <m/>
    <n v="17523.48"/>
    <s v="MT "/>
    <n v="240"/>
    <m/>
    <n v="1202"/>
    <m/>
    <m/>
    <m/>
    <m/>
    <m/>
    <m/>
    <m/>
    <m/>
    <m/>
    <m/>
    <m/>
    <s v="DIVINO S.A"/>
    <s v="CONEXAO MALHAS E DESENVOLVIMENTO LTDA"/>
    <n v="14.578602329450915"/>
  </r>
  <r>
    <x v="8"/>
    <x v="3"/>
    <s v="COLCHÃO M.E."/>
    <s v="DIRETO"/>
    <x v="1"/>
    <s v="NADA"/>
    <x v="1"/>
    <n v="51560"/>
    <n v="1236"/>
    <x v="168"/>
    <s v="DIVINO COLCHONES"/>
    <s v="EX "/>
    <s v="Colchão M.E."/>
    <m/>
    <s v="CONEXÃO MALHAS"/>
    <n v="45345"/>
    <m/>
    <m/>
    <n v="18247.97"/>
    <s v="MT "/>
    <n v="240"/>
    <m/>
    <n v="1055"/>
    <m/>
    <m/>
    <m/>
    <m/>
    <m/>
    <m/>
    <m/>
    <m/>
    <m/>
    <m/>
    <m/>
    <s v="DIVINO S.A"/>
    <s v="CONEXAO MALHAS E DESENVOLVIMENTO LTDA"/>
    <n v="17.29665402843602"/>
  </r>
  <r>
    <x v="8"/>
    <x v="3"/>
    <s v="COLCHÃO M.E."/>
    <s v="DIRETO"/>
    <x v="1"/>
    <s v="NADA"/>
    <x v="1"/>
    <n v="51560"/>
    <n v="1226"/>
    <x v="170"/>
    <s v="DIVINO COLCHONES"/>
    <s v="EX "/>
    <s v="Colchão M.E."/>
    <m/>
    <s v="CONEXÃO MALHAS"/>
    <n v="45345"/>
    <m/>
    <m/>
    <n v="10733.81"/>
    <s v="MT "/>
    <n v="260"/>
    <m/>
    <n v="724"/>
    <m/>
    <m/>
    <m/>
    <m/>
    <m/>
    <m/>
    <m/>
    <m/>
    <m/>
    <m/>
    <m/>
    <s v="DIVINO S.A"/>
    <s v="CONEXAO MALHAS E DESENVOLVIMENTO LTDA"/>
    <n v="14.825704419889503"/>
  </r>
  <r>
    <x v="8"/>
    <x v="3"/>
    <s v="COLCHÃO M.E."/>
    <s v="DIRETO"/>
    <x v="1"/>
    <s v="NADA"/>
    <x v="1"/>
    <n v="51607"/>
    <n v="2790"/>
    <x v="293"/>
    <s v="DIVINO COLCHONES"/>
    <s v="EX "/>
    <s v="Colchão M.E."/>
    <m/>
    <s v="CONEXÃO MALHAS"/>
    <n v="45348"/>
    <m/>
    <m/>
    <n v="20866.23"/>
    <s v="MT "/>
    <n v="220"/>
    <m/>
    <n v="1359"/>
    <m/>
    <m/>
    <m/>
    <m/>
    <m/>
    <m/>
    <m/>
    <m/>
    <m/>
    <m/>
    <m/>
    <s v="DIVINO S.A"/>
    <s v="CONEXAO MALHAS E DESENVOLVIMENTO LTDA"/>
    <n v="15.354105960264901"/>
  </r>
  <r>
    <x v="8"/>
    <x v="3"/>
    <s v="COLCHÃO M.E."/>
    <s v="DIRETO"/>
    <x v="1"/>
    <s v="NADA"/>
    <x v="1"/>
    <n v="51607"/>
    <n v="2496"/>
    <x v="277"/>
    <s v="DIVINO COLCHONES"/>
    <s v="EX "/>
    <s v="Colchão M.E."/>
    <m/>
    <s v="CONEXÃO MALHAS"/>
    <n v="45348"/>
    <m/>
    <m/>
    <n v="6825.6"/>
    <s v="MT "/>
    <n v="310"/>
    <m/>
    <n v="326"/>
    <m/>
    <m/>
    <m/>
    <m/>
    <m/>
    <m/>
    <m/>
    <m/>
    <m/>
    <m/>
    <m/>
    <s v="DIVINO S.A"/>
    <s v="CONEXAO MALHAS E DESENVOLVIMENTO LTDA"/>
    <n v="20.937423312883435"/>
  </r>
  <r>
    <x v="8"/>
    <x v="3"/>
    <s v="COLCHÃO M.E."/>
    <s v="DIRETO"/>
    <x v="1"/>
    <s v="NADA"/>
    <x v="1"/>
    <n v="51607"/>
    <n v="2495"/>
    <x v="276"/>
    <s v="DIVINO COLCHONES"/>
    <s v="EX "/>
    <s v="Colchão M.E."/>
    <m/>
    <s v="CONEXÃO MALHAS"/>
    <n v="45348"/>
    <m/>
    <m/>
    <n v="14500.21"/>
    <s v="MT "/>
    <n v="470"/>
    <m/>
    <n v="513"/>
    <m/>
    <m/>
    <m/>
    <m/>
    <m/>
    <m/>
    <m/>
    <m/>
    <m/>
    <m/>
    <m/>
    <s v="DIVINO S.A"/>
    <s v="CONEXAO MALHAS E DESENVOLVIMENTO LTDA"/>
    <n v="28.265516569200777"/>
  </r>
  <r>
    <x v="8"/>
    <x v="3"/>
    <s v="COLCHÃO M.E."/>
    <s v="DIRETO"/>
    <x v="1"/>
    <s v="NADA"/>
    <x v="1"/>
    <n v="51607"/>
    <n v="2157"/>
    <x v="230"/>
    <s v="DIVINO COLCHONES"/>
    <s v="EX "/>
    <s v="Colchão M.E."/>
    <m/>
    <s v="CONEXÃO MALHAS"/>
    <n v="45348"/>
    <m/>
    <m/>
    <n v="14690.04"/>
    <s v="MT "/>
    <n v="300"/>
    <m/>
    <n v="623"/>
    <m/>
    <m/>
    <m/>
    <m/>
    <m/>
    <m/>
    <m/>
    <m/>
    <m/>
    <m/>
    <m/>
    <s v="DIVINO S.A"/>
    <s v="CONEXAO MALHAS E DESENVOLVIMENTO LTDA"/>
    <n v="23.579518459069021"/>
  </r>
  <r>
    <x v="8"/>
    <x v="3"/>
    <s v="COLCHÃO M.E."/>
    <s v="DIRETO"/>
    <x v="1"/>
    <s v="NADA"/>
    <x v="1"/>
    <n v="51607"/>
    <n v="2054"/>
    <x v="224"/>
    <s v="DIVINO COLCHONES"/>
    <s v="EX "/>
    <s v="Colchão M.E."/>
    <m/>
    <s v="CONEXÃO MALHAS"/>
    <n v="45348"/>
    <m/>
    <m/>
    <n v="11996.14"/>
    <s v="MT "/>
    <n v="280"/>
    <m/>
    <n v="752"/>
    <m/>
    <m/>
    <m/>
    <m/>
    <m/>
    <m/>
    <m/>
    <m/>
    <m/>
    <m/>
    <m/>
    <s v="DIVINO S.A"/>
    <s v="CONEXAO MALHAS E DESENVOLVIMENTO LTDA"/>
    <n v="15.952313829787233"/>
  </r>
  <r>
    <x v="8"/>
    <x v="3"/>
    <s v="COLCHÃO M.E."/>
    <s v="DIRETO"/>
    <x v="1"/>
    <s v="NADA"/>
    <x v="1"/>
    <n v="51607"/>
    <n v="1525"/>
    <x v="185"/>
    <s v="DIVINO COLCHONES"/>
    <s v="EX "/>
    <s v="Colchão M.E."/>
    <m/>
    <s v="CONEXÃO MALHAS"/>
    <n v="45348"/>
    <m/>
    <m/>
    <n v="22928.47"/>
    <s v="MT "/>
    <n v="320"/>
    <m/>
    <n v="1220"/>
    <m/>
    <m/>
    <m/>
    <m/>
    <m/>
    <m/>
    <m/>
    <m/>
    <m/>
    <m/>
    <m/>
    <s v="DIVINO S.A"/>
    <s v="CONEXAO MALHAS E DESENVOLVIMENTO LTDA"/>
    <n v="18.79382786885246"/>
  </r>
  <r>
    <x v="8"/>
    <x v="3"/>
    <s v="COLCHÃO M.E."/>
    <s v="DIRETO"/>
    <x v="1"/>
    <s v="NADA"/>
    <x v="1"/>
    <n v="51607"/>
    <n v="1523"/>
    <x v="184"/>
    <s v="DIVINO COLCHONES"/>
    <s v="EX "/>
    <s v="Colchão M.E."/>
    <m/>
    <s v="CONEXÃO MALHAS"/>
    <n v="45348"/>
    <m/>
    <m/>
    <n v="7537.47"/>
    <s v="MT "/>
    <m/>
    <m/>
    <n v="1050"/>
    <m/>
    <m/>
    <m/>
    <m/>
    <m/>
    <m/>
    <m/>
    <m/>
    <m/>
    <m/>
    <m/>
    <s v="DIVINO S.A"/>
    <s v="CONEXAO MALHAS E DESENVOLVIMENTO LTDA"/>
    <n v="7.1785428571428573"/>
  </r>
  <r>
    <x v="8"/>
    <x v="3"/>
    <s v="COLCHÃO M.E."/>
    <s v="DIRETO"/>
    <x v="1"/>
    <s v="NADA"/>
    <x v="1"/>
    <n v="51607"/>
    <n v="1506"/>
    <x v="162"/>
    <s v="DIVINO COLCHONES"/>
    <s v="EX "/>
    <s v="Colchão M.E."/>
    <m/>
    <s v="CONEXÃO MALHAS"/>
    <n v="45348"/>
    <m/>
    <m/>
    <n v="54454.74"/>
    <s v="MT "/>
    <n v="280"/>
    <m/>
    <n v="3121"/>
    <m/>
    <m/>
    <m/>
    <m/>
    <m/>
    <m/>
    <m/>
    <m/>
    <m/>
    <m/>
    <m/>
    <s v="DIVINO S.A"/>
    <s v="CONEXAO MALHAS E DESENVOLVIMENTO LTDA"/>
    <n v="17.447850048061518"/>
  </r>
  <r>
    <x v="8"/>
    <x v="3"/>
    <s v="COLCHÃO M.E."/>
    <s v="DIRETO"/>
    <x v="1"/>
    <s v="NADA"/>
    <x v="1"/>
    <n v="51607"/>
    <n v="1504"/>
    <x v="167"/>
    <s v="DIVINO COLCHONES"/>
    <s v="EX "/>
    <s v="Colchão M.E."/>
    <m/>
    <s v="CONEXÃO MALHAS"/>
    <n v="45348"/>
    <m/>
    <m/>
    <n v="71182.44"/>
    <s v="MT "/>
    <n v="240"/>
    <m/>
    <n v="4824"/>
    <m/>
    <m/>
    <m/>
    <m/>
    <m/>
    <m/>
    <m/>
    <m/>
    <m/>
    <m/>
    <m/>
    <s v="DIVINO S.A"/>
    <s v="CONEXAO MALHAS E DESENVOLVIMENTO LTDA"/>
    <n v="14.755895522388061"/>
  </r>
  <r>
    <x v="8"/>
    <x v="3"/>
    <s v="COLCHÃO M.E."/>
    <s v="DIRETO"/>
    <x v="1"/>
    <s v="NADA"/>
    <x v="1"/>
    <n v="51607"/>
    <n v="1236"/>
    <x v="168"/>
    <s v="DIVINO COLCHONES"/>
    <s v="EX "/>
    <s v="Colchão M.E."/>
    <m/>
    <s v="CONEXÃO MALHAS"/>
    <n v="45348"/>
    <m/>
    <m/>
    <n v="18407.48"/>
    <s v="MT "/>
    <n v="240"/>
    <m/>
    <n v="1055"/>
    <m/>
    <m/>
    <m/>
    <m/>
    <m/>
    <m/>
    <m/>
    <m/>
    <m/>
    <m/>
    <m/>
    <s v="DIVINO S.A"/>
    <s v="CONEXAO MALHAS E DESENVOLVIMENTO LTDA"/>
    <n v="17.447848341232227"/>
  </r>
  <r>
    <x v="8"/>
    <x v="3"/>
    <s v="COLCHÃO M.E."/>
    <s v="DIRETO"/>
    <x v="1"/>
    <s v="NADA"/>
    <x v="1"/>
    <n v="51607"/>
    <n v="1226"/>
    <x v="170"/>
    <s v="DIVINO COLCHONES"/>
    <s v="EX "/>
    <s v="Colchão M.E."/>
    <m/>
    <s v="CONEXÃO MALHAS"/>
    <n v="45348"/>
    <m/>
    <m/>
    <n v="10827.64"/>
    <s v="MT "/>
    <n v="260"/>
    <m/>
    <n v="724"/>
    <m/>
    <m/>
    <m/>
    <m/>
    <m/>
    <m/>
    <m/>
    <m/>
    <m/>
    <m/>
    <m/>
    <s v="DIVINO S.A"/>
    <s v="CONEXAO MALHAS E DESENVOLVIMENTO LTDA"/>
    <n v="14.955303867403314"/>
  </r>
  <r>
    <x v="8"/>
    <x v="3"/>
    <s v="COLCHÃO M.E."/>
    <s v="DIRETO"/>
    <x v="1"/>
    <s v="NADA"/>
    <x v="1"/>
    <n v="51607"/>
    <n v="1225"/>
    <x v="194"/>
    <s v="DIVINO COLCHONES"/>
    <s v="EX "/>
    <s v="Colchão M.E."/>
    <m/>
    <s v="CONEXÃO MALHAS"/>
    <n v="45348"/>
    <m/>
    <m/>
    <n v="60479.05"/>
    <s v="MT "/>
    <n v="240"/>
    <m/>
    <n v="4098.6360000000004"/>
    <m/>
    <m/>
    <m/>
    <m/>
    <m/>
    <m/>
    <m/>
    <m/>
    <m/>
    <m/>
    <m/>
    <s v="DIVINO S.A"/>
    <s v="CONEXAO MALHAS E DESENVOLVIMENTO LTDA"/>
    <n v="14.755896839826713"/>
  </r>
  <r>
    <x v="8"/>
    <x v="3"/>
    <s v="COLCHÃO M.E."/>
    <s v="DIRETO"/>
    <x v="1"/>
    <s v="NADA"/>
    <x v="1"/>
    <n v="51591"/>
    <n v="2157"/>
    <x v="230"/>
    <s v="DIVINO COLCHONES"/>
    <s v="EX "/>
    <s v="Colchão M.E."/>
    <m/>
    <s v="CONEXÃO MALHAS"/>
    <n v="45345"/>
    <n v="14562.74"/>
    <s v="MT "/>
    <n v="-14562.74"/>
    <s v="MT "/>
    <n v="300"/>
    <m/>
    <n v="-623"/>
    <m/>
    <m/>
    <m/>
    <m/>
    <m/>
    <m/>
    <m/>
    <m/>
    <m/>
    <m/>
    <m/>
    <s v="DIVINO S.A"/>
    <s v="CONEXAO MALHAS E DESENVOLVIMENTO LTDA"/>
    <n v="23.375184590690207"/>
  </r>
  <r>
    <x v="8"/>
    <x v="3"/>
    <s v="COLCHÃO M.E."/>
    <s v="DIRETO"/>
    <x v="1"/>
    <s v="NADA"/>
    <x v="1"/>
    <n v="51591"/>
    <n v="2495"/>
    <x v="276"/>
    <s v="DIVINO COLCHONES"/>
    <s v="EX "/>
    <s v="Colchão M.E."/>
    <m/>
    <s v="CONEXÃO MALHAS"/>
    <n v="45345"/>
    <n v="14374.55"/>
    <s v="MT "/>
    <n v="-14374.55"/>
    <s v="MT "/>
    <n v="470"/>
    <m/>
    <n v="-513"/>
    <m/>
    <m/>
    <m/>
    <m/>
    <m/>
    <m/>
    <m/>
    <m/>
    <m/>
    <m/>
    <m/>
    <s v="DIVINO S.A"/>
    <s v="CONEXAO MALHAS E DESENVOLVIMENTO LTDA"/>
    <n v="28.020565302144249"/>
  </r>
  <r>
    <x v="8"/>
    <x v="3"/>
    <s v="COLCHÃO M.E."/>
    <s v="DIRETO"/>
    <x v="1"/>
    <s v="NADA"/>
    <x v="1"/>
    <n v="51591"/>
    <n v="2054"/>
    <x v="224"/>
    <s v="DIVINO COLCHONES"/>
    <s v="EX "/>
    <s v="Colchão M.E."/>
    <m/>
    <s v="CONEXÃO MALHAS"/>
    <n v="45345"/>
    <n v="11892.19"/>
    <s v="MT "/>
    <n v="-11892.19"/>
    <s v="MT "/>
    <n v="280"/>
    <m/>
    <n v="-752"/>
    <m/>
    <m/>
    <m/>
    <m/>
    <m/>
    <m/>
    <m/>
    <m/>
    <m/>
    <m/>
    <m/>
    <s v="DIVINO S.A"/>
    <s v="CONEXAO MALHAS E DESENVOLVIMENTO LTDA"/>
    <n v="15.814082446808511"/>
  </r>
  <r>
    <x v="8"/>
    <x v="3"/>
    <s v="COLCHÃO M.E."/>
    <s v="DIRETO"/>
    <x v="1"/>
    <s v="NADA"/>
    <x v="1"/>
    <n v="51591"/>
    <n v="1525"/>
    <x v="185"/>
    <s v="DIVINO COLCHONES"/>
    <s v="EX "/>
    <s v="Colchão M.E."/>
    <m/>
    <s v="CONEXÃO MALHAS"/>
    <n v="45345"/>
    <n v="22729.77"/>
    <s v="MT "/>
    <n v="-22729.77"/>
    <s v="MT "/>
    <n v="320"/>
    <m/>
    <n v="-1220"/>
    <m/>
    <m/>
    <m/>
    <m/>
    <m/>
    <m/>
    <m/>
    <m/>
    <m/>
    <m/>
    <m/>
    <s v="DIVINO S.A"/>
    <s v="CONEXAO MALHAS E DESENVOLVIMENTO LTDA"/>
    <n v="18.630959016393444"/>
  </r>
  <r>
    <x v="8"/>
    <x v="3"/>
    <s v="COLCHÃO M.E."/>
    <s v="DIRETO"/>
    <x v="1"/>
    <s v="NADA"/>
    <x v="1"/>
    <n v="51591"/>
    <n v="2496"/>
    <x v="277"/>
    <s v="DIVINO COLCHONES"/>
    <s v="EX "/>
    <s v="Colchão M.E."/>
    <m/>
    <s v="CONEXÃO MALHAS"/>
    <n v="45345"/>
    <n v="6766.45"/>
    <s v="MT "/>
    <n v="-6766.45"/>
    <s v="MT "/>
    <n v="310"/>
    <m/>
    <n v="-326"/>
    <m/>
    <m/>
    <m/>
    <m/>
    <m/>
    <m/>
    <m/>
    <m/>
    <m/>
    <m/>
    <m/>
    <s v="DIVINO S.A"/>
    <s v="CONEXAO MALHAS E DESENVOLVIMENTO LTDA"/>
    <n v="20.755981595092024"/>
  </r>
  <r>
    <x v="8"/>
    <x v="3"/>
    <s v="COLCHÃO M.E."/>
    <s v="DIRETO"/>
    <x v="1"/>
    <s v="NADA"/>
    <x v="1"/>
    <n v="51591"/>
    <n v="2790"/>
    <x v="293"/>
    <s v="DIVINO COLCHONES"/>
    <s v="EX "/>
    <s v="Colchão M.E."/>
    <m/>
    <s v="CONEXÃO MALHAS"/>
    <n v="45345"/>
    <n v="20685.41"/>
    <s v="MT "/>
    <n v="-20685.41"/>
    <s v="MT "/>
    <n v="220"/>
    <m/>
    <n v="-1359"/>
    <m/>
    <m/>
    <m/>
    <m/>
    <m/>
    <m/>
    <m/>
    <m/>
    <m/>
    <m/>
    <m/>
    <s v="DIVINO S.A"/>
    <s v="CONEXAO MALHAS E DESENVOLVIMENTO LTDA"/>
    <n v="15.221052244297278"/>
  </r>
  <r>
    <x v="8"/>
    <x v="3"/>
    <s v="COLCHÃO M.E."/>
    <s v="DIRETO"/>
    <x v="1"/>
    <s v="NADA"/>
    <x v="1"/>
    <n v="51591"/>
    <n v="1225"/>
    <x v="194"/>
    <s v="DIVINO COLCHONES"/>
    <s v="EX "/>
    <s v="Colchão M.E."/>
    <m/>
    <s v="CONEXÃO MALHAS"/>
    <n v="45345"/>
    <n v="59954.95"/>
    <s v="MT "/>
    <n v="-59954.95"/>
    <s v="MT "/>
    <n v="240"/>
    <m/>
    <n v="-4098.6360000000004"/>
    <m/>
    <m/>
    <m/>
    <m/>
    <m/>
    <m/>
    <m/>
    <m/>
    <m/>
    <m/>
    <m/>
    <s v="DIVINO S.A"/>
    <s v="CONEXAO MALHAS E DESENVOLVIMENTO LTDA"/>
    <n v="14.628025030766331"/>
  </r>
  <r>
    <x v="8"/>
    <x v="3"/>
    <s v="COLCHÃO M.E."/>
    <s v="DIRETO"/>
    <x v="1"/>
    <s v="NADA"/>
    <x v="1"/>
    <n v="51591"/>
    <n v="1523"/>
    <x v="184"/>
    <s v="DIVINO COLCHONES"/>
    <s v="EX "/>
    <s v="Colchão M.E."/>
    <m/>
    <s v="CONEXÃO MALHAS"/>
    <n v="45345"/>
    <n v="7472.15"/>
    <s v="MT "/>
    <n v="-7472.15"/>
    <s v="MT "/>
    <m/>
    <m/>
    <n v="-1050"/>
    <m/>
    <m/>
    <m/>
    <m/>
    <m/>
    <m/>
    <m/>
    <m/>
    <m/>
    <m/>
    <m/>
    <s v="DIVINO S.A"/>
    <s v="CONEXAO MALHAS E DESENVOLVIMENTO LTDA"/>
    <n v="7.1163333333333334"/>
  </r>
  <r>
    <x v="8"/>
    <x v="3"/>
    <s v="COLCHÃO M.E."/>
    <s v="DIRETO"/>
    <x v="1"/>
    <s v="NADA"/>
    <x v="1"/>
    <n v="51591"/>
    <n v="1506"/>
    <x v="162"/>
    <s v="DIVINO COLCHONES"/>
    <s v="EX "/>
    <s v="Colchão M.E."/>
    <m/>
    <s v="CONEXÃO MALHAS"/>
    <n v="45345"/>
    <n v="53982.84"/>
    <s v="MT "/>
    <n v="-53982.84"/>
    <s v="MT "/>
    <n v="280"/>
    <m/>
    <n v="-3121"/>
    <m/>
    <m/>
    <m/>
    <m/>
    <m/>
    <m/>
    <m/>
    <m/>
    <m/>
    <m/>
    <m/>
    <s v="DIVINO S.A"/>
    <s v="CONEXAO MALHAS E DESENVOLVIMENTO LTDA"/>
    <n v="17.296648510092918"/>
  </r>
  <r>
    <x v="8"/>
    <x v="3"/>
    <s v="COLCHÃO M.E."/>
    <s v="DIRETO"/>
    <x v="1"/>
    <s v="NADA"/>
    <x v="1"/>
    <n v="51591"/>
    <n v="1504"/>
    <x v="167"/>
    <s v="DIVINO COLCHONES"/>
    <s v="EX "/>
    <s v="Colchão M.E."/>
    <m/>
    <s v="CONEXÃO MALHAS"/>
    <n v="45345"/>
    <n v="52803.71"/>
    <s v="MT "/>
    <n v="-52803.71"/>
    <s v="MT "/>
    <n v="240"/>
    <m/>
    <n v="-3622"/>
    <m/>
    <m/>
    <m/>
    <m/>
    <m/>
    <m/>
    <m/>
    <m/>
    <m/>
    <m/>
    <m/>
    <s v="DIVINO S.A"/>
    <s v="CONEXAO MALHAS E DESENVOLVIMENTO LTDA"/>
    <n v="14.5786057426836"/>
  </r>
  <r>
    <x v="8"/>
    <x v="3"/>
    <s v="COLCHÃO M.E."/>
    <s v="DIRETO"/>
    <x v="1"/>
    <s v="NADA"/>
    <x v="1"/>
    <n v="51591"/>
    <n v="1504"/>
    <x v="167"/>
    <s v="DIVINO COLCHONES"/>
    <s v="EX "/>
    <s v="Colchão M.E."/>
    <m/>
    <s v="CONEXÃO MALHAS"/>
    <n v="45345"/>
    <n v="17523.48"/>
    <s v="MT "/>
    <n v="-17523.48"/>
    <s v="MT "/>
    <n v="240"/>
    <m/>
    <n v="-1202"/>
    <m/>
    <m/>
    <m/>
    <m/>
    <m/>
    <m/>
    <m/>
    <m/>
    <m/>
    <m/>
    <m/>
    <s v="DIVINO S.A"/>
    <s v="CONEXAO MALHAS E DESENVOLVIMENTO LTDA"/>
    <n v="14.578602329450915"/>
  </r>
  <r>
    <x v="8"/>
    <x v="3"/>
    <s v="COLCHÃO M.E."/>
    <s v="DIRETO"/>
    <x v="1"/>
    <s v="NADA"/>
    <x v="1"/>
    <n v="51591"/>
    <n v="1236"/>
    <x v="168"/>
    <s v="DIVINO COLCHONES"/>
    <s v="EX "/>
    <s v="Colchão M.E."/>
    <m/>
    <s v="CONEXÃO MALHAS"/>
    <n v="45345"/>
    <n v="18247.97"/>
    <s v="MT "/>
    <n v="-18247.97"/>
    <s v="MT "/>
    <n v="240"/>
    <m/>
    <n v="-1055"/>
    <m/>
    <m/>
    <m/>
    <m/>
    <m/>
    <m/>
    <m/>
    <m/>
    <m/>
    <m/>
    <m/>
    <s v="DIVINO S.A"/>
    <s v="CONEXAO MALHAS E DESENVOLVIMENTO LTDA"/>
    <n v="17.29665402843602"/>
  </r>
  <r>
    <x v="8"/>
    <x v="3"/>
    <s v="COLCHÃO M.E."/>
    <s v="DIRETO"/>
    <x v="1"/>
    <s v="NADA"/>
    <x v="1"/>
    <n v="51591"/>
    <n v="1226"/>
    <x v="170"/>
    <s v="DIVINO COLCHONES"/>
    <s v="EX "/>
    <s v="Colchão M.E."/>
    <m/>
    <s v="CONEXÃO MALHAS"/>
    <n v="45345"/>
    <n v="10733.81"/>
    <s v="MT "/>
    <n v="-10733.81"/>
    <s v="MT "/>
    <n v="260"/>
    <m/>
    <n v="-724"/>
    <m/>
    <m/>
    <m/>
    <m/>
    <m/>
    <m/>
    <m/>
    <m/>
    <m/>
    <m/>
    <m/>
    <s v="DIVINO S.A"/>
    <s v="CONEXAO MALHAS E DESENVOLVIMENTO LTDA"/>
    <n v="14.825704419889503"/>
  </r>
  <r>
    <x v="8"/>
    <x v="3"/>
    <s v="COLCHÃO M.E."/>
    <s v="DIRETO"/>
    <x v="9"/>
    <s v="NADA"/>
    <x v="2"/>
    <n v="51273"/>
    <n v="1419"/>
    <x v="234"/>
    <s v="FLEX CHILE"/>
    <s v="EX "/>
    <s v="Colchão M.E."/>
    <m/>
    <s v="DIRETO"/>
    <n v="45327"/>
    <n v="26862.52"/>
    <s v="MT "/>
    <n v="-26862.52"/>
    <s v="MT "/>
    <m/>
    <m/>
    <n v="-2427"/>
    <m/>
    <m/>
    <m/>
    <m/>
    <m/>
    <m/>
    <m/>
    <m/>
    <m/>
    <m/>
    <m/>
    <s v="FLEX CHILE"/>
    <s v="CARLOS FIDENCIO D AVALOS RUIZ JUNIOR 34496952823"/>
    <n v="11.068199423156161"/>
  </r>
  <r>
    <x v="8"/>
    <x v="3"/>
    <s v="COLCHÃO M.E."/>
    <s v="DIRETO"/>
    <x v="9"/>
    <s v="NADA"/>
    <x v="2"/>
    <n v="51273"/>
    <n v="1422"/>
    <x v="232"/>
    <s v="FLEX CHILE"/>
    <s v="EX "/>
    <s v="Colchão M.E."/>
    <m/>
    <s v="DIRETO"/>
    <n v="45327"/>
    <n v="19796.14"/>
    <s v="MT "/>
    <n v="-19796.14"/>
    <s v="MT "/>
    <m/>
    <m/>
    <n v="-1422"/>
    <m/>
    <m/>
    <m/>
    <m/>
    <m/>
    <m/>
    <m/>
    <m/>
    <m/>
    <m/>
    <m/>
    <s v="FLEX CHILE"/>
    <s v="CARLOS FIDENCIO D AVALOS RUIZ JUNIOR 34496952823"/>
    <n v="13.921336146272855"/>
  </r>
  <r>
    <x v="6"/>
    <x v="2"/>
    <s v="COLCHÃO M.E."/>
    <e v="#N/A"/>
    <x v="9"/>
    <s v="NADA"/>
    <x v="2"/>
    <n v="50542"/>
    <n v="1419"/>
    <x v="234"/>
    <s v="FLEX CHILE"/>
    <s v="EX "/>
    <s v="Colchão M.E."/>
    <m/>
    <e v="#N/A"/>
    <n v="45281"/>
    <m/>
    <m/>
    <n v="-71330.899999999994"/>
    <s v="MT "/>
    <n v="180"/>
    <m/>
    <n v="-6469"/>
    <m/>
    <m/>
    <m/>
    <m/>
    <m/>
    <m/>
    <m/>
    <m/>
    <m/>
    <m/>
    <m/>
    <m/>
    <m/>
    <n v="11.026572886072035"/>
  </r>
  <r>
    <x v="6"/>
    <x v="2"/>
    <s v="COLCHÃO M.E."/>
    <e v="#N/A"/>
    <x v="9"/>
    <s v="NADA"/>
    <x v="2"/>
    <n v="50542"/>
    <n v="1422"/>
    <x v="232"/>
    <s v="FLEX CHILE"/>
    <s v="EX "/>
    <s v="Colchão M.E."/>
    <m/>
    <e v="#N/A"/>
    <n v="45281"/>
    <m/>
    <m/>
    <n v="-8709.7199999999993"/>
    <s v="MT "/>
    <n v="240"/>
    <m/>
    <n v="-628"/>
    <m/>
    <m/>
    <m/>
    <m/>
    <m/>
    <m/>
    <m/>
    <m/>
    <m/>
    <m/>
    <m/>
    <m/>
    <m/>
    <n v="13.868980891719744"/>
  </r>
  <r>
    <x v="6"/>
    <x v="2"/>
    <s v="COLCHÃO M.E."/>
    <e v="#N/A"/>
    <x v="26"/>
    <s v="NADA"/>
    <x v="4"/>
    <n v="50559"/>
    <n v="2513"/>
    <x v="287"/>
    <s v="FERNANDO B. GONZALEZ MINIOTIS"/>
    <s v="EX "/>
    <s v="Colchão M.E."/>
    <m/>
    <e v="#N/A"/>
    <n v="45286"/>
    <m/>
    <m/>
    <n v="-4049.17"/>
    <s v="MT "/>
    <n v="180"/>
    <m/>
    <n v="-506"/>
    <m/>
    <m/>
    <m/>
    <m/>
    <m/>
    <m/>
    <m/>
    <m/>
    <m/>
    <m/>
    <m/>
    <m/>
    <m/>
    <n v="8.0023122529644262"/>
  </r>
  <r>
    <x v="6"/>
    <x v="2"/>
    <s v="COLCHÃO M.E."/>
    <e v="#N/A"/>
    <x v="26"/>
    <s v="NADA"/>
    <x v="4"/>
    <n v="50559"/>
    <n v="2512"/>
    <x v="286"/>
    <s v="FERNANDO B. GONZALEZ MINIOTIS"/>
    <s v="EX "/>
    <s v="Colchão M.E."/>
    <m/>
    <e v="#N/A"/>
    <n v="45286"/>
    <m/>
    <m/>
    <n v="-4190.3500000000004"/>
    <s v="MT "/>
    <n v="180"/>
    <m/>
    <n v="-499"/>
    <m/>
    <m/>
    <m/>
    <m/>
    <m/>
    <m/>
    <m/>
    <m/>
    <m/>
    <m/>
    <m/>
    <m/>
    <m/>
    <n v="8.3974949899799611"/>
  </r>
  <r>
    <x v="6"/>
    <x v="2"/>
    <s v="COLCHÃO M.E."/>
    <e v="#N/A"/>
    <x v="26"/>
    <s v="NADA"/>
    <x v="4"/>
    <n v="50559"/>
    <n v="2509"/>
    <x v="283"/>
    <s v="FERNANDO B. GONZALEZ MINIOTIS"/>
    <s v="EX "/>
    <s v="Colchão M.E."/>
    <m/>
    <e v="#N/A"/>
    <n v="45286"/>
    <m/>
    <m/>
    <n v="-3121.89"/>
    <s v="MT "/>
    <n v="180"/>
    <m/>
    <n v="-395"/>
    <m/>
    <m/>
    <m/>
    <m/>
    <m/>
    <m/>
    <m/>
    <m/>
    <m/>
    <m/>
    <m/>
    <m/>
    <m/>
    <n v="7.9035189873417719"/>
  </r>
  <r>
    <x v="6"/>
    <x v="2"/>
    <s v="COLCHÃO M.E."/>
    <e v="#N/A"/>
    <x v="26"/>
    <s v="NADA"/>
    <x v="4"/>
    <n v="50559"/>
    <n v="2511"/>
    <x v="285"/>
    <s v="FERNANDO B. GONZALEZ MINIOTIS"/>
    <s v="EX "/>
    <s v="Colchão M.E."/>
    <m/>
    <e v="#N/A"/>
    <n v="45286"/>
    <m/>
    <m/>
    <n v="-4161.2"/>
    <s v="MT "/>
    <n v="180"/>
    <m/>
    <n v="-520"/>
    <m/>
    <m/>
    <m/>
    <m/>
    <m/>
    <m/>
    <m/>
    <m/>
    <m/>
    <m/>
    <m/>
    <m/>
    <m/>
    <n v="8.0023076923076921"/>
  </r>
  <r>
    <x v="6"/>
    <x v="2"/>
    <s v="COLCHÃO M.E."/>
    <e v="#N/A"/>
    <x v="26"/>
    <s v="NADA"/>
    <x v="4"/>
    <n v="50559"/>
    <n v="2510"/>
    <x v="284"/>
    <s v="FERNANDO B. GONZALEZ MINIOTIS"/>
    <s v="EX "/>
    <s v="Colchão M.E."/>
    <m/>
    <e v="#N/A"/>
    <n v="45286"/>
    <m/>
    <m/>
    <n v="-4449.29"/>
    <s v="MT "/>
    <n v="180"/>
    <m/>
    <n v="-556"/>
    <m/>
    <m/>
    <m/>
    <m/>
    <m/>
    <m/>
    <m/>
    <m/>
    <m/>
    <m/>
    <m/>
    <m/>
    <m/>
    <n v="8.0023201438848925"/>
  </r>
  <r>
    <x v="6"/>
    <x v="2"/>
    <s v="COLCHÃO M.E."/>
    <e v="#N/A"/>
    <x v="1"/>
    <s v="NADA"/>
    <x v="1"/>
    <n v="50560"/>
    <n v="2054"/>
    <x v="224"/>
    <s v="DIVINO COLCHONES"/>
    <s v="EX "/>
    <s v="Colchão M.E."/>
    <m/>
    <e v="#N/A"/>
    <n v="45286"/>
    <m/>
    <m/>
    <n v="-14640.75"/>
    <s v="MT "/>
    <n v="280"/>
    <m/>
    <n v="-935"/>
    <m/>
    <m/>
    <m/>
    <m/>
    <m/>
    <m/>
    <m/>
    <m/>
    <m/>
    <m/>
    <m/>
    <m/>
    <m/>
    <n v="15.65855614973262"/>
  </r>
  <r>
    <x v="6"/>
    <x v="2"/>
    <s v="COLCHÃO M.E."/>
    <e v="#N/A"/>
    <x v="1"/>
    <s v="NADA"/>
    <x v="1"/>
    <n v="50560"/>
    <n v="2157"/>
    <x v="230"/>
    <s v="DIVINO COLCHONES"/>
    <s v="EX "/>
    <s v="Colchão M.E."/>
    <m/>
    <e v="#N/A"/>
    <n v="45286"/>
    <m/>
    <m/>
    <n v="-22612.97"/>
    <s v="MT "/>
    <n v="300"/>
    <m/>
    <n v="-977"/>
    <m/>
    <m/>
    <m/>
    <m/>
    <m/>
    <m/>
    <m/>
    <m/>
    <m/>
    <m/>
    <m/>
    <m/>
    <m/>
    <n v="23.145312180143296"/>
  </r>
  <r>
    <x v="6"/>
    <x v="2"/>
    <s v="COLCHÃO M.E."/>
    <e v="#N/A"/>
    <x v="1"/>
    <s v="NADA"/>
    <x v="1"/>
    <n v="50560"/>
    <n v="1905"/>
    <x v="193"/>
    <s v="DIVINO COLCHONES"/>
    <s v="EX "/>
    <s v="Colchão M.E."/>
    <m/>
    <e v="#N/A"/>
    <n v="45286"/>
    <m/>
    <m/>
    <n v="-7829.28"/>
    <s v="MT "/>
    <m/>
    <m/>
    <n v="-1000"/>
    <m/>
    <m/>
    <m/>
    <m/>
    <m/>
    <m/>
    <m/>
    <m/>
    <m/>
    <m/>
    <m/>
    <m/>
    <m/>
    <n v="7.8292799999999998"/>
  </r>
  <r>
    <x v="6"/>
    <x v="2"/>
    <s v="COLCHÃO M.E."/>
    <e v="#N/A"/>
    <x v="1"/>
    <s v="NADA"/>
    <x v="1"/>
    <n v="50560"/>
    <n v="2495"/>
    <x v="276"/>
    <s v="DIVINO COLCHONES"/>
    <s v="EX "/>
    <s v="Colchão M.E."/>
    <m/>
    <e v="#N/A"/>
    <n v="45286"/>
    <m/>
    <m/>
    <n v="-23083.85"/>
    <s v="MT "/>
    <n v="470"/>
    <m/>
    <n v="-832"/>
    <m/>
    <m/>
    <m/>
    <m/>
    <m/>
    <m/>
    <m/>
    <m/>
    <m/>
    <m/>
    <m/>
    <m/>
    <m/>
    <n v="27.745012019230767"/>
  </r>
  <r>
    <x v="6"/>
    <x v="2"/>
    <s v="COLCHÃO M.E."/>
    <e v="#N/A"/>
    <x v="1"/>
    <s v="NADA"/>
    <x v="1"/>
    <n v="50560"/>
    <n v="2496"/>
    <x v="277"/>
    <s v="DIVINO COLCHONES"/>
    <s v="EX "/>
    <s v="Colchão M.E."/>
    <m/>
    <e v="#N/A"/>
    <n v="45286"/>
    <m/>
    <m/>
    <n v="-10070.41"/>
    <s v="MT "/>
    <n v="310"/>
    <m/>
    <n v="-490"/>
    <m/>
    <m/>
    <m/>
    <m/>
    <m/>
    <m/>
    <m/>
    <m/>
    <m/>
    <m/>
    <m/>
    <m/>
    <m/>
    <n v="20.551857142857141"/>
  </r>
  <r>
    <x v="6"/>
    <x v="2"/>
    <s v="COLCHÃO M.E."/>
    <e v="#N/A"/>
    <x v="1"/>
    <s v="NADA"/>
    <x v="1"/>
    <n v="50560"/>
    <n v="2497"/>
    <x v="278"/>
    <s v="DIVINO COLCHONES"/>
    <s v="EX "/>
    <s v="Colchão M.E."/>
    <m/>
    <e v="#N/A"/>
    <n v="45286"/>
    <m/>
    <m/>
    <n v="-1972.98"/>
    <s v="MT "/>
    <n v="230"/>
    <m/>
    <n v="-168"/>
    <m/>
    <m/>
    <m/>
    <m/>
    <m/>
    <m/>
    <m/>
    <m/>
    <m/>
    <m/>
    <m/>
    <m/>
    <m/>
    <n v="11.743928571428572"/>
  </r>
  <r>
    <x v="6"/>
    <x v="2"/>
    <s v="COLCHÃO M.E."/>
    <e v="#N/A"/>
    <x v="1"/>
    <s v="NADA"/>
    <x v="1"/>
    <n v="50560"/>
    <n v="1504"/>
    <x v="167"/>
    <s v="DIVINO COLCHONES"/>
    <s v="EX "/>
    <s v="Colchão M.E."/>
    <m/>
    <e v="#N/A"/>
    <n v="45286"/>
    <m/>
    <m/>
    <n v="-63370.68"/>
    <s v="MT "/>
    <n v="240"/>
    <m/>
    <n v="-4390"/>
    <m/>
    <m/>
    <m/>
    <m/>
    <m/>
    <m/>
    <m/>
    <m/>
    <m/>
    <m/>
    <m/>
    <m/>
    <m/>
    <n v="14.435234624145785"/>
  </r>
  <r>
    <x v="6"/>
    <x v="2"/>
    <s v="COLCHÃO M.E."/>
    <e v="#N/A"/>
    <x v="1"/>
    <s v="NADA"/>
    <x v="1"/>
    <n v="50560"/>
    <n v="1523"/>
    <x v="184"/>
    <s v="DIVINO COLCHONES"/>
    <s v="EX "/>
    <s v="Colchão M.E."/>
    <m/>
    <e v="#N/A"/>
    <n v="45286"/>
    <m/>
    <m/>
    <n v="-10569.53"/>
    <s v="MT "/>
    <m/>
    <m/>
    <n v="-1500"/>
    <m/>
    <m/>
    <m/>
    <m/>
    <m/>
    <m/>
    <m/>
    <m/>
    <m/>
    <m/>
    <m/>
    <m/>
    <m/>
    <n v="7.0463533333333341"/>
  </r>
  <r>
    <x v="6"/>
    <x v="2"/>
    <s v="COLCHÃO M.E."/>
    <e v="#N/A"/>
    <x v="1"/>
    <s v="NADA"/>
    <x v="1"/>
    <n v="50560"/>
    <n v="1236"/>
    <x v="168"/>
    <s v="DIVINO COLCHONES"/>
    <s v="EX "/>
    <s v="Colchão M.E."/>
    <m/>
    <e v="#N/A"/>
    <n v="45286"/>
    <m/>
    <m/>
    <n v="-27796.39"/>
    <s v="MT "/>
    <n v="240"/>
    <m/>
    <n v="-1623"/>
    <m/>
    <m/>
    <m/>
    <m/>
    <m/>
    <m/>
    <m/>
    <m/>
    <m/>
    <m/>
    <m/>
    <m/>
    <m/>
    <n v="17.126549599507086"/>
  </r>
  <r>
    <x v="6"/>
    <x v="2"/>
    <s v="COLCHÃO M.E."/>
    <e v="#N/A"/>
    <x v="1"/>
    <s v="NADA"/>
    <x v="1"/>
    <n v="50560"/>
    <n v="1226"/>
    <x v="170"/>
    <s v="DIVINO COLCHONES"/>
    <s v="EX "/>
    <s v="Colchão M.E."/>
    <m/>
    <e v="#N/A"/>
    <n v="45286"/>
    <m/>
    <m/>
    <n v="-20610.580000000002"/>
    <s v="MT "/>
    <n v="260"/>
    <m/>
    <n v="-1404"/>
    <m/>
    <m/>
    <m/>
    <m/>
    <m/>
    <m/>
    <m/>
    <m/>
    <m/>
    <m/>
    <m/>
    <m/>
    <m/>
    <n v="14.679900284900286"/>
  </r>
  <r>
    <x v="6"/>
    <x v="2"/>
    <s v="COLCHÃO M.E."/>
    <e v="#N/A"/>
    <x v="1"/>
    <s v="NADA"/>
    <x v="1"/>
    <n v="50560"/>
    <n v="1225"/>
    <x v="194"/>
    <s v="DIVINO COLCHONES"/>
    <s v="EX "/>
    <s v="Colchão M.E."/>
    <m/>
    <e v="#N/A"/>
    <n v="45286"/>
    <m/>
    <m/>
    <n v="-118002.52"/>
    <s v="MT "/>
    <n v="240"/>
    <m/>
    <n v="-8147"/>
    <m/>
    <m/>
    <m/>
    <m/>
    <m/>
    <m/>
    <m/>
    <m/>
    <m/>
    <m/>
    <m/>
    <m/>
    <m/>
    <n v="14.484168405548054"/>
  </r>
  <r>
    <x v="6"/>
    <x v="2"/>
    <s v="COLCHÃO M.E."/>
    <e v="#N/A"/>
    <x v="1"/>
    <s v="NADA"/>
    <x v="1"/>
    <n v="50560"/>
    <n v="1525"/>
    <x v="185"/>
    <s v="DIVINO COLCHONES"/>
    <s v="EX "/>
    <s v="Colchão M.E."/>
    <m/>
    <e v="#N/A"/>
    <n v="45286"/>
    <m/>
    <m/>
    <n v="-53572.24"/>
    <s v="MT "/>
    <n v="320"/>
    <m/>
    <n v="-2904"/>
    <m/>
    <m/>
    <m/>
    <m/>
    <m/>
    <m/>
    <m/>
    <m/>
    <m/>
    <m/>
    <m/>
    <m/>
    <m/>
    <n v="18.447741046831954"/>
  </r>
  <r>
    <x v="6"/>
    <x v="2"/>
    <s v="COLCHÃO M.E."/>
    <e v="#N/A"/>
    <x v="18"/>
    <s v="NADA"/>
    <x v="1"/>
    <n v="50566"/>
    <n v="2428"/>
    <x v="249"/>
    <s v="POLYMAX"/>
    <s v="EX "/>
    <s v="Colchão M.E."/>
    <m/>
    <e v="#N/A"/>
    <n v="45286"/>
    <m/>
    <m/>
    <n v="-8360.83"/>
    <s v="MT "/>
    <n v="160"/>
    <m/>
    <n v="-854"/>
    <m/>
    <m/>
    <m/>
    <m/>
    <m/>
    <m/>
    <m/>
    <m/>
    <m/>
    <m/>
    <m/>
    <m/>
    <m/>
    <n v="9.7901990632318494"/>
  </r>
  <r>
    <x v="6"/>
    <x v="2"/>
    <s v="COLCHÃO M.E."/>
    <e v="#N/A"/>
    <x v="18"/>
    <s v="NADA"/>
    <x v="1"/>
    <n v="50566"/>
    <n v="2427"/>
    <x v="250"/>
    <s v="POLYMAX"/>
    <s v="EX "/>
    <s v="Colchão M.E."/>
    <m/>
    <e v="#N/A"/>
    <n v="45286"/>
    <m/>
    <m/>
    <n v="-4131.46"/>
    <s v="MT "/>
    <n v="160"/>
    <m/>
    <n v="-422"/>
    <m/>
    <m/>
    <m/>
    <m/>
    <m/>
    <m/>
    <m/>
    <m/>
    <m/>
    <m/>
    <m/>
    <m/>
    <m/>
    <n v="9.7901895734597151"/>
  </r>
  <r>
    <x v="6"/>
    <x v="2"/>
    <s v="COLCHÃO M.E."/>
    <e v="#N/A"/>
    <x v="18"/>
    <s v="NADA"/>
    <x v="1"/>
    <n v="50566"/>
    <n v="2426"/>
    <x v="252"/>
    <s v="POLYMAX"/>
    <s v="EX "/>
    <s v="Colchão M.E."/>
    <m/>
    <e v="#N/A"/>
    <n v="45286"/>
    <m/>
    <m/>
    <n v="-4060.49"/>
    <s v="MT "/>
    <n v="160"/>
    <m/>
    <n v="-553"/>
    <m/>
    <m/>
    <m/>
    <m/>
    <m/>
    <m/>
    <m/>
    <m/>
    <m/>
    <m/>
    <m/>
    <m/>
    <m/>
    <n v="7.3426582278481005"/>
  </r>
  <r>
    <x v="6"/>
    <x v="2"/>
    <s v="COLCHÃO M.E."/>
    <e v="#N/A"/>
    <x v="18"/>
    <s v="NADA"/>
    <x v="1"/>
    <n v="50566"/>
    <n v="2429"/>
    <x v="248"/>
    <s v="POLYMAX"/>
    <s v="EX "/>
    <s v="Colchão M.E."/>
    <m/>
    <e v="#N/A"/>
    <n v="45286"/>
    <m/>
    <m/>
    <n v="-5746.85"/>
    <s v="MT "/>
    <n v="160"/>
    <m/>
    <n v="-587"/>
    <m/>
    <m/>
    <m/>
    <m/>
    <m/>
    <m/>
    <m/>
    <m/>
    <m/>
    <m/>
    <m/>
    <m/>
    <m/>
    <n v="9.790204429301534"/>
  </r>
  <r>
    <x v="6"/>
    <x v="2"/>
    <s v="COLCHÃO M.E."/>
    <e v="#N/A"/>
    <x v="18"/>
    <s v="NADA"/>
    <x v="1"/>
    <n v="50566"/>
    <n v="2425"/>
    <x v="253"/>
    <s v="POLYMAX"/>
    <s v="EX "/>
    <s v="Colchão M.E."/>
    <m/>
    <e v="#N/A"/>
    <n v="45286"/>
    <m/>
    <m/>
    <n v="-3563.63"/>
    <s v="MT "/>
    <n v="160"/>
    <m/>
    <n v="-560"/>
    <m/>
    <m/>
    <m/>
    <m/>
    <m/>
    <m/>
    <m/>
    <m/>
    <m/>
    <m/>
    <m/>
    <m/>
    <m/>
    <n v="6.3636249999999999"/>
  </r>
  <r>
    <x v="6"/>
    <x v="2"/>
    <s v="COLCHÃO M.E."/>
    <e v="#N/A"/>
    <x v="18"/>
    <s v="NADA"/>
    <x v="1"/>
    <n v="50566"/>
    <n v="2424"/>
    <x v="254"/>
    <s v="POLYMAX"/>
    <s v="EX "/>
    <s v="Colchão M.E."/>
    <m/>
    <e v="#N/A"/>
    <n v="45286"/>
    <m/>
    <m/>
    <n v="-9128.3799999999992"/>
    <s v="MT "/>
    <n v="180"/>
    <m/>
    <n v="-1332"/>
    <m/>
    <m/>
    <m/>
    <m/>
    <m/>
    <m/>
    <m/>
    <m/>
    <m/>
    <m/>
    <m/>
    <m/>
    <m/>
    <n v="6.8531381381381378"/>
  </r>
  <r>
    <x v="6"/>
    <x v="2"/>
    <s v="COLCHÃO M.E."/>
    <e v="#N/A"/>
    <x v="18"/>
    <s v="NADA"/>
    <x v="1"/>
    <n v="50566"/>
    <n v="2423"/>
    <x v="255"/>
    <s v="POLYMAX"/>
    <s v="EX "/>
    <s v="Colchão M.E."/>
    <m/>
    <e v="#N/A"/>
    <n v="45286"/>
    <m/>
    <m/>
    <n v="-3811.32"/>
    <s v="MT "/>
    <n v="180"/>
    <m/>
    <n v="-458"/>
    <m/>
    <m/>
    <m/>
    <m/>
    <m/>
    <m/>
    <m/>
    <m/>
    <m/>
    <m/>
    <m/>
    <m/>
    <m/>
    <n v="8.3216593886462888"/>
  </r>
  <r>
    <x v="6"/>
    <x v="2"/>
    <s v="COLCHÃO M.E."/>
    <e v="#N/A"/>
    <x v="18"/>
    <s v="NADA"/>
    <x v="1"/>
    <n v="50566"/>
    <n v="2433"/>
    <x v="258"/>
    <s v="POLYMAX"/>
    <s v="EX "/>
    <s v="Colchão M.E."/>
    <m/>
    <e v="#N/A"/>
    <n v="45286"/>
    <m/>
    <m/>
    <n v="-3994.4"/>
    <s v="MT "/>
    <n v="160"/>
    <m/>
    <n v="-408"/>
    <m/>
    <m/>
    <m/>
    <m/>
    <m/>
    <m/>
    <m/>
    <m/>
    <m/>
    <m/>
    <m/>
    <m/>
    <m/>
    <n v="9.7901960784313733"/>
  </r>
  <r>
    <x v="6"/>
    <x v="2"/>
    <s v="COLCHÃO M.E."/>
    <e v="#N/A"/>
    <x v="18"/>
    <s v="NADA"/>
    <x v="1"/>
    <n v="50566"/>
    <n v="2430"/>
    <x v="251"/>
    <s v="POLYMAX"/>
    <s v="EX "/>
    <s v="Colchão M.E."/>
    <m/>
    <e v="#N/A"/>
    <n v="45286"/>
    <m/>
    <m/>
    <n v="-3896.5"/>
    <s v="MT "/>
    <n v="160"/>
    <m/>
    <n v="-398"/>
    <m/>
    <m/>
    <m/>
    <m/>
    <m/>
    <m/>
    <m/>
    <m/>
    <m/>
    <m/>
    <m/>
    <m/>
    <m/>
    <n v="9.7902010050251249"/>
  </r>
  <r>
    <x v="6"/>
    <x v="2"/>
    <s v="COLCHÃO M.E."/>
    <e v="#N/A"/>
    <x v="18"/>
    <s v="NADA"/>
    <x v="1"/>
    <n v="50566"/>
    <n v="2431"/>
    <x v="256"/>
    <s v="POLYMAX"/>
    <s v="EX "/>
    <s v="Colchão M.E."/>
    <m/>
    <e v="#N/A"/>
    <n v="45286"/>
    <m/>
    <m/>
    <n v="-4307.6899999999996"/>
    <s v="MT "/>
    <n v="160"/>
    <m/>
    <n v="-440"/>
    <m/>
    <m/>
    <m/>
    <m/>
    <m/>
    <m/>
    <m/>
    <m/>
    <m/>
    <m/>
    <m/>
    <m/>
    <m/>
    <n v="9.7902045454545448"/>
  </r>
  <r>
    <x v="6"/>
    <x v="2"/>
    <s v="COLCHÃO M.E."/>
    <e v="#N/A"/>
    <x v="18"/>
    <s v="NADA"/>
    <x v="1"/>
    <n v="50566"/>
    <n v="2432"/>
    <x v="257"/>
    <s v="POLYMAX"/>
    <s v="EX "/>
    <s v="Colchão M.E."/>
    <m/>
    <e v="#N/A"/>
    <n v="45286"/>
    <m/>
    <m/>
    <n v="-7176.22"/>
    <s v="MT "/>
    <n v="160"/>
    <m/>
    <n v="-733"/>
    <m/>
    <m/>
    <m/>
    <m/>
    <m/>
    <m/>
    <m/>
    <m/>
    <m/>
    <m/>
    <m/>
    <m/>
    <m/>
    <n v="9.7902046384720336"/>
  </r>
  <r>
    <x v="6"/>
    <x v="2"/>
    <s v="COLCHÃO M.E."/>
    <e v="#N/A"/>
    <x v="18"/>
    <s v="NADA"/>
    <x v="1"/>
    <n v="50566"/>
    <n v="2434"/>
    <x v="259"/>
    <s v="POLYMAX"/>
    <s v="EX "/>
    <s v="Colchão M.E."/>
    <m/>
    <e v="#N/A"/>
    <n v="45286"/>
    <m/>
    <m/>
    <n v="-4864.26"/>
    <s v="MT "/>
    <n v="180"/>
    <m/>
    <n v="-523"/>
    <m/>
    <m/>
    <m/>
    <m/>
    <m/>
    <m/>
    <m/>
    <m/>
    <m/>
    <m/>
    <m/>
    <m/>
    <m/>
    <n v="9.3006883365200768"/>
  </r>
  <r>
    <x v="6"/>
    <x v="2"/>
    <s v="COLCHÃO M.E."/>
    <e v="#N/A"/>
    <x v="18"/>
    <s v="NADA"/>
    <x v="1"/>
    <n v="50566"/>
    <n v="2435"/>
    <x v="260"/>
    <s v="POLYMAX"/>
    <s v="EX "/>
    <s v="Colchão M.E."/>
    <m/>
    <e v="#N/A"/>
    <n v="45286"/>
    <m/>
    <m/>
    <n v="-5269.09"/>
    <s v="MT "/>
    <n v="180"/>
    <m/>
    <n v="-598"/>
    <m/>
    <m/>
    <m/>
    <m/>
    <m/>
    <m/>
    <m/>
    <m/>
    <m/>
    <m/>
    <m/>
    <m/>
    <m/>
    <n v="8.8111872909698992"/>
  </r>
  <r>
    <x v="6"/>
    <x v="2"/>
    <s v="COLCHÃO M.E."/>
    <e v="#N/A"/>
    <x v="18"/>
    <s v="NADA"/>
    <x v="1"/>
    <n v="50566"/>
    <n v="2544"/>
    <x v="261"/>
    <s v="POLYMAX"/>
    <s v="EX "/>
    <s v="Colchão M.E."/>
    <m/>
    <e v="#N/A"/>
    <n v="45286"/>
    <m/>
    <m/>
    <n v="-2165.59"/>
    <s v="MT "/>
    <n v="180"/>
    <m/>
    <n v="-316"/>
    <m/>
    <m/>
    <m/>
    <m/>
    <m/>
    <m/>
    <m/>
    <m/>
    <m/>
    <m/>
    <m/>
    <m/>
    <m/>
    <n v="6.8531329113924055"/>
  </r>
  <r>
    <x v="6"/>
    <x v="2"/>
    <s v="COLCHÃO M.E."/>
    <e v="#N/A"/>
    <x v="18"/>
    <s v="NADA"/>
    <x v="1"/>
    <n v="50566"/>
    <n v="2422"/>
    <x v="269"/>
    <s v="POLYMAX"/>
    <s v="EX "/>
    <s v="Colchão M.E."/>
    <m/>
    <e v="#N/A"/>
    <n v="45286"/>
    <m/>
    <m/>
    <n v="-4696.8500000000004"/>
    <s v="MT "/>
    <n v="180"/>
    <m/>
    <n v="-505"/>
    <m/>
    <m/>
    <m/>
    <m/>
    <m/>
    <m/>
    <m/>
    <m/>
    <m/>
    <m/>
    <m/>
    <m/>
    <m/>
    <n v="9.3006930693069307"/>
  </r>
  <r>
    <x v="6"/>
    <x v="2"/>
    <s v="COLCHÃO M.E."/>
    <e v="#N/A"/>
    <x v="18"/>
    <s v="NADA"/>
    <x v="1"/>
    <n v="50566"/>
    <n v="2412"/>
    <x v="268"/>
    <s v="POLYMAX"/>
    <s v="EX "/>
    <s v="Colchão M.E."/>
    <m/>
    <e v="#N/A"/>
    <n v="45286"/>
    <m/>
    <m/>
    <n v="-4724.75"/>
    <s v="MT "/>
    <n v="200"/>
    <m/>
    <n v="-508"/>
    <m/>
    <m/>
    <m/>
    <m/>
    <m/>
    <m/>
    <m/>
    <m/>
    <m/>
    <m/>
    <m/>
    <m/>
    <m/>
    <n v="9.3006889763779519"/>
  </r>
  <r>
    <x v="6"/>
    <x v="2"/>
    <s v="COLCHÃO M.E."/>
    <e v="#N/A"/>
    <x v="18"/>
    <s v="NADA"/>
    <x v="1"/>
    <n v="50566"/>
    <n v="2406"/>
    <x v="264"/>
    <s v="POLYMAX"/>
    <s v="EX "/>
    <s v="Colchão M.E."/>
    <m/>
    <e v="#N/A"/>
    <n v="45286"/>
    <m/>
    <m/>
    <n v="-4620.97"/>
    <s v="MT "/>
    <n v="200"/>
    <m/>
    <n v="-472"/>
    <m/>
    <m/>
    <m/>
    <m/>
    <m/>
    <m/>
    <m/>
    <m/>
    <m/>
    <m/>
    <m/>
    <m/>
    <m/>
    <n v="9.7901906779661019"/>
  </r>
  <r>
    <x v="6"/>
    <x v="2"/>
    <s v="COLCHÃO M.E."/>
    <e v="#N/A"/>
    <x v="18"/>
    <s v="NADA"/>
    <x v="1"/>
    <n v="50566"/>
    <n v="2407"/>
    <x v="265"/>
    <s v="POLYMAX"/>
    <s v="EX "/>
    <s v="Colchão M.E."/>
    <m/>
    <e v="#N/A"/>
    <n v="45286"/>
    <m/>
    <m/>
    <n v="-4305"/>
    <s v="MT "/>
    <n v="200"/>
    <m/>
    <n v="-429"/>
    <m/>
    <m/>
    <m/>
    <m/>
    <m/>
    <m/>
    <m/>
    <m/>
    <m/>
    <m/>
    <m/>
    <m/>
    <m/>
    <n v="10.034965034965035"/>
  </r>
  <r>
    <x v="6"/>
    <x v="2"/>
    <s v="COLCHÃO M.E."/>
    <e v="#N/A"/>
    <x v="18"/>
    <s v="NADA"/>
    <x v="1"/>
    <n v="50566"/>
    <n v="2408"/>
    <x v="266"/>
    <s v="POLYMAX"/>
    <s v="EX "/>
    <s v="Colchão M.E."/>
    <m/>
    <e v="#N/A"/>
    <n v="45286"/>
    <m/>
    <m/>
    <n v="-3913.63"/>
    <s v="MT "/>
    <n v="200"/>
    <m/>
    <n v="-410"/>
    <m/>
    <m/>
    <m/>
    <m/>
    <m/>
    <m/>
    <m/>
    <m/>
    <m/>
    <m/>
    <m/>
    <m/>
    <m/>
    <n v="9.5454390243902445"/>
  </r>
  <r>
    <x v="6"/>
    <x v="2"/>
    <s v="COLCHÃO M.E."/>
    <e v="#N/A"/>
    <x v="18"/>
    <s v="NADA"/>
    <x v="1"/>
    <n v="50566"/>
    <n v="2409"/>
    <x v="267"/>
    <s v="POLYMAX"/>
    <s v="EX "/>
    <s v="Colchão M.E."/>
    <m/>
    <e v="#N/A"/>
    <n v="45286"/>
    <m/>
    <m/>
    <n v="-3763.11"/>
    <s v="MT "/>
    <n v="200"/>
    <m/>
    <n v="-375"/>
    <m/>
    <m/>
    <m/>
    <m/>
    <m/>
    <m/>
    <m/>
    <m/>
    <m/>
    <m/>
    <m/>
    <m/>
    <m/>
    <n v="10.03496"/>
  </r>
  <r>
    <x v="6"/>
    <x v="2"/>
    <s v="COLCHÃO M.E."/>
    <e v="#N/A"/>
    <x v="18"/>
    <s v="NADA"/>
    <x v="1"/>
    <n v="50566"/>
    <n v="2411"/>
    <x v="262"/>
    <s v="POLYMAX"/>
    <s v="EX "/>
    <s v="Colchão M.E."/>
    <m/>
    <e v="#N/A"/>
    <n v="45286"/>
    <m/>
    <m/>
    <n v="-4486.3599999999997"/>
    <s v="MT "/>
    <n v="200"/>
    <m/>
    <n v="-470"/>
    <m/>
    <m/>
    <m/>
    <m/>
    <m/>
    <m/>
    <m/>
    <m/>
    <m/>
    <m/>
    <m/>
    <m/>
    <m/>
    <n v="9.5454468085106381"/>
  </r>
  <r>
    <x v="6"/>
    <x v="2"/>
    <s v="COLCHÃO M.E."/>
    <e v="#N/A"/>
    <x v="18"/>
    <s v="NADA"/>
    <x v="1"/>
    <n v="50566"/>
    <n v="2420"/>
    <x v="271"/>
    <s v="POLYMAX"/>
    <s v="EX "/>
    <s v="Colchão M.E."/>
    <m/>
    <e v="#N/A"/>
    <n v="45286"/>
    <m/>
    <m/>
    <n v="-12829.08"/>
    <s v="MT "/>
    <n v="160"/>
    <m/>
    <n v="-2016"/>
    <m/>
    <m/>
    <m/>
    <m/>
    <m/>
    <m/>
    <m/>
    <m/>
    <m/>
    <m/>
    <m/>
    <m/>
    <m/>
    <n v="6.3636309523809524"/>
  </r>
  <r>
    <x v="6"/>
    <x v="2"/>
    <s v="COLCHÃO M.E."/>
    <e v="#N/A"/>
    <x v="18"/>
    <s v="NADA"/>
    <x v="1"/>
    <n v="50566"/>
    <n v="2417"/>
    <x v="274"/>
    <s v="POLYMAX"/>
    <s v="EX "/>
    <s v="Colchão M.E."/>
    <m/>
    <e v="#N/A"/>
    <n v="45286"/>
    <m/>
    <m/>
    <n v="-3494.71"/>
    <s v="MT "/>
    <n v="200"/>
    <m/>
    <n v="-368"/>
    <m/>
    <m/>
    <m/>
    <m/>
    <m/>
    <m/>
    <m/>
    <m/>
    <m/>
    <m/>
    <m/>
    <m/>
    <m/>
    <n v="9.4964945652173913"/>
  </r>
  <r>
    <x v="6"/>
    <x v="2"/>
    <s v="COLCHÃO M.E."/>
    <e v="#N/A"/>
    <x v="18"/>
    <s v="NADA"/>
    <x v="1"/>
    <n v="50566"/>
    <n v="2419"/>
    <x v="272"/>
    <s v="POLYMAX"/>
    <s v="EX "/>
    <s v="Colchão M.E."/>
    <m/>
    <e v="#N/A"/>
    <n v="45286"/>
    <m/>
    <m/>
    <n v="-4758.04"/>
    <s v="MT "/>
    <n v="180"/>
    <m/>
    <n v="-486"/>
    <m/>
    <m/>
    <m/>
    <m/>
    <m/>
    <m/>
    <m/>
    <m/>
    <m/>
    <m/>
    <m/>
    <m/>
    <m/>
    <n v="9.7902057613168729"/>
  </r>
  <r>
    <x v="6"/>
    <x v="2"/>
    <s v="COLCHÃO M.E."/>
    <e v="#N/A"/>
    <x v="18"/>
    <s v="NADA"/>
    <x v="1"/>
    <n v="50566"/>
    <n v="2418"/>
    <x v="270"/>
    <s v="POLYMAX"/>
    <s v="EX "/>
    <s v="Colchão M.E."/>
    <m/>
    <e v="#N/A"/>
    <n v="45286"/>
    <m/>
    <m/>
    <n v="-4244.93"/>
    <s v="MT "/>
    <n v="200"/>
    <m/>
    <n v="-447"/>
    <m/>
    <m/>
    <m/>
    <m/>
    <m/>
    <m/>
    <m/>
    <m/>
    <m/>
    <m/>
    <m/>
    <m/>
    <m/>
    <n v="9.4964876957494422"/>
  </r>
  <r>
    <x v="6"/>
    <x v="2"/>
    <s v="COLCHÃO M.E."/>
    <e v="#N/A"/>
    <x v="18"/>
    <s v="NADA"/>
    <x v="1"/>
    <n v="50566"/>
    <n v="2413"/>
    <x v="263"/>
    <s v="POLYMAX"/>
    <s v="EX "/>
    <s v="Colchão M.E."/>
    <m/>
    <e v="#N/A"/>
    <n v="45286"/>
    <m/>
    <m/>
    <n v="-8469.99"/>
    <s v="MT "/>
    <n v="200"/>
    <m/>
    <n v="-1331"/>
    <m/>
    <m/>
    <m/>
    <m/>
    <m/>
    <m/>
    <m/>
    <m/>
    <m/>
    <m/>
    <m/>
    <m/>
    <m/>
    <n v="6.3636288504883547"/>
  </r>
  <r>
    <x v="6"/>
    <x v="2"/>
    <s v="COLCHÃO M.E."/>
    <e v="#N/A"/>
    <x v="18"/>
    <s v="NADA"/>
    <x v="1"/>
    <n v="50566"/>
    <n v="2416"/>
    <x v="275"/>
    <s v="POLYMAX"/>
    <s v="EX "/>
    <s v="Colchão M.E."/>
    <m/>
    <e v="#N/A"/>
    <n v="45286"/>
    <m/>
    <m/>
    <n v="-4901.46"/>
    <s v="MT "/>
    <n v="200"/>
    <m/>
    <n v="-527"/>
    <m/>
    <m/>
    <m/>
    <m/>
    <m/>
    <m/>
    <m/>
    <m/>
    <m/>
    <m/>
    <m/>
    <m/>
    <m/>
    <n v="9.3006831119544593"/>
  </r>
  <r>
    <x v="6"/>
    <x v="2"/>
    <s v="COLCHÃO M.E."/>
    <e v="#N/A"/>
    <x v="18"/>
    <s v="NADA"/>
    <x v="1"/>
    <n v="50566"/>
    <n v="2415"/>
    <x v="273"/>
    <s v="POLYMAX"/>
    <s v="EX "/>
    <s v="Colchão M.E."/>
    <m/>
    <e v="#N/A"/>
    <n v="45286"/>
    <m/>
    <m/>
    <n v="-10318.629999999999"/>
    <s v="MT "/>
    <n v="200"/>
    <m/>
    <n v="-1081"/>
    <m/>
    <m/>
    <m/>
    <m/>
    <m/>
    <m/>
    <m/>
    <m/>
    <m/>
    <m/>
    <m/>
    <m/>
    <m/>
    <n v="9.5454486586493985"/>
  </r>
  <r>
    <x v="0"/>
    <x v="3"/>
    <s v="COLCHÃO M.E."/>
    <s v="DIRETO"/>
    <x v="9"/>
    <s v="NADA"/>
    <x v="2"/>
    <n v="51789"/>
    <n v="1422"/>
    <x v="232"/>
    <s v="FLEX CHILE"/>
    <s v="EX "/>
    <s v="Colchão M.E."/>
    <m/>
    <s v="DIRETO"/>
    <n v="45358"/>
    <m/>
    <m/>
    <n v="7535.17"/>
    <s v="MT "/>
    <n v="240"/>
    <m/>
    <n v="380"/>
    <m/>
    <m/>
    <m/>
    <m/>
    <m/>
    <m/>
    <m/>
    <m/>
    <m/>
    <m/>
    <m/>
    <m/>
    <m/>
    <n v="19.829394736842104"/>
  </r>
  <r>
    <x v="0"/>
    <x v="3"/>
    <s v="COLCHÃO M.E."/>
    <s v="DIRETO"/>
    <x v="9"/>
    <s v="NADA"/>
    <x v="2"/>
    <n v="52108"/>
    <n v="1419"/>
    <x v="234"/>
    <s v="FLEX CHILE"/>
    <s v="EX "/>
    <s v="Colchão M.E."/>
    <m/>
    <s v="DIRETO"/>
    <n v="45377"/>
    <m/>
    <m/>
    <n v="6743.54"/>
    <s v="MT "/>
    <n v="180"/>
    <m/>
    <n v="601"/>
    <m/>
    <m/>
    <m/>
    <m/>
    <m/>
    <m/>
    <m/>
    <m/>
    <m/>
    <m/>
    <m/>
    <m/>
    <m/>
    <n v="11.22053244592346"/>
  </r>
  <r>
    <x v="0"/>
    <x v="3"/>
    <s v="COLCHÃO M.E."/>
    <s v="DIRETO"/>
    <x v="9"/>
    <s v="NADA"/>
    <x v="2"/>
    <n v="52108"/>
    <n v="1419"/>
    <x v="234"/>
    <s v="FLEX CHILE"/>
    <s v="EX "/>
    <s v="Colchão M.E."/>
    <m/>
    <s v="DIRETO"/>
    <n v="45377"/>
    <m/>
    <m/>
    <n v="46217.34"/>
    <s v="MT "/>
    <n v="180"/>
    <m/>
    <n v="4119"/>
    <m/>
    <m/>
    <m/>
    <m/>
    <m/>
    <m/>
    <m/>
    <m/>
    <m/>
    <m/>
    <m/>
    <m/>
    <m/>
    <n v="11.220524399126001"/>
  </r>
  <r>
    <x v="0"/>
    <x v="3"/>
    <s v="COLCHÃO M.E."/>
    <s v="DIRETO"/>
    <x v="9"/>
    <s v="NADA"/>
    <x v="2"/>
    <n v="52108"/>
    <n v="1422"/>
    <x v="232"/>
    <s v="FLEX CHILE"/>
    <s v="EX "/>
    <s v="Colchão M.E."/>
    <m/>
    <s v="DIRETO"/>
    <n v="45377"/>
    <m/>
    <m/>
    <n v="35211.75"/>
    <s v="MT "/>
    <n v="240"/>
    <m/>
    <n v="2495"/>
    <m/>
    <m/>
    <m/>
    <m/>
    <m/>
    <m/>
    <m/>
    <m/>
    <m/>
    <m/>
    <m/>
    <m/>
    <m/>
    <n v="14.112925851703407"/>
  </r>
  <r>
    <x v="0"/>
    <x v="3"/>
    <s v="COLCHÃO M.E."/>
    <s v="DIRETO"/>
    <x v="1"/>
    <s v="NADA"/>
    <x v="1"/>
    <n v="52147"/>
    <n v="1525"/>
    <x v="185"/>
    <s v="DIVINO COLCHONES"/>
    <s v="EX "/>
    <s v="Colchão M.E."/>
    <m/>
    <s v="CONEXÃO MALHAS"/>
    <n v="45379"/>
    <m/>
    <m/>
    <n v="27930.43"/>
    <s v="MT "/>
    <m/>
    <m/>
    <n v="1486"/>
    <m/>
    <m/>
    <m/>
    <m/>
    <m/>
    <m/>
    <m/>
    <m/>
    <m/>
    <m/>
    <m/>
    <m/>
    <m/>
    <n v="18.795713324360701"/>
  </r>
  <r>
    <x v="0"/>
    <x v="3"/>
    <s v="COLCHÃO M.E."/>
    <s v="DIRETO"/>
    <x v="1"/>
    <s v="NADA"/>
    <x v="1"/>
    <n v="52147"/>
    <n v="2790"/>
    <x v="293"/>
    <s v="DIVINO COLCHONES"/>
    <s v="EX "/>
    <s v="Colchão M.E."/>
    <m/>
    <s v="CONEXÃO MALHAS"/>
    <n v="45379"/>
    <m/>
    <m/>
    <n v="5343.77"/>
    <s v="MT "/>
    <m/>
    <m/>
    <n v="348"/>
    <m/>
    <m/>
    <m/>
    <m/>
    <m/>
    <m/>
    <m/>
    <m/>
    <m/>
    <m/>
    <m/>
    <m/>
    <m/>
    <n v="15.355660919540231"/>
  </r>
  <r>
    <x v="0"/>
    <x v="3"/>
    <s v="COLCHÃO M.E."/>
    <s v="DIRETO"/>
    <x v="1"/>
    <s v="NADA"/>
    <x v="1"/>
    <n v="52147"/>
    <n v="2497"/>
    <x v="278"/>
    <s v="DIVINO COLCHONES"/>
    <s v="EX "/>
    <s v="Colchão M.E."/>
    <m/>
    <s v="CONEXÃO MALHAS"/>
    <n v="45379"/>
    <m/>
    <m/>
    <n v="6760.47"/>
    <s v="MT "/>
    <m/>
    <m/>
    <n v="565"/>
    <m/>
    <m/>
    <m/>
    <m/>
    <m/>
    <m/>
    <m/>
    <m/>
    <m/>
    <m/>
    <m/>
    <m/>
    <m/>
    <n v="11.965433628318584"/>
  </r>
  <r>
    <x v="0"/>
    <x v="3"/>
    <s v="COLCHÃO M.E."/>
    <s v="DIRETO"/>
    <x v="1"/>
    <s v="NADA"/>
    <x v="1"/>
    <n v="52147"/>
    <n v="2054"/>
    <x v="224"/>
    <s v="DIVINO COLCHONES"/>
    <s v="EX "/>
    <s v="Colchão M.E."/>
    <m/>
    <s v="CONEXÃO MALHAS"/>
    <n v="45379"/>
    <m/>
    <m/>
    <n v="9811.66"/>
    <s v="MT "/>
    <m/>
    <m/>
    <n v="615"/>
    <m/>
    <m/>
    <m/>
    <m/>
    <m/>
    <m/>
    <m/>
    <m/>
    <m/>
    <m/>
    <m/>
    <m/>
    <m/>
    <n v="15.953918699186991"/>
  </r>
  <r>
    <x v="0"/>
    <x v="3"/>
    <s v="COLCHÃO M.E."/>
    <s v="DIRETO"/>
    <x v="1"/>
    <s v="NADA"/>
    <x v="1"/>
    <n v="52147"/>
    <n v="2053"/>
    <x v="225"/>
    <s v="DIVINO COLCHONES"/>
    <s v="EX "/>
    <s v="Colchão M.E."/>
    <m/>
    <s v="CONEXÃO MALHAS"/>
    <n v="45379"/>
    <m/>
    <m/>
    <n v="11628.41"/>
    <s v="MT "/>
    <m/>
    <m/>
    <n v="686"/>
    <m/>
    <m/>
    <m/>
    <m/>
    <m/>
    <m/>
    <m/>
    <m/>
    <m/>
    <m/>
    <m/>
    <m/>
    <m/>
    <n v="16.951034985422741"/>
  </r>
  <r>
    <x v="0"/>
    <x v="3"/>
    <s v="COLCHÃO M.E."/>
    <s v="DIRETO"/>
    <x v="1"/>
    <s v="NADA"/>
    <x v="1"/>
    <n v="52147"/>
    <n v="1905"/>
    <x v="193"/>
    <s v="DIVINO COLCHONES"/>
    <s v="EX "/>
    <s v="Colchão M.E."/>
    <m/>
    <s v="CONEXÃO MALHAS"/>
    <n v="45379"/>
    <m/>
    <m/>
    <n v="8016.84"/>
    <s v="MT "/>
    <m/>
    <m/>
    <n v="1005"/>
    <m/>
    <m/>
    <m/>
    <m/>
    <m/>
    <m/>
    <m/>
    <m/>
    <m/>
    <m/>
    <m/>
    <m/>
    <m/>
    <n v="7.976955223880597"/>
  </r>
  <r>
    <x v="0"/>
    <x v="3"/>
    <s v="COLCHÃO M.E."/>
    <s v="DIRETO"/>
    <x v="1"/>
    <s v="NADA"/>
    <x v="1"/>
    <n v="52147"/>
    <n v="1504"/>
    <x v="167"/>
    <s v="DIVINO COLCHONES"/>
    <s v="EX "/>
    <s v="Colchão M.E."/>
    <m/>
    <s v="CONEXÃO MALHAS"/>
    <n v="45379"/>
    <m/>
    <m/>
    <n v="47152.31"/>
    <s v="MT "/>
    <m/>
    <m/>
    <n v="3206"/>
    <m/>
    <m/>
    <m/>
    <m/>
    <m/>
    <m/>
    <m/>
    <m/>
    <m/>
    <m/>
    <m/>
    <m/>
    <m/>
    <n v="14.70752027448534"/>
  </r>
  <r>
    <x v="0"/>
    <x v="3"/>
    <s v="COLCHÃO M.E."/>
    <s v="DIRETO"/>
    <x v="1"/>
    <s v="NADA"/>
    <x v="1"/>
    <n v="52147"/>
    <n v="1523"/>
    <x v="184"/>
    <s v="DIVINO COLCHONES"/>
    <s v="EX "/>
    <s v="Colchão M.E."/>
    <m/>
    <s v="CONEXÃO MALHAS"/>
    <n v="45379"/>
    <m/>
    <m/>
    <n v="21537.79"/>
    <s v="MT "/>
    <m/>
    <m/>
    <n v="3000"/>
    <m/>
    <m/>
    <m/>
    <m/>
    <m/>
    <m/>
    <m/>
    <m/>
    <m/>
    <m/>
    <m/>
    <m/>
    <m/>
    <n v="7.179263333333334"/>
  </r>
  <r>
    <x v="0"/>
    <x v="3"/>
    <s v="COLCHÃO M.E."/>
    <s v="DIRETO"/>
    <x v="1"/>
    <s v="NADA"/>
    <x v="1"/>
    <n v="52147"/>
    <n v="1236"/>
    <x v="168"/>
    <s v="DIVINO COLCHONES"/>
    <s v="EX "/>
    <s v="Colchão M.E."/>
    <m/>
    <s v="CONEXÃO MALHAS"/>
    <n v="45379"/>
    <m/>
    <m/>
    <n v="26575.74"/>
    <s v="MT "/>
    <m/>
    <m/>
    <n v="1523"/>
    <m/>
    <m/>
    <m/>
    <m/>
    <m/>
    <m/>
    <m/>
    <m/>
    <m/>
    <m/>
    <m/>
    <m/>
    <m/>
    <n v="17.449599474720948"/>
  </r>
  <r>
    <x v="0"/>
    <x v="3"/>
    <s v="COLCHÃO M.E."/>
    <s v="DIRETO"/>
    <x v="1"/>
    <s v="NADA"/>
    <x v="1"/>
    <n v="52147"/>
    <n v="1236"/>
    <x v="168"/>
    <s v="DIVINO COLCHONES"/>
    <s v="EX "/>
    <s v="Colchão M.E."/>
    <m/>
    <s v="CONEXÃO MALHAS"/>
    <n v="45379"/>
    <m/>
    <m/>
    <n v="6770.44"/>
    <s v="MT "/>
    <m/>
    <m/>
    <n v="388"/>
    <m/>
    <m/>
    <m/>
    <m/>
    <m/>
    <m/>
    <m/>
    <m/>
    <m/>
    <m/>
    <m/>
    <m/>
    <m/>
    <n v="17.449587628865977"/>
  </r>
  <r>
    <x v="0"/>
    <x v="3"/>
    <s v="COLCHÃO M.E."/>
    <s v="DIRETO"/>
    <x v="1"/>
    <s v="NADA"/>
    <x v="1"/>
    <n v="52147"/>
    <n v="1226"/>
    <x v="170"/>
    <s v="DIVINO COLCHONES"/>
    <s v="EX "/>
    <s v="Colchão M.E."/>
    <m/>
    <s v="CONEXÃO MALHAS"/>
    <n v="45379"/>
    <m/>
    <m/>
    <n v="47652.36"/>
    <s v="MT "/>
    <m/>
    <m/>
    <n v="3186"/>
    <m/>
    <m/>
    <m/>
    <m/>
    <m/>
    <m/>
    <m/>
    <m/>
    <m/>
    <m/>
    <m/>
    <m/>
    <m/>
    <n v="14.956798493408662"/>
  </r>
  <r>
    <x v="0"/>
    <x v="3"/>
    <s v="COLCHÃO M.E."/>
    <s v="DIRETO"/>
    <x v="1"/>
    <s v="NADA"/>
    <x v="1"/>
    <n v="52147"/>
    <n v="1226"/>
    <x v="170"/>
    <s v="DIVINO COLCHONES"/>
    <s v="EX "/>
    <s v="Colchão M.E."/>
    <m/>
    <s v="CONEXÃO MALHAS"/>
    <n v="45379"/>
    <m/>
    <m/>
    <n v="5085.3100000000004"/>
    <s v="MT "/>
    <m/>
    <m/>
    <n v="340"/>
    <m/>
    <m/>
    <m/>
    <m/>
    <m/>
    <m/>
    <m/>
    <m/>
    <m/>
    <m/>
    <m/>
    <m/>
    <m/>
    <n v="14.95679411764706"/>
  </r>
  <r>
    <x v="0"/>
    <x v="3"/>
    <s v="COLCHÃO M.E."/>
    <s v="DIRETO"/>
    <x v="1"/>
    <s v="NADA"/>
    <x v="1"/>
    <n v="52147"/>
    <n v="1225"/>
    <x v="194"/>
    <s v="DIVINO COLCHONES"/>
    <s v="EX "/>
    <s v="Colchão M.E."/>
    <m/>
    <s v="CONEXÃO MALHAS"/>
    <n v="45379"/>
    <m/>
    <m/>
    <n v="76679.33"/>
    <s v="MT "/>
    <m/>
    <m/>
    <n v="5196"/>
    <m/>
    <m/>
    <m/>
    <m/>
    <m/>
    <m/>
    <m/>
    <m/>
    <m/>
    <m/>
    <m/>
    <m/>
    <m/>
    <n v="14.757376828329484"/>
  </r>
  <r>
    <x v="0"/>
    <x v="3"/>
    <s v="COLCHÃO M.E."/>
    <s v="DIRETO"/>
    <x v="24"/>
    <s v="NADA"/>
    <x v="6"/>
    <n v="52175"/>
    <n v="2582"/>
    <x v="289"/>
    <s v="PRODUCTOS PARAISO DEL ECUADOR"/>
    <s v="EX "/>
    <s v="Colchão M.E."/>
    <m/>
    <s v="CONEXÃO MALHAS"/>
    <n v="45379"/>
    <m/>
    <m/>
    <n v="14063.98"/>
    <s v="MT "/>
    <m/>
    <m/>
    <n v="1294"/>
    <m/>
    <m/>
    <m/>
    <m/>
    <m/>
    <m/>
    <m/>
    <m/>
    <m/>
    <m/>
    <m/>
    <m/>
    <m/>
    <n v="10.868608964451314"/>
  </r>
  <r>
    <x v="0"/>
    <x v="3"/>
    <s v="COLCHÃO M.E."/>
    <s v="DIRETO"/>
    <x v="24"/>
    <s v="NADA"/>
    <x v="6"/>
    <n v="52175"/>
    <n v="2941"/>
    <x v="294"/>
    <s v="PRODUCTOS PARAISO DEL ECUADOR"/>
    <s v="EX "/>
    <s v="Colchão M.E."/>
    <m/>
    <s v="CONEXÃO MALHAS"/>
    <n v="45379"/>
    <m/>
    <m/>
    <n v="14096.78"/>
    <s v="MT "/>
    <m/>
    <m/>
    <n v="1131"/>
    <m/>
    <m/>
    <m/>
    <m/>
    <m/>
    <m/>
    <m/>
    <m/>
    <m/>
    <m/>
    <m/>
    <m/>
    <m/>
    <n v="12.463996463306808"/>
  </r>
  <r>
    <x v="0"/>
    <x v="3"/>
    <s v="COLCHÃO M.E."/>
    <s v="DIRETO"/>
    <x v="24"/>
    <s v="NADA"/>
    <x v="6"/>
    <n v="52175"/>
    <n v="2942"/>
    <x v="295"/>
    <s v="PRODUCTOS PARAISO DEL ECUADOR"/>
    <s v="EX "/>
    <s v="Colchão M.E."/>
    <m/>
    <s v="CONEXÃO MALHAS"/>
    <n v="45379"/>
    <m/>
    <m/>
    <n v="16986.14"/>
    <s v="MT "/>
    <m/>
    <m/>
    <n v="1008"/>
    <m/>
    <m/>
    <m/>
    <m/>
    <m/>
    <m/>
    <m/>
    <m/>
    <m/>
    <m/>
    <m/>
    <m/>
    <m/>
    <n v="16.851329365079366"/>
  </r>
  <r>
    <x v="0"/>
    <x v="3"/>
    <s v="COLCHÃO M.E."/>
    <s v="DIRETO"/>
    <x v="24"/>
    <s v="NADA"/>
    <x v="6"/>
    <n v="52175"/>
    <n v="2950"/>
    <x v="296"/>
    <s v="PRODUCTOS PARAISO DEL ECUADOR"/>
    <s v="EX "/>
    <s v="Colchão M.E."/>
    <m/>
    <s v="CONEXÃO MALHAS"/>
    <n v="45379"/>
    <m/>
    <m/>
    <n v="421.18"/>
    <s v="MT "/>
    <m/>
    <m/>
    <n v="48"/>
    <m/>
    <m/>
    <m/>
    <m/>
    <m/>
    <m/>
    <m/>
    <m/>
    <m/>
    <m/>
    <m/>
    <m/>
    <m/>
    <n v="8.7745833333333341"/>
  </r>
  <r>
    <x v="0"/>
    <x v="3"/>
    <s v="COLCHÃO M.E."/>
    <s v="DIRETO"/>
    <x v="24"/>
    <s v="NADA"/>
    <x v="6"/>
    <n v="52175"/>
    <n v="2951"/>
    <x v="297"/>
    <s v="PRODUCTOS PARAISO DEL ECUADOR"/>
    <s v="EX "/>
    <s v="Colchão M.E."/>
    <m/>
    <s v="CONEXÃO MALHAS"/>
    <n v="45379"/>
    <m/>
    <m/>
    <n v="10177.11"/>
    <s v="MT "/>
    <m/>
    <m/>
    <n v="685"/>
    <m/>
    <m/>
    <m/>
    <m/>
    <m/>
    <m/>
    <m/>
    <m/>
    <m/>
    <m/>
    <m/>
    <m/>
    <m/>
    <n v="14.85709489051095"/>
  </r>
  <r>
    <x v="9"/>
    <x v="3"/>
    <s v="COLCHÃO M.E."/>
    <s v="DIRETO"/>
    <x v="1"/>
    <s v="NADA"/>
    <x v="1"/>
    <n v="52180"/>
    <n v="1905"/>
    <x v="193"/>
    <s v="DIVINO COLCHONES"/>
    <s v="EX "/>
    <s v="Colchão M.E."/>
    <m/>
    <s v="CONEXÃO MALHAS"/>
    <n v="45383"/>
    <m/>
    <m/>
    <n v="8033.89"/>
    <s v="MT "/>
    <m/>
    <m/>
    <n v="1005"/>
    <m/>
    <m/>
    <m/>
    <m/>
    <m/>
    <m/>
    <m/>
    <m/>
    <m/>
    <m/>
    <m/>
    <s v="DIVINO S.A"/>
    <s v="CONEXAO MALHAS E DESENVOLVIMENTO LTDA"/>
    <n v="7.9939203980099505"/>
  </r>
  <r>
    <x v="9"/>
    <x v="3"/>
    <s v="COLCHÃO M.E."/>
    <s v="DIRETO"/>
    <x v="1"/>
    <s v="NADA"/>
    <x v="1"/>
    <n v="52180"/>
    <n v="2790"/>
    <x v="293"/>
    <s v="DIVINO COLCHONES"/>
    <s v="EX "/>
    <s v="Colchão M.E."/>
    <m/>
    <s v="CONEXÃO MALHAS"/>
    <n v="45383"/>
    <m/>
    <m/>
    <n v="5355.13"/>
    <s v="MT "/>
    <n v="220"/>
    <m/>
    <n v="348"/>
    <m/>
    <m/>
    <m/>
    <m/>
    <m/>
    <m/>
    <m/>
    <m/>
    <m/>
    <m/>
    <m/>
    <s v="DIVINO S.A"/>
    <s v="CONEXAO MALHAS E DESENVOLVIMENTO LTDA"/>
    <n v="15.388304597701151"/>
  </r>
  <r>
    <x v="9"/>
    <x v="3"/>
    <s v="COLCHÃO M.E."/>
    <s v="DIRETO"/>
    <x v="1"/>
    <s v="NADA"/>
    <x v="1"/>
    <n v="52180"/>
    <n v="2497"/>
    <x v="278"/>
    <s v="DIVINO COLCHONES"/>
    <s v="EX "/>
    <s v="Colchão M.E."/>
    <m/>
    <s v="CONEXÃO MALHAS"/>
    <n v="45383"/>
    <m/>
    <m/>
    <n v="6774.85"/>
    <s v="MT "/>
    <n v="230"/>
    <m/>
    <n v="565"/>
    <m/>
    <m/>
    <m/>
    <m/>
    <m/>
    <m/>
    <m/>
    <m/>
    <m/>
    <m/>
    <m/>
    <s v="DIVINO S.A"/>
    <s v="CONEXAO MALHAS E DESENVOLVIMENTO LTDA"/>
    <n v="11.990884955752213"/>
  </r>
  <r>
    <x v="9"/>
    <x v="3"/>
    <s v="COLCHÃO M.E."/>
    <s v="DIRETO"/>
    <x v="1"/>
    <s v="NADA"/>
    <x v="1"/>
    <n v="52180"/>
    <n v="2054"/>
    <x v="224"/>
    <s v="DIVINO COLCHONES"/>
    <s v="EX "/>
    <s v="Colchão M.E."/>
    <m/>
    <s v="CONEXÃO MALHAS"/>
    <n v="45383"/>
    <m/>
    <m/>
    <n v="9832.52"/>
    <s v="MT "/>
    <n v="280"/>
    <m/>
    <n v="615"/>
    <m/>
    <m/>
    <m/>
    <m/>
    <m/>
    <m/>
    <m/>
    <m/>
    <m/>
    <m/>
    <m/>
    <s v="DIVINO S.A"/>
    <s v="CONEXAO MALHAS E DESENVOLVIMENTO LTDA"/>
    <n v="15.987837398373985"/>
  </r>
  <r>
    <x v="9"/>
    <x v="3"/>
    <s v="COLCHÃO M.E."/>
    <s v="DIRETO"/>
    <x v="1"/>
    <s v="NADA"/>
    <x v="1"/>
    <n v="52180"/>
    <n v="2053"/>
    <x v="225"/>
    <s v="DIVINO COLCHONES"/>
    <s v="EX "/>
    <s v="Colchão M.E."/>
    <m/>
    <s v="CONEXÃO MALHAS"/>
    <n v="45383"/>
    <m/>
    <m/>
    <n v="11653.14"/>
    <s v="MT "/>
    <n v="300"/>
    <m/>
    <n v="686"/>
    <m/>
    <m/>
    <m/>
    <m/>
    <m/>
    <m/>
    <m/>
    <m/>
    <m/>
    <m/>
    <m/>
    <s v="DIVINO S.A"/>
    <s v="CONEXAO MALHAS E DESENVOLVIMENTO LTDA"/>
    <n v="16.987084548104956"/>
  </r>
  <r>
    <x v="9"/>
    <x v="3"/>
    <s v="COLCHÃO M.E."/>
    <s v="DIRETO"/>
    <x v="1"/>
    <s v="NADA"/>
    <x v="1"/>
    <n v="52180"/>
    <n v="1225"/>
    <x v="194"/>
    <s v="DIVINO COLCHONES"/>
    <s v="EX "/>
    <s v="Colchão M.E."/>
    <m/>
    <s v="CONEXÃO MALHAS"/>
    <n v="45383"/>
    <m/>
    <m/>
    <n v="76842.36"/>
    <s v="MT "/>
    <n v="240"/>
    <m/>
    <n v="5196"/>
    <m/>
    <m/>
    <m/>
    <m/>
    <m/>
    <m/>
    <m/>
    <m/>
    <m/>
    <m/>
    <m/>
    <s v="DIVINO S.A"/>
    <s v="CONEXAO MALHAS E DESENVOLVIMENTO LTDA"/>
    <n v="14.788752886836027"/>
  </r>
  <r>
    <x v="9"/>
    <x v="3"/>
    <s v="COLCHÃO M.E."/>
    <s v="DIRETO"/>
    <x v="1"/>
    <s v="NADA"/>
    <x v="1"/>
    <n v="52180"/>
    <n v="1525"/>
    <x v="185"/>
    <s v="DIVINO COLCHONES"/>
    <s v="EX "/>
    <s v="Colchão M.E."/>
    <m/>
    <s v="CONEXÃO MALHAS"/>
    <n v="45383"/>
    <m/>
    <m/>
    <n v="27989.81"/>
    <s v="MT "/>
    <n v="320"/>
    <m/>
    <n v="1486"/>
    <m/>
    <m/>
    <m/>
    <m/>
    <m/>
    <m/>
    <m/>
    <m/>
    <m/>
    <m/>
    <m/>
    <s v="DIVINO S.A"/>
    <s v="CONEXAO MALHAS E DESENVOLVIMENTO LTDA"/>
    <n v="18.835672947510094"/>
  </r>
  <r>
    <x v="9"/>
    <x v="3"/>
    <s v="COLCHÃO M.E."/>
    <s v="DIRETO"/>
    <x v="1"/>
    <s v="NADA"/>
    <x v="1"/>
    <n v="52180"/>
    <n v="1523"/>
    <x v="184"/>
    <s v="DIVINO COLCHONES"/>
    <s v="EX "/>
    <s v="Colchão M.E."/>
    <m/>
    <s v="CONEXÃO MALHAS"/>
    <n v="45383"/>
    <m/>
    <m/>
    <n v="21583.58"/>
    <s v="MT "/>
    <m/>
    <m/>
    <n v="3000"/>
    <m/>
    <m/>
    <m/>
    <m/>
    <m/>
    <m/>
    <m/>
    <m/>
    <m/>
    <m/>
    <m/>
    <s v="DIVINO S.A"/>
    <s v="CONEXAO MALHAS E DESENVOLVIMENTO LTDA"/>
    <n v="7.1945266666666674"/>
  </r>
  <r>
    <x v="9"/>
    <x v="3"/>
    <s v="COLCHÃO M.E."/>
    <s v="DIRETO"/>
    <x v="1"/>
    <s v="NADA"/>
    <x v="1"/>
    <n v="52180"/>
    <n v="1504"/>
    <x v="167"/>
    <s v="DIVINO COLCHONES"/>
    <s v="EX "/>
    <s v="Colchão M.E."/>
    <m/>
    <s v="CONEXÃO MALHAS"/>
    <n v="45383"/>
    <m/>
    <m/>
    <n v="47412.74"/>
    <s v="MT "/>
    <n v="240"/>
    <m/>
    <n v="3206"/>
    <m/>
    <m/>
    <m/>
    <m/>
    <m/>
    <m/>
    <m/>
    <m/>
    <m/>
    <m/>
    <m/>
    <s v="DIVINO S.A"/>
    <s v="CONEXAO MALHAS E DESENVOLVIMENTO LTDA"/>
    <n v="14.788752339363693"/>
  </r>
  <r>
    <x v="9"/>
    <x v="3"/>
    <s v="COLCHÃO M.E."/>
    <s v="DIRETO"/>
    <x v="1"/>
    <s v="NADA"/>
    <x v="1"/>
    <n v="52180"/>
    <n v="1236"/>
    <x v="168"/>
    <s v="DIVINO COLCHONES"/>
    <s v="EX "/>
    <s v="Colchão M.E."/>
    <m/>
    <s v="CONEXÃO MALHAS"/>
    <n v="45383"/>
    <m/>
    <m/>
    <n v="33417.08"/>
    <s v="MT "/>
    <n v="240"/>
    <m/>
    <n v="1911"/>
    <m/>
    <m/>
    <m/>
    <m/>
    <m/>
    <m/>
    <m/>
    <m/>
    <m/>
    <m/>
    <m/>
    <s v="DIVINO S.A"/>
    <s v="CONEXAO MALHAS E DESENVOLVIMENTO LTDA"/>
    <n v="17.486698063840922"/>
  </r>
  <r>
    <x v="9"/>
    <x v="3"/>
    <s v="COLCHÃO M.E."/>
    <s v="DIRETO"/>
    <x v="1"/>
    <s v="NADA"/>
    <x v="1"/>
    <n v="52180"/>
    <n v="1226"/>
    <x v="170"/>
    <s v="DIVINO COLCHONES"/>
    <s v="EX "/>
    <s v="Colchão M.E."/>
    <m/>
    <s v="CONEXÃO MALHAS"/>
    <n v="45383"/>
    <m/>
    <m/>
    <n v="52849.8"/>
    <s v="MT "/>
    <n v="260"/>
    <m/>
    <n v="3526"/>
    <m/>
    <m/>
    <m/>
    <m/>
    <m/>
    <m/>
    <m/>
    <m/>
    <m/>
    <m/>
    <m/>
    <s v="DIVINO S.A"/>
    <s v="CONEXAO MALHAS E DESENVOLVIMENTO LTDA"/>
    <n v="14.988598979013046"/>
  </r>
  <r>
    <x v="9"/>
    <x v="3"/>
    <s v="COLCHÃO M.E."/>
    <s v="DIRETO"/>
    <x v="1"/>
    <s v="NADA"/>
    <x v="1"/>
    <n v="52194"/>
    <n v="1525"/>
    <x v="185"/>
    <s v="DIVINO COLCHONES"/>
    <s v="EX "/>
    <s v="Colchão M.E."/>
    <m/>
    <s v="CONEXÃO MALHAS"/>
    <n v="45384"/>
    <m/>
    <m/>
    <n v="-27930.43"/>
    <s v="MT "/>
    <m/>
    <m/>
    <n v="-1486"/>
    <m/>
    <m/>
    <m/>
    <m/>
    <m/>
    <m/>
    <m/>
    <m/>
    <m/>
    <m/>
    <m/>
    <m/>
    <m/>
    <n v="18.795713324360701"/>
  </r>
  <r>
    <x v="9"/>
    <x v="3"/>
    <s v="COLCHÃO M.E."/>
    <s v="DIRETO"/>
    <x v="1"/>
    <s v="NADA"/>
    <x v="1"/>
    <n v="52194"/>
    <n v="2790"/>
    <x v="293"/>
    <s v="DIVINO COLCHONES"/>
    <s v="EX "/>
    <s v="Colchão M.E."/>
    <m/>
    <s v="CONEXÃO MALHAS"/>
    <n v="45384"/>
    <m/>
    <m/>
    <n v="-5343.77"/>
    <s v="MT "/>
    <m/>
    <m/>
    <n v="-348"/>
    <m/>
    <m/>
    <m/>
    <m/>
    <m/>
    <m/>
    <m/>
    <m/>
    <m/>
    <m/>
    <m/>
    <m/>
    <m/>
    <n v="15.355660919540231"/>
  </r>
  <r>
    <x v="9"/>
    <x v="3"/>
    <s v="COLCHÃO M.E."/>
    <s v="DIRETO"/>
    <x v="1"/>
    <s v="NADA"/>
    <x v="1"/>
    <n v="52194"/>
    <n v="2497"/>
    <x v="278"/>
    <s v="DIVINO COLCHONES"/>
    <s v="EX "/>
    <s v="Colchão M.E."/>
    <m/>
    <s v="CONEXÃO MALHAS"/>
    <n v="45384"/>
    <m/>
    <m/>
    <n v="-6760.47"/>
    <s v="MT "/>
    <m/>
    <m/>
    <n v="-565"/>
    <m/>
    <m/>
    <m/>
    <m/>
    <m/>
    <m/>
    <m/>
    <m/>
    <m/>
    <m/>
    <m/>
    <m/>
    <m/>
    <n v="11.965433628318584"/>
  </r>
  <r>
    <x v="9"/>
    <x v="3"/>
    <s v="COLCHÃO M.E."/>
    <s v="DIRETO"/>
    <x v="1"/>
    <s v="NADA"/>
    <x v="1"/>
    <n v="52194"/>
    <n v="2054"/>
    <x v="224"/>
    <s v="DIVINO COLCHONES"/>
    <s v="EX "/>
    <s v="Colchão M.E."/>
    <m/>
    <s v="CONEXÃO MALHAS"/>
    <n v="45384"/>
    <m/>
    <m/>
    <n v="-9811.66"/>
    <s v="MT "/>
    <m/>
    <m/>
    <n v="-615"/>
    <m/>
    <m/>
    <m/>
    <m/>
    <m/>
    <m/>
    <m/>
    <m/>
    <m/>
    <m/>
    <m/>
    <m/>
    <m/>
    <n v="15.953918699186991"/>
  </r>
  <r>
    <x v="9"/>
    <x v="3"/>
    <s v="COLCHÃO M.E."/>
    <s v="DIRETO"/>
    <x v="1"/>
    <s v="NADA"/>
    <x v="1"/>
    <n v="52194"/>
    <n v="2053"/>
    <x v="225"/>
    <s v="DIVINO COLCHONES"/>
    <s v="EX "/>
    <s v="Colchão M.E."/>
    <m/>
    <s v="CONEXÃO MALHAS"/>
    <n v="45384"/>
    <m/>
    <m/>
    <n v="-11628.41"/>
    <s v="MT "/>
    <m/>
    <m/>
    <n v="-686"/>
    <m/>
    <m/>
    <m/>
    <m/>
    <m/>
    <m/>
    <m/>
    <m/>
    <m/>
    <m/>
    <m/>
    <m/>
    <m/>
    <n v="16.951034985422741"/>
  </r>
  <r>
    <x v="9"/>
    <x v="3"/>
    <s v="COLCHÃO M.E."/>
    <s v="DIRETO"/>
    <x v="1"/>
    <s v="NADA"/>
    <x v="1"/>
    <n v="52194"/>
    <n v="1905"/>
    <x v="193"/>
    <s v="DIVINO COLCHONES"/>
    <s v="EX "/>
    <s v="Colchão M.E."/>
    <m/>
    <s v="CONEXÃO MALHAS"/>
    <n v="45384"/>
    <m/>
    <m/>
    <n v="-8016.84"/>
    <s v="MT "/>
    <m/>
    <m/>
    <n v="-1005"/>
    <m/>
    <m/>
    <m/>
    <m/>
    <m/>
    <m/>
    <m/>
    <m/>
    <m/>
    <m/>
    <m/>
    <m/>
    <m/>
    <n v="7.976955223880597"/>
  </r>
  <r>
    <x v="9"/>
    <x v="3"/>
    <s v="COLCHÃO M.E."/>
    <s v="DIRETO"/>
    <x v="1"/>
    <s v="NADA"/>
    <x v="1"/>
    <n v="52194"/>
    <n v="1504"/>
    <x v="167"/>
    <s v="DIVINO COLCHONES"/>
    <s v="EX "/>
    <s v="Colchão M.E."/>
    <m/>
    <s v="CONEXÃO MALHAS"/>
    <n v="45384"/>
    <m/>
    <m/>
    <n v="-47152.31"/>
    <s v="MT "/>
    <m/>
    <m/>
    <n v="-3206"/>
    <m/>
    <m/>
    <m/>
    <m/>
    <m/>
    <m/>
    <m/>
    <m/>
    <m/>
    <m/>
    <m/>
    <m/>
    <m/>
    <n v="14.70752027448534"/>
  </r>
  <r>
    <x v="9"/>
    <x v="3"/>
    <s v="COLCHÃO M.E."/>
    <s v="DIRETO"/>
    <x v="1"/>
    <s v="NADA"/>
    <x v="1"/>
    <n v="52194"/>
    <n v="1523"/>
    <x v="184"/>
    <s v="DIVINO COLCHONES"/>
    <s v="EX "/>
    <s v="Colchão M.E."/>
    <m/>
    <s v="CONEXÃO MALHAS"/>
    <n v="45384"/>
    <m/>
    <m/>
    <n v="-21537.79"/>
    <s v="MT "/>
    <m/>
    <m/>
    <n v="-3000"/>
    <m/>
    <m/>
    <m/>
    <m/>
    <m/>
    <m/>
    <m/>
    <m/>
    <m/>
    <m/>
    <m/>
    <m/>
    <m/>
    <n v="7.179263333333334"/>
  </r>
  <r>
    <x v="9"/>
    <x v="3"/>
    <s v="COLCHÃO M.E."/>
    <s v="DIRETO"/>
    <x v="1"/>
    <s v="NADA"/>
    <x v="1"/>
    <n v="52194"/>
    <n v="1236"/>
    <x v="168"/>
    <s v="DIVINO COLCHONES"/>
    <s v="EX "/>
    <s v="Colchão M.E."/>
    <m/>
    <s v="CONEXÃO MALHAS"/>
    <n v="45384"/>
    <m/>
    <m/>
    <n v="-26575.74"/>
    <s v="MT "/>
    <m/>
    <m/>
    <n v="-1523"/>
    <m/>
    <m/>
    <m/>
    <m/>
    <m/>
    <m/>
    <m/>
    <m/>
    <m/>
    <m/>
    <m/>
    <m/>
    <m/>
    <n v="17.449599474720948"/>
  </r>
  <r>
    <x v="9"/>
    <x v="3"/>
    <s v="COLCHÃO M.E."/>
    <s v="DIRETO"/>
    <x v="1"/>
    <s v="NADA"/>
    <x v="1"/>
    <n v="52194"/>
    <n v="1236"/>
    <x v="168"/>
    <s v="DIVINO COLCHONES"/>
    <s v="EX "/>
    <s v="Colchão M.E."/>
    <m/>
    <s v="CONEXÃO MALHAS"/>
    <n v="45384"/>
    <m/>
    <m/>
    <n v="-6770.44"/>
    <s v="MT "/>
    <m/>
    <m/>
    <n v="-388"/>
    <m/>
    <m/>
    <m/>
    <m/>
    <m/>
    <m/>
    <m/>
    <m/>
    <m/>
    <m/>
    <m/>
    <m/>
    <m/>
    <n v="17.449587628865977"/>
  </r>
  <r>
    <x v="9"/>
    <x v="3"/>
    <s v="COLCHÃO M.E."/>
    <s v="DIRETO"/>
    <x v="1"/>
    <s v="NADA"/>
    <x v="1"/>
    <n v="52194"/>
    <n v="1226"/>
    <x v="170"/>
    <s v="DIVINO COLCHONES"/>
    <s v="EX "/>
    <s v="Colchão M.E."/>
    <m/>
    <s v="CONEXÃO MALHAS"/>
    <n v="45384"/>
    <m/>
    <m/>
    <n v="-47652.36"/>
    <s v="MT "/>
    <m/>
    <m/>
    <n v="-3186"/>
    <m/>
    <m/>
    <m/>
    <m/>
    <m/>
    <m/>
    <m/>
    <m/>
    <m/>
    <m/>
    <m/>
    <m/>
    <m/>
    <n v="14.956798493408662"/>
  </r>
  <r>
    <x v="9"/>
    <x v="3"/>
    <s v="COLCHÃO M.E."/>
    <s v="DIRETO"/>
    <x v="1"/>
    <s v="NADA"/>
    <x v="1"/>
    <n v="52194"/>
    <n v="1226"/>
    <x v="170"/>
    <s v="DIVINO COLCHONES"/>
    <s v="EX "/>
    <s v="Colchão M.E."/>
    <m/>
    <s v="CONEXÃO MALHAS"/>
    <n v="45384"/>
    <m/>
    <m/>
    <n v="-5085.3100000000004"/>
    <s v="MT "/>
    <m/>
    <m/>
    <n v="-340"/>
    <m/>
    <m/>
    <m/>
    <m/>
    <m/>
    <m/>
    <m/>
    <m/>
    <m/>
    <m/>
    <m/>
    <m/>
    <m/>
    <n v="14.95679411764706"/>
  </r>
  <r>
    <x v="9"/>
    <x v="3"/>
    <s v="COLCHÃO M.E."/>
    <s v="DIRETO"/>
    <x v="1"/>
    <s v="NADA"/>
    <x v="1"/>
    <n v="52194"/>
    <n v="1225"/>
    <x v="194"/>
    <s v="DIVINO COLCHONES"/>
    <s v="EX "/>
    <s v="Colchão M.E."/>
    <m/>
    <s v="CONEXÃO MALHAS"/>
    <n v="45384"/>
    <m/>
    <m/>
    <n v="-76679.33"/>
    <s v="MT "/>
    <m/>
    <m/>
    <n v="-5196"/>
    <m/>
    <m/>
    <m/>
    <m/>
    <m/>
    <m/>
    <m/>
    <m/>
    <m/>
    <m/>
    <m/>
    <m/>
    <m/>
    <n v="14.757376828329484"/>
  </r>
  <r>
    <x v="9"/>
    <x v="3"/>
    <s v="COLCHÃO M.E."/>
    <s v="DIRETO"/>
    <x v="9"/>
    <s v="NADA"/>
    <x v="2"/>
    <n v="52192"/>
    <n v="1419"/>
    <x v="234"/>
    <s v="FLEX CHILE"/>
    <s v="EX "/>
    <s v="Colchão M.E."/>
    <m/>
    <s v="DIRETO"/>
    <n v="45384"/>
    <m/>
    <m/>
    <n v="-6743.54"/>
    <s v="MT "/>
    <n v="180"/>
    <m/>
    <n v="-601"/>
    <m/>
    <m/>
    <m/>
    <m/>
    <m/>
    <m/>
    <m/>
    <m/>
    <m/>
    <m/>
    <m/>
    <m/>
    <m/>
    <n v="11.22053244592346"/>
  </r>
  <r>
    <x v="9"/>
    <x v="3"/>
    <s v="COLCHÃO M.E."/>
    <s v="DIRETO"/>
    <x v="9"/>
    <s v="NADA"/>
    <x v="2"/>
    <n v="52192"/>
    <n v="1419"/>
    <x v="234"/>
    <s v="FLEX CHILE"/>
    <s v="EX "/>
    <s v="Colchão M.E."/>
    <m/>
    <s v="DIRETO"/>
    <n v="45384"/>
    <m/>
    <m/>
    <n v="-46217.34"/>
    <s v="MT "/>
    <n v="180"/>
    <m/>
    <n v="-4119"/>
    <m/>
    <m/>
    <m/>
    <m/>
    <m/>
    <m/>
    <m/>
    <m/>
    <m/>
    <m/>
    <m/>
    <m/>
    <m/>
    <n v="11.220524399126001"/>
  </r>
  <r>
    <x v="9"/>
    <x v="3"/>
    <s v="COLCHÃO M.E."/>
    <s v="DIRETO"/>
    <x v="9"/>
    <s v="NADA"/>
    <x v="2"/>
    <n v="52192"/>
    <n v="1422"/>
    <x v="232"/>
    <s v="FLEX CHILE"/>
    <s v="EX "/>
    <s v="Colchão M.E."/>
    <m/>
    <s v="DIRETO"/>
    <n v="45384"/>
    <m/>
    <m/>
    <n v="-35211.75"/>
    <s v="MT "/>
    <n v="240"/>
    <m/>
    <n v="-2495"/>
    <m/>
    <m/>
    <m/>
    <m/>
    <m/>
    <m/>
    <m/>
    <m/>
    <m/>
    <m/>
    <m/>
    <m/>
    <m/>
    <n v="14.112925851703407"/>
  </r>
  <r>
    <x v="9"/>
    <x v="3"/>
    <s v="COLCHÃO M.E."/>
    <s v="DIRETO"/>
    <x v="9"/>
    <s v="NADA"/>
    <x v="2"/>
    <n v="52184"/>
    <n v="1422"/>
    <x v="232"/>
    <s v="FLEX CHILE"/>
    <s v="EX "/>
    <s v="Colchão M.E."/>
    <m/>
    <s v="DIRETO"/>
    <n v="45384"/>
    <m/>
    <m/>
    <n v="35679.89"/>
    <s v="MT "/>
    <n v="240"/>
    <m/>
    <n v="2495"/>
    <m/>
    <m/>
    <m/>
    <m/>
    <m/>
    <m/>
    <m/>
    <m/>
    <m/>
    <m/>
    <m/>
    <s v="FLEX CHILE"/>
    <s v="CARLOS FIDENCIO D AVALOS RUIZ JUNIOR 34496952823"/>
    <n v="14.300557114228457"/>
  </r>
  <r>
    <x v="9"/>
    <x v="3"/>
    <s v="COLCHÃO M.E."/>
    <s v="DIRETO"/>
    <x v="9"/>
    <s v="NADA"/>
    <x v="2"/>
    <n v="52184"/>
    <n v="1419"/>
    <x v="234"/>
    <s v="FLEX CHILE"/>
    <s v="EX "/>
    <s v="Colchão M.E."/>
    <m/>
    <s v="DIRETO"/>
    <n v="45384"/>
    <m/>
    <m/>
    <n v="53664.98"/>
    <s v="MT "/>
    <n v="180"/>
    <m/>
    <n v="4720"/>
    <m/>
    <m/>
    <m/>
    <m/>
    <m/>
    <m/>
    <m/>
    <m/>
    <m/>
    <m/>
    <m/>
    <s v="FLEX CHILE"/>
    <s v="CARLOS FIDENCIO D AVALOS RUIZ JUNIOR 34496952823"/>
    <n v="11.369699152542374"/>
  </r>
  <r>
    <x v="9"/>
    <x v="3"/>
    <s v="COLCHÃO M.E."/>
    <s v="DIRETO"/>
    <x v="25"/>
    <s v="NADA"/>
    <x v="3"/>
    <n v="52356"/>
    <n v="1706"/>
    <x v="165"/>
    <s v="AGT AMERICAN GARMENT TEXTIL"/>
    <m/>
    <s v="Colchão M.E."/>
    <m/>
    <s v="DIRETO"/>
    <n v="45398"/>
    <m/>
    <m/>
    <n v="125278.33"/>
    <s v="MT "/>
    <m/>
    <m/>
    <n v="18124"/>
    <m/>
    <m/>
    <m/>
    <m/>
    <m/>
    <m/>
    <m/>
    <m/>
    <m/>
    <m/>
    <m/>
    <s v="AGT AMERICAN GARMENT TEXTIL"/>
    <s v="CONEXAO MALHAS E DESENVOLVIMENTO LTDA"/>
    <n v="6.9122892297506073"/>
  </r>
  <r>
    <x v="9"/>
    <x v="3"/>
    <s v="COLCHÃO M.E."/>
    <s v="DIRETO"/>
    <x v="25"/>
    <s v="NADA"/>
    <x v="3"/>
    <n v="52399"/>
    <n v="1706"/>
    <x v="165"/>
    <s v="AGT AMERICAN GARMENT TEXTIL"/>
    <m/>
    <s v="Colchão M.E."/>
    <m/>
    <s v="DIRETO"/>
    <n v="45400"/>
    <m/>
    <m/>
    <n v="127041.12"/>
    <s v="MT "/>
    <m/>
    <m/>
    <n v="18124"/>
    <m/>
    <m/>
    <m/>
    <m/>
    <m/>
    <m/>
    <m/>
    <m/>
    <m/>
    <m/>
    <m/>
    <s v="AGT AMERICAN GARMENT TEXTIL"/>
    <s v="CARLOS FIDENCIO D AVALOS RUIZ JUNIOR 34496952823"/>
    <n v="7.0095519752813944"/>
  </r>
  <r>
    <x v="9"/>
    <x v="3"/>
    <s v="COLCHÃO M.E."/>
    <s v="DIRETO"/>
    <x v="25"/>
    <s v="NADA"/>
    <x v="3"/>
    <n v="52402"/>
    <n v="1706"/>
    <x v="165"/>
    <s v="AGT AMERICAN GARMENT TEXTIL"/>
    <m/>
    <s v="Colchão M.E."/>
    <m/>
    <s v="DIRETO"/>
    <n v="45400"/>
    <m/>
    <m/>
    <n v="127041.12"/>
    <s v="MT "/>
    <m/>
    <m/>
    <n v="18124"/>
    <m/>
    <m/>
    <m/>
    <m/>
    <m/>
    <m/>
    <m/>
    <m/>
    <m/>
    <m/>
    <m/>
    <s v="AGT AMERICAN GARMENT TEXTIL"/>
    <s v="CARLOS FIDENCIO D AVALOS RUIZ JUNIOR 34496952823"/>
    <n v="7.0095519752813944"/>
  </r>
  <r>
    <x v="9"/>
    <x v="3"/>
    <s v="COLCHÃO M.E."/>
    <s v="DIRETO"/>
    <x v="25"/>
    <s v="NADA"/>
    <x v="3"/>
    <n v="52406"/>
    <n v="1706"/>
    <x v="165"/>
    <s v="AGT AMERICAN GARMENT TEXTIL"/>
    <m/>
    <s v="Colchão M.E."/>
    <m/>
    <s v="DIRETO"/>
    <n v="45400"/>
    <m/>
    <m/>
    <n v="127041.12"/>
    <s v="MT "/>
    <m/>
    <m/>
    <n v="18124"/>
    <m/>
    <m/>
    <m/>
    <m/>
    <m/>
    <m/>
    <m/>
    <m/>
    <m/>
    <m/>
    <m/>
    <s v="AGT AMERICAN GARMENT TEXTIL"/>
    <s v="CARLOS FIDENCIO D AVALOS RUIZ JUNIOR 34496952823"/>
    <n v="7.0095519752813944"/>
  </r>
  <r>
    <x v="9"/>
    <x v="3"/>
    <s v="COLCHÃO M.E."/>
    <s v="DIRETO"/>
    <x v="25"/>
    <s v="NADA"/>
    <x v="3"/>
    <n v="52401"/>
    <n v="1706"/>
    <x v="165"/>
    <s v="AGT AMERICAN GARMENT TEXTIL"/>
    <m/>
    <s v="Colchão M.E."/>
    <m/>
    <s v="DIRETO"/>
    <n v="45400"/>
    <m/>
    <m/>
    <n v="-127041.12"/>
    <s v="MT "/>
    <m/>
    <m/>
    <n v="-18124"/>
    <m/>
    <m/>
    <m/>
    <m/>
    <m/>
    <m/>
    <m/>
    <m/>
    <m/>
    <m/>
    <m/>
    <m/>
    <m/>
    <n v="7.0095519752813944"/>
  </r>
  <r>
    <x v="9"/>
    <x v="3"/>
    <s v="COLCHÃO M.E."/>
    <s v="DIRETO"/>
    <x v="25"/>
    <s v="NADA"/>
    <x v="3"/>
    <n v="52397"/>
    <n v="1706"/>
    <x v="165"/>
    <s v="AGT AMERICAN GARMENT TEXTIL"/>
    <m/>
    <s v="Colchão M.E."/>
    <m/>
    <s v="DIRETO"/>
    <n v="45398"/>
    <m/>
    <m/>
    <n v="-125278.33"/>
    <s v="MT "/>
    <m/>
    <m/>
    <n v="-18124"/>
    <m/>
    <m/>
    <m/>
    <m/>
    <m/>
    <m/>
    <m/>
    <m/>
    <m/>
    <m/>
    <m/>
    <m/>
    <m/>
    <n v="6.9122892297506073"/>
  </r>
  <r>
    <x v="9"/>
    <x v="3"/>
    <s v="COLCHÃO M.E."/>
    <s v="DIRETO"/>
    <x v="19"/>
    <s v="NADA"/>
    <x v="2"/>
    <n v="52426"/>
    <n v="2807"/>
    <x v="298"/>
    <s v="MUEBLES MPR SPA"/>
    <s v="EX"/>
    <s v="Colchão M.E."/>
    <m/>
    <s v="DIRETO"/>
    <n v="45401"/>
    <m/>
    <m/>
    <n v="16835.71"/>
    <s v="UN "/>
    <m/>
    <m/>
    <n v="63"/>
    <m/>
    <m/>
    <m/>
    <m/>
    <m/>
    <m/>
    <m/>
    <m/>
    <m/>
    <m/>
    <m/>
    <s v="MUEBLES MPR SPA"/>
    <s v="CARLOS FIDENCIO D AVALOS RUIZ JUNIOR 34496952823"/>
    <n v="267.23349206349206"/>
  </r>
  <r>
    <x v="9"/>
    <x v="3"/>
    <s v="COLCHÃO M.E."/>
    <s v="DIRETO"/>
    <x v="19"/>
    <s v="NADA"/>
    <x v="2"/>
    <n v="52426"/>
    <n v="2811"/>
    <x v="299"/>
    <s v="MUEBLES MPR SPA"/>
    <s v="EX"/>
    <s v="Colchão M.E."/>
    <m/>
    <s v="DIRETO"/>
    <n v="45401"/>
    <m/>
    <m/>
    <n v="2697.17"/>
    <s v="UN "/>
    <m/>
    <m/>
    <n v="13"/>
    <m/>
    <m/>
    <m/>
    <m/>
    <m/>
    <m/>
    <m/>
    <m/>
    <m/>
    <m/>
    <m/>
    <s v="MUEBLES MPR SPA"/>
    <s v="CARLOS FIDENCIO D AVALOS RUIZ JUNIOR 34496952823"/>
    <n v="207.47461538461539"/>
  </r>
  <r>
    <x v="9"/>
    <x v="3"/>
    <s v="COLCHÃO M.E."/>
    <s v="DIRETO"/>
    <x v="19"/>
    <s v="NADA"/>
    <x v="2"/>
    <n v="52426"/>
    <n v="2810"/>
    <x v="300"/>
    <s v="MUEBLES MPR SPA"/>
    <s v="EX"/>
    <s v="Colchão M.E."/>
    <m/>
    <s v="DIRETO"/>
    <n v="45401"/>
    <m/>
    <m/>
    <n v="2443.38"/>
    <s v="UN "/>
    <m/>
    <m/>
    <n v="11"/>
    <m/>
    <m/>
    <m/>
    <m/>
    <m/>
    <m/>
    <m/>
    <m/>
    <m/>
    <m/>
    <m/>
    <s v="MUEBLES MPR SPA"/>
    <s v="CARLOS FIDENCIO D AVALOS RUIZ JUNIOR 34496952823"/>
    <n v="222.12545454545455"/>
  </r>
  <r>
    <x v="9"/>
    <x v="3"/>
    <s v="COLCHÃO M.E."/>
    <s v="DIRETO"/>
    <x v="19"/>
    <s v="NADA"/>
    <x v="2"/>
    <n v="52426"/>
    <n v="2809"/>
    <x v="301"/>
    <s v="MUEBLES MPR SPA"/>
    <s v="EX"/>
    <s v="Colchão M.E."/>
    <m/>
    <s v="DIRETO"/>
    <n v="45401"/>
    <m/>
    <m/>
    <n v="3733.6"/>
    <s v="UN "/>
    <m/>
    <m/>
    <n v="10"/>
    <m/>
    <m/>
    <m/>
    <m/>
    <m/>
    <m/>
    <m/>
    <m/>
    <m/>
    <m/>
    <m/>
    <s v="MUEBLES MPR SPA"/>
    <s v="CARLOS FIDENCIO D AVALOS RUIZ JUNIOR 34496952823"/>
    <n v="373.36"/>
  </r>
  <r>
    <x v="9"/>
    <x v="3"/>
    <s v="COLCHÃO M.E."/>
    <s v="DIRETO"/>
    <x v="19"/>
    <s v="NADA"/>
    <x v="2"/>
    <n v="52426"/>
    <n v="2808"/>
    <x v="302"/>
    <s v="MUEBLES MPR SPA"/>
    <s v="EX"/>
    <s v="Colchão M.E."/>
    <m/>
    <s v="DIRETO"/>
    <n v="45401"/>
    <m/>
    <m/>
    <n v="6174.36"/>
    <s v="UN "/>
    <m/>
    <m/>
    <n v="20"/>
    <m/>
    <m/>
    <m/>
    <m/>
    <m/>
    <m/>
    <m/>
    <m/>
    <m/>
    <m/>
    <m/>
    <s v="MUEBLES MPR SPA"/>
    <s v="CARLOS FIDENCIO D AVALOS RUIZ JUNIOR 34496952823"/>
    <n v="308.71799999999996"/>
  </r>
  <r>
    <x v="9"/>
    <x v="3"/>
    <s v="COLCHÃO M.E."/>
    <s v="DIRETO"/>
    <x v="19"/>
    <s v="NADA"/>
    <x v="2"/>
    <n v="52426"/>
    <n v="2804"/>
    <x v="303"/>
    <s v="MUEBLES MPR SPA"/>
    <s v="EX"/>
    <s v="Colchão M.E."/>
    <m/>
    <s v="DIRETO"/>
    <n v="45401"/>
    <m/>
    <m/>
    <n v="4106.96"/>
    <s v="UN "/>
    <m/>
    <m/>
    <n v="11"/>
    <m/>
    <m/>
    <m/>
    <m/>
    <m/>
    <m/>
    <m/>
    <m/>
    <m/>
    <m/>
    <m/>
    <s v="MUEBLES MPR SPA"/>
    <s v="CARLOS FIDENCIO D AVALOS RUIZ JUNIOR 34496952823"/>
    <n v="373.36"/>
  </r>
  <r>
    <x v="9"/>
    <x v="3"/>
    <s v="COLCHÃO M.E."/>
    <s v="DIRETO"/>
    <x v="19"/>
    <s v="NADA"/>
    <x v="2"/>
    <n v="52426"/>
    <n v="2806"/>
    <x v="304"/>
    <s v="MUEBLES MPR SPA"/>
    <s v="EX"/>
    <s v="Colchão M.E."/>
    <m/>
    <s v="DIRETO"/>
    <n v="45401"/>
    <m/>
    <m/>
    <n v="2282.2199999999998"/>
    <s v="UN "/>
    <m/>
    <m/>
    <n v="11"/>
    <m/>
    <m/>
    <m/>
    <m/>
    <m/>
    <m/>
    <m/>
    <m/>
    <m/>
    <m/>
    <m/>
    <s v="MUEBLES MPR SPA"/>
    <s v="CARLOS FIDENCIO D AVALOS RUIZ JUNIOR 34496952823"/>
    <n v="207.47454545454545"/>
  </r>
  <r>
    <x v="9"/>
    <x v="3"/>
    <s v="COLCHÃO M.E."/>
    <s v="DIRETO"/>
    <x v="19"/>
    <s v="NADA"/>
    <x v="2"/>
    <n v="52426"/>
    <n v="2805"/>
    <x v="305"/>
    <s v="MUEBLES MPR SPA"/>
    <s v="EX"/>
    <s v="Colchão M.E."/>
    <m/>
    <s v="DIRETO"/>
    <n v="45401"/>
    <m/>
    <m/>
    <n v="2443.38"/>
    <s v="UN "/>
    <m/>
    <m/>
    <n v="11"/>
    <m/>
    <m/>
    <m/>
    <m/>
    <m/>
    <m/>
    <m/>
    <m/>
    <m/>
    <m/>
    <m/>
    <s v="MUEBLES MPR SPA"/>
    <s v="CARLOS FIDENCIO D AVALOS RUIZ JUNIOR 34496952823"/>
    <n v="222.12545454545455"/>
  </r>
  <r>
    <x v="9"/>
    <x v="3"/>
    <s v="COLCHÃO M.E."/>
    <s v="DIRETO"/>
    <x v="19"/>
    <s v="NADA"/>
    <x v="2"/>
    <n v="52426"/>
    <n v="2803"/>
    <x v="306"/>
    <s v="MUEBLES MPR SPA"/>
    <s v="EX"/>
    <s v="Colchão M.E."/>
    <m/>
    <s v="DIRETO"/>
    <n v="45401"/>
    <m/>
    <m/>
    <n v="8644.11"/>
    <s v="UN "/>
    <m/>
    <m/>
    <n v="28"/>
    <m/>
    <m/>
    <m/>
    <m/>
    <m/>
    <m/>
    <m/>
    <m/>
    <m/>
    <m/>
    <m/>
    <s v="MUEBLES MPR SPA"/>
    <s v="CARLOS FIDENCIO D AVALOS RUIZ JUNIOR 34496952823"/>
    <n v="308.71821428571428"/>
  </r>
  <r>
    <x v="9"/>
    <x v="3"/>
    <s v="COLCHÃO M.E."/>
    <s v="DIRETO"/>
    <x v="19"/>
    <s v="NADA"/>
    <x v="2"/>
    <n v="52426"/>
    <n v="2802"/>
    <x v="307"/>
    <s v="MUEBLES MPR SPA"/>
    <s v="EX"/>
    <s v="Colchão M.E."/>
    <m/>
    <s v="DIRETO"/>
    <n v="45401"/>
    <m/>
    <m/>
    <n v="12025.51"/>
    <s v="UN "/>
    <m/>
    <m/>
    <n v="45"/>
    <m/>
    <m/>
    <m/>
    <m/>
    <m/>
    <m/>
    <m/>
    <m/>
    <m/>
    <m/>
    <m/>
    <s v="MUEBLES MPR SPA"/>
    <s v="CARLOS FIDENCIO D AVALOS RUIZ JUNIOR 34496952823"/>
    <n v="267.23355555555554"/>
  </r>
  <r>
    <x v="9"/>
    <x v="3"/>
    <s v="COLCHÃO M.E."/>
    <s v="DIRETO"/>
    <x v="25"/>
    <s v="NADA"/>
    <x v="3"/>
    <n v="52402"/>
    <n v="1706"/>
    <x v="165"/>
    <s v="AGT AMERICAN GARMENT TEXTIL"/>
    <m/>
    <s v="Colchão M.E."/>
    <m/>
    <s v="DIRETO"/>
    <n v="45400"/>
    <m/>
    <m/>
    <n v="-127041.12"/>
    <s v="MT "/>
    <m/>
    <m/>
    <n v="-18124"/>
    <m/>
    <m/>
    <m/>
    <m/>
    <m/>
    <m/>
    <m/>
    <m/>
    <m/>
    <m/>
    <m/>
    <m/>
    <m/>
    <n v="7.0095519752813944"/>
  </r>
  <r>
    <x v="9"/>
    <x v="3"/>
    <s v="COLCHÃO M.E."/>
    <s v="DIRETO"/>
    <x v="1"/>
    <s v="NADA"/>
    <x v="1"/>
    <n v="52529"/>
    <n v="2054"/>
    <x v="224"/>
    <s v="DIVINO COLCHONES"/>
    <s v="EX"/>
    <s v="Colchão M.E."/>
    <m/>
    <s v="CONEXÃO MALHAS"/>
    <n v="45412"/>
    <m/>
    <m/>
    <n v="27108.06"/>
    <s v="MT "/>
    <n v="280"/>
    <m/>
    <n v="1656"/>
    <m/>
    <m/>
    <m/>
    <m/>
    <m/>
    <m/>
    <m/>
    <m/>
    <m/>
    <m/>
    <m/>
    <s v="DIVINO S.A"/>
    <s v="CONEXAO MALHAS E DESENVOLVIMENTO LTDA"/>
    <n v="16.369601449275365"/>
  </r>
  <r>
    <x v="9"/>
    <x v="3"/>
    <s v="COLCHÃO M.E."/>
    <s v="DIRETO"/>
    <x v="1"/>
    <s v="NADA"/>
    <x v="1"/>
    <n v="52529"/>
    <n v="2157"/>
    <x v="230"/>
    <s v="DIVINO COLCHONES"/>
    <s v="EX"/>
    <s v="Colchão M.E."/>
    <m/>
    <s v="CONEXÃO MALHAS"/>
    <n v="45412"/>
    <m/>
    <m/>
    <n v="29398.52"/>
    <s v="MT "/>
    <n v="300"/>
    <m/>
    <n v="1215"/>
    <m/>
    <m/>
    <m/>
    <m/>
    <m/>
    <m/>
    <m/>
    <m/>
    <m/>
    <m/>
    <m/>
    <s v="DIVINO S.A"/>
    <s v="CONEXAO MALHAS E DESENVOLVIMENTO LTDA"/>
    <n v="24.196312757201646"/>
  </r>
  <r>
    <x v="9"/>
    <x v="3"/>
    <s v="COLCHÃO M.E."/>
    <s v="DIRETO"/>
    <x v="1"/>
    <s v="NADA"/>
    <x v="1"/>
    <n v="52529"/>
    <n v="1525"/>
    <x v="185"/>
    <s v="DIVINO COLCHONES"/>
    <s v="EX"/>
    <s v="Colchão M.E."/>
    <m/>
    <s v="CONEXÃO MALHAS"/>
    <n v="45412"/>
    <m/>
    <m/>
    <n v="57844.73"/>
    <s v="MT "/>
    <n v="320"/>
    <m/>
    <n v="2999.4"/>
    <m/>
    <m/>
    <m/>
    <m/>
    <m/>
    <m/>
    <m/>
    <m/>
    <m/>
    <m/>
    <m/>
    <s v="DIVINO S.A"/>
    <s v="CONEXAO MALHAS E DESENVOLVIMENTO LTDA"/>
    <n v="19.285433753417351"/>
  </r>
  <r>
    <x v="9"/>
    <x v="3"/>
    <s v="COLCHÃO M.E."/>
    <s v="DIRETO"/>
    <x v="1"/>
    <s v="NADA"/>
    <x v="1"/>
    <n v="52529"/>
    <n v="2496"/>
    <x v="277"/>
    <s v="DIVINO COLCHONES"/>
    <s v="EX"/>
    <s v="Colchão M.E."/>
    <m/>
    <s v="CONEXÃO MALHAS"/>
    <n v="45412"/>
    <m/>
    <m/>
    <n v="11902.75"/>
    <s v="MT "/>
    <n v="310"/>
    <m/>
    <n v="554"/>
    <m/>
    <m/>
    <m/>
    <m/>
    <m/>
    <m/>
    <m/>
    <m/>
    <m/>
    <m/>
    <m/>
    <s v="DIVINO S.A"/>
    <s v="CONEXAO MALHAS E DESENVOLVIMENTO LTDA"/>
    <n v="21.485108303249099"/>
  </r>
  <r>
    <x v="9"/>
    <x v="3"/>
    <s v="COLCHÃO M.E."/>
    <s v="DIRETO"/>
    <x v="1"/>
    <s v="NADA"/>
    <x v="1"/>
    <n v="52529"/>
    <n v="3009"/>
    <x v="308"/>
    <s v="DIVINO COLCHONES"/>
    <s v="EX"/>
    <s v="Colchão M.E."/>
    <m/>
    <s v="CONEXÃO MALHAS"/>
    <n v="45412"/>
    <m/>
    <m/>
    <n v="11746.21"/>
    <s v="MT "/>
    <n v="300"/>
    <m/>
    <n v="534"/>
    <m/>
    <m/>
    <m/>
    <m/>
    <m/>
    <m/>
    <m/>
    <m/>
    <m/>
    <m/>
    <m/>
    <s v="DIVINO S.A"/>
    <s v="CONEXAO MALHAS E DESENVOLVIMENTO LTDA"/>
    <n v="21.996647940074904"/>
  </r>
  <r>
    <x v="9"/>
    <x v="3"/>
    <s v="COLCHÃO M.E."/>
    <s v="DIRETO"/>
    <x v="1"/>
    <s v="NADA"/>
    <x v="1"/>
    <n v="52529"/>
    <n v="1226"/>
    <x v="170"/>
    <s v="DIVINO COLCHONES"/>
    <s v="EX"/>
    <s v="Colchão M.E."/>
    <m/>
    <s v="CONEXÃO MALHAS"/>
    <n v="45412"/>
    <m/>
    <m/>
    <n v="23802.42"/>
    <s v="MT "/>
    <n v="260"/>
    <m/>
    <n v="1551"/>
    <m/>
    <m/>
    <m/>
    <m/>
    <m/>
    <m/>
    <m/>
    <m/>
    <m/>
    <m/>
    <m/>
    <s v="DIVINO S.A"/>
    <s v="CONEXAO MALHAS E DESENVOLVIMENTO LTDA"/>
    <n v="15.34649903288201"/>
  </r>
  <r>
    <x v="9"/>
    <x v="3"/>
    <s v="COLCHÃO M.E."/>
    <s v="DIRETO"/>
    <x v="1"/>
    <s v="NADA"/>
    <x v="1"/>
    <n v="52529"/>
    <n v="1506"/>
    <x v="162"/>
    <s v="DIVINO COLCHONES"/>
    <s v="EX"/>
    <s v="Colchão M.E."/>
    <m/>
    <s v="CONEXÃO MALHAS"/>
    <n v="45412"/>
    <m/>
    <m/>
    <n v="50830.17"/>
    <s v="MT "/>
    <n v="280"/>
    <m/>
    <n v="2839"/>
    <m/>
    <m/>
    <m/>
    <m/>
    <m/>
    <m/>
    <m/>
    <m/>
    <m/>
    <m/>
    <m/>
    <s v="DIVINO S.A"/>
    <s v="CONEXAO MALHAS E DESENVOLVIMENTO LTDA"/>
    <n v="17.904251497005987"/>
  </r>
  <r>
    <x v="9"/>
    <x v="3"/>
    <s v="COLCHÃO M.E."/>
    <s v="DIRETO"/>
    <x v="1"/>
    <s v="NADA"/>
    <x v="1"/>
    <n v="52529"/>
    <n v="1504"/>
    <x v="167"/>
    <s v="DIVINO COLCHONES"/>
    <s v="EX"/>
    <s v="Colchão M.E."/>
    <m/>
    <s v="CONEXÃO MALHAS"/>
    <n v="45412"/>
    <m/>
    <m/>
    <n v="52633.17"/>
    <s v="MT "/>
    <n v="240"/>
    <m/>
    <n v="3476"/>
    <m/>
    <m/>
    <m/>
    <m/>
    <m/>
    <m/>
    <m/>
    <m/>
    <m/>
    <m/>
    <m/>
    <s v="DIVINO S.A"/>
    <s v="CONEXAO MALHAS E DESENVOLVIMENTO LTDA"/>
    <n v="15.141878596087457"/>
  </r>
  <r>
    <x v="9"/>
    <x v="3"/>
    <s v="COLCHÃO M.E."/>
    <s v="DIRETO"/>
    <x v="1"/>
    <s v="NADA"/>
    <x v="1"/>
    <n v="52529"/>
    <n v="1236"/>
    <x v="168"/>
    <s v="DIVINO COLCHONES"/>
    <s v="EX"/>
    <s v="Colchão M.E."/>
    <m/>
    <s v="CONEXÃO MALHAS"/>
    <n v="45412"/>
    <m/>
    <m/>
    <n v="43990.74"/>
    <s v="MT "/>
    <n v="240"/>
    <m/>
    <n v="2457"/>
    <m/>
    <m/>
    <m/>
    <m/>
    <m/>
    <m/>
    <m/>
    <m/>
    <m/>
    <m/>
    <m/>
    <s v="DIVINO S.A"/>
    <s v="CONEXAO MALHAS E DESENVOLVIMENTO LTDA"/>
    <n v="17.904249084249084"/>
  </r>
  <r>
    <x v="9"/>
    <x v="3"/>
    <s v="COLCHÃO M.E."/>
    <s v="DIRETO"/>
    <x v="1"/>
    <s v="NADA"/>
    <x v="1"/>
    <n v="52529"/>
    <n v="1225"/>
    <x v="194"/>
    <s v="DIVINO COLCHONES"/>
    <s v="EX"/>
    <s v="Colchão M.E."/>
    <m/>
    <s v="CONEXÃO MALHAS"/>
    <n v="45412"/>
    <m/>
    <m/>
    <n v="48393.45"/>
    <s v="MT "/>
    <n v="240"/>
    <m/>
    <n v="3196"/>
    <m/>
    <m/>
    <m/>
    <m/>
    <m/>
    <m/>
    <m/>
    <m/>
    <m/>
    <m/>
    <m/>
    <s v="DIVINO S.A"/>
    <s v="CONEXAO MALHAS E DESENVOLVIMENTO LTDA"/>
    <n v="15.141880475594492"/>
  </r>
  <r>
    <x v="9"/>
    <x v="3"/>
    <s v="COLCHÃO M.E."/>
    <s v="DIRETO"/>
    <x v="1"/>
    <s v="NADA"/>
    <x v="1"/>
    <n v="52546"/>
    <n v="1905"/>
    <x v="193"/>
    <s v="DIVINO COLCHONES"/>
    <s v="EX"/>
    <s v="Colchão M.E."/>
    <m/>
    <s v="CONEXÃO MALHAS"/>
    <n v="45412"/>
    <m/>
    <m/>
    <n v="4583.49"/>
    <s v="MT "/>
    <m/>
    <m/>
    <n v="560"/>
    <m/>
    <m/>
    <m/>
    <m/>
    <m/>
    <m/>
    <m/>
    <m/>
    <m/>
    <m/>
    <m/>
    <s v="DIVINO S.A"/>
    <s v="CONEXAO MALHAS E DESENVOLVIMENTO LTDA"/>
    <n v="8.1848035714285707"/>
  </r>
  <r>
    <x v="9"/>
    <x v="3"/>
    <s v="COLCHÃO M.E."/>
    <s v="DIRETO"/>
    <x v="1"/>
    <s v="NADA"/>
    <x v="1"/>
    <n v="52546"/>
    <n v="1523"/>
    <x v="184"/>
    <s v="DIVINO COLCHONES"/>
    <s v="EX"/>
    <s v="Colchão M.E."/>
    <m/>
    <s v="CONEXÃO MALHAS"/>
    <n v="45412"/>
    <m/>
    <m/>
    <n v="11049.48"/>
    <s v="MT "/>
    <m/>
    <m/>
    <n v="1500"/>
    <m/>
    <m/>
    <m/>
    <m/>
    <m/>
    <m/>
    <m/>
    <m/>
    <m/>
    <m/>
    <m/>
    <s v="DIVINO S.A"/>
    <s v="CONEXAO MALHAS E DESENVOLVIMENTO LTDA"/>
    <n v="7.36632"/>
  </r>
  <r>
    <x v="9"/>
    <x v="3"/>
    <s v="COLCHÃO M.E."/>
    <s v="DIRETO"/>
    <x v="9"/>
    <s v="NADA"/>
    <x v="2"/>
    <n v="52558"/>
    <n v="1419"/>
    <x v="234"/>
    <s v="FLEX CHILE"/>
    <s v="EX"/>
    <s v="Colchão M.E."/>
    <m/>
    <s v="DIRETO"/>
    <n v="45412"/>
    <m/>
    <m/>
    <n v="17656.150000000001"/>
    <s v="MT "/>
    <n v="180"/>
    <m/>
    <n v="1534"/>
    <m/>
    <m/>
    <m/>
    <m/>
    <m/>
    <m/>
    <m/>
    <m/>
    <m/>
    <m/>
    <m/>
    <s v="FLEX CHILE"/>
    <s v="CARLOS FIDENCIO D AVALOS RUIZ JUNIOR 34496952823"/>
    <n v="11.509876140808345"/>
  </r>
  <r>
    <x v="9"/>
    <x v="3"/>
    <s v="COLCHÃO M.E."/>
    <s v="DIRETO"/>
    <x v="9"/>
    <s v="NADA"/>
    <x v="2"/>
    <n v="52558"/>
    <n v="1422"/>
    <x v="232"/>
    <s v="FLEX CHILE"/>
    <s v="EX"/>
    <s v="Colchão M.E."/>
    <m/>
    <s v="DIRETO"/>
    <n v="45412"/>
    <m/>
    <m/>
    <n v="33557.370000000003"/>
    <s v="MT "/>
    <n v="240"/>
    <m/>
    <n v="2318"/>
    <m/>
    <m/>
    <m/>
    <m/>
    <m/>
    <m/>
    <m/>
    <m/>
    <m/>
    <m/>
    <m/>
    <s v="FLEX CHILE"/>
    <s v="CARLOS FIDENCIO D AVALOS RUIZ JUNIOR 34496952823"/>
    <n v="14.476863675582401"/>
  </r>
  <r>
    <x v="9"/>
    <x v="3"/>
    <s v="COLCHÃO M.E."/>
    <s v="DIRETO"/>
    <x v="17"/>
    <s v="NADA"/>
    <x v="0"/>
    <n v="52563"/>
    <n v="3074"/>
    <x v="309"/>
    <s v="MAXI KING"/>
    <s v="EX"/>
    <s v="Colchão M.E."/>
    <m/>
    <s v="DIRETO"/>
    <n v="45412"/>
    <m/>
    <m/>
    <n v="22260.1"/>
    <s v="MT "/>
    <n v="240"/>
    <m/>
    <n v="1934"/>
    <m/>
    <m/>
    <m/>
    <m/>
    <m/>
    <m/>
    <m/>
    <m/>
    <m/>
    <m/>
    <m/>
    <s v="GRUPO EMPRESARIAL MAXI KING SRL"/>
    <s v="CARLOS FIDENCIO D AVALOS RUIZ JUNIOR 34496952823"/>
    <n v="11.509875904860392"/>
  </r>
  <r>
    <x v="9"/>
    <x v="3"/>
    <s v="COLCHÃO M.E."/>
    <s v="DIRETO"/>
    <x v="17"/>
    <s v="NADA"/>
    <x v="0"/>
    <n v="52563"/>
    <n v="3075"/>
    <x v="310"/>
    <s v="MAXI KING"/>
    <s v="EX"/>
    <s v="Colchão M.E."/>
    <m/>
    <s v="DIRETO"/>
    <n v="45412"/>
    <m/>
    <m/>
    <n v="17740.55"/>
    <s v="MT "/>
    <n v="240"/>
    <m/>
    <n v="1734"/>
    <m/>
    <m/>
    <m/>
    <m/>
    <m/>
    <m/>
    <m/>
    <m/>
    <m/>
    <m/>
    <m/>
    <s v="GRUPO EMPRESARIAL MAXI KING SRL"/>
    <s v="CARLOS FIDENCIO D AVALOS RUIZ JUNIOR 34496952823"/>
    <n v="10.230997693194924"/>
  </r>
  <r>
    <x v="9"/>
    <x v="3"/>
    <s v="COLCHÃO M.E."/>
    <s v="DIRETO"/>
    <x v="17"/>
    <s v="NADA"/>
    <x v="0"/>
    <n v="52563"/>
    <n v="3076"/>
    <x v="311"/>
    <s v="MAXI KING"/>
    <s v="EX"/>
    <s v="Colchão M.E."/>
    <m/>
    <s v="DIRETO"/>
    <n v="45412"/>
    <m/>
    <m/>
    <n v="31838.87"/>
    <s v="MT "/>
    <n v="250"/>
    <m/>
    <n v="3112"/>
    <m/>
    <m/>
    <m/>
    <m/>
    <m/>
    <m/>
    <m/>
    <m/>
    <m/>
    <m/>
    <m/>
    <s v="GRUPO EMPRESARIAL MAXI KING SRL"/>
    <s v="CARLOS FIDENCIO D AVALOS RUIZ JUNIOR 34496952823"/>
    <n v="10.230999357326478"/>
  </r>
  <r>
    <x v="9"/>
    <x v="3"/>
    <s v="COLCHÃO M.E."/>
    <s v="DIRETO"/>
    <x v="17"/>
    <s v="NADA"/>
    <x v="0"/>
    <n v="52563"/>
    <n v="3038"/>
    <x v="312"/>
    <s v="MAXI KING"/>
    <s v="EX"/>
    <s v="Colchão M.E."/>
    <m/>
    <s v="DIRETO"/>
    <n v="45412"/>
    <m/>
    <m/>
    <n v="32937.370000000003"/>
    <s v="MT "/>
    <n v="200"/>
    <m/>
    <n v="2486"/>
    <m/>
    <m/>
    <m/>
    <m/>
    <m/>
    <m/>
    <m/>
    <m/>
    <m/>
    <m/>
    <m/>
    <s v="GRUPO EMPRESARIAL MAXI KING SRL"/>
    <s v="CARLOS FIDENCIO D AVALOS RUIZ JUNIOR 34496952823"/>
    <n v="13.249143201930814"/>
  </r>
  <r>
    <x v="9"/>
    <x v="3"/>
    <s v="COLCHÃO M.E."/>
    <s v="DIRETO"/>
    <x v="17"/>
    <s v="NADA"/>
    <x v="0"/>
    <n v="52563"/>
    <n v="3037"/>
    <x v="313"/>
    <s v="MAXI KING"/>
    <s v="EX"/>
    <s v="Colchão M.E."/>
    <m/>
    <s v="DIRETO"/>
    <n v="45412"/>
    <m/>
    <m/>
    <n v="66674.399999999994"/>
    <s v="MT "/>
    <n v="260"/>
    <m/>
    <n v="3342"/>
    <m/>
    <m/>
    <m/>
    <m/>
    <m/>
    <m/>
    <m/>
    <m/>
    <m/>
    <m/>
    <m/>
    <s v="GRUPO EMPRESARIAL MAXI KING SRL"/>
    <s v="CARLOS FIDENCIO D AVALOS RUIZ JUNIOR 34496952823"/>
    <n v="19.950448833034109"/>
  </r>
  <r>
    <x v="9"/>
    <x v="3"/>
    <s v="COLCHÃO M.E."/>
    <s v="DIRETO"/>
    <x v="24"/>
    <s v="NADA"/>
    <x v="6"/>
    <n v="52576"/>
    <n v="2950"/>
    <x v="296"/>
    <s v="PRODUCTOS PARAISO DEL ECUADOR"/>
    <s v="EX"/>
    <s v="Colchão M.E."/>
    <m/>
    <s v="CONEXÃO MALHAS"/>
    <n v="45412"/>
    <m/>
    <m/>
    <n v="4393.6000000000004"/>
    <s v="MT "/>
    <n v="180"/>
    <m/>
    <n v="488"/>
    <m/>
    <m/>
    <m/>
    <m/>
    <m/>
    <m/>
    <m/>
    <m/>
    <m/>
    <m/>
    <m/>
    <s v="PRODUCTOS PARAISO DEL ECUADOR"/>
    <s v="CARLOS FIDENCIO D AVALOS RUIZ JUNIOR 34496952823"/>
    <n v="9.0032786885245901"/>
  </r>
  <r>
    <x v="9"/>
    <x v="3"/>
    <s v="COLCHÃO M.E."/>
    <s v="DIRETO"/>
    <x v="24"/>
    <s v="NADA"/>
    <x v="6"/>
    <n v="52576"/>
    <n v="3128"/>
    <x v="314"/>
    <s v="PRODUCTOS PARAISO DEL ECUADOR"/>
    <s v="EX"/>
    <s v="Colchão M.E."/>
    <m/>
    <s v="CONEXÃO MALHAS"/>
    <n v="45412"/>
    <m/>
    <m/>
    <n v="32196.959999999999"/>
    <s v="MT "/>
    <n v="280"/>
    <m/>
    <n v="2098"/>
    <m/>
    <m/>
    <m/>
    <m/>
    <m/>
    <m/>
    <m/>
    <m/>
    <m/>
    <m/>
    <m/>
    <s v="PRODUCTOS PARAISO DEL ECUADOR"/>
    <s v="CARLOS FIDENCIO D AVALOS RUIZ JUNIOR 34496952823"/>
    <n v="15.346501429933269"/>
  </r>
  <r>
    <x v="9"/>
    <x v="3"/>
    <s v="COLCHÃO M.E."/>
    <s v="DIRETO"/>
    <x v="24"/>
    <s v="NADA"/>
    <x v="6"/>
    <n v="52576"/>
    <n v="3127"/>
    <x v="315"/>
    <s v="PRODUCTOS PARAISO DEL ECUADOR"/>
    <s v="EX"/>
    <s v="Colchão M.E."/>
    <m/>
    <s v="CONEXÃO MALHAS"/>
    <n v="45412"/>
    <m/>
    <m/>
    <n v="12113.5"/>
    <s v="MT "/>
    <n v="200"/>
    <m/>
    <n v="1184"/>
    <m/>
    <m/>
    <m/>
    <m/>
    <m/>
    <m/>
    <m/>
    <m/>
    <m/>
    <m/>
    <m/>
    <s v="PRODUCTOS PARAISO DEL ECUADOR"/>
    <s v="CARLOS FIDENCIO D AVALOS RUIZ JUNIOR 34496952823"/>
    <n v="10.230996621621621"/>
  </r>
  <r>
    <x v="9"/>
    <x v="3"/>
    <s v="COLCHÃO M.E."/>
    <s v="DIRETO"/>
    <x v="24"/>
    <s v="NADA"/>
    <x v="6"/>
    <n v="52576"/>
    <n v="2942"/>
    <x v="295"/>
    <s v="PRODUCTOS PARAISO DEL ECUADOR"/>
    <s v="EX"/>
    <s v="Colchão M.E."/>
    <m/>
    <s v="CONEXÃO MALHAS"/>
    <n v="45412"/>
    <m/>
    <m/>
    <n v="9336.81"/>
    <s v="MT "/>
    <n v="260"/>
    <m/>
    <n v="540"/>
    <m/>
    <m/>
    <m/>
    <m/>
    <m/>
    <m/>
    <m/>
    <m/>
    <m/>
    <m/>
    <m/>
    <s v="PRODUCTOS PARAISO DEL ECUADOR"/>
    <s v="CARLOS FIDENCIO D AVALOS RUIZ JUNIOR 34496952823"/>
    <n v="17.290388888888888"/>
  </r>
  <r>
    <x v="9"/>
    <x v="3"/>
    <s v="COLCHÃO M.E."/>
    <s v="DIRETO"/>
    <x v="24"/>
    <s v="NADA"/>
    <x v="6"/>
    <n v="52576"/>
    <n v="2943"/>
    <x v="316"/>
    <s v="PRODUCTOS PARAISO DEL ECUADOR"/>
    <s v="EX"/>
    <s v="Colchão M.E."/>
    <m/>
    <s v="CONEXÃO MALHAS"/>
    <n v="45412"/>
    <m/>
    <m/>
    <n v="16758.38"/>
    <s v="MT "/>
    <n v="280"/>
    <m/>
    <n v="585"/>
    <m/>
    <m/>
    <m/>
    <m/>
    <m/>
    <m/>
    <m/>
    <m/>
    <m/>
    <m/>
    <m/>
    <s v="PRODUCTOS PARAISO DEL ECUADOR"/>
    <s v="CARLOS FIDENCIO D AVALOS RUIZ JUNIOR 34496952823"/>
    <n v="28.646803418803419"/>
  </r>
  <r>
    <x v="9"/>
    <x v="3"/>
    <s v="COLCHÃO M.E."/>
    <s v="DIRETO"/>
    <x v="24"/>
    <s v="NADA"/>
    <x v="6"/>
    <n v="52576"/>
    <n v="2582"/>
    <x v="289"/>
    <s v="PRODUCTOS PARAISO DEL ECUADOR"/>
    <s v="EX"/>
    <s v="Colchão M.E."/>
    <m/>
    <s v="CONEXÃO MALHAS"/>
    <n v="45412"/>
    <m/>
    <m/>
    <n v="16225.85"/>
    <s v="MT "/>
    <n v="240"/>
    <m/>
    <n v="1455"/>
    <m/>
    <m/>
    <m/>
    <m/>
    <m/>
    <m/>
    <m/>
    <m/>
    <m/>
    <m/>
    <m/>
    <s v="PRODUCTOS PARAISO DEL ECUADOR"/>
    <s v="CARLOS FIDENCIO D AVALOS RUIZ JUNIOR 34496952823"/>
    <n v="11.151786941580756"/>
  </r>
  <r>
    <x v="9"/>
    <x v="3"/>
    <s v="COLCHÃO M.E."/>
    <s v="DIRETO"/>
    <x v="23"/>
    <s v="NADA"/>
    <x v="4"/>
    <n v="52585"/>
    <n v="3055"/>
    <x v="317"/>
    <s v="NM ESPUMA S.A."/>
    <s v="EX"/>
    <s v="Colchão M.E."/>
    <m/>
    <s v="DIRETO"/>
    <n v="45412"/>
    <m/>
    <m/>
    <n v="6939"/>
    <s v="MT "/>
    <n v="250"/>
    <m/>
    <n v="450"/>
    <m/>
    <m/>
    <m/>
    <m/>
    <m/>
    <m/>
    <m/>
    <m/>
    <m/>
    <m/>
    <m/>
    <s v="NM ESPUMA S.A."/>
    <s v="CARLOS FIDENCIO D AVALOS RUIZ JUNIOR 34496952823"/>
    <n v="15.42"/>
  </r>
  <r>
    <x v="9"/>
    <x v="3"/>
    <s v="COLCHÃO M.E."/>
    <s v="DIRETO"/>
    <x v="23"/>
    <s v="NADA"/>
    <x v="4"/>
    <n v="52585"/>
    <n v="3056"/>
    <x v="318"/>
    <s v="NM ESPUMA S.A."/>
    <s v="EX"/>
    <s v="Colchão M.E."/>
    <m/>
    <s v="DIRETO"/>
    <n v="45412"/>
    <m/>
    <m/>
    <n v="8359.1200000000008"/>
    <s v="MT "/>
    <n v="200"/>
    <m/>
    <n v="649"/>
    <m/>
    <m/>
    <m/>
    <m/>
    <m/>
    <m/>
    <m/>
    <m/>
    <m/>
    <m/>
    <m/>
    <s v="NM ESPUMA S.A."/>
    <s v="CARLOS FIDENCIO D AVALOS RUIZ JUNIOR 34496952823"/>
    <n v="12.88"/>
  </r>
  <r>
    <x v="9"/>
    <x v="3"/>
    <s v="COLCHÃO M.E."/>
    <s v="DIRETO"/>
    <x v="23"/>
    <s v="NADA"/>
    <x v="4"/>
    <n v="52585"/>
    <n v="1853"/>
    <x v="319"/>
    <s v="NM ESPUMA S.A."/>
    <s v="EX"/>
    <s v="Colchão M.E."/>
    <m/>
    <s v="DIRETO"/>
    <n v="45412"/>
    <m/>
    <m/>
    <n v="6425.25"/>
    <s v="MT "/>
    <n v="240"/>
    <m/>
    <n v="325"/>
    <m/>
    <m/>
    <m/>
    <m/>
    <m/>
    <m/>
    <m/>
    <m/>
    <m/>
    <m/>
    <m/>
    <s v="NM ESPUMA S.A."/>
    <s v="CARLOS FIDENCIO D AVALOS RUIZ JUNIOR 34496952823"/>
    <n v="19.77"/>
  </r>
  <r>
    <x v="9"/>
    <x v="3"/>
    <s v="COLCHÃO M.E."/>
    <s v="DIRETO"/>
    <x v="5"/>
    <s v="NADA"/>
    <x v="4"/>
    <n v="52368"/>
    <n v="2566"/>
    <x v="280"/>
    <s v="INMAPOL SACIF"/>
    <s v="EX "/>
    <s v="Colchão M.E."/>
    <m/>
    <s v="DIRETO"/>
    <n v="45268"/>
    <m/>
    <m/>
    <n v="-16796.36"/>
    <s v="MT "/>
    <n v="220"/>
    <m/>
    <n v="-1634"/>
    <m/>
    <m/>
    <m/>
    <m/>
    <m/>
    <m/>
    <m/>
    <m/>
    <m/>
    <m/>
    <m/>
    <m/>
    <m/>
    <n v="10.279290085679316"/>
  </r>
  <r>
    <x v="10"/>
    <x v="3"/>
    <s v="COLCHÃO M.E."/>
    <s v="DIRETO"/>
    <x v="24"/>
    <s v="NADA"/>
    <x v="6"/>
    <n v="52607"/>
    <n v="3152"/>
    <x v="320"/>
    <s v="PRODUCTOS PARAISO DEL ECUADOR"/>
    <s v="EX"/>
    <s v="Colchão M.E."/>
    <m/>
    <s v="CONEXÃO MALHAS"/>
    <n v="45419"/>
    <m/>
    <m/>
    <n v="7968.2"/>
    <s v="MT "/>
    <n v="160"/>
    <m/>
    <n v="160"/>
    <m/>
    <m/>
    <m/>
    <m/>
    <m/>
    <m/>
    <m/>
    <m/>
    <m/>
    <m/>
    <m/>
    <s v="PRODUCTOS PARAISO DEL ECUADOR"/>
    <s v="CARLOS FIDENCIO D AVALOS RUIZ JUNIOR 34496952823"/>
    <n v="49.801249999999996"/>
  </r>
  <r>
    <x v="10"/>
    <x v="3"/>
    <s v="COLCHÃO M.E."/>
    <s v="DIRETO"/>
    <x v="24"/>
    <s v="NADA"/>
    <x v="6"/>
    <n v="52610"/>
    <n v="2582"/>
    <x v="289"/>
    <s v="PRODUCTOS PARAISO DEL ECUADOR"/>
    <s v="EX"/>
    <s v="Colchão M.E."/>
    <m/>
    <s v="CONEXÃO MALHAS"/>
    <n v="45419"/>
    <m/>
    <m/>
    <n v="6345.37"/>
    <s v="MT "/>
    <n v="240"/>
    <m/>
    <n v="240"/>
    <m/>
    <m/>
    <m/>
    <m/>
    <m/>
    <m/>
    <m/>
    <m/>
    <m/>
    <m/>
    <m/>
    <s v="PRODUCTOS PARAISO DEL ECUADOR"/>
    <s v="CARLOS FIDENCIO D AVALOS RUIZ JUNIOR 34496952823"/>
    <n v="26.439041666666665"/>
  </r>
  <r>
    <x v="10"/>
    <x v="3"/>
    <s v="COLCHÃO M.E."/>
    <s v="DIRETO"/>
    <x v="24"/>
    <s v="NADA"/>
    <x v="6"/>
    <n v="52610"/>
    <n v="3152"/>
    <x v="320"/>
    <s v="PRODUCTOS PARAISO DEL ECUADOR"/>
    <s v="EX"/>
    <s v="Colchão M.E."/>
    <m/>
    <s v="CONEXÃO MALHAS"/>
    <n v="45419"/>
    <m/>
    <m/>
    <n v="3246.81"/>
    <s v="MT "/>
    <n v="160"/>
    <m/>
    <n v="160"/>
    <m/>
    <m/>
    <m/>
    <m/>
    <m/>
    <m/>
    <m/>
    <m/>
    <m/>
    <m/>
    <m/>
    <s v="PRODUCTOS PARAISO DEL ECUADOR"/>
    <s v="CARLOS FIDENCIO D AVALOS RUIZ JUNIOR 34496952823"/>
    <n v="20.292562499999999"/>
  </r>
  <r>
    <x v="10"/>
    <x v="3"/>
    <s v="COLCHÃO M.E."/>
    <s v="DIRETO"/>
    <x v="9"/>
    <s v="NADA"/>
    <x v="2"/>
    <n v="52672"/>
    <n v="1419"/>
    <x v="234"/>
    <s v="FLEX CHILE"/>
    <s v="EX"/>
    <s v="Colchão M.E."/>
    <m/>
    <s v="DIRETO"/>
    <n v="45425"/>
    <m/>
    <m/>
    <n v="17744.849999999999"/>
    <s v="MT "/>
    <n v="180"/>
    <m/>
    <n v="1534"/>
    <m/>
    <m/>
    <m/>
    <m/>
    <m/>
    <m/>
    <m/>
    <m/>
    <m/>
    <m/>
    <m/>
    <s v="FLEX CHILE"/>
    <s v="CARLOS FIDENCIO D AVALOS RUIZ JUNIOR 34496952823"/>
    <n v="11.56769882659713"/>
  </r>
  <r>
    <x v="10"/>
    <x v="3"/>
    <s v="COLCHÃO M.E."/>
    <s v="DIRETO"/>
    <x v="9"/>
    <s v="NADA"/>
    <x v="2"/>
    <n v="52672"/>
    <n v="1422"/>
    <x v="232"/>
    <s v="FLEX CHILE"/>
    <s v="EX"/>
    <s v="Colchão M.E."/>
    <m/>
    <s v="DIRETO"/>
    <n v="45425"/>
    <m/>
    <m/>
    <n v="33725.96"/>
    <s v="MT "/>
    <n v="240"/>
    <m/>
    <n v="2318"/>
    <m/>
    <m/>
    <m/>
    <m/>
    <m/>
    <m/>
    <m/>
    <m/>
    <m/>
    <m/>
    <m/>
    <s v="FLEX CHILE"/>
    <s v="CARLOS FIDENCIO D AVALOS RUIZ JUNIOR 34496952823"/>
    <n v="14.549594477998275"/>
  </r>
  <r>
    <x v="10"/>
    <x v="3"/>
    <s v="COLCHÃO M.E."/>
    <s v="DIRETO"/>
    <x v="9"/>
    <s v="NADA"/>
    <x v="2"/>
    <n v="52669"/>
    <n v="1419"/>
    <x v="234"/>
    <s v="FLEX CHILE"/>
    <s v="EX"/>
    <s v="Colchão M.E."/>
    <m/>
    <s v="DIRETO"/>
    <n v="45425"/>
    <m/>
    <m/>
    <n v="-17656.150000000001"/>
    <s v="MT "/>
    <n v="180"/>
    <m/>
    <n v="-1534"/>
    <m/>
    <m/>
    <m/>
    <m/>
    <m/>
    <m/>
    <m/>
    <m/>
    <m/>
    <m/>
    <m/>
    <s v="FLEX CHILE"/>
    <s v="CARLOS FIDENCIO D AVALOS RUIZ JUNIOR 34496952823"/>
    <n v="11.509876140808345"/>
  </r>
  <r>
    <x v="10"/>
    <x v="3"/>
    <s v="COLCHÃO M.E."/>
    <s v="DIRETO"/>
    <x v="9"/>
    <s v="NADA"/>
    <x v="2"/>
    <n v="52669"/>
    <n v="1422"/>
    <x v="232"/>
    <s v="FLEX CHILE"/>
    <s v="EX"/>
    <s v="Colchão M.E."/>
    <m/>
    <s v="DIRETO"/>
    <n v="45425"/>
    <m/>
    <m/>
    <n v="-33557.370000000003"/>
    <s v="MT "/>
    <n v="240"/>
    <m/>
    <n v="-2318"/>
    <m/>
    <m/>
    <m/>
    <m/>
    <m/>
    <m/>
    <m/>
    <m/>
    <m/>
    <m/>
    <m/>
    <s v="FLEX CHILE"/>
    <s v="CARLOS FIDENCIO D AVALOS RUIZ JUNIOR 34496952823"/>
    <n v="14.476863675582401"/>
  </r>
  <r>
    <x v="10"/>
    <x v="3"/>
    <s v="COLCHÃO M.E."/>
    <s v="DIRETO"/>
    <x v="24"/>
    <s v="NADA"/>
    <x v="6"/>
    <n v="52710"/>
    <n v="2943"/>
    <x v="316"/>
    <s v="PRODUCTOS PARAISO DEL ECUADOR"/>
    <s v="EX"/>
    <s v="Colchão M.E."/>
    <m/>
    <s v="DIRETO"/>
    <n v="45427"/>
    <m/>
    <m/>
    <n v="16824.23"/>
    <s v="MT "/>
    <n v="280"/>
    <m/>
    <n v="585"/>
    <m/>
    <m/>
    <m/>
    <m/>
    <m/>
    <m/>
    <m/>
    <m/>
    <m/>
    <m/>
    <m/>
    <s v="PRODUCTOS PARAISO DEL ECUADOR"/>
    <s v="CARLOS FIDENCIO D AVALOS RUIZ JUNIOR 34496952823"/>
    <n v="28.759367521367519"/>
  </r>
  <r>
    <x v="10"/>
    <x v="3"/>
    <s v="COLCHÃO M.E."/>
    <s v="DIRETO"/>
    <x v="24"/>
    <s v="NADA"/>
    <x v="6"/>
    <n v="52710"/>
    <n v="3127"/>
    <x v="315"/>
    <s v="PRODUCTOS PARAISO DEL ECUADOR"/>
    <s v="EX"/>
    <s v="Colchão M.E."/>
    <m/>
    <s v="DIRETO"/>
    <n v="45427"/>
    <m/>
    <m/>
    <n v="12161.1"/>
    <s v="MT "/>
    <n v="200"/>
    <m/>
    <n v="1184"/>
    <m/>
    <m/>
    <m/>
    <m/>
    <m/>
    <m/>
    <m/>
    <m/>
    <m/>
    <m/>
    <m/>
    <s v="PRODUCTOS PARAISO DEL ECUADOR"/>
    <s v="CARLOS FIDENCIO D AVALOS RUIZ JUNIOR 34496952823"/>
    <n v="10.271199324324325"/>
  </r>
  <r>
    <x v="10"/>
    <x v="3"/>
    <s v="COLCHÃO M.E."/>
    <s v="DIRETO"/>
    <x v="24"/>
    <s v="NADA"/>
    <x v="6"/>
    <n v="52710"/>
    <n v="3128"/>
    <x v="314"/>
    <s v="PRODUCTOS PARAISO DEL ECUADOR"/>
    <s v="EX"/>
    <s v="Colchão M.E."/>
    <m/>
    <s v="DIRETO"/>
    <n v="45427"/>
    <m/>
    <m/>
    <n v="16130.92"/>
    <s v="MT "/>
    <n v="280"/>
    <m/>
    <n v="1047"/>
    <m/>
    <m/>
    <m/>
    <m/>
    <m/>
    <m/>
    <m/>
    <m/>
    <m/>
    <m/>
    <m/>
    <s v="PRODUCTOS PARAISO DEL ECUADOR"/>
    <s v="CARLOS FIDENCIO D AVALOS RUIZ JUNIOR 34496952823"/>
    <n v="15.406800382043935"/>
  </r>
  <r>
    <x v="10"/>
    <x v="3"/>
    <s v="COLCHÃO M.E."/>
    <s v="DIRETO"/>
    <x v="24"/>
    <s v="NADA"/>
    <x v="6"/>
    <n v="52706"/>
    <n v="2950"/>
    <x v="296"/>
    <s v="PRODUCTOS PARAISO DEL ECUADOR"/>
    <s v="EX"/>
    <s v="Colchão M.E."/>
    <m/>
    <s v="CONEXÃO MALHAS"/>
    <n v="45427"/>
    <m/>
    <m/>
    <n v="-4393.6000000000004"/>
    <s v="MT "/>
    <n v="180"/>
    <m/>
    <n v="-488"/>
    <m/>
    <m/>
    <m/>
    <m/>
    <m/>
    <m/>
    <m/>
    <m/>
    <m/>
    <m/>
    <m/>
    <s v="PRODUCTOS PARAISO DEL ECUADOR"/>
    <s v="CARLOS FIDENCIO D AVALOS RUIZ JUNIOR 34496952823"/>
    <n v="9.0032786885245901"/>
  </r>
  <r>
    <x v="10"/>
    <x v="3"/>
    <s v="COLCHÃO M.E."/>
    <s v="DIRETO"/>
    <x v="24"/>
    <s v="NADA"/>
    <x v="6"/>
    <n v="52706"/>
    <n v="3128"/>
    <x v="314"/>
    <s v="PRODUCTOS PARAISO DEL ECUADOR"/>
    <s v="EX"/>
    <s v="Colchão M.E."/>
    <m/>
    <s v="CONEXÃO MALHAS"/>
    <n v="45427"/>
    <m/>
    <m/>
    <n v="-32196.959999999999"/>
    <s v="MT "/>
    <n v="280"/>
    <m/>
    <n v="-2098"/>
    <m/>
    <m/>
    <m/>
    <m/>
    <m/>
    <m/>
    <m/>
    <m/>
    <m/>
    <m/>
    <m/>
    <s v="PRODUCTOS PARAISO DEL ECUADOR"/>
    <s v="CARLOS FIDENCIO D AVALOS RUIZ JUNIOR 34496952823"/>
    <n v="15.346501429933269"/>
  </r>
  <r>
    <x v="10"/>
    <x v="3"/>
    <s v="COLCHÃO M.E."/>
    <s v="DIRETO"/>
    <x v="24"/>
    <s v="NADA"/>
    <x v="6"/>
    <n v="52706"/>
    <n v="3127"/>
    <x v="315"/>
    <s v="PRODUCTOS PARAISO DEL ECUADOR"/>
    <s v="EX"/>
    <s v="Colchão M.E."/>
    <m/>
    <s v="CONEXÃO MALHAS"/>
    <n v="45427"/>
    <m/>
    <m/>
    <n v="-12113.5"/>
    <s v="MT "/>
    <n v="200"/>
    <m/>
    <n v="-1184"/>
    <m/>
    <m/>
    <m/>
    <m/>
    <m/>
    <m/>
    <m/>
    <m/>
    <m/>
    <m/>
    <m/>
    <s v="PRODUCTOS PARAISO DEL ECUADOR"/>
    <s v="CARLOS FIDENCIO D AVALOS RUIZ JUNIOR 34496952823"/>
    <n v="10.230996621621621"/>
  </r>
  <r>
    <x v="10"/>
    <x v="3"/>
    <s v="COLCHÃO M.E."/>
    <s v="DIRETO"/>
    <x v="24"/>
    <s v="NADA"/>
    <x v="6"/>
    <n v="52706"/>
    <n v="2942"/>
    <x v="295"/>
    <s v="PRODUCTOS PARAISO DEL ECUADOR"/>
    <s v="EX"/>
    <s v="Colchão M.E."/>
    <m/>
    <s v="CONEXÃO MALHAS"/>
    <n v="45427"/>
    <m/>
    <m/>
    <n v="-9336.81"/>
    <s v="MT "/>
    <n v="260"/>
    <m/>
    <n v="-540"/>
    <m/>
    <m/>
    <m/>
    <m/>
    <m/>
    <m/>
    <m/>
    <m/>
    <m/>
    <m/>
    <m/>
    <s v="PRODUCTOS PARAISO DEL ECUADOR"/>
    <s v="CARLOS FIDENCIO D AVALOS RUIZ JUNIOR 34496952823"/>
    <n v="17.290388888888888"/>
  </r>
  <r>
    <x v="10"/>
    <x v="3"/>
    <s v="COLCHÃO M.E."/>
    <s v="DIRETO"/>
    <x v="24"/>
    <s v="NADA"/>
    <x v="6"/>
    <n v="52706"/>
    <n v="2943"/>
    <x v="316"/>
    <s v="PRODUCTOS PARAISO DEL ECUADOR"/>
    <s v="EX"/>
    <s v="Colchão M.E."/>
    <m/>
    <s v="CONEXÃO MALHAS"/>
    <n v="45427"/>
    <m/>
    <m/>
    <n v="-16758.38"/>
    <s v="MT "/>
    <n v="280"/>
    <m/>
    <n v="-585"/>
    <m/>
    <m/>
    <m/>
    <m/>
    <m/>
    <m/>
    <m/>
    <m/>
    <m/>
    <m/>
    <m/>
    <s v="PRODUCTOS PARAISO DEL ECUADOR"/>
    <s v="CARLOS FIDENCIO D AVALOS RUIZ JUNIOR 34496952823"/>
    <n v="28.646803418803419"/>
  </r>
  <r>
    <x v="10"/>
    <x v="3"/>
    <s v="COLCHÃO M.E."/>
    <s v="DIRETO"/>
    <x v="24"/>
    <s v="NADA"/>
    <x v="6"/>
    <n v="52706"/>
    <n v="2582"/>
    <x v="289"/>
    <s v="PRODUCTOS PARAISO DEL ECUADOR"/>
    <s v="EX"/>
    <s v="Colchão M.E."/>
    <m/>
    <s v="CONEXÃO MALHAS"/>
    <n v="45427"/>
    <m/>
    <m/>
    <n v="-16225.85"/>
    <s v="MT "/>
    <n v="240"/>
    <m/>
    <n v="-1455"/>
    <m/>
    <m/>
    <m/>
    <m/>
    <m/>
    <m/>
    <m/>
    <m/>
    <m/>
    <m/>
    <m/>
    <s v="PRODUCTOS PARAISO DEL ECUADOR"/>
    <s v="CARLOS FIDENCIO D AVALOS RUIZ JUNIOR 34496952823"/>
    <n v="11.151786941580756"/>
  </r>
  <r>
    <x v="10"/>
    <x v="3"/>
    <s v="COLCHÃO M.E."/>
    <s v="DIRETO"/>
    <x v="1"/>
    <s v="NADA"/>
    <x v="1"/>
    <n v="52784"/>
    <n v="3009"/>
    <x v="308"/>
    <s v="DIVINO COLCHONES"/>
    <s v="EX"/>
    <s v="Colchão M.E."/>
    <m/>
    <s v="CONEXÃO MALHAS"/>
    <n v="45436"/>
    <m/>
    <m/>
    <n v="10706.32"/>
    <s v="MT "/>
    <n v="300"/>
    <m/>
    <n v="484"/>
    <m/>
    <m/>
    <m/>
    <m/>
    <m/>
    <m/>
    <m/>
    <m/>
    <m/>
    <m/>
    <m/>
    <s v="DIVINO S.A"/>
    <s v="CONEXAO MALHAS E DESENVOLVIMENTO LTDA"/>
    <n v="22.120495867768593"/>
  </r>
  <r>
    <x v="10"/>
    <x v="3"/>
    <s v="COLCHÃO M.E."/>
    <s v="DIRETO"/>
    <x v="1"/>
    <s v="NADA"/>
    <x v="1"/>
    <n v="52784"/>
    <n v="2157"/>
    <x v="230"/>
    <s v="DIVINO COLCHONES"/>
    <s v="EX"/>
    <s v="Colchão M.E."/>
    <m/>
    <s v="CONEXÃO MALHAS"/>
    <n v="45436"/>
    <m/>
    <m/>
    <n v="23432.240000000002"/>
    <s v="MT "/>
    <n v="300"/>
    <m/>
    <n v="963"/>
    <m/>
    <m/>
    <m/>
    <m/>
    <m/>
    <m/>
    <m/>
    <m/>
    <m/>
    <m/>
    <m/>
    <s v="DIVINO S.A"/>
    <s v="CONEXAO MALHAS E DESENVOLVIMENTO LTDA"/>
    <n v="24.332544132917967"/>
  </r>
  <r>
    <x v="10"/>
    <x v="3"/>
    <s v="COLCHÃO M.E."/>
    <s v="DIRETO"/>
    <x v="1"/>
    <s v="NADA"/>
    <x v="1"/>
    <n v="52784"/>
    <n v="2054"/>
    <x v="224"/>
    <s v="DIVINO COLCHONES"/>
    <s v="EX"/>
    <s v="Colchão M.E."/>
    <m/>
    <s v="CONEXÃO MALHAS"/>
    <n v="45436"/>
    <m/>
    <m/>
    <n v="17186.080000000002"/>
    <s v="MT "/>
    <n v="280"/>
    <m/>
    <n v="1044"/>
    <m/>
    <m/>
    <m/>
    <m/>
    <m/>
    <m/>
    <m/>
    <m/>
    <m/>
    <m/>
    <m/>
    <s v="DIVINO S.A"/>
    <s v="CONEXAO MALHAS E DESENVOLVIMENTO LTDA"/>
    <n v="16.46176245210728"/>
  </r>
  <r>
    <x v="10"/>
    <x v="3"/>
    <s v="COLCHÃO M.E."/>
    <s v="DIRETO"/>
    <x v="1"/>
    <s v="NADA"/>
    <x v="1"/>
    <n v="52784"/>
    <n v="2054"/>
    <x v="224"/>
    <s v="DIVINO COLCHONES"/>
    <s v="EX"/>
    <s v="Colchão M.E."/>
    <m/>
    <s v="CONEXÃO MALHAS"/>
    <n v="45436"/>
    <m/>
    <m/>
    <n v="2271.7199999999998"/>
    <s v="MT "/>
    <n v="280"/>
    <m/>
    <n v="138"/>
    <m/>
    <m/>
    <m/>
    <m/>
    <m/>
    <m/>
    <m/>
    <m/>
    <m/>
    <m/>
    <m/>
    <s v="DIVINO S.A"/>
    <s v="CONEXAO MALHAS E DESENVOLVIMENTO LTDA"/>
    <n v="16.461739130434783"/>
  </r>
  <r>
    <x v="10"/>
    <x v="3"/>
    <s v="COLCHÃO M.E."/>
    <s v="DIRETO"/>
    <x v="1"/>
    <s v="NADA"/>
    <x v="1"/>
    <n v="52784"/>
    <n v="1525"/>
    <x v="185"/>
    <s v="DIVINO COLCHONES"/>
    <s v="EX"/>
    <s v="Colchão M.E."/>
    <m/>
    <s v="CONEXÃO MALHAS"/>
    <n v="45436"/>
    <m/>
    <m/>
    <n v="49668.06"/>
    <s v="MT "/>
    <n v="320"/>
    <m/>
    <n v="2561"/>
    <m/>
    <m/>
    <m/>
    <m/>
    <m/>
    <m/>
    <m/>
    <m/>
    <m/>
    <m/>
    <m/>
    <s v="DIVINO S.A"/>
    <s v="CONEXAO MALHAS E DESENVOLVIMENTO LTDA"/>
    <n v="19.394010152284263"/>
  </r>
  <r>
    <x v="10"/>
    <x v="3"/>
    <s v="COLCHÃO M.E."/>
    <s v="DIRETO"/>
    <x v="1"/>
    <s v="NADA"/>
    <x v="1"/>
    <n v="52784"/>
    <n v="1525"/>
    <x v="185"/>
    <s v="DIVINO COLCHONES"/>
    <s v="EX"/>
    <s v="Colchão M.E."/>
    <m/>
    <s v="CONEXÃO MALHAS"/>
    <n v="45436"/>
    <m/>
    <m/>
    <n v="5973.36"/>
    <s v="MT "/>
    <n v="320"/>
    <m/>
    <n v="308"/>
    <m/>
    <m/>
    <m/>
    <m/>
    <m/>
    <m/>
    <m/>
    <m/>
    <m/>
    <m/>
    <m/>
    <s v="DIVINO S.A"/>
    <s v="CONEXAO MALHAS E DESENVOLVIMENTO LTDA"/>
    <n v="19.394025974025972"/>
  </r>
  <r>
    <x v="10"/>
    <x v="3"/>
    <s v="COLCHÃO M.E."/>
    <s v="DIRETO"/>
    <x v="1"/>
    <s v="NADA"/>
    <x v="1"/>
    <n v="52784"/>
    <n v="1506"/>
    <x v="162"/>
    <s v="DIVINO COLCHONES"/>
    <s v="EX"/>
    <s v="Colchão M.E."/>
    <m/>
    <s v="CONEXÃO MALHAS"/>
    <n v="45436"/>
    <m/>
    <m/>
    <n v="10370.91"/>
    <s v="MT "/>
    <n v="280"/>
    <m/>
    <n v="576"/>
    <m/>
    <m/>
    <m/>
    <m/>
    <m/>
    <m/>
    <m/>
    <m/>
    <m/>
    <m/>
    <m/>
    <s v="DIVINO S.A"/>
    <s v="CONEXAO MALHAS E DESENVOLVIMENTO LTDA"/>
    <n v="18.005052083333332"/>
  </r>
  <r>
    <x v="10"/>
    <x v="3"/>
    <s v="COLCHÃO M.E."/>
    <s v="DIRETO"/>
    <x v="1"/>
    <s v="NADA"/>
    <x v="1"/>
    <n v="52784"/>
    <n v="1504"/>
    <x v="167"/>
    <s v="DIVINO COLCHONES"/>
    <s v="EX"/>
    <s v="Colchão M.E."/>
    <m/>
    <s v="CONEXÃO MALHAS"/>
    <n v="45436"/>
    <m/>
    <m/>
    <n v="33682.410000000003"/>
    <s v="MT "/>
    <n v="240"/>
    <m/>
    <n v="2212"/>
    <m/>
    <m/>
    <m/>
    <m/>
    <m/>
    <m/>
    <m/>
    <m/>
    <m/>
    <m/>
    <m/>
    <s v="DIVINO S.A"/>
    <s v="CONEXAO MALHAS E DESENVOLVIMENTO LTDA"/>
    <n v="15.227129294755878"/>
  </r>
  <r>
    <x v="10"/>
    <x v="3"/>
    <s v="COLCHÃO M.E."/>
    <s v="DIRETO"/>
    <x v="1"/>
    <s v="NADA"/>
    <x v="1"/>
    <n v="52784"/>
    <n v="1236"/>
    <x v="168"/>
    <s v="DIVINO COLCHONES"/>
    <s v="EX"/>
    <s v="Colchão M.E."/>
    <m/>
    <s v="CONEXÃO MALHAS"/>
    <n v="45436"/>
    <m/>
    <m/>
    <n v="33039.269999999997"/>
    <s v="MT "/>
    <n v="240"/>
    <m/>
    <n v="1835"/>
    <m/>
    <m/>
    <m/>
    <m/>
    <m/>
    <m/>
    <m/>
    <m/>
    <m/>
    <m/>
    <m/>
    <s v="DIVINO S.A"/>
    <s v="CONEXAO MALHAS E DESENVOLVIMENTO LTDA"/>
    <n v="18.005051771117163"/>
  </r>
  <r>
    <x v="10"/>
    <x v="3"/>
    <s v="COLCHÃO M.E."/>
    <s v="DIRETO"/>
    <x v="1"/>
    <s v="NADA"/>
    <x v="1"/>
    <n v="52784"/>
    <n v="1225"/>
    <x v="194"/>
    <s v="DIVINO COLCHONES"/>
    <s v="EX"/>
    <s v="Colchão M.E."/>
    <m/>
    <s v="CONEXÃO MALHAS"/>
    <n v="45436"/>
    <m/>
    <m/>
    <n v="52015.87"/>
    <s v="MT "/>
    <n v="240"/>
    <m/>
    <n v="3416"/>
    <m/>
    <m/>
    <m/>
    <m/>
    <m/>
    <m/>
    <m/>
    <m/>
    <m/>
    <m/>
    <m/>
    <s v="DIVINO S.A"/>
    <s v="CONEXAO MALHAS E DESENVOLVIMENTO LTDA"/>
    <n v="15.227128220140516"/>
  </r>
  <r>
    <x v="10"/>
    <x v="3"/>
    <s v="COLCHÃO M.E."/>
    <s v="DIRETO"/>
    <x v="1"/>
    <s v="NADA"/>
    <x v="1"/>
    <n v="52784"/>
    <n v="1506"/>
    <x v="162"/>
    <s v="DIVINO COLCHONES"/>
    <s v="EX"/>
    <s v="Colchão M.E."/>
    <m/>
    <s v="CONEXÃO MALHAS"/>
    <n v="45436"/>
    <m/>
    <m/>
    <n v="28664.04"/>
    <s v="MT "/>
    <n v="280"/>
    <m/>
    <n v="1592"/>
    <m/>
    <m/>
    <m/>
    <m/>
    <m/>
    <m/>
    <m/>
    <m/>
    <m/>
    <m/>
    <m/>
    <s v="DIVINO S.A"/>
    <s v="CONEXAO MALHAS E DESENVOLVIMENTO LTDA"/>
    <n v="18.005050251256282"/>
  </r>
  <r>
    <x v="10"/>
    <x v="3"/>
    <s v="COLCHÃO M.E."/>
    <s v="DIRETO"/>
    <x v="1"/>
    <s v="NADA"/>
    <x v="1"/>
    <n v="52785"/>
    <n v="1905"/>
    <x v="193"/>
    <s v="DIVINO COLCHONES"/>
    <s v="EX"/>
    <s v="Colchão M.E."/>
    <m/>
    <s v="CONEXÃO MALHAS"/>
    <n v="45436"/>
    <m/>
    <m/>
    <n v="3061.89"/>
    <s v="MT "/>
    <m/>
    <m/>
    <n v="372"/>
    <m/>
    <m/>
    <m/>
    <m/>
    <m/>
    <m/>
    <m/>
    <m/>
    <m/>
    <m/>
    <m/>
    <s v="DIVINO S.A"/>
    <s v="CONEXAO MALHAS E DESENVOLVIMENTO LTDA"/>
    <n v="8.2308870967741932"/>
  </r>
  <r>
    <x v="10"/>
    <x v="3"/>
    <s v="COLCHÃO M.E."/>
    <s v="DIRETO"/>
    <x v="18"/>
    <s v="NADA"/>
    <x v="1"/>
    <n v="52799"/>
    <n v="3145"/>
    <x v="321"/>
    <s v="COLCHONES POLYMAX"/>
    <s v="EX"/>
    <s v="Colchão M.E."/>
    <m/>
    <s v="DIRETO"/>
    <n v="45436"/>
    <m/>
    <m/>
    <n v="5239.79"/>
    <s v="MT "/>
    <n v="180"/>
    <m/>
    <n v="789"/>
    <m/>
    <m/>
    <m/>
    <m/>
    <m/>
    <m/>
    <m/>
    <m/>
    <m/>
    <m/>
    <m/>
    <s v="COLCHONES POLYMAX"/>
    <s v="CARLOS FIDENCIO D AVALOS RUIZ JUNIOR 34496952823"/>
    <n v="6.6410519645120409"/>
  </r>
  <r>
    <x v="10"/>
    <x v="3"/>
    <s v="COLCHÃO M.E."/>
    <s v="DIRETO"/>
    <x v="18"/>
    <s v="NADA"/>
    <x v="1"/>
    <n v="52799"/>
    <n v="3142"/>
    <x v="322"/>
    <s v="COLCHONES POLYMAX"/>
    <s v="EX"/>
    <s v="Colchão M.E."/>
    <m/>
    <s v="DIRETO"/>
    <n v="45436"/>
    <m/>
    <m/>
    <n v="3499.83"/>
    <s v="MT "/>
    <n v="180"/>
    <m/>
    <n v="650"/>
    <m/>
    <m/>
    <m/>
    <m/>
    <m/>
    <m/>
    <m/>
    <m/>
    <m/>
    <m/>
    <m/>
    <s v="COLCHONES POLYMAX"/>
    <s v="CARLOS FIDENCIO D AVALOS RUIZ JUNIOR 34496952823"/>
    <n v="5.3843538461538456"/>
  </r>
  <r>
    <x v="10"/>
    <x v="3"/>
    <s v="COLCHÃO M.E."/>
    <s v="DIRETO"/>
    <x v="18"/>
    <s v="NADA"/>
    <x v="1"/>
    <n v="52799"/>
    <n v="3138"/>
    <x v="323"/>
    <s v="COLCHONES POLYMAX"/>
    <s v="EX"/>
    <s v="Colchão M.E."/>
    <m/>
    <s v="DIRETO"/>
    <n v="45436"/>
    <m/>
    <m/>
    <n v="4416.3"/>
    <s v="MT "/>
    <n v="180"/>
    <m/>
    <n v="455"/>
    <m/>
    <m/>
    <m/>
    <m/>
    <m/>
    <m/>
    <m/>
    <m/>
    <m/>
    <m/>
    <m/>
    <s v="COLCHONES POLYMAX"/>
    <s v="CARLOS FIDENCIO D AVALOS RUIZ JUNIOR 34496952823"/>
    <n v="9.7061538461538461"/>
  </r>
  <r>
    <x v="10"/>
    <x v="3"/>
    <s v="COLCHÃO M.E."/>
    <s v="DIRETO"/>
    <x v="18"/>
    <s v="NADA"/>
    <x v="1"/>
    <n v="52799"/>
    <n v="3146"/>
    <x v="324"/>
    <s v="COLCHONES POLYMAX"/>
    <s v="EX"/>
    <s v="Colchão M.E."/>
    <m/>
    <s v="DIRETO"/>
    <n v="45436"/>
    <m/>
    <m/>
    <n v="5065.08"/>
    <s v="MT "/>
    <n v="180"/>
    <m/>
    <n v="667"/>
    <m/>
    <m/>
    <m/>
    <m/>
    <m/>
    <m/>
    <m/>
    <m/>
    <m/>
    <m/>
    <m/>
    <s v="COLCHONES POLYMAX"/>
    <s v="CARLOS FIDENCIO D AVALOS RUIZ JUNIOR 34496952823"/>
    <n v="7.593823088455772"/>
  </r>
  <r>
    <x v="10"/>
    <x v="3"/>
    <s v="COLCHÃO M.E."/>
    <s v="DIRETO"/>
    <x v="18"/>
    <s v="NADA"/>
    <x v="1"/>
    <n v="52799"/>
    <n v="3147"/>
    <x v="325"/>
    <s v="COLCHONES POLYMAX"/>
    <s v="EX"/>
    <s v="Colchão M.E."/>
    <m/>
    <s v="DIRETO"/>
    <n v="45436"/>
    <m/>
    <m/>
    <n v="5827.78"/>
    <s v="MT "/>
    <n v="180"/>
    <m/>
    <n v="713"/>
    <m/>
    <m/>
    <m/>
    <m/>
    <m/>
    <m/>
    <m/>
    <m/>
    <m/>
    <m/>
    <m/>
    <s v="COLCHONES POLYMAX"/>
    <s v="CARLOS FIDENCIO D AVALOS RUIZ JUNIOR 34496952823"/>
    <n v="8.1736044880785403"/>
  </r>
  <r>
    <x v="10"/>
    <x v="3"/>
    <s v="COLCHÃO M.E."/>
    <s v="DIRETO"/>
    <x v="18"/>
    <s v="NADA"/>
    <x v="1"/>
    <n v="52799"/>
    <n v="3148"/>
    <x v="326"/>
    <s v="COLCHONES POLYMAX"/>
    <s v="EX"/>
    <s v="Colchão M.E."/>
    <m/>
    <s v="DIRETO"/>
    <n v="45436"/>
    <m/>
    <m/>
    <n v="6201.41"/>
    <s v="MT "/>
    <n v="180"/>
    <m/>
    <n v="976"/>
    <m/>
    <m/>
    <m/>
    <m/>
    <m/>
    <m/>
    <m/>
    <m/>
    <m/>
    <m/>
    <m/>
    <s v="COLCHONES POLYMAX"/>
    <s v="CARLOS FIDENCIO D AVALOS RUIZ JUNIOR 34496952823"/>
    <n v="6.3539036885245901"/>
  </r>
  <r>
    <x v="10"/>
    <x v="3"/>
    <s v="COLCHÃO M.E."/>
    <s v="DIRETO"/>
    <x v="18"/>
    <s v="NADA"/>
    <x v="1"/>
    <n v="52799"/>
    <n v="3144"/>
    <x v="327"/>
    <s v="COLCHONES POLYMAX"/>
    <s v="EX"/>
    <s v="Colchão M.E."/>
    <m/>
    <s v="DIRETO"/>
    <n v="45436"/>
    <m/>
    <m/>
    <n v="6222.15"/>
    <s v="MT "/>
    <n v="200"/>
    <m/>
    <n v="609"/>
    <m/>
    <m/>
    <m/>
    <m/>
    <m/>
    <m/>
    <m/>
    <m/>
    <m/>
    <m/>
    <m/>
    <s v="COLCHONES POLYMAX"/>
    <s v="CARLOS FIDENCIO D AVALOS RUIZ JUNIOR 34496952823"/>
    <n v="10.216995073891624"/>
  </r>
  <r>
    <x v="10"/>
    <x v="3"/>
    <s v="COLCHÃO M.E."/>
    <s v="DIRETO"/>
    <x v="18"/>
    <s v="NADA"/>
    <x v="1"/>
    <n v="52799"/>
    <n v="3135"/>
    <x v="328"/>
    <s v="COLCHONES POLYMAX"/>
    <s v="EX"/>
    <s v="Colchão M.E."/>
    <m/>
    <s v="DIRETO"/>
    <n v="45436"/>
    <m/>
    <m/>
    <n v="6309"/>
    <s v="MT "/>
    <n v="160"/>
    <m/>
    <n v="661"/>
    <m/>
    <m/>
    <m/>
    <m/>
    <m/>
    <m/>
    <m/>
    <m/>
    <m/>
    <m/>
    <m/>
    <s v="COLCHONES POLYMAX"/>
    <s v="CARLOS FIDENCIO D AVALOS RUIZ JUNIOR 34496952823"/>
    <n v="9.5446293494704992"/>
  </r>
  <r>
    <x v="10"/>
    <x v="3"/>
    <s v="COLCHÃO M.E."/>
    <s v="DIRETO"/>
    <x v="18"/>
    <s v="NADA"/>
    <x v="1"/>
    <n v="52799"/>
    <n v="3134"/>
    <x v="329"/>
    <s v="COLCHONES POLYMAX"/>
    <s v="EX"/>
    <s v="Colchão M.E."/>
    <m/>
    <s v="DIRETO"/>
    <n v="45436"/>
    <m/>
    <m/>
    <n v="6634.41"/>
    <s v="MT "/>
    <n v="160"/>
    <m/>
    <n v="1133"/>
    <m/>
    <m/>
    <m/>
    <m/>
    <m/>
    <m/>
    <m/>
    <m/>
    <m/>
    <m/>
    <m/>
    <s v="COLCHONES POLYMAX"/>
    <s v="CARLOS FIDENCIO D AVALOS RUIZ JUNIOR 34496952823"/>
    <n v="5.8556134157105033"/>
  </r>
  <r>
    <x v="10"/>
    <x v="3"/>
    <s v="COLCHÃO M.E."/>
    <s v="DIRETO"/>
    <x v="18"/>
    <s v="NADA"/>
    <x v="1"/>
    <n v="52799"/>
    <n v="3133"/>
    <x v="330"/>
    <s v="COLCHONES POLYMAX"/>
    <s v="EX"/>
    <s v="Colchão M.E."/>
    <m/>
    <s v="DIRETO"/>
    <n v="45436"/>
    <m/>
    <m/>
    <n v="8681.9"/>
    <s v="MT "/>
    <n v="160"/>
    <m/>
    <n v="527"/>
    <m/>
    <m/>
    <m/>
    <m/>
    <m/>
    <m/>
    <m/>
    <m/>
    <m/>
    <m/>
    <m/>
    <s v="COLCHONES POLYMAX"/>
    <s v="CARLOS FIDENCIO D AVALOS RUIZ JUNIOR 34496952823"/>
    <n v="16.474193548387095"/>
  </r>
  <r>
    <x v="10"/>
    <x v="3"/>
    <s v="COLCHÃO M.E."/>
    <s v="DIRETO"/>
    <x v="18"/>
    <s v="NADA"/>
    <x v="1"/>
    <n v="52799"/>
    <n v="3132"/>
    <x v="331"/>
    <s v="COLCHONES POLYMAX"/>
    <s v="EX"/>
    <s v="Colchão M.E."/>
    <m/>
    <s v="DIRETO"/>
    <n v="45436"/>
    <m/>
    <m/>
    <n v="9111.52"/>
    <s v="MT "/>
    <n v="160"/>
    <m/>
    <n v="1372"/>
    <m/>
    <m/>
    <m/>
    <m/>
    <m/>
    <m/>
    <m/>
    <m/>
    <m/>
    <m/>
    <m/>
    <s v="COLCHONES POLYMAX"/>
    <s v="CARLOS FIDENCIO D AVALOS RUIZ JUNIOR 34496952823"/>
    <n v="6.6410495626822161"/>
  </r>
  <r>
    <x v="10"/>
    <x v="3"/>
    <s v="COLCHÃO M.E."/>
    <s v="DIRETO"/>
    <x v="18"/>
    <s v="NADA"/>
    <x v="1"/>
    <n v="52799"/>
    <n v="3131"/>
    <x v="332"/>
    <s v="COLCHONES POLYMAX"/>
    <s v="EX"/>
    <s v="Colchão M.E."/>
    <m/>
    <s v="DIRETO"/>
    <n v="45436"/>
    <m/>
    <m/>
    <n v="10221.09"/>
    <s v="MT "/>
    <n v="200"/>
    <m/>
    <n v="1015"/>
    <m/>
    <m/>
    <m/>
    <m/>
    <m/>
    <m/>
    <m/>
    <m/>
    <m/>
    <m/>
    <m/>
    <s v="COLCHONES POLYMAX"/>
    <s v="CARLOS FIDENCIO D AVALOS RUIZ JUNIOR 34496952823"/>
    <n v="10.070039408866995"/>
  </r>
  <r>
    <x v="10"/>
    <x v="3"/>
    <s v="COLCHÃO M.E."/>
    <s v="DIRETO"/>
    <x v="18"/>
    <s v="NADA"/>
    <x v="1"/>
    <n v="52799"/>
    <n v="3136"/>
    <x v="333"/>
    <s v="COLCHONES POLYMAX"/>
    <s v="EX"/>
    <s v="Colchão M.E."/>
    <m/>
    <s v="DIRETO"/>
    <n v="45436"/>
    <m/>
    <m/>
    <n v="10370.26"/>
    <s v="MT "/>
    <n v="200"/>
    <m/>
    <n v="999"/>
    <m/>
    <m/>
    <m/>
    <m/>
    <m/>
    <m/>
    <m/>
    <m/>
    <m/>
    <m/>
    <m/>
    <s v="COLCHONES POLYMAX"/>
    <s v="CARLOS FIDENCIO D AVALOS RUIZ JUNIOR 34496952823"/>
    <n v="10.380640640640641"/>
  </r>
  <r>
    <x v="10"/>
    <x v="3"/>
    <s v="COLCHÃO M.E."/>
    <s v="DIRETO"/>
    <x v="9"/>
    <s v="NADA"/>
    <x v="2"/>
    <n v="52883"/>
    <n v="1422"/>
    <x v="232"/>
    <s v="FLEX CHILE"/>
    <s v="EX"/>
    <s v="Colchão M.E."/>
    <m/>
    <s v="DIRETO"/>
    <n v="45442"/>
    <m/>
    <m/>
    <n v="19208.78"/>
    <s v="MT "/>
    <n v="240"/>
    <m/>
    <n v="1317"/>
    <m/>
    <m/>
    <m/>
    <m/>
    <m/>
    <m/>
    <m/>
    <m/>
    <m/>
    <m/>
    <m/>
    <s v="FLEX CHILE"/>
    <s v="CARLOS FIDENCIO D AVALOS RUIZ JUNIOR 34496952823"/>
    <n v="14.585254365983294"/>
  </r>
  <r>
    <x v="10"/>
    <x v="3"/>
    <s v="COLCHÃO M.E."/>
    <s v="DIRETO"/>
    <x v="9"/>
    <s v="NADA"/>
    <x v="2"/>
    <n v="52883"/>
    <n v="1419"/>
    <x v="234"/>
    <s v="FLEX CHILE"/>
    <s v="EX"/>
    <s v="Colchão M.E."/>
    <m/>
    <s v="DIRETO"/>
    <n v="45442"/>
    <m/>
    <m/>
    <n v="25070.66"/>
    <s v="MT "/>
    <n v="180"/>
    <m/>
    <n v="2162"/>
    <m/>
    <m/>
    <m/>
    <m/>
    <m/>
    <m/>
    <m/>
    <m/>
    <m/>
    <m/>
    <m/>
    <s v="FLEX CHILE"/>
    <s v="CARLOS FIDENCIO D AVALOS RUIZ JUNIOR 34496952823"/>
    <n v="11.596049953746531"/>
  </r>
  <r>
    <x v="1"/>
    <x v="3"/>
    <s v="COLCHÃO M.E."/>
    <s v="DIRETO"/>
    <x v="23"/>
    <s v="NADA"/>
    <x v="4"/>
    <n v="52945"/>
    <n v="3252"/>
    <x v="334"/>
    <s v="NM ESPUMA S.A."/>
    <s v="EX"/>
    <s v="Colchão M.E."/>
    <m/>
    <s v="DIRETO"/>
    <n v="45449"/>
    <m/>
    <m/>
    <n v="6024"/>
    <s v="MT "/>
    <m/>
    <m/>
    <n v="502"/>
    <m/>
    <m/>
    <m/>
    <m/>
    <m/>
    <m/>
    <m/>
    <m/>
    <m/>
    <m/>
    <m/>
    <s v="NM ESPUMA S.A."/>
    <s v="CARLOS FIDENCIO D AVALOS RUIZ JUNIOR 34496952823"/>
    <n v="12"/>
  </r>
  <r>
    <x v="1"/>
    <x v="3"/>
    <s v="COLCHÃO M.E."/>
    <s v="DIRETO"/>
    <x v="9"/>
    <s v="NADA"/>
    <x v="2"/>
    <n v="53030"/>
    <n v="1422"/>
    <x v="232"/>
    <s v="FLEX CHILE"/>
    <s v="EX"/>
    <s v="Colchão M.E."/>
    <m/>
    <s v="DIRETO"/>
    <n v="45456"/>
    <m/>
    <m/>
    <n v="-19208.78"/>
    <s v="MT "/>
    <n v="240"/>
    <m/>
    <n v="-1317"/>
    <m/>
    <m/>
    <m/>
    <m/>
    <m/>
    <m/>
    <m/>
    <m/>
    <m/>
    <m/>
    <m/>
    <s v="FLEX CHILE"/>
    <s v="CARLOS FIDENCIO D AVALOS RUIZ JUNIOR 34496952823"/>
    <n v="14.585254365983294"/>
  </r>
  <r>
    <x v="1"/>
    <x v="3"/>
    <s v="COLCHÃO M.E."/>
    <s v="DIRETO"/>
    <x v="9"/>
    <s v="NADA"/>
    <x v="2"/>
    <n v="53030"/>
    <n v="1419"/>
    <x v="234"/>
    <s v="FLEX CHILE"/>
    <s v="EX"/>
    <s v="Colchão M.E."/>
    <m/>
    <s v="DIRETO"/>
    <n v="45456"/>
    <m/>
    <m/>
    <n v="-25070.66"/>
    <s v="MT "/>
    <n v="180"/>
    <m/>
    <n v="-2162"/>
    <m/>
    <m/>
    <m/>
    <m/>
    <m/>
    <m/>
    <m/>
    <m/>
    <m/>
    <m/>
    <m/>
    <s v="FLEX CHILE"/>
    <s v="CARLOS FIDENCIO D AVALOS RUIZ JUNIOR 34496952823"/>
    <n v="11.596049953746531"/>
  </r>
  <r>
    <x v="1"/>
    <x v="3"/>
    <s v="COLCHÃO M.E."/>
    <s v="DIRETO"/>
    <x v="9"/>
    <s v="NADA"/>
    <x v="2"/>
    <n v="53037"/>
    <n v="1419"/>
    <x v="234"/>
    <s v="FLEX CHILE"/>
    <s v="EX"/>
    <s v="Colchão M.E."/>
    <m/>
    <s v="DIRETO"/>
    <n v="45457"/>
    <m/>
    <m/>
    <n v="26255.65"/>
    <s v="MT "/>
    <n v="180"/>
    <m/>
    <n v="2162"/>
    <m/>
    <m/>
    <m/>
    <m/>
    <m/>
    <m/>
    <m/>
    <m/>
    <m/>
    <m/>
    <m/>
    <s v="FLEX CHILE"/>
    <s v="CARLOS FIDENCIO D AVALOS RUIZ JUNIOR 34496952823"/>
    <n v="12.144148936170213"/>
  </r>
  <r>
    <x v="1"/>
    <x v="3"/>
    <s v="COLCHÃO M.E."/>
    <s v="DIRETO"/>
    <x v="9"/>
    <s v="NADA"/>
    <x v="2"/>
    <n v="53037"/>
    <n v="1422"/>
    <x v="232"/>
    <s v="FLEX CHILE"/>
    <s v="EX"/>
    <s v="Colchão M.E."/>
    <m/>
    <s v="DIRETO"/>
    <n v="45457"/>
    <m/>
    <m/>
    <n v="20116.7"/>
    <s v="MT "/>
    <n v="240"/>
    <m/>
    <n v="1317"/>
    <m/>
    <m/>
    <m/>
    <m/>
    <m/>
    <m/>
    <m/>
    <m/>
    <m/>
    <m/>
    <m/>
    <s v="FLEX CHILE"/>
    <s v="CARLOS FIDENCIO D AVALOS RUIZ JUNIOR 34496952823"/>
    <n v="15.274639331814731"/>
  </r>
  <r>
    <x v="1"/>
    <x v="3"/>
    <s v="COLCHÃO M.E."/>
    <s v="DIRETO"/>
    <x v="1"/>
    <s v="NADA"/>
    <x v="1"/>
    <n v="53147"/>
    <n v="1506"/>
    <x v="162"/>
    <s v="DIVINO COLCHONES"/>
    <s v="EX"/>
    <s v="Colchão M.E."/>
    <m/>
    <s v="CONEXÃO MALHAS"/>
    <n v="45467"/>
    <m/>
    <m/>
    <n v="55098.92"/>
    <s v="MT "/>
    <n v="280"/>
    <m/>
    <n v="2893"/>
    <m/>
    <m/>
    <m/>
    <m/>
    <m/>
    <m/>
    <m/>
    <m/>
    <m/>
    <m/>
    <m/>
    <s v="DIVINO S.A"/>
    <s v="CONEXAO MALHAS E DESENVOLVIMENTO LTDA"/>
    <n v="19.045599723470445"/>
  </r>
  <r>
    <x v="1"/>
    <x v="3"/>
    <s v="COLCHÃO M.E."/>
    <s v="DIRETO"/>
    <x v="1"/>
    <s v="NADA"/>
    <x v="1"/>
    <n v="53147"/>
    <n v="2054"/>
    <x v="224"/>
    <s v="DIVINO COLCHONES"/>
    <s v="EX"/>
    <s v="Colchão M.E."/>
    <m/>
    <s v="CONEXÃO MALHAS"/>
    <n v="45467"/>
    <m/>
    <m/>
    <n v="9455.32"/>
    <s v="MT "/>
    <n v="280"/>
    <m/>
    <n v="543"/>
    <m/>
    <m/>
    <m/>
    <m/>
    <m/>
    <m/>
    <m/>
    <m/>
    <m/>
    <m/>
    <m/>
    <s v="DIVINO S.A"/>
    <s v="CONEXAO MALHAS E DESENVOLVIMENTO LTDA"/>
    <n v="17.413112338858195"/>
  </r>
  <r>
    <x v="1"/>
    <x v="3"/>
    <s v="COLCHÃO M.E."/>
    <s v="DIRETO"/>
    <x v="1"/>
    <s v="NADA"/>
    <x v="1"/>
    <n v="53147"/>
    <n v="1236"/>
    <x v="168"/>
    <s v="DIVINO COLCHONES"/>
    <s v="EX"/>
    <s v="Colchão M.E."/>
    <m/>
    <s v="CONEXÃO MALHAS"/>
    <n v="45467"/>
    <m/>
    <m/>
    <n v="51099.34"/>
    <s v="MT "/>
    <n v="240"/>
    <m/>
    <n v="2683"/>
    <m/>
    <m/>
    <m/>
    <m/>
    <m/>
    <m/>
    <m/>
    <m/>
    <m/>
    <m/>
    <m/>
    <s v="DIVINO S.A"/>
    <s v="CONEXAO MALHAS E DESENVOLVIMENTO LTDA"/>
    <n v="19.045598210957881"/>
  </r>
  <r>
    <x v="1"/>
    <x v="3"/>
    <s v="COLCHÃO M.E."/>
    <s v="DIRETO"/>
    <x v="1"/>
    <s v="NADA"/>
    <x v="1"/>
    <n v="53147"/>
    <n v="1504"/>
    <x v="167"/>
    <s v="DIVINO COLCHONES"/>
    <s v="EX"/>
    <s v="Colchão M.E."/>
    <m/>
    <s v="CONEXÃO MALHAS"/>
    <n v="45467"/>
    <m/>
    <m/>
    <n v="68906.33"/>
    <s v="MT "/>
    <n v="240"/>
    <m/>
    <n v="4278"/>
    <m/>
    <m/>
    <m/>
    <m/>
    <m/>
    <m/>
    <m/>
    <m/>
    <m/>
    <m/>
    <m/>
    <s v="DIVINO S.A"/>
    <s v="CONEXAO MALHAS E DESENVOLVIMENTO LTDA"/>
    <n v="16.107136512388966"/>
  </r>
  <r>
    <x v="1"/>
    <x v="3"/>
    <s v="COLCHÃO M.E."/>
    <s v="DIRETO"/>
    <x v="1"/>
    <s v="NADA"/>
    <x v="1"/>
    <n v="53147"/>
    <n v="1225"/>
    <x v="194"/>
    <s v="DIVINO COLCHONES"/>
    <s v="EX"/>
    <s v="Colchão M.E."/>
    <m/>
    <s v="CONEXÃO MALHAS"/>
    <n v="45467"/>
    <m/>
    <m/>
    <n v="70710.33"/>
    <s v="MT "/>
    <n v="240"/>
    <m/>
    <n v="4390"/>
    <m/>
    <m/>
    <m/>
    <m/>
    <m/>
    <m/>
    <m/>
    <m/>
    <m/>
    <m/>
    <m/>
    <s v="DIVINO S.A"/>
    <s v="CONEXAO MALHAS E DESENVOLVIMENTO LTDA"/>
    <n v="16.107136674259682"/>
  </r>
  <r>
    <x v="1"/>
    <x v="3"/>
    <s v="COLCHÃO M.E."/>
    <s v="DIRETO"/>
    <x v="21"/>
    <s v="NADA"/>
    <x v="4"/>
    <n v="53158"/>
    <n v="3274"/>
    <x v="335"/>
    <s v="SUPERESPUMA"/>
    <s v="EX"/>
    <s v="Colchão M.E."/>
    <m/>
    <s v="DIRETO"/>
    <n v="45467"/>
    <m/>
    <m/>
    <n v="8751.18"/>
    <s v="MT "/>
    <n v="220"/>
    <m/>
    <n v="731"/>
    <m/>
    <m/>
    <m/>
    <m/>
    <m/>
    <m/>
    <m/>
    <m/>
    <m/>
    <m/>
    <m/>
    <s v="SUPERSPUMA DEL PARAGUAY S.A.E.C.A"/>
    <s v="CARLOS FIDENCIO D AVALOS RUIZ JUNIOR 34496952823"/>
    <n v="11.971518467852258"/>
  </r>
  <r>
    <x v="1"/>
    <x v="3"/>
    <s v="COLCHÃO M.E."/>
    <s v="DIRETO"/>
    <x v="21"/>
    <s v="NADA"/>
    <x v="4"/>
    <n v="53158"/>
    <n v="1761"/>
    <x v="204"/>
    <s v="SUPERESPUMA"/>
    <s v="EX"/>
    <s v="Colchão M.E."/>
    <m/>
    <s v="DIRETO"/>
    <n v="45467"/>
    <m/>
    <m/>
    <n v="9032.2900000000009"/>
    <s v="MT "/>
    <n v="280"/>
    <m/>
    <n v="557"/>
    <m/>
    <m/>
    <m/>
    <m/>
    <m/>
    <m/>
    <m/>
    <m/>
    <m/>
    <m/>
    <m/>
    <s v="SUPERSPUMA DEL PARAGUAY S.A.E.C.A"/>
    <s v="CARLOS FIDENCIO D AVALOS RUIZ JUNIOR 34496952823"/>
    <n v="16.215960502693001"/>
  </r>
  <r>
    <x v="1"/>
    <x v="3"/>
    <s v="COLCHÃO M.E."/>
    <s v="DIRETO"/>
    <x v="21"/>
    <s v="NADA"/>
    <x v="4"/>
    <n v="53158"/>
    <n v="3270"/>
    <x v="336"/>
    <s v="SUPERESPUMA"/>
    <s v="EX"/>
    <s v="Colchão M.E."/>
    <m/>
    <s v="DIRETO"/>
    <n v="45467"/>
    <m/>
    <m/>
    <n v="6285.05"/>
    <s v="MT "/>
    <n v="220"/>
    <m/>
    <n v="525"/>
    <m/>
    <m/>
    <m/>
    <m/>
    <m/>
    <m/>
    <m/>
    <m/>
    <m/>
    <m/>
    <m/>
    <s v="SUPERSPUMA DEL PARAGUAY S.A.E.C.A"/>
    <s v="CARLOS FIDENCIO D AVALOS RUIZ JUNIOR 34496952823"/>
    <n v="11.971523809523809"/>
  </r>
  <r>
    <x v="1"/>
    <x v="3"/>
    <s v="COLCHÃO M.E."/>
    <s v="DIRETO"/>
    <x v="1"/>
    <s v="NADA"/>
    <x v="1"/>
    <n v="53163"/>
    <n v="1523"/>
    <x v="184"/>
    <s v="DIVINO COLCHONES"/>
    <s v="EX"/>
    <s v="Colchão M.E."/>
    <m/>
    <s v="CONEXÃO MALHAS"/>
    <n v="45467"/>
    <m/>
    <m/>
    <n v="8257.9"/>
    <s v="MT "/>
    <m/>
    <m/>
    <n v="1005"/>
    <m/>
    <m/>
    <m/>
    <m/>
    <m/>
    <m/>
    <m/>
    <m/>
    <m/>
    <m/>
    <m/>
    <s v="DIVINO S.A"/>
    <s v="CONEXAO MALHAS E DESENVOLVIMENTO LTDA"/>
    <n v="8.2168159203980089"/>
  </r>
  <r>
    <x v="1"/>
    <x v="3"/>
    <s v="COLCHÃO M.E."/>
    <s v="DIRETO"/>
    <x v="1"/>
    <s v="NADA"/>
    <x v="1"/>
    <n v="53163"/>
    <n v="1523"/>
    <x v="184"/>
    <s v="DIVINO COLCHONES"/>
    <s v="EX"/>
    <s v="Colchão M.E."/>
    <m/>
    <s v="CONEXÃO MALHAS"/>
    <n v="45467"/>
    <m/>
    <m/>
    <n v="12752.5"/>
    <s v="MT "/>
    <m/>
    <m/>
    <n v="1552"/>
    <m/>
    <m/>
    <m/>
    <m/>
    <m/>
    <m/>
    <m/>
    <m/>
    <m/>
    <m/>
    <m/>
    <s v="DIVINO S.A"/>
    <s v="CONEXAO MALHAS E DESENVOLVIMENTO LTDA"/>
    <n v="8.2168170103092777"/>
  </r>
  <r>
    <x v="1"/>
    <x v="3"/>
    <s v="COLCHÃO M.E."/>
    <s v="DIRETO"/>
    <x v="9"/>
    <s v="NADA"/>
    <x v="2"/>
    <n v="53263"/>
    <n v="1419"/>
    <x v="234"/>
    <s v="FLEX CHILE"/>
    <s v="EX"/>
    <s v="Colchão M.E."/>
    <m/>
    <s v="DIRETO"/>
    <n v="45471"/>
    <m/>
    <m/>
    <n v="66631.03"/>
    <s v="MT "/>
    <n v="180"/>
    <m/>
    <n v="5362"/>
    <m/>
    <m/>
    <m/>
    <m/>
    <m/>
    <m/>
    <m/>
    <m/>
    <m/>
    <m/>
    <m/>
    <s v="FLEX CHILE"/>
    <s v="CARLOS FIDENCIO D AVALOS RUIZ JUNIOR 34496952823"/>
    <n v="12.426525550167847"/>
  </r>
  <r>
    <x v="1"/>
    <x v="3"/>
    <s v="COLCHÃO M.E."/>
    <s v="DIRETO"/>
    <x v="9"/>
    <s v="NADA"/>
    <x v="2"/>
    <n v="53263"/>
    <n v="1422"/>
    <x v="232"/>
    <s v="FLEX CHILE"/>
    <s v="EX"/>
    <s v="Colchão M.E."/>
    <m/>
    <s v="DIRETO"/>
    <n v="45471"/>
    <m/>
    <m/>
    <n v="47248.91"/>
    <s v="MT "/>
    <n v="240"/>
    <m/>
    <n v="3023"/>
    <m/>
    <m/>
    <m/>
    <m/>
    <m/>
    <m/>
    <m/>
    <m/>
    <m/>
    <m/>
    <m/>
    <s v="FLEX CHILE"/>
    <s v="CARLOS FIDENCIO D AVALOS RUIZ JUNIOR 34496952823"/>
    <n v="15.629808137611645"/>
  </r>
  <r>
    <x v="1"/>
    <x v="3"/>
    <s v="COLCHÃO M.E."/>
    <s v="DIRETO"/>
    <x v="28"/>
    <s v="NADA"/>
    <x v="2"/>
    <n v="53265"/>
    <n v="3276"/>
    <x v="337"/>
    <s v="COMERCIALIZADORA SL SUNLOCK LTDA"/>
    <s v="EX"/>
    <s v="Colchão M.E."/>
    <m/>
    <s v="DIRETO"/>
    <n v="45471"/>
    <m/>
    <m/>
    <n v="16127.97"/>
    <s v="MT "/>
    <n v="370"/>
    <m/>
    <n v="471"/>
    <m/>
    <m/>
    <m/>
    <m/>
    <m/>
    <m/>
    <m/>
    <m/>
    <m/>
    <m/>
    <m/>
    <s v="COMERCIALIZADORA SL SUNLOCK LTDA"/>
    <s v="CARLOS FIDENCIO D AVALOS RUIZ JUNIOR 34496952823"/>
    <n v="34.241974522292992"/>
  </r>
  <r>
    <x v="1"/>
    <x v="3"/>
    <s v="COLCHÃO M.E."/>
    <s v="DIRETO"/>
    <x v="28"/>
    <s v="NADA"/>
    <x v="2"/>
    <n v="53265"/>
    <n v="2536"/>
    <x v="282"/>
    <s v="COMERCIALIZADORA SL SUNLOCK LTDA"/>
    <s v="EX"/>
    <s v="Colchão M.E."/>
    <m/>
    <s v="DIRETO"/>
    <n v="45471"/>
    <m/>
    <m/>
    <n v="36237.9"/>
    <s v="MT "/>
    <n v="440"/>
    <m/>
    <n v="1011"/>
    <m/>
    <m/>
    <m/>
    <m/>
    <m/>
    <m/>
    <m/>
    <m/>
    <m/>
    <m/>
    <m/>
    <s v="COMERCIALIZADORA SL SUNLOCK LTDA"/>
    <s v="CARLOS FIDENCIO D AVALOS RUIZ JUNIOR 34496952823"/>
    <n v="35.843620178041547"/>
  </r>
  <r>
    <x v="1"/>
    <x v="3"/>
    <s v="COLCHÃO M.E."/>
    <s v="DIRETO"/>
    <x v="28"/>
    <s v="NADA"/>
    <x v="2"/>
    <n v="53265"/>
    <n v="2000"/>
    <x v="207"/>
    <s v="COMERCIALIZADORA SL SUNLOCK LTDA"/>
    <s v="EX"/>
    <s v="Colchão M.E."/>
    <m/>
    <s v="DIRETO"/>
    <n v="45471"/>
    <m/>
    <m/>
    <n v="29295.78"/>
    <s v="MT "/>
    <n v="380"/>
    <m/>
    <n v="1026"/>
    <m/>
    <m/>
    <m/>
    <m/>
    <m/>
    <m/>
    <m/>
    <m/>
    <m/>
    <m/>
    <m/>
    <s v="COMERCIALIZADORA SL SUNLOCK LTDA"/>
    <s v="CARLOS FIDENCIO D AVALOS RUIZ JUNIOR 34496952823"/>
    <n v="28.553391812865495"/>
  </r>
  <r>
    <x v="2"/>
    <x v="3"/>
    <s v="COLCHÃO M.E."/>
    <s v="DIRETO"/>
    <x v="24"/>
    <s v="NADA"/>
    <x v="6"/>
    <n v="53471"/>
    <n v="2582"/>
    <x v="289"/>
    <s v="PRODUCTOS PARAISO DEL ECUADOR"/>
    <s v="EX"/>
    <s v="Colchão M.E."/>
    <m/>
    <s v="DIRETO"/>
    <n v="45491"/>
    <m/>
    <m/>
    <n v="23790.21"/>
    <s v="MT "/>
    <n v="240"/>
    <m/>
    <n v="1449"/>
    <m/>
    <m/>
    <m/>
    <m/>
    <m/>
    <m/>
    <m/>
    <m/>
    <m/>
    <m/>
    <m/>
    <s v="PRODUCTOS PARAISO DEL ECUADOR"/>
    <s v="CARLOS FIDENCIO D AVALOS RUIZ JUNIOR 34496952823"/>
    <n v="16.418364389233954"/>
  </r>
  <r>
    <x v="2"/>
    <x v="3"/>
    <s v="COLCHÃO M.E."/>
    <s v="DIRETO"/>
    <x v="24"/>
    <s v="NADA"/>
    <x v="6"/>
    <n v="53471"/>
    <n v="2950"/>
    <x v="296"/>
    <s v="PRODUCTOS PARAISO DEL ECUADOR"/>
    <s v="EX"/>
    <s v="Colchão M.E."/>
    <m/>
    <s v="DIRETO"/>
    <n v="45491"/>
    <m/>
    <m/>
    <n v="5951.58"/>
    <s v="MT "/>
    <n v="180"/>
    <m/>
    <n v="449"/>
    <m/>
    <m/>
    <m/>
    <m/>
    <m/>
    <m/>
    <m/>
    <m/>
    <m/>
    <m/>
    <m/>
    <s v="PRODUCTOS PARAISO DEL ECUADOR"/>
    <s v="CARLOS FIDENCIO D AVALOS RUIZ JUNIOR 34496952823"/>
    <n v="13.255189309576837"/>
  </r>
  <r>
    <x v="2"/>
    <x v="3"/>
    <s v="COLCHÃO M.E."/>
    <s v="DIRETO"/>
    <x v="1"/>
    <s v="NADA"/>
    <x v="1"/>
    <n v="53637"/>
    <n v="1525"/>
    <x v="185"/>
    <s v="DIVINO COLCHONES"/>
    <s v="EX"/>
    <s v="Colchão M.E."/>
    <m/>
    <s v="CONEXÃO MALHAS"/>
    <n v="45502"/>
    <m/>
    <m/>
    <n v="34059.69"/>
    <s v="MT "/>
    <n v="320"/>
    <m/>
    <n v="1600"/>
    <m/>
    <m/>
    <m/>
    <m/>
    <m/>
    <m/>
    <m/>
    <m/>
    <m/>
    <m/>
    <m/>
    <s v="DIVINO S.A"/>
    <s v="CONEXAO MALHAS E DESENVOLVIMENTO LTDA"/>
    <n v="21.28730625"/>
  </r>
  <r>
    <x v="2"/>
    <x v="3"/>
    <s v="COLCHÃO M.E."/>
    <s v="DIRETO"/>
    <x v="1"/>
    <s v="NADA"/>
    <x v="1"/>
    <n v="53637"/>
    <n v="1506"/>
    <x v="162"/>
    <s v="DIVINO COLCHONES"/>
    <s v="EX"/>
    <s v="Colchão M.E."/>
    <m/>
    <s v="CONEXÃO MALHAS"/>
    <n v="45502"/>
    <m/>
    <m/>
    <n v="25533.47"/>
    <s v="MT "/>
    <n v="280"/>
    <m/>
    <n v="1292"/>
    <m/>
    <m/>
    <m/>
    <m/>
    <m/>
    <m/>
    <m/>
    <m/>
    <m/>
    <m/>
    <m/>
    <s v="DIVINO S.A"/>
    <s v="CONEXAO MALHAS E DESENVOLVIMENTO LTDA"/>
    <n v="19.762747678018577"/>
  </r>
  <r>
    <x v="2"/>
    <x v="3"/>
    <s v="COLCHÃO M.E."/>
    <s v="DIRETO"/>
    <x v="1"/>
    <s v="NADA"/>
    <x v="1"/>
    <n v="53637"/>
    <n v="3009"/>
    <x v="308"/>
    <s v="DIVINO COLCHONES"/>
    <s v="EX"/>
    <s v="Colchão M.E."/>
    <m/>
    <s v="CONEXÃO MALHAS"/>
    <n v="45502"/>
    <m/>
    <m/>
    <n v="15539.17"/>
    <s v="MT "/>
    <n v="300"/>
    <m/>
    <n v="640"/>
    <m/>
    <m/>
    <m/>
    <m/>
    <m/>
    <m/>
    <m/>
    <m/>
    <m/>
    <m/>
    <m/>
    <s v="DIVINO S.A"/>
    <s v="CONEXAO MALHAS E DESENVOLVIMENTO LTDA"/>
    <n v="24.279953124999999"/>
  </r>
  <r>
    <x v="2"/>
    <x v="3"/>
    <s v="COLCHÃO M.E."/>
    <s v="DIRETO"/>
    <x v="1"/>
    <s v="NADA"/>
    <x v="1"/>
    <n v="53637"/>
    <n v="3343"/>
    <x v="338"/>
    <s v="DIVINO COLCHONES"/>
    <s v="EX"/>
    <s v="Colchão M.E."/>
    <m/>
    <s v="CONEXÃO MALHAS"/>
    <n v="45502"/>
    <m/>
    <m/>
    <n v="17250.060000000001"/>
    <s v="MT "/>
    <n v="390"/>
    <m/>
    <n v="611"/>
    <m/>
    <m/>
    <m/>
    <m/>
    <m/>
    <m/>
    <m/>
    <m/>
    <m/>
    <m/>
    <m/>
    <s v="DIVINO S.A"/>
    <s v="CONEXAO MALHAS E DESENVOLVIMENTO LTDA"/>
    <n v="28.232504091653031"/>
  </r>
  <r>
    <x v="2"/>
    <x v="3"/>
    <s v="COLCHÃO M.E."/>
    <s v="DIRETO"/>
    <x v="1"/>
    <s v="NADA"/>
    <x v="1"/>
    <n v="53637"/>
    <n v="1236"/>
    <x v="168"/>
    <s v="DIVINO COLCHONES"/>
    <s v="EX"/>
    <s v="Colchão M.E."/>
    <m/>
    <s v="CONEXÃO MALHAS"/>
    <n v="45502"/>
    <m/>
    <m/>
    <n v="7035.54"/>
    <s v="MT "/>
    <n v="240"/>
    <m/>
    <n v="356"/>
    <m/>
    <m/>
    <m/>
    <m/>
    <m/>
    <m/>
    <m/>
    <m/>
    <m/>
    <m/>
    <m/>
    <s v="DIVINO S.A"/>
    <s v="CONEXAO MALHAS E DESENVOLVIMENTO LTDA"/>
    <n v="19.762752808988765"/>
  </r>
  <r>
    <x v="2"/>
    <x v="3"/>
    <s v="COLCHÃO M.E."/>
    <s v="DIRETO"/>
    <x v="1"/>
    <s v="NADA"/>
    <x v="1"/>
    <n v="53637"/>
    <n v="1504"/>
    <x v="167"/>
    <s v="DIVINO COLCHONES"/>
    <s v="EX"/>
    <s v="Colchão M.E."/>
    <m/>
    <s v="CONEXÃO MALHAS"/>
    <n v="45502"/>
    <m/>
    <m/>
    <n v="51645.15"/>
    <s v="MT "/>
    <n v="240"/>
    <m/>
    <n v="3090"/>
    <m/>
    <m/>
    <m/>
    <m/>
    <m/>
    <m/>
    <m/>
    <m/>
    <m/>
    <m/>
    <m/>
    <s v="DIVINO S.A"/>
    <s v="CONEXAO MALHAS E DESENVOLVIMENTO LTDA"/>
    <n v="16.71364077669903"/>
  </r>
  <r>
    <x v="2"/>
    <x v="3"/>
    <s v="COLCHÃO M.E."/>
    <s v="DIRETO"/>
    <x v="1"/>
    <s v="NADA"/>
    <x v="1"/>
    <n v="53637"/>
    <n v="1236"/>
    <x v="168"/>
    <s v="DIVINO COLCHONES"/>
    <s v="EX"/>
    <s v="Colchão M.E."/>
    <m/>
    <s v="CONEXÃO MALHAS"/>
    <n v="45502"/>
    <m/>
    <m/>
    <n v="24327.95"/>
    <s v="MT "/>
    <n v="240"/>
    <m/>
    <n v="1231"/>
    <m/>
    <m/>
    <m/>
    <m/>
    <m/>
    <m/>
    <m/>
    <m/>
    <m/>
    <m/>
    <m/>
    <s v="DIVINO S.A"/>
    <s v="CONEXAO MALHAS E DESENVOLVIMENTO LTDA"/>
    <n v="19.762753858651504"/>
  </r>
  <r>
    <x v="2"/>
    <x v="3"/>
    <s v="COLCHÃO M.E."/>
    <s v="DIRETO"/>
    <x v="1"/>
    <s v="NADA"/>
    <x v="1"/>
    <n v="53637"/>
    <n v="1236"/>
    <x v="168"/>
    <s v="DIVINO COLCHONES"/>
    <s v="EX"/>
    <s v="Colchão M.E."/>
    <m/>
    <s v="CONEXÃO MALHAS"/>
    <n v="45502"/>
    <m/>
    <m/>
    <n v="3675.87"/>
    <s v="MT "/>
    <n v="240"/>
    <m/>
    <n v="186"/>
    <m/>
    <m/>
    <m/>
    <m/>
    <m/>
    <m/>
    <m/>
    <m/>
    <m/>
    <m/>
    <m/>
    <s v="DIVINO S.A"/>
    <s v="CONEXAO MALHAS E DESENVOLVIMENTO LTDA"/>
    <n v="19.76274193548387"/>
  </r>
  <r>
    <x v="2"/>
    <x v="3"/>
    <s v="COLCHÃO M.E."/>
    <s v="DIRETO"/>
    <x v="1"/>
    <s v="NADA"/>
    <x v="1"/>
    <n v="53637"/>
    <n v="1225"/>
    <x v="194"/>
    <s v="DIVINO COLCHONES"/>
    <s v="EX"/>
    <s v="Colchão M.E."/>
    <m/>
    <s v="CONEXÃO MALHAS"/>
    <n v="45502"/>
    <m/>
    <m/>
    <n v="25488.3"/>
    <s v="MT "/>
    <n v="240"/>
    <m/>
    <n v="1525"/>
    <m/>
    <m/>
    <m/>
    <m/>
    <m/>
    <m/>
    <m/>
    <m/>
    <m/>
    <m/>
    <m/>
    <s v="DIVINO S.A"/>
    <s v="CONEXAO MALHAS E DESENVOLVIMENTO LTDA"/>
    <n v="16.713639344262294"/>
  </r>
  <r>
    <x v="2"/>
    <x v="3"/>
    <s v="COLCHÃO M.E."/>
    <s v="DIRETO"/>
    <x v="1"/>
    <s v="NADA"/>
    <x v="1"/>
    <n v="53638"/>
    <n v="1523"/>
    <x v="184"/>
    <s v="DIVINO COLCHONES"/>
    <s v="EX"/>
    <s v="Colchão M.E."/>
    <m/>
    <s v="CONEXÃO MALHAS"/>
    <n v="45502"/>
    <m/>
    <m/>
    <n v="3836.8"/>
    <s v="MT "/>
    <m/>
    <m/>
    <n v="450"/>
    <m/>
    <m/>
    <m/>
    <m/>
    <m/>
    <m/>
    <m/>
    <m/>
    <m/>
    <m/>
    <m/>
    <s v="DIVINO S.A"/>
    <s v="CONEXAO MALHAS E DESENVOLVIMENTO LTDA"/>
    <n v="8.5262222222222235"/>
  </r>
  <r>
    <x v="2"/>
    <x v="3"/>
    <s v="COLCHÃO M.E."/>
    <s v="DIRETO"/>
    <x v="1"/>
    <s v="NADA"/>
    <x v="1"/>
    <n v="53638"/>
    <n v="1523"/>
    <x v="184"/>
    <s v="DIVINO COLCHONES"/>
    <s v="EX"/>
    <s v="Colchão M.E."/>
    <m/>
    <s v="CONEXÃO MALHAS"/>
    <n v="45502"/>
    <m/>
    <m/>
    <n v="6053.61"/>
    <s v="MT "/>
    <m/>
    <m/>
    <n v="710"/>
    <m/>
    <m/>
    <m/>
    <m/>
    <m/>
    <m/>
    <m/>
    <m/>
    <m/>
    <m/>
    <m/>
    <s v="DIVINO S.A"/>
    <s v="CONEXAO MALHAS E DESENVOLVIMENTO LTDA"/>
    <n v="8.5262112676056336"/>
  </r>
  <r>
    <x v="2"/>
    <x v="3"/>
    <s v="COLCHÃO M.E."/>
    <s v="DIRETO"/>
    <x v="1"/>
    <s v="NADA"/>
    <x v="1"/>
    <n v="53638"/>
    <n v="1905"/>
    <x v="193"/>
    <s v="DIVINO COLCHONES"/>
    <s v="EX"/>
    <s v="Colchão M.E."/>
    <m/>
    <s v="CONEXÃO MALHAS"/>
    <n v="45502"/>
    <m/>
    <m/>
    <n v="1174.47"/>
    <s v="MT "/>
    <m/>
    <m/>
    <n v="130"/>
    <m/>
    <m/>
    <m/>
    <m/>
    <m/>
    <m/>
    <m/>
    <m/>
    <m/>
    <m/>
    <m/>
    <s v="DIVINO S.A"/>
    <s v="CONEXAO MALHAS E DESENVOLVIMENTO LTDA"/>
    <n v="9.0343846153846155"/>
  </r>
  <r>
    <x v="2"/>
    <x v="3"/>
    <s v="COLCHÃO M.E."/>
    <s v="DIRETO"/>
    <x v="1"/>
    <s v="NADA"/>
    <x v="1"/>
    <n v="53638"/>
    <n v="1905"/>
    <x v="193"/>
    <s v="DIVINO COLCHONES"/>
    <s v="EX"/>
    <s v="Colchão M.E."/>
    <m/>
    <s v="CONEXÃO MALHAS"/>
    <n v="45502"/>
    <m/>
    <m/>
    <n v="10389.56"/>
    <s v="MT "/>
    <m/>
    <m/>
    <n v="1150"/>
    <m/>
    <m/>
    <m/>
    <m/>
    <m/>
    <m/>
    <m/>
    <m/>
    <m/>
    <m/>
    <m/>
    <s v="DIVINO S.A"/>
    <s v="CONEXAO MALHAS E DESENVOLVIMENTO LTDA"/>
    <n v="9.0343999999999998"/>
  </r>
  <r>
    <x v="11"/>
    <x v="3"/>
    <s v="COLCHÃO M.E."/>
    <s v="DIRETO"/>
    <x v="29"/>
    <s v="NADA"/>
    <x v="7"/>
    <n v="53841"/>
    <n v="3334"/>
    <x v="339"/>
    <s v="ESPUMAS PLASTICAS SAS - COMODISIMO"/>
    <s v="EX"/>
    <s v="COLCHAO ME"/>
    <m/>
    <s v="DIRETO"/>
    <n v="45511"/>
    <m/>
    <m/>
    <n v="32870.47"/>
    <s v="MT "/>
    <n v="260"/>
    <m/>
    <n v="2982"/>
    <m/>
    <m/>
    <m/>
    <m/>
    <m/>
    <m/>
    <m/>
    <m/>
    <m/>
    <m/>
    <m/>
    <s v="ESPUMAS PLASTICAS SAS - COMODISIMO"/>
    <s v="CARLOS FIDENCIO D AVALOS RUIZ JUNIOR 34496952823"/>
    <n v="11.022961099932932"/>
  </r>
  <r>
    <x v="11"/>
    <x v="3"/>
    <s v="COLCHÃO M.E."/>
    <s v="DIRETO"/>
    <x v="9"/>
    <s v="NADA"/>
    <x v="2"/>
    <n v="54041"/>
    <n v="1422"/>
    <x v="232"/>
    <s v="FLEX CHILE"/>
    <s v="EX"/>
    <s v="COLCHAO ME"/>
    <m/>
    <s v="DIRETO"/>
    <n v="45524"/>
    <m/>
    <m/>
    <n v="7935.47"/>
    <s v="MT "/>
    <n v="240"/>
    <m/>
    <n v="517"/>
    <m/>
    <m/>
    <m/>
    <m/>
    <m/>
    <m/>
    <m/>
    <m/>
    <m/>
    <m/>
    <m/>
    <s v="FLEX CHILE"/>
    <s v="CARLOS FIDENCIO D AVALOS RUIZ JUNIOR 34496952823"/>
    <n v="15.349071566731142"/>
  </r>
  <r>
    <x v="11"/>
    <x v="3"/>
    <s v="COLCHÃO M.E."/>
    <s v="DIRETO"/>
    <x v="9"/>
    <s v="NADA"/>
    <x v="2"/>
    <n v="54041"/>
    <n v="3378"/>
    <x v="340"/>
    <s v="FLEX CHILE"/>
    <s v="EX"/>
    <s v="COLCHAO ME"/>
    <m/>
    <s v="DIRETO"/>
    <n v="45524"/>
    <m/>
    <m/>
    <n v="14336.2"/>
    <s v="MT "/>
    <n v="370"/>
    <m/>
    <n v="545"/>
    <m/>
    <m/>
    <m/>
    <m/>
    <m/>
    <m/>
    <m/>
    <m/>
    <m/>
    <m/>
    <m/>
    <s v="FLEX CHILE"/>
    <s v="CARLOS FIDENCIO D AVALOS RUIZ JUNIOR 34496952823"/>
    <n v="26.304954128440368"/>
  </r>
  <r>
    <x v="11"/>
    <x v="3"/>
    <s v="COLCHÃO M.E."/>
    <s v="DIRETO"/>
    <x v="9"/>
    <s v="NADA"/>
    <x v="2"/>
    <n v="54041"/>
    <n v="3378"/>
    <x v="340"/>
    <s v="FLEX CHILE"/>
    <s v="EX"/>
    <s v="COLCHAO ME"/>
    <m/>
    <s v="DIRETO"/>
    <n v="45524"/>
    <m/>
    <m/>
    <n v="1157.42"/>
    <s v="MT "/>
    <n v="370"/>
    <m/>
    <n v="44"/>
    <m/>
    <m/>
    <m/>
    <m/>
    <m/>
    <m/>
    <m/>
    <m/>
    <m/>
    <m/>
    <m/>
    <s v="FLEX CHILE"/>
    <s v="CARLOS FIDENCIO D AVALOS RUIZ JUNIOR 34496952823"/>
    <n v="26.305000000000003"/>
  </r>
  <r>
    <x v="11"/>
    <x v="3"/>
    <s v="COLCHÃO M.E."/>
    <s v="DIRETO"/>
    <x v="9"/>
    <s v="NADA"/>
    <x v="2"/>
    <n v="54041"/>
    <n v="1422"/>
    <x v="232"/>
    <s v="FLEX CHILE"/>
    <s v="EX"/>
    <s v="COLCHAO ME"/>
    <m/>
    <s v="DIRETO"/>
    <n v="45524"/>
    <m/>
    <m/>
    <n v="16960.72"/>
    <s v="MT "/>
    <n v="240"/>
    <m/>
    <n v="1105"/>
    <m/>
    <m/>
    <m/>
    <m/>
    <m/>
    <m/>
    <m/>
    <m/>
    <m/>
    <m/>
    <m/>
    <s v="FLEX CHILE"/>
    <s v="CARLOS FIDENCIO D AVALOS RUIZ JUNIOR 34496952823"/>
    <n v="15.349067873303168"/>
  </r>
  <r>
    <x v="11"/>
    <x v="3"/>
    <s v="COLCHÃO M.E."/>
    <s v="DIRETO"/>
    <x v="9"/>
    <s v="NADA"/>
    <x v="2"/>
    <n v="54041"/>
    <n v="1419"/>
    <x v="234"/>
    <s v="FLEX CHILE"/>
    <s v="EX"/>
    <s v="COLCHAO ME"/>
    <m/>
    <s v="DIRETO"/>
    <n v="45524"/>
    <m/>
    <m/>
    <n v="30679.16"/>
    <s v="MT "/>
    <n v="180"/>
    <m/>
    <n v="2514"/>
    <m/>
    <m/>
    <m/>
    <m/>
    <m/>
    <m/>
    <m/>
    <m/>
    <m/>
    <m/>
    <m/>
    <s v="FLEX CHILE"/>
    <s v="CARLOS FIDENCIO D AVALOS RUIZ JUNIOR 34496952823"/>
    <n v="12.20332537788385"/>
  </r>
  <r>
    <x v="11"/>
    <x v="3"/>
    <s v="COLCHÃO M.E."/>
    <s v="DIRETO"/>
    <x v="9"/>
    <s v="NADA"/>
    <x v="2"/>
    <n v="54041"/>
    <n v="1422"/>
    <x v="232"/>
    <s v="FLEX CHILE"/>
    <s v="EX"/>
    <s v="COLCHAO ME"/>
    <m/>
    <s v="DIRETO"/>
    <n v="45524"/>
    <m/>
    <m/>
    <n v="3254"/>
    <s v="MT "/>
    <n v="240"/>
    <m/>
    <n v="212"/>
    <m/>
    <m/>
    <m/>
    <m/>
    <m/>
    <m/>
    <m/>
    <m/>
    <m/>
    <m/>
    <m/>
    <s v="FLEX CHILE"/>
    <s v="CARLOS FIDENCIO D AVALOS RUIZ JUNIOR 34496952823"/>
    <n v="15.349056603773585"/>
  </r>
  <r>
    <x v="11"/>
    <x v="3"/>
    <s v="COLCHÃO M.E."/>
    <s v="DIRETO"/>
    <x v="9"/>
    <s v="NADA"/>
    <x v="2"/>
    <n v="54041"/>
    <n v="1422"/>
    <x v="232"/>
    <s v="FLEX CHILE"/>
    <s v="EX"/>
    <s v="COLCHAO ME"/>
    <m/>
    <s v="DIRETO"/>
    <n v="45524"/>
    <m/>
    <m/>
    <n v="3161.91"/>
    <s v="MT "/>
    <n v="240"/>
    <m/>
    <n v="206"/>
    <m/>
    <m/>
    <m/>
    <m/>
    <m/>
    <m/>
    <m/>
    <m/>
    <m/>
    <m/>
    <m/>
    <s v="FLEX CHILE"/>
    <s v="CARLOS FIDENCIO D AVALOS RUIZ JUNIOR 34496952823"/>
    <n v="15.349077669902911"/>
  </r>
  <r>
    <x v="11"/>
    <x v="3"/>
    <s v="COLCHÃO M.E."/>
    <s v="DIRETO"/>
    <x v="9"/>
    <s v="NADA"/>
    <x v="2"/>
    <n v="54041"/>
    <n v="1419"/>
    <x v="234"/>
    <s v="FLEX CHILE"/>
    <s v="EX"/>
    <s v="COLCHAO ME"/>
    <m/>
    <s v="DIRETO"/>
    <n v="45524"/>
    <m/>
    <m/>
    <n v="65434.23"/>
    <s v="MT "/>
    <n v="180"/>
    <m/>
    <n v="5362"/>
    <m/>
    <m/>
    <m/>
    <m/>
    <m/>
    <m/>
    <m/>
    <m/>
    <m/>
    <m/>
    <m/>
    <s v="FLEX CHILE"/>
    <s v="CARLOS FIDENCIO D AVALOS RUIZ JUNIOR 34496952823"/>
    <n v="12.203325251771728"/>
  </r>
  <r>
    <x v="11"/>
    <x v="3"/>
    <s v="COLCHÃO M.E."/>
    <s v="DIRETO"/>
    <x v="28"/>
    <s v="NADA"/>
    <x v="2"/>
    <n v="54121"/>
    <n v="2000"/>
    <x v="207"/>
    <s v="COMERCIALIZADORA SL SUNLOCK LTDA"/>
    <s v="EX"/>
    <s v="COLCHAO ME"/>
    <m/>
    <s v="DIRETO"/>
    <n v="45527"/>
    <m/>
    <m/>
    <n v="29452.26"/>
    <s v="MT "/>
    <n v="380"/>
    <m/>
    <n v="1026"/>
    <m/>
    <m/>
    <m/>
    <m/>
    <m/>
    <m/>
    <m/>
    <m/>
    <m/>
    <m/>
    <m/>
    <s v="COMERCIALIZADORA SL SUNLOCK LTDA"/>
    <s v="CARLOS FIDENCIO D AVALOS RUIZ JUNIOR 34496952823"/>
    <n v="28.705906432748538"/>
  </r>
  <r>
    <x v="11"/>
    <x v="3"/>
    <s v="COLCHÃO M.E."/>
    <s v="DIRETO"/>
    <x v="28"/>
    <s v="NADA"/>
    <x v="2"/>
    <n v="54121"/>
    <n v="2536"/>
    <x v="282"/>
    <s v="COMERCIALIZADORA SL SUNLOCK LTDA"/>
    <s v="EX"/>
    <s v="COLCHAO ME"/>
    <m/>
    <s v="DIRETO"/>
    <n v="45527"/>
    <m/>
    <m/>
    <n v="36431.46"/>
    <s v="MT "/>
    <n v="440"/>
    <m/>
    <n v="1011"/>
    <m/>
    <m/>
    <m/>
    <m/>
    <m/>
    <m/>
    <m/>
    <m/>
    <m/>
    <m/>
    <m/>
    <s v="COMERCIALIZADORA SL SUNLOCK LTDA"/>
    <s v="CARLOS FIDENCIO D AVALOS RUIZ JUNIOR 34496952823"/>
    <n v="36.035074183976263"/>
  </r>
  <r>
    <x v="11"/>
    <x v="3"/>
    <s v="COLCHÃO M.E."/>
    <s v="DIRETO"/>
    <x v="28"/>
    <s v="NADA"/>
    <x v="2"/>
    <n v="54121"/>
    <n v="3275"/>
    <x v="341"/>
    <s v="COMERCIALIZADORA SL SUNLOCK LTDA"/>
    <s v="EX"/>
    <s v="COLCHAO ME"/>
    <m/>
    <s v="DIRETO"/>
    <n v="45527"/>
    <m/>
    <m/>
    <n v="13556.18"/>
    <s v="MT "/>
    <n v="350"/>
    <m/>
    <n v="514"/>
    <m/>
    <m/>
    <m/>
    <m/>
    <m/>
    <m/>
    <m/>
    <m/>
    <m/>
    <m/>
    <m/>
    <s v="COMERCIALIZADORA SL SUNLOCK LTDA"/>
    <s v="CARLOS FIDENCIO D AVALOS RUIZ JUNIOR 34496952823"/>
    <n v="26.373891050583659"/>
  </r>
  <r>
    <x v="11"/>
    <x v="3"/>
    <s v="COLCHÃO M.E."/>
    <s v="DIRETO"/>
    <x v="28"/>
    <s v="NADA"/>
    <x v="2"/>
    <n v="54121"/>
    <n v="3276"/>
    <x v="337"/>
    <s v="COMERCIALIZADORA SL SUNLOCK LTDA"/>
    <s v="EX"/>
    <s v="COLCHAO ME"/>
    <m/>
    <s v="DIRETO"/>
    <n v="45527"/>
    <m/>
    <m/>
    <n v="30362.74"/>
    <s v="MT "/>
    <n v="380"/>
    <m/>
    <n v="882"/>
    <m/>
    <m/>
    <m/>
    <m/>
    <m/>
    <m/>
    <m/>
    <m/>
    <m/>
    <m/>
    <m/>
    <s v="COMERCIALIZADORA SL SUNLOCK LTDA"/>
    <s v="CARLOS FIDENCIO D AVALOS RUIZ JUNIOR 34496952823"/>
    <n v="34.424875283446717"/>
  </r>
  <r>
    <x v="11"/>
    <x v="3"/>
    <s v="COLCHÃO M.E."/>
    <s v="DIRETO"/>
    <x v="28"/>
    <s v="NADA"/>
    <x v="2"/>
    <n v="54121"/>
    <n v="3397"/>
    <x v="342"/>
    <s v="COMERCIALIZADORA SL SUNLOCK LTDA"/>
    <s v="EX"/>
    <s v="COLCHAO ME"/>
    <m/>
    <s v="DIRETO"/>
    <n v="45527"/>
    <m/>
    <m/>
    <n v="14205.26"/>
    <s v="MT "/>
    <n v="380"/>
    <m/>
    <n v="492"/>
    <m/>
    <m/>
    <m/>
    <m/>
    <m/>
    <m/>
    <m/>
    <m/>
    <m/>
    <m/>
    <m/>
    <s v="COMERCIALIZADORA SL SUNLOCK LTDA"/>
    <s v="CARLOS FIDENCIO D AVALOS RUIZ JUNIOR 34496952823"/>
    <n v="28.872479674796747"/>
  </r>
  <r>
    <x v="11"/>
    <x v="3"/>
    <s v="COLCHÃO M.E."/>
    <s v="DIRETO"/>
    <x v="28"/>
    <s v="NADA"/>
    <x v="2"/>
    <n v="54121"/>
    <n v="1904"/>
    <x v="196"/>
    <s v="COMERCIALIZADORA SL SUNLOCK LTDA"/>
    <s v="EX"/>
    <s v="COLCHAO ME"/>
    <m/>
    <s v="DIRETO"/>
    <n v="45527"/>
    <m/>
    <m/>
    <n v="11221.4"/>
    <s v="MT "/>
    <n v="450"/>
    <m/>
    <n v="470"/>
    <m/>
    <m/>
    <m/>
    <m/>
    <m/>
    <m/>
    <m/>
    <m/>
    <m/>
    <m/>
    <m/>
    <s v="COMERCIALIZADORA SL SUNLOCK LTDA"/>
    <s v="CARLOS FIDENCIO D AVALOS RUIZ JUNIOR 34496952823"/>
    <n v="23.875319148936171"/>
  </r>
  <r>
    <x v="11"/>
    <x v="3"/>
    <s v="COLCHÃO M.E."/>
    <s v="DIRETO"/>
    <x v="30"/>
    <s v="NADA"/>
    <x v="8"/>
    <n v="54252"/>
    <n v="3384"/>
    <x v="343"/>
    <s v="CLC COLCHONES C.A."/>
    <s v="EX"/>
    <s v="COLCHAO ME"/>
    <m/>
    <s v="DIRETO"/>
    <n v="45534"/>
    <m/>
    <m/>
    <n v="19481.830000000002"/>
    <s v="MT "/>
    <n v="280"/>
    <m/>
    <n v="1192"/>
    <m/>
    <m/>
    <m/>
    <m/>
    <m/>
    <m/>
    <m/>
    <m/>
    <m/>
    <m/>
    <m/>
    <s v="CLC COLCHONES C.A."/>
    <s v="CARLOS FIDENCIO D AVALOS RUIZ JUNIOR 34496952823"/>
    <n v="16.343817114093962"/>
  </r>
  <r>
    <x v="11"/>
    <x v="3"/>
    <s v="COLCHÃO M.E."/>
    <s v="DIRETO"/>
    <x v="30"/>
    <s v="NADA"/>
    <x v="8"/>
    <n v="54252"/>
    <n v="3402"/>
    <x v="344"/>
    <s v="CLC COLCHONES C.A."/>
    <s v="EX"/>
    <s v="COLCHAO ME"/>
    <m/>
    <s v="DIRETO"/>
    <n v="45534"/>
    <m/>
    <m/>
    <n v="8845.0499999999993"/>
    <s v="MT "/>
    <n v="180"/>
    <m/>
    <n v="1154"/>
    <m/>
    <m/>
    <m/>
    <m/>
    <m/>
    <m/>
    <m/>
    <m/>
    <m/>
    <m/>
    <m/>
    <s v="CLC COLCHONES C.A."/>
    <s v="CARLOS FIDENCIO D AVALOS RUIZ JUNIOR 34496952823"/>
    <n v="7.6646880415944532"/>
  </r>
  <r>
    <x v="11"/>
    <x v="3"/>
    <s v="COLCHÃO M.E."/>
    <s v="DIRETO"/>
    <x v="30"/>
    <s v="NADA"/>
    <x v="8"/>
    <n v="54252"/>
    <n v="3401"/>
    <x v="345"/>
    <s v="CLC COLCHONES C.A."/>
    <s v="EX"/>
    <s v="COLCHAO ME"/>
    <m/>
    <s v="DIRETO"/>
    <n v="45534"/>
    <m/>
    <m/>
    <n v="7304.45"/>
    <s v="MT "/>
    <n v="180"/>
    <m/>
    <n v="953"/>
    <m/>
    <m/>
    <m/>
    <m/>
    <m/>
    <m/>
    <m/>
    <m/>
    <m/>
    <m/>
    <m/>
    <s v="CLC COLCHONES C.A."/>
    <s v="CARLOS FIDENCIO D AVALOS RUIZ JUNIOR 34496952823"/>
    <n v="7.6646904512067158"/>
  </r>
  <r>
    <x v="11"/>
    <x v="3"/>
    <s v="COLCHÃO M.E."/>
    <s v="DIRETO"/>
    <x v="30"/>
    <s v="NADA"/>
    <x v="8"/>
    <n v="54252"/>
    <n v="3400"/>
    <x v="346"/>
    <s v="CLC COLCHONES C.A."/>
    <s v="EX"/>
    <s v="COLCHAO ME"/>
    <m/>
    <s v="DIRETO"/>
    <n v="45534"/>
    <m/>
    <m/>
    <n v="26685.29"/>
    <s v="MT "/>
    <n v="300"/>
    <m/>
    <n v="1308"/>
    <m/>
    <m/>
    <m/>
    <m/>
    <m/>
    <m/>
    <m/>
    <m/>
    <m/>
    <m/>
    <m/>
    <s v="CLC COLCHONES C.A."/>
    <s v="CARLOS FIDENCIO D AVALOS RUIZ JUNIOR 34496952823"/>
    <n v="20.401597859327218"/>
  </r>
  <r>
    <x v="11"/>
    <x v="3"/>
    <s v="COLCHÃO M.E."/>
    <s v="DIRETO"/>
    <x v="30"/>
    <s v="NADA"/>
    <x v="8"/>
    <n v="54252"/>
    <n v="3386"/>
    <x v="347"/>
    <s v="CLC COLCHONES C.A."/>
    <s v="EX"/>
    <s v="COLCHAO ME"/>
    <m/>
    <s v="DIRETO"/>
    <n v="45534"/>
    <m/>
    <m/>
    <n v="10997.25"/>
    <s v="MT "/>
    <n v="180"/>
    <m/>
    <n v="2121"/>
    <m/>
    <m/>
    <m/>
    <m/>
    <m/>
    <m/>
    <m/>
    <m/>
    <m/>
    <m/>
    <m/>
    <s v="CLC COLCHONES C.A."/>
    <s v="CARLOS FIDENCIO D AVALOS RUIZ JUNIOR 34496952823"/>
    <n v="5.1849363507779351"/>
  </r>
  <r>
    <x v="11"/>
    <x v="3"/>
    <s v="COLCHÃO M.E."/>
    <s v="DIRETO"/>
    <x v="30"/>
    <s v="NADA"/>
    <x v="8"/>
    <n v="54252"/>
    <n v="3385"/>
    <x v="348"/>
    <s v="CLC COLCHONES C.A."/>
    <s v="EX"/>
    <s v="COLCHAO ME"/>
    <m/>
    <s v="DIRETO"/>
    <n v="45534"/>
    <m/>
    <m/>
    <n v="12731.27"/>
    <s v="MT "/>
    <n v="260"/>
    <m/>
    <n v="1255"/>
    <m/>
    <m/>
    <m/>
    <m/>
    <m/>
    <m/>
    <m/>
    <m/>
    <m/>
    <m/>
    <m/>
    <s v="CLC COLCHONES C.A."/>
    <s v="CARLOS FIDENCIO D AVALOS RUIZ JUNIOR 34496952823"/>
    <n v="10.144438247011953"/>
  </r>
  <r>
    <x v="11"/>
    <x v="3"/>
    <s v="COLCHÃO M.E."/>
    <s v="DIRETO"/>
    <x v="30"/>
    <s v="NADA"/>
    <x v="8"/>
    <n v="54252"/>
    <n v="3357"/>
    <x v="349"/>
    <s v="CLC COLCHONES C.A."/>
    <s v="EX"/>
    <s v="COLCHAO ME"/>
    <m/>
    <s v="DIRETO"/>
    <n v="45534"/>
    <m/>
    <m/>
    <n v="18823.57"/>
    <s v="MT "/>
    <n v="180"/>
    <m/>
    <n v="2672"/>
    <m/>
    <m/>
    <m/>
    <m/>
    <m/>
    <m/>
    <m/>
    <m/>
    <m/>
    <m/>
    <m/>
    <s v="CLC COLCHONES C.A."/>
    <s v="CARLOS FIDENCIO D AVALOS RUIZ JUNIOR 34496952823"/>
    <n v="7.0447492514970058"/>
  </r>
  <r>
    <x v="11"/>
    <x v="3"/>
    <s v="COLCHÃO M.E."/>
    <s v="DIRETO"/>
    <x v="30"/>
    <s v="NADA"/>
    <x v="8"/>
    <n v="54252"/>
    <n v="3383"/>
    <x v="350"/>
    <s v="CLC COLCHONES C.A."/>
    <s v="EX"/>
    <s v="COLCHAO ME"/>
    <m/>
    <s v="DIRETO"/>
    <n v="45534"/>
    <m/>
    <m/>
    <n v="27175.15"/>
    <s v="MT "/>
    <n v="260"/>
    <m/>
    <n v="2026"/>
    <m/>
    <m/>
    <m/>
    <m/>
    <m/>
    <m/>
    <m/>
    <m/>
    <m/>
    <m/>
    <m/>
    <s v="CLC COLCHONES C.A."/>
    <s v="CARLOS FIDENCIO D AVALOS RUIZ JUNIOR 34496952823"/>
    <n v="13.413203356367227"/>
  </r>
  <r>
    <x v="11"/>
    <x v="3"/>
    <s v="COLCHÃO M.E."/>
    <s v="DIRETO"/>
    <x v="30"/>
    <s v="NADA"/>
    <x v="8"/>
    <n v="54252"/>
    <n v="3382"/>
    <x v="351"/>
    <s v="CLC COLCHONES C.A."/>
    <s v="EX"/>
    <s v="COLCHAO ME"/>
    <m/>
    <s v="DIRETO"/>
    <n v="45534"/>
    <m/>
    <m/>
    <n v="25455.11"/>
    <s v="MT "/>
    <n v="240"/>
    <m/>
    <n v="1981"/>
    <m/>
    <m/>
    <m/>
    <m/>
    <m/>
    <m/>
    <m/>
    <m/>
    <m/>
    <m/>
    <m/>
    <s v="CLC COLCHONES C.A."/>
    <s v="CARLOS FIDENCIO D AVALOS RUIZ JUNIOR 34496952823"/>
    <n v="12.849626451287229"/>
  </r>
  <r>
    <x v="11"/>
    <x v="3"/>
    <s v="COLCHÃO M.E."/>
    <s v="DIRETO"/>
    <x v="30"/>
    <s v="NADA"/>
    <x v="8"/>
    <n v="54252"/>
    <n v="3374"/>
    <x v="352"/>
    <s v="CLC COLCHONES C.A."/>
    <s v="EX"/>
    <s v="COLCHAO ME"/>
    <m/>
    <s v="DIRETO"/>
    <n v="45534"/>
    <m/>
    <m/>
    <n v="26714.37"/>
    <s v="MT "/>
    <n v="240"/>
    <m/>
    <n v="2079"/>
    <m/>
    <m/>
    <m/>
    <m/>
    <m/>
    <m/>
    <m/>
    <m/>
    <m/>
    <m/>
    <m/>
    <s v="CLC COLCHONES C.A."/>
    <s v="CARLOS FIDENCIO D AVALOS RUIZ JUNIOR 34496952823"/>
    <n v="12.84962481962482"/>
  </r>
  <r>
    <x v="11"/>
    <x v="3"/>
    <s v="COLCHÃO M.E."/>
    <s v="DIRETO"/>
    <x v="30"/>
    <s v="NADA"/>
    <x v="8"/>
    <n v="54252"/>
    <n v="3360"/>
    <x v="353"/>
    <s v="CLC COLCHONES C.A."/>
    <s v="EX"/>
    <s v="COLCHAO ME"/>
    <m/>
    <s v="DIRETO"/>
    <n v="45534"/>
    <m/>
    <m/>
    <n v="20944.04"/>
    <s v="MT "/>
    <n v="180"/>
    <m/>
    <n v="2973"/>
    <m/>
    <m/>
    <m/>
    <m/>
    <m/>
    <m/>
    <m/>
    <m/>
    <m/>
    <m/>
    <m/>
    <s v="CLC COLCHONES C.A."/>
    <s v="CARLOS FIDENCIO D AVALOS RUIZ JUNIOR 34496952823"/>
    <n v="7.0447494113689881"/>
  </r>
  <r>
    <x v="11"/>
    <x v="3"/>
    <s v="COLCHÃO M.E."/>
    <s v="DIRETO"/>
    <x v="30"/>
    <s v="NADA"/>
    <x v="8"/>
    <n v="54252"/>
    <n v="3358"/>
    <x v="354"/>
    <s v="CLC COLCHONES C.A."/>
    <s v="EX"/>
    <s v="COLCHAO ME"/>
    <m/>
    <s v="DIRETO"/>
    <n v="45534"/>
    <m/>
    <m/>
    <n v="23292.99"/>
    <s v="MT "/>
    <n v="180"/>
    <m/>
    <n v="3039"/>
    <m/>
    <m/>
    <m/>
    <m/>
    <m/>
    <m/>
    <m/>
    <m/>
    <m/>
    <m/>
    <m/>
    <s v="CLC COLCHONES C.A."/>
    <s v="CARLOS FIDENCIO D AVALOS RUIZ JUNIOR 34496952823"/>
    <n v="7.664689042448174"/>
  </r>
  <r>
    <x v="11"/>
    <x v="3"/>
    <s v="COLCHÃO M.E."/>
    <s v="DIRETO"/>
    <x v="1"/>
    <s v="NADA"/>
    <x v="1"/>
    <n v="54260"/>
    <n v="2157"/>
    <x v="230"/>
    <s v="DIVINO COLCHONES"/>
    <s v="EX"/>
    <s v="COLCHAO ME"/>
    <m/>
    <s v="CONEXÃO MALHAS"/>
    <n v="45534"/>
    <m/>
    <m/>
    <n v="17967.04"/>
    <s v="MT "/>
    <n v="300"/>
    <m/>
    <n v="674"/>
    <m/>
    <m/>
    <m/>
    <m/>
    <m/>
    <m/>
    <m/>
    <m/>
    <m/>
    <m/>
    <m/>
    <s v="DIVINO S.A"/>
    <s v="CONEXAO MALHAS E DESENVOLVIMENTO LTDA"/>
    <n v="26.657329376854602"/>
  </r>
  <r>
    <x v="11"/>
    <x v="3"/>
    <s v="COLCHÃO M.E."/>
    <s v="DIRETO"/>
    <x v="1"/>
    <s v="NADA"/>
    <x v="1"/>
    <n v="54260"/>
    <n v="2054"/>
    <x v="224"/>
    <s v="DIVINO COLCHONES"/>
    <s v="EX"/>
    <s v="COLCHAO ME"/>
    <m/>
    <s v="CONEXÃO MALHAS"/>
    <n v="45534"/>
    <m/>
    <m/>
    <n v="16500.11"/>
    <s v="MT "/>
    <n v="280"/>
    <m/>
    <n v="914.91600000000005"/>
    <m/>
    <m/>
    <m/>
    <m/>
    <m/>
    <m/>
    <m/>
    <m/>
    <m/>
    <m/>
    <m/>
    <s v="DIVINO S.A"/>
    <s v="CONEXAO MALHAS E DESENVOLVIMENTO LTDA"/>
    <n v="18.034562735813999"/>
  </r>
  <r>
    <x v="11"/>
    <x v="3"/>
    <s v="COLCHÃO M.E."/>
    <s v="DIRETO"/>
    <x v="1"/>
    <s v="NADA"/>
    <x v="1"/>
    <n v="54260"/>
    <n v="1506"/>
    <x v="162"/>
    <s v="DIVINO COLCHONES"/>
    <s v="EX"/>
    <s v="COLCHAO ME"/>
    <m/>
    <s v="CONEXÃO MALHAS"/>
    <n v="45534"/>
    <m/>
    <m/>
    <n v="24321.29"/>
    <s v="MT "/>
    <n v="280"/>
    <m/>
    <n v="1233"/>
    <m/>
    <m/>
    <m/>
    <m/>
    <m/>
    <m/>
    <m/>
    <m/>
    <m/>
    <m/>
    <m/>
    <s v="DIVINO S.A"/>
    <s v="CONEXAO MALHAS E DESENVOLVIMENTO LTDA"/>
    <n v="19.725296025952961"/>
  </r>
  <r>
    <x v="11"/>
    <x v="3"/>
    <s v="COLCHÃO M.E."/>
    <s v="DIRETO"/>
    <x v="1"/>
    <s v="NADA"/>
    <x v="1"/>
    <n v="54260"/>
    <n v="1525"/>
    <x v="185"/>
    <s v="DIVINO COLCHONES"/>
    <s v="EX"/>
    <s v="COLCHAO ME"/>
    <m/>
    <s v="CONEXÃO MALHAS"/>
    <n v="45534"/>
    <m/>
    <m/>
    <n v="29065.85"/>
    <s v="MT "/>
    <n v="320"/>
    <m/>
    <n v="1368"/>
    <m/>
    <m/>
    <m/>
    <m/>
    <m/>
    <m/>
    <m/>
    <m/>
    <m/>
    <m/>
    <m/>
    <s v="DIVINO S.A"/>
    <s v="CONEXAO MALHAS E DESENVOLVIMENTO LTDA"/>
    <n v="21.246966374269004"/>
  </r>
  <r>
    <x v="11"/>
    <x v="3"/>
    <s v="COLCHÃO M.E."/>
    <s v="DIRETO"/>
    <x v="1"/>
    <s v="NADA"/>
    <x v="1"/>
    <n v="54260"/>
    <n v="1236"/>
    <x v="168"/>
    <s v="DIVINO COLCHONES"/>
    <s v="EX"/>
    <s v="COLCHAO ME"/>
    <m/>
    <s v="CONEXÃO MALHAS"/>
    <n v="45534"/>
    <m/>
    <m/>
    <n v="22269.86"/>
    <s v="MT "/>
    <n v="240"/>
    <m/>
    <n v="1129"/>
    <m/>
    <m/>
    <m/>
    <m/>
    <m/>
    <m/>
    <m/>
    <m/>
    <m/>
    <m/>
    <m/>
    <s v="DIVINO S.A"/>
    <s v="CONEXAO MALHAS E DESENVOLVIMENTO LTDA"/>
    <n v="19.72529672276351"/>
  </r>
  <r>
    <x v="11"/>
    <x v="3"/>
    <s v="COLCHÃO M.E."/>
    <s v="DIRETO"/>
    <x v="1"/>
    <s v="NADA"/>
    <x v="1"/>
    <n v="54260"/>
    <n v="1225"/>
    <x v="194"/>
    <s v="DIVINO COLCHONES"/>
    <s v="EX"/>
    <s v="COLCHAO ME"/>
    <m/>
    <s v="CONEXÃO MALHAS"/>
    <n v="45534"/>
    <m/>
    <m/>
    <n v="47904.04"/>
    <s v="MT "/>
    <n v="240"/>
    <m/>
    <n v="2871.6060000000002"/>
    <m/>
    <m/>
    <m/>
    <m/>
    <m/>
    <m/>
    <m/>
    <m/>
    <m/>
    <m/>
    <m/>
    <s v="DIVINO S.A"/>
    <s v="CONEXAO MALHAS E DESENVOLVIMENTO LTDA"/>
    <n v="16.681968208730584"/>
  </r>
  <r>
    <x v="11"/>
    <x v="3"/>
    <s v="COLCHÃO M.E."/>
    <s v="DIRETO"/>
    <x v="1"/>
    <s v="NADA"/>
    <x v="1"/>
    <n v="54260"/>
    <n v="1504"/>
    <x v="167"/>
    <s v="DIVINO COLCHONES"/>
    <s v="EX"/>
    <s v="COLCHAO ME"/>
    <m/>
    <s v="CONEXÃO MALHAS"/>
    <n v="45534"/>
    <m/>
    <m/>
    <n v="11860.88"/>
    <s v="MT "/>
    <n v="240"/>
    <m/>
    <n v="711"/>
    <m/>
    <m/>
    <m/>
    <m/>
    <m/>
    <m/>
    <m/>
    <m/>
    <m/>
    <m/>
    <m/>
    <s v="DIVINO S.A"/>
    <s v="CONEXAO MALHAS E DESENVOLVIMENTO LTDA"/>
    <n v="16.68196905766526"/>
  </r>
  <r>
    <x v="11"/>
    <x v="3"/>
    <s v="COLCHÃO M.E."/>
    <s v="DIRETO"/>
    <x v="1"/>
    <s v="NADA"/>
    <x v="1"/>
    <n v="54261"/>
    <n v="1523"/>
    <x v="184"/>
    <s v="DIVINO COLCHONES"/>
    <s v="EX"/>
    <s v="COLCHAO ME"/>
    <m/>
    <s v="CONEXÃO MALHAS"/>
    <n v="45534"/>
    <m/>
    <m/>
    <n v="8833.44"/>
    <s v="MT "/>
    <m/>
    <m/>
    <n v="1038"/>
    <m/>
    <m/>
    <m/>
    <m/>
    <m/>
    <m/>
    <m/>
    <m/>
    <m/>
    <m/>
    <m/>
    <s v="DIVINO S.A"/>
    <s v="CONEXAO MALHAS E DESENVOLVIMENTO LTDA"/>
    <n v="8.5100578034682091"/>
  </r>
  <r>
    <x v="11"/>
    <x v="3"/>
    <s v="COLCHÃO M.E."/>
    <s v="DIRETO"/>
    <x v="1"/>
    <s v="NADA"/>
    <x v="1"/>
    <n v="54261"/>
    <n v="1905"/>
    <x v="193"/>
    <s v="DIVINO COLCHONES"/>
    <s v="EX"/>
    <s v="COLCHAO ME"/>
    <m/>
    <s v="CONEXÃO MALHAS"/>
    <n v="45534"/>
    <m/>
    <m/>
    <n v="10414.959999999999"/>
    <s v="MT "/>
    <m/>
    <m/>
    <n v="1155"/>
    <m/>
    <m/>
    <m/>
    <m/>
    <m/>
    <m/>
    <m/>
    <m/>
    <m/>
    <m/>
    <m/>
    <s v="DIVINO S.A"/>
    <s v="CONEXAO MALHAS E DESENVOLVIMENTO LTDA"/>
    <n v="9.0172813852813842"/>
  </r>
  <r>
    <x v="11"/>
    <x v="3"/>
    <s v="COLCHÃO M.E."/>
    <s v="DIRETO"/>
    <x v="1"/>
    <s v="NADA"/>
    <x v="1"/>
    <n v="54261"/>
    <n v="1523"/>
    <x v="184"/>
    <s v="DIVINO COLCHONES"/>
    <s v="EX"/>
    <s v="COLCHAO ME"/>
    <m/>
    <s v="CONEXÃO MALHAS"/>
    <n v="45534"/>
    <m/>
    <m/>
    <n v="2501.96"/>
    <s v="MT "/>
    <m/>
    <m/>
    <n v="294"/>
    <m/>
    <m/>
    <m/>
    <m/>
    <m/>
    <m/>
    <m/>
    <m/>
    <m/>
    <m/>
    <m/>
    <s v="DIVINO S.A"/>
    <s v="CONEXAO MALHAS E DESENVOLVIMENTO LTDA"/>
    <n v="8.5100680272108846"/>
  </r>
  <r>
    <x v="3"/>
    <x v="3"/>
    <s v="COLCHÃO M.E."/>
    <s v="DIRETO"/>
    <x v="1"/>
    <s v="NADA"/>
    <x v="1"/>
    <n v="54306"/>
    <n v="1504"/>
    <x v="167"/>
    <s v="DIVINO COLCHONES"/>
    <s v="EX"/>
    <s v="COLCHAO ME"/>
    <m/>
    <s v="DIRETO"/>
    <n v="45537"/>
    <m/>
    <m/>
    <n v="14950.92"/>
    <s v="MT "/>
    <n v="240"/>
    <m/>
    <n v="893"/>
    <m/>
    <m/>
    <m/>
    <m/>
    <m/>
    <m/>
    <m/>
    <m/>
    <m/>
    <m/>
    <m/>
    <s v="DIVINO S.A"/>
    <s v="CONEXAO MALHAS E DESENVOLVIMENTO LTDA"/>
    <n v="16.742351623740202"/>
  </r>
  <r>
    <x v="3"/>
    <x v="3"/>
    <s v="COLCHÃO M.E."/>
    <s v="DIRETO"/>
    <x v="24"/>
    <s v="NADA"/>
    <x v="6"/>
    <n v="54419"/>
    <n v="2582"/>
    <x v="289"/>
    <s v="PRODUCTOS PARAISO DEL ECUADOR"/>
    <s v="EX"/>
    <s v="COLCHAO ME"/>
    <m/>
    <s v="DIRETO"/>
    <n v="45544"/>
    <m/>
    <m/>
    <n v="7771.54"/>
    <s v="MT "/>
    <n v="240"/>
    <m/>
    <n v="640"/>
    <m/>
    <m/>
    <m/>
    <m/>
    <m/>
    <m/>
    <m/>
    <m/>
    <m/>
    <m/>
    <m/>
    <s v="PRODUCTOS PARAISO DEL ECUADOR"/>
    <s v="CARLOS FIDENCIO D AVALOS RUIZ JUNIOR 34496952823"/>
    <n v="12.14303125"/>
  </r>
  <r>
    <x v="3"/>
    <x v="3"/>
    <s v="COLCHÃO M.E."/>
    <s v="DIRETO"/>
    <x v="24"/>
    <s v="NADA"/>
    <x v="6"/>
    <n v="54419"/>
    <n v="2941"/>
    <x v="294"/>
    <s v="PRODUCTOS PARAISO DEL ECUADOR"/>
    <s v="EX"/>
    <s v="COLCHAO ME"/>
    <m/>
    <s v="DIRETO"/>
    <n v="45544"/>
    <m/>
    <m/>
    <n v="6349.92"/>
    <s v="MT "/>
    <n v="320"/>
    <m/>
    <n v="202"/>
    <m/>
    <m/>
    <m/>
    <m/>
    <m/>
    <m/>
    <m/>
    <m/>
    <m/>
    <m/>
    <m/>
    <s v="PRODUCTOS PARAISO DEL ECUADOR"/>
    <s v="CARLOS FIDENCIO D AVALOS RUIZ JUNIOR 34496952823"/>
    <n v="31.435247524752477"/>
  </r>
  <r>
    <x v="3"/>
    <x v="3"/>
    <s v="COLCHÃO M.E."/>
    <s v="DIRETO"/>
    <x v="29"/>
    <s v="NADA"/>
    <x v="7"/>
    <n v="54429"/>
    <n v="3334"/>
    <x v="339"/>
    <s v="ESPUMAS PLASTICAS SAS - COMODISIMO"/>
    <s v="EX"/>
    <s v="COLCHAO ME"/>
    <m/>
    <s v="DIRETO"/>
    <n v="45545"/>
    <m/>
    <m/>
    <n v="113794.25"/>
    <s v="MT "/>
    <n v="260"/>
    <m/>
    <n v="10402.700000000001"/>
    <m/>
    <m/>
    <m/>
    <m/>
    <m/>
    <m/>
    <m/>
    <m/>
    <m/>
    <m/>
    <m/>
    <s v="ESPUMAS PLASTICAS SAS - COMODISIMO"/>
    <s v="CARLOS FIDENCIO D AVALOS RUIZ JUNIOR 34496952823"/>
    <n v="10.938914897094023"/>
  </r>
  <r>
    <x v="3"/>
    <x v="3"/>
    <s v="COLCHÃO M.E."/>
    <s v="DIRETO"/>
    <x v="24"/>
    <s v="NADA"/>
    <x v="6"/>
    <n v="54542"/>
    <n v="3516"/>
    <x v="355"/>
    <s v="PRODUCTOS PARAISO DEL ECUADOR"/>
    <s v="EX"/>
    <s v="COLCHAO ME"/>
    <m/>
    <s v="DIRETO"/>
    <n v="45551"/>
    <m/>
    <m/>
    <n v="170.49"/>
    <s v="MT "/>
    <n v="240"/>
    <m/>
    <n v="17"/>
    <m/>
    <m/>
    <m/>
    <m/>
    <m/>
    <m/>
    <m/>
    <m/>
    <m/>
    <m/>
    <m/>
    <s v="PRODUCTOS PARAISO DEL ECUADOR"/>
    <s v="CARLOS FIDENCIO D AVALOS RUIZ JUNIOR 34496952823"/>
    <n v="10.028823529411765"/>
  </r>
  <r>
    <x v="3"/>
    <x v="3"/>
    <s v="COLCHÃO M.E."/>
    <s v="DIRETO"/>
    <x v="24"/>
    <s v="NADA"/>
    <x v="6"/>
    <n v="54542"/>
    <n v="3517"/>
    <x v="356"/>
    <s v="PRODUCTOS PARAISO DEL ECUADOR"/>
    <s v="EX"/>
    <s v="COLCHAO ME"/>
    <m/>
    <s v="DIRETO"/>
    <n v="45551"/>
    <m/>
    <m/>
    <n v="120.35"/>
    <s v="MT "/>
    <n v="220"/>
    <m/>
    <n v="12"/>
    <m/>
    <m/>
    <m/>
    <m/>
    <m/>
    <m/>
    <m/>
    <m/>
    <m/>
    <m/>
    <m/>
    <s v="PRODUCTOS PARAISO DEL ECUADOR"/>
    <s v="CARLOS FIDENCIO D AVALOS RUIZ JUNIOR 34496952823"/>
    <n v="10.029166666666667"/>
  </r>
  <r>
    <x v="3"/>
    <x v="3"/>
    <s v="COLCHÃO M.E."/>
    <s v="DIRETO"/>
    <x v="24"/>
    <s v="NADA"/>
    <x v="6"/>
    <n v="54542"/>
    <n v="3522"/>
    <x v="357"/>
    <s v="PRODUCTOS PARAISO DEL ECUADOR"/>
    <s v="EX"/>
    <s v="COLCHAO ME"/>
    <m/>
    <s v="DIRETO"/>
    <n v="45551"/>
    <m/>
    <m/>
    <n v="100.29"/>
    <s v="MT "/>
    <n v="160"/>
    <m/>
    <n v="10"/>
    <m/>
    <m/>
    <m/>
    <m/>
    <m/>
    <m/>
    <m/>
    <m/>
    <m/>
    <m/>
    <m/>
    <s v="PRODUCTOS PARAISO DEL ECUADOR"/>
    <s v="CARLOS FIDENCIO D AVALOS RUIZ JUNIOR 34496952823"/>
    <n v="10.029"/>
  </r>
  <r>
    <x v="3"/>
    <x v="3"/>
    <s v="COLCHÃO M.E."/>
    <s v="DIRETO"/>
    <x v="24"/>
    <s v="NADA"/>
    <x v="6"/>
    <n v="54542"/>
    <n v="3524"/>
    <x v="358"/>
    <s v="PRODUCTOS PARAISO DEL ECUADOR"/>
    <s v="EX"/>
    <s v="COLCHAO ME"/>
    <m/>
    <s v="DIRETO"/>
    <n v="45551"/>
    <m/>
    <m/>
    <n v="501.45"/>
    <s v="MT "/>
    <n v="160"/>
    <m/>
    <n v="10"/>
    <m/>
    <m/>
    <m/>
    <m/>
    <m/>
    <m/>
    <m/>
    <m/>
    <m/>
    <m/>
    <m/>
    <s v="PRODUCTOS PARAISO DEL ECUADOR"/>
    <s v="CARLOS FIDENCIO D AVALOS RUIZ JUNIOR 34496952823"/>
    <n v="50.144999999999996"/>
  </r>
  <r>
    <x v="3"/>
    <x v="3"/>
    <s v="COLCHÃO M.E."/>
    <s v="DIRETO"/>
    <x v="24"/>
    <s v="NADA"/>
    <x v="6"/>
    <n v="54709"/>
    <n v="2950"/>
    <x v="296"/>
    <s v="PRODUCTOS PARAISO DEL ECUADOR"/>
    <s v="EX"/>
    <s v="COLCHAO ME"/>
    <m/>
    <s v="DIRETO"/>
    <n v="45558"/>
    <m/>
    <m/>
    <n v="4878.04"/>
    <s v="MT "/>
    <n v="180"/>
    <m/>
    <n v="506"/>
    <m/>
    <m/>
    <m/>
    <m/>
    <m/>
    <m/>
    <m/>
    <m/>
    <m/>
    <m/>
    <m/>
    <s v="PRODUCTOS PARAISO DEL ECUADOR"/>
    <s v="CARLOS FIDENCIO D AVALOS RUIZ JUNIOR 34496952823"/>
    <n v="9.6403952569169959"/>
  </r>
  <r>
    <x v="3"/>
    <x v="3"/>
    <s v="COLCHÃO M.E."/>
    <s v="DIRETO"/>
    <x v="24"/>
    <s v="NADA"/>
    <x v="6"/>
    <n v="54709"/>
    <n v="3399"/>
    <x v="359"/>
    <s v="PRODUCTOS PARAISO DEL ECUADOR"/>
    <s v="EX"/>
    <s v="COLCHAO ME"/>
    <m/>
    <s v="DIRETO"/>
    <n v="45558"/>
    <m/>
    <m/>
    <n v="10543.91"/>
    <s v="MT "/>
    <n v="200"/>
    <m/>
    <n v="939"/>
    <m/>
    <m/>
    <m/>
    <m/>
    <m/>
    <m/>
    <m/>
    <m/>
    <m/>
    <m/>
    <m/>
    <s v="PRODUCTOS PARAISO DEL ECUADOR"/>
    <s v="CARLOS FIDENCIO D AVALOS RUIZ JUNIOR 34496952823"/>
    <n v="11.228871139510117"/>
  </r>
  <r>
    <x v="3"/>
    <x v="3"/>
    <s v="COLCHÃO M.E."/>
    <s v="DIRETO"/>
    <x v="24"/>
    <s v="NADA"/>
    <x v="6"/>
    <n v="54709"/>
    <n v="3398"/>
    <x v="360"/>
    <s v="PRODUCTOS PARAISO DEL ECUADOR"/>
    <s v="EX"/>
    <s v="COLCHAO ME"/>
    <m/>
    <s v="DIRETO"/>
    <n v="45558"/>
    <m/>
    <m/>
    <n v="30564.45"/>
    <s v="MT "/>
    <n v="240"/>
    <m/>
    <n v="2232"/>
    <m/>
    <m/>
    <m/>
    <m/>
    <m/>
    <m/>
    <m/>
    <m/>
    <m/>
    <m/>
    <m/>
    <s v="PRODUCTOS PARAISO DEL ECUADOR"/>
    <s v="CARLOS FIDENCIO D AVALOS RUIZ JUNIOR 34496952823"/>
    <n v="13.69375"/>
  </r>
  <r>
    <x v="3"/>
    <x v="3"/>
    <s v="COLCHÃO M.E."/>
    <s v="DIRETO"/>
    <x v="24"/>
    <s v="NADA"/>
    <x v="6"/>
    <n v="54709"/>
    <n v="3152"/>
    <x v="320"/>
    <s v="PRODUCTOS PARAISO DEL ECUADOR"/>
    <s v="EX"/>
    <s v="COLCHAO ME"/>
    <m/>
    <s v="DIRETO"/>
    <n v="45558"/>
    <m/>
    <m/>
    <n v="3295.81"/>
    <s v="MT "/>
    <n v="160"/>
    <m/>
    <n v="547"/>
    <m/>
    <m/>
    <m/>
    <m/>
    <m/>
    <m/>
    <m/>
    <m/>
    <m/>
    <m/>
    <m/>
    <s v="PRODUCTOS PARAISO DEL ECUADOR"/>
    <s v="CARLOS FIDENCIO D AVALOS RUIZ JUNIOR 34496952823"/>
    <n v="6.025246800731261"/>
  </r>
  <r>
    <x v="3"/>
    <x v="3"/>
    <s v="COLCHÃO M.E."/>
    <s v="DIRETO"/>
    <x v="24"/>
    <s v="NADA"/>
    <x v="6"/>
    <n v="54709"/>
    <n v="3128"/>
    <x v="314"/>
    <s v="PRODUCTOS PARAISO DEL ECUADOR"/>
    <s v="EX"/>
    <s v="COLCHAO ME"/>
    <m/>
    <s v="DIRETO"/>
    <n v="45558"/>
    <m/>
    <m/>
    <n v="17270.560000000001"/>
    <s v="MT "/>
    <n v="280"/>
    <m/>
    <n v="1051"/>
    <m/>
    <m/>
    <m/>
    <m/>
    <m/>
    <m/>
    <m/>
    <m/>
    <m/>
    <m/>
    <m/>
    <s v="PRODUCTOS PARAISO DEL ECUADOR"/>
    <s v="CARLOS FIDENCIO D AVALOS RUIZ JUNIOR 34496952823"/>
    <n v="16.432502378686966"/>
  </r>
  <r>
    <x v="3"/>
    <x v="3"/>
    <s v="COLCHÃO M.E."/>
    <s v="DIRETO"/>
    <x v="24"/>
    <s v="NADA"/>
    <x v="6"/>
    <n v="54709"/>
    <n v="2951"/>
    <x v="297"/>
    <s v="PRODUCTOS PARAISO DEL ECUADOR"/>
    <s v="EX"/>
    <s v="COLCHAO ME"/>
    <m/>
    <s v="DIRETO"/>
    <n v="45558"/>
    <m/>
    <m/>
    <n v="946.73"/>
    <s v="MT "/>
    <n v="280"/>
    <m/>
    <n v="58"/>
    <m/>
    <m/>
    <m/>
    <m/>
    <m/>
    <m/>
    <m/>
    <m/>
    <m/>
    <m/>
    <m/>
    <s v="PRODUCTOS PARAISO DEL ECUADOR"/>
    <s v="CARLOS FIDENCIO D AVALOS RUIZ JUNIOR 34496952823"/>
    <n v="16.32293103448276"/>
  </r>
  <r>
    <x v="3"/>
    <x v="3"/>
    <s v="COLCHÃO M.E."/>
    <s v="DIRETO"/>
    <x v="24"/>
    <s v="NADA"/>
    <x v="6"/>
    <n v="54709"/>
    <n v="2582"/>
    <x v="289"/>
    <s v="PRODUCTOS PARAISO DEL ECUADOR"/>
    <s v="EX"/>
    <s v="COLCHAO ME"/>
    <m/>
    <s v="DIRETO"/>
    <n v="45558"/>
    <m/>
    <m/>
    <n v="7498.92"/>
    <s v="MT "/>
    <n v="240"/>
    <m/>
    <n v="628"/>
    <m/>
    <m/>
    <m/>
    <m/>
    <m/>
    <m/>
    <m/>
    <m/>
    <m/>
    <m/>
    <m/>
    <s v="PRODUCTOS PARAISO DEL ECUADOR"/>
    <s v="CARLOS FIDENCIO D AVALOS RUIZ JUNIOR 34496952823"/>
    <n v="11.940955414012739"/>
  </r>
  <r>
    <x v="3"/>
    <x v="3"/>
    <s v="COLCHÃO M.E."/>
    <s v="DIRETO"/>
    <x v="24"/>
    <s v="NADA"/>
    <x v="6"/>
    <n v="54709"/>
    <n v="2950"/>
    <x v="296"/>
    <s v="PRODUCTOS PARAISO DEL ECUADOR"/>
    <s v="EX"/>
    <s v="COLCHAO ME"/>
    <m/>
    <s v="DIRETO"/>
    <n v="45558"/>
    <m/>
    <m/>
    <n v="443.46"/>
    <s v="MT "/>
    <n v="180"/>
    <m/>
    <n v="46"/>
    <m/>
    <m/>
    <m/>
    <m/>
    <m/>
    <m/>
    <m/>
    <m/>
    <m/>
    <m/>
    <m/>
    <s v="PRODUCTOS PARAISO DEL ECUADOR"/>
    <s v="CARLOS FIDENCIO D AVALOS RUIZ JUNIOR 34496952823"/>
    <n v="9.6404347826086951"/>
  </r>
  <r>
    <x v="3"/>
    <x v="3"/>
    <s v="COLCHÃO M.E."/>
    <s v="DIRETO"/>
    <x v="24"/>
    <s v="NADA"/>
    <x v="6"/>
    <n v="54709"/>
    <n v="2942"/>
    <x v="295"/>
    <s v="PRODUCTOS PARAISO DEL ECUADOR"/>
    <s v="EX"/>
    <s v="COLCHAO ME"/>
    <m/>
    <s v="DIRETO"/>
    <n v="45558"/>
    <m/>
    <m/>
    <n v="18884.23"/>
    <s v="MT "/>
    <n v="260"/>
    <m/>
    <n v="1020"/>
    <m/>
    <m/>
    <m/>
    <m/>
    <m/>
    <m/>
    <m/>
    <m/>
    <m/>
    <m/>
    <m/>
    <s v="PRODUCTOS PARAISO DEL ECUADOR"/>
    <s v="CARLOS FIDENCIO D AVALOS RUIZ JUNIOR 34496952823"/>
    <n v="18.513950980392156"/>
  </r>
  <r>
    <x v="3"/>
    <x v="3"/>
    <s v="COLCHÃO M.E."/>
    <s v="DIRETO"/>
    <x v="24"/>
    <s v="NADA"/>
    <x v="6"/>
    <n v="54709"/>
    <n v="2942"/>
    <x v="295"/>
    <s v="PRODUCTOS PARAISO DEL ECUADOR"/>
    <s v="EX"/>
    <s v="COLCHAO ME"/>
    <m/>
    <s v="DIRETO"/>
    <n v="45558"/>
    <m/>
    <m/>
    <n v="8553.44"/>
    <s v="MT "/>
    <n v="260"/>
    <m/>
    <n v="462"/>
    <m/>
    <m/>
    <m/>
    <m/>
    <m/>
    <m/>
    <m/>
    <m/>
    <m/>
    <m/>
    <m/>
    <s v="PRODUCTOS PARAISO DEL ECUADOR"/>
    <s v="CARLOS FIDENCIO D AVALOS RUIZ JUNIOR 34496952823"/>
    <n v="18.513939393939395"/>
  </r>
  <r>
    <x v="3"/>
    <x v="3"/>
    <s v="COLCHÃO M.E."/>
    <s v="DIRETO"/>
    <x v="24"/>
    <s v="NADA"/>
    <x v="6"/>
    <n v="54709"/>
    <n v="2941"/>
    <x v="294"/>
    <s v="PRODUCTOS PARAISO DEL ECUADOR"/>
    <s v="EX"/>
    <s v="COLCHAO ME"/>
    <m/>
    <s v="DIRETO"/>
    <n v="45558"/>
    <m/>
    <m/>
    <n v="23786.04"/>
    <s v="MT "/>
    <n v="320"/>
    <m/>
    <n v="1737"/>
    <m/>
    <m/>
    <m/>
    <m/>
    <m/>
    <m/>
    <m/>
    <m/>
    <m/>
    <m/>
    <m/>
    <s v="PRODUCTOS PARAISO DEL ECUADOR"/>
    <s v="CARLOS FIDENCIO D AVALOS RUIZ JUNIOR 34496952823"/>
    <n v="13.693747841105354"/>
  </r>
  <r>
    <x v="3"/>
    <x v="3"/>
    <s v="COLCHÃO M.E."/>
    <s v="DIRETO"/>
    <x v="24"/>
    <s v="NADA"/>
    <x v="6"/>
    <n v="54709"/>
    <n v="2582"/>
    <x v="289"/>
    <s v="PRODUCTOS PARAISO DEL ECUADOR"/>
    <s v="EX"/>
    <s v="COLCHAO ME"/>
    <m/>
    <s v="DIRETO"/>
    <n v="45558"/>
    <m/>
    <m/>
    <n v="45865.19"/>
    <s v="MT "/>
    <n v="240"/>
    <m/>
    <n v="3841"/>
    <m/>
    <m/>
    <m/>
    <m/>
    <m/>
    <m/>
    <m/>
    <m/>
    <m/>
    <m/>
    <m/>
    <s v="PRODUCTOS PARAISO DEL ECUADOR"/>
    <s v="CARLOS FIDENCIO D AVALOS RUIZ JUNIOR 34496952823"/>
    <n v="11.940950273366312"/>
  </r>
  <r>
    <x v="3"/>
    <x v="3"/>
    <s v="COLCHÃO M.E."/>
    <s v="DIRETO"/>
    <x v="16"/>
    <s v="NADA"/>
    <x v="0"/>
    <n v="54855"/>
    <n v="2206"/>
    <x v="243"/>
    <s v="DAVID MORENO VISCARRA"/>
    <s v="EX"/>
    <s v="COLCHAO ME"/>
    <m/>
    <s v="DIRETO"/>
    <n v="45565"/>
    <m/>
    <m/>
    <n v="19192.91"/>
    <s v="MT "/>
    <n v="180"/>
    <m/>
    <n v="1906"/>
    <m/>
    <m/>
    <m/>
    <m/>
    <m/>
    <m/>
    <m/>
    <m/>
    <m/>
    <m/>
    <m/>
    <s v="DAVID MORENO VISCARRA"/>
    <s v="CARLOS FIDENCIO D AVALOS RUIZ JUNIOR 34496952823"/>
    <n v="10.069732423924449"/>
  </r>
  <r>
    <x v="3"/>
    <x v="3"/>
    <s v="COLCHÃO M.E."/>
    <s v="DIRETO"/>
    <x v="16"/>
    <s v="NADA"/>
    <x v="0"/>
    <n v="54855"/>
    <n v="2210"/>
    <x v="237"/>
    <s v="DAVID MORENO VISCARRA"/>
    <s v="EX"/>
    <s v="COLCHAO ME"/>
    <m/>
    <s v="DIRETO"/>
    <n v="45565"/>
    <m/>
    <m/>
    <n v="15357.71"/>
    <s v="MT "/>
    <n v="180"/>
    <m/>
    <n v="1485"/>
    <m/>
    <m/>
    <m/>
    <m/>
    <m/>
    <m/>
    <m/>
    <m/>
    <m/>
    <m/>
    <m/>
    <s v="DAVID MORENO VISCARRA"/>
    <s v="CARLOS FIDENCIO D AVALOS RUIZ JUNIOR 34496952823"/>
    <n v="10.341892255892255"/>
  </r>
  <r>
    <x v="3"/>
    <x v="3"/>
    <s v="COLCHÃO M.E."/>
    <s v="DIRETO"/>
    <x v="16"/>
    <s v="NADA"/>
    <x v="0"/>
    <n v="54858"/>
    <n v="3439"/>
    <x v="361"/>
    <s v="DAVID MORENO VISCARRA"/>
    <s v="EX"/>
    <s v="COLCHAO ME"/>
    <m/>
    <s v="DIRETO"/>
    <n v="45565"/>
    <m/>
    <m/>
    <n v="13771.04"/>
    <s v="UN "/>
    <m/>
    <m/>
    <n v="1012"/>
    <m/>
    <m/>
    <m/>
    <m/>
    <m/>
    <m/>
    <m/>
    <m/>
    <m/>
    <m/>
    <m/>
    <s v="DAVID MORENO VISCARRA"/>
    <s v="CARLOS FIDENCIO D AVALOS RUIZ JUNIOR 34496952823"/>
    <n v="13.607747035573123"/>
  </r>
  <r>
    <x v="3"/>
    <x v="3"/>
    <s v="COLCHÃO M.E."/>
    <s v="DIRETO"/>
    <x v="1"/>
    <s v="NADA"/>
    <x v="1"/>
    <n v="54861"/>
    <n v="1523"/>
    <x v="184"/>
    <s v="DIVINO COLCHONES"/>
    <s v="EX"/>
    <s v="COLCHAO ME"/>
    <m/>
    <s v="CONEXÃO MALHAS"/>
    <n v="45565"/>
    <m/>
    <m/>
    <n v="8671.1299999999992"/>
    <s v="MT "/>
    <m/>
    <m/>
    <n v="1055"/>
    <m/>
    <m/>
    <m/>
    <m/>
    <m/>
    <m/>
    <m/>
    <m/>
    <m/>
    <m/>
    <m/>
    <s v="DIVINO S.A"/>
    <s v="CONEXAO MALHAS E DESENVOLVIMENTO LTDA"/>
    <n v="8.2190805687203792"/>
  </r>
  <r>
    <x v="3"/>
    <x v="3"/>
    <s v="COLCHÃO M.E."/>
    <s v="DIRETO"/>
    <x v="18"/>
    <s v="NADA"/>
    <x v="1"/>
    <n v="54859"/>
    <n v="3511"/>
    <x v="362"/>
    <s v="COLCHONES POLYMAX"/>
    <s v="EX"/>
    <s v="COLCHAO ME"/>
    <m/>
    <s v="DIRETO"/>
    <n v="45565"/>
    <m/>
    <m/>
    <n v="11218.23"/>
    <s v="MT "/>
    <n v="200"/>
    <m/>
    <n v="1374"/>
    <m/>
    <m/>
    <m/>
    <m/>
    <m/>
    <m/>
    <m/>
    <m/>
    <m/>
    <m/>
    <m/>
    <s v="COLCHONES POLYMAX"/>
    <s v="CARLOS FIDENCIO D AVALOS RUIZ JUNIOR 34496952823"/>
    <n v="8.1646506550218341"/>
  </r>
  <r>
    <x v="3"/>
    <x v="3"/>
    <s v="COLCHÃO M.E."/>
    <s v="DIRETO"/>
    <x v="18"/>
    <s v="NADA"/>
    <x v="1"/>
    <n v="54859"/>
    <n v="3506"/>
    <x v="363"/>
    <s v="COLCHONES POLYMAX"/>
    <s v="EX"/>
    <s v="COLCHAO ME"/>
    <m/>
    <s v="DIRETO"/>
    <n v="45565"/>
    <m/>
    <m/>
    <n v="5939.08"/>
    <s v="MT "/>
    <n v="180"/>
    <m/>
    <n v="593"/>
    <m/>
    <m/>
    <m/>
    <m/>
    <m/>
    <m/>
    <m/>
    <m/>
    <m/>
    <m/>
    <m/>
    <s v="COLCHONES POLYMAX"/>
    <s v="CARLOS FIDENCIO D AVALOS RUIZ JUNIOR 34496952823"/>
    <n v="10.01531197301855"/>
  </r>
  <r>
    <x v="3"/>
    <x v="3"/>
    <s v="COLCHÃO M.E."/>
    <s v="DIRETO"/>
    <x v="18"/>
    <s v="NADA"/>
    <x v="1"/>
    <n v="54859"/>
    <n v="3505"/>
    <x v="364"/>
    <s v="COLCHONES POLYMAX"/>
    <s v="EX"/>
    <s v="COLCHAO ME"/>
    <m/>
    <s v="DIRETO"/>
    <n v="45565"/>
    <m/>
    <m/>
    <n v="5800.17"/>
    <s v="MT "/>
    <n v="180"/>
    <m/>
    <n v="888"/>
    <m/>
    <m/>
    <m/>
    <m/>
    <m/>
    <m/>
    <m/>
    <m/>
    <m/>
    <m/>
    <m/>
    <s v="COLCHONES POLYMAX"/>
    <s v="CARLOS FIDENCIO D AVALOS RUIZ JUNIOR 34496952823"/>
    <n v="6.5317229729729727"/>
  </r>
  <r>
    <x v="3"/>
    <x v="3"/>
    <s v="COLCHÃO M.E."/>
    <s v="DIRETO"/>
    <x v="18"/>
    <s v="NADA"/>
    <x v="1"/>
    <n v="54859"/>
    <n v="3504"/>
    <x v="365"/>
    <s v="COLCHONES POLYMAX"/>
    <s v="EX"/>
    <s v="COLCHAO ME"/>
    <m/>
    <s v="DIRETO"/>
    <n v="45565"/>
    <m/>
    <m/>
    <n v="8262.6299999999992"/>
    <s v="MT "/>
    <n v="180"/>
    <m/>
    <n v="1012"/>
    <m/>
    <m/>
    <m/>
    <m/>
    <m/>
    <m/>
    <m/>
    <m/>
    <m/>
    <m/>
    <m/>
    <s v="COLCHONES POLYMAX"/>
    <s v="CARLOS FIDENCIO D AVALOS RUIZ JUNIOR 34496952823"/>
    <n v="8.1646541501976273"/>
  </r>
  <r>
    <x v="3"/>
    <x v="3"/>
    <s v="COLCHÃO M.E."/>
    <s v="DIRETO"/>
    <x v="18"/>
    <s v="NADA"/>
    <x v="1"/>
    <n v="54859"/>
    <n v="3503"/>
    <x v="366"/>
    <s v="COLCHONES POLYMAX"/>
    <s v="EX"/>
    <s v="COLCHAO ME"/>
    <m/>
    <s v="DIRETO"/>
    <n v="45565"/>
    <m/>
    <m/>
    <n v="9464.4599999999991"/>
    <s v="MT "/>
    <n v="200"/>
    <m/>
    <n v="966"/>
    <m/>
    <m/>
    <m/>
    <m/>
    <m/>
    <m/>
    <m/>
    <m/>
    <m/>
    <m/>
    <m/>
    <s v="COLCHONES POLYMAX"/>
    <s v="CARLOS FIDENCIO D AVALOS RUIZ JUNIOR 34496952823"/>
    <n v="9.7975776397515517"/>
  </r>
  <r>
    <x v="3"/>
    <x v="3"/>
    <s v="COLCHÃO M.E."/>
    <s v="DIRETO"/>
    <x v="18"/>
    <s v="NADA"/>
    <x v="1"/>
    <n v="54859"/>
    <n v="3501"/>
    <x v="367"/>
    <s v="COLCHONES POLYMAX"/>
    <s v="EX"/>
    <s v="COLCHAO ME"/>
    <m/>
    <s v="DIRETO"/>
    <n v="45565"/>
    <m/>
    <m/>
    <n v="5909.57"/>
    <s v="MT "/>
    <n v="160"/>
    <m/>
    <n v="517"/>
    <m/>
    <m/>
    <m/>
    <m/>
    <m/>
    <m/>
    <m/>
    <m/>
    <m/>
    <m/>
    <m/>
    <s v="COLCHONES POLYMAX"/>
    <s v="CARLOS FIDENCIO D AVALOS RUIZ JUNIOR 34496952823"/>
    <n v="11.430502901353965"/>
  </r>
  <r>
    <x v="3"/>
    <x v="3"/>
    <s v="COLCHÃO M.E."/>
    <s v="DIRETO"/>
    <x v="18"/>
    <s v="NADA"/>
    <x v="1"/>
    <n v="54859"/>
    <n v="3148"/>
    <x v="326"/>
    <s v="COLCHONES POLYMAX"/>
    <s v="EX"/>
    <s v="COLCHAO ME"/>
    <m/>
    <s v="DIRETO"/>
    <n v="45565"/>
    <m/>
    <m/>
    <n v="27918.2"/>
    <s v="MT "/>
    <n v="180"/>
    <m/>
    <n v="2502"/>
    <m/>
    <m/>
    <m/>
    <m/>
    <m/>
    <m/>
    <m/>
    <m/>
    <m/>
    <m/>
    <m/>
    <s v="COLCHONES POLYMAX"/>
    <s v="CARLOS FIDENCIO D AVALOS RUIZ JUNIOR 34496952823"/>
    <n v="11.158353317346123"/>
  </r>
  <r>
    <x v="3"/>
    <x v="3"/>
    <s v="COLCHÃO M.E."/>
    <s v="DIRETO"/>
    <x v="18"/>
    <s v="NADA"/>
    <x v="1"/>
    <n v="54859"/>
    <n v="3138"/>
    <x v="323"/>
    <s v="COLCHONES POLYMAX"/>
    <s v="EX"/>
    <s v="COLCHAO ME"/>
    <m/>
    <s v="DIRETO"/>
    <n v="45565"/>
    <m/>
    <m/>
    <n v="12689.5"/>
    <s v="MT "/>
    <n v="180"/>
    <m/>
    <n v="1227"/>
    <m/>
    <m/>
    <m/>
    <m/>
    <m/>
    <m/>
    <m/>
    <m/>
    <m/>
    <m/>
    <m/>
    <s v="COLCHONES POLYMAX"/>
    <s v="CARLOS FIDENCIO D AVALOS RUIZ JUNIOR 34496952823"/>
    <n v="10.341890790546048"/>
  </r>
  <r>
    <x v="3"/>
    <x v="3"/>
    <s v="COLCHÃO M.E."/>
    <s v="DIRETO"/>
    <x v="18"/>
    <s v="NADA"/>
    <x v="1"/>
    <n v="54859"/>
    <n v="3136"/>
    <x v="333"/>
    <s v="COLCHONES POLYMAX"/>
    <s v="EX"/>
    <s v="COLCHAO ME"/>
    <m/>
    <s v="DIRETO"/>
    <n v="45565"/>
    <m/>
    <m/>
    <n v="3403.57"/>
    <s v="MT "/>
    <n v="200"/>
    <m/>
    <n v="481"/>
    <m/>
    <m/>
    <m/>
    <m/>
    <m/>
    <m/>
    <m/>
    <m/>
    <m/>
    <m/>
    <m/>
    <s v="COLCHONES POLYMAX"/>
    <s v="CARLOS FIDENCIO D AVALOS RUIZ JUNIOR 34496952823"/>
    <n v="7.0760291060291065"/>
  </r>
  <r>
    <x v="3"/>
    <x v="3"/>
    <s v="COLCHÃO M.E."/>
    <s v="DIRETO"/>
    <x v="18"/>
    <s v="NADA"/>
    <x v="1"/>
    <n v="54859"/>
    <n v="2430"/>
    <x v="251"/>
    <s v="COLCHONES POLYMAX"/>
    <s v="EX"/>
    <s v="COLCHAO ME"/>
    <m/>
    <s v="DIRETO"/>
    <n v="45565"/>
    <m/>
    <m/>
    <n v="6205.13"/>
    <s v="MT "/>
    <n v="160"/>
    <m/>
    <n v="570"/>
    <m/>
    <m/>
    <m/>
    <m/>
    <m/>
    <m/>
    <m/>
    <m/>
    <m/>
    <m/>
    <m/>
    <s v="COLCHONES POLYMAX"/>
    <s v="CARLOS FIDENCIO D AVALOS RUIZ JUNIOR 34496952823"/>
    <n v="10.886192982456141"/>
  </r>
  <r>
    <x v="3"/>
    <x v="3"/>
    <s v="COLCHÃO M.E."/>
    <s v="DIRETO"/>
    <x v="18"/>
    <s v="NADA"/>
    <x v="1"/>
    <n v="54859"/>
    <n v="2415"/>
    <x v="368"/>
    <s v="COLCHONES POLYMAX"/>
    <s v="EX"/>
    <s v="COLCHAO ME"/>
    <m/>
    <s v="DIRETO"/>
    <n v="45565"/>
    <m/>
    <m/>
    <n v="3354.04"/>
    <s v="MT "/>
    <n v="200"/>
    <m/>
    <n v="316"/>
    <m/>
    <m/>
    <m/>
    <m/>
    <m/>
    <m/>
    <m/>
    <m/>
    <m/>
    <m/>
    <m/>
    <s v="COLCHONES POLYMAX"/>
    <s v="CARLOS FIDENCIO D AVALOS RUIZ JUNIOR 34496952823"/>
    <n v="10.614050632911392"/>
  </r>
  <r>
    <x v="3"/>
    <x v="3"/>
    <s v="COLCHÃO M.E."/>
    <s v="DIRETO"/>
    <x v="18"/>
    <s v="NADA"/>
    <x v="1"/>
    <n v="54859"/>
    <n v="3500"/>
    <x v="369"/>
    <s v="COLCHONES POLYMAX"/>
    <s v="EX"/>
    <s v="COLCHAO ME"/>
    <m/>
    <s v="DIRETO"/>
    <n v="45565"/>
    <m/>
    <m/>
    <n v="4682.1499999999996"/>
    <s v="MT "/>
    <n v="160"/>
    <m/>
    <n v="506"/>
    <m/>
    <m/>
    <m/>
    <m/>
    <m/>
    <m/>
    <m/>
    <m/>
    <m/>
    <m/>
    <m/>
    <s v="COLCHONES POLYMAX"/>
    <s v="CARLOS FIDENCIO D AVALOS RUIZ JUNIOR 34496952823"/>
    <n v="9.2532608695652172"/>
  </r>
  <r>
    <x v="4"/>
    <x v="3"/>
    <s v="COLCHÃO M.E."/>
    <s v="DIRETO"/>
    <x v="1"/>
    <s v="NADA"/>
    <x v="1"/>
    <n v="54881"/>
    <n v="3343"/>
    <x v="338"/>
    <s v="DIVINO COLCHONES"/>
    <s v="EX"/>
    <s v="COLCHAO ME"/>
    <m/>
    <s v="CONEXÃO MALHAS"/>
    <n v="45566"/>
    <m/>
    <m/>
    <n v="14737.11"/>
    <s v="MT "/>
    <n v="390"/>
    <m/>
    <n v="541"/>
    <m/>
    <m/>
    <m/>
    <m/>
    <m/>
    <m/>
    <m/>
    <m/>
    <m/>
    <m/>
    <m/>
    <s v="DIVINO S.A"/>
    <s v="CONEXAO MALHAS E DESENVOLVIMENTO LTDA"/>
    <n v="27.240499075785582"/>
  </r>
  <r>
    <x v="4"/>
    <x v="3"/>
    <s v="COLCHÃO M.E."/>
    <s v="DIRETO"/>
    <x v="1"/>
    <s v="NADA"/>
    <x v="1"/>
    <n v="54885"/>
    <n v="3009"/>
    <x v="308"/>
    <s v="DIVINO COLCHONES"/>
    <s v="EX"/>
    <s v="COLCHAO ME"/>
    <m/>
    <s v="CONEXÃO MALHAS"/>
    <n v="45566"/>
    <m/>
    <m/>
    <n v="12580.21"/>
    <s v="MT "/>
    <n v="300"/>
    <m/>
    <n v="537"/>
    <m/>
    <m/>
    <m/>
    <m/>
    <m/>
    <m/>
    <m/>
    <m/>
    <m/>
    <m/>
    <m/>
    <s v="DIVINO S.A"/>
    <s v="CONEXAO MALHAS E DESENVOLVIMENTO LTDA"/>
    <n v="23.426834264432028"/>
  </r>
  <r>
    <x v="4"/>
    <x v="3"/>
    <s v="COLCHÃO M.E."/>
    <s v="DIRETO"/>
    <x v="1"/>
    <s v="NADA"/>
    <x v="1"/>
    <n v="54885"/>
    <n v="2497"/>
    <x v="278"/>
    <s v="DIVINO COLCHONES"/>
    <s v="EX"/>
    <s v="COLCHAO ME"/>
    <m/>
    <s v="CONEXÃO MALHAS"/>
    <n v="45566"/>
    <m/>
    <m/>
    <n v="9793.5"/>
    <s v="MT "/>
    <n v="230"/>
    <m/>
    <n v="749"/>
    <m/>
    <m/>
    <m/>
    <m/>
    <m/>
    <m/>
    <m/>
    <m/>
    <m/>
    <m/>
    <m/>
    <s v="DIVINO S.A"/>
    <s v="CONEXAO MALHAS E DESENVOLVIMENTO LTDA"/>
    <n v="13.075433911882509"/>
  </r>
  <r>
    <x v="4"/>
    <x v="3"/>
    <s v="COLCHÃO M.E."/>
    <s v="DIRETO"/>
    <x v="1"/>
    <s v="NADA"/>
    <x v="1"/>
    <n v="54885"/>
    <n v="2496"/>
    <x v="277"/>
    <s v="DIVINO COLCHONES"/>
    <s v="EX"/>
    <s v="COLCHAO ME"/>
    <m/>
    <s v="CONEXÃO MALHAS"/>
    <n v="45566"/>
    <m/>
    <m/>
    <n v="11074.9"/>
    <s v="MT "/>
    <n v="310"/>
    <m/>
    <n v="484"/>
    <m/>
    <m/>
    <m/>
    <m/>
    <m/>
    <m/>
    <m/>
    <m/>
    <m/>
    <m/>
    <m/>
    <s v="DIVINO S.A"/>
    <s v="CONEXAO MALHAS E DESENVOLVIMENTO LTDA"/>
    <n v="22.882024793388428"/>
  </r>
  <r>
    <x v="4"/>
    <x v="3"/>
    <s v="COLCHÃO M.E."/>
    <s v="DIRETO"/>
    <x v="1"/>
    <s v="NADA"/>
    <x v="1"/>
    <n v="54885"/>
    <n v="1525"/>
    <x v="185"/>
    <s v="DIVINO COLCHONES"/>
    <s v="EX"/>
    <s v="COLCHAO ME"/>
    <m/>
    <s v="CONEXÃO MALHAS"/>
    <n v="45566"/>
    <m/>
    <m/>
    <n v="43954.18"/>
    <s v="MT "/>
    <n v="320"/>
    <m/>
    <n v="2140"/>
    <m/>
    <m/>
    <m/>
    <m/>
    <m/>
    <m/>
    <m/>
    <m/>
    <m/>
    <m/>
    <m/>
    <s v="DIVINO S.A"/>
    <s v="CONEXAO MALHAS E DESENVOLVIMENTO LTDA"/>
    <n v="20.539336448598132"/>
  </r>
  <r>
    <x v="4"/>
    <x v="3"/>
    <s v="COLCHÃO M.E."/>
    <s v="DIRETO"/>
    <x v="1"/>
    <s v="NADA"/>
    <x v="1"/>
    <n v="54885"/>
    <n v="2054"/>
    <x v="224"/>
    <s v="DIVINO COLCHONES"/>
    <s v="EX"/>
    <s v="COLCHAO ME"/>
    <m/>
    <s v="CONEXÃO MALHAS"/>
    <n v="45566"/>
    <m/>
    <m/>
    <n v="19386.52"/>
    <s v="MT "/>
    <n v="280"/>
    <m/>
    <n v="1112"/>
    <m/>
    <m/>
    <m/>
    <m/>
    <m/>
    <m/>
    <m/>
    <m/>
    <m/>
    <m/>
    <m/>
    <s v="DIVINO S.A"/>
    <s v="CONEXAO MALHAS E DESENVOLVIMENTO LTDA"/>
    <n v="17.433920863309353"/>
  </r>
  <r>
    <x v="4"/>
    <x v="3"/>
    <s v="COLCHÃO M.E."/>
    <s v="DIRETO"/>
    <x v="1"/>
    <s v="NADA"/>
    <x v="1"/>
    <n v="54885"/>
    <n v="1506"/>
    <x v="162"/>
    <s v="DIVINO COLCHONES"/>
    <s v="EX"/>
    <s v="COLCHAO ME"/>
    <m/>
    <s v="CONEXÃO MALHAS"/>
    <n v="45566"/>
    <m/>
    <m/>
    <n v="40253.29"/>
    <s v="MT "/>
    <n v="280"/>
    <m/>
    <n v="2111"/>
    <m/>
    <m/>
    <m/>
    <m/>
    <m/>
    <m/>
    <m/>
    <m/>
    <m/>
    <m/>
    <m/>
    <s v="DIVINO S.A"/>
    <s v="CONEXAO MALHAS E DESENVOLVIMENTO LTDA"/>
    <n v="19.068351492183801"/>
  </r>
  <r>
    <x v="4"/>
    <x v="3"/>
    <s v="COLCHÃO M.E."/>
    <s v="DIRETO"/>
    <x v="1"/>
    <s v="NADA"/>
    <x v="1"/>
    <n v="54885"/>
    <n v="1504"/>
    <x v="167"/>
    <s v="DIVINO COLCHONES"/>
    <s v="EX"/>
    <s v="COLCHAO ME"/>
    <m/>
    <s v="CONEXÃO MALHAS"/>
    <n v="45566"/>
    <m/>
    <m/>
    <n v="93162.07"/>
    <s v="MT "/>
    <n v="240"/>
    <m/>
    <n v="5777"/>
    <m/>
    <m/>
    <m/>
    <m/>
    <m/>
    <m/>
    <m/>
    <m/>
    <m/>
    <m/>
    <m/>
    <s v="DIVINO S.A"/>
    <s v="CONEXAO MALHAS E DESENVOLVIMENTO LTDA"/>
    <n v="16.126375281287867"/>
  </r>
  <r>
    <x v="4"/>
    <x v="3"/>
    <s v="COLCHÃO M.E."/>
    <s v="DIRETO"/>
    <x v="1"/>
    <s v="NADA"/>
    <x v="1"/>
    <n v="54885"/>
    <n v="1236"/>
    <x v="168"/>
    <s v="DIVINO COLCHONES"/>
    <s v="EX"/>
    <s v="COLCHAO ME"/>
    <m/>
    <s v="CONEXÃO MALHAS"/>
    <n v="45566"/>
    <m/>
    <m/>
    <n v="50226.03"/>
    <s v="MT "/>
    <n v="240"/>
    <m/>
    <n v="2634"/>
    <m/>
    <m/>
    <m/>
    <m/>
    <m/>
    <m/>
    <m/>
    <m/>
    <m/>
    <m/>
    <m/>
    <s v="DIVINO S.A"/>
    <s v="CONEXAO MALHAS E DESENVOLVIMENTO LTDA"/>
    <n v="19.068348519362186"/>
  </r>
  <r>
    <x v="4"/>
    <x v="3"/>
    <s v="COLCHÃO M.E."/>
    <s v="DIRETO"/>
    <x v="1"/>
    <s v="NADA"/>
    <x v="1"/>
    <n v="54885"/>
    <n v="1225"/>
    <x v="194"/>
    <s v="DIVINO COLCHONES"/>
    <s v="EX"/>
    <s v="COLCHAO ME"/>
    <m/>
    <s v="CONEXÃO MALHAS"/>
    <n v="45566"/>
    <m/>
    <m/>
    <n v="83437.87"/>
    <s v="MT "/>
    <n v="240"/>
    <m/>
    <n v="5174"/>
    <m/>
    <m/>
    <m/>
    <m/>
    <m/>
    <m/>
    <m/>
    <m/>
    <m/>
    <m/>
    <m/>
    <s v="DIVINO S.A"/>
    <s v="CONEXAO MALHAS E DESENVOLVIMENTO LTDA"/>
    <n v="16.126376111325857"/>
  </r>
  <r>
    <x v="4"/>
    <x v="3"/>
    <s v="COLCHÃO M.E."/>
    <s v="DIRETO"/>
    <x v="1"/>
    <s v="NADA"/>
    <x v="1"/>
    <n v="54972"/>
    <n v="1504"/>
    <x v="167"/>
    <s v="DIVINO COLCHONES"/>
    <s v="EX"/>
    <s v="COLCHAO ME"/>
    <m/>
    <s v="CONEXÃO MALHAS"/>
    <n v="45572"/>
    <m/>
    <m/>
    <n v="11039.57"/>
    <s v="MT "/>
    <n v="240"/>
    <m/>
    <n v="682"/>
    <m/>
    <m/>
    <m/>
    <m/>
    <m/>
    <m/>
    <m/>
    <m/>
    <m/>
    <m/>
    <m/>
    <s v="DIVINO S.A"/>
    <s v="CONEXAO MALHAS E DESENVOLVIMENTO LTDA"/>
    <n v="16.187052785923754"/>
  </r>
  <r>
    <x v="4"/>
    <x v="3"/>
    <s v="COLCHÃO M.E."/>
    <s v="DIRETO"/>
    <x v="1"/>
    <s v="NADA"/>
    <x v="1"/>
    <n v="54972"/>
    <n v="1506"/>
    <x v="162"/>
    <s v="DIVINO COLCHONES"/>
    <s v="EX"/>
    <s v="COLCHAO ME"/>
    <m/>
    <s v="CONEXÃO MALHAS"/>
    <n v="45572"/>
    <m/>
    <m/>
    <n v="64827.519999999997"/>
    <s v="MT "/>
    <n v="280"/>
    <m/>
    <n v="3387"/>
    <m/>
    <m/>
    <m/>
    <m/>
    <m/>
    <m/>
    <m/>
    <m/>
    <m/>
    <m/>
    <m/>
    <s v="DIVINO S.A"/>
    <s v="CONEXAO MALHAS E DESENVOLVIMENTO LTDA"/>
    <n v="19.140100383820489"/>
  </r>
  <r>
    <x v="4"/>
    <x v="3"/>
    <s v="COLCHÃO M.E."/>
    <s v="DIRETO"/>
    <x v="31"/>
    <s v="NADA"/>
    <x v="4"/>
    <n v="55127"/>
    <n v="3467"/>
    <x v="370"/>
    <s v="SEA TRADING COMPANY SA"/>
    <s v="EX"/>
    <s v="COLCHAO ME"/>
    <m/>
    <s v="DIRETO"/>
    <n v="45580"/>
    <m/>
    <m/>
    <n v="6980.97"/>
    <s v="MT "/>
    <n v="160"/>
    <m/>
    <n v="1038"/>
    <m/>
    <m/>
    <m/>
    <m/>
    <m/>
    <m/>
    <m/>
    <m/>
    <m/>
    <m/>
    <m/>
    <s v="SEA TRADING COMPANY SA"/>
    <s v="CARLOS FIDENCIO D AVALOS RUIZ JUNIOR 34496952823"/>
    <n v="6.7254046242774566"/>
  </r>
  <r>
    <x v="4"/>
    <x v="3"/>
    <s v="COLCHÃO M.E."/>
    <s v="DIRETO"/>
    <x v="31"/>
    <s v="NADA"/>
    <x v="4"/>
    <n v="55202"/>
    <n v="3467"/>
    <x v="370"/>
    <s v="SEA TRADING COMPANY SA"/>
    <s v="EX"/>
    <s v="COLCHAO MI"/>
    <m/>
    <s v="DIRETO"/>
    <n v="45583"/>
    <m/>
    <m/>
    <n v="9340.1"/>
    <s v="MT "/>
    <n v="160"/>
    <m/>
    <n v="1038"/>
    <m/>
    <m/>
    <m/>
    <m/>
    <m/>
    <m/>
    <m/>
    <m/>
    <m/>
    <m/>
    <m/>
    <s v="SEA TRADING COMPANY SA"/>
    <s v="CARLOS FIDENCIO D AVALOS RUIZ JUNIOR 34496952823"/>
    <n v="8.998169556840077"/>
  </r>
  <r>
    <x v="4"/>
    <x v="3"/>
    <s v="COLCHÃO M.E."/>
    <s v="DIRETO"/>
    <x v="1"/>
    <s v="NADA"/>
    <x v="1"/>
    <n v="55327"/>
    <n v="2497"/>
    <x v="278"/>
    <s v="DIVINO COLCHONES"/>
    <s v="EX"/>
    <s v="COLCHAO ME"/>
    <m/>
    <s v="CONEXÃO MALHAS"/>
    <n v="45590"/>
    <m/>
    <m/>
    <n v="7631.39"/>
    <s v="MT "/>
    <n v="230"/>
    <m/>
    <n v="557"/>
    <m/>
    <m/>
    <m/>
    <m/>
    <m/>
    <m/>
    <m/>
    <m/>
    <m/>
    <m/>
    <m/>
    <s v="DIVINO S.A"/>
    <s v="CONEXAO MALHAS E DESENVOLVIMENTO LTDA"/>
    <n v="13.700879712746859"/>
  </r>
  <r>
    <x v="4"/>
    <x v="3"/>
    <s v="COLCHÃO M.E."/>
    <s v="DIRETO"/>
    <x v="1"/>
    <s v="NADA"/>
    <x v="1"/>
    <n v="55327"/>
    <n v="1525"/>
    <x v="185"/>
    <s v="DIVINO COLCHONES"/>
    <s v="EX"/>
    <s v="COLCHAO ME"/>
    <m/>
    <s v="CONEXÃO MALHAS"/>
    <n v="45590"/>
    <m/>
    <m/>
    <n v="25266.59"/>
    <s v="MT "/>
    <n v="320"/>
    <m/>
    <n v="1174"/>
    <m/>
    <m/>
    <m/>
    <m/>
    <m/>
    <m/>
    <m/>
    <m/>
    <m/>
    <m/>
    <m/>
    <s v="DIVINO S.A"/>
    <s v="CONEXAO MALHAS E DESENVOLVIMENTO LTDA"/>
    <n v="21.521797274275979"/>
  </r>
  <r>
    <x v="4"/>
    <x v="3"/>
    <s v="COLCHÃO M.E."/>
    <s v="DIRETO"/>
    <x v="1"/>
    <s v="NADA"/>
    <x v="1"/>
    <n v="55327"/>
    <n v="1506"/>
    <x v="162"/>
    <s v="DIVINO COLCHONES"/>
    <s v="EX"/>
    <s v="COLCHAO ME"/>
    <m/>
    <s v="CONEXÃO MALHAS"/>
    <n v="45590"/>
    <m/>
    <m/>
    <n v="20000.43"/>
    <s v="MT "/>
    <n v="280"/>
    <m/>
    <n v="1001"/>
    <m/>
    <m/>
    <m/>
    <m/>
    <m/>
    <m/>
    <m/>
    <m/>
    <m/>
    <m/>
    <m/>
    <s v="DIVINO S.A"/>
    <s v="CONEXAO MALHAS E DESENVOLVIMENTO LTDA"/>
    <n v="19.980449550449549"/>
  </r>
  <r>
    <x v="4"/>
    <x v="3"/>
    <s v="COLCHÃO M.E."/>
    <s v="DIRETO"/>
    <x v="1"/>
    <s v="NADA"/>
    <x v="1"/>
    <n v="55327"/>
    <n v="1504"/>
    <x v="167"/>
    <s v="DIVINO COLCHONES"/>
    <s v="EX"/>
    <s v="COLCHAO ME"/>
    <m/>
    <s v="CONEXÃO MALHAS"/>
    <n v="45590"/>
    <m/>
    <m/>
    <n v="26563.27"/>
    <s v="MT "/>
    <n v="240"/>
    <m/>
    <n v="1572"/>
    <m/>
    <m/>
    <m/>
    <m/>
    <m/>
    <m/>
    <m/>
    <m/>
    <m/>
    <m/>
    <m/>
    <s v="DIVINO S.A"/>
    <s v="CONEXAO MALHAS E DESENVOLVIMENTO LTDA"/>
    <n v="16.897754452926208"/>
  </r>
  <r>
    <x v="4"/>
    <x v="3"/>
    <s v="COLCHÃO M.E."/>
    <s v="DIRETO"/>
    <x v="1"/>
    <s v="NADA"/>
    <x v="1"/>
    <n v="55327"/>
    <n v="1236"/>
    <x v="168"/>
    <s v="DIVINO COLCHONES"/>
    <s v="EX"/>
    <s v="COLCHAO ME"/>
    <m/>
    <s v="CONEXÃO MALHAS"/>
    <n v="45590"/>
    <m/>
    <m/>
    <n v="31888.799999999999"/>
    <s v="MT "/>
    <n v="240"/>
    <m/>
    <n v="1596"/>
    <m/>
    <m/>
    <m/>
    <m/>
    <m/>
    <m/>
    <m/>
    <m/>
    <m/>
    <m/>
    <m/>
    <s v="DIVINO S.A"/>
    <s v="CONEXAO MALHAS E DESENVOLVIMENTO LTDA"/>
    <n v="19.980451127819549"/>
  </r>
  <r>
    <x v="4"/>
    <x v="3"/>
    <s v="COLCHÃO M.E."/>
    <s v="DIRETO"/>
    <x v="1"/>
    <s v="NADA"/>
    <x v="1"/>
    <n v="55327"/>
    <n v="1225"/>
    <x v="194"/>
    <s v="DIVINO COLCHONES"/>
    <s v="EX"/>
    <s v="COLCHAO ME"/>
    <m/>
    <s v="CONEXÃO MALHAS"/>
    <n v="45590"/>
    <m/>
    <m/>
    <n v="46891.26"/>
    <s v="MT "/>
    <n v="240"/>
    <m/>
    <n v="2775"/>
    <m/>
    <m/>
    <m/>
    <m/>
    <m/>
    <m/>
    <m/>
    <m/>
    <m/>
    <m/>
    <m/>
    <s v="DIVINO S.A"/>
    <s v="CONEXAO MALHAS E DESENVOLVIMENTO LTDA"/>
    <n v="16.897751351351353"/>
  </r>
  <r>
    <x v="4"/>
    <x v="3"/>
    <s v="COLCHÃO M.E."/>
    <s v="DIRETO"/>
    <x v="1"/>
    <s v="NADA"/>
    <x v="1"/>
    <n v="55328"/>
    <n v="1905"/>
    <x v="193"/>
    <s v="DIVINO COLCHONES"/>
    <s v="EX"/>
    <s v="COLCHAO ME"/>
    <m/>
    <s v="CONEXÃO MALHAS"/>
    <n v="45590"/>
    <m/>
    <m/>
    <n v="10522.28"/>
    <s v="MT "/>
    <m/>
    <m/>
    <n v="1152"/>
    <m/>
    <m/>
    <m/>
    <m/>
    <m/>
    <m/>
    <m/>
    <m/>
    <m/>
    <m/>
    <m/>
    <s v="DIVINO S.A"/>
    <s v="CONEXAO MALHAS E DESENVOLVIMENTO LTDA"/>
    <n v="9.1339236111111113"/>
  </r>
  <r>
    <x v="4"/>
    <x v="3"/>
    <s v="COLCHÃO M.E."/>
    <s v="DIRETO"/>
    <x v="1"/>
    <s v="NADA"/>
    <x v="1"/>
    <n v="55329"/>
    <n v="3547"/>
    <x v="371"/>
    <s v="DIVINO COLCHONES"/>
    <s v="EX"/>
    <s v="COLCHAO ME"/>
    <m/>
    <s v="CONEXÃO MALHAS"/>
    <n v="45590"/>
    <m/>
    <m/>
    <n v="38872.82"/>
    <s v="MT "/>
    <n v="240"/>
    <m/>
    <n v="1170"/>
    <m/>
    <m/>
    <m/>
    <m/>
    <m/>
    <m/>
    <m/>
    <m/>
    <m/>
    <m/>
    <m/>
    <s v="DIVINO S.A"/>
    <s v="CONEXAO MALHAS E DESENVOLVIMENTO LTDA"/>
    <n v="33.224632478632479"/>
  </r>
  <r>
    <x v="4"/>
    <x v="3"/>
    <s v="COLCHÃO M.E."/>
    <s v="DIRETO"/>
    <x v="9"/>
    <s v="NADA"/>
    <x v="2"/>
    <n v="55465"/>
    <n v="3378"/>
    <x v="340"/>
    <s v="FLEX CHILE"/>
    <s v="EX"/>
    <s v="COLCHAO ME"/>
    <m/>
    <s v="DIRETO"/>
    <n v="45596"/>
    <m/>
    <m/>
    <n v="16427.62"/>
    <s v="MT "/>
    <n v="370"/>
    <m/>
    <n v="586"/>
    <m/>
    <m/>
    <m/>
    <m/>
    <m/>
    <m/>
    <m/>
    <m/>
    <m/>
    <m/>
    <m/>
    <s v="FLEX CHILE"/>
    <s v="CARLOS FIDENCIO D AVALOS RUIZ JUNIOR 34496952823"/>
    <n v="28.03348122866894"/>
  </r>
  <r>
    <x v="4"/>
    <x v="3"/>
    <s v="COLCHÃO M.E."/>
    <s v="DIRETO"/>
    <x v="9"/>
    <s v="NADA"/>
    <x v="2"/>
    <n v="55465"/>
    <n v="1422"/>
    <x v="232"/>
    <s v="FLEX CHILE"/>
    <s v="EX"/>
    <s v="COLCHAO ME"/>
    <m/>
    <s v="DIRETO"/>
    <n v="45596"/>
    <m/>
    <m/>
    <n v="34498.35"/>
    <s v="MT "/>
    <n v="240"/>
    <m/>
    <n v="2109"/>
    <m/>
    <m/>
    <m/>
    <m/>
    <m/>
    <m/>
    <m/>
    <m/>
    <m/>
    <m/>
    <m/>
    <s v="FLEX CHILE"/>
    <s v="CARLOS FIDENCIO D AVALOS RUIZ JUNIOR 34496952823"/>
    <n v="16.357681365576102"/>
  </r>
  <r>
    <x v="4"/>
    <x v="3"/>
    <s v="COLCHÃO M.E."/>
    <s v="DIRETO"/>
    <x v="9"/>
    <s v="NADA"/>
    <x v="2"/>
    <n v="55465"/>
    <n v="3512"/>
    <x v="372"/>
    <s v="FLEX CHILE"/>
    <s v="EX"/>
    <s v="COLCHAO ME"/>
    <m/>
    <s v="DIRETO"/>
    <n v="45596"/>
    <m/>
    <m/>
    <n v="12230.69"/>
    <s v="MT "/>
    <n v="340"/>
    <m/>
    <n v="575"/>
    <m/>
    <m/>
    <m/>
    <m/>
    <m/>
    <m/>
    <m/>
    <m/>
    <m/>
    <m/>
    <m/>
    <s v="FLEX CHILE"/>
    <s v="CARLOS FIDENCIO D AVALOS RUIZ JUNIOR 34496952823"/>
    <n v="21.270765217391304"/>
  </r>
  <r>
    <x v="4"/>
    <x v="3"/>
    <s v="COLCHÃO M.E."/>
    <s v="DIRETO"/>
    <x v="9"/>
    <s v="NADA"/>
    <x v="2"/>
    <n v="55465"/>
    <n v="1419"/>
    <x v="234"/>
    <s v="FLEX CHILE"/>
    <s v="EX"/>
    <s v="COLCHAO ME"/>
    <m/>
    <s v="DIRETO"/>
    <n v="45596"/>
    <m/>
    <m/>
    <n v="8323.34"/>
    <s v="MT "/>
    <n v="180"/>
    <m/>
    <n v="640"/>
    <m/>
    <m/>
    <m/>
    <m/>
    <m/>
    <m/>
    <m/>
    <m/>
    <m/>
    <m/>
    <m/>
    <s v="FLEX CHILE"/>
    <s v="CARLOS FIDENCIO D AVALOS RUIZ JUNIOR 34496952823"/>
    <n v="13.005218750000001"/>
  </r>
  <r>
    <x v="4"/>
    <x v="3"/>
    <s v="COLCHÃO M.E."/>
    <s v="DIRETO"/>
    <x v="9"/>
    <s v="NADA"/>
    <x v="2"/>
    <n v="55465"/>
    <n v="1422"/>
    <x v="232"/>
    <s v="FLEX CHILE"/>
    <s v="EX"/>
    <s v="COLCHAO ME"/>
    <m/>
    <s v="DIRETO"/>
    <n v="45596"/>
    <m/>
    <m/>
    <n v="19743.72"/>
    <s v="MT "/>
    <n v="240"/>
    <m/>
    <n v="1207"/>
    <m/>
    <m/>
    <m/>
    <m/>
    <m/>
    <m/>
    <m/>
    <m/>
    <m/>
    <m/>
    <m/>
    <s v="FLEX CHILE"/>
    <s v="CARLOS FIDENCIO D AVALOS RUIZ JUNIOR 34496952823"/>
    <n v="16.3576801988401"/>
  </r>
  <r>
    <x v="4"/>
    <x v="3"/>
    <s v="COLCHÃO M.E."/>
    <s v="DIRETO"/>
    <x v="16"/>
    <s v="NADA"/>
    <x v="0"/>
    <n v="55491"/>
    <n v="3590"/>
    <x v="373"/>
    <s v="DAVID MORENO VISCARRA"/>
    <s v="EX"/>
    <s v="COLCHAO ME"/>
    <m/>
    <s v="DIRETO"/>
    <n v="45596"/>
    <m/>
    <m/>
    <n v="14473.37"/>
    <s v="MT "/>
    <n v="280"/>
    <m/>
    <n v="626"/>
    <m/>
    <m/>
    <m/>
    <m/>
    <m/>
    <m/>
    <m/>
    <m/>
    <m/>
    <m/>
    <m/>
    <s v="DAVID MORENO VISCARRA"/>
    <s v="CARLOS FIDENCIO D AVALOS RUIZ JUNIOR 34496952823"/>
    <n v="23.120399361022365"/>
  </r>
  <r>
    <x v="4"/>
    <x v="3"/>
    <s v="COLCHÃO M.E."/>
    <s v="DIRETO"/>
    <x v="9"/>
    <s v="NADA"/>
    <x v="2"/>
    <n v="55492"/>
    <n v="1419"/>
    <x v="234"/>
    <s v="FLEX CHILE"/>
    <s v="EX"/>
    <s v="COLCHAO ME"/>
    <m/>
    <s v="DIRETO"/>
    <n v="45596"/>
    <m/>
    <m/>
    <n v="5397.17"/>
    <s v="MT "/>
    <n v="180"/>
    <m/>
    <n v="415"/>
    <m/>
    <m/>
    <m/>
    <m/>
    <m/>
    <m/>
    <m/>
    <m/>
    <m/>
    <m/>
    <m/>
    <s v="FLEX CHILE"/>
    <s v="CARLOS FIDENCIO D AVALOS RUIZ JUNIOR 34496952823"/>
    <n v="13.00522891566265"/>
  </r>
  <r>
    <x v="4"/>
    <x v="3"/>
    <s v="COLCHÃO M.E."/>
    <s v="DIRETO"/>
    <x v="9"/>
    <s v="NADA"/>
    <x v="2"/>
    <n v="55492"/>
    <n v="1422"/>
    <x v="232"/>
    <s v="FLEX CHILE"/>
    <s v="EX"/>
    <s v="COLCHAO ME"/>
    <m/>
    <s v="DIRETO"/>
    <n v="45596"/>
    <m/>
    <m/>
    <n v="21929.11"/>
    <s v="MT "/>
    <n v="240"/>
    <m/>
    <n v="1340.6"/>
    <m/>
    <m/>
    <m/>
    <m/>
    <m/>
    <m/>
    <m/>
    <m/>
    <m/>
    <m/>
    <m/>
    <s v="FLEX CHILE"/>
    <s v="CARLOS FIDENCIO D AVALOS RUIZ JUNIOR 34496952823"/>
    <n v="16.357683126958079"/>
  </r>
  <r>
    <x v="4"/>
    <x v="3"/>
    <s v="COLCHÃO M.E."/>
    <s v="DIRETO"/>
    <x v="18"/>
    <s v="NADA"/>
    <x v="1"/>
    <n v="55503"/>
    <n v="3502"/>
    <x v="374"/>
    <s v="COLCHONES POLYMAX"/>
    <s v="EX"/>
    <s v="COLCHAO ME"/>
    <m/>
    <s v="DIRETO"/>
    <n v="45596"/>
    <m/>
    <m/>
    <n v="7359.8"/>
    <s v="MT "/>
    <n v="200"/>
    <m/>
    <n v="749"/>
    <m/>
    <m/>
    <m/>
    <m/>
    <m/>
    <m/>
    <m/>
    <m/>
    <m/>
    <m/>
    <m/>
    <s v="COLCHONES POLYMAX"/>
    <s v="CARLOS FIDENCIO D AVALOS RUIZ JUNIOR 34496952823"/>
    <n v="9.8261682242990656"/>
  </r>
  <r>
    <x v="4"/>
    <x v="3"/>
    <s v="COLCHÃO M.E."/>
    <s v="DIRETO"/>
    <x v="18"/>
    <s v="NADA"/>
    <x v="1"/>
    <n v="55503"/>
    <n v="3510"/>
    <x v="375"/>
    <s v="COLCHONES POLYMAX"/>
    <s v="EX"/>
    <s v="COLCHAO ME"/>
    <m/>
    <s v="DIRETO"/>
    <n v="45596"/>
    <m/>
    <m/>
    <n v="9315.2099999999991"/>
    <s v="MT "/>
    <n v="200"/>
    <m/>
    <n v="948"/>
    <m/>
    <m/>
    <m/>
    <m/>
    <m/>
    <m/>
    <m/>
    <m/>
    <m/>
    <m/>
    <m/>
    <s v="COLCHONES POLYMAX"/>
    <s v="CARLOS FIDENCIO D AVALOS RUIZ JUNIOR 34496952823"/>
    <n v="9.826170886075948"/>
  </r>
  <r>
    <x v="4"/>
    <x v="3"/>
    <s v="COLCHÃO M.E."/>
    <s v="DIRETO"/>
    <x v="18"/>
    <s v="NADA"/>
    <x v="1"/>
    <n v="55503"/>
    <n v="3509"/>
    <x v="376"/>
    <s v="COLCHONES POLYMAX"/>
    <s v="EX"/>
    <s v="COLCHAO ME"/>
    <m/>
    <s v="DIRETO"/>
    <n v="45596"/>
    <m/>
    <m/>
    <n v="8800.2000000000007"/>
    <s v="MT "/>
    <n v="200"/>
    <m/>
    <n v="1015"/>
    <m/>
    <m/>
    <m/>
    <m/>
    <m/>
    <m/>
    <m/>
    <m/>
    <m/>
    <m/>
    <m/>
    <s v="COLCHONES POLYMAX"/>
    <s v="CARLOS FIDENCIO D AVALOS RUIZ JUNIOR 34496952823"/>
    <n v="8.6701477832512328"/>
  </r>
  <r>
    <x v="4"/>
    <x v="3"/>
    <s v="COLCHÃO M.E."/>
    <s v="DIRETO"/>
    <x v="18"/>
    <s v="NADA"/>
    <x v="1"/>
    <n v="55503"/>
    <n v="3507"/>
    <x v="377"/>
    <s v="COLCHONES POLYMAX"/>
    <s v="EX"/>
    <s v="COLCHAO ME"/>
    <m/>
    <s v="DIRETO"/>
    <n v="45596"/>
    <m/>
    <m/>
    <n v="5067.99"/>
    <s v="MT "/>
    <n v="200"/>
    <m/>
    <n v="548"/>
    <m/>
    <m/>
    <m/>
    <m/>
    <m/>
    <m/>
    <m/>
    <m/>
    <m/>
    <m/>
    <m/>
    <s v="COLCHONES POLYMAX"/>
    <s v="CARLOS FIDENCIO D AVALOS RUIZ JUNIOR 34496952823"/>
    <n v="9.2481569343065697"/>
  </r>
  <r>
    <x v="4"/>
    <x v="3"/>
    <s v="COLCHÃO M.E."/>
    <s v="DIRETO"/>
    <x v="18"/>
    <s v="NADA"/>
    <x v="1"/>
    <n v="55503"/>
    <n v="3499"/>
    <x v="378"/>
    <s v="COLCHONES POLYMAX"/>
    <s v="EX"/>
    <s v="COLCHAO ME"/>
    <m/>
    <s v="DIRETO"/>
    <n v="45596"/>
    <m/>
    <m/>
    <n v="6793.93"/>
    <s v="MT "/>
    <n v="200"/>
    <m/>
    <n v="653"/>
    <m/>
    <m/>
    <m/>
    <m/>
    <m/>
    <m/>
    <m/>
    <m/>
    <m/>
    <m/>
    <m/>
    <s v="COLCHONES POLYMAX"/>
    <s v="CARLOS FIDENCIO D AVALOS RUIZ JUNIOR 34496952823"/>
    <n v="10.404180704441043"/>
  </r>
  <r>
    <x v="4"/>
    <x v="3"/>
    <s v="COLCHÃO M.E."/>
    <s v="DIRETO"/>
    <x v="18"/>
    <s v="NADA"/>
    <x v="1"/>
    <n v="55503"/>
    <n v="3132"/>
    <x v="331"/>
    <s v="COLCHONES POLYMAX"/>
    <s v="EX"/>
    <s v="COLCHAO ME"/>
    <m/>
    <s v="DIRETO"/>
    <n v="45596"/>
    <m/>
    <m/>
    <n v="6003.79"/>
    <s v="MT "/>
    <n v="160"/>
    <m/>
    <n v="799"/>
    <m/>
    <m/>
    <m/>
    <m/>
    <m/>
    <m/>
    <m/>
    <m/>
    <m/>
    <m/>
    <m/>
    <s v="COLCHONES POLYMAX"/>
    <s v="CARLOS FIDENCIO D AVALOS RUIZ JUNIOR 34496952823"/>
    <n v="7.5141301627033794"/>
  </r>
  <r>
    <x v="4"/>
    <x v="3"/>
    <s v="COLCHÃO M.E."/>
    <s v="DIRETO"/>
    <x v="18"/>
    <s v="NADA"/>
    <x v="1"/>
    <n v="55503"/>
    <n v="2419"/>
    <x v="272"/>
    <s v="COLCHONES POLYMAX"/>
    <s v="EX"/>
    <s v="COLCHAO MI"/>
    <m/>
    <s v="DIRETO"/>
    <n v="45596"/>
    <m/>
    <m/>
    <n v="5317.69"/>
    <s v="MT "/>
    <n v="180"/>
    <m/>
    <n v="460"/>
    <m/>
    <m/>
    <m/>
    <m/>
    <m/>
    <m/>
    <m/>
    <m/>
    <m/>
    <m/>
    <m/>
    <s v="COLCHONES POLYMAX"/>
    <s v="CARLOS FIDENCIO D AVALOS RUIZ JUNIOR 34496952823"/>
    <n v="11.560195652173912"/>
  </r>
  <r>
    <x v="4"/>
    <x v="3"/>
    <s v="COLCHÃO M.E."/>
    <s v="DIRETO"/>
    <x v="24"/>
    <s v="NADA"/>
    <x v="6"/>
    <n v="55510"/>
    <n v="3578"/>
    <x v="379"/>
    <s v="PRODUCTOS PARAISO DEL ECUADOR"/>
    <s v="EX"/>
    <s v="COLCHAO ME"/>
    <m/>
    <s v="DIRETO"/>
    <n v="45596"/>
    <m/>
    <m/>
    <n v="14201.71"/>
    <s v="MT "/>
    <n v="300"/>
    <m/>
    <n v="819"/>
    <m/>
    <m/>
    <m/>
    <m/>
    <m/>
    <m/>
    <m/>
    <m/>
    <m/>
    <m/>
    <m/>
    <s v="PRODUCTOS PARAISO DEL ECUADOR"/>
    <s v="CARLOS FIDENCIO D AVALOS RUIZ JUNIOR 34496952823"/>
    <n v="17.340305250305249"/>
  </r>
  <r>
    <x v="4"/>
    <x v="3"/>
    <s v="COLCHÃO M.E."/>
    <s v="DIRETO"/>
    <x v="24"/>
    <s v="NADA"/>
    <x v="6"/>
    <n v="55510"/>
    <n v="3399"/>
    <x v="359"/>
    <s v="PRODUCTOS PARAISO DEL ECUADOR"/>
    <s v="EX"/>
    <s v="COLCHAO ME"/>
    <m/>
    <s v="DIRETO"/>
    <n v="45596"/>
    <m/>
    <m/>
    <n v="27667.89"/>
    <s v="MT "/>
    <n v="200"/>
    <m/>
    <n v="2335"/>
    <m/>
    <m/>
    <m/>
    <m/>
    <m/>
    <m/>
    <m/>
    <m/>
    <m/>
    <m/>
    <m/>
    <s v="PRODUCTOS PARAISO DEL ECUADOR"/>
    <s v="CARLOS FIDENCIO D AVALOS RUIZ JUNIOR 34496952823"/>
    <n v="11.849203426124197"/>
  </r>
  <r>
    <x v="4"/>
    <x v="3"/>
    <s v="COLCHÃO M.E."/>
    <s v="DIRETO"/>
    <x v="24"/>
    <s v="NADA"/>
    <x v="6"/>
    <n v="55510"/>
    <n v="2950"/>
    <x v="296"/>
    <s v="PRODUCTOS PARAISO DEL ECUADOR"/>
    <s v="EX"/>
    <s v="COLCHAO ME"/>
    <m/>
    <s v="DIRETO"/>
    <n v="45596"/>
    <m/>
    <m/>
    <n v="5361.16"/>
    <s v="MT "/>
    <n v="180"/>
    <m/>
    <n v="527"/>
    <m/>
    <m/>
    <m/>
    <m/>
    <m/>
    <m/>
    <m/>
    <m/>
    <m/>
    <m/>
    <m/>
    <s v="PRODUCTOS PARAISO DEL ECUADOR"/>
    <s v="CARLOS FIDENCIO D AVALOS RUIZ JUNIOR 34496952823"/>
    <n v="10.172979127134724"/>
  </r>
  <r>
    <x v="4"/>
    <x v="3"/>
    <s v="COLCHÃO M.E."/>
    <s v="DIRETO"/>
    <x v="24"/>
    <s v="NADA"/>
    <x v="6"/>
    <n v="55510"/>
    <n v="2942"/>
    <x v="295"/>
    <s v="PRODUCTOS PARAISO DEL ECUADOR"/>
    <s v="EX"/>
    <s v="COLCHAO ME"/>
    <m/>
    <s v="DIRETO"/>
    <n v="45596"/>
    <m/>
    <m/>
    <n v="25729.88"/>
    <s v="MT "/>
    <n v="260"/>
    <m/>
    <n v="1317"/>
    <m/>
    <m/>
    <m/>
    <m/>
    <m/>
    <m/>
    <m/>
    <m/>
    <m/>
    <m/>
    <m/>
    <s v="PRODUCTOS PARAISO DEL ECUADOR"/>
    <s v="CARLOS FIDENCIO D AVALOS RUIZ JUNIOR 34496952823"/>
    <n v="19.536735003796508"/>
  </r>
  <r>
    <x v="4"/>
    <x v="3"/>
    <s v="COLCHÃO M.E."/>
    <s v="DIRETO"/>
    <x v="24"/>
    <s v="NADA"/>
    <x v="6"/>
    <n v="55510"/>
    <n v="2942"/>
    <x v="295"/>
    <s v="PRODUCTOS PARAISO DEL ECUADOR"/>
    <s v="EX"/>
    <s v="COLCHAO ME"/>
    <m/>
    <s v="DIRETO"/>
    <n v="45596"/>
    <m/>
    <m/>
    <n v="1504.33"/>
    <s v="MT "/>
    <n v="260"/>
    <m/>
    <n v="77"/>
    <m/>
    <m/>
    <m/>
    <m/>
    <m/>
    <m/>
    <m/>
    <m/>
    <m/>
    <m/>
    <m/>
    <s v="PRODUCTOS PARAISO DEL ECUADOR"/>
    <s v="CARLOS FIDENCIO D AVALOS RUIZ JUNIOR 34496952823"/>
    <n v="19.536753246753246"/>
  </r>
  <r>
    <x v="4"/>
    <x v="3"/>
    <s v="COLCHÃO M.E."/>
    <s v="DIRETO"/>
    <x v="24"/>
    <s v="NADA"/>
    <x v="6"/>
    <n v="55510"/>
    <n v="2582"/>
    <x v="289"/>
    <s v="PRODUCTOS PARAISO DEL ECUADOR"/>
    <s v="EX"/>
    <s v="COLCHAO ME"/>
    <m/>
    <s v="DIRETO"/>
    <n v="45596"/>
    <m/>
    <m/>
    <n v="67325.100000000006"/>
    <s v="MT "/>
    <n v="240"/>
    <m/>
    <n v="5343"/>
    <m/>
    <m/>
    <m/>
    <m/>
    <m/>
    <m/>
    <m/>
    <m/>
    <m/>
    <m/>
    <m/>
    <s v="PRODUCTOS PARAISO DEL ECUADOR"/>
    <s v="CARLOS FIDENCIO D AVALOS RUIZ JUNIOR 34496952823"/>
    <n v="12.600617630544638"/>
  </r>
  <r>
    <x v="5"/>
    <x v="3"/>
    <s v="COLCHÃO M.E."/>
    <s v="DIRETO"/>
    <x v="1"/>
    <s v="NADA"/>
    <x v="1"/>
    <n v="55533"/>
    <n v="1506"/>
    <x v="162"/>
    <s v="DIVINO COLCHONES"/>
    <s v="EX"/>
    <s v="COLCHAO ME"/>
    <m/>
    <s v="CONEXÃO MALHAS"/>
    <n v="45597"/>
    <m/>
    <m/>
    <n v="20242.87"/>
    <s v="MT "/>
    <n v="280"/>
    <m/>
    <n v="1001"/>
    <m/>
    <m/>
    <m/>
    <m/>
    <m/>
    <m/>
    <m/>
    <m/>
    <m/>
    <m/>
    <m/>
    <s v="DIVINO S.A"/>
    <s v="CONEXAO MALHAS E DESENVOLVIMENTO LTDA"/>
    <n v="20.222647352647353"/>
  </r>
  <r>
    <x v="5"/>
    <x v="3"/>
    <s v="COLCHÃO M.E."/>
    <s v="DIRETO"/>
    <x v="1"/>
    <s v="NADA"/>
    <x v="1"/>
    <n v="55533"/>
    <n v="2497"/>
    <x v="278"/>
    <s v="DIVINO COLCHONES"/>
    <s v="EX"/>
    <s v="COLCHAO ME"/>
    <m/>
    <s v="CONEXÃO MALHAS"/>
    <n v="45597"/>
    <m/>
    <m/>
    <n v="7723.9"/>
    <s v="MT "/>
    <n v="230"/>
    <m/>
    <n v="557"/>
    <m/>
    <m/>
    <m/>
    <m/>
    <m/>
    <m/>
    <m/>
    <m/>
    <m/>
    <m/>
    <m/>
    <s v="DIVINO S.A"/>
    <s v="CONEXAO MALHAS E DESENVOLVIMENTO LTDA"/>
    <n v="13.866965888689407"/>
  </r>
  <r>
    <x v="5"/>
    <x v="3"/>
    <s v="COLCHÃO M.E."/>
    <s v="DIRETO"/>
    <x v="1"/>
    <s v="NADA"/>
    <x v="1"/>
    <n v="55533"/>
    <n v="1525"/>
    <x v="185"/>
    <s v="DIVINO COLCHONES"/>
    <s v="EX"/>
    <s v="COLCHAO ME"/>
    <m/>
    <s v="CONEXÃO MALHAS"/>
    <n v="45597"/>
    <m/>
    <m/>
    <n v="25572.87"/>
    <s v="MT "/>
    <n v="320"/>
    <m/>
    <n v="1174"/>
    <m/>
    <m/>
    <m/>
    <m/>
    <m/>
    <m/>
    <m/>
    <m/>
    <m/>
    <m/>
    <m/>
    <s v="DIVINO S.A"/>
    <s v="CONEXAO MALHAS E DESENVOLVIMENTO LTDA"/>
    <n v="21.782683134582623"/>
  </r>
  <r>
    <x v="5"/>
    <x v="3"/>
    <s v="COLCHÃO M.E."/>
    <s v="DIRETO"/>
    <x v="1"/>
    <s v="NADA"/>
    <x v="1"/>
    <n v="55533"/>
    <n v="1504"/>
    <x v="167"/>
    <s v="DIVINO COLCHONES"/>
    <s v="EX"/>
    <s v="COLCHAO ME"/>
    <m/>
    <s v="CONEXÃO MALHAS"/>
    <n v="45597"/>
    <m/>
    <m/>
    <n v="26885.26"/>
    <s v="MT "/>
    <n v="240"/>
    <m/>
    <n v="1572"/>
    <m/>
    <m/>
    <m/>
    <m/>
    <m/>
    <m/>
    <m/>
    <m/>
    <m/>
    <m/>
    <m/>
    <s v="DIVINO S.A"/>
    <s v="CONEXAO MALHAS E DESENVOLVIMENTO LTDA"/>
    <n v="17.102582697201015"/>
  </r>
  <r>
    <x v="5"/>
    <x v="3"/>
    <s v="COLCHÃO M.E."/>
    <s v="DIRETO"/>
    <x v="1"/>
    <s v="NADA"/>
    <x v="1"/>
    <n v="55533"/>
    <n v="1236"/>
    <x v="168"/>
    <s v="DIVINO COLCHONES"/>
    <s v="EX"/>
    <s v="COLCHAO ME"/>
    <m/>
    <s v="CONEXÃO MALHAS"/>
    <n v="45597"/>
    <m/>
    <m/>
    <n v="32275.35"/>
    <s v="MT "/>
    <n v="240"/>
    <m/>
    <n v="1596"/>
    <m/>
    <m/>
    <m/>
    <m/>
    <m/>
    <m/>
    <m/>
    <m/>
    <m/>
    <m/>
    <m/>
    <s v="DIVINO S.A"/>
    <s v="CONEXAO MALHAS E DESENVOLVIMENTO LTDA"/>
    <n v="20.22265037593985"/>
  </r>
  <r>
    <x v="5"/>
    <x v="3"/>
    <s v="COLCHÃO M.E."/>
    <s v="DIRETO"/>
    <x v="1"/>
    <s v="NADA"/>
    <x v="1"/>
    <n v="55533"/>
    <n v="1225"/>
    <x v="194"/>
    <s v="DIVINO COLCHONES"/>
    <s v="EX"/>
    <s v="COLCHAO ME"/>
    <m/>
    <s v="CONEXÃO MALHAS"/>
    <n v="45597"/>
    <m/>
    <m/>
    <n v="47459.67"/>
    <s v="MT "/>
    <n v="240"/>
    <m/>
    <n v="2775"/>
    <m/>
    <m/>
    <m/>
    <m/>
    <m/>
    <m/>
    <m/>
    <m/>
    <m/>
    <m/>
    <m/>
    <s v="DIVINO S.A"/>
    <s v="CONEXAO MALHAS E DESENVOLVIMENTO LTDA"/>
    <n v="17.102583783783782"/>
  </r>
  <r>
    <x v="5"/>
    <x v="3"/>
    <s v="COLCHÃO M.E."/>
    <s v="DIRETO"/>
    <x v="28"/>
    <s v="NADA"/>
    <x v="2"/>
    <n v="55874"/>
    <n v="1904"/>
    <x v="196"/>
    <s v="COMERCIALIZADORA SL SUNLOCK LTDA"/>
    <s v="EX"/>
    <s v="COLCHAO ME"/>
    <m/>
    <s v="DIRETO"/>
    <n v="45618"/>
    <m/>
    <m/>
    <n v="21411.77"/>
    <s v="MT "/>
    <n v="450"/>
    <m/>
    <n v="554"/>
    <m/>
    <m/>
    <m/>
    <m/>
    <m/>
    <m/>
    <m/>
    <m/>
    <m/>
    <m/>
    <m/>
    <s v="COMERCIALIZADORA SL SUNLOCK LTDA"/>
    <s v="CARLOS FIDENCIO D AVALOS RUIZ JUNIOR 34496952823"/>
    <n v="38.649404332129961"/>
  </r>
  <r>
    <x v="5"/>
    <x v="3"/>
    <s v="COLCHÃO M.E."/>
    <s v="DIRETO"/>
    <x v="28"/>
    <s v="NADA"/>
    <x v="2"/>
    <n v="55874"/>
    <n v="2032"/>
    <x v="231"/>
    <s v="COMERCIALIZADORA SL SUNLOCK LTDA"/>
    <s v="EX"/>
    <s v="COLCHAO ME"/>
    <m/>
    <s v="DIRETO"/>
    <n v="45618"/>
    <m/>
    <m/>
    <n v="29476.959999999999"/>
    <s v="MT "/>
    <n v="360"/>
    <m/>
    <n v="1032"/>
    <m/>
    <m/>
    <m/>
    <m/>
    <m/>
    <m/>
    <m/>
    <m/>
    <m/>
    <m/>
    <m/>
    <s v="COMERCIALIZADORA SL SUNLOCK LTDA"/>
    <s v="CARLOS FIDENCIO D AVALOS RUIZ JUNIOR 34496952823"/>
    <n v="28.562945736434109"/>
  </r>
  <r>
    <x v="5"/>
    <x v="3"/>
    <s v="COLCHÃO M.E."/>
    <s v="DIRETO"/>
    <x v="24"/>
    <s v="NADA"/>
    <x v="6"/>
    <n v="55971"/>
    <n v="2941"/>
    <x v="294"/>
    <s v="PRODUCTOS PARAISO DEL ECUADOR"/>
    <s v="EX"/>
    <s v="COLCHAO ME"/>
    <m/>
    <s v="DIRETO"/>
    <n v="45622"/>
    <m/>
    <m/>
    <n v="35801.730000000003"/>
    <s v="MT "/>
    <n v="320"/>
    <m/>
    <n v="2469"/>
    <m/>
    <m/>
    <m/>
    <m/>
    <m/>
    <m/>
    <m/>
    <m/>
    <m/>
    <m/>
    <m/>
    <s v="PRODUCTOS PARAISO DEL ECUADOR"/>
    <s v="CARLOS FIDENCIO D AVALOS RUIZ JUNIOR 34496952823"/>
    <n v="14.500498177399757"/>
  </r>
  <r>
    <x v="5"/>
    <x v="3"/>
    <s v="COLCHÃO M.E."/>
    <s v="DIRETO"/>
    <x v="24"/>
    <s v="NADA"/>
    <x v="6"/>
    <n v="55971"/>
    <n v="2950"/>
    <x v="296"/>
    <s v="PRODUCTOS PARAISO DEL ECUADOR"/>
    <s v="EX"/>
    <s v="COLCHAO ME"/>
    <m/>
    <s v="DIRETO"/>
    <n v="45622"/>
    <m/>
    <m/>
    <n v="4910.22"/>
    <s v="MT "/>
    <n v="180"/>
    <m/>
    <n v="481"/>
    <m/>
    <m/>
    <m/>
    <m/>
    <m/>
    <m/>
    <m/>
    <m/>
    <m/>
    <m/>
    <m/>
    <s v="PRODUCTOS PARAISO DEL ECUADOR"/>
    <s v="CARLOS FIDENCIO D AVALOS RUIZ JUNIOR 34496952823"/>
    <n v="10.20835758835759"/>
  </r>
  <r>
    <x v="5"/>
    <x v="3"/>
    <s v="COLCHÃO M.E."/>
    <s v="DIRETO"/>
    <x v="24"/>
    <s v="NADA"/>
    <x v="6"/>
    <n v="55971"/>
    <n v="3398"/>
    <x v="360"/>
    <s v="PRODUCTOS PARAISO DEL ECUADOR"/>
    <s v="EX"/>
    <s v="COLCHAO ME"/>
    <m/>
    <s v="DIRETO"/>
    <n v="45622"/>
    <m/>
    <m/>
    <n v="16980.09"/>
    <s v="MT "/>
    <n v="240"/>
    <m/>
    <n v="1171"/>
    <m/>
    <m/>
    <m/>
    <m/>
    <m/>
    <m/>
    <m/>
    <m/>
    <m/>
    <m/>
    <m/>
    <s v="PRODUCTOS PARAISO DEL ECUADOR"/>
    <s v="CARLOS FIDENCIO D AVALOS RUIZ JUNIOR 34496952823"/>
    <n v="14.500503842869342"/>
  </r>
  <r>
    <x v="5"/>
    <x v="3"/>
    <s v="COLCHÃO M.E."/>
    <s v="DIRETO"/>
    <x v="18"/>
    <s v="NADA"/>
    <x v="1"/>
    <n v="55980"/>
    <n v="2427"/>
    <x v="250"/>
    <s v="COLCHONES POLYMAX"/>
    <s v="EX"/>
    <s v="COLCHAO ME"/>
    <m/>
    <s v="DIRETO"/>
    <n v="45623"/>
    <m/>
    <m/>
    <n v="5427.86"/>
    <s v="MT "/>
    <n v="160"/>
    <m/>
    <n v="468"/>
    <m/>
    <m/>
    <m/>
    <m/>
    <m/>
    <m/>
    <m/>
    <m/>
    <m/>
    <m/>
    <m/>
    <s v="COLCHONES POLYMAX"/>
    <s v="CARLOS FIDENCIO D AVALOS RUIZ JUNIOR 34496952823"/>
    <n v="11.597991452991453"/>
  </r>
  <r>
    <x v="5"/>
    <x v="3"/>
    <s v="COLCHÃO M.E."/>
    <s v="DIRETO"/>
    <x v="18"/>
    <s v="NADA"/>
    <x v="1"/>
    <n v="55980"/>
    <n v="3135"/>
    <x v="328"/>
    <s v="COLCHONES POLYMAX"/>
    <s v="EX"/>
    <s v="COLCHAO ME"/>
    <m/>
    <s v="DIRETO"/>
    <n v="45623"/>
    <m/>
    <m/>
    <n v="6497.78"/>
    <s v="MT "/>
    <n v="160"/>
    <m/>
    <n v="747"/>
    <m/>
    <m/>
    <m/>
    <m/>
    <m/>
    <m/>
    <m/>
    <m/>
    <m/>
    <m/>
    <m/>
    <s v="COLCHONES POLYMAX"/>
    <s v="CARLOS FIDENCIO D AVALOS RUIZ JUNIOR 34496952823"/>
    <n v="8.6985006693440425"/>
  </r>
  <r>
    <x v="5"/>
    <x v="3"/>
    <s v="COLCHÃO M.E."/>
    <s v="DIRETO"/>
    <x v="18"/>
    <s v="NADA"/>
    <x v="1"/>
    <n v="55980"/>
    <n v="3511"/>
    <x v="362"/>
    <s v="COLCHONES POLYMAX"/>
    <s v="EX"/>
    <s v="COLCHAO ME"/>
    <m/>
    <s v="DIRETO"/>
    <n v="45623"/>
    <m/>
    <m/>
    <n v="452.32"/>
    <s v="MT "/>
    <n v="200"/>
    <m/>
    <n v="52"/>
    <m/>
    <m/>
    <m/>
    <m/>
    <m/>
    <m/>
    <m/>
    <m/>
    <m/>
    <m/>
    <m/>
    <s v="COLCHONES POLYMAX"/>
    <s v="CARLOS FIDENCIO D AVALOS RUIZ JUNIOR 34496952823"/>
    <n v="8.6984615384615385"/>
  </r>
  <r>
    <x v="5"/>
    <x v="3"/>
    <s v="COLCHÃO M.E."/>
    <s v="DIRETO"/>
    <x v="18"/>
    <s v="NADA"/>
    <x v="1"/>
    <n v="55980"/>
    <n v="3652"/>
    <x v="380"/>
    <s v="COLCHONES POLYMAX"/>
    <s v="EX"/>
    <s v="COLCHAO ME"/>
    <m/>
    <s v="DIRETO"/>
    <n v="45623"/>
    <m/>
    <m/>
    <n v="2394.9899999999998"/>
    <s v="MT "/>
    <n v="180"/>
    <m/>
    <n v="295"/>
    <m/>
    <m/>
    <m/>
    <m/>
    <m/>
    <m/>
    <m/>
    <m/>
    <m/>
    <m/>
    <m/>
    <s v="COLCHONES POLYMAX"/>
    <s v="CARLOS FIDENCIO D AVALOS RUIZ JUNIOR 34496952823"/>
    <n v="8.1186101694915251"/>
  </r>
  <r>
    <x v="5"/>
    <x v="3"/>
    <s v="COLCHÃO M.E."/>
    <s v="DIRETO"/>
    <x v="23"/>
    <s v="NADA"/>
    <x v="4"/>
    <n v="56074"/>
    <n v="3629"/>
    <x v="381"/>
    <s v="NM ESPUMA S.A."/>
    <s v="EX"/>
    <s v="COLCHAO ME"/>
    <m/>
    <s v="DIRETO"/>
    <n v="45626"/>
    <m/>
    <m/>
    <n v="9330.09"/>
    <s v="MT "/>
    <n v="280"/>
    <m/>
    <n v="539"/>
    <m/>
    <m/>
    <m/>
    <m/>
    <m/>
    <m/>
    <m/>
    <m/>
    <m/>
    <m/>
    <m/>
    <s v="NM ESPUMA S.A."/>
    <s v="CARLOS FIDENCIO D AVALOS RUIZ JUNIOR 34496952823"/>
    <n v="17.309999999999999"/>
  </r>
  <r>
    <x v="5"/>
    <x v="3"/>
    <s v="COLCHÃO M.E."/>
    <s v="DIRETO"/>
    <x v="23"/>
    <s v="NADA"/>
    <x v="4"/>
    <n v="56074"/>
    <n v="3628"/>
    <x v="382"/>
    <s v="NM ESPUMA S.A."/>
    <s v="EX"/>
    <s v="COLCHAO ME"/>
    <m/>
    <s v="DIRETO"/>
    <n v="45626"/>
    <m/>
    <m/>
    <n v="12200.49"/>
    <s v="MT "/>
    <n v="300"/>
    <m/>
    <n v="619"/>
    <m/>
    <m/>
    <m/>
    <m/>
    <m/>
    <m/>
    <m/>
    <m/>
    <m/>
    <m/>
    <m/>
    <s v="NM ESPUMA S.A."/>
    <s v="CARLOS FIDENCIO D AVALOS RUIZ JUNIOR 34496952823"/>
    <n v="19.71"/>
  </r>
  <r>
    <x v="6"/>
    <x v="3"/>
    <s v="COLCHÃO M.E."/>
    <s v="DIRETO"/>
    <x v="1"/>
    <s v="DIRETO"/>
    <x v="1"/>
    <n v="56101"/>
    <n v="1523"/>
    <x v="184"/>
    <s v="DIVINO COLCHONES"/>
    <s v="EX"/>
    <s v="REVENDA ME"/>
    <m/>
    <s v="CONEXÃO MALHAS"/>
    <n v="45629"/>
    <m/>
    <m/>
    <n v="4632.8"/>
    <s v="MT "/>
    <m/>
    <m/>
    <n v="506"/>
    <m/>
    <m/>
    <m/>
    <m/>
    <m/>
    <m/>
    <m/>
    <m/>
    <m/>
    <m/>
    <m/>
    <s v="DIVINO S.A"/>
    <s v="CONEXAO MALHAS E DESENVOLVIMENTO LTDA"/>
    <n v="9.1557312252964422"/>
  </r>
  <r>
    <x v="6"/>
    <x v="3"/>
    <s v="COLCHÃO M.E."/>
    <s v="DIRETO"/>
    <x v="1"/>
    <s v="DIRETO"/>
    <x v="1"/>
    <n v="56102"/>
    <n v="2054"/>
    <x v="224"/>
    <s v="DIVINO COLCHONES"/>
    <s v="EX"/>
    <s v="COLCHAO ME"/>
    <m/>
    <s v="CONEXÃO MALHAS"/>
    <n v="45629"/>
    <m/>
    <m/>
    <n v="19441.689999999999"/>
    <s v="MT "/>
    <n v="280"/>
    <m/>
    <n v="1002"/>
    <m/>
    <m/>
    <m/>
    <m/>
    <m/>
    <m/>
    <m/>
    <m/>
    <m/>
    <m/>
    <m/>
    <s v="DIVINO S.A"/>
    <s v="CONEXAO MALHAS E DESENVOLVIMENTO LTDA"/>
    <n v="19.402884231536923"/>
  </r>
  <r>
    <x v="6"/>
    <x v="3"/>
    <s v="COLCHÃO M.E."/>
    <s v="DIRETO"/>
    <x v="1"/>
    <s v="DIRETO"/>
    <x v="1"/>
    <n v="56102"/>
    <n v="1506"/>
    <x v="162"/>
    <s v="DIVINO COLCHONES"/>
    <s v="EX"/>
    <s v="COLCHAO ME"/>
    <m/>
    <s v="CONEXÃO MALHAS"/>
    <n v="45629"/>
    <m/>
    <m/>
    <n v="22940.87"/>
    <s v="MT "/>
    <n v="280"/>
    <m/>
    <n v="1081"/>
    <m/>
    <m/>
    <m/>
    <m/>
    <m/>
    <m/>
    <m/>
    <m/>
    <m/>
    <m/>
    <m/>
    <s v="DIVINO S.A"/>
    <s v="CONEXAO MALHAS E DESENVOLVIMENTO LTDA"/>
    <n v="21.221896392229418"/>
  </r>
  <r>
    <x v="6"/>
    <x v="3"/>
    <s v="COLCHÃO M.E."/>
    <s v="DIRETO"/>
    <x v="1"/>
    <s v="DIRETO"/>
    <x v="1"/>
    <n v="56102"/>
    <n v="2497"/>
    <x v="278"/>
    <s v="DIVINO COLCHONES"/>
    <s v="EX"/>
    <s v="COLCHAO ME"/>
    <m/>
    <s v="CONEXÃO MALHAS"/>
    <n v="45629"/>
    <m/>
    <m/>
    <n v="7756.3"/>
    <s v="MT "/>
    <n v="230"/>
    <m/>
    <n v="533"/>
    <m/>
    <m/>
    <m/>
    <m/>
    <m/>
    <m/>
    <m/>
    <m/>
    <m/>
    <m/>
    <m/>
    <s v="DIVINO S.A"/>
    <s v="CONEXAO MALHAS E DESENVOLVIMENTO LTDA"/>
    <n v="14.552157598499063"/>
  </r>
  <r>
    <x v="6"/>
    <x v="3"/>
    <s v="COLCHÃO M.E."/>
    <s v="DIRETO"/>
    <x v="1"/>
    <s v="DIRETO"/>
    <x v="1"/>
    <n v="56102"/>
    <n v="1225"/>
    <x v="194"/>
    <s v="DIVINO COLCHONES"/>
    <s v="EX"/>
    <s v="COLCHAO ME"/>
    <m/>
    <s v="CONEXÃO MALHAS"/>
    <n v="45629"/>
    <m/>
    <m/>
    <n v="4792.03"/>
    <s v="MT "/>
    <n v="240"/>
    <m/>
    <n v="267"/>
    <m/>
    <m/>
    <m/>
    <m/>
    <m/>
    <m/>
    <m/>
    <m/>
    <m/>
    <m/>
    <m/>
    <s v="DIVINO S.A"/>
    <s v="CONEXAO MALHAS E DESENVOLVIMENTO LTDA"/>
    <n v="17.94767790262172"/>
  </r>
  <r>
    <x v="6"/>
    <x v="3"/>
    <s v="COLCHÃO M.E."/>
    <s v="DIRETO"/>
    <x v="1"/>
    <s v="DIRETO"/>
    <x v="1"/>
    <n v="56102"/>
    <n v="1504"/>
    <x v="167"/>
    <s v="DIVINO COLCHONES"/>
    <s v="EX"/>
    <s v="COLCHAO ME"/>
    <m/>
    <s v="CONEXÃO MALHAS"/>
    <n v="45629"/>
    <m/>
    <m/>
    <n v="28823.95"/>
    <s v="MT "/>
    <n v="240"/>
    <m/>
    <n v="1606"/>
    <m/>
    <m/>
    <m/>
    <m/>
    <m/>
    <m/>
    <m/>
    <m/>
    <m/>
    <m/>
    <m/>
    <s v="DIVINO S.A"/>
    <s v="CONEXAO MALHAS E DESENVOLVIMENTO LTDA"/>
    <n v="17.94766500622665"/>
  </r>
  <r>
    <x v="6"/>
    <x v="3"/>
    <s v="COLCHÃO M.E."/>
    <s v="DIRETO"/>
    <x v="1"/>
    <s v="DIRETO"/>
    <x v="1"/>
    <n v="56102"/>
    <n v="1236"/>
    <x v="168"/>
    <s v="DIVINO COLCHONES"/>
    <s v="EX"/>
    <s v="COLCHAO ME"/>
    <m/>
    <s v="CONEXÃO MALHAS"/>
    <n v="45629"/>
    <m/>
    <m/>
    <n v="30517.09"/>
    <s v="MT "/>
    <n v="240"/>
    <m/>
    <n v="1438"/>
    <m/>
    <m/>
    <m/>
    <m/>
    <m/>
    <m/>
    <m/>
    <m/>
    <m/>
    <m/>
    <m/>
    <s v="DIVINO S.A"/>
    <s v="CONEXAO MALHAS E DESENVOLVIMENTO LTDA"/>
    <n v="21.221898470097358"/>
  </r>
  <r>
    <x v="6"/>
    <x v="3"/>
    <s v="COLCHÃO M.E."/>
    <s v="DIRETO"/>
    <x v="1"/>
    <s v="DIRETO"/>
    <x v="1"/>
    <n v="56102"/>
    <n v="1225"/>
    <x v="194"/>
    <s v="DIVINO COLCHONES"/>
    <s v="EX"/>
    <s v="COLCHAO ME"/>
    <m/>
    <s v="CONEXÃO MALHAS"/>
    <n v="45629"/>
    <m/>
    <m/>
    <n v="11935.2"/>
    <s v="MT "/>
    <n v="240"/>
    <m/>
    <n v="665"/>
    <m/>
    <m/>
    <m/>
    <m/>
    <m/>
    <m/>
    <m/>
    <m/>
    <m/>
    <m/>
    <m/>
    <s v="DIVINO S.A"/>
    <s v="CONEXAO MALHAS E DESENVOLVIMENTO LTDA"/>
    <n v="17.947669172932333"/>
  </r>
  <r>
    <x v="6"/>
    <x v="3"/>
    <s v="COLCHÃO M.E."/>
    <s v="DIRETO"/>
    <x v="9"/>
    <s v="DIRETO"/>
    <x v="2"/>
    <n v="56222"/>
    <n v="1422"/>
    <x v="232"/>
    <s v="FLEX CHILE"/>
    <s v="EX"/>
    <s v="COLCHAO ME"/>
    <m/>
    <s v="DIRETO"/>
    <n v="45635"/>
    <m/>
    <m/>
    <n v="7422.37"/>
    <s v="MT "/>
    <n v="240"/>
    <m/>
    <n v="435"/>
    <m/>
    <m/>
    <m/>
    <m/>
    <m/>
    <m/>
    <m/>
    <m/>
    <m/>
    <m/>
    <m/>
    <s v="FLEX CHILE"/>
    <s v="CARLOS FIDENCIO D AVALOS RUIZ JUNIOR 34496952823"/>
    <n v="17.062919540229885"/>
  </r>
  <r>
    <x v="6"/>
    <x v="3"/>
    <s v="COLCHÃO M.E."/>
    <s v="DIRETO"/>
    <x v="1"/>
    <s v="DIRETO"/>
    <x v="1"/>
    <n v="56509"/>
    <n v="1226"/>
    <x v="170"/>
    <s v="DIVINO COLCHONES"/>
    <s v="EX"/>
    <s v="COLCHAO ME"/>
    <m/>
    <s v="CONEXÃO MALHAS"/>
    <n v="45646"/>
    <m/>
    <m/>
    <n v="13005.16"/>
    <s v="MT "/>
    <n v="260"/>
    <m/>
    <n v="701"/>
    <m/>
    <m/>
    <m/>
    <m/>
    <m/>
    <m/>
    <m/>
    <m/>
    <m/>
    <m/>
    <m/>
    <s v="DIVINO S.A"/>
    <s v="CONEXAO MALHAS E DESENVOLVIMENTO LTDA"/>
    <n v="18.552296718972897"/>
  </r>
  <r>
    <x v="6"/>
    <x v="3"/>
    <s v="COLCHÃO M.E."/>
    <s v="DIRETO"/>
    <x v="1"/>
    <s v="DIRETO"/>
    <x v="1"/>
    <n v="56509"/>
    <n v="1236"/>
    <x v="168"/>
    <s v="DIVINO COLCHONES"/>
    <s v="EX"/>
    <s v="COLCHAO ME"/>
    <m/>
    <s v="CONEXÃO MALHAS"/>
    <n v="45646"/>
    <m/>
    <m/>
    <n v="26535.97"/>
    <s v="MT "/>
    <n v="240"/>
    <m/>
    <n v="1226"/>
    <m/>
    <m/>
    <m/>
    <m/>
    <m/>
    <m/>
    <m/>
    <m/>
    <m/>
    <m/>
    <m/>
    <s v="DIVINO S.A"/>
    <s v="CONEXAO MALHAS E DESENVOLVIMENTO LTDA"/>
    <n v="21.644347471451876"/>
  </r>
  <r>
    <x v="6"/>
    <x v="3"/>
    <s v="COLCHÃO M.E."/>
    <s v="DIRETO"/>
    <x v="1"/>
    <s v="DIRETO"/>
    <x v="1"/>
    <n v="56509"/>
    <n v="1506"/>
    <x v="162"/>
    <s v="DIVINO COLCHONES"/>
    <s v="EX"/>
    <s v="COLCHAO ME"/>
    <m/>
    <s v="CONEXÃO MALHAS"/>
    <n v="45646"/>
    <m/>
    <m/>
    <n v="34890.69"/>
    <s v="MT "/>
    <n v="280"/>
    <m/>
    <n v="1612"/>
    <m/>
    <m/>
    <m/>
    <m/>
    <m/>
    <m/>
    <m/>
    <m/>
    <m/>
    <m/>
    <m/>
    <s v="DIVINO S.A"/>
    <s v="CONEXAO MALHAS E DESENVOLVIMENTO LTDA"/>
    <n v="21.644348635235733"/>
  </r>
  <r>
    <x v="6"/>
    <x v="3"/>
    <s v="COLCHÃO M.E."/>
    <s v="DIRETO"/>
    <x v="32"/>
    <s v="DIRETO"/>
    <x v="6"/>
    <n v="56510"/>
    <n v="1523"/>
    <x v="184"/>
    <s v="CARPINTERIA Y TAPECERIA INTERNACIONAL CTIN"/>
    <s v="EX"/>
    <s v="COLCHAO ME"/>
    <m/>
    <s v="DIRETO"/>
    <n v="45646"/>
    <m/>
    <m/>
    <n v="4638.08"/>
    <s v="MT "/>
    <m/>
    <m/>
    <n v="500"/>
    <m/>
    <m/>
    <m/>
    <m/>
    <m/>
    <m/>
    <m/>
    <m/>
    <m/>
    <m/>
    <m/>
    <s v="CARPINTERIA Y TAPECERIA INTERNACIONAL CTIN"/>
    <s v="CARLOS FIDENCIO D AVALOS RUIZ JUNIOR 34496952823"/>
    <n v="9.2761599999999991"/>
  </r>
  <r>
    <x v="6"/>
    <x v="3"/>
    <s v="COLCHÃO M.E."/>
    <s v="DIRETO"/>
    <x v="32"/>
    <s v="DIRETO"/>
    <x v="6"/>
    <n v="56511"/>
    <n v="3692"/>
    <x v="383"/>
    <s v="CARPINTERIA Y TAPECERIA INTERNACIONAL CTIN"/>
    <s v="EX"/>
    <s v="COLCHAO ME"/>
    <m/>
    <s v="DIRETO"/>
    <n v="45646"/>
    <m/>
    <m/>
    <n v="15503.54"/>
    <s v="MT "/>
    <n v="200"/>
    <m/>
    <n v="502"/>
    <m/>
    <m/>
    <m/>
    <m/>
    <m/>
    <m/>
    <m/>
    <m/>
    <m/>
    <m/>
    <m/>
    <s v="CARPINTERIA Y TAPECERIA INTERNACIONAL CTIN"/>
    <s v="CARLOS FIDENCIO D AVALOS RUIZ JUNIOR 34496952823"/>
    <n v="30.883545816733069"/>
  </r>
  <r>
    <x v="6"/>
    <x v="3"/>
    <s v="COLCHÃO M.E."/>
    <s v="DIRETO"/>
    <x v="32"/>
    <s v="DIRETO"/>
    <x v="6"/>
    <n v="56511"/>
    <n v="3693"/>
    <x v="384"/>
    <s v="CARPINTERIA Y TAPECERIA INTERNACIONAL CTIN"/>
    <s v="EX"/>
    <s v="COLCHAO ME"/>
    <m/>
    <s v="DIRETO"/>
    <n v="45646"/>
    <m/>
    <m/>
    <n v="5339.6"/>
    <s v="MT "/>
    <n v="360"/>
    <m/>
    <n v="575"/>
    <m/>
    <m/>
    <m/>
    <m/>
    <m/>
    <m/>
    <m/>
    <m/>
    <m/>
    <m/>
    <m/>
    <s v="CARPINTERIA Y TAPECERIA INTERNACIONAL CTIN"/>
    <s v="CARLOS FIDENCIO D AVALOS RUIZ JUNIOR 34496952823"/>
    <n v="9.2862608695652185"/>
  </r>
  <r>
    <x v="6"/>
    <x v="3"/>
    <s v="COLCHÃO M.E."/>
    <s v="DIRETO"/>
    <x v="9"/>
    <s v="DIRETO"/>
    <x v="2"/>
    <n v="56527"/>
    <n v="1422"/>
    <x v="232"/>
    <s v="FLEX CHILE"/>
    <s v="EX"/>
    <s v="COLCHAO ME"/>
    <m/>
    <s v="DIRETO"/>
    <n v="45652"/>
    <m/>
    <m/>
    <n v="6966.44"/>
    <s v="MT "/>
    <n v="240"/>
    <m/>
    <n v="400"/>
    <m/>
    <m/>
    <m/>
    <m/>
    <m/>
    <m/>
    <m/>
    <m/>
    <m/>
    <m/>
    <m/>
    <s v="FLEX CHILE"/>
    <s v="CARLOS FIDENCIO D AVALOS RUIZ JUNIOR 34496952823"/>
    <n v="17.4161"/>
  </r>
  <r>
    <x v="6"/>
    <x v="3"/>
    <s v="COLCHÃO M.E."/>
    <s v="DIRETO"/>
    <x v="9"/>
    <s v="DIRETO"/>
    <x v="2"/>
    <n v="56527"/>
    <n v="1419"/>
    <x v="234"/>
    <s v="FLEX CHILE"/>
    <s v="EX"/>
    <s v="COLCHAO ME"/>
    <m/>
    <s v="DIRETO"/>
    <n v="45652"/>
    <m/>
    <m/>
    <n v="66007.34"/>
    <s v="MT "/>
    <n v="180"/>
    <m/>
    <n v="4767"/>
    <m/>
    <m/>
    <m/>
    <m/>
    <m/>
    <m/>
    <m/>
    <m/>
    <m/>
    <m/>
    <m/>
    <s v="FLEX CHILE"/>
    <s v="CARLOS FIDENCIO D AVALOS RUIZ JUNIOR 34496952823"/>
    <n v="13.846725403817914"/>
  </r>
  <r>
    <x v="6"/>
    <x v="3"/>
    <s v="COLCHÃO M.E."/>
    <s v="DIRETO"/>
    <x v="1"/>
    <s v="DIRETO"/>
    <x v="1"/>
    <n v="56528"/>
    <n v="1225"/>
    <x v="194"/>
    <s v="DIVINO COLCHONES"/>
    <s v="EX"/>
    <s v="COLCHAO ME"/>
    <m/>
    <s v="CONEXÃO MALHAS"/>
    <n v="45652"/>
    <m/>
    <m/>
    <n v="44192.35"/>
    <s v="MT "/>
    <n v="240"/>
    <m/>
    <n v="2426"/>
    <m/>
    <m/>
    <m/>
    <m/>
    <m/>
    <m/>
    <m/>
    <m/>
    <m/>
    <m/>
    <m/>
    <s v="DIVINO S.A"/>
    <s v="CONEXAO MALHAS E DESENVOLVIMENTO LTDA"/>
    <n v="18.21613767518549"/>
  </r>
  <r>
    <x v="6"/>
    <x v="3"/>
    <s v="COLCHÃO M.E."/>
    <s v="DIRETO"/>
    <x v="1"/>
    <s v="DIRETO"/>
    <x v="1"/>
    <n v="56528"/>
    <n v="3589"/>
    <x v="385"/>
    <s v="DIVINO COLCHONES"/>
    <s v="EX"/>
    <s v="COLCHAO ME"/>
    <m/>
    <s v="CONEXÃO MALHAS"/>
    <n v="45652"/>
    <m/>
    <m/>
    <n v="12122.35"/>
    <s v="MT "/>
    <n v="340"/>
    <m/>
    <n v="469"/>
    <m/>
    <m/>
    <m/>
    <m/>
    <m/>
    <m/>
    <m/>
    <m/>
    <m/>
    <m/>
    <m/>
    <s v="DIVINO S.A"/>
    <s v="CONEXAO MALHAS E DESENVOLVIMENTO LTDA"/>
    <n v="25.847228144989341"/>
  </r>
  <r>
    <x v="6"/>
    <x v="3"/>
    <s v="COLCHÃO M.E."/>
    <s v="DIRETO"/>
    <x v="33"/>
    <s v="DIRETO"/>
    <x v="9"/>
    <n v="56529"/>
    <n v="3698"/>
    <x v="386"/>
    <s v="SIMMONS DE ARGENTINA SAIC"/>
    <s v="EX"/>
    <s v="COLCHAO ME"/>
    <m/>
    <s v="DIRETO"/>
    <n v="45652"/>
    <m/>
    <m/>
    <n v="80838"/>
    <s v="MT "/>
    <n v="220"/>
    <m/>
    <n v="6025.52"/>
    <m/>
    <m/>
    <m/>
    <m/>
    <m/>
    <m/>
    <m/>
    <m/>
    <m/>
    <m/>
    <m/>
    <s v="SIMMONS DE ARGENTINA SAIC"/>
    <s v="CARLOS FIDENCIO D AVALOS RUIZ JUNIOR 34496952823"/>
    <n v="13.415937545639213"/>
  </r>
  <r>
    <x v="6"/>
    <x v="3"/>
    <s v="COLCHÃO M.E."/>
    <s v="DIRETO"/>
    <x v="33"/>
    <s v="DIRETO"/>
    <x v="9"/>
    <n v="56529"/>
    <n v="3699"/>
    <x v="387"/>
    <s v="SIMMONS DE ARGENTINA SAIC"/>
    <s v="EX"/>
    <s v="COLCHAO ME"/>
    <m/>
    <s v="DIRETO"/>
    <n v="45652"/>
    <m/>
    <m/>
    <n v="32524.66"/>
    <s v="MT "/>
    <n v="260"/>
    <m/>
    <n v="2888"/>
    <m/>
    <m/>
    <m/>
    <m/>
    <m/>
    <m/>
    <m/>
    <m/>
    <m/>
    <m/>
    <m/>
    <s v="SIMMONS DE ARGENTINA SAIC"/>
    <s v="CARLOS FIDENCIO D AVALOS RUIZ JUNIOR 34496952823"/>
    <n v="11.26200138504155"/>
  </r>
  <r>
    <x v="6"/>
    <x v="3"/>
    <s v="COLCHÃO M.E."/>
    <s v="DIRETO"/>
    <x v="33"/>
    <s v="DIRETO"/>
    <x v="9"/>
    <n v="56529"/>
    <n v="3697"/>
    <x v="388"/>
    <s v="SIMMONS DE ARGENTINA SAIC"/>
    <s v="EX"/>
    <s v="COLCHAO ME"/>
    <m/>
    <s v="DIRETO"/>
    <n v="45652"/>
    <m/>
    <m/>
    <n v="40065.65"/>
    <s v="MT "/>
    <n v="260"/>
    <m/>
    <n v="2504"/>
    <m/>
    <m/>
    <m/>
    <m/>
    <m/>
    <m/>
    <m/>
    <m/>
    <m/>
    <m/>
    <m/>
    <s v="SIMMONS DE ARGENTINA SAIC"/>
    <s v="CARLOS FIDENCIO D AVALOS RUIZ JUNIOR 34496952823"/>
    <n v="16.000658945686901"/>
  </r>
  <r>
    <x v="6"/>
    <x v="3"/>
    <s v="COLCHÃO M.E."/>
    <s v="DIRETO"/>
    <x v="24"/>
    <s v="DIRETO"/>
    <x v="6"/>
    <n v="56540"/>
    <n v="2941"/>
    <x v="294"/>
    <s v="PRODUCTOS PARAISO DEL ECUADOR"/>
    <s v="EX"/>
    <s v="COLCHAO ME"/>
    <m/>
    <s v="DIRETO"/>
    <n v="45652"/>
    <m/>
    <m/>
    <n v="8017.81"/>
    <s v="MT "/>
    <n v="320"/>
    <m/>
    <n v="521.13599999999997"/>
    <m/>
    <m/>
    <m/>
    <m/>
    <m/>
    <m/>
    <m/>
    <m/>
    <m/>
    <m/>
    <m/>
    <s v="PRODUCTOS PARAISO DEL ECUADOR"/>
    <s v="CARLOS FIDENCIO D AVALOS RUIZ JUNIOR 34496952823"/>
    <n v="15.38525452089282"/>
  </r>
  <r>
    <x v="6"/>
    <x v="3"/>
    <s v="COLCHÃO M.E."/>
    <s v="DIRETO"/>
    <x v="1"/>
    <s v="DIRETO"/>
    <x v="1"/>
    <n v="56541"/>
    <n v="1523"/>
    <x v="184"/>
    <s v="DIVINO COLCHONES"/>
    <s v="EX"/>
    <s v="REVENDA ME"/>
    <m/>
    <s v="CONEXÃO MALHAS"/>
    <n v="45652"/>
    <m/>
    <m/>
    <n v="10017.52"/>
    <s v="MT "/>
    <m/>
    <m/>
    <n v="1078"/>
    <m/>
    <m/>
    <m/>
    <m/>
    <m/>
    <m/>
    <m/>
    <m/>
    <m/>
    <m/>
    <m/>
    <s v="DIVINO S.A"/>
    <s v="CONEXAO MALHAS E DESENVOLVIMENTO LTDA"/>
    <n v="9.2926901669758823"/>
  </r>
  <r>
    <x v="6"/>
    <x v="3"/>
    <s v="COLCHÃO M.E."/>
    <s v="DIRETO"/>
    <x v="28"/>
    <s v="DIRETO"/>
    <x v="2"/>
    <n v="56543"/>
    <n v="3397"/>
    <x v="342"/>
    <s v="COMERCIALIZADORA SL SUNLOCK LTDA"/>
    <s v="EX"/>
    <s v="COLCHAO ME"/>
    <m/>
    <s v="DIRETO"/>
    <n v="45652"/>
    <m/>
    <m/>
    <n v="17472.72"/>
    <s v="MT "/>
    <n v="380"/>
    <m/>
    <n v="546"/>
    <m/>
    <m/>
    <m/>
    <m/>
    <m/>
    <m/>
    <m/>
    <m/>
    <m/>
    <m/>
    <m/>
    <s v="COMERCIALIZADORA SL SUNLOCK LTDA"/>
    <s v="CARLOS FIDENCIO D AVALOS RUIZ JUNIOR 34496952823"/>
    <n v="32.001318681318686"/>
  </r>
  <r>
    <x v="6"/>
    <x v="3"/>
    <s v="COLCHÃO M.E."/>
    <s v="DIRETO"/>
    <x v="21"/>
    <s v="DIRETO"/>
    <x v="4"/>
    <n v="56544"/>
    <n v="3700"/>
    <x v="389"/>
    <s v="SUPERESPUMA"/>
    <s v="EX"/>
    <s v="COLCHAO ME"/>
    <m/>
    <s v="DIRETO"/>
    <n v="45652"/>
    <m/>
    <m/>
    <n v="3821.33"/>
    <s v="MT "/>
    <n v="180"/>
    <m/>
    <n v="474"/>
    <m/>
    <m/>
    <m/>
    <m/>
    <m/>
    <m/>
    <m/>
    <m/>
    <m/>
    <m/>
    <m/>
    <s v="SUPERSPUMA DEL PARAGUAY S.A.E.C.A"/>
    <s v="CARLOS FIDENCIO D AVALOS RUIZ JUNIOR 34496952823"/>
    <n v="8.0618776371308023"/>
  </r>
  <r>
    <x v="6"/>
    <x v="3"/>
    <s v="COLCHÃO M.E."/>
    <s v="DIRETO"/>
    <x v="21"/>
    <s v="DIRETO"/>
    <x v="4"/>
    <n v="56544"/>
    <n v="3702"/>
    <x v="390"/>
    <s v="SUPERESPUMA"/>
    <s v="EX"/>
    <s v="COLCHAO ME"/>
    <m/>
    <s v="DIRETO"/>
    <n v="45652"/>
    <m/>
    <m/>
    <n v="6572.58"/>
    <s v="MT "/>
    <n v="180"/>
    <m/>
    <n v="534"/>
    <m/>
    <m/>
    <m/>
    <m/>
    <m/>
    <m/>
    <m/>
    <m/>
    <m/>
    <m/>
    <m/>
    <s v="SUPERSPUMA DEL PARAGUAY S.A.E.C.A"/>
    <s v="CARLOS FIDENCIO D AVALOS RUIZ JUNIOR 34496952823"/>
    <n v="12.30820224719101"/>
  </r>
  <r>
    <x v="6"/>
    <x v="3"/>
    <s v="COLCHÃO M.E."/>
    <s v="DIRETO"/>
    <x v="21"/>
    <s v="DIRETO"/>
    <x v="4"/>
    <n v="56544"/>
    <n v="3701"/>
    <x v="391"/>
    <s v="SUPERESPUMA"/>
    <s v="EX"/>
    <s v="COLCHAO ME"/>
    <m/>
    <s v="DIRETO"/>
    <n v="45652"/>
    <m/>
    <m/>
    <n v="4315.1899999999996"/>
    <s v="MT "/>
    <n v="180"/>
    <m/>
    <n v="477"/>
    <m/>
    <m/>
    <m/>
    <m/>
    <m/>
    <m/>
    <m/>
    <m/>
    <m/>
    <m/>
    <m/>
    <s v="SUPERSPUMA DEL PARAGUAY S.A.E.C.A"/>
    <s v="CARLOS FIDENCIO D AVALOS RUIZ JUNIOR 34496952823"/>
    <n v="9.0465199161425573"/>
  </r>
  <r>
    <x v="6"/>
    <x v="3"/>
    <s v="COLCHÃO M.E."/>
    <s v="DIRETO"/>
    <x v="21"/>
    <s v="DIRETO"/>
    <x v="4"/>
    <n v="56544"/>
    <n v="1761"/>
    <x v="204"/>
    <s v="SUPERESPUMA"/>
    <s v="EX"/>
    <s v="COLCHAO ME"/>
    <m/>
    <s v="DIRETO"/>
    <n v="45652"/>
    <m/>
    <m/>
    <n v="14928.12"/>
    <s v="MT "/>
    <n v="280"/>
    <m/>
    <n v="814"/>
    <m/>
    <m/>
    <m/>
    <m/>
    <m/>
    <m/>
    <m/>
    <m/>
    <m/>
    <m/>
    <m/>
    <s v="SUPERSPUMA DEL PARAGUAY S.A.E.C.A"/>
    <s v="CARLOS FIDENCIO D AVALOS RUIZ JUNIOR 34496952823"/>
    <n v="18.339213759213759"/>
  </r>
  <r>
    <x v="6"/>
    <x v="3"/>
    <s v="COLCHÃO M.E."/>
    <s v="DIRETO"/>
    <x v="21"/>
    <s v="DIRETO"/>
    <x v="4"/>
    <n v="56544"/>
    <n v="3274"/>
    <x v="335"/>
    <s v="SUPERESPUMA"/>
    <s v="EX"/>
    <s v="COLCHAO ME"/>
    <m/>
    <s v="DIRETO"/>
    <n v="45652"/>
    <m/>
    <m/>
    <n v="4197.1000000000004"/>
    <s v="MT "/>
    <n v="220"/>
    <m/>
    <n v="310"/>
    <m/>
    <m/>
    <m/>
    <m/>
    <m/>
    <m/>
    <m/>
    <m/>
    <m/>
    <m/>
    <m/>
    <s v="SUPERSPUMA DEL PARAGUAY S.A.E.C.A"/>
    <s v="CARLOS FIDENCIO D AVALOS RUIZ JUNIOR 34496952823"/>
    <n v="13.539032258064518"/>
  </r>
  <r>
    <x v="6"/>
    <x v="3"/>
    <s v="COLCHÃO M.E."/>
    <s v="DIRETO"/>
    <x v="21"/>
    <s v="DIRETO"/>
    <x v="4"/>
    <n v="56544"/>
    <n v="3270"/>
    <x v="336"/>
    <s v="SUPERESPUMA"/>
    <s v="EX"/>
    <s v="COLCHAO ME"/>
    <m/>
    <s v="DIRETO"/>
    <n v="45652"/>
    <m/>
    <m/>
    <n v="5564.54"/>
    <s v="MT "/>
    <n v="220"/>
    <m/>
    <n v="411"/>
    <m/>
    <m/>
    <m/>
    <m/>
    <m/>
    <m/>
    <m/>
    <m/>
    <m/>
    <m/>
    <m/>
    <s v="SUPERSPUMA DEL PARAGUAY S.A.E.C.A"/>
    <s v="CARLOS FIDENCIO D AVALOS RUIZ JUNIOR 34496952823"/>
    <n v="13.539026763990268"/>
  </r>
  <r>
    <x v="6"/>
    <x v="3"/>
    <s v="COLCHÃO M.E."/>
    <s v="DIRETO"/>
    <x v="21"/>
    <s v="DIRETO"/>
    <x v="4"/>
    <n v="56544"/>
    <n v="1761"/>
    <x v="204"/>
    <s v="SUPERESPUMA"/>
    <s v="EX"/>
    <s v="COLCHAO ME"/>
    <m/>
    <s v="DIRETO"/>
    <n v="45652"/>
    <m/>
    <m/>
    <n v="9151.27"/>
    <s v="MT "/>
    <n v="280"/>
    <m/>
    <n v="499"/>
    <m/>
    <m/>
    <m/>
    <m/>
    <m/>
    <m/>
    <m/>
    <m/>
    <m/>
    <m/>
    <m/>
    <s v="SUPERSPUMA DEL PARAGUAY S.A.E.C.A"/>
    <s v="CARLOS FIDENCIO D AVALOS RUIZ JUNIOR 34496952823"/>
    <n v="18.339218436873747"/>
  </r>
  <r>
    <x v="7"/>
    <x v="4"/>
    <s v="COLCHÃO M.E."/>
    <s v="DIRETO"/>
    <x v="9"/>
    <s v="NADA"/>
    <x v="2"/>
    <n v="56569"/>
    <n v="1419"/>
    <x v="234"/>
    <s v="FLEX CHILE"/>
    <s v="EX"/>
    <s v="COLCHAO ME"/>
    <m/>
    <s v="DIRETO"/>
    <n v="45666"/>
    <m/>
    <m/>
    <n v="5725.85"/>
    <s v="MT "/>
    <n v="180"/>
    <m/>
    <n v="415"/>
    <m/>
    <m/>
    <m/>
    <m/>
    <m/>
    <m/>
    <m/>
    <m/>
    <m/>
    <m/>
    <m/>
    <s v="FLEX CHILE"/>
    <s v="CARLOS FIDENCIO D AVALOS RUIZ JUNIOR 34496952823"/>
    <n v="13.797228915662652"/>
  </r>
  <r>
    <x v="7"/>
    <x v="4"/>
    <s v="COLCHÃO M.E."/>
    <s v="DIRETO"/>
    <x v="9"/>
    <s v="NADA"/>
    <x v="2"/>
    <n v="56569"/>
    <n v="1422"/>
    <x v="232"/>
    <s v="FLEX CHILE"/>
    <s v="EX"/>
    <s v="COLCHAO ME"/>
    <m/>
    <s v="DIRETO"/>
    <n v="45666"/>
    <m/>
    <m/>
    <n v="23264.560000000001"/>
    <s v="MT "/>
    <n v="240"/>
    <m/>
    <n v="1340.6"/>
    <m/>
    <m/>
    <m/>
    <m/>
    <m/>
    <m/>
    <m/>
    <m/>
    <m/>
    <m/>
    <m/>
    <s v="FLEX CHILE"/>
    <s v="CARLOS FIDENCIO D AVALOS RUIZ JUNIOR 34496952823"/>
    <n v="17.35384156347904"/>
  </r>
  <r>
    <x v="7"/>
    <x v="4"/>
    <s v="COLCHÃO M.E."/>
    <s v="DIRETO"/>
    <x v="9"/>
    <s v="NADA"/>
    <x v="2"/>
    <n v="56569"/>
    <n v="3512"/>
    <x v="372"/>
    <s v="FLEX CHILE"/>
    <s v="EX"/>
    <s v="COLCHAO ME"/>
    <m/>
    <s v="DIRETO"/>
    <n v="45666"/>
    <m/>
    <m/>
    <n v="12975.52"/>
    <s v="MT "/>
    <n v="340"/>
    <m/>
    <n v="575"/>
    <m/>
    <m/>
    <m/>
    <m/>
    <m/>
    <m/>
    <m/>
    <m/>
    <m/>
    <m/>
    <m/>
    <s v="FLEX CHILE"/>
    <s v="CARLOS FIDENCIO D AVALOS RUIZ JUNIOR 34496952823"/>
    <n v="22.566121739130434"/>
  </r>
  <r>
    <x v="7"/>
    <x v="4"/>
    <s v="COLCHÃO M.E."/>
    <s v="DIRETO"/>
    <x v="1"/>
    <s v="NADA"/>
    <x v="1"/>
    <n v="56691"/>
    <n v="3712"/>
    <x v="392"/>
    <s v="DIVINO COLCHONES"/>
    <s v="EX"/>
    <s v="COLCHAO ME"/>
    <m/>
    <s v="CONEXÃO MALHAS"/>
    <n v="45679"/>
    <m/>
    <m/>
    <n v="9811.9500000000007"/>
    <s v="MT "/>
    <n v="280"/>
    <m/>
    <n v="522"/>
    <m/>
    <m/>
    <m/>
    <m/>
    <m/>
    <m/>
    <m/>
    <m/>
    <m/>
    <m/>
    <m/>
    <s v="DIVINO S.A"/>
    <s v="CONEXAO MALHAS E DESENVOLVIMENTO LTDA"/>
    <n v="18.796839080459772"/>
  </r>
  <r>
    <x v="7"/>
    <x v="4"/>
    <s v="COLCHÃO M.E."/>
    <s v="DIRETO"/>
    <x v="29"/>
    <s v="NADA"/>
    <x v="7"/>
    <n v="56707"/>
    <n v="3334"/>
    <x v="339"/>
    <s v="ESPUMAS PLASTICAS SAS - COMODISIMO"/>
    <s v="EX"/>
    <s v="COLCHAO ME"/>
    <m/>
    <s v="DIRETO"/>
    <n v="45680"/>
    <m/>
    <m/>
    <n v="60369.8"/>
    <s v="MT "/>
    <n v="260"/>
    <m/>
    <n v="5188"/>
    <m/>
    <m/>
    <m/>
    <m/>
    <m/>
    <m/>
    <m/>
    <m/>
    <m/>
    <m/>
    <m/>
    <s v="ESPUMAS PLASTICAS SAS - COMODISIMO"/>
    <s v="CARLOS FIDENCIO D AVALOS RUIZ JUNIOR 34496952823"/>
    <n v="11.636430223592907"/>
  </r>
  <r>
    <x v="7"/>
    <x v="4"/>
    <s v="COLCHÃO M.E."/>
    <s v="DIRETO"/>
    <x v="21"/>
    <s v="NADA"/>
    <x v="4"/>
    <n v="56743"/>
    <n v="3700"/>
    <x v="389"/>
    <s v="SUPERESPUMA"/>
    <s v="EX"/>
    <s v="COLCHAO ME"/>
    <m/>
    <s v="DIRETO"/>
    <n v="45684"/>
    <m/>
    <m/>
    <n v="3658.89"/>
    <s v="MT "/>
    <n v="180"/>
    <m/>
    <n v="474"/>
    <m/>
    <m/>
    <m/>
    <m/>
    <m/>
    <m/>
    <m/>
    <m/>
    <m/>
    <m/>
    <m/>
    <s v="SUPERSPUMA DEL PARAGUAY S.A.E.C.A"/>
    <s v="CARLOS FIDENCIO D AVALOS RUIZ JUNIOR 34496952823"/>
    <n v="7.7191772151898732"/>
  </r>
  <r>
    <x v="7"/>
    <x v="4"/>
    <s v="COLCHÃO M.E."/>
    <s v="DIRETO"/>
    <x v="21"/>
    <s v="NADA"/>
    <x v="4"/>
    <n v="56743"/>
    <n v="3702"/>
    <x v="390"/>
    <s v="SUPERESPUMA"/>
    <s v="EX"/>
    <s v="COLCHAO ME"/>
    <m/>
    <s v="DIRETO"/>
    <n v="45684"/>
    <m/>
    <m/>
    <n v="6293.19"/>
    <s v="MT "/>
    <n v="180"/>
    <m/>
    <n v="534"/>
    <m/>
    <m/>
    <m/>
    <m/>
    <m/>
    <m/>
    <m/>
    <m/>
    <m/>
    <m/>
    <m/>
    <s v="SUPERSPUMA DEL PARAGUAY S.A.E.C.A"/>
    <s v="CARLOS FIDENCIO D AVALOS RUIZ JUNIOR 34496952823"/>
    <n v="11.784999999999998"/>
  </r>
  <r>
    <x v="7"/>
    <x v="4"/>
    <s v="COLCHÃO M.E."/>
    <s v="DIRETO"/>
    <x v="21"/>
    <s v="NADA"/>
    <x v="4"/>
    <n v="56743"/>
    <n v="3701"/>
    <x v="391"/>
    <s v="SUPERESPUMA"/>
    <s v="EX"/>
    <s v="COLCHAO ME"/>
    <m/>
    <s v="DIRETO"/>
    <n v="45684"/>
    <m/>
    <m/>
    <n v="4131.76"/>
    <s v="MT "/>
    <n v="180"/>
    <m/>
    <n v="477"/>
    <m/>
    <m/>
    <m/>
    <m/>
    <m/>
    <m/>
    <m/>
    <m/>
    <m/>
    <m/>
    <m/>
    <s v="SUPERSPUMA DEL PARAGUAY S.A.E.C.A"/>
    <s v="CARLOS FIDENCIO D AVALOS RUIZ JUNIOR 34496952823"/>
    <n v="8.6619706498951778"/>
  </r>
  <r>
    <x v="7"/>
    <x v="4"/>
    <s v="COLCHÃO M.E."/>
    <s v="DIRETO"/>
    <x v="21"/>
    <s v="NADA"/>
    <x v="4"/>
    <n v="56743"/>
    <n v="3274"/>
    <x v="393"/>
    <s v="SUPERESPUMA"/>
    <s v="EX"/>
    <s v="COLCHAO ME"/>
    <m/>
    <s v="DIRETO"/>
    <n v="45684"/>
    <m/>
    <m/>
    <n v="4018.69"/>
    <s v="MT "/>
    <n v="220"/>
    <m/>
    <n v="310"/>
    <m/>
    <m/>
    <m/>
    <m/>
    <m/>
    <m/>
    <m/>
    <m/>
    <m/>
    <m/>
    <m/>
    <s v="SUPERSPUMA DEL PARAGUAY S.A.E.C.A"/>
    <s v="CARLOS FIDENCIO D AVALOS RUIZ JUNIOR 34496952823"/>
    <n v="12.963516129032259"/>
  </r>
  <r>
    <x v="7"/>
    <x v="4"/>
    <s v="COLCHÃO M.E."/>
    <s v="DIRETO"/>
    <x v="21"/>
    <s v="NADA"/>
    <x v="4"/>
    <n v="56743"/>
    <n v="3270"/>
    <x v="336"/>
    <s v="SUPERESPUMA"/>
    <s v="EX"/>
    <s v="COLCHAO ME"/>
    <m/>
    <s v="DIRETO"/>
    <n v="45684"/>
    <m/>
    <m/>
    <n v="5328"/>
    <s v="MT "/>
    <n v="220"/>
    <m/>
    <n v="411"/>
    <m/>
    <m/>
    <m/>
    <m/>
    <m/>
    <m/>
    <m/>
    <m/>
    <m/>
    <m/>
    <m/>
    <s v="SUPERSPUMA DEL PARAGUAY S.A.E.C.A"/>
    <s v="CARLOS FIDENCIO D AVALOS RUIZ JUNIOR 34496952823"/>
    <n v="12.963503649635037"/>
  </r>
  <r>
    <x v="7"/>
    <x v="4"/>
    <s v="COLCHÃO M.E."/>
    <s v="DIRETO"/>
    <x v="21"/>
    <s v="NADA"/>
    <x v="4"/>
    <n v="56743"/>
    <n v="1761"/>
    <x v="204"/>
    <s v="SUPERESPUMA"/>
    <s v="EX"/>
    <s v="COLCHAO ME"/>
    <m/>
    <s v="DIRETO"/>
    <n v="45684"/>
    <m/>
    <m/>
    <n v="14276"/>
    <s v="MT "/>
    <n v="280"/>
    <m/>
    <n v="813"/>
    <m/>
    <m/>
    <m/>
    <m/>
    <m/>
    <m/>
    <m/>
    <m/>
    <m/>
    <m/>
    <m/>
    <s v="SUPERSPUMA DEL PARAGUAY S.A.E.C.A"/>
    <s v="CARLOS FIDENCIO D AVALOS RUIZ JUNIOR 34496952823"/>
    <n v="17.559655596555967"/>
  </r>
  <r>
    <x v="7"/>
    <x v="4"/>
    <s v="COLCHÃO M.E."/>
    <s v="DIRETO"/>
    <x v="9"/>
    <s v="NADA"/>
    <x v="2"/>
    <n v="56774"/>
    <n v="1419"/>
    <x v="234"/>
    <s v="FLEX CHILE"/>
    <s v="EX"/>
    <s v="COLCHAO ME"/>
    <m/>
    <s v="DIRETO"/>
    <n v="45686"/>
    <m/>
    <m/>
    <n v="6881.55"/>
    <s v="MT "/>
    <n v="180"/>
    <m/>
    <n v="519"/>
    <m/>
    <m/>
    <m/>
    <m/>
    <m/>
    <m/>
    <m/>
    <m/>
    <m/>
    <m/>
    <m/>
    <s v="FLEX CHILE"/>
    <s v="CARLOS FIDENCIO D AVALOS RUIZ JUNIOR 34496952823"/>
    <n v="13.259248554913295"/>
  </r>
  <r>
    <x v="7"/>
    <x v="4"/>
    <s v="COLCHÃO M.E."/>
    <s v="DIRETO"/>
    <x v="9"/>
    <s v="NADA"/>
    <x v="2"/>
    <n v="56774"/>
    <n v="1419"/>
    <x v="234"/>
    <s v="FLEX CHILE"/>
    <s v="EX"/>
    <s v="COLCHAO ME"/>
    <m/>
    <s v="DIRETO"/>
    <n v="45686"/>
    <m/>
    <m/>
    <n v="8485.92"/>
    <s v="MT "/>
    <n v="180"/>
    <m/>
    <n v="640"/>
    <m/>
    <m/>
    <m/>
    <m/>
    <m/>
    <m/>
    <m/>
    <m/>
    <m/>
    <m/>
    <m/>
    <s v="FLEX CHILE"/>
    <s v="CARLOS FIDENCIO D AVALOS RUIZ JUNIOR 34496952823"/>
    <n v="13.25925"/>
  </r>
  <r>
    <x v="7"/>
    <x v="4"/>
    <s v="COLCHÃO M.E."/>
    <s v="DIRETO"/>
    <x v="9"/>
    <s v="NADA"/>
    <x v="2"/>
    <n v="56774"/>
    <n v="1419"/>
    <x v="234"/>
    <s v="FLEX CHILE"/>
    <s v="EX"/>
    <s v="COLCHAO ME"/>
    <m/>
    <s v="DIRETO"/>
    <n v="45686"/>
    <m/>
    <m/>
    <n v="38717.01"/>
    <s v="MT "/>
    <n v="180"/>
    <m/>
    <n v="2920"/>
    <m/>
    <m/>
    <m/>
    <m/>
    <m/>
    <m/>
    <m/>
    <m/>
    <m/>
    <m/>
    <m/>
    <s v="FLEX CHILE"/>
    <s v="CARLOS FIDENCIO D AVALOS RUIZ JUNIOR 34496952823"/>
    <n v="13.259250000000002"/>
  </r>
  <r>
    <x v="7"/>
    <x v="4"/>
    <s v="COLCHÃO M.E."/>
    <s v="DIRETO"/>
    <x v="9"/>
    <s v="NADA"/>
    <x v="2"/>
    <n v="56774"/>
    <n v="1422"/>
    <x v="232"/>
    <s v="FLEX CHILE"/>
    <s v="EX"/>
    <s v="COLCHAO ME"/>
    <m/>
    <s v="DIRETO"/>
    <n v="45686"/>
    <m/>
    <m/>
    <n v="13842.07"/>
    <s v="MT "/>
    <n v="240"/>
    <m/>
    <n v="830"/>
    <m/>
    <m/>
    <m/>
    <m/>
    <m/>
    <m/>
    <m/>
    <m/>
    <m/>
    <m/>
    <m/>
    <s v="FLEX CHILE"/>
    <s v="CARLOS FIDENCIO D AVALOS RUIZ JUNIOR 34496952823"/>
    <n v="16.677192771084336"/>
  </r>
  <r>
    <x v="7"/>
    <x v="4"/>
    <s v="COLCHÃO M.E."/>
    <s v="DIRETO"/>
    <x v="9"/>
    <s v="NADA"/>
    <x v="2"/>
    <n v="56774"/>
    <n v="1422"/>
    <x v="232"/>
    <s v="FLEX CHILE"/>
    <s v="EX"/>
    <s v="COLCHAO ME"/>
    <m/>
    <s v="DIRETO"/>
    <n v="45686"/>
    <m/>
    <m/>
    <n v="14459.12"/>
    <s v="MT "/>
    <n v="240"/>
    <m/>
    <n v="867"/>
    <m/>
    <m/>
    <m/>
    <m/>
    <m/>
    <m/>
    <m/>
    <m/>
    <m/>
    <m/>
    <m/>
    <s v="FLEX CHILE"/>
    <s v="CARLOS FIDENCIO D AVALOS RUIZ JUNIOR 34496952823"/>
    <n v="16.677185697808536"/>
  </r>
  <r>
    <x v="7"/>
    <x v="4"/>
    <s v="COLCHÃO M.E."/>
    <s v="DIRETO"/>
    <x v="1"/>
    <s v="NADA"/>
    <x v="1"/>
    <n v="56800"/>
    <n v="3711"/>
    <x v="394"/>
    <s v="DIVINO COLCHONES"/>
    <s v="EX"/>
    <s v="COLCHAO ME"/>
    <m/>
    <s v="CONEXÃO MALHAS"/>
    <n v="45687"/>
    <m/>
    <m/>
    <n v="37311"/>
    <s v="MT "/>
    <n v="260"/>
    <m/>
    <n v="2547"/>
    <m/>
    <m/>
    <m/>
    <m/>
    <m/>
    <m/>
    <m/>
    <m/>
    <m/>
    <m/>
    <m/>
    <s v="DIVINO S.A"/>
    <s v="CONEXAO MALHAS E DESENVOLVIMENTO LTDA"/>
    <n v="14.648998822143698"/>
  </r>
  <r>
    <x v="7"/>
    <x v="4"/>
    <s v="COLCHÃO M.E."/>
    <s v="DIRETO"/>
    <x v="1"/>
    <s v="NADA"/>
    <x v="1"/>
    <n v="56800"/>
    <n v="3009"/>
    <x v="308"/>
    <s v="DIVINO COLCHONES"/>
    <s v="EX"/>
    <s v="COLCHAO ME"/>
    <m/>
    <s v="CONEXÃO MALHAS"/>
    <n v="45687"/>
    <m/>
    <m/>
    <n v="13127.26"/>
    <s v="MT "/>
    <n v="300"/>
    <m/>
    <n v="521"/>
    <m/>
    <m/>
    <m/>
    <m/>
    <m/>
    <m/>
    <m/>
    <m/>
    <m/>
    <m/>
    <m/>
    <s v="DIVINO S.A"/>
    <s v="CONEXAO MALHAS E DESENVOLVIMENTO LTDA"/>
    <n v="25.196276391554704"/>
  </r>
  <r>
    <x v="7"/>
    <x v="4"/>
    <s v="COLCHÃO M.E."/>
    <s v="DIRETO"/>
    <x v="1"/>
    <s v="NADA"/>
    <x v="1"/>
    <n v="56800"/>
    <n v="2054"/>
    <x v="224"/>
    <s v="DIVINO COLCHONES"/>
    <s v="EX"/>
    <s v="COLCHAO ME"/>
    <m/>
    <s v="CONEXÃO MALHAS"/>
    <n v="45687"/>
    <m/>
    <m/>
    <n v="8906.59"/>
    <s v="MT "/>
    <n v="280"/>
    <m/>
    <n v="475"/>
    <m/>
    <m/>
    <m/>
    <m/>
    <m/>
    <m/>
    <m/>
    <m/>
    <m/>
    <m/>
    <m/>
    <s v="DIVINO S.A"/>
    <s v="CONEXAO MALHAS E DESENVOLVIMENTO LTDA"/>
    <n v="18.750715789473684"/>
  </r>
  <r>
    <x v="7"/>
    <x v="4"/>
    <s v="COLCHÃO M.E."/>
    <s v="DIRETO"/>
    <x v="1"/>
    <s v="NADA"/>
    <x v="1"/>
    <n v="56800"/>
    <n v="3712"/>
    <x v="392"/>
    <s v="DIVINO COLCHONES"/>
    <s v="EX"/>
    <s v="COLCHAO ME"/>
    <m/>
    <s v="CONEXÃO MALHAS"/>
    <n v="45687"/>
    <m/>
    <m/>
    <n v="62105.2"/>
    <s v="MT "/>
    <n v="280"/>
    <m/>
    <n v="3408"/>
    <m/>
    <m/>
    <m/>
    <m/>
    <m/>
    <m/>
    <m/>
    <m/>
    <m/>
    <m/>
    <m/>
    <s v="DIVINO S.A"/>
    <s v="CONEXAO MALHAS E DESENVOLVIMENTO LTDA"/>
    <n v="18.223356807511735"/>
  </r>
  <r>
    <x v="7"/>
    <x v="4"/>
    <s v="COLCHÃO M.E."/>
    <s v="DIRETO"/>
    <x v="1"/>
    <s v="NADA"/>
    <x v="1"/>
    <n v="56800"/>
    <n v="1226"/>
    <x v="170"/>
    <s v="DIVINO COLCHONES"/>
    <s v="EX"/>
    <s v="COLCHAO ME"/>
    <m/>
    <s v="CONEXÃO MALHAS"/>
    <n v="45687"/>
    <m/>
    <m/>
    <n v="15100.19"/>
    <s v="MT "/>
    <n v="260"/>
    <m/>
    <n v="859"/>
    <m/>
    <m/>
    <m/>
    <m/>
    <m/>
    <m/>
    <m/>
    <m/>
    <m/>
    <m/>
    <m/>
    <s v="DIVINO S.A"/>
    <s v="CONEXAO MALHAS E DESENVOLVIMENTO LTDA"/>
    <n v="17.578800931315484"/>
  </r>
  <r>
    <x v="7"/>
    <x v="4"/>
    <s v="COLCHÃO M.E."/>
    <s v="DIRETO"/>
    <x v="1"/>
    <s v="NADA"/>
    <x v="1"/>
    <n v="56800"/>
    <n v="1504"/>
    <x v="167"/>
    <s v="DIVINO COLCHONES"/>
    <s v="EX"/>
    <s v="COLCHAO ME"/>
    <m/>
    <s v="CONEXÃO MALHAS"/>
    <n v="45687"/>
    <m/>
    <m/>
    <n v="17205.66"/>
    <s v="MT "/>
    <n v="240"/>
    <m/>
    <n v="992"/>
    <m/>
    <m/>
    <m/>
    <m/>
    <m/>
    <m/>
    <m/>
    <m/>
    <m/>
    <m/>
    <m/>
    <s v="DIVINO S.A"/>
    <s v="CONEXAO MALHAS E DESENVOLVIMENTO LTDA"/>
    <n v="17.344415322580645"/>
  </r>
  <r>
    <x v="7"/>
    <x v="4"/>
    <s v="COLCHÃO M.E."/>
    <s v="DIRETO"/>
    <x v="1"/>
    <s v="NADA"/>
    <x v="1"/>
    <n v="56800"/>
    <n v="1236"/>
    <x v="168"/>
    <s v="DIVINO COLCHONES"/>
    <s v="EX"/>
    <s v="COLCHAO ME"/>
    <m/>
    <s v="CONEXÃO MALHAS"/>
    <n v="45687"/>
    <m/>
    <m/>
    <n v="31808.84"/>
    <s v="MT "/>
    <n v="240"/>
    <m/>
    <n v="1551"/>
    <m/>
    <m/>
    <m/>
    <m/>
    <m/>
    <m/>
    <m/>
    <m/>
    <m/>
    <m/>
    <m/>
    <s v="DIVINO S.A"/>
    <s v="CONEXAO MALHAS E DESENVOLVIMENTO LTDA"/>
    <n v="20.508600902643455"/>
  </r>
  <r>
    <x v="7"/>
    <x v="4"/>
    <s v="COLCHÃO M.E."/>
    <s v="DIRETO"/>
    <x v="1"/>
    <s v="NADA"/>
    <x v="1"/>
    <n v="56800"/>
    <n v="1225"/>
    <x v="194"/>
    <s v="DIVINO COLCHONES"/>
    <s v="EX"/>
    <s v="COLCHAO ME"/>
    <m/>
    <s v="CONEXÃO MALHAS"/>
    <n v="45687"/>
    <m/>
    <m/>
    <n v="34966.339999999997"/>
    <s v="MT "/>
    <n v="240"/>
    <m/>
    <n v="2016"/>
    <m/>
    <m/>
    <m/>
    <m/>
    <m/>
    <m/>
    <m/>
    <m/>
    <m/>
    <m/>
    <m/>
    <s v="DIVINO S.A"/>
    <s v="CONEXAO MALHAS E DESENVOLVIMENTO LTDA"/>
    <n v="17.344414682539682"/>
  </r>
  <r>
    <x v="7"/>
    <x v="4"/>
    <s v="COLCHÃO M.E."/>
    <s v="DIRETO"/>
    <x v="16"/>
    <s v="NADA"/>
    <x v="0"/>
    <n v="56802"/>
    <n v="3760"/>
    <x v="395"/>
    <s v="DAVID MORENO VISCARRA"/>
    <s v="EX"/>
    <s v="COLCHAO ME"/>
    <m/>
    <s v="DIRETO"/>
    <n v="45687"/>
    <m/>
    <m/>
    <n v="26858.94"/>
    <s v="MT "/>
    <n v="180"/>
    <m/>
    <n v="2375"/>
    <m/>
    <m/>
    <m/>
    <m/>
    <m/>
    <m/>
    <m/>
    <m/>
    <m/>
    <m/>
    <m/>
    <s v="DAVID MORENO VISCARRA"/>
    <s v="CARLOS FIDENCIO D AVALOS RUIZ JUNIOR 34496952823"/>
    <n v="11.309027368421052"/>
  </r>
  <r>
    <x v="8"/>
    <x v="4"/>
    <s v="COLCHÃO M.E."/>
    <s v="DIRETO"/>
    <x v="34"/>
    <s v="NADA"/>
    <x v="10"/>
    <n v="56976"/>
    <n v="3873"/>
    <x v="396"/>
    <s v="ZONKD LIMITADA DE CV"/>
    <s v="EX"/>
    <s v="COLCHAO ME"/>
    <m/>
    <s v="DIRETO"/>
    <n v="45702"/>
    <m/>
    <m/>
    <n v="104.02"/>
    <s v="MT "/>
    <n v="240"/>
    <m/>
    <n v="10"/>
    <m/>
    <m/>
    <m/>
    <m/>
    <m/>
    <m/>
    <m/>
    <m/>
    <m/>
    <m/>
    <m/>
    <s v="ZONKD LIMITADA DE CV"/>
    <s v="CARLOS FIDENCIO D AVALOS RUIZ JUNIOR 34496952823"/>
    <n v="10.401999999999999"/>
  </r>
  <r>
    <x v="8"/>
    <x v="4"/>
    <s v="COLCHÃO M.E."/>
    <s v="DIRETO"/>
    <x v="9"/>
    <s v="NADA"/>
    <x v="2"/>
    <n v="57134"/>
    <n v="3378"/>
    <x v="340"/>
    <s v="FLEX CHILE"/>
    <s v="EX"/>
    <s v="COLCHAO ME"/>
    <m/>
    <s v="DIRETO"/>
    <n v="45716"/>
    <m/>
    <m/>
    <n v="16548.98"/>
    <s v="MT "/>
    <n v="370"/>
    <m/>
    <n v="586"/>
    <m/>
    <m/>
    <m/>
    <m/>
    <m/>
    <m/>
    <m/>
    <m/>
    <m/>
    <m/>
    <m/>
    <s v="FLEX CHILE"/>
    <s v="CARLOS FIDENCIO D AVALOS RUIZ JUNIOR 34496952823"/>
    <n v="28.240580204778155"/>
  </r>
  <r>
    <x v="8"/>
    <x v="4"/>
    <s v="COLCHÃO M.E."/>
    <s v="DIRETO"/>
    <x v="9"/>
    <s v="NADA"/>
    <x v="2"/>
    <n v="57134"/>
    <n v="1422"/>
    <x v="232"/>
    <s v="FLEX CHILE"/>
    <s v="EX"/>
    <s v="COLCHAO ME"/>
    <m/>
    <s v="DIRETO"/>
    <n v="45716"/>
    <m/>
    <m/>
    <n v="30831.32"/>
    <s v="MT "/>
    <n v="240"/>
    <m/>
    <n v="1871"/>
    <m/>
    <m/>
    <m/>
    <m/>
    <m/>
    <m/>
    <m/>
    <m/>
    <m/>
    <m/>
    <m/>
    <s v="FLEX CHILE"/>
    <s v="CARLOS FIDENCIO D AVALOS RUIZ JUNIOR 34496952823"/>
    <n v="16.478524853019774"/>
  </r>
  <r>
    <x v="8"/>
    <x v="4"/>
    <s v="COLCHÃO M.E."/>
    <s v="DIRETO"/>
    <x v="16"/>
    <s v="NADA"/>
    <x v="0"/>
    <n v="57144"/>
    <n v="2210"/>
    <x v="237"/>
    <s v="DAVID MORENO VISCARRA"/>
    <s v="EX"/>
    <s v="COLCHAO ME"/>
    <m/>
    <s v="DIRETO"/>
    <n v="45716"/>
    <m/>
    <m/>
    <n v="10532.28"/>
    <s v="MT "/>
    <n v="180"/>
    <m/>
    <n v="952"/>
    <m/>
    <m/>
    <m/>
    <m/>
    <m/>
    <m/>
    <m/>
    <m/>
    <m/>
    <m/>
    <m/>
    <s v="DAVID MORENO VISCARRA"/>
    <s v="CARLOS FIDENCIO D AVALOS RUIZ JUNIOR 34496952823"/>
    <n v="11.063319327731094"/>
  </r>
  <r>
    <x v="8"/>
    <x v="4"/>
    <s v="COLCHÃO M.E."/>
    <s v="DIRETO"/>
    <x v="16"/>
    <s v="NADA"/>
    <x v="0"/>
    <n v="57144"/>
    <n v="3590"/>
    <x v="373"/>
    <s v="DAVID MORENO VISCARRA"/>
    <s v="EX"/>
    <s v="COLCHAO ME"/>
    <m/>
    <s v="DIRETO"/>
    <n v="45716"/>
    <m/>
    <m/>
    <n v="17328.650000000001"/>
    <s v="MT "/>
    <n v="280"/>
    <m/>
    <n v="744"/>
    <m/>
    <m/>
    <m/>
    <m/>
    <m/>
    <m/>
    <m/>
    <m/>
    <m/>
    <m/>
    <m/>
    <s v="DAVID MORENO VISCARRA"/>
    <s v="CARLOS FIDENCIO D AVALOS RUIZ JUNIOR 34496952823"/>
    <n v="23.291196236559141"/>
  </r>
  <r>
    <x v="8"/>
    <x v="4"/>
    <s v="COLCHÃO M.E."/>
    <s v="DIRETO"/>
    <x v="1"/>
    <s v="NADA"/>
    <x v="1"/>
    <n v="57145"/>
    <n v="1506"/>
    <x v="162"/>
    <s v="DIVINO COLCHONES"/>
    <s v="EX"/>
    <s v="COLCHAO ME"/>
    <m/>
    <s v="CONEXÃO MALHAS"/>
    <n v="45716"/>
    <m/>
    <m/>
    <n v="23229.13"/>
    <s v="MT "/>
    <n v="280"/>
    <m/>
    <n v="1198"/>
    <m/>
    <m/>
    <m/>
    <m/>
    <m/>
    <m/>
    <m/>
    <m/>
    <m/>
    <m/>
    <m/>
    <s v="DIVINO S.A"/>
    <s v="CONEXAO MALHAS E DESENVOLVIMENTO LTDA"/>
    <n v="19.389924874791319"/>
  </r>
  <r>
    <x v="8"/>
    <x v="4"/>
    <s v="COLCHÃO M.E."/>
    <s v="DIRETO"/>
    <x v="1"/>
    <s v="NADA"/>
    <x v="1"/>
    <n v="57145"/>
    <n v="3712"/>
    <x v="392"/>
    <s v="DIVINO COLCHONES"/>
    <s v="EX"/>
    <s v="COLCHAO ME"/>
    <m/>
    <s v="CONEXÃO MALHAS"/>
    <n v="45716"/>
    <m/>
    <m/>
    <n v="62330.86"/>
    <s v="MT "/>
    <n v="280"/>
    <m/>
    <n v="3442"/>
    <m/>
    <m/>
    <m/>
    <m/>
    <m/>
    <m/>
    <m/>
    <m/>
    <m/>
    <m/>
    <m/>
    <s v="DIVINO S.A"/>
    <s v="CONEXAO MALHAS E DESENVOLVIMENTO LTDA"/>
    <n v="18.108907611853574"/>
  </r>
  <r>
    <x v="8"/>
    <x v="4"/>
    <s v="COLCHÃO M.E."/>
    <s v="DIRETO"/>
    <x v="1"/>
    <s v="NADA"/>
    <x v="1"/>
    <n v="57145"/>
    <n v="1525"/>
    <x v="185"/>
    <s v="DIVINO COLCHONES"/>
    <s v="EX"/>
    <s v="COLCHAO ME"/>
    <m/>
    <s v="CONEXÃO MALHAS"/>
    <n v="45716"/>
    <m/>
    <m/>
    <n v="21305.57"/>
    <s v="MT "/>
    <n v="320"/>
    <m/>
    <n v="997"/>
    <m/>
    <m/>
    <m/>
    <m/>
    <m/>
    <m/>
    <m/>
    <m/>
    <m/>
    <m/>
    <m/>
    <s v="DIVINO S.A"/>
    <s v="CONEXAO MALHAS E DESENVOLVIMENTO LTDA"/>
    <n v="21.369679037111332"/>
  </r>
  <r>
    <x v="8"/>
    <x v="4"/>
    <s v="COLCHÃO M.E."/>
    <s v="DIRETO"/>
    <x v="1"/>
    <s v="NADA"/>
    <x v="1"/>
    <n v="57145"/>
    <n v="2054"/>
    <x v="224"/>
    <s v="DIVINO COLCHONES"/>
    <s v="EX"/>
    <s v="COLCHAO ME"/>
    <m/>
    <s v="CONEXÃO MALHAS"/>
    <n v="45716"/>
    <m/>
    <m/>
    <n v="20046.560000000001"/>
    <s v="MT "/>
    <n v="280"/>
    <m/>
    <n v="1107"/>
    <m/>
    <m/>
    <m/>
    <m/>
    <m/>
    <m/>
    <m/>
    <m/>
    <m/>
    <m/>
    <m/>
    <s v="DIVINO S.A"/>
    <s v="CONEXAO MALHAS E DESENVOLVIMENTO LTDA"/>
    <n v="18.108906955736224"/>
  </r>
  <r>
    <x v="8"/>
    <x v="4"/>
    <s v="COLCHÃO M.E."/>
    <s v="DIRETO"/>
    <x v="1"/>
    <s v="NADA"/>
    <x v="1"/>
    <n v="57145"/>
    <n v="1504"/>
    <x v="167"/>
    <s v="DIVINO COLCHONES"/>
    <s v="EX"/>
    <s v="COLCHAO ME"/>
    <m/>
    <s v="CONEXÃO MALHAS"/>
    <n v="45716"/>
    <m/>
    <m/>
    <n v="30589.54"/>
    <s v="MT "/>
    <n v="240"/>
    <m/>
    <n v="1869.54"/>
    <m/>
    <m/>
    <m/>
    <m/>
    <m/>
    <m/>
    <m/>
    <m/>
    <m/>
    <m/>
    <m/>
    <s v="DIVINO S.A"/>
    <s v="CONEXAO MALHAS E DESENVOLVIMENTO LTDA"/>
    <n v="16.362067674401189"/>
  </r>
  <r>
    <x v="8"/>
    <x v="4"/>
    <s v="COLCHÃO M.E."/>
    <s v="DIRETO"/>
    <x v="1"/>
    <s v="NADA"/>
    <x v="1"/>
    <n v="57145"/>
    <n v="1226"/>
    <x v="170"/>
    <s v="DIVINO COLCHONES"/>
    <s v="EX"/>
    <s v="COLCHAO ME"/>
    <m/>
    <s v="CONEXÃO MALHAS"/>
    <n v="45716"/>
    <m/>
    <m/>
    <n v="40532.28"/>
    <s v="MT "/>
    <n v="260"/>
    <m/>
    <n v="2417"/>
    <m/>
    <m/>
    <m/>
    <m/>
    <m/>
    <m/>
    <m/>
    <m/>
    <m/>
    <m/>
    <m/>
    <s v="DIVINO S.A"/>
    <s v="CONEXAO MALHAS E DESENVOLVIMENTO LTDA"/>
    <n v="16.769664873810509"/>
  </r>
  <r>
    <x v="8"/>
    <x v="4"/>
    <s v="COLCHÃO M.E."/>
    <s v="DIRETO"/>
    <x v="1"/>
    <s v="NADA"/>
    <x v="1"/>
    <n v="57145"/>
    <n v="1225"/>
    <x v="194"/>
    <s v="DIVINO COLCHONES"/>
    <s v="EX"/>
    <s v="COLCHAO ME"/>
    <m/>
    <s v="CONEXÃO MALHAS"/>
    <n v="45716"/>
    <m/>
    <m/>
    <n v="48684.2"/>
    <s v="MT "/>
    <n v="240"/>
    <m/>
    <n v="2944"/>
    <m/>
    <m/>
    <m/>
    <m/>
    <m/>
    <m/>
    <m/>
    <m/>
    <m/>
    <m/>
    <m/>
    <s v="DIVINO S.A"/>
    <s v="CONEXAO MALHAS E DESENVOLVIMENTO LTDA"/>
    <n v="16.536752717391302"/>
  </r>
  <r>
    <x v="0"/>
    <x v="4"/>
    <s v="COLCHÃO M.E."/>
    <s v="DIRETO"/>
    <x v="1"/>
    <s v="NADA"/>
    <x v="1"/>
    <n v="57297"/>
    <n v="2054"/>
    <x v="224"/>
    <s v="DIVINO COLCHONES"/>
    <s v="EX"/>
    <s v="COLCHAO ME"/>
    <m/>
    <s v="CONEXÃO MALHAS"/>
    <n v="45734"/>
    <m/>
    <m/>
    <n v="1526.72"/>
    <s v="MT "/>
    <n v="280"/>
    <m/>
    <n v="86"/>
    <m/>
    <m/>
    <m/>
    <m/>
    <m/>
    <m/>
    <m/>
    <m/>
    <m/>
    <m/>
    <m/>
    <s v="DIVINO S.A"/>
    <s v="CONEXAO MALHAS E DESENVOLVIMENTO LTDA"/>
    <n v="17.752558139534884"/>
  </r>
  <r>
    <x v="0"/>
    <x v="4"/>
    <s v="COLCHÃO M.E."/>
    <s v="DIRETO"/>
    <x v="1"/>
    <s v="NADA"/>
    <x v="1"/>
    <n v="57297"/>
    <n v="3712"/>
    <x v="392"/>
    <s v="DIVINO COLCHONES"/>
    <s v="EX"/>
    <s v="COLCHAO ME"/>
    <m/>
    <s v="CONEXÃO MALHAS"/>
    <n v="45734"/>
    <m/>
    <m/>
    <n v="15000.86"/>
    <s v="MT "/>
    <n v="280"/>
    <m/>
    <n v="845"/>
    <m/>
    <m/>
    <m/>
    <m/>
    <m/>
    <m/>
    <m/>
    <m/>
    <m/>
    <m/>
    <m/>
    <s v="DIVINO S.A"/>
    <s v="CONEXAO MALHAS E DESENVOLVIMENTO LTDA"/>
    <n v="17.752497041420121"/>
  </r>
  <r>
    <x v="0"/>
    <x v="4"/>
    <s v="COLCHÃO M.E."/>
    <s v="DIRETO"/>
    <x v="1"/>
    <s v="NADA"/>
    <x v="1"/>
    <n v="57297"/>
    <n v="1225"/>
    <x v="194"/>
    <s v="DIVINO COLCHONES"/>
    <s v="EX"/>
    <s v="COLCHAO ME"/>
    <m/>
    <s v="CONEXÃO MALHAS"/>
    <n v="45734"/>
    <m/>
    <m/>
    <n v="25127.5"/>
    <s v="MT "/>
    <n v="260"/>
    <m/>
    <n v="1550"/>
    <m/>
    <m/>
    <m/>
    <m/>
    <m/>
    <m/>
    <m/>
    <m/>
    <m/>
    <m/>
    <m/>
    <s v="DIVINO S.A"/>
    <s v="CONEXAO MALHAS E DESENVOLVIMENTO LTDA"/>
    <n v="16.211290322580645"/>
  </r>
  <r>
    <x v="0"/>
    <x v="4"/>
    <s v="COLCHÃO M.E."/>
    <s v="DIRETO"/>
    <x v="1"/>
    <s v="NADA"/>
    <x v="1"/>
    <n v="57297"/>
    <n v="1506"/>
    <x v="162"/>
    <s v="DIVINO COLCHONES"/>
    <s v="EX"/>
    <s v="COLCHAO ME"/>
    <m/>
    <s v="CONEXÃO MALHAS"/>
    <n v="45734"/>
    <m/>
    <m/>
    <n v="2984.3"/>
    <s v="MT "/>
    <n v="280"/>
    <m/>
    <n v="157"/>
    <m/>
    <m/>
    <m/>
    <m/>
    <m/>
    <m/>
    <m/>
    <m/>
    <m/>
    <m/>
    <m/>
    <s v="DIVINO S.A"/>
    <s v="CONEXAO MALHAS E DESENVOLVIMENTO LTDA"/>
    <n v="19.00828025477707"/>
  </r>
  <r>
    <x v="0"/>
    <x v="4"/>
    <s v="COLCHÃO M.E."/>
    <s v="DIRETO"/>
    <x v="1"/>
    <s v="NADA"/>
    <x v="1"/>
    <n v="57297"/>
    <n v="1226"/>
    <x v="170"/>
    <s v="DIVINO COLCHONES"/>
    <s v="EX"/>
    <s v="COLCHAO ME"/>
    <m/>
    <s v="CONEXÃO MALHAS"/>
    <n v="45734"/>
    <m/>
    <m/>
    <n v="854.86"/>
    <s v="MT "/>
    <n v="240"/>
    <m/>
    <n v="52"/>
    <m/>
    <m/>
    <m/>
    <m/>
    <m/>
    <m/>
    <m/>
    <m/>
    <m/>
    <m/>
    <m/>
    <s v="DIVINO S.A"/>
    <s v="CONEXAO MALHAS E DESENVOLVIMENTO LTDA"/>
    <n v="16.439615384615387"/>
  </r>
  <r>
    <x v="0"/>
    <x v="4"/>
    <s v="COLCHÃO M.E."/>
    <s v="DIRETO"/>
    <x v="1"/>
    <s v="NADA"/>
    <x v="1"/>
    <n v="57298"/>
    <n v="1236"/>
    <x v="168"/>
    <s v="DIVINO COLCHONES"/>
    <s v="EX"/>
    <s v="COLCHAO ME"/>
    <m/>
    <s v="CONEXÃO MALHAS"/>
    <n v="45734"/>
    <m/>
    <m/>
    <n v="17146.12"/>
    <s v="MT "/>
    <n v="240"/>
    <m/>
    <n v="913"/>
    <m/>
    <m/>
    <m/>
    <m/>
    <m/>
    <m/>
    <m/>
    <m/>
    <m/>
    <m/>
    <m/>
    <s v="DIVINO S.A"/>
    <s v="CONEXAO MALHAS E DESENVOLVIMENTO LTDA"/>
    <n v="18.779978094194959"/>
  </r>
  <r>
    <x v="0"/>
    <x v="4"/>
    <s v="COLCHÃO M.E."/>
    <s v="DIRETO"/>
    <x v="21"/>
    <s v="NADA"/>
    <x v="4"/>
    <n v="57396"/>
    <n v="1757"/>
    <x v="197"/>
    <s v="SUPERESPUMA"/>
    <s v="EX"/>
    <s v="COLCHAO ME"/>
    <m/>
    <s v="DIRETO"/>
    <n v="45741"/>
    <m/>
    <m/>
    <n v="19993.72"/>
    <s v="MT "/>
    <n v="350"/>
    <m/>
    <n v="1006.66"/>
    <m/>
    <m/>
    <m/>
    <m/>
    <m/>
    <m/>
    <m/>
    <m/>
    <m/>
    <m/>
    <m/>
    <s v="SUPERSPUMA DEL PARAGUAY S.A.E.C.A"/>
    <s v="CARLOS FIDENCIO D AVALOS RUIZ JUNIOR 34496952823"/>
    <n v="19.861442791011864"/>
  </r>
  <r>
    <x v="0"/>
    <x v="4"/>
    <s v="COLCHÃO M.E."/>
    <s v="DIRETO"/>
    <x v="28"/>
    <s v="NADA"/>
    <x v="2"/>
    <n v="57401"/>
    <n v="1904"/>
    <x v="196"/>
    <s v="COMERCIALIZADORA SL SUNLOCK LTDA"/>
    <s v="EX"/>
    <s v="COLCHAO ME"/>
    <m/>
    <s v="DIRETO"/>
    <n v="45741"/>
    <m/>
    <m/>
    <n v="24559.87"/>
    <s v="MT "/>
    <n v="450"/>
    <m/>
    <n v="995"/>
    <m/>
    <m/>
    <m/>
    <m/>
    <m/>
    <m/>
    <m/>
    <m/>
    <m/>
    <m/>
    <m/>
    <s v="COMERCIALIZADORA SL SUNLOCK LTDA"/>
    <s v="CARLOS FIDENCIO D AVALOS RUIZ JUNIOR 34496952823"/>
    <n v="24.683286432160802"/>
  </r>
  <r>
    <x v="9"/>
    <x v="4"/>
    <s v="COLCHÃO M.E."/>
    <s v="NADA"/>
    <x v="1"/>
    <m/>
    <x v="1"/>
    <n v="57558"/>
    <m/>
    <x v="224"/>
    <m/>
    <s v="URUGUAI"/>
    <s v="COLCHAO ME"/>
    <m/>
    <s v="CARLOS FIDENCIO D AVALOS RUIZ JUNIOR 34496952823"/>
    <n v="57558"/>
    <n v="0"/>
    <n v="17.968647000000001"/>
    <n v="15668.66"/>
    <s v="MT "/>
    <n v="280"/>
    <m/>
    <n v="872"/>
    <m/>
    <m/>
    <m/>
    <m/>
    <m/>
    <m/>
    <m/>
    <m/>
    <m/>
    <m/>
    <m/>
    <m/>
    <m/>
    <m/>
  </r>
  <r>
    <x v="9"/>
    <x v="4"/>
    <s v="COLCHÃO M.E."/>
    <s v="NADA"/>
    <x v="1"/>
    <m/>
    <x v="1"/>
    <n v="57558"/>
    <m/>
    <x v="392"/>
    <m/>
    <s v="URUGUAI"/>
    <s v="COLCHAO ME"/>
    <m/>
    <s v="CARLOS FIDENCIO D AVALOS RUIZ JUNIOR 34496952823"/>
    <n v="57558"/>
    <n v="0"/>
    <n v="18.488652999999999"/>
    <n v="4529.72"/>
    <s v="MT "/>
    <n v="280"/>
    <m/>
    <n v="245"/>
    <m/>
    <m/>
    <m/>
    <m/>
    <m/>
    <m/>
    <m/>
    <m/>
    <m/>
    <m/>
    <m/>
    <m/>
    <m/>
    <m/>
  </r>
  <r>
    <x v="9"/>
    <x v="4"/>
    <s v="COLCHÃO M.E."/>
    <s v="NADA"/>
    <x v="1"/>
    <m/>
    <x v="1"/>
    <n v="57558"/>
    <m/>
    <x v="170"/>
    <m/>
    <s v="URUGUAI"/>
    <s v="COLCHAO ME"/>
    <m/>
    <s v="CARLOS FIDENCIO D AVALOS RUIZ JUNIOR 34496952823"/>
    <n v="57558"/>
    <n v="0"/>
    <n v="16.639786999999998"/>
    <n v="1564.14"/>
    <s v="MT "/>
    <n v="260"/>
    <m/>
    <n v="94"/>
    <m/>
    <m/>
    <m/>
    <m/>
    <m/>
    <m/>
    <m/>
    <m/>
    <m/>
    <m/>
    <m/>
    <m/>
    <m/>
    <m/>
  </r>
  <r>
    <x v="9"/>
    <x v="4"/>
    <s v="COLCHÃO M.E."/>
    <s v="NADA"/>
    <x v="1"/>
    <m/>
    <x v="1"/>
    <n v="57558"/>
    <m/>
    <x v="167"/>
    <m/>
    <s v="URUGUAI"/>
    <s v="COLCHAO ME"/>
    <m/>
    <s v="CARLOS FIDENCIO D AVALOS RUIZ JUNIOR 34496952823"/>
    <n v="57558"/>
    <n v="0"/>
    <n v="16.235340999999998"/>
    <n v="13345.45"/>
    <s v="MT "/>
    <n v="240"/>
    <m/>
    <n v="822"/>
    <m/>
    <m/>
    <m/>
    <m/>
    <m/>
    <m/>
    <m/>
    <m/>
    <m/>
    <m/>
    <m/>
    <m/>
    <m/>
    <m/>
  </r>
  <r>
    <x v="9"/>
    <x v="4"/>
    <s v="COLCHÃO M.E."/>
    <s v="NADA"/>
    <x v="1"/>
    <m/>
    <x v="1"/>
    <n v="57558"/>
    <m/>
    <x v="194"/>
    <m/>
    <s v="URUGUAI"/>
    <s v="COLCHAO ME"/>
    <m/>
    <s v="CARLOS FIDENCIO D AVALOS RUIZ JUNIOR 34496952823"/>
    <n v="57558"/>
    <n v="0"/>
    <n v="16.408570999999998"/>
    <n v="804.02"/>
    <s v="MT "/>
    <n v="240"/>
    <m/>
    <n v="49"/>
    <m/>
    <m/>
    <m/>
    <m/>
    <m/>
    <m/>
    <m/>
    <m/>
    <m/>
    <m/>
    <m/>
    <m/>
    <m/>
    <m/>
  </r>
  <r>
    <x v="9"/>
    <x v="4"/>
    <s v="COLCHÃO"/>
    <s v="DIRETO"/>
    <x v="35"/>
    <m/>
    <x v="11"/>
    <n v="57561"/>
    <m/>
    <x v="397"/>
    <m/>
    <s v="ESTADOS UNIDOS"/>
    <s v="COLCHAO MI"/>
    <m/>
    <s v="CONEXAO MALHAS E DESENVOLVIMENTO LTDA"/>
    <n v="57561"/>
    <n v="2772.44"/>
    <n v="23.55"/>
    <n v="23102.55"/>
    <s v="MT "/>
    <n v="240"/>
    <m/>
    <n v="981"/>
    <m/>
    <m/>
    <m/>
    <m/>
    <m/>
    <m/>
    <m/>
    <m/>
    <m/>
    <m/>
    <m/>
    <m/>
    <m/>
    <m/>
  </r>
  <r>
    <x v="9"/>
    <x v="4"/>
    <s v="COLCHÃO M.E."/>
    <s v="NADA"/>
    <x v="16"/>
    <s v="NADA"/>
    <x v="0"/>
    <n v="57600"/>
    <m/>
    <x v="373"/>
    <s v="DAVID MORENO VISCARRA"/>
    <s v="BOLIVIA"/>
    <s v="COLCHAO ME"/>
    <m/>
    <s v="CARLOS FIDENCIO D AVALOS RUIZ JUNIOR 34496952823"/>
    <n v="57600"/>
    <n v="0"/>
    <n v="23.747198000000001"/>
    <n v="32462.42"/>
    <s v="MT "/>
    <n v="280"/>
    <m/>
    <n v="1367"/>
    <m/>
    <m/>
    <m/>
    <m/>
    <m/>
    <m/>
    <m/>
    <m/>
    <m/>
    <m/>
    <m/>
    <m/>
    <m/>
    <m/>
  </r>
  <r>
    <x v="9"/>
    <x v="4"/>
    <s v="COLCHÃO M.E."/>
    <s v="NADA"/>
    <x v="5"/>
    <m/>
    <x v="4"/>
    <n v="57658"/>
    <m/>
    <x v="280"/>
    <m/>
    <s v="PARAGUAI"/>
    <s v="COLCHAO ME"/>
    <m/>
    <s v="CARLOS FIDENCIO D AVALOS RUIZ JUNIOR 34496952823"/>
    <n v="57658"/>
    <n v="0"/>
    <n v="12.414147"/>
    <n v="10477.540000000001"/>
    <s v="MT "/>
    <n v="220"/>
    <m/>
    <n v="844"/>
    <m/>
    <m/>
    <m/>
    <m/>
    <m/>
    <m/>
    <m/>
    <m/>
    <m/>
    <m/>
    <m/>
    <m/>
    <m/>
    <m/>
  </r>
  <r>
    <x v="9"/>
    <x v="4"/>
    <s v="COLCHÃO M.E."/>
    <s v="NADA"/>
    <x v="5"/>
    <m/>
    <x v="4"/>
    <n v="57658"/>
    <m/>
    <x v="398"/>
    <m/>
    <s v="PARAGUAI"/>
    <s v="COLCHAO ME"/>
    <m/>
    <s v="CARLOS FIDENCIO D AVALOS RUIZ JUNIOR 34496952823"/>
    <n v="57658"/>
    <n v="0"/>
    <n v="20.099093"/>
    <n v="8863.7000000000007"/>
    <s v="MT "/>
    <n v="280"/>
    <m/>
    <n v="441"/>
    <m/>
    <m/>
    <m/>
    <m/>
    <m/>
    <m/>
    <m/>
    <m/>
    <m/>
    <m/>
    <m/>
    <m/>
    <m/>
    <m/>
  </r>
  <r>
    <x v="9"/>
    <x v="4"/>
    <s v="COLCHÃO M.E."/>
    <s v="NADA"/>
    <x v="5"/>
    <m/>
    <x v="4"/>
    <n v="57658"/>
    <m/>
    <x v="399"/>
    <m/>
    <s v="PARAGUAI"/>
    <s v="COLCHAO ME"/>
    <m/>
    <s v="CARLOS FIDENCIO D AVALOS RUIZ JUNIOR 34496952823"/>
    <n v="57658"/>
    <n v="0"/>
    <n v="21.87255"/>
    <n v="8836.51"/>
    <s v="MT "/>
    <n v="300"/>
    <m/>
    <n v="404"/>
    <m/>
    <m/>
    <m/>
    <m/>
    <m/>
    <m/>
    <m/>
    <m/>
    <m/>
    <m/>
    <m/>
    <m/>
    <m/>
    <m/>
  </r>
  <r>
    <x v="9"/>
    <x v="4"/>
    <s v="COLCHÃO M.E."/>
    <s v="NADA"/>
    <x v="5"/>
    <m/>
    <x v="4"/>
    <n v="57658"/>
    <m/>
    <x v="400"/>
    <m/>
    <s v="PARAGUAI"/>
    <s v="COLCHAO ME"/>
    <m/>
    <s v="CARLOS FIDENCIO D AVALOS RUIZ JUNIOR 34496952823"/>
    <n v="57658"/>
    <n v="0"/>
    <n v="23.586874000000002"/>
    <n v="9882.9"/>
    <s v="MT "/>
    <n v="300"/>
    <m/>
    <n v="419"/>
    <m/>
    <m/>
    <m/>
    <m/>
    <m/>
    <m/>
    <m/>
    <m/>
    <m/>
    <m/>
    <m/>
    <m/>
    <m/>
    <m/>
  </r>
  <r>
    <x v="9"/>
    <x v="4"/>
    <s v="COLCHÃO M.E."/>
    <s v="NADA"/>
    <x v="24"/>
    <m/>
    <x v="6"/>
    <n v="57673"/>
    <m/>
    <x v="296"/>
    <m/>
    <s v="EQUADOR"/>
    <s v="COLCHAO ME"/>
    <m/>
    <s v="CARLOS FIDENCIO D AVALOS RUIZ JUNIOR 34496952823"/>
    <n v="57673"/>
    <n v="0"/>
    <n v="10.925079"/>
    <n v="6948.35"/>
    <s v="MT "/>
    <n v="180"/>
    <m/>
    <n v="636"/>
    <m/>
    <m/>
    <m/>
    <m/>
    <m/>
    <m/>
    <m/>
    <m/>
    <m/>
    <m/>
    <m/>
    <m/>
    <m/>
    <m/>
  </r>
  <r>
    <x v="9"/>
    <x v="4"/>
    <s v="COLCHÃO M.E."/>
    <s v="NADA"/>
    <x v="24"/>
    <m/>
    <x v="6"/>
    <n v="57673"/>
    <m/>
    <x v="295"/>
    <m/>
    <s v="EQUADOR"/>
    <s v="COLCHAO ME"/>
    <m/>
    <s v="CARLOS FIDENCIO D AVALOS RUIZ JUNIOR 34496952823"/>
    <n v="57673"/>
    <n v="0"/>
    <n v="19.265750000000001"/>
    <n v="4623.78"/>
    <s v="MT "/>
    <n v="260"/>
    <m/>
    <n v="240"/>
    <m/>
    <m/>
    <m/>
    <m/>
    <m/>
    <m/>
    <m/>
    <m/>
    <m/>
    <m/>
    <m/>
    <m/>
    <m/>
    <m/>
  </r>
  <r>
    <x v="9"/>
    <x v="4"/>
    <s v="COLCHÃO M.E."/>
    <s v="NADA"/>
    <x v="24"/>
    <m/>
    <x v="6"/>
    <n v="57673"/>
    <m/>
    <x v="360"/>
    <m/>
    <s v="EQUADOR"/>
    <s v="COLCHAO ME"/>
    <m/>
    <s v="CARLOS FIDENCIO D AVALOS RUIZ JUNIOR 34496952823"/>
    <n v="57673"/>
    <n v="0"/>
    <n v="14.096878"/>
    <n v="29391.99"/>
    <s v="MT "/>
    <n v="240"/>
    <m/>
    <n v="2085"/>
    <m/>
    <m/>
    <m/>
    <m/>
    <m/>
    <m/>
    <m/>
    <m/>
    <m/>
    <m/>
    <m/>
    <m/>
    <m/>
    <m/>
  </r>
  <r>
    <x v="9"/>
    <x v="4"/>
    <s v="COLCHÃO M.E."/>
    <s v="NADA"/>
    <x v="24"/>
    <m/>
    <x v="6"/>
    <n v="57673"/>
    <m/>
    <x v="289"/>
    <m/>
    <s v="EQUADOR"/>
    <s v="COLCHAO ME"/>
    <m/>
    <s v="CARLOS FIDENCIO D AVALOS RUIZ JUNIOR 34496952823"/>
    <n v="57673"/>
    <n v="0"/>
    <n v="12.569718999999999"/>
    <n v="27301.43"/>
    <s v="MT "/>
    <n v="240"/>
    <m/>
    <n v="2172"/>
    <m/>
    <m/>
    <m/>
    <m/>
    <m/>
    <m/>
    <m/>
    <m/>
    <m/>
    <m/>
    <m/>
    <m/>
    <m/>
    <m/>
  </r>
  <r>
    <x v="9"/>
    <x v="4"/>
    <s v="COLCHÃO M.E."/>
    <s v="NADA"/>
    <x v="24"/>
    <m/>
    <x v="6"/>
    <n v="57673"/>
    <m/>
    <x v="294"/>
    <m/>
    <s v="EQUADOR"/>
    <s v="COLCHAO ME"/>
    <m/>
    <s v="CARLOS FIDENCIO D AVALOS RUIZ JUNIOR 34496952823"/>
    <n v="57673"/>
    <n v="0"/>
    <n v="15.154147"/>
    <n v="29274.19"/>
    <s v="MT "/>
    <n v="320"/>
    <m/>
    <n v="1931.761"/>
    <m/>
    <m/>
    <m/>
    <m/>
    <m/>
    <m/>
    <m/>
    <m/>
    <m/>
    <m/>
    <m/>
    <m/>
    <m/>
    <m/>
  </r>
  <r>
    <x v="9"/>
    <x v="4"/>
    <s v="COLCHÃO M.E."/>
    <s v="NADA"/>
    <x v="24"/>
    <m/>
    <x v="6"/>
    <n v="57673"/>
    <m/>
    <x v="294"/>
    <m/>
    <s v="EQUADOR"/>
    <s v="COLCHAO ME"/>
    <m/>
    <s v="CARLOS FIDENCIO D AVALOS RUIZ JUNIOR 34496952823"/>
    <n v="57673"/>
    <n v="0"/>
    <n v="15.154138"/>
    <n v="8458.07"/>
    <s v="MT "/>
    <n v="320"/>
    <m/>
    <n v="558.13599999999997"/>
    <m/>
    <m/>
    <m/>
    <m/>
    <m/>
    <m/>
    <m/>
    <m/>
    <m/>
    <m/>
    <m/>
    <m/>
    <m/>
    <m/>
  </r>
  <r>
    <x v="9"/>
    <x v="4"/>
    <s v="COLCHÃO M.E."/>
    <s v="NADA"/>
    <x v="1"/>
    <m/>
    <x v="1"/>
    <n v="57746"/>
    <m/>
    <x v="185"/>
    <m/>
    <s v="URUGUAI"/>
    <s v="COLCHAO ME"/>
    <m/>
    <s v="CARLOS FIDENCIO D AVALOS RUIZ JUNIOR 34496952823"/>
    <n v="57746"/>
    <n v="0"/>
    <n v="21.491143000000001"/>
    <n v="3008.76"/>
    <s v="MT "/>
    <n v="320"/>
    <m/>
    <n v="140"/>
    <m/>
    <m/>
    <m/>
    <m/>
    <m/>
    <m/>
    <m/>
    <m/>
    <m/>
    <m/>
    <m/>
    <m/>
    <m/>
    <m/>
  </r>
  <r>
    <x v="9"/>
    <x v="4"/>
    <s v="COLCHÃO M.E."/>
    <s v="NADA"/>
    <x v="1"/>
    <m/>
    <x v="1"/>
    <n v="57746"/>
    <m/>
    <x v="392"/>
    <m/>
    <s v="URUGUAI"/>
    <s v="COLCHAO ME"/>
    <m/>
    <s v="CARLOS FIDENCIO D AVALOS RUIZ JUNIOR 34496952823"/>
    <n v="57746"/>
    <n v="0"/>
    <n v="18.738880999999999"/>
    <n v="60451.63"/>
    <s v="MT "/>
    <n v="280"/>
    <m/>
    <n v="3226"/>
    <m/>
    <m/>
    <m/>
    <m/>
    <m/>
    <m/>
    <m/>
    <m/>
    <m/>
    <m/>
    <m/>
    <m/>
    <m/>
    <m/>
  </r>
  <r>
    <x v="9"/>
    <x v="4"/>
    <s v="COLCHÃO M.E."/>
    <s v="NADA"/>
    <x v="1"/>
    <m/>
    <x v="1"/>
    <n v="57746"/>
    <m/>
    <x v="392"/>
    <m/>
    <s v="URUGUAI"/>
    <s v="COLCHAO ME"/>
    <m/>
    <s v="CARLOS FIDENCIO D AVALOS RUIZ JUNIOR 34496952823"/>
    <n v="57746"/>
    <n v="0"/>
    <n v="18.738878"/>
    <n v="17876.89"/>
    <s v="MT "/>
    <n v="280"/>
    <m/>
    <n v="954"/>
    <m/>
    <m/>
    <m/>
    <m/>
    <m/>
    <m/>
    <m/>
    <m/>
    <m/>
    <m/>
    <m/>
    <m/>
    <m/>
    <m/>
  </r>
  <r>
    <x v="9"/>
    <x v="4"/>
    <s v="COLCHÃO M.E."/>
    <s v="NADA"/>
    <x v="1"/>
    <m/>
    <x v="1"/>
    <n v="57746"/>
    <m/>
    <x v="308"/>
    <m/>
    <s v="URUGUAI"/>
    <s v="COLCHAO ME"/>
    <m/>
    <s v="CARLOS FIDENCIO D AVALOS RUIZ JUNIOR 34496952823"/>
    <n v="57746"/>
    <n v="0"/>
    <n v="25.180347000000001"/>
    <n v="5086.43"/>
    <s v="MT "/>
    <n v="300"/>
    <m/>
    <n v="202"/>
    <m/>
    <m/>
    <m/>
    <m/>
    <m/>
    <m/>
    <m/>
    <m/>
    <m/>
    <m/>
    <m/>
    <m/>
    <m/>
    <m/>
  </r>
  <r>
    <x v="9"/>
    <x v="4"/>
    <s v="COLCHÃO M.E."/>
    <s v="NADA"/>
    <x v="1"/>
    <m/>
    <x v="1"/>
    <n v="57746"/>
    <m/>
    <x v="224"/>
    <m/>
    <s v="URUGUAI"/>
    <s v="COLCHAO ME"/>
    <m/>
    <s v="CARLOS FIDENCIO D AVALOS RUIZ JUNIOR 34496952823"/>
    <n v="57746"/>
    <n v="0"/>
    <n v="18.211849000000001"/>
    <n v="15662.19"/>
    <s v="MT "/>
    <n v="280"/>
    <m/>
    <n v="860"/>
    <m/>
    <m/>
    <m/>
    <m/>
    <m/>
    <m/>
    <m/>
    <m/>
    <m/>
    <m/>
    <m/>
    <m/>
    <m/>
    <m/>
  </r>
  <r>
    <x v="9"/>
    <x v="4"/>
    <s v="COLCHÃO M.E."/>
    <s v="NADA"/>
    <x v="1"/>
    <m/>
    <x v="1"/>
    <n v="57746"/>
    <m/>
    <x v="225"/>
    <m/>
    <s v="URUGUAI"/>
    <s v="COLCHAO ME"/>
    <m/>
    <s v="CARLOS FIDENCIO D AVALOS RUIZ JUNIOR 34496952823"/>
    <n v="57746"/>
    <n v="0"/>
    <n v="19.910052"/>
    <n v="11508.01"/>
    <s v="MT "/>
    <n v="300"/>
    <m/>
    <n v="578"/>
    <m/>
    <m/>
    <m/>
    <m/>
    <m/>
    <m/>
    <m/>
    <m/>
    <m/>
    <m/>
    <m/>
    <m/>
    <m/>
    <m/>
  </r>
  <r>
    <x v="9"/>
    <x v="4"/>
    <s v="COLCHÃO M.E."/>
    <s v="NADA"/>
    <x v="1"/>
    <m/>
    <x v="1"/>
    <n v="57746"/>
    <m/>
    <x v="185"/>
    <m/>
    <s v="URUGUAI"/>
    <s v="COLCHAO ME"/>
    <m/>
    <s v="CARLOS FIDENCIO D AVALOS RUIZ JUNIOR 34496952823"/>
    <n v="57746"/>
    <n v="0"/>
    <n v="21.491154000000002"/>
    <n v="17128.45"/>
    <s v="MT "/>
    <n v="320"/>
    <m/>
    <n v="797"/>
    <m/>
    <m/>
    <m/>
    <m/>
    <m/>
    <m/>
    <m/>
    <m/>
    <m/>
    <m/>
    <m/>
    <m/>
    <m/>
    <m/>
  </r>
  <r>
    <x v="9"/>
    <x v="4"/>
    <s v="COLCHÃO M.E."/>
    <s v="NADA"/>
    <x v="1"/>
    <m/>
    <x v="1"/>
    <n v="57746"/>
    <m/>
    <x v="194"/>
    <m/>
    <s v="URUGUAI"/>
    <s v="COLCHAO ME"/>
    <m/>
    <s v="CARLOS FIDENCIO D AVALOS RUIZ JUNIOR 34496952823"/>
    <n v="57746"/>
    <n v="0"/>
    <n v="16.630832999999999"/>
    <n v="798.28"/>
    <s v="MT "/>
    <n v="240"/>
    <m/>
    <n v="48"/>
    <m/>
    <m/>
    <m/>
    <m/>
    <m/>
    <m/>
    <m/>
    <m/>
    <m/>
    <m/>
    <m/>
    <m/>
    <m/>
    <m/>
  </r>
  <r>
    <x v="9"/>
    <x v="4"/>
    <s v="COLCHÃO M.E."/>
    <s v="NADA"/>
    <x v="1"/>
    <m/>
    <x v="1"/>
    <n v="57746"/>
    <m/>
    <x v="162"/>
    <m/>
    <s v="URUGUAI"/>
    <s v="COLCHAO ME"/>
    <m/>
    <s v="CARLOS FIDENCIO D AVALOS RUIZ JUNIOR 34496952823"/>
    <n v="57746"/>
    <n v="0"/>
    <n v="19.500143000000001"/>
    <n v="19110.14"/>
    <s v="MT "/>
    <n v="280"/>
    <m/>
    <n v="980"/>
    <m/>
    <m/>
    <m/>
    <m/>
    <m/>
    <m/>
    <m/>
    <m/>
    <m/>
    <m/>
    <m/>
    <m/>
    <m/>
    <m/>
  </r>
  <r>
    <x v="9"/>
    <x v="4"/>
    <s v="COLCHÃO M.E."/>
    <s v="NADA"/>
    <x v="1"/>
    <m/>
    <x v="1"/>
    <n v="57746"/>
    <m/>
    <x v="162"/>
    <m/>
    <s v="URUGUAI"/>
    <s v="COLCHAO ME"/>
    <m/>
    <s v="CARLOS FIDENCIO D AVALOS RUIZ JUNIOR 34496952823"/>
    <n v="57746"/>
    <n v="0"/>
    <n v="19.500142"/>
    <n v="15054.11"/>
    <s v="MT "/>
    <n v="280"/>
    <m/>
    <n v="772"/>
    <m/>
    <m/>
    <m/>
    <m/>
    <m/>
    <m/>
    <m/>
    <m/>
    <m/>
    <m/>
    <m/>
    <m/>
    <m/>
    <m/>
  </r>
  <r>
    <x v="9"/>
    <x v="4"/>
    <s v="COLCHÃO M.E."/>
    <s v="NADA"/>
    <x v="1"/>
    <m/>
    <x v="1"/>
    <n v="57746"/>
    <m/>
    <x v="167"/>
    <m/>
    <s v="URUGUAI"/>
    <s v="COLCHAO ME"/>
    <m/>
    <s v="CARLOS FIDENCIO D AVALOS RUIZ JUNIOR 34496952823"/>
    <n v="57746"/>
    <n v="0"/>
    <n v="16.455076999999999"/>
    <n v="27841.99"/>
    <s v="MT "/>
    <n v="240"/>
    <m/>
    <n v="1692"/>
    <m/>
    <m/>
    <m/>
    <m/>
    <m/>
    <m/>
    <m/>
    <m/>
    <m/>
    <m/>
    <m/>
    <m/>
    <m/>
    <m/>
  </r>
  <r>
    <x v="9"/>
    <x v="4"/>
    <s v="COLCHÃO M.E."/>
    <s v="NADA"/>
    <x v="1"/>
    <m/>
    <x v="1"/>
    <n v="57746"/>
    <m/>
    <x v="167"/>
    <m/>
    <s v="URUGUAI"/>
    <s v="COLCHAO ME"/>
    <m/>
    <s v="CARLOS FIDENCIO D AVALOS RUIZ JUNIOR 34496952823"/>
    <n v="57746"/>
    <n v="0"/>
    <n v="16.455071"/>
    <n v="3472.02"/>
    <s v="MT "/>
    <n v="240"/>
    <m/>
    <n v="211"/>
    <m/>
    <m/>
    <m/>
    <m/>
    <m/>
    <m/>
    <m/>
    <m/>
    <m/>
    <m/>
    <m/>
    <m/>
    <m/>
    <m/>
  </r>
  <r>
    <x v="9"/>
    <x v="4"/>
    <s v="COLCHÃO M.E."/>
    <s v="NADA"/>
    <x v="1"/>
    <m/>
    <x v="1"/>
    <n v="57746"/>
    <m/>
    <x v="168"/>
    <m/>
    <s v="URUGUAI"/>
    <s v="COLCHAO ME"/>
    <m/>
    <s v="CARLOS FIDENCIO D AVALOS RUIZ JUNIOR 34496952823"/>
    <n v="57746"/>
    <n v="0"/>
    <n v="19.265909000000001"/>
    <n v="44696.91"/>
    <s v="MT "/>
    <n v="240"/>
    <m/>
    <n v="2320"/>
    <m/>
    <m/>
    <m/>
    <m/>
    <m/>
    <m/>
    <m/>
    <m/>
    <m/>
    <m/>
    <m/>
    <m/>
    <m/>
    <m/>
  </r>
  <r>
    <x v="9"/>
    <x v="4"/>
    <s v="COLCHÃO M.E."/>
    <s v="NADA"/>
    <x v="1"/>
    <m/>
    <x v="1"/>
    <n v="57746"/>
    <m/>
    <x v="170"/>
    <m/>
    <s v="URUGUAI"/>
    <s v="COLCHAO ME"/>
    <m/>
    <s v="CARLOS FIDENCIO D AVALOS RUIZ JUNIOR 34496952823"/>
    <n v="57746"/>
    <n v="0"/>
    <n v="16.864992000000001"/>
    <n v="21688.38"/>
    <s v="MT "/>
    <n v="260"/>
    <m/>
    <n v="1286"/>
    <m/>
    <m/>
    <m/>
    <m/>
    <m/>
    <m/>
    <m/>
    <m/>
    <m/>
    <m/>
    <m/>
    <m/>
    <m/>
    <m/>
  </r>
  <r>
    <x v="9"/>
    <x v="4"/>
    <s v="COLCHÃO M.E."/>
    <s v="NADA"/>
    <x v="1"/>
    <m/>
    <x v="1"/>
    <n v="57746"/>
    <m/>
    <x v="194"/>
    <m/>
    <s v="URUGUAI"/>
    <s v="COLCHAO ME"/>
    <m/>
    <s v="CARLOS FIDENCIO D AVALOS RUIZ JUNIOR 34496952823"/>
    <n v="57746"/>
    <n v="0"/>
    <n v="16.630755000000001"/>
    <n v="31931.05"/>
    <s v="MT "/>
    <n v="240"/>
    <m/>
    <n v="1920"/>
    <m/>
    <m/>
    <m/>
    <m/>
    <m/>
    <m/>
    <m/>
    <m/>
    <m/>
    <m/>
    <m/>
    <m/>
    <m/>
    <m/>
  </r>
  <r>
    <x v="9"/>
    <x v="4"/>
    <s v="COLCHÃO M.E."/>
    <s v="NADA"/>
    <x v="9"/>
    <m/>
    <x v="2"/>
    <n v="57775"/>
    <m/>
    <x v="401"/>
    <m/>
    <s v="CHILE"/>
    <s v="COLCHAO ME"/>
    <m/>
    <s v="CARLOS FIDENCIO D AVALOS RUIZ JUNIOR 34496952823"/>
    <n v="57775"/>
    <n v="0"/>
    <n v="20.931837999999999"/>
    <n v="12642.83"/>
    <s v="MT "/>
    <n v="310"/>
    <m/>
    <n v="604"/>
    <m/>
    <m/>
    <m/>
    <m/>
    <m/>
    <m/>
    <m/>
    <m/>
    <m/>
    <m/>
    <m/>
    <m/>
    <m/>
    <m/>
  </r>
  <r>
    <x v="9"/>
    <x v="4"/>
    <s v="COLCHÃO M.E."/>
    <s v="NADA"/>
    <x v="9"/>
    <m/>
    <x v="2"/>
    <n v="57898"/>
    <m/>
    <x v="234"/>
    <m/>
    <s v="CHILE"/>
    <s v="COLCHAO ME"/>
    <m/>
    <s v="CARLOS FIDENCIO D AVALOS RUIZ JUNIOR 34496952823"/>
    <n v="57898"/>
    <n v="0"/>
    <n v="12.705074"/>
    <n v="18854.330000000002"/>
    <s v="MT "/>
    <n v="180"/>
    <m/>
    <n v="1484"/>
    <m/>
    <m/>
    <m/>
    <m/>
    <m/>
    <m/>
    <m/>
    <m/>
    <m/>
    <m/>
    <m/>
    <m/>
    <m/>
    <m/>
  </r>
  <r>
    <x v="9"/>
    <x v="4"/>
    <s v="COLCHÃO M.E."/>
    <s v="NADA"/>
    <x v="9"/>
    <m/>
    <x v="2"/>
    <n v="57898"/>
    <m/>
    <x v="232"/>
    <m/>
    <s v="CHILE"/>
    <s v="COLCHAO ME"/>
    <m/>
    <s v="CARLOS FIDENCIO D AVALOS RUIZ JUNIOR 34496952823"/>
    <n v="57898"/>
    <n v="0"/>
    <n v="15.980159"/>
    <n v="8038.02"/>
    <s v="MT "/>
    <n v="240"/>
    <m/>
    <n v="503"/>
    <m/>
    <m/>
    <m/>
    <m/>
    <m/>
    <m/>
    <m/>
    <m/>
    <m/>
    <m/>
    <m/>
    <m/>
    <m/>
    <m/>
  </r>
  <r>
    <x v="9"/>
    <x v="4"/>
    <s v="COLCHÃO M.E."/>
    <s v="NADA"/>
    <x v="28"/>
    <m/>
    <x v="2"/>
    <n v="57899"/>
    <m/>
    <x v="402"/>
    <m/>
    <s v="CHILE"/>
    <s v="COLCHAO ME"/>
    <m/>
    <s v="CARLOS FIDENCIO D AVALOS RUIZ JUNIOR 34496952823"/>
    <n v="57899"/>
    <n v="0"/>
    <n v="13.777944"/>
    <n v="15748.19"/>
    <s v="MT "/>
    <n v="260"/>
    <m/>
    <n v="1143"/>
    <m/>
    <m/>
    <m/>
    <m/>
    <m/>
    <m/>
    <m/>
    <m/>
    <m/>
    <m/>
    <m/>
    <m/>
    <m/>
    <m/>
  </r>
  <r>
    <x v="9"/>
    <x v="4"/>
    <s v="COLCHÃO M.E."/>
    <s v="NADA"/>
    <x v="17"/>
    <m/>
    <x v="0"/>
    <n v="57900"/>
    <m/>
    <x v="403"/>
    <m/>
    <s v="BOLIVIA"/>
    <s v="COLCHAO ME"/>
    <m/>
    <s v="CARLOS FIDENCIO D AVALOS RUIZ JUNIOR 34496952823"/>
    <n v="57900"/>
    <n v="0"/>
    <n v="8.1877130000000005"/>
    <n v="13386.91"/>
    <s v="MT "/>
    <n v="160"/>
    <m/>
    <n v="1635"/>
    <m/>
    <m/>
    <m/>
    <m/>
    <m/>
    <m/>
    <m/>
    <m/>
    <m/>
    <m/>
    <m/>
    <m/>
    <m/>
    <m/>
  </r>
  <r>
    <x v="9"/>
    <x v="4"/>
    <s v="COLCHÃO M.E."/>
    <s v="NADA"/>
    <x v="17"/>
    <m/>
    <x v="0"/>
    <n v="57900"/>
    <m/>
    <x v="404"/>
    <m/>
    <s v="BOLIVIA"/>
    <s v="COLCHAO ME"/>
    <m/>
    <s v="CARLOS FIDENCIO D AVALOS RUIZ JUNIOR 34496952823"/>
    <n v="57900"/>
    <n v="0"/>
    <n v="8.582986"/>
    <n v="23946.53"/>
    <s v="MT "/>
    <n v="160"/>
    <m/>
    <n v="2790"/>
    <m/>
    <m/>
    <m/>
    <m/>
    <m/>
    <m/>
    <m/>
    <m/>
    <m/>
    <m/>
    <m/>
    <m/>
    <m/>
    <m/>
  </r>
  <r>
    <x v="9"/>
    <x v="4"/>
    <s v="COLCHÃO M.E."/>
    <s v="NADA"/>
    <x v="17"/>
    <m/>
    <x v="0"/>
    <n v="57900"/>
    <m/>
    <x v="405"/>
    <m/>
    <s v="BOLIVIA"/>
    <s v="COLCHAO ME"/>
    <m/>
    <s v="CARLOS FIDENCIO D AVALOS RUIZ JUNIOR 34496952823"/>
    <n v="57900"/>
    <n v="0"/>
    <n v="8.4136170000000003"/>
    <n v="395.44"/>
    <s v="MT "/>
    <n v="160"/>
    <m/>
    <n v="47"/>
    <m/>
    <m/>
    <m/>
    <m/>
    <m/>
    <m/>
    <m/>
    <m/>
    <m/>
    <m/>
    <m/>
    <m/>
    <m/>
    <m/>
  </r>
  <r>
    <x v="9"/>
    <x v="4"/>
    <s v="COLCHÃO M.E."/>
    <s v="NADA"/>
    <x v="17"/>
    <m/>
    <x v="0"/>
    <n v="57900"/>
    <m/>
    <x v="406"/>
    <m/>
    <s v="BOLIVIA"/>
    <s v="COLCHAO ME"/>
    <m/>
    <s v="CARLOS FIDENCIO D AVALOS RUIZ JUNIOR 34496952823"/>
    <n v="57900"/>
    <n v="0"/>
    <n v="9.4299879999999998"/>
    <n v="16389.32"/>
    <s v="MT "/>
    <n v="160"/>
    <m/>
    <n v="1738"/>
    <m/>
    <m/>
    <m/>
    <m/>
    <m/>
    <m/>
    <m/>
    <m/>
    <m/>
    <m/>
    <m/>
    <m/>
    <m/>
    <m/>
  </r>
  <r>
    <x v="9"/>
    <x v="4"/>
    <s v="COLCHÃO M.E."/>
    <s v="NADA"/>
    <x v="17"/>
    <m/>
    <x v="0"/>
    <n v="57900"/>
    <m/>
    <x v="312"/>
    <m/>
    <s v="BOLIVIA"/>
    <s v="COLCHAO ME"/>
    <m/>
    <s v="CARLOS FIDENCIO D AVALOS RUIZ JUNIOR 34496952823"/>
    <n v="57900"/>
    <n v="0"/>
    <n v="10.051125000000001"/>
    <n v="21167.67"/>
    <s v="MT "/>
    <n v="200"/>
    <m/>
    <n v="2106"/>
    <m/>
    <m/>
    <m/>
    <m/>
    <m/>
    <m/>
    <m/>
    <m/>
    <m/>
    <m/>
    <m/>
    <m/>
    <m/>
    <m/>
  </r>
  <r>
    <x v="10"/>
    <x v="4"/>
    <s v="COLCHÃO M.E."/>
    <s v="NADA"/>
    <x v="1"/>
    <m/>
    <x v="1"/>
    <n v="57984"/>
    <n v="2540026"/>
    <x v="407"/>
    <m/>
    <m/>
    <m/>
    <m/>
    <s v="CONEXAO MALHAS E DESENVOLVIMENTO LTDA"/>
    <n v="57984"/>
    <m/>
    <n v="17.683467"/>
    <n v="2652.52"/>
    <m/>
    <m/>
    <m/>
    <n v="150"/>
    <m/>
    <m/>
    <m/>
    <m/>
    <m/>
    <m/>
    <m/>
    <m/>
    <m/>
    <m/>
    <m/>
    <m/>
    <m/>
    <m/>
  </r>
  <r>
    <x v="10"/>
    <x v="4"/>
    <s v="COLCHÃO M.E."/>
    <s v="NADA"/>
    <x v="1"/>
    <m/>
    <x v="1"/>
    <n v="57984"/>
    <n v="2540014"/>
    <x v="408"/>
    <m/>
    <m/>
    <m/>
    <m/>
    <s v="CONEXAO MALHAS E DESENVOLVIMENTO LTDA"/>
    <n v="57984"/>
    <m/>
    <n v="24.449791999999999"/>
    <n v="7065.99"/>
    <m/>
    <m/>
    <m/>
    <n v="289"/>
    <m/>
    <m/>
    <m/>
    <m/>
    <m/>
    <m/>
    <m/>
    <m/>
    <m/>
    <m/>
    <m/>
    <m/>
    <m/>
    <m/>
  </r>
  <r>
    <x v="10"/>
    <x v="4"/>
    <s v="COLCHÃO M.E."/>
    <s v="NADA"/>
    <x v="1"/>
    <m/>
    <x v="1"/>
    <n v="57984"/>
    <n v="2540022"/>
    <x v="409"/>
    <m/>
    <m/>
    <m/>
    <m/>
    <s v="CONEXAO MALHAS E DESENVOLVIMENTO LTDA"/>
    <n v="57984"/>
    <m/>
    <n v="20.867618"/>
    <n v="20763.28"/>
    <m/>
    <m/>
    <m/>
    <n v="995"/>
    <m/>
    <m/>
    <m/>
    <m/>
    <m/>
    <m/>
    <m/>
    <m/>
    <m/>
    <m/>
    <m/>
    <m/>
    <m/>
    <m/>
  </r>
  <r>
    <x v="10"/>
    <x v="4"/>
    <s v="COLCHÃO M.E."/>
    <s v="NADA"/>
    <x v="1"/>
    <m/>
    <x v="1"/>
    <n v="57984"/>
    <n v="2540033"/>
    <x v="410"/>
    <m/>
    <m/>
    <m/>
    <m/>
    <s v="CONEXAO MALHAS E DESENVOLVIMENTO LTDA"/>
    <n v="57984"/>
    <m/>
    <n v="23.881197"/>
    <n v="33911.300000000003"/>
    <m/>
    <m/>
    <m/>
    <n v="1420"/>
    <m/>
    <m/>
    <m/>
    <m/>
    <m/>
    <m/>
    <m/>
    <m/>
    <m/>
    <m/>
    <m/>
    <m/>
    <m/>
    <m/>
  </r>
  <r>
    <x v="10"/>
    <x v="4"/>
    <s v="COLCHÃO M.E."/>
    <s v="NADA"/>
    <x v="1"/>
    <m/>
    <x v="1"/>
    <n v="57984"/>
    <n v="2540035"/>
    <x v="411"/>
    <m/>
    <m/>
    <m/>
    <m/>
    <s v="CONEXAO MALHAS E DESENVOLVIMENTO LTDA"/>
    <n v="57984"/>
    <m/>
    <n v="18.195198999999999"/>
    <n v="13264.3"/>
    <m/>
    <m/>
    <m/>
    <n v="729"/>
    <m/>
    <m/>
    <m/>
    <m/>
    <m/>
    <m/>
    <m/>
    <m/>
    <m/>
    <m/>
    <m/>
    <m/>
    <m/>
    <m/>
  </r>
  <r>
    <x v="10"/>
    <x v="4"/>
    <s v="COLCHÃO M.E."/>
    <s v="NADA"/>
    <x v="1"/>
    <m/>
    <x v="1"/>
    <n v="57984"/>
    <n v="2540036"/>
    <x v="412"/>
    <m/>
    <m/>
    <m/>
    <m/>
    <s v="CONEXAO MALHAS E DESENVOLVIMENTO LTDA"/>
    <n v="57984"/>
    <m/>
    <n v="20.924482000000001"/>
    <n v="19606.240000000002"/>
    <m/>
    <m/>
    <m/>
    <n v="937"/>
    <m/>
    <m/>
    <m/>
    <m/>
    <m/>
    <m/>
    <m/>
    <m/>
    <m/>
    <m/>
    <m/>
    <m/>
    <m/>
    <m/>
  </r>
  <r>
    <x v="10"/>
    <x v="4"/>
    <s v="COLCHÃO M.E."/>
    <s v="NADA"/>
    <x v="1"/>
    <m/>
    <x v="1"/>
    <n v="57984"/>
    <n v="2540018"/>
    <x v="413"/>
    <m/>
    <m/>
    <m/>
    <m/>
    <s v="CONEXAO MALHAS E DESENVOLVIMENTO LTDA"/>
    <n v="57984"/>
    <m/>
    <n v="15.977658999999999"/>
    <n v="63750.86"/>
    <m/>
    <m/>
    <m/>
    <n v="3990"/>
    <m/>
    <m/>
    <m/>
    <m/>
    <m/>
    <m/>
    <m/>
    <m/>
    <m/>
    <m/>
    <m/>
    <m/>
    <m/>
    <m/>
  </r>
  <r>
    <x v="10"/>
    <x v="4"/>
    <s v="COLCHÃO M.E."/>
    <s v="NADA"/>
    <x v="1"/>
    <m/>
    <x v="1"/>
    <n v="57984"/>
    <n v="2540018"/>
    <x v="413"/>
    <m/>
    <m/>
    <m/>
    <m/>
    <s v="CONEXAO MALHAS E DESENVOLVIMENTO LTDA"/>
    <n v="57984"/>
    <m/>
    <n v="15.977636"/>
    <n v="2636.31"/>
    <m/>
    <m/>
    <m/>
    <n v="165"/>
    <m/>
    <m/>
    <m/>
    <m/>
    <m/>
    <m/>
    <m/>
    <m/>
    <m/>
    <m/>
    <m/>
    <m/>
    <m/>
    <m/>
  </r>
  <r>
    <x v="10"/>
    <x v="4"/>
    <s v="COLCHÃO M.E."/>
    <s v="NADA"/>
    <x v="1"/>
    <m/>
    <x v="1"/>
    <n v="57984"/>
    <n v="2540005"/>
    <x v="414"/>
    <m/>
    <m/>
    <m/>
    <m/>
    <s v="CONEXAO MALHAS E DESENVOLVIMENTO LTDA"/>
    <n v="57984"/>
    <m/>
    <n v="18.706939999999999"/>
    <n v="66147.740000000005"/>
    <m/>
    <m/>
    <m/>
    <n v="3536"/>
    <m/>
    <m/>
    <m/>
    <m/>
    <m/>
    <m/>
    <m/>
    <m/>
    <m/>
    <m/>
    <m/>
    <m/>
    <m/>
    <m/>
  </r>
  <r>
    <x v="10"/>
    <x v="4"/>
    <s v="COLCHÃO M.E."/>
    <s v="NADA"/>
    <x v="1"/>
    <m/>
    <x v="1"/>
    <n v="57984"/>
    <n v="2540005"/>
    <x v="414"/>
    <m/>
    <m/>
    <m/>
    <m/>
    <s v="CONEXAO MALHAS E DESENVOLVIMENTO LTDA"/>
    <n v="57984"/>
    <m/>
    <n v="18.70693"/>
    <n v="4021.99"/>
    <m/>
    <m/>
    <m/>
    <n v="215"/>
    <m/>
    <m/>
    <m/>
    <m/>
    <m/>
    <m/>
    <m/>
    <m/>
    <m/>
    <m/>
    <m/>
    <m/>
    <m/>
    <m/>
  </r>
  <r>
    <x v="10"/>
    <x v="4"/>
    <s v="COLCHÃO M.E."/>
    <s v="NADA"/>
    <x v="1"/>
    <m/>
    <x v="1"/>
    <n v="57984"/>
    <n v="2540015"/>
    <x v="415"/>
    <m/>
    <m/>
    <m/>
    <m/>
    <s v="CONEXAO MALHAS E DESENVOLVIMENTO LTDA"/>
    <n v="57984"/>
    <m/>
    <n v="16.375678000000001"/>
    <n v="33193.5"/>
    <m/>
    <m/>
    <m/>
    <n v="2027"/>
    <m/>
    <m/>
    <m/>
    <m/>
    <m/>
    <m/>
    <m/>
    <m/>
    <m/>
    <m/>
    <m/>
    <m/>
    <m/>
    <m/>
  </r>
  <r>
    <x v="10"/>
    <x v="4"/>
    <s v="COLCHÃO M.E."/>
    <s v="NADA"/>
    <x v="1"/>
    <m/>
    <x v="1"/>
    <n v="57984"/>
    <n v="2540017"/>
    <x v="416"/>
    <m/>
    <m/>
    <m/>
    <m/>
    <s v="CONEXAO MALHAS E DESENVOLVIMENTO LTDA"/>
    <n v="57984"/>
    <m/>
    <n v="18.934380000000001"/>
    <n v="61858.62"/>
    <m/>
    <m/>
    <m/>
    <n v="3267"/>
    <m/>
    <m/>
    <m/>
    <m/>
    <m/>
    <m/>
    <m/>
    <m/>
    <m/>
    <m/>
    <m/>
    <m/>
    <m/>
    <m/>
  </r>
  <r>
    <x v="10"/>
    <x v="4"/>
    <s v="COLCHÃO M.E."/>
    <s v="NADA"/>
    <x v="9"/>
    <m/>
    <x v="2"/>
    <n v="58048"/>
    <n v="2810009"/>
    <x v="417"/>
    <m/>
    <m/>
    <m/>
    <m/>
    <s v="CARLOS FIDENCIO D AVALOS RUIZ JUNIOR 34496952823"/>
    <n v="58048"/>
    <m/>
    <n v="12.658958"/>
    <n v="3278.67"/>
    <m/>
    <m/>
    <m/>
    <n v="259"/>
    <m/>
    <m/>
    <m/>
    <m/>
    <m/>
    <m/>
    <m/>
    <m/>
    <m/>
    <m/>
    <m/>
    <m/>
    <m/>
    <m/>
  </r>
  <r>
    <x v="10"/>
    <x v="4"/>
    <s v="COLCHÃO M.E."/>
    <s v="NADA"/>
    <x v="9"/>
    <m/>
    <x v="2"/>
    <n v="58048"/>
    <n v="2810011"/>
    <x v="418"/>
    <m/>
    <m/>
    <m/>
    <m/>
    <s v="CARLOS FIDENCIO D AVALOS RUIZ JUNIOR 34496952823"/>
    <n v="58048"/>
    <m/>
    <n v="27.287068999999999"/>
    <n v="11542.43"/>
    <m/>
    <m/>
    <m/>
    <n v="423"/>
    <m/>
    <m/>
    <m/>
    <m/>
    <m/>
    <m/>
    <m/>
    <m/>
    <m/>
    <m/>
    <m/>
    <m/>
    <m/>
    <m/>
  </r>
  <r>
    <x v="10"/>
    <x v="4"/>
    <s v="COLCHÃO M.E."/>
    <s v="NADA"/>
    <x v="9"/>
    <m/>
    <x v="2"/>
    <n v="58048"/>
    <n v="2810013"/>
    <x v="419"/>
    <m/>
    <m/>
    <m/>
    <m/>
    <s v="CARLOS FIDENCIO D AVALOS RUIZ JUNIOR 34496952823"/>
    <n v="58048"/>
    <m/>
    <n v="20.704421"/>
    <n v="8757.9699999999993"/>
    <m/>
    <m/>
    <m/>
    <n v="423"/>
    <m/>
    <m/>
    <m/>
    <m/>
    <m/>
    <m/>
    <m/>
    <m/>
    <m/>
    <m/>
    <m/>
    <m/>
    <m/>
    <m/>
  </r>
  <r>
    <x v="10"/>
    <x v="4"/>
    <s v="COLCHÃO M.E."/>
    <s v="NADA"/>
    <x v="17"/>
    <m/>
    <x v="0"/>
    <n v="58050"/>
    <n v="3020017"/>
    <x v="420"/>
    <m/>
    <m/>
    <m/>
    <m/>
    <s v="CARLOS FIDENCIO D AVALOS RUIZ JUNIOR 34496952823"/>
    <n v="58050"/>
    <m/>
    <n v="8.3830390000000001"/>
    <n v="14427.21"/>
    <m/>
    <m/>
    <m/>
    <n v="1721"/>
    <m/>
    <m/>
    <m/>
    <m/>
    <m/>
    <m/>
    <m/>
    <m/>
    <m/>
    <m/>
    <m/>
    <m/>
    <m/>
    <m/>
  </r>
  <r>
    <x v="10"/>
    <x v="4"/>
    <s v="COLCHÃO M.E."/>
    <s v="NADA"/>
    <x v="17"/>
    <m/>
    <x v="0"/>
    <n v="58050"/>
    <n v="3020016"/>
    <x v="421"/>
    <m/>
    <m/>
    <m/>
    <m/>
    <s v="CARLOS FIDENCIO D AVALOS RUIZ JUNIOR 34496952823"/>
    <n v="58050"/>
    <m/>
    <n v="9.3957510000000006"/>
    <n v="12693.66"/>
    <m/>
    <m/>
    <m/>
    <n v="1351"/>
    <m/>
    <m/>
    <m/>
    <m/>
    <m/>
    <m/>
    <m/>
    <m/>
    <m/>
    <m/>
    <m/>
    <m/>
    <m/>
    <m/>
  </r>
  <r>
    <x v="10"/>
    <x v="4"/>
    <s v="COLCHÃO M.E."/>
    <s v="NADA"/>
    <x v="17"/>
    <m/>
    <x v="0"/>
    <n v="58050"/>
    <n v="3020015"/>
    <x v="422"/>
    <m/>
    <m/>
    <m/>
    <m/>
    <s v="CARLOS FIDENCIO D AVALOS RUIZ JUNIOR 34496952823"/>
    <n v="58050"/>
    <m/>
    <n v="8.6080850000000009"/>
    <n v="25841.47"/>
    <m/>
    <m/>
    <m/>
    <n v="3002"/>
    <m/>
    <m/>
    <m/>
    <m/>
    <m/>
    <m/>
    <m/>
    <m/>
    <m/>
    <m/>
    <m/>
    <m/>
    <m/>
    <m/>
  </r>
  <r>
    <x v="10"/>
    <x v="4"/>
    <s v="COLCHÃO M.E."/>
    <s v="NADA"/>
    <x v="17"/>
    <m/>
    <x v="0"/>
    <n v="58050"/>
    <n v="3020014"/>
    <x v="423"/>
    <m/>
    <m/>
    <m/>
    <m/>
    <s v="CARLOS FIDENCIO D AVALOS RUIZ JUNIOR 34496952823"/>
    <n v="58050"/>
    <m/>
    <n v="8.1579879999999996"/>
    <n v="11111.18"/>
    <m/>
    <m/>
    <m/>
    <n v="1362"/>
    <m/>
    <m/>
    <m/>
    <m/>
    <m/>
    <m/>
    <m/>
    <m/>
    <m/>
    <m/>
    <m/>
    <m/>
    <m/>
    <m/>
  </r>
  <r>
    <x v="10"/>
    <x v="4"/>
    <s v="COLCHÃO M.E."/>
    <s v="NADA"/>
    <x v="36"/>
    <m/>
    <x v="9"/>
    <n v="58275"/>
    <n v="3530002"/>
    <x v="424"/>
    <m/>
    <m/>
    <m/>
    <m/>
    <s v="CARLOS FIDENCIO D AVALOS RUIZ JUNIOR 34496952823"/>
    <n v="58275"/>
    <m/>
    <n v="8.9383250000000007"/>
    <n v="63703.44"/>
    <m/>
    <m/>
    <m/>
    <n v="7127"/>
    <m/>
    <m/>
    <m/>
    <m/>
    <m/>
    <m/>
    <m/>
    <m/>
    <m/>
    <m/>
    <m/>
    <m/>
    <m/>
    <m/>
  </r>
  <r>
    <x v="10"/>
    <x v="4"/>
    <s v="COLCHÃO M.E."/>
    <s v="NADA"/>
    <x v="36"/>
    <m/>
    <x v="9"/>
    <n v="58275"/>
    <n v="3530001"/>
    <x v="425"/>
    <m/>
    <m/>
    <m/>
    <m/>
    <s v="CARLOS FIDENCIO D AVALOS RUIZ JUNIOR 34496952823"/>
    <n v="58275"/>
    <m/>
    <n v="11.3864"/>
    <n v="151632.69"/>
    <m/>
    <m/>
    <m/>
    <n v="13317"/>
    <m/>
    <m/>
    <m/>
    <m/>
    <m/>
    <m/>
    <m/>
    <m/>
    <m/>
    <m/>
    <m/>
    <m/>
    <m/>
    <m/>
  </r>
  <r>
    <x v="10"/>
    <x v="4"/>
    <s v="COLCHÃO M.E."/>
    <s v="NADA"/>
    <x v="16"/>
    <s v="NADA"/>
    <x v="0"/>
    <n v="58293"/>
    <n v="3370001"/>
    <x v="426"/>
    <s v="DAVID MORENO VISCARRA"/>
    <m/>
    <m/>
    <m/>
    <s v="CARLOS FIDENCIO D AVALOS RUIZ JUNIOR 34496952823"/>
    <n v="58293"/>
    <m/>
    <n v="19.250463"/>
    <n v="20809.75"/>
    <s v="MT "/>
    <n v="300"/>
    <m/>
    <n v="1081"/>
    <m/>
    <m/>
    <m/>
    <m/>
    <m/>
    <m/>
    <m/>
    <m/>
    <m/>
    <m/>
    <m/>
    <m/>
    <m/>
    <m/>
  </r>
  <r>
    <x v="10"/>
    <x v="4"/>
    <s v="COLCHÃO M.E."/>
    <s v="NADA"/>
    <x v="16"/>
    <s v="NADA"/>
    <x v="0"/>
    <n v="58293"/>
    <n v="3370005"/>
    <x v="427"/>
    <s v="DAVID MORENO VISCARRA"/>
    <m/>
    <m/>
    <m/>
    <s v="CARLOS FIDENCIO D AVALOS RUIZ JUNIOR 34496952823"/>
    <n v="58293"/>
    <m/>
    <n v="10.474515"/>
    <n v="10579.26"/>
    <s v="MT "/>
    <n v="180"/>
    <m/>
    <n v="1010"/>
    <m/>
    <m/>
    <m/>
    <m/>
    <m/>
    <m/>
    <m/>
    <m/>
    <m/>
    <m/>
    <m/>
    <m/>
    <m/>
    <m/>
  </r>
  <r>
    <x v="10"/>
    <x v="4"/>
    <s v="COLCHÃO M.E."/>
    <s v="NADA"/>
    <x v="37"/>
    <m/>
    <x v="9"/>
    <n v="58340"/>
    <n v="3520003"/>
    <x v="428"/>
    <m/>
    <m/>
    <m/>
    <m/>
    <s v="CARLOS FIDENCIO D AVALOS RUIZ JUNIOR 34496952823"/>
    <n v="58340"/>
    <m/>
    <n v="8.9389540000000007"/>
    <n v="22110.46"/>
    <m/>
    <m/>
    <m/>
    <n v="2026"/>
    <m/>
    <m/>
    <m/>
    <m/>
    <m/>
    <m/>
    <m/>
    <m/>
    <m/>
    <m/>
    <m/>
    <m/>
    <m/>
    <m/>
  </r>
  <r>
    <x v="10"/>
    <x v="4"/>
    <s v="COLCHÃO M.E."/>
    <s v="NADA"/>
    <x v="37"/>
    <m/>
    <x v="9"/>
    <n v="58340"/>
    <n v="3520002"/>
    <x v="429"/>
    <m/>
    <m/>
    <m/>
    <m/>
    <s v="CARLOS FIDENCIO D AVALOS RUIZ JUNIOR 34496952823"/>
    <n v="58340"/>
    <m/>
    <n v="8.9389470000000006"/>
    <n v="11091.05"/>
    <m/>
    <m/>
    <m/>
    <n v="1016.283"/>
    <m/>
    <m/>
    <m/>
    <m/>
    <m/>
    <m/>
    <m/>
    <m/>
    <m/>
    <m/>
    <m/>
    <m/>
    <m/>
    <m/>
  </r>
  <r>
    <x v="10"/>
    <x v="4"/>
    <s v="COLCHÃO M.E."/>
    <s v="NADA"/>
    <x v="37"/>
    <m/>
    <x v="9"/>
    <n v="58340"/>
    <n v="3520001"/>
    <x v="430"/>
    <m/>
    <m/>
    <m/>
    <m/>
    <s v="CARLOS FIDENCIO D AVALOS RUIZ JUNIOR 34496952823"/>
    <n v="58340"/>
    <m/>
    <n v="8.9389489999999991"/>
    <n v="11524.5"/>
    <m/>
    <m/>
    <m/>
    <n v="1056"/>
    <m/>
    <m/>
    <m/>
    <m/>
    <m/>
    <m/>
    <m/>
    <m/>
    <m/>
    <m/>
    <m/>
    <m/>
    <m/>
    <m/>
  </r>
  <r>
    <x v="10"/>
    <x v="4"/>
    <s v="COLCHÃO M.E."/>
    <s v="NADA"/>
    <x v="37"/>
    <m/>
    <x v="9"/>
    <n v="58340"/>
    <n v="3520004"/>
    <x v="431"/>
    <m/>
    <m/>
    <m/>
    <m/>
    <s v="CARLOS FIDENCIO D AVALOS RUIZ JUNIOR 34496952823"/>
    <n v="58340"/>
    <m/>
    <n v="6.8323200000000002"/>
    <n v="32639.96"/>
    <m/>
    <m/>
    <m/>
    <n v="3913"/>
    <m/>
    <m/>
    <m/>
    <m/>
    <m/>
    <m/>
    <m/>
    <m/>
    <m/>
    <m/>
    <m/>
    <m/>
    <m/>
    <m/>
  </r>
  <r>
    <x v="10"/>
    <x v="4"/>
    <s v="COLCHÃO M.E."/>
    <s v="NADA"/>
    <x v="38"/>
    <m/>
    <x v="2"/>
    <n v="58356"/>
    <n v="2860004"/>
    <x v="432"/>
    <m/>
    <m/>
    <m/>
    <m/>
    <s v="CARLOS FIDENCIO D AVALOS RUIZ JUNIOR 34496952823"/>
    <n v="58356"/>
    <m/>
    <n v="24.320366"/>
    <n v="23906.92"/>
    <m/>
    <m/>
    <m/>
    <n v="983"/>
    <m/>
    <m/>
    <m/>
    <m/>
    <m/>
    <m/>
    <m/>
    <m/>
    <m/>
    <m/>
    <m/>
    <m/>
    <m/>
    <m/>
  </r>
  <r>
    <x v="10"/>
    <x v="4"/>
    <s v="COLCHÃO M.E."/>
    <s v="NADA"/>
    <x v="38"/>
    <m/>
    <x v="2"/>
    <n v="58356"/>
    <n v="2860013"/>
    <x v="433"/>
    <m/>
    <m/>
    <m/>
    <m/>
    <s v="CARLOS FIDENCIO D AVALOS RUIZ JUNIOR 34496952823"/>
    <n v="58356"/>
    <m/>
    <n v="26.865532000000002"/>
    <n v="14131.27"/>
    <m/>
    <m/>
    <m/>
    <n v="526"/>
    <m/>
    <m/>
    <m/>
    <m/>
    <m/>
    <m/>
    <m/>
    <m/>
    <m/>
    <m/>
    <m/>
    <m/>
    <m/>
    <m/>
  </r>
  <r>
    <x v="10"/>
    <x v="4"/>
    <s v="COLCHÃO M.E."/>
    <s v="NADA"/>
    <x v="38"/>
    <m/>
    <x v="2"/>
    <n v="58356"/>
    <n v="2860015"/>
    <x v="434"/>
    <m/>
    <m/>
    <m/>
    <m/>
    <s v="CARLOS FIDENCIO D AVALOS RUIZ JUNIOR 34496952823"/>
    <n v="58356"/>
    <m/>
    <n v="29.410677"/>
    <n v="29528.32"/>
    <m/>
    <m/>
    <m/>
    <n v="1004"/>
    <m/>
    <m/>
    <m/>
    <m/>
    <m/>
    <m/>
    <m/>
    <m/>
    <m/>
    <m/>
    <m/>
    <m/>
    <m/>
    <m/>
  </r>
  <r>
    <x v="10"/>
    <x v="4"/>
    <s v="COLCHÃO M.E."/>
    <s v="NADA"/>
    <x v="9"/>
    <m/>
    <x v="2"/>
    <n v="58358"/>
    <n v="2810005"/>
    <x v="435"/>
    <m/>
    <m/>
    <m/>
    <m/>
    <s v="CARLOS FIDENCIO D AVALOS RUIZ JUNIOR 34496952823"/>
    <n v="58358"/>
    <m/>
    <n v="16.006198999999999"/>
    <n v="23833.23"/>
    <m/>
    <m/>
    <m/>
    <n v="1489"/>
    <m/>
    <m/>
    <m/>
    <m/>
    <m/>
    <m/>
    <m/>
    <m/>
    <m/>
    <m/>
    <m/>
    <m/>
    <m/>
    <m/>
  </r>
  <r>
    <x v="10"/>
    <x v="4"/>
    <s v="COLCHÃO M.E."/>
    <s v="NADA"/>
    <x v="9"/>
    <m/>
    <x v="2"/>
    <n v="58358"/>
    <n v="2810009"/>
    <x v="417"/>
    <m/>
    <m/>
    <m/>
    <m/>
    <s v="CARLOS FIDENCIO D AVALOS RUIZ JUNIOR 34496952823"/>
    <n v="58358"/>
    <m/>
    <n v="12.725776"/>
    <n v="19190.47"/>
    <m/>
    <m/>
    <m/>
    <n v="1508"/>
    <m/>
    <m/>
    <m/>
    <m/>
    <m/>
    <m/>
    <m/>
    <m/>
    <m/>
    <m/>
    <m/>
    <m/>
    <m/>
    <m/>
  </r>
  <r>
    <x v="10"/>
    <x v="4"/>
    <s v="COLCHÃO M.E."/>
    <s v="NADA"/>
    <x v="9"/>
    <m/>
    <x v="2"/>
    <n v="58358"/>
    <n v="2810009"/>
    <x v="417"/>
    <m/>
    <m/>
    <m/>
    <m/>
    <s v="CARLOS FIDENCIO D AVALOS RUIZ JUNIOR 34496952823"/>
    <n v="58358"/>
    <m/>
    <n v="12.725775000000001"/>
    <n v="18223.310000000001"/>
    <m/>
    <m/>
    <m/>
    <n v="1432"/>
    <m/>
    <m/>
    <m/>
    <m/>
    <m/>
    <m/>
    <m/>
    <m/>
    <m/>
    <m/>
    <m/>
    <m/>
    <m/>
    <m/>
  </r>
  <r>
    <x v="1"/>
    <x v="4"/>
    <s v="COLCHÃO M.E."/>
    <s v="NADA"/>
    <x v="9"/>
    <b v="0"/>
    <x v="2"/>
    <n v="58433"/>
    <n v="4041"/>
    <x v="401"/>
    <m/>
    <m/>
    <m/>
    <m/>
    <m/>
    <n v="58433"/>
    <m/>
    <n v="20.863386999999999"/>
    <n v="10410.83"/>
    <m/>
    <m/>
    <m/>
    <n v="499"/>
    <m/>
    <m/>
    <m/>
    <m/>
    <m/>
    <m/>
    <m/>
    <m/>
    <m/>
    <m/>
    <m/>
    <m/>
    <m/>
    <m/>
  </r>
  <r>
    <x v="1"/>
    <x v="4"/>
    <s v="COLCHÃO M.E."/>
    <s v="NADA"/>
    <x v="39"/>
    <b v="0"/>
    <x v="4"/>
    <n v="58555"/>
    <n v="4160"/>
    <x v="436"/>
    <m/>
    <m/>
    <m/>
    <m/>
    <m/>
    <n v="58555"/>
    <m/>
    <n v="12.322952000000001"/>
    <n v="6888.53"/>
    <m/>
    <m/>
    <m/>
    <n v="559"/>
    <m/>
    <m/>
    <m/>
    <m/>
    <m/>
    <m/>
    <m/>
    <m/>
    <m/>
    <m/>
    <m/>
    <m/>
    <m/>
    <m/>
  </r>
  <r>
    <x v="1"/>
    <x v="4"/>
    <s v="COLCHÃO M.E."/>
    <s v="NADA"/>
    <x v="21"/>
    <b v="0"/>
    <x v="4"/>
    <n v="58807"/>
    <n v="1979"/>
    <x v="198"/>
    <m/>
    <m/>
    <m/>
    <m/>
    <m/>
    <n v="58807"/>
    <m/>
    <n v="26.104572999999998"/>
    <n v="15297.28"/>
    <m/>
    <m/>
    <m/>
    <n v="586"/>
    <m/>
    <m/>
    <m/>
    <m/>
    <m/>
    <m/>
    <m/>
    <m/>
    <m/>
    <m/>
    <m/>
    <m/>
    <m/>
    <m/>
  </r>
  <r>
    <x v="1"/>
    <x v="4"/>
    <s v="COLCHÃO M.E."/>
    <s v="NADA"/>
    <x v="21"/>
    <b v="0"/>
    <x v="4"/>
    <n v="58807"/>
    <n v="3274"/>
    <x v="393"/>
    <m/>
    <m/>
    <m/>
    <m/>
    <m/>
    <n v="58807"/>
    <m/>
    <n v="12.090540000000001"/>
    <n v="6492.62"/>
    <m/>
    <m/>
    <m/>
    <n v="537"/>
    <m/>
    <m/>
    <m/>
    <m/>
    <m/>
    <m/>
    <m/>
    <m/>
    <m/>
    <m/>
    <m/>
    <m/>
    <m/>
    <m/>
  </r>
  <r>
    <x v="1"/>
    <x v="4"/>
    <s v="COLCHÃO M.E."/>
    <s v="NADA"/>
    <x v="21"/>
    <b v="0"/>
    <x v="4"/>
    <n v="58807"/>
    <n v="3700"/>
    <x v="437"/>
    <m/>
    <m/>
    <m/>
    <m/>
    <m/>
    <n v="58807"/>
    <m/>
    <n v="7.5291059999999996"/>
    <n v="12212.21"/>
    <m/>
    <m/>
    <m/>
    <n v="1622"/>
    <m/>
    <m/>
    <m/>
    <m/>
    <m/>
    <m/>
    <m/>
    <m/>
    <m/>
    <m/>
    <m/>
    <m/>
    <m/>
    <m/>
  </r>
  <r>
    <x v="1"/>
    <x v="4"/>
    <s v="COLCHÃO M.E."/>
    <s v="NADA"/>
    <x v="21"/>
    <b v="0"/>
    <x v="4"/>
    <n v="58807"/>
    <n v="3701"/>
    <x v="438"/>
    <m/>
    <m/>
    <m/>
    <m/>
    <m/>
    <n v="58807"/>
    <m/>
    <n v="7.913805"/>
    <n v="9963.48"/>
    <m/>
    <m/>
    <m/>
    <n v="1259"/>
    <m/>
    <m/>
    <m/>
    <m/>
    <m/>
    <m/>
    <m/>
    <m/>
    <m/>
    <m/>
    <m/>
    <m/>
    <m/>
    <m/>
  </r>
  <r>
    <x v="1"/>
    <x v="4"/>
    <s v="COLCHÃO M.E."/>
    <s v="NADA"/>
    <x v="21"/>
    <b v="0"/>
    <x v="4"/>
    <n v="58807"/>
    <n v="3702"/>
    <x v="390"/>
    <m/>
    <m/>
    <m/>
    <m/>
    <m/>
    <n v="58807"/>
    <m/>
    <n v="12.530193000000001"/>
    <n v="17384.39"/>
    <m/>
    <m/>
    <m/>
    <n v="1387.4"/>
    <m/>
    <m/>
    <m/>
    <m/>
    <m/>
    <m/>
    <m/>
    <m/>
    <m/>
    <m/>
    <m/>
    <m/>
    <m/>
    <m/>
  </r>
  <r>
    <x v="1"/>
    <x v="4"/>
    <s v="COLCHÃO M.E."/>
    <s v="NADA"/>
    <x v="1"/>
    <b v="0"/>
    <x v="1"/>
    <n v="58963"/>
    <n v="1225"/>
    <x v="194"/>
    <m/>
    <m/>
    <m/>
    <m/>
    <m/>
    <n v="58963"/>
    <m/>
    <n v="15.551558999999999"/>
    <n v="22238.73"/>
    <m/>
    <m/>
    <m/>
    <n v="1430"/>
    <m/>
    <m/>
    <m/>
    <m/>
    <m/>
    <m/>
    <m/>
    <m/>
    <m/>
    <m/>
    <m/>
    <m/>
    <m/>
    <m/>
  </r>
  <r>
    <x v="1"/>
    <x v="4"/>
    <s v="COLCHÃO M.E."/>
    <s v="NADA"/>
    <x v="1"/>
    <b v="0"/>
    <x v="1"/>
    <n v="58963"/>
    <n v="1225"/>
    <x v="194"/>
    <m/>
    <m/>
    <m/>
    <m/>
    <m/>
    <n v="58963"/>
    <m/>
    <n v="15.551556"/>
    <n v="62486.15"/>
    <m/>
    <m/>
    <m/>
    <n v="4018"/>
    <m/>
    <m/>
    <m/>
    <m/>
    <m/>
    <m/>
    <m/>
    <m/>
    <m/>
    <m/>
    <m/>
    <m/>
    <m/>
    <m/>
  </r>
  <r>
    <x v="1"/>
    <x v="4"/>
    <s v="COLCHÃO M.E."/>
    <s v="NADA"/>
    <x v="1"/>
    <b v="0"/>
    <x v="1"/>
    <n v="58963"/>
    <n v="1506"/>
    <x v="162"/>
    <m/>
    <m/>
    <m/>
    <m/>
    <m/>
    <n v="58963"/>
    <m/>
    <n v="18.234745"/>
    <n v="45459.22"/>
    <m/>
    <m/>
    <m/>
    <n v="2493"/>
    <m/>
    <m/>
    <m/>
    <m/>
    <m/>
    <m/>
    <m/>
    <m/>
    <m/>
    <m/>
    <m/>
    <m/>
    <m/>
    <m/>
  </r>
  <r>
    <x v="1"/>
    <x v="4"/>
    <s v="COLCHÃO M.E."/>
    <s v="NADA"/>
    <x v="1"/>
    <b v="0"/>
    <x v="1"/>
    <n v="58963"/>
    <n v="3343"/>
    <x v="338"/>
    <m/>
    <m/>
    <m/>
    <m/>
    <m/>
    <n v="58963"/>
    <m/>
    <n v="27.379503"/>
    <n v="13771.89"/>
    <m/>
    <m/>
    <m/>
    <n v="503"/>
    <m/>
    <m/>
    <m/>
    <m/>
    <m/>
    <m/>
    <m/>
    <m/>
    <m/>
    <m/>
    <m/>
    <m/>
    <m/>
    <m/>
  </r>
  <r>
    <x v="1"/>
    <x v="4"/>
    <s v="COLCHÃO M.E."/>
    <s v="NADA"/>
    <x v="1"/>
    <b v="0"/>
    <x v="1"/>
    <n v="58963"/>
    <n v="3589"/>
    <x v="385"/>
    <m/>
    <m/>
    <m/>
    <m/>
    <m/>
    <n v="58963"/>
    <m/>
    <n v="22.998781000000001"/>
    <n v="21135.88"/>
    <m/>
    <m/>
    <m/>
    <n v="919"/>
    <m/>
    <m/>
    <m/>
    <m/>
    <m/>
    <m/>
    <m/>
    <m/>
    <m/>
    <m/>
    <m/>
    <m/>
    <m/>
    <m/>
  </r>
  <r>
    <x v="1"/>
    <x v="4"/>
    <s v="COLCHÃO M.E."/>
    <s v="NADA"/>
    <x v="38"/>
    <b v="0"/>
    <x v="2"/>
    <n v="58964"/>
    <n v="2535"/>
    <x v="281"/>
    <m/>
    <m/>
    <m/>
    <m/>
    <m/>
    <n v="58964"/>
    <m/>
    <n v="35.538598"/>
    <n v="22640.93"/>
    <m/>
    <m/>
    <m/>
    <n v="637.08000000000004"/>
    <m/>
    <m/>
    <m/>
    <m/>
    <m/>
    <m/>
    <m/>
    <m/>
    <m/>
    <m/>
    <m/>
    <m/>
    <m/>
    <m/>
  </r>
  <r>
    <x v="1"/>
    <x v="4"/>
    <s v="COLCHÃO M.E."/>
    <s v="NADA"/>
    <x v="9"/>
    <b v="0"/>
    <x v="2"/>
    <n v="58965"/>
    <n v="1419"/>
    <x v="234"/>
    <m/>
    <m/>
    <m/>
    <m/>
    <m/>
    <n v="58965"/>
    <m/>
    <n v="12.320772"/>
    <n v="13565.17"/>
    <m/>
    <m/>
    <m/>
    <n v="1101"/>
    <m/>
    <m/>
    <m/>
    <m/>
    <m/>
    <m/>
    <m/>
    <m/>
    <m/>
    <m/>
    <m/>
    <m/>
    <m/>
    <m/>
  </r>
  <r>
    <x v="1"/>
    <x v="4"/>
    <s v="COLCHÃO M.E."/>
    <s v="NADA"/>
    <x v="9"/>
    <b v="0"/>
    <x v="2"/>
    <n v="58965"/>
    <n v="4041"/>
    <x v="401"/>
    <m/>
    <m/>
    <m/>
    <m/>
    <m/>
    <n v="58965"/>
    <m/>
    <n v="20.151312000000001"/>
    <n v="28111.08"/>
    <m/>
    <m/>
    <m/>
    <n v="1395"/>
    <m/>
    <m/>
    <m/>
    <m/>
    <m/>
    <m/>
    <m/>
    <m/>
    <m/>
    <m/>
    <m/>
    <m/>
    <m/>
    <m/>
  </r>
  <r>
    <x v="2"/>
    <x v="4"/>
    <s v="COLCHÃO M.E."/>
    <s v="NADA"/>
    <x v="9"/>
    <m/>
    <x v="2"/>
    <n v="59373"/>
    <n v="1422"/>
    <x v="232"/>
    <m/>
    <m/>
    <m/>
    <m/>
    <m/>
    <m/>
    <m/>
    <n v="15.632635000000001"/>
    <n v="23495.85"/>
    <m/>
    <m/>
    <m/>
    <n v="1503"/>
    <m/>
    <m/>
    <m/>
    <m/>
    <m/>
    <m/>
    <m/>
    <m/>
    <m/>
    <m/>
    <m/>
    <m/>
    <m/>
    <m/>
  </r>
  <r>
    <x v="2"/>
    <x v="4"/>
    <s v="COLCHÃO M.E."/>
    <s v="NADA"/>
    <x v="9"/>
    <m/>
    <x v="2"/>
    <n v="59373"/>
    <n v="3378"/>
    <x v="340"/>
    <m/>
    <m/>
    <m/>
    <m/>
    <m/>
    <m/>
    <m/>
    <n v="26.790908999999999"/>
    <n v="11198.6"/>
    <m/>
    <m/>
    <m/>
    <n v="418"/>
    <m/>
    <m/>
    <m/>
    <m/>
    <m/>
    <m/>
    <m/>
    <m/>
    <m/>
    <m/>
    <m/>
    <m/>
    <m/>
    <m/>
  </r>
  <r>
    <x v="2"/>
    <x v="4"/>
    <s v="COLCHÃO M.E."/>
    <s v="NADA"/>
    <x v="9"/>
    <m/>
    <x v="2"/>
    <n v="59373"/>
    <n v="4041"/>
    <x v="401"/>
    <m/>
    <m/>
    <m/>
    <m/>
    <m/>
    <m/>
    <m/>
    <n v="20.327950000000001"/>
    <n v="28357.49"/>
    <m/>
    <m/>
    <m/>
    <n v="1395"/>
    <m/>
    <m/>
    <m/>
    <m/>
    <m/>
    <m/>
    <m/>
    <m/>
    <m/>
    <m/>
    <m/>
    <m/>
    <m/>
    <m/>
  </r>
  <r>
    <x v="2"/>
    <x v="4"/>
    <s v="COLCHÃO M.E."/>
    <s v="NADA"/>
    <x v="40"/>
    <m/>
    <x v="9"/>
    <n v="59537"/>
    <n v="4350"/>
    <x v="439"/>
    <m/>
    <m/>
    <m/>
    <m/>
    <m/>
    <m/>
    <m/>
    <n v="11.038697000000001"/>
    <n v="37222.300000000003"/>
    <m/>
    <m/>
    <m/>
    <n v="3371.9830000000002"/>
    <m/>
    <m/>
    <m/>
    <m/>
    <m/>
    <m/>
    <m/>
    <m/>
    <m/>
    <m/>
    <m/>
    <m/>
    <m/>
    <m/>
  </r>
  <r>
    <x v="2"/>
    <x v="4"/>
    <s v="COLCHÃO M.E."/>
    <s v="NADA"/>
    <x v="40"/>
    <m/>
    <x v="9"/>
    <n v="59537"/>
    <n v="4350"/>
    <x v="439"/>
    <m/>
    <m/>
    <m/>
    <m/>
    <m/>
    <m/>
    <m/>
    <n v="11.038698"/>
    <n v="66475.039999999994"/>
    <m/>
    <m/>
    <m/>
    <n v="6022"/>
    <m/>
    <m/>
    <m/>
    <m/>
    <m/>
    <m/>
    <m/>
    <m/>
    <m/>
    <m/>
    <m/>
    <m/>
    <m/>
    <m/>
  </r>
  <r>
    <x v="2"/>
    <x v="4"/>
    <s v="COLCHÃO M.E."/>
    <s v="NADA"/>
    <x v="1"/>
    <m/>
    <x v="1"/>
    <n v="59540"/>
    <n v="3009"/>
    <x v="308"/>
    <m/>
    <m/>
    <m/>
    <m/>
    <m/>
    <m/>
    <m/>
    <n v="24.094622000000001"/>
    <n v="11469.04"/>
    <m/>
    <m/>
    <m/>
    <n v="476"/>
    <m/>
    <m/>
    <m/>
    <m/>
    <m/>
    <m/>
    <m/>
    <m/>
    <m/>
    <m/>
    <m/>
    <m/>
    <m/>
    <m/>
  </r>
  <r>
    <x v="2"/>
    <x v="4"/>
    <s v="COLCHÃO M.E."/>
    <s v="NADA"/>
    <x v="1"/>
    <m/>
    <x v="1"/>
    <n v="59540"/>
    <n v="3712"/>
    <x v="392"/>
    <m/>
    <m/>
    <m/>
    <m/>
    <m/>
    <m/>
    <m/>
    <n v="17.930879000000001"/>
    <n v="53828.5"/>
    <m/>
    <m/>
    <m/>
    <n v="3002"/>
    <m/>
    <m/>
    <m/>
    <m/>
    <m/>
    <m/>
    <m/>
    <m/>
    <m/>
    <m/>
    <m/>
    <m/>
    <m/>
    <m/>
  </r>
  <r>
    <x v="2"/>
    <x v="4"/>
    <s v="COLCHÃO M.E."/>
    <s v="NADA"/>
    <x v="1"/>
    <m/>
    <x v="1"/>
    <n v="59540"/>
    <n v="3589"/>
    <x v="385"/>
    <m/>
    <m/>
    <m/>
    <m/>
    <m/>
    <m/>
    <m/>
    <n v="23.534282999999999"/>
    <n v="23298.94"/>
    <m/>
    <m/>
    <m/>
    <n v="990"/>
    <m/>
    <m/>
    <m/>
    <m/>
    <m/>
    <m/>
    <m/>
    <m/>
    <m/>
    <m/>
    <m/>
    <m/>
    <m/>
    <m/>
  </r>
  <r>
    <x v="2"/>
    <x v="4"/>
    <s v="COLCHÃO M.E."/>
    <s v="NADA"/>
    <x v="1"/>
    <m/>
    <x v="1"/>
    <n v="59540"/>
    <n v="3547"/>
    <x v="371"/>
    <m/>
    <m/>
    <m/>
    <m/>
    <m/>
    <m/>
    <m/>
    <n v="32.611773999999997"/>
    <n v="10664.05"/>
    <m/>
    <m/>
    <m/>
    <n v="327"/>
    <m/>
    <m/>
    <m/>
    <m/>
    <m/>
    <m/>
    <m/>
    <m/>
    <m/>
    <m/>
    <m/>
    <m/>
    <m/>
    <m/>
  </r>
  <r>
    <x v="2"/>
    <x v="4"/>
    <s v="COLCHÃO M.E."/>
    <s v="NADA"/>
    <x v="1"/>
    <m/>
    <x v="1"/>
    <n v="59540"/>
    <n v="3547"/>
    <x v="371"/>
    <m/>
    <m/>
    <m/>
    <m/>
    <m/>
    <m/>
    <m/>
    <n v="32.611781000000001"/>
    <n v="10435.77"/>
    <m/>
    <m/>
    <m/>
    <n v="320"/>
    <m/>
    <m/>
    <m/>
    <m/>
    <m/>
    <m/>
    <m/>
    <m/>
    <m/>
    <m/>
    <m/>
    <m/>
    <m/>
    <m/>
  </r>
  <r>
    <x v="2"/>
    <x v="4"/>
    <s v="COLCHÃO M.E."/>
    <s v="NADA"/>
    <x v="1"/>
    <m/>
    <x v="1"/>
    <n v="59540"/>
    <n v="1225"/>
    <x v="194"/>
    <m/>
    <m/>
    <m/>
    <m/>
    <m/>
    <m/>
    <m/>
    <n v="15.913656"/>
    <n v="69383.539999999994"/>
    <m/>
    <m/>
    <m/>
    <n v="4360"/>
    <m/>
    <m/>
    <m/>
    <m/>
    <m/>
    <m/>
    <m/>
    <m/>
    <m/>
    <m/>
    <m/>
    <m/>
    <m/>
    <m/>
  </r>
  <r>
    <x v="2"/>
    <x v="4"/>
    <s v="COLCHÃO M.E."/>
    <s v="NADA"/>
    <x v="1"/>
    <m/>
    <x v="1"/>
    <n v="59540"/>
    <n v="2054"/>
    <x v="224"/>
    <m/>
    <m/>
    <m/>
    <m/>
    <m/>
    <m/>
    <m/>
    <n v="17.426573000000001"/>
    <n v="18053.93"/>
    <m/>
    <m/>
    <m/>
    <n v="1036"/>
    <m/>
    <m/>
    <m/>
    <m/>
    <m/>
    <m/>
    <m/>
    <m/>
    <m/>
    <m/>
    <m/>
    <m/>
    <m/>
    <m/>
  </r>
  <r>
    <x v="2"/>
    <x v="4"/>
    <s v="COLCHÃO M.E."/>
    <s v="NADA"/>
    <x v="1"/>
    <m/>
    <x v="1"/>
    <n v="59540"/>
    <n v="1506"/>
    <x v="162"/>
    <m/>
    <m/>
    <m/>
    <m/>
    <m/>
    <m/>
    <m/>
    <n v="18.659322"/>
    <n v="62264.29"/>
    <m/>
    <m/>
    <m/>
    <n v="3336.9"/>
    <m/>
    <m/>
    <m/>
    <m/>
    <m/>
    <m/>
    <m/>
    <m/>
    <m/>
    <m/>
    <m/>
    <m/>
    <m/>
    <m/>
  </r>
  <r>
    <x v="2"/>
    <x v="4"/>
    <s v="COLCHÃO M.E."/>
    <s v="NADA"/>
    <x v="1"/>
    <m/>
    <x v="1"/>
    <n v="59540"/>
    <n v="1504"/>
    <x v="167"/>
    <m/>
    <m/>
    <m/>
    <m/>
    <m/>
    <m/>
    <m/>
    <n v="15.745552999999999"/>
    <n v="25208.63"/>
    <m/>
    <m/>
    <m/>
    <n v="1601"/>
    <m/>
    <m/>
    <m/>
    <m/>
    <m/>
    <m/>
    <m/>
    <m/>
    <m/>
    <m/>
    <m/>
    <m/>
    <m/>
    <m/>
  </r>
  <r>
    <x v="2"/>
    <x v="4"/>
    <s v="COLCHÃO M.E."/>
    <s v="NADA"/>
    <x v="1"/>
    <m/>
    <x v="1"/>
    <n v="59540"/>
    <n v="1236"/>
    <x v="168"/>
    <m/>
    <m/>
    <m/>
    <m/>
    <m/>
    <m/>
    <m/>
    <n v="18.435184"/>
    <n v="30583.97"/>
    <m/>
    <m/>
    <m/>
    <n v="1659"/>
    <m/>
    <m/>
    <m/>
    <m/>
    <m/>
    <m/>
    <m/>
    <m/>
    <m/>
    <m/>
    <m/>
    <m/>
    <m/>
    <m/>
  </r>
  <r>
    <x v="2"/>
    <x v="4"/>
    <s v="COLCHÃO M.E."/>
    <s v="NADA"/>
    <x v="36"/>
    <m/>
    <x v="9"/>
    <n v="59541"/>
    <n v="4332"/>
    <x v="440"/>
    <m/>
    <m/>
    <m/>
    <m/>
    <m/>
    <m/>
    <m/>
    <n v="9.9180159999999997"/>
    <n v="10999.08"/>
    <m/>
    <m/>
    <m/>
    <n v="1109"/>
    <m/>
    <m/>
    <m/>
    <m/>
    <m/>
    <m/>
    <m/>
    <m/>
    <m/>
    <m/>
    <m/>
    <m/>
    <m/>
    <m/>
  </r>
  <r>
    <x v="2"/>
    <x v="4"/>
    <s v="COLCHÃO M.E."/>
    <s v="NADA"/>
    <x v="36"/>
    <m/>
    <x v="9"/>
    <n v="59541"/>
    <n v="4333"/>
    <x v="441"/>
    <m/>
    <m/>
    <m/>
    <m/>
    <m/>
    <m/>
    <m/>
    <n v="9.918018"/>
    <n v="25370.29"/>
    <m/>
    <m/>
    <m/>
    <n v="2558"/>
    <m/>
    <m/>
    <m/>
    <m/>
    <m/>
    <m/>
    <m/>
    <m/>
    <m/>
    <m/>
    <m/>
    <m/>
    <m/>
    <m/>
  </r>
  <r>
    <x v="2"/>
    <x v="4"/>
    <s v="COLCHÃO M.E."/>
    <s v="NADA"/>
    <x v="36"/>
    <m/>
    <x v="9"/>
    <n v="59541"/>
    <n v="4114"/>
    <x v="442"/>
    <m/>
    <m/>
    <m/>
    <m/>
    <m/>
    <m/>
    <m/>
    <n v="11.206797999999999"/>
    <n v="17325.71"/>
    <m/>
    <m/>
    <m/>
    <n v="1546"/>
    <m/>
    <m/>
    <m/>
    <m/>
    <m/>
    <m/>
    <m/>
    <m/>
    <m/>
    <m/>
    <m/>
    <m/>
    <m/>
    <m/>
  </r>
  <r>
    <x v="2"/>
    <x v="4"/>
    <s v="COLCHÃO M.E."/>
    <s v="NADA"/>
    <x v="36"/>
    <m/>
    <x v="9"/>
    <n v="59541"/>
    <n v="4331"/>
    <x v="443"/>
    <m/>
    <m/>
    <m/>
    <m/>
    <m/>
    <m/>
    <m/>
    <n v="10.198188"/>
    <n v="71825.84"/>
    <m/>
    <m/>
    <m/>
    <n v="7043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56"/>
    <x v="444"/>
    <m/>
    <m/>
    <m/>
    <m/>
    <m/>
    <m/>
    <m/>
    <n v="9.1895699999999998"/>
    <n v="5982.41"/>
    <m/>
    <m/>
    <m/>
    <n v="651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51"/>
    <x v="445"/>
    <m/>
    <m/>
    <m/>
    <m/>
    <m/>
    <m/>
    <m/>
    <n v="9.3016400000000008"/>
    <n v="6464.64"/>
    <m/>
    <m/>
    <m/>
    <n v="695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52"/>
    <x v="446"/>
    <m/>
    <m/>
    <m/>
    <m/>
    <m/>
    <m/>
    <m/>
    <n v="9.3016489999999994"/>
    <n v="6204.2"/>
    <m/>
    <m/>
    <m/>
    <n v="667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53"/>
    <x v="447"/>
    <m/>
    <m/>
    <m/>
    <m/>
    <m/>
    <m/>
    <m/>
    <n v="9.1335370000000005"/>
    <n v="6713.15"/>
    <m/>
    <m/>
    <m/>
    <n v="735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54"/>
    <x v="448"/>
    <m/>
    <m/>
    <m/>
    <m/>
    <m/>
    <m/>
    <m/>
    <n v="9.1335429999999995"/>
    <n v="6548.75"/>
    <m/>
    <m/>
    <m/>
    <n v="717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55"/>
    <x v="449"/>
    <m/>
    <m/>
    <m/>
    <m/>
    <m/>
    <m/>
    <m/>
    <n v="9.1335359999999994"/>
    <n v="6019"/>
    <m/>
    <m/>
    <m/>
    <n v="659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59"/>
    <x v="450"/>
    <m/>
    <m/>
    <m/>
    <m/>
    <m/>
    <m/>
    <m/>
    <n v="9.1335390000000007"/>
    <n v="6503.08"/>
    <m/>
    <m/>
    <m/>
    <n v="712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57"/>
    <x v="451"/>
    <m/>
    <m/>
    <m/>
    <m/>
    <m/>
    <m/>
    <m/>
    <n v="9.1335359999999994"/>
    <n v="6302.14"/>
    <m/>
    <m/>
    <m/>
    <n v="690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58"/>
    <x v="452"/>
    <m/>
    <m/>
    <m/>
    <m/>
    <m/>
    <m/>
    <m/>
    <n v="9.1335350000000002"/>
    <n v="6329.54"/>
    <m/>
    <m/>
    <m/>
    <n v="693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65"/>
    <x v="453"/>
    <m/>
    <m/>
    <m/>
    <m/>
    <m/>
    <m/>
    <m/>
    <n v="9.5257860000000001"/>
    <n v="5696.42"/>
    <m/>
    <m/>
    <m/>
    <n v="598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66"/>
    <x v="454"/>
    <m/>
    <m/>
    <m/>
    <m/>
    <m/>
    <m/>
    <m/>
    <n v="9.5257830000000006"/>
    <n v="6325.12"/>
    <m/>
    <m/>
    <m/>
    <n v="664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67"/>
    <x v="455"/>
    <m/>
    <m/>
    <m/>
    <m/>
    <m/>
    <m/>
    <m/>
    <n v="9.5257850000000008"/>
    <n v="6553.74"/>
    <m/>
    <m/>
    <m/>
    <n v="688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49"/>
    <x v="456"/>
    <m/>
    <m/>
    <m/>
    <m/>
    <m/>
    <m/>
    <m/>
    <n v="9.3016369999999995"/>
    <n v="6362.32"/>
    <m/>
    <m/>
    <m/>
    <n v="684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43"/>
    <x v="457"/>
    <m/>
    <m/>
    <m/>
    <m/>
    <m/>
    <m/>
    <m/>
    <n v="9.8059460000000005"/>
    <n v="6216.97"/>
    <m/>
    <m/>
    <m/>
    <n v="634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37"/>
    <x v="458"/>
    <m/>
    <m/>
    <m/>
    <m/>
    <m/>
    <m/>
    <m/>
    <n v="9.1335420000000003"/>
    <n v="6704.02"/>
    <m/>
    <m/>
    <m/>
    <n v="734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38"/>
    <x v="459"/>
    <m/>
    <m/>
    <m/>
    <m/>
    <m/>
    <m/>
    <m/>
    <n v="9.3576750000000004"/>
    <n v="7364.49"/>
    <m/>
    <m/>
    <m/>
    <n v="787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39"/>
    <x v="460"/>
    <m/>
    <m/>
    <m/>
    <m/>
    <m/>
    <m/>
    <m/>
    <n v="9.1335329999999999"/>
    <n v="3954.82"/>
    <m/>
    <m/>
    <m/>
    <n v="433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41"/>
    <x v="461"/>
    <m/>
    <m/>
    <m/>
    <m/>
    <m/>
    <m/>
    <m/>
    <n v="9.5818119999999993"/>
    <n v="5816.16"/>
    <m/>
    <m/>
    <m/>
    <n v="607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42"/>
    <x v="462"/>
    <m/>
    <m/>
    <m/>
    <m/>
    <m/>
    <m/>
    <m/>
    <n v="9.3576739999999994"/>
    <n v="6597.16"/>
    <m/>
    <m/>
    <m/>
    <n v="705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50"/>
    <x v="463"/>
    <m/>
    <m/>
    <m/>
    <m/>
    <m/>
    <m/>
    <m/>
    <n v="9.1335379999999997"/>
    <n v="6530.48"/>
    <m/>
    <m/>
    <m/>
    <n v="715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44"/>
    <x v="464"/>
    <m/>
    <m/>
    <m/>
    <m/>
    <m/>
    <m/>
    <m/>
    <n v="9.1335409999999992"/>
    <n v="6758.82"/>
    <m/>
    <m/>
    <m/>
    <n v="740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45"/>
    <x v="465"/>
    <m/>
    <m/>
    <m/>
    <m/>
    <m/>
    <m/>
    <m/>
    <n v="9.3576730000000001"/>
    <n v="6756.24"/>
    <m/>
    <m/>
    <m/>
    <n v="722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46"/>
    <x v="466"/>
    <m/>
    <m/>
    <m/>
    <m/>
    <m/>
    <m/>
    <m/>
    <n v="9.3576759999999997"/>
    <n v="6363.22"/>
    <m/>
    <m/>
    <m/>
    <n v="680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47"/>
    <x v="467"/>
    <m/>
    <m/>
    <m/>
    <m/>
    <m/>
    <m/>
    <m/>
    <n v="9.3576709999999999"/>
    <n v="6026.34"/>
    <m/>
    <m/>
    <m/>
    <n v="644"/>
    <m/>
    <m/>
    <m/>
    <m/>
    <m/>
    <m/>
    <m/>
    <m/>
    <m/>
    <m/>
    <m/>
    <m/>
    <m/>
    <m/>
  </r>
  <r>
    <x v="2"/>
    <x v="4"/>
    <s v="COLCHÃO M.E."/>
    <s v="NADA"/>
    <x v="13"/>
    <m/>
    <x v="0"/>
    <n v="59544"/>
    <n v="4248"/>
    <x v="468"/>
    <m/>
    <m/>
    <m/>
    <m/>
    <m/>
    <m/>
    <m/>
    <n v="9.5818180000000002"/>
    <n v="6534.8"/>
    <m/>
    <m/>
    <m/>
    <n v="682"/>
    <m/>
    <m/>
    <m/>
    <m/>
    <m/>
    <m/>
    <m/>
    <m/>
    <m/>
    <m/>
    <m/>
    <m/>
    <m/>
    <m/>
  </r>
  <r>
    <x v="2"/>
    <x v="4"/>
    <s v="COLCHÃO M.E."/>
    <s v="NADA"/>
    <x v="18"/>
    <m/>
    <x v="1"/>
    <n v="59546"/>
    <n v="3511"/>
    <x v="469"/>
    <m/>
    <m/>
    <m/>
    <m/>
    <m/>
    <m/>
    <m/>
    <n v="10.198187000000001"/>
    <n v="13165.86"/>
    <m/>
    <m/>
    <m/>
    <n v="1291"/>
    <m/>
    <m/>
    <m/>
    <m/>
    <m/>
    <m/>
    <m/>
    <m/>
    <m/>
    <m/>
    <m/>
    <m/>
    <m/>
    <m/>
  </r>
  <r>
    <x v="2"/>
    <x v="4"/>
    <s v="COLCHÃO M.E."/>
    <s v="NADA"/>
    <x v="18"/>
    <m/>
    <x v="1"/>
    <n v="59546"/>
    <n v="3652"/>
    <x v="380"/>
    <m/>
    <m/>
    <m/>
    <m/>
    <m/>
    <m/>
    <m/>
    <n v="8.7412500000000009"/>
    <n v="489.51"/>
    <m/>
    <m/>
    <m/>
    <n v="56"/>
    <m/>
    <m/>
    <m/>
    <m/>
    <m/>
    <m/>
    <m/>
    <m/>
    <m/>
    <m/>
    <m/>
    <m/>
    <m/>
    <m/>
  </r>
  <r>
    <x v="2"/>
    <x v="4"/>
    <s v="COLCHÃO M.E."/>
    <s v="NADA"/>
    <x v="18"/>
    <m/>
    <x v="1"/>
    <n v="59546"/>
    <n v="3505"/>
    <x v="470"/>
    <m/>
    <m/>
    <m/>
    <m/>
    <m/>
    <m/>
    <m/>
    <n v="10.422326"/>
    <n v="11204"/>
    <m/>
    <m/>
    <m/>
    <n v="1075"/>
    <m/>
    <m/>
    <m/>
    <m/>
    <m/>
    <m/>
    <m/>
    <m/>
    <m/>
    <m/>
    <m/>
    <m/>
    <m/>
    <m/>
  </r>
  <r>
    <x v="2"/>
    <x v="4"/>
    <s v="COLCHÃO M.E."/>
    <s v="NADA"/>
    <x v="18"/>
    <m/>
    <x v="1"/>
    <n v="59546"/>
    <n v="3500"/>
    <x v="471"/>
    <m/>
    <m/>
    <m/>
    <m/>
    <m/>
    <m/>
    <m/>
    <n v="9.5257819999999995"/>
    <n v="5601.16"/>
    <m/>
    <m/>
    <m/>
    <n v="588"/>
    <m/>
    <m/>
    <m/>
    <m/>
    <m/>
    <m/>
    <m/>
    <m/>
    <m/>
    <m/>
    <m/>
    <m/>
    <m/>
    <m/>
  </r>
  <r>
    <x v="2"/>
    <x v="4"/>
    <s v="COLCHÃO M.E."/>
    <s v="NADA"/>
    <x v="18"/>
    <m/>
    <x v="1"/>
    <n v="59546"/>
    <n v="4323"/>
    <x v="472"/>
    <m/>
    <m/>
    <m/>
    <m/>
    <m/>
    <m/>
    <m/>
    <n v="11.935245"/>
    <n v="6325.68"/>
    <m/>
    <m/>
    <m/>
    <n v="530"/>
    <m/>
    <m/>
    <m/>
    <m/>
    <m/>
    <m/>
    <m/>
    <m/>
    <m/>
    <m/>
    <m/>
    <m/>
    <m/>
    <m/>
  </r>
  <r>
    <x v="2"/>
    <x v="4"/>
    <s v="COLCHÃO M.E."/>
    <s v="NADA"/>
    <x v="18"/>
    <m/>
    <x v="1"/>
    <n v="59546"/>
    <n v="4324"/>
    <x v="473"/>
    <m/>
    <m/>
    <m/>
    <m/>
    <m/>
    <m/>
    <m/>
    <n v="12.27145"/>
    <n v="7276.97"/>
    <m/>
    <m/>
    <m/>
    <n v="593"/>
    <m/>
    <m/>
    <m/>
    <m/>
    <m/>
    <m/>
    <m/>
    <m/>
    <m/>
    <m/>
    <m/>
    <m/>
    <m/>
    <m/>
  </r>
  <r>
    <x v="2"/>
    <x v="4"/>
    <s v="COLCHÃO M.E."/>
    <s v="NADA"/>
    <x v="18"/>
    <m/>
    <x v="1"/>
    <n v="59546"/>
    <n v="4328"/>
    <x v="474"/>
    <m/>
    <m/>
    <m/>
    <m/>
    <m/>
    <m/>
    <m/>
    <n v="10.422326"/>
    <n v="11245.69"/>
    <m/>
    <m/>
    <m/>
    <n v="1079"/>
    <m/>
    <m/>
    <m/>
    <m/>
    <m/>
    <m/>
    <m/>
    <m/>
    <m/>
    <m/>
    <m/>
    <m/>
    <m/>
    <m/>
  </r>
  <r>
    <x v="2"/>
    <x v="4"/>
    <s v="COLCHÃO M.E."/>
    <s v="NADA"/>
    <x v="18"/>
    <m/>
    <x v="1"/>
    <n v="59546"/>
    <n v="3132"/>
    <x v="475"/>
    <m/>
    <m/>
    <m/>
    <m/>
    <m/>
    <m/>
    <m/>
    <n v="8.0688940000000002"/>
    <n v="6568.08"/>
    <m/>
    <m/>
    <m/>
    <n v="814"/>
    <m/>
    <m/>
    <m/>
    <m/>
    <m/>
    <m/>
    <m/>
    <m/>
    <m/>
    <m/>
    <m/>
    <m/>
    <m/>
    <m/>
  </r>
  <r>
    <x v="2"/>
    <x v="4"/>
    <s v="COLCHÃO M.E."/>
    <s v="NADA"/>
    <x v="18"/>
    <m/>
    <x v="1"/>
    <n v="59546"/>
    <n v="3146"/>
    <x v="476"/>
    <m/>
    <m/>
    <m/>
    <m/>
    <m/>
    <m/>
    <m/>
    <n v="10.366289999999999"/>
    <n v="6510.03"/>
    <m/>
    <m/>
    <m/>
    <n v="628"/>
    <m/>
    <m/>
    <m/>
    <m/>
    <m/>
    <m/>
    <m/>
    <m/>
    <m/>
    <m/>
    <m/>
    <m/>
    <m/>
    <m/>
  </r>
  <r>
    <x v="2"/>
    <x v="4"/>
    <s v="COLCHÃO M.E."/>
    <s v="NADA"/>
    <x v="18"/>
    <m/>
    <x v="1"/>
    <n v="59546"/>
    <n v="3144"/>
    <x v="477"/>
    <m/>
    <m/>
    <m/>
    <m/>
    <m/>
    <m/>
    <m/>
    <n v="10.198188999999999"/>
    <n v="6588.03"/>
    <m/>
    <m/>
    <m/>
    <n v="646"/>
    <m/>
    <m/>
    <m/>
    <m/>
    <m/>
    <m/>
    <m/>
    <m/>
    <m/>
    <m/>
    <m/>
    <m/>
    <m/>
    <m/>
  </r>
  <r>
    <x v="2"/>
    <x v="4"/>
    <s v="COLCHÃO M.E."/>
    <s v="NADA"/>
    <x v="18"/>
    <m/>
    <x v="1"/>
    <n v="59546"/>
    <n v="3138"/>
    <x v="478"/>
    <m/>
    <m/>
    <m/>
    <m/>
    <m/>
    <m/>
    <m/>
    <n v="10.142156"/>
    <n v="4279.99"/>
    <m/>
    <m/>
    <m/>
    <n v="422"/>
    <m/>
    <m/>
    <m/>
    <m/>
    <m/>
    <m/>
    <m/>
    <m/>
    <m/>
    <m/>
    <m/>
    <m/>
    <m/>
    <m/>
  </r>
  <r>
    <x v="2"/>
    <x v="4"/>
    <s v="COLCHÃO M.E."/>
    <s v="NADA"/>
    <x v="18"/>
    <m/>
    <x v="1"/>
    <n v="59546"/>
    <n v="3136"/>
    <x v="479"/>
    <m/>
    <m/>
    <m/>
    <m/>
    <m/>
    <m/>
    <m/>
    <n v="9.1895760000000006"/>
    <n v="3905.57"/>
    <m/>
    <m/>
    <m/>
    <n v="425"/>
    <m/>
    <m/>
    <m/>
    <m/>
    <m/>
    <m/>
    <m/>
    <m/>
    <m/>
    <m/>
    <m/>
    <m/>
    <m/>
    <m/>
  </r>
  <r>
    <x v="2"/>
    <x v="4"/>
    <s v="COLCHÃO M.E."/>
    <s v="NADA"/>
    <x v="18"/>
    <m/>
    <x v="1"/>
    <n v="59546"/>
    <n v="3135"/>
    <x v="480"/>
    <m/>
    <m/>
    <m/>
    <m/>
    <m/>
    <m/>
    <m/>
    <n v="8.9654640000000008"/>
    <n v="869.65"/>
    <m/>
    <m/>
    <m/>
    <n v="97"/>
    <m/>
    <m/>
    <m/>
    <m/>
    <m/>
    <m/>
    <m/>
    <m/>
    <m/>
    <m/>
    <m/>
    <m/>
    <m/>
    <m/>
  </r>
  <r>
    <x v="2"/>
    <x v="4"/>
    <s v="COLCHÃO M.E."/>
    <s v="NADA"/>
    <x v="18"/>
    <m/>
    <x v="1"/>
    <n v="59546"/>
    <n v="3133"/>
    <x v="481"/>
    <m/>
    <m/>
    <m/>
    <m/>
    <m/>
    <m/>
    <m/>
    <n v="9.8059440000000002"/>
    <n v="4206.75"/>
    <m/>
    <m/>
    <m/>
    <n v="429"/>
    <m/>
    <m/>
    <m/>
    <m/>
    <m/>
    <m/>
    <m/>
    <m/>
    <m/>
    <m/>
    <m/>
    <m/>
    <m/>
    <m/>
  </r>
  <r>
    <x v="11"/>
    <x v="4"/>
    <s v="COLCHÃO M.E."/>
    <s v="NADA"/>
    <x v="40"/>
    <m/>
    <x v="9"/>
    <n v="59640"/>
    <n v="4350"/>
    <x v="439"/>
    <m/>
    <m/>
    <m/>
    <m/>
    <m/>
    <m/>
    <m/>
    <n v="10.9604"/>
    <n v="133278.46"/>
    <m/>
    <m/>
    <m/>
    <n v="12160"/>
    <m/>
    <m/>
    <m/>
    <m/>
    <m/>
    <m/>
    <m/>
    <m/>
    <m/>
    <m/>
    <m/>
    <m/>
    <m/>
    <m/>
  </r>
  <r>
    <x v="11"/>
    <x v="4"/>
    <s v="COLCHÃO M.E."/>
    <s v="NADA"/>
    <x v="1"/>
    <m/>
    <x v="1"/>
    <n v="59677"/>
    <n v="2496"/>
    <x v="277"/>
    <m/>
    <m/>
    <m/>
    <m/>
    <m/>
    <m/>
    <m/>
    <n v="22.947969000000001"/>
    <n v="10510.17"/>
    <m/>
    <m/>
    <m/>
    <n v="458"/>
    <m/>
    <m/>
    <m/>
    <m/>
    <m/>
    <m/>
    <m/>
    <m/>
    <m/>
    <m/>
    <m/>
    <m/>
    <m/>
    <m/>
  </r>
  <r>
    <x v="11"/>
    <x v="4"/>
    <s v="COLCHÃO M.E."/>
    <s v="NADA"/>
    <x v="1"/>
    <m/>
    <x v="1"/>
    <n v="59696"/>
    <n v="3343"/>
    <x v="338"/>
    <m/>
    <m/>
    <m/>
    <m/>
    <m/>
    <m/>
    <m/>
    <n v="27.126998"/>
    <n v="14187.42"/>
    <m/>
    <m/>
    <m/>
    <n v="523"/>
    <m/>
    <m/>
    <m/>
    <m/>
    <m/>
    <m/>
    <m/>
    <m/>
    <m/>
    <m/>
    <m/>
    <m/>
    <m/>
    <m/>
  </r>
  <r>
    <x v="11"/>
    <x v="4"/>
    <s v="COLCHÃO M.E."/>
    <s v="NADA"/>
    <x v="18"/>
    <m/>
    <x v="1"/>
    <n v="59814"/>
    <n v="4325"/>
    <x v="482"/>
    <m/>
    <m/>
    <m/>
    <m/>
    <m/>
    <m/>
    <m/>
    <n v="10.246320000000001"/>
    <n v="4928.4799999999996"/>
    <m/>
    <m/>
    <m/>
    <n v="481"/>
    <m/>
    <m/>
    <m/>
    <m/>
    <m/>
    <m/>
    <m/>
    <m/>
    <m/>
    <m/>
    <m/>
    <m/>
    <m/>
    <m/>
  </r>
  <r>
    <x v="11"/>
    <x v="4"/>
    <s v="COLCHÃO M.E."/>
    <s v="NADA"/>
    <x v="18"/>
    <m/>
    <x v="1"/>
    <n v="59814"/>
    <n v="4326"/>
    <x v="483"/>
    <m/>
    <m/>
    <m/>
    <m/>
    <m/>
    <m/>
    <m/>
    <n v="11.594519"/>
    <n v="8800.24"/>
    <m/>
    <m/>
    <m/>
    <n v="759"/>
    <m/>
    <m/>
    <m/>
    <m/>
    <m/>
    <m/>
    <m/>
    <m/>
    <m/>
    <m/>
    <m/>
    <m/>
    <m/>
    <m/>
  </r>
  <r>
    <x v="11"/>
    <x v="4"/>
    <s v="COLCHÃO M.E."/>
    <s v="NADA"/>
    <x v="18"/>
    <m/>
    <x v="1"/>
    <n v="59814"/>
    <n v="4322"/>
    <x v="484"/>
    <m/>
    <m/>
    <m/>
    <m/>
    <m/>
    <m/>
    <m/>
    <n v="9.6531070000000003"/>
    <n v="5125.8"/>
    <m/>
    <m/>
    <m/>
    <n v="531"/>
    <m/>
    <m/>
    <m/>
    <m/>
    <m/>
    <m/>
    <m/>
    <m/>
    <m/>
    <m/>
    <m/>
    <m/>
    <m/>
    <m/>
  </r>
  <r>
    <x v="11"/>
    <x v="4"/>
    <s v="COLCHÃO M.E."/>
    <s v="NADA"/>
    <x v="18"/>
    <m/>
    <x v="1"/>
    <n v="59814"/>
    <n v="4327"/>
    <x v="485"/>
    <m/>
    <m/>
    <m/>
    <m/>
    <m/>
    <m/>
    <m/>
    <n v="11.163102"/>
    <n v="6909.96"/>
    <m/>
    <m/>
    <m/>
    <n v="619"/>
    <m/>
    <m/>
    <m/>
    <m/>
    <m/>
    <m/>
    <m/>
    <m/>
    <m/>
    <m/>
    <m/>
    <m/>
    <m/>
    <m/>
  </r>
  <r>
    <x v="11"/>
    <x v="4"/>
    <s v="COLCHÃO M.E."/>
    <s v="NADA"/>
    <x v="18"/>
    <m/>
    <x v="1"/>
    <n v="59814"/>
    <n v="4329"/>
    <x v="486"/>
    <m/>
    <m/>
    <m/>
    <m/>
    <m/>
    <m/>
    <m/>
    <n v="10.62382"/>
    <n v="11569.34"/>
    <m/>
    <m/>
    <m/>
    <n v="1089"/>
    <m/>
    <m/>
    <m/>
    <m/>
    <m/>
    <m/>
    <m/>
    <m/>
    <m/>
    <m/>
    <m/>
    <m/>
    <m/>
    <m/>
  </r>
  <r>
    <x v="11"/>
    <x v="4"/>
    <s v="COLCHÃO M.E."/>
    <s v="NADA"/>
    <x v="18"/>
    <m/>
    <x v="1"/>
    <n v="59814"/>
    <n v="3147"/>
    <x v="487"/>
    <m/>
    <m/>
    <m/>
    <m/>
    <m/>
    <m/>
    <m/>
    <n v="10.569884999999999"/>
    <n v="5538.62"/>
    <m/>
    <m/>
    <m/>
    <n v="524"/>
    <m/>
    <m/>
    <m/>
    <m/>
    <m/>
    <m/>
    <m/>
    <m/>
    <m/>
    <m/>
    <m/>
    <m/>
    <m/>
    <m/>
  </r>
  <r>
    <x v="11"/>
    <x v="4"/>
    <s v="COLCHÃO M.E."/>
    <s v="NADA"/>
    <x v="18"/>
    <m/>
    <x v="1"/>
    <n v="59814"/>
    <n v="3148"/>
    <x v="488"/>
    <m/>
    <m/>
    <m/>
    <m/>
    <m/>
    <m/>
    <m/>
    <n v="11.109169"/>
    <n v="19107.77"/>
    <m/>
    <m/>
    <m/>
    <n v="1720"/>
    <m/>
    <m/>
    <m/>
    <m/>
    <m/>
    <m/>
    <m/>
    <m/>
    <m/>
    <m/>
    <m/>
    <m/>
    <m/>
    <m/>
  </r>
  <r>
    <x v="11"/>
    <x v="4"/>
    <s v="COLCHÃO M.E."/>
    <s v="NADA"/>
    <x v="18"/>
    <m/>
    <x v="1"/>
    <n v="59814"/>
    <n v="3138"/>
    <x v="478"/>
    <m/>
    <m/>
    <m/>
    <m/>
    <m/>
    <m/>
    <m/>
    <n v="9.7609659999999998"/>
    <n v="8892.24"/>
    <m/>
    <m/>
    <m/>
    <n v="911"/>
    <m/>
    <m/>
    <m/>
    <m/>
    <m/>
    <m/>
    <m/>
    <m/>
    <m/>
    <m/>
    <m/>
    <m/>
    <m/>
    <m/>
  </r>
  <r>
    <x v="11"/>
    <x v="4"/>
    <s v="COLCHÃO M.E."/>
    <s v="NADA"/>
    <x v="18"/>
    <m/>
    <x v="1"/>
    <n v="59814"/>
    <n v="3135"/>
    <x v="480"/>
    <m/>
    <m/>
    <m/>
    <m/>
    <m/>
    <m/>
    <m/>
    <n v="8.6284759999999991"/>
    <n v="6454.1"/>
    <m/>
    <m/>
    <m/>
    <n v="748"/>
    <m/>
    <m/>
    <m/>
    <m/>
    <m/>
    <m/>
    <m/>
    <m/>
    <m/>
    <m/>
    <m/>
    <m/>
    <m/>
    <m/>
  </r>
  <r>
    <x v="11"/>
    <x v="4"/>
    <s v="COLCHÃO M.E."/>
    <s v="NADA"/>
    <x v="18"/>
    <m/>
    <x v="1"/>
    <n v="59814"/>
    <n v="3131"/>
    <x v="489"/>
    <m/>
    <m/>
    <m/>
    <m/>
    <m/>
    <m/>
    <m/>
    <n v="9.7609659999999998"/>
    <n v="2830.68"/>
    <m/>
    <m/>
    <m/>
    <n v="290"/>
    <m/>
    <m/>
    <m/>
    <m/>
    <m/>
    <m/>
    <m/>
    <m/>
    <m/>
    <m/>
    <m/>
    <m/>
    <m/>
    <m/>
  </r>
  <r>
    <x v="11"/>
    <x v="4"/>
    <s v="COLCHÃO M.E."/>
    <s v="NADA"/>
    <x v="18"/>
    <m/>
    <x v="1"/>
    <n v="59814"/>
    <n v="3652"/>
    <x v="380"/>
    <m/>
    <m/>
    <m/>
    <m/>
    <m/>
    <m/>
    <m/>
    <n v="8.4127650000000003"/>
    <n v="4290.51"/>
    <m/>
    <m/>
    <m/>
    <n v="510"/>
    <m/>
    <m/>
    <m/>
    <m/>
    <m/>
    <m/>
    <m/>
    <m/>
    <m/>
    <m/>
    <m/>
    <m/>
    <m/>
    <m/>
  </r>
  <r>
    <x v="11"/>
    <x v="4"/>
    <s v="COLCHÃO M.E."/>
    <s v="NADA"/>
    <x v="13"/>
    <m/>
    <x v="0"/>
    <n v="59818"/>
    <n v="4370"/>
    <x v="490"/>
    <m/>
    <m/>
    <m/>
    <m/>
    <m/>
    <m/>
    <m/>
    <n v="21.583897"/>
    <n v="10856.7"/>
    <m/>
    <m/>
    <m/>
    <n v="503"/>
    <m/>
    <m/>
    <m/>
    <m/>
    <m/>
    <m/>
    <m/>
    <m/>
    <m/>
    <m/>
    <m/>
    <m/>
    <m/>
    <m/>
  </r>
  <r>
    <x v="11"/>
    <x v="4"/>
    <s v="COLCHÃO M.E."/>
    <s v="NADA"/>
    <x v="13"/>
    <m/>
    <x v="0"/>
    <n v="59818"/>
    <n v="4368"/>
    <x v="491"/>
    <m/>
    <m/>
    <m/>
    <m/>
    <m/>
    <m/>
    <m/>
    <n v="21.583901999999998"/>
    <n v="14051.12"/>
    <m/>
    <m/>
    <m/>
    <n v="651"/>
    <m/>
    <m/>
    <m/>
    <m/>
    <m/>
    <m/>
    <m/>
    <m/>
    <m/>
    <m/>
    <m/>
    <m/>
    <m/>
    <m/>
  </r>
  <r>
    <x v="11"/>
    <x v="4"/>
    <s v="COLCHÃO M.E."/>
    <s v="NADA"/>
    <x v="13"/>
    <m/>
    <x v="0"/>
    <n v="59818"/>
    <n v="4363"/>
    <x v="492"/>
    <m/>
    <m/>
    <m/>
    <m/>
    <m/>
    <m/>
    <m/>
    <n v="16.985831999999998"/>
    <n v="8272.1"/>
    <m/>
    <m/>
    <m/>
    <n v="487"/>
    <m/>
    <m/>
    <m/>
    <m/>
    <m/>
    <m/>
    <m/>
    <m/>
    <m/>
    <m/>
    <m/>
    <m/>
    <m/>
    <m/>
  </r>
  <r>
    <x v="11"/>
    <x v="4"/>
    <s v="COLCHÃO M.E."/>
    <s v="NADA"/>
    <x v="13"/>
    <m/>
    <x v="0"/>
    <n v="59818"/>
    <n v="4371"/>
    <x v="493"/>
    <m/>
    <m/>
    <m/>
    <m/>
    <m/>
    <m/>
    <m/>
    <n v="16.012128000000001"/>
    <n v="7749.87"/>
    <m/>
    <m/>
    <m/>
    <n v="484"/>
    <m/>
    <m/>
    <m/>
    <m/>
    <m/>
    <m/>
    <m/>
    <m/>
    <m/>
    <m/>
    <m/>
    <m/>
    <m/>
    <m/>
  </r>
  <r>
    <x v="11"/>
    <x v="4"/>
    <s v="COLCHÃO M.E."/>
    <s v="NADA"/>
    <x v="13"/>
    <m/>
    <x v="0"/>
    <n v="59818"/>
    <n v="4372"/>
    <x v="494"/>
    <m/>
    <m/>
    <m/>
    <m/>
    <m/>
    <m/>
    <m/>
    <n v="16.174405"/>
    <n v="5030.24"/>
    <m/>
    <m/>
    <m/>
    <n v="311"/>
    <m/>
    <m/>
    <m/>
    <m/>
    <m/>
    <m/>
    <m/>
    <m/>
    <m/>
    <m/>
    <m/>
    <m/>
    <m/>
    <m/>
  </r>
  <r>
    <x v="11"/>
    <x v="4"/>
    <s v="COLCHÃO M.E."/>
    <s v="NADA"/>
    <x v="13"/>
    <m/>
    <x v="0"/>
    <n v="59818"/>
    <n v="4358"/>
    <x v="495"/>
    <m/>
    <m/>
    <m/>
    <m/>
    <m/>
    <m/>
    <m/>
    <n v="16.715354999999999"/>
    <n v="9176.73"/>
    <m/>
    <m/>
    <m/>
    <n v="549"/>
    <m/>
    <m/>
    <m/>
    <m/>
    <m/>
    <m/>
    <m/>
    <m/>
    <m/>
    <m/>
    <m/>
    <m/>
    <m/>
    <m/>
  </r>
  <r>
    <x v="11"/>
    <x v="4"/>
    <s v="COLCHÃO M.E."/>
    <s v="NADA"/>
    <x v="13"/>
    <m/>
    <x v="0"/>
    <n v="59818"/>
    <n v="4362"/>
    <x v="496"/>
    <m/>
    <m/>
    <m/>
    <m/>
    <m/>
    <m/>
    <m/>
    <n v="16.228494999999999"/>
    <n v="6361.57"/>
    <m/>
    <m/>
    <m/>
    <n v="392"/>
    <m/>
    <m/>
    <m/>
    <m/>
    <m/>
    <m/>
    <m/>
    <m/>
    <m/>
    <m/>
    <m/>
    <m/>
    <m/>
    <m/>
  </r>
  <r>
    <x v="11"/>
    <x v="4"/>
    <s v="COLCHÃO M.E."/>
    <s v="NADA"/>
    <x v="13"/>
    <m/>
    <x v="0"/>
    <n v="59818"/>
    <n v="4360"/>
    <x v="497"/>
    <m/>
    <m/>
    <m/>
    <m/>
    <m/>
    <m/>
    <m/>
    <n v="16.174403999999999"/>
    <n v="9219.41"/>
    <m/>
    <m/>
    <m/>
    <n v="570"/>
    <m/>
    <m/>
    <m/>
    <m/>
    <m/>
    <m/>
    <m/>
    <m/>
    <m/>
    <m/>
    <m/>
    <m/>
    <m/>
    <m/>
  </r>
  <r>
    <x v="11"/>
    <x v="4"/>
    <s v="COLCHÃO M.E."/>
    <s v="NADA"/>
    <x v="13"/>
    <m/>
    <x v="0"/>
    <n v="59818"/>
    <n v="4359"/>
    <x v="498"/>
    <m/>
    <m/>
    <m/>
    <m/>
    <m/>
    <m/>
    <m/>
    <n v="17.202200999999999"/>
    <n v="8205.4500000000007"/>
    <m/>
    <m/>
    <m/>
    <n v="477"/>
    <m/>
    <m/>
    <m/>
    <m/>
    <m/>
    <m/>
    <m/>
    <m/>
    <m/>
    <m/>
    <m/>
    <m/>
    <m/>
    <m/>
  </r>
  <r>
    <x v="11"/>
    <x v="4"/>
    <s v="COLCHÃO M.E."/>
    <s v="NADA"/>
    <x v="13"/>
    <m/>
    <x v="0"/>
    <n v="59818"/>
    <n v="4247"/>
    <x v="467"/>
    <m/>
    <m/>
    <m/>
    <m/>
    <m/>
    <m/>
    <m/>
    <n v="9.0337999999999994"/>
    <n v="451.69"/>
    <m/>
    <m/>
    <m/>
    <n v="50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59"/>
    <x v="450"/>
    <m/>
    <m/>
    <m/>
    <m/>
    <m/>
    <m/>
    <m/>
    <n v="8.827261"/>
    <n v="6964.6100000000006"/>
    <m/>
    <m/>
    <m/>
    <n v="712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67"/>
    <x v="455"/>
    <m/>
    <m/>
    <m/>
    <m/>
    <m/>
    <m/>
    <m/>
    <n v="9.2063520000000008"/>
    <n v="7018.8600000000006"/>
    <m/>
    <m/>
    <m/>
    <n v="688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66"/>
    <x v="454"/>
    <m/>
    <m/>
    <m/>
    <m/>
    <m/>
    <m/>
    <m/>
    <n v="9.2063550000000003"/>
    <n v="6774.02"/>
    <m/>
    <m/>
    <m/>
    <n v="664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358"/>
    <x v="495"/>
    <m/>
    <m/>
    <m/>
    <m/>
    <m/>
    <m/>
    <m/>
    <n v="16.733898"/>
    <n v="10180.289999999999"/>
    <m/>
    <m/>
    <m/>
    <n v="549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58"/>
    <x v="452"/>
    <m/>
    <m/>
    <m/>
    <m/>
    <m/>
    <m/>
    <m/>
    <n v="8.8272580000000005"/>
    <n v="6778.75"/>
    <m/>
    <m/>
    <m/>
    <n v="693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57"/>
    <x v="451"/>
    <m/>
    <m/>
    <m/>
    <m/>
    <m/>
    <m/>
    <m/>
    <n v="8.827261"/>
    <n v="6749.4100000000008"/>
    <m/>
    <m/>
    <m/>
    <n v="690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56"/>
    <x v="444"/>
    <m/>
    <m/>
    <m/>
    <m/>
    <m/>
    <m/>
    <m/>
    <n v="8.8814130000000002"/>
    <n v="6406.99"/>
    <m/>
    <m/>
    <m/>
    <n v="651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55"/>
    <x v="449"/>
    <m/>
    <m/>
    <m/>
    <m/>
    <m/>
    <m/>
    <m/>
    <n v="8.8272689999999994"/>
    <n v="6446.18"/>
    <m/>
    <m/>
    <m/>
    <n v="659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359"/>
    <x v="498"/>
    <m/>
    <m/>
    <m/>
    <m/>
    <m/>
    <m/>
    <m/>
    <n v="17.221299999999999"/>
    <n v="9102.7999999999993"/>
    <m/>
    <m/>
    <m/>
    <n v="477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360"/>
    <x v="497"/>
    <m/>
    <m/>
    <m/>
    <m/>
    <m/>
    <m/>
    <m/>
    <n v="16.192350999999999"/>
    <n v="10227.64"/>
    <m/>
    <m/>
    <m/>
    <n v="570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362"/>
    <x v="496"/>
    <m/>
    <m/>
    <m/>
    <m/>
    <m/>
    <m/>
    <m/>
    <n v="16.246504999999999"/>
    <n v="7057.27"/>
    <m/>
    <m/>
    <m/>
    <n v="392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363"/>
    <x v="492"/>
    <m/>
    <m/>
    <m/>
    <m/>
    <m/>
    <m/>
    <m/>
    <n v="17.004660999999999"/>
    <n v="9176.73"/>
    <m/>
    <m/>
    <m/>
    <n v="487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368"/>
    <x v="491"/>
    <m/>
    <m/>
    <m/>
    <m/>
    <m/>
    <m/>
    <m/>
    <n v="21.607849000000002"/>
    <n v="15587.75"/>
    <m/>
    <m/>
    <m/>
    <n v="651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370"/>
    <x v="490"/>
    <m/>
    <m/>
    <m/>
    <m/>
    <m/>
    <m/>
    <m/>
    <n v="21.607852999999999"/>
    <n v="12043.99"/>
    <m/>
    <m/>
    <m/>
    <n v="503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371"/>
    <x v="493"/>
    <m/>
    <m/>
    <m/>
    <m/>
    <m/>
    <m/>
    <m/>
    <n v="16.029876000000002"/>
    <n v="8597.3799999999992"/>
    <m/>
    <m/>
    <m/>
    <n v="484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372"/>
    <x v="494"/>
    <m/>
    <m/>
    <m/>
    <m/>
    <m/>
    <m/>
    <m/>
    <n v="16.192347000000002"/>
    <n v="5580.34"/>
    <m/>
    <m/>
    <m/>
    <n v="311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65"/>
    <x v="453"/>
    <m/>
    <m/>
    <m/>
    <m/>
    <m/>
    <m/>
    <m/>
    <n v="9.2063550000000003"/>
    <n v="6100.7"/>
    <m/>
    <m/>
    <m/>
    <n v="598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45"/>
    <x v="465"/>
    <m/>
    <m/>
    <m/>
    <m/>
    <m/>
    <m/>
    <m/>
    <n v="9.0438779999999994"/>
    <n v="7235.74"/>
    <m/>
    <m/>
    <m/>
    <n v="722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37"/>
    <x v="458"/>
    <m/>
    <m/>
    <m/>
    <m/>
    <m/>
    <m/>
    <m/>
    <n v="8.8272619999999993"/>
    <n v="7179.81"/>
    <m/>
    <m/>
    <m/>
    <n v="734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38"/>
    <x v="459"/>
    <m/>
    <m/>
    <m/>
    <m/>
    <m/>
    <m/>
    <m/>
    <n v="9.0438880000000008"/>
    <n v="7887.16"/>
    <m/>
    <m/>
    <m/>
    <n v="787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39"/>
    <x v="460"/>
    <m/>
    <m/>
    <m/>
    <m/>
    <m/>
    <m/>
    <m/>
    <n v="8.8272750000000002"/>
    <n v="4235.51"/>
    <m/>
    <m/>
    <m/>
    <n v="433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41"/>
    <x v="461"/>
    <m/>
    <m/>
    <m/>
    <m/>
    <m/>
    <m/>
    <m/>
    <n v="9.2605109999999993"/>
    <n v="6228.9400000000005"/>
    <m/>
    <m/>
    <m/>
    <n v="607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42"/>
    <x v="462"/>
    <m/>
    <m/>
    <m/>
    <m/>
    <m/>
    <m/>
    <m/>
    <n v="9.0438869999999998"/>
    <n v="7065.37"/>
    <m/>
    <m/>
    <m/>
    <n v="705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43"/>
    <x v="457"/>
    <m/>
    <m/>
    <m/>
    <m/>
    <m/>
    <m/>
    <m/>
    <n v="9.4771289999999997"/>
    <n v="6658.2"/>
    <m/>
    <m/>
    <m/>
    <n v="634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44"/>
    <x v="464"/>
    <m/>
    <m/>
    <m/>
    <m/>
    <m/>
    <m/>
    <m/>
    <n v="8.8272700000000004"/>
    <n v="7238.51"/>
    <m/>
    <m/>
    <m/>
    <n v="740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54"/>
    <x v="448"/>
    <m/>
    <m/>
    <m/>
    <m/>
    <m/>
    <m/>
    <m/>
    <n v="8.8272659999999998"/>
    <n v="7013.5199999999995"/>
    <m/>
    <m/>
    <m/>
    <n v="717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46"/>
    <x v="466"/>
    <m/>
    <m/>
    <m/>
    <m/>
    <m/>
    <m/>
    <m/>
    <n v="9.043882"/>
    <n v="6814.82"/>
    <m/>
    <m/>
    <m/>
    <n v="680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47"/>
    <x v="467"/>
    <m/>
    <m/>
    <m/>
    <m/>
    <m/>
    <m/>
    <m/>
    <n v="9.0438899999999993"/>
    <n v="6955.13"/>
    <m/>
    <m/>
    <m/>
    <n v="694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48"/>
    <x v="468"/>
    <m/>
    <m/>
    <m/>
    <m/>
    <m/>
    <m/>
    <m/>
    <n v="9.2604989999999994"/>
    <n v="6998.57"/>
    <m/>
    <m/>
    <m/>
    <n v="682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49"/>
    <x v="456"/>
    <m/>
    <m/>
    <m/>
    <m/>
    <m/>
    <m/>
    <m/>
    <n v="8.9897369999999999"/>
    <n v="6813.87"/>
    <m/>
    <m/>
    <m/>
    <n v="684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50"/>
    <x v="463"/>
    <m/>
    <m/>
    <m/>
    <m/>
    <m/>
    <m/>
    <m/>
    <n v="8.8272589999999997"/>
    <n v="6993.95"/>
    <m/>
    <m/>
    <m/>
    <n v="715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51"/>
    <x v="445"/>
    <m/>
    <m/>
    <m/>
    <m/>
    <m/>
    <m/>
    <m/>
    <n v="8.9897270000000002"/>
    <n v="6923.44"/>
    <m/>
    <m/>
    <m/>
    <n v="695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52"/>
    <x v="446"/>
    <m/>
    <m/>
    <m/>
    <m/>
    <m/>
    <m/>
    <m/>
    <n v="8.9897299999999998"/>
    <n v="6644.5099999999993"/>
    <m/>
    <m/>
    <m/>
    <n v="667"/>
    <m/>
    <m/>
    <m/>
    <m/>
    <m/>
    <m/>
    <m/>
    <m/>
    <m/>
    <m/>
    <m/>
    <m/>
    <m/>
    <m/>
  </r>
  <r>
    <x v="11"/>
    <x v="4"/>
    <s v="COLCHÃO M.E."/>
    <s v="NADA"/>
    <x v="13"/>
    <m/>
    <x v="0"/>
    <n v="59929"/>
    <n v="4253"/>
    <x v="447"/>
    <m/>
    <m/>
    <m/>
    <m/>
    <m/>
    <m/>
    <m/>
    <n v="8.8272650000000006"/>
    <n v="7189.59"/>
    <m/>
    <m/>
    <m/>
    <n v="735"/>
    <m/>
    <m/>
    <m/>
    <m/>
    <m/>
    <m/>
    <m/>
    <m/>
    <m/>
    <m/>
    <m/>
    <m/>
    <m/>
    <m/>
  </r>
  <r>
    <x v="11"/>
    <x v="4"/>
    <s v="COLCHÃO M.E."/>
    <s v="NADA"/>
    <x v="36"/>
    <m/>
    <x v="9"/>
    <n v="60101"/>
    <n v="4333"/>
    <x v="441"/>
    <m/>
    <m/>
    <m/>
    <m/>
    <m/>
    <m/>
    <m/>
    <n v="9.790559"/>
    <n v="25572.94"/>
    <m/>
    <m/>
    <m/>
    <n v="2612"/>
    <m/>
    <m/>
    <m/>
    <m/>
    <m/>
    <m/>
    <m/>
    <m/>
    <m/>
    <m/>
    <m/>
    <m/>
    <m/>
    <m/>
  </r>
  <r>
    <x v="11"/>
    <x v="4"/>
    <s v="COLCHÃO M.E."/>
    <s v="NADA"/>
    <x v="36"/>
    <m/>
    <x v="9"/>
    <n v="60101"/>
    <n v="4332"/>
    <x v="440"/>
    <m/>
    <m/>
    <m/>
    <m/>
    <m/>
    <m/>
    <m/>
    <n v="9.7905599999999993"/>
    <n v="38790.199999999997"/>
    <m/>
    <m/>
    <m/>
    <n v="3962"/>
    <m/>
    <m/>
    <m/>
    <m/>
    <m/>
    <m/>
    <m/>
    <m/>
    <m/>
    <m/>
    <m/>
    <m/>
    <m/>
    <m/>
  </r>
  <r>
    <x v="11"/>
    <x v="4"/>
    <s v="COLCHÃO M.E."/>
    <s v="NADA"/>
    <x v="36"/>
    <m/>
    <x v="9"/>
    <n v="60101"/>
    <n v="4331"/>
    <x v="443"/>
    <m/>
    <m/>
    <m/>
    <m/>
    <m/>
    <m/>
    <m/>
    <n v="10.062519999999999"/>
    <n v="70870.33"/>
    <m/>
    <m/>
    <m/>
    <n v="7043"/>
    <m/>
    <m/>
    <m/>
    <m/>
    <m/>
    <m/>
    <m/>
    <m/>
    <m/>
    <m/>
    <m/>
    <m/>
    <m/>
    <m/>
  </r>
  <r>
    <x v="11"/>
    <x v="4"/>
    <s v="COLCHÃO M.E."/>
    <s v="NADA"/>
    <x v="36"/>
    <m/>
    <x v="9"/>
    <n v="60101"/>
    <n v="4114"/>
    <x v="442"/>
    <m/>
    <m/>
    <m/>
    <m/>
    <m/>
    <m/>
    <m/>
    <n v="11.041575999999999"/>
    <n v="101593.54"/>
    <m/>
    <m/>
    <m/>
    <n v="9201"/>
    <m/>
    <m/>
    <m/>
    <m/>
    <m/>
    <m/>
    <m/>
    <m/>
    <m/>
    <m/>
    <m/>
    <m/>
    <m/>
    <m/>
  </r>
  <r>
    <x v="11"/>
    <x v="4"/>
    <s v="COLCHÃO M.E."/>
    <s v="NADA"/>
    <x v="9"/>
    <m/>
    <x v="2"/>
    <n v="60119"/>
    <n v="1419"/>
    <x v="234"/>
    <m/>
    <m/>
    <m/>
    <m/>
    <m/>
    <m/>
    <m/>
    <n v="12.238199"/>
    <n v="21269.99"/>
    <m/>
    <m/>
    <m/>
    <n v="1738"/>
    <m/>
    <m/>
    <m/>
    <m/>
    <m/>
    <m/>
    <m/>
    <m/>
    <m/>
    <m/>
    <m/>
    <m/>
    <m/>
    <m/>
  </r>
  <r>
    <x v="11"/>
    <x v="4"/>
    <s v="COLCHÃO M.E."/>
    <s v="NADA"/>
    <x v="9"/>
    <m/>
    <x v="2"/>
    <n v="60119"/>
    <n v="1422"/>
    <x v="232"/>
    <m/>
    <m/>
    <m/>
    <m/>
    <m/>
    <m/>
    <m/>
    <n v="15.392943000000001"/>
    <n v="8681.6200000000008"/>
    <m/>
    <m/>
    <m/>
    <n v="564"/>
    <m/>
    <m/>
    <m/>
    <m/>
    <m/>
    <m/>
    <m/>
    <m/>
    <m/>
    <m/>
    <m/>
    <m/>
    <m/>
    <m/>
  </r>
  <r>
    <x v="11"/>
    <x v="4"/>
    <s v="COLCHÃO M.E."/>
    <s v="NADA"/>
    <x v="24"/>
    <m/>
    <x v="6"/>
    <n v="60186"/>
    <n v="4357"/>
    <x v="499"/>
    <m/>
    <m/>
    <m/>
    <m/>
    <m/>
    <m/>
    <m/>
    <n v="12.199"/>
    <n v="121.99"/>
    <m/>
    <m/>
    <m/>
    <n v="10"/>
    <m/>
    <m/>
    <m/>
    <m/>
    <m/>
    <m/>
    <m/>
    <m/>
    <m/>
    <m/>
    <m/>
    <m/>
    <m/>
    <m/>
  </r>
  <r>
    <x v="11"/>
    <x v="4"/>
    <s v="COLCHÃO M.E."/>
    <s v="NADA"/>
    <x v="24"/>
    <m/>
    <x v="6"/>
    <n v="60186"/>
    <n v="4356"/>
    <x v="500"/>
    <m/>
    <m/>
    <m/>
    <m/>
    <m/>
    <m/>
    <m/>
    <n v="15.289479"/>
    <n v="9387.74"/>
    <m/>
    <m/>
    <m/>
    <n v="614"/>
    <m/>
    <m/>
    <m/>
    <m/>
    <m/>
    <m/>
    <m/>
    <m/>
    <m/>
    <m/>
    <m/>
    <m/>
    <m/>
    <m/>
  </r>
  <r>
    <x v="11"/>
    <x v="4"/>
    <s v="COLCHÃO M.E."/>
    <s v="NADA"/>
    <x v="24"/>
    <m/>
    <x v="6"/>
    <n v="60186"/>
    <n v="4355"/>
    <x v="501"/>
    <m/>
    <m/>
    <m/>
    <m/>
    <m/>
    <m/>
    <m/>
    <n v="14.909948"/>
    <n v="19904.78"/>
    <m/>
    <m/>
    <m/>
    <n v="1335"/>
    <m/>
    <m/>
    <m/>
    <m/>
    <m/>
    <m/>
    <m/>
    <m/>
    <m/>
    <m/>
    <m/>
    <m/>
    <m/>
    <m/>
  </r>
  <r>
    <x v="11"/>
    <x v="4"/>
    <s v="COLCHÃO M.E."/>
    <s v="NADA"/>
    <x v="24"/>
    <m/>
    <x v="6"/>
    <n v="60186"/>
    <n v="4354"/>
    <x v="502"/>
    <m/>
    <m/>
    <m/>
    <m/>
    <m/>
    <m/>
    <m/>
    <n v="15.018393"/>
    <n v="6728.24"/>
    <m/>
    <m/>
    <m/>
    <n v="448"/>
    <m/>
    <m/>
    <m/>
    <m/>
    <m/>
    <m/>
    <m/>
    <m/>
    <m/>
    <m/>
    <m/>
    <m/>
    <m/>
    <m/>
  </r>
  <r>
    <x v="11"/>
    <x v="4"/>
    <s v="COLCHÃO M.E."/>
    <s v="NADA"/>
    <x v="24"/>
    <m/>
    <x v="6"/>
    <n v="60186"/>
    <n v="4352"/>
    <x v="503"/>
    <m/>
    <m/>
    <m/>
    <m/>
    <m/>
    <m/>
    <m/>
    <n v="12.632792999999999"/>
    <n v="10447.32"/>
    <m/>
    <m/>
    <m/>
    <n v="827"/>
    <m/>
    <m/>
    <m/>
    <m/>
    <m/>
    <m/>
    <m/>
    <m/>
    <m/>
    <m/>
    <m/>
    <m/>
    <m/>
    <m/>
  </r>
  <r>
    <x v="11"/>
    <x v="4"/>
    <s v="COLCHÃO M.E."/>
    <s v="NADA"/>
    <x v="24"/>
    <m/>
    <x v="6"/>
    <n v="60186"/>
    <n v="4351"/>
    <x v="504"/>
    <m/>
    <m/>
    <m/>
    <m/>
    <m/>
    <m/>
    <m/>
    <n v="10.952038999999999"/>
    <n v="5585.54"/>
    <m/>
    <m/>
    <m/>
    <n v="510"/>
    <m/>
    <m/>
    <m/>
    <m/>
    <m/>
    <m/>
    <m/>
    <m/>
    <m/>
    <m/>
    <m/>
    <m/>
    <m/>
    <m/>
  </r>
  <r>
    <x v="11"/>
    <x v="4"/>
    <s v="COLCHÃO M.E."/>
    <s v="NADA"/>
    <x v="24"/>
    <m/>
    <x v="6"/>
    <n v="60186"/>
    <n v="3578"/>
    <x v="379"/>
    <m/>
    <m/>
    <m/>
    <m/>
    <m/>
    <m/>
    <m/>
    <n v="16.265395999999999"/>
    <n v="15403.33"/>
    <m/>
    <m/>
    <m/>
    <n v="947"/>
    <m/>
    <m/>
    <m/>
    <m/>
    <m/>
    <m/>
    <m/>
    <m/>
    <m/>
    <m/>
    <m/>
    <m/>
    <m/>
    <m/>
  </r>
  <r>
    <x v="11"/>
    <x v="4"/>
    <s v="COLCHÃO M.E."/>
    <s v="NADA"/>
    <x v="18"/>
    <m/>
    <x v="1"/>
    <n v="60215"/>
    <n v="3131"/>
    <x v="489"/>
    <m/>
    <m/>
    <m/>
    <m/>
    <m/>
    <m/>
    <m/>
    <n v="9.8514660000000003"/>
    <n v="3428.31"/>
    <m/>
    <m/>
    <m/>
    <n v="348"/>
    <m/>
    <m/>
    <m/>
    <m/>
    <m/>
    <m/>
    <m/>
    <m/>
    <m/>
    <m/>
    <m/>
    <m/>
    <m/>
    <m/>
  </r>
  <r>
    <x v="3"/>
    <x v="4"/>
    <s v="COLCHÃO M.E."/>
    <s v="NADA"/>
    <x v="18"/>
    <m/>
    <x v="1"/>
    <n v="60627"/>
    <n v="3135"/>
    <x v="480"/>
    <m/>
    <m/>
    <m/>
    <m/>
    <m/>
    <m/>
    <m/>
    <n v="8.5883219999999998"/>
    <n v="6140.65"/>
    <m/>
    <n v="160"/>
    <m/>
    <n v="715"/>
    <m/>
    <m/>
    <m/>
    <m/>
    <m/>
    <m/>
    <m/>
    <m/>
    <m/>
    <m/>
    <m/>
    <m/>
    <m/>
    <m/>
  </r>
  <r>
    <x v="3"/>
    <x v="4"/>
    <s v="COLCHÃO M.E. COMPL "/>
    <s v="NADA"/>
    <x v="38"/>
    <m/>
    <x v="12"/>
    <n v="60628"/>
    <n v="1912"/>
    <x v="505"/>
    <m/>
    <m/>
    <m/>
    <m/>
    <m/>
    <m/>
    <m/>
    <n v="3366.68"/>
    <n v="3366.68"/>
    <m/>
    <m/>
    <m/>
    <n v="1"/>
    <m/>
    <m/>
    <m/>
    <m/>
    <m/>
    <m/>
    <m/>
    <m/>
    <m/>
    <m/>
    <m/>
    <m/>
    <m/>
    <m/>
  </r>
  <r>
    <x v="3"/>
    <x v="4"/>
    <s v="COLCHÃO M.E. COMPL "/>
    <s v="NADA"/>
    <x v="38"/>
    <m/>
    <x v="12"/>
    <n v="60634"/>
    <n v="1912"/>
    <x v="505"/>
    <m/>
    <m/>
    <m/>
    <m/>
    <m/>
    <m/>
    <m/>
    <n v="5702.76"/>
    <n v="5702.76"/>
    <m/>
    <m/>
    <m/>
    <n v="1"/>
    <m/>
    <m/>
    <m/>
    <m/>
    <m/>
    <m/>
    <m/>
    <m/>
    <m/>
    <m/>
    <m/>
    <m/>
    <m/>
    <m/>
  </r>
  <r>
    <x v="3"/>
    <x v="4"/>
    <s v="COLCHÃO M.E."/>
    <s v="NADA"/>
    <x v="24"/>
    <m/>
    <x v="6"/>
    <n v="60777"/>
    <n v="4351"/>
    <x v="504"/>
    <m/>
    <m/>
    <m/>
    <m/>
    <m/>
    <m/>
    <m/>
    <n v="10.708102999999999"/>
    <n v="621.07000000000005"/>
    <m/>
    <n v="220"/>
    <m/>
    <n v="58"/>
    <m/>
    <m/>
    <m/>
    <m/>
    <m/>
    <m/>
    <m/>
    <m/>
    <m/>
    <m/>
    <m/>
    <m/>
    <m/>
    <m/>
  </r>
  <r>
    <x v="3"/>
    <x v="4"/>
    <s v="COLCHÃO M.E."/>
    <s v="NADA"/>
    <x v="24"/>
    <m/>
    <x v="6"/>
    <n v="60777"/>
    <n v="4352"/>
    <x v="503"/>
    <m/>
    <m/>
    <m/>
    <m/>
    <m/>
    <m/>
    <m/>
    <n v="12.351338999999999"/>
    <n v="1383.35"/>
    <m/>
    <n v="220"/>
    <m/>
    <n v="112"/>
    <m/>
    <m/>
    <m/>
    <m/>
    <m/>
    <m/>
    <m/>
    <m/>
    <m/>
    <m/>
    <m/>
    <m/>
    <m/>
    <m/>
  </r>
  <r>
    <x v="3"/>
    <x v="4"/>
    <s v="COLCHÃO M.E."/>
    <s v="NADA"/>
    <x v="1"/>
    <m/>
    <x v="1"/>
    <n v="60876"/>
    <n v="1523"/>
    <x v="184"/>
    <m/>
    <m/>
    <m/>
    <m/>
    <m/>
    <m/>
    <m/>
    <n v="8.0720100000000006"/>
    <n v="4617.1899999999996"/>
    <m/>
    <m/>
    <m/>
    <n v="572"/>
    <m/>
    <m/>
    <m/>
    <m/>
    <m/>
    <m/>
    <m/>
    <m/>
    <m/>
    <m/>
    <m/>
    <m/>
    <m/>
    <m/>
  </r>
  <r>
    <x v="3"/>
    <x v="4"/>
    <s v="COLCHÃO M.E."/>
    <s v="NADA"/>
    <x v="1"/>
    <m/>
    <x v="1"/>
    <n v="60876"/>
    <n v="1523"/>
    <x v="184"/>
    <m/>
    <m/>
    <m/>
    <m/>
    <m/>
    <m/>
    <m/>
    <n v="8.0720100000000006"/>
    <n v="15264.17"/>
    <m/>
    <m/>
    <m/>
    <n v="1891"/>
    <m/>
    <m/>
    <m/>
    <m/>
    <m/>
    <m/>
    <m/>
    <m/>
    <m/>
    <m/>
    <m/>
    <m/>
    <m/>
    <m/>
  </r>
  <r>
    <x v="3"/>
    <x v="4"/>
    <s v="COLCHÃO M.E."/>
    <s v="NADA"/>
    <x v="1"/>
    <m/>
    <x v="1"/>
    <n v="60877"/>
    <n v="1226"/>
    <x v="170"/>
    <m/>
    <m/>
    <m/>
    <m/>
    <m/>
    <m/>
    <m/>
    <n v="15.395617"/>
    <n v="32176.84"/>
    <m/>
    <n v="260"/>
    <m/>
    <n v="2090"/>
    <m/>
    <m/>
    <m/>
    <m/>
    <m/>
    <m/>
    <m/>
    <m/>
    <m/>
    <m/>
    <m/>
    <m/>
    <m/>
    <m/>
  </r>
  <r>
    <x v="3"/>
    <x v="4"/>
    <s v="COLCHÃO M.E."/>
    <s v="NADA"/>
    <x v="1"/>
    <m/>
    <x v="1"/>
    <n v="60877"/>
    <n v="2053"/>
    <x v="225"/>
    <m/>
    <m/>
    <m/>
    <m/>
    <m/>
    <m/>
    <m/>
    <n v="18.175374000000001"/>
    <n v="9469.3700000000008"/>
    <m/>
    <n v="300"/>
    <m/>
    <n v="521"/>
    <m/>
    <m/>
    <m/>
    <m/>
    <m/>
    <m/>
    <m/>
    <m/>
    <m/>
    <m/>
    <m/>
    <m/>
    <m/>
    <m/>
  </r>
  <r>
    <x v="3"/>
    <x v="4"/>
    <s v="COLCHÃO M.E."/>
    <s v="NADA"/>
    <x v="1"/>
    <m/>
    <x v="1"/>
    <n v="60877"/>
    <n v="3009"/>
    <x v="308"/>
    <m/>
    <m/>
    <m/>
    <m/>
    <m/>
    <m/>
    <m/>
    <n v="22.986509000000002"/>
    <n v="10665.74"/>
    <m/>
    <n v="300"/>
    <m/>
    <n v="464"/>
    <m/>
    <m/>
    <m/>
    <m/>
    <m/>
    <m/>
    <m/>
    <m/>
    <m/>
    <m/>
    <m/>
    <m/>
    <m/>
    <m/>
  </r>
  <r>
    <x v="3"/>
    <x v="4"/>
    <s v="COLCHÃO M.E."/>
    <s v="NADA"/>
    <x v="1"/>
    <m/>
    <x v="1"/>
    <n v="60877"/>
    <n v="3712"/>
    <x v="392"/>
    <m/>
    <m/>
    <m/>
    <m/>
    <m/>
    <m/>
    <m/>
    <n v="17.106238999999999"/>
    <n v="32108.41"/>
    <m/>
    <n v="280"/>
    <m/>
    <n v="1877"/>
    <m/>
    <m/>
    <m/>
    <m/>
    <m/>
    <m/>
    <m/>
    <m/>
    <m/>
    <m/>
    <m/>
    <m/>
    <m/>
    <m/>
  </r>
  <r>
    <x v="3"/>
    <x v="4"/>
    <s v="COLCHÃO M.E."/>
    <s v="NADA"/>
    <x v="9"/>
    <m/>
    <x v="2"/>
    <n v="60927"/>
    <n v="3378"/>
    <x v="340"/>
    <m/>
    <m/>
    <m/>
    <m/>
    <m/>
    <m/>
    <m/>
    <n v="25.759307"/>
    <n v="9299.11"/>
    <m/>
    <n v="370"/>
    <m/>
    <n v="361"/>
    <m/>
    <m/>
    <m/>
    <m/>
    <m/>
    <m/>
    <m/>
    <m/>
    <m/>
    <m/>
    <m/>
    <m/>
    <m/>
    <m/>
  </r>
  <r>
    <x v="3"/>
    <x v="4"/>
    <s v="COLCHÃO M.E."/>
    <s v="NADA"/>
    <x v="9"/>
    <m/>
    <x v="2"/>
    <n v="60927"/>
    <n v="1419"/>
    <x v="234"/>
    <m/>
    <m/>
    <m/>
    <m/>
    <m/>
    <m/>
    <m/>
    <n v="11.950198"/>
    <n v="6022.9"/>
    <m/>
    <n v="180"/>
    <m/>
    <n v="504"/>
    <m/>
    <m/>
    <m/>
    <m/>
    <m/>
    <m/>
    <m/>
    <m/>
    <m/>
    <m/>
    <m/>
    <m/>
    <m/>
    <m/>
  </r>
  <r>
    <x v="3"/>
    <x v="4"/>
    <s v="COLCHÃO M.E."/>
    <s v="NADA"/>
    <x v="9"/>
    <m/>
    <x v="2"/>
    <n v="60927"/>
    <n v="1422"/>
    <x v="232"/>
    <m/>
    <m/>
    <m/>
    <m/>
    <m/>
    <m/>
    <m/>
    <n v="15.030706"/>
    <n v="7455.23"/>
    <m/>
    <n v="240"/>
    <m/>
    <n v="496"/>
    <m/>
    <m/>
    <m/>
    <m/>
    <m/>
    <m/>
    <m/>
    <m/>
    <m/>
    <m/>
    <m/>
    <m/>
    <m/>
    <m/>
  </r>
  <r>
    <x v="3"/>
    <x v="4"/>
    <s v="COLCHÃO M.E."/>
    <s v="NADA"/>
    <x v="33"/>
    <m/>
    <x v="9"/>
    <n v="61049"/>
    <n v="4401"/>
    <x v="506"/>
    <m/>
    <m/>
    <m/>
    <m/>
    <m/>
    <m/>
    <m/>
    <n v="15.542868"/>
    <n v="89628.26"/>
    <m/>
    <n v="240"/>
    <m/>
    <n v="5766.52"/>
    <m/>
    <m/>
    <m/>
    <m/>
    <m/>
    <m/>
    <m/>
    <m/>
    <m/>
    <m/>
    <m/>
    <m/>
    <m/>
    <m/>
  </r>
  <r>
    <x v="3"/>
    <x v="4"/>
    <s v="COLCHÃO M.E."/>
    <s v="NADA"/>
    <x v="33"/>
    <m/>
    <x v="9"/>
    <n v="61049"/>
    <n v="4402"/>
    <x v="507"/>
    <m/>
    <m/>
    <m/>
    <m/>
    <m/>
    <m/>
    <m/>
    <n v="14.850891000000001"/>
    <n v="90501.33"/>
    <m/>
    <n v="240"/>
    <m/>
    <n v="6094"/>
    <m/>
    <m/>
    <m/>
    <m/>
    <m/>
    <m/>
    <m/>
    <m/>
    <m/>
    <m/>
    <m/>
    <m/>
    <m/>
    <m/>
  </r>
  <r>
    <x v="3"/>
    <x v="4"/>
    <s v="COLCHÃO M.E."/>
    <s v="NADA"/>
    <x v="21"/>
    <m/>
    <x v="4"/>
    <n v="61050"/>
    <n v="3702"/>
    <x v="390"/>
    <m/>
    <m/>
    <m/>
    <m/>
    <m/>
    <m/>
    <m/>
    <n v="12.136214000000001"/>
    <n v="25546.73"/>
    <m/>
    <n v="180"/>
    <m/>
    <n v="2105"/>
    <m/>
    <m/>
    <m/>
    <m/>
    <m/>
    <m/>
    <m/>
    <m/>
    <m/>
    <m/>
    <m/>
    <m/>
    <m/>
    <m/>
  </r>
  <r>
    <x v="3"/>
    <x v="4"/>
    <s v="COLCHÃO M.E."/>
    <s v="NADA"/>
    <x v="21"/>
    <m/>
    <x v="4"/>
    <n v="61050"/>
    <n v="3701"/>
    <x v="438"/>
    <m/>
    <m/>
    <m/>
    <m/>
    <m/>
    <m/>
    <m/>
    <n v="7.6649789999999998"/>
    <n v="10868.94"/>
    <m/>
    <n v="180"/>
    <m/>
    <n v="1418"/>
    <m/>
    <m/>
    <m/>
    <m/>
    <m/>
    <m/>
    <m/>
    <m/>
    <m/>
    <m/>
    <m/>
    <m/>
    <m/>
    <m/>
  </r>
  <r>
    <x v="3"/>
    <x v="4"/>
    <s v="COLCHÃO M.E."/>
    <s v="NADA"/>
    <x v="21"/>
    <m/>
    <x v="4"/>
    <n v="61050"/>
    <n v="3700"/>
    <x v="437"/>
    <m/>
    <m/>
    <m/>
    <m/>
    <m/>
    <m/>
    <m/>
    <n v="7.2923660000000003"/>
    <n v="2989.87"/>
    <m/>
    <n v="180"/>
    <m/>
    <n v="410"/>
    <m/>
    <m/>
    <m/>
    <m/>
    <m/>
    <m/>
    <m/>
    <m/>
    <m/>
    <m/>
    <m/>
    <m/>
    <m/>
    <m/>
  </r>
  <r>
    <x v="3"/>
    <x v="4"/>
    <s v="COLCHÃO M.E."/>
    <s v="NADA"/>
    <x v="21"/>
    <m/>
    <x v="4"/>
    <n v="61050"/>
    <n v="3270"/>
    <x v="336"/>
    <m/>
    <m/>
    <m/>
    <m/>
    <m/>
    <m/>
    <m/>
    <n v="11.710379"/>
    <n v="5246.25"/>
    <m/>
    <n v="220"/>
    <m/>
    <n v="448"/>
    <m/>
    <m/>
    <m/>
    <m/>
    <m/>
    <m/>
    <m/>
    <m/>
    <m/>
    <m/>
    <m/>
    <m/>
    <m/>
    <m/>
  </r>
  <r>
    <x v="3"/>
    <x v="4"/>
    <s v="COLCHÃO M.E."/>
    <s v="NADA"/>
    <x v="21"/>
    <m/>
    <x v="4"/>
    <n v="61050"/>
    <n v="1979"/>
    <x v="198"/>
    <m/>
    <m/>
    <m/>
    <m/>
    <m/>
    <m/>
    <m/>
    <n v="25.283774000000001"/>
    <n v="16080.48"/>
    <m/>
    <n v="320"/>
    <m/>
    <n v="636"/>
    <m/>
    <m/>
    <m/>
    <m/>
    <m/>
    <m/>
    <m/>
    <m/>
    <m/>
    <m/>
    <m/>
    <m/>
    <m/>
    <m/>
  </r>
  <r>
    <x v="3"/>
    <x v="4"/>
    <s v="COLCHÃO M.E."/>
    <s v="NADA"/>
    <x v="21"/>
    <m/>
    <x v="4"/>
    <n v="61050"/>
    <n v="1757"/>
    <x v="197"/>
    <m/>
    <m/>
    <m/>
    <m/>
    <m/>
    <m/>
    <m/>
    <n v="18.41724"/>
    <n v="13812.93"/>
    <m/>
    <n v="350"/>
    <m/>
    <n v="750"/>
    <m/>
    <m/>
    <m/>
    <m/>
    <m/>
    <m/>
    <m/>
    <m/>
    <m/>
    <m/>
    <m/>
    <m/>
    <m/>
    <m/>
  </r>
  <r>
    <x v="3"/>
    <x v="4"/>
    <s v="COLCHÃO M.E."/>
    <s v="NADA"/>
    <x v="36"/>
    <m/>
    <x v="9"/>
    <n v="61051"/>
    <n v="4114"/>
    <x v="442"/>
    <m/>
    <m/>
    <m/>
    <m/>
    <m/>
    <m/>
    <m/>
    <n v="10.805486999999999"/>
    <n v="98038.18"/>
    <m/>
    <n v="240"/>
    <m/>
    <n v="9073"/>
    <m/>
    <m/>
    <m/>
    <m/>
    <m/>
    <m/>
    <m/>
    <m/>
    <m/>
    <m/>
    <m/>
    <m/>
    <m/>
    <m/>
  </r>
  <r>
    <x v="3"/>
    <x v="4"/>
    <s v="COLCHÃO M.E."/>
    <s v="NADA"/>
    <x v="36"/>
    <m/>
    <x v="9"/>
    <n v="61051"/>
    <n v="4331"/>
    <x v="443"/>
    <m/>
    <m/>
    <m/>
    <m/>
    <m/>
    <m/>
    <m/>
    <n v="9.8473640000000007"/>
    <n v="60640.07"/>
    <m/>
    <n v="200"/>
    <m/>
    <n v="6158"/>
    <m/>
    <m/>
    <m/>
    <m/>
    <m/>
    <m/>
    <m/>
    <m/>
    <m/>
    <m/>
    <m/>
    <m/>
    <m/>
    <m/>
  </r>
  <r>
    <x v="3"/>
    <x v="4"/>
    <s v="COLCHÃO M.E."/>
    <s v="NADA"/>
    <x v="36"/>
    <m/>
    <x v="9"/>
    <n v="61051"/>
    <n v="4332"/>
    <x v="440"/>
    <m/>
    <m/>
    <m/>
    <m/>
    <m/>
    <m/>
    <m/>
    <n v="9.5812190000000008"/>
    <n v="46909.65"/>
    <m/>
    <n v="200"/>
    <m/>
    <n v="4896"/>
    <m/>
    <m/>
    <m/>
    <m/>
    <m/>
    <m/>
    <m/>
    <m/>
    <m/>
    <m/>
    <m/>
    <m/>
    <m/>
    <m/>
  </r>
  <r>
    <x v="3"/>
    <x v="4"/>
    <s v="COLCHÃO M.E."/>
    <s v="NADA"/>
    <x v="36"/>
    <m/>
    <x v="9"/>
    <n v="61051"/>
    <n v="4333"/>
    <x v="441"/>
    <m/>
    <m/>
    <m/>
    <m/>
    <m/>
    <m/>
    <m/>
    <n v="9.5812209999999993"/>
    <n v="25495.63"/>
    <m/>
    <n v="200"/>
    <m/>
    <n v="2661"/>
    <m/>
    <m/>
    <m/>
    <m/>
    <m/>
    <m/>
    <m/>
    <m/>
    <m/>
    <m/>
    <m/>
    <m/>
    <m/>
    <m/>
  </r>
  <r>
    <x v="3"/>
    <x v="4"/>
    <s v="COLCHÃO M.E."/>
    <s v="NADA"/>
    <x v="5"/>
    <m/>
    <x v="4"/>
    <n v="61063"/>
    <n v="2566"/>
    <x v="280"/>
    <m/>
    <m/>
    <m/>
    <m/>
    <m/>
    <m/>
    <m/>
    <n v="11.178091"/>
    <n v="36954.769999999997"/>
    <m/>
    <n v="220"/>
    <m/>
    <n v="3306"/>
    <m/>
    <m/>
    <m/>
    <m/>
    <m/>
    <m/>
    <m/>
    <m/>
    <m/>
    <m/>
    <m/>
    <m/>
    <m/>
    <m/>
  </r>
  <r>
    <x v="4"/>
    <x v="4"/>
    <s v="COLCHÃO M.E."/>
    <s v="NADA"/>
    <x v="41"/>
    <m/>
    <x v="4"/>
    <n v="61146"/>
    <n v="4447"/>
    <x v="508"/>
    <m/>
    <m/>
    <m/>
    <m/>
    <m/>
    <m/>
    <m/>
    <n v="17.82"/>
    <n v="9872.2800000000007"/>
    <m/>
    <n v="280"/>
    <m/>
    <n v="554"/>
    <m/>
    <m/>
    <m/>
    <m/>
    <m/>
    <m/>
    <m/>
    <m/>
    <m/>
    <m/>
    <m/>
    <m/>
    <m/>
    <m/>
  </r>
  <r>
    <x v="4"/>
    <x v="4"/>
    <s v="COLCHÃO M.E."/>
    <s v="NADA"/>
    <x v="41"/>
    <m/>
    <x v="4"/>
    <n v="61146"/>
    <n v="4448"/>
    <x v="509"/>
    <m/>
    <m/>
    <m/>
    <m/>
    <m/>
    <m/>
    <m/>
    <n v="15.9"/>
    <n v="8919.9"/>
    <m/>
    <n v="280"/>
    <m/>
    <n v="561"/>
    <m/>
    <m/>
    <m/>
    <m/>
    <m/>
    <m/>
    <m/>
    <m/>
    <m/>
    <m/>
    <m/>
    <m/>
    <m/>
    <m/>
  </r>
  <r>
    <x v="4"/>
    <x v="4"/>
    <s v="COLCHÃO M.E."/>
    <s v="NADA"/>
    <x v="41"/>
    <m/>
    <x v="4"/>
    <n v="61146"/>
    <n v="4449"/>
    <x v="510"/>
    <m/>
    <m/>
    <m/>
    <m/>
    <m/>
    <m/>
    <m/>
    <n v="15.9"/>
    <n v="8617.7999999999993"/>
    <m/>
    <n v="280"/>
    <m/>
    <n v="542"/>
    <m/>
    <m/>
    <m/>
    <m/>
    <m/>
    <m/>
    <m/>
    <m/>
    <m/>
    <m/>
    <m/>
    <m/>
    <m/>
    <m/>
  </r>
  <r>
    <x v="4"/>
    <x v="4"/>
    <s v="COLCHÃO M.E."/>
    <s v="NADA"/>
    <x v="1"/>
    <m/>
    <x v="1"/>
    <n v="61537"/>
    <n v="1225"/>
    <x v="194"/>
    <m/>
    <m/>
    <m/>
    <m/>
    <m/>
    <m/>
    <m/>
    <n v="15.436536"/>
    <n v="33775.14"/>
    <m/>
    <n v="240"/>
    <m/>
    <n v="2188"/>
    <m/>
    <m/>
    <m/>
    <m/>
    <m/>
    <m/>
    <m/>
    <m/>
    <m/>
    <m/>
    <m/>
    <m/>
    <m/>
    <m/>
  </r>
  <r>
    <x v="4"/>
    <x v="4"/>
    <s v="COLCHÃO M.E."/>
    <s v="NADA"/>
    <x v="1"/>
    <m/>
    <x v="1"/>
    <n v="61537"/>
    <n v="3589"/>
    <x v="385"/>
    <m/>
    <m/>
    <m/>
    <m/>
    <m/>
    <m/>
    <m/>
    <n v="22.828685"/>
    <n v="17874.86"/>
    <m/>
    <n v="340"/>
    <m/>
    <n v="783"/>
    <m/>
    <m/>
    <m/>
    <m/>
    <m/>
    <m/>
    <m/>
    <m/>
    <m/>
    <m/>
    <m/>
    <m/>
    <m/>
    <m/>
  </r>
  <r>
    <x v="4"/>
    <x v="4"/>
    <s v="COLCHÃO M.E."/>
    <s v="NADA"/>
    <x v="1"/>
    <m/>
    <x v="1"/>
    <n v="61538"/>
    <n v="1523"/>
    <x v="184"/>
    <m/>
    <m/>
    <m/>
    <m/>
    <m/>
    <m/>
    <m/>
    <n v="8.2074569999999998"/>
    <n v="8617.83"/>
    <m/>
    <m/>
    <m/>
    <n v="1050"/>
    <m/>
    <m/>
    <m/>
    <m/>
    <m/>
    <m/>
    <m/>
    <m/>
    <m/>
    <m/>
    <m/>
    <m/>
    <m/>
    <m/>
  </r>
  <r>
    <x v="4"/>
    <x v="4"/>
    <s v="COLCHÃO M.E."/>
    <s v="NADA"/>
    <x v="42"/>
    <m/>
    <x v="0"/>
    <n v="61539"/>
    <n v="2206"/>
    <x v="243"/>
    <m/>
    <m/>
    <m/>
    <m/>
    <m/>
    <m/>
    <m/>
    <n v="10.055490000000001"/>
    <n v="27401.21"/>
    <m/>
    <n v="180"/>
    <m/>
    <n v="2725"/>
    <m/>
    <m/>
    <m/>
    <m/>
    <m/>
    <m/>
    <m/>
    <m/>
    <m/>
    <m/>
    <m/>
    <m/>
    <m/>
    <m/>
  </r>
  <r>
    <x v="4"/>
    <x v="4"/>
    <s v="COLCHÃO M.E."/>
    <s v="NADA"/>
    <x v="42"/>
    <m/>
    <x v="0"/>
    <n v="61539"/>
    <n v="2209"/>
    <x v="240"/>
    <m/>
    <m/>
    <m/>
    <m/>
    <m/>
    <m/>
    <m/>
    <n v="10.327259"/>
    <n v="19890.3"/>
    <m/>
    <n v="200"/>
    <m/>
    <n v="1926"/>
    <m/>
    <m/>
    <m/>
    <m/>
    <m/>
    <m/>
    <m/>
    <m/>
    <m/>
    <m/>
    <m/>
    <m/>
    <m/>
    <m/>
  </r>
  <r>
    <x v="4"/>
    <x v="4"/>
    <s v="COLCHÃO M.E."/>
    <s v="NADA"/>
    <x v="42"/>
    <m/>
    <x v="0"/>
    <n v="61540"/>
    <n v="2208"/>
    <x v="236"/>
    <m/>
    <m/>
    <m/>
    <m/>
    <m/>
    <m/>
    <m/>
    <n v="6.2507109999999999"/>
    <n v="13795.32"/>
    <m/>
    <m/>
    <m/>
    <n v="2207"/>
    <m/>
    <m/>
    <m/>
    <m/>
    <m/>
    <m/>
    <m/>
    <m/>
    <m/>
    <m/>
    <m/>
    <m/>
    <m/>
    <m/>
  </r>
  <r>
    <x v="4"/>
    <x v="4"/>
    <s v="COLCHÃO M.E."/>
    <s v="NADA"/>
    <x v="42"/>
    <m/>
    <x v="0"/>
    <n v="61540"/>
    <n v="4454"/>
    <x v="511"/>
    <m/>
    <m/>
    <m/>
    <m/>
    <m/>
    <m/>
    <m/>
    <n v="5.9789399999999997"/>
    <n v="29272.89"/>
    <m/>
    <m/>
    <m/>
    <n v="4896"/>
    <m/>
    <m/>
    <m/>
    <m/>
    <m/>
    <m/>
    <m/>
    <m/>
    <m/>
    <m/>
    <m/>
    <m/>
    <m/>
    <m/>
  </r>
  <r>
    <x v="4"/>
    <x v="4"/>
    <s v="COLCHÃO M.E."/>
    <s v="NADA"/>
    <x v="9"/>
    <m/>
    <x v="2"/>
    <n v="61771"/>
    <n v="1419"/>
    <x v="234"/>
    <m/>
    <m/>
    <m/>
    <m/>
    <m/>
    <m/>
    <m/>
    <n v="12.113996999999999"/>
    <n v="15215.18"/>
    <m/>
    <n v="180"/>
    <m/>
    <n v="1256"/>
    <m/>
    <m/>
    <m/>
    <m/>
    <m/>
    <m/>
    <m/>
    <m/>
    <m/>
    <m/>
    <m/>
    <m/>
    <m/>
    <m/>
  </r>
  <r>
    <x v="5"/>
    <x v="4"/>
    <s v="COLCHÃO M.E."/>
    <s v="NADA"/>
    <x v="38"/>
    <m/>
    <x v="2"/>
    <n v="62206"/>
    <n v="4600"/>
    <x v="512"/>
    <m/>
    <m/>
    <m/>
    <m/>
    <m/>
    <m/>
    <m/>
    <n v="24.144183999999999"/>
    <n v="10212.99"/>
    <m/>
    <n v="260"/>
    <m/>
    <n v="423"/>
    <m/>
    <m/>
    <m/>
    <m/>
    <m/>
    <m/>
    <m/>
    <m/>
    <m/>
    <m/>
    <m/>
    <m/>
    <m/>
    <m/>
  </r>
  <r>
    <x v="5"/>
    <x v="4"/>
    <s v="COLCHÃO M.E."/>
    <s v="NADA"/>
    <x v="38"/>
    <m/>
    <x v="2"/>
    <n v="62206"/>
    <n v="4594"/>
    <x v="513"/>
    <m/>
    <m/>
    <m/>
    <m/>
    <m/>
    <m/>
    <m/>
    <n v="16.007482"/>
    <n v="6675.12"/>
    <m/>
    <n v="280"/>
    <m/>
    <n v="417"/>
    <m/>
    <m/>
    <m/>
    <m/>
    <m/>
    <m/>
    <m/>
    <m/>
    <m/>
    <m/>
    <m/>
    <m/>
    <m/>
    <m/>
  </r>
  <r>
    <x v="5"/>
    <x v="4"/>
    <s v="COLCHÃO M.E."/>
    <s v="NADA"/>
    <x v="38"/>
    <m/>
    <x v="2"/>
    <n v="62206"/>
    <n v="4703"/>
    <x v="514"/>
    <m/>
    <m/>
    <m/>
    <m/>
    <m/>
    <m/>
    <m/>
    <n v="15.847937999999999"/>
    <n v="8145.84"/>
    <m/>
    <n v="300"/>
    <m/>
    <n v="514"/>
    <m/>
    <m/>
    <m/>
    <m/>
    <m/>
    <m/>
    <m/>
    <m/>
    <m/>
    <m/>
    <m/>
    <m/>
    <m/>
    <m/>
  </r>
  <r>
    <x v="5"/>
    <x v="4"/>
    <s v="COLCHÃO M.E."/>
    <s v="NADA"/>
    <x v="38"/>
    <m/>
    <x v="2"/>
    <n v="62206"/>
    <n v="2000"/>
    <x v="207"/>
    <m/>
    <m/>
    <m/>
    <m/>
    <m/>
    <m/>
    <m/>
    <n v="27.494568000000001"/>
    <n v="13059.92"/>
    <m/>
    <n v="380"/>
    <m/>
    <n v="475"/>
    <m/>
    <m/>
    <m/>
    <m/>
    <m/>
    <m/>
    <m/>
    <m/>
    <m/>
    <m/>
    <m/>
    <m/>
    <m/>
    <m/>
  </r>
  <r>
    <x v="5"/>
    <x v="4"/>
    <s v="COLCHÃO M.E."/>
    <s v="NADA"/>
    <x v="38"/>
    <m/>
    <x v="2"/>
    <n v="62206"/>
    <n v="3276"/>
    <x v="337"/>
    <m/>
    <m/>
    <m/>
    <m/>
    <m/>
    <m/>
    <m/>
    <n v="32.972209999999997"/>
    <n v="14771.55"/>
    <m/>
    <n v="380"/>
    <m/>
    <n v="448"/>
    <m/>
    <m/>
    <m/>
    <m/>
    <m/>
    <m/>
    <m/>
    <m/>
    <m/>
    <m/>
    <m/>
    <m/>
    <m/>
    <m/>
  </r>
  <r>
    <x v="5"/>
    <x v="4"/>
    <s v="COLCHÃO M.E."/>
    <s v="NADA"/>
    <x v="38"/>
    <m/>
    <x v="2"/>
    <n v="62206"/>
    <n v="3275"/>
    <x v="341"/>
    <m/>
    <m/>
    <m/>
    <m/>
    <m/>
    <m/>
    <m/>
    <n v="25.260985000000002"/>
    <n v="11796.88"/>
    <m/>
    <n v="350"/>
    <m/>
    <n v="467"/>
    <m/>
    <m/>
    <m/>
    <m/>
    <m/>
    <m/>
    <m/>
    <m/>
    <m/>
    <m/>
    <m/>
    <m/>
    <m/>
    <m/>
  </r>
  <r>
    <x v="5"/>
    <x v="4"/>
    <s v="COLCHÃO M.E."/>
    <s v="NADA"/>
    <x v="6"/>
    <m/>
    <x v="4"/>
    <n v="62395"/>
    <n v="4613"/>
    <x v="515"/>
    <m/>
    <m/>
    <m/>
    <m/>
    <m/>
    <m/>
    <m/>
    <n v="10.32564"/>
    <n v="4997.6099999999997"/>
    <m/>
    <n v="180"/>
    <m/>
    <n v="484"/>
    <m/>
    <m/>
    <m/>
    <m/>
    <m/>
    <m/>
    <m/>
    <m/>
    <m/>
    <m/>
    <m/>
    <m/>
    <m/>
    <m/>
  </r>
  <r>
    <x v="5"/>
    <x v="4"/>
    <s v="COLCHÃO M.E."/>
    <s v="NADA"/>
    <x v="6"/>
    <m/>
    <x v="4"/>
    <n v="62395"/>
    <n v="4614"/>
    <x v="516"/>
    <m/>
    <m/>
    <m/>
    <m/>
    <m/>
    <m/>
    <m/>
    <n v="9.8490800000000007"/>
    <n v="4067.67"/>
    <m/>
    <n v="180"/>
    <m/>
    <n v="413"/>
    <m/>
    <m/>
    <m/>
    <m/>
    <m/>
    <m/>
    <m/>
    <m/>
    <m/>
    <m/>
    <m/>
    <m/>
    <m/>
    <m/>
  </r>
  <r>
    <x v="5"/>
    <x v="4"/>
    <s v="COLCHÃO M.E."/>
    <s v="NADA"/>
    <x v="6"/>
    <m/>
    <x v="4"/>
    <n v="62395"/>
    <n v="4616"/>
    <x v="517"/>
    <m/>
    <m/>
    <m/>
    <m/>
    <m/>
    <m/>
    <m/>
    <n v="9.9020279999999996"/>
    <n v="5614.45"/>
    <m/>
    <n v="180"/>
    <m/>
    <n v="567"/>
    <m/>
    <m/>
    <m/>
    <m/>
    <m/>
    <m/>
    <m/>
    <m/>
    <m/>
    <m/>
    <m/>
    <m/>
    <m/>
    <m/>
  </r>
  <r>
    <x v="5"/>
    <x v="4"/>
    <s v="COLCHÃO M.E."/>
    <s v="NADA"/>
    <x v="6"/>
    <m/>
    <x v="4"/>
    <n v="62395"/>
    <n v="4617"/>
    <x v="518"/>
    <m/>
    <m/>
    <m/>
    <m/>
    <m/>
    <m/>
    <m/>
    <n v="9.9020229999999998"/>
    <n v="5188.66"/>
    <m/>
    <n v="180"/>
    <m/>
    <n v="524"/>
    <m/>
    <m/>
    <m/>
    <m/>
    <m/>
    <m/>
    <m/>
    <m/>
    <m/>
    <m/>
    <m/>
    <m/>
    <m/>
    <m/>
  </r>
  <r>
    <x v="5"/>
    <x v="4"/>
    <s v="COLCHÃO M.E."/>
    <s v="NADA"/>
    <x v="6"/>
    <m/>
    <x v="4"/>
    <n v="62468"/>
    <n v="1422"/>
    <x v="232"/>
    <m/>
    <m/>
    <m/>
    <m/>
    <m/>
    <m/>
    <m/>
    <n v="10.138597000000001"/>
    <n v="5637.06"/>
    <m/>
    <n v="240"/>
    <m/>
    <n v="556"/>
    <m/>
    <m/>
    <m/>
    <m/>
    <m/>
    <m/>
    <m/>
    <m/>
    <m/>
    <m/>
    <m/>
    <m/>
    <m/>
    <m/>
  </r>
  <r>
    <x v="5"/>
    <x v="4"/>
    <s v="COLCHÃO M.E."/>
    <s v="NADA"/>
    <x v="6"/>
    <m/>
    <x v="4"/>
    <n v="62468"/>
    <n v="3549"/>
    <x v="519"/>
    <m/>
    <m/>
    <m/>
    <m/>
    <m/>
    <m/>
    <m/>
    <n v="10.138597000000001"/>
    <n v="5637.06"/>
    <m/>
    <n v="220"/>
    <m/>
    <n v="556"/>
    <m/>
    <m/>
    <m/>
    <m/>
    <m/>
    <m/>
    <m/>
    <m/>
    <m/>
    <m/>
    <m/>
    <m/>
    <m/>
    <m/>
  </r>
  <r>
    <x v="5"/>
    <x v="4"/>
    <s v="COLCHÃO M.E."/>
    <s v="NADA"/>
    <x v="33"/>
    <m/>
    <x v="9"/>
    <n v="62567"/>
    <n v="3699"/>
    <x v="387"/>
    <m/>
    <m/>
    <m/>
    <m/>
    <m/>
    <m/>
    <m/>
    <n v="9.8640659999999993"/>
    <n v="95819.54"/>
    <m/>
    <n v="260"/>
    <m/>
    <n v="9714"/>
    <m/>
    <m/>
    <m/>
    <m/>
    <m/>
    <m/>
    <m/>
    <m/>
    <m/>
    <m/>
    <m/>
    <m/>
    <m/>
    <m/>
  </r>
  <r>
    <x v="5"/>
    <x v="4"/>
    <s v="COLCHÃO M.E."/>
    <s v="NADA"/>
    <x v="1"/>
    <m/>
    <x v="1"/>
    <n v="62679"/>
    <n v="3589"/>
    <x v="385"/>
    <m/>
    <m/>
    <m/>
    <m/>
    <m/>
    <m/>
    <m/>
    <n v="22.551480000000002"/>
    <n v="33985.08"/>
    <m/>
    <n v="340"/>
    <m/>
    <n v="1507"/>
    <m/>
    <m/>
    <m/>
    <m/>
    <m/>
    <m/>
    <m/>
    <m/>
    <m/>
    <m/>
    <m/>
    <m/>
    <m/>
    <m/>
  </r>
  <r>
    <x v="5"/>
    <x v="4"/>
    <s v="COLCHÃO M.E."/>
    <s v="NADA"/>
    <x v="1"/>
    <m/>
    <x v="1"/>
    <n v="62679"/>
    <n v="3589"/>
    <x v="385"/>
    <m/>
    <m/>
    <m/>
    <m/>
    <m/>
    <m/>
    <m/>
    <n v="22.551487000000002"/>
    <n v="11072.78"/>
    <m/>
    <n v="340"/>
    <m/>
    <n v="491"/>
    <m/>
    <m/>
    <m/>
    <m/>
    <m/>
    <m/>
    <m/>
    <m/>
    <m/>
    <m/>
    <m/>
    <m/>
    <m/>
    <m/>
  </r>
  <r>
    <x v="5"/>
    <x v="4"/>
    <s v="COLCHÃO M.E."/>
    <s v="NADA"/>
    <x v="1"/>
    <m/>
    <x v="1"/>
    <n v="62679"/>
    <n v="3009"/>
    <x v="308"/>
    <m/>
    <m/>
    <m/>
    <m/>
    <m/>
    <m/>
    <m/>
    <n v="23.088418999999998"/>
    <n v="23226.95"/>
    <m/>
    <n v="300"/>
    <m/>
    <n v="1006"/>
    <m/>
    <m/>
    <m/>
    <m/>
    <m/>
    <m/>
    <m/>
    <m/>
    <m/>
    <m/>
    <m/>
    <m/>
    <m/>
    <m/>
  </r>
  <r>
    <x v="5"/>
    <x v="4"/>
    <s v="COLCHÃO M.E."/>
    <s v="NADA"/>
    <x v="1"/>
    <m/>
    <x v="1"/>
    <n v="62679"/>
    <n v="3711"/>
    <x v="394"/>
    <m/>
    <m/>
    <m/>
    <m/>
    <m/>
    <m/>
    <m/>
    <n v="13.423499"/>
    <n v="49908.57"/>
    <m/>
    <n v="260"/>
    <m/>
    <n v="3718"/>
    <m/>
    <m/>
    <m/>
    <m/>
    <m/>
    <m/>
    <m/>
    <m/>
    <m/>
    <m/>
    <m/>
    <m/>
    <m/>
    <m/>
  </r>
  <r>
    <x v="5"/>
    <x v="4"/>
    <s v="COLCHÃO M.E."/>
    <s v="NADA"/>
    <x v="1"/>
    <m/>
    <x v="1"/>
    <n v="62679"/>
    <n v="2054"/>
    <x v="224"/>
    <m/>
    <m/>
    <m/>
    <m/>
    <m/>
    <m/>
    <m/>
    <n v="16.698836"/>
    <n v="24397"/>
    <m/>
    <n v="280"/>
    <m/>
    <n v="1461"/>
    <m/>
    <m/>
    <m/>
    <m/>
    <m/>
    <m/>
    <m/>
    <m/>
    <m/>
    <m/>
    <m/>
    <m/>
    <m/>
    <m/>
  </r>
  <r>
    <x v="5"/>
    <x v="4"/>
    <s v="COLCHÃO M.E."/>
    <s v="NADA"/>
    <x v="1"/>
    <m/>
    <x v="1"/>
    <n v="62679"/>
    <n v="3009"/>
    <x v="308"/>
    <m/>
    <m/>
    <m/>
    <m/>
    <m/>
    <m/>
    <m/>
    <n v="23.088415999999999"/>
    <n v="10205.08"/>
    <m/>
    <n v="300"/>
    <m/>
    <n v="442"/>
    <m/>
    <m/>
    <m/>
    <m/>
    <m/>
    <m/>
    <m/>
    <m/>
    <m/>
    <m/>
    <m/>
    <m/>
    <m/>
    <m/>
  </r>
  <r>
    <x v="5"/>
    <x v="4"/>
    <s v="COLCHÃO M.E."/>
    <s v="NADA"/>
    <x v="1"/>
    <m/>
    <x v="1"/>
    <n v="62679"/>
    <n v="2497"/>
    <x v="278"/>
    <m/>
    <m/>
    <m/>
    <m/>
    <m/>
    <m/>
    <m/>
    <n v="12.886556000000001"/>
    <n v="9316.98"/>
    <m/>
    <n v="230"/>
    <m/>
    <n v="723"/>
    <m/>
    <m/>
    <m/>
    <m/>
    <m/>
    <m/>
    <m/>
    <m/>
    <m/>
    <m/>
    <m/>
    <m/>
    <m/>
    <m/>
  </r>
  <r>
    <x v="5"/>
    <x v="4"/>
    <s v="COLCHÃO M.E."/>
    <s v="NADA"/>
    <x v="1"/>
    <m/>
    <x v="1"/>
    <n v="62679"/>
    <n v="2053"/>
    <x v="225"/>
    <m/>
    <m/>
    <m/>
    <m/>
    <m/>
    <m/>
    <m/>
    <n v="18.255959000000001"/>
    <n v="8945.42"/>
    <m/>
    <n v="300"/>
    <m/>
    <n v="490"/>
    <m/>
    <m/>
    <m/>
    <m/>
    <m/>
    <m/>
    <m/>
    <m/>
    <m/>
    <m/>
    <m/>
    <m/>
    <m/>
    <m/>
  </r>
  <r>
    <x v="5"/>
    <x v="4"/>
    <s v="COLCHÃO M.E."/>
    <s v="NADA"/>
    <x v="1"/>
    <m/>
    <x v="1"/>
    <n v="62680"/>
    <n v="1523"/>
    <x v="184"/>
    <m/>
    <m/>
    <m/>
    <m/>
    <m/>
    <m/>
    <m/>
    <n v="8.1077940000000002"/>
    <n v="34620.28"/>
    <m/>
    <n v="200"/>
    <m/>
    <n v="4270"/>
    <m/>
    <m/>
    <m/>
    <m/>
    <m/>
    <m/>
    <m/>
    <m/>
    <m/>
    <m/>
    <m/>
    <m/>
    <m/>
    <m/>
  </r>
  <r>
    <x v="5"/>
    <x v="4"/>
    <s v="COLCHÃO M.E."/>
    <s v="NADA"/>
    <x v="43"/>
    <m/>
    <x v="13"/>
    <n v="62736"/>
    <n v="4690"/>
    <x v="520"/>
    <m/>
    <m/>
    <m/>
    <m/>
    <m/>
    <m/>
    <m/>
    <n v="11.040965"/>
    <n v="12354.84"/>
    <m/>
    <n v="200"/>
    <m/>
    <n v="1119"/>
    <m/>
    <m/>
    <m/>
    <m/>
    <m/>
    <m/>
    <m/>
    <m/>
    <m/>
    <m/>
    <m/>
    <m/>
    <m/>
    <m/>
  </r>
  <r>
    <x v="5"/>
    <x v="4"/>
    <s v="COLCHÃO M.E."/>
    <s v="NADA"/>
    <x v="43"/>
    <m/>
    <x v="13"/>
    <n v="62736"/>
    <n v="4698"/>
    <x v="521"/>
    <m/>
    <m/>
    <m/>
    <m/>
    <m/>
    <m/>
    <m/>
    <n v="9.7075169999999993"/>
    <n v="10086.11"/>
    <m/>
    <n v="200"/>
    <m/>
    <n v="1039"/>
    <m/>
    <m/>
    <m/>
    <m/>
    <m/>
    <m/>
    <m/>
    <m/>
    <m/>
    <m/>
    <m/>
    <m/>
    <m/>
    <m/>
  </r>
  <r>
    <x v="5"/>
    <x v="4"/>
    <s v="COLCHÃO M.E."/>
    <s v="NADA"/>
    <x v="43"/>
    <m/>
    <x v="13"/>
    <n v="62736"/>
    <n v="4697"/>
    <x v="522"/>
    <m/>
    <m/>
    <m/>
    <m/>
    <m/>
    <m/>
    <m/>
    <n v="9.707516"/>
    <n v="8872.67"/>
    <m/>
    <n v="200"/>
    <m/>
    <n v="914"/>
    <m/>
    <m/>
    <m/>
    <m/>
    <m/>
    <m/>
    <m/>
    <m/>
    <m/>
    <m/>
    <m/>
    <m/>
    <m/>
    <m/>
  </r>
  <r>
    <x v="5"/>
    <x v="4"/>
    <s v="COLCHÃO M.E."/>
    <s v="NADA"/>
    <x v="43"/>
    <m/>
    <x v="13"/>
    <n v="62736"/>
    <n v="4696"/>
    <x v="523"/>
    <m/>
    <m/>
    <m/>
    <m/>
    <m/>
    <m/>
    <m/>
    <n v="9.7075130000000005"/>
    <n v="11357.79"/>
    <m/>
    <n v="200"/>
    <m/>
    <n v="1170"/>
    <m/>
    <m/>
    <m/>
    <m/>
    <m/>
    <m/>
    <m/>
    <m/>
    <m/>
    <m/>
    <m/>
    <m/>
    <m/>
    <m/>
  </r>
  <r>
    <x v="5"/>
    <x v="4"/>
    <s v="COLCHÃO M.E."/>
    <s v="NADA"/>
    <x v="43"/>
    <m/>
    <x v="13"/>
    <n v="62736"/>
    <n v="4693"/>
    <x v="524"/>
    <m/>
    <m/>
    <m/>
    <m/>
    <m/>
    <m/>
    <m/>
    <n v="9.0142220000000002"/>
    <n v="405.64"/>
    <m/>
    <n v="180"/>
    <m/>
    <n v="45"/>
    <m/>
    <m/>
    <m/>
    <m/>
    <m/>
    <m/>
    <m/>
    <m/>
    <m/>
    <m/>
    <m/>
    <m/>
    <m/>
    <m/>
  </r>
  <r>
    <x v="5"/>
    <x v="4"/>
    <s v="COLCHÃO M.E."/>
    <s v="NADA"/>
    <x v="43"/>
    <m/>
    <x v="13"/>
    <n v="62736"/>
    <n v="4692"/>
    <x v="525"/>
    <m/>
    <m/>
    <m/>
    <m/>
    <m/>
    <m/>
    <m/>
    <n v="10.027547999999999"/>
    <n v="11982.92"/>
    <m/>
    <n v="200"/>
    <m/>
    <n v="1195"/>
    <m/>
    <m/>
    <m/>
    <m/>
    <m/>
    <m/>
    <m/>
    <m/>
    <m/>
    <m/>
    <m/>
    <m/>
    <m/>
    <m/>
  </r>
  <r>
    <x v="5"/>
    <x v="4"/>
    <s v="COLCHÃO M.E."/>
    <s v="NADA"/>
    <x v="43"/>
    <m/>
    <x v="13"/>
    <n v="62736"/>
    <n v="4684"/>
    <x v="526"/>
    <m/>
    <m/>
    <m/>
    <m/>
    <m/>
    <m/>
    <m/>
    <n v="11.040969"/>
    <n v="10477.879999999999"/>
    <m/>
    <n v="200"/>
    <m/>
    <n v="949"/>
    <m/>
    <m/>
    <m/>
    <m/>
    <m/>
    <m/>
    <m/>
    <m/>
    <m/>
    <m/>
    <m/>
    <m/>
    <m/>
    <m/>
  </r>
  <r>
    <x v="5"/>
    <x v="4"/>
    <s v="COLCHÃO M.E."/>
    <s v="NADA"/>
    <x v="43"/>
    <m/>
    <x v="13"/>
    <n v="62736"/>
    <n v="4689"/>
    <x v="527"/>
    <m/>
    <m/>
    <m/>
    <m/>
    <m/>
    <m/>
    <m/>
    <n v="11.040975"/>
    <n v="4416.3900000000003"/>
    <m/>
    <n v="200"/>
    <m/>
    <n v="400"/>
    <m/>
    <m/>
    <m/>
    <m/>
    <m/>
    <m/>
    <m/>
    <m/>
    <m/>
    <m/>
    <m/>
    <m/>
    <m/>
    <m/>
  </r>
  <r>
    <x v="5"/>
    <x v="4"/>
    <s v="COLCHÃO M.E."/>
    <s v="NADA"/>
    <x v="43"/>
    <m/>
    <x v="13"/>
    <n v="62736"/>
    <n v="4688"/>
    <x v="528"/>
    <m/>
    <m/>
    <m/>
    <m/>
    <m/>
    <m/>
    <m/>
    <n v="11.040967"/>
    <n v="14264.93"/>
    <m/>
    <n v="200"/>
    <m/>
    <n v="1292"/>
    <m/>
    <m/>
    <m/>
    <m/>
    <m/>
    <m/>
    <m/>
    <m/>
    <m/>
    <m/>
    <m/>
    <m/>
    <m/>
    <m/>
  </r>
  <r>
    <x v="5"/>
    <x v="4"/>
    <s v="COLCHÃO M.E."/>
    <s v="NADA"/>
    <x v="43"/>
    <m/>
    <x v="13"/>
    <n v="62736"/>
    <n v="4687"/>
    <x v="529"/>
    <m/>
    <m/>
    <m/>
    <m/>
    <m/>
    <m/>
    <m/>
    <n v="11.040967"/>
    <n v="14044.11"/>
    <m/>
    <n v="200"/>
    <m/>
    <n v="1272"/>
    <m/>
    <m/>
    <m/>
    <m/>
    <m/>
    <m/>
    <m/>
    <m/>
    <m/>
    <m/>
    <m/>
    <m/>
    <m/>
    <m/>
  </r>
  <r>
    <x v="5"/>
    <x v="4"/>
    <s v="COLCHÃO M.E."/>
    <s v="NADA"/>
    <x v="43"/>
    <m/>
    <x v="13"/>
    <n v="62736"/>
    <n v="4686"/>
    <x v="530"/>
    <m/>
    <m/>
    <m/>
    <m/>
    <m/>
    <m/>
    <m/>
    <n v="11.040969"/>
    <n v="15893.21"/>
    <m/>
    <n v="200"/>
    <m/>
    <n v="1439.4760000000001"/>
    <m/>
    <m/>
    <m/>
    <m/>
    <m/>
    <m/>
    <m/>
    <m/>
    <m/>
    <m/>
    <m/>
    <m/>
    <m/>
    <m/>
  </r>
  <r>
    <x v="5"/>
    <x v="4"/>
    <s v="COLCHÃO M.E."/>
    <s v="NADA"/>
    <x v="43"/>
    <m/>
    <x v="13"/>
    <n v="62736"/>
    <n v="4685"/>
    <x v="531"/>
    <m/>
    <m/>
    <m/>
    <m/>
    <m/>
    <m/>
    <m/>
    <n v="11.040965"/>
    <n v="12354.84"/>
    <m/>
    <n v="200"/>
    <m/>
    <n v="1119"/>
    <m/>
    <m/>
    <m/>
    <m/>
    <m/>
    <m/>
    <m/>
    <m/>
    <m/>
    <m/>
    <m/>
    <m/>
    <m/>
    <m/>
  </r>
  <r>
    <x v="5"/>
    <x v="4"/>
    <s v="COLCHÃO M.E."/>
    <s v="NADA"/>
    <x v="21"/>
    <m/>
    <x v="4"/>
    <n v="62739"/>
    <n v="1757"/>
    <x v="197"/>
    <m/>
    <m/>
    <m/>
    <m/>
    <m/>
    <m/>
    <m/>
    <n v="18.454946"/>
    <n v="37758.82"/>
    <m/>
    <n v="350"/>
    <m/>
    <n v="2046"/>
    <m/>
    <m/>
    <m/>
    <m/>
    <m/>
    <m/>
    <m/>
    <m/>
    <m/>
    <m/>
    <m/>
    <m/>
    <m/>
    <m/>
  </r>
  <r>
    <x v="5"/>
    <x v="4"/>
    <s v="COLCHÃO M.E."/>
    <s v="NADA"/>
    <x v="21"/>
    <m/>
    <x v="4"/>
    <n v="62739"/>
    <n v="1761"/>
    <x v="204"/>
    <m/>
    <m/>
    <m/>
    <m/>
    <m/>
    <m/>
    <m/>
    <n v="15.308002"/>
    <n v="13027.11"/>
    <m/>
    <n v="280"/>
    <m/>
    <n v="851"/>
    <m/>
    <m/>
    <m/>
    <m/>
    <m/>
    <m/>
    <m/>
    <m/>
    <m/>
    <m/>
    <m/>
    <m/>
    <m/>
    <m/>
  </r>
  <r>
    <x v="5"/>
    <x v="4"/>
    <s v="COLCHÃO M.E."/>
    <s v="NADA"/>
    <x v="21"/>
    <m/>
    <x v="4"/>
    <n v="62739"/>
    <n v="1979"/>
    <x v="198"/>
    <m/>
    <m/>
    <m/>
    <m/>
    <m/>
    <m/>
    <m/>
    <n v="25.335549"/>
    <n v="48948.28"/>
    <m/>
    <n v="320"/>
    <m/>
    <n v="1932"/>
    <m/>
    <m/>
    <m/>
    <m/>
    <m/>
    <m/>
    <m/>
    <m/>
    <m/>
    <m/>
    <m/>
    <m/>
    <m/>
    <m/>
  </r>
  <r>
    <x v="5"/>
    <x v="4"/>
    <s v="COLCHÃO M.E."/>
    <s v="NADA"/>
    <x v="21"/>
    <m/>
    <x v="4"/>
    <n v="62739"/>
    <n v="3701"/>
    <x v="438"/>
    <m/>
    <m/>
    <m/>
    <m/>
    <m/>
    <m/>
    <m/>
    <n v="7.6806789999999996"/>
    <n v="4301.18"/>
    <m/>
    <n v="180"/>
    <m/>
    <n v="560"/>
    <m/>
    <m/>
    <m/>
    <m/>
    <m/>
    <m/>
    <m/>
    <m/>
    <m/>
    <m/>
    <m/>
    <m/>
    <m/>
    <m/>
  </r>
  <r>
    <x v="6"/>
    <x v="4"/>
    <s v="COLCHÃO M.E."/>
    <s v="CONEXAO MALHAS E DESENVOLVIMENTO LTDA"/>
    <x v="1"/>
    <m/>
    <x v="1"/>
    <n v="62743"/>
    <n v="2497"/>
    <x v="278"/>
    <m/>
    <m/>
    <m/>
    <m/>
    <m/>
    <m/>
    <m/>
    <n v="12.801119999999999"/>
    <n v="9255.2099999999991"/>
    <m/>
    <n v="230"/>
    <m/>
    <n v="723"/>
    <m/>
    <m/>
    <m/>
    <m/>
    <m/>
    <m/>
    <m/>
    <m/>
    <m/>
    <m/>
    <m/>
    <m/>
    <m/>
    <m/>
  </r>
  <r>
    <x v="6"/>
    <x v="4"/>
    <s v="COLCHÃO M.E."/>
    <s v="CONEXAO MALHAS E DESENVOLVIMENTO LTDA"/>
    <x v="1"/>
    <m/>
    <x v="1"/>
    <n v="62743"/>
    <n v="3009"/>
    <x v="308"/>
    <m/>
    <m/>
    <m/>
    <m/>
    <m/>
    <m/>
    <m/>
    <n v="22.935344000000001"/>
    <n v="13990.56"/>
    <m/>
    <n v="300"/>
    <m/>
    <n v="610"/>
    <m/>
    <m/>
    <m/>
    <m/>
    <m/>
    <m/>
    <m/>
    <m/>
    <m/>
    <m/>
    <m/>
    <m/>
    <m/>
    <m/>
  </r>
  <r>
    <x v="6"/>
    <x v="4"/>
    <s v="COLCHÃO M.E."/>
    <s v="CONEXAO MALHAS E DESENVOLVIMENTO LTDA"/>
    <x v="1"/>
    <m/>
    <x v="1"/>
    <n v="62743"/>
    <n v="3589"/>
    <x v="385"/>
    <m/>
    <m/>
    <m/>
    <m/>
    <m/>
    <m/>
    <m/>
    <n v="22.401956999999999"/>
    <n v="24149.31"/>
    <m/>
    <n v="340"/>
    <m/>
    <n v="1078"/>
    <m/>
    <m/>
    <m/>
    <m/>
    <m/>
    <m/>
    <m/>
    <m/>
    <m/>
    <m/>
    <m/>
    <m/>
    <m/>
    <m/>
  </r>
  <r>
    <x v="6"/>
    <x v="4"/>
    <s v="COLCHÃO M.E."/>
    <s v="CONEXAO MALHAS E DESENVOLVIMENTO LTDA"/>
    <x v="1"/>
    <m/>
    <x v="1"/>
    <n v="62743"/>
    <n v="3711"/>
    <x v="394"/>
    <m/>
    <m/>
    <m/>
    <m/>
    <m/>
    <m/>
    <m/>
    <n v="13.3345"/>
    <n v="49577.67"/>
    <m/>
    <n v="260"/>
    <m/>
    <n v="3718"/>
    <m/>
    <m/>
    <m/>
    <m/>
    <m/>
    <m/>
    <m/>
    <m/>
    <m/>
    <m/>
    <m/>
    <m/>
    <m/>
    <m/>
  </r>
  <r>
    <x v="6"/>
    <x v="4"/>
    <s v="COLCHÃO M.E."/>
    <s v="CONEXAO MALHAS E DESENVOLVIMENTO LTDA"/>
    <x v="1"/>
    <m/>
    <x v="1"/>
    <n v="62891"/>
    <n v="2053"/>
    <x v="225"/>
    <m/>
    <m/>
    <m/>
    <m/>
    <m/>
    <m/>
    <m/>
    <n v="18.444652999999999"/>
    <n v="9037.8799999999992"/>
    <m/>
    <n v="300"/>
    <m/>
    <n v="490"/>
    <m/>
    <m/>
    <m/>
    <m/>
    <m/>
    <m/>
    <m/>
    <m/>
    <m/>
    <m/>
    <m/>
    <m/>
    <m/>
    <m/>
  </r>
  <r>
    <x v="6"/>
    <x v="4"/>
    <s v="COLCHÃO M.E."/>
    <s v="CONEXAO MALHAS E DESENVOLVIMENTO LTDA"/>
    <x v="1"/>
    <m/>
    <x v="1"/>
    <n v="62891"/>
    <n v="2054"/>
    <x v="224"/>
    <m/>
    <m/>
    <m/>
    <m/>
    <m/>
    <m/>
    <m/>
    <n v="16.871437"/>
    <n v="24649.17"/>
    <m/>
    <n v="280"/>
    <m/>
    <n v="1461"/>
    <m/>
    <m/>
    <m/>
    <m/>
    <m/>
    <m/>
    <m/>
    <m/>
    <m/>
    <m/>
    <m/>
    <m/>
    <m/>
    <m/>
  </r>
  <r>
    <x v="6"/>
    <x v="4"/>
    <s v="COLCHÃO M.E."/>
    <s v="CONEXAO MALHAS E DESENVOLVIMENTO LTDA"/>
    <x v="1"/>
    <m/>
    <x v="1"/>
    <n v="62891"/>
    <n v="3009"/>
    <x v="308"/>
    <m/>
    <m/>
    <m/>
    <m/>
    <m/>
    <m/>
    <m/>
    <n v="23.327064"/>
    <n v="19548.080000000002"/>
    <m/>
    <n v="300"/>
    <m/>
    <n v="838"/>
    <m/>
    <m/>
    <m/>
    <m/>
    <m/>
    <m/>
    <m/>
    <m/>
    <m/>
    <m/>
    <m/>
    <m/>
    <m/>
    <m/>
  </r>
  <r>
    <x v="6"/>
    <x v="4"/>
    <s v="COLCHÃO M.E."/>
    <s v="CONEXAO MALHAS E DESENVOLVIMENTO LTDA"/>
    <x v="1"/>
    <m/>
    <x v="1"/>
    <n v="62891"/>
    <n v="3589"/>
    <x v="385"/>
    <m/>
    <m/>
    <m/>
    <m/>
    <m/>
    <m/>
    <m/>
    <n v="22.784576000000001"/>
    <n v="20961.810000000001"/>
    <m/>
    <n v="340"/>
    <m/>
    <n v="920"/>
    <m/>
    <m/>
    <m/>
    <m/>
    <m/>
    <m/>
    <m/>
    <m/>
    <m/>
    <m/>
    <m/>
    <m/>
    <m/>
    <m/>
  </r>
  <r>
    <x v="6"/>
    <x v="4"/>
    <s v="COLCHÃO M.E."/>
    <s v="CARLOS FIDENCIO D AVALOS RUIZ JUNIOR 34496952823"/>
    <x v="18"/>
    <m/>
    <x v="1"/>
    <n v="62892"/>
    <n v="4707"/>
    <x v="532"/>
    <m/>
    <m/>
    <m/>
    <m/>
    <m/>
    <m/>
    <m/>
    <n v="9.2223299999999995"/>
    <n v="33890.31"/>
    <m/>
    <n v="180"/>
    <m/>
    <n v="3674.81"/>
    <m/>
    <m/>
    <m/>
    <m/>
    <m/>
    <m/>
    <m/>
    <m/>
    <m/>
    <m/>
    <m/>
    <m/>
    <m/>
    <m/>
  </r>
  <r>
    <x v="6"/>
    <x v="4"/>
    <s v="COLCHÃO M.E."/>
    <s v="CARLOS FIDENCIO D AVALOS RUIZ JUNIOR 34496952823"/>
    <x v="18"/>
    <m/>
    <x v="1"/>
    <n v="62892"/>
    <n v="3135"/>
    <x v="480"/>
    <m/>
    <m/>
    <m/>
    <m/>
    <m/>
    <m/>
    <m/>
    <n v="8.6798450000000003"/>
    <n v="3914.61"/>
    <m/>
    <n v="160"/>
    <m/>
    <n v="451"/>
    <m/>
    <m/>
    <m/>
    <m/>
    <m/>
    <m/>
    <m/>
    <m/>
    <m/>
    <m/>
    <m/>
    <m/>
    <m/>
    <m/>
  </r>
  <r>
    <x v="6"/>
    <x v="4"/>
    <s v="COLCHÃO M.E."/>
    <s v="CARLOS FIDENCIO D AVALOS RUIZ JUNIOR 34496952823"/>
    <x v="18"/>
    <m/>
    <x v="1"/>
    <n v="62892"/>
    <n v="4325"/>
    <x v="482"/>
    <m/>
    <m/>
    <m/>
    <m/>
    <m/>
    <m/>
    <m/>
    <n v="10.307313000000001"/>
    <n v="4947.51"/>
    <m/>
    <n v="160"/>
    <m/>
    <n v="480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95"/>
    <x v="533"/>
    <m/>
    <m/>
    <m/>
    <m/>
    <m/>
    <m/>
    <m/>
    <n v="8.5207999999999995"/>
    <n v="1704.16"/>
    <m/>
    <n v="180"/>
    <m/>
    <n v="200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94"/>
    <x v="534"/>
    <m/>
    <m/>
    <m/>
    <m/>
    <m/>
    <m/>
    <m/>
    <n v="9.1140000000000008"/>
    <n v="12850.74"/>
    <m/>
    <n v="180"/>
    <m/>
    <n v="1410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95"/>
    <x v="533"/>
    <m/>
    <m/>
    <m/>
    <m/>
    <m/>
    <m/>
    <m/>
    <n v="8.5207789999999992"/>
    <n v="11153.7"/>
    <m/>
    <n v="180"/>
    <m/>
    <n v="1309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93"/>
    <x v="524"/>
    <m/>
    <m/>
    <m/>
    <m/>
    <m/>
    <m/>
    <m/>
    <n v="9.1139989999999997"/>
    <n v="13607.2"/>
    <m/>
    <n v="180"/>
    <m/>
    <n v="1493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92"/>
    <x v="525"/>
    <m/>
    <m/>
    <m/>
    <m/>
    <m/>
    <m/>
    <m/>
    <n v="10.138648"/>
    <n v="3224.09"/>
    <m/>
    <n v="200"/>
    <m/>
    <n v="318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92"/>
    <x v="525"/>
    <m/>
    <m/>
    <m/>
    <m/>
    <m/>
    <m/>
    <m/>
    <n v="10.13875"/>
    <n v="405.55"/>
    <m/>
    <n v="200"/>
    <m/>
    <n v="40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96"/>
    <x v="523"/>
    <m/>
    <m/>
    <m/>
    <m/>
    <m/>
    <m/>
    <m/>
    <n v="9.8150879999999994"/>
    <n v="559.46"/>
    <m/>
    <n v="200"/>
    <m/>
    <n v="57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96"/>
    <x v="523"/>
    <m/>
    <m/>
    <m/>
    <m/>
    <m/>
    <m/>
    <m/>
    <n v="9.8150870000000001"/>
    <n v="2816.93"/>
    <m/>
    <n v="200"/>
    <m/>
    <n v="287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97"/>
    <x v="522"/>
    <m/>
    <m/>
    <m/>
    <m/>
    <m/>
    <m/>
    <m/>
    <n v="9.8150619999999993"/>
    <n v="2365.4299999999998"/>
    <m/>
    <n v="200"/>
    <m/>
    <n v="241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97"/>
    <x v="522"/>
    <m/>
    <m/>
    <m/>
    <m/>
    <m/>
    <m/>
    <m/>
    <n v="9.8150700000000004"/>
    <n v="4200.8500000000004"/>
    <m/>
    <n v="200"/>
    <m/>
    <n v="428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98"/>
    <x v="521"/>
    <m/>
    <m/>
    <m/>
    <m/>
    <m/>
    <m/>
    <m/>
    <n v="9.8150879999999994"/>
    <n v="1118.92"/>
    <m/>
    <n v="200"/>
    <m/>
    <n v="114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98"/>
    <x v="521"/>
    <m/>
    <m/>
    <m/>
    <m/>
    <m/>
    <m/>
    <m/>
    <n v="9.8150820000000003"/>
    <n v="3572.69"/>
    <m/>
    <n v="200"/>
    <m/>
    <n v="364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90"/>
    <x v="520"/>
    <m/>
    <m/>
    <m/>
    <m/>
    <m/>
    <m/>
    <m/>
    <n v="11.163304"/>
    <n v="3750.87"/>
    <m/>
    <n v="200"/>
    <m/>
    <n v="336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88"/>
    <x v="528"/>
    <m/>
    <m/>
    <m/>
    <m/>
    <m/>
    <m/>
    <m/>
    <n v="11.163409"/>
    <n v="491.19"/>
    <m/>
    <n v="200"/>
    <m/>
    <n v="44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84"/>
    <x v="526"/>
    <m/>
    <m/>
    <m/>
    <m/>
    <m/>
    <m/>
    <m/>
    <n v="11.163299"/>
    <n v="1082.8399999999999"/>
    <m/>
    <n v="200"/>
    <m/>
    <n v="97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84"/>
    <x v="526"/>
    <m/>
    <m/>
    <m/>
    <m/>
    <m/>
    <m/>
    <m/>
    <n v="11.163299"/>
    <n v="4364.8500000000004"/>
    <m/>
    <n v="200"/>
    <m/>
    <n v="391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85"/>
    <x v="531"/>
    <m/>
    <m/>
    <m/>
    <m/>
    <m/>
    <m/>
    <m/>
    <n v="11.163304999999999"/>
    <n v="5202.1000000000004"/>
    <m/>
    <n v="200"/>
    <m/>
    <n v="466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86"/>
    <x v="530"/>
    <m/>
    <m/>
    <m/>
    <m/>
    <m/>
    <m/>
    <m/>
    <n v="11.163333"/>
    <n v="602.82000000000005"/>
    <m/>
    <n v="200"/>
    <m/>
    <n v="54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87"/>
    <x v="529"/>
    <m/>
    <m/>
    <m/>
    <m/>
    <m/>
    <m/>
    <m/>
    <n v="11.163285999999999"/>
    <n v="2344.29"/>
    <m/>
    <n v="200"/>
    <m/>
    <n v="210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91"/>
    <x v="535"/>
    <m/>
    <m/>
    <m/>
    <m/>
    <m/>
    <m/>
    <m/>
    <n v="11.163304999999999"/>
    <n v="14289.03"/>
    <m/>
    <n v="200"/>
    <m/>
    <n v="1280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88"/>
    <x v="528"/>
    <m/>
    <m/>
    <m/>
    <m/>
    <m/>
    <m/>
    <m/>
    <n v="11.163321"/>
    <n v="2924.79"/>
    <m/>
    <n v="200"/>
    <m/>
    <n v="262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89"/>
    <x v="527"/>
    <m/>
    <m/>
    <m/>
    <m/>
    <m/>
    <m/>
    <m/>
    <n v="11.163290999999999"/>
    <n v="2612.21"/>
    <m/>
    <n v="200"/>
    <m/>
    <n v="234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89"/>
    <x v="527"/>
    <m/>
    <m/>
    <m/>
    <m/>
    <m/>
    <m/>
    <m/>
    <n v="11.163302"/>
    <n v="10616.3"/>
    <m/>
    <n v="200"/>
    <m/>
    <n v="951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90"/>
    <x v="520"/>
    <m/>
    <m/>
    <m/>
    <m/>
    <m/>
    <m/>
    <m/>
    <n v="11.163304999999999"/>
    <n v="1317.27"/>
    <m/>
    <n v="200"/>
    <m/>
    <n v="118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097"/>
    <n v="4691"/>
    <x v="535"/>
    <m/>
    <m/>
    <m/>
    <m/>
    <m/>
    <m/>
    <m/>
    <n v="11.16329"/>
    <n v="3427.13"/>
    <m/>
    <n v="200"/>
    <m/>
    <n v="307"/>
    <m/>
    <m/>
    <m/>
    <m/>
    <m/>
    <m/>
    <m/>
    <m/>
    <m/>
    <m/>
    <m/>
    <m/>
    <m/>
    <m/>
  </r>
  <r>
    <x v="6"/>
    <x v="4"/>
    <s v="COLCHÃO M.E."/>
    <s v="CARLOS FIDENCIO D AVALOS RUIZ JUNIOR 34496952823"/>
    <x v="38"/>
    <m/>
    <x v="2"/>
    <n v="63139"/>
    <n v="1912"/>
    <x v="505"/>
    <m/>
    <m/>
    <m/>
    <m/>
    <m/>
    <m/>
    <m/>
    <n v="3287.13"/>
    <n v="3287.13"/>
    <m/>
    <n v="280"/>
    <m/>
    <n v="1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143"/>
    <n v="4693"/>
    <x v="524"/>
    <m/>
    <m/>
    <m/>
    <m/>
    <m/>
    <m/>
    <m/>
    <n v="9.2113460000000007"/>
    <n v="14167.05"/>
    <m/>
    <n v="180"/>
    <m/>
    <n v="1538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143"/>
    <n v="4694"/>
    <x v="534"/>
    <m/>
    <m/>
    <m/>
    <m/>
    <m/>
    <m/>
    <m/>
    <n v="9.2113479999999992"/>
    <n v="12988"/>
    <m/>
    <n v="180"/>
    <m/>
    <n v="1410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143"/>
    <n v="4695"/>
    <x v="533"/>
    <m/>
    <m/>
    <m/>
    <m/>
    <m/>
    <m/>
    <m/>
    <n v="8.6117889999999999"/>
    <n v="12995.19"/>
    <m/>
    <n v="180"/>
    <m/>
    <n v="1509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143"/>
    <n v="4692"/>
    <x v="525"/>
    <m/>
    <m/>
    <m/>
    <m/>
    <m/>
    <m/>
    <m/>
    <n v="10.246941"/>
    <n v="15913.5"/>
    <m/>
    <n v="200"/>
    <m/>
    <n v="1553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143"/>
    <n v="4696"/>
    <x v="523"/>
    <m/>
    <m/>
    <m/>
    <m/>
    <m/>
    <m/>
    <m/>
    <n v="9.9199079999999995"/>
    <n v="15018.74"/>
    <m/>
    <n v="200"/>
    <m/>
    <n v="1514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143"/>
    <n v="4697"/>
    <x v="522"/>
    <m/>
    <m/>
    <m/>
    <m/>
    <m/>
    <m/>
    <m/>
    <n v="9.9199120000000001"/>
    <n v="15703.22"/>
    <m/>
    <n v="200"/>
    <m/>
    <n v="1583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143"/>
    <n v="4698"/>
    <x v="521"/>
    <m/>
    <m/>
    <m/>
    <m/>
    <m/>
    <m/>
    <m/>
    <n v="9.9199079999999995"/>
    <n v="15048.5"/>
    <m/>
    <n v="200"/>
    <m/>
    <n v="1517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143"/>
    <n v="4687"/>
    <x v="529"/>
    <m/>
    <m/>
    <m/>
    <m/>
    <m/>
    <m/>
    <m/>
    <n v="11.282537"/>
    <n v="16720.72"/>
    <m/>
    <n v="200"/>
    <m/>
    <n v="1482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143"/>
    <n v="4691"/>
    <x v="535"/>
    <m/>
    <m/>
    <m/>
    <m/>
    <m/>
    <m/>
    <m/>
    <n v="11.282533000000001"/>
    <n v="17905.38"/>
    <m/>
    <n v="200"/>
    <m/>
    <n v="1587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143"/>
    <n v="4690"/>
    <x v="520"/>
    <m/>
    <m/>
    <m/>
    <m/>
    <m/>
    <m/>
    <m/>
    <n v="11.282537"/>
    <n v="17747.43"/>
    <m/>
    <n v="200"/>
    <m/>
    <n v="1573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143"/>
    <n v="4689"/>
    <x v="527"/>
    <m/>
    <m/>
    <m/>
    <m/>
    <m/>
    <m/>
    <m/>
    <n v="11.282536"/>
    <n v="17882.82"/>
    <m/>
    <n v="200"/>
    <m/>
    <n v="1585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143"/>
    <n v="4688"/>
    <x v="528"/>
    <m/>
    <m/>
    <m/>
    <m/>
    <m/>
    <m/>
    <m/>
    <n v="11.282534"/>
    <n v="18029.490000000002"/>
    <m/>
    <n v="200"/>
    <m/>
    <n v="1598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143"/>
    <n v="4686"/>
    <x v="530"/>
    <m/>
    <m/>
    <m/>
    <m/>
    <m/>
    <m/>
    <m/>
    <n v="11.282534999999999"/>
    <n v="16850.240000000002"/>
    <m/>
    <n v="200"/>
    <m/>
    <n v="1493.48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143"/>
    <n v="4685"/>
    <x v="531"/>
    <m/>
    <m/>
    <m/>
    <m/>
    <m/>
    <m/>
    <m/>
    <n v="11.282536"/>
    <n v="17882.82"/>
    <m/>
    <n v="200"/>
    <m/>
    <n v="1585"/>
    <m/>
    <m/>
    <m/>
    <m/>
    <m/>
    <m/>
    <m/>
    <m/>
    <m/>
    <m/>
    <m/>
    <m/>
    <m/>
    <m/>
  </r>
  <r>
    <x v="6"/>
    <x v="4"/>
    <s v="COLCHÃO M.E."/>
    <s v="CARLOS FIDENCIO D AVALOS RUIZ JUNIOR 34496952823"/>
    <x v="43"/>
    <m/>
    <x v="14"/>
    <n v="63143"/>
    <n v="4684"/>
    <x v="526"/>
    <m/>
    <m/>
    <m/>
    <m/>
    <m/>
    <m/>
    <m/>
    <n v="11.282533000000001"/>
    <n v="16213"/>
    <m/>
    <n v="200"/>
    <m/>
    <n v="1437"/>
    <m/>
    <m/>
    <m/>
    <m/>
    <m/>
    <m/>
    <m/>
    <m/>
    <m/>
    <m/>
    <m/>
    <m/>
    <m/>
    <m/>
  </r>
  <r>
    <x v="6"/>
    <x v="4"/>
    <s v="COLCHÃO M.E."/>
    <s v="CARLOS FIDENCIO D AVALOS RUIZ JUNIOR 34496952823"/>
    <x v="18"/>
    <m/>
    <x v="1"/>
    <n v="63209"/>
    <n v="3504"/>
    <x v="365"/>
    <m/>
    <m/>
    <m/>
    <m/>
    <m/>
    <m/>
    <m/>
    <n v="8.2924419999999994"/>
    <n v="4992.05"/>
    <m/>
    <n v="180"/>
    <m/>
    <n v="602"/>
    <m/>
    <m/>
    <m/>
    <m/>
    <m/>
    <m/>
    <m/>
    <m/>
    <m/>
    <m/>
    <m/>
    <m/>
    <m/>
    <m/>
  </r>
  <r>
    <x v="6"/>
    <x v="4"/>
    <s v="COLCHÃO M.E."/>
    <s v="CARLOS FIDENCIO D AVALOS RUIZ JUNIOR 34496952823"/>
    <x v="18"/>
    <m/>
    <x v="1"/>
    <n v="63209"/>
    <n v="4705"/>
    <x v="536"/>
    <m/>
    <m/>
    <m/>
    <m/>
    <m/>
    <m/>
    <m/>
    <n v="9.3428290000000001"/>
    <n v="12351.22"/>
    <m/>
    <n v="180"/>
    <m/>
    <n v="1322"/>
    <m/>
    <m/>
    <m/>
    <m/>
    <m/>
    <m/>
    <m/>
    <m/>
    <m/>
    <m/>
    <m/>
    <m/>
    <m/>
    <m/>
  </r>
  <r>
    <x v="6"/>
    <x v="4"/>
    <s v="COLCHÃO M.E."/>
    <s v="CARLOS FIDENCIO D AVALOS RUIZ JUNIOR 34496952823"/>
    <x v="18"/>
    <m/>
    <x v="1"/>
    <n v="63209"/>
    <n v="4706"/>
    <x v="537"/>
    <m/>
    <m/>
    <m/>
    <m/>
    <m/>
    <m/>
    <m/>
    <n v="9.3981089999999998"/>
    <n v="14708.04"/>
    <m/>
    <n v="180"/>
    <m/>
    <n v="1565"/>
    <m/>
    <m/>
    <m/>
    <m/>
    <m/>
    <m/>
    <m/>
    <m/>
    <m/>
    <m/>
    <m/>
    <m/>
    <m/>
    <m/>
  </r>
  <r>
    <x v="6"/>
    <x v="4"/>
    <s v="COLCHÃO M.E."/>
    <s v="CARLOS FIDENCIO D AVALOS RUIZ JUNIOR 34496952823"/>
    <x v="44"/>
    <m/>
    <x v="0"/>
    <n v="63243"/>
    <n v="4745"/>
    <x v="538"/>
    <m/>
    <m/>
    <m/>
    <m/>
    <m/>
    <m/>
    <m/>
    <n v="16.548006999999998"/>
    <n v="8969.02"/>
    <m/>
    <n v="260"/>
    <m/>
    <n v="542"/>
    <m/>
    <m/>
    <m/>
    <m/>
    <m/>
    <m/>
    <m/>
    <m/>
    <m/>
    <m/>
    <m/>
    <m/>
    <m/>
    <m/>
  </r>
  <r>
    <x v="6"/>
    <x v="4"/>
    <s v="COLCHÃO M.E."/>
    <s v="CARLOS FIDENCIO D AVALOS RUIZ JUNIOR 34496952823"/>
    <x v="44"/>
    <m/>
    <x v="0"/>
    <n v="63243"/>
    <n v="4746"/>
    <x v="539"/>
    <m/>
    <m/>
    <m/>
    <m/>
    <m/>
    <m/>
    <m/>
    <n v="40.652915"/>
    <n v="12408.53"/>
    <m/>
    <n v="440"/>
    <m/>
    <n v="305.23099999999999"/>
    <m/>
    <m/>
    <m/>
    <m/>
    <m/>
    <m/>
    <m/>
    <m/>
    <m/>
    <m/>
    <m/>
    <m/>
    <m/>
    <m/>
  </r>
  <r>
    <x v="6"/>
    <x v="4"/>
    <s v="COLCHÃO M.E."/>
    <s v="CARLOS FIDENCIO D AVALOS RUIZ JUNIOR 34496952823"/>
    <x v="44"/>
    <m/>
    <x v="0"/>
    <n v="63243"/>
    <n v="4744"/>
    <x v="540"/>
    <m/>
    <m/>
    <m/>
    <m/>
    <m/>
    <m/>
    <m/>
    <n v="12.300684"/>
    <n v="11870.16"/>
    <m/>
    <n v="240"/>
    <m/>
    <n v="965"/>
    <m/>
    <m/>
    <m/>
    <m/>
    <m/>
    <m/>
    <m/>
    <m/>
    <m/>
    <m/>
    <m/>
    <m/>
    <m/>
    <m/>
  </r>
  <r>
    <x v="6"/>
    <x v="4"/>
    <s v="COLCHÃO M.E."/>
    <s v="CARLOS FIDENCIO D AVALOS RUIZ JUNIOR 34496952823"/>
    <x v="44"/>
    <m/>
    <x v="0"/>
    <n v="63243"/>
    <n v="4743"/>
    <x v="541"/>
    <m/>
    <m/>
    <m/>
    <m/>
    <m/>
    <m/>
    <m/>
    <n v="10.701036999999999"/>
    <n v="11450.11"/>
    <m/>
    <n v="220"/>
    <m/>
    <n v="1070"/>
    <m/>
    <m/>
    <m/>
    <m/>
    <m/>
    <m/>
    <m/>
    <m/>
    <m/>
    <m/>
    <m/>
    <m/>
    <m/>
    <m/>
  </r>
  <r>
    <x v="6"/>
    <x v="4"/>
    <s v="COLCHÃO M.E."/>
    <s v="CARLOS FIDENCIO D AVALOS RUIZ JUNIOR 34496952823"/>
    <x v="38"/>
    <m/>
    <x v="2"/>
    <n v="63248"/>
    <n v="1904"/>
    <x v="196"/>
    <m/>
    <m/>
    <m/>
    <m/>
    <m/>
    <m/>
    <m/>
    <n v="23.718800999999999"/>
    <n v="13448.56"/>
    <m/>
    <n v="450"/>
    <m/>
    <n v="567"/>
    <m/>
    <m/>
    <m/>
    <m/>
    <m/>
    <m/>
    <m/>
    <m/>
    <m/>
    <m/>
    <m/>
    <m/>
    <m/>
    <m/>
  </r>
  <r>
    <x v="6"/>
    <x v="4"/>
    <s v="COLCHÃO M.E."/>
    <s v="CARLOS FIDENCIO D AVALOS RUIZ JUNIOR 34496952823"/>
    <x v="38"/>
    <m/>
    <x v="2"/>
    <n v="63248"/>
    <n v="2536"/>
    <x v="282"/>
    <m/>
    <m/>
    <m/>
    <m/>
    <m/>
    <m/>
    <m/>
    <n v="35.798836000000001"/>
    <n v="16610.66"/>
    <m/>
    <n v="440"/>
    <m/>
    <n v="464"/>
    <m/>
    <m/>
    <m/>
    <m/>
    <m/>
    <m/>
    <m/>
    <m/>
    <m/>
    <m/>
    <m/>
    <m/>
    <m/>
    <m/>
  </r>
  <r>
    <x v="6"/>
    <x v="4"/>
    <s v="COLCHÃO M.E."/>
    <s v="CARLOS FIDENCIO D AVALOS RUIZ JUNIOR 34496952823"/>
    <x v="38"/>
    <m/>
    <x v="2"/>
    <n v="63248"/>
    <n v="4740"/>
    <x v="542"/>
    <m/>
    <m/>
    <m/>
    <m/>
    <m/>
    <m/>
    <m/>
    <n v="31.827311999999999"/>
    <n v="16932.13"/>
    <m/>
    <n v="400"/>
    <m/>
    <n v="532"/>
    <m/>
    <m/>
    <m/>
    <m/>
    <m/>
    <m/>
    <m/>
    <m/>
    <m/>
    <m/>
    <m/>
    <m/>
    <m/>
    <m/>
  </r>
  <r>
    <x v="6"/>
    <x v="4"/>
    <s v="COLCHÃO M.E."/>
    <s v="CARLOS FIDENCIO D AVALOS RUIZ JUNIOR 34496952823"/>
    <x v="38"/>
    <m/>
    <x v="2"/>
    <n v="63248"/>
    <n v="4741"/>
    <x v="543"/>
    <m/>
    <m/>
    <m/>
    <m/>
    <m/>
    <m/>
    <m/>
    <n v="27.249030999999999"/>
    <n v="12371.06"/>
    <m/>
    <n v="380"/>
    <m/>
    <n v="454"/>
    <m/>
    <m/>
    <m/>
    <m/>
    <m/>
    <m/>
    <m/>
    <m/>
    <m/>
    <m/>
    <m/>
    <m/>
    <m/>
    <m/>
  </r>
  <r>
    <x v="6"/>
    <x v="4"/>
    <s v="COLCHÃO M.E."/>
    <s v="CARLOS FIDENCIO D AVALOS RUIZ JUNIOR 34496952823"/>
    <x v="38"/>
    <m/>
    <x v="2"/>
    <n v="63248"/>
    <n v="4742"/>
    <x v="544"/>
    <m/>
    <m/>
    <m/>
    <m/>
    <m/>
    <m/>
    <m/>
    <n v="38.99812"/>
    <n v="18875.09"/>
    <m/>
    <n v="380"/>
    <m/>
    <n v="484"/>
    <m/>
    <m/>
    <m/>
    <m/>
    <m/>
    <m/>
    <m/>
    <m/>
    <m/>
    <m/>
    <m/>
    <m/>
    <m/>
    <m/>
  </r>
  <r>
    <x v="7"/>
    <x v="5"/>
    <s v="COLCHÃO M.E."/>
    <s v="CARLOS FIDENCIO D AVALOS RUIZ JUNIOR 34496952823"/>
    <x v="9"/>
    <m/>
    <x v="2"/>
    <n v="63251"/>
    <n v="1419"/>
    <x v="234"/>
    <m/>
    <m/>
    <m/>
    <m/>
    <m/>
    <m/>
    <m/>
    <n v="12.228977"/>
    <n v="21156.13"/>
    <m/>
    <n v="180"/>
    <m/>
    <n v="1730"/>
    <m/>
    <m/>
    <m/>
    <m/>
    <m/>
    <m/>
    <m/>
    <m/>
    <m/>
    <m/>
    <m/>
    <m/>
    <m/>
    <m/>
  </r>
  <r>
    <x v="7"/>
    <x v="5"/>
    <s v="COLCHÃO M.E."/>
    <s v="CARLOS FIDENCIO D AVALOS RUIZ JUNIOR 34496952823"/>
    <x v="9"/>
    <m/>
    <x v="2"/>
    <n v="63251"/>
    <n v="3378"/>
    <x v="340"/>
    <m/>
    <m/>
    <m/>
    <m/>
    <m/>
    <m/>
    <m/>
    <n v="26.360243000000001"/>
    <n v="14076.37"/>
    <m/>
    <n v="370"/>
    <m/>
    <n v="534"/>
    <m/>
    <m/>
    <m/>
    <m/>
    <m/>
    <m/>
    <m/>
    <m/>
    <m/>
    <m/>
    <m/>
    <m/>
    <m/>
    <m/>
  </r>
  <r>
    <x v="7"/>
    <x v="5"/>
    <s v="COLCHÃO M.E."/>
    <s v="CARLOS FIDENCIO D AVALOS RUIZ JUNIOR 34496952823"/>
    <x v="9"/>
    <m/>
    <x v="2"/>
    <n v="63662"/>
    <n v="1419"/>
    <x v="234"/>
    <m/>
    <m/>
    <m/>
    <m/>
    <m/>
    <m/>
    <m/>
    <n v="11.788199000000001"/>
    <n v="14593.79"/>
    <m/>
    <n v="180"/>
    <m/>
    <n v="1238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x v="1"/>
    <n v="63819"/>
    <n v="4777"/>
    <x v="545"/>
    <m/>
    <m/>
    <m/>
    <m/>
    <m/>
    <m/>
    <m/>
    <n v="18.455577999999999"/>
    <n v="11017.98"/>
    <m/>
    <n v="340"/>
    <m/>
    <n v="597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x v="1"/>
    <n v="63819"/>
    <n v="4781"/>
    <x v="546"/>
    <m/>
    <m/>
    <m/>
    <m/>
    <m/>
    <m/>
    <m/>
    <n v="7.8869930000000004"/>
    <n v="3462.39"/>
    <m/>
    <n v="180"/>
    <m/>
    <n v="439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x v="1"/>
    <n v="63819"/>
    <n v="4780"/>
    <x v="547"/>
    <m/>
    <m/>
    <m/>
    <m/>
    <m/>
    <m/>
    <m/>
    <n v="9.9902040000000003"/>
    <n v="4905.1899999999996"/>
    <m/>
    <n v="200"/>
    <m/>
    <n v="491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x v="1"/>
    <n v="63819"/>
    <n v="4779"/>
    <x v="548"/>
    <m/>
    <m/>
    <m/>
    <m/>
    <m/>
    <m/>
    <m/>
    <n v="10.358257999999999"/>
    <n v="6183.88"/>
    <m/>
    <n v="220"/>
    <m/>
    <n v="597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x v="1"/>
    <n v="63819"/>
    <n v="4778"/>
    <x v="549"/>
    <m/>
    <m/>
    <m/>
    <m/>
    <m/>
    <m/>
    <m/>
    <n v="11.672765"/>
    <n v="6501.73"/>
    <m/>
    <n v="240"/>
    <m/>
    <n v="557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x v="1"/>
    <n v="63819"/>
    <n v="4776"/>
    <x v="550"/>
    <m/>
    <m/>
    <m/>
    <m/>
    <m/>
    <m/>
    <m/>
    <n v="18.508158999999999"/>
    <n v="11660.14"/>
    <m/>
    <n v="340"/>
    <m/>
    <n v="630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x v="1"/>
    <n v="63819"/>
    <n v="4775"/>
    <x v="551"/>
    <m/>
    <m/>
    <m/>
    <m/>
    <m/>
    <m/>
    <m/>
    <n v="24.975494000000001"/>
    <n v="13911.35"/>
    <m/>
    <n v="340"/>
    <m/>
    <n v="557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x v="1"/>
    <n v="63819"/>
    <n v="4773"/>
    <x v="552"/>
    <m/>
    <m/>
    <m/>
    <m/>
    <m/>
    <m/>
    <m/>
    <n v="26.184839"/>
    <n v="50379.63"/>
    <m/>
    <n v="200"/>
    <m/>
    <n v="1924"/>
    <m/>
    <m/>
    <m/>
    <m/>
    <m/>
    <m/>
    <m/>
    <m/>
    <m/>
    <m/>
    <m/>
    <m/>
    <m/>
    <m/>
  </r>
  <r>
    <x v="8"/>
    <x v="5"/>
    <s v="COLCHÃO M.E."/>
    <s v="CARLOS FIDENCIO D AVALOS RUIZ JUNIOR 34496952823"/>
    <x v="45"/>
    <m/>
    <x v="1"/>
    <n v="63819"/>
    <n v="4772"/>
    <x v="553"/>
    <m/>
    <m/>
    <m/>
    <m/>
    <m/>
    <m/>
    <m/>
    <n v="26.027106"/>
    <n v="14210.8"/>
    <m/>
    <n v="440"/>
    <m/>
    <n v="546"/>
    <m/>
    <m/>
    <m/>
    <m/>
    <m/>
    <m/>
    <m/>
    <m/>
    <m/>
    <m/>
    <m/>
    <m/>
    <m/>
    <m/>
  </r>
  <r>
    <x v="8"/>
    <x v="5"/>
    <s v="COLCHÃO M.E."/>
    <s v="CARLOS FIDENCIO D AVALOS RUIZ JUNIOR 34496952823"/>
    <x v="38"/>
    <m/>
    <x v="2"/>
    <n v="64026"/>
    <n v="2000"/>
    <x v="207"/>
    <m/>
    <m/>
    <m/>
    <m/>
    <m/>
    <m/>
    <m/>
    <n v="27.061330000000002"/>
    <n v="27467.25"/>
    <m/>
    <n v="380"/>
    <m/>
    <n v="1015"/>
    <m/>
    <m/>
    <m/>
    <m/>
    <m/>
    <m/>
    <m/>
    <m/>
    <m/>
    <m/>
    <m/>
    <m/>
    <m/>
    <m/>
  </r>
  <r>
    <x v="8"/>
    <x v="5"/>
    <s v="COLCHÃO M.E."/>
    <s v="CARLOS FIDENCIO D AVALOS RUIZ JUNIOR 34496952823"/>
    <x v="38"/>
    <m/>
    <x v="2"/>
    <n v="64026"/>
    <n v="2536"/>
    <x v="282"/>
    <m/>
    <m/>
    <m/>
    <m/>
    <m/>
    <m/>
    <m/>
    <n v="33.970605999999997"/>
    <n v="30845.31"/>
    <m/>
    <n v="440"/>
    <m/>
    <n v="908"/>
    <m/>
    <m/>
    <m/>
    <m/>
    <m/>
    <m/>
    <m/>
    <m/>
    <m/>
    <m/>
    <m/>
    <m/>
    <m/>
    <m/>
  </r>
  <r>
    <x v="8"/>
    <x v="5"/>
    <s v="COLCHÃO M.E."/>
    <s v="CARLOS FIDENCIO D AVALOS RUIZ JUNIOR 34496952823"/>
    <x v="38"/>
    <m/>
    <x v="2"/>
    <n v="64026"/>
    <n v="4703"/>
    <x v="514"/>
    <m/>
    <m/>
    <m/>
    <m/>
    <m/>
    <m/>
    <m/>
    <n v="15.598216000000001"/>
    <n v="21681.52"/>
    <m/>
    <n v="300"/>
    <m/>
    <n v="1390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x v="4"/>
    <n v="64034"/>
    <n v="3801"/>
    <x v="554"/>
    <m/>
    <m/>
    <m/>
    <m/>
    <m/>
    <m/>
    <m/>
    <n v="7.8514650000000001"/>
    <n v="2143.4499999999998"/>
    <m/>
    <n v="160"/>
    <m/>
    <n v="273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x v="4"/>
    <n v="64034"/>
    <n v="4240"/>
    <x v="555"/>
    <m/>
    <m/>
    <m/>
    <m/>
    <m/>
    <m/>
    <m/>
    <n v="7.8514619999999997"/>
    <n v="2041.38"/>
    <m/>
    <n v="180"/>
    <m/>
    <n v="260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x v="4"/>
    <n v="64034"/>
    <n v="3815"/>
    <x v="556"/>
    <m/>
    <m/>
    <m/>
    <m/>
    <m/>
    <m/>
    <m/>
    <n v="7.8514609999999996"/>
    <n v="2418.25"/>
    <m/>
    <n v="280"/>
    <m/>
    <n v="308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x v="4"/>
    <n v="64034"/>
    <n v="3814"/>
    <x v="557"/>
    <m/>
    <m/>
    <m/>
    <m/>
    <m/>
    <m/>
    <m/>
    <n v="7.851445"/>
    <n v="1358.3"/>
    <m/>
    <n v="280"/>
    <m/>
    <n v="173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x v="4"/>
    <n v="64034"/>
    <n v="3813"/>
    <x v="558"/>
    <m/>
    <m/>
    <m/>
    <m/>
    <m/>
    <m/>
    <m/>
    <n v="7.8514390000000001"/>
    <n v="2127.7399999999998"/>
    <m/>
    <n v="280"/>
    <m/>
    <n v="271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x v="4"/>
    <n v="64034"/>
    <n v="3811"/>
    <x v="559"/>
    <m/>
    <m/>
    <m/>
    <m/>
    <m/>
    <m/>
    <m/>
    <n v="7.8514189999999999"/>
    <n v="1162.01"/>
    <m/>
    <n v="280"/>
    <m/>
    <n v="148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x v="4"/>
    <n v="64034"/>
    <n v="650"/>
    <x v="560"/>
    <m/>
    <m/>
    <m/>
    <m/>
    <m/>
    <m/>
    <m/>
    <n v="7.8514489999999997"/>
    <n v="6987.79"/>
    <m/>
    <n v="220"/>
    <m/>
    <n v="890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x v="4"/>
    <n v="64034"/>
    <n v="3699"/>
    <x v="387"/>
    <m/>
    <m/>
    <m/>
    <m/>
    <m/>
    <m/>
    <m/>
    <n v="7.851413"/>
    <n v="722.33"/>
    <m/>
    <n v="260"/>
    <m/>
    <n v="92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x v="4"/>
    <n v="64034"/>
    <n v="1852"/>
    <x v="561"/>
    <m/>
    <m/>
    <m/>
    <m/>
    <m/>
    <m/>
    <m/>
    <n v="7.8514480000000004"/>
    <n v="1138.46"/>
    <m/>
    <n v="300"/>
    <m/>
    <n v="145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x v="4"/>
    <n v="64034"/>
    <n v="1504"/>
    <x v="167"/>
    <m/>
    <m/>
    <m/>
    <m/>
    <m/>
    <m/>
    <m/>
    <n v="7.8514559999999998"/>
    <n v="1617.4"/>
    <m/>
    <n v="240"/>
    <m/>
    <n v="206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x v="4"/>
    <n v="64034"/>
    <n v="1236"/>
    <x v="168"/>
    <m/>
    <m/>
    <m/>
    <m/>
    <m/>
    <m/>
    <m/>
    <n v="7.8514629999999999"/>
    <n v="965.73"/>
    <m/>
    <n v="240"/>
    <m/>
    <n v="123"/>
    <m/>
    <m/>
    <m/>
    <m/>
    <m/>
    <m/>
    <m/>
    <m/>
    <m/>
    <m/>
    <m/>
    <m/>
    <m/>
    <m/>
  </r>
  <r>
    <x v="8"/>
    <x v="5"/>
    <s v="COLCHÃO M.E."/>
    <s v="CARLOS FIDENCIO D AVALOS RUIZ JUNIOR 34496952823"/>
    <x v="46"/>
    <m/>
    <x v="4"/>
    <n v="64034"/>
    <n v="1095"/>
    <x v="562"/>
    <m/>
    <m/>
    <m/>
    <m/>
    <m/>
    <m/>
    <m/>
    <n v="7.8514160000000004"/>
    <n v="887.21"/>
    <m/>
    <n v="280"/>
    <m/>
    <n v="113"/>
    <m/>
    <m/>
    <m/>
    <m/>
    <m/>
    <m/>
    <m/>
    <m/>
    <m/>
    <m/>
    <m/>
    <m/>
    <m/>
    <m/>
  </r>
  <r>
    <x v="8"/>
    <x v="5"/>
    <s v="COLCHÃO M.E."/>
    <s v="CARLOS FIDENCIO D AVALOS RUIZ JUNIOR 34496952823"/>
    <x v="33"/>
    <m/>
    <x v="9"/>
    <n v="64130"/>
    <n v="3699"/>
    <x v="387"/>
    <m/>
    <m/>
    <m/>
    <m/>
    <m/>
    <m/>
    <m/>
    <n v="9.4481070000000003"/>
    <n v="114700.02"/>
    <m/>
    <n v="260"/>
    <m/>
    <n v="12140"/>
    <m/>
    <m/>
    <m/>
    <m/>
    <m/>
    <m/>
    <m/>
    <m/>
    <m/>
    <m/>
    <m/>
    <m/>
    <m/>
    <m/>
  </r>
  <r>
    <x v="8"/>
    <x v="5"/>
    <s v="COLCHÃO M.E."/>
    <s v="CARLOS FIDENCIO D AVALOS RUIZ JUNIOR 34496952823"/>
    <x v="9"/>
    <m/>
    <x v="2"/>
    <n v="64173"/>
    <n v="1419"/>
    <x v="234"/>
    <m/>
    <m/>
    <m/>
    <m/>
    <m/>
    <m/>
    <m/>
    <n v="11.616529999999999"/>
    <n v="10780.14"/>
    <m/>
    <n v="180"/>
    <m/>
    <n v="928"/>
    <m/>
    <m/>
    <m/>
    <m/>
    <m/>
    <m/>
    <m/>
    <m/>
    <m/>
    <m/>
    <m/>
    <m/>
    <m/>
    <m/>
  </r>
  <r>
    <x v="8"/>
    <x v="5"/>
    <s v="COLCHÃO M.E."/>
    <s v="CARLOS FIDENCIO D AVALOS RUIZ JUNIOR 34496952823"/>
    <x v="9"/>
    <m/>
    <x v="2"/>
    <n v="64173"/>
    <n v="4848"/>
    <x v="563"/>
    <m/>
    <m/>
    <m/>
    <m/>
    <m/>
    <m/>
    <m/>
    <n v="20.341819999999998"/>
    <n v="8380.83"/>
    <m/>
    <n v="320"/>
    <m/>
    <n v="412"/>
    <m/>
    <m/>
    <m/>
    <m/>
    <m/>
    <m/>
    <m/>
    <m/>
    <m/>
    <m/>
    <m/>
    <m/>
    <m/>
    <m/>
  </r>
  <r>
    <x v="8"/>
    <x v="5"/>
    <s v="COLCHÃO M.E."/>
    <s v="CARLOS FIDENCIO D AVALOS RUIZ JUNIOR 34496952823"/>
    <x v="1"/>
    <m/>
    <x v="1"/>
    <n v="64233"/>
    <n v="1523"/>
    <x v="184"/>
    <m/>
    <m/>
    <m/>
    <m/>
    <m/>
    <m/>
    <m/>
    <n v="7.766534"/>
    <n v="63701.11"/>
    <m/>
    <n v="180"/>
    <m/>
    <n v="8202"/>
    <m/>
    <m/>
    <m/>
    <m/>
    <m/>
    <m/>
    <m/>
    <m/>
    <m/>
    <m/>
    <m/>
    <m/>
    <m/>
    <m/>
  </r>
  <r>
    <x v="0"/>
    <x v="5"/>
    <s v="COLCHÃO M.E."/>
    <s v="CARLOS FIDENCIO D AVALOS RUIZ JUNIOR 34496952823"/>
    <x v="42"/>
    <m/>
    <x v="0"/>
    <n v="65010"/>
    <n v="4454"/>
    <x v="511"/>
    <m/>
    <m/>
    <m/>
    <m/>
    <m/>
    <m/>
    <m/>
    <n v="6.80511"/>
    <n v="33242.959999999999"/>
    <m/>
    <n v="180"/>
    <m/>
    <n v="4885"/>
    <m/>
    <m/>
    <m/>
    <m/>
    <m/>
    <m/>
    <m/>
    <m/>
    <m/>
    <m/>
    <m/>
    <m/>
    <m/>
    <m/>
  </r>
  <r>
    <x v="0"/>
    <x v="5"/>
    <s v="COLCHÃO M.E."/>
    <s v="CARLOS FIDENCIO D AVALOS RUIZ JUNIOR 34496952823"/>
    <x v="21"/>
    <m/>
    <x v="4"/>
    <n v="65022"/>
    <n v="1759"/>
    <x v="200"/>
    <m/>
    <m/>
    <m/>
    <m/>
    <m/>
    <m/>
    <m/>
    <n v="16.018196"/>
    <n v="5237.95"/>
    <m/>
    <n v="280"/>
    <m/>
    <n v="327"/>
    <m/>
    <m/>
    <m/>
    <m/>
    <m/>
    <m/>
    <m/>
    <m/>
    <m/>
    <m/>
    <m/>
    <m/>
    <m/>
    <m/>
  </r>
  <r>
    <x v="0"/>
    <x v="5"/>
    <s v="COLCHÃO M.E."/>
    <s v="CARLOS FIDENCIO D AVALOS RUIZ JUNIOR 34496952823"/>
    <x v="21"/>
    <m/>
    <x v="4"/>
    <n v="65022"/>
    <n v="1761"/>
    <x v="204"/>
    <m/>
    <m/>
    <m/>
    <m/>
    <m/>
    <m/>
    <m/>
    <n v="15.0236"/>
    <n v="5258.26"/>
    <m/>
    <n v="280"/>
    <m/>
    <n v="350"/>
    <m/>
    <m/>
    <m/>
    <m/>
    <m/>
    <m/>
    <m/>
    <m/>
    <m/>
    <m/>
    <m/>
    <m/>
    <m/>
    <m/>
  </r>
  <r>
    <x v="0"/>
    <x v="5"/>
    <s v="COLCHÃO M.E."/>
    <s v="CARLOS FIDENCIO D AVALOS RUIZ JUNIOR 34496952823"/>
    <x v="21"/>
    <m/>
    <x v="4"/>
    <n v="65022"/>
    <n v="3274"/>
    <x v="393"/>
    <m/>
    <m/>
    <m/>
    <m/>
    <m/>
    <m/>
    <m/>
    <n v="11.516343000000001"/>
    <n v="7243.78"/>
    <m/>
    <n v="220"/>
    <m/>
    <n v="629"/>
    <m/>
    <m/>
    <m/>
    <m/>
    <m/>
    <m/>
    <m/>
    <m/>
    <m/>
    <m/>
    <m/>
    <m/>
    <m/>
    <m/>
  </r>
  <r>
    <x v="0"/>
    <x v="5"/>
    <s v="COLCHÃO M.E."/>
    <s v="CARLOS FIDENCIO D AVALOS RUIZ JUNIOR 34496952823"/>
    <x v="21"/>
    <m/>
    <x v="4"/>
    <n v="65022"/>
    <n v="3700"/>
    <x v="437"/>
    <m/>
    <m/>
    <m/>
    <m/>
    <m/>
    <m/>
    <m/>
    <n v="7.171538"/>
    <n v="6110.15"/>
    <m/>
    <n v="160"/>
    <m/>
    <n v="852"/>
    <m/>
    <m/>
    <m/>
    <m/>
    <m/>
    <m/>
    <m/>
    <m/>
    <m/>
    <m/>
    <m/>
    <m/>
    <m/>
    <m/>
  </r>
  <r>
    <x v="0"/>
    <x v="5"/>
    <s v="COLCHÃO M.E."/>
    <s v="CARLOS FIDENCIO D AVALOS RUIZ JUNIOR 34496952823"/>
    <x v="21"/>
    <m/>
    <x v="4"/>
    <n v="65022"/>
    <n v="3701"/>
    <x v="438"/>
    <m/>
    <m/>
    <m/>
    <m/>
    <m/>
    <m/>
    <m/>
    <n v="7.537973"/>
    <n v="6135.91"/>
    <m/>
    <n v="160"/>
    <m/>
    <n v="814"/>
    <m/>
    <m/>
    <m/>
    <m/>
    <m/>
    <m/>
    <m/>
    <m/>
    <m/>
    <m/>
    <m/>
    <m/>
    <m/>
    <m/>
  </r>
  <r>
    <x v="0"/>
    <x v="5"/>
    <s v="COLCHÃO M.E."/>
    <s v="CARLOS FIDENCIO D AVALOS RUIZ JUNIOR 34496952823"/>
    <x v="21"/>
    <m/>
    <x v="4"/>
    <n v="65022"/>
    <n v="3702"/>
    <x v="390"/>
    <m/>
    <m/>
    <m/>
    <m/>
    <m/>
    <m/>
    <m/>
    <n v="11.935119"/>
    <n v="9488.42"/>
    <m/>
    <n v="180"/>
    <m/>
    <n v="795"/>
    <m/>
    <m/>
    <m/>
    <m/>
    <m/>
    <m/>
    <m/>
    <m/>
    <m/>
    <m/>
    <m/>
    <m/>
    <m/>
    <m/>
  </r>
  <r>
    <x v="9"/>
    <x v="5"/>
    <s v="COLCHÃO M.E."/>
    <m/>
    <x v="36"/>
    <m/>
    <x v="9"/>
    <n v="65382"/>
    <n v="4114"/>
    <x v="442"/>
    <m/>
    <m/>
    <m/>
    <m/>
    <m/>
    <m/>
    <m/>
    <n v="10.0002"/>
    <n v="170393.41"/>
    <m/>
    <n v="240"/>
    <m/>
    <n v="17039"/>
    <m/>
    <m/>
    <m/>
    <m/>
    <m/>
    <m/>
    <m/>
    <m/>
    <m/>
    <m/>
    <m/>
    <m/>
    <m/>
    <m/>
  </r>
  <r>
    <x v="9"/>
    <x v="5"/>
    <s v="COLCHÃO M.E."/>
    <m/>
    <x v="36"/>
    <m/>
    <x v="9"/>
    <n v="65382"/>
    <n v="4332"/>
    <x v="440"/>
    <m/>
    <m/>
    <m/>
    <m/>
    <m/>
    <m/>
    <m/>
    <n v="8.8501770000000004"/>
    <n v="70367.759999999995"/>
    <m/>
    <n v="200"/>
    <m/>
    <n v="7951"/>
    <m/>
    <m/>
    <m/>
    <m/>
    <m/>
    <m/>
    <m/>
    <m/>
    <m/>
    <m/>
    <m/>
    <m/>
    <m/>
    <m/>
  </r>
  <r>
    <x v="9"/>
    <x v="5"/>
    <s v="COLCHÃO M.E."/>
    <m/>
    <x v="36"/>
    <m/>
    <x v="9"/>
    <n v="65383"/>
    <n v="4114"/>
    <x v="442"/>
    <m/>
    <m/>
    <m/>
    <m/>
    <m/>
    <m/>
    <m/>
    <n v="10.000202"/>
    <n v="30760.62"/>
    <m/>
    <n v="240"/>
    <m/>
    <n v="3076"/>
    <m/>
    <m/>
    <m/>
    <m/>
    <m/>
    <m/>
    <m/>
    <m/>
    <m/>
    <m/>
    <m/>
    <m/>
    <m/>
    <m/>
  </r>
  <r>
    <x v="9"/>
    <x v="5"/>
    <s v="COLCHÃO M.E."/>
    <m/>
    <x v="9"/>
    <m/>
    <x v="2"/>
    <n v="65456"/>
    <n v="1419"/>
    <x v="234"/>
    <m/>
    <m/>
    <m/>
    <m/>
    <m/>
    <m/>
    <m/>
    <n v="11.213547"/>
    <n v="13624.46"/>
    <m/>
    <n v="180"/>
    <m/>
    <n v="1215"/>
    <m/>
    <m/>
    <m/>
    <m/>
    <m/>
    <m/>
    <m/>
    <m/>
    <m/>
    <m/>
    <m/>
    <m/>
    <m/>
    <m/>
  </r>
  <r>
    <x v="9"/>
    <x v="5"/>
    <s v="COLCHÃO M.E."/>
    <m/>
    <x v="9"/>
    <m/>
    <x v="2"/>
    <n v="65456"/>
    <n v="1422"/>
    <x v="232"/>
    <m/>
    <m/>
    <m/>
    <m/>
    <m/>
    <m/>
    <m/>
    <n v="14.10416"/>
    <n v="9322.85"/>
    <m/>
    <n v="240"/>
    <m/>
    <n v="661"/>
    <m/>
    <m/>
    <m/>
    <m/>
    <m/>
    <m/>
    <m/>
    <m/>
    <m/>
    <m/>
    <m/>
    <m/>
    <m/>
    <m/>
  </r>
  <r>
    <x v="9"/>
    <x v="5"/>
    <s v="COLCHÃO M.E."/>
    <m/>
    <x v="9"/>
    <m/>
    <x v="2"/>
    <n v="65456"/>
    <n v="3378"/>
    <x v="340"/>
    <m/>
    <m/>
    <m/>
    <m/>
    <m/>
    <m/>
    <m/>
    <n v="24.171437000000001"/>
    <n v="12279.09"/>
    <m/>
    <n v="370"/>
    <m/>
    <n v="508"/>
    <m/>
    <m/>
    <m/>
    <m/>
    <m/>
    <m/>
    <m/>
    <m/>
    <m/>
    <m/>
    <m/>
    <m/>
    <m/>
    <m/>
  </r>
  <r>
    <x v="9"/>
    <x v="5"/>
    <s v="COLCHÃO M.E."/>
    <m/>
    <x v="9"/>
    <m/>
    <x v="2"/>
    <n v="65456"/>
    <n v="4848"/>
    <x v="563"/>
    <m/>
    <m/>
    <m/>
    <m/>
    <m/>
    <m/>
    <m/>
    <n v="19.636175000000001"/>
    <n v="14373.68"/>
    <m/>
    <n v="320"/>
    <m/>
    <n v="732"/>
    <m/>
    <m/>
    <m/>
    <m/>
    <m/>
    <m/>
    <m/>
    <m/>
    <m/>
    <m/>
    <m/>
    <m/>
    <m/>
    <m/>
  </r>
  <r>
    <x v="9"/>
    <x v="5"/>
    <s v="COLCHÃO M.E."/>
    <m/>
    <x v="18"/>
    <m/>
    <x v="1"/>
    <n v="65581"/>
    <n v="3148"/>
    <x v="488"/>
    <m/>
    <m/>
    <m/>
    <m/>
    <m/>
    <m/>
    <m/>
    <n v="10.273631999999999"/>
    <n v="13972.14"/>
    <m/>
    <n v="180"/>
    <m/>
    <n v="1360"/>
    <m/>
    <m/>
    <m/>
    <m/>
    <m/>
    <m/>
    <m/>
    <m/>
    <m/>
    <m/>
    <m/>
    <m/>
    <m/>
    <m/>
  </r>
  <r>
    <x v="9"/>
    <x v="5"/>
    <s v="COLCHÃO M.E."/>
    <m/>
    <x v="18"/>
    <m/>
    <x v="1"/>
    <n v="65581"/>
    <n v="4707"/>
    <x v="532"/>
    <m/>
    <m/>
    <m/>
    <m/>
    <m/>
    <m/>
    <m/>
    <n v="8.4782399999999996"/>
    <n v="27851.02"/>
    <m/>
    <n v="180"/>
    <m/>
    <n v="3285"/>
    <m/>
    <m/>
    <m/>
    <m/>
    <m/>
    <m/>
    <m/>
    <m/>
    <m/>
    <m/>
    <m/>
    <m/>
    <m/>
    <m/>
  </r>
  <r>
    <x v="9"/>
    <x v="5"/>
    <s v="COLCHÃO M.E."/>
    <m/>
    <x v="18"/>
    <m/>
    <x v="1"/>
    <n v="65581"/>
    <n v="4706"/>
    <x v="537"/>
    <m/>
    <m/>
    <m/>
    <m/>
    <m/>
    <m/>
    <m/>
    <n v="8.478237"/>
    <n v="13946.7"/>
    <m/>
    <n v="180"/>
    <m/>
    <n v="1645"/>
    <m/>
    <m/>
    <m/>
    <m/>
    <m/>
    <m/>
    <m/>
    <m/>
    <m/>
    <m/>
    <m/>
    <m/>
    <m/>
    <m/>
  </r>
  <r>
    <x v="9"/>
    <x v="5"/>
    <s v="COLCHÃO M.E."/>
    <m/>
    <x v="18"/>
    <m/>
    <x v="1"/>
    <n v="65581"/>
    <n v="4323"/>
    <x v="472"/>
    <m/>
    <m/>
    <m/>
    <m/>
    <m/>
    <m/>
    <m/>
    <n v="10.62274"/>
    <n v="6979.14"/>
    <m/>
    <n v="180"/>
    <m/>
    <n v="657"/>
    <m/>
    <m/>
    <m/>
    <m/>
    <m/>
    <m/>
    <m/>
    <m/>
    <m/>
    <m/>
    <m/>
    <m/>
    <m/>
    <m/>
  </r>
  <r>
    <x v="9"/>
    <x v="5"/>
    <s v="COLCHÃO M.E."/>
    <m/>
    <x v="18"/>
    <m/>
    <x v="1"/>
    <n v="65581"/>
    <n v="3500"/>
    <x v="471"/>
    <m/>
    <m/>
    <m/>
    <m/>
    <m/>
    <m/>
    <m/>
    <n v="8.4782360000000008"/>
    <n v="8842.7999999999993"/>
    <m/>
    <n v="160"/>
    <m/>
    <n v="1043"/>
    <m/>
    <m/>
    <m/>
    <m/>
    <m/>
    <m/>
    <m/>
    <m/>
    <m/>
    <m/>
    <m/>
    <m/>
    <m/>
    <m/>
  </r>
  <r>
    <x v="9"/>
    <x v="5"/>
    <s v="COLCHÃO M.E."/>
    <m/>
    <x v="18"/>
    <m/>
    <x v="1"/>
    <n v="65581"/>
    <n v="3504"/>
    <x v="365"/>
    <m/>
    <m/>
    <m/>
    <m/>
    <m/>
    <m/>
    <m/>
    <n v="7.4807940000000004"/>
    <n v="4144.3599999999997"/>
    <m/>
    <n v="180"/>
    <m/>
    <n v="554"/>
    <m/>
    <m/>
    <m/>
    <m/>
    <m/>
    <m/>
    <m/>
    <m/>
    <m/>
    <m/>
    <m/>
    <m/>
    <m/>
    <m/>
  </r>
  <r>
    <x v="9"/>
    <x v="5"/>
    <s v="COLCHÃO M.E."/>
    <m/>
    <x v="18"/>
    <m/>
    <x v="1"/>
    <n v="65581"/>
    <n v="2433"/>
    <x v="258"/>
    <m/>
    <m/>
    <m/>
    <m/>
    <m/>
    <m/>
    <m/>
    <n v="10.971849000000001"/>
    <n v="4213.1899999999996"/>
    <m/>
    <n v="160"/>
    <m/>
    <n v="384"/>
    <m/>
    <m/>
    <m/>
    <m/>
    <m/>
    <m/>
    <m/>
    <m/>
    <m/>
    <m/>
    <m/>
    <m/>
    <m/>
    <m/>
  </r>
  <r>
    <x v="9"/>
    <x v="5"/>
    <s v="COLCHÃO M.E."/>
    <m/>
    <x v="18"/>
    <m/>
    <x v="1"/>
    <n v="65581"/>
    <n v="3135"/>
    <x v="480"/>
    <m/>
    <m/>
    <m/>
    <m/>
    <m/>
    <m/>
    <m/>
    <n v="7.9795230000000004"/>
    <n v="4181.2700000000004"/>
    <m/>
    <n v="160"/>
    <m/>
    <n v="524"/>
    <m/>
    <m/>
    <m/>
    <m/>
    <m/>
    <m/>
    <m/>
    <m/>
    <m/>
    <m/>
    <m/>
    <m/>
    <m/>
    <m/>
  </r>
  <r>
    <x v="9"/>
    <x v="5"/>
    <s v="COLCHÃO M.E."/>
    <m/>
    <x v="18"/>
    <m/>
    <x v="1"/>
    <n v="65581"/>
    <n v="3131"/>
    <x v="489"/>
    <m/>
    <m/>
    <m/>
    <m/>
    <m/>
    <m/>
    <m/>
    <n v="9.0268359999999994"/>
    <n v="4793.25"/>
    <m/>
    <n v="200"/>
    <m/>
    <n v="531"/>
    <m/>
    <m/>
    <m/>
    <m/>
    <m/>
    <m/>
    <m/>
    <m/>
    <m/>
    <m/>
    <m/>
    <m/>
    <m/>
    <m/>
  </r>
  <r>
    <x v="9"/>
    <x v="5"/>
    <s v="COLCHÃO M.E."/>
    <m/>
    <x v="18"/>
    <m/>
    <x v="1"/>
    <n v="65581"/>
    <n v="3132"/>
    <x v="475"/>
    <m/>
    <m/>
    <m/>
    <m/>
    <m/>
    <m/>
    <m/>
    <n v="7.1815689999999996"/>
    <n v="8330.6200000000008"/>
    <m/>
    <n v="160"/>
    <m/>
    <n v="1160"/>
    <m/>
    <m/>
    <m/>
    <m/>
    <m/>
    <m/>
    <m/>
    <m/>
    <m/>
    <m/>
    <m/>
    <m/>
    <m/>
    <m/>
  </r>
  <r>
    <x v="9"/>
    <x v="5"/>
    <s v="COLCHÃO M.E."/>
    <m/>
    <x v="47"/>
    <m/>
    <x v="9"/>
    <n v="65619"/>
    <n v="4919"/>
    <x v="564"/>
    <m/>
    <m/>
    <m/>
    <m/>
    <m/>
    <m/>
    <m/>
    <n v="16.692986000000001"/>
    <n v="37175.279999999999"/>
    <m/>
    <n v="240"/>
    <m/>
    <n v="2227"/>
    <m/>
    <m/>
    <m/>
    <m/>
    <m/>
    <m/>
    <m/>
    <m/>
    <m/>
    <m/>
    <m/>
    <m/>
    <m/>
    <m/>
  </r>
  <r>
    <x v="9"/>
    <x v="5"/>
    <s v="COLCHÃO M.E."/>
    <m/>
    <x v="47"/>
    <m/>
    <x v="9"/>
    <n v="65619"/>
    <n v="4922"/>
    <x v="565"/>
    <m/>
    <m/>
    <m/>
    <m/>
    <m/>
    <m/>
    <m/>
    <n v="33.985722000000003"/>
    <n v="60222.7"/>
    <m/>
    <n v="380"/>
    <m/>
    <n v="1772"/>
    <m/>
    <m/>
    <m/>
    <m/>
    <m/>
    <m/>
    <m/>
    <m/>
    <m/>
    <m/>
    <m/>
    <m/>
    <m/>
    <m/>
  </r>
  <r>
    <x v="9"/>
    <x v="5"/>
    <s v="COLCHÃO M.E."/>
    <m/>
    <x v="47"/>
    <m/>
    <x v="9"/>
    <n v="65619"/>
    <n v="4921"/>
    <x v="566"/>
    <m/>
    <m/>
    <m/>
    <m/>
    <m/>
    <m/>
    <m/>
    <n v="8.8962610000000009"/>
    <n v="44018.7"/>
    <m/>
    <n v="180"/>
    <m/>
    <n v="4948"/>
    <m/>
    <m/>
    <m/>
    <m/>
    <m/>
    <m/>
    <m/>
    <m/>
    <m/>
    <m/>
    <m/>
    <m/>
    <m/>
    <m/>
  </r>
  <r>
    <x v="9"/>
    <x v="5"/>
    <s v="COLCHÃO M.E."/>
    <m/>
    <x v="47"/>
    <m/>
    <x v="9"/>
    <n v="65619"/>
    <n v="4920"/>
    <x v="567"/>
    <m/>
    <m/>
    <m/>
    <m/>
    <m/>
    <m/>
    <m/>
    <n v="10.745486"/>
    <n v="91186.19"/>
    <m/>
    <n v="220"/>
    <m/>
    <n v="8486"/>
    <m/>
    <m/>
    <m/>
    <m/>
    <m/>
    <m/>
    <m/>
    <m/>
    <m/>
    <m/>
    <m/>
    <m/>
    <m/>
    <m/>
  </r>
  <r>
    <x v="9"/>
    <x v="5"/>
    <s v="COLCHÃO M.E."/>
    <m/>
    <x v="47"/>
    <m/>
    <x v="9"/>
    <n v="65619"/>
    <n v="4918"/>
    <x v="568"/>
    <m/>
    <m/>
    <m/>
    <m/>
    <m/>
    <m/>
    <m/>
    <n v="23.390173999999998"/>
    <n v="51177.7"/>
    <m/>
    <n v="360"/>
    <m/>
    <n v="2188"/>
    <m/>
    <m/>
    <m/>
    <m/>
    <m/>
    <m/>
    <m/>
    <m/>
    <m/>
    <m/>
    <m/>
    <m/>
    <m/>
    <m/>
  </r>
  <r>
    <x v="9"/>
    <x v="5"/>
    <s v="COLCHÃO M.E."/>
    <m/>
    <x v="47"/>
    <m/>
    <x v="9"/>
    <n v="65619"/>
    <n v="4917"/>
    <x v="569"/>
    <m/>
    <m/>
    <m/>
    <m/>
    <m/>
    <m/>
    <m/>
    <n v="16.093239000000001"/>
    <n v="30013.89"/>
    <m/>
    <n v="280"/>
    <m/>
    <n v="1865"/>
    <m/>
    <m/>
    <m/>
    <m/>
    <m/>
    <m/>
    <m/>
    <m/>
    <m/>
    <m/>
    <m/>
    <m/>
    <m/>
    <m/>
  </r>
  <r>
    <x v="9"/>
    <x v="5"/>
    <s v="COLCHÃO M.E."/>
    <m/>
    <x v="47"/>
    <m/>
    <x v="9"/>
    <n v="65619"/>
    <n v="4916"/>
    <x v="570"/>
    <m/>
    <m/>
    <m/>
    <m/>
    <m/>
    <m/>
    <m/>
    <n v="15.243596"/>
    <n v="41919.89"/>
    <m/>
    <n v="280"/>
    <m/>
    <n v="2750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45"/>
    <x v="571"/>
    <m/>
    <m/>
    <m/>
    <m/>
    <m/>
    <m/>
    <m/>
    <n v="9.5959760000000003"/>
    <n v="4817.18"/>
    <m/>
    <n v="180"/>
    <m/>
    <n v="502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47"/>
    <x v="572"/>
    <m/>
    <m/>
    <m/>
    <m/>
    <m/>
    <m/>
    <m/>
    <n v="10.045785"/>
    <n v="4862.16"/>
    <m/>
    <n v="180"/>
    <m/>
    <n v="484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46"/>
    <x v="573"/>
    <m/>
    <m/>
    <m/>
    <m/>
    <m/>
    <m/>
    <m/>
    <n v="9.5959669999999999"/>
    <n v="5258.59"/>
    <m/>
    <n v="180"/>
    <m/>
    <n v="548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42"/>
    <x v="574"/>
    <m/>
    <m/>
    <m/>
    <m/>
    <m/>
    <m/>
    <m/>
    <n v="9.5959660000000007"/>
    <n v="5613.64"/>
    <m/>
    <n v="180"/>
    <m/>
    <n v="585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44"/>
    <x v="575"/>
    <m/>
    <m/>
    <m/>
    <m/>
    <m/>
    <m/>
    <m/>
    <n v="10.195722999999999"/>
    <n v="4791.99"/>
    <m/>
    <n v="180"/>
    <m/>
    <n v="470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43"/>
    <x v="576"/>
    <m/>
    <m/>
    <m/>
    <m/>
    <m/>
    <m/>
    <m/>
    <n v="9.5959649999999996"/>
    <n v="4375.76"/>
    <m/>
    <n v="180"/>
    <m/>
    <n v="456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41"/>
    <x v="577"/>
    <m/>
    <m/>
    <m/>
    <m/>
    <m/>
    <m/>
    <m/>
    <n v="9.3960480000000004"/>
    <n v="4707.42"/>
    <m/>
    <n v="180"/>
    <m/>
    <n v="501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48"/>
    <x v="578"/>
    <m/>
    <m/>
    <m/>
    <m/>
    <m/>
    <m/>
    <m/>
    <n v="9.7459039999999995"/>
    <n v="5067.87"/>
    <m/>
    <n v="180"/>
    <m/>
    <n v="520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49"/>
    <x v="579"/>
    <m/>
    <m/>
    <m/>
    <m/>
    <m/>
    <m/>
    <m/>
    <n v="9.5459960000000006"/>
    <n v="4696.63"/>
    <m/>
    <n v="180"/>
    <m/>
    <n v="492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50"/>
    <x v="580"/>
    <m/>
    <m/>
    <m/>
    <m/>
    <m/>
    <m/>
    <m/>
    <n v="9.5459790000000009"/>
    <n v="4534.34"/>
    <m/>
    <n v="180"/>
    <m/>
    <n v="475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51"/>
    <x v="581"/>
    <m/>
    <m/>
    <m/>
    <m/>
    <m/>
    <m/>
    <m/>
    <n v="9.5959640000000004"/>
    <n v="3780.81"/>
    <m/>
    <n v="180"/>
    <m/>
    <n v="394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52"/>
    <x v="582"/>
    <m/>
    <m/>
    <m/>
    <m/>
    <m/>
    <m/>
    <m/>
    <n v="9.7958929999999995"/>
    <n v="4770.6000000000004"/>
    <m/>
    <n v="180"/>
    <m/>
    <n v="487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56"/>
    <x v="583"/>
    <m/>
    <m/>
    <m/>
    <m/>
    <m/>
    <m/>
    <m/>
    <n v="9.5959690000000002"/>
    <n v="4308.59"/>
    <m/>
    <n v="180"/>
    <m/>
    <n v="449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32"/>
    <x v="584"/>
    <m/>
    <m/>
    <m/>
    <m/>
    <m/>
    <m/>
    <m/>
    <n v="9.5959669999999999"/>
    <n v="5853.54"/>
    <m/>
    <n v="180"/>
    <m/>
    <n v="610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30"/>
    <x v="585"/>
    <m/>
    <m/>
    <m/>
    <m/>
    <m/>
    <m/>
    <m/>
    <n v="9.6959269999999993"/>
    <n v="4809.18"/>
    <m/>
    <n v="180"/>
    <m/>
    <n v="496"/>
    <m/>
    <m/>
    <m/>
    <m/>
    <m/>
    <m/>
    <m/>
    <m/>
    <m/>
    <m/>
    <m/>
    <m/>
    <m/>
    <m/>
  </r>
  <r>
    <x v="9"/>
    <x v="5"/>
    <s v="COLCHÃO M.E."/>
    <m/>
    <x v="13"/>
    <m/>
    <x v="0"/>
    <n v="65649"/>
    <n v="4256"/>
    <x v="444"/>
    <m/>
    <m/>
    <m/>
    <m/>
    <m/>
    <m/>
    <m/>
    <n v="8.93431"/>
    <n v="518.19000000000005"/>
    <m/>
    <n v="180"/>
    <m/>
    <n v="58"/>
    <m/>
    <m/>
    <m/>
    <m/>
    <m/>
    <m/>
    <m/>
    <m/>
    <m/>
    <m/>
    <m/>
    <m/>
    <m/>
    <m/>
  </r>
  <r>
    <x v="9"/>
    <x v="5"/>
    <s v="COLCHÃO M.E."/>
    <m/>
    <x v="13"/>
    <m/>
    <x v="0"/>
    <n v="65649"/>
    <n v="4372"/>
    <x v="494"/>
    <m/>
    <m/>
    <m/>
    <m/>
    <m/>
    <m/>
    <m/>
    <n v="16.288681"/>
    <n v="2345.5700000000002"/>
    <m/>
    <n v="300"/>
    <m/>
    <n v="144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27"/>
    <x v="586"/>
    <m/>
    <m/>
    <m/>
    <m/>
    <m/>
    <m/>
    <m/>
    <n v="9.6459419999999998"/>
    <n v="4658.99"/>
    <m/>
    <n v="180"/>
    <m/>
    <n v="483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28"/>
    <x v="587"/>
    <m/>
    <m/>
    <m/>
    <m/>
    <m/>
    <m/>
    <m/>
    <n v="9.5959649999999996"/>
    <n v="4970.71"/>
    <m/>
    <n v="180"/>
    <m/>
    <n v="518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29"/>
    <x v="588"/>
    <m/>
    <m/>
    <m/>
    <m/>
    <m/>
    <m/>
    <m/>
    <n v="9.6459440000000001"/>
    <n v="5469.25"/>
    <m/>
    <n v="180"/>
    <m/>
    <n v="567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40"/>
    <x v="589"/>
    <m/>
    <m/>
    <m/>
    <m/>
    <m/>
    <m/>
    <m/>
    <n v="10.045785"/>
    <n v="6268.57"/>
    <m/>
    <n v="180"/>
    <m/>
    <n v="624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31"/>
    <x v="590"/>
    <m/>
    <m/>
    <m/>
    <m/>
    <m/>
    <m/>
    <m/>
    <n v="9.7459000000000007"/>
    <n v="5087.3599999999997"/>
    <m/>
    <n v="180"/>
    <m/>
    <n v="522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36"/>
    <x v="591"/>
    <m/>
    <m/>
    <m/>
    <m/>
    <m/>
    <m/>
    <m/>
    <n v="9.3960489999999997"/>
    <n v="3805.4"/>
    <m/>
    <n v="180"/>
    <m/>
    <n v="405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37"/>
    <x v="592"/>
    <m/>
    <m/>
    <m/>
    <m/>
    <m/>
    <m/>
    <m/>
    <n v="9.5459809999999994"/>
    <n v="4037.95"/>
    <m/>
    <n v="180"/>
    <m/>
    <n v="423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38"/>
    <x v="593"/>
    <m/>
    <m/>
    <m/>
    <m/>
    <m/>
    <m/>
    <m/>
    <n v="9.5959610000000009"/>
    <n v="5392.93"/>
    <m/>
    <n v="180"/>
    <m/>
    <n v="562"/>
    <m/>
    <m/>
    <m/>
    <m/>
    <m/>
    <m/>
    <m/>
    <m/>
    <m/>
    <m/>
    <m/>
    <m/>
    <m/>
    <m/>
  </r>
  <r>
    <x v="9"/>
    <x v="5"/>
    <s v="COLCHÃO M.E."/>
    <m/>
    <x v="13"/>
    <m/>
    <x v="0"/>
    <n v="65649"/>
    <n v="4939"/>
    <x v="594"/>
    <m/>
    <m/>
    <m/>
    <m/>
    <m/>
    <m/>
    <m/>
    <n v="9.5959749999999993"/>
    <n v="4529.3"/>
    <m/>
    <n v="180"/>
    <m/>
    <n v="472"/>
    <m/>
    <m/>
    <m/>
    <m/>
    <m/>
    <m/>
    <m/>
    <m/>
    <m/>
    <m/>
    <m/>
    <m/>
    <m/>
    <m/>
  </r>
  <r>
    <x v="10"/>
    <x v="5"/>
    <s v="COLCHÃO M.E."/>
    <m/>
    <x v="38"/>
    <m/>
    <x v="2"/>
    <n v="65751"/>
    <n v="3275"/>
    <x v="341"/>
    <m/>
    <m/>
    <m/>
    <m/>
    <m/>
    <m/>
    <m/>
    <n v="23.387091999999999"/>
    <n v="13026.61"/>
    <m/>
    <n v="350"/>
    <m/>
    <n v="557"/>
    <m/>
    <m/>
    <m/>
    <m/>
    <m/>
    <m/>
    <m/>
    <m/>
    <m/>
    <m/>
    <m/>
    <m/>
    <m/>
    <m/>
  </r>
  <r>
    <x v="10"/>
    <x v="5"/>
    <s v="COLCHÃO M.E."/>
    <m/>
    <x v="38"/>
    <m/>
    <x v="2"/>
    <n v="65751"/>
    <n v="2535"/>
    <x v="281"/>
    <m/>
    <m/>
    <m/>
    <m/>
    <m/>
    <m/>
    <m/>
    <n v="31.954160000000002"/>
    <n v="28726.79"/>
    <m/>
    <n v="430"/>
    <m/>
    <n v="899"/>
    <m/>
    <m/>
    <m/>
    <m/>
    <m/>
    <m/>
    <m/>
    <m/>
    <m/>
    <m/>
    <m/>
    <m/>
    <m/>
    <m/>
  </r>
  <r>
    <x v="10"/>
    <x v="5"/>
    <s v="COLCHÃO M.E."/>
    <m/>
    <x v="38"/>
    <m/>
    <x v="2"/>
    <n v="65751"/>
    <n v="1903"/>
    <x v="195"/>
    <m/>
    <m/>
    <m/>
    <m/>
    <m/>
    <m/>
    <m/>
    <n v="33.283532999999998"/>
    <n v="37310.839999999997"/>
    <m/>
    <n v="420"/>
    <m/>
    <n v="1121"/>
    <m/>
    <m/>
    <m/>
    <m/>
    <m/>
    <m/>
    <m/>
    <m/>
    <m/>
    <m/>
    <m/>
    <m/>
    <m/>
    <m/>
  </r>
  <r>
    <x v="10"/>
    <x v="5"/>
    <s v="COLCHÃO M.E."/>
    <m/>
    <x v="38"/>
    <m/>
    <x v="2"/>
    <n v="65751"/>
    <n v="1904"/>
    <x v="196"/>
    <m/>
    <m/>
    <m/>
    <m/>
    <m/>
    <m/>
    <m/>
    <n v="21.171482999999998"/>
    <n v="24410.720000000001"/>
    <m/>
    <n v="450"/>
    <m/>
    <n v="1153"/>
    <m/>
    <m/>
    <m/>
    <m/>
    <m/>
    <m/>
    <m/>
    <m/>
    <m/>
    <m/>
    <m/>
    <m/>
    <m/>
    <m/>
  </r>
  <r>
    <x v="10"/>
    <x v="5"/>
    <s v="COLCHÃO M.E."/>
    <m/>
    <x v="48"/>
    <m/>
    <x v="9"/>
    <n v="65824"/>
    <n v="4957"/>
    <x v="595"/>
    <m/>
    <m/>
    <m/>
    <m/>
    <m/>
    <m/>
    <m/>
    <n v="11.317380999999999"/>
    <n v="18322.84"/>
    <m/>
    <n v="200"/>
    <m/>
    <n v="1619"/>
    <m/>
    <m/>
    <m/>
    <m/>
    <m/>
    <m/>
    <m/>
    <m/>
    <m/>
    <m/>
    <m/>
    <m/>
    <m/>
    <m/>
  </r>
  <r>
    <x v="10"/>
    <x v="5"/>
    <s v="COLCHÃO M.E."/>
    <m/>
    <x v="48"/>
    <m/>
    <x v="9"/>
    <n v="65824"/>
    <n v="4958"/>
    <x v="596"/>
    <m/>
    <m/>
    <m/>
    <m/>
    <m/>
    <m/>
    <m/>
    <n v="10.484501"/>
    <n v="17865.59"/>
    <m/>
    <n v="180"/>
    <m/>
    <n v="1704"/>
    <m/>
    <m/>
    <m/>
    <m/>
    <m/>
    <m/>
    <m/>
    <m/>
    <m/>
    <m/>
    <m/>
    <m/>
    <m/>
    <m/>
  </r>
  <r>
    <x v="10"/>
    <x v="5"/>
    <s v="COLCHÃO M.E."/>
    <m/>
    <x v="48"/>
    <m/>
    <x v="9"/>
    <n v="65824"/>
    <n v="4959"/>
    <x v="597"/>
    <m/>
    <m/>
    <m/>
    <m/>
    <m/>
    <m/>
    <m/>
    <n v="37.234679999999997"/>
    <n v="51160.45"/>
    <m/>
    <n v="400"/>
    <m/>
    <n v="1374"/>
    <m/>
    <m/>
    <m/>
    <m/>
    <m/>
    <m/>
    <m/>
    <m/>
    <m/>
    <m/>
    <m/>
    <m/>
    <m/>
    <m/>
  </r>
  <r>
    <x v="10"/>
    <x v="5"/>
    <s v="COLCHÃO M.E."/>
    <m/>
    <x v="24"/>
    <m/>
    <x v="6"/>
    <n v="65857"/>
    <n v="4352"/>
    <x v="503"/>
    <m/>
    <m/>
    <m/>
    <m/>
    <m/>
    <m/>
    <m/>
    <n v="11.409309"/>
    <n v="9903.2800000000007"/>
    <m/>
    <n v="220"/>
    <m/>
    <n v="868"/>
    <m/>
    <m/>
    <m/>
    <m/>
    <m/>
    <m/>
    <m/>
    <m/>
    <m/>
    <m/>
    <m/>
    <m/>
    <m/>
    <m/>
  </r>
  <r>
    <x v="10"/>
    <x v="5"/>
    <s v="COLCHÃO M.E."/>
    <m/>
    <x v="24"/>
    <m/>
    <x v="6"/>
    <n v="65857"/>
    <n v="4351"/>
    <x v="504"/>
    <m/>
    <m/>
    <m/>
    <m/>
    <m/>
    <m/>
    <m/>
    <n v="9.8913290000000007"/>
    <n v="6399.69"/>
    <m/>
    <n v="220"/>
    <m/>
    <n v="647"/>
    <m/>
    <m/>
    <m/>
    <m/>
    <m/>
    <m/>
    <m/>
    <m/>
    <m/>
    <m/>
    <m/>
    <m/>
    <m/>
    <m/>
  </r>
  <r>
    <x v="10"/>
    <x v="5"/>
    <s v="COLCHÃO M.E."/>
    <m/>
    <x v="24"/>
    <m/>
    <x v="6"/>
    <n v="65857"/>
    <n v="2584"/>
    <x v="288"/>
    <m/>
    <m/>
    <m/>
    <m/>
    <m/>
    <m/>
    <m/>
    <n v="10.674804999999999"/>
    <n v="4376.67"/>
    <m/>
    <n v="160"/>
    <m/>
    <n v="410"/>
    <m/>
    <m/>
    <m/>
    <m/>
    <m/>
    <m/>
    <m/>
    <m/>
    <m/>
    <m/>
    <m/>
    <m/>
    <m/>
    <m/>
  </r>
  <r>
    <x v="10"/>
    <x v="5"/>
    <s v="COLCHÃO M.E."/>
    <m/>
    <x v="24"/>
    <m/>
    <x v="6"/>
    <n v="65857"/>
    <n v="3578"/>
    <x v="379"/>
    <m/>
    <m/>
    <m/>
    <m/>
    <m/>
    <m/>
    <m/>
    <n v="14.690104"/>
    <n v="7080.63"/>
    <m/>
    <n v="300"/>
    <m/>
    <n v="482"/>
    <m/>
    <m/>
    <m/>
    <m/>
    <m/>
    <m/>
    <m/>
    <m/>
    <m/>
    <m/>
    <m/>
    <m/>
    <m/>
    <m/>
  </r>
  <r>
    <x v="10"/>
    <x v="5"/>
    <s v="COLCHÃO M.E."/>
    <m/>
    <x v="24"/>
    <m/>
    <x v="6"/>
    <n v="65857"/>
    <n v="3398"/>
    <x v="360"/>
    <m/>
    <m/>
    <m/>
    <m/>
    <m/>
    <m/>
    <m/>
    <n v="11.752082"/>
    <n v="16029.84"/>
    <m/>
    <n v="240"/>
    <m/>
    <n v="1364"/>
    <m/>
    <m/>
    <m/>
    <m/>
    <m/>
    <m/>
    <m/>
    <m/>
    <m/>
    <m/>
    <m/>
    <m/>
    <m/>
    <m/>
  </r>
  <r>
    <x v="10"/>
    <x v="5"/>
    <s v="COLCHÃO M.E."/>
    <m/>
    <x v="9"/>
    <m/>
    <x v="2"/>
    <n v="66014"/>
    <n v="4848"/>
    <x v="563"/>
    <m/>
    <m/>
    <m/>
    <m/>
    <m/>
    <m/>
    <m/>
    <n v="19.846557000000001"/>
    <n v="8474.48"/>
    <m/>
    <n v="320"/>
    <m/>
    <n v="427"/>
    <m/>
    <m/>
    <m/>
    <m/>
    <m/>
    <m/>
    <m/>
    <m/>
    <m/>
    <m/>
    <m/>
    <m/>
    <m/>
    <m/>
  </r>
  <r>
    <x v="10"/>
    <x v="5"/>
    <s v="COLCHÃO M.E."/>
    <m/>
    <x v="9"/>
    <m/>
    <x v="2"/>
    <n v="66014"/>
    <n v="1422"/>
    <x v="232"/>
    <m/>
    <m/>
    <m/>
    <m/>
    <m/>
    <m/>
    <m/>
    <n v="14.255280000000001"/>
    <n v="10691.46"/>
    <m/>
    <n v="240"/>
    <m/>
    <n v="750"/>
    <m/>
    <m/>
    <m/>
    <m/>
    <m/>
    <m/>
    <m/>
    <m/>
    <m/>
    <m/>
    <m/>
    <m/>
    <m/>
    <m/>
  </r>
  <r>
    <x v="10"/>
    <x v="5"/>
    <s v="COLCHÃO M.E."/>
    <m/>
    <x v="9"/>
    <m/>
    <x v="2"/>
    <n v="66014"/>
    <n v="1419"/>
    <x v="234"/>
    <m/>
    <m/>
    <m/>
    <m/>
    <m/>
    <m/>
    <m/>
    <n v="11.333701"/>
    <n v="24900.14"/>
    <m/>
    <n v="180"/>
    <m/>
    <n v="2197"/>
    <m/>
    <m/>
    <m/>
    <m/>
    <m/>
    <m/>
    <m/>
    <m/>
    <m/>
    <m/>
    <m/>
    <m/>
    <m/>
    <m/>
  </r>
  <r>
    <x v="10"/>
    <x v="5"/>
    <s v="COLCHÃO M.E."/>
    <m/>
    <x v="37"/>
    <m/>
    <x v="9"/>
    <n v="66068"/>
    <n v="4955"/>
    <x v="598"/>
    <m/>
    <m/>
    <m/>
    <m/>
    <m/>
    <m/>
    <m/>
    <n v="13.22758"/>
    <n v="12791.07"/>
    <m/>
    <n v="220"/>
    <m/>
    <n v="967"/>
    <m/>
    <m/>
    <m/>
    <m/>
    <m/>
    <m/>
    <m/>
    <m/>
    <m/>
    <m/>
    <m/>
    <m/>
    <m/>
    <m/>
  </r>
  <r>
    <x v="10"/>
    <x v="5"/>
    <s v="COLCHÃO M.E."/>
    <m/>
    <x v="37"/>
    <m/>
    <x v="9"/>
    <n v="66068"/>
    <n v="4954"/>
    <x v="599"/>
    <m/>
    <m/>
    <m/>
    <m/>
    <m/>
    <m/>
    <m/>
    <n v="19.564757"/>
    <n v="20151.7"/>
    <m/>
    <n v="280"/>
    <m/>
    <n v="1030"/>
    <m/>
    <m/>
    <m/>
    <m/>
    <m/>
    <m/>
    <m/>
    <m/>
    <m/>
    <m/>
    <m/>
    <m/>
    <m/>
    <m/>
  </r>
  <r>
    <x v="10"/>
    <x v="5"/>
    <s v="COLCHÃO M.E."/>
    <m/>
    <x v="37"/>
    <m/>
    <x v="9"/>
    <n v="66068"/>
    <n v="4094"/>
    <x v="600"/>
    <m/>
    <m/>
    <m/>
    <m/>
    <m/>
    <m/>
    <m/>
    <n v="8.9022129999999997"/>
    <n v="9009.0400000000009"/>
    <m/>
    <n v="180"/>
    <m/>
    <n v="1012"/>
    <m/>
    <m/>
    <m/>
    <m/>
    <m/>
    <m/>
    <m/>
    <m/>
    <m/>
    <m/>
    <m/>
    <m/>
    <m/>
    <m/>
  </r>
  <r>
    <x v="10"/>
    <x v="5"/>
    <s v="COLCHÃO M.E."/>
    <m/>
    <x v="37"/>
    <m/>
    <x v="9"/>
    <n v="66068"/>
    <n v="4159"/>
    <x v="601"/>
    <m/>
    <m/>
    <m/>
    <m/>
    <m/>
    <m/>
    <m/>
    <n v="8.9022170000000003"/>
    <n v="18071.5"/>
    <m/>
    <n v="160"/>
    <m/>
    <n v="2030"/>
    <m/>
    <m/>
    <m/>
    <m/>
    <m/>
    <m/>
    <m/>
    <m/>
    <m/>
    <m/>
    <m/>
    <m/>
    <m/>
    <m/>
  </r>
  <r>
    <x v="10"/>
    <x v="5"/>
    <s v="COLCHÃO M.E."/>
    <m/>
    <x v="37"/>
    <m/>
    <x v="9"/>
    <n v="66068"/>
    <n v="4092"/>
    <x v="602"/>
    <m/>
    <m/>
    <m/>
    <m/>
    <m/>
    <m/>
    <m/>
    <n v="8.902215"/>
    <n v="21062.639999999999"/>
    <m/>
    <n v="180"/>
    <m/>
    <n v="2366"/>
    <m/>
    <m/>
    <m/>
    <m/>
    <m/>
    <m/>
    <m/>
    <m/>
    <m/>
    <m/>
    <m/>
    <m/>
    <m/>
    <m/>
  </r>
  <r>
    <x v="1"/>
    <x v="5"/>
    <s v="COLCHÃO M.E."/>
    <m/>
    <x v="42"/>
    <m/>
    <x v="0"/>
    <n v="66480"/>
    <n v="5045"/>
    <x v="603"/>
    <m/>
    <m/>
    <m/>
    <m/>
    <m/>
    <m/>
    <m/>
    <n v="9.4074010000000001"/>
    <n v="10461.030000000001"/>
    <m/>
    <n v="180"/>
    <m/>
    <n v="1112"/>
    <m/>
    <m/>
    <m/>
    <m/>
    <m/>
    <m/>
    <m/>
    <m/>
    <m/>
    <m/>
    <m/>
    <m/>
    <m/>
    <m/>
  </r>
  <r>
    <x v="1"/>
    <x v="5"/>
    <s v="COLCHÃO M.E."/>
    <m/>
    <x v="42"/>
    <m/>
    <x v="0"/>
    <n v="66480"/>
    <n v="3760"/>
    <x v="395"/>
    <m/>
    <m/>
    <m/>
    <m/>
    <m/>
    <m/>
    <m/>
    <n v="10.131045"/>
    <n v="24829.47"/>
    <m/>
    <n v="180"/>
    <m/>
    <n v="2450.83"/>
    <m/>
    <m/>
    <m/>
    <m/>
    <m/>
    <m/>
    <m/>
    <m/>
    <m/>
    <m/>
    <m/>
    <m/>
    <m/>
    <m/>
  </r>
  <r>
    <x v="1"/>
    <x v="5"/>
    <s v="COLCHÃO M.E."/>
    <m/>
    <x v="42"/>
    <m/>
    <x v="0"/>
    <n v="66480"/>
    <n v="2206"/>
    <x v="243"/>
    <m/>
    <m/>
    <m/>
    <m/>
    <m/>
    <m/>
    <m/>
    <n v="10.234419000000001"/>
    <n v="14891.08"/>
    <m/>
    <n v="180"/>
    <m/>
    <n v="1455"/>
    <m/>
    <m/>
    <m/>
    <m/>
    <m/>
    <m/>
    <m/>
    <m/>
    <m/>
    <m/>
    <m/>
    <m/>
    <m/>
    <m/>
  </r>
  <r>
    <x v="1"/>
    <x v="5"/>
    <s v="COLCHÃO M.E."/>
    <m/>
    <x v="47"/>
    <m/>
    <x v="9"/>
    <n v="66685"/>
    <n v="5168"/>
    <x v="604"/>
    <m/>
    <m/>
    <m/>
    <m/>
    <m/>
    <m/>
    <m/>
    <n v="29.824013000000001"/>
    <n v="18133"/>
    <m/>
    <n v="400"/>
    <m/>
    <n v="608"/>
    <m/>
    <m/>
    <m/>
    <m/>
    <m/>
    <m/>
    <m/>
    <m/>
    <m/>
    <m/>
    <m/>
    <m/>
    <m/>
    <m/>
  </r>
  <r>
    <x v="1"/>
    <x v="5"/>
    <s v="COLCHÃO M.E."/>
    <m/>
    <x v="1"/>
    <m/>
    <x v="1"/>
    <n v="66930"/>
    <n v="1523"/>
    <x v="184"/>
    <m/>
    <m/>
    <m/>
    <m/>
    <m/>
    <m/>
    <m/>
    <n v="9.0230490000000003"/>
    <n v="72861.119999999995"/>
    <m/>
    <n v="180"/>
    <m/>
    <n v="8075"/>
    <m/>
    <m/>
    <m/>
    <m/>
    <m/>
    <m/>
    <m/>
    <m/>
    <m/>
    <m/>
    <m/>
    <m/>
    <m/>
    <m/>
  </r>
  <r>
    <x v="1"/>
    <x v="5"/>
    <s v="COLCHÃO M.E."/>
    <m/>
    <x v="1"/>
    <m/>
    <x v="1"/>
    <n v="66931"/>
    <n v="5176"/>
    <x v="605"/>
    <m/>
    <m/>
    <m/>
    <m/>
    <m/>
    <m/>
    <m/>
    <n v="40.886001999999998"/>
    <n v="43461.82"/>
    <m/>
    <n v="460"/>
    <m/>
    <n v="1063"/>
    <m/>
    <m/>
    <m/>
    <m/>
    <m/>
    <m/>
    <m/>
    <m/>
    <m/>
    <m/>
    <m/>
    <m/>
    <m/>
    <m/>
  </r>
  <r>
    <x v="1"/>
    <x v="5"/>
    <s v="COLCHÃO M.E."/>
    <m/>
    <x v="9"/>
    <m/>
    <x v="2"/>
    <n v="66960"/>
    <n v="4848"/>
    <x v="563"/>
    <m/>
    <m/>
    <m/>
    <m/>
    <m/>
    <m/>
    <m/>
    <n v="23.185168999999998"/>
    <n v="11662.14"/>
    <m/>
    <n v="320"/>
    <m/>
    <n v="503"/>
    <m/>
    <m/>
    <m/>
    <m/>
    <m/>
    <m/>
    <m/>
    <m/>
    <m/>
    <m/>
    <m/>
    <m/>
    <m/>
    <m/>
  </r>
  <r>
    <x v="1"/>
    <x v="5"/>
    <s v="COLCHÃO M.E."/>
    <m/>
    <x v="9"/>
    <m/>
    <x v="2"/>
    <n v="66960"/>
    <n v="1419"/>
    <x v="234"/>
    <m/>
    <m/>
    <m/>
    <m/>
    <m/>
    <m/>
    <m/>
    <n v="13.240259999999999"/>
    <n v="37152.17"/>
    <m/>
    <n v="180"/>
    <m/>
    <n v="2806"/>
    <m/>
    <m/>
    <m/>
    <m/>
    <m/>
    <m/>
    <m/>
    <m/>
    <m/>
    <m/>
    <m/>
    <m/>
    <m/>
    <m/>
  </r>
  <r>
    <x v="1"/>
    <x v="5"/>
    <s v="COLCHÃO M.E."/>
    <m/>
    <x v="9"/>
    <m/>
    <x v="2"/>
    <n v="66960"/>
    <n v="3378"/>
    <x v="340"/>
    <m/>
    <m/>
    <m/>
    <m/>
    <m/>
    <m/>
    <m/>
    <n v="28.540119000000001"/>
    <n v="14355.68"/>
    <m/>
    <n v="370"/>
    <m/>
    <n v="503"/>
    <m/>
    <m/>
    <m/>
    <m/>
    <m/>
    <m/>
    <m/>
    <m/>
    <m/>
    <m/>
    <m/>
    <m/>
    <m/>
    <m/>
  </r>
  <r>
    <x v="2"/>
    <x v="5"/>
    <s v="COLCHÃO M.E."/>
    <m/>
    <x v="45"/>
    <m/>
    <x v="1"/>
    <n v="67052"/>
    <n v="4773"/>
    <x v="552"/>
    <m/>
    <m/>
    <m/>
    <m/>
    <m/>
    <m/>
    <m/>
    <n v="25.742778999999999"/>
    <n v="63352.98"/>
    <m/>
    <n v="200"/>
    <m/>
    <n v="2461"/>
    <m/>
    <m/>
    <m/>
    <m/>
    <m/>
    <m/>
    <m/>
    <m/>
    <m/>
    <m/>
    <m/>
    <m/>
    <m/>
    <m/>
  </r>
  <r>
    <x v="2"/>
    <x v="5"/>
    <s v="COLCHÃO M.E."/>
    <m/>
    <x v="49"/>
    <m/>
    <x v="14"/>
    <n v="67488"/>
    <n v="5282"/>
    <x v="606"/>
    <m/>
    <m/>
    <m/>
    <m/>
    <m/>
    <m/>
    <m/>
    <n v="27.844895999999999"/>
    <n v="5346.22"/>
    <m/>
    <n v="320"/>
    <m/>
    <n v="192"/>
    <m/>
    <m/>
    <m/>
    <m/>
    <m/>
    <m/>
    <m/>
    <m/>
    <m/>
    <m/>
    <m/>
    <m/>
    <m/>
    <m/>
  </r>
  <r>
    <x v="2"/>
    <x v="5"/>
    <s v="COLCHÃO M.E."/>
    <m/>
    <x v="21"/>
    <m/>
    <x v="4"/>
    <n v="67490"/>
    <n v="1759"/>
    <x v="200"/>
    <m/>
    <m/>
    <m/>
    <m/>
    <m/>
    <m/>
    <m/>
    <n v="15.350398999999999"/>
    <n v="11911.91"/>
    <m/>
    <n v="280"/>
    <m/>
    <n v="776"/>
    <m/>
    <m/>
    <m/>
    <m/>
    <m/>
    <m/>
    <m/>
    <m/>
    <m/>
    <m/>
    <m/>
    <m/>
    <m/>
    <m/>
  </r>
  <r>
    <x v="2"/>
    <x v="5"/>
    <s v="COLCHÃO M.E."/>
    <m/>
    <x v="21"/>
    <m/>
    <x v="4"/>
    <n v="67490"/>
    <n v="3700"/>
    <x v="437"/>
    <m/>
    <m/>
    <m/>
    <m/>
    <m/>
    <m/>
    <m/>
    <n v="7.649699"/>
    <n v="15001.06"/>
    <m/>
    <n v="160"/>
    <m/>
    <n v="1961"/>
    <m/>
    <m/>
    <m/>
    <m/>
    <m/>
    <m/>
    <m/>
    <m/>
    <m/>
    <m/>
    <m/>
    <m/>
    <m/>
    <m/>
  </r>
  <r>
    <x v="2"/>
    <x v="5"/>
    <s v="COLCHÃO M.E."/>
    <m/>
    <x v="21"/>
    <m/>
    <x v="4"/>
    <n v="67490"/>
    <n v="3701"/>
    <x v="438"/>
    <m/>
    <m/>
    <m/>
    <m/>
    <m/>
    <m/>
    <m/>
    <n v="7.9556849999999999"/>
    <n v="6507.75"/>
    <m/>
    <n v="160"/>
    <m/>
    <n v="818"/>
    <m/>
    <m/>
    <m/>
    <m/>
    <m/>
    <m/>
    <m/>
    <m/>
    <m/>
    <m/>
    <m/>
    <m/>
    <m/>
    <m/>
  </r>
  <r>
    <x v="2"/>
    <x v="5"/>
    <s v="COLCHÃO M.E."/>
    <m/>
    <x v="21"/>
    <m/>
    <x v="4"/>
    <n v="67490"/>
    <n v="3702"/>
    <x v="390"/>
    <m/>
    <m/>
    <m/>
    <m/>
    <m/>
    <m/>
    <m/>
    <n v="13.157482"/>
    <n v="7420.82"/>
    <m/>
    <n v="180"/>
    <m/>
    <n v="564"/>
    <m/>
    <m/>
    <m/>
    <m/>
    <m/>
    <m/>
    <m/>
    <m/>
    <m/>
    <m/>
    <m/>
    <m/>
    <m/>
    <m/>
  </r>
  <r>
    <x v="2"/>
    <x v="5"/>
    <s v="COLCHÃO M.E."/>
    <m/>
    <x v="42"/>
    <m/>
    <x v="0"/>
    <n v="67598"/>
    <n v="2209"/>
    <x v="240"/>
    <m/>
    <m/>
    <m/>
    <m/>
    <m/>
    <m/>
    <m/>
    <n v="9.8064359999999997"/>
    <n v="12022.69"/>
    <m/>
    <n v="200"/>
    <m/>
    <n v="1226"/>
    <m/>
    <m/>
    <m/>
    <m/>
    <m/>
    <m/>
    <m/>
    <m/>
    <m/>
    <m/>
    <m/>
    <m/>
    <m/>
    <m/>
  </r>
  <r>
    <x v="2"/>
    <x v="5"/>
    <s v="COLCHÃO M.E."/>
    <m/>
    <x v="42"/>
    <m/>
    <x v="0"/>
    <n v="67598"/>
    <n v="5057"/>
    <x v="607"/>
    <m/>
    <m/>
    <m/>
    <m/>
    <m/>
    <m/>
    <m/>
    <n v="8.3405190000000005"/>
    <n v="8348.86"/>
    <m/>
    <n v="180"/>
    <m/>
    <n v="1001"/>
    <m/>
    <m/>
    <m/>
    <m/>
    <m/>
    <m/>
    <m/>
    <m/>
    <m/>
    <m/>
    <m/>
    <m/>
    <m/>
    <m/>
  </r>
  <r>
    <x v="2"/>
    <x v="5"/>
    <s v="COLCHÃO M.E."/>
    <m/>
    <x v="42"/>
    <m/>
    <x v="0"/>
    <n v="67598"/>
    <n v="5218"/>
    <x v="608"/>
    <m/>
    <m/>
    <m/>
    <m/>
    <m/>
    <m/>
    <m/>
    <n v="8.6438170000000003"/>
    <n v="9171.09"/>
    <m/>
    <n v="180"/>
    <m/>
    <n v="1061"/>
    <m/>
    <m/>
    <m/>
    <m/>
    <m/>
    <m/>
    <m/>
    <m/>
    <m/>
    <m/>
    <m/>
    <m/>
    <m/>
    <m/>
  </r>
  <r>
    <x v="11"/>
    <x v="5"/>
    <s v="COLCHÃO M.E."/>
    <m/>
    <x v="9"/>
    <m/>
    <x v="2"/>
    <n v="67743"/>
    <n v="4848"/>
    <x v="563"/>
    <m/>
    <m/>
    <m/>
    <m/>
    <m/>
    <m/>
    <m/>
    <n v="22.847096000000001"/>
    <n v="20219.68"/>
    <m/>
    <n v="320"/>
    <m/>
    <n v="885"/>
    <m/>
    <m/>
    <m/>
    <m/>
    <m/>
    <m/>
    <m/>
    <m/>
    <m/>
    <m/>
    <m/>
    <m/>
    <m/>
    <m/>
  </r>
  <r>
    <x v="11"/>
    <x v="5"/>
    <s v="COLCHÃO M.E."/>
    <m/>
    <x v="47"/>
    <m/>
    <x v="9"/>
    <n v="67766"/>
    <n v="5168"/>
    <x v="604"/>
    <m/>
    <m/>
    <m/>
    <m/>
    <m/>
    <m/>
    <m/>
    <n v="30.411254"/>
    <n v="17942.64"/>
    <m/>
    <n v="400"/>
    <m/>
    <n v="590"/>
    <m/>
    <m/>
    <m/>
    <m/>
    <m/>
    <m/>
    <m/>
    <m/>
    <m/>
    <m/>
    <m/>
    <m/>
    <m/>
    <m/>
  </r>
  <r>
    <x v="11"/>
    <x v="5"/>
    <s v="COLCHÃO M.E."/>
    <m/>
    <x v="50"/>
    <m/>
    <x v="4"/>
    <n v="67801"/>
    <n v="5227"/>
    <x v="609"/>
    <m/>
    <m/>
    <m/>
    <m/>
    <m/>
    <m/>
    <m/>
    <n v="16.034604999999999"/>
    <n v="9749.0400000000009"/>
    <m/>
    <n v="280"/>
    <m/>
    <n v="608"/>
    <m/>
    <m/>
    <m/>
    <m/>
    <m/>
    <m/>
    <m/>
    <m/>
    <m/>
    <m/>
    <m/>
    <m/>
    <m/>
    <m/>
  </r>
  <r>
    <x v="11"/>
    <x v="5"/>
    <s v="COLCHÃO M.E."/>
    <m/>
    <x v="50"/>
    <m/>
    <x v="4"/>
    <n v="67801"/>
    <n v="5264"/>
    <x v="610"/>
    <m/>
    <m/>
    <m/>
    <m/>
    <m/>
    <m/>
    <m/>
    <n v="7.9911969999999997"/>
    <n v="4139.4399999999996"/>
    <m/>
    <n v="180"/>
    <m/>
    <n v="518"/>
    <m/>
    <m/>
    <m/>
    <m/>
    <m/>
    <m/>
    <m/>
    <m/>
    <m/>
    <m/>
    <m/>
    <m/>
    <m/>
    <m/>
  </r>
  <r>
    <x v="11"/>
    <x v="5"/>
    <s v="COLCHÃO M.E."/>
    <m/>
    <x v="50"/>
    <m/>
    <x v="4"/>
    <n v="67801"/>
    <n v="5262"/>
    <x v="611"/>
    <m/>
    <m/>
    <m/>
    <m/>
    <m/>
    <m/>
    <m/>
    <n v="7.9911830000000004"/>
    <n v="3851.75"/>
    <m/>
    <n v="180"/>
    <m/>
    <n v="482"/>
    <m/>
    <m/>
    <m/>
    <m/>
    <m/>
    <m/>
    <m/>
    <m/>
    <m/>
    <m/>
    <m/>
    <m/>
    <m/>
    <m/>
  </r>
  <r>
    <x v="11"/>
    <x v="5"/>
    <s v="COLCHÃO M.E."/>
    <m/>
    <x v="50"/>
    <m/>
    <x v="4"/>
    <n v="67801"/>
    <n v="5263"/>
    <x v="612"/>
    <m/>
    <m/>
    <m/>
    <m/>
    <m/>
    <m/>
    <m/>
    <n v="7.9911950000000003"/>
    <n v="4347.21"/>
    <m/>
    <n v="180"/>
    <m/>
    <n v="544"/>
    <m/>
    <m/>
    <m/>
    <m/>
    <m/>
    <m/>
    <m/>
    <m/>
    <m/>
    <m/>
    <m/>
    <m/>
    <m/>
    <m/>
  </r>
  <r>
    <x v="11"/>
    <x v="5"/>
    <s v="COLCHÃO M.E."/>
    <m/>
    <x v="50"/>
    <m/>
    <x v="4"/>
    <n v="67801"/>
    <n v="5226"/>
    <x v="613"/>
    <m/>
    <m/>
    <m/>
    <m/>
    <m/>
    <m/>
    <m/>
    <n v="38.336818999999998"/>
    <n v="21813.65"/>
    <m/>
    <n v="380"/>
    <m/>
    <n v="569"/>
    <m/>
    <m/>
    <m/>
    <m/>
    <m/>
    <m/>
    <m/>
    <m/>
    <m/>
    <m/>
    <m/>
    <m/>
    <m/>
    <m/>
  </r>
  <r>
    <x v="11"/>
    <x v="5"/>
    <s v="COLCHÃO M.E."/>
    <m/>
    <x v="50"/>
    <m/>
    <x v="4"/>
    <n v="67801"/>
    <n v="5225"/>
    <x v="614"/>
    <m/>
    <m/>
    <m/>
    <m/>
    <m/>
    <m/>
    <m/>
    <n v="16.974748999999999"/>
    <n v="10150.9"/>
    <m/>
    <n v="280"/>
    <m/>
    <n v="598"/>
    <m/>
    <m/>
    <m/>
    <m/>
    <m/>
    <m/>
    <m/>
    <m/>
    <m/>
    <m/>
    <m/>
    <m/>
    <m/>
    <m/>
  </r>
  <r>
    <x v="11"/>
    <x v="5"/>
    <s v="COLCHÃO M.E."/>
    <m/>
    <x v="50"/>
    <m/>
    <x v="4"/>
    <n v="67801"/>
    <n v="5221"/>
    <x v="615"/>
    <m/>
    <m/>
    <m/>
    <m/>
    <m/>
    <m/>
    <m/>
    <n v="24.809256000000001"/>
    <n v="12677.53"/>
    <m/>
    <n v="360"/>
    <m/>
    <n v="511"/>
    <m/>
    <m/>
    <m/>
    <m/>
    <m/>
    <m/>
    <m/>
    <m/>
    <m/>
    <m/>
    <m/>
    <m/>
    <m/>
    <m/>
  </r>
  <r>
    <x v="11"/>
    <x v="5"/>
    <s v="COLCHÃO M.E."/>
    <m/>
    <x v="50"/>
    <m/>
    <x v="4"/>
    <n v="67801"/>
    <n v="5219"/>
    <x v="616"/>
    <m/>
    <m/>
    <m/>
    <m/>
    <m/>
    <m/>
    <m/>
    <n v="15.721234000000001"/>
    <n v="8536.6299999999992"/>
    <m/>
    <n v="340"/>
    <m/>
    <n v="543"/>
    <m/>
    <m/>
    <m/>
    <m/>
    <m/>
    <m/>
    <m/>
    <m/>
    <m/>
    <m/>
    <m/>
    <m/>
    <m/>
    <m/>
  </r>
  <r>
    <x v="11"/>
    <x v="5"/>
    <s v="COLCHÃO M.E."/>
    <m/>
    <x v="51"/>
    <m/>
    <x v="8"/>
    <n v="67814"/>
    <n v="5055"/>
    <x v="617"/>
    <m/>
    <m/>
    <m/>
    <m/>
    <m/>
    <m/>
    <m/>
    <n v="10.453609"/>
    <n v="22213.919999999998"/>
    <m/>
    <n v="220"/>
    <m/>
    <n v="2125"/>
    <m/>
    <m/>
    <m/>
    <m/>
    <m/>
    <m/>
    <m/>
    <m/>
    <m/>
    <m/>
    <m/>
    <m/>
    <m/>
    <m/>
  </r>
  <r>
    <x v="11"/>
    <x v="5"/>
    <s v="COLCHÃO M.E."/>
    <m/>
    <x v="51"/>
    <m/>
    <x v="8"/>
    <n v="67814"/>
    <n v="5055"/>
    <x v="617"/>
    <m/>
    <m/>
    <m/>
    <m/>
    <m/>
    <m/>
    <m/>
    <n v="10.453607999999999"/>
    <n v="42128.04"/>
    <m/>
    <n v="220"/>
    <m/>
    <n v="4030"/>
    <m/>
    <m/>
    <m/>
    <m/>
    <m/>
    <m/>
    <m/>
    <m/>
    <m/>
    <m/>
    <m/>
    <m/>
    <m/>
    <m/>
  </r>
  <r>
    <x v="11"/>
    <x v="5"/>
    <s v="COLCHÃO M.E."/>
    <m/>
    <x v="51"/>
    <m/>
    <x v="8"/>
    <n v="67814"/>
    <n v="5056"/>
    <x v="618"/>
    <m/>
    <m/>
    <m/>
    <m/>
    <m/>
    <m/>
    <m/>
    <n v="10.453613000000001"/>
    <n v="9606.8700000000008"/>
    <m/>
    <n v="220"/>
    <m/>
    <n v="919"/>
    <m/>
    <m/>
    <m/>
    <m/>
    <m/>
    <m/>
    <m/>
    <m/>
    <m/>
    <m/>
    <m/>
    <m/>
    <m/>
    <m/>
  </r>
  <r>
    <x v="11"/>
    <x v="5"/>
    <s v="COLCHÃO M.E."/>
    <m/>
    <x v="51"/>
    <m/>
    <x v="8"/>
    <n v="67814"/>
    <n v="5056"/>
    <x v="618"/>
    <m/>
    <m/>
    <m/>
    <m/>
    <m/>
    <m/>
    <m/>
    <n v="10.453609"/>
    <n v="55069.61"/>
    <m/>
    <n v="220"/>
    <m/>
    <n v="5268"/>
    <m/>
    <m/>
    <m/>
    <m/>
    <m/>
    <m/>
    <m/>
    <m/>
    <m/>
    <m/>
    <m/>
    <m/>
    <m/>
    <m/>
  </r>
  <r>
    <x v="11"/>
    <x v="5"/>
    <s v="COLCHÃO M.E."/>
    <m/>
    <x v="51"/>
    <m/>
    <x v="8"/>
    <n v="67814"/>
    <n v="5058"/>
    <x v="619"/>
    <m/>
    <m/>
    <m/>
    <m/>
    <m/>
    <m/>
    <m/>
    <n v="20.387136999999999"/>
    <n v="51905.65"/>
    <m/>
    <n v="260"/>
    <m/>
    <n v="2546"/>
    <m/>
    <m/>
    <m/>
    <m/>
    <m/>
    <m/>
    <m/>
    <m/>
    <m/>
    <m/>
    <m/>
    <m/>
    <m/>
    <m/>
  </r>
  <r>
    <x v="11"/>
    <x v="5"/>
    <s v="COLCHÃO M.E."/>
    <m/>
    <x v="51"/>
    <m/>
    <x v="8"/>
    <n v="67814"/>
    <n v="5058"/>
    <x v="619"/>
    <m/>
    <m/>
    <m/>
    <m/>
    <m/>
    <m/>
    <m/>
    <n v="20.387136999999999"/>
    <n v="61813.8"/>
    <m/>
    <n v="260"/>
    <m/>
    <n v="3032"/>
    <m/>
    <m/>
    <m/>
    <m/>
    <m/>
    <m/>
    <m/>
    <m/>
    <m/>
    <m/>
    <m/>
    <m/>
    <m/>
    <m/>
  </r>
  <r>
    <x v="11"/>
    <x v="5"/>
    <s v="COLCHÃO M.E."/>
    <m/>
    <x v="9"/>
    <m/>
    <x v="2"/>
    <n v="67938"/>
    <n v="1419"/>
    <x v="234"/>
    <m/>
    <m/>
    <m/>
    <m/>
    <m/>
    <m/>
    <m/>
    <n v="13.221309"/>
    <n v="13234.53"/>
    <m/>
    <n v="180"/>
    <m/>
    <n v="1001"/>
    <m/>
    <m/>
    <m/>
    <m/>
    <m/>
    <m/>
    <m/>
    <m/>
    <m/>
    <m/>
    <m/>
    <m/>
    <m/>
    <m/>
  </r>
  <r>
    <x v="11"/>
    <x v="5"/>
    <s v="COLCHÃO M.E."/>
    <m/>
    <x v="9"/>
    <m/>
    <x v="2"/>
    <n v="67938"/>
    <n v="3378"/>
    <x v="340"/>
    <m/>
    <m/>
    <m/>
    <m/>
    <m/>
    <m/>
    <m/>
    <n v="28.499276999999999"/>
    <n v="14192.64"/>
    <m/>
    <n v="370"/>
    <m/>
    <n v="498"/>
    <m/>
    <m/>
    <m/>
    <m/>
    <m/>
    <m/>
    <m/>
    <m/>
    <m/>
    <m/>
    <m/>
    <m/>
    <m/>
    <m/>
  </r>
  <r>
    <x v="11"/>
    <x v="5"/>
    <s v="COLCHÃO M.E."/>
    <m/>
    <x v="52"/>
    <m/>
    <x v="0"/>
    <n v="67968"/>
    <n v="4454"/>
    <x v="511"/>
    <m/>
    <m/>
    <m/>
    <m/>
    <m/>
    <m/>
    <m/>
    <n v="6.7483779999999998"/>
    <n v="34106.300000000003"/>
    <m/>
    <n v="180"/>
    <m/>
    <n v="5054"/>
    <m/>
    <m/>
    <m/>
    <m/>
    <m/>
    <m/>
    <m/>
    <m/>
    <m/>
    <m/>
    <m/>
    <m/>
    <m/>
    <m/>
  </r>
  <r>
    <x v="11"/>
    <x v="5"/>
    <s v="COLCHÃO M.E."/>
    <m/>
    <x v="9"/>
    <m/>
    <x v="2"/>
    <n v="67969"/>
    <n v="4041"/>
    <x v="401"/>
    <m/>
    <m/>
    <m/>
    <m/>
    <m/>
    <m/>
    <m/>
    <n v="21.775784000000002"/>
    <n v="11519.39"/>
    <m/>
    <n v="310"/>
    <m/>
    <n v="529"/>
    <m/>
    <m/>
    <m/>
    <m/>
    <m/>
    <m/>
    <m/>
    <m/>
    <m/>
    <m/>
    <m/>
    <m/>
    <m/>
    <m/>
  </r>
  <r>
    <x v="11"/>
    <x v="5"/>
    <s v="COLCHÃO M.E."/>
    <m/>
    <x v="53"/>
    <m/>
    <x v="2"/>
    <n v="67970"/>
    <n v="5306"/>
    <x v="620"/>
    <m/>
    <m/>
    <m/>
    <m/>
    <m/>
    <m/>
    <m/>
    <n v="9.0998230000000007"/>
    <n v="23705.040000000001"/>
    <m/>
    <n v="180"/>
    <m/>
    <n v="2605"/>
    <m/>
    <m/>
    <m/>
    <m/>
    <m/>
    <m/>
    <m/>
    <m/>
    <m/>
    <m/>
    <m/>
    <m/>
    <m/>
    <m/>
  </r>
  <r>
    <x v="11"/>
    <x v="5"/>
    <s v="COLCHÃO M.E."/>
    <m/>
    <x v="53"/>
    <m/>
    <x v="2"/>
    <n v="67970"/>
    <n v="5305"/>
    <x v="621"/>
    <m/>
    <m/>
    <m/>
    <m/>
    <m/>
    <m/>
    <m/>
    <n v="9.0998269999999994"/>
    <n v="25716.11"/>
    <m/>
    <n v="180"/>
    <m/>
    <n v="2826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40"/>
    <x v="622"/>
    <m/>
    <m/>
    <m/>
    <m/>
    <m/>
    <m/>
    <m/>
    <n v="9.1518280000000001"/>
    <n v="5106.72"/>
    <m/>
    <n v="180"/>
    <m/>
    <n v="558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42"/>
    <x v="623"/>
    <m/>
    <m/>
    <m/>
    <m/>
    <m/>
    <m/>
    <m/>
    <n v="8.6318300000000008"/>
    <n v="4764.7700000000004"/>
    <m/>
    <n v="180"/>
    <m/>
    <n v="552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43"/>
    <x v="624"/>
    <m/>
    <m/>
    <m/>
    <m/>
    <m/>
    <m/>
    <m/>
    <n v="9.5678249999999991"/>
    <n v="5147.49"/>
    <m/>
    <n v="180"/>
    <m/>
    <n v="538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44"/>
    <x v="625"/>
    <m/>
    <m/>
    <m/>
    <m/>
    <m/>
    <m/>
    <m/>
    <n v="9.5678190000000001"/>
    <n v="5616.31"/>
    <m/>
    <n v="180"/>
    <m/>
    <n v="587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45"/>
    <x v="626"/>
    <m/>
    <m/>
    <m/>
    <m/>
    <m/>
    <m/>
    <m/>
    <n v="8.6318370000000009"/>
    <n v="5498.48"/>
    <m/>
    <n v="180"/>
    <m/>
    <n v="637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47"/>
    <x v="627"/>
    <m/>
    <m/>
    <m/>
    <m/>
    <m/>
    <m/>
    <m/>
    <n v="9.1518259999999998"/>
    <n v="5362.97"/>
    <m/>
    <n v="180"/>
    <m/>
    <n v="586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49"/>
    <x v="628"/>
    <m/>
    <m/>
    <m/>
    <m/>
    <m/>
    <m/>
    <m/>
    <n v="8.6318330000000003"/>
    <n v="4333.18"/>
    <m/>
    <n v="180"/>
    <m/>
    <n v="502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39"/>
    <x v="629"/>
    <m/>
    <m/>
    <m/>
    <m/>
    <m/>
    <m/>
    <m/>
    <n v="9.1518289999999993"/>
    <n v="5152.4799999999996"/>
    <m/>
    <n v="180"/>
    <m/>
    <n v="563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52"/>
    <x v="630"/>
    <m/>
    <m/>
    <m/>
    <m/>
    <m/>
    <m/>
    <m/>
    <n v="9.5678110000000007"/>
    <n v="5377.11"/>
    <m/>
    <n v="180"/>
    <m/>
    <n v="562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53"/>
    <x v="631"/>
    <m/>
    <m/>
    <m/>
    <m/>
    <m/>
    <m/>
    <m/>
    <n v="8.6318400000000004"/>
    <n v="4643.93"/>
    <m/>
    <n v="180"/>
    <m/>
    <n v="538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54"/>
    <x v="632"/>
    <m/>
    <m/>
    <m/>
    <m/>
    <m/>
    <m/>
    <m/>
    <n v="8.9958320000000001"/>
    <n v="4920.72"/>
    <m/>
    <n v="180"/>
    <m/>
    <n v="547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58"/>
    <x v="633"/>
    <m/>
    <m/>
    <m/>
    <m/>
    <m/>
    <m/>
    <m/>
    <n v="8.6318350000000006"/>
    <n v="4704.3500000000004"/>
    <m/>
    <n v="180"/>
    <m/>
    <n v="545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59"/>
    <x v="634"/>
    <m/>
    <m/>
    <m/>
    <m/>
    <m/>
    <m/>
    <m/>
    <n v="9.5678239999999999"/>
    <n v="5099.6499999999996"/>
    <m/>
    <n v="180"/>
    <m/>
    <n v="533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60"/>
    <x v="635"/>
    <m/>
    <m/>
    <m/>
    <m/>
    <m/>
    <m/>
    <m/>
    <n v="8.21584"/>
    <n v="16275.58"/>
    <m/>
    <n v="180"/>
    <m/>
    <n v="1981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61"/>
    <x v="636"/>
    <m/>
    <m/>
    <m/>
    <m/>
    <m/>
    <m/>
    <m/>
    <n v="9.0998260000000002"/>
    <n v="15715.4"/>
    <m/>
    <n v="180"/>
    <m/>
    <n v="1727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50"/>
    <x v="637"/>
    <m/>
    <m/>
    <m/>
    <m/>
    <m/>
    <m/>
    <m/>
    <n v="8.9958320000000001"/>
    <n v="5352.52"/>
    <m/>
    <n v="180"/>
    <m/>
    <n v="595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4692"/>
    <x v="525"/>
    <m/>
    <m/>
    <m/>
    <m/>
    <m/>
    <m/>
    <m/>
    <n v="10.035805999999999"/>
    <n v="21105.3"/>
    <m/>
    <n v="200"/>
    <m/>
    <n v="2103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697"/>
    <x v="638"/>
    <m/>
    <m/>
    <m/>
    <m/>
    <m/>
    <m/>
    <m/>
    <n v="9.5678190000000001"/>
    <n v="4870.0200000000004"/>
    <m/>
    <n v="380"/>
    <m/>
    <n v="509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1077"/>
    <x v="639"/>
    <m/>
    <m/>
    <m/>
    <m/>
    <m/>
    <m/>
    <m/>
    <n v="8.9958349999999996"/>
    <n v="5118.63"/>
    <m/>
    <n v="260"/>
    <m/>
    <n v="569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1757"/>
    <x v="197"/>
    <m/>
    <m/>
    <m/>
    <m/>
    <m/>
    <m/>
    <m/>
    <n v="8.9958189999999991"/>
    <n v="4560.88"/>
    <m/>
    <n v="350"/>
    <m/>
    <n v="507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1759"/>
    <x v="200"/>
    <m/>
    <m/>
    <m/>
    <m/>
    <m/>
    <m/>
    <m/>
    <n v="9.1518200000000007"/>
    <n v="4173.2299999999996"/>
    <m/>
    <n v="280"/>
    <m/>
    <n v="456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1761"/>
    <x v="204"/>
    <m/>
    <m/>
    <m/>
    <m/>
    <m/>
    <m/>
    <m/>
    <n v="9.1518180000000005"/>
    <n v="4932.83"/>
    <m/>
    <n v="280"/>
    <m/>
    <n v="539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1920"/>
    <x v="640"/>
    <m/>
    <m/>
    <m/>
    <m/>
    <m/>
    <m/>
    <m/>
    <n v="8.9958369999999999"/>
    <n v="4515.91"/>
    <m/>
    <n v="230"/>
    <m/>
    <n v="502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3542"/>
    <x v="641"/>
    <m/>
    <m/>
    <m/>
    <m/>
    <m/>
    <m/>
    <m/>
    <n v="9.1518200000000007"/>
    <n v="4575.91"/>
    <m/>
    <n v="220"/>
    <m/>
    <n v="500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38"/>
    <x v="642"/>
    <m/>
    <m/>
    <m/>
    <m/>
    <m/>
    <m/>
    <m/>
    <n v="8.9958229999999997"/>
    <n v="4974.6899999999996"/>
    <m/>
    <n v="180"/>
    <m/>
    <n v="553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4695"/>
    <x v="533"/>
    <m/>
    <m/>
    <m/>
    <m/>
    <m/>
    <m/>
    <m/>
    <n v="8.8918300000000006"/>
    <n v="15205.03"/>
    <m/>
    <n v="180"/>
    <m/>
    <n v="1710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32"/>
    <x v="643"/>
    <m/>
    <m/>
    <m/>
    <m/>
    <m/>
    <m/>
    <m/>
    <n v="9.5678160000000005"/>
    <n v="5826.8"/>
    <m/>
    <n v="180"/>
    <m/>
    <n v="609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33"/>
    <x v="644"/>
    <m/>
    <m/>
    <m/>
    <m/>
    <m/>
    <m/>
    <m/>
    <n v="8.6318389999999994"/>
    <n v="5161.84"/>
    <m/>
    <n v="180"/>
    <m/>
    <n v="598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34"/>
    <x v="645"/>
    <m/>
    <m/>
    <m/>
    <m/>
    <m/>
    <m/>
    <m/>
    <n v="8.9958170000000006"/>
    <n v="4237.03"/>
    <m/>
    <n v="180"/>
    <m/>
    <n v="471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35"/>
    <x v="646"/>
    <m/>
    <m/>
    <m/>
    <m/>
    <m/>
    <m/>
    <m/>
    <n v="9.1518239999999995"/>
    <n v="4264.75"/>
    <m/>
    <n v="180"/>
    <m/>
    <n v="466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36"/>
    <x v="647"/>
    <m/>
    <m/>
    <m/>
    <m/>
    <m/>
    <m/>
    <m/>
    <n v="9.5678070000000002"/>
    <n v="5367.54"/>
    <m/>
    <n v="180"/>
    <m/>
    <n v="561"/>
    <m/>
    <m/>
    <m/>
    <m/>
    <m/>
    <m/>
    <m/>
    <m/>
    <m/>
    <m/>
    <m/>
    <m/>
    <m/>
    <m/>
  </r>
  <r>
    <x v="11"/>
    <x v="5"/>
    <s v="COLCHÃO M.E."/>
    <m/>
    <x v="43"/>
    <m/>
    <x v="14"/>
    <n v="67971"/>
    <n v="5237"/>
    <x v="648"/>
    <m/>
    <m/>
    <m/>
    <m/>
    <m/>
    <m/>
    <m/>
    <n v="8.6318289999999998"/>
    <n v="4954.67"/>
    <m/>
    <n v="180"/>
    <m/>
    <n v="574"/>
    <m/>
    <m/>
    <m/>
    <m/>
    <m/>
    <m/>
    <m/>
    <m/>
    <m/>
    <m/>
    <m/>
    <m/>
    <m/>
    <m/>
  </r>
  <r>
    <x v="11"/>
    <x v="5"/>
    <s v="COLCHÃO M.E."/>
    <m/>
    <x v="31"/>
    <m/>
    <x v="4"/>
    <n v="67972"/>
    <n v="5328"/>
    <x v="649"/>
    <m/>
    <m/>
    <m/>
    <m/>
    <m/>
    <m/>
    <m/>
    <n v="12.895762"/>
    <n v="4990.66"/>
    <m/>
    <n v="300"/>
    <m/>
    <n v="387"/>
    <m/>
    <m/>
    <m/>
    <m/>
    <m/>
    <m/>
    <m/>
    <m/>
    <m/>
    <m/>
    <m/>
    <m/>
    <m/>
    <m/>
  </r>
  <r>
    <x v="11"/>
    <x v="5"/>
    <s v="COLCHÃO M.E."/>
    <m/>
    <x v="31"/>
    <m/>
    <x v="4"/>
    <n v="67972"/>
    <n v="5300"/>
    <x v="650"/>
    <m/>
    <m/>
    <m/>
    <m/>
    <m/>
    <m/>
    <m/>
    <n v="23.347577999999999"/>
    <n v="2988.49"/>
    <m/>
    <n v="420"/>
    <m/>
    <n v="128"/>
    <m/>
    <m/>
    <m/>
    <m/>
    <m/>
    <m/>
    <m/>
    <m/>
    <m/>
    <m/>
    <m/>
    <m/>
    <m/>
    <m/>
  </r>
  <r>
    <x v="11"/>
    <x v="5"/>
    <s v="COLCHÃO M.E."/>
    <m/>
    <x v="31"/>
    <m/>
    <x v="4"/>
    <n v="67972"/>
    <n v="5299"/>
    <x v="651"/>
    <m/>
    <m/>
    <m/>
    <m/>
    <m/>
    <m/>
    <m/>
    <n v="23.971537999999999"/>
    <n v="3116.3"/>
    <m/>
    <n v="420"/>
    <m/>
    <n v="130"/>
    <m/>
    <m/>
    <m/>
    <m/>
    <m/>
    <m/>
    <m/>
    <m/>
    <m/>
    <m/>
    <m/>
    <m/>
    <m/>
    <m/>
  </r>
  <r>
    <x v="11"/>
    <x v="5"/>
    <s v="COLCHÃO M.E."/>
    <m/>
    <x v="31"/>
    <m/>
    <x v="4"/>
    <n v="67972"/>
    <n v="5298"/>
    <x v="652"/>
    <m/>
    <m/>
    <m/>
    <m/>
    <m/>
    <m/>
    <m/>
    <n v="23.659528000000002"/>
    <n v="3004.76"/>
    <m/>
    <n v="420"/>
    <m/>
    <n v="127"/>
    <m/>
    <m/>
    <m/>
    <m/>
    <m/>
    <m/>
    <m/>
    <m/>
    <m/>
    <m/>
    <m/>
    <m/>
    <m/>
    <m/>
  </r>
  <r>
    <x v="11"/>
    <x v="5"/>
    <s v="COLCHÃO M.E."/>
    <m/>
    <x v="31"/>
    <m/>
    <x v="4"/>
    <n v="67972"/>
    <n v="3467"/>
    <x v="370"/>
    <m/>
    <m/>
    <m/>
    <m/>
    <m/>
    <m/>
    <m/>
    <n v="8.8918320000000008"/>
    <n v="5290.64"/>
    <m/>
    <n v="160"/>
    <m/>
    <n v="595"/>
    <m/>
    <m/>
    <m/>
    <m/>
    <m/>
    <m/>
    <m/>
    <m/>
    <m/>
    <m/>
    <m/>
    <m/>
    <m/>
    <m/>
  </r>
  <r>
    <x v="3"/>
    <x v="5"/>
    <s v="COLCHÃO M.E."/>
    <m/>
    <x v="54"/>
    <m/>
    <x v="2"/>
    <n v="68022"/>
    <n v="5305"/>
    <x v="621"/>
    <m/>
    <m/>
    <m/>
    <m/>
    <m/>
    <m/>
    <m/>
    <n v="9.0237010000000009"/>
    <n v="25500.98"/>
    <m/>
    <n v="180"/>
    <m/>
    <n v="2826"/>
    <m/>
    <m/>
    <m/>
    <m/>
    <m/>
    <m/>
    <m/>
    <m/>
    <m/>
    <m/>
    <m/>
    <m/>
    <m/>
    <m/>
  </r>
  <r>
    <x v="3"/>
    <x v="5"/>
    <s v="COLCHÃO M.E."/>
    <m/>
    <x v="54"/>
    <m/>
    <x v="2"/>
    <n v="68022"/>
    <n v="5306"/>
    <x v="620"/>
    <m/>
    <m/>
    <m/>
    <m/>
    <m/>
    <m/>
    <m/>
    <n v="9.0237010000000009"/>
    <n v="23506.74"/>
    <m/>
    <n v="180"/>
    <m/>
    <n v="2605"/>
    <m/>
    <m/>
    <m/>
    <m/>
    <m/>
    <m/>
    <m/>
    <m/>
    <m/>
    <m/>
    <m/>
    <m/>
    <m/>
    <m/>
  </r>
  <r>
    <x v="3"/>
    <x v="5"/>
    <s v="COLCHÃO M.E."/>
    <m/>
    <x v="55"/>
    <m/>
    <x v="0"/>
    <n v="68032"/>
    <n v="2209"/>
    <x v="240"/>
    <m/>
    <m/>
    <m/>
    <m/>
    <m/>
    <m/>
    <m/>
    <n v="9.990653"/>
    <n v="12248.54"/>
    <m/>
    <n v="200"/>
    <m/>
    <n v="1226"/>
    <m/>
    <m/>
    <m/>
    <m/>
    <m/>
    <m/>
    <m/>
    <m/>
    <m/>
    <m/>
    <m/>
    <m/>
    <m/>
    <m/>
  </r>
  <r>
    <x v="3"/>
    <x v="5"/>
    <s v="COLCHÃO M.E."/>
    <m/>
    <x v="55"/>
    <m/>
    <x v="0"/>
    <n v="68032"/>
    <n v="5057"/>
    <x v="607"/>
    <m/>
    <m/>
    <m/>
    <m/>
    <m/>
    <m/>
    <m/>
    <n v="8.5080620000000007"/>
    <n v="8516.57"/>
    <m/>
    <n v="180"/>
    <m/>
    <n v="1001"/>
    <m/>
    <m/>
    <m/>
    <m/>
    <m/>
    <m/>
    <m/>
    <m/>
    <m/>
    <m/>
    <m/>
    <m/>
    <m/>
    <m/>
  </r>
  <r>
    <x v="3"/>
    <x v="5"/>
    <s v="COLCHÃO M.E."/>
    <m/>
    <x v="55"/>
    <m/>
    <x v="0"/>
    <n v="68032"/>
    <n v="5218"/>
    <x v="608"/>
    <m/>
    <m/>
    <m/>
    <m/>
    <m/>
    <m/>
    <m/>
    <n v="8.8174460000000003"/>
    <n v="9355.31"/>
    <m/>
    <n v="180"/>
    <m/>
    <n v="1061"/>
    <m/>
    <m/>
    <m/>
    <m/>
    <m/>
    <m/>
    <m/>
    <m/>
    <m/>
    <m/>
    <m/>
    <m/>
    <m/>
    <m/>
  </r>
  <r>
    <x v="3"/>
    <x v="5"/>
    <s v="COLCHÃO M.E."/>
    <m/>
    <x v="55"/>
    <m/>
    <x v="0"/>
    <n v="68023"/>
    <n v="2209"/>
    <x v="240"/>
    <m/>
    <m/>
    <m/>
    <m/>
    <m/>
    <m/>
    <m/>
    <n v="9.8064359999999997"/>
    <n v="12022.69"/>
    <m/>
    <n v="200"/>
    <m/>
    <n v="1226"/>
    <m/>
    <m/>
    <m/>
    <m/>
    <m/>
    <m/>
    <m/>
    <m/>
    <m/>
    <m/>
    <m/>
    <m/>
    <m/>
    <m/>
  </r>
  <r>
    <x v="3"/>
    <x v="5"/>
    <s v="COLCHÃO M.E."/>
    <m/>
    <x v="55"/>
    <m/>
    <x v="0"/>
    <n v="68023"/>
    <n v="5057"/>
    <x v="607"/>
    <m/>
    <m/>
    <m/>
    <m/>
    <m/>
    <m/>
    <m/>
    <n v="8.3405190000000005"/>
    <n v="8348.86"/>
    <m/>
    <n v="180"/>
    <m/>
    <n v="1001"/>
    <m/>
    <m/>
    <m/>
    <m/>
    <m/>
    <m/>
    <m/>
    <m/>
    <m/>
    <m/>
    <m/>
    <m/>
    <m/>
    <m/>
  </r>
  <r>
    <x v="3"/>
    <x v="5"/>
    <s v="COLCHÃO M.E."/>
    <m/>
    <x v="55"/>
    <m/>
    <x v="0"/>
    <n v="68023"/>
    <n v="5218"/>
    <x v="608"/>
    <m/>
    <m/>
    <m/>
    <m/>
    <m/>
    <m/>
    <m/>
    <n v="8.6438170000000003"/>
    <n v="9171.09"/>
    <m/>
    <n v="180"/>
    <m/>
    <n v="1061"/>
    <m/>
    <m/>
    <m/>
    <m/>
    <m/>
    <m/>
    <m/>
    <m/>
    <m/>
    <m/>
    <m/>
    <m/>
    <m/>
    <m/>
  </r>
  <r>
    <x v="3"/>
    <x v="5"/>
    <s v="COLCHÃO M.E."/>
    <m/>
    <x v="47"/>
    <m/>
    <x v="9"/>
    <n v="68036"/>
    <n v="5168"/>
    <x v="604"/>
    <m/>
    <m/>
    <m/>
    <m/>
    <m/>
    <m/>
    <m/>
    <n v="30.196262999999998"/>
    <n v="46381.46"/>
    <m/>
    <n v="400"/>
    <m/>
    <n v="1536"/>
    <m/>
    <m/>
    <m/>
    <m/>
    <m/>
    <m/>
    <m/>
    <m/>
    <m/>
    <m/>
    <m/>
    <m/>
    <m/>
    <m/>
  </r>
  <r>
    <x v="3"/>
    <x v="5"/>
    <s v="COLCHÃO M.E."/>
    <m/>
    <x v="47"/>
    <m/>
    <x v="9"/>
    <n v="68057"/>
    <n v="4921"/>
    <x v="566"/>
    <m/>
    <m/>
    <m/>
    <m/>
    <m/>
    <m/>
    <m/>
    <n v="7.0056520000000004"/>
    <n v="34621.93"/>
    <m/>
    <n v="180"/>
    <m/>
    <n v="4942"/>
    <m/>
    <m/>
    <m/>
    <m/>
    <m/>
    <m/>
    <m/>
    <m/>
    <m/>
    <m/>
    <m/>
    <m/>
    <m/>
    <m/>
  </r>
  <r>
    <x v="3"/>
    <x v="5"/>
    <s v="COLCHÃO M.E."/>
    <m/>
    <x v="47"/>
    <m/>
    <x v="9"/>
    <n v="68057"/>
    <n v="5168"/>
    <x v="604"/>
    <m/>
    <m/>
    <m/>
    <m/>
    <m/>
    <m/>
    <m/>
    <n v="28.076388000000001"/>
    <n v="88300.24"/>
    <m/>
    <n v="400"/>
    <m/>
    <n v="3145"/>
    <m/>
    <m/>
    <m/>
    <m/>
    <m/>
    <m/>
    <m/>
    <m/>
    <m/>
    <m/>
    <m/>
    <m/>
    <m/>
    <m/>
  </r>
  <r>
    <x v="3"/>
    <x v="5"/>
    <s v="COLCHÃO M.E."/>
    <m/>
    <x v="47"/>
    <m/>
    <x v="9"/>
    <n v="68057"/>
    <n v="4922"/>
    <x v="565"/>
    <m/>
    <m/>
    <m/>
    <m/>
    <m/>
    <m/>
    <m/>
    <n v="32.741684999999997"/>
    <n v="72097.19"/>
    <m/>
    <n v="380"/>
    <m/>
    <n v="2202"/>
    <m/>
    <m/>
    <m/>
    <m/>
    <m/>
    <m/>
    <m/>
    <m/>
    <m/>
    <m/>
    <m/>
    <m/>
    <m/>
    <m/>
  </r>
  <r>
    <x v="3"/>
    <x v="5"/>
    <s v="COLCHÃO M.E."/>
    <m/>
    <x v="47"/>
    <m/>
    <x v="9"/>
    <n v="68057"/>
    <n v="4919"/>
    <x v="564"/>
    <m/>
    <m/>
    <m/>
    <m/>
    <m/>
    <m/>
    <m/>
    <n v="15.003302"/>
    <n v="25400.59"/>
    <m/>
    <n v="240"/>
    <m/>
    <n v="1693"/>
    <m/>
    <m/>
    <m/>
    <m/>
    <m/>
    <m/>
    <m/>
    <m/>
    <m/>
    <m/>
    <m/>
    <m/>
    <m/>
    <m/>
  </r>
  <r>
    <x v="3"/>
    <x v="5"/>
    <s v="COLCHÃO M.E."/>
    <m/>
    <x v="47"/>
    <m/>
    <x v="9"/>
    <n v="68057"/>
    <n v="4920"/>
    <x v="567"/>
    <m/>
    <m/>
    <m/>
    <m/>
    <m/>
    <m/>
    <m/>
    <n v="8.9025300000000005"/>
    <n v="68763.14"/>
    <m/>
    <n v="220"/>
    <m/>
    <n v="7724"/>
    <m/>
    <m/>
    <m/>
    <m/>
    <m/>
    <m/>
    <m/>
    <m/>
    <m/>
    <m/>
    <m/>
    <m/>
    <m/>
    <m/>
  </r>
  <r>
    <x v="3"/>
    <x v="5"/>
    <s v="COLCHÃO M.E."/>
    <m/>
    <x v="47"/>
    <m/>
    <x v="9"/>
    <n v="68057"/>
    <n v="4917"/>
    <x v="569"/>
    <m/>
    <m/>
    <m/>
    <m/>
    <m/>
    <m/>
    <m/>
    <n v="14.3881"/>
    <n v="28545.99"/>
    <m/>
    <n v="280"/>
    <m/>
    <n v="1984"/>
    <m/>
    <m/>
    <m/>
    <m/>
    <m/>
    <m/>
    <m/>
    <m/>
    <m/>
    <m/>
    <m/>
    <m/>
    <m/>
    <m/>
  </r>
  <r>
    <x v="3"/>
    <x v="5"/>
    <s v="COLCHÃO M.E."/>
    <m/>
    <x v="47"/>
    <m/>
    <x v="9"/>
    <n v="68057"/>
    <n v="4916"/>
    <x v="570"/>
    <m/>
    <m/>
    <m/>
    <m/>
    <m/>
    <m/>
    <m/>
    <n v="13.516560999999999"/>
    <n v="41549.910000000003"/>
    <m/>
    <n v="280"/>
    <m/>
    <n v="3074"/>
    <m/>
    <m/>
    <m/>
    <m/>
    <m/>
    <m/>
    <m/>
    <m/>
    <m/>
    <m/>
    <m/>
    <m/>
    <m/>
    <m/>
  </r>
  <r>
    <x v="3"/>
    <x v="5"/>
    <s v="COLCHÃO M.E."/>
    <m/>
    <x v="31"/>
    <m/>
    <x v="4"/>
    <n v="68064"/>
    <n v="3467"/>
    <x v="370"/>
    <m/>
    <m/>
    <m/>
    <m/>
    <m/>
    <m/>
    <m/>
    <n v="8.8918320000000008"/>
    <n v="5290.64"/>
    <m/>
    <n v="160"/>
    <m/>
    <n v="595"/>
    <m/>
    <m/>
    <m/>
    <m/>
    <m/>
    <m/>
    <m/>
    <m/>
    <m/>
    <m/>
    <m/>
    <m/>
    <m/>
    <m/>
  </r>
  <r>
    <x v="3"/>
    <x v="5"/>
    <s v="COLCHÃO M.E."/>
    <m/>
    <x v="31"/>
    <m/>
    <x v="4"/>
    <n v="68064"/>
    <n v="5298"/>
    <x v="652"/>
    <m/>
    <m/>
    <m/>
    <m/>
    <m/>
    <m/>
    <m/>
    <n v="23.659528000000002"/>
    <n v="3004.76"/>
    <m/>
    <n v="420"/>
    <m/>
    <n v="127"/>
    <m/>
    <m/>
    <m/>
    <m/>
    <m/>
    <m/>
    <m/>
    <m/>
    <m/>
    <m/>
    <m/>
    <m/>
    <m/>
    <m/>
  </r>
  <r>
    <x v="3"/>
    <x v="5"/>
    <s v="COLCHÃO M.E."/>
    <m/>
    <x v="31"/>
    <m/>
    <x v="4"/>
    <n v="68064"/>
    <n v="5299"/>
    <x v="651"/>
    <m/>
    <m/>
    <m/>
    <m/>
    <m/>
    <m/>
    <m/>
    <n v="23.971537999999999"/>
    <n v="3116.3"/>
    <m/>
    <n v="420"/>
    <m/>
    <n v="130"/>
    <m/>
    <m/>
    <m/>
    <m/>
    <m/>
    <m/>
    <m/>
    <m/>
    <m/>
    <m/>
    <m/>
    <m/>
    <m/>
    <m/>
  </r>
  <r>
    <x v="3"/>
    <x v="5"/>
    <s v="COLCHÃO M.E."/>
    <m/>
    <x v="31"/>
    <m/>
    <x v="4"/>
    <n v="68064"/>
    <n v="5300"/>
    <x v="650"/>
    <m/>
    <m/>
    <m/>
    <m/>
    <m/>
    <m/>
    <m/>
    <n v="23.347577999999999"/>
    <n v="2988.49"/>
    <m/>
    <n v="420"/>
    <m/>
    <n v="128"/>
    <m/>
    <m/>
    <m/>
    <m/>
    <m/>
    <m/>
    <m/>
    <m/>
    <m/>
    <m/>
    <m/>
    <m/>
    <m/>
    <m/>
  </r>
  <r>
    <x v="3"/>
    <x v="5"/>
    <s v="COLCHÃO M.E."/>
    <m/>
    <x v="31"/>
    <m/>
    <x v="4"/>
    <n v="68064"/>
    <n v="5328"/>
    <x v="649"/>
    <m/>
    <m/>
    <m/>
    <m/>
    <m/>
    <m/>
    <m/>
    <n v="12.895762"/>
    <n v="4990.66"/>
    <m/>
    <n v="300"/>
    <m/>
    <n v="387"/>
    <m/>
    <m/>
    <m/>
    <m/>
    <m/>
    <m/>
    <m/>
    <m/>
    <m/>
    <m/>
    <m/>
    <m/>
    <m/>
    <m/>
  </r>
  <r>
    <x v="3"/>
    <x v="5"/>
    <s v="COLCHÃO M.E."/>
    <m/>
    <x v="31"/>
    <m/>
    <x v="4"/>
    <n v="68072"/>
    <n v="3467"/>
    <x v="370"/>
    <m/>
    <m/>
    <m/>
    <m/>
    <m/>
    <m/>
    <m/>
    <n v="8.7632440000000003"/>
    <n v="5214.13"/>
    <m/>
    <n v="160"/>
    <m/>
    <n v="595"/>
    <m/>
    <m/>
    <m/>
    <m/>
    <m/>
    <m/>
    <m/>
    <m/>
    <m/>
    <m/>
    <m/>
    <m/>
    <m/>
    <m/>
  </r>
  <r>
    <x v="3"/>
    <x v="5"/>
    <s v="COLCHÃO M.E."/>
    <m/>
    <x v="31"/>
    <m/>
    <x v="4"/>
    <n v="68072"/>
    <n v="5298"/>
    <x v="652"/>
    <m/>
    <m/>
    <m/>
    <m/>
    <m/>
    <m/>
    <m/>
    <n v="23.317402000000001"/>
    <n v="2961.31"/>
    <m/>
    <n v="420"/>
    <m/>
    <n v="127"/>
    <m/>
    <m/>
    <m/>
    <m/>
    <m/>
    <m/>
    <m/>
    <m/>
    <m/>
    <m/>
    <m/>
    <m/>
    <m/>
    <m/>
  </r>
  <r>
    <x v="3"/>
    <x v="5"/>
    <s v="COLCHÃO M.E."/>
    <m/>
    <x v="31"/>
    <m/>
    <x v="4"/>
    <n v="68072"/>
    <n v="5299"/>
    <x v="651"/>
    <m/>
    <m/>
    <m/>
    <m/>
    <m/>
    <m/>
    <m/>
    <n v="23.624846000000002"/>
    <n v="3071.23"/>
    <m/>
    <n v="420"/>
    <m/>
    <n v="130"/>
    <m/>
    <m/>
    <m/>
    <m/>
    <m/>
    <m/>
    <m/>
    <m/>
    <m/>
    <m/>
    <m/>
    <m/>
    <m/>
    <m/>
  </r>
  <r>
    <x v="3"/>
    <x v="5"/>
    <s v="COLCHÃO M.E."/>
    <m/>
    <x v="31"/>
    <m/>
    <x v="4"/>
    <n v="68072"/>
    <n v="5300"/>
    <x v="650"/>
    <m/>
    <m/>
    <m/>
    <m/>
    <m/>
    <m/>
    <m/>
    <n v="23.009922"/>
    <n v="2945.27"/>
    <m/>
    <n v="420"/>
    <m/>
    <n v="128"/>
    <m/>
    <m/>
    <m/>
    <m/>
    <m/>
    <m/>
    <m/>
    <m/>
    <m/>
    <m/>
    <m/>
    <m/>
    <m/>
    <m/>
  </r>
  <r>
    <x v="3"/>
    <x v="5"/>
    <s v="COLCHÃO M.E."/>
    <m/>
    <x v="31"/>
    <m/>
    <x v="4"/>
    <n v="68072"/>
    <n v="5328"/>
    <x v="649"/>
    <m/>
    <m/>
    <m/>
    <m/>
    <m/>
    <m/>
    <m/>
    <n v="12.709251"/>
    <n v="4918.4799999999996"/>
    <m/>
    <n v="300"/>
    <m/>
    <n v="387"/>
    <m/>
    <m/>
    <m/>
    <m/>
    <m/>
    <m/>
    <m/>
    <m/>
    <m/>
    <m/>
    <m/>
    <m/>
    <m/>
    <m/>
  </r>
  <r>
    <x v="3"/>
    <x v="5"/>
    <s v="COLCHÃO M.E."/>
    <m/>
    <x v="56"/>
    <m/>
    <x v="4"/>
    <n v="68085"/>
    <n v="4160"/>
    <x v="436"/>
    <m/>
    <m/>
    <m/>
    <m/>
    <m/>
    <m/>
    <m/>
    <n v="12.299284999999999"/>
    <n v="12041"/>
    <m/>
    <n v="240"/>
    <m/>
    <n v="979"/>
    <m/>
    <m/>
    <m/>
    <m/>
    <m/>
    <m/>
    <m/>
    <m/>
    <m/>
    <m/>
    <m/>
    <m/>
    <m/>
    <m/>
  </r>
  <r>
    <x v="3"/>
    <x v="5"/>
    <s v="COLCHÃO M.E."/>
    <m/>
    <x v="1"/>
    <m/>
    <x v="1"/>
    <n v="68171"/>
    <n v="1523"/>
    <x v="184"/>
    <m/>
    <m/>
    <m/>
    <m/>
    <m/>
    <m/>
    <m/>
    <n v="8.9500250000000001"/>
    <n v="45806.23"/>
    <m/>
    <n v="180"/>
    <m/>
    <n v="5118"/>
    <m/>
    <m/>
    <m/>
    <m/>
    <m/>
    <m/>
    <m/>
    <m/>
    <m/>
    <m/>
    <m/>
    <m/>
    <m/>
    <m/>
  </r>
  <r>
    <x v="3"/>
    <x v="5"/>
    <s v="COLCHÃO M.E."/>
    <m/>
    <x v="38"/>
    <m/>
    <x v="2"/>
    <n v="68348"/>
    <n v="2536"/>
    <x v="282"/>
    <m/>
    <m/>
    <m/>
    <m/>
    <m/>
    <m/>
    <m/>
    <n v="37.964247"/>
    <n v="18146.91"/>
    <m/>
    <n v="440"/>
    <m/>
    <n v="478"/>
    <m/>
    <m/>
    <m/>
    <m/>
    <m/>
    <m/>
    <m/>
    <m/>
    <m/>
    <m/>
    <m/>
    <m/>
    <m/>
    <m/>
  </r>
  <r>
    <x v="3"/>
    <x v="5"/>
    <s v="COLCHÃO M.E."/>
    <m/>
    <x v="38"/>
    <m/>
    <x v="2"/>
    <n v="68348"/>
    <n v="3276"/>
    <x v="337"/>
    <m/>
    <m/>
    <m/>
    <m/>
    <m/>
    <m/>
    <m/>
    <n v="36.267845999999999"/>
    <n v="16501.87"/>
    <m/>
    <n v="380"/>
    <m/>
    <n v="455"/>
    <m/>
    <m/>
    <m/>
    <m/>
    <m/>
    <m/>
    <m/>
    <m/>
    <m/>
    <m/>
    <m/>
    <m/>
    <m/>
    <m/>
  </r>
  <r>
    <x v="3"/>
    <x v="5"/>
    <s v="COLCHÃO M.E."/>
    <m/>
    <x v="38"/>
    <m/>
    <x v="2"/>
    <n v="68348"/>
    <n v="4600"/>
    <x v="653"/>
    <m/>
    <m/>
    <m/>
    <m/>
    <m/>
    <m/>
    <m/>
    <n v="26.557427000000001"/>
    <n v="40154.83"/>
    <m/>
    <n v="260"/>
    <m/>
    <n v="1512"/>
    <m/>
    <m/>
    <m/>
    <m/>
    <m/>
    <m/>
    <m/>
    <m/>
    <m/>
    <m/>
    <m/>
    <m/>
    <m/>
    <m/>
  </r>
  <r>
    <x v="3"/>
    <x v="5"/>
    <s v="COLCHÃO M.E."/>
    <m/>
    <x v="47"/>
    <m/>
    <x v="9"/>
    <n v="68349"/>
    <n v="5168"/>
    <x v="604"/>
    <m/>
    <m/>
    <m/>
    <m/>
    <m/>
    <m/>
    <m/>
    <n v="29.824013000000001"/>
    <n v="18133"/>
    <m/>
    <n v="400"/>
    <m/>
    <n v="608"/>
    <m/>
    <m/>
    <m/>
    <m/>
    <m/>
    <m/>
    <m/>
    <m/>
    <m/>
    <m/>
    <m/>
    <m/>
    <m/>
    <m/>
  </r>
  <r>
    <x v="3"/>
    <x v="5"/>
    <s v="COLCHÃO M.E."/>
    <m/>
    <x v="57"/>
    <m/>
    <x v="0"/>
    <n v="68356"/>
    <n v="4745"/>
    <x v="538"/>
    <m/>
    <m/>
    <m/>
    <m/>
    <m/>
    <m/>
    <m/>
    <n v="14.886107000000001"/>
    <n v="13382.61"/>
    <m/>
    <n v="260"/>
    <m/>
    <n v="899"/>
    <m/>
    <m/>
    <m/>
    <m/>
    <m/>
    <m/>
    <m/>
    <m/>
    <m/>
    <m/>
    <m/>
    <m/>
    <m/>
    <m/>
  </r>
  <r>
    <x v="3"/>
    <x v="5"/>
    <s v="COLCHÃO M.E."/>
    <m/>
    <x v="57"/>
    <m/>
    <x v="0"/>
    <n v="68356"/>
    <n v="4746"/>
    <x v="539"/>
    <m/>
    <m/>
    <m/>
    <m/>
    <m/>
    <m/>
    <m/>
    <n v="39.900902000000002"/>
    <n v="94684.84"/>
    <m/>
    <n v="440"/>
    <m/>
    <n v="2373"/>
    <m/>
    <m/>
    <m/>
    <m/>
    <m/>
    <m/>
    <m/>
    <m/>
    <m/>
    <m/>
    <m/>
    <m/>
    <m/>
    <m/>
  </r>
  <r>
    <x v="3"/>
    <x v="5"/>
    <s v="COLCHÃO M.E."/>
    <m/>
    <x v="18"/>
    <m/>
    <x v="1"/>
    <n v="68453"/>
    <n v="4325"/>
    <x v="482"/>
    <m/>
    <m/>
    <m/>
    <m/>
    <m/>
    <m/>
    <m/>
    <n v="9.9176140000000004"/>
    <n v="6109.25"/>
    <m/>
    <n v="160"/>
    <m/>
    <n v="616"/>
    <m/>
    <m/>
    <m/>
    <m/>
    <m/>
    <m/>
    <m/>
    <m/>
    <m/>
    <m/>
    <m/>
    <m/>
    <m/>
    <m/>
  </r>
  <r>
    <x v="3"/>
    <x v="5"/>
    <s v="COLCHÃO M.E."/>
    <m/>
    <x v="18"/>
    <m/>
    <x v="1"/>
    <n v="68453"/>
    <n v="5404"/>
    <x v="654"/>
    <m/>
    <m/>
    <m/>
    <m/>
    <m/>
    <m/>
    <m/>
    <n v="9.1346480000000003"/>
    <n v="13245.24"/>
    <m/>
    <n v="180"/>
    <m/>
    <n v="1450"/>
    <m/>
    <m/>
    <m/>
    <m/>
    <m/>
    <m/>
    <m/>
    <m/>
    <m/>
    <m/>
    <m/>
    <m/>
    <m/>
    <m/>
  </r>
  <r>
    <x v="3"/>
    <x v="5"/>
    <s v="COLCHÃO M.E."/>
    <m/>
    <x v="18"/>
    <m/>
    <x v="1"/>
    <n v="68453"/>
    <n v="5403"/>
    <x v="655"/>
    <m/>
    <m/>
    <m/>
    <m/>
    <m/>
    <m/>
    <m/>
    <n v="8.6126710000000006"/>
    <n v="17544.009999999998"/>
    <m/>
    <n v="180"/>
    <m/>
    <n v="2037"/>
    <m/>
    <m/>
    <m/>
    <m/>
    <m/>
    <m/>
    <m/>
    <m/>
    <m/>
    <m/>
    <m/>
    <m/>
    <m/>
    <m/>
  </r>
  <r>
    <x v="3"/>
    <x v="5"/>
    <s v="COLCHÃO M.E."/>
    <m/>
    <x v="18"/>
    <m/>
    <x v="1"/>
    <n v="68453"/>
    <n v="4707"/>
    <x v="532"/>
    <m/>
    <m/>
    <m/>
    <m/>
    <m/>
    <m/>
    <m/>
    <n v="10.074215000000001"/>
    <n v="15463.92"/>
    <m/>
    <n v="180"/>
    <m/>
    <n v="1535"/>
    <m/>
    <m/>
    <m/>
    <m/>
    <m/>
    <m/>
    <m/>
    <m/>
    <m/>
    <m/>
    <m/>
    <m/>
    <m/>
    <m/>
  </r>
  <r>
    <x v="3"/>
    <x v="5"/>
    <s v="COLCHÃO M.E."/>
    <m/>
    <x v="18"/>
    <m/>
    <x v="1"/>
    <n v="68453"/>
    <n v="4706"/>
    <x v="537"/>
    <m/>
    <m/>
    <m/>
    <m/>
    <m/>
    <m/>
    <m/>
    <n v="10.074211"/>
    <n v="15453.84"/>
    <m/>
    <n v="180"/>
    <m/>
    <n v="1534"/>
    <m/>
    <m/>
    <m/>
    <m/>
    <m/>
    <m/>
    <m/>
    <m/>
    <m/>
    <m/>
    <m/>
    <m/>
    <m/>
    <m/>
  </r>
  <r>
    <x v="3"/>
    <x v="5"/>
    <s v="COLCHÃO M.E."/>
    <m/>
    <x v="18"/>
    <m/>
    <x v="1"/>
    <n v="68453"/>
    <n v="3500"/>
    <x v="471"/>
    <m/>
    <m/>
    <m/>
    <m/>
    <m/>
    <m/>
    <m/>
    <n v="10.074211999999999"/>
    <n v="10285.77"/>
    <m/>
    <n v="160"/>
    <m/>
    <n v="1021"/>
    <m/>
    <m/>
    <m/>
    <m/>
    <m/>
    <m/>
    <m/>
    <m/>
    <m/>
    <m/>
    <m/>
    <m/>
    <m/>
    <m/>
  </r>
  <r>
    <x v="3"/>
    <x v="5"/>
    <s v="COLCHÃO M.E."/>
    <m/>
    <x v="18"/>
    <m/>
    <x v="1"/>
    <n v="68453"/>
    <n v="3146"/>
    <x v="476"/>
    <m/>
    <m/>
    <m/>
    <m/>
    <m/>
    <m/>
    <m/>
    <n v="10.804983999999999"/>
    <n v="13441.4"/>
    <m/>
    <n v="180"/>
    <m/>
    <n v="1244"/>
    <m/>
    <m/>
    <m/>
    <m/>
    <m/>
    <m/>
    <m/>
    <m/>
    <m/>
    <m/>
    <m/>
    <m/>
    <m/>
    <m/>
  </r>
  <r>
    <x v="3"/>
    <x v="5"/>
    <s v="COLCHÃO M.E."/>
    <m/>
    <x v="18"/>
    <m/>
    <x v="1"/>
    <n v="68453"/>
    <n v="3135"/>
    <x v="480"/>
    <m/>
    <m/>
    <m/>
    <m/>
    <m/>
    <m/>
    <m/>
    <n v="9.5000339999999994"/>
    <n v="8350.5300000000007"/>
    <m/>
    <n v="160"/>
    <m/>
    <n v="879"/>
    <m/>
    <m/>
    <m/>
    <m/>
    <m/>
    <m/>
    <m/>
    <m/>
    <m/>
    <m/>
    <m/>
    <m/>
    <m/>
    <m/>
  </r>
  <r>
    <x v="3"/>
    <x v="5"/>
    <s v="COLCHÃO M.E."/>
    <m/>
    <x v="18"/>
    <m/>
    <x v="1"/>
    <n v="68453"/>
    <n v="2430"/>
    <x v="251"/>
    <m/>
    <m/>
    <m/>
    <m/>
    <m/>
    <m/>
    <m/>
    <n v="10.074206"/>
    <n v="4694.58"/>
    <m/>
    <n v="160"/>
    <m/>
    <n v="466"/>
    <m/>
    <m/>
    <m/>
    <m/>
    <m/>
    <m/>
    <m/>
    <m/>
    <m/>
    <m/>
    <m/>
    <m/>
    <m/>
    <m/>
  </r>
  <r>
    <x v="3"/>
    <x v="5"/>
    <s v="COLCHÃO M.E."/>
    <m/>
    <x v="58"/>
    <m/>
    <x v="9"/>
    <n v="68475"/>
    <n v="5301"/>
    <x v="656"/>
    <m/>
    <m/>
    <m/>
    <m/>
    <m/>
    <m/>
    <m/>
    <n v="23.697892"/>
    <n v="94341.31"/>
    <m/>
    <n v="260"/>
    <m/>
    <n v="3981"/>
    <m/>
    <m/>
    <m/>
    <m/>
    <m/>
    <m/>
    <m/>
    <m/>
    <m/>
    <m/>
    <m/>
    <m/>
    <m/>
    <m/>
  </r>
  <r>
    <x v="3"/>
    <x v="5"/>
    <s v="COLCHÃO M.E."/>
    <m/>
    <x v="58"/>
    <m/>
    <x v="9"/>
    <n v="68475"/>
    <n v="5302"/>
    <x v="657"/>
    <m/>
    <m/>
    <m/>
    <m/>
    <m/>
    <m/>
    <m/>
    <n v="18.425892999999999"/>
    <n v="94893.35"/>
    <m/>
    <n v="280"/>
    <m/>
    <n v="5150"/>
    <m/>
    <m/>
    <m/>
    <m/>
    <m/>
    <m/>
    <m/>
    <m/>
    <m/>
    <m/>
    <m/>
    <m/>
    <m/>
    <m/>
  </r>
  <r>
    <x v="3"/>
    <x v="5"/>
    <s v="COLCHÃO M.E."/>
    <m/>
    <x v="58"/>
    <m/>
    <x v="9"/>
    <n v="68475"/>
    <n v="5304"/>
    <x v="658"/>
    <m/>
    <m/>
    <m/>
    <m/>
    <m/>
    <m/>
    <m/>
    <n v="10.700589000000001"/>
    <n v="55225.74"/>
    <m/>
    <n v="220"/>
    <m/>
    <n v="5161"/>
    <m/>
    <m/>
    <m/>
    <m/>
    <m/>
    <m/>
    <m/>
    <m/>
    <m/>
    <m/>
    <m/>
    <m/>
    <m/>
    <m/>
  </r>
  <r>
    <x v="3"/>
    <x v="5"/>
    <s v="COLCHÃO M.E."/>
    <m/>
    <x v="58"/>
    <m/>
    <x v="9"/>
    <n v="68475"/>
    <n v="5325"/>
    <x v="659"/>
    <m/>
    <m/>
    <m/>
    <m/>
    <m/>
    <m/>
    <m/>
    <n v="16.651157999999999"/>
    <n v="15668.74"/>
    <m/>
    <n v="280"/>
    <m/>
    <n v="941"/>
    <m/>
    <m/>
    <m/>
    <m/>
    <m/>
    <m/>
    <m/>
    <m/>
    <m/>
    <m/>
    <m/>
    <m/>
    <m/>
    <m/>
  </r>
  <r>
    <x v="3"/>
    <x v="5"/>
    <s v="COLCHÃO M.E."/>
    <m/>
    <x v="58"/>
    <m/>
    <x v="9"/>
    <n v="68475"/>
    <n v="5325"/>
    <x v="659"/>
    <m/>
    <m/>
    <m/>
    <m/>
    <m/>
    <m/>
    <m/>
    <n v="16.651163"/>
    <n v="83205.86"/>
    <m/>
    <n v="280"/>
    <m/>
    <n v="4997"/>
    <m/>
    <m/>
    <m/>
    <m/>
    <m/>
    <m/>
    <m/>
    <m/>
    <m/>
    <m/>
    <m/>
    <m/>
    <m/>
    <m/>
  </r>
  <r>
    <x v="12"/>
    <x v="6"/>
    <m/>
    <m/>
    <x v="59"/>
    <m/>
    <x v="15"/>
    <m/>
    <m/>
    <x v="660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DCDD5-66D3-40F4-A164-3C8A7EFF0915}" name="TablaDinámica2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CLIENTES" colHeaderCaption="AÑOS">
  <location ref="Y3:AC44" firstHeaderRow="1" firstDataRow="2" firstDataCol="1"/>
  <pivotFields count="37">
    <pivotField showAll="0"/>
    <pivotField axis="axisCol" showAll="0">
      <items count="7">
        <item h="1" x="0"/>
        <item h="1" x="1"/>
        <item h="1" x="2"/>
        <item x="3"/>
        <item x="4"/>
        <item x="5"/>
        <item t="default"/>
      </items>
    </pivotField>
    <pivotField showAll="0"/>
    <pivotField showAll="0"/>
    <pivotField axis="axisRow" showAll="0" sortType="descending">
      <items count="66">
        <item x="8"/>
        <item x="25"/>
        <item x="36"/>
        <item x="32"/>
        <item x="15"/>
        <item x="30"/>
        <item x="7"/>
        <item x="10"/>
        <item x="2"/>
        <item x="18"/>
        <item x="6"/>
        <item x="3"/>
        <item x="28"/>
        <item x="16"/>
        <item x="0"/>
        <item x="37"/>
        <item x="1"/>
        <item x="29"/>
        <item x="12"/>
        <item x="26"/>
        <item x="27"/>
        <item x="9"/>
        <item h="1" x="35"/>
        <item x="20"/>
        <item x="13"/>
        <item x="5"/>
        <item x="11"/>
        <item x="17"/>
        <item x="19"/>
        <item x="14"/>
        <item x="23"/>
        <item m="1" x="64"/>
        <item x="24"/>
        <item x="22"/>
        <item x="31"/>
        <item x="33"/>
        <item x="38"/>
        <item x="21"/>
        <item x="4"/>
        <item x="34"/>
        <item x="39"/>
        <item x="40"/>
        <item h="1" m="1" x="62"/>
        <item x="41"/>
        <item x="52"/>
        <item x="42"/>
        <item x="43"/>
        <item m="1" x="61"/>
        <item x="44"/>
        <item x="45"/>
        <item x="46"/>
        <item m="1" x="63"/>
        <item x="47"/>
        <item x="48"/>
        <item m="1" x="60"/>
        <item m="1" x="59"/>
        <item x="49"/>
        <item x="50"/>
        <item x="51"/>
        <item x="53"/>
        <item h="1" x="54"/>
        <item h="1" x="55"/>
        <item h="1" x="56"/>
        <item h="1" x="57"/>
        <item h="1"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0">
    <i>
      <x v="16"/>
    </i>
    <i>
      <x v="2"/>
    </i>
    <i>
      <x v="21"/>
    </i>
    <i>
      <x v="9"/>
    </i>
    <i>
      <x v="46"/>
    </i>
    <i>
      <x v="24"/>
    </i>
    <i>
      <x v="32"/>
    </i>
    <i>
      <x v="52"/>
    </i>
    <i>
      <x v="35"/>
    </i>
    <i>
      <x v="37"/>
    </i>
    <i>
      <x v="27"/>
    </i>
    <i>
      <x v="45"/>
    </i>
    <i>
      <x v="5"/>
    </i>
    <i>
      <x v="41"/>
    </i>
    <i>
      <x v="17"/>
    </i>
    <i>
      <x v="1"/>
    </i>
    <i>
      <x v="58"/>
    </i>
    <i>
      <x v="36"/>
    </i>
    <i>
      <x v="15"/>
    </i>
    <i>
      <x v="13"/>
    </i>
    <i>
      <x v="12"/>
    </i>
    <i>
      <x v="49"/>
    </i>
    <i>
      <x v="34"/>
    </i>
    <i>
      <x v="59"/>
    </i>
    <i>
      <x v="44"/>
    </i>
    <i>
      <x v="53"/>
    </i>
    <i>
      <x v="57"/>
    </i>
    <i>
      <x v="25"/>
    </i>
    <i>
      <x v="10"/>
    </i>
    <i>
      <x v="30"/>
    </i>
    <i>
      <x v="50"/>
    </i>
    <i>
      <x v="48"/>
    </i>
    <i>
      <x v="43"/>
    </i>
    <i>
      <x v="3"/>
    </i>
    <i>
      <x v="20"/>
    </i>
    <i>
      <x v="40"/>
    </i>
    <i>
      <x v="28"/>
    </i>
    <i>
      <x v="56"/>
    </i>
    <i>
      <x v="39"/>
    </i>
    <i t="grand">
      <x/>
    </i>
  </rowItems>
  <colFields count="1">
    <field x="1"/>
  </colFields>
  <colItems count="4">
    <i>
      <x v="3"/>
    </i>
    <i>
      <x v="4"/>
    </i>
    <i>
      <x v="5"/>
    </i>
    <i t="grand">
      <x/>
    </i>
  </colItems>
  <dataFields count="1">
    <dataField name="Suma de MT" fld="22" baseField="0" baseItem="0" numFmtId="3"/>
  </dataFields>
  <formats count="75">
    <format dxfId="2214">
      <pivotArea outline="0" collapsedLevelsAreSubtotals="1" fieldPosition="0"/>
    </format>
    <format dxfId="2213">
      <pivotArea field="1" type="button" dataOnly="0" labelOnly="1" outline="0" axis="axisCol" fieldPosition="0"/>
    </format>
    <format dxfId="2212">
      <pivotArea type="topRight" dataOnly="0" labelOnly="1" outline="0" fieldPosition="0"/>
    </format>
    <format dxfId="2211">
      <pivotArea dataOnly="0" labelOnly="1" fieldPosition="0">
        <references count="1">
          <reference field="1" count="0"/>
        </references>
      </pivotArea>
    </format>
    <format dxfId="2210">
      <pivotArea dataOnly="0" labelOnly="1" grandCol="1" outline="0" fieldPosition="0"/>
    </format>
    <format dxfId="2209">
      <pivotArea outline="0" collapsedLevelsAreSubtotals="1" fieldPosition="0"/>
    </format>
    <format dxfId="2208">
      <pivotArea grandCol="1" outline="0" collapsedLevelsAreSubtotals="1" fieldPosition="0"/>
    </format>
    <format dxfId="2207">
      <pivotArea type="origin" dataOnly="0" labelOnly="1" outline="0" fieldPosition="0"/>
    </format>
    <format dxfId="2206">
      <pivotArea collapsedLevelsAreSubtotals="1" fieldPosition="0">
        <references count="2">
          <reference field="1" count="1" selected="0">
            <x v="3"/>
          </reference>
          <reference field="4" count="1">
            <x v="38"/>
          </reference>
        </references>
      </pivotArea>
    </format>
    <format dxfId="2205">
      <pivotArea collapsedLevelsAreSubtotals="1" fieldPosition="0">
        <references count="2">
          <reference field="1" count="1" selected="0">
            <x v="4"/>
          </reference>
          <reference field="4" count="1">
            <x v="38"/>
          </reference>
        </references>
      </pivotArea>
    </format>
    <format dxfId="2204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33"/>
          </reference>
        </references>
      </pivotArea>
    </format>
    <format dxfId="2203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38"/>
          </reference>
        </references>
      </pivotArea>
    </format>
    <format dxfId="2202">
      <pivotArea collapsedLevelsAreSubtotals="1" fieldPosition="0">
        <references count="2">
          <reference field="1" count="1" selected="0">
            <x v="4"/>
          </reference>
          <reference field="4" count="1">
            <x v="1"/>
          </reference>
        </references>
      </pivotArea>
    </format>
    <format dxfId="2201">
      <pivotArea collapsedLevelsAreSubtotals="1" fieldPosition="0">
        <references count="2">
          <reference field="1" count="1" selected="0">
            <x v="4"/>
          </reference>
          <reference field="4" count="1">
            <x v="4"/>
          </reference>
        </references>
      </pivotArea>
    </format>
    <format dxfId="2200">
      <pivotArea collapsedLevelsAreSubtotals="1" fieldPosition="0">
        <references count="2">
          <reference field="1" count="1" selected="0">
            <x v="4"/>
          </reference>
          <reference field="4" count="3">
            <x v="7"/>
            <x v="8"/>
            <x v="24"/>
          </reference>
        </references>
      </pivotArea>
    </format>
    <format dxfId="2199">
      <pivotArea collapsedLevelsAreSubtotals="1" fieldPosition="0">
        <references count="2">
          <reference field="1" count="1" selected="0">
            <x v="4"/>
          </reference>
          <reference field="4" count="2">
            <x v="11"/>
            <x v="29"/>
          </reference>
        </references>
      </pivotArea>
    </format>
    <format dxfId="2198">
      <pivotArea collapsedLevelsAreSubtotals="1" fieldPosition="0">
        <references count="2">
          <reference field="1" count="1" selected="0">
            <x v="4"/>
          </reference>
          <reference field="4" count="1">
            <x v="30"/>
          </reference>
        </references>
      </pivotArea>
    </format>
    <format dxfId="2197">
      <pivotArea collapsedLevelsAreSubtotals="1" fieldPosition="0">
        <references count="2">
          <reference field="1" count="1" selected="0">
            <x v="4"/>
          </reference>
          <reference field="4" count="1">
            <x v="6"/>
          </reference>
        </references>
      </pivotArea>
    </format>
    <format dxfId="2196">
      <pivotArea collapsedLevelsAreSubtotals="1" fieldPosition="0">
        <references count="2">
          <reference field="1" count="1" selected="0">
            <x v="4"/>
          </reference>
          <reference field="4" count="2">
            <x v="28"/>
            <x v="34"/>
          </reference>
        </references>
      </pivotArea>
    </format>
    <format dxfId="2195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23"/>
          </reference>
        </references>
      </pivotArea>
    </format>
    <format dxfId="2194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10"/>
          </reference>
        </references>
      </pivotArea>
    </format>
    <format dxfId="2193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26"/>
          </reference>
        </references>
      </pivotArea>
    </format>
    <format dxfId="2192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0"/>
          </reference>
        </references>
      </pivotArea>
    </format>
    <format dxfId="2191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18"/>
          </reference>
        </references>
      </pivotArea>
    </format>
    <format dxfId="2190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19"/>
          </reference>
        </references>
      </pivotArea>
    </format>
    <format dxfId="2189">
      <pivotArea dataOnly="0" labelOnly="1" fieldPosition="0">
        <references count="1">
          <reference field="4" count="0"/>
        </references>
      </pivotArea>
    </format>
    <format dxfId="2188">
      <pivotArea dataOnly="0" labelOnly="1" fieldPosition="0">
        <references count="1">
          <reference field="4" count="0"/>
        </references>
      </pivotArea>
    </format>
    <format dxfId="2187">
      <pivotArea dataOnly="0" labelOnly="1" fieldPosition="0">
        <references count="1">
          <reference field="4" count="1">
            <x v="14"/>
          </reference>
        </references>
      </pivotArea>
    </format>
    <format dxfId="2186">
      <pivotArea dataOnly="0" labelOnly="1" fieldPosition="0">
        <references count="1">
          <reference field="4" count="10">
            <x v="2"/>
            <x v="13"/>
            <x v="16"/>
            <x v="21"/>
            <x v="24"/>
            <x v="27"/>
            <x v="31"/>
            <x v="32"/>
            <x v="33"/>
            <x v="38"/>
          </reference>
        </references>
      </pivotArea>
    </format>
    <format dxfId="2185">
      <pivotArea collapsedLevelsAreSubtotals="1" fieldPosition="0">
        <references count="2">
          <reference field="1" count="1" selected="0">
            <x v="4"/>
          </reference>
          <reference field="4" count="1">
            <x v="24"/>
          </reference>
        </references>
      </pivotArea>
    </format>
    <format dxfId="2184">
      <pivotArea collapsedLevelsAreSubtotals="1" fieldPosition="0">
        <references count="2">
          <reference field="1" count="1" selected="0">
            <x v="3"/>
          </reference>
          <reference field="4" count="1">
            <x v="24"/>
          </reference>
        </references>
      </pivotArea>
    </format>
    <format dxfId="2183">
      <pivotArea collapsedLevelsAreSubtotals="1" fieldPosition="0">
        <references count="2">
          <reference field="1" count="1" selected="0">
            <x v="4"/>
          </reference>
          <reference field="4" count="1">
            <x v="35"/>
          </reference>
        </references>
      </pivotArea>
    </format>
    <format dxfId="2182">
      <pivotArea collapsedLevelsAreSubtotals="1" fieldPosition="0">
        <references count="2">
          <reference field="1" count="1" selected="0">
            <x v="4"/>
          </reference>
          <reference field="4" count="1">
            <x v="5"/>
          </reference>
        </references>
      </pivotArea>
    </format>
    <format dxfId="2181">
      <pivotArea collapsedLevelsAreSubtotals="1" fieldPosition="0">
        <references count="2">
          <reference field="1" count="1" selected="0">
            <x v="3"/>
          </reference>
          <reference field="4" count="1">
            <x v="7"/>
          </reference>
        </references>
      </pivotArea>
    </format>
    <format dxfId="2180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8"/>
          </reference>
        </references>
      </pivotArea>
    </format>
    <format dxfId="2179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11"/>
          </reference>
        </references>
      </pivotArea>
    </format>
    <format dxfId="2178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9"/>
          </reference>
        </references>
      </pivotArea>
    </format>
    <format dxfId="2177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9"/>
          </reference>
        </references>
      </pivotArea>
    </format>
    <format dxfId="2176">
      <pivotArea collapsedLevelsAreSubtotals="1" fieldPosition="0">
        <references count="2">
          <reference field="1" count="1" selected="0">
            <x v="4"/>
          </reference>
          <reference field="4" count="1">
            <x v="9"/>
          </reference>
        </references>
      </pivotArea>
    </format>
    <format dxfId="2175">
      <pivotArea collapsedLevelsAreSubtotals="1" fieldPosition="0">
        <references count="2">
          <reference field="1" count="2" selected="0">
            <x v="2"/>
            <x v="3"/>
          </reference>
          <reference field="4" count="1">
            <x v="29"/>
          </reference>
        </references>
      </pivotArea>
    </format>
    <format dxfId="2174">
      <pivotArea collapsedLevelsAreSubtotals="1" fieldPosition="0">
        <references count="2">
          <reference field="1" count="1" selected="0">
            <x v="2"/>
          </reference>
          <reference field="4" count="1">
            <x v="6"/>
          </reference>
        </references>
      </pivotArea>
    </format>
    <format dxfId="2173">
      <pivotArea collapsedLevelsAreSubtotals="1" fieldPosition="0">
        <references count="2">
          <reference field="1" count="1" selected="0">
            <x v="2"/>
          </reference>
          <reference field="4" count="1">
            <x v="23"/>
          </reference>
        </references>
      </pivotArea>
    </format>
    <format dxfId="2172">
      <pivotArea collapsedLevelsAreSubtotals="1" fieldPosition="0">
        <references count="2">
          <reference field="1" count="1" selected="0">
            <x v="1"/>
          </reference>
          <reference field="4" count="1">
            <x v="10"/>
          </reference>
        </references>
      </pivotArea>
    </format>
    <format dxfId="2171">
      <pivotArea collapsedLevelsAreSubtotals="1" fieldPosition="0">
        <references count="2">
          <reference field="1" count="1" selected="0">
            <x v="2"/>
          </reference>
          <reference field="4" count="1">
            <x v="26"/>
          </reference>
        </references>
      </pivotArea>
    </format>
    <format dxfId="2170">
      <pivotArea collapsedLevelsAreSubtotals="1" fieldPosition="0">
        <references count="2">
          <reference field="1" count="1" selected="0">
            <x v="4"/>
          </reference>
          <reference field="4" count="1">
            <x v="20"/>
          </reference>
        </references>
      </pivotArea>
    </format>
    <format dxfId="2169">
      <pivotArea collapsedLevelsAreSubtotals="1" fieldPosition="0">
        <references count="2">
          <reference field="1" count="1" selected="0">
            <x v="2"/>
          </reference>
          <reference field="4" count="2">
            <x v="0"/>
            <x v="18"/>
          </reference>
        </references>
      </pivotArea>
    </format>
    <format dxfId="2168">
      <pivotArea collapsedLevelsAreSubtotals="1" fieldPosition="0">
        <references count="2">
          <reference field="1" count="1" selected="0">
            <x v="2"/>
          </reference>
          <reference field="4" count="1">
            <x v="28"/>
          </reference>
        </references>
      </pivotArea>
    </format>
    <format dxfId="2167">
      <pivotArea collapsedLevelsAreSubtotals="1" fieldPosition="0">
        <references count="2">
          <reference field="1" count="1" selected="0">
            <x v="4"/>
          </reference>
          <reference field="4" count="1">
            <x v="34"/>
          </reference>
        </references>
      </pivotArea>
    </format>
    <format dxfId="2166">
      <pivotArea collapsedLevelsAreSubtotals="1" fieldPosition="0">
        <references count="2">
          <reference field="1" count="1" selected="0">
            <x v="4"/>
          </reference>
          <reference field="4" count="1">
            <x v="3"/>
          </reference>
        </references>
      </pivotArea>
    </format>
    <format dxfId="2165">
      <pivotArea collapsedLevelsAreSubtotals="1" fieldPosition="0">
        <references count="2">
          <reference field="1" count="1" selected="0">
            <x v="3"/>
          </reference>
          <reference field="4" count="1">
            <x v="43"/>
          </reference>
        </references>
      </pivotArea>
    </format>
    <format dxfId="2164">
      <pivotArea collapsedLevelsAreSubtotals="1" fieldPosition="0">
        <references count="2">
          <reference field="1" count="1" selected="0">
            <x v="3"/>
          </reference>
          <reference field="4" count="1">
            <x v="40"/>
          </reference>
        </references>
      </pivotArea>
    </format>
    <format dxfId="2163">
      <pivotArea collapsedLevelsAreSubtotals="1" fieldPosition="0">
        <references count="2">
          <reference field="1" count="1" selected="0">
            <x v="4"/>
          </reference>
          <reference field="4" count="1">
            <x v="31"/>
          </reference>
        </references>
      </pivotArea>
    </format>
    <format dxfId="2162">
      <pivotArea collapsedLevelsAreSubtotals="1" fieldPosition="0">
        <references count="2">
          <reference field="1" count="1" selected="0">
            <x v="4"/>
          </reference>
          <reference field="4" count="1">
            <x v="10"/>
          </reference>
        </references>
      </pivotArea>
    </format>
    <format dxfId="2161">
      <pivotArea dataOnly="0" labelOnly="1" fieldPosition="0">
        <references count="1">
          <reference field="4" count="10">
            <x v="2"/>
            <x v="5"/>
            <x v="16"/>
            <x v="21"/>
            <x v="24"/>
            <x v="27"/>
            <x v="31"/>
            <x v="32"/>
            <x v="35"/>
            <x v="37"/>
          </reference>
        </references>
      </pivotArea>
    </format>
    <format dxfId="2160">
      <pivotArea dataOnly="0" labelOnly="1" fieldPosition="0">
        <references count="1">
          <reference field="4" count="1">
            <x v="13"/>
          </reference>
        </references>
      </pivotArea>
    </format>
    <format dxfId="2159">
      <pivotArea collapsedLevelsAreSubtotals="1" fieldPosition="0">
        <references count="2">
          <reference field="1" count="1" selected="0">
            <x v="5"/>
          </reference>
          <reference field="4" count="2">
            <x v="2"/>
            <x v="32"/>
          </reference>
        </references>
      </pivotArea>
    </format>
    <format dxfId="2158">
      <pivotArea collapsedLevelsAreSubtotals="1" fieldPosition="0">
        <references count="2">
          <reference field="1" count="1" selected="0">
            <x v="5"/>
          </reference>
          <reference field="4" count="2">
            <x v="27"/>
            <x v="31"/>
          </reference>
        </references>
      </pivotArea>
    </format>
    <format dxfId="2157">
      <pivotArea collapsedLevelsAreSubtotals="1" fieldPosition="0">
        <references count="2">
          <reference field="1" count="1" selected="0">
            <x v="5"/>
          </reference>
          <reference field="4" count="1">
            <x v="5"/>
          </reference>
        </references>
      </pivotArea>
    </format>
    <format dxfId="2156">
      <pivotArea collapsedLevelsAreSubtotals="1" fieldPosition="0">
        <references count="2">
          <reference field="1" count="1" selected="0">
            <x v="5"/>
          </reference>
          <reference field="4" count="6">
            <x v="1"/>
            <x v="9"/>
            <x v="13"/>
            <x v="17"/>
            <x v="41"/>
            <x v="45"/>
          </reference>
        </references>
      </pivotArea>
    </format>
    <format dxfId="2155">
      <pivotArea collapsedLevelsAreSubtotals="1" fieldPosition="0">
        <references count="2">
          <reference field="1" count="1" selected="0">
            <x v="5"/>
          </reference>
          <reference field="4" count="11">
            <x v="3"/>
            <x v="10"/>
            <x v="12"/>
            <x v="15"/>
            <x v="20"/>
            <x v="25"/>
            <x v="28"/>
            <x v="30"/>
            <x v="34"/>
            <x v="40"/>
            <x v="43"/>
          </reference>
        </references>
      </pivotArea>
    </format>
    <format dxfId="2154">
      <pivotArea collapsedLevelsAreSubtotals="1" fieldPosition="0">
        <references count="2">
          <reference field="1" count="1" selected="0">
            <x v="5"/>
          </reference>
          <reference field="4" count="1">
            <x v="46"/>
          </reference>
        </references>
      </pivotArea>
    </format>
    <format dxfId="2153">
      <pivotArea collapsedLevelsAreSubtotals="1" fieldPosition="0">
        <references count="2">
          <reference field="1" count="1" selected="0">
            <x v="5"/>
          </reference>
          <reference field="4" count="1">
            <x v="48"/>
          </reference>
        </references>
      </pivotArea>
    </format>
    <format dxfId="2152">
      <pivotArea collapsedLevelsAreSubtotals="1" fieldPosition="0">
        <references count="2">
          <reference field="1" count="1" selected="0">
            <x v="5"/>
          </reference>
          <reference field="4" count="1">
            <x v="39"/>
          </reference>
        </references>
      </pivotArea>
    </format>
    <format dxfId="2151">
      <pivotArea dataOnly="0" labelOnly="1" fieldPosition="0">
        <references count="1">
          <reference field="4" count="10">
            <x v="2"/>
            <x v="9"/>
            <x v="16"/>
            <x v="21"/>
            <x v="24"/>
            <x v="27"/>
            <x v="32"/>
            <x v="35"/>
            <x v="37"/>
            <x v="46"/>
          </reference>
        </references>
      </pivotArea>
    </format>
    <format dxfId="2150">
      <pivotArea dataOnly="0" labelOnly="1" fieldPosition="0">
        <references count="1">
          <reference field="4" count="1">
            <x v="5"/>
          </reference>
        </references>
      </pivotArea>
    </format>
    <format dxfId="2149">
      <pivotArea collapsedLevelsAreSubtotals="1" fieldPosition="0">
        <references count="2">
          <reference field="1" count="1" selected="0">
            <x v="5"/>
          </reference>
          <reference field="4" count="5">
            <x v="2"/>
            <x v="9"/>
            <x v="16"/>
            <x v="21"/>
            <x v="24"/>
          </reference>
        </references>
      </pivotArea>
    </format>
    <format dxfId="2148">
      <pivotArea collapsedLevelsAreSubtotals="1" fieldPosition="0">
        <references count="2">
          <reference field="1" count="1" selected="0">
            <x v="5"/>
          </reference>
          <reference field="4" count="1">
            <x v="37"/>
          </reference>
        </references>
      </pivotArea>
    </format>
    <format dxfId="2147">
      <pivotArea collapsedLevelsAreSubtotals="1" fieldPosition="0">
        <references count="2">
          <reference field="1" count="1" selected="0">
            <x v="5"/>
          </reference>
          <reference field="4" count="1">
            <x v="45"/>
          </reference>
        </references>
      </pivotArea>
    </format>
    <format dxfId="2146">
      <pivotArea collapsedLevelsAreSubtotals="1" fieldPosition="0">
        <references count="2">
          <reference field="1" count="1" selected="0">
            <x v="5"/>
          </reference>
          <reference field="4" count="1">
            <x v="32"/>
          </reference>
        </references>
      </pivotArea>
    </format>
    <format dxfId="2145">
      <pivotArea collapsedLevelsAreSubtotals="1" fieldPosition="0">
        <references count="2">
          <reference field="1" count="1" selected="0">
            <x v="5"/>
          </reference>
          <reference field="4" count="1">
            <x v="15"/>
          </reference>
        </references>
      </pivotArea>
    </format>
    <format dxfId="2144">
      <pivotArea dataOnly="0" labelOnly="1" fieldPosition="0">
        <references count="1">
          <reference field="4" count="1">
            <x v="58"/>
          </reference>
        </references>
      </pivotArea>
    </format>
    <format dxfId="2143">
      <pivotArea dataOnly="0" labelOnly="1" fieldPosition="0">
        <references count="1">
          <reference field="4" count="1">
            <x v="58"/>
          </reference>
        </references>
      </pivotArea>
    </format>
    <format dxfId="1352">
      <pivotArea dataOnly="0" labelOnly="1" fieldPosition="0">
        <references count="1">
          <reference field="4" count="1">
            <x v="52"/>
          </reference>
        </references>
      </pivotArea>
    </format>
    <format dxfId="1351">
      <pivotArea dataOnly="0" labelOnly="1" fieldPosition="0">
        <references count="1">
          <reference field="4" count="1">
            <x v="27"/>
          </reference>
        </references>
      </pivotArea>
    </format>
    <format dxfId="1350">
      <pivotArea collapsedLevelsAreSubtotals="1" fieldPosition="0">
        <references count="2">
          <reference field="1" count="1" selected="0">
            <x v="5"/>
          </reference>
          <reference field="4" count="1">
            <x v="46"/>
          </reference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AD8A2-D7A8-481D-B0C4-5D2945335A8D}" name="TablaDinámica1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CLIENTES" colHeaderCaption="AÑOS">
  <location ref="A3:E44" firstHeaderRow="1" firstDataRow="2" firstDataCol="1"/>
  <pivotFields count="37">
    <pivotField showAll="0"/>
    <pivotField axis="axisCol" showAll="0">
      <items count="7">
        <item h="1" x="0"/>
        <item h="1" x="1"/>
        <item h="1" x="2"/>
        <item x="3"/>
        <item x="4"/>
        <item x="5"/>
        <item t="default"/>
      </items>
    </pivotField>
    <pivotField showAll="0"/>
    <pivotField showAll="0"/>
    <pivotField axis="axisRow" showAll="0" sortType="descending">
      <items count="66">
        <item x="8"/>
        <item x="25"/>
        <item x="36"/>
        <item x="32"/>
        <item x="15"/>
        <item x="30"/>
        <item x="7"/>
        <item x="10"/>
        <item x="2"/>
        <item x="18"/>
        <item x="6"/>
        <item x="3"/>
        <item x="28"/>
        <item x="16"/>
        <item x="0"/>
        <item x="37"/>
        <item x="1"/>
        <item x="29"/>
        <item x="12"/>
        <item x="26"/>
        <item x="27"/>
        <item x="9"/>
        <item h="1" x="35"/>
        <item x="20"/>
        <item x="13"/>
        <item x="5"/>
        <item x="11"/>
        <item x="17"/>
        <item x="19"/>
        <item x="14"/>
        <item x="23"/>
        <item m="1" x="64"/>
        <item x="24"/>
        <item x="22"/>
        <item x="31"/>
        <item x="33"/>
        <item x="38"/>
        <item x="21"/>
        <item x="4"/>
        <item x="34"/>
        <item x="39"/>
        <item x="40"/>
        <item h="1" m="1" x="62"/>
        <item x="41"/>
        <item x="52"/>
        <item x="42"/>
        <item x="43"/>
        <item m="1" x="61"/>
        <item x="44"/>
        <item x="45"/>
        <item x="46"/>
        <item m="1" x="63"/>
        <item x="47"/>
        <item x="48"/>
        <item m="1" x="60"/>
        <item m="1" x="59"/>
        <item x="49"/>
        <item x="50"/>
        <item x="51"/>
        <item x="53"/>
        <item h="1" x="54"/>
        <item h="1" x="55"/>
        <item h="1" x="56"/>
        <item h="1" x="57"/>
        <item h="1"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0">
    <i>
      <x v="16"/>
    </i>
    <i>
      <x v="21"/>
    </i>
    <i>
      <x v="2"/>
    </i>
    <i>
      <x v="52"/>
    </i>
    <i>
      <x v="32"/>
    </i>
    <i>
      <x v="9"/>
    </i>
    <i>
      <x v="46"/>
    </i>
    <i>
      <x v="24"/>
    </i>
    <i>
      <x v="35"/>
    </i>
    <i>
      <x v="36"/>
    </i>
    <i>
      <x v="37"/>
    </i>
    <i>
      <x v="12"/>
    </i>
    <i>
      <x v="27"/>
    </i>
    <i>
      <x v="58"/>
    </i>
    <i>
      <x v="41"/>
    </i>
    <i>
      <x v="5"/>
    </i>
    <i>
      <x v="17"/>
    </i>
    <i>
      <x v="45"/>
    </i>
    <i>
      <x v="49"/>
    </i>
    <i>
      <x v="13"/>
    </i>
    <i>
      <x v="15"/>
    </i>
    <i>
      <x v="1"/>
    </i>
    <i>
      <x v="53"/>
    </i>
    <i>
      <x v="57"/>
    </i>
    <i>
      <x v="34"/>
    </i>
    <i>
      <x v="28"/>
    </i>
    <i>
      <x v="25"/>
    </i>
    <i>
      <x v="59"/>
    </i>
    <i>
      <x v="30"/>
    </i>
    <i>
      <x v="48"/>
    </i>
    <i>
      <x v="44"/>
    </i>
    <i>
      <x v="10"/>
    </i>
    <i>
      <x v="43"/>
    </i>
    <i>
      <x v="3"/>
    </i>
    <i>
      <x v="50"/>
    </i>
    <i>
      <x v="20"/>
    </i>
    <i>
      <x v="40"/>
    </i>
    <i>
      <x v="56"/>
    </i>
    <i>
      <x v="39"/>
    </i>
    <i t="grand">
      <x/>
    </i>
  </rowItems>
  <colFields count="1">
    <field x="1"/>
  </colFields>
  <colItems count="4">
    <i>
      <x v="3"/>
    </i>
    <i>
      <x v="4"/>
    </i>
    <i>
      <x v="5"/>
    </i>
    <i t="grand">
      <x/>
    </i>
  </colItems>
  <dataFields count="1">
    <dataField name="Suma de Valor (total R$)" fld="18" baseField="0" baseItem="0" numFmtId="4"/>
  </dataFields>
  <formats count="98">
    <format dxfId="2309">
      <pivotArea outline="0" collapsedLevelsAreSubtotals="1" fieldPosition="0"/>
    </format>
    <format dxfId="2308">
      <pivotArea field="1" type="button" dataOnly="0" labelOnly="1" outline="0" axis="axisCol" fieldPosition="0"/>
    </format>
    <format dxfId="2307">
      <pivotArea type="topRight" dataOnly="0" labelOnly="1" outline="0" fieldPosition="0"/>
    </format>
    <format dxfId="2306">
      <pivotArea dataOnly="0" labelOnly="1" fieldPosition="0">
        <references count="1">
          <reference field="1" count="0"/>
        </references>
      </pivotArea>
    </format>
    <format dxfId="2305">
      <pivotArea dataOnly="0" labelOnly="1" grandCol="1" outline="0" fieldPosition="0"/>
    </format>
    <format dxfId="2304">
      <pivotArea outline="0" collapsedLevelsAreSubtotals="1" fieldPosition="0"/>
    </format>
    <format dxfId="2303">
      <pivotArea grandCol="1" outline="0" collapsedLevelsAreSubtotals="1" fieldPosition="0"/>
    </format>
    <format dxfId="2302">
      <pivotArea type="origin" dataOnly="0" labelOnly="1" outline="0" fieldPosition="0"/>
    </format>
    <format dxfId="2301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24"/>
          </reference>
        </references>
      </pivotArea>
    </format>
    <format dxfId="2300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4"/>
          </reference>
        </references>
      </pivotArea>
    </format>
    <format dxfId="2299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29"/>
          </reference>
        </references>
      </pivotArea>
    </format>
    <format dxfId="2298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11"/>
          </reference>
        </references>
      </pivotArea>
    </format>
    <format dxfId="2297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8"/>
          </reference>
        </references>
      </pivotArea>
    </format>
    <format dxfId="2296">
      <pivotArea collapsedLevelsAreSubtotals="1" fieldPosition="0">
        <references count="2">
          <reference field="1" count="1" selected="0">
            <x v="4"/>
          </reference>
          <reference field="4" count="1">
            <x v="30"/>
          </reference>
        </references>
      </pivotArea>
    </format>
    <format dxfId="2295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23"/>
          </reference>
        </references>
      </pivotArea>
    </format>
    <format dxfId="2294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19"/>
          </reference>
        </references>
      </pivotArea>
    </format>
    <format dxfId="2293">
      <pivotArea collapsedLevelsAreSubtotals="1" fieldPosition="0">
        <references count="2">
          <reference field="1" count="1" selected="0">
            <x v="4"/>
          </reference>
          <reference field="4" count="1">
            <x v="34"/>
          </reference>
        </references>
      </pivotArea>
    </format>
    <format dxfId="2292">
      <pivotArea collapsedLevelsAreSubtotals="1" fieldPosition="0">
        <references count="2">
          <reference field="1" count="4" selected="0">
            <x v="1"/>
            <x v="2"/>
            <x v="3"/>
            <x v="4"/>
          </reference>
          <reference field="4" count="1">
            <x v="10"/>
          </reference>
        </references>
      </pivotArea>
    </format>
    <format dxfId="2291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6"/>
          </reference>
        </references>
      </pivotArea>
    </format>
    <format dxfId="2290">
      <pivotArea collapsedLevelsAreSubtotals="1" fieldPosition="0">
        <references count="2">
          <reference field="1" count="2" selected="0">
            <x v="1"/>
            <x v="2"/>
          </reference>
          <reference field="4" count="2">
            <x v="8"/>
            <x v="11"/>
          </reference>
        </references>
      </pivotArea>
    </format>
    <format dxfId="2289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2">
            <x v="0"/>
            <x v="26"/>
          </reference>
        </references>
      </pivotArea>
    </format>
    <format dxfId="2288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18"/>
          </reference>
        </references>
      </pivotArea>
    </format>
    <format dxfId="2287">
      <pivotArea dataOnly="0" labelOnly="1" fieldPosition="0">
        <references count="1">
          <reference field="4" count="5">
            <x v="7"/>
            <x v="16"/>
            <x v="21"/>
            <x v="27"/>
            <x v="32"/>
          </reference>
        </references>
      </pivotArea>
    </format>
    <format dxfId="2286">
      <pivotArea collapsedLevelsAreSubtotals="1" fieldPosition="0">
        <references count="2">
          <reference field="1" count="1" selected="0">
            <x v="4"/>
          </reference>
          <reference field="4" count="1">
            <x v="3"/>
          </reference>
        </references>
      </pivotArea>
    </format>
    <format dxfId="2285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24"/>
          </reference>
        </references>
      </pivotArea>
    </format>
    <format dxfId="2284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4"/>
          </reference>
        </references>
      </pivotArea>
    </format>
    <format dxfId="2283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29"/>
          </reference>
        </references>
      </pivotArea>
    </format>
    <format dxfId="2282">
      <pivotArea collapsedLevelsAreSubtotals="1" fieldPosition="0">
        <references count="2">
          <reference field="1" count="4" selected="0">
            <x v="1"/>
            <x v="2"/>
            <x v="3"/>
            <x v="4"/>
          </reference>
          <reference field="4" count="2">
            <x v="8"/>
            <x v="11"/>
          </reference>
        </references>
      </pivotArea>
    </format>
    <format dxfId="2281">
      <pivotArea collapsedLevelsAreSubtotals="1" fieldPosition="0">
        <references count="2">
          <reference field="1" count="1" selected="0">
            <x v="4"/>
          </reference>
          <reference field="4" count="1">
            <x v="30"/>
          </reference>
        </references>
      </pivotArea>
    </format>
    <format dxfId="2280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6"/>
          </reference>
        </references>
      </pivotArea>
    </format>
    <format dxfId="2279">
      <pivotArea collapsedLevelsAreSubtotals="1" fieldPosition="0">
        <references count="2">
          <reference field="1" count="1" selected="0">
            <x v="4"/>
          </reference>
          <reference field="4" count="1">
            <x v="3"/>
          </reference>
        </references>
      </pivotArea>
    </format>
    <format dxfId="2278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23"/>
          </reference>
        </references>
      </pivotArea>
    </format>
    <format dxfId="2277">
      <pivotArea collapsedLevelsAreSubtotals="1" fieldPosition="0">
        <references count="2">
          <reference field="1" count="2" selected="0">
            <x v="3"/>
            <x v="4"/>
          </reference>
          <reference field="4" count="1">
            <x v="19"/>
          </reference>
        </references>
      </pivotArea>
    </format>
    <format dxfId="2276">
      <pivotArea collapsedLevelsAreSubtotals="1" fieldPosition="0">
        <references count="2">
          <reference field="1" count="4" selected="0">
            <x v="1"/>
            <x v="2"/>
            <x v="3"/>
            <x v="4"/>
          </reference>
          <reference field="4" count="1">
            <x v="10"/>
          </reference>
        </references>
      </pivotArea>
    </format>
    <format dxfId="2275">
      <pivotArea collapsedLevelsAreSubtotals="1" fieldPosition="0">
        <references count="2">
          <reference field="1" count="1" selected="0">
            <x v="4"/>
          </reference>
          <reference field="4" count="1">
            <x v="34"/>
          </reference>
        </references>
      </pivotArea>
    </format>
    <format dxfId="2274">
      <pivotArea collapsedLevelsAreSubtotals="1" fieldPosition="0">
        <references count="2">
          <reference field="1" count="1" selected="0">
            <x v="4"/>
          </reference>
          <reference field="4" count="1">
            <x v="20"/>
          </reference>
        </references>
      </pivotArea>
    </format>
    <format dxfId="2273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3">
            <x v="0"/>
            <x v="18"/>
            <x v="26"/>
          </reference>
        </references>
      </pivotArea>
    </format>
    <format dxfId="2272">
      <pivotArea dataOnly="0" labelOnly="1" fieldPosition="0">
        <references count="1">
          <reference field="4" count="3">
            <x v="7"/>
            <x v="33"/>
            <x v="38"/>
          </reference>
        </references>
      </pivotArea>
    </format>
    <format dxfId="2271">
      <pivotArea dataOnly="0" labelOnly="1" fieldPosition="0">
        <references count="1">
          <reference field="4" count="1">
            <x v="24"/>
          </reference>
        </references>
      </pivotArea>
    </format>
    <format dxfId="2270">
      <pivotArea dataOnly="0" labelOnly="1" fieldPosition="0">
        <references count="1">
          <reference field="4" count="3">
            <x v="0"/>
            <x v="18"/>
            <x v="26"/>
          </reference>
        </references>
      </pivotArea>
    </format>
    <format dxfId="2269">
      <pivotArea collapsedLevelsAreSubtotals="1" fieldPosition="0">
        <references count="2">
          <reference field="1" count="1" selected="0">
            <x v="4"/>
          </reference>
          <reference field="4" count="1">
            <x v="1"/>
          </reference>
        </references>
      </pivotArea>
    </format>
    <format dxfId="2268">
      <pivotArea dataOnly="0" labelOnly="1" fieldPosition="0">
        <references count="1">
          <reference field="4" count="2">
            <x v="33"/>
            <x v="38"/>
          </reference>
        </references>
      </pivotArea>
    </format>
    <format dxfId="2267">
      <pivotArea dataOnly="0" labelOnly="1" fieldPosition="0">
        <references count="1">
          <reference field="4" count="2">
            <x v="33"/>
            <x v="38"/>
          </reference>
        </references>
      </pivotArea>
    </format>
    <format dxfId="2266">
      <pivotArea collapsedLevelsAreSubtotals="1" fieldPosition="0">
        <references count="2">
          <reference field="1" count="1" selected="0">
            <x v="4"/>
          </reference>
          <reference field="4" count="1">
            <x v="24"/>
          </reference>
        </references>
      </pivotArea>
    </format>
    <format dxfId="2265">
      <pivotArea collapsedLevelsAreSubtotals="1" fieldPosition="0">
        <references count="2">
          <reference field="1" count="2" selected="0">
            <x v="3"/>
            <x v="4"/>
          </reference>
          <reference field="4" count="3">
            <x v="7"/>
            <x v="33"/>
            <x v="38"/>
          </reference>
        </references>
      </pivotArea>
    </format>
    <format dxfId="2264">
      <pivotArea dataOnly="0" labelOnly="1" fieldPosition="0">
        <references count="1">
          <reference field="4" count="0"/>
        </references>
      </pivotArea>
    </format>
    <format dxfId="2263">
      <pivotArea dataOnly="0" labelOnly="1" fieldPosition="0">
        <references count="1">
          <reference field="4" count="1">
            <x v="14"/>
          </reference>
        </references>
      </pivotArea>
    </format>
    <format dxfId="2262">
      <pivotArea dataOnly="0" fieldPosition="0">
        <references count="1">
          <reference field="4" count="1">
            <x v="33"/>
          </reference>
        </references>
      </pivotArea>
    </format>
    <format dxfId="2261">
      <pivotArea dataOnly="0" labelOnly="1" fieldPosition="0">
        <references count="1">
          <reference field="4" count="2">
            <x v="37"/>
            <x v="38"/>
          </reference>
        </references>
      </pivotArea>
    </format>
    <format dxfId="2260">
      <pivotArea collapsedLevelsAreSubtotals="1" fieldPosition="0">
        <references count="2">
          <reference field="1" count="1" selected="0">
            <x v="4"/>
          </reference>
          <reference field="4" count="1">
            <x v="5"/>
          </reference>
        </references>
      </pivotArea>
    </format>
    <format dxfId="2259">
      <pivotArea dataOnly="0" labelOnly="1" fieldPosition="0">
        <references count="1">
          <reference field="4" count="1">
            <x v="24"/>
          </reference>
        </references>
      </pivotArea>
    </format>
    <format dxfId="2258">
      <pivotArea dataOnly="0" labelOnly="1" fieldPosition="0">
        <references count="1">
          <reference field="4" count="1">
            <x v="2"/>
          </reference>
        </references>
      </pivotArea>
    </format>
    <format dxfId="2257">
      <pivotArea dataOnly="0" labelOnly="1" fieldPosition="0">
        <references count="1">
          <reference field="4" count="1">
            <x v="24"/>
          </reference>
        </references>
      </pivotArea>
    </format>
    <format dxfId="2256">
      <pivotArea dataOnly="0" labelOnly="1" fieldPosition="0">
        <references count="1">
          <reference field="4" count="1">
            <x v="38"/>
          </reference>
        </references>
      </pivotArea>
    </format>
    <format dxfId="2255">
      <pivotArea dataOnly="0" labelOnly="1" fieldPosition="0">
        <references count="1">
          <reference field="4" count="3">
            <x v="7"/>
            <x v="31"/>
            <x v="33"/>
          </reference>
        </references>
      </pivotArea>
    </format>
    <format dxfId="2254">
      <pivotArea dataOnly="0" labelOnly="1" fieldPosition="0">
        <references count="1">
          <reference field="4" count="10">
            <x v="2"/>
            <x v="7"/>
            <x v="16"/>
            <x v="21"/>
            <x v="24"/>
            <x v="27"/>
            <x v="31"/>
            <x v="32"/>
            <x v="33"/>
            <x v="37"/>
          </reference>
        </references>
      </pivotArea>
    </format>
    <format dxfId="2253">
      <pivotArea dataOnly="0" labelOnly="1" fieldPosition="0">
        <references count="1">
          <reference field="4" count="1">
            <x v="35"/>
          </reference>
        </references>
      </pivotArea>
    </format>
    <format dxfId="2252">
      <pivotArea dataOnly="0" labelOnly="1" fieldPosition="0">
        <references count="1">
          <reference field="4" count="2">
            <x v="4"/>
            <x v="29"/>
          </reference>
        </references>
      </pivotArea>
    </format>
    <format dxfId="2251">
      <pivotArea dataOnly="0" labelOnly="1" fieldPosition="0">
        <references count="1">
          <reference field="4" count="2">
            <x v="8"/>
            <x v="11"/>
          </reference>
        </references>
      </pivotArea>
    </format>
    <format dxfId="2250">
      <pivotArea dataOnly="0" fieldPosition="0">
        <references count="1">
          <reference field="4" count="1">
            <x v="28"/>
          </reference>
        </references>
      </pivotArea>
    </format>
    <format dxfId="2249">
      <pivotArea collapsedLevelsAreSubtotals="1" fieldPosition="0">
        <references count="2">
          <reference field="1" count="1" selected="0">
            <x v="4"/>
          </reference>
          <reference field="4" count="1">
            <x v="28"/>
          </reference>
        </references>
      </pivotArea>
    </format>
    <format dxfId="2248">
      <pivotArea dataOnly="0" labelOnly="1" fieldPosition="0">
        <references count="1">
          <reference field="4" count="2">
            <x v="6"/>
            <x v="30"/>
          </reference>
        </references>
      </pivotArea>
    </format>
    <format dxfId="2247">
      <pivotArea dataOnly="0" labelOnly="1" fieldPosition="0">
        <references count="1">
          <reference field="4" count="3">
            <x v="10"/>
            <x v="19"/>
            <x v="23"/>
          </reference>
        </references>
      </pivotArea>
    </format>
    <format dxfId="2246">
      <pivotArea dataOnly="0" labelOnly="1" fieldPosition="0">
        <references count="1">
          <reference field="4" count="3">
            <x v="0"/>
            <x v="20"/>
            <x v="26"/>
          </reference>
        </references>
      </pivotArea>
    </format>
    <format dxfId="2245">
      <pivotArea dataOnly="0" labelOnly="1" fieldPosition="0">
        <references count="1">
          <reference field="4" count="1">
            <x v="18"/>
          </reference>
        </references>
      </pivotArea>
    </format>
    <format dxfId="2244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31"/>
          </reference>
        </references>
      </pivotArea>
    </format>
    <format dxfId="2243">
      <pivotArea collapsedLevelsAreSubtotals="1" fieldPosition="0">
        <references count="2">
          <reference field="1" count="1" selected="0">
            <x v="2"/>
          </reference>
          <reference field="4" count="1">
            <x v="31"/>
          </reference>
        </references>
      </pivotArea>
    </format>
    <format dxfId="2242">
      <pivotArea collapsedLevelsAreSubtotals="1" fieldPosition="0">
        <references count="2">
          <reference field="1" count="1" selected="0">
            <x v="4"/>
          </reference>
          <reference field="4" count="1">
            <x v="35"/>
          </reference>
        </references>
      </pivotArea>
    </format>
    <format dxfId="2241">
      <pivotArea collapsedLevelsAreSubtotals="1" fieldPosition="0">
        <references count="2">
          <reference field="1" count="1" selected="0">
            <x v="4"/>
          </reference>
          <reference field="4" count="1">
            <x v="10"/>
          </reference>
        </references>
      </pivotArea>
    </format>
    <format dxfId="2240">
      <pivotArea collapsedLevelsAreSubtotals="1" fieldPosition="0">
        <references count="2">
          <reference field="1" count="1" selected="0">
            <x v="3"/>
          </reference>
          <reference field="4" count="1">
            <x v="24"/>
          </reference>
        </references>
      </pivotArea>
    </format>
    <format dxfId="2239">
      <pivotArea collapsedLevelsAreSubtotals="1" fieldPosition="0">
        <references count="2">
          <reference field="1" count="1" selected="0">
            <x v="3"/>
          </reference>
          <reference field="4" count="1">
            <x v="10"/>
          </reference>
        </references>
      </pivotArea>
    </format>
    <format dxfId="2238">
      <pivotArea dataOnly="0" labelOnly="1" fieldPosition="0">
        <references count="1">
          <reference field="4" count="10">
            <x v="2"/>
            <x v="12"/>
            <x v="16"/>
            <x v="21"/>
            <x v="24"/>
            <x v="31"/>
            <x v="32"/>
            <x v="35"/>
            <x v="36"/>
            <x v="37"/>
          </reference>
        </references>
      </pivotArea>
    </format>
    <format dxfId="2237">
      <pivotArea dataOnly="0" fieldPosition="0">
        <references count="1">
          <reference field="4" count="1">
            <x v="27"/>
          </reference>
        </references>
      </pivotArea>
    </format>
    <format dxfId="2236">
      <pivotArea collapsedLevelsAreSubtotals="1" fieldPosition="0">
        <references count="2">
          <reference field="1" count="1" selected="0">
            <x v="5"/>
          </reference>
          <reference field="4" count="1">
            <x v="27"/>
          </reference>
        </references>
      </pivotArea>
    </format>
    <format dxfId="2235">
      <pivotArea collapsedLevelsAreSubtotals="1" fieldPosition="0">
        <references count="2">
          <reference field="1" count="1" selected="0">
            <x v="5"/>
          </reference>
          <reference field="4" count="3">
            <x v="24"/>
            <x v="31"/>
            <x v="37"/>
          </reference>
        </references>
      </pivotArea>
    </format>
    <format dxfId="2234">
      <pivotArea collapsedLevelsAreSubtotals="1" fieldPosition="0">
        <references count="2">
          <reference field="1" count="1" selected="0">
            <x v="5"/>
          </reference>
          <reference field="4" count="1">
            <x v="41"/>
          </reference>
        </references>
      </pivotArea>
    </format>
    <format dxfId="2233">
      <pivotArea collapsedLevelsAreSubtotals="1" fieldPosition="0">
        <references count="2">
          <reference field="1" count="1" selected="0">
            <x v="5"/>
          </reference>
          <reference field="4" count="1">
            <x v="12"/>
          </reference>
        </references>
      </pivotArea>
    </format>
    <format dxfId="2232">
      <pivotArea collapsedLevelsAreSubtotals="1" fieldPosition="0">
        <references count="2">
          <reference field="1" count="1" selected="0">
            <x v="5"/>
          </reference>
          <reference field="4" count="16">
            <x v="1"/>
            <x v="3"/>
            <x v="5"/>
            <x v="9"/>
            <x v="10"/>
            <x v="13"/>
            <x v="15"/>
            <x v="17"/>
            <x v="20"/>
            <x v="25"/>
            <x v="28"/>
            <x v="30"/>
            <x v="34"/>
            <x v="40"/>
            <x v="43"/>
            <x v="45"/>
          </reference>
        </references>
      </pivotArea>
    </format>
    <format dxfId="2231">
      <pivotArea dataOnly="0" labelOnly="1" fieldPosition="0">
        <references count="1">
          <reference field="4" count="1">
            <x v="9"/>
          </reference>
        </references>
      </pivotArea>
    </format>
    <format dxfId="2230">
      <pivotArea dataOnly="0" labelOnly="1" fieldPosition="0">
        <references count="1">
          <reference field="4" count="1">
            <x v="46"/>
          </reference>
        </references>
      </pivotArea>
    </format>
    <format dxfId="2229">
      <pivotArea dataOnly="0" labelOnly="1" fieldPosition="0">
        <references count="1">
          <reference field="4" count="1">
            <x v="12"/>
          </reference>
        </references>
      </pivotArea>
    </format>
    <format dxfId="2228">
      <pivotArea collapsedLevelsAreSubtotals="1" fieldPosition="0">
        <references count="2">
          <reference field="1" count="1" selected="0">
            <x v="5"/>
          </reference>
          <reference field="4" count="1">
            <x v="46"/>
          </reference>
        </references>
      </pivotArea>
    </format>
    <format dxfId="2227">
      <pivotArea collapsedLevelsAreSubtotals="1" fieldPosition="0">
        <references count="2">
          <reference field="1" count="1" selected="0">
            <x v="5"/>
          </reference>
          <reference field="4" count="1">
            <x v="48"/>
          </reference>
        </references>
      </pivotArea>
    </format>
    <format dxfId="2226">
      <pivotArea collapsedLevelsAreSubtotals="1" fieldPosition="0">
        <references count="2">
          <reference field="1" count="1" selected="0">
            <x v="5"/>
          </reference>
          <reference field="4" count="1">
            <x v="39"/>
          </reference>
        </references>
      </pivotArea>
    </format>
    <format dxfId="2225">
      <pivotArea collapsedLevelsAreSubtotals="1" fieldPosition="0">
        <references count="2">
          <reference field="1" count="1" selected="0">
            <x v="5"/>
          </reference>
          <reference field="4" count="4">
            <x v="2"/>
            <x v="9"/>
            <x v="24"/>
            <x v="32"/>
          </reference>
        </references>
      </pivotArea>
    </format>
    <format dxfId="2224">
      <pivotArea collapsedLevelsAreSubtotals="1" fieldPosition="0">
        <references count="2">
          <reference field="1" count="1" selected="0">
            <x v="5"/>
          </reference>
          <reference field="4" count="1">
            <x v="37"/>
          </reference>
        </references>
      </pivotArea>
    </format>
    <format dxfId="2223">
      <pivotArea collapsedLevelsAreSubtotals="1" fieldPosition="0">
        <references count="2">
          <reference field="1" count="1" selected="0">
            <x v="5"/>
          </reference>
          <reference field="4" count="1">
            <x v="45"/>
          </reference>
        </references>
      </pivotArea>
    </format>
    <format dxfId="2222">
      <pivotArea dataOnly="0" fieldPosition="0">
        <references count="1">
          <reference field="4" count="1">
            <x v="52"/>
          </reference>
        </references>
      </pivotArea>
    </format>
    <format dxfId="2221">
      <pivotArea collapsedLevelsAreSubtotals="1" fieldPosition="0">
        <references count="2">
          <reference field="1" count="1" selected="0">
            <x v="5"/>
          </reference>
          <reference field="4" count="1">
            <x v="52"/>
          </reference>
        </references>
      </pivotArea>
    </format>
    <format dxfId="2220">
      <pivotArea field="4" grandCol="1" collapsedLevelsAreSubtotals="1" axis="axisRow" fieldPosition="0">
        <references count="1">
          <reference field="4" count="1">
            <x v="52"/>
          </reference>
        </references>
      </pivotArea>
    </format>
    <format dxfId="2219">
      <pivotArea collapsedLevelsAreSubtotals="1" fieldPosition="0">
        <references count="2">
          <reference field="1" count="1" selected="0">
            <x v="5"/>
          </reference>
          <reference field="4" count="1">
            <x v="15"/>
          </reference>
        </references>
      </pivotArea>
    </format>
    <format dxfId="2218">
      <pivotArea dataOnly="0" labelOnly="1" fieldPosition="0">
        <references count="1">
          <reference field="4" count="1">
            <x v="36"/>
          </reference>
        </references>
      </pivotArea>
    </format>
    <format dxfId="2217">
      <pivotArea collapsedLevelsAreSubtotals="1" fieldPosition="0">
        <references count="2">
          <reference field="1" count="1" selected="0">
            <x v="5"/>
          </reference>
          <reference field="4" count="1">
            <x v="32"/>
          </reference>
        </references>
      </pivotArea>
    </format>
    <format dxfId="2216">
      <pivotArea dataOnly="0" labelOnly="1" fieldPosition="0">
        <references count="1">
          <reference field="4" count="1">
            <x v="58"/>
          </reference>
        </references>
      </pivotArea>
    </format>
    <format dxfId="2215">
      <pivotArea dataOnly="0" labelOnly="1" fieldPosition="0">
        <references count="1">
          <reference field="4" count="1">
            <x v="58"/>
          </reference>
        </references>
      </pivotArea>
    </format>
    <format dxfId="1355">
      <pivotArea collapsedLevelsAreSubtotals="1" fieldPosition="0">
        <references count="2">
          <reference field="1" count="1" selected="0">
            <x v="5"/>
          </reference>
          <reference field="4" count="1">
            <x v="46"/>
          </reference>
        </references>
      </pivotArea>
    </format>
    <format dxfId="1354">
      <pivotArea dataOnly="0" labelOnly="1" fieldPosition="0">
        <references count="1">
          <reference field="4" count="1">
            <x v="52"/>
          </reference>
        </references>
      </pivotArea>
    </format>
    <format dxfId="1353">
      <pivotArea dataOnly="0" labelOnly="1" fieldPosition="0">
        <references count="1">
          <reference field="4" count="1">
            <x v="37"/>
          </reference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177A5-8C05-4C51-87A3-967A8E95F177}" name="TablaDinámica5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 rowHeaderCaption="CLIENTES TOP-10 / MÊS" colHeaderCaption="ANOS">
  <location ref="A3:M36" firstHeaderRow="1" firstDataRow="3" firstDataCol="1"/>
  <pivotFields count="37">
    <pivotField axis="axisCol" showAll="0" includeNewItemsInFilter="1">
      <items count="13">
        <item x="7"/>
        <item x="8"/>
        <item x="0"/>
        <item x="9"/>
        <item x="10"/>
        <item x="1"/>
        <item x="2"/>
        <item x="11"/>
        <item x="3"/>
        <item h="1" x="4"/>
        <item h="1" x="5"/>
        <item h="1" x="6"/>
        <item t="default"/>
      </items>
    </pivotField>
    <pivotField axis="axisCol" showAll="0">
      <items count="7">
        <item sd="0" x="4"/>
        <item x="5"/>
        <item h="1" sd="0" x="3"/>
        <item h="1" x="2"/>
        <item h="1" x="1"/>
        <item h="1" x="0"/>
        <item t="default"/>
      </items>
    </pivotField>
    <pivotField showAll="0"/>
    <pivotField showAll="0"/>
    <pivotField axis="axisRow" showAll="0" sortType="descending">
      <items count="66">
        <item x="8"/>
        <item x="25"/>
        <item x="36"/>
        <item x="32"/>
        <item x="15"/>
        <item x="30"/>
        <item x="7"/>
        <item x="10"/>
        <item x="2"/>
        <item x="18"/>
        <item x="6"/>
        <item x="3"/>
        <item x="28"/>
        <item x="16"/>
        <item x="0"/>
        <item x="37"/>
        <item x="1"/>
        <item x="29"/>
        <item x="12"/>
        <item x="26"/>
        <item x="27"/>
        <item x="9"/>
        <item h="1" x="35"/>
        <item x="20"/>
        <item x="13"/>
        <item x="5"/>
        <item x="11"/>
        <item x="17"/>
        <item x="19"/>
        <item x="14"/>
        <item x="23"/>
        <item m="1" x="64"/>
        <item x="24"/>
        <item x="22"/>
        <item x="31"/>
        <item x="33"/>
        <item x="38"/>
        <item x="21"/>
        <item x="4"/>
        <item x="34"/>
        <item x="39"/>
        <item x="40"/>
        <item h="1" m="1" x="62"/>
        <item x="41"/>
        <item x="52"/>
        <item x="42"/>
        <item x="43"/>
        <item m="1" x="61"/>
        <item x="44"/>
        <item x="45"/>
        <item x="46"/>
        <item m="1" x="63"/>
        <item x="47"/>
        <item x="48"/>
        <item m="1" x="60"/>
        <item m="1" x="59"/>
        <item x="49"/>
        <item x="50"/>
        <item x="51"/>
        <item x="53"/>
        <item h="1" x="54"/>
        <item h="1" x="55"/>
        <item h="1" x="56"/>
        <item h="1" x="57"/>
        <item h="1"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1">
    <i>
      <x v="16"/>
    </i>
    <i>
      <x v="2"/>
    </i>
    <i>
      <x v="52"/>
    </i>
    <i>
      <x v="21"/>
    </i>
    <i>
      <x v="24"/>
    </i>
    <i>
      <x v="9"/>
    </i>
    <i>
      <x v="36"/>
    </i>
    <i>
      <x v="35"/>
    </i>
    <i>
      <x v="37"/>
    </i>
    <i>
      <x v="58"/>
    </i>
    <i>
      <x v="41"/>
    </i>
    <i>
      <x v="32"/>
    </i>
    <i>
      <x v="46"/>
    </i>
    <i>
      <x v="49"/>
    </i>
    <i>
      <x v="15"/>
    </i>
    <i>
      <x v="27"/>
    </i>
    <i>
      <x v="13"/>
    </i>
    <i>
      <x v="45"/>
    </i>
    <i>
      <x v="53"/>
    </i>
    <i>
      <x v="57"/>
    </i>
    <i>
      <x v="25"/>
    </i>
    <i>
      <x v="17"/>
    </i>
    <i>
      <x v="34"/>
    </i>
    <i>
      <x v="59"/>
    </i>
    <i>
      <x v="12"/>
    </i>
    <i>
      <x v="44"/>
    </i>
    <i>
      <x v="50"/>
    </i>
    <i>
      <x v="40"/>
    </i>
    <i>
      <x v="56"/>
    </i>
    <i>
      <x v="39"/>
    </i>
    <i t="grand">
      <x/>
    </i>
  </rowItems>
  <colFields count="2">
    <field x="1"/>
    <field x="0"/>
  </colFields>
  <colItems count="12">
    <i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1"/>
    </i>
    <i t="grand">
      <x/>
    </i>
  </colItems>
  <dataFields count="1">
    <dataField name="VALOR (R$)" fld="18" baseField="0" baseItem="0" numFmtId="4"/>
  </dataFields>
  <formats count="76">
    <format dxfId="2075">
      <pivotArea outline="0" collapsedLevelsAreSubtotals="1" fieldPosition="0"/>
    </format>
    <format dxfId="2074">
      <pivotArea grandCol="1" outline="0" collapsedLevelsAreSubtotals="1" fieldPosition="0"/>
    </format>
    <format dxfId="2073">
      <pivotArea dataOnly="0" labelOnly="1" grandCol="1" outline="0" fieldPosition="0"/>
    </format>
    <format dxfId="2072">
      <pivotArea type="origin" dataOnly="0" labelOnly="1" outline="0" offset="A1" fieldPosition="0"/>
    </format>
    <format dxfId="2071">
      <pivotArea outline="0" collapsedLevelsAreSubtotals="1" fieldPosition="0"/>
    </format>
    <format dxfId="2070">
      <pivotArea field="4" grandCol="1" collapsedLevelsAreSubtotals="1" axis="axisRow" fieldPosition="0">
        <references count="1">
          <reference field="4" count="5">
            <x v="2"/>
            <x v="13"/>
            <x v="16"/>
            <x v="21"/>
            <x v="27"/>
          </reference>
        </references>
      </pivotArea>
    </format>
    <format dxfId="2069">
      <pivotArea dataOnly="0" fieldPosition="0">
        <references count="1">
          <reference field="4" count="1">
            <x v="20"/>
          </reference>
        </references>
      </pivotArea>
    </format>
    <format dxfId="2068">
      <pivotArea field="4" grandCol="1" collapsedLevelsAreSubtotals="1" axis="axisRow" fieldPosition="0">
        <references count="1">
          <reference field="4" count="1">
            <x v="20"/>
          </reference>
        </references>
      </pivotArea>
    </format>
    <format dxfId="2067">
      <pivotArea collapsedLevelsAreSubtotals="1" fieldPosition="0">
        <references count="3">
          <reference field="0" count="2" selected="0">
            <x v="4"/>
            <x v="5"/>
          </reference>
          <reference field="1" count="1" selected="0">
            <x v="2"/>
          </reference>
          <reference field="4" count="1">
            <x v="27"/>
          </reference>
        </references>
      </pivotArea>
    </format>
    <format dxfId="2066">
      <pivotArea collapsedLevelsAreSubtotals="1" fieldPosition="0">
        <references count="3">
          <reference field="0" count="1" selected="0">
            <x v="5"/>
          </reference>
          <reference field="1" count="1" selected="0">
            <x v="2"/>
          </reference>
          <reference field="4" count="1">
            <x v="32"/>
          </reference>
        </references>
      </pivotArea>
    </format>
    <format dxfId="2065">
      <pivotArea dataOnly="0" labelOnly="1" fieldPosition="0">
        <references count="1">
          <reference field="4" count="21">
            <x v="1"/>
            <x v="2"/>
            <x v="9"/>
            <x v="12"/>
            <x v="13"/>
            <x v="15"/>
            <x v="16"/>
            <x v="17"/>
            <x v="20"/>
            <x v="21"/>
            <x v="24"/>
            <x v="25"/>
            <x v="27"/>
            <x v="28"/>
            <x v="30"/>
            <x v="32"/>
            <x v="36"/>
            <x v="37"/>
            <x v="39"/>
            <x v="40"/>
            <x v="41"/>
          </reference>
        </references>
      </pivotArea>
    </format>
    <format dxfId="2064">
      <pivotArea field="4" grandCol="1" collapsedLevelsAreSubtotals="1" axis="axisRow" fieldPosition="0">
        <references count="1">
          <reference field="4" count="10">
            <x v="2"/>
            <x v="5"/>
            <x v="12"/>
            <x v="16"/>
            <x v="21"/>
            <x v="24"/>
            <x v="27"/>
            <x v="31"/>
            <x v="32"/>
            <x v="41"/>
          </reference>
        </references>
      </pivotArea>
    </format>
    <format dxfId="2063">
      <pivotArea collapsedLevelsAreSubtotals="1" fieldPosition="0">
        <references count="2">
          <reference field="1" count="1" selected="0">
            <x v="0"/>
          </reference>
          <reference field="4" count="1">
            <x v="5"/>
          </reference>
        </references>
      </pivotArea>
    </format>
    <format dxfId="2062">
      <pivotArea field="4" grandCol="1" collapsedLevelsAreSubtotals="1" axis="axisRow" fieldPosition="0">
        <references count="1">
          <reference field="4" count="1">
            <x v="13"/>
          </reference>
        </references>
      </pivotArea>
    </format>
    <format dxfId="2061">
      <pivotArea collapsedLevelsAreSubtotals="1" fieldPosition="0">
        <references count="2">
          <reference field="1" count="1" selected="0">
            <x v="0"/>
          </reference>
          <reference field="4" count="1">
            <x v="1"/>
          </reference>
        </references>
      </pivotArea>
    </format>
    <format dxfId="2060">
      <pivotArea collapsedLevelsAreSubtotals="1" fieldPosition="0">
        <references count="2">
          <reference field="1" count="1" selected="0">
            <x v="0"/>
          </reference>
          <reference field="4" count="1">
            <x v="28"/>
          </reference>
        </references>
      </pivotArea>
    </format>
    <format dxfId="2059">
      <pivotArea collapsedLevelsAreSubtotals="1" fieldPosition="0">
        <references count="2">
          <reference field="1" count="1" selected="0">
            <x v="2"/>
          </reference>
          <reference field="4" count="1">
            <x v="24"/>
          </reference>
        </references>
      </pivotArea>
    </format>
    <format dxfId="2058">
      <pivotArea collapsedLevelsAreSubtotals="1" fieldPosition="0">
        <references count="2">
          <reference field="1" count="1" selected="0">
            <x v="2"/>
          </reference>
          <reference field="4" count="1">
            <x v="41"/>
          </reference>
        </references>
      </pivotArea>
    </format>
    <format dxfId="2057">
      <pivotArea collapsedLevelsAreSubtotals="1" fieldPosition="0">
        <references count="2">
          <reference field="1" count="1" selected="0">
            <x v="2"/>
          </reference>
          <reference field="4" count="1">
            <x v="2"/>
          </reference>
        </references>
      </pivotArea>
    </format>
    <format dxfId="2056">
      <pivotArea collapsedLevelsAreSubtotals="1" fieldPosition="0">
        <references count="2">
          <reference field="1" count="1" selected="0">
            <x v="2"/>
          </reference>
          <reference field="4" count="1">
            <x v="36"/>
          </reference>
        </references>
      </pivotArea>
    </format>
    <format dxfId="2055">
      <pivotArea collapsedLevelsAreSubtotals="1" fieldPosition="0">
        <references count="2">
          <reference field="1" count="1" selected="0">
            <x v="2"/>
          </reference>
          <reference field="4" count="1">
            <x v="46"/>
          </reference>
        </references>
      </pivotArea>
    </format>
    <format dxfId="2054">
      <pivotArea collapsedLevelsAreSubtotals="1" fieldPosition="0">
        <references count="2">
          <reference field="1" count="1" selected="0">
            <x v="2"/>
          </reference>
          <reference field="4" count="3">
            <x v="9"/>
            <x v="15"/>
            <x v="45"/>
          </reference>
        </references>
      </pivotArea>
    </format>
    <format dxfId="2053">
      <pivotArea collapsedLevelsAreSubtotals="1" fieldPosition="0">
        <references count="2">
          <reference field="1" count="1" selected="0">
            <x v="2"/>
          </reference>
          <reference field="4" count="1">
            <x v="35"/>
          </reference>
        </references>
      </pivotArea>
    </format>
    <format dxfId="2052">
      <pivotArea collapsedLevelsAreSubtotals="1" fieldPosition="0">
        <references count="3">
          <reference field="0" count="2" selected="0">
            <x v="0"/>
            <x v="1"/>
          </reference>
          <reference field="1" count="0" selected="0"/>
          <reference field="4" count="6">
            <x v="16"/>
            <x v="21"/>
            <x v="35"/>
            <x v="36"/>
            <x v="49"/>
            <x v="50"/>
          </reference>
        </references>
      </pivotArea>
    </format>
    <format dxfId="2051">
      <pivotArea dataOnly="0" labelOnly="1" fieldPosition="0">
        <references count="1">
          <reference field="1" count="0"/>
        </references>
      </pivotArea>
    </format>
    <format dxfId="2050">
      <pivotArea dataOnly="0" labelOnly="1" fieldPosition="0">
        <references count="1">
          <reference field="4" count="0"/>
        </references>
      </pivotArea>
    </format>
    <format dxfId="2049">
      <pivotArea dataOnly="0" labelOnly="1" fieldPosition="0">
        <references count="2">
          <reference field="0" count="3">
            <x v="0"/>
            <x v="1"/>
            <x v="2"/>
          </reference>
          <reference field="1" count="0" selected="0"/>
        </references>
      </pivotArea>
    </format>
    <format dxfId="2048">
      <pivotArea field="4" grandCol="1" collapsedLevelsAreSubtotals="1" axis="axisRow" fieldPosition="0">
        <references count="1">
          <reference field="4" count="1">
            <x v="49"/>
          </reference>
        </references>
      </pivotArea>
    </format>
    <format dxfId="2047">
      <pivotArea dataOnly="0" labelOnly="1" fieldPosition="0">
        <references count="1">
          <reference field="4" count="10">
            <x v="2"/>
            <x v="9"/>
            <x v="16"/>
            <x v="21"/>
            <x v="24"/>
            <x v="32"/>
            <x v="35"/>
            <x v="37"/>
            <x v="49"/>
            <x v="52"/>
          </reference>
        </references>
      </pivotArea>
    </format>
    <format dxfId="2046">
      <pivotArea field="4" grandCol="1" collapsedLevelsAreSubtotals="1" axis="axisRow" fieldPosition="0">
        <references count="1">
          <reference field="4" count="3">
            <x v="15"/>
            <x v="36"/>
            <x v="52"/>
          </reference>
        </references>
      </pivotArea>
    </format>
    <format dxfId="2045">
      <pivotArea dataOnly="0" labelOnly="1" fieldPosition="0">
        <references count="1">
          <reference field="4" count="10">
            <x v="2"/>
            <x v="15"/>
            <x v="16"/>
            <x v="21"/>
            <x v="24"/>
            <x v="27"/>
            <x v="32"/>
            <x v="36"/>
            <x v="49"/>
            <x v="52"/>
          </reference>
        </references>
      </pivotArea>
    </format>
    <format dxfId="2044">
      <pivotArea dataOnly="0" labelOnly="1" fieldPosition="0">
        <references count="1">
          <reference field="4" count="3">
            <x v="9"/>
            <x v="35"/>
            <x v="37"/>
          </reference>
        </references>
      </pivotArea>
    </format>
    <format dxfId="2043">
      <pivotArea dataOnly="0" labelOnly="1" fieldPosition="0">
        <references count="1">
          <reference field="1" count="1" defaultSubtotal="1">
            <x v="0"/>
          </reference>
        </references>
      </pivotArea>
    </format>
    <format dxfId="2042">
      <pivotArea dataOnly="0" labelOnly="1" fieldPosition="0">
        <references count="1">
          <reference field="1" count="1" defaultSubtotal="1">
            <x v="0"/>
          </reference>
        </references>
      </pivotArea>
    </format>
    <format dxfId="2041">
      <pivotArea dataOnly="0" labelOnly="1" fieldPosition="0">
        <references count="2">
          <reference field="0" count="5">
            <x v="0"/>
            <x v="1"/>
            <x v="2"/>
            <x v="3"/>
            <x v="4"/>
          </reference>
          <reference field="1" count="1" selected="0">
            <x v="0"/>
          </reference>
        </references>
      </pivotArea>
    </format>
    <format dxfId="2040">
      <pivotArea dataOnly="0" labelOnly="1" fieldPosition="0">
        <references count="2">
          <reference field="0" count="5">
            <x v="0"/>
            <x v="1"/>
            <x v="2"/>
            <x v="3"/>
            <x v="4"/>
          </reference>
          <reference field="1" count="1" selected="0">
            <x v="1"/>
          </reference>
        </references>
      </pivotArea>
    </format>
    <format dxfId="2039">
      <pivotArea field="4" grandCol="1" collapsedLevelsAreSubtotals="1" axis="axisRow" fieldPosition="0">
        <references count="1">
          <reference field="4" count="1">
            <x v="37"/>
          </reference>
        </references>
      </pivotArea>
    </format>
    <format dxfId="2038">
      <pivotArea collapsedLevelsAreSubtotals="1" fieldPosition="0">
        <references count="3">
          <reference field="0" count="1" selected="0">
            <x v="5"/>
          </reference>
          <reference field="1" count="1" selected="0">
            <x v="1"/>
          </reference>
          <reference field="4" count="1">
            <x v="13"/>
          </reference>
        </references>
      </pivotArea>
    </format>
    <format dxfId="2037">
      <pivotArea collapsedLevelsAreSubtotals="1" fieldPosition="0">
        <references count="3">
          <reference field="0" count="1" selected="0">
            <x v="5"/>
          </reference>
          <reference field="1" count="1" selected="0">
            <x v="1"/>
          </reference>
          <reference field="4" count="1">
            <x v="27"/>
          </reference>
        </references>
      </pivotArea>
    </format>
    <format dxfId="2036">
      <pivotArea collapsedLevelsAreSubtotals="1" fieldPosition="0">
        <references count="3">
          <reference field="0" count="3" selected="0">
            <x v="3"/>
            <x v="4"/>
            <x v="5"/>
          </reference>
          <reference field="1" count="1" selected="0">
            <x v="1"/>
          </reference>
          <reference field="4" count="1">
            <x v="37"/>
          </reference>
        </references>
      </pivotArea>
    </format>
    <format dxfId="2035">
      <pivotArea collapsedLevelsAreSubtotals="1" fieldPosition="0">
        <references count="3">
          <reference field="0" count="2" selected="0">
            <x v="4"/>
            <x v="5"/>
          </reference>
          <reference field="1" count="1" selected="0">
            <x v="1"/>
          </reference>
          <reference field="4" count="2">
            <x v="2"/>
            <x v="52"/>
          </reference>
        </references>
      </pivotArea>
    </format>
    <format dxfId="2034">
      <pivotArea collapsedLevelsAreSubtotals="1" fieldPosition="0">
        <references count="3">
          <reference field="0" count="1" selected="0">
            <x v="5"/>
          </reference>
          <reference field="1" count="1" selected="0">
            <x v="1"/>
          </reference>
          <reference field="4" count="3">
            <x v="12"/>
            <x v="17"/>
            <x v="25"/>
          </reference>
        </references>
      </pivotArea>
    </format>
    <format dxfId="2033">
      <pivotArea field="4" grandCol="1" collapsedLevelsAreSubtotals="1" axis="axisRow" fieldPosition="0">
        <references count="1">
          <reference field="4" count="1">
            <x v="12"/>
          </reference>
        </references>
      </pivotArea>
    </format>
    <format dxfId="2032">
      <pivotArea field="4" grandCol="1" collapsedLevelsAreSubtotals="1" axis="axisRow" fieldPosition="0">
        <references count="1">
          <reference field="4" count="1">
            <x v="12"/>
          </reference>
        </references>
      </pivotArea>
    </format>
    <format dxfId="2031">
      <pivotArea dataOnly="0" labelOnly="1" fieldPosition="0">
        <references count="1">
          <reference field="4" count="1">
            <x v="37"/>
          </reference>
        </references>
      </pivotArea>
    </format>
    <format dxfId="2030">
      <pivotArea outline="0" collapsedLevelsAreSubtotals="1" fieldPosition="0">
        <references count="2">
          <reference field="0" count="0" selected="0"/>
          <reference field="1" count="1" selected="0">
            <x v="0"/>
          </reference>
        </references>
      </pivotArea>
    </format>
    <format dxfId="2029">
      <pivotArea field="1" type="button" dataOnly="0" labelOnly="1" outline="0" axis="axisCol" fieldPosition="0"/>
    </format>
    <format dxfId="2028">
      <pivotArea dataOnly="0" labelOnly="1" fieldPosition="0">
        <references count="1">
          <reference field="1" count="1">
            <x v="0"/>
          </reference>
        </references>
      </pivotArea>
    </format>
    <format dxfId="2027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2026">
      <pivotArea dataOnly="0" fieldPosition="0">
        <references count="1">
          <reference field="4" count="2">
            <x v="27"/>
            <x v="32"/>
          </reference>
        </references>
      </pivotArea>
    </format>
    <format dxfId="2025">
      <pivotArea dataOnly="0" labelOnly="1" fieldPosition="0">
        <references count="1">
          <reference field="4" count="1">
            <x v="24"/>
          </reference>
        </references>
      </pivotArea>
    </format>
    <format dxfId="2024">
      <pivotArea dataOnly="0" labelOnly="1" fieldPosition="0">
        <references count="1">
          <reference field="4" count="1">
            <x v="9"/>
          </reference>
        </references>
      </pivotArea>
    </format>
    <format dxfId="2023">
      <pivotArea field="4" grandCol="1" collapsedLevelsAreSubtotals="1" axis="axisRow" fieldPosition="0">
        <references count="1">
          <reference field="4" count="1">
            <x v="9"/>
          </reference>
        </references>
      </pivotArea>
    </format>
    <format dxfId="2022">
      <pivotArea collapsedLevelsAreSubtotals="1" fieldPosition="0">
        <references count="3">
          <reference field="0" count="2" selected="0">
            <x v="6"/>
            <x v="7"/>
          </reference>
          <reference field="1" count="1" selected="0">
            <x v="1"/>
          </reference>
          <reference field="4" count="1">
            <x v="2"/>
          </reference>
        </references>
      </pivotArea>
    </format>
    <format dxfId="2021">
      <pivotArea collapsedLevelsAreSubtotals="1" fieldPosition="0">
        <references count="3">
          <reference field="0" count="1" selected="0">
            <x v="6"/>
          </reference>
          <reference field="1" count="1" selected="0">
            <x v="1"/>
          </reference>
          <reference field="4" count="1">
            <x v="52"/>
          </reference>
        </references>
      </pivotArea>
    </format>
    <format dxfId="2020">
      <pivotArea collapsedLevelsAreSubtotals="1" fieldPosition="0">
        <references count="3">
          <reference field="0" count="5" selected="0">
            <x v="3"/>
            <x v="4"/>
            <x v="5"/>
            <x v="6"/>
            <x v="7"/>
          </reference>
          <reference field="1" count="1" selected="0">
            <x v="1"/>
          </reference>
          <reference field="4" count="1">
            <x v="35"/>
          </reference>
        </references>
      </pivotArea>
    </format>
    <format dxfId="2019">
      <pivotArea collapsedLevelsAreSubtotals="1" fieldPosition="0">
        <references count="3">
          <reference field="0" count="1" selected="0">
            <x v="4"/>
          </reference>
          <reference field="1" count="1" selected="0">
            <x v="1"/>
          </reference>
          <reference field="4" count="1">
            <x v="24"/>
          </reference>
        </references>
      </pivotArea>
    </format>
    <format dxfId="2018">
      <pivotArea dataOnly="0" labelOnly="1" fieldPosition="0">
        <references count="1">
          <reference field="4" count="1">
            <x v="58"/>
          </reference>
        </references>
      </pivotArea>
    </format>
    <format dxfId="2017">
      <pivotArea dataOnly="0" labelOnly="1" fieldPosition="0">
        <references count="1">
          <reference field="4" count="2">
            <x v="15"/>
            <x v="49"/>
          </reference>
        </references>
      </pivotArea>
    </format>
    <format dxfId="2016">
      <pivotArea dataOnly="0" labelOnly="1" fieldPosition="0">
        <references count="1">
          <reference field="4" count="1">
            <x v="35"/>
          </reference>
        </references>
      </pivotArea>
    </format>
    <format dxfId="2015">
      <pivotArea collapsedLevelsAreSubtotals="1" fieldPosition="0">
        <references count="3">
          <reference field="0" count="8" selected="0">
            <x v="0"/>
            <x v="1"/>
            <x v="2"/>
            <x v="3"/>
            <x v="4"/>
            <x v="5"/>
            <x v="6"/>
            <x v="7"/>
          </reference>
          <reference field="1" count="1" selected="0">
            <x v="1"/>
          </reference>
          <reference field="4" count="1">
            <x v="40"/>
          </reference>
        </references>
      </pivotArea>
    </format>
    <format dxfId="2014">
      <pivotArea collapsedLevelsAreSubtotals="1" fieldPosition="0">
        <references count="3">
          <reference field="0" count="1" selected="0">
            <x v="4"/>
          </reference>
          <reference field="1" count="1" selected="0">
            <x v="1"/>
          </reference>
          <reference field="4" count="1">
            <x v="9"/>
          </reference>
        </references>
      </pivotArea>
    </format>
    <format dxfId="2013">
      <pivotArea collapsedLevelsAreSubtotals="1" fieldPosition="0">
        <references count="3">
          <reference field="0" count="1" selected="0">
            <x v="5"/>
          </reference>
          <reference field="1" count="1" selected="0">
            <x v="1"/>
          </reference>
          <reference field="4" count="1">
            <x v="24"/>
          </reference>
        </references>
      </pivotArea>
    </format>
    <format dxfId="2012">
      <pivotArea collapsedLevelsAreSubtotals="1" fieldPosition="0">
        <references count="3">
          <reference field="0" count="1" selected="0">
            <x v="5"/>
          </reference>
          <reference field="1" count="1" selected="0">
            <x v="1"/>
          </reference>
          <reference field="4" count="1">
            <x v="36"/>
          </reference>
        </references>
      </pivotArea>
    </format>
    <format dxfId="1349">
      <pivotArea collapsedLevelsAreSubtotals="1" fieldPosition="0">
        <references count="3">
          <reference field="0" count="1" selected="0">
            <x v="8"/>
          </reference>
          <reference field="1" count="1" selected="0">
            <x v="1"/>
          </reference>
          <reference field="4" count="1">
            <x v="2"/>
          </reference>
        </references>
      </pivotArea>
    </format>
    <format dxfId="1348">
      <pivotArea collapsedLevelsAreSubtotals="1" fieldPosition="0">
        <references count="3">
          <reference field="0" count="3" selected="0">
            <x v="6"/>
            <x v="7"/>
            <x v="8"/>
          </reference>
          <reference field="1" count="1" selected="0">
            <x v="1"/>
          </reference>
          <reference field="4" count="1">
            <x v="24"/>
          </reference>
        </references>
      </pivotArea>
    </format>
    <format dxfId="1347">
      <pivotArea outline="0" collapsedLevelsAreSubtotals="1" fieldPosition="0">
        <references count="2">
          <reference field="0" count="0" selected="0"/>
          <reference field="1" count="1" selected="0">
            <x v="1"/>
          </reference>
        </references>
      </pivotArea>
    </format>
    <format dxfId="1346">
      <pivotArea field="0" type="button" dataOnly="0" labelOnly="1" outline="0" axis="axisCol" fieldPosition="1"/>
    </format>
    <format dxfId="1345">
      <pivotArea type="topRight" dataOnly="0" labelOnly="1" outline="0" fieldPosition="0"/>
    </format>
    <format dxfId="1344">
      <pivotArea dataOnly="0" labelOnly="1" fieldPosition="0">
        <references count="1">
          <reference field="1" count="1">
            <x v="1"/>
          </reference>
        </references>
      </pivotArea>
    </format>
    <format dxfId="1343">
      <pivotArea dataOnly="0" labelOnly="1" fieldPosition="0">
        <references count="2">
          <reference field="0" count="0"/>
          <reference field="1" count="1" selected="0">
            <x v="1"/>
          </reference>
        </references>
      </pivotArea>
    </format>
    <format dxfId="1342">
      <pivotArea collapsedLevelsAreSubtotals="1" fieldPosition="0">
        <references count="3">
          <reference field="0" count="1" selected="0">
            <x v="8"/>
          </reference>
          <reference field="1" count="1" selected="0">
            <x v="1"/>
          </reference>
          <reference field="4" count="1">
            <x v="35"/>
          </reference>
        </references>
      </pivotArea>
    </format>
    <format dxfId="1341">
      <pivotArea collapsedLevelsAreSubtotals="1" fieldPosition="0">
        <references count="2">
          <reference field="1" count="1" selected="0">
            <x v="0"/>
          </reference>
          <reference field="4" count="17">
            <x v="12"/>
            <x v="13"/>
            <x v="15"/>
            <x v="17"/>
            <x v="25"/>
            <x v="27"/>
            <x v="34"/>
            <x v="39"/>
            <x v="40"/>
            <x v="44"/>
            <x v="45"/>
            <x v="49"/>
            <x v="50"/>
            <x v="53"/>
            <x v="56"/>
            <x v="57"/>
            <x v="59"/>
          </reference>
        </references>
      </pivotArea>
    </format>
    <format dxfId="1340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4" count="17">
            <x v="12"/>
            <x v="13"/>
            <x v="15"/>
            <x v="17"/>
            <x v="25"/>
            <x v="27"/>
            <x v="34"/>
            <x v="39"/>
            <x v="40"/>
            <x v="44"/>
            <x v="45"/>
            <x v="49"/>
            <x v="50"/>
            <x v="53"/>
            <x v="56"/>
            <x v="57"/>
            <x v="59"/>
          </reference>
        </references>
      </pivotArea>
    </format>
    <format dxfId="15">
      <pivotArea collapsedLevelsAreSubtotals="1" fieldPosition="0">
        <references count="2">
          <reference field="1" count="1" selected="0">
            <x v="0"/>
          </reference>
          <reference field="4" count="14">
            <x v="2"/>
            <x v="9"/>
            <x v="15"/>
            <x v="21"/>
            <x v="24"/>
            <x v="32"/>
            <x v="35"/>
            <x v="36"/>
            <x v="37"/>
            <x v="41"/>
            <x v="46"/>
            <x v="49"/>
            <x v="52"/>
            <x v="58"/>
          </reference>
        </references>
      </pivotArea>
    </format>
    <format dxfId="11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4" count="14">
            <x v="2"/>
            <x v="9"/>
            <x v="15"/>
            <x v="21"/>
            <x v="24"/>
            <x v="32"/>
            <x v="35"/>
            <x v="36"/>
            <x v="37"/>
            <x v="41"/>
            <x v="46"/>
            <x v="49"/>
            <x v="52"/>
            <x v="58"/>
          </reference>
        </references>
      </pivotArea>
    </format>
  </formats>
  <chartFormats count="35">
    <chartFormat chart="12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12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12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12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2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12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12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12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12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12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2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12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12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12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12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12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12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12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12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12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12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  <chartFormat chart="12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12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2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12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12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12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12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12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12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12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EE647-D350-4004-9C51-903E3A706CC7}" name="TablaDinámica6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 rowHeaderCaption="CLIENTES TOP-10/ MÊS" colHeaderCaption="ANOS">
  <location ref="AF3:AR32" firstHeaderRow="1" firstDataRow="3" firstDataCol="1"/>
  <pivotFields count="37">
    <pivotField axis="axisCol" showAll="0" defaultSubtotal="0">
      <items count="12">
        <item x="7"/>
        <item x="8"/>
        <item x="0"/>
        <item x="9"/>
        <item x="10"/>
        <item x="1"/>
        <item x="2"/>
        <item x="11"/>
        <item x="3"/>
        <item h="1" x="4"/>
        <item h="1" x="5"/>
        <item h="1" x="6"/>
      </items>
    </pivotField>
    <pivotField axis="axisCol" showAll="0">
      <items count="7">
        <item h="1" x="0"/>
        <item h="1" x="1"/>
        <item h="1" x="2"/>
        <item h="1" sd="0" x="3"/>
        <item sd="0" x="4"/>
        <item x="5"/>
        <item t="default"/>
      </items>
    </pivotField>
    <pivotField showAll="0"/>
    <pivotField showAll="0"/>
    <pivotField axis="axisRow" showAll="0" sortType="descending">
      <items count="66">
        <item x="8"/>
        <item x="25"/>
        <item x="36"/>
        <item x="32"/>
        <item x="15"/>
        <item x="30"/>
        <item x="7"/>
        <item x="10"/>
        <item x="2"/>
        <item x="18"/>
        <item x="6"/>
        <item x="3"/>
        <item x="28"/>
        <item x="16"/>
        <item x="0"/>
        <item x="37"/>
        <item x="1"/>
        <item x="29"/>
        <item x="12"/>
        <item x="26"/>
        <item x="27"/>
        <item x="9"/>
        <item h="1" x="35"/>
        <item x="20"/>
        <item x="13"/>
        <item x="5"/>
        <item x="11"/>
        <item x="17"/>
        <item x="19"/>
        <item x="14"/>
        <item x="23"/>
        <item m="1" x="64"/>
        <item x="24"/>
        <item x="22"/>
        <item x="31"/>
        <item x="33"/>
        <item x="38"/>
        <item x="21"/>
        <item x="4"/>
        <item x="34"/>
        <item x="39"/>
        <item x="40"/>
        <item m="1" x="62"/>
        <item x="41"/>
        <item x="52"/>
        <item x="42"/>
        <item x="43"/>
        <item m="1" x="61"/>
        <item x="44"/>
        <item x="45"/>
        <item x="46"/>
        <item m="1" x="63"/>
        <item x="47"/>
        <item x="48"/>
        <item h="1" m="1" x="60"/>
        <item h="1" m="1" x="59"/>
        <item h="1" x="49"/>
        <item h="1" x="50"/>
        <item h="1" x="51"/>
        <item h="1" x="53"/>
        <item h="1" x="54"/>
        <item h="1" x="55"/>
        <item h="1" x="56"/>
        <item h="1" x="57"/>
        <item h="1"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7">
    <i>
      <x v="16"/>
    </i>
    <i>
      <x v="2"/>
    </i>
    <i>
      <x v="24"/>
    </i>
    <i>
      <x v="52"/>
    </i>
    <i>
      <x v="21"/>
    </i>
    <i>
      <x v="9"/>
    </i>
    <i>
      <x v="35"/>
    </i>
    <i>
      <x v="37"/>
    </i>
    <i>
      <x v="46"/>
    </i>
    <i>
      <x v="41"/>
    </i>
    <i>
      <x v="32"/>
    </i>
    <i>
      <x v="27"/>
    </i>
    <i>
      <x v="15"/>
    </i>
    <i>
      <x v="45"/>
    </i>
    <i>
      <x v="36"/>
    </i>
    <i>
      <x v="49"/>
    </i>
    <i>
      <x v="13"/>
    </i>
    <i>
      <x v="25"/>
    </i>
    <i>
      <x v="17"/>
    </i>
    <i>
      <x v="44"/>
    </i>
    <i>
      <x v="53"/>
    </i>
    <i>
      <x v="34"/>
    </i>
    <i>
      <x v="50"/>
    </i>
    <i>
      <x v="12"/>
    </i>
    <i>
      <x v="40"/>
    </i>
    <i>
      <x v="39"/>
    </i>
    <i t="grand">
      <x/>
    </i>
  </rowItems>
  <colFields count="2">
    <field x="1"/>
    <field x="0"/>
  </colFields>
  <colItems count="12">
    <i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5"/>
    </i>
    <i t="grand">
      <x/>
    </i>
  </colItems>
  <dataFields count="1">
    <dataField name="VOLUME (MT)" fld="22" baseField="0" baseItem="0" numFmtId="3"/>
  </dataFields>
  <formats count="72">
    <format dxfId="2142">
      <pivotArea outline="0" collapsedLevelsAreSubtotals="1" fieldPosition="0"/>
    </format>
    <format dxfId="2141">
      <pivotArea outline="0" collapsedLevelsAreSubtotals="1" fieldPosition="0">
        <references count="1">
          <reference field="1" count="0" selected="0" defaultSubtotal="1"/>
        </references>
      </pivotArea>
    </format>
    <format dxfId="2140">
      <pivotArea dataOnly="0" labelOnly="1" fieldPosition="0">
        <references count="1">
          <reference field="1" count="0" defaultSubtotal="1"/>
        </references>
      </pivotArea>
    </format>
    <format dxfId="2139">
      <pivotArea grandCol="1" outline="0" collapsedLevelsAreSubtotals="1" fieldPosition="0"/>
    </format>
    <format dxfId="2138">
      <pivotArea dataOnly="0" labelOnly="1" grandCol="1" outline="0" fieldPosition="0"/>
    </format>
    <format dxfId="2137">
      <pivotArea type="origin" dataOnly="0" labelOnly="1" outline="0" offset="A1" fieldPosition="0"/>
    </format>
    <format dxfId="2136">
      <pivotArea outline="0" collapsedLevelsAreSubtotals="1" fieldPosition="0">
        <references count="2">
          <reference field="0" count="5" selected="0">
            <x v="0"/>
            <x v="1"/>
            <x v="2"/>
            <x v="3"/>
            <x v="4"/>
          </reference>
          <reference field="1" count="0" selected="0"/>
        </references>
      </pivotArea>
    </format>
    <format dxfId="2135">
      <pivotArea field="1" type="button" dataOnly="0" labelOnly="1" outline="0" axis="axisCol" fieldPosition="0"/>
    </format>
    <format dxfId="2134">
      <pivotArea field="0" type="button" dataOnly="0" labelOnly="1" outline="0" axis="axisCol" fieldPosition="1"/>
    </format>
    <format dxfId="2133">
      <pivotArea type="topRight" dataOnly="0" labelOnly="1" outline="0" fieldPosition="0"/>
    </format>
    <format dxfId="2132">
      <pivotArea dataOnly="0" labelOnly="1" fieldPosition="0">
        <references count="1">
          <reference field="1" count="0"/>
        </references>
      </pivotArea>
    </format>
    <format dxfId="2131">
      <pivotArea dataOnly="0" labelOnly="1" fieldPosition="0">
        <references count="2">
          <reference field="0" count="5">
            <x v="0"/>
            <x v="1"/>
            <x v="2"/>
            <x v="3"/>
            <x v="4"/>
          </reference>
          <reference field="1" count="0" selected="0"/>
        </references>
      </pivotArea>
    </format>
    <format dxfId="2130">
      <pivotArea outline="0" collapsedLevelsAreSubtotals="1" fieldPosition="0"/>
    </format>
    <format dxfId="2129">
      <pivotArea field="4" grandCol="1" collapsedLevelsAreSubtotals="1" axis="axisRow" fieldPosition="0">
        <references count="1">
          <reference field="4" count="5">
            <x v="2"/>
            <x v="15"/>
            <x v="16"/>
            <x v="21"/>
            <x v="27"/>
          </reference>
        </references>
      </pivotArea>
    </format>
    <format dxfId="2128">
      <pivotArea collapsedLevelsAreSubtotals="1" fieldPosition="0">
        <references count="3">
          <reference field="0" count="1" selected="0">
            <x v="2"/>
          </reference>
          <reference field="1" count="0" selected="0"/>
          <reference field="4" count="1">
            <x v="16"/>
          </reference>
        </references>
      </pivotArea>
    </format>
    <format dxfId="2127">
      <pivotArea collapsedLevelsAreSubtotals="1" fieldPosition="0">
        <references count="3">
          <reference field="0" count="1" selected="0">
            <x v="2"/>
          </reference>
          <reference field="1" count="1" selected="0">
            <x v="3"/>
          </reference>
          <reference field="4" count="1">
            <x v="16"/>
          </reference>
        </references>
      </pivotArea>
    </format>
    <format dxfId="2126">
      <pivotArea collapsedLevelsAreSubtotals="1" fieldPosition="0">
        <references count="3">
          <reference field="0" count="1" selected="0">
            <x v="2"/>
          </reference>
          <reference field="1" count="1" selected="0">
            <x v="4"/>
          </reference>
          <reference field="4" count="1">
            <x v="16"/>
          </reference>
        </references>
      </pivotArea>
    </format>
    <format dxfId="2125">
      <pivotArea dataOnly="0" labelOnly="1" fieldPosition="0">
        <references count="1">
          <reference field="4" count="18">
            <x v="1"/>
            <x v="2"/>
            <x v="9"/>
            <x v="12"/>
            <x v="13"/>
            <x v="15"/>
            <x v="16"/>
            <x v="17"/>
            <x v="20"/>
            <x v="21"/>
            <x v="24"/>
            <x v="27"/>
            <x v="30"/>
            <x v="32"/>
            <x v="36"/>
            <x v="37"/>
            <x v="40"/>
            <x v="41"/>
          </reference>
        </references>
      </pivotArea>
    </format>
    <format dxfId="2124">
      <pivotArea dataOnly="0" labelOnly="1" fieldPosition="0">
        <references count="1">
          <reference field="4" count="1">
            <x v="28"/>
          </reference>
        </references>
      </pivotArea>
    </format>
    <format dxfId="2123">
      <pivotArea dataOnly="0" labelOnly="1" fieldPosition="0">
        <references count="1">
          <reference field="4" count="1">
            <x v="1"/>
          </reference>
        </references>
      </pivotArea>
    </format>
    <format dxfId="2122">
      <pivotArea dataOnly="0" labelOnly="1" fieldPosition="0">
        <references count="1">
          <reference field="4" count="10">
            <x v="2"/>
            <x v="5"/>
            <x v="16"/>
            <x v="17"/>
            <x v="21"/>
            <x v="24"/>
            <x v="27"/>
            <x v="31"/>
            <x v="32"/>
            <x v="41"/>
          </reference>
        </references>
      </pivotArea>
    </format>
    <format dxfId="2121">
      <pivotArea collapsedLevelsAreSubtotals="1" fieldPosition="0">
        <references count="2">
          <reference field="1" count="1" selected="0">
            <x v="4"/>
          </reference>
          <reference field="4" count="1">
            <x v="5"/>
          </reference>
        </references>
      </pivotArea>
    </format>
    <format dxfId="2120">
      <pivotArea collapsedLevelsAreSubtotals="1" fieldPosition="0">
        <references count="2">
          <reference field="1" count="1" selected="0">
            <x v="4"/>
          </reference>
          <reference field="4" count="1">
            <x v="1"/>
          </reference>
        </references>
      </pivotArea>
    </format>
    <format dxfId="2119">
      <pivotArea collapsedLevelsAreSubtotals="1" fieldPosition="0">
        <references count="1">
          <reference field="4" count="1">
            <x v="46"/>
          </reference>
        </references>
      </pivotArea>
    </format>
    <format dxfId="2118">
      <pivotArea dataOnly="0" labelOnly="1" fieldPosition="0">
        <references count="1">
          <reference field="4" count="1">
            <x v="46"/>
          </reference>
        </references>
      </pivotArea>
    </format>
    <format dxfId="2117">
      <pivotArea collapsedLevelsAreSubtotals="1" fieldPosition="0">
        <references count="2">
          <reference field="1" count="1" selected="0">
            <x v="3"/>
          </reference>
          <reference field="4" count="1">
            <x v="2"/>
          </reference>
        </references>
      </pivotArea>
    </format>
    <format dxfId="2116">
      <pivotArea collapsedLevelsAreSubtotals="1" fieldPosition="0">
        <references count="2">
          <reference field="1" count="1" selected="0">
            <x v="3"/>
          </reference>
          <reference field="4" count="1">
            <x v="24"/>
          </reference>
        </references>
      </pivotArea>
    </format>
    <format dxfId="2115">
      <pivotArea collapsedLevelsAreSubtotals="1" fieldPosition="0">
        <references count="2">
          <reference field="1" count="1" selected="0">
            <x v="3"/>
          </reference>
          <reference field="4" count="2">
            <x v="35"/>
            <x v="41"/>
          </reference>
        </references>
      </pivotArea>
    </format>
    <format dxfId="2114">
      <pivotArea collapsedLevelsAreSubtotals="1" fieldPosition="0">
        <references count="2">
          <reference field="1" count="1" selected="0">
            <x v="3"/>
          </reference>
          <reference field="4" count="2">
            <x v="45"/>
            <x v="46"/>
          </reference>
        </references>
      </pivotArea>
    </format>
    <format dxfId="2113">
      <pivotArea collapsedLevelsAreSubtotals="1" fieldPosition="0">
        <references count="2">
          <reference field="1" count="1" selected="0">
            <x v="3"/>
          </reference>
          <reference field="4" count="3">
            <x v="9"/>
            <x v="15"/>
            <x v="36"/>
          </reference>
        </references>
      </pivotArea>
    </format>
    <format dxfId="2112">
      <pivotArea dataOnly="0" fieldPosition="0">
        <references count="1">
          <reference field="4" count="7">
            <x v="5"/>
            <x v="17"/>
            <x v="27"/>
            <x v="31"/>
            <x v="35"/>
            <x v="37"/>
            <x v="41"/>
          </reference>
        </references>
      </pivotArea>
    </format>
    <format dxfId="2111">
      <pivotArea collapsedLevelsAreSubtotals="1" fieldPosition="0">
        <references count="2">
          <reference field="1" count="1" selected="0">
            <x v="3"/>
          </reference>
          <reference field="4" count="1">
            <x v="35"/>
          </reference>
        </references>
      </pivotArea>
    </format>
    <format dxfId="2110">
      <pivotArea dataOnly="0" labelOnly="1" fieldPosition="0">
        <references count="1">
          <reference field="4" count="6">
            <x v="16"/>
            <x v="21"/>
            <x v="35"/>
            <x v="36"/>
            <x v="49"/>
            <x v="50"/>
          </reference>
        </references>
      </pivotArea>
    </format>
    <format dxfId="2109">
      <pivotArea dataOnly="0" labelOnly="1" fieldPosition="0">
        <references count="1">
          <reference field="4" count="10">
            <x v="2"/>
            <x v="9"/>
            <x v="16"/>
            <x v="21"/>
            <x v="24"/>
            <x v="27"/>
            <x v="32"/>
            <x v="35"/>
            <x v="37"/>
            <x v="52"/>
          </reference>
        </references>
      </pivotArea>
    </format>
    <format dxfId="2108">
      <pivotArea collapsedLevelsAreSubtotals="1" fieldPosition="0">
        <references count="2">
          <reference field="1" count="1" selected="0" defaultSubtotal="1">
            <x v="4"/>
          </reference>
          <reference field="4" count="19">
            <x v="9"/>
            <x v="12"/>
            <x v="13"/>
            <x v="15"/>
            <x v="17"/>
            <x v="21"/>
            <x v="24"/>
            <x v="25"/>
            <x v="27"/>
            <x v="32"/>
            <x v="35"/>
            <x v="36"/>
            <x v="37"/>
            <x v="39"/>
            <x v="45"/>
            <x v="49"/>
            <x v="50"/>
            <x v="52"/>
            <x v="53"/>
          </reference>
        </references>
      </pivotArea>
    </format>
    <format dxfId="2107">
      <pivotArea collapsedLevelsAreSubtotals="1" fieldPosition="0">
        <references count="3">
          <reference field="0" count="4" selected="0">
            <x v="0"/>
            <x v="1"/>
            <x v="2"/>
            <x v="3"/>
          </reference>
          <reference field="1" count="1" selected="0">
            <x v="5"/>
          </reference>
          <reference field="4" count="19">
            <x v="9"/>
            <x v="12"/>
            <x v="13"/>
            <x v="15"/>
            <x v="17"/>
            <x v="21"/>
            <x v="24"/>
            <x v="25"/>
            <x v="27"/>
            <x v="32"/>
            <x v="35"/>
            <x v="36"/>
            <x v="37"/>
            <x v="39"/>
            <x v="45"/>
            <x v="49"/>
            <x v="50"/>
            <x v="52"/>
            <x v="53"/>
          </reference>
        </references>
      </pivotArea>
    </format>
    <format dxfId="2106">
      <pivotArea field="4" grandCol="1" collapsedLevelsAreSubtotals="1" axis="axisRow" fieldPosition="0">
        <references count="1">
          <reference field="4" count="7">
            <x v="9"/>
            <x v="15"/>
            <x v="24"/>
            <x v="27"/>
            <x v="32"/>
            <x v="35"/>
            <x v="52"/>
          </reference>
        </references>
      </pivotArea>
    </format>
    <format dxfId="2105">
      <pivotArea field="4" grandCol="1" collapsedLevelsAreSubtotals="1" axis="axisRow" fieldPosition="0">
        <references count="1">
          <reference field="4" count="1">
            <x v="9"/>
          </reference>
        </references>
      </pivotArea>
    </format>
    <format dxfId="2104">
      <pivotArea dataOnly="0" labelOnly="1" fieldPosition="0">
        <references count="1">
          <reference field="4" count="1">
            <x v="37"/>
          </reference>
        </references>
      </pivotArea>
    </format>
    <format dxfId="2103">
      <pivotArea dataOnly="0" labelOnly="1" fieldPosition="0">
        <references count="1">
          <reference field="4" count="2">
            <x v="32"/>
            <x v="35"/>
          </reference>
        </references>
      </pivotArea>
    </format>
    <format dxfId="2102">
      <pivotArea dataOnly="0" labelOnly="1" fieldPosition="0">
        <references count="1">
          <reference field="4" count="1">
            <x v="9"/>
          </reference>
        </references>
      </pivotArea>
    </format>
    <format dxfId="2101">
      <pivotArea collapsedLevelsAreSubtotals="1" fieldPosition="0">
        <references count="3">
          <reference field="0" count="1" selected="0">
            <x v="2"/>
          </reference>
          <reference field="1" count="1" selected="0">
            <x v="5"/>
          </reference>
          <reference field="4" count="1">
            <x v="16"/>
          </reference>
        </references>
      </pivotArea>
    </format>
    <format dxfId="2100">
      <pivotArea collapsedLevelsAreSubtotals="1" fieldPosition="0">
        <references count="3">
          <reference field="0" count="1" selected="0">
            <x v="0"/>
          </reference>
          <reference field="1" count="1" selected="0">
            <x v="5"/>
          </reference>
          <reference field="4" count="1">
            <x v="15"/>
          </reference>
        </references>
      </pivotArea>
    </format>
    <format dxfId="2099">
      <pivotArea collapsedLevelsAreSubtotals="1" fieldPosition="0">
        <references count="3">
          <reference field="0" count="1" selected="0">
            <x v="5"/>
          </reference>
          <reference field="1" count="1" selected="0">
            <x v="5"/>
          </reference>
          <reference field="4" count="1">
            <x v="15"/>
          </reference>
        </references>
      </pivotArea>
    </format>
    <format dxfId="2098">
      <pivotArea collapsedLevelsAreSubtotals="1" fieldPosition="0">
        <references count="3">
          <reference field="0" count="1" selected="0">
            <x v="2"/>
          </reference>
          <reference field="1" count="1" selected="0">
            <x v="5"/>
          </reference>
          <reference field="4" count="1">
            <x v="35"/>
          </reference>
        </references>
      </pivotArea>
    </format>
    <format dxfId="2097">
      <pivotArea dataOnly="0" labelOnly="1" fieldPosition="0">
        <references count="2">
          <reference field="0" count="1">
            <x v="5"/>
          </reference>
          <reference field="1" count="1" selected="0">
            <x v="5"/>
          </reference>
        </references>
      </pivotArea>
    </format>
    <format dxfId="2096">
      <pivotArea collapsedLevelsAreSubtotals="1" fieldPosition="0">
        <references count="3">
          <reference field="0" count="1" selected="0">
            <x v="4"/>
          </reference>
          <reference field="1" count="1" selected="0">
            <x v="5"/>
          </reference>
          <reference field="4" count="1">
            <x v="2"/>
          </reference>
        </references>
      </pivotArea>
    </format>
    <format dxfId="2095">
      <pivotArea collapsedLevelsAreSubtotals="1" fieldPosition="0">
        <references count="3">
          <reference field="0" count="1" selected="0">
            <x v="4"/>
          </reference>
          <reference field="1" count="1" selected="0">
            <x v="5"/>
          </reference>
          <reference field="4" count="3">
            <x v="9"/>
            <x v="24"/>
            <x v="52"/>
          </reference>
        </references>
      </pivotArea>
    </format>
    <format dxfId="2094">
      <pivotArea collapsedLevelsAreSubtotals="1" fieldPosition="0">
        <references count="3">
          <reference field="0" count="2" selected="0">
            <x v="5"/>
            <x v="6"/>
          </reference>
          <reference field="1" count="1" selected="0">
            <x v="5"/>
          </reference>
          <reference field="4" count="2">
            <x v="32"/>
            <x v="36"/>
          </reference>
        </references>
      </pivotArea>
    </format>
    <format dxfId="2093">
      <pivotArea collapsedLevelsAreSubtotals="1" fieldPosition="0">
        <references count="3">
          <reference field="0" count="1" selected="0">
            <x v="5"/>
          </reference>
          <reference field="1" count="1" selected="0">
            <x v="5"/>
          </reference>
          <reference field="4" count="1">
            <x v="53"/>
          </reference>
        </references>
      </pivotArea>
    </format>
    <format dxfId="2092">
      <pivotArea collapsedLevelsAreSubtotals="1" fieldPosition="0">
        <references count="3">
          <reference field="0" count="1" selected="0">
            <x v="0"/>
          </reference>
          <reference field="1" count="1" selected="0">
            <x v="5"/>
          </reference>
          <reference field="4" count="1">
            <x v="40"/>
          </reference>
        </references>
      </pivotArea>
    </format>
    <format dxfId="2091">
      <pivotArea dataOnly="0" labelOnly="1" fieldPosition="0">
        <references count="1">
          <reference field="4" count="1">
            <x v="41"/>
          </reference>
        </references>
      </pivotArea>
    </format>
    <format dxfId="2090">
      <pivotArea dataOnly="0" labelOnly="1" fieldPosition="0">
        <references count="1">
          <reference field="4" count="1">
            <x v="35"/>
          </reference>
        </references>
      </pivotArea>
    </format>
    <format dxfId="2089">
      <pivotArea dataOnly="0" labelOnly="1" fieldPosition="0">
        <references count="1">
          <reference field="4" count="3">
            <x v="15"/>
            <x v="27"/>
            <x v="45"/>
          </reference>
        </references>
      </pivotArea>
    </format>
    <format dxfId="2088">
      <pivotArea collapsedLevelsAreSubtotals="1" fieldPosition="0">
        <references count="3">
          <reference field="0" count="1" selected="0">
            <x v="7"/>
          </reference>
          <reference field="1" count="1" selected="0">
            <x v="5"/>
          </reference>
          <reference field="4" count="1">
            <x v="32"/>
          </reference>
        </references>
      </pivotArea>
    </format>
    <format dxfId="2087">
      <pivotArea collapsedLevelsAreSubtotals="1" fieldPosition="0">
        <references count="3">
          <reference field="0" count="2" selected="0">
            <x v="3"/>
            <x v="4"/>
          </reference>
          <reference field="1" count="1" selected="0">
            <x v="5"/>
          </reference>
          <reference field="4" count="1">
            <x v="16"/>
          </reference>
        </references>
      </pivotArea>
    </format>
    <format dxfId="2086">
      <pivotArea collapsedLevelsAreSubtotals="1" fieldPosition="0">
        <references count="3">
          <reference field="0" count="3" selected="0">
            <x v="5"/>
            <x v="6"/>
            <x v="7"/>
          </reference>
          <reference field="1" count="1" selected="0">
            <x v="5"/>
          </reference>
          <reference field="4" count="2">
            <x v="2"/>
            <x v="24"/>
          </reference>
        </references>
      </pivotArea>
    </format>
    <format dxfId="2085">
      <pivotArea collapsedLevelsAreSubtotals="1" fieldPosition="0">
        <references count="3">
          <reference field="0" count="3" selected="0">
            <x v="5"/>
            <x v="6"/>
            <x v="7"/>
          </reference>
          <reference field="1" count="1" selected="0">
            <x v="5"/>
          </reference>
          <reference field="4" count="1">
            <x v="9"/>
          </reference>
        </references>
      </pivotArea>
    </format>
    <format dxfId="2084">
      <pivotArea collapsedLevelsAreSubtotals="1" fieldPosition="0">
        <references count="3">
          <reference field="0" count="2" selected="0">
            <x v="5"/>
            <x v="6"/>
          </reference>
          <reference field="1" count="1" selected="0">
            <x v="5"/>
          </reference>
          <reference field="4" count="1">
            <x v="52"/>
          </reference>
        </references>
      </pivotArea>
    </format>
    <format dxfId="2083">
      <pivotArea collapsedLevelsAreSubtotals="1" fieldPosition="0">
        <references count="3">
          <reference field="0" count="5" selected="0">
            <x v="3"/>
            <x v="4"/>
            <x v="5"/>
            <x v="6"/>
            <x v="7"/>
          </reference>
          <reference field="1" count="1" selected="0">
            <x v="5"/>
          </reference>
          <reference field="4" count="1">
            <x v="35"/>
          </reference>
        </references>
      </pivotArea>
    </format>
    <format dxfId="2082">
      <pivotArea collapsedLevelsAreSubtotals="1" fieldPosition="0">
        <references count="3">
          <reference field="0" count="2" selected="0">
            <x v="6"/>
            <x v="7"/>
          </reference>
          <reference field="1" count="1" selected="0">
            <x v="5"/>
          </reference>
          <reference field="4" count="1">
            <x v="15"/>
          </reference>
        </references>
      </pivotArea>
    </format>
    <format dxfId="2081">
      <pivotArea collapsedLevelsAreSubtotals="1" fieldPosition="0">
        <references count="3">
          <reference field="0" count="1" selected="0">
            <x v="7"/>
          </reference>
          <reference field="1" count="1" selected="0">
            <x v="5"/>
          </reference>
          <reference field="4" count="1">
            <x v="36"/>
          </reference>
        </references>
      </pivotArea>
    </format>
    <format dxfId="2080">
      <pivotArea collapsedLevelsAreSubtotals="1" fieldPosition="0">
        <references count="3">
          <reference field="0" count="1" selected="0">
            <x v="7"/>
          </reference>
          <reference field="1" count="1" selected="0">
            <x v="5"/>
          </reference>
          <reference field="4" count="1">
            <x v="49"/>
          </reference>
        </references>
      </pivotArea>
    </format>
    <format dxfId="2079">
      <pivotArea collapsedLevelsAreSubtotals="1" fieldPosition="0">
        <references count="3">
          <reference field="0" count="1" selected="0">
            <x v="0"/>
          </reference>
          <reference field="1" count="1" selected="0">
            <x v="5"/>
          </reference>
          <reference field="4" count="1">
            <x v="41"/>
          </reference>
        </references>
      </pivotArea>
    </format>
    <format dxfId="2078">
      <pivotArea collapsedLevelsAreSubtotals="1" fieldPosition="0">
        <references count="3">
          <reference field="0" count="2" selected="0">
            <x v="6"/>
            <x v="7"/>
          </reference>
          <reference field="1" count="1" selected="0">
            <x v="5"/>
          </reference>
          <reference field="4" count="1">
            <x v="41"/>
          </reference>
        </references>
      </pivotArea>
    </format>
    <format dxfId="2077">
      <pivotArea collapsedLevelsAreSubtotals="1" fieldPosition="0">
        <references count="3">
          <reference field="0" count="2" selected="0">
            <x v="6"/>
            <x v="7"/>
          </reference>
          <reference field="1" count="1" selected="0">
            <x v="5"/>
          </reference>
          <reference field="4" count="1">
            <x v="53"/>
          </reference>
        </references>
      </pivotArea>
    </format>
    <format dxfId="2076">
      <pivotArea collapsedLevelsAreSubtotals="1" fieldPosition="0">
        <references count="3">
          <reference field="0" count="1" selected="0">
            <x v="2"/>
          </reference>
          <reference field="1" count="1" selected="0">
            <x v="5"/>
          </reference>
          <reference field="4" count="1">
            <x v="50"/>
          </reference>
        </references>
      </pivotArea>
    </format>
    <format dxfId="1339">
      <pivotArea collapsedLevelsAreSubtotals="1" fieldPosition="0">
        <references count="3">
          <reference field="0" count="0" selected="0"/>
          <reference field="1" count="1" selected="0">
            <x v="5"/>
          </reference>
          <reference field="4" count="16">
            <x v="12"/>
            <x v="13"/>
            <x v="15"/>
            <x v="17"/>
            <x v="25"/>
            <x v="27"/>
            <x v="32"/>
            <x v="34"/>
            <x v="36"/>
            <x v="39"/>
            <x v="40"/>
            <x v="44"/>
            <x v="45"/>
            <x v="49"/>
            <x v="50"/>
            <x v="53"/>
          </reference>
        </references>
      </pivotArea>
    </format>
    <format dxfId="8">
      <pivotArea collapsedLevelsAreSubtotals="1" fieldPosition="0">
        <references count="2">
          <reference field="1" count="1" selected="0">
            <x v="4"/>
          </reference>
          <reference field="4" count="16">
            <x v="2"/>
            <x v="9"/>
            <x v="15"/>
            <x v="16"/>
            <x v="21"/>
            <x v="24"/>
            <x v="27"/>
            <x v="32"/>
            <x v="35"/>
            <x v="36"/>
            <x v="37"/>
            <x v="41"/>
            <x v="45"/>
            <x v="46"/>
            <x v="49"/>
            <x v="52"/>
          </reference>
        </references>
      </pivotArea>
    </format>
    <format dxfId="7">
      <pivotArea collapsedLevelsAreSubtotals="1" fieldPosition="0">
        <references count="3">
          <reference field="0" count="0" selected="0"/>
          <reference field="1" count="1" selected="0">
            <x v="5"/>
          </reference>
          <reference field="4" count="16">
            <x v="2"/>
            <x v="9"/>
            <x v="15"/>
            <x v="16"/>
            <x v="21"/>
            <x v="24"/>
            <x v="27"/>
            <x v="32"/>
            <x v="35"/>
            <x v="36"/>
            <x v="37"/>
            <x v="41"/>
            <x v="45"/>
            <x v="46"/>
            <x v="49"/>
            <x v="52"/>
          </reference>
        </references>
      </pivotArea>
    </format>
    <format dxfId="1">
      <pivotArea collapsedLevelsAreSubtotals="1" fieldPosition="0">
        <references count="3">
          <reference field="0" count="1" selected="0">
            <x v="7"/>
          </reference>
          <reference field="1" count="1" selected="0">
            <x v="5"/>
          </reference>
          <reference field="4" count="1">
            <x v="46"/>
          </reference>
        </references>
      </pivotArea>
    </format>
    <format dxfId="0">
      <pivotArea collapsedLevelsAreSubtotals="1" fieldPosition="0">
        <references count="2">
          <reference field="1" count="1" selected="0" defaultSubtotal="1">
            <x v="5"/>
          </reference>
          <reference field="4" count="1">
            <x v="46"/>
          </reference>
        </references>
      </pivotArea>
    </format>
  </formats>
  <chartFormats count="34">
    <chartFormat chart="33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33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33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33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33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33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33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33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</references>
      </pivotArea>
    </chartFormat>
    <chartFormat chart="33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</references>
      </pivotArea>
    </chartFormat>
    <chartFormat chart="33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3"/>
          </reference>
        </references>
      </pivotArea>
    </chartFormat>
    <chartFormat chart="33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3"/>
          </reference>
        </references>
      </pivotArea>
    </chartFormat>
    <chartFormat chart="33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</references>
      </pivotArea>
    </chartFormat>
    <chartFormat chart="33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33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33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33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33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33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3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33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33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33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3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3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</references>
      </pivotArea>
    </chartFormat>
    <chartFormat chart="33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33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33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33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33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33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5"/>
          </reference>
        </references>
      </pivotArea>
    </chartFormat>
    <chartFormat chart="33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5"/>
          </reference>
        </references>
      </pivotArea>
    </chartFormat>
    <chartFormat chart="33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5"/>
          </reference>
        </references>
      </pivotArea>
    </chartFormat>
    <chartFormat chart="33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5"/>
          </reference>
        </references>
      </pivotArea>
    </chartFormat>
    <chartFormat chart="33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12611-61BB-41AC-9272-85484D0A89FE}" name="TablaDinámica4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3" rowHeaderCaption="CLIENTE" colHeaderCaption="mes">
  <location ref="T4:Z35" firstHeaderRow="1" firstDataRow="3" firstDataCol="1" rowPageCount="1" colPageCount="1"/>
  <pivotFields count="37">
    <pivotField axis="axisCol" showAll="0">
      <items count="14">
        <item x="7"/>
        <item x="8"/>
        <item x="0"/>
        <item x="9"/>
        <item x="10"/>
        <item x="1"/>
        <item x="2"/>
        <item x="11"/>
        <item x="3"/>
        <item x="4"/>
        <item x="5"/>
        <item x="6"/>
        <item h="1" x="12"/>
        <item t="default"/>
      </items>
    </pivotField>
    <pivotField axis="axisCol" multipleItemSelectionAllowed="1" showAll="0">
      <items count="8">
        <item h="1" x="0"/>
        <item h="1" x="1"/>
        <item h="1" x="2"/>
        <item h="1" x="3"/>
        <item sd="0" x="4"/>
        <item h="1" x="6"/>
        <item x="5"/>
        <item t="default"/>
      </items>
    </pivotField>
    <pivotField showAll="0"/>
    <pivotField showAll="0"/>
    <pivotField axis="axisPage" multipleItemSelectionAllowed="1" showAll="0">
      <items count="66">
        <item h="1" x="8"/>
        <item h="1" x="25"/>
        <item h="1" x="32"/>
        <item h="1" x="15"/>
        <item h="1" x="30"/>
        <item h="1" x="7"/>
        <item h="1" x="10"/>
        <item h="1" x="2"/>
        <item h="1" x="18"/>
        <item h="1" x="6"/>
        <item h="1" x="3"/>
        <item h="1" x="28"/>
        <item h="1" m="1" x="62"/>
        <item h="1" x="16"/>
        <item h="1" x="0"/>
        <item x="1"/>
        <item h="1" x="29"/>
        <item h="1" x="12"/>
        <item h="1" x="26"/>
        <item h="1" x="27"/>
        <item h="1" x="9"/>
        <item h="1" x="20"/>
        <item h="1" x="13"/>
        <item h="1" x="5"/>
        <item h="1" x="11"/>
        <item h="1" x="17"/>
        <item h="1" x="19"/>
        <item h="1" x="14"/>
        <item h="1" x="23"/>
        <item h="1" m="1" x="64"/>
        <item h="1" x="24"/>
        <item h="1" x="22"/>
        <item h="1" x="31"/>
        <item h="1" x="33"/>
        <item h="1" x="21"/>
        <item h="1" x="4"/>
        <item h="1" x="34"/>
        <item h="1" x="59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m="1" x="63"/>
        <item h="1" x="47"/>
        <item h="1" x="48"/>
        <item h="1" m="1" x="61"/>
        <item h="1" m="1" x="60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t="default"/>
      </items>
    </pivotField>
    <pivotField showAll="0"/>
    <pivotField showAll="0"/>
    <pivotField showAll="0"/>
    <pivotField showAll="0"/>
    <pivotField axis="axisRow" showAll="0" sortType="descending">
      <items count="662">
        <item x="355"/>
        <item x="357"/>
        <item x="358"/>
        <item x="396"/>
        <item x="135"/>
        <item x="122"/>
        <item x="136"/>
        <item x="159"/>
        <item x="107"/>
        <item x="109"/>
        <item x="121"/>
        <item x="111"/>
        <item x="60"/>
        <item x="160"/>
        <item x="70"/>
        <item x="10"/>
        <item x="154"/>
        <item x="21"/>
        <item x="141"/>
        <item x="143"/>
        <item x="55"/>
        <item x="155"/>
        <item x="22"/>
        <item x="51"/>
        <item x="102"/>
        <item x="13"/>
        <item x="14"/>
        <item x="106"/>
        <item x="152"/>
        <item x="23"/>
        <item x="99"/>
        <item x="92"/>
        <item x="93"/>
        <item x="125"/>
        <item x="108"/>
        <item x="127"/>
        <item x="133"/>
        <item x="134"/>
        <item x="29"/>
        <item x="25"/>
        <item x="126"/>
        <item x="9"/>
        <item x="11"/>
        <item x="56"/>
        <item x="95"/>
        <item x="131"/>
        <item x="132"/>
        <item x="57"/>
        <item x="2"/>
        <item x="110"/>
        <item x="62"/>
        <item x="105"/>
        <item x="47"/>
        <item x="41"/>
        <item x="150"/>
        <item x="12"/>
        <item x="33"/>
        <item x="117"/>
        <item x="115"/>
        <item x="116"/>
        <item x="114"/>
        <item x="113"/>
        <item x="119"/>
        <item x="118"/>
        <item x="120"/>
        <item x="85"/>
        <item x="86"/>
        <item x="87"/>
        <item x="91"/>
        <item x="89"/>
        <item x="90"/>
        <item x="88"/>
        <item x="103"/>
        <item x="28"/>
        <item x="94"/>
        <item x="48"/>
        <item x="156"/>
        <item x="130"/>
        <item x="100"/>
        <item x="98"/>
        <item x="31"/>
        <item x="30"/>
        <item x="42"/>
        <item x="151"/>
        <item x="96"/>
        <item x="32"/>
        <item x="43"/>
        <item x="36"/>
        <item x="59"/>
        <item x="16"/>
        <item x="15"/>
        <item x="147"/>
        <item x="158"/>
        <item x="8"/>
        <item x="45"/>
        <item x="37"/>
        <item x="97"/>
        <item x="65"/>
        <item x="124"/>
        <item x="128"/>
        <item x="149"/>
        <item x="153"/>
        <item x="157"/>
        <item x="104"/>
        <item x="129"/>
        <item x="148"/>
        <item x="142"/>
        <item x="137"/>
        <item x="79"/>
        <item x="84"/>
        <item x="80"/>
        <item x="72"/>
        <item x="73"/>
        <item x="74"/>
        <item x="78"/>
        <item x="76"/>
        <item x="77"/>
        <item x="75"/>
        <item x="83"/>
        <item x="81"/>
        <item x="82"/>
        <item x="186"/>
        <item x="168"/>
        <item x="230"/>
        <item x="169"/>
        <item x="194"/>
        <item x="308"/>
        <item x="170"/>
        <item x="162"/>
        <item x="167"/>
        <item x="193"/>
        <item x="171"/>
        <item x="185"/>
        <item x="187"/>
        <item x="225"/>
        <item x="224"/>
        <item x="276"/>
        <item x="277"/>
        <item x="278"/>
        <item x="293"/>
        <item x="338"/>
        <item x="371"/>
        <item x="385"/>
        <item x="394"/>
        <item x="392"/>
        <item x="280"/>
        <item x="233"/>
        <item x="232"/>
        <item x="182"/>
        <item x="234"/>
        <item x="164"/>
        <item x="188"/>
        <item x="183"/>
        <item x="340"/>
        <item x="372"/>
        <item x="195"/>
        <item x="196"/>
        <item x="231"/>
        <item x="209"/>
        <item x="207"/>
        <item x="206"/>
        <item x="208"/>
        <item x="281"/>
        <item x="282"/>
        <item x="341"/>
        <item x="337"/>
        <item x="342"/>
        <item x="215"/>
        <item x="381"/>
        <item x="382"/>
        <item x="319"/>
        <item x="317"/>
        <item x="318"/>
        <item x="228"/>
        <item x="227"/>
        <item x="226"/>
        <item x="229"/>
        <item x="179"/>
        <item x="172"/>
        <item x="180"/>
        <item x="175"/>
        <item x="177"/>
        <item x="181"/>
        <item x="174"/>
        <item x="173"/>
        <item x="176"/>
        <item x="178"/>
        <item x="189"/>
        <item x="191"/>
        <item x="190"/>
        <item x="192"/>
        <item x="166"/>
        <item x="313"/>
        <item x="312"/>
        <item x="311"/>
        <item x="310"/>
        <item x="309"/>
        <item x="260"/>
        <item x="259"/>
        <item x="369"/>
        <item x="367"/>
        <item x="272"/>
        <item x="269"/>
        <item x="264"/>
        <item x="332"/>
        <item x="265"/>
        <item x="266"/>
        <item x="267"/>
        <item x="262"/>
        <item x="268"/>
        <item x="333"/>
        <item x="263"/>
        <item x="271"/>
        <item x="331"/>
        <item x="255"/>
        <item x="254"/>
        <item x="253"/>
        <item x="330"/>
        <item x="252"/>
        <item x="250"/>
        <item x="249"/>
        <item x="328"/>
        <item x="248"/>
        <item x="251"/>
        <item x="256"/>
        <item x="329"/>
        <item x="257"/>
        <item x="258"/>
        <item x="273"/>
        <item x="368"/>
        <item x="275"/>
        <item x="274"/>
        <item x="270"/>
        <item x="261"/>
        <item x="323"/>
        <item x="322"/>
        <item x="327"/>
        <item x="321"/>
        <item x="324"/>
        <item x="325"/>
        <item x="326"/>
        <item x="378"/>
        <item x="374"/>
        <item x="366"/>
        <item x="365"/>
        <item x="364"/>
        <item x="363"/>
        <item x="377"/>
        <item x="376"/>
        <item x="375"/>
        <item x="362"/>
        <item x="380"/>
        <item x="283"/>
        <item x="284"/>
        <item x="285"/>
        <item x="286"/>
        <item x="287"/>
        <item x="203"/>
        <item x="199"/>
        <item x="197"/>
        <item x="202"/>
        <item x="200"/>
        <item x="201"/>
        <item x="204"/>
        <item x="205"/>
        <item x="198"/>
        <item x="335"/>
        <item x="393"/>
        <item x="336"/>
        <item x="389"/>
        <item x="391"/>
        <item x="390"/>
        <item x="184"/>
        <item x="211"/>
        <item x="216"/>
        <item x="213"/>
        <item x="217"/>
        <item x="289"/>
        <item x="288"/>
        <item x="294"/>
        <item x="295"/>
        <item x="296"/>
        <item x="316"/>
        <item x="297"/>
        <item x="314"/>
        <item x="315"/>
        <item x="320"/>
        <item x="359"/>
        <item x="360"/>
        <item x="379"/>
        <item x="292"/>
        <item x="291"/>
        <item x="290"/>
        <item x="239"/>
        <item x="242"/>
        <item x="244"/>
        <item x="241"/>
        <item x="243"/>
        <item x="238"/>
        <item x="236"/>
        <item x="240"/>
        <item x="237"/>
        <item x="373"/>
        <item x="395"/>
        <item x="339"/>
        <item x="349"/>
        <item x="354"/>
        <item x="353"/>
        <item x="352"/>
        <item x="351"/>
        <item x="350"/>
        <item x="343"/>
        <item x="348"/>
        <item x="347"/>
        <item x="346"/>
        <item x="345"/>
        <item x="344"/>
        <item x="370"/>
        <item x="383"/>
        <item x="384"/>
        <item x="386"/>
        <item x="388"/>
        <item x="387"/>
        <item x="27"/>
        <item x="235"/>
        <item x="112"/>
        <item x="58"/>
        <item x="18"/>
        <item x="35"/>
        <item x="34"/>
        <item x="3"/>
        <item x="17"/>
        <item x="46"/>
        <item x="64"/>
        <item x="138"/>
        <item x="44"/>
        <item x="19"/>
        <item x="24"/>
        <item x="63"/>
        <item x="52"/>
        <item x="53"/>
        <item x="54"/>
        <item x="67"/>
        <item x="5"/>
        <item x="38"/>
        <item x="39"/>
        <item x="68"/>
        <item x="40"/>
        <item x="20"/>
        <item x="144"/>
        <item x="222"/>
        <item x="223"/>
        <item x="221"/>
        <item x="279"/>
        <item x="356"/>
        <item x="214"/>
        <item x="361"/>
        <item x="334"/>
        <item x="218"/>
        <item x="245"/>
        <item x="247"/>
        <item x="246"/>
        <item x="219"/>
        <item x="299"/>
        <item x="300"/>
        <item x="298"/>
        <item x="302"/>
        <item x="301"/>
        <item x="304"/>
        <item x="305"/>
        <item x="307"/>
        <item x="306"/>
        <item x="303"/>
        <item x="26"/>
        <item x="220"/>
        <item x="165"/>
        <item x="50"/>
        <item x="71"/>
        <item x="101"/>
        <item x="7"/>
        <item x="140"/>
        <item x="6"/>
        <item x="61"/>
        <item x="139"/>
        <item x="0"/>
        <item x="161"/>
        <item x="1"/>
        <item x="145"/>
        <item x="69"/>
        <item x="146"/>
        <item x="4"/>
        <item x="66"/>
        <item x="210"/>
        <item x="212"/>
        <item x="49"/>
        <item x="123"/>
        <item x="163"/>
        <item x="660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9">
    <i>
      <x v="125"/>
    </i>
    <i>
      <x v="144"/>
    </i>
    <i>
      <x v="272"/>
    </i>
    <i>
      <x v="128"/>
    </i>
    <i>
      <x v="142"/>
    </i>
    <i>
      <x v="143"/>
    </i>
    <i>
      <x v="135"/>
    </i>
    <i>
      <x v="122"/>
    </i>
    <i>
      <x v="129"/>
    </i>
    <i>
      <x v="127"/>
    </i>
    <i>
      <x v="126"/>
    </i>
    <i>
      <x v="415"/>
    </i>
    <i>
      <x v="414"/>
    </i>
    <i>
      <x v="417"/>
    </i>
    <i>
      <x v="606"/>
    </i>
    <i>
      <x v="132"/>
    </i>
    <i>
      <x v="134"/>
    </i>
    <i>
      <x v="411"/>
    </i>
    <i>
      <x v="416"/>
    </i>
    <i>
      <x v="140"/>
    </i>
    <i>
      <x v="141"/>
    </i>
    <i>
      <x v="410"/>
    </i>
    <i>
      <x v="413"/>
    </i>
    <i>
      <x v="138"/>
    </i>
    <i>
      <x v="412"/>
    </i>
    <i>
      <x v="137"/>
    </i>
    <i>
      <x v="409"/>
    </i>
    <i>
      <x v="408"/>
    </i>
    <i t="grand">
      <x/>
    </i>
  </rowItems>
  <colFields count="2">
    <field x="1"/>
    <field x="0"/>
  </colFields>
  <colItems count="6">
    <i>
      <x v="4"/>
    </i>
    <i>
      <x v="6"/>
      <x v="1"/>
    </i>
    <i r="1">
      <x v="5"/>
    </i>
    <i r="1">
      <x v="8"/>
    </i>
    <i t="default">
      <x v="6"/>
    </i>
    <i t="grand">
      <x/>
    </i>
  </colItems>
  <pageFields count="1">
    <pageField fld="4" hier="-1"/>
  </pageFields>
  <dataFields count="1">
    <dataField name="VALOR X SKU" fld="18" baseField="0" baseItem="0"/>
  </dataFields>
  <formats count="38">
    <format dxfId="1978">
      <pivotArea dataOnly="0" labelOnly="1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1977">
      <pivotArea dataOnly="0" labelOnly="1" grandCol="1" outline="0" fieldPosition="0"/>
    </format>
    <format dxfId="1976">
      <pivotArea collapsedLevelsAreSubtotals="1" fieldPosition="0">
        <references count="1">
          <reference field="4" count="31">
            <x v="0"/>
            <x v="1"/>
            <x v="2"/>
            <x v="3"/>
            <x v="4"/>
            <x v="5"/>
            <x v="6"/>
            <x v="8"/>
            <x v="11"/>
            <x v="13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975">
      <pivotArea collapsedLevelsAreSubtotals="1" fieldPosition="0">
        <references count="2">
          <reference field="1" count="0" selected="0"/>
          <reference field="4" count="1">
            <x v="15"/>
          </reference>
        </references>
      </pivotArea>
    </format>
    <format dxfId="1974">
      <pivotArea collapsedLevelsAreSubtotals="1" fieldPosition="0">
        <references count="2">
          <reference field="1" count="0" selected="0"/>
          <reference field="4" count="1">
            <x v="20"/>
          </reference>
        </references>
      </pivotArea>
    </format>
    <format dxfId="1973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25"/>
          </reference>
        </references>
      </pivotArea>
    </format>
    <format dxfId="1972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34"/>
          </reference>
        </references>
      </pivotArea>
    </format>
    <format dxfId="1971">
      <pivotArea collapsedLevelsAreSubtotals="1" fieldPosition="0">
        <references count="2">
          <reference field="1" count="1" selected="0">
            <x v="1"/>
          </reference>
          <reference field="4" count="3">
            <x v="3"/>
            <x v="4"/>
            <x v="5"/>
          </reference>
        </references>
      </pivotArea>
    </format>
    <format dxfId="1970">
      <pivotArea field="4" grandRow="1" collapsedLevelsAreSubtotals="1" axis="axisPage" fieldPosition="0">
        <references count="1">
          <reference field="4" count="1">
            <x v="15"/>
          </reference>
        </references>
      </pivotArea>
    </format>
    <format dxfId="1969">
      <pivotArea field="4" grandRow="1" collapsedLevelsAreSubtotals="1" axis="axisPage" fieldPosition="0">
        <references count="1">
          <reference field="4" count="1">
            <x v="20"/>
          </reference>
        </references>
      </pivotArea>
    </format>
    <format dxfId="1968">
      <pivotArea field="4" grandRow="1" collapsedLevelsAreSubtotals="1" axis="axisPage" fieldPosition="0">
        <references count="1">
          <reference field="4" count="1">
            <x v="25"/>
          </reference>
        </references>
      </pivotArea>
    </format>
    <format dxfId="1967">
      <pivotArea collapsedLevelsAreSubtotals="1" fieldPosition="0">
        <references count="1">
          <reference field="9" count="53">
            <x v="20"/>
            <x v="24"/>
            <x v="43"/>
            <x v="47"/>
            <x v="54"/>
            <x v="55"/>
            <x v="88"/>
            <x v="91"/>
            <x v="92"/>
            <x v="97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8"/>
            <x v="150"/>
            <x v="177"/>
            <x v="178"/>
            <x v="179"/>
            <x v="180"/>
            <x v="181"/>
            <x v="182"/>
            <x v="183"/>
            <x v="184"/>
            <x v="185"/>
            <x v="186"/>
            <x v="272"/>
            <x v="324"/>
            <x v="325"/>
            <x v="326"/>
            <x v="333"/>
            <x v="385"/>
            <x v="396"/>
          </reference>
        </references>
      </pivotArea>
    </format>
    <format dxfId="1966">
      <pivotArea grandRow="1" outline="0" collapsedLevelsAreSubtotals="1" fieldPosition="0"/>
    </format>
    <format dxfId="1965">
      <pivotArea collapsedLevelsAreSubtotals="1" fieldPosition="0">
        <references count="1">
          <reference field="9" count="1">
            <x v="125"/>
          </reference>
        </references>
      </pivotArea>
    </format>
    <format dxfId="1964">
      <pivotArea collapsedLevelsAreSubtotals="1" fieldPosition="0">
        <references count="1">
          <reference field="9" count="1">
            <x v="128"/>
          </reference>
        </references>
      </pivotArea>
    </format>
    <format dxfId="1963">
      <pivotArea dataOnly="0" fieldPosition="0">
        <references count="1">
          <reference field="9" count="1">
            <x v="97"/>
          </reference>
        </references>
      </pivotArea>
    </format>
    <format dxfId="1962">
      <pivotArea dataOnly="0" fieldPosition="0">
        <references count="1">
          <reference field="9" count="1">
            <x v="122"/>
          </reference>
        </references>
      </pivotArea>
    </format>
    <format dxfId="1961">
      <pivotArea dataOnly="0" fieldPosition="0">
        <references count="1">
          <reference field="9" count="1">
            <x v="132"/>
          </reference>
        </references>
      </pivotArea>
    </format>
    <format dxfId="1960">
      <pivotArea dataOnly="0" fieldPosition="0">
        <references count="1">
          <reference field="9" count="1">
            <x v="127"/>
          </reference>
        </references>
      </pivotArea>
    </format>
    <format dxfId="1959">
      <pivotArea dataOnly="0" fieldPosition="0">
        <references count="1">
          <reference field="9" count="1">
            <x v="272"/>
          </reference>
        </references>
      </pivotArea>
    </format>
    <format dxfId="1958">
      <pivotArea collapsedLevelsAreSubtotals="1" fieldPosition="0">
        <references count="1">
          <reference field="9" count="1">
            <x v="97"/>
          </reference>
        </references>
      </pivotArea>
    </format>
    <format dxfId="1957">
      <pivotArea dataOnly="0" labelOnly="1" outline="0" fieldPosition="0">
        <references count="1">
          <reference field="4" count="0"/>
        </references>
      </pivotArea>
    </format>
    <format dxfId="1956">
      <pivotArea dataOnly="0" labelOnly="1" outline="0" fieldPosition="0">
        <references count="1">
          <reference field="4" count="0"/>
        </references>
      </pivotArea>
    </format>
    <format dxfId="1955">
      <pivotArea outline="0" collapsedLevelsAreSubtotals="1" fieldPosition="0"/>
    </format>
    <format dxfId="1954">
      <pivotArea dataOnly="0" labelOnly="1" fieldPosition="0">
        <references count="1">
          <reference field="9" count="10">
            <x v="97"/>
            <x v="122"/>
            <x v="125"/>
            <x v="127"/>
            <x v="128"/>
            <x v="129"/>
            <x v="132"/>
            <x v="135"/>
            <x v="144"/>
            <x v="330"/>
          </reference>
        </references>
      </pivotArea>
    </format>
    <format dxfId="1953">
      <pivotArea dataOnly="0" labelOnly="1" fieldPosition="0">
        <references count="1">
          <reference field="9" count="1">
            <x v="125"/>
          </reference>
        </references>
      </pivotArea>
    </format>
    <format dxfId="1952">
      <pivotArea dataOnly="0" labelOnly="1" fieldPosition="0">
        <references count="1">
          <reference field="9" count="1">
            <x v="128"/>
          </reference>
        </references>
      </pivotArea>
    </format>
    <format dxfId="1951">
      <pivotArea dataOnly="0" labelOnly="1" fieldPosition="0">
        <references count="1">
          <reference field="0" count="1">
            <x v="9"/>
          </reference>
        </references>
      </pivotArea>
    </format>
    <format dxfId="1950">
      <pivotArea outline="0" collapsedLevelsAreSubtotals="1" fieldPosition="0">
        <references count="2">
          <reference field="0" count="1" selected="0">
            <x v="1"/>
          </reference>
          <reference field="1" count="1" selected="0">
            <x v="6"/>
          </reference>
        </references>
      </pivotArea>
    </format>
    <format dxfId="1949">
      <pivotArea type="topRight" dataOnly="0" labelOnly="1" outline="0" fieldPosition="0"/>
    </format>
    <format dxfId="1948">
      <pivotArea dataOnly="0" labelOnly="1" fieldPosition="0">
        <references count="1">
          <reference field="1" count="1">
            <x v="6"/>
          </reference>
        </references>
      </pivotArea>
    </format>
    <format dxfId="1947">
      <pivotArea dataOnly="0" labelOnly="1" fieldPosition="0">
        <references count="2">
          <reference field="0" count="2">
            <x v="0"/>
            <x v="1"/>
          </reference>
          <reference field="1" count="1" selected="0">
            <x v="6"/>
          </reference>
        </references>
      </pivotArea>
    </format>
    <format dxfId="1946">
      <pivotArea collapsedLevelsAreSubtotals="1" fieldPosition="0">
        <references count="1">
          <reference field="9" count="28">
            <x v="122"/>
            <x v="125"/>
            <x v="126"/>
            <x v="127"/>
            <x v="128"/>
            <x v="129"/>
            <x v="132"/>
            <x v="134"/>
            <x v="135"/>
            <x v="137"/>
            <x v="138"/>
            <x v="140"/>
            <x v="141"/>
            <x v="142"/>
            <x v="143"/>
            <x v="144"/>
            <x v="272"/>
            <x v="408"/>
            <x v="409"/>
            <x v="410"/>
            <x v="411"/>
            <x v="412"/>
            <x v="413"/>
            <x v="414"/>
            <x v="415"/>
            <x v="416"/>
            <x v="417"/>
            <x v="606"/>
          </reference>
        </references>
      </pivotArea>
    </format>
    <format dxfId="1945">
      <pivotArea dataOnly="0" labelOnly="1" fieldPosition="0">
        <references count="1">
          <reference field="9" count="1">
            <x v="129"/>
          </reference>
        </references>
      </pivotArea>
    </format>
    <format dxfId="1944">
      <pivotArea collapsedLevelsAreSubtotals="1" fieldPosition="0">
        <references count="1">
          <reference field="9" count="3">
            <x v="122"/>
            <x v="127"/>
            <x v="129"/>
          </reference>
        </references>
      </pivotArea>
    </format>
    <format dxfId="1943">
      <pivotArea collapsedLevelsAreSubtotals="1" fieldPosition="0">
        <references count="1">
          <reference field="9" count="1">
            <x v="132"/>
          </reference>
        </references>
      </pivotArea>
    </format>
    <format dxfId="1942">
      <pivotArea dataOnly="0" labelOnly="1" fieldPosition="0">
        <references count="1">
          <reference field="9" count="1">
            <x v="606"/>
          </reference>
        </references>
      </pivotArea>
    </format>
    <format dxfId="1941">
      <pivotArea dataOnly="0" labelOnly="1" fieldPosition="0">
        <references count="2">
          <reference field="0" count="1">
            <x v="5"/>
          </reference>
          <reference field="1" count="1" selected="0">
            <x v="6"/>
          </reference>
        </references>
      </pivotArea>
    </format>
  </formats>
  <chartFormats count="34">
    <chartFormat chart="3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3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3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3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30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30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30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30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30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30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</references>
      </pivotArea>
    </chartFormat>
    <chartFormat chart="30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3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0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30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32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2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32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32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32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30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6"/>
          </reference>
        </references>
      </pivotArea>
    </chartFormat>
    <chartFormat chart="32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6"/>
          </reference>
        </references>
      </pivotArea>
    </chartFormat>
    <chartFormat chart="32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6"/>
          </reference>
        </references>
      </pivotArea>
    </chartFormat>
    <chartFormat chart="30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6"/>
          </reference>
        </references>
      </pivotArea>
    </chartFormat>
    <chartFormat chart="30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6"/>
          </reference>
        </references>
      </pivotArea>
    </chartFormat>
    <chartFormat chart="32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C42E9-90D2-47BB-B5F3-229BEECAECCE}" name="TablaDinámica3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 rowHeaderCaption="CLIENTE" colHeaderCaption="mes">
  <location ref="A4:G35" firstHeaderRow="1" firstDataRow="3" firstDataCol="1" rowPageCount="1" colPageCount="1"/>
  <pivotFields count="37">
    <pivotField axis="axisCol" showAll="0">
      <items count="14">
        <item x="7"/>
        <item x="8"/>
        <item x="0"/>
        <item x="9"/>
        <item x="10"/>
        <item x="1"/>
        <item x="2"/>
        <item x="11"/>
        <item x="3"/>
        <item x="4"/>
        <item x="5"/>
        <item x="6"/>
        <item h="1" x="12"/>
        <item t="default"/>
      </items>
    </pivotField>
    <pivotField axis="axisCol" multipleItemSelectionAllowed="1" showAll="0">
      <items count="8">
        <item h="1" x="0"/>
        <item h="1" x="1"/>
        <item h="1" x="2"/>
        <item h="1" x="3"/>
        <item sd="0" x="4"/>
        <item h="1" x="6"/>
        <item x="5"/>
        <item t="default"/>
      </items>
    </pivotField>
    <pivotField showAll="0"/>
    <pivotField showAll="0"/>
    <pivotField axis="axisPage" multipleItemSelectionAllowed="1" showAll="0">
      <items count="66">
        <item h="1" x="8"/>
        <item h="1" x="25"/>
        <item h="1" x="32"/>
        <item h="1" x="15"/>
        <item h="1" x="30"/>
        <item h="1" x="7"/>
        <item h="1" x="10"/>
        <item h="1" x="2"/>
        <item h="1" x="18"/>
        <item h="1" x="6"/>
        <item h="1" x="3"/>
        <item h="1" x="28"/>
        <item h="1" m="1" x="62"/>
        <item h="1" x="16"/>
        <item h="1" x="0"/>
        <item x="1"/>
        <item h="1" x="29"/>
        <item h="1" x="12"/>
        <item h="1" x="26"/>
        <item h="1" x="27"/>
        <item h="1" x="9"/>
        <item h="1" x="20"/>
        <item h="1" x="13"/>
        <item h="1" x="5"/>
        <item h="1" x="11"/>
        <item h="1" x="17"/>
        <item h="1" x="19"/>
        <item h="1" x="14"/>
        <item h="1" x="23"/>
        <item h="1" m="1" x="64"/>
        <item h="1" x="24"/>
        <item h="1" x="22"/>
        <item h="1" x="31"/>
        <item h="1" x="33"/>
        <item h="1" x="21"/>
        <item h="1" x="4"/>
        <item h="1" x="34"/>
        <item h="1" x="59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m="1" x="63"/>
        <item h="1" x="47"/>
        <item h="1" x="48"/>
        <item h="1" m="1" x="61"/>
        <item h="1" m="1" x="60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t="default"/>
      </items>
    </pivotField>
    <pivotField showAll="0"/>
    <pivotField showAll="0"/>
    <pivotField showAll="0"/>
    <pivotField showAll="0"/>
    <pivotField axis="axisRow" showAll="0" sortType="descending">
      <items count="662">
        <item x="660"/>
        <item x="163"/>
        <item x="123"/>
        <item x="49"/>
        <item x="212"/>
        <item x="210"/>
        <item x="66"/>
        <item x="4"/>
        <item x="146"/>
        <item x="69"/>
        <item x="145"/>
        <item x="1"/>
        <item x="161"/>
        <item x="0"/>
        <item x="139"/>
        <item x="61"/>
        <item x="6"/>
        <item x="140"/>
        <item x="7"/>
        <item x="101"/>
        <item x="71"/>
        <item x="50"/>
        <item x="165"/>
        <item x="220"/>
        <item x="26"/>
        <item x="303"/>
        <item x="306"/>
        <item x="307"/>
        <item x="305"/>
        <item x="304"/>
        <item x="301"/>
        <item x="302"/>
        <item x="298"/>
        <item x="300"/>
        <item x="299"/>
        <item x="219"/>
        <item x="246"/>
        <item x="247"/>
        <item x="245"/>
        <item x="218"/>
        <item x="334"/>
        <item x="361"/>
        <item x="214"/>
        <item x="356"/>
        <item x="279"/>
        <item x="221"/>
        <item x="223"/>
        <item x="222"/>
        <item x="144"/>
        <item x="20"/>
        <item x="40"/>
        <item x="68"/>
        <item x="39"/>
        <item x="38"/>
        <item x="5"/>
        <item x="67"/>
        <item x="54"/>
        <item x="53"/>
        <item x="52"/>
        <item x="63"/>
        <item x="24"/>
        <item x="19"/>
        <item x="44"/>
        <item x="138"/>
        <item x="64"/>
        <item x="46"/>
        <item x="17"/>
        <item x="3"/>
        <item x="34"/>
        <item x="35"/>
        <item x="18"/>
        <item x="58"/>
        <item x="112"/>
        <item x="235"/>
        <item x="27"/>
        <item x="387"/>
        <item x="388"/>
        <item x="386"/>
        <item x="384"/>
        <item x="383"/>
        <item x="370"/>
        <item x="344"/>
        <item x="345"/>
        <item x="346"/>
        <item x="347"/>
        <item x="348"/>
        <item x="343"/>
        <item x="350"/>
        <item x="351"/>
        <item x="352"/>
        <item x="353"/>
        <item x="354"/>
        <item x="349"/>
        <item x="339"/>
        <item x="395"/>
        <item x="373"/>
        <item x="237"/>
        <item x="240"/>
        <item x="236"/>
        <item x="238"/>
        <item x="243"/>
        <item x="241"/>
        <item x="244"/>
        <item x="242"/>
        <item x="239"/>
        <item x="290"/>
        <item x="291"/>
        <item x="292"/>
        <item x="379"/>
        <item x="360"/>
        <item x="359"/>
        <item x="320"/>
        <item x="315"/>
        <item x="314"/>
        <item x="297"/>
        <item x="316"/>
        <item x="296"/>
        <item x="295"/>
        <item x="294"/>
        <item x="288"/>
        <item x="289"/>
        <item x="217"/>
        <item x="213"/>
        <item x="216"/>
        <item x="211"/>
        <item x="184"/>
        <item x="390"/>
        <item x="391"/>
        <item x="389"/>
        <item x="336"/>
        <item x="393"/>
        <item x="335"/>
        <item x="198"/>
        <item x="205"/>
        <item x="204"/>
        <item x="201"/>
        <item x="200"/>
        <item x="202"/>
        <item x="197"/>
        <item x="199"/>
        <item x="203"/>
        <item x="287"/>
        <item x="286"/>
        <item x="285"/>
        <item x="284"/>
        <item x="283"/>
        <item x="380"/>
        <item x="362"/>
        <item x="375"/>
        <item x="376"/>
        <item x="377"/>
        <item x="363"/>
        <item x="364"/>
        <item x="365"/>
        <item x="366"/>
        <item x="374"/>
        <item x="378"/>
        <item x="326"/>
        <item x="325"/>
        <item x="324"/>
        <item x="321"/>
        <item x="327"/>
        <item x="322"/>
        <item x="323"/>
        <item x="261"/>
        <item x="270"/>
        <item x="274"/>
        <item x="275"/>
        <item x="368"/>
        <item x="273"/>
        <item x="258"/>
        <item x="257"/>
        <item x="329"/>
        <item x="256"/>
        <item x="251"/>
        <item x="248"/>
        <item x="328"/>
        <item x="249"/>
        <item x="250"/>
        <item x="252"/>
        <item x="330"/>
        <item x="253"/>
        <item x="254"/>
        <item x="255"/>
        <item x="331"/>
        <item x="271"/>
        <item x="263"/>
        <item x="333"/>
        <item x="268"/>
        <item x="262"/>
        <item x="267"/>
        <item x="266"/>
        <item x="265"/>
        <item x="332"/>
        <item x="264"/>
        <item x="269"/>
        <item x="272"/>
        <item x="367"/>
        <item x="369"/>
        <item x="259"/>
        <item x="260"/>
        <item x="405"/>
        <item x="406"/>
        <item x="403"/>
        <item x="404"/>
        <item x="309"/>
        <item x="310"/>
        <item x="311"/>
        <item x="312"/>
        <item x="313"/>
        <item x="166"/>
        <item x="397"/>
        <item x="192"/>
        <item x="190"/>
        <item x="191"/>
        <item x="189"/>
        <item x="178"/>
        <item x="176"/>
        <item x="173"/>
        <item x="174"/>
        <item x="181"/>
        <item x="177"/>
        <item x="175"/>
        <item x="180"/>
        <item x="172"/>
        <item x="179"/>
        <item x="229"/>
        <item x="226"/>
        <item x="227"/>
        <item x="228"/>
        <item x="318"/>
        <item x="317"/>
        <item x="319"/>
        <item x="382"/>
        <item x="381"/>
        <item x="215"/>
        <item x="402"/>
        <item x="342"/>
        <item x="337"/>
        <item x="341"/>
        <item x="282"/>
        <item x="281"/>
        <item x="208"/>
        <item x="206"/>
        <item x="207"/>
        <item x="209"/>
        <item x="231"/>
        <item x="196"/>
        <item x="195"/>
        <item x="401"/>
        <item x="372"/>
        <item x="340"/>
        <item x="183"/>
        <item x="188"/>
        <item x="164"/>
        <item x="234"/>
        <item x="182"/>
        <item x="232"/>
        <item x="233"/>
        <item x="398"/>
        <item x="399"/>
        <item x="400"/>
        <item x="280"/>
        <item x="392"/>
        <item x="394"/>
        <item x="385"/>
        <item x="371"/>
        <item x="338"/>
        <item x="293"/>
        <item x="278"/>
        <item x="277"/>
        <item x="276"/>
        <item x="224"/>
        <item x="225"/>
        <item x="187"/>
        <item x="185"/>
        <item x="171"/>
        <item x="193"/>
        <item x="167"/>
        <item x="162"/>
        <item x="170"/>
        <item x="308"/>
        <item x="194"/>
        <item x="169"/>
        <item x="230"/>
        <item x="168"/>
        <item x="186"/>
        <item x="82"/>
        <item x="81"/>
        <item x="83"/>
        <item x="75"/>
        <item x="77"/>
        <item x="76"/>
        <item x="78"/>
        <item x="74"/>
        <item x="73"/>
        <item x="72"/>
        <item x="80"/>
        <item x="84"/>
        <item x="79"/>
        <item x="137"/>
        <item x="142"/>
        <item x="148"/>
        <item x="129"/>
        <item x="104"/>
        <item x="157"/>
        <item x="153"/>
        <item x="149"/>
        <item x="128"/>
        <item x="124"/>
        <item x="65"/>
        <item x="97"/>
        <item x="37"/>
        <item x="45"/>
        <item x="8"/>
        <item x="158"/>
        <item x="147"/>
        <item x="15"/>
        <item x="16"/>
        <item x="59"/>
        <item x="36"/>
        <item x="43"/>
        <item x="32"/>
        <item x="96"/>
        <item x="151"/>
        <item x="42"/>
        <item x="30"/>
        <item x="31"/>
        <item x="98"/>
        <item x="100"/>
        <item x="130"/>
        <item x="156"/>
        <item x="48"/>
        <item x="94"/>
        <item x="28"/>
        <item x="103"/>
        <item x="88"/>
        <item x="90"/>
        <item x="89"/>
        <item x="91"/>
        <item x="87"/>
        <item x="86"/>
        <item x="85"/>
        <item x="120"/>
        <item x="118"/>
        <item x="119"/>
        <item x="113"/>
        <item x="114"/>
        <item x="116"/>
        <item x="115"/>
        <item x="117"/>
        <item x="33"/>
        <item x="12"/>
        <item x="150"/>
        <item x="41"/>
        <item x="47"/>
        <item x="105"/>
        <item x="62"/>
        <item x="110"/>
        <item x="2"/>
        <item x="57"/>
        <item x="132"/>
        <item x="131"/>
        <item x="95"/>
        <item x="56"/>
        <item x="11"/>
        <item x="9"/>
        <item x="126"/>
        <item x="25"/>
        <item x="29"/>
        <item x="134"/>
        <item x="133"/>
        <item x="127"/>
        <item x="108"/>
        <item x="125"/>
        <item x="93"/>
        <item x="92"/>
        <item x="99"/>
        <item x="23"/>
        <item x="152"/>
        <item x="106"/>
        <item x="14"/>
        <item x="13"/>
        <item x="102"/>
        <item x="51"/>
        <item x="22"/>
        <item x="155"/>
        <item x="55"/>
        <item x="143"/>
        <item x="141"/>
        <item x="21"/>
        <item x="154"/>
        <item x="10"/>
        <item x="70"/>
        <item x="160"/>
        <item x="60"/>
        <item x="111"/>
        <item x="121"/>
        <item x="109"/>
        <item x="107"/>
        <item x="159"/>
        <item x="136"/>
        <item x="122"/>
        <item x="135"/>
        <item x="396"/>
        <item x="358"/>
        <item x="357"/>
        <item x="355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9">
    <i>
      <x v="125"/>
    </i>
    <i>
      <x v="282"/>
    </i>
    <i>
      <x v="263"/>
    </i>
    <i>
      <x v="264"/>
    </i>
    <i>
      <x v="279"/>
    </i>
    <i>
      <x v="272"/>
    </i>
    <i>
      <x v="278"/>
    </i>
    <i>
      <x v="280"/>
    </i>
    <i>
      <x v="265"/>
    </i>
    <i>
      <x v="285"/>
    </i>
    <i>
      <x v="281"/>
    </i>
    <i>
      <x v="414"/>
    </i>
    <i>
      <x v="415"/>
    </i>
    <i>
      <x v="417"/>
    </i>
    <i>
      <x v="273"/>
    </i>
    <i>
      <x v="416"/>
    </i>
    <i>
      <x v="275"/>
    </i>
    <i>
      <x v="269"/>
    </i>
    <i>
      <x v="411"/>
    </i>
    <i>
      <x v="606"/>
    </i>
    <i>
      <x v="267"/>
    </i>
    <i>
      <x v="410"/>
    </i>
    <i>
      <x v="413"/>
    </i>
    <i>
      <x v="412"/>
    </i>
    <i>
      <x v="266"/>
    </i>
    <i>
      <x v="270"/>
    </i>
    <i>
      <x v="409"/>
    </i>
    <i>
      <x v="408"/>
    </i>
    <i t="grand">
      <x/>
    </i>
  </rowItems>
  <colFields count="2">
    <field x="1"/>
    <field x="0"/>
  </colFields>
  <colItems count="6">
    <i>
      <x v="4"/>
    </i>
    <i>
      <x v="6"/>
      <x v="1"/>
    </i>
    <i r="1">
      <x v="5"/>
    </i>
    <i r="1">
      <x v="8"/>
    </i>
    <i t="default">
      <x v="6"/>
    </i>
    <i t="grand">
      <x/>
    </i>
  </colItems>
  <pageFields count="1">
    <pageField fld="4" hier="-1"/>
  </pageFields>
  <dataFields count="1">
    <dataField name="QTDE MTS" fld="22" baseField="0" baseItem="0" numFmtId="3"/>
  </dataFields>
  <formats count="33">
    <format dxfId="2011">
      <pivotArea dataOnly="0" labelOnly="1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2010">
      <pivotArea dataOnly="0" labelOnly="1" grandCol="1" outline="0" fieldPosition="0"/>
    </format>
    <format dxfId="2009">
      <pivotArea collapsedLevelsAreSubtotals="1" fieldPosition="0">
        <references count="1">
          <reference field="4" count="31">
            <x v="0"/>
            <x v="1"/>
            <x v="2"/>
            <x v="3"/>
            <x v="4"/>
            <x v="5"/>
            <x v="6"/>
            <x v="8"/>
            <x v="11"/>
            <x v="13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2008">
      <pivotArea collapsedLevelsAreSubtotals="1" fieldPosition="0">
        <references count="2">
          <reference field="1" count="0" selected="0"/>
          <reference field="4" count="1">
            <x v="15"/>
          </reference>
        </references>
      </pivotArea>
    </format>
    <format dxfId="2007">
      <pivotArea collapsedLevelsAreSubtotals="1" fieldPosition="0">
        <references count="2">
          <reference field="1" count="0" selected="0"/>
          <reference field="4" count="1">
            <x v="20"/>
          </reference>
        </references>
      </pivotArea>
    </format>
    <format dxfId="2006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25"/>
          </reference>
        </references>
      </pivotArea>
    </format>
    <format dxfId="2005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34"/>
          </reference>
        </references>
      </pivotArea>
    </format>
    <format dxfId="2004">
      <pivotArea collapsedLevelsAreSubtotals="1" fieldPosition="0">
        <references count="2">
          <reference field="1" count="1" selected="0">
            <x v="1"/>
          </reference>
          <reference field="4" count="3">
            <x v="3"/>
            <x v="4"/>
            <x v="5"/>
          </reference>
        </references>
      </pivotArea>
    </format>
    <format dxfId="2003">
      <pivotArea field="4" grandRow="1" collapsedLevelsAreSubtotals="1" axis="axisPage" fieldPosition="0">
        <references count="1">
          <reference field="4" count="1">
            <x v="15"/>
          </reference>
        </references>
      </pivotArea>
    </format>
    <format dxfId="2002">
      <pivotArea field="4" grandRow="1" collapsedLevelsAreSubtotals="1" axis="axisPage" fieldPosition="0">
        <references count="1">
          <reference field="4" count="1">
            <x v="20"/>
          </reference>
        </references>
      </pivotArea>
    </format>
    <format dxfId="2001">
      <pivotArea field="4" grandRow="1" collapsedLevelsAreSubtotals="1" axis="axisPage" fieldPosition="0">
        <references count="1">
          <reference field="4" count="1">
            <x v="25"/>
          </reference>
        </references>
      </pivotArea>
    </format>
    <format dxfId="2000">
      <pivotArea collapsedLevelsAreSubtotals="1" fieldPosition="0">
        <references count="1">
          <reference field="9" count="53">
            <x v="1"/>
            <x v="12"/>
            <x v="64"/>
            <x v="71"/>
            <x v="72"/>
            <x v="73"/>
            <x v="125"/>
            <x v="216"/>
            <x v="217"/>
            <x v="218"/>
            <x v="219"/>
            <x v="220"/>
            <x v="221"/>
            <x v="222"/>
            <x v="223"/>
            <x v="224"/>
            <x v="225"/>
            <x v="254"/>
            <x v="256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310"/>
            <x v="315"/>
            <x v="316"/>
            <x v="319"/>
            <x v="352"/>
            <x v="353"/>
            <x v="360"/>
            <x v="364"/>
            <x v="383"/>
            <x v="387"/>
          </reference>
        </references>
      </pivotArea>
    </format>
    <format dxfId="1999">
      <pivotArea grandRow="1" outline="0" collapsedLevelsAreSubtotals="1" fieldPosition="0"/>
    </format>
    <format dxfId="1998">
      <pivotArea dataOnly="0" fieldPosition="0">
        <references count="1">
          <reference field="9" count="1">
            <x v="310"/>
          </reference>
        </references>
      </pivotArea>
    </format>
    <format dxfId="1997">
      <pivotArea dataOnly="0" fieldPosition="0">
        <references count="1">
          <reference field="9" count="1">
            <x v="285"/>
          </reference>
        </references>
      </pivotArea>
    </format>
    <format dxfId="1996">
      <pivotArea dataOnly="0" fieldPosition="0">
        <references count="1">
          <reference field="9" count="1">
            <x v="275"/>
          </reference>
        </references>
      </pivotArea>
    </format>
    <format dxfId="1995">
      <pivotArea dataOnly="0" fieldPosition="0">
        <references count="1">
          <reference field="9" count="1">
            <x v="280"/>
          </reference>
        </references>
      </pivotArea>
    </format>
    <format dxfId="1994">
      <pivotArea dataOnly="0" fieldPosition="0">
        <references count="1">
          <reference field="9" count="1">
            <x v="125"/>
          </reference>
        </references>
      </pivotArea>
    </format>
    <format dxfId="1993">
      <pivotArea dataOnly="0" labelOnly="1" outline="0" fieldPosition="0">
        <references count="1">
          <reference field="4" count="0"/>
        </references>
      </pivotArea>
    </format>
    <format dxfId="1992">
      <pivotArea dataOnly="0" labelOnly="1" outline="0" fieldPosition="0">
        <references count="1">
          <reference field="4" count="0"/>
        </references>
      </pivotArea>
    </format>
    <format dxfId="1991">
      <pivotArea collapsedLevelsAreSubtotals="1" fieldPosition="0">
        <references count="1">
          <reference field="9" count="10">
            <x v="125"/>
            <x v="263"/>
            <x v="272"/>
            <x v="275"/>
            <x v="278"/>
            <x v="279"/>
            <x v="280"/>
            <x v="282"/>
            <x v="285"/>
            <x v="310"/>
          </reference>
        </references>
      </pivotArea>
    </format>
    <format dxfId="1990">
      <pivotArea collapsedLevelsAreSubtotals="1" fieldPosition="0">
        <references count="1">
          <reference field="9" count="10">
            <x v="125"/>
            <x v="263"/>
            <x v="272"/>
            <x v="275"/>
            <x v="278"/>
            <x v="279"/>
            <x v="280"/>
            <x v="282"/>
            <x v="285"/>
            <x v="310"/>
          </reference>
        </references>
      </pivotArea>
    </format>
    <format dxfId="1989">
      <pivotArea dataOnly="0" labelOnly="1" fieldPosition="0">
        <references count="1">
          <reference field="9" count="8">
            <x v="125"/>
            <x v="275"/>
            <x v="278"/>
            <x v="279"/>
            <x v="280"/>
            <x v="282"/>
            <x v="285"/>
            <x v="310"/>
          </reference>
        </references>
      </pivotArea>
    </format>
    <format dxfId="1988">
      <pivotArea collapsedLevelsAreSubtotals="1" fieldPosition="0">
        <references count="1">
          <reference field="9" count="1">
            <x v="278"/>
          </reference>
        </references>
      </pivotArea>
    </format>
    <format dxfId="1987">
      <pivotArea outline="0" collapsedLevelsAreSubtotals="1" fieldPosition="0"/>
    </format>
    <format dxfId="1986">
      <pivotArea outline="0" collapsedLevelsAreSubtotals="1" fieldPosition="0">
        <references count="1">
          <reference field="0" count="4" selected="0">
            <x v="0"/>
            <x v="1"/>
            <x v="3"/>
            <x v="4"/>
          </reference>
        </references>
      </pivotArea>
    </format>
    <format dxfId="1985">
      <pivotArea field="0" type="button" dataOnly="0" labelOnly="1" outline="0" axis="axisCol" fieldPosition="1"/>
    </format>
    <format dxfId="1984">
      <pivotArea type="topRight" dataOnly="0" labelOnly="1" outline="0" fieldPosition="0"/>
    </format>
    <format dxfId="1983">
      <pivotArea dataOnly="0" labelOnly="1" fieldPosition="0">
        <references count="1">
          <reference field="0" count="8">
            <x v="0"/>
            <x v="1"/>
            <x v="3"/>
            <x v="4"/>
            <x v="5"/>
            <x v="6"/>
            <x v="7"/>
            <x v="8"/>
          </reference>
        </references>
      </pivotArea>
    </format>
    <format dxfId="1982">
      <pivotArea dataOnly="0" labelOnly="1" fieldPosition="0">
        <references count="1">
          <reference field="0" count="1">
            <x v="9"/>
          </reference>
        </references>
      </pivotArea>
    </format>
    <format dxfId="1981">
      <pivotArea collapsedLevelsAreSubtotals="1" fieldPosition="0">
        <references count="3">
          <reference field="0" count="0" selected="0"/>
          <reference field="1" count="1" selected="0">
            <x v="4"/>
          </reference>
          <reference field="9" count="1">
            <x v="125"/>
          </reference>
        </references>
      </pivotArea>
    </format>
    <format dxfId="1980">
      <pivotArea dataOnly="0" labelOnly="1" fieldPosition="0">
        <references count="1">
          <reference field="9" count="4">
            <x v="125"/>
            <x v="263"/>
            <x v="278"/>
            <x v="282"/>
          </reference>
        </references>
      </pivotArea>
    </format>
    <format dxfId="1979">
      <pivotArea dataOnly="0" labelOnly="1" fieldPosition="0">
        <references count="1">
          <reference field="9" count="1">
            <x v="285"/>
          </reference>
        </references>
      </pivotArea>
    </format>
  </formats>
  <chartFormats count="58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1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1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9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9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9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29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29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29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29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29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29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</references>
      </pivotArea>
    </chartFormat>
    <chartFormat chart="29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29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29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29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29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9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29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33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33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33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33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33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33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33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33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33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29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6"/>
          </reference>
        </references>
      </pivotArea>
    </chartFormat>
    <chartFormat chart="33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6"/>
          </reference>
        </references>
      </pivotArea>
    </chartFormat>
    <chartFormat chart="33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33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33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33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33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</references>
      </pivotArea>
    </chartFormat>
    <chartFormat chart="33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9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3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6"/>
          </reference>
        </references>
      </pivotArea>
    </chartFormat>
    <chartFormat chart="29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6"/>
          </reference>
        </references>
      </pivotArea>
    </chartFormat>
    <chartFormat chart="29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6"/>
          </reference>
        </references>
      </pivotArea>
    </chartFormat>
    <chartFormat chart="33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634EC-6E07-4280-AA80-21EEB6B1E093}" name="TablaDinámica2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9" rowHeaderCaption="SKU" colHeaderCaption="mes">
  <location ref="A4:E13" firstHeaderRow="1" firstDataRow="3" firstDataCol="1" rowPageCount="1" colPageCount="1"/>
  <pivotFields count="37">
    <pivotField axis="axisCol" showAll="0">
      <items count="14">
        <item x="7"/>
        <item x="8"/>
        <item x="0"/>
        <item x="9"/>
        <item x="10"/>
        <item x="1"/>
        <item x="2"/>
        <item x="11"/>
        <item x="3"/>
        <item x="4"/>
        <item x="5"/>
        <item x="6"/>
        <item h="1" x="12"/>
        <item t="default"/>
      </items>
    </pivotField>
    <pivotField axis="axisCol" multipleItemSelectionAllowed="1" showAll="0">
      <items count="8">
        <item h="1" x="0"/>
        <item h="1" x="1"/>
        <item h="1" x="2"/>
        <item h="1" x="3"/>
        <item sd="0" x="4"/>
        <item h="1" x="6"/>
        <item x="5"/>
        <item t="default"/>
      </items>
    </pivotField>
    <pivotField showAll="0"/>
    <pivotField showAll="0"/>
    <pivotField axis="axisPage" multipleItemSelectionAllowed="1" showAll="0">
      <items count="66">
        <item h="1" x="8"/>
        <item h="1" x="25"/>
        <item h="1" x="32"/>
        <item h="1" x="15"/>
        <item h="1" x="30"/>
        <item h="1" x="7"/>
        <item h="1" x="10"/>
        <item h="1" x="2"/>
        <item h="1" x="18"/>
        <item h="1" x="6"/>
        <item h="1" x="3"/>
        <item h="1" x="28"/>
        <item h="1" m="1" x="62"/>
        <item h="1" x="16"/>
        <item h="1" x="0"/>
        <item h="1" x="1"/>
        <item h="1" x="29"/>
        <item h="1" x="12"/>
        <item h="1" x="26"/>
        <item h="1" x="27"/>
        <item h="1" x="9"/>
        <item h="1" x="20"/>
        <item h="1" x="13"/>
        <item h="1" x="5"/>
        <item h="1" x="11"/>
        <item h="1" x="17"/>
        <item h="1" x="19"/>
        <item h="1" x="14"/>
        <item h="1" x="23"/>
        <item h="1" m="1" x="64"/>
        <item h="1" x="24"/>
        <item h="1" x="22"/>
        <item h="1" x="31"/>
        <item h="1" x="33"/>
        <item h="1" x="21"/>
        <item h="1" x="4"/>
        <item h="1" x="34"/>
        <item h="1" x="59"/>
        <item h="1" x="35"/>
        <item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m="1" x="63"/>
        <item h="1" x="47"/>
        <item h="1" x="48"/>
        <item h="1" m="1" x="61"/>
        <item h="1" m="1" x="60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t="default"/>
      </items>
    </pivotField>
    <pivotField showAll="0"/>
    <pivotField showAll="0"/>
    <pivotField showAll="0"/>
    <pivotField showAll="0"/>
    <pivotField axis="axisRow" showAll="0" sortType="descending">
      <items count="662">
        <item x="660"/>
        <item x="163"/>
        <item x="123"/>
        <item x="49"/>
        <item x="212"/>
        <item x="210"/>
        <item x="66"/>
        <item x="4"/>
        <item x="146"/>
        <item x="69"/>
        <item x="145"/>
        <item x="1"/>
        <item x="161"/>
        <item x="0"/>
        <item x="139"/>
        <item x="61"/>
        <item x="6"/>
        <item x="140"/>
        <item x="7"/>
        <item x="101"/>
        <item x="71"/>
        <item x="50"/>
        <item x="165"/>
        <item x="220"/>
        <item x="26"/>
        <item x="303"/>
        <item x="306"/>
        <item x="307"/>
        <item x="305"/>
        <item x="304"/>
        <item x="301"/>
        <item x="302"/>
        <item x="298"/>
        <item x="300"/>
        <item x="299"/>
        <item x="219"/>
        <item x="246"/>
        <item x="247"/>
        <item x="245"/>
        <item x="218"/>
        <item x="334"/>
        <item x="361"/>
        <item x="214"/>
        <item x="356"/>
        <item x="279"/>
        <item x="221"/>
        <item x="223"/>
        <item x="222"/>
        <item x="144"/>
        <item x="20"/>
        <item x="40"/>
        <item x="68"/>
        <item x="39"/>
        <item x="38"/>
        <item x="5"/>
        <item x="67"/>
        <item x="54"/>
        <item x="53"/>
        <item x="52"/>
        <item x="63"/>
        <item x="24"/>
        <item x="19"/>
        <item x="44"/>
        <item x="138"/>
        <item x="64"/>
        <item x="46"/>
        <item x="17"/>
        <item x="3"/>
        <item x="34"/>
        <item x="35"/>
        <item x="18"/>
        <item x="58"/>
        <item x="112"/>
        <item x="235"/>
        <item x="27"/>
        <item x="387"/>
        <item x="388"/>
        <item x="386"/>
        <item x="384"/>
        <item x="383"/>
        <item x="370"/>
        <item x="344"/>
        <item x="345"/>
        <item x="346"/>
        <item x="347"/>
        <item x="348"/>
        <item x="343"/>
        <item x="350"/>
        <item x="351"/>
        <item x="352"/>
        <item x="353"/>
        <item x="354"/>
        <item x="349"/>
        <item x="339"/>
        <item x="395"/>
        <item x="373"/>
        <item x="237"/>
        <item x="240"/>
        <item x="236"/>
        <item x="238"/>
        <item x="243"/>
        <item x="241"/>
        <item x="244"/>
        <item x="242"/>
        <item x="239"/>
        <item x="290"/>
        <item x="291"/>
        <item x="292"/>
        <item x="379"/>
        <item x="360"/>
        <item x="359"/>
        <item x="320"/>
        <item x="315"/>
        <item x="314"/>
        <item x="297"/>
        <item x="316"/>
        <item x="296"/>
        <item x="295"/>
        <item x="294"/>
        <item x="288"/>
        <item x="289"/>
        <item x="217"/>
        <item x="213"/>
        <item x="216"/>
        <item x="211"/>
        <item x="184"/>
        <item x="390"/>
        <item x="391"/>
        <item x="389"/>
        <item x="336"/>
        <item x="393"/>
        <item x="335"/>
        <item x="198"/>
        <item x="205"/>
        <item x="204"/>
        <item x="201"/>
        <item x="200"/>
        <item x="202"/>
        <item x="197"/>
        <item x="199"/>
        <item x="203"/>
        <item x="287"/>
        <item x="286"/>
        <item x="285"/>
        <item x="284"/>
        <item x="283"/>
        <item x="380"/>
        <item x="362"/>
        <item x="375"/>
        <item x="376"/>
        <item x="377"/>
        <item x="363"/>
        <item x="364"/>
        <item x="365"/>
        <item x="366"/>
        <item x="374"/>
        <item x="378"/>
        <item x="326"/>
        <item x="325"/>
        <item x="324"/>
        <item x="321"/>
        <item x="327"/>
        <item x="322"/>
        <item x="323"/>
        <item x="261"/>
        <item x="270"/>
        <item x="274"/>
        <item x="275"/>
        <item x="368"/>
        <item x="273"/>
        <item x="258"/>
        <item x="257"/>
        <item x="329"/>
        <item x="256"/>
        <item x="251"/>
        <item x="248"/>
        <item x="328"/>
        <item x="249"/>
        <item x="250"/>
        <item x="252"/>
        <item x="330"/>
        <item x="253"/>
        <item x="254"/>
        <item x="255"/>
        <item x="331"/>
        <item x="271"/>
        <item x="263"/>
        <item x="333"/>
        <item x="268"/>
        <item x="262"/>
        <item x="267"/>
        <item x="266"/>
        <item x="265"/>
        <item x="332"/>
        <item x="264"/>
        <item x="269"/>
        <item x="272"/>
        <item x="367"/>
        <item x="369"/>
        <item x="259"/>
        <item x="260"/>
        <item x="405"/>
        <item x="406"/>
        <item x="403"/>
        <item x="404"/>
        <item x="309"/>
        <item x="310"/>
        <item x="311"/>
        <item x="312"/>
        <item x="313"/>
        <item x="166"/>
        <item x="397"/>
        <item x="192"/>
        <item x="190"/>
        <item x="191"/>
        <item x="189"/>
        <item x="178"/>
        <item x="176"/>
        <item x="173"/>
        <item x="174"/>
        <item x="181"/>
        <item x="177"/>
        <item x="175"/>
        <item x="180"/>
        <item x="172"/>
        <item x="179"/>
        <item x="229"/>
        <item x="226"/>
        <item x="227"/>
        <item x="228"/>
        <item x="318"/>
        <item x="317"/>
        <item x="319"/>
        <item x="382"/>
        <item x="381"/>
        <item x="215"/>
        <item x="402"/>
        <item x="342"/>
        <item x="337"/>
        <item x="341"/>
        <item x="282"/>
        <item x="281"/>
        <item x="208"/>
        <item x="206"/>
        <item x="207"/>
        <item x="209"/>
        <item x="231"/>
        <item x="196"/>
        <item x="195"/>
        <item x="401"/>
        <item x="372"/>
        <item x="340"/>
        <item x="183"/>
        <item x="188"/>
        <item x="164"/>
        <item x="234"/>
        <item x="182"/>
        <item x="232"/>
        <item x="233"/>
        <item x="398"/>
        <item x="399"/>
        <item x="400"/>
        <item x="280"/>
        <item x="392"/>
        <item x="394"/>
        <item x="385"/>
        <item x="371"/>
        <item x="338"/>
        <item x="293"/>
        <item x="278"/>
        <item x="277"/>
        <item x="276"/>
        <item x="224"/>
        <item x="225"/>
        <item x="187"/>
        <item x="185"/>
        <item x="171"/>
        <item x="193"/>
        <item x="167"/>
        <item x="162"/>
        <item x="170"/>
        <item x="308"/>
        <item x="194"/>
        <item x="169"/>
        <item x="230"/>
        <item x="168"/>
        <item x="186"/>
        <item x="82"/>
        <item x="81"/>
        <item x="83"/>
        <item x="75"/>
        <item x="77"/>
        <item x="76"/>
        <item x="78"/>
        <item x="74"/>
        <item x="73"/>
        <item x="72"/>
        <item x="80"/>
        <item x="84"/>
        <item x="79"/>
        <item x="137"/>
        <item x="142"/>
        <item x="148"/>
        <item x="129"/>
        <item x="104"/>
        <item x="157"/>
        <item x="153"/>
        <item x="149"/>
        <item x="128"/>
        <item x="124"/>
        <item x="65"/>
        <item x="97"/>
        <item x="37"/>
        <item x="45"/>
        <item x="8"/>
        <item x="158"/>
        <item x="147"/>
        <item x="15"/>
        <item x="16"/>
        <item x="59"/>
        <item x="36"/>
        <item x="43"/>
        <item x="32"/>
        <item x="96"/>
        <item x="151"/>
        <item x="42"/>
        <item x="30"/>
        <item x="31"/>
        <item x="98"/>
        <item x="100"/>
        <item x="130"/>
        <item x="156"/>
        <item x="48"/>
        <item x="94"/>
        <item x="28"/>
        <item x="103"/>
        <item x="88"/>
        <item x="90"/>
        <item x="89"/>
        <item x="91"/>
        <item x="87"/>
        <item x="86"/>
        <item x="85"/>
        <item x="120"/>
        <item x="118"/>
        <item x="119"/>
        <item x="113"/>
        <item x="114"/>
        <item x="116"/>
        <item x="115"/>
        <item x="117"/>
        <item x="33"/>
        <item x="12"/>
        <item x="150"/>
        <item x="41"/>
        <item x="47"/>
        <item x="105"/>
        <item x="62"/>
        <item x="110"/>
        <item x="2"/>
        <item x="57"/>
        <item x="132"/>
        <item x="131"/>
        <item x="95"/>
        <item x="56"/>
        <item x="11"/>
        <item x="9"/>
        <item x="126"/>
        <item x="25"/>
        <item x="29"/>
        <item x="134"/>
        <item x="133"/>
        <item x="127"/>
        <item x="108"/>
        <item x="125"/>
        <item x="93"/>
        <item x="92"/>
        <item x="99"/>
        <item x="23"/>
        <item x="152"/>
        <item x="106"/>
        <item x="14"/>
        <item x="13"/>
        <item x="102"/>
        <item x="51"/>
        <item x="22"/>
        <item x="155"/>
        <item x="55"/>
        <item x="143"/>
        <item x="141"/>
        <item x="21"/>
        <item x="154"/>
        <item x="10"/>
        <item x="70"/>
        <item x="160"/>
        <item x="60"/>
        <item x="111"/>
        <item x="121"/>
        <item x="109"/>
        <item x="107"/>
        <item x="159"/>
        <item x="136"/>
        <item x="122"/>
        <item x="135"/>
        <item x="396"/>
        <item x="358"/>
        <item x="357"/>
        <item x="355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 v="443"/>
    </i>
    <i>
      <x v="444"/>
    </i>
    <i>
      <x v="441"/>
    </i>
    <i>
      <x v="426"/>
    </i>
    <i>
      <x v="442"/>
    </i>
    <i>
      <x v="425"/>
    </i>
    <i t="grand">
      <x/>
    </i>
  </rowItems>
  <colFields count="2">
    <field x="1"/>
    <field x="0"/>
  </colFields>
  <colItems count="4">
    <i>
      <x v="4"/>
    </i>
    <i>
      <x v="6"/>
      <x v="3"/>
    </i>
    <i t="default">
      <x v="6"/>
    </i>
    <i t="grand">
      <x/>
    </i>
  </colItems>
  <pageFields count="1">
    <pageField fld="4" hier="-1"/>
  </pageFields>
  <dataFields count="1">
    <dataField name="QTDE MTS" fld="22" baseField="0" baseItem="0" numFmtId="3"/>
  </dataFields>
  <formats count="33">
    <format dxfId="1903">
      <pivotArea dataOnly="0" labelOnly="1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1902">
      <pivotArea dataOnly="0" labelOnly="1" grandCol="1" outline="0" fieldPosition="0"/>
    </format>
    <format dxfId="1901">
      <pivotArea collapsedLevelsAreSubtotals="1" fieldPosition="0">
        <references count="1">
          <reference field="4" count="31">
            <x v="0"/>
            <x v="1"/>
            <x v="2"/>
            <x v="3"/>
            <x v="4"/>
            <x v="5"/>
            <x v="6"/>
            <x v="8"/>
            <x v="11"/>
            <x v="13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900">
      <pivotArea collapsedLevelsAreSubtotals="1" fieldPosition="0">
        <references count="2">
          <reference field="1" count="0" selected="0"/>
          <reference field="4" count="1">
            <x v="15"/>
          </reference>
        </references>
      </pivotArea>
    </format>
    <format dxfId="1899">
      <pivotArea collapsedLevelsAreSubtotals="1" fieldPosition="0">
        <references count="2">
          <reference field="1" count="0" selected="0"/>
          <reference field="4" count="1">
            <x v="20"/>
          </reference>
        </references>
      </pivotArea>
    </format>
    <format dxfId="1898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25"/>
          </reference>
        </references>
      </pivotArea>
    </format>
    <format dxfId="1897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34"/>
          </reference>
        </references>
      </pivotArea>
    </format>
    <format dxfId="1896">
      <pivotArea collapsedLevelsAreSubtotals="1" fieldPosition="0">
        <references count="2">
          <reference field="1" count="1" selected="0">
            <x v="1"/>
          </reference>
          <reference field="4" count="3">
            <x v="3"/>
            <x v="4"/>
            <x v="5"/>
          </reference>
        </references>
      </pivotArea>
    </format>
    <format dxfId="1895">
      <pivotArea field="4" grandRow="1" collapsedLevelsAreSubtotals="1" axis="axisPage" fieldPosition="0">
        <references count="1">
          <reference field="4" count="1">
            <x v="15"/>
          </reference>
        </references>
      </pivotArea>
    </format>
    <format dxfId="1894">
      <pivotArea field="4" grandRow="1" collapsedLevelsAreSubtotals="1" axis="axisPage" fieldPosition="0">
        <references count="1">
          <reference field="4" count="1">
            <x v="20"/>
          </reference>
        </references>
      </pivotArea>
    </format>
    <format dxfId="1893">
      <pivotArea field="4" grandRow="1" collapsedLevelsAreSubtotals="1" axis="axisPage" fieldPosition="0">
        <references count="1">
          <reference field="4" count="1">
            <x v="25"/>
          </reference>
        </references>
      </pivotArea>
    </format>
    <format dxfId="1892">
      <pivotArea collapsedLevelsAreSubtotals="1" fieldPosition="0">
        <references count="1">
          <reference field="9" count="53">
            <x v="1"/>
            <x v="12"/>
            <x v="64"/>
            <x v="71"/>
            <x v="72"/>
            <x v="73"/>
            <x v="125"/>
            <x v="216"/>
            <x v="217"/>
            <x v="218"/>
            <x v="219"/>
            <x v="220"/>
            <x v="221"/>
            <x v="222"/>
            <x v="223"/>
            <x v="224"/>
            <x v="225"/>
            <x v="254"/>
            <x v="256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310"/>
            <x v="315"/>
            <x v="316"/>
            <x v="319"/>
            <x v="352"/>
            <x v="353"/>
            <x v="360"/>
            <x v="364"/>
            <x v="383"/>
            <x v="387"/>
          </reference>
        </references>
      </pivotArea>
    </format>
    <format dxfId="1891">
      <pivotArea grandRow="1" outline="0" collapsedLevelsAreSubtotals="1" fieldPosition="0"/>
    </format>
    <format dxfId="1890">
      <pivotArea dataOnly="0" fieldPosition="0">
        <references count="1">
          <reference field="9" count="1">
            <x v="310"/>
          </reference>
        </references>
      </pivotArea>
    </format>
    <format dxfId="1889">
      <pivotArea dataOnly="0" fieldPosition="0">
        <references count="1">
          <reference field="9" count="1">
            <x v="285"/>
          </reference>
        </references>
      </pivotArea>
    </format>
    <format dxfId="1888">
      <pivotArea dataOnly="0" fieldPosition="0">
        <references count="1">
          <reference field="9" count="1">
            <x v="275"/>
          </reference>
        </references>
      </pivotArea>
    </format>
    <format dxfId="1887">
      <pivotArea dataOnly="0" fieldPosition="0">
        <references count="1">
          <reference field="9" count="1">
            <x v="280"/>
          </reference>
        </references>
      </pivotArea>
    </format>
    <format dxfId="1886">
      <pivotArea dataOnly="0" fieldPosition="0">
        <references count="1">
          <reference field="9" count="1">
            <x v="125"/>
          </reference>
        </references>
      </pivotArea>
    </format>
    <format dxfId="1885">
      <pivotArea dataOnly="0" labelOnly="1" outline="0" fieldPosition="0">
        <references count="1">
          <reference field="4" count="0"/>
        </references>
      </pivotArea>
    </format>
    <format dxfId="1884">
      <pivotArea dataOnly="0" labelOnly="1" outline="0" fieldPosition="0">
        <references count="1">
          <reference field="4" count="0"/>
        </references>
      </pivotArea>
    </format>
    <format dxfId="1883">
      <pivotArea collapsedLevelsAreSubtotals="1" fieldPosition="0">
        <references count="1">
          <reference field="9" count="10">
            <x v="125"/>
            <x v="263"/>
            <x v="272"/>
            <x v="275"/>
            <x v="278"/>
            <x v="279"/>
            <x v="280"/>
            <x v="282"/>
            <x v="285"/>
            <x v="310"/>
          </reference>
        </references>
      </pivotArea>
    </format>
    <format dxfId="1882">
      <pivotArea collapsedLevelsAreSubtotals="1" fieldPosition="0">
        <references count="1">
          <reference field="9" count="10">
            <x v="125"/>
            <x v="263"/>
            <x v="272"/>
            <x v="275"/>
            <x v="278"/>
            <x v="279"/>
            <x v="280"/>
            <x v="282"/>
            <x v="285"/>
            <x v="310"/>
          </reference>
        </references>
      </pivotArea>
    </format>
    <format dxfId="1881">
      <pivotArea dataOnly="0" labelOnly="1" fieldPosition="0">
        <references count="1">
          <reference field="9" count="8">
            <x v="125"/>
            <x v="275"/>
            <x v="278"/>
            <x v="279"/>
            <x v="280"/>
            <x v="282"/>
            <x v="285"/>
            <x v="310"/>
          </reference>
        </references>
      </pivotArea>
    </format>
    <format dxfId="1880">
      <pivotArea dataOnly="0" labelOnly="1" fieldPosition="0">
        <references count="1">
          <reference field="9" count="1">
            <x v="282"/>
          </reference>
        </references>
      </pivotArea>
    </format>
    <format dxfId="1879">
      <pivotArea collapsedLevelsAreSubtotals="1" fieldPosition="0">
        <references count="1">
          <reference field="9" count="1">
            <x v="278"/>
          </reference>
        </references>
      </pivotArea>
    </format>
    <format dxfId="1878">
      <pivotArea dataOnly="0" labelOnly="1" fieldPosition="0">
        <references count="1">
          <reference field="9" count="1">
            <x v="278"/>
          </reference>
        </references>
      </pivotArea>
    </format>
    <format dxfId="1877">
      <pivotArea outline="0" collapsedLevelsAreSubtotals="1" fieldPosition="0"/>
    </format>
    <format dxfId="1876">
      <pivotArea outline="0" collapsedLevelsAreSubtotals="1" fieldPosition="0">
        <references count="1">
          <reference field="0" count="4" selected="0">
            <x v="0"/>
            <x v="1"/>
            <x v="3"/>
            <x v="4"/>
          </reference>
        </references>
      </pivotArea>
    </format>
    <format dxfId="1875">
      <pivotArea field="0" type="button" dataOnly="0" labelOnly="1" outline="0" axis="axisCol" fieldPosition="1"/>
    </format>
    <format dxfId="1874">
      <pivotArea type="topRight" dataOnly="0" labelOnly="1" outline="0" fieldPosition="0"/>
    </format>
    <format dxfId="1873">
      <pivotArea dataOnly="0" labelOnly="1" fieldPosition="0">
        <references count="1">
          <reference field="0" count="4">
            <x v="0"/>
            <x v="1"/>
            <x v="3"/>
            <x v="4"/>
          </reference>
        </references>
      </pivotArea>
    </format>
    <format dxfId="1872">
      <pivotArea dataOnly="0" labelOnly="1" fieldPosition="0">
        <references count="1">
          <reference field="0" count="4">
            <x v="4"/>
            <x v="6"/>
            <x v="7"/>
            <x v="8"/>
          </reference>
        </references>
      </pivotArea>
    </format>
    <format dxfId="1871">
      <pivotArea field="1" type="button" dataOnly="0" labelOnly="1" outline="0" axis="axisCol" fieldPosition="0"/>
    </format>
  </formats>
  <chartFormats count="29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1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1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8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38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38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38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38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3BE59-78BC-40C4-B011-B0731F0087EF}" name="TablaDinámica1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2" rowHeaderCaption="SKU" colHeaderCaption="mes">
  <location ref="P4:X13" firstHeaderRow="1" firstDataRow="3" firstDataCol="1" rowPageCount="1" colPageCount="1"/>
  <pivotFields count="37">
    <pivotField axis="axisCol" showAll="0">
      <items count="14">
        <item x="7"/>
        <item x="8"/>
        <item x="0"/>
        <item x="9"/>
        <item x="10"/>
        <item x="1"/>
        <item x="2"/>
        <item x="11"/>
        <item x="3"/>
        <item x="4"/>
        <item x="5"/>
        <item x="6"/>
        <item h="1" x="12"/>
        <item t="default"/>
      </items>
    </pivotField>
    <pivotField axis="axisCol" multipleItemSelectionAllowed="1" showAll="0">
      <items count="8">
        <item h="1" x="0"/>
        <item h="1" x="1"/>
        <item h="1" x="2"/>
        <item h="1" x="3"/>
        <item x="4"/>
        <item h="1" x="6"/>
        <item x="5"/>
        <item t="default"/>
      </items>
    </pivotField>
    <pivotField showAll="0"/>
    <pivotField showAll="0"/>
    <pivotField axis="axisPage" multipleItemSelectionAllowed="1" showAll="0">
      <items count="66">
        <item h="1" x="8"/>
        <item h="1" x="25"/>
        <item h="1" x="32"/>
        <item h="1" x="15"/>
        <item h="1" x="30"/>
        <item h="1" x="7"/>
        <item h="1" x="10"/>
        <item h="1" x="2"/>
        <item h="1" x="18"/>
        <item h="1" x="6"/>
        <item h="1" x="3"/>
        <item h="1" x="28"/>
        <item h="1" m="1" x="62"/>
        <item h="1" x="16"/>
        <item h="1" x="0"/>
        <item h="1" x="1"/>
        <item h="1" x="29"/>
        <item h="1" x="12"/>
        <item h="1" x="26"/>
        <item h="1" x="27"/>
        <item h="1" x="9"/>
        <item h="1" x="20"/>
        <item h="1" x="13"/>
        <item h="1" x="5"/>
        <item h="1" x="11"/>
        <item h="1" x="17"/>
        <item h="1" x="19"/>
        <item h="1" x="14"/>
        <item h="1" x="23"/>
        <item h="1" m="1" x="64"/>
        <item h="1" x="24"/>
        <item h="1" x="22"/>
        <item h="1" x="31"/>
        <item h="1" x="33"/>
        <item h="1" x="21"/>
        <item h="1" x="4"/>
        <item h="1" x="34"/>
        <item h="1" x="59"/>
        <item h="1" x="35"/>
        <item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m="1" x="63"/>
        <item h="1" x="47"/>
        <item h="1" x="48"/>
        <item h="1" m="1" x="61"/>
        <item h="1" m="1" x="60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t="default"/>
      </items>
    </pivotField>
    <pivotField showAll="0"/>
    <pivotField showAll="0"/>
    <pivotField showAll="0"/>
    <pivotField showAll="0"/>
    <pivotField axis="axisRow" showAll="0" sortType="descending">
      <items count="662">
        <item x="355"/>
        <item x="357"/>
        <item x="358"/>
        <item x="396"/>
        <item x="135"/>
        <item x="122"/>
        <item x="136"/>
        <item x="159"/>
        <item x="107"/>
        <item x="109"/>
        <item x="121"/>
        <item x="111"/>
        <item x="60"/>
        <item x="160"/>
        <item x="70"/>
        <item x="10"/>
        <item x="154"/>
        <item x="21"/>
        <item x="141"/>
        <item x="143"/>
        <item x="55"/>
        <item x="155"/>
        <item x="22"/>
        <item x="51"/>
        <item x="102"/>
        <item x="13"/>
        <item x="14"/>
        <item x="106"/>
        <item x="152"/>
        <item x="23"/>
        <item x="99"/>
        <item x="92"/>
        <item x="93"/>
        <item x="125"/>
        <item x="108"/>
        <item x="127"/>
        <item x="133"/>
        <item x="134"/>
        <item x="29"/>
        <item x="25"/>
        <item x="126"/>
        <item x="9"/>
        <item x="11"/>
        <item x="56"/>
        <item x="95"/>
        <item x="131"/>
        <item x="132"/>
        <item x="57"/>
        <item x="2"/>
        <item x="110"/>
        <item x="62"/>
        <item x="105"/>
        <item x="47"/>
        <item x="41"/>
        <item x="150"/>
        <item x="12"/>
        <item x="33"/>
        <item x="117"/>
        <item x="115"/>
        <item x="116"/>
        <item x="114"/>
        <item x="113"/>
        <item x="119"/>
        <item x="118"/>
        <item x="120"/>
        <item x="85"/>
        <item x="86"/>
        <item x="87"/>
        <item x="91"/>
        <item x="89"/>
        <item x="90"/>
        <item x="88"/>
        <item x="103"/>
        <item x="28"/>
        <item x="94"/>
        <item x="48"/>
        <item x="156"/>
        <item x="130"/>
        <item x="100"/>
        <item x="98"/>
        <item x="31"/>
        <item x="30"/>
        <item x="42"/>
        <item x="151"/>
        <item x="96"/>
        <item x="32"/>
        <item x="43"/>
        <item x="36"/>
        <item x="59"/>
        <item x="16"/>
        <item x="15"/>
        <item x="147"/>
        <item x="158"/>
        <item x="8"/>
        <item x="45"/>
        <item x="37"/>
        <item x="97"/>
        <item x="65"/>
        <item x="124"/>
        <item x="128"/>
        <item x="149"/>
        <item x="153"/>
        <item x="157"/>
        <item x="104"/>
        <item x="129"/>
        <item x="148"/>
        <item x="142"/>
        <item x="137"/>
        <item x="79"/>
        <item x="84"/>
        <item x="80"/>
        <item x="72"/>
        <item x="73"/>
        <item x="74"/>
        <item x="78"/>
        <item x="76"/>
        <item x="77"/>
        <item x="75"/>
        <item x="83"/>
        <item x="81"/>
        <item x="82"/>
        <item x="186"/>
        <item x="168"/>
        <item x="230"/>
        <item x="169"/>
        <item x="194"/>
        <item x="308"/>
        <item x="170"/>
        <item x="162"/>
        <item x="167"/>
        <item x="193"/>
        <item x="171"/>
        <item x="185"/>
        <item x="187"/>
        <item x="225"/>
        <item x="224"/>
        <item x="276"/>
        <item x="277"/>
        <item x="278"/>
        <item x="293"/>
        <item x="338"/>
        <item x="371"/>
        <item x="385"/>
        <item x="394"/>
        <item x="392"/>
        <item x="280"/>
        <item x="233"/>
        <item x="232"/>
        <item x="182"/>
        <item x="234"/>
        <item x="164"/>
        <item x="188"/>
        <item x="183"/>
        <item x="340"/>
        <item x="372"/>
        <item x="195"/>
        <item x="196"/>
        <item x="231"/>
        <item x="209"/>
        <item x="207"/>
        <item x="206"/>
        <item x="208"/>
        <item x="281"/>
        <item x="282"/>
        <item x="341"/>
        <item x="337"/>
        <item x="342"/>
        <item x="215"/>
        <item x="381"/>
        <item x="382"/>
        <item x="319"/>
        <item x="317"/>
        <item x="318"/>
        <item x="228"/>
        <item x="227"/>
        <item x="226"/>
        <item x="229"/>
        <item x="179"/>
        <item x="172"/>
        <item x="180"/>
        <item x="175"/>
        <item x="177"/>
        <item x="181"/>
        <item x="174"/>
        <item x="173"/>
        <item x="176"/>
        <item x="178"/>
        <item x="189"/>
        <item x="191"/>
        <item x="190"/>
        <item x="192"/>
        <item x="166"/>
        <item x="313"/>
        <item x="312"/>
        <item x="311"/>
        <item x="310"/>
        <item x="309"/>
        <item x="260"/>
        <item x="259"/>
        <item x="369"/>
        <item x="367"/>
        <item x="272"/>
        <item x="269"/>
        <item x="264"/>
        <item x="332"/>
        <item x="265"/>
        <item x="266"/>
        <item x="267"/>
        <item x="262"/>
        <item x="268"/>
        <item x="333"/>
        <item x="263"/>
        <item x="271"/>
        <item x="331"/>
        <item x="255"/>
        <item x="254"/>
        <item x="253"/>
        <item x="330"/>
        <item x="252"/>
        <item x="250"/>
        <item x="249"/>
        <item x="328"/>
        <item x="248"/>
        <item x="251"/>
        <item x="256"/>
        <item x="329"/>
        <item x="257"/>
        <item x="258"/>
        <item x="273"/>
        <item x="368"/>
        <item x="275"/>
        <item x="274"/>
        <item x="270"/>
        <item x="261"/>
        <item x="323"/>
        <item x="322"/>
        <item x="327"/>
        <item x="321"/>
        <item x="324"/>
        <item x="325"/>
        <item x="326"/>
        <item x="378"/>
        <item x="374"/>
        <item x="366"/>
        <item x="365"/>
        <item x="364"/>
        <item x="363"/>
        <item x="377"/>
        <item x="376"/>
        <item x="375"/>
        <item x="362"/>
        <item x="380"/>
        <item x="283"/>
        <item x="284"/>
        <item x="285"/>
        <item x="286"/>
        <item x="287"/>
        <item x="203"/>
        <item x="199"/>
        <item x="197"/>
        <item x="202"/>
        <item x="200"/>
        <item x="201"/>
        <item x="204"/>
        <item x="205"/>
        <item x="198"/>
        <item x="335"/>
        <item x="393"/>
        <item x="336"/>
        <item x="389"/>
        <item x="391"/>
        <item x="390"/>
        <item x="184"/>
        <item x="211"/>
        <item x="216"/>
        <item x="213"/>
        <item x="217"/>
        <item x="289"/>
        <item x="288"/>
        <item x="294"/>
        <item x="295"/>
        <item x="296"/>
        <item x="316"/>
        <item x="297"/>
        <item x="314"/>
        <item x="315"/>
        <item x="320"/>
        <item x="359"/>
        <item x="360"/>
        <item x="379"/>
        <item x="292"/>
        <item x="291"/>
        <item x="290"/>
        <item x="239"/>
        <item x="242"/>
        <item x="244"/>
        <item x="241"/>
        <item x="243"/>
        <item x="238"/>
        <item x="236"/>
        <item x="240"/>
        <item x="237"/>
        <item x="373"/>
        <item x="395"/>
        <item x="339"/>
        <item x="349"/>
        <item x="354"/>
        <item x="353"/>
        <item x="352"/>
        <item x="351"/>
        <item x="350"/>
        <item x="343"/>
        <item x="348"/>
        <item x="347"/>
        <item x="346"/>
        <item x="345"/>
        <item x="344"/>
        <item x="370"/>
        <item x="383"/>
        <item x="384"/>
        <item x="386"/>
        <item x="388"/>
        <item x="387"/>
        <item x="27"/>
        <item x="235"/>
        <item x="112"/>
        <item x="58"/>
        <item x="18"/>
        <item x="35"/>
        <item x="34"/>
        <item x="3"/>
        <item x="17"/>
        <item x="46"/>
        <item x="64"/>
        <item x="138"/>
        <item x="44"/>
        <item x="19"/>
        <item x="24"/>
        <item x="63"/>
        <item x="52"/>
        <item x="53"/>
        <item x="54"/>
        <item x="67"/>
        <item x="5"/>
        <item x="38"/>
        <item x="39"/>
        <item x="68"/>
        <item x="40"/>
        <item x="20"/>
        <item x="144"/>
        <item x="222"/>
        <item x="223"/>
        <item x="221"/>
        <item x="279"/>
        <item x="356"/>
        <item x="214"/>
        <item x="361"/>
        <item x="334"/>
        <item x="218"/>
        <item x="245"/>
        <item x="247"/>
        <item x="246"/>
        <item x="219"/>
        <item x="299"/>
        <item x="300"/>
        <item x="298"/>
        <item x="302"/>
        <item x="301"/>
        <item x="304"/>
        <item x="305"/>
        <item x="307"/>
        <item x="306"/>
        <item x="303"/>
        <item x="26"/>
        <item x="220"/>
        <item x="165"/>
        <item x="50"/>
        <item x="71"/>
        <item x="101"/>
        <item x="7"/>
        <item x="140"/>
        <item x="6"/>
        <item x="61"/>
        <item x="139"/>
        <item x="0"/>
        <item x="161"/>
        <item x="1"/>
        <item x="145"/>
        <item x="69"/>
        <item x="146"/>
        <item x="4"/>
        <item x="66"/>
        <item x="210"/>
        <item x="212"/>
        <item x="49"/>
        <item x="123"/>
        <item x="163"/>
        <item x="660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7">
    <i>
      <x v="443"/>
    </i>
    <i>
      <x v="444"/>
    </i>
    <i>
      <x v="441"/>
    </i>
    <i>
      <x v="426"/>
    </i>
    <i>
      <x v="442"/>
    </i>
    <i>
      <x v="425"/>
    </i>
    <i t="grand">
      <x/>
    </i>
  </rowItems>
  <colFields count="2">
    <field x="1"/>
    <field x="0"/>
  </colFields>
  <colItems count="8">
    <i>
      <x v="4"/>
      <x v="4"/>
    </i>
    <i r="1">
      <x v="6"/>
    </i>
    <i r="1">
      <x v="7"/>
    </i>
    <i r="1">
      <x v="8"/>
    </i>
    <i t="default">
      <x v="4"/>
    </i>
    <i>
      <x v="6"/>
      <x v="3"/>
    </i>
    <i t="default">
      <x v="6"/>
    </i>
    <i t="grand">
      <x/>
    </i>
  </colItems>
  <pageFields count="1">
    <pageField fld="4" hier="-1"/>
  </pageFields>
  <dataFields count="1">
    <dataField name="VALOR X SKU" fld="18" baseField="0" baseItem="0"/>
  </dataFields>
  <formats count="37">
    <format dxfId="1940">
      <pivotArea dataOnly="0" labelOnly="1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1939">
      <pivotArea dataOnly="0" labelOnly="1" grandCol="1" outline="0" fieldPosition="0"/>
    </format>
    <format dxfId="1938">
      <pivotArea collapsedLevelsAreSubtotals="1" fieldPosition="0">
        <references count="1">
          <reference field="4" count="31">
            <x v="0"/>
            <x v="1"/>
            <x v="2"/>
            <x v="3"/>
            <x v="4"/>
            <x v="5"/>
            <x v="6"/>
            <x v="8"/>
            <x v="11"/>
            <x v="13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937">
      <pivotArea collapsedLevelsAreSubtotals="1" fieldPosition="0">
        <references count="2">
          <reference field="1" count="0" selected="0"/>
          <reference field="4" count="1">
            <x v="15"/>
          </reference>
        </references>
      </pivotArea>
    </format>
    <format dxfId="1936">
      <pivotArea collapsedLevelsAreSubtotals="1" fieldPosition="0">
        <references count="2">
          <reference field="1" count="0" selected="0"/>
          <reference field="4" count="1">
            <x v="20"/>
          </reference>
        </references>
      </pivotArea>
    </format>
    <format dxfId="1935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25"/>
          </reference>
        </references>
      </pivotArea>
    </format>
    <format dxfId="1934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34"/>
          </reference>
        </references>
      </pivotArea>
    </format>
    <format dxfId="1933">
      <pivotArea collapsedLevelsAreSubtotals="1" fieldPosition="0">
        <references count="2">
          <reference field="1" count="1" selected="0">
            <x v="1"/>
          </reference>
          <reference field="4" count="3">
            <x v="3"/>
            <x v="4"/>
            <x v="5"/>
          </reference>
        </references>
      </pivotArea>
    </format>
    <format dxfId="1932">
      <pivotArea field="4" grandRow="1" collapsedLevelsAreSubtotals="1" axis="axisPage" fieldPosition="0">
        <references count="1">
          <reference field="4" count="1">
            <x v="15"/>
          </reference>
        </references>
      </pivotArea>
    </format>
    <format dxfId="1931">
      <pivotArea field="4" grandRow="1" collapsedLevelsAreSubtotals="1" axis="axisPage" fieldPosition="0">
        <references count="1">
          <reference field="4" count="1">
            <x v="20"/>
          </reference>
        </references>
      </pivotArea>
    </format>
    <format dxfId="1930">
      <pivotArea field="4" grandRow="1" collapsedLevelsAreSubtotals="1" axis="axisPage" fieldPosition="0">
        <references count="1">
          <reference field="4" count="1">
            <x v="25"/>
          </reference>
        </references>
      </pivotArea>
    </format>
    <format dxfId="1929">
      <pivotArea collapsedLevelsAreSubtotals="1" fieldPosition="0">
        <references count="1">
          <reference field="9" count="53">
            <x v="20"/>
            <x v="24"/>
            <x v="43"/>
            <x v="47"/>
            <x v="54"/>
            <x v="55"/>
            <x v="88"/>
            <x v="91"/>
            <x v="92"/>
            <x v="97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8"/>
            <x v="150"/>
            <x v="177"/>
            <x v="178"/>
            <x v="179"/>
            <x v="180"/>
            <x v="181"/>
            <x v="182"/>
            <x v="183"/>
            <x v="184"/>
            <x v="185"/>
            <x v="186"/>
            <x v="272"/>
            <x v="324"/>
            <x v="325"/>
            <x v="326"/>
            <x v="333"/>
            <x v="385"/>
            <x v="396"/>
          </reference>
        </references>
      </pivotArea>
    </format>
    <format dxfId="1928">
      <pivotArea grandRow="1" outline="0" collapsedLevelsAreSubtotals="1" fieldPosition="0"/>
    </format>
    <format dxfId="1927">
      <pivotArea collapsedLevelsAreSubtotals="1" fieldPosition="0">
        <references count="1">
          <reference field="9" count="1">
            <x v="125"/>
          </reference>
        </references>
      </pivotArea>
    </format>
    <format dxfId="1926">
      <pivotArea collapsedLevelsAreSubtotals="1" fieldPosition="0">
        <references count="1">
          <reference field="9" count="1">
            <x v="129"/>
          </reference>
        </references>
      </pivotArea>
    </format>
    <format dxfId="1925">
      <pivotArea collapsedLevelsAreSubtotals="1" fieldPosition="0">
        <references count="1">
          <reference field="9" count="1">
            <x v="128"/>
          </reference>
        </references>
      </pivotArea>
    </format>
    <format dxfId="1924">
      <pivotArea dataOnly="0" fieldPosition="0">
        <references count="1">
          <reference field="9" count="1">
            <x v="97"/>
          </reference>
        </references>
      </pivotArea>
    </format>
    <format dxfId="1923">
      <pivotArea dataOnly="0" fieldPosition="0">
        <references count="1">
          <reference field="9" count="1">
            <x v="122"/>
          </reference>
        </references>
      </pivotArea>
    </format>
    <format dxfId="1922">
      <pivotArea dataOnly="0" fieldPosition="0">
        <references count="1">
          <reference field="9" count="1">
            <x v="132"/>
          </reference>
        </references>
      </pivotArea>
    </format>
    <format dxfId="1921">
      <pivotArea dataOnly="0" fieldPosition="0">
        <references count="1">
          <reference field="9" count="1">
            <x v="127"/>
          </reference>
        </references>
      </pivotArea>
    </format>
    <format dxfId="1920">
      <pivotArea dataOnly="0" fieldPosition="0">
        <references count="1">
          <reference field="9" count="1">
            <x v="272"/>
          </reference>
        </references>
      </pivotArea>
    </format>
    <format dxfId="1919">
      <pivotArea collapsedLevelsAreSubtotals="1" fieldPosition="0">
        <references count="1">
          <reference field="9" count="1">
            <x v="129"/>
          </reference>
        </references>
      </pivotArea>
    </format>
    <format dxfId="1918">
      <pivotArea collapsedLevelsAreSubtotals="1" fieldPosition="0">
        <references count="1">
          <reference field="9" count="1">
            <x v="125"/>
          </reference>
        </references>
      </pivotArea>
    </format>
    <format dxfId="1917">
      <pivotArea collapsedLevelsAreSubtotals="1" fieldPosition="0">
        <references count="1">
          <reference field="9" count="1">
            <x v="97"/>
          </reference>
        </references>
      </pivotArea>
    </format>
    <format dxfId="1916">
      <pivotArea collapsedLevelsAreSubtotals="1" fieldPosition="0">
        <references count="1">
          <reference field="9" count="1">
            <x v="122"/>
          </reference>
        </references>
      </pivotArea>
    </format>
    <format dxfId="1915">
      <pivotArea collapsedLevelsAreSubtotals="1" fieldPosition="0">
        <references count="1">
          <reference field="9" count="1">
            <x v="132"/>
          </reference>
        </references>
      </pivotArea>
    </format>
    <format dxfId="1914">
      <pivotArea dataOnly="0" labelOnly="1" outline="0" fieldPosition="0">
        <references count="1">
          <reference field="4" count="0"/>
        </references>
      </pivotArea>
    </format>
    <format dxfId="1913">
      <pivotArea dataOnly="0" labelOnly="1" outline="0" fieldPosition="0">
        <references count="1">
          <reference field="4" count="0"/>
        </references>
      </pivotArea>
    </format>
    <format dxfId="1912">
      <pivotArea collapsedLevelsAreSubtotals="1" fieldPosition="0">
        <references count="1">
          <reference field="9" count="1">
            <x v="128"/>
          </reference>
        </references>
      </pivotArea>
    </format>
    <format dxfId="1911">
      <pivotArea outline="0" collapsedLevelsAreSubtotals="1" fieldPosition="0"/>
    </format>
    <format dxfId="1910">
      <pivotArea collapsedLevelsAreSubtotals="1" fieldPosition="0">
        <references count="1">
          <reference field="9" count="1">
            <x v="127"/>
          </reference>
        </references>
      </pivotArea>
    </format>
    <format dxfId="1909">
      <pivotArea dataOnly="0" labelOnly="1" fieldPosition="0">
        <references count="1">
          <reference field="9" count="10">
            <x v="97"/>
            <x v="122"/>
            <x v="125"/>
            <x v="127"/>
            <x v="128"/>
            <x v="129"/>
            <x v="132"/>
            <x v="135"/>
            <x v="144"/>
            <x v="330"/>
          </reference>
        </references>
      </pivotArea>
    </format>
    <format dxfId="1908">
      <pivotArea dataOnly="0" labelOnly="1" fieldPosition="0">
        <references count="1">
          <reference field="9" count="1">
            <x v="125"/>
          </reference>
        </references>
      </pivotArea>
    </format>
    <format dxfId="1907">
      <pivotArea dataOnly="0" labelOnly="1" fieldPosition="0">
        <references count="1">
          <reference field="9" count="1">
            <x v="129"/>
          </reference>
        </references>
      </pivotArea>
    </format>
    <format dxfId="1906">
      <pivotArea dataOnly="0" labelOnly="1" fieldPosition="0">
        <references count="1">
          <reference field="9" count="1">
            <x v="128"/>
          </reference>
        </references>
      </pivotArea>
    </format>
    <format dxfId="1905">
      <pivotArea dataOnly="0" labelOnly="1" fieldPosition="0">
        <references count="1">
          <reference field="0" count="3">
            <x v="4"/>
            <x v="6"/>
            <x v="7"/>
          </reference>
        </references>
      </pivotArea>
    </format>
    <format dxfId="1904">
      <pivotArea field="1" type="button" dataOnly="0" labelOnly="1" outline="0" axis="axisCol" fieldPosition="0"/>
    </format>
  </formats>
  <chartFormats count="10"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1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31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31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31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3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EED03-3E4D-4581-98FD-0D1F60932973}" name="TablaDinámica1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 rowHeaderCaption="SKU" colHeaderCaption="mes">
  <location ref="A4:H17" firstHeaderRow="1" firstDataRow="3" firstDataCol="1" rowPageCount="1" colPageCount="1"/>
  <pivotFields count="37">
    <pivotField axis="axisCol" showAll="0">
      <items count="14">
        <item x="7"/>
        <item x="8"/>
        <item x="0"/>
        <item x="9"/>
        <item x="10"/>
        <item h="1" x="1"/>
        <item h="1" x="2"/>
        <item h="1" x="11"/>
        <item h="1" x="3"/>
        <item h="1" x="4"/>
        <item h="1" x="5"/>
        <item h="1" x="6"/>
        <item h="1" x="12"/>
        <item t="default"/>
      </items>
    </pivotField>
    <pivotField axis="axisCol" multipleItemSelectionAllowed="1" showAll="0">
      <items count="8">
        <item h="1" x="0"/>
        <item h="1" x="1"/>
        <item h="1" x="2"/>
        <item h="1" x="3"/>
        <item sd="0" x="4"/>
        <item h="1" x="6"/>
        <item x="5"/>
        <item t="default"/>
      </items>
    </pivotField>
    <pivotField showAll="0"/>
    <pivotField showAll="0"/>
    <pivotField axis="axisPage" multipleItemSelectionAllowed="1" showAll="0">
      <items count="66">
        <item h="1" x="8"/>
        <item h="1" x="25"/>
        <item h="1" x="32"/>
        <item h="1" x="15"/>
        <item h="1" x="30"/>
        <item h="1" x="7"/>
        <item h="1" x="10"/>
        <item h="1" x="2"/>
        <item h="1" x="18"/>
        <item h="1" x="6"/>
        <item h="1" x="3"/>
        <item h="1" x="28"/>
        <item h="1" m="1" x="62"/>
        <item h="1" x="16"/>
        <item h="1" x="0"/>
        <item h="1" x="1"/>
        <item h="1" x="29"/>
        <item h="1" x="12"/>
        <item h="1" x="26"/>
        <item h="1" x="27"/>
        <item x="9"/>
        <item h="1" x="20"/>
        <item h="1" x="13"/>
        <item h="1" x="5"/>
        <item h="1" x="11"/>
        <item h="1" x="17"/>
        <item h="1" x="19"/>
        <item h="1" x="14"/>
        <item h="1" x="23"/>
        <item h="1" m="1" x="64"/>
        <item h="1" x="24"/>
        <item h="1" x="22"/>
        <item h="1" x="31"/>
        <item h="1" x="33"/>
        <item h="1" x="21"/>
        <item h="1" x="4"/>
        <item h="1" x="34"/>
        <item h="1" x="59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m="1" x="63"/>
        <item h="1" x="47"/>
        <item h="1" x="48"/>
        <item h="1" m="1" x="61"/>
        <item h="1" m="1" x="60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t="default"/>
      </items>
    </pivotField>
    <pivotField showAll="0"/>
    <pivotField showAll="0"/>
    <pivotField showAll="0"/>
    <pivotField showAll="0"/>
    <pivotField axis="axisRow" showAll="0" sortType="descending">
      <items count="662">
        <item x="660"/>
        <item x="163"/>
        <item x="123"/>
        <item x="49"/>
        <item x="212"/>
        <item x="210"/>
        <item x="66"/>
        <item x="4"/>
        <item x="146"/>
        <item x="69"/>
        <item x="145"/>
        <item x="1"/>
        <item x="161"/>
        <item x="0"/>
        <item x="139"/>
        <item x="61"/>
        <item x="6"/>
        <item x="140"/>
        <item x="7"/>
        <item x="101"/>
        <item x="71"/>
        <item x="50"/>
        <item x="165"/>
        <item x="220"/>
        <item x="26"/>
        <item x="303"/>
        <item x="306"/>
        <item x="307"/>
        <item x="305"/>
        <item x="304"/>
        <item x="301"/>
        <item x="302"/>
        <item x="298"/>
        <item x="300"/>
        <item x="299"/>
        <item x="219"/>
        <item x="246"/>
        <item x="247"/>
        <item x="245"/>
        <item x="218"/>
        <item x="334"/>
        <item x="361"/>
        <item x="214"/>
        <item x="356"/>
        <item x="279"/>
        <item x="221"/>
        <item x="223"/>
        <item x="222"/>
        <item x="144"/>
        <item x="20"/>
        <item x="40"/>
        <item x="68"/>
        <item x="39"/>
        <item x="38"/>
        <item x="5"/>
        <item x="67"/>
        <item x="54"/>
        <item x="53"/>
        <item x="52"/>
        <item x="63"/>
        <item x="24"/>
        <item x="19"/>
        <item x="44"/>
        <item x="138"/>
        <item x="64"/>
        <item x="46"/>
        <item x="17"/>
        <item x="3"/>
        <item x="34"/>
        <item x="35"/>
        <item x="18"/>
        <item x="58"/>
        <item x="112"/>
        <item x="235"/>
        <item x="27"/>
        <item x="387"/>
        <item x="388"/>
        <item x="386"/>
        <item x="384"/>
        <item x="383"/>
        <item x="370"/>
        <item x="344"/>
        <item x="345"/>
        <item x="346"/>
        <item x="347"/>
        <item x="348"/>
        <item x="343"/>
        <item x="350"/>
        <item x="351"/>
        <item x="352"/>
        <item x="353"/>
        <item x="354"/>
        <item x="349"/>
        <item x="339"/>
        <item x="395"/>
        <item x="373"/>
        <item x="237"/>
        <item x="240"/>
        <item x="236"/>
        <item x="238"/>
        <item x="243"/>
        <item x="241"/>
        <item x="244"/>
        <item x="242"/>
        <item x="239"/>
        <item x="290"/>
        <item x="291"/>
        <item x="292"/>
        <item x="379"/>
        <item x="360"/>
        <item x="359"/>
        <item x="320"/>
        <item x="315"/>
        <item x="314"/>
        <item x="297"/>
        <item x="316"/>
        <item x="296"/>
        <item x="295"/>
        <item x="294"/>
        <item x="288"/>
        <item x="289"/>
        <item x="217"/>
        <item x="213"/>
        <item x="216"/>
        <item x="211"/>
        <item x="184"/>
        <item x="390"/>
        <item x="391"/>
        <item x="389"/>
        <item x="336"/>
        <item x="393"/>
        <item x="335"/>
        <item x="198"/>
        <item x="205"/>
        <item x="204"/>
        <item x="201"/>
        <item x="200"/>
        <item x="202"/>
        <item x="197"/>
        <item x="199"/>
        <item x="203"/>
        <item x="287"/>
        <item x="286"/>
        <item x="285"/>
        <item x="284"/>
        <item x="283"/>
        <item x="380"/>
        <item x="362"/>
        <item x="375"/>
        <item x="376"/>
        <item x="377"/>
        <item x="363"/>
        <item x="364"/>
        <item x="365"/>
        <item x="366"/>
        <item x="374"/>
        <item x="378"/>
        <item x="326"/>
        <item x="325"/>
        <item x="324"/>
        <item x="321"/>
        <item x="327"/>
        <item x="322"/>
        <item x="323"/>
        <item x="261"/>
        <item x="270"/>
        <item x="274"/>
        <item x="275"/>
        <item x="368"/>
        <item x="273"/>
        <item x="258"/>
        <item x="257"/>
        <item x="329"/>
        <item x="256"/>
        <item x="251"/>
        <item x="248"/>
        <item x="328"/>
        <item x="249"/>
        <item x="250"/>
        <item x="252"/>
        <item x="330"/>
        <item x="253"/>
        <item x="254"/>
        <item x="255"/>
        <item x="331"/>
        <item x="271"/>
        <item x="263"/>
        <item x="333"/>
        <item x="268"/>
        <item x="262"/>
        <item x="267"/>
        <item x="266"/>
        <item x="265"/>
        <item x="332"/>
        <item x="264"/>
        <item x="269"/>
        <item x="272"/>
        <item x="367"/>
        <item x="369"/>
        <item x="259"/>
        <item x="260"/>
        <item x="405"/>
        <item x="406"/>
        <item x="403"/>
        <item x="404"/>
        <item x="309"/>
        <item x="310"/>
        <item x="311"/>
        <item x="312"/>
        <item x="313"/>
        <item x="166"/>
        <item x="397"/>
        <item x="192"/>
        <item x="190"/>
        <item x="191"/>
        <item x="189"/>
        <item x="178"/>
        <item x="176"/>
        <item x="173"/>
        <item x="174"/>
        <item x="181"/>
        <item x="177"/>
        <item x="175"/>
        <item x="180"/>
        <item x="172"/>
        <item x="179"/>
        <item x="229"/>
        <item x="226"/>
        <item x="227"/>
        <item x="228"/>
        <item x="318"/>
        <item x="317"/>
        <item x="319"/>
        <item x="382"/>
        <item x="381"/>
        <item x="215"/>
        <item x="402"/>
        <item x="342"/>
        <item x="337"/>
        <item x="341"/>
        <item x="282"/>
        <item x="281"/>
        <item x="208"/>
        <item x="206"/>
        <item x="207"/>
        <item x="209"/>
        <item x="231"/>
        <item x="196"/>
        <item x="195"/>
        <item x="401"/>
        <item x="372"/>
        <item x="340"/>
        <item x="183"/>
        <item x="188"/>
        <item x="164"/>
        <item x="234"/>
        <item x="182"/>
        <item x="232"/>
        <item x="233"/>
        <item x="398"/>
        <item x="399"/>
        <item x="400"/>
        <item x="280"/>
        <item x="392"/>
        <item x="394"/>
        <item x="385"/>
        <item x="371"/>
        <item x="338"/>
        <item x="293"/>
        <item x="278"/>
        <item x="277"/>
        <item x="276"/>
        <item x="224"/>
        <item x="225"/>
        <item x="187"/>
        <item x="185"/>
        <item x="171"/>
        <item x="193"/>
        <item x="167"/>
        <item x="162"/>
        <item x="170"/>
        <item x="308"/>
        <item x="194"/>
        <item x="169"/>
        <item x="230"/>
        <item x="168"/>
        <item x="186"/>
        <item x="82"/>
        <item x="81"/>
        <item x="83"/>
        <item x="75"/>
        <item x="77"/>
        <item x="76"/>
        <item x="78"/>
        <item x="74"/>
        <item x="73"/>
        <item x="72"/>
        <item x="80"/>
        <item x="84"/>
        <item x="79"/>
        <item x="137"/>
        <item x="142"/>
        <item x="148"/>
        <item x="129"/>
        <item x="104"/>
        <item x="157"/>
        <item x="153"/>
        <item x="149"/>
        <item x="128"/>
        <item x="124"/>
        <item x="65"/>
        <item x="97"/>
        <item x="37"/>
        <item x="45"/>
        <item x="8"/>
        <item x="158"/>
        <item x="147"/>
        <item x="15"/>
        <item x="16"/>
        <item x="59"/>
        <item x="36"/>
        <item x="43"/>
        <item x="32"/>
        <item x="96"/>
        <item x="151"/>
        <item x="42"/>
        <item x="30"/>
        <item x="31"/>
        <item x="98"/>
        <item x="100"/>
        <item x="130"/>
        <item x="156"/>
        <item x="48"/>
        <item x="94"/>
        <item x="28"/>
        <item x="103"/>
        <item x="88"/>
        <item x="90"/>
        <item x="89"/>
        <item x="91"/>
        <item x="87"/>
        <item x="86"/>
        <item x="85"/>
        <item x="120"/>
        <item x="118"/>
        <item x="119"/>
        <item x="113"/>
        <item x="114"/>
        <item x="116"/>
        <item x="115"/>
        <item x="117"/>
        <item x="33"/>
        <item x="12"/>
        <item x="150"/>
        <item x="41"/>
        <item x="47"/>
        <item x="105"/>
        <item x="62"/>
        <item x="110"/>
        <item x="2"/>
        <item x="57"/>
        <item x="132"/>
        <item x="131"/>
        <item x="95"/>
        <item x="56"/>
        <item x="11"/>
        <item x="9"/>
        <item x="126"/>
        <item x="25"/>
        <item x="29"/>
        <item x="134"/>
        <item x="133"/>
        <item x="127"/>
        <item x="108"/>
        <item x="125"/>
        <item x="93"/>
        <item x="92"/>
        <item x="99"/>
        <item x="23"/>
        <item x="152"/>
        <item x="106"/>
        <item x="14"/>
        <item x="13"/>
        <item x="102"/>
        <item x="51"/>
        <item x="22"/>
        <item x="155"/>
        <item x="55"/>
        <item x="143"/>
        <item x="141"/>
        <item x="21"/>
        <item x="154"/>
        <item x="10"/>
        <item x="70"/>
        <item x="160"/>
        <item x="60"/>
        <item x="111"/>
        <item x="121"/>
        <item x="109"/>
        <item x="107"/>
        <item x="159"/>
        <item x="136"/>
        <item x="122"/>
        <item x="135"/>
        <item x="396"/>
        <item x="358"/>
        <item x="357"/>
        <item x="355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1">
    <i>
      <x v="255"/>
    </i>
    <i>
      <x v="257"/>
    </i>
    <i>
      <x v="418"/>
    </i>
    <i>
      <x v="251"/>
    </i>
    <i>
      <x v="564"/>
    </i>
    <i>
      <x v="436"/>
    </i>
    <i>
      <x v="249"/>
    </i>
    <i>
      <x v="250"/>
    </i>
    <i>
      <x v="420"/>
    </i>
    <i>
      <x v="419"/>
    </i>
    <i t="grand">
      <x/>
    </i>
  </rowItems>
  <colFields count="2">
    <field x="1"/>
    <field x="0"/>
  </colFields>
  <colItems count="7">
    <i>
      <x v="4"/>
    </i>
    <i>
      <x v="6"/>
      <x/>
    </i>
    <i r="1">
      <x v="1"/>
    </i>
    <i r="1">
      <x v="3"/>
    </i>
    <i r="1">
      <x v="4"/>
    </i>
    <i t="default">
      <x v="6"/>
    </i>
    <i t="grand">
      <x/>
    </i>
  </colItems>
  <pageFields count="1">
    <pageField fld="4" hier="-1"/>
  </pageFields>
  <dataFields count="1">
    <dataField name="QTDE MTS" fld="22" baseField="0" baseItem="0" numFmtId="3"/>
  </dataFields>
  <formats count="34">
    <format dxfId="1830">
      <pivotArea dataOnly="0" labelOnly="1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1829">
      <pivotArea dataOnly="0" labelOnly="1" grandCol="1" outline="0" fieldPosition="0"/>
    </format>
    <format dxfId="1828">
      <pivotArea collapsedLevelsAreSubtotals="1" fieldPosition="0">
        <references count="1">
          <reference field="4" count="31">
            <x v="0"/>
            <x v="1"/>
            <x v="2"/>
            <x v="3"/>
            <x v="4"/>
            <x v="5"/>
            <x v="6"/>
            <x v="8"/>
            <x v="11"/>
            <x v="13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827">
      <pivotArea collapsedLevelsAreSubtotals="1" fieldPosition="0">
        <references count="2">
          <reference field="1" count="0" selected="0"/>
          <reference field="4" count="1">
            <x v="15"/>
          </reference>
        </references>
      </pivotArea>
    </format>
    <format dxfId="1826">
      <pivotArea collapsedLevelsAreSubtotals="1" fieldPosition="0">
        <references count="2">
          <reference field="1" count="0" selected="0"/>
          <reference field="4" count="1">
            <x v="20"/>
          </reference>
        </references>
      </pivotArea>
    </format>
    <format dxfId="1825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25"/>
          </reference>
        </references>
      </pivotArea>
    </format>
    <format dxfId="1824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34"/>
          </reference>
        </references>
      </pivotArea>
    </format>
    <format dxfId="1823">
      <pivotArea collapsedLevelsAreSubtotals="1" fieldPosition="0">
        <references count="2">
          <reference field="1" count="1" selected="0">
            <x v="1"/>
          </reference>
          <reference field="4" count="3">
            <x v="3"/>
            <x v="4"/>
            <x v="5"/>
          </reference>
        </references>
      </pivotArea>
    </format>
    <format dxfId="1822">
      <pivotArea field="4" grandRow="1" collapsedLevelsAreSubtotals="1" axis="axisPage" fieldPosition="0">
        <references count="1">
          <reference field="4" count="1">
            <x v="15"/>
          </reference>
        </references>
      </pivotArea>
    </format>
    <format dxfId="1821">
      <pivotArea field="4" grandRow="1" collapsedLevelsAreSubtotals="1" axis="axisPage" fieldPosition="0">
        <references count="1">
          <reference field="4" count="1">
            <x v="20"/>
          </reference>
        </references>
      </pivotArea>
    </format>
    <format dxfId="1820">
      <pivotArea field="4" grandRow="1" collapsedLevelsAreSubtotals="1" axis="axisPage" fieldPosition="0">
        <references count="1">
          <reference field="4" count="1">
            <x v="25"/>
          </reference>
        </references>
      </pivotArea>
    </format>
    <format dxfId="1819">
      <pivotArea collapsedLevelsAreSubtotals="1" fieldPosition="0">
        <references count="1">
          <reference field="9" count="53">
            <x v="1"/>
            <x v="12"/>
            <x v="64"/>
            <x v="71"/>
            <x v="72"/>
            <x v="73"/>
            <x v="125"/>
            <x v="216"/>
            <x v="217"/>
            <x v="218"/>
            <x v="219"/>
            <x v="220"/>
            <x v="221"/>
            <x v="222"/>
            <x v="223"/>
            <x v="224"/>
            <x v="225"/>
            <x v="254"/>
            <x v="256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310"/>
            <x v="315"/>
            <x v="316"/>
            <x v="319"/>
            <x v="352"/>
            <x v="353"/>
            <x v="360"/>
            <x v="364"/>
            <x v="383"/>
            <x v="387"/>
          </reference>
        </references>
      </pivotArea>
    </format>
    <format dxfId="1818">
      <pivotArea grandRow="1" outline="0" collapsedLevelsAreSubtotals="1" fieldPosition="0"/>
    </format>
    <format dxfId="1817">
      <pivotArea dataOnly="0" fieldPosition="0">
        <references count="1">
          <reference field="9" count="1">
            <x v="310"/>
          </reference>
        </references>
      </pivotArea>
    </format>
    <format dxfId="1816">
      <pivotArea dataOnly="0" fieldPosition="0">
        <references count="1">
          <reference field="9" count="1">
            <x v="285"/>
          </reference>
        </references>
      </pivotArea>
    </format>
    <format dxfId="1815">
      <pivotArea dataOnly="0" fieldPosition="0">
        <references count="1">
          <reference field="9" count="1">
            <x v="275"/>
          </reference>
        </references>
      </pivotArea>
    </format>
    <format dxfId="1814">
      <pivotArea dataOnly="0" fieldPosition="0">
        <references count="1">
          <reference field="9" count="1">
            <x v="280"/>
          </reference>
        </references>
      </pivotArea>
    </format>
    <format dxfId="1813">
      <pivotArea dataOnly="0" fieldPosition="0">
        <references count="1">
          <reference field="9" count="1">
            <x v="125"/>
          </reference>
        </references>
      </pivotArea>
    </format>
    <format dxfId="1812">
      <pivotArea dataOnly="0" labelOnly="1" outline="0" fieldPosition="0">
        <references count="1">
          <reference field="4" count="0"/>
        </references>
      </pivotArea>
    </format>
    <format dxfId="1811">
      <pivotArea dataOnly="0" labelOnly="1" outline="0" fieldPosition="0">
        <references count="1">
          <reference field="4" count="0"/>
        </references>
      </pivotArea>
    </format>
    <format dxfId="1810">
      <pivotArea collapsedLevelsAreSubtotals="1" fieldPosition="0">
        <references count="1">
          <reference field="9" count="10">
            <x v="125"/>
            <x v="263"/>
            <x v="272"/>
            <x v="275"/>
            <x v="278"/>
            <x v="279"/>
            <x v="280"/>
            <x v="282"/>
            <x v="285"/>
            <x v="310"/>
          </reference>
        </references>
      </pivotArea>
    </format>
    <format dxfId="1809">
      <pivotArea collapsedLevelsAreSubtotals="1" fieldPosition="0">
        <references count="1">
          <reference field="9" count="10">
            <x v="125"/>
            <x v="263"/>
            <x v="272"/>
            <x v="275"/>
            <x v="278"/>
            <x v="279"/>
            <x v="280"/>
            <x v="282"/>
            <x v="285"/>
            <x v="310"/>
          </reference>
        </references>
      </pivotArea>
    </format>
    <format dxfId="1808">
      <pivotArea dataOnly="0" labelOnly="1" fieldPosition="0">
        <references count="1">
          <reference field="9" count="8">
            <x v="125"/>
            <x v="275"/>
            <x v="278"/>
            <x v="279"/>
            <x v="280"/>
            <x v="282"/>
            <x v="285"/>
            <x v="310"/>
          </reference>
        </references>
      </pivotArea>
    </format>
    <format dxfId="1807">
      <pivotArea dataOnly="0" labelOnly="1" fieldPosition="0">
        <references count="1">
          <reference field="9" count="1">
            <x v="282"/>
          </reference>
        </references>
      </pivotArea>
    </format>
    <format dxfId="1806">
      <pivotArea collapsedLevelsAreSubtotals="1" fieldPosition="0">
        <references count="1">
          <reference field="9" count="1">
            <x v="278"/>
          </reference>
        </references>
      </pivotArea>
    </format>
    <format dxfId="1805">
      <pivotArea dataOnly="0" labelOnly="1" fieldPosition="0">
        <references count="1">
          <reference field="9" count="1">
            <x v="278"/>
          </reference>
        </references>
      </pivotArea>
    </format>
    <format dxfId="1804">
      <pivotArea outline="0" collapsedLevelsAreSubtotals="1" fieldPosition="0"/>
    </format>
    <format dxfId="1803">
      <pivotArea outline="0" collapsedLevelsAreSubtotals="1" fieldPosition="0">
        <references count="1">
          <reference field="0" count="4" selected="0">
            <x v="0"/>
            <x v="1"/>
            <x v="3"/>
            <x v="4"/>
          </reference>
        </references>
      </pivotArea>
    </format>
    <format dxfId="1802">
      <pivotArea field="0" type="button" dataOnly="0" labelOnly="1" outline="0" axis="axisCol" fieldPosition="1"/>
    </format>
    <format dxfId="1801">
      <pivotArea type="topRight" dataOnly="0" labelOnly="1" outline="0" fieldPosition="0"/>
    </format>
    <format dxfId="1800">
      <pivotArea dataOnly="0" labelOnly="1" fieldPosition="0">
        <references count="1">
          <reference field="0" count="8">
            <x v="0"/>
            <x v="1"/>
            <x v="3"/>
            <x v="4"/>
            <x v="5"/>
            <x v="6"/>
            <x v="7"/>
            <x v="8"/>
          </reference>
        </references>
      </pivotArea>
    </format>
    <format dxfId="1799">
      <pivotArea dataOnly="0" labelOnly="1" fieldPosition="0">
        <references count="1">
          <reference field="0" count="1">
            <x v="9"/>
          </reference>
        </references>
      </pivotArea>
    </format>
    <format dxfId="1798">
      <pivotArea dataOnly="0" labelOnly="1" fieldPosition="0">
        <references count="1">
          <reference field="9" count="1">
            <x v="263"/>
          </reference>
        </references>
      </pivotArea>
    </format>
    <format dxfId="1797">
      <pivotArea dataOnly="0" labelOnly="1" fieldPosition="0">
        <references count="1">
          <reference field="9" count="1">
            <x v="125"/>
          </reference>
        </references>
      </pivotArea>
    </format>
  </formats>
  <chartFormats count="44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1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1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9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9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9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29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29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29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29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29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29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</references>
      </pivotArea>
    </chartFormat>
    <chartFormat chart="29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29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29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29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29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9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29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33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33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33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33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33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33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33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33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31977-2873-42A0-87A2-16B29D7FDD50}" name="TablaDinámica2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3" rowHeaderCaption="CLIENTE" colHeaderCaption="mes">
  <location ref="V4:AC17" firstHeaderRow="1" firstDataRow="3" firstDataCol="1" rowPageCount="1" colPageCount="1"/>
  <pivotFields count="37">
    <pivotField axis="axisCol" showAll="0">
      <items count="14">
        <item x="7"/>
        <item x="8"/>
        <item x="0"/>
        <item x="9"/>
        <item x="10"/>
        <item h="1" x="1"/>
        <item h="1" x="2"/>
        <item h="1" x="11"/>
        <item h="1" x="3"/>
        <item h="1" x="4"/>
        <item h="1" x="5"/>
        <item h="1" x="6"/>
        <item h="1" x="12"/>
        <item t="default"/>
      </items>
    </pivotField>
    <pivotField axis="axisCol" multipleItemSelectionAllowed="1" showAll="0">
      <items count="8">
        <item h="1" x="0"/>
        <item h="1" x="1"/>
        <item h="1" x="2"/>
        <item h="1" x="3"/>
        <item sd="0" x="4"/>
        <item h="1" x="6"/>
        <item x="5"/>
        <item t="default"/>
      </items>
    </pivotField>
    <pivotField showAll="0"/>
    <pivotField showAll="0"/>
    <pivotField axis="axisPage" multipleItemSelectionAllowed="1" showAll="0">
      <items count="66">
        <item h="1" x="8"/>
        <item h="1" x="25"/>
        <item h="1" x="32"/>
        <item h="1" x="15"/>
        <item h="1" x="30"/>
        <item h="1" x="7"/>
        <item h="1" x="10"/>
        <item h="1" x="2"/>
        <item h="1" x="18"/>
        <item h="1" x="6"/>
        <item h="1" x="3"/>
        <item h="1" x="28"/>
        <item h="1" m="1" x="62"/>
        <item h="1" x="16"/>
        <item h="1" x="0"/>
        <item h="1" x="1"/>
        <item h="1" x="29"/>
        <item h="1" x="12"/>
        <item h="1" x="26"/>
        <item h="1" x="27"/>
        <item x="9"/>
        <item h="1" x="20"/>
        <item h="1" x="13"/>
        <item h="1" x="5"/>
        <item h="1" x="11"/>
        <item h="1" x="17"/>
        <item h="1" x="19"/>
        <item h="1" x="14"/>
        <item h="1" x="23"/>
        <item h="1" m="1" x="64"/>
        <item h="1" x="24"/>
        <item h="1" x="22"/>
        <item h="1" x="31"/>
        <item h="1" x="33"/>
        <item h="1" x="21"/>
        <item h="1" x="4"/>
        <item h="1" x="34"/>
        <item h="1" x="59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m="1" x="63"/>
        <item h="1" x="47"/>
        <item h="1" x="48"/>
        <item h="1" m="1" x="61"/>
        <item h="1" m="1" x="60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t="default"/>
      </items>
    </pivotField>
    <pivotField showAll="0"/>
    <pivotField showAll="0"/>
    <pivotField showAll="0"/>
    <pivotField showAll="0"/>
    <pivotField axis="axisRow" showAll="0" sortType="descending">
      <items count="662">
        <item x="355"/>
        <item x="357"/>
        <item x="358"/>
        <item x="396"/>
        <item x="135"/>
        <item x="122"/>
        <item x="136"/>
        <item x="159"/>
        <item x="107"/>
        <item x="109"/>
        <item x="121"/>
        <item x="111"/>
        <item x="60"/>
        <item x="160"/>
        <item x="70"/>
        <item x="10"/>
        <item x="154"/>
        <item x="21"/>
        <item x="141"/>
        <item x="143"/>
        <item x="55"/>
        <item x="155"/>
        <item x="22"/>
        <item x="51"/>
        <item x="102"/>
        <item x="13"/>
        <item x="14"/>
        <item x="106"/>
        <item x="152"/>
        <item x="23"/>
        <item x="99"/>
        <item x="92"/>
        <item x="93"/>
        <item x="125"/>
        <item x="108"/>
        <item x="127"/>
        <item x="133"/>
        <item x="134"/>
        <item x="29"/>
        <item x="25"/>
        <item x="126"/>
        <item x="9"/>
        <item x="11"/>
        <item x="56"/>
        <item x="95"/>
        <item x="131"/>
        <item x="132"/>
        <item x="57"/>
        <item x="2"/>
        <item x="110"/>
        <item x="62"/>
        <item x="105"/>
        <item x="47"/>
        <item x="41"/>
        <item x="150"/>
        <item x="12"/>
        <item x="33"/>
        <item x="117"/>
        <item x="115"/>
        <item x="116"/>
        <item x="114"/>
        <item x="113"/>
        <item x="119"/>
        <item x="118"/>
        <item x="120"/>
        <item x="85"/>
        <item x="86"/>
        <item x="87"/>
        <item x="91"/>
        <item x="89"/>
        <item x="90"/>
        <item x="88"/>
        <item x="103"/>
        <item x="28"/>
        <item x="94"/>
        <item x="48"/>
        <item x="156"/>
        <item x="130"/>
        <item x="100"/>
        <item x="98"/>
        <item x="31"/>
        <item x="30"/>
        <item x="42"/>
        <item x="151"/>
        <item x="96"/>
        <item x="32"/>
        <item x="43"/>
        <item x="36"/>
        <item x="59"/>
        <item x="16"/>
        <item x="15"/>
        <item x="147"/>
        <item x="158"/>
        <item x="8"/>
        <item x="45"/>
        <item x="37"/>
        <item x="97"/>
        <item x="65"/>
        <item x="124"/>
        <item x="128"/>
        <item x="149"/>
        <item x="153"/>
        <item x="157"/>
        <item x="104"/>
        <item x="129"/>
        <item x="148"/>
        <item x="142"/>
        <item x="137"/>
        <item x="79"/>
        <item x="84"/>
        <item x="80"/>
        <item x="72"/>
        <item x="73"/>
        <item x="74"/>
        <item x="78"/>
        <item x="76"/>
        <item x="77"/>
        <item x="75"/>
        <item x="83"/>
        <item x="81"/>
        <item x="82"/>
        <item x="186"/>
        <item x="168"/>
        <item x="230"/>
        <item x="169"/>
        <item x="194"/>
        <item x="308"/>
        <item x="170"/>
        <item x="162"/>
        <item x="167"/>
        <item x="193"/>
        <item x="171"/>
        <item x="185"/>
        <item x="187"/>
        <item x="225"/>
        <item x="224"/>
        <item x="276"/>
        <item x="277"/>
        <item x="278"/>
        <item x="293"/>
        <item x="338"/>
        <item x="371"/>
        <item x="385"/>
        <item x="394"/>
        <item x="392"/>
        <item x="280"/>
        <item x="233"/>
        <item x="232"/>
        <item x="182"/>
        <item x="234"/>
        <item x="164"/>
        <item x="188"/>
        <item x="183"/>
        <item x="340"/>
        <item x="372"/>
        <item x="195"/>
        <item x="196"/>
        <item x="231"/>
        <item x="209"/>
        <item x="207"/>
        <item x="206"/>
        <item x="208"/>
        <item x="281"/>
        <item x="282"/>
        <item x="341"/>
        <item x="337"/>
        <item x="342"/>
        <item x="215"/>
        <item x="381"/>
        <item x="382"/>
        <item x="319"/>
        <item x="317"/>
        <item x="318"/>
        <item x="228"/>
        <item x="227"/>
        <item x="226"/>
        <item x="229"/>
        <item x="179"/>
        <item x="172"/>
        <item x="180"/>
        <item x="175"/>
        <item x="177"/>
        <item x="181"/>
        <item x="174"/>
        <item x="173"/>
        <item x="176"/>
        <item x="178"/>
        <item x="189"/>
        <item x="191"/>
        <item x="190"/>
        <item x="192"/>
        <item x="166"/>
        <item x="313"/>
        <item x="312"/>
        <item x="311"/>
        <item x="310"/>
        <item x="309"/>
        <item x="260"/>
        <item x="259"/>
        <item x="369"/>
        <item x="367"/>
        <item x="272"/>
        <item x="269"/>
        <item x="264"/>
        <item x="332"/>
        <item x="265"/>
        <item x="266"/>
        <item x="267"/>
        <item x="262"/>
        <item x="268"/>
        <item x="333"/>
        <item x="263"/>
        <item x="271"/>
        <item x="331"/>
        <item x="255"/>
        <item x="254"/>
        <item x="253"/>
        <item x="330"/>
        <item x="252"/>
        <item x="250"/>
        <item x="249"/>
        <item x="328"/>
        <item x="248"/>
        <item x="251"/>
        <item x="256"/>
        <item x="329"/>
        <item x="257"/>
        <item x="258"/>
        <item x="273"/>
        <item x="368"/>
        <item x="275"/>
        <item x="274"/>
        <item x="270"/>
        <item x="261"/>
        <item x="323"/>
        <item x="322"/>
        <item x="327"/>
        <item x="321"/>
        <item x="324"/>
        <item x="325"/>
        <item x="326"/>
        <item x="378"/>
        <item x="374"/>
        <item x="366"/>
        <item x="365"/>
        <item x="364"/>
        <item x="363"/>
        <item x="377"/>
        <item x="376"/>
        <item x="375"/>
        <item x="362"/>
        <item x="380"/>
        <item x="283"/>
        <item x="284"/>
        <item x="285"/>
        <item x="286"/>
        <item x="287"/>
        <item x="203"/>
        <item x="199"/>
        <item x="197"/>
        <item x="202"/>
        <item x="200"/>
        <item x="201"/>
        <item x="204"/>
        <item x="205"/>
        <item x="198"/>
        <item x="335"/>
        <item x="393"/>
        <item x="336"/>
        <item x="389"/>
        <item x="391"/>
        <item x="390"/>
        <item x="184"/>
        <item x="211"/>
        <item x="216"/>
        <item x="213"/>
        <item x="217"/>
        <item x="289"/>
        <item x="288"/>
        <item x="294"/>
        <item x="295"/>
        <item x="296"/>
        <item x="316"/>
        <item x="297"/>
        <item x="314"/>
        <item x="315"/>
        <item x="320"/>
        <item x="359"/>
        <item x="360"/>
        <item x="379"/>
        <item x="292"/>
        <item x="291"/>
        <item x="290"/>
        <item x="239"/>
        <item x="242"/>
        <item x="244"/>
        <item x="241"/>
        <item x="243"/>
        <item x="238"/>
        <item x="236"/>
        <item x="240"/>
        <item x="237"/>
        <item x="373"/>
        <item x="395"/>
        <item x="339"/>
        <item x="349"/>
        <item x="354"/>
        <item x="353"/>
        <item x="352"/>
        <item x="351"/>
        <item x="350"/>
        <item x="343"/>
        <item x="348"/>
        <item x="347"/>
        <item x="346"/>
        <item x="345"/>
        <item x="344"/>
        <item x="370"/>
        <item x="383"/>
        <item x="384"/>
        <item x="386"/>
        <item x="388"/>
        <item x="387"/>
        <item x="27"/>
        <item x="235"/>
        <item x="112"/>
        <item x="58"/>
        <item x="18"/>
        <item x="35"/>
        <item x="34"/>
        <item x="3"/>
        <item x="17"/>
        <item x="46"/>
        <item x="64"/>
        <item x="138"/>
        <item x="44"/>
        <item x="19"/>
        <item x="24"/>
        <item x="63"/>
        <item x="52"/>
        <item x="53"/>
        <item x="54"/>
        <item x="67"/>
        <item x="5"/>
        <item x="38"/>
        <item x="39"/>
        <item x="68"/>
        <item x="40"/>
        <item x="20"/>
        <item x="144"/>
        <item x="222"/>
        <item x="223"/>
        <item x="221"/>
        <item x="279"/>
        <item x="356"/>
        <item x="214"/>
        <item x="361"/>
        <item x="334"/>
        <item x="218"/>
        <item x="245"/>
        <item x="247"/>
        <item x="246"/>
        <item x="219"/>
        <item x="299"/>
        <item x="300"/>
        <item x="298"/>
        <item x="302"/>
        <item x="301"/>
        <item x="304"/>
        <item x="305"/>
        <item x="307"/>
        <item x="306"/>
        <item x="303"/>
        <item x="26"/>
        <item x="220"/>
        <item x="165"/>
        <item x="50"/>
        <item x="71"/>
        <item x="101"/>
        <item x="7"/>
        <item x="140"/>
        <item x="6"/>
        <item x="61"/>
        <item x="139"/>
        <item x="0"/>
        <item x="161"/>
        <item x="1"/>
        <item x="145"/>
        <item x="69"/>
        <item x="146"/>
        <item x="4"/>
        <item x="66"/>
        <item x="210"/>
        <item x="212"/>
        <item x="49"/>
        <item x="123"/>
        <item x="163"/>
        <item x="660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1">
    <i>
      <x v="149"/>
    </i>
    <i>
      <x v="147"/>
    </i>
    <i>
      <x v="153"/>
    </i>
    <i>
      <x v="418"/>
    </i>
    <i>
      <x v="564"/>
    </i>
    <i>
      <x v="436"/>
    </i>
    <i>
      <x v="154"/>
    </i>
    <i>
      <x v="402"/>
    </i>
    <i>
      <x v="419"/>
    </i>
    <i>
      <x v="420"/>
    </i>
    <i t="grand">
      <x/>
    </i>
  </rowItems>
  <colFields count="2">
    <field x="1"/>
    <field x="0"/>
  </colFields>
  <colItems count="7">
    <i>
      <x v="4"/>
    </i>
    <i>
      <x v="6"/>
      <x/>
    </i>
    <i r="1">
      <x v="1"/>
    </i>
    <i r="1">
      <x v="3"/>
    </i>
    <i r="1">
      <x v="4"/>
    </i>
    <i t="default">
      <x v="6"/>
    </i>
    <i t="grand">
      <x/>
    </i>
  </colItems>
  <pageFields count="1">
    <pageField fld="4" hier="-1"/>
  </pageFields>
  <dataFields count="1">
    <dataField name="VALOR X SKU" fld="18" baseField="0" baseItem="0"/>
  </dataFields>
  <formats count="40">
    <format dxfId="1870">
      <pivotArea dataOnly="0" labelOnly="1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1869">
      <pivotArea dataOnly="0" labelOnly="1" grandCol="1" outline="0" fieldPosition="0"/>
    </format>
    <format dxfId="1868">
      <pivotArea collapsedLevelsAreSubtotals="1" fieldPosition="0">
        <references count="1">
          <reference field="4" count="31">
            <x v="0"/>
            <x v="1"/>
            <x v="2"/>
            <x v="3"/>
            <x v="4"/>
            <x v="5"/>
            <x v="6"/>
            <x v="8"/>
            <x v="11"/>
            <x v="13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867">
      <pivotArea collapsedLevelsAreSubtotals="1" fieldPosition="0">
        <references count="2">
          <reference field="1" count="0" selected="0"/>
          <reference field="4" count="1">
            <x v="15"/>
          </reference>
        </references>
      </pivotArea>
    </format>
    <format dxfId="1866">
      <pivotArea collapsedLevelsAreSubtotals="1" fieldPosition="0">
        <references count="2">
          <reference field="1" count="0" selected="0"/>
          <reference field="4" count="1">
            <x v="20"/>
          </reference>
        </references>
      </pivotArea>
    </format>
    <format dxfId="1865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25"/>
          </reference>
        </references>
      </pivotArea>
    </format>
    <format dxfId="1864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34"/>
          </reference>
        </references>
      </pivotArea>
    </format>
    <format dxfId="1863">
      <pivotArea collapsedLevelsAreSubtotals="1" fieldPosition="0">
        <references count="2">
          <reference field="1" count="1" selected="0">
            <x v="1"/>
          </reference>
          <reference field="4" count="3">
            <x v="3"/>
            <x v="4"/>
            <x v="5"/>
          </reference>
        </references>
      </pivotArea>
    </format>
    <format dxfId="1862">
      <pivotArea field="4" grandRow="1" collapsedLevelsAreSubtotals="1" axis="axisPage" fieldPosition="0">
        <references count="1">
          <reference field="4" count="1">
            <x v="15"/>
          </reference>
        </references>
      </pivotArea>
    </format>
    <format dxfId="1861">
      <pivotArea field="4" grandRow="1" collapsedLevelsAreSubtotals="1" axis="axisPage" fieldPosition="0">
        <references count="1">
          <reference field="4" count="1">
            <x v="20"/>
          </reference>
        </references>
      </pivotArea>
    </format>
    <format dxfId="1860">
      <pivotArea field="4" grandRow="1" collapsedLevelsAreSubtotals="1" axis="axisPage" fieldPosition="0">
        <references count="1">
          <reference field="4" count="1">
            <x v="25"/>
          </reference>
        </references>
      </pivotArea>
    </format>
    <format dxfId="1859">
      <pivotArea collapsedLevelsAreSubtotals="1" fieldPosition="0">
        <references count="1">
          <reference field="9" count="53">
            <x v="20"/>
            <x v="24"/>
            <x v="43"/>
            <x v="47"/>
            <x v="54"/>
            <x v="55"/>
            <x v="88"/>
            <x v="91"/>
            <x v="92"/>
            <x v="97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8"/>
            <x v="150"/>
            <x v="177"/>
            <x v="178"/>
            <x v="179"/>
            <x v="180"/>
            <x v="181"/>
            <x v="182"/>
            <x v="183"/>
            <x v="184"/>
            <x v="185"/>
            <x v="186"/>
            <x v="272"/>
            <x v="324"/>
            <x v="325"/>
            <x v="326"/>
            <x v="333"/>
            <x v="385"/>
            <x v="396"/>
          </reference>
        </references>
      </pivotArea>
    </format>
    <format dxfId="1858">
      <pivotArea grandRow="1" outline="0" collapsedLevelsAreSubtotals="1" fieldPosition="0"/>
    </format>
    <format dxfId="1857">
      <pivotArea collapsedLevelsAreSubtotals="1" fieldPosition="0">
        <references count="1">
          <reference field="9" count="1">
            <x v="125"/>
          </reference>
        </references>
      </pivotArea>
    </format>
    <format dxfId="1856">
      <pivotArea collapsedLevelsAreSubtotals="1" fieldPosition="0">
        <references count="1">
          <reference field="9" count="1">
            <x v="129"/>
          </reference>
        </references>
      </pivotArea>
    </format>
    <format dxfId="1855">
      <pivotArea collapsedLevelsAreSubtotals="1" fieldPosition="0">
        <references count="1">
          <reference field="9" count="1">
            <x v="128"/>
          </reference>
        </references>
      </pivotArea>
    </format>
    <format dxfId="1854">
      <pivotArea dataOnly="0" fieldPosition="0">
        <references count="1">
          <reference field="9" count="1">
            <x v="97"/>
          </reference>
        </references>
      </pivotArea>
    </format>
    <format dxfId="1853">
      <pivotArea dataOnly="0" fieldPosition="0">
        <references count="1">
          <reference field="9" count="1">
            <x v="122"/>
          </reference>
        </references>
      </pivotArea>
    </format>
    <format dxfId="1852">
      <pivotArea dataOnly="0" fieldPosition="0">
        <references count="1">
          <reference field="9" count="1">
            <x v="132"/>
          </reference>
        </references>
      </pivotArea>
    </format>
    <format dxfId="1851">
      <pivotArea dataOnly="0" fieldPosition="0">
        <references count="1">
          <reference field="9" count="1">
            <x v="127"/>
          </reference>
        </references>
      </pivotArea>
    </format>
    <format dxfId="1850">
      <pivotArea dataOnly="0" fieldPosition="0">
        <references count="1">
          <reference field="9" count="1">
            <x v="272"/>
          </reference>
        </references>
      </pivotArea>
    </format>
    <format dxfId="1849">
      <pivotArea collapsedLevelsAreSubtotals="1" fieldPosition="0">
        <references count="1">
          <reference field="9" count="1">
            <x v="129"/>
          </reference>
        </references>
      </pivotArea>
    </format>
    <format dxfId="1848">
      <pivotArea collapsedLevelsAreSubtotals="1" fieldPosition="0">
        <references count="1">
          <reference field="9" count="1">
            <x v="125"/>
          </reference>
        </references>
      </pivotArea>
    </format>
    <format dxfId="1847">
      <pivotArea collapsedLevelsAreSubtotals="1" fieldPosition="0">
        <references count="1">
          <reference field="9" count="1">
            <x v="97"/>
          </reference>
        </references>
      </pivotArea>
    </format>
    <format dxfId="1846">
      <pivotArea collapsedLevelsAreSubtotals="1" fieldPosition="0">
        <references count="1">
          <reference field="9" count="1">
            <x v="122"/>
          </reference>
        </references>
      </pivotArea>
    </format>
    <format dxfId="1845">
      <pivotArea collapsedLevelsAreSubtotals="1" fieldPosition="0">
        <references count="1">
          <reference field="9" count="1">
            <x v="132"/>
          </reference>
        </references>
      </pivotArea>
    </format>
    <format dxfId="1844">
      <pivotArea dataOnly="0" labelOnly="1" outline="0" fieldPosition="0">
        <references count="1">
          <reference field="4" count="0"/>
        </references>
      </pivotArea>
    </format>
    <format dxfId="1843">
      <pivotArea dataOnly="0" labelOnly="1" outline="0" fieldPosition="0">
        <references count="1">
          <reference field="4" count="0"/>
        </references>
      </pivotArea>
    </format>
    <format dxfId="1842">
      <pivotArea collapsedLevelsAreSubtotals="1" fieldPosition="0">
        <references count="1">
          <reference field="9" count="1">
            <x v="128"/>
          </reference>
        </references>
      </pivotArea>
    </format>
    <format dxfId="1841">
      <pivotArea outline="0" collapsedLevelsAreSubtotals="1" fieldPosition="0"/>
    </format>
    <format dxfId="1840">
      <pivotArea collapsedLevelsAreSubtotals="1" fieldPosition="0">
        <references count="1">
          <reference field="9" count="1">
            <x v="127"/>
          </reference>
        </references>
      </pivotArea>
    </format>
    <format dxfId="1839">
      <pivotArea dataOnly="0" labelOnly="1" fieldPosition="0">
        <references count="1">
          <reference field="9" count="10">
            <x v="97"/>
            <x v="122"/>
            <x v="125"/>
            <x v="127"/>
            <x v="128"/>
            <x v="129"/>
            <x v="132"/>
            <x v="135"/>
            <x v="144"/>
            <x v="330"/>
          </reference>
        </references>
      </pivotArea>
    </format>
    <format dxfId="1838">
      <pivotArea dataOnly="0" labelOnly="1" fieldPosition="0">
        <references count="1">
          <reference field="9" count="1">
            <x v="125"/>
          </reference>
        </references>
      </pivotArea>
    </format>
    <format dxfId="1837">
      <pivotArea dataOnly="0" labelOnly="1" fieldPosition="0">
        <references count="1">
          <reference field="9" count="1">
            <x v="129"/>
          </reference>
        </references>
      </pivotArea>
    </format>
    <format dxfId="1836">
      <pivotArea dataOnly="0" labelOnly="1" fieldPosition="0">
        <references count="1">
          <reference field="9" count="1">
            <x v="128"/>
          </reference>
        </references>
      </pivotArea>
    </format>
    <format dxfId="1835">
      <pivotArea dataOnly="0" labelOnly="1" fieldPosition="0">
        <references count="1">
          <reference field="0" count="1">
            <x v="9"/>
          </reference>
        </references>
      </pivotArea>
    </format>
    <format dxfId="1834">
      <pivotArea outline="0" collapsedLevelsAreSubtotals="1" fieldPosition="0">
        <references count="2">
          <reference field="0" count="1" selected="0">
            <x v="1"/>
          </reference>
          <reference field="1" count="1" selected="0">
            <x v="6"/>
          </reference>
        </references>
      </pivotArea>
    </format>
    <format dxfId="1833">
      <pivotArea type="topRight" dataOnly="0" labelOnly="1" outline="0" fieldPosition="0"/>
    </format>
    <format dxfId="1832">
      <pivotArea dataOnly="0" labelOnly="1" fieldPosition="0">
        <references count="1">
          <reference field="1" count="1">
            <x v="6"/>
          </reference>
        </references>
      </pivotArea>
    </format>
    <format dxfId="1831">
      <pivotArea dataOnly="0" labelOnly="1" fieldPosition="0">
        <references count="2">
          <reference field="0" count="2">
            <x v="0"/>
            <x v="1"/>
          </reference>
          <reference field="1" count="1" selected="0">
            <x v="6"/>
          </reference>
        </references>
      </pivotArea>
    </format>
  </formats>
  <chartFormats count="28">
    <chartFormat chart="3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3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3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3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30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30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30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30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30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30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</references>
      </pivotArea>
    </chartFormat>
    <chartFormat chart="30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3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0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30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32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2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32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32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32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90DB4-0D1C-4FE6-980C-6FA71BE697FC}" name="TablaDinámica4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2" rowHeaderCaption="CLIENTE" colHeaderCaption="mes">
  <location ref="A47:G63" firstHeaderRow="1" firstDataRow="2" firstDataCol="1" rowPageCount="2" colPageCount="1"/>
  <pivotFields count="37">
    <pivotField axis="axisCol" showAll="0">
      <items count="14">
        <item x="7"/>
        <item x="8"/>
        <item x="0"/>
        <item x="9"/>
        <item x="10"/>
        <item x="1"/>
        <item x="2"/>
        <item x="11"/>
        <item x="3"/>
        <item x="4"/>
        <item x="5"/>
        <item h="1" x="6"/>
        <item x="12"/>
        <item t="default"/>
      </items>
    </pivotField>
    <pivotField axis="axisPage" multipleItemSelectionAllowed="1" showAll="0">
      <items count="8">
        <item x="0"/>
        <item x="1"/>
        <item x="2"/>
        <item x="3"/>
        <item h="1" x="4"/>
        <item h="1" x="6"/>
        <item h="1" x="5"/>
        <item t="default"/>
      </items>
    </pivotField>
    <pivotField showAll="0"/>
    <pivotField showAll="0"/>
    <pivotField axis="axisPage" multipleItemSelectionAllowed="1" showAll="0">
      <items count="66">
        <item h="1" x="8"/>
        <item h="1" x="25"/>
        <item h="1" x="32"/>
        <item h="1" x="15"/>
        <item h="1" x="30"/>
        <item h="1" x="7"/>
        <item x="10"/>
        <item h="1" x="2"/>
        <item h="1" x="18"/>
        <item h="1" x="6"/>
        <item h="1" x="3"/>
        <item h="1" x="28"/>
        <item h="1" m="1" x="62"/>
        <item h="1" x="16"/>
        <item h="1" x="0"/>
        <item h="1" x="1"/>
        <item h="1" x="29"/>
        <item h="1" x="12"/>
        <item h="1" x="26"/>
        <item h="1" x="27"/>
        <item h="1" x="9"/>
        <item h="1" x="20"/>
        <item h="1" x="13"/>
        <item h="1" x="5"/>
        <item h="1" x="11"/>
        <item h="1" x="17"/>
        <item h="1" x="19"/>
        <item h="1" x="14"/>
        <item h="1" x="23"/>
        <item h="1" m="1" x="64"/>
        <item h="1" x="24"/>
        <item h="1" x="22"/>
        <item h="1" x="31"/>
        <item h="1" x="33"/>
        <item h="1" x="21"/>
        <item h="1" x="4"/>
        <item h="1" x="34"/>
        <item h="1" x="59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m="1" x="63"/>
        <item h="1" x="47"/>
        <item h="1" x="48"/>
        <item h="1" m="1" x="61"/>
        <item h="1" m="1" x="60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t="default"/>
      </items>
    </pivotField>
    <pivotField showAll="0"/>
    <pivotField showAll="0"/>
    <pivotField showAll="0"/>
    <pivotField showAll="0"/>
    <pivotField axis="axisRow" showAll="0" sortType="descending">
      <items count="662">
        <item x="660"/>
        <item x="163"/>
        <item x="123"/>
        <item x="49"/>
        <item x="212"/>
        <item x="210"/>
        <item x="66"/>
        <item x="4"/>
        <item x="146"/>
        <item x="69"/>
        <item x="145"/>
        <item x="1"/>
        <item x="161"/>
        <item x="0"/>
        <item x="139"/>
        <item x="61"/>
        <item x="6"/>
        <item x="140"/>
        <item x="7"/>
        <item x="101"/>
        <item x="71"/>
        <item x="50"/>
        <item x="165"/>
        <item x="220"/>
        <item x="26"/>
        <item x="303"/>
        <item x="306"/>
        <item x="307"/>
        <item x="305"/>
        <item x="304"/>
        <item x="301"/>
        <item x="302"/>
        <item x="298"/>
        <item x="300"/>
        <item x="299"/>
        <item x="219"/>
        <item x="246"/>
        <item x="247"/>
        <item x="245"/>
        <item x="218"/>
        <item x="334"/>
        <item x="361"/>
        <item x="214"/>
        <item x="356"/>
        <item x="279"/>
        <item x="221"/>
        <item x="223"/>
        <item x="222"/>
        <item x="144"/>
        <item x="20"/>
        <item x="40"/>
        <item x="68"/>
        <item x="39"/>
        <item x="38"/>
        <item x="5"/>
        <item x="67"/>
        <item x="54"/>
        <item x="53"/>
        <item x="52"/>
        <item x="63"/>
        <item x="24"/>
        <item x="19"/>
        <item x="44"/>
        <item x="138"/>
        <item x="64"/>
        <item x="46"/>
        <item x="17"/>
        <item x="3"/>
        <item x="34"/>
        <item x="35"/>
        <item x="18"/>
        <item x="58"/>
        <item x="112"/>
        <item x="235"/>
        <item x="27"/>
        <item x="387"/>
        <item x="388"/>
        <item x="386"/>
        <item x="384"/>
        <item x="383"/>
        <item x="370"/>
        <item x="344"/>
        <item x="345"/>
        <item x="346"/>
        <item x="347"/>
        <item x="348"/>
        <item x="343"/>
        <item x="350"/>
        <item x="351"/>
        <item x="352"/>
        <item x="353"/>
        <item x="354"/>
        <item x="349"/>
        <item x="339"/>
        <item x="395"/>
        <item x="373"/>
        <item x="237"/>
        <item x="240"/>
        <item x="236"/>
        <item x="238"/>
        <item x="243"/>
        <item x="241"/>
        <item x="244"/>
        <item x="242"/>
        <item x="239"/>
        <item x="290"/>
        <item x="291"/>
        <item x="292"/>
        <item x="379"/>
        <item x="360"/>
        <item x="359"/>
        <item x="320"/>
        <item x="315"/>
        <item x="314"/>
        <item x="297"/>
        <item x="316"/>
        <item x="296"/>
        <item x="295"/>
        <item x="294"/>
        <item x="288"/>
        <item x="289"/>
        <item x="217"/>
        <item x="213"/>
        <item x="216"/>
        <item x="211"/>
        <item x="184"/>
        <item x="390"/>
        <item x="391"/>
        <item x="389"/>
        <item x="336"/>
        <item x="393"/>
        <item x="335"/>
        <item x="198"/>
        <item x="205"/>
        <item x="204"/>
        <item x="201"/>
        <item x="200"/>
        <item x="202"/>
        <item x="197"/>
        <item x="199"/>
        <item x="203"/>
        <item x="287"/>
        <item x="286"/>
        <item x="285"/>
        <item x="284"/>
        <item x="283"/>
        <item x="380"/>
        <item x="362"/>
        <item x="375"/>
        <item x="376"/>
        <item x="377"/>
        <item x="363"/>
        <item x="364"/>
        <item x="365"/>
        <item x="366"/>
        <item x="374"/>
        <item x="378"/>
        <item x="326"/>
        <item x="325"/>
        <item x="324"/>
        <item x="321"/>
        <item x="327"/>
        <item x="322"/>
        <item x="323"/>
        <item x="261"/>
        <item x="270"/>
        <item x="274"/>
        <item x="275"/>
        <item x="368"/>
        <item x="273"/>
        <item x="258"/>
        <item x="257"/>
        <item x="329"/>
        <item x="256"/>
        <item x="251"/>
        <item x="248"/>
        <item x="328"/>
        <item x="249"/>
        <item x="250"/>
        <item x="252"/>
        <item x="330"/>
        <item x="253"/>
        <item x="254"/>
        <item x="255"/>
        <item x="331"/>
        <item x="271"/>
        <item x="263"/>
        <item x="333"/>
        <item x="268"/>
        <item x="262"/>
        <item x="267"/>
        <item x="266"/>
        <item x="265"/>
        <item x="332"/>
        <item x="264"/>
        <item x="269"/>
        <item x="272"/>
        <item x="367"/>
        <item x="369"/>
        <item x="259"/>
        <item x="260"/>
        <item x="405"/>
        <item x="406"/>
        <item x="403"/>
        <item x="404"/>
        <item x="309"/>
        <item x="310"/>
        <item x="311"/>
        <item x="312"/>
        <item x="313"/>
        <item x="166"/>
        <item x="397"/>
        <item x="192"/>
        <item x="190"/>
        <item x="191"/>
        <item x="189"/>
        <item x="178"/>
        <item x="176"/>
        <item x="173"/>
        <item x="174"/>
        <item x="181"/>
        <item x="177"/>
        <item x="175"/>
        <item x="180"/>
        <item x="172"/>
        <item x="179"/>
        <item x="229"/>
        <item x="226"/>
        <item x="227"/>
        <item x="228"/>
        <item x="318"/>
        <item x="317"/>
        <item x="319"/>
        <item x="382"/>
        <item x="381"/>
        <item x="215"/>
        <item x="402"/>
        <item x="342"/>
        <item x="337"/>
        <item x="341"/>
        <item x="282"/>
        <item x="281"/>
        <item x="208"/>
        <item x="206"/>
        <item x="207"/>
        <item x="209"/>
        <item x="231"/>
        <item x="196"/>
        <item x="195"/>
        <item x="401"/>
        <item x="372"/>
        <item x="340"/>
        <item x="183"/>
        <item x="188"/>
        <item x="164"/>
        <item x="234"/>
        <item x="182"/>
        <item x="232"/>
        <item x="233"/>
        <item x="398"/>
        <item x="399"/>
        <item x="400"/>
        <item x="280"/>
        <item x="392"/>
        <item x="394"/>
        <item x="385"/>
        <item x="371"/>
        <item x="338"/>
        <item x="293"/>
        <item x="278"/>
        <item x="277"/>
        <item x="276"/>
        <item x="224"/>
        <item x="225"/>
        <item x="187"/>
        <item x="185"/>
        <item x="171"/>
        <item x="193"/>
        <item x="167"/>
        <item x="162"/>
        <item x="170"/>
        <item x="308"/>
        <item x="194"/>
        <item x="169"/>
        <item x="230"/>
        <item x="168"/>
        <item x="186"/>
        <item x="82"/>
        <item x="81"/>
        <item x="83"/>
        <item x="75"/>
        <item x="77"/>
        <item x="76"/>
        <item x="78"/>
        <item x="74"/>
        <item x="73"/>
        <item x="72"/>
        <item x="80"/>
        <item x="84"/>
        <item x="79"/>
        <item x="137"/>
        <item x="142"/>
        <item x="148"/>
        <item x="129"/>
        <item x="104"/>
        <item x="157"/>
        <item x="153"/>
        <item x="149"/>
        <item x="128"/>
        <item x="124"/>
        <item x="65"/>
        <item x="97"/>
        <item x="37"/>
        <item x="45"/>
        <item x="8"/>
        <item x="158"/>
        <item x="147"/>
        <item x="15"/>
        <item x="16"/>
        <item x="59"/>
        <item x="36"/>
        <item x="43"/>
        <item x="32"/>
        <item x="96"/>
        <item x="151"/>
        <item x="42"/>
        <item x="30"/>
        <item x="31"/>
        <item x="98"/>
        <item x="100"/>
        <item x="130"/>
        <item x="156"/>
        <item x="48"/>
        <item x="94"/>
        <item x="28"/>
        <item x="103"/>
        <item x="88"/>
        <item x="90"/>
        <item x="89"/>
        <item x="91"/>
        <item x="87"/>
        <item x="86"/>
        <item x="85"/>
        <item x="120"/>
        <item x="118"/>
        <item x="119"/>
        <item x="113"/>
        <item x="114"/>
        <item x="116"/>
        <item x="115"/>
        <item x="117"/>
        <item x="33"/>
        <item x="12"/>
        <item x="150"/>
        <item x="41"/>
        <item x="47"/>
        <item x="105"/>
        <item x="62"/>
        <item x="110"/>
        <item x="2"/>
        <item x="57"/>
        <item x="132"/>
        <item x="131"/>
        <item x="95"/>
        <item x="56"/>
        <item x="11"/>
        <item x="9"/>
        <item x="126"/>
        <item x="25"/>
        <item x="29"/>
        <item x="134"/>
        <item x="133"/>
        <item x="127"/>
        <item x="108"/>
        <item x="125"/>
        <item x="93"/>
        <item x="92"/>
        <item x="99"/>
        <item x="23"/>
        <item x="152"/>
        <item x="106"/>
        <item x="14"/>
        <item x="13"/>
        <item x="102"/>
        <item x="51"/>
        <item x="22"/>
        <item x="155"/>
        <item x="55"/>
        <item x="143"/>
        <item x="141"/>
        <item x="21"/>
        <item x="154"/>
        <item x="10"/>
        <item x="70"/>
        <item x="160"/>
        <item x="60"/>
        <item x="111"/>
        <item x="121"/>
        <item x="109"/>
        <item x="107"/>
        <item x="159"/>
        <item x="136"/>
        <item x="122"/>
        <item x="135"/>
        <item x="396"/>
        <item x="358"/>
        <item x="357"/>
        <item x="355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5">
    <i>
      <x v="248"/>
    </i>
    <i>
      <x v="247"/>
    </i>
    <i>
      <x v="59"/>
    </i>
    <i>
      <x v="58"/>
    </i>
    <i>
      <x v="51"/>
    </i>
    <i>
      <x v="57"/>
    </i>
    <i>
      <x v="242"/>
    </i>
    <i>
      <x v="401"/>
    </i>
    <i>
      <x v="55"/>
    </i>
    <i>
      <x v="9"/>
    </i>
    <i>
      <x v="245"/>
    </i>
    <i>
      <x v="246"/>
    </i>
    <i>
      <x v="244"/>
    </i>
    <i>
      <x v="243"/>
    </i>
    <i t="grand">
      <x/>
    </i>
  </rowItems>
  <colFields count="1">
    <field x="0"/>
  </colFields>
  <colItems count="6">
    <i>
      <x v="2"/>
    </i>
    <i>
      <x v="4"/>
    </i>
    <i>
      <x v="5"/>
    </i>
    <i>
      <x v="6"/>
    </i>
    <i>
      <x v="9"/>
    </i>
    <i t="grand">
      <x/>
    </i>
  </colItems>
  <pageFields count="2">
    <pageField fld="4" hier="-1"/>
    <pageField fld="1" hier="-1"/>
  </pageFields>
  <dataFields count="1">
    <dataField name="QTDE MTS" fld="22" baseField="0" baseItem="0" numFmtId="3"/>
  </dataFields>
  <formats count="37">
    <format dxfId="1677">
      <pivotArea dataOnly="0" labelOnly="1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1676">
      <pivotArea dataOnly="0" labelOnly="1" grandCol="1" outline="0" fieldPosition="0"/>
    </format>
    <format dxfId="1675">
      <pivotArea collapsedLevelsAreSubtotals="1" fieldPosition="0">
        <references count="1">
          <reference field="4" count="31">
            <x v="0"/>
            <x v="1"/>
            <x v="2"/>
            <x v="3"/>
            <x v="4"/>
            <x v="5"/>
            <x v="6"/>
            <x v="8"/>
            <x v="11"/>
            <x v="13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674">
      <pivotArea collapsedLevelsAreSubtotals="1" fieldPosition="0">
        <references count="2">
          <reference field="1" count="0" selected="0"/>
          <reference field="4" count="1">
            <x v="15"/>
          </reference>
        </references>
      </pivotArea>
    </format>
    <format dxfId="1673">
      <pivotArea collapsedLevelsAreSubtotals="1" fieldPosition="0">
        <references count="2">
          <reference field="1" count="0" selected="0"/>
          <reference field="4" count="1">
            <x v="20"/>
          </reference>
        </references>
      </pivotArea>
    </format>
    <format dxfId="1672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25"/>
          </reference>
        </references>
      </pivotArea>
    </format>
    <format dxfId="1671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34"/>
          </reference>
        </references>
      </pivotArea>
    </format>
    <format dxfId="1670">
      <pivotArea collapsedLevelsAreSubtotals="1" fieldPosition="0">
        <references count="2">
          <reference field="1" count="1" selected="0">
            <x v="1"/>
          </reference>
          <reference field="4" count="3">
            <x v="3"/>
            <x v="4"/>
            <x v="5"/>
          </reference>
        </references>
      </pivotArea>
    </format>
    <format dxfId="1669">
      <pivotArea field="4" grandRow="1" collapsedLevelsAreSubtotals="1" axis="axisPage" fieldPosition="0">
        <references count="1">
          <reference field="4" count="1">
            <x v="15"/>
          </reference>
        </references>
      </pivotArea>
    </format>
    <format dxfId="1668">
      <pivotArea field="4" grandRow="1" collapsedLevelsAreSubtotals="1" axis="axisPage" fieldPosition="0">
        <references count="1">
          <reference field="4" count="1">
            <x v="20"/>
          </reference>
        </references>
      </pivotArea>
    </format>
    <format dxfId="1667">
      <pivotArea field="4" grandRow="1" collapsedLevelsAreSubtotals="1" axis="axisPage" fieldPosition="0">
        <references count="1">
          <reference field="4" count="1">
            <x v="25"/>
          </reference>
        </references>
      </pivotArea>
    </format>
    <format dxfId="1666">
      <pivotArea collapsedLevelsAreSubtotals="1" fieldPosition="0">
        <references count="1">
          <reference field="9" count="53">
            <x v="1"/>
            <x v="12"/>
            <x v="64"/>
            <x v="71"/>
            <x v="72"/>
            <x v="73"/>
            <x v="125"/>
            <x v="216"/>
            <x v="217"/>
            <x v="218"/>
            <x v="219"/>
            <x v="220"/>
            <x v="221"/>
            <x v="222"/>
            <x v="223"/>
            <x v="224"/>
            <x v="225"/>
            <x v="254"/>
            <x v="256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310"/>
            <x v="315"/>
            <x v="316"/>
            <x v="319"/>
            <x v="352"/>
            <x v="353"/>
            <x v="360"/>
            <x v="364"/>
            <x v="383"/>
            <x v="387"/>
          </reference>
        </references>
      </pivotArea>
    </format>
    <format dxfId="1665">
      <pivotArea grandRow="1" outline="0" collapsedLevelsAreSubtotals="1" fieldPosition="0"/>
    </format>
    <format dxfId="1664">
      <pivotArea dataOnly="0" fieldPosition="0">
        <references count="1">
          <reference field="9" count="1">
            <x v="310"/>
          </reference>
        </references>
      </pivotArea>
    </format>
    <format dxfId="1663">
      <pivotArea dataOnly="0" fieldPosition="0">
        <references count="1">
          <reference field="9" count="1">
            <x v="285"/>
          </reference>
        </references>
      </pivotArea>
    </format>
    <format dxfId="1662">
      <pivotArea dataOnly="0" fieldPosition="0">
        <references count="1">
          <reference field="9" count="1">
            <x v="275"/>
          </reference>
        </references>
      </pivotArea>
    </format>
    <format dxfId="1661">
      <pivotArea dataOnly="0" fieldPosition="0">
        <references count="1">
          <reference field="9" count="1">
            <x v="280"/>
          </reference>
        </references>
      </pivotArea>
    </format>
    <format dxfId="1660">
      <pivotArea dataOnly="0" fieldPosition="0">
        <references count="1">
          <reference field="9" count="1">
            <x v="125"/>
          </reference>
        </references>
      </pivotArea>
    </format>
    <format dxfId="1659">
      <pivotArea dataOnly="0" labelOnly="1" outline="0" fieldPosition="0">
        <references count="1">
          <reference field="4" count="0"/>
        </references>
      </pivotArea>
    </format>
    <format dxfId="1658">
      <pivotArea dataOnly="0" labelOnly="1" outline="0" fieldPosition="0">
        <references count="1">
          <reference field="4" count="0"/>
        </references>
      </pivotArea>
    </format>
    <format dxfId="1657">
      <pivotArea collapsedLevelsAreSubtotals="1" fieldPosition="0">
        <references count="1">
          <reference field="9" count="10">
            <x v="125"/>
            <x v="263"/>
            <x v="272"/>
            <x v="275"/>
            <x v="278"/>
            <x v="279"/>
            <x v="280"/>
            <x v="282"/>
            <x v="285"/>
            <x v="310"/>
          </reference>
        </references>
      </pivotArea>
    </format>
    <format dxfId="1656">
      <pivotArea collapsedLevelsAreSubtotals="1" fieldPosition="0">
        <references count="1">
          <reference field="9" count="10">
            <x v="125"/>
            <x v="263"/>
            <x v="272"/>
            <x v="275"/>
            <x v="278"/>
            <x v="279"/>
            <x v="280"/>
            <x v="282"/>
            <x v="285"/>
            <x v="310"/>
          </reference>
        </references>
      </pivotArea>
    </format>
    <format dxfId="1655">
      <pivotArea dataOnly="0" labelOnly="1" fieldPosition="0">
        <references count="1">
          <reference field="9" count="8">
            <x v="125"/>
            <x v="275"/>
            <x v="278"/>
            <x v="279"/>
            <x v="280"/>
            <x v="282"/>
            <x v="285"/>
            <x v="310"/>
          </reference>
        </references>
      </pivotArea>
    </format>
    <format dxfId="1654">
      <pivotArea dataOnly="0" labelOnly="1" fieldPosition="0">
        <references count="1">
          <reference field="9" count="1">
            <x v="282"/>
          </reference>
        </references>
      </pivotArea>
    </format>
    <format dxfId="1653">
      <pivotArea collapsedLevelsAreSubtotals="1" fieldPosition="0">
        <references count="1">
          <reference field="9" count="1">
            <x v="278"/>
          </reference>
        </references>
      </pivotArea>
    </format>
    <format dxfId="1652">
      <pivotArea dataOnly="0" labelOnly="1" fieldPosition="0">
        <references count="1">
          <reference field="9" count="1">
            <x v="278"/>
          </reference>
        </references>
      </pivotArea>
    </format>
    <format dxfId="1651">
      <pivotArea outline="0" collapsedLevelsAreSubtotals="1" fieldPosition="0"/>
    </format>
    <format dxfId="1650">
      <pivotArea outline="0" collapsedLevelsAreSubtotals="1" fieldPosition="0">
        <references count="1">
          <reference field="0" count="4" selected="0">
            <x v="0"/>
            <x v="1"/>
            <x v="3"/>
            <x v="4"/>
          </reference>
        </references>
      </pivotArea>
    </format>
    <format dxfId="1649">
      <pivotArea dataOnly="0" labelOnly="1" fieldPosition="0">
        <references count="1">
          <reference field="0" count="8">
            <x v="0"/>
            <x v="1"/>
            <x v="3"/>
            <x v="4"/>
            <x v="5"/>
            <x v="6"/>
            <x v="7"/>
            <x v="8"/>
          </reference>
        </references>
      </pivotArea>
    </format>
    <format dxfId="1648">
      <pivotArea dataOnly="0" labelOnly="1" fieldPosition="0">
        <references count="1">
          <reference field="0" count="3">
            <x v="4"/>
            <x v="5"/>
            <x v="8"/>
          </reference>
        </references>
      </pivotArea>
    </format>
    <format dxfId="1647">
      <pivotArea dataOnly="0" labelOnly="1" fieldPosition="0">
        <references count="1">
          <reference field="0" count="6">
            <x v="2"/>
            <x v="4"/>
            <x v="5"/>
            <x v="6"/>
            <x v="9"/>
            <x v="11"/>
          </reference>
        </references>
      </pivotArea>
    </format>
    <format dxfId="1646">
      <pivotArea outline="0" collapsedLevelsAreSubtotals="1" fieldPosition="0">
        <references count="1">
          <reference field="0" count="1" selected="0">
            <x v="4"/>
          </reference>
        </references>
      </pivotArea>
    </format>
    <format dxfId="1645">
      <pivotArea type="topRight" dataOnly="0" labelOnly="1" outline="0" fieldPosition="0"/>
    </format>
    <format dxfId="1644">
      <pivotArea dataOnly="0" labelOnly="1" fieldPosition="0">
        <references count="1">
          <reference field="0" count="1">
            <x v="4"/>
          </reference>
        </references>
      </pivotArea>
    </format>
    <format dxfId="1643">
      <pivotArea outline="0" collapsedLevelsAreSubtotals="1" fieldPosition="0">
        <references count="1">
          <reference field="0" count="1" selected="0">
            <x v="2"/>
          </reference>
        </references>
      </pivotArea>
    </format>
    <format dxfId="1642">
      <pivotArea field="0" type="button" dataOnly="0" labelOnly="1" outline="0" axis="axisCol" fieldPosition="0"/>
    </format>
    <format dxfId="1641">
      <pivotArea dataOnly="0" labelOnly="1" fieldPosition="0">
        <references count="1">
          <reference field="0" count="1">
            <x v="2"/>
          </reference>
        </references>
      </pivotArea>
    </format>
  </formats>
  <chartFormats count="19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1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1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13F23-3556-4E82-9F01-7EFD9BF32503}" name="TablaDinámica3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 rowHeaderCaption="CLIENTE" colHeaderCaption="mes">
  <location ref="Q47:X65" firstHeaderRow="1" firstDataRow="2" firstDataCol="1" rowPageCount="2" colPageCount="1"/>
  <pivotFields count="37">
    <pivotField axis="axisCol" showAll="0">
      <items count="14">
        <item x="7"/>
        <item x="8"/>
        <item x="0"/>
        <item x="9"/>
        <item x="10"/>
        <item x="1"/>
        <item x="2"/>
        <item x="11"/>
        <item x="3"/>
        <item x="4"/>
        <item x="5"/>
        <item x="6"/>
        <item x="12"/>
        <item t="default"/>
      </items>
    </pivotField>
    <pivotField axis="axisPage" multipleItemSelectionAllowed="1" showAll="0">
      <items count="8">
        <item x="0"/>
        <item x="1"/>
        <item x="2"/>
        <item x="3"/>
        <item h="1" x="4"/>
        <item h="1" x="6"/>
        <item h="1" x="5"/>
        <item t="default"/>
      </items>
    </pivotField>
    <pivotField showAll="0"/>
    <pivotField showAll="0"/>
    <pivotField axis="axisPage" multipleItemSelectionAllowed="1" showAll="0">
      <items count="66">
        <item h="1" x="8"/>
        <item h="1" x="25"/>
        <item h="1" x="32"/>
        <item h="1" x="15"/>
        <item h="1" x="30"/>
        <item h="1" x="7"/>
        <item x="10"/>
        <item h="1" x="2"/>
        <item h="1" x="18"/>
        <item h="1" x="6"/>
        <item h="1" x="3"/>
        <item h="1" x="28"/>
        <item h="1" m="1" x="62"/>
        <item h="1" x="16"/>
        <item h="1" x="0"/>
        <item h="1" x="1"/>
        <item h="1" x="29"/>
        <item h="1" x="12"/>
        <item h="1" x="26"/>
        <item h="1" x="27"/>
        <item h="1" x="9"/>
        <item h="1" x="20"/>
        <item h="1" x="13"/>
        <item h="1" x="5"/>
        <item h="1" x="11"/>
        <item h="1" x="17"/>
        <item h="1" x="19"/>
        <item h="1" x="14"/>
        <item h="1" x="23"/>
        <item h="1" m="1" x="64"/>
        <item h="1" x="24"/>
        <item h="1" x="22"/>
        <item h="1" x="31"/>
        <item h="1" x="33"/>
        <item h="1" x="21"/>
        <item h="1" x="4"/>
        <item h="1" x="34"/>
        <item h="1" x="59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m="1" x="63"/>
        <item h="1" x="47"/>
        <item h="1" x="48"/>
        <item h="1" m="1" x="61"/>
        <item h="1" m="1" x="60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t="default"/>
      </items>
    </pivotField>
    <pivotField showAll="0"/>
    <pivotField showAll="0"/>
    <pivotField showAll="0"/>
    <pivotField showAll="0"/>
    <pivotField axis="axisRow" showAll="0" sortType="descending">
      <items count="662">
        <item x="355"/>
        <item x="357"/>
        <item x="358"/>
        <item x="396"/>
        <item x="135"/>
        <item x="122"/>
        <item x="136"/>
        <item x="159"/>
        <item x="107"/>
        <item x="109"/>
        <item x="121"/>
        <item x="111"/>
        <item x="60"/>
        <item x="160"/>
        <item x="70"/>
        <item x="10"/>
        <item x="154"/>
        <item x="21"/>
        <item x="141"/>
        <item x="143"/>
        <item x="55"/>
        <item x="155"/>
        <item x="22"/>
        <item x="51"/>
        <item x="102"/>
        <item x="13"/>
        <item x="14"/>
        <item x="106"/>
        <item x="152"/>
        <item x="23"/>
        <item x="99"/>
        <item x="92"/>
        <item x="93"/>
        <item x="125"/>
        <item x="108"/>
        <item x="127"/>
        <item x="133"/>
        <item x="134"/>
        <item x="29"/>
        <item x="25"/>
        <item x="126"/>
        <item x="9"/>
        <item x="11"/>
        <item x="56"/>
        <item x="95"/>
        <item x="131"/>
        <item x="132"/>
        <item x="57"/>
        <item x="2"/>
        <item x="110"/>
        <item x="62"/>
        <item x="105"/>
        <item x="47"/>
        <item x="41"/>
        <item x="150"/>
        <item x="12"/>
        <item x="33"/>
        <item x="117"/>
        <item x="115"/>
        <item x="116"/>
        <item x="114"/>
        <item x="113"/>
        <item x="119"/>
        <item x="118"/>
        <item x="120"/>
        <item x="85"/>
        <item x="86"/>
        <item x="87"/>
        <item x="91"/>
        <item x="89"/>
        <item x="90"/>
        <item x="88"/>
        <item x="103"/>
        <item x="28"/>
        <item x="94"/>
        <item x="48"/>
        <item x="156"/>
        <item x="130"/>
        <item x="100"/>
        <item x="98"/>
        <item x="31"/>
        <item x="30"/>
        <item x="42"/>
        <item x="151"/>
        <item x="96"/>
        <item x="32"/>
        <item x="43"/>
        <item x="36"/>
        <item x="59"/>
        <item x="16"/>
        <item x="15"/>
        <item x="147"/>
        <item x="158"/>
        <item x="8"/>
        <item x="45"/>
        <item x="37"/>
        <item x="97"/>
        <item x="65"/>
        <item x="124"/>
        <item x="128"/>
        <item x="149"/>
        <item x="153"/>
        <item x="157"/>
        <item x="104"/>
        <item x="129"/>
        <item x="148"/>
        <item x="142"/>
        <item x="137"/>
        <item x="79"/>
        <item x="84"/>
        <item x="80"/>
        <item x="72"/>
        <item x="73"/>
        <item x="74"/>
        <item x="78"/>
        <item x="76"/>
        <item x="77"/>
        <item x="75"/>
        <item x="83"/>
        <item x="81"/>
        <item x="82"/>
        <item x="186"/>
        <item x="168"/>
        <item x="230"/>
        <item x="169"/>
        <item x="194"/>
        <item x="308"/>
        <item x="170"/>
        <item x="162"/>
        <item x="167"/>
        <item x="193"/>
        <item x="171"/>
        <item x="185"/>
        <item x="187"/>
        <item x="225"/>
        <item x="224"/>
        <item x="276"/>
        <item x="277"/>
        <item x="278"/>
        <item x="293"/>
        <item x="338"/>
        <item x="371"/>
        <item x="385"/>
        <item x="394"/>
        <item x="392"/>
        <item x="280"/>
        <item x="233"/>
        <item x="232"/>
        <item x="182"/>
        <item x="234"/>
        <item x="164"/>
        <item x="188"/>
        <item x="183"/>
        <item x="340"/>
        <item x="372"/>
        <item x="195"/>
        <item x="196"/>
        <item x="231"/>
        <item x="209"/>
        <item x="207"/>
        <item x="206"/>
        <item x="208"/>
        <item x="281"/>
        <item x="282"/>
        <item x="341"/>
        <item x="337"/>
        <item x="342"/>
        <item x="215"/>
        <item x="381"/>
        <item x="382"/>
        <item x="319"/>
        <item x="317"/>
        <item x="318"/>
        <item x="228"/>
        <item x="227"/>
        <item x="226"/>
        <item x="229"/>
        <item x="179"/>
        <item x="172"/>
        <item x="180"/>
        <item x="175"/>
        <item x="177"/>
        <item x="181"/>
        <item x="174"/>
        <item x="173"/>
        <item x="176"/>
        <item x="178"/>
        <item x="189"/>
        <item x="191"/>
        <item x="190"/>
        <item x="192"/>
        <item x="166"/>
        <item x="313"/>
        <item x="312"/>
        <item x="311"/>
        <item x="310"/>
        <item x="309"/>
        <item x="260"/>
        <item x="259"/>
        <item x="369"/>
        <item x="367"/>
        <item x="272"/>
        <item x="269"/>
        <item x="264"/>
        <item x="332"/>
        <item x="265"/>
        <item x="266"/>
        <item x="267"/>
        <item x="262"/>
        <item x="268"/>
        <item x="333"/>
        <item x="263"/>
        <item x="271"/>
        <item x="331"/>
        <item x="255"/>
        <item x="254"/>
        <item x="253"/>
        <item x="330"/>
        <item x="252"/>
        <item x="250"/>
        <item x="249"/>
        <item x="328"/>
        <item x="248"/>
        <item x="251"/>
        <item x="256"/>
        <item x="329"/>
        <item x="257"/>
        <item x="258"/>
        <item x="273"/>
        <item x="368"/>
        <item x="275"/>
        <item x="274"/>
        <item x="270"/>
        <item x="261"/>
        <item x="323"/>
        <item x="322"/>
        <item x="327"/>
        <item x="321"/>
        <item x="324"/>
        <item x="325"/>
        <item x="326"/>
        <item x="378"/>
        <item x="374"/>
        <item x="366"/>
        <item x="365"/>
        <item x="364"/>
        <item x="363"/>
        <item x="377"/>
        <item x="376"/>
        <item x="375"/>
        <item x="362"/>
        <item x="380"/>
        <item x="283"/>
        <item x="284"/>
        <item x="285"/>
        <item x="286"/>
        <item x="287"/>
        <item x="203"/>
        <item x="199"/>
        <item x="197"/>
        <item x="202"/>
        <item x="200"/>
        <item x="201"/>
        <item x="204"/>
        <item x="205"/>
        <item x="198"/>
        <item x="335"/>
        <item x="393"/>
        <item x="336"/>
        <item x="389"/>
        <item x="391"/>
        <item x="390"/>
        <item x="184"/>
        <item x="211"/>
        <item x="216"/>
        <item x="213"/>
        <item x="217"/>
        <item x="289"/>
        <item x="288"/>
        <item x="294"/>
        <item x="295"/>
        <item x="296"/>
        <item x="316"/>
        <item x="297"/>
        <item x="314"/>
        <item x="315"/>
        <item x="320"/>
        <item x="359"/>
        <item x="360"/>
        <item x="379"/>
        <item x="292"/>
        <item x="291"/>
        <item x="290"/>
        <item x="239"/>
        <item x="242"/>
        <item x="244"/>
        <item x="241"/>
        <item x="243"/>
        <item x="238"/>
        <item x="236"/>
        <item x="240"/>
        <item x="237"/>
        <item x="373"/>
        <item x="395"/>
        <item x="339"/>
        <item x="349"/>
        <item x="354"/>
        <item x="353"/>
        <item x="352"/>
        <item x="351"/>
        <item x="350"/>
        <item x="343"/>
        <item x="348"/>
        <item x="347"/>
        <item x="346"/>
        <item x="345"/>
        <item x="344"/>
        <item x="370"/>
        <item x="383"/>
        <item x="384"/>
        <item x="386"/>
        <item x="388"/>
        <item x="387"/>
        <item x="27"/>
        <item x="235"/>
        <item x="112"/>
        <item x="58"/>
        <item x="18"/>
        <item x="35"/>
        <item x="34"/>
        <item x="3"/>
        <item x="17"/>
        <item x="46"/>
        <item x="64"/>
        <item x="138"/>
        <item x="44"/>
        <item x="19"/>
        <item x="24"/>
        <item x="63"/>
        <item x="52"/>
        <item x="53"/>
        <item x="54"/>
        <item x="67"/>
        <item x="5"/>
        <item x="38"/>
        <item x="39"/>
        <item x="68"/>
        <item x="40"/>
        <item x="20"/>
        <item x="144"/>
        <item x="222"/>
        <item x="223"/>
        <item x="221"/>
        <item x="279"/>
        <item x="356"/>
        <item x="214"/>
        <item x="361"/>
        <item x="334"/>
        <item x="218"/>
        <item x="245"/>
        <item x="247"/>
        <item x="246"/>
        <item x="219"/>
        <item x="299"/>
        <item x="300"/>
        <item x="298"/>
        <item x="302"/>
        <item x="301"/>
        <item x="304"/>
        <item x="305"/>
        <item x="307"/>
        <item x="306"/>
        <item x="303"/>
        <item x="26"/>
        <item x="220"/>
        <item x="165"/>
        <item x="50"/>
        <item x="71"/>
        <item x="101"/>
        <item x="7"/>
        <item x="140"/>
        <item x="6"/>
        <item x="61"/>
        <item x="139"/>
        <item x="0"/>
        <item x="161"/>
        <item x="1"/>
        <item x="145"/>
        <item x="69"/>
        <item x="146"/>
        <item x="4"/>
        <item x="66"/>
        <item x="210"/>
        <item x="212"/>
        <item x="49"/>
        <item x="123"/>
        <item x="163"/>
        <item x="660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7">
    <i>
      <x v="155"/>
    </i>
    <i>
      <x v="156"/>
    </i>
    <i>
      <x v="338"/>
    </i>
    <i>
      <x v="346"/>
    </i>
    <i>
      <x v="159"/>
    </i>
    <i>
      <x v="161"/>
    </i>
    <i>
      <x v="340"/>
    </i>
    <i>
      <x v="158"/>
    </i>
    <i>
      <x v="157"/>
    </i>
    <i>
      <x v="339"/>
    </i>
    <i>
      <x v="6"/>
    </i>
    <i>
      <x v="388"/>
    </i>
    <i>
      <x v="163"/>
    </i>
    <i>
      <x v="342"/>
    </i>
    <i>
      <x v="162"/>
    </i>
    <i>
      <x v="160"/>
    </i>
    <i t="grand">
      <x/>
    </i>
  </rowItems>
  <colFields count="1">
    <field x="0"/>
  </colFields>
  <colItems count="7">
    <i>
      <x v="2"/>
    </i>
    <i>
      <x v="4"/>
    </i>
    <i>
      <x v="5"/>
    </i>
    <i>
      <x v="6"/>
    </i>
    <i>
      <x v="9"/>
    </i>
    <i>
      <x v="11"/>
    </i>
    <i t="grand">
      <x/>
    </i>
  </colItems>
  <pageFields count="2">
    <pageField fld="4" hier="-1"/>
    <pageField fld="1" hier="-1"/>
  </pageFields>
  <dataFields count="1">
    <dataField name="Soma de Valor (total)" fld="18" baseField="0" baseItem="0"/>
  </dataFields>
  <formats count="37">
    <format dxfId="1714">
      <pivotArea dataOnly="0" labelOnly="1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1713">
      <pivotArea dataOnly="0" labelOnly="1" grandCol="1" outline="0" fieldPosition="0"/>
    </format>
    <format dxfId="1712">
      <pivotArea collapsedLevelsAreSubtotals="1" fieldPosition="0">
        <references count="1">
          <reference field="4" count="31">
            <x v="0"/>
            <x v="1"/>
            <x v="2"/>
            <x v="3"/>
            <x v="4"/>
            <x v="5"/>
            <x v="6"/>
            <x v="8"/>
            <x v="11"/>
            <x v="13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711">
      <pivotArea collapsedLevelsAreSubtotals="1" fieldPosition="0">
        <references count="2">
          <reference field="1" count="0" selected="0"/>
          <reference field="4" count="1">
            <x v="15"/>
          </reference>
        </references>
      </pivotArea>
    </format>
    <format dxfId="1710">
      <pivotArea collapsedLevelsAreSubtotals="1" fieldPosition="0">
        <references count="2">
          <reference field="1" count="0" selected="0"/>
          <reference field="4" count="1">
            <x v="20"/>
          </reference>
        </references>
      </pivotArea>
    </format>
    <format dxfId="1709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25"/>
          </reference>
        </references>
      </pivotArea>
    </format>
    <format dxfId="1708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34"/>
          </reference>
        </references>
      </pivotArea>
    </format>
    <format dxfId="1707">
      <pivotArea collapsedLevelsAreSubtotals="1" fieldPosition="0">
        <references count="2">
          <reference field="1" count="1" selected="0">
            <x v="1"/>
          </reference>
          <reference field="4" count="3">
            <x v="3"/>
            <x v="4"/>
            <x v="5"/>
          </reference>
        </references>
      </pivotArea>
    </format>
    <format dxfId="1706">
      <pivotArea field="4" grandRow="1" collapsedLevelsAreSubtotals="1" axis="axisPage" fieldPosition="0">
        <references count="1">
          <reference field="4" count="1">
            <x v="15"/>
          </reference>
        </references>
      </pivotArea>
    </format>
    <format dxfId="1705">
      <pivotArea field="4" grandRow="1" collapsedLevelsAreSubtotals="1" axis="axisPage" fieldPosition="0">
        <references count="1">
          <reference field="4" count="1">
            <x v="20"/>
          </reference>
        </references>
      </pivotArea>
    </format>
    <format dxfId="1704">
      <pivotArea field="4" grandRow="1" collapsedLevelsAreSubtotals="1" axis="axisPage" fieldPosition="0">
        <references count="1">
          <reference field="4" count="1">
            <x v="25"/>
          </reference>
        </references>
      </pivotArea>
    </format>
    <format dxfId="1703">
      <pivotArea collapsedLevelsAreSubtotals="1" fieldPosition="0">
        <references count="1">
          <reference field="9" count="53">
            <x v="20"/>
            <x v="24"/>
            <x v="43"/>
            <x v="47"/>
            <x v="54"/>
            <x v="55"/>
            <x v="88"/>
            <x v="91"/>
            <x v="92"/>
            <x v="97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8"/>
            <x v="150"/>
            <x v="177"/>
            <x v="178"/>
            <x v="179"/>
            <x v="180"/>
            <x v="181"/>
            <x v="182"/>
            <x v="183"/>
            <x v="184"/>
            <x v="185"/>
            <x v="186"/>
            <x v="272"/>
            <x v="324"/>
            <x v="325"/>
            <x v="326"/>
            <x v="333"/>
            <x v="385"/>
            <x v="396"/>
          </reference>
        </references>
      </pivotArea>
    </format>
    <format dxfId="1702">
      <pivotArea grandRow="1" outline="0" collapsedLevelsAreSubtotals="1" fieldPosition="0"/>
    </format>
    <format dxfId="1701">
      <pivotArea collapsedLevelsAreSubtotals="1" fieldPosition="0">
        <references count="1">
          <reference field="9" count="1">
            <x v="125"/>
          </reference>
        </references>
      </pivotArea>
    </format>
    <format dxfId="1700">
      <pivotArea collapsedLevelsAreSubtotals="1" fieldPosition="0">
        <references count="1">
          <reference field="9" count="1">
            <x v="129"/>
          </reference>
        </references>
      </pivotArea>
    </format>
    <format dxfId="1699">
      <pivotArea collapsedLevelsAreSubtotals="1" fieldPosition="0">
        <references count="1">
          <reference field="9" count="1">
            <x v="128"/>
          </reference>
        </references>
      </pivotArea>
    </format>
    <format dxfId="1698">
      <pivotArea dataOnly="0" fieldPosition="0">
        <references count="1">
          <reference field="9" count="1">
            <x v="97"/>
          </reference>
        </references>
      </pivotArea>
    </format>
    <format dxfId="1697">
      <pivotArea dataOnly="0" fieldPosition="0">
        <references count="1">
          <reference field="9" count="1">
            <x v="122"/>
          </reference>
        </references>
      </pivotArea>
    </format>
    <format dxfId="1696">
      <pivotArea dataOnly="0" fieldPosition="0">
        <references count="1">
          <reference field="9" count="1">
            <x v="132"/>
          </reference>
        </references>
      </pivotArea>
    </format>
    <format dxfId="1695">
      <pivotArea dataOnly="0" fieldPosition="0">
        <references count="1">
          <reference field="9" count="1">
            <x v="127"/>
          </reference>
        </references>
      </pivotArea>
    </format>
    <format dxfId="1694">
      <pivotArea dataOnly="0" fieldPosition="0">
        <references count="1">
          <reference field="9" count="1">
            <x v="272"/>
          </reference>
        </references>
      </pivotArea>
    </format>
    <format dxfId="1693">
      <pivotArea collapsedLevelsAreSubtotals="1" fieldPosition="0">
        <references count="1">
          <reference field="9" count="1">
            <x v="129"/>
          </reference>
        </references>
      </pivotArea>
    </format>
    <format dxfId="1692">
      <pivotArea collapsedLevelsAreSubtotals="1" fieldPosition="0">
        <references count="1">
          <reference field="9" count="1">
            <x v="125"/>
          </reference>
        </references>
      </pivotArea>
    </format>
    <format dxfId="1691">
      <pivotArea collapsedLevelsAreSubtotals="1" fieldPosition="0">
        <references count="1">
          <reference field="9" count="1">
            <x v="97"/>
          </reference>
        </references>
      </pivotArea>
    </format>
    <format dxfId="1690">
      <pivotArea collapsedLevelsAreSubtotals="1" fieldPosition="0">
        <references count="1">
          <reference field="9" count="1">
            <x v="122"/>
          </reference>
        </references>
      </pivotArea>
    </format>
    <format dxfId="1689">
      <pivotArea collapsedLevelsAreSubtotals="1" fieldPosition="0">
        <references count="1">
          <reference field="9" count="1">
            <x v="132"/>
          </reference>
        </references>
      </pivotArea>
    </format>
    <format dxfId="1688">
      <pivotArea dataOnly="0" labelOnly="1" outline="0" fieldPosition="0">
        <references count="1">
          <reference field="4" count="0"/>
        </references>
      </pivotArea>
    </format>
    <format dxfId="1687">
      <pivotArea dataOnly="0" labelOnly="1" outline="0" fieldPosition="0">
        <references count="1">
          <reference field="4" count="0"/>
        </references>
      </pivotArea>
    </format>
    <format dxfId="1686">
      <pivotArea collapsedLevelsAreSubtotals="1" fieldPosition="0">
        <references count="1">
          <reference field="9" count="1">
            <x v="128"/>
          </reference>
        </references>
      </pivotArea>
    </format>
    <format dxfId="1685">
      <pivotArea outline="0" collapsedLevelsAreSubtotals="1" fieldPosition="0"/>
    </format>
    <format dxfId="1684">
      <pivotArea collapsedLevelsAreSubtotals="1" fieldPosition="0">
        <references count="1">
          <reference field="9" count="1">
            <x v="127"/>
          </reference>
        </references>
      </pivotArea>
    </format>
    <format dxfId="1683">
      <pivotArea dataOnly="0" labelOnly="1" fieldPosition="0">
        <references count="1">
          <reference field="9" count="10">
            <x v="97"/>
            <x v="122"/>
            <x v="125"/>
            <x v="127"/>
            <x v="128"/>
            <x v="129"/>
            <x v="132"/>
            <x v="135"/>
            <x v="144"/>
            <x v="330"/>
          </reference>
        </references>
      </pivotArea>
    </format>
    <format dxfId="1682">
      <pivotArea dataOnly="0" labelOnly="1" fieldPosition="0">
        <references count="1">
          <reference field="9" count="1">
            <x v="125"/>
          </reference>
        </references>
      </pivotArea>
    </format>
    <format dxfId="1681">
      <pivotArea dataOnly="0" labelOnly="1" fieldPosition="0">
        <references count="1">
          <reference field="9" count="1">
            <x v="129"/>
          </reference>
        </references>
      </pivotArea>
    </format>
    <format dxfId="1680">
      <pivotArea dataOnly="0" labelOnly="1" fieldPosition="0">
        <references count="1">
          <reference field="9" count="1">
            <x v="128"/>
          </reference>
        </references>
      </pivotArea>
    </format>
    <format dxfId="1679">
      <pivotArea dataOnly="0" labelOnly="1" fieldPosition="0">
        <references count="1">
          <reference field="0" count="3">
            <x v="4"/>
            <x v="5"/>
            <x v="8"/>
          </reference>
        </references>
      </pivotArea>
    </format>
    <format dxfId="1678">
      <pivotArea dataOnly="0" labelOnly="1" fieldPosition="0">
        <references count="1">
          <reference field="0" count="6">
            <x v="2"/>
            <x v="4"/>
            <x v="5"/>
            <x v="6"/>
            <x v="9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735E4-6D05-4B46-958D-469216F1437A}" name="TablaDinámica2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9" rowHeaderCaption="CLIENTE" colHeaderCaption="mes">
  <location ref="Q4:W25" firstHeaderRow="1" firstDataRow="3" firstDataCol="1" rowPageCount="1" colPageCount="1"/>
  <pivotFields count="37">
    <pivotField axis="axisCol" showAll="0">
      <items count="14">
        <item x="7"/>
        <item x="8"/>
        <item x="0"/>
        <item x="9"/>
        <item x="10"/>
        <item x="1"/>
        <item x="2"/>
        <item x="11"/>
        <item x="3"/>
        <item x="4"/>
        <item x="5"/>
        <item x="6"/>
        <item h="1" x="12"/>
        <item t="default"/>
      </items>
    </pivotField>
    <pivotField axis="axisCol" multipleItemSelectionAllowed="1" showAll="0">
      <items count="8">
        <item h="1" x="0"/>
        <item h="1" x="1"/>
        <item h="1" x="2"/>
        <item h="1" x="3"/>
        <item sd="0" x="4"/>
        <item h="1" x="6"/>
        <item x="5"/>
        <item t="default"/>
      </items>
    </pivotField>
    <pivotField showAll="0"/>
    <pivotField showAll="0"/>
    <pivotField axis="axisPage" multipleItemSelectionAllowed="1" showAll="0">
      <items count="66">
        <item h="1" x="8"/>
        <item h="1" x="25"/>
        <item h="1" x="32"/>
        <item h="1" x="15"/>
        <item h="1" x="30"/>
        <item h="1" x="7"/>
        <item h="1" x="10"/>
        <item h="1" x="2"/>
        <item h="1" x="18"/>
        <item h="1" x="6"/>
        <item h="1" x="3"/>
        <item h="1" x="28"/>
        <item h="1" m="1" x="62"/>
        <item h="1" x="16"/>
        <item h="1" x="0"/>
        <item h="1" x="1"/>
        <item h="1" x="29"/>
        <item h="1" x="12"/>
        <item h="1" x="26"/>
        <item h="1" x="27"/>
        <item h="1" x="9"/>
        <item h="1" x="20"/>
        <item h="1" x="13"/>
        <item h="1" x="5"/>
        <item h="1" x="11"/>
        <item h="1" x="17"/>
        <item h="1" x="19"/>
        <item h="1" x="14"/>
        <item h="1" x="23"/>
        <item h="1" m="1" x="64"/>
        <item h="1" x="24"/>
        <item h="1" x="22"/>
        <item h="1" x="31"/>
        <item h="1" x="33"/>
        <item h="1" x="21"/>
        <item h="1" x="4"/>
        <item h="1" x="34"/>
        <item h="1" x="59"/>
        <item h="1" x="35"/>
        <item h="1" x="36"/>
        <item h="1" x="37"/>
        <item x="38"/>
        <item h="1" x="39"/>
        <item h="1" x="40"/>
        <item h="1" x="41"/>
        <item h="1" x="42"/>
        <item h="1" x="43"/>
        <item h="1" x="44"/>
        <item h="1" x="45"/>
        <item h="1" x="46"/>
        <item h="1" m="1" x="63"/>
        <item h="1" x="47"/>
        <item h="1" x="48"/>
        <item h="1" m="1" x="61"/>
        <item h="1" m="1" x="60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662">
        <item x="355"/>
        <item x="357"/>
        <item x="358"/>
        <item x="396"/>
        <item x="135"/>
        <item x="122"/>
        <item x="136"/>
        <item x="159"/>
        <item x="107"/>
        <item x="109"/>
        <item x="121"/>
        <item x="111"/>
        <item x="60"/>
        <item x="160"/>
        <item x="70"/>
        <item x="10"/>
        <item x="154"/>
        <item x="21"/>
        <item x="141"/>
        <item x="143"/>
        <item x="55"/>
        <item x="155"/>
        <item x="22"/>
        <item x="51"/>
        <item x="102"/>
        <item x="13"/>
        <item x="14"/>
        <item x="106"/>
        <item x="152"/>
        <item x="23"/>
        <item x="99"/>
        <item x="92"/>
        <item x="93"/>
        <item x="125"/>
        <item x="108"/>
        <item x="127"/>
        <item x="133"/>
        <item x="134"/>
        <item x="29"/>
        <item x="25"/>
        <item x="126"/>
        <item x="9"/>
        <item x="11"/>
        <item x="56"/>
        <item x="95"/>
        <item x="131"/>
        <item x="132"/>
        <item x="57"/>
        <item x="2"/>
        <item x="110"/>
        <item x="62"/>
        <item x="105"/>
        <item x="47"/>
        <item x="41"/>
        <item x="150"/>
        <item x="12"/>
        <item x="33"/>
        <item x="117"/>
        <item x="115"/>
        <item x="116"/>
        <item x="114"/>
        <item x="113"/>
        <item x="119"/>
        <item x="118"/>
        <item x="120"/>
        <item x="85"/>
        <item x="86"/>
        <item x="87"/>
        <item x="91"/>
        <item x="89"/>
        <item x="90"/>
        <item x="88"/>
        <item x="103"/>
        <item x="28"/>
        <item x="94"/>
        <item x="48"/>
        <item x="156"/>
        <item x="130"/>
        <item x="100"/>
        <item x="98"/>
        <item x="31"/>
        <item x="30"/>
        <item x="42"/>
        <item x="151"/>
        <item x="96"/>
        <item x="32"/>
        <item x="43"/>
        <item x="36"/>
        <item x="59"/>
        <item x="16"/>
        <item x="15"/>
        <item x="147"/>
        <item x="158"/>
        <item x="8"/>
        <item x="45"/>
        <item x="37"/>
        <item x="97"/>
        <item x="65"/>
        <item x="124"/>
        <item x="128"/>
        <item x="149"/>
        <item x="153"/>
        <item x="157"/>
        <item x="104"/>
        <item x="129"/>
        <item x="148"/>
        <item x="142"/>
        <item x="137"/>
        <item x="79"/>
        <item x="84"/>
        <item x="80"/>
        <item x="72"/>
        <item x="73"/>
        <item x="74"/>
        <item x="78"/>
        <item x="76"/>
        <item x="77"/>
        <item x="75"/>
        <item x="83"/>
        <item x="81"/>
        <item x="82"/>
        <item x="186"/>
        <item x="168"/>
        <item x="230"/>
        <item x="169"/>
        <item x="194"/>
        <item x="308"/>
        <item x="170"/>
        <item x="162"/>
        <item x="167"/>
        <item x="193"/>
        <item x="171"/>
        <item x="185"/>
        <item x="187"/>
        <item x="225"/>
        <item x="224"/>
        <item x="276"/>
        <item x="277"/>
        <item x="278"/>
        <item x="293"/>
        <item x="338"/>
        <item x="371"/>
        <item x="385"/>
        <item x="394"/>
        <item x="392"/>
        <item x="280"/>
        <item x="233"/>
        <item x="232"/>
        <item x="182"/>
        <item x="234"/>
        <item x="164"/>
        <item x="188"/>
        <item x="183"/>
        <item x="340"/>
        <item x="372"/>
        <item x="195"/>
        <item x="196"/>
        <item x="231"/>
        <item x="209"/>
        <item x="207"/>
        <item x="206"/>
        <item x="208"/>
        <item x="281"/>
        <item x="282"/>
        <item x="341"/>
        <item x="337"/>
        <item x="342"/>
        <item x="215"/>
        <item x="381"/>
        <item x="382"/>
        <item x="319"/>
        <item x="317"/>
        <item x="318"/>
        <item x="228"/>
        <item x="227"/>
        <item x="226"/>
        <item x="229"/>
        <item x="179"/>
        <item x="172"/>
        <item x="180"/>
        <item x="175"/>
        <item x="177"/>
        <item x="181"/>
        <item x="174"/>
        <item x="173"/>
        <item x="176"/>
        <item x="178"/>
        <item x="189"/>
        <item x="191"/>
        <item x="190"/>
        <item x="192"/>
        <item x="166"/>
        <item x="313"/>
        <item x="312"/>
        <item x="311"/>
        <item x="310"/>
        <item x="309"/>
        <item x="260"/>
        <item x="259"/>
        <item x="369"/>
        <item x="367"/>
        <item x="272"/>
        <item x="269"/>
        <item x="264"/>
        <item x="332"/>
        <item x="265"/>
        <item x="266"/>
        <item x="267"/>
        <item x="262"/>
        <item x="268"/>
        <item x="333"/>
        <item x="263"/>
        <item x="271"/>
        <item x="331"/>
        <item x="255"/>
        <item x="254"/>
        <item x="253"/>
        <item x="330"/>
        <item x="252"/>
        <item x="250"/>
        <item x="249"/>
        <item x="328"/>
        <item x="248"/>
        <item x="251"/>
        <item x="256"/>
        <item x="329"/>
        <item x="257"/>
        <item x="258"/>
        <item x="273"/>
        <item x="368"/>
        <item x="275"/>
        <item x="274"/>
        <item x="270"/>
        <item x="261"/>
        <item x="323"/>
        <item x="322"/>
        <item x="327"/>
        <item x="321"/>
        <item x="324"/>
        <item x="325"/>
        <item x="326"/>
        <item x="378"/>
        <item x="374"/>
        <item x="366"/>
        <item x="365"/>
        <item x="364"/>
        <item x="363"/>
        <item x="377"/>
        <item x="376"/>
        <item x="375"/>
        <item x="362"/>
        <item x="380"/>
        <item x="283"/>
        <item x="284"/>
        <item x="285"/>
        <item x="286"/>
        <item x="287"/>
        <item x="203"/>
        <item x="199"/>
        <item x="197"/>
        <item x="202"/>
        <item x="200"/>
        <item x="201"/>
        <item x="204"/>
        <item x="205"/>
        <item x="198"/>
        <item x="335"/>
        <item x="393"/>
        <item x="336"/>
        <item x="389"/>
        <item x="391"/>
        <item x="390"/>
        <item x="184"/>
        <item x="211"/>
        <item x="216"/>
        <item x="213"/>
        <item x="217"/>
        <item x="289"/>
        <item x="288"/>
        <item x="294"/>
        <item x="295"/>
        <item x="296"/>
        <item x="316"/>
        <item x="297"/>
        <item x="314"/>
        <item x="315"/>
        <item x="320"/>
        <item x="359"/>
        <item x="360"/>
        <item x="379"/>
        <item x="292"/>
        <item x="291"/>
        <item x="290"/>
        <item x="239"/>
        <item x="242"/>
        <item x="244"/>
        <item x="241"/>
        <item x="243"/>
        <item x="238"/>
        <item x="236"/>
        <item x="240"/>
        <item x="237"/>
        <item x="373"/>
        <item x="395"/>
        <item x="339"/>
        <item x="349"/>
        <item x="354"/>
        <item x="353"/>
        <item x="352"/>
        <item x="351"/>
        <item x="350"/>
        <item x="343"/>
        <item x="348"/>
        <item x="347"/>
        <item x="346"/>
        <item x="345"/>
        <item x="344"/>
        <item x="370"/>
        <item x="383"/>
        <item x="384"/>
        <item x="386"/>
        <item x="388"/>
        <item x="387"/>
        <item x="27"/>
        <item x="235"/>
        <item x="112"/>
        <item x="58"/>
        <item x="18"/>
        <item x="35"/>
        <item x="34"/>
        <item x="3"/>
        <item x="17"/>
        <item x="46"/>
        <item x="64"/>
        <item x="138"/>
        <item x="44"/>
        <item x="19"/>
        <item x="24"/>
        <item x="63"/>
        <item x="52"/>
        <item x="53"/>
        <item x="54"/>
        <item x="67"/>
        <item x="5"/>
        <item x="38"/>
        <item x="39"/>
        <item x="68"/>
        <item x="40"/>
        <item x="20"/>
        <item x="144"/>
        <item x="222"/>
        <item x="223"/>
        <item x="221"/>
        <item x="279"/>
        <item x="356"/>
        <item x="214"/>
        <item x="361"/>
        <item x="334"/>
        <item x="218"/>
        <item x="245"/>
        <item x="247"/>
        <item x="246"/>
        <item x="219"/>
        <item x="299"/>
        <item x="300"/>
        <item x="298"/>
        <item x="302"/>
        <item x="301"/>
        <item x="304"/>
        <item x="305"/>
        <item x="307"/>
        <item x="306"/>
        <item x="303"/>
        <item x="26"/>
        <item x="220"/>
        <item x="165"/>
        <item x="50"/>
        <item x="71"/>
        <item x="101"/>
        <item x="7"/>
        <item x="140"/>
        <item x="6"/>
        <item x="61"/>
        <item x="139"/>
        <item x="0"/>
        <item x="161"/>
        <item x="1"/>
        <item x="145"/>
        <item x="69"/>
        <item x="146"/>
        <item x="4"/>
        <item x="66"/>
        <item x="210"/>
        <item x="212"/>
        <item x="49"/>
        <item x="123"/>
        <item x="163"/>
        <item x="660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9">
    <i>
      <x v="163"/>
    </i>
    <i>
      <x v="162"/>
    </i>
    <i>
      <x v="159"/>
    </i>
    <i>
      <x v="654"/>
    </i>
    <i>
      <x v="156"/>
    </i>
    <i>
      <x v="155"/>
    </i>
    <i>
      <x v="165"/>
    </i>
    <i>
      <x v="515"/>
    </i>
    <i>
      <x v="435"/>
    </i>
    <i>
      <x v="164"/>
    </i>
    <i>
      <x v="433"/>
    </i>
    <i>
      <x v="545"/>
    </i>
    <i>
      <x v="543"/>
    </i>
    <i>
      <x v="434"/>
    </i>
    <i>
      <x v="544"/>
    </i>
    <i>
      <x v="506"/>
    </i>
    <i>
      <x v="513"/>
    </i>
    <i>
      <x v="514"/>
    </i>
    <i t="grand">
      <x/>
    </i>
  </rowItems>
  <colFields count="2">
    <field x="1"/>
    <field x="0"/>
  </colFields>
  <colItems count="6">
    <i>
      <x v="4"/>
    </i>
    <i>
      <x v="6"/>
      <x v="1"/>
    </i>
    <i r="1">
      <x v="4"/>
    </i>
    <i r="1">
      <x v="8"/>
    </i>
    <i t="default">
      <x v="6"/>
    </i>
    <i t="grand">
      <x/>
    </i>
  </colItems>
  <pageFields count="1">
    <pageField fld="4" hier="-1"/>
  </pageFields>
  <dataFields count="1">
    <dataField name="VALOR X SKU" fld="18" baseField="0" baseItem="0"/>
  </dataFields>
  <formats count="40">
    <format dxfId="1754">
      <pivotArea dataOnly="0" labelOnly="1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1753">
      <pivotArea dataOnly="0" labelOnly="1" grandCol="1" outline="0" fieldPosition="0"/>
    </format>
    <format dxfId="1752">
      <pivotArea collapsedLevelsAreSubtotals="1" fieldPosition="0">
        <references count="1">
          <reference field="4" count="31">
            <x v="0"/>
            <x v="1"/>
            <x v="2"/>
            <x v="3"/>
            <x v="4"/>
            <x v="5"/>
            <x v="6"/>
            <x v="8"/>
            <x v="11"/>
            <x v="13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751">
      <pivotArea collapsedLevelsAreSubtotals="1" fieldPosition="0">
        <references count="2">
          <reference field="1" count="0" selected="0"/>
          <reference field="4" count="1">
            <x v="15"/>
          </reference>
        </references>
      </pivotArea>
    </format>
    <format dxfId="1750">
      <pivotArea collapsedLevelsAreSubtotals="1" fieldPosition="0">
        <references count="2">
          <reference field="1" count="0" selected="0"/>
          <reference field="4" count="1">
            <x v="20"/>
          </reference>
        </references>
      </pivotArea>
    </format>
    <format dxfId="1749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25"/>
          </reference>
        </references>
      </pivotArea>
    </format>
    <format dxfId="1748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34"/>
          </reference>
        </references>
      </pivotArea>
    </format>
    <format dxfId="1747">
      <pivotArea collapsedLevelsAreSubtotals="1" fieldPosition="0">
        <references count="2">
          <reference field="1" count="1" selected="0">
            <x v="1"/>
          </reference>
          <reference field="4" count="3">
            <x v="3"/>
            <x v="4"/>
            <x v="5"/>
          </reference>
        </references>
      </pivotArea>
    </format>
    <format dxfId="1746">
      <pivotArea field="4" grandRow="1" collapsedLevelsAreSubtotals="1" axis="axisPage" fieldPosition="0">
        <references count="1">
          <reference field="4" count="1">
            <x v="15"/>
          </reference>
        </references>
      </pivotArea>
    </format>
    <format dxfId="1745">
      <pivotArea field="4" grandRow="1" collapsedLevelsAreSubtotals="1" axis="axisPage" fieldPosition="0">
        <references count="1">
          <reference field="4" count="1">
            <x v="20"/>
          </reference>
        </references>
      </pivotArea>
    </format>
    <format dxfId="1744">
      <pivotArea field="4" grandRow="1" collapsedLevelsAreSubtotals="1" axis="axisPage" fieldPosition="0">
        <references count="1">
          <reference field="4" count="1">
            <x v="25"/>
          </reference>
        </references>
      </pivotArea>
    </format>
    <format dxfId="1743">
      <pivotArea collapsedLevelsAreSubtotals="1" fieldPosition="0">
        <references count="1">
          <reference field="9" count="53">
            <x v="20"/>
            <x v="24"/>
            <x v="43"/>
            <x v="47"/>
            <x v="54"/>
            <x v="55"/>
            <x v="88"/>
            <x v="91"/>
            <x v="92"/>
            <x v="97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8"/>
            <x v="150"/>
            <x v="177"/>
            <x v="178"/>
            <x v="179"/>
            <x v="180"/>
            <x v="181"/>
            <x v="182"/>
            <x v="183"/>
            <x v="184"/>
            <x v="185"/>
            <x v="186"/>
            <x v="272"/>
            <x v="324"/>
            <x v="325"/>
            <x v="326"/>
            <x v="333"/>
            <x v="385"/>
            <x v="396"/>
          </reference>
        </references>
      </pivotArea>
    </format>
    <format dxfId="1742">
      <pivotArea grandRow="1" outline="0" collapsedLevelsAreSubtotals="1" fieldPosition="0"/>
    </format>
    <format dxfId="1741">
      <pivotArea collapsedLevelsAreSubtotals="1" fieldPosition="0">
        <references count="1">
          <reference field="9" count="1">
            <x v="125"/>
          </reference>
        </references>
      </pivotArea>
    </format>
    <format dxfId="1740">
      <pivotArea collapsedLevelsAreSubtotals="1" fieldPosition="0">
        <references count="1">
          <reference field="9" count="1">
            <x v="129"/>
          </reference>
        </references>
      </pivotArea>
    </format>
    <format dxfId="1739">
      <pivotArea collapsedLevelsAreSubtotals="1" fieldPosition="0">
        <references count="1">
          <reference field="9" count="1">
            <x v="128"/>
          </reference>
        </references>
      </pivotArea>
    </format>
    <format dxfId="1738">
      <pivotArea dataOnly="0" fieldPosition="0">
        <references count="1">
          <reference field="9" count="1">
            <x v="97"/>
          </reference>
        </references>
      </pivotArea>
    </format>
    <format dxfId="1737">
      <pivotArea dataOnly="0" fieldPosition="0">
        <references count="1">
          <reference field="9" count="1">
            <x v="122"/>
          </reference>
        </references>
      </pivotArea>
    </format>
    <format dxfId="1736">
      <pivotArea dataOnly="0" fieldPosition="0">
        <references count="1">
          <reference field="9" count="1">
            <x v="132"/>
          </reference>
        </references>
      </pivotArea>
    </format>
    <format dxfId="1735">
      <pivotArea dataOnly="0" fieldPosition="0">
        <references count="1">
          <reference field="9" count="1">
            <x v="127"/>
          </reference>
        </references>
      </pivotArea>
    </format>
    <format dxfId="1734">
      <pivotArea dataOnly="0" fieldPosition="0">
        <references count="1">
          <reference field="9" count="1">
            <x v="272"/>
          </reference>
        </references>
      </pivotArea>
    </format>
    <format dxfId="1733">
      <pivotArea collapsedLevelsAreSubtotals="1" fieldPosition="0">
        <references count="1">
          <reference field="9" count="1">
            <x v="129"/>
          </reference>
        </references>
      </pivotArea>
    </format>
    <format dxfId="1732">
      <pivotArea collapsedLevelsAreSubtotals="1" fieldPosition="0">
        <references count="1">
          <reference field="9" count="1">
            <x v="125"/>
          </reference>
        </references>
      </pivotArea>
    </format>
    <format dxfId="1731">
      <pivotArea collapsedLevelsAreSubtotals="1" fieldPosition="0">
        <references count="1">
          <reference field="9" count="1">
            <x v="97"/>
          </reference>
        </references>
      </pivotArea>
    </format>
    <format dxfId="1730">
      <pivotArea collapsedLevelsAreSubtotals="1" fieldPosition="0">
        <references count="1">
          <reference field="9" count="1">
            <x v="122"/>
          </reference>
        </references>
      </pivotArea>
    </format>
    <format dxfId="1729">
      <pivotArea collapsedLevelsAreSubtotals="1" fieldPosition="0">
        <references count="1">
          <reference field="9" count="1">
            <x v="132"/>
          </reference>
        </references>
      </pivotArea>
    </format>
    <format dxfId="1728">
      <pivotArea dataOnly="0" labelOnly="1" outline="0" fieldPosition="0">
        <references count="1">
          <reference field="4" count="0"/>
        </references>
      </pivotArea>
    </format>
    <format dxfId="1727">
      <pivotArea dataOnly="0" labelOnly="1" outline="0" fieldPosition="0">
        <references count="1">
          <reference field="4" count="0"/>
        </references>
      </pivotArea>
    </format>
    <format dxfId="1726">
      <pivotArea collapsedLevelsAreSubtotals="1" fieldPosition="0">
        <references count="1">
          <reference field="9" count="1">
            <x v="128"/>
          </reference>
        </references>
      </pivotArea>
    </format>
    <format dxfId="1725">
      <pivotArea outline="0" collapsedLevelsAreSubtotals="1" fieldPosition="0"/>
    </format>
    <format dxfId="1724">
      <pivotArea collapsedLevelsAreSubtotals="1" fieldPosition="0">
        <references count="1">
          <reference field="9" count="1">
            <x v="127"/>
          </reference>
        </references>
      </pivotArea>
    </format>
    <format dxfId="1723">
      <pivotArea dataOnly="0" labelOnly="1" fieldPosition="0">
        <references count="1">
          <reference field="9" count="10">
            <x v="97"/>
            <x v="122"/>
            <x v="125"/>
            <x v="127"/>
            <x v="128"/>
            <x v="129"/>
            <x v="132"/>
            <x v="135"/>
            <x v="144"/>
            <x v="330"/>
          </reference>
        </references>
      </pivotArea>
    </format>
    <format dxfId="1722">
      <pivotArea dataOnly="0" labelOnly="1" fieldPosition="0">
        <references count="1">
          <reference field="9" count="1">
            <x v="125"/>
          </reference>
        </references>
      </pivotArea>
    </format>
    <format dxfId="1721">
      <pivotArea dataOnly="0" labelOnly="1" fieldPosition="0">
        <references count="1">
          <reference field="9" count="1">
            <x v="129"/>
          </reference>
        </references>
      </pivotArea>
    </format>
    <format dxfId="1720">
      <pivotArea dataOnly="0" labelOnly="1" fieldPosition="0">
        <references count="1">
          <reference field="9" count="1">
            <x v="128"/>
          </reference>
        </references>
      </pivotArea>
    </format>
    <format dxfId="1719">
      <pivotArea dataOnly="0" labelOnly="1" fieldPosition="0">
        <references count="1">
          <reference field="0" count="3">
            <x v="4"/>
            <x v="5"/>
            <x v="8"/>
          </reference>
        </references>
      </pivotArea>
    </format>
    <format dxfId="1718">
      <pivotArea collapsedLevelsAreSubtotals="1" fieldPosition="0">
        <references count="2">
          <reference field="0" count="3" selected="0">
            <x v="4"/>
            <x v="5"/>
            <x v="8"/>
          </reference>
          <reference field="9" count="5">
            <x v="162"/>
            <x v="433"/>
            <x v="434"/>
            <x v="435"/>
            <x v="506"/>
          </reference>
        </references>
      </pivotArea>
    </format>
    <format dxfId="1717">
      <pivotArea dataOnly="0" labelOnly="1" fieldPosition="0">
        <references count="1">
          <reference field="0" count="1">
            <x v="11"/>
          </reference>
        </references>
      </pivotArea>
    </format>
    <format dxfId="1716">
      <pivotArea collapsedLevelsAreSubtotals="1" fieldPosition="0">
        <references count="2">
          <reference field="0" count="4" selected="0">
            <x v="4"/>
            <x v="5"/>
            <x v="8"/>
            <x v="10"/>
          </reference>
          <reference field="9" count="15">
            <x v="156"/>
            <x v="159"/>
            <x v="162"/>
            <x v="163"/>
            <x v="164"/>
            <x v="165"/>
            <x v="433"/>
            <x v="434"/>
            <x v="435"/>
            <x v="506"/>
            <x v="513"/>
            <x v="515"/>
            <x v="543"/>
            <x v="544"/>
            <x v="545"/>
          </reference>
        </references>
      </pivotArea>
    </format>
    <format dxfId="1715">
      <pivotArea dataOnly="0" labelOnly="1" fieldPosition="0">
        <references count="1">
          <reference field="9" count="15">
            <x v="156"/>
            <x v="159"/>
            <x v="162"/>
            <x v="163"/>
            <x v="164"/>
            <x v="165"/>
            <x v="433"/>
            <x v="434"/>
            <x v="435"/>
            <x v="506"/>
            <x v="513"/>
            <x v="515"/>
            <x v="543"/>
            <x v="544"/>
            <x v="545"/>
          </reference>
        </references>
      </pivotArea>
    </format>
  </formats>
  <chartFormats count="14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8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28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28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28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4"/>
          </reference>
        </references>
      </pivotArea>
    </chartFormat>
    <chartFormat chart="28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4"/>
          </reference>
        </references>
      </pivotArea>
    </chartFormat>
    <chartFormat chart="28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28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8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28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4E460-FFB4-44AC-9871-ED406BAA156E}" name="TablaDinámica1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6" rowHeaderCaption="CLIENTE" colHeaderCaption="mes">
  <location ref="A4:G25" firstHeaderRow="1" firstDataRow="3" firstDataCol="1" rowPageCount="1" colPageCount="1"/>
  <pivotFields count="37">
    <pivotField axis="axisCol" showAll="0">
      <items count="14">
        <item x="7"/>
        <item x="8"/>
        <item x="0"/>
        <item x="9"/>
        <item x="10"/>
        <item x="1"/>
        <item x="2"/>
        <item x="11"/>
        <item x="3"/>
        <item x="4"/>
        <item x="5"/>
        <item x="6"/>
        <item h="1" x="12"/>
        <item t="default"/>
      </items>
    </pivotField>
    <pivotField axis="axisCol" multipleItemSelectionAllowed="1" showAll="0">
      <items count="8">
        <item h="1" x="0"/>
        <item h="1" x="1"/>
        <item h="1" x="2"/>
        <item h="1" x="3"/>
        <item sd="0" x="4"/>
        <item h="1" x="6"/>
        <item x="5"/>
        <item t="default"/>
      </items>
    </pivotField>
    <pivotField showAll="0"/>
    <pivotField showAll="0"/>
    <pivotField axis="axisPage" multipleItemSelectionAllowed="1" showAll="0">
      <items count="66">
        <item h="1" x="8"/>
        <item h="1" x="25"/>
        <item h="1" x="32"/>
        <item h="1" x="15"/>
        <item h="1" x="30"/>
        <item h="1" x="7"/>
        <item h="1" x="10"/>
        <item h="1" x="2"/>
        <item h="1" x="18"/>
        <item h="1" x="6"/>
        <item h="1" x="3"/>
        <item h="1" x="28"/>
        <item h="1" m="1" x="62"/>
        <item h="1" x="16"/>
        <item h="1" x="0"/>
        <item h="1" x="1"/>
        <item h="1" x="29"/>
        <item h="1" x="12"/>
        <item h="1" x="26"/>
        <item h="1" x="27"/>
        <item h="1" x="9"/>
        <item h="1" x="20"/>
        <item h="1" x="13"/>
        <item h="1" x="5"/>
        <item h="1" x="11"/>
        <item h="1" x="17"/>
        <item h="1" x="19"/>
        <item h="1" x="14"/>
        <item h="1" x="23"/>
        <item h="1" m="1" x="64"/>
        <item h="1" x="24"/>
        <item h="1" x="22"/>
        <item h="1" x="31"/>
        <item h="1" x="33"/>
        <item h="1" x="21"/>
        <item h="1" x="4"/>
        <item h="1" x="34"/>
        <item h="1" x="59"/>
        <item h="1" x="35"/>
        <item h="1" x="36"/>
        <item h="1" x="37"/>
        <item x="38"/>
        <item h="1" x="39"/>
        <item h="1" x="40"/>
        <item h="1" x="41"/>
        <item h="1" x="42"/>
        <item h="1" x="43"/>
        <item h="1" x="44"/>
        <item h="1" x="45"/>
        <item h="1" x="46"/>
        <item h="1" m="1" x="63"/>
        <item h="1" x="47"/>
        <item h="1" x="48"/>
        <item h="1" m="1" x="61"/>
        <item h="1" m="1" x="60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t="default"/>
      </items>
    </pivotField>
    <pivotField showAll="0"/>
    <pivotField showAll="0"/>
    <pivotField showAll="0"/>
    <pivotField showAll="0"/>
    <pivotField axis="axisRow" showAll="0" sortType="descending">
      <items count="662">
        <item x="660"/>
        <item x="163"/>
        <item x="123"/>
        <item x="49"/>
        <item x="212"/>
        <item x="210"/>
        <item x="66"/>
        <item x="4"/>
        <item x="146"/>
        <item x="69"/>
        <item x="145"/>
        <item x="1"/>
        <item x="161"/>
        <item x="0"/>
        <item x="139"/>
        <item x="61"/>
        <item x="6"/>
        <item x="140"/>
        <item x="7"/>
        <item x="101"/>
        <item x="71"/>
        <item x="50"/>
        <item x="165"/>
        <item x="220"/>
        <item x="26"/>
        <item x="303"/>
        <item x="306"/>
        <item x="307"/>
        <item x="305"/>
        <item x="304"/>
        <item x="301"/>
        <item x="302"/>
        <item x="298"/>
        <item x="300"/>
        <item x="299"/>
        <item x="219"/>
        <item x="246"/>
        <item x="247"/>
        <item x="245"/>
        <item x="218"/>
        <item x="334"/>
        <item x="361"/>
        <item x="214"/>
        <item x="356"/>
        <item x="279"/>
        <item x="221"/>
        <item x="223"/>
        <item x="222"/>
        <item x="144"/>
        <item x="20"/>
        <item x="40"/>
        <item x="68"/>
        <item x="39"/>
        <item x="38"/>
        <item x="5"/>
        <item x="67"/>
        <item x="54"/>
        <item x="53"/>
        <item x="52"/>
        <item x="63"/>
        <item x="24"/>
        <item x="19"/>
        <item x="44"/>
        <item x="138"/>
        <item x="64"/>
        <item x="46"/>
        <item x="17"/>
        <item x="3"/>
        <item x="34"/>
        <item x="35"/>
        <item x="18"/>
        <item x="58"/>
        <item x="112"/>
        <item x="235"/>
        <item x="27"/>
        <item x="387"/>
        <item x="388"/>
        <item x="386"/>
        <item x="384"/>
        <item x="383"/>
        <item x="370"/>
        <item x="344"/>
        <item x="345"/>
        <item x="346"/>
        <item x="347"/>
        <item x="348"/>
        <item x="343"/>
        <item x="350"/>
        <item x="351"/>
        <item x="352"/>
        <item x="353"/>
        <item x="354"/>
        <item x="349"/>
        <item x="339"/>
        <item x="395"/>
        <item x="373"/>
        <item x="237"/>
        <item x="240"/>
        <item x="236"/>
        <item x="238"/>
        <item x="243"/>
        <item x="241"/>
        <item x="244"/>
        <item x="242"/>
        <item x="239"/>
        <item x="290"/>
        <item x="291"/>
        <item x="292"/>
        <item x="379"/>
        <item x="360"/>
        <item x="359"/>
        <item x="320"/>
        <item x="315"/>
        <item x="314"/>
        <item x="297"/>
        <item x="316"/>
        <item x="296"/>
        <item x="295"/>
        <item x="294"/>
        <item x="288"/>
        <item x="289"/>
        <item x="217"/>
        <item x="213"/>
        <item x="216"/>
        <item x="211"/>
        <item x="184"/>
        <item x="390"/>
        <item x="391"/>
        <item x="389"/>
        <item x="336"/>
        <item x="393"/>
        <item x="335"/>
        <item x="198"/>
        <item x="205"/>
        <item x="204"/>
        <item x="201"/>
        <item x="200"/>
        <item x="202"/>
        <item x="197"/>
        <item x="199"/>
        <item x="203"/>
        <item x="287"/>
        <item x="286"/>
        <item x="285"/>
        <item x="284"/>
        <item x="283"/>
        <item x="380"/>
        <item x="362"/>
        <item x="375"/>
        <item x="376"/>
        <item x="377"/>
        <item x="363"/>
        <item x="364"/>
        <item x="365"/>
        <item x="366"/>
        <item x="374"/>
        <item x="378"/>
        <item x="326"/>
        <item x="325"/>
        <item x="324"/>
        <item x="321"/>
        <item x="327"/>
        <item x="322"/>
        <item x="323"/>
        <item x="261"/>
        <item x="270"/>
        <item x="274"/>
        <item x="275"/>
        <item x="368"/>
        <item x="273"/>
        <item x="258"/>
        <item x="257"/>
        <item x="329"/>
        <item x="256"/>
        <item x="251"/>
        <item x="248"/>
        <item x="328"/>
        <item x="249"/>
        <item x="250"/>
        <item x="252"/>
        <item x="330"/>
        <item x="253"/>
        <item x="254"/>
        <item x="255"/>
        <item x="331"/>
        <item x="271"/>
        <item x="263"/>
        <item x="333"/>
        <item x="268"/>
        <item x="262"/>
        <item x="267"/>
        <item x="266"/>
        <item x="265"/>
        <item x="332"/>
        <item x="264"/>
        <item x="269"/>
        <item x="272"/>
        <item x="367"/>
        <item x="369"/>
        <item x="259"/>
        <item x="260"/>
        <item x="405"/>
        <item x="406"/>
        <item x="403"/>
        <item x="404"/>
        <item x="309"/>
        <item x="310"/>
        <item x="311"/>
        <item x="312"/>
        <item x="313"/>
        <item x="166"/>
        <item x="397"/>
        <item x="192"/>
        <item x="190"/>
        <item x="191"/>
        <item x="189"/>
        <item x="178"/>
        <item x="176"/>
        <item x="173"/>
        <item x="174"/>
        <item x="181"/>
        <item x="177"/>
        <item x="175"/>
        <item x="180"/>
        <item x="172"/>
        <item x="179"/>
        <item x="229"/>
        <item x="226"/>
        <item x="227"/>
        <item x="228"/>
        <item x="318"/>
        <item x="317"/>
        <item x="319"/>
        <item x="382"/>
        <item x="381"/>
        <item x="215"/>
        <item x="402"/>
        <item x="342"/>
        <item x="337"/>
        <item x="341"/>
        <item x="282"/>
        <item x="281"/>
        <item x="208"/>
        <item x="206"/>
        <item x="207"/>
        <item x="209"/>
        <item x="231"/>
        <item x="196"/>
        <item x="195"/>
        <item x="401"/>
        <item x="372"/>
        <item x="340"/>
        <item x="183"/>
        <item x="188"/>
        <item x="164"/>
        <item x="234"/>
        <item x="182"/>
        <item x="232"/>
        <item x="233"/>
        <item x="398"/>
        <item x="399"/>
        <item x="400"/>
        <item x="280"/>
        <item x="392"/>
        <item x="394"/>
        <item x="385"/>
        <item x="371"/>
        <item x="338"/>
        <item x="293"/>
        <item x="278"/>
        <item x="277"/>
        <item x="276"/>
        <item x="224"/>
        <item x="225"/>
        <item x="187"/>
        <item x="185"/>
        <item x="171"/>
        <item x="193"/>
        <item x="167"/>
        <item x="162"/>
        <item x="170"/>
        <item x="308"/>
        <item x="194"/>
        <item x="169"/>
        <item x="230"/>
        <item x="168"/>
        <item x="186"/>
        <item x="82"/>
        <item x="81"/>
        <item x="83"/>
        <item x="75"/>
        <item x="77"/>
        <item x="76"/>
        <item x="78"/>
        <item x="74"/>
        <item x="73"/>
        <item x="72"/>
        <item x="80"/>
        <item x="84"/>
        <item x="79"/>
        <item x="137"/>
        <item x="142"/>
        <item x="148"/>
        <item x="129"/>
        <item x="104"/>
        <item x="157"/>
        <item x="153"/>
        <item x="149"/>
        <item x="128"/>
        <item x="124"/>
        <item x="65"/>
        <item x="97"/>
        <item x="37"/>
        <item x="45"/>
        <item x="8"/>
        <item x="158"/>
        <item x="147"/>
        <item x="15"/>
        <item x="16"/>
        <item x="59"/>
        <item x="36"/>
        <item x="43"/>
        <item x="32"/>
        <item x="96"/>
        <item x="151"/>
        <item x="42"/>
        <item x="30"/>
        <item x="31"/>
        <item x="98"/>
        <item x="100"/>
        <item x="130"/>
        <item x="156"/>
        <item x="48"/>
        <item x="94"/>
        <item x="28"/>
        <item x="103"/>
        <item x="88"/>
        <item x="90"/>
        <item x="89"/>
        <item x="91"/>
        <item x="87"/>
        <item x="86"/>
        <item x="85"/>
        <item x="120"/>
        <item x="118"/>
        <item x="119"/>
        <item x="113"/>
        <item x="114"/>
        <item x="116"/>
        <item x="115"/>
        <item x="117"/>
        <item x="33"/>
        <item x="12"/>
        <item x="150"/>
        <item x="41"/>
        <item x="47"/>
        <item x="105"/>
        <item x="62"/>
        <item x="110"/>
        <item x="2"/>
        <item x="57"/>
        <item x="132"/>
        <item x="131"/>
        <item x="95"/>
        <item x="56"/>
        <item x="11"/>
        <item x="9"/>
        <item x="126"/>
        <item x="25"/>
        <item x="29"/>
        <item x="134"/>
        <item x="133"/>
        <item x="127"/>
        <item x="108"/>
        <item x="125"/>
        <item x="93"/>
        <item x="92"/>
        <item x="99"/>
        <item x="23"/>
        <item x="152"/>
        <item x="106"/>
        <item x="14"/>
        <item x="13"/>
        <item x="102"/>
        <item x="51"/>
        <item x="22"/>
        <item x="155"/>
        <item x="55"/>
        <item x="143"/>
        <item x="141"/>
        <item x="21"/>
        <item x="154"/>
        <item x="10"/>
        <item x="70"/>
        <item x="160"/>
        <item x="60"/>
        <item x="111"/>
        <item x="121"/>
        <item x="109"/>
        <item x="107"/>
        <item x="159"/>
        <item x="136"/>
        <item x="122"/>
        <item x="135"/>
        <item x="396"/>
        <item x="358"/>
        <item x="357"/>
        <item x="355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9">
    <i>
      <x v="515"/>
    </i>
    <i>
      <x v="240"/>
    </i>
    <i>
      <x v="247"/>
    </i>
    <i>
      <x v="241"/>
    </i>
    <i>
      <x v="654"/>
    </i>
    <i>
      <x v="244"/>
    </i>
    <i>
      <x v="248"/>
    </i>
    <i>
      <x v="239"/>
    </i>
    <i>
      <x v="435"/>
    </i>
    <i>
      <x v="433"/>
    </i>
    <i>
      <x v="238"/>
    </i>
    <i>
      <x v="543"/>
    </i>
    <i>
      <x v="434"/>
    </i>
    <i>
      <x v="545"/>
    </i>
    <i>
      <x v="544"/>
    </i>
    <i>
      <x v="513"/>
    </i>
    <i>
      <x v="514"/>
    </i>
    <i>
      <x v="506"/>
    </i>
    <i t="grand">
      <x/>
    </i>
  </rowItems>
  <colFields count="2">
    <field x="1"/>
    <field x="0"/>
  </colFields>
  <colItems count="6">
    <i>
      <x v="4"/>
    </i>
    <i>
      <x v="6"/>
      <x v="1"/>
    </i>
    <i r="1">
      <x v="4"/>
    </i>
    <i r="1">
      <x v="8"/>
    </i>
    <i t="default">
      <x v="6"/>
    </i>
    <i t="grand">
      <x/>
    </i>
  </colItems>
  <pageFields count="1">
    <pageField fld="4" hier="-1"/>
  </pageFields>
  <dataFields count="1">
    <dataField name="QTDE MTS" fld="22" baseField="0" baseItem="0" numFmtId="3"/>
  </dataFields>
  <formats count="42">
    <format dxfId="1796">
      <pivotArea dataOnly="0" labelOnly="1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1795">
      <pivotArea dataOnly="0" labelOnly="1" grandCol="1" outline="0" fieldPosition="0"/>
    </format>
    <format dxfId="1794">
      <pivotArea collapsedLevelsAreSubtotals="1" fieldPosition="0">
        <references count="1">
          <reference field="4" count="31">
            <x v="0"/>
            <x v="1"/>
            <x v="2"/>
            <x v="3"/>
            <x v="4"/>
            <x v="5"/>
            <x v="6"/>
            <x v="8"/>
            <x v="11"/>
            <x v="13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793">
      <pivotArea collapsedLevelsAreSubtotals="1" fieldPosition="0">
        <references count="2">
          <reference field="1" count="0" selected="0"/>
          <reference field="4" count="1">
            <x v="15"/>
          </reference>
        </references>
      </pivotArea>
    </format>
    <format dxfId="1792">
      <pivotArea collapsedLevelsAreSubtotals="1" fieldPosition="0">
        <references count="2">
          <reference field="1" count="0" selected="0"/>
          <reference field="4" count="1">
            <x v="20"/>
          </reference>
        </references>
      </pivotArea>
    </format>
    <format dxfId="1791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25"/>
          </reference>
        </references>
      </pivotArea>
    </format>
    <format dxfId="1790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34"/>
          </reference>
        </references>
      </pivotArea>
    </format>
    <format dxfId="1789">
      <pivotArea collapsedLevelsAreSubtotals="1" fieldPosition="0">
        <references count="2">
          <reference field="1" count="1" selected="0">
            <x v="1"/>
          </reference>
          <reference field="4" count="3">
            <x v="3"/>
            <x v="4"/>
            <x v="5"/>
          </reference>
        </references>
      </pivotArea>
    </format>
    <format dxfId="1788">
      <pivotArea field="4" grandRow="1" collapsedLevelsAreSubtotals="1" axis="axisPage" fieldPosition="0">
        <references count="1">
          <reference field="4" count="1">
            <x v="15"/>
          </reference>
        </references>
      </pivotArea>
    </format>
    <format dxfId="1787">
      <pivotArea field="4" grandRow="1" collapsedLevelsAreSubtotals="1" axis="axisPage" fieldPosition="0">
        <references count="1">
          <reference field="4" count="1">
            <x v="20"/>
          </reference>
        </references>
      </pivotArea>
    </format>
    <format dxfId="1786">
      <pivotArea field="4" grandRow="1" collapsedLevelsAreSubtotals="1" axis="axisPage" fieldPosition="0">
        <references count="1">
          <reference field="4" count="1">
            <x v="25"/>
          </reference>
        </references>
      </pivotArea>
    </format>
    <format dxfId="1785">
      <pivotArea collapsedLevelsAreSubtotals="1" fieldPosition="0">
        <references count="1">
          <reference field="9" count="53">
            <x v="1"/>
            <x v="12"/>
            <x v="64"/>
            <x v="71"/>
            <x v="72"/>
            <x v="73"/>
            <x v="125"/>
            <x v="216"/>
            <x v="217"/>
            <x v="218"/>
            <x v="219"/>
            <x v="220"/>
            <x v="221"/>
            <x v="222"/>
            <x v="223"/>
            <x v="224"/>
            <x v="225"/>
            <x v="254"/>
            <x v="256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310"/>
            <x v="315"/>
            <x v="316"/>
            <x v="319"/>
            <x v="352"/>
            <x v="353"/>
            <x v="360"/>
            <x v="364"/>
            <x v="383"/>
            <x v="387"/>
          </reference>
        </references>
      </pivotArea>
    </format>
    <format dxfId="1784">
      <pivotArea grandRow="1" outline="0" collapsedLevelsAreSubtotals="1" fieldPosition="0"/>
    </format>
    <format dxfId="1783">
      <pivotArea dataOnly="0" fieldPosition="0">
        <references count="1">
          <reference field="9" count="1">
            <x v="310"/>
          </reference>
        </references>
      </pivotArea>
    </format>
    <format dxfId="1782">
      <pivotArea dataOnly="0" fieldPosition="0">
        <references count="1">
          <reference field="9" count="1">
            <x v="285"/>
          </reference>
        </references>
      </pivotArea>
    </format>
    <format dxfId="1781">
      <pivotArea dataOnly="0" fieldPosition="0">
        <references count="1">
          <reference field="9" count="1">
            <x v="275"/>
          </reference>
        </references>
      </pivotArea>
    </format>
    <format dxfId="1780">
      <pivotArea dataOnly="0" fieldPosition="0">
        <references count="1">
          <reference field="9" count="1">
            <x v="280"/>
          </reference>
        </references>
      </pivotArea>
    </format>
    <format dxfId="1779">
      <pivotArea dataOnly="0" fieldPosition="0">
        <references count="1">
          <reference field="9" count="1">
            <x v="125"/>
          </reference>
        </references>
      </pivotArea>
    </format>
    <format dxfId="1778">
      <pivotArea dataOnly="0" labelOnly="1" outline="0" fieldPosition="0">
        <references count="1">
          <reference field="4" count="0"/>
        </references>
      </pivotArea>
    </format>
    <format dxfId="1777">
      <pivotArea dataOnly="0" labelOnly="1" outline="0" fieldPosition="0">
        <references count="1">
          <reference field="4" count="0"/>
        </references>
      </pivotArea>
    </format>
    <format dxfId="1776">
      <pivotArea collapsedLevelsAreSubtotals="1" fieldPosition="0">
        <references count="1">
          <reference field="9" count="10">
            <x v="125"/>
            <x v="263"/>
            <x v="272"/>
            <x v="275"/>
            <x v="278"/>
            <x v="279"/>
            <x v="280"/>
            <x v="282"/>
            <x v="285"/>
            <x v="310"/>
          </reference>
        </references>
      </pivotArea>
    </format>
    <format dxfId="1775">
      <pivotArea collapsedLevelsAreSubtotals="1" fieldPosition="0">
        <references count="1">
          <reference field="9" count="10">
            <x v="125"/>
            <x v="263"/>
            <x v="272"/>
            <x v="275"/>
            <x v="278"/>
            <x v="279"/>
            <x v="280"/>
            <x v="282"/>
            <x v="285"/>
            <x v="310"/>
          </reference>
        </references>
      </pivotArea>
    </format>
    <format dxfId="1774">
      <pivotArea dataOnly="0" labelOnly="1" fieldPosition="0">
        <references count="1">
          <reference field="9" count="8">
            <x v="125"/>
            <x v="275"/>
            <x v="278"/>
            <x v="279"/>
            <x v="280"/>
            <x v="282"/>
            <x v="285"/>
            <x v="310"/>
          </reference>
        </references>
      </pivotArea>
    </format>
    <format dxfId="1773">
      <pivotArea dataOnly="0" labelOnly="1" fieldPosition="0">
        <references count="1">
          <reference field="9" count="1">
            <x v="282"/>
          </reference>
        </references>
      </pivotArea>
    </format>
    <format dxfId="1772">
      <pivotArea collapsedLevelsAreSubtotals="1" fieldPosition="0">
        <references count="1">
          <reference field="9" count="1">
            <x v="278"/>
          </reference>
        </references>
      </pivotArea>
    </format>
    <format dxfId="1771">
      <pivotArea dataOnly="0" labelOnly="1" fieldPosition="0">
        <references count="1">
          <reference field="9" count="1">
            <x v="278"/>
          </reference>
        </references>
      </pivotArea>
    </format>
    <format dxfId="1770">
      <pivotArea outline="0" collapsedLevelsAreSubtotals="1" fieldPosition="0"/>
    </format>
    <format dxfId="1769">
      <pivotArea outline="0" collapsedLevelsAreSubtotals="1" fieldPosition="0">
        <references count="1">
          <reference field="0" count="4" selected="0">
            <x v="0"/>
            <x v="1"/>
            <x v="3"/>
            <x v="4"/>
          </reference>
        </references>
      </pivotArea>
    </format>
    <format dxfId="1768">
      <pivotArea type="topRight" dataOnly="0" labelOnly="1" outline="0" fieldPosition="0"/>
    </format>
    <format dxfId="1767">
      <pivotArea dataOnly="0" labelOnly="1" fieldPosition="0">
        <references count="1">
          <reference field="0" count="8">
            <x v="0"/>
            <x v="1"/>
            <x v="3"/>
            <x v="4"/>
            <x v="5"/>
            <x v="6"/>
            <x v="7"/>
            <x v="8"/>
          </reference>
        </references>
      </pivotArea>
    </format>
    <format dxfId="1766">
      <pivotArea dataOnly="0" labelOnly="1" fieldPosition="0">
        <references count="1">
          <reference field="0" count="3">
            <x v="4"/>
            <x v="5"/>
            <x v="8"/>
          </reference>
        </references>
      </pivotArea>
    </format>
    <format dxfId="1765">
      <pivotArea dataOnly="0" labelOnly="1" fieldPosition="0">
        <references count="1">
          <reference field="0" count="1">
            <x v="11"/>
          </reference>
        </references>
      </pivotArea>
    </format>
    <format dxfId="1764">
      <pivotArea collapsedLevelsAreSubtotals="1" fieldPosition="0">
        <references count="2">
          <reference field="0" count="1" selected="0">
            <x v="4"/>
          </reference>
          <reference field="9" count="7">
            <x v="241"/>
            <x v="247"/>
            <x v="433"/>
            <x v="434"/>
            <x v="435"/>
            <x v="515"/>
            <x v="543"/>
          </reference>
        </references>
      </pivotArea>
    </format>
    <format dxfId="1763">
      <pivotArea dataOnly="0" labelOnly="1" fieldPosition="0">
        <references count="1">
          <reference field="9" count="7">
            <x v="241"/>
            <x v="247"/>
            <x v="433"/>
            <x v="434"/>
            <x v="435"/>
            <x v="515"/>
            <x v="543"/>
          </reference>
        </references>
      </pivotArea>
    </format>
    <format dxfId="1762">
      <pivotArea outline="0" collapsedLevelsAreSubtotals="1" fieldPosition="0">
        <references count="2">
          <reference field="0" count="1" selected="0">
            <x v="1"/>
          </reference>
          <reference field="1" count="1" selected="0">
            <x v="6"/>
          </reference>
        </references>
      </pivotArea>
    </format>
    <format dxfId="1761">
      <pivotArea field="0" type="button" dataOnly="0" labelOnly="1" outline="0" axis="axisCol" fieldPosition="1"/>
    </format>
    <format dxfId="1760">
      <pivotArea dataOnly="0" labelOnly="1" fieldPosition="0">
        <references count="1">
          <reference field="1" count="1">
            <x v="6"/>
          </reference>
        </references>
      </pivotArea>
    </format>
    <format dxfId="1759">
      <pivotArea dataOnly="0" labelOnly="1" fieldPosition="0">
        <references count="2">
          <reference field="0" count="1">
            <x v="1"/>
          </reference>
          <reference field="1" count="1" selected="0">
            <x v="6"/>
          </reference>
        </references>
      </pivotArea>
    </format>
    <format dxfId="1758">
      <pivotArea outline="0" collapsedLevelsAreSubtotals="1" fieldPosition="0">
        <references count="1">
          <reference field="1" count="1" selected="0">
            <x v="4"/>
          </reference>
        </references>
      </pivotArea>
    </format>
    <format dxfId="1757">
      <pivotArea dataOnly="0" labelOnly="1" outline="0" fieldPosition="0">
        <references count="1">
          <reference field="4" count="0"/>
        </references>
      </pivotArea>
    </format>
    <format dxfId="1756">
      <pivotArea field="1" type="button" dataOnly="0" labelOnly="1" outline="0" axis="axisCol" fieldPosition="0"/>
    </format>
    <format dxfId="1755">
      <pivotArea dataOnly="0" labelOnly="1" fieldPosition="0">
        <references count="1">
          <reference field="1" count="1">
            <x v="4"/>
          </reference>
        </references>
      </pivotArea>
    </format>
  </formats>
  <chartFormats count="33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1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1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5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35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35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35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4"/>
          </reference>
        </references>
      </pivotArea>
    </chartFormat>
    <chartFormat chart="35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4"/>
          </reference>
        </references>
      </pivotArea>
    </chartFormat>
    <chartFormat chart="35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35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5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35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17CB1-BD69-42F8-A07E-8AF51A9B6E73}" name="TablaDinámica2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0" rowHeaderCaption="CLIENTE" colHeaderCaption="mes">
  <location ref="A5:E11" firstHeaderRow="1" firstDataRow="3" firstDataCol="1" rowPageCount="1" colPageCount="1"/>
  <pivotFields count="37">
    <pivotField axis="axisCol" showAll="0">
      <items count="14">
        <item x="7"/>
        <item x="8"/>
        <item x="0"/>
        <item x="9"/>
        <item x="10"/>
        <item x="1"/>
        <item x="2"/>
        <item x="11"/>
        <item x="3"/>
        <item x="4"/>
        <item x="5"/>
        <item x="6"/>
        <item h="1" x="12"/>
        <item t="default"/>
      </items>
    </pivotField>
    <pivotField axis="axisCol" multipleItemSelectionAllowed="1" showAll="0">
      <items count="8">
        <item h="1" x="0"/>
        <item h="1" x="1"/>
        <item h="1" x="2"/>
        <item h="1" x="3"/>
        <item sd="0" x="4"/>
        <item h="1" x="6"/>
        <item x="5"/>
        <item t="default"/>
      </items>
    </pivotField>
    <pivotField showAll="0"/>
    <pivotField showAll="0"/>
    <pivotField axis="axisPage" multipleItemSelectionAllowed="1" showAll="0">
      <items count="66">
        <item h="1" x="8"/>
        <item h="1" x="25"/>
        <item h="1" x="32"/>
        <item h="1" x="15"/>
        <item h="1" x="30"/>
        <item h="1" x="7"/>
        <item h="1" x="10"/>
        <item h="1" x="2"/>
        <item h="1" x="18"/>
        <item h="1" x="6"/>
        <item h="1" x="3"/>
        <item h="1" x="28"/>
        <item h="1" m="1" x="62"/>
        <item h="1" x="16"/>
        <item h="1" x="0"/>
        <item h="1" x="1"/>
        <item h="1" x="29"/>
        <item h="1" x="12"/>
        <item h="1" x="26"/>
        <item h="1" x="27"/>
        <item h="1" x="9"/>
        <item h="1" x="20"/>
        <item h="1" x="13"/>
        <item h="1" x="5"/>
        <item h="1" x="11"/>
        <item h="1" x="17"/>
        <item h="1" x="19"/>
        <item h="1" x="14"/>
        <item h="1" x="23"/>
        <item h="1" m="1" x="64"/>
        <item h="1" x="24"/>
        <item h="1" x="22"/>
        <item h="1" x="31"/>
        <item x="33"/>
        <item h="1" x="21"/>
        <item h="1" x="4"/>
        <item h="1" x="34"/>
        <item h="1" x="59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m="1" x="63"/>
        <item h="1" x="47"/>
        <item h="1" x="48"/>
        <item h="1" m="1" x="61"/>
        <item h="1" m="1" x="60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t="default"/>
      </items>
    </pivotField>
    <pivotField showAll="0"/>
    <pivotField showAll="0"/>
    <pivotField showAll="0"/>
    <pivotField showAll="0"/>
    <pivotField axis="axisRow" showAll="0" sortType="descending">
      <items count="662">
        <item x="355"/>
        <item x="357"/>
        <item x="358"/>
        <item x="396"/>
        <item x="135"/>
        <item x="122"/>
        <item x="136"/>
        <item x="159"/>
        <item x="107"/>
        <item x="109"/>
        <item x="121"/>
        <item x="111"/>
        <item x="60"/>
        <item x="160"/>
        <item x="70"/>
        <item x="10"/>
        <item x="154"/>
        <item x="21"/>
        <item x="141"/>
        <item x="143"/>
        <item x="55"/>
        <item x="155"/>
        <item x="22"/>
        <item x="51"/>
        <item x="102"/>
        <item x="13"/>
        <item x="14"/>
        <item x="106"/>
        <item x="152"/>
        <item x="23"/>
        <item x="99"/>
        <item x="92"/>
        <item x="93"/>
        <item x="125"/>
        <item x="108"/>
        <item x="127"/>
        <item x="133"/>
        <item x="134"/>
        <item x="29"/>
        <item x="25"/>
        <item x="126"/>
        <item x="9"/>
        <item x="11"/>
        <item x="56"/>
        <item x="95"/>
        <item x="131"/>
        <item x="132"/>
        <item x="57"/>
        <item x="2"/>
        <item x="110"/>
        <item x="62"/>
        <item x="105"/>
        <item x="47"/>
        <item x="41"/>
        <item x="150"/>
        <item x="12"/>
        <item x="33"/>
        <item x="117"/>
        <item x="115"/>
        <item x="116"/>
        <item x="114"/>
        <item x="113"/>
        <item x="119"/>
        <item x="118"/>
        <item x="120"/>
        <item x="85"/>
        <item x="86"/>
        <item x="87"/>
        <item x="91"/>
        <item x="89"/>
        <item x="90"/>
        <item x="88"/>
        <item x="103"/>
        <item x="28"/>
        <item x="94"/>
        <item x="48"/>
        <item x="156"/>
        <item x="130"/>
        <item x="100"/>
        <item x="98"/>
        <item x="31"/>
        <item x="30"/>
        <item x="42"/>
        <item x="151"/>
        <item x="96"/>
        <item x="32"/>
        <item x="43"/>
        <item x="36"/>
        <item x="59"/>
        <item x="16"/>
        <item x="15"/>
        <item x="147"/>
        <item x="158"/>
        <item x="8"/>
        <item x="45"/>
        <item x="37"/>
        <item x="97"/>
        <item x="65"/>
        <item x="124"/>
        <item x="128"/>
        <item x="149"/>
        <item x="153"/>
        <item x="157"/>
        <item x="104"/>
        <item x="129"/>
        <item x="148"/>
        <item x="142"/>
        <item x="137"/>
        <item x="79"/>
        <item x="84"/>
        <item x="80"/>
        <item x="72"/>
        <item x="73"/>
        <item x="74"/>
        <item x="78"/>
        <item x="76"/>
        <item x="77"/>
        <item x="75"/>
        <item x="83"/>
        <item x="81"/>
        <item x="82"/>
        <item x="186"/>
        <item x="168"/>
        <item x="230"/>
        <item x="169"/>
        <item x="194"/>
        <item x="308"/>
        <item x="170"/>
        <item x="162"/>
        <item x="167"/>
        <item x="193"/>
        <item x="171"/>
        <item x="185"/>
        <item x="187"/>
        <item x="225"/>
        <item x="224"/>
        <item x="276"/>
        <item x="277"/>
        <item x="278"/>
        <item x="293"/>
        <item x="338"/>
        <item x="371"/>
        <item x="385"/>
        <item x="394"/>
        <item x="392"/>
        <item x="280"/>
        <item x="233"/>
        <item x="232"/>
        <item x="182"/>
        <item x="234"/>
        <item x="164"/>
        <item x="188"/>
        <item x="183"/>
        <item x="340"/>
        <item x="372"/>
        <item x="195"/>
        <item x="196"/>
        <item x="231"/>
        <item x="209"/>
        <item x="207"/>
        <item x="206"/>
        <item x="208"/>
        <item x="281"/>
        <item x="282"/>
        <item x="341"/>
        <item x="337"/>
        <item x="342"/>
        <item x="215"/>
        <item x="381"/>
        <item x="382"/>
        <item x="319"/>
        <item x="317"/>
        <item x="318"/>
        <item x="228"/>
        <item x="227"/>
        <item x="226"/>
        <item x="229"/>
        <item x="179"/>
        <item x="172"/>
        <item x="180"/>
        <item x="175"/>
        <item x="177"/>
        <item x="181"/>
        <item x="174"/>
        <item x="173"/>
        <item x="176"/>
        <item x="178"/>
        <item x="189"/>
        <item x="191"/>
        <item x="190"/>
        <item x="192"/>
        <item x="166"/>
        <item x="313"/>
        <item x="312"/>
        <item x="311"/>
        <item x="310"/>
        <item x="309"/>
        <item x="260"/>
        <item x="259"/>
        <item x="369"/>
        <item x="367"/>
        <item x="272"/>
        <item x="269"/>
        <item x="264"/>
        <item x="332"/>
        <item x="265"/>
        <item x="266"/>
        <item x="267"/>
        <item x="262"/>
        <item x="268"/>
        <item x="333"/>
        <item x="263"/>
        <item x="271"/>
        <item x="331"/>
        <item x="255"/>
        <item x="254"/>
        <item x="253"/>
        <item x="330"/>
        <item x="252"/>
        <item x="250"/>
        <item x="249"/>
        <item x="328"/>
        <item x="248"/>
        <item x="251"/>
        <item x="256"/>
        <item x="329"/>
        <item x="257"/>
        <item x="258"/>
        <item x="273"/>
        <item x="368"/>
        <item x="275"/>
        <item x="274"/>
        <item x="270"/>
        <item x="261"/>
        <item x="323"/>
        <item x="322"/>
        <item x="327"/>
        <item x="321"/>
        <item x="324"/>
        <item x="325"/>
        <item x="326"/>
        <item x="378"/>
        <item x="374"/>
        <item x="366"/>
        <item x="365"/>
        <item x="364"/>
        <item x="363"/>
        <item x="377"/>
        <item x="376"/>
        <item x="375"/>
        <item x="362"/>
        <item x="380"/>
        <item x="283"/>
        <item x="284"/>
        <item x="285"/>
        <item x="286"/>
        <item x="287"/>
        <item x="203"/>
        <item x="199"/>
        <item x="197"/>
        <item x="202"/>
        <item x="200"/>
        <item x="201"/>
        <item x="204"/>
        <item x="205"/>
        <item x="198"/>
        <item x="335"/>
        <item x="393"/>
        <item x="336"/>
        <item x="389"/>
        <item x="391"/>
        <item x="390"/>
        <item x="184"/>
        <item x="211"/>
        <item x="216"/>
        <item x="213"/>
        <item x="217"/>
        <item x="289"/>
        <item x="288"/>
        <item x="294"/>
        <item x="295"/>
        <item x="296"/>
        <item x="316"/>
        <item x="297"/>
        <item x="314"/>
        <item x="315"/>
        <item x="320"/>
        <item x="359"/>
        <item x="360"/>
        <item x="379"/>
        <item x="292"/>
        <item x="291"/>
        <item x="290"/>
        <item x="239"/>
        <item x="242"/>
        <item x="244"/>
        <item x="241"/>
        <item x="243"/>
        <item x="238"/>
        <item x="236"/>
        <item x="240"/>
        <item x="237"/>
        <item x="373"/>
        <item x="395"/>
        <item x="339"/>
        <item x="349"/>
        <item x="354"/>
        <item x="353"/>
        <item x="352"/>
        <item x="351"/>
        <item x="350"/>
        <item x="343"/>
        <item x="348"/>
        <item x="347"/>
        <item x="346"/>
        <item x="345"/>
        <item x="344"/>
        <item x="370"/>
        <item x="383"/>
        <item x="384"/>
        <item x="386"/>
        <item x="388"/>
        <item x="387"/>
        <item x="27"/>
        <item x="235"/>
        <item x="112"/>
        <item x="58"/>
        <item x="18"/>
        <item x="35"/>
        <item x="34"/>
        <item x="3"/>
        <item x="17"/>
        <item x="46"/>
        <item x="64"/>
        <item x="138"/>
        <item x="44"/>
        <item x="19"/>
        <item x="24"/>
        <item x="63"/>
        <item x="52"/>
        <item x="53"/>
        <item x="54"/>
        <item x="67"/>
        <item x="5"/>
        <item x="38"/>
        <item x="39"/>
        <item x="68"/>
        <item x="40"/>
        <item x="20"/>
        <item x="144"/>
        <item x="222"/>
        <item x="223"/>
        <item x="221"/>
        <item x="279"/>
        <item x="356"/>
        <item x="214"/>
        <item x="361"/>
        <item x="334"/>
        <item x="218"/>
        <item x="245"/>
        <item x="247"/>
        <item x="246"/>
        <item x="219"/>
        <item x="299"/>
        <item x="300"/>
        <item x="298"/>
        <item x="302"/>
        <item x="301"/>
        <item x="304"/>
        <item x="305"/>
        <item x="307"/>
        <item x="306"/>
        <item x="303"/>
        <item x="26"/>
        <item x="220"/>
        <item x="165"/>
        <item x="50"/>
        <item x="71"/>
        <item x="101"/>
        <item x="7"/>
        <item x="140"/>
        <item x="6"/>
        <item x="61"/>
        <item x="139"/>
        <item x="0"/>
        <item x="161"/>
        <item x="1"/>
        <item x="145"/>
        <item x="69"/>
        <item x="146"/>
        <item x="4"/>
        <item x="66"/>
        <item x="210"/>
        <item x="212"/>
        <item x="49"/>
        <item x="123"/>
        <item x="163"/>
        <item x="660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 v="322"/>
    </i>
    <i>
      <x v="508"/>
    </i>
    <i>
      <x v="507"/>
    </i>
    <i t="grand">
      <x/>
    </i>
  </rowItems>
  <colFields count="2">
    <field x="1"/>
    <field x="0"/>
  </colFields>
  <colItems count="4">
    <i>
      <x v="4"/>
    </i>
    <i>
      <x v="6"/>
      <x v="1"/>
    </i>
    <i t="default">
      <x v="6"/>
    </i>
    <i t="grand">
      <x/>
    </i>
  </colItems>
  <pageFields count="1">
    <pageField fld="4" hier="-1"/>
  </pageFields>
  <dataFields count="1">
    <dataField name="QTDE MTS" fld="22" baseField="0" baseItem="0"/>
  </dataFields>
  <formats count="42">
    <format dxfId="1608">
      <pivotArea dataOnly="0" labelOnly="1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1607">
      <pivotArea dataOnly="0" labelOnly="1" grandCol="1" outline="0" fieldPosition="0"/>
    </format>
    <format dxfId="1606">
      <pivotArea collapsedLevelsAreSubtotals="1" fieldPosition="0">
        <references count="1">
          <reference field="4" count="31">
            <x v="0"/>
            <x v="1"/>
            <x v="2"/>
            <x v="3"/>
            <x v="4"/>
            <x v="5"/>
            <x v="6"/>
            <x v="8"/>
            <x v="11"/>
            <x v="13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605">
      <pivotArea collapsedLevelsAreSubtotals="1" fieldPosition="0">
        <references count="2">
          <reference field="1" count="0" selected="0"/>
          <reference field="4" count="1">
            <x v="15"/>
          </reference>
        </references>
      </pivotArea>
    </format>
    <format dxfId="1604">
      <pivotArea collapsedLevelsAreSubtotals="1" fieldPosition="0">
        <references count="2">
          <reference field="1" count="0" selected="0"/>
          <reference field="4" count="1">
            <x v="20"/>
          </reference>
        </references>
      </pivotArea>
    </format>
    <format dxfId="1603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25"/>
          </reference>
        </references>
      </pivotArea>
    </format>
    <format dxfId="1602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34"/>
          </reference>
        </references>
      </pivotArea>
    </format>
    <format dxfId="1601">
      <pivotArea collapsedLevelsAreSubtotals="1" fieldPosition="0">
        <references count="2">
          <reference field="1" count="1" selected="0">
            <x v="1"/>
          </reference>
          <reference field="4" count="3">
            <x v="3"/>
            <x v="4"/>
            <x v="5"/>
          </reference>
        </references>
      </pivotArea>
    </format>
    <format dxfId="1600">
      <pivotArea field="4" grandRow="1" collapsedLevelsAreSubtotals="1" axis="axisPage" fieldPosition="0">
        <references count="1">
          <reference field="4" count="1">
            <x v="15"/>
          </reference>
        </references>
      </pivotArea>
    </format>
    <format dxfId="1599">
      <pivotArea field="4" grandRow="1" collapsedLevelsAreSubtotals="1" axis="axisPage" fieldPosition="0">
        <references count="1">
          <reference field="4" count="1">
            <x v="20"/>
          </reference>
        </references>
      </pivotArea>
    </format>
    <format dxfId="1598">
      <pivotArea field="4" grandRow="1" collapsedLevelsAreSubtotals="1" axis="axisPage" fieldPosition="0">
        <references count="1">
          <reference field="4" count="1">
            <x v="25"/>
          </reference>
        </references>
      </pivotArea>
    </format>
    <format dxfId="1597">
      <pivotArea collapsedLevelsAreSubtotals="1" fieldPosition="0">
        <references count="1">
          <reference field="9" count="53">
            <x v="20"/>
            <x v="24"/>
            <x v="43"/>
            <x v="47"/>
            <x v="54"/>
            <x v="55"/>
            <x v="88"/>
            <x v="91"/>
            <x v="92"/>
            <x v="97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8"/>
            <x v="150"/>
            <x v="177"/>
            <x v="178"/>
            <x v="179"/>
            <x v="180"/>
            <x v="181"/>
            <x v="182"/>
            <x v="183"/>
            <x v="184"/>
            <x v="185"/>
            <x v="186"/>
            <x v="272"/>
            <x v="324"/>
            <x v="325"/>
            <x v="326"/>
            <x v="333"/>
            <x v="385"/>
            <x v="396"/>
          </reference>
        </references>
      </pivotArea>
    </format>
    <format dxfId="1596">
      <pivotArea grandRow="1" outline="0" collapsedLevelsAreSubtotals="1" fieldPosition="0"/>
    </format>
    <format dxfId="1595">
      <pivotArea collapsedLevelsAreSubtotals="1" fieldPosition="0">
        <references count="1">
          <reference field="9" count="1">
            <x v="125"/>
          </reference>
        </references>
      </pivotArea>
    </format>
    <format dxfId="1594">
      <pivotArea dataOnly="0" labelOnly="1" fieldPosition="0">
        <references count="1">
          <reference field="9" count="1">
            <x v="125"/>
          </reference>
        </references>
      </pivotArea>
    </format>
    <format dxfId="1593">
      <pivotArea collapsedLevelsAreSubtotals="1" fieldPosition="0">
        <references count="1">
          <reference field="9" count="1">
            <x v="129"/>
          </reference>
        </references>
      </pivotArea>
    </format>
    <format dxfId="1592">
      <pivotArea dataOnly="0" labelOnly="1" fieldPosition="0">
        <references count="1">
          <reference field="9" count="1">
            <x v="129"/>
          </reference>
        </references>
      </pivotArea>
    </format>
    <format dxfId="1591">
      <pivotArea collapsedLevelsAreSubtotals="1" fieldPosition="0">
        <references count="1">
          <reference field="9" count="1">
            <x v="128"/>
          </reference>
        </references>
      </pivotArea>
    </format>
    <format dxfId="1590">
      <pivotArea dataOnly="0" labelOnly="1" fieldPosition="0">
        <references count="1">
          <reference field="9" count="1">
            <x v="128"/>
          </reference>
        </references>
      </pivotArea>
    </format>
    <format dxfId="1589">
      <pivotArea dataOnly="0" fieldPosition="0">
        <references count="1">
          <reference field="9" count="1">
            <x v="97"/>
          </reference>
        </references>
      </pivotArea>
    </format>
    <format dxfId="1588">
      <pivotArea dataOnly="0" fieldPosition="0">
        <references count="1">
          <reference field="9" count="1">
            <x v="122"/>
          </reference>
        </references>
      </pivotArea>
    </format>
    <format dxfId="1587">
      <pivotArea dataOnly="0" fieldPosition="0">
        <references count="1">
          <reference field="9" count="1">
            <x v="132"/>
          </reference>
        </references>
      </pivotArea>
    </format>
    <format dxfId="1586">
      <pivotArea dataOnly="0" fieldPosition="0">
        <references count="1">
          <reference field="9" count="1">
            <x v="127"/>
          </reference>
        </references>
      </pivotArea>
    </format>
    <format dxfId="1585">
      <pivotArea dataOnly="0" fieldPosition="0">
        <references count="1">
          <reference field="9" count="1">
            <x v="272"/>
          </reference>
        </references>
      </pivotArea>
    </format>
    <format dxfId="1584">
      <pivotArea collapsedLevelsAreSubtotals="1" fieldPosition="0">
        <references count="1">
          <reference field="9" count="1">
            <x v="129"/>
          </reference>
        </references>
      </pivotArea>
    </format>
    <format dxfId="1583">
      <pivotArea collapsedLevelsAreSubtotals="1" fieldPosition="0">
        <references count="1">
          <reference field="9" count="1">
            <x v="125"/>
          </reference>
        </references>
      </pivotArea>
    </format>
    <format dxfId="1582">
      <pivotArea collapsedLevelsAreSubtotals="1" fieldPosition="0">
        <references count="1">
          <reference field="9" count="1">
            <x v="97"/>
          </reference>
        </references>
      </pivotArea>
    </format>
    <format dxfId="1581">
      <pivotArea collapsedLevelsAreSubtotals="1" fieldPosition="0">
        <references count="1">
          <reference field="9" count="1">
            <x v="122"/>
          </reference>
        </references>
      </pivotArea>
    </format>
    <format dxfId="1580">
      <pivotArea collapsedLevelsAreSubtotals="1" fieldPosition="0">
        <references count="1">
          <reference field="9" count="1">
            <x v="132"/>
          </reference>
        </references>
      </pivotArea>
    </format>
    <format dxfId="1579">
      <pivotArea dataOnly="0" labelOnly="1" outline="0" fieldPosition="0">
        <references count="1">
          <reference field="4" count="0"/>
        </references>
      </pivotArea>
    </format>
    <format dxfId="1578">
      <pivotArea dataOnly="0" labelOnly="1" outline="0" fieldPosition="0">
        <references count="1">
          <reference field="4" count="0"/>
        </references>
      </pivotArea>
    </format>
    <format dxfId="1577">
      <pivotArea collapsedLevelsAreSubtotals="1" fieldPosition="0">
        <references count="1">
          <reference field="9" count="1">
            <x v="128"/>
          </reference>
        </references>
      </pivotArea>
    </format>
    <format dxfId="1576">
      <pivotArea collapsedLevelsAreSubtotals="1" fieldPosition="0">
        <references count="1">
          <reference field="9" count="1">
            <x v="279"/>
          </reference>
        </references>
      </pivotArea>
    </format>
    <format dxfId="1575">
      <pivotArea dataOnly="0" fieldPosition="0">
        <references count="1">
          <reference field="9" count="10">
            <x v="277"/>
            <x v="278"/>
            <x v="279"/>
            <x v="280"/>
            <x v="281"/>
            <x v="284"/>
            <x v="285"/>
            <x v="286"/>
            <x v="287"/>
            <x v="288"/>
          </reference>
        </references>
      </pivotArea>
    </format>
    <format dxfId="1574">
      <pivotArea outline="0" collapsedLevelsAreSubtotals="1" fieldPosition="0">
        <references count="1">
          <reference field="0" count="2" selected="0">
            <x v="3"/>
            <x v="4"/>
          </reference>
        </references>
      </pivotArea>
    </format>
    <format dxfId="1573">
      <pivotArea type="topRight" dataOnly="0" labelOnly="1" outline="0" fieldPosition="0"/>
    </format>
    <format dxfId="1572">
      <pivotArea dataOnly="0" labelOnly="1" fieldPosition="0">
        <references count="1">
          <reference field="0" count="2">
            <x v="3"/>
            <x v="4"/>
          </reference>
        </references>
      </pivotArea>
    </format>
    <format dxfId="1571">
      <pivotArea collapsedLevelsAreSubtotals="1" fieldPosition="0">
        <references count="3">
          <reference field="0" count="1" selected="0">
            <x v="1"/>
          </reference>
          <reference field="1" count="1" selected="0">
            <x v="6"/>
          </reference>
          <reference field="9" count="3">
            <x v="322"/>
            <x v="507"/>
            <x v="508"/>
          </reference>
        </references>
      </pivotArea>
    </format>
    <format dxfId="1570">
      <pivotArea field="0" type="button" dataOnly="0" labelOnly="1" outline="0" axis="axisCol" fieldPosition="1"/>
    </format>
    <format dxfId="1569">
      <pivotArea dataOnly="0" labelOnly="1" fieldPosition="0">
        <references count="1">
          <reference field="1" count="1">
            <x v="6"/>
          </reference>
        </references>
      </pivotArea>
    </format>
    <format dxfId="1568">
      <pivotArea dataOnly="0" labelOnly="1" fieldPosition="0">
        <references count="2">
          <reference field="0" count="1">
            <x v="1"/>
          </reference>
          <reference field="1" count="1" selected="0">
            <x v="6"/>
          </reference>
        </references>
      </pivotArea>
    </format>
    <format dxfId="1567">
      <pivotArea field="1" grandRow="1" outline="0" collapsedLevelsAreSubtotals="1" axis="axisCol" fieldPosition="0">
        <references count="2">
          <reference field="0" count="1" selected="0">
            <x v="1"/>
          </reference>
          <reference field="1" count="1" selected="0">
            <x v="6"/>
          </reference>
        </references>
      </pivotArea>
    </format>
  </formats>
  <chartFormats count="12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1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31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33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33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3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7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39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9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FC4B1-D5DA-4BE7-B7D4-7FF5A7A65172}" name="TablaDinámica1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9" rowHeaderCaption="CLIENTE" colHeaderCaption="mes">
  <location ref="L5:P11" firstHeaderRow="1" firstDataRow="3" firstDataCol="1" rowPageCount="1" colPageCount="1"/>
  <pivotFields count="37">
    <pivotField axis="axisCol" showAll="0">
      <items count="14">
        <item x="7"/>
        <item x="8"/>
        <item x="0"/>
        <item x="9"/>
        <item x="10"/>
        <item x="1"/>
        <item x="2"/>
        <item x="11"/>
        <item x="3"/>
        <item x="4"/>
        <item x="5"/>
        <item x="6"/>
        <item h="1" x="12"/>
        <item t="default"/>
      </items>
    </pivotField>
    <pivotField axis="axisCol" multipleItemSelectionAllowed="1" showAll="0">
      <items count="8">
        <item h="1" x="0"/>
        <item h="1" x="1"/>
        <item h="1" x="2"/>
        <item h="1" x="3"/>
        <item sd="0" x="4"/>
        <item h="1" x="6"/>
        <item x="5"/>
        <item t="default"/>
      </items>
    </pivotField>
    <pivotField showAll="0"/>
    <pivotField showAll="0"/>
    <pivotField axis="axisPage" multipleItemSelectionAllowed="1" showAll="0">
      <items count="66">
        <item h="1" x="8"/>
        <item h="1" x="25"/>
        <item h="1" x="32"/>
        <item h="1" x="15"/>
        <item h="1" x="30"/>
        <item h="1" x="7"/>
        <item h="1" x="10"/>
        <item h="1" x="2"/>
        <item h="1" x="18"/>
        <item h="1" x="6"/>
        <item h="1" x="3"/>
        <item h="1" x="28"/>
        <item h="1" m="1" x="62"/>
        <item h="1" x="16"/>
        <item h="1" x="0"/>
        <item h="1" x="1"/>
        <item h="1" x="29"/>
        <item h="1" x="12"/>
        <item h="1" x="26"/>
        <item h="1" x="27"/>
        <item h="1" x="9"/>
        <item h="1" x="20"/>
        <item h="1" x="13"/>
        <item h="1" x="5"/>
        <item h="1" x="11"/>
        <item h="1" x="17"/>
        <item h="1" x="19"/>
        <item h="1" x="14"/>
        <item h="1" x="23"/>
        <item h="1" m="1" x="64"/>
        <item h="1" x="24"/>
        <item h="1" x="22"/>
        <item h="1" x="31"/>
        <item x="33"/>
        <item h="1" x="21"/>
        <item h="1" x="4"/>
        <item h="1" x="34"/>
        <item h="1" x="59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m="1" x="63"/>
        <item h="1" x="47"/>
        <item h="1" x="48"/>
        <item h="1" m="1" x="61"/>
        <item h="1" m="1" x="60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662">
        <item x="355"/>
        <item x="357"/>
        <item x="358"/>
        <item x="396"/>
        <item x="135"/>
        <item x="122"/>
        <item x="136"/>
        <item x="159"/>
        <item x="107"/>
        <item x="109"/>
        <item x="121"/>
        <item x="111"/>
        <item x="60"/>
        <item x="160"/>
        <item x="70"/>
        <item x="10"/>
        <item x="154"/>
        <item x="21"/>
        <item x="141"/>
        <item x="143"/>
        <item x="55"/>
        <item x="155"/>
        <item x="22"/>
        <item x="51"/>
        <item x="102"/>
        <item x="13"/>
        <item x="14"/>
        <item x="106"/>
        <item x="152"/>
        <item x="23"/>
        <item x="99"/>
        <item x="92"/>
        <item x="93"/>
        <item x="125"/>
        <item x="108"/>
        <item x="127"/>
        <item x="133"/>
        <item x="134"/>
        <item x="29"/>
        <item x="25"/>
        <item x="126"/>
        <item x="9"/>
        <item x="11"/>
        <item x="56"/>
        <item x="95"/>
        <item x="131"/>
        <item x="132"/>
        <item x="57"/>
        <item x="2"/>
        <item x="110"/>
        <item x="62"/>
        <item x="105"/>
        <item x="47"/>
        <item x="41"/>
        <item x="150"/>
        <item x="12"/>
        <item x="33"/>
        <item x="117"/>
        <item x="115"/>
        <item x="116"/>
        <item x="114"/>
        <item x="113"/>
        <item x="119"/>
        <item x="118"/>
        <item x="120"/>
        <item x="85"/>
        <item x="86"/>
        <item x="87"/>
        <item x="91"/>
        <item x="89"/>
        <item x="90"/>
        <item x="88"/>
        <item x="103"/>
        <item x="28"/>
        <item x="94"/>
        <item x="48"/>
        <item x="156"/>
        <item x="130"/>
        <item x="100"/>
        <item x="98"/>
        <item x="31"/>
        <item x="30"/>
        <item x="42"/>
        <item x="151"/>
        <item x="96"/>
        <item x="32"/>
        <item x="43"/>
        <item x="36"/>
        <item x="59"/>
        <item x="16"/>
        <item x="15"/>
        <item x="147"/>
        <item x="158"/>
        <item x="8"/>
        <item x="45"/>
        <item x="37"/>
        <item x="97"/>
        <item x="65"/>
        <item x="124"/>
        <item x="128"/>
        <item x="149"/>
        <item x="153"/>
        <item x="157"/>
        <item x="104"/>
        <item x="129"/>
        <item x="148"/>
        <item x="142"/>
        <item x="137"/>
        <item x="79"/>
        <item x="84"/>
        <item x="80"/>
        <item x="72"/>
        <item x="73"/>
        <item x="74"/>
        <item x="78"/>
        <item x="76"/>
        <item x="77"/>
        <item x="75"/>
        <item x="83"/>
        <item x="81"/>
        <item x="82"/>
        <item x="186"/>
        <item x="168"/>
        <item x="230"/>
        <item x="169"/>
        <item x="194"/>
        <item x="308"/>
        <item x="170"/>
        <item x="162"/>
        <item x="167"/>
        <item x="193"/>
        <item x="171"/>
        <item x="185"/>
        <item x="187"/>
        <item x="225"/>
        <item x="224"/>
        <item x="276"/>
        <item x="277"/>
        <item x="278"/>
        <item x="293"/>
        <item x="338"/>
        <item x="371"/>
        <item x="385"/>
        <item x="394"/>
        <item x="392"/>
        <item x="280"/>
        <item x="233"/>
        <item x="232"/>
        <item x="182"/>
        <item x="234"/>
        <item x="164"/>
        <item x="188"/>
        <item x="183"/>
        <item x="340"/>
        <item x="372"/>
        <item x="195"/>
        <item x="196"/>
        <item x="231"/>
        <item x="209"/>
        <item x="207"/>
        <item x="206"/>
        <item x="208"/>
        <item x="281"/>
        <item x="282"/>
        <item x="341"/>
        <item x="337"/>
        <item x="342"/>
        <item x="215"/>
        <item x="381"/>
        <item x="382"/>
        <item x="319"/>
        <item x="317"/>
        <item x="318"/>
        <item x="228"/>
        <item x="227"/>
        <item x="226"/>
        <item x="229"/>
        <item x="179"/>
        <item x="172"/>
        <item x="180"/>
        <item x="175"/>
        <item x="177"/>
        <item x="181"/>
        <item x="174"/>
        <item x="173"/>
        <item x="176"/>
        <item x="178"/>
        <item x="189"/>
        <item x="191"/>
        <item x="190"/>
        <item x="192"/>
        <item x="166"/>
        <item x="313"/>
        <item x="312"/>
        <item x="311"/>
        <item x="310"/>
        <item x="309"/>
        <item x="260"/>
        <item x="259"/>
        <item x="369"/>
        <item x="367"/>
        <item x="272"/>
        <item x="269"/>
        <item x="264"/>
        <item x="332"/>
        <item x="265"/>
        <item x="266"/>
        <item x="267"/>
        <item x="262"/>
        <item x="268"/>
        <item x="333"/>
        <item x="263"/>
        <item x="271"/>
        <item x="331"/>
        <item x="255"/>
        <item x="254"/>
        <item x="253"/>
        <item x="330"/>
        <item x="252"/>
        <item x="250"/>
        <item x="249"/>
        <item x="328"/>
        <item x="248"/>
        <item x="251"/>
        <item x="256"/>
        <item x="329"/>
        <item x="257"/>
        <item x="258"/>
        <item x="273"/>
        <item x="368"/>
        <item x="275"/>
        <item x="274"/>
        <item x="270"/>
        <item x="261"/>
        <item x="323"/>
        <item x="322"/>
        <item x="327"/>
        <item x="321"/>
        <item x="324"/>
        <item x="325"/>
        <item x="326"/>
        <item x="378"/>
        <item x="374"/>
        <item x="366"/>
        <item x="365"/>
        <item x="364"/>
        <item x="363"/>
        <item x="377"/>
        <item x="376"/>
        <item x="375"/>
        <item x="362"/>
        <item x="380"/>
        <item x="283"/>
        <item x="284"/>
        <item x="285"/>
        <item x="286"/>
        <item x="287"/>
        <item x="203"/>
        <item x="199"/>
        <item x="197"/>
        <item x="202"/>
        <item x="200"/>
        <item x="201"/>
        <item x="204"/>
        <item x="205"/>
        <item x="198"/>
        <item x="335"/>
        <item x="393"/>
        <item x="336"/>
        <item x="389"/>
        <item x="391"/>
        <item x="390"/>
        <item x="184"/>
        <item x="211"/>
        <item x="216"/>
        <item x="213"/>
        <item x="217"/>
        <item x="289"/>
        <item x="288"/>
        <item x="294"/>
        <item x="295"/>
        <item x="296"/>
        <item x="316"/>
        <item x="297"/>
        <item x="314"/>
        <item x="315"/>
        <item x="320"/>
        <item x="359"/>
        <item x="360"/>
        <item x="379"/>
        <item x="292"/>
        <item x="291"/>
        <item x="290"/>
        <item x="239"/>
        <item x="242"/>
        <item x="244"/>
        <item x="241"/>
        <item x="243"/>
        <item x="238"/>
        <item x="236"/>
        <item x="240"/>
        <item x="237"/>
        <item x="373"/>
        <item x="395"/>
        <item x="339"/>
        <item x="349"/>
        <item x="354"/>
        <item x="353"/>
        <item x="352"/>
        <item x="351"/>
        <item x="350"/>
        <item x="343"/>
        <item x="348"/>
        <item x="347"/>
        <item x="346"/>
        <item x="345"/>
        <item x="344"/>
        <item x="370"/>
        <item x="383"/>
        <item x="384"/>
        <item x="386"/>
        <item x="388"/>
        <item x="387"/>
        <item x="27"/>
        <item x="235"/>
        <item x="112"/>
        <item x="58"/>
        <item x="18"/>
        <item x="35"/>
        <item x="34"/>
        <item x="3"/>
        <item x="17"/>
        <item x="46"/>
        <item x="64"/>
        <item x="138"/>
        <item x="44"/>
        <item x="19"/>
        <item x="24"/>
        <item x="63"/>
        <item x="52"/>
        <item x="53"/>
        <item x="54"/>
        <item x="67"/>
        <item x="5"/>
        <item x="38"/>
        <item x="39"/>
        <item x="68"/>
        <item x="40"/>
        <item x="20"/>
        <item x="144"/>
        <item x="222"/>
        <item x="223"/>
        <item x="221"/>
        <item x="279"/>
        <item x="356"/>
        <item x="214"/>
        <item x="361"/>
        <item x="334"/>
        <item x="218"/>
        <item x="245"/>
        <item x="247"/>
        <item x="246"/>
        <item x="219"/>
        <item x="299"/>
        <item x="300"/>
        <item x="298"/>
        <item x="302"/>
        <item x="301"/>
        <item x="304"/>
        <item x="305"/>
        <item x="307"/>
        <item x="306"/>
        <item x="303"/>
        <item x="26"/>
        <item x="220"/>
        <item x="165"/>
        <item x="50"/>
        <item x="71"/>
        <item x="101"/>
        <item x="7"/>
        <item x="140"/>
        <item x="6"/>
        <item x="61"/>
        <item x="139"/>
        <item x="0"/>
        <item x="161"/>
        <item x="1"/>
        <item x="145"/>
        <item x="69"/>
        <item x="146"/>
        <item x="4"/>
        <item x="66"/>
        <item x="210"/>
        <item x="212"/>
        <item x="49"/>
        <item x="123"/>
        <item x="163"/>
        <item x="660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 v="322"/>
    </i>
    <i>
      <x v="508"/>
    </i>
    <i>
      <x v="507"/>
    </i>
    <i t="grand">
      <x/>
    </i>
  </rowItems>
  <colFields count="2">
    <field x="1"/>
    <field x="0"/>
  </colFields>
  <colItems count="4">
    <i>
      <x v="4"/>
    </i>
    <i>
      <x v="6"/>
      <x v="1"/>
    </i>
    <i t="default">
      <x v="6"/>
    </i>
    <i t="grand">
      <x/>
    </i>
  </colItems>
  <pageFields count="1">
    <pageField fld="4" hier="-1"/>
  </pageFields>
  <dataFields count="1">
    <dataField name="VALOR X SKU" fld="18" baseField="0" baseItem="0"/>
  </dataFields>
  <formats count="32">
    <format dxfId="1640">
      <pivotArea dataOnly="0" labelOnly="1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1639">
      <pivotArea dataOnly="0" labelOnly="1" grandCol="1" outline="0" fieldPosition="0"/>
    </format>
    <format dxfId="1638">
      <pivotArea collapsedLevelsAreSubtotals="1" fieldPosition="0">
        <references count="1">
          <reference field="4" count="31">
            <x v="0"/>
            <x v="1"/>
            <x v="2"/>
            <x v="3"/>
            <x v="4"/>
            <x v="5"/>
            <x v="6"/>
            <x v="8"/>
            <x v="11"/>
            <x v="13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637">
      <pivotArea collapsedLevelsAreSubtotals="1" fieldPosition="0">
        <references count="2">
          <reference field="1" count="0" selected="0"/>
          <reference field="4" count="1">
            <x v="15"/>
          </reference>
        </references>
      </pivotArea>
    </format>
    <format dxfId="1636">
      <pivotArea collapsedLevelsAreSubtotals="1" fieldPosition="0">
        <references count="2">
          <reference field="1" count="0" selected="0"/>
          <reference field="4" count="1">
            <x v="20"/>
          </reference>
        </references>
      </pivotArea>
    </format>
    <format dxfId="1635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25"/>
          </reference>
        </references>
      </pivotArea>
    </format>
    <format dxfId="1634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34"/>
          </reference>
        </references>
      </pivotArea>
    </format>
    <format dxfId="1633">
      <pivotArea collapsedLevelsAreSubtotals="1" fieldPosition="0">
        <references count="2">
          <reference field="1" count="1" selected="0">
            <x v="1"/>
          </reference>
          <reference field="4" count="3">
            <x v="3"/>
            <x v="4"/>
            <x v="5"/>
          </reference>
        </references>
      </pivotArea>
    </format>
    <format dxfId="1632">
      <pivotArea field="4" grandRow="1" collapsedLevelsAreSubtotals="1" axis="axisPage" fieldPosition="0">
        <references count="1">
          <reference field="4" count="1">
            <x v="15"/>
          </reference>
        </references>
      </pivotArea>
    </format>
    <format dxfId="1631">
      <pivotArea field="4" grandRow="1" collapsedLevelsAreSubtotals="1" axis="axisPage" fieldPosition="0">
        <references count="1">
          <reference field="4" count="1">
            <x v="20"/>
          </reference>
        </references>
      </pivotArea>
    </format>
    <format dxfId="1630">
      <pivotArea field="4" grandRow="1" collapsedLevelsAreSubtotals="1" axis="axisPage" fieldPosition="0">
        <references count="1">
          <reference field="4" count="1">
            <x v="25"/>
          </reference>
        </references>
      </pivotArea>
    </format>
    <format dxfId="1629">
      <pivotArea collapsedLevelsAreSubtotals="1" fieldPosition="0">
        <references count="1">
          <reference field="9" count="53">
            <x v="20"/>
            <x v="24"/>
            <x v="43"/>
            <x v="47"/>
            <x v="54"/>
            <x v="55"/>
            <x v="88"/>
            <x v="91"/>
            <x v="92"/>
            <x v="97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8"/>
            <x v="150"/>
            <x v="177"/>
            <x v="178"/>
            <x v="179"/>
            <x v="180"/>
            <x v="181"/>
            <x v="182"/>
            <x v="183"/>
            <x v="184"/>
            <x v="185"/>
            <x v="186"/>
            <x v="272"/>
            <x v="324"/>
            <x v="325"/>
            <x v="326"/>
            <x v="333"/>
            <x v="385"/>
            <x v="396"/>
          </reference>
        </references>
      </pivotArea>
    </format>
    <format dxfId="1628">
      <pivotArea grandRow="1" outline="0" collapsedLevelsAreSubtotals="1" fieldPosition="0"/>
    </format>
    <format dxfId="1627">
      <pivotArea dataOnly="0" fieldPosition="0">
        <references count="1">
          <reference field="9" count="1">
            <x v="272"/>
          </reference>
        </references>
      </pivotArea>
    </format>
    <format dxfId="1626">
      <pivotArea dataOnly="0" labelOnly="1" outline="0" fieldPosition="0">
        <references count="1">
          <reference field="4" count="0"/>
        </references>
      </pivotArea>
    </format>
    <format dxfId="1625">
      <pivotArea dataOnly="0" labelOnly="1" outline="0" fieldPosition="0">
        <references count="1">
          <reference field="4" count="0"/>
        </references>
      </pivotArea>
    </format>
    <format dxfId="1624">
      <pivotArea outline="0" collapsedLevelsAreSubtotals="1" fieldPosition="0"/>
    </format>
    <format dxfId="1623">
      <pivotArea dataOnly="0" fieldPosition="0">
        <references count="1">
          <reference field="9" count="10">
            <x v="97"/>
            <x v="122"/>
            <x v="125"/>
            <x v="127"/>
            <x v="128"/>
            <x v="129"/>
            <x v="132"/>
            <x v="135"/>
            <x v="144"/>
            <x v="277"/>
          </reference>
        </references>
      </pivotArea>
    </format>
    <format dxfId="1622">
      <pivotArea collapsedLevelsAreSubtotals="1" fieldPosition="0">
        <references count="1">
          <reference field="9" count="10">
            <x v="97"/>
            <x v="122"/>
            <x v="125"/>
            <x v="127"/>
            <x v="128"/>
            <x v="129"/>
            <x v="132"/>
            <x v="135"/>
            <x v="144"/>
            <x v="277"/>
          </reference>
        </references>
      </pivotArea>
    </format>
    <format dxfId="1621">
      <pivotArea dataOnly="0" labelOnly="1" fieldPosition="0">
        <references count="1">
          <reference field="9" count="10">
            <x v="97"/>
            <x v="122"/>
            <x v="125"/>
            <x v="127"/>
            <x v="128"/>
            <x v="129"/>
            <x v="132"/>
            <x v="135"/>
            <x v="144"/>
            <x v="277"/>
          </reference>
        </references>
      </pivotArea>
    </format>
    <format dxfId="1620">
      <pivotArea outline="0" collapsedLevelsAreSubtotals="1" fieldPosition="0">
        <references count="1">
          <reference field="0" count="1" selected="0">
            <x v="3"/>
          </reference>
        </references>
      </pivotArea>
    </format>
    <format dxfId="1619">
      <pivotArea dataOnly="0" labelOnly="1" fieldPosition="0">
        <references count="1">
          <reference field="0" count="1">
            <x v="3"/>
          </reference>
        </references>
      </pivotArea>
    </format>
    <format dxfId="1618">
      <pivotArea outline="0" collapsedLevelsAreSubtotals="1" fieldPosition="0">
        <references count="1">
          <reference field="0" count="1" selected="0">
            <x v="4"/>
          </reference>
        </references>
      </pivotArea>
    </format>
    <format dxfId="1617">
      <pivotArea type="topRight" dataOnly="0" labelOnly="1" outline="0" fieldPosition="0"/>
    </format>
    <format dxfId="1616">
      <pivotArea dataOnly="0" labelOnly="1" fieldPosition="0">
        <references count="1">
          <reference field="0" count="1">
            <x v="4"/>
          </reference>
        </references>
      </pivotArea>
    </format>
    <format dxfId="1615">
      <pivotArea outline="0" collapsedLevelsAreSubtotals="1" fieldPosition="0">
        <references count="2">
          <reference field="0" count="2" selected="0">
            <x v="8"/>
            <x v="10"/>
          </reference>
          <reference field="1" count="1" selected="0">
            <x v="4"/>
          </reference>
        </references>
      </pivotArea>
    </format>
    <format dxfId="1614">
      <pivotArea field="1" type="button" dataOnly="0" labelOnly="1" outline="0" axis="axisCol" fieldPosition="0"/>
    </format>
    <format dxfId="1613">
      <pivotArea field="0" type="button" dataOnly="0" labelOnly="1" outline="0" axis="axisCol" fieldPosition="1"/>
    </format>
    <format dxfId="1612">
      <pivotArea dataOnly="0" labelOnly="1" fieldPosition="0">
        <references count="1">
          <reference field="1" count="1">
            <x v="4"/>
          </reference>
        </references>
      </pivotArea>
    </format>
    <format dxfId="1611">
      <pivotArea dataOnly="0" labelOnly="1" fieldPosition="0">
        <references count="2">
          <reference field="0" count="2">
            <x v="8"/>
            <x v="10"/>
          </reference>
          <reference field="1" count="1" selected="0">
            <x v="4"/>
          </reference>
        </references>
      </pivotArea>
    </format>
    <format dxfId="1610">
      <pivotArea outline="0" collapsedLevelsAreSubtotals="1" fieldPosition="0">
        <references count="2">
          <reference field="0" count="1" selected="0">
            <x v="1"/>
          </reference>
          <reference field="1" count="1" selected="0">
            <x v="6"/>
          </reference>
        </references>
      </pivotArea>
    </format>
    <format dxfId="1609">
      <pivotArea dataOnly="0" labelOnly="1" fieldPosition="0">
        <references count="2">
          <reference field="0" count="1">
            <x v="1"/>
          </reference>
          <reference field="1" count="1" selected="0">
            <x v="6"/>
          </reference>
        </references>
      </pivotArea>
    </format>
  </formats>
  <chartFormats count="8">
    <chartFormat chart="31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31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33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33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6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3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8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7E429-1963-4A1F-9754-6BA70BA1B857}" name="TablaDinámica2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7" rowHeaderCaption="CLIENTE  / SKU" colHeaderCaption="ANO/MÊS">
  <location ref="A5:F17" firstHeaderRow="1" firstDataRow="3" firstDataCol="1" rowPageCount="1" colPageCount="1"/>
  <pivotFields count="37">
    <pivotField axis="axisCol" showAll="0">
      <items count="14">
        <item x="7"/>
        <item x="8"/>
        <item x="0"/>
        <item x="9"/>
        <item x="10"/>
        <item x="1"/>
        <item x="2"/>
        <item x="11"/>
        <item x="3"/>
        <item x="4"/>
        <item x="5"/>
        <item x="6"/>
        <item h="1" x="12"/>
        <item t="default"/>
      </items>
    </pivotField>
    <pivotField axis="axisCol" multipleItemSelectionAllowed="1" showAll="0" sumSubtotal="1">
      <items count="8">
        <item h="1" x="0"/>
        <item h="1" x="1"/>
        <item h="1" sd="0" x="2"/>
        <item sd="0" x="3"/>
        <item x="4"/>
        <item h="1" x="6"/>
        <item x="5"/>
        <item t="sum"/>
      </items>
    </pivotField>
    <pivotField showAll="0"/>
    <pivotField showAll="0"/>
    <pivotField axis="axisPage" multipleItemSelectionAllowed="1" showAll="0">
      <items count="66">
        <item h="1" x="8"/>
        <item h="1" x="25"/>
        <item h="1" x="32"/>
        <item h="1" x="15"/>
        <item h="1" x="30"/>
        <item h="1" x="7"/>
        <item h="1" x="10"/>
        <item h="1" x="2"/>
        <item h="1" x="18"/>
        <item h="1" x="6"/>
        <item h="1" x="3"/>
        <item h="1" x="28"/>
        <item h="1" m="1" x="62"/>
        <item h="1" x="16"/>
        <item h="1" x="0"/>
        <item h="1" x="1"/>
        <item h="1" x="29"/>
        <item h="1" x="12"/>
        <item h="1" x="26"/>
        <item h="1" x="27"/>
        <item h="1" x="9"/>
        <item h="1" x="20"/>
        <item h="1" x="13"/>
        <item h="1" x="5"/>
        <item h="1" x="11"/>
        <item h="1" x="17"/>
        <item h="1" x="19"/>
        <item h="1" x="14"/>
        <item h="1" x="23"/>
        <item h="1" m="1" x="64"/>
        <item h="1" x="24"/>
        <item h="1" x="22"/>
        <item h="1" x="31"/>
        <item h="1" x="33"/>
        <item h="1" x="21"/>
        <item h="1" x="4"/>
        <item h="1" x="34"/>
        <item h="1" x="59"/>
        <item h="1" x="35"/>
        <item h="1" x="36"/>
        <item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m="1" x="63"/>
        <item h="1" x="47"/>
        <item h="1" x="48"/>
        <item h="1" m="1" x="61"/>
        <item h="1" m="1" x="60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662">
        <item x="660"/>
        <item x="163"/>
        <item x="123"/>
        <item x="49"/>
        <item x="212"/>
        <item x="210"/>
        <item x="66"/>
        <item x="4"/>
        <item x="146"/>
        <item x="69"/>
        <item x="145"/>
        <item x="1"/>
        <item x="161"/>
        <item x="0"/>
        <item x="139"/>
        <item x="61"/>
        <item x="6"/>
        <item x="140"/>
        <item x="7"/>
        <item x="101"/>
        <item x="71"/>
        <item x="50"/>
        <item x="165"/>
        <item x="220"/>
        <item x="26"/>
        <item x="303"/>
        <item x="306"/>
        <item x="307"/>
        <item x="305"/>
        <item x="304"/>
        <item x="301"/>
        <item x="302"/>
        <item x="298"/>
        <item x="300"/>
        <item x="299"/>
        <item x="219"/>
        <item x="246"/>
        <item x="247"/>
        <item x="245"/>
        <item x="218"/>
        <item x="334"/>
        <item x="361"/>
        <item x="214"/>
        <item x="356"/>
        <item x="279"/>
        <item x="221"/>
        <item x="223"/>
        <item x="222"/>
        <item x="144"/>
        <item x="20"/>
        <item x="40"/>
        <item x="68"/>
        <item x="39"/>
        <item x="38"/>
        <item x="5"/>
        <item x="67"/>
        <item x="54"/>
        <item x="53"/>
        <item x="52"/>
        <item x="63"/>
        <item x="24"/>
        <item x="19"/>
        <item x="44"/>
        <item x="138"/>
        <item x="64"/>
        <item x="46"/>
        <item x="17"/>
        <item x="3"/>
        <item x="34"/>
        <item x="35"/>
        <item x="18"/>
        <item x="58"/>
        <item x="112"/>
        <item x="235"/>
        <item x="27"/>
        <item x="387"/>
        <item x="388"/>
        <item x="386"/>
        <item x="384"/>
        <item x="383"/>
        <item x="370"/>
        <item x="344"/>
        <item x="345"/>
        <item x="346"/>
        <item x="347"/>
        <item x="348"/>
        <item x="343"/>
        <item x="350"/>
        <item x="351"/>
        <item x="352"/>
        <item x="353"/>
        <item x="354"/>
        <item x="349"/>
        <item x="339"/>
        <item x="395"/>
        <item x="373"/>
        <item x="237"/>
        <item x="240"/>
        <item x="236"/>
        <item x="238"/>
        <item x="243"/>
        <item x="241"/>
        <item x="244"/>
        <item x="242"/>
        <item x="239"/>
        <item x="290"/>
        <item x="291"/>
        <item x="292"/>
        <item x="379"/>
        <item x="360"/>
        <item x="359"/>
        <item x="320"/>
        <item x="315"/>
        <item x="314"/>
        <item x="297"/>
        <item x="316"/>
        <item x="296"/>
        <item x="295"/>
        <item x="294"/>
        <item x="288"/>
        <item x="289"/>
        <item x="217"/>
        <item x="213"/>
        <item x="216"/>
        <item x="211"/>
        <item x="184"/>
        <item x="390"/>
        <item x="391"/>
        <item x="389"/>
        <item x="336"/>
        <item x="393"/>
        <item x="335"/>
        <item x="198"/>
        <item x="205"/>
        <item x="204"/>
        <item x="201"/>
        <item x="200"/>
        <item x="202"/>
        <item x="197"/>
        <item x="199"/>
        <item x="203"/>
        <item x="287"/>
        <item x="286"/>
        <item x="285"/>
        <item x="284"/>
        <item x="283"/>
        <item x="380"/>
        <item x="362"/>
        <item x="375"/>
        <item x="376"/>
        <item x="377"/>
        <item x="363"/>
        <item x="364"/>
        <item x="365"/>
        <item x="366"/>
        <item x="374"/>
        <item x="378"/>
        <item x="326"/>
        <item x="325"/>
        <item x="324"/>
        <item x="321"/>
        <item x="327"/>
        <item x="322"/>
        <item x="323"/>
        <item x="261"/>
        <item x="270"/>
        <item x="274"/>
        <item x="275"/>
        <item x="368"/>
        <item x="273"/>
        <item x="258"/>
        <item x="257"/>
        <item x="329"/>
        <item x="256"/>
        <item x="251"/>
        <item x="248"/>
        <item x="328"/>
        <item x="249"/>
        <item x="250"/>
        <item x="252"/>
        <item x="330"/>
        <item x="253"/>
        <item x="254"/>
        <item x="255"/>
        <item x="331"/>
        <item x="271"/>
        <item x="263"/>
        <item x="333"/>
        <item x="268"/>
        <item x="262"/>
        <item x="267"/>
        <item x="266"/>
        <item x="265"/>
        <item x="332"/>
        <item x="264"/>
        <item x="269"/>
        <item x="272"/>
        <item x="367"/>
        <item x="369"/>
        <item x="259"/>
        <item x="260"/>
        <item x="405"/>
        <item x="406"/>
        <item x="403"/>
        <item x="404"/>
        <item x="309"/>
        <item x="310"/>
        <item x="311"/>
        <item x="312"/>
        <item x="313"/>
        <item x="166"/>
        <item x="397"/>
        <item x="192"/>
        <item x="190"/>
        <item x="191"/>
        <item x="189"/>
        <item x="178"/>
        <item x="176"/>
        <item x="173"/>
        <item x="174"/>
        <item x="181"/>
        <item x="177"/>
        <item x="175"/>
        <item x="180"/>
        <item x="172"/>
        <item x="179"/>
        <item x="229"/>
        <item x="226"/>
        <item x="227"/>
        <item x="228"/>
        <item x="318"/>
        <item x="317"/>
        <item x="319"/>
        <item x="382"/>
        <item x="381"/>
        <item x="215"/>
        <item x="402"/>
        <item x="342"/>
        <item x="337"/>
        <item x="341"/>
        <item x="282"/>
        <item x="281"/>
        <item x="208"/>
        <item x="206"/>
        <item x="207"/>
        <item x="209"/>
        <item x="231"/>
        <item x="196"/>
        <item x="195"/>
        <item x="401"/>
        <item x="372"/>
        <item x="340"/>
        <item x="183"/>
        <item x="188"/>
        <item x="164"/>
        <item x="234"/>
        <item x="182"/>
        <item x="232"/>
        <item x="233"/>
        <item x="398"/>
        <item x="399"/>
        <item x="400"/>
        <item x="280"/>
        <item x="392"/>
        <item x="394"/>
        <item x="385"/>
        <item x="371"/>
        <item x="338"/>
        <item x="293"/>
        <item x="278"/>
        <item x="277"/>
        <item x="276"/>
        <item x="224"/>
        <item x="225"/>
        <item x="187"/>
        <item x="185"/>
        <item x="171"/>
        <item x="193"/>
        <item x="167"/>
        <item x="162"/>
        <item x="170"/>
        <item x="308"/>
        <item x="194"/>
        <item x="169"/>
        <item x="230"/>
        <item x="168"/>
        <item x="186"/>
        <item x="82"/>
        <item x="81"/>
        <item x="83"/>
        <item x="75"/>
        <item x="77"/>
        <item x="76"/>
        <item x="78"/>
        <item x="74"/>
        <item x="73"/>
        <item x="72"/>
        <item x="80"/>
        <item x="84"/>
        <item x="79"/>
        <item x="137"/>
        <item x="142"/>
        <item x="148"/>
        <item x="129"/>
        <item x="104"/>
        <item x="157"/>
        <item x="153"/>
        <item x="149"/>
        <item x="128"/>
        <item x="124"/>
        <item x="65"/>
        <item x="97"/>
        <item x="37"/>
        <item x="45"/>
        <item x="8"/>
        <item x="158"/>
        <item x="147"/>
        <item x="15"/>
        <item x="16"/>
        <item x="59"/>
        <item x="36"/>
        <item x="43"/>
        <item x="32"/>
        <item x="96"/>
        <item x="151"/>
        <item x="42"/>
        <item x="30"/>
        <item x="31"/>
        <item x="98"/>
        <item x="100"/>
        <item x="130"/>
        <item x="156"/>
        <item x="48"/>
        <item x="94"/>
        <item x="28"/>
        <item x="103"/>
        <item x="88"/>
        <item x="90"/>
        <item x="89"/>
        <item x="91"/>
        <item x="87"/>
        <item x="86"/>
        <item x="85"/>
        <item x="120"/>
        <item x="118"/>
        <item x="119"/>
        <item x="113"/>
        <item x="114"/>
        <item x="116"/>
        <item x="115"/>
        <item x="117"/>
        <item x="33"/>
        <item x="12"/>
        <item x="150"/>
        <item x="41"/>
        <item x="47"/>
        <item x="105"/>
        <item x="62"/>
        <item x="110"/>
        <item x="2"/>
        <item x="57"/>
        <item x="132"/>
        <item x="131"/>
        <item x="95"/>
        <item x="56"/>
        <item x="11"/>
        <item x="9"/>
        <item x="126"/>
        <item x="25"/>
        <item x="29"/>
        <item x="134"/>
        <item x="133"/>
        <item x="127"/>
        <item x="108"/>
        <item x="125"/>
        <item x="93"/>
        <item x="92"/>
        <item x="99"/>
        <item x="23"/>
        <item x="152"/>
        <item x="106"/>
        <item x="14"/>
        <item x="13"/>
        <item x="102"/>
        <item x="51"/>
        <item x="22"/>
        <item x="155"/>
        <item x="55"/>
        <item x="143"/>
        <item x="141"/>
        <item x="21"/>
        <item x="154"/>
        <item x="10"/>
        <item x="70"/>
        <item x="160"/>
        <item x="60"/>
        <item x="111"/>
        <item x="121"/>
        <item x="109"/>
        <item x="107"/>
        <item x="159"/>
        <item x="136"/>
        <item x="122"/>
        <item x="135"/>
        <item x="396"/>
        <item x="358"/>
        <item x="357"/>
        <item x="355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0">
    <i>
      <x v="432"/>
    </i>
    <i>
      <x v="603"/>
    </i>
    <i>
      <x v="602"/>
    </i>
    <i>
      <x v="429"/>
    </i>
    <i>
      <x v="431"/>
    </i>
    <i>
      <x v="600"/>
    </i>
    <i>
      <x v="430"/>
    </i>
    <i>
      <x v="601"/>
    </i>
    <i>
      <x v="599"/>
    </i>
    <i t="grand">
      <x/>
    </i>
  </rowItems>
  <colFields count="2">
    <field x="1"/>
    <field x="0"/>
  </colFields>
  <colItems count="5">
    <i>
      <x v="4"/>
      <x v="4"/>
    </i>
    <i t="sum">
      <x v="4"/>
    </i>
    <i>
      <x v="6"/>
      <x v="4"/>
    </i>
    <i t="sum">
      <x v="6"/>
    </i>
    <i t="grand">
      <x/>
    </i>
  </colItems>
  <pageFields count="1">
    <pageField fld="4" hier="-1"/>
  </pageFields>
  <dataFields count="1">
    <dataField name="QTDE MTS" fld="22" baseField="0" baseItem="0" numFmtId="3"/>
  </dataFields>
  <formats count="96">
    <format dxfId="1501">
      <pivotArea dataOnly="0" labelOnly="1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1500">
      <pivotArea dataOnly="0" labelOnly="1" grandCol="1" outline="0" fieldPosition="0"/>
    </format>
    <format dxfId="1499">
      <pivotArea collapsedLevelsAreSubtotals="1" fieldPosition="0">
        <references count="1">
          <reference field="4" count="31">
            <x v="0"/>
            <x v="1"/>
            <x v="2"/>
            <x v="3"/>
            <x v="4"/>
            <x v="5"/>
            <x v="6"/>
            <x v="8"/>
            <x v="11"/>
            <x v="13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498">
      <pivotArea collapsedLevelsAreSubtotals="1" fieldPosition="0">
        <references count="2">
          <reference field="1" count="0" selected="0"/>
          <reference field="4" count="1">
            <x v="15"/>
          </reference>
        </references>
      </pivotArea>
    </format>
    <format dxfId="1497">
      <pivotArea collapsedLevelsAreSubtotals="1" fieldPosition="0">
        <references count="2">
          <reference field="1" count="0" selected="0"/>
          <reference field="4" count="1">
            <x v="20"/>
          </reference>
        </references>
      </pivotArea>
    </format>
    <format dxfId="1496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25"/>
          </reference>
        </references>
      </pivotArea>
    </format>
    <format dxfId="1495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34"/>
          </reference>
        </references>
      </pivotArea>
    </format>
    <format dxfId="1494">
      <pivotArea collapsedLevelsAreSubtotals="1" fieldPosition="0">
        <references count="2">
          <reference field="1" count="1" selected="0">
            <x v="1"/>
          </reference>
          <reference field="4" count="3">
            <x v="3"/>
            <x v="4"/>
            <x v="5"/>
          </reference>
        </references>
      </pivotArea>
    </format>
    <format dxfId="1493">
      <pivotArea field="4" grandRow="1" collapsedLevelsAreSubtotals="1" axis="axisPage" fieldPosition="0">
        <references count="1">
          <reference field="4" count="1">
            <x v="15"/>
          </reference>
        </references>
      </pivotArea>
    </format>
    <format dxfId="1492">
      <pivotArea field="4" grandRow="1" collapsedLevelsAreSubtotals="1" axis="axisPage" fieldPosition="0">
        <references count="1">
          <reference field="4" count="1">
            <x v="20"/>
          </reference>
        </references>
      </pivotArea>
    </format>
    <format dxfId="1491">
      <pivotArea field="4" grandRow="1" collapsedLevelsAreSubtotals="1" axis="axisPage" fieldPosition="0">
        <references count="1">
          <reference field="4" count="1">
            <x v="25"/>
          </reference>
        </references>
      </pivotArea>
    </format>
    <format dxfId="1490">
      <pivotArea collapsedLevelsAreSubtotals="1" fieldPosition="0">
        <references count="1">
          <reference field="9" count="53">
            <x v="1"/>
            <x v="12"/>
            <x v="64"/>
            <x v="71"/>
            <x v="72"/>
            <x v="73"/>
            <x v="125"/>
            <x v="216"/>
            <x v="217"/>
            <x v="218"/>
            <x v="219"/>
            <x v="220"/>
            <x v="221"/>
            <x v="222"/>
            <x v="223"/>
            <x v="224"/>
            <x v="225"/>
            <x v="254"/>
            <x v="256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310"/>
            <x v="315"/>
            <x v="316"/>
            <x v="319"/>
            <x v="352"/>
            <x v="353"/>
            <x v="360"/>
            <x v="364"/>
            <x v="383"/>
            <x v="387"/>
          </reference>
        </references>
      </pivotArea>
    </format>
    <format dxfId="1489">
      <pivotArea grandRow="1" outline="0" collapsedLevelsAreSubtotals="1" fieldPosition="0"/>
    </format>
    <format dxfId="1488">
      <pivotArea dataOnly="0" fieldPosition="0">
        <references count="1">
          <reference field="9" count="1">
            <x v="310"/>
          </reference>
        </references>
      </pivotArea>
    </format>
    <format dxfId="1487">
      <pivotArea dataOnly="0" fieldPosition="0">
        <references count="1">
          <reference field="9" count="1">
            <x v="285"/>
          </reference>
        </references>
      </pivotArea>
    </format>
    <format dxfId="1486">
      <pivotArea dataOnly="0" fieldPosition="0">
        <references count="1">
          <reference field="9" count="1">
            <x v="275"/>
          </reference>
        </references>
      </pivotArea>
    </format>
    <format dxfId="1485">
      <pivotArea dataOnly="0" fieldPosition="0">
        <references count="1">
          <reference field="9" count="1">
            <x v="280"/>
          </reference>
        </references>
      </pivotArea>
    </format>
    <format dxfId="1484">
      <pivotArea dataOnly="0" fieldPosition="0">
        <references count="1">
          <reference field="9" count="1">
            <x v="125"/>
          </reference>
        </references>
      </pivotArea>
    </format>
    <format dxfId="1483">
      <pivotArea dataOnly="0" labelOnly="1" outline="0" fieldPosition="0">
        <references count="1">
          <reference field="4" count="0"/>
        </references>
      </pivotArea>
    </format>
    <format dxfId="1482">
      <pivotArea dataOnly="0" labelOnly="1" outline="0" fieldPosition="0">
        <references count="1">
          <reference field="4" count="0"/>
        </references>
      </pivotArea>
    </format>
    <format dxfId="1481">
      <pivotArea collapsedLevelsAreSubtotals="1" fieldPosition="0">
        <references count="1">
          <reference field="9" count="10">
            <x v="125"/>
            <x v="263"/>
            <x v="272"/>
            <x v="275"/>
            <x v="278"/>
            <x v="279"/>
            <x v="280"/>
            <x v="282"/>
            <x v="285"/>
            <x v="310"/>
          </reference>
        </references>
      </pivotArea>
    </format>
    <format dxfId="1480">
      <pivotArea collapsedLevelsAreSubtotals="1" fieldPosition="0">
        <references count="1">
          <reference field="9" count="10">
            <x v="125"/>
            <x v="263"/>
            <x v="272"/>
            <x v="275"/>
            <x v="278"/>
            <x v="279"/>
            <x v="280"/>
            <x v="282"/>
            <x v="285"/>
            <x v="310"/>
          </reference>
        </references>
      </pivotArea>
    </format>
    <format dxfId="1479">
      <pivotArea dataOnly="0" labelOnly="1" fieldPosition="0">
        <references count="1">
          <reference field="9" count="8">
            <x v="125"/>
            <x v="275"/>
            <x v="278"/>
            <x v="279"/>
            <x v="280"/>
            <x v="282"/>
            <x v="285"/>
            <x v="310"/>
          </reference>
        </references>
      </pivotArea>
    </format>
    <format dxfId="1478">
      <pivotArea collapsedLevelsAreSubtotals="1" fieldPosition="0">
        <references count="1">
          <reference field="9" count="1">
            <x v="278"/>
          </reference>
        </references>
      </pivotArea>
    </format>
    <format dxfId="1477">
      <pivotArea field="9" grandCol="1" collapsedLevelsAreSubtotals="1" axis="axisRow" fieldPosition="0">
        <references count="1">
          <reference field="9" count="7">
            <x v="263"/>
            <x v="278"/>
            <x v="280"/>
            <x v="282"/>
            <x v="285"/>
            <x v="414"/>
            <x v="415"/>
          </reference>
        </references>
      </pivotArea>
    </format>
    <format dxfId="1476">
      <pivotArea dataOnly="0" labelOnly="1" fieldPosition="0">
        <references count="1">
          <reference field="9" count="10">
            <x v="263"/>
            <x v="272"/>
            <x v="278"/>
            <x v="279"/>
            <x v="280"/>
            <x v="282"/>
            <x v="285"/>
            <x v="414"/>
            <x v="415"/>
            <x v="417"/>
          </reference>
        </references>
      </pivotArea>
    </format>
    <format dxfId="1475">
      <pivotArea outline="0" collapsedLevelsAreSubtotals="1" fieldPosition="0"/>
    </format>
    <format dxfId="1474">
      <pivotArea collapsedLevelsAreSubtotals="1" fieldPosition="0">
        <references count="2">
          <reference field="1" count="1" selected="0">
            <x v="4"/>
          </reference>
          <reference field="9" count="4">
            <x v="73"/>
            <x v="277"/>
            <x v="284"/>
            <x v="286"/>
          </reference>
        </references>
      </pivotArea>
    </format>
    <format dxfId="1473">
      <pivotArea collapsedLevelsAreSubtotals="1" fieldPosition="0">
        <references count="2">
          <reference field="1" count="1" selected="0">
            <x v="4"/>
          </reference>
          <reference field="9" count="1">
            <x v="268"/>
          </reference>
        </references>
      </pivotArea>
    </format>
    <format dxfId="1472">
      <pivotArea collapsedLevelsAreSubtotals="1" fieldPosition="0">
        <references count="2">
          <reference field="1" count="1" selected="0">
            <x v="4"/>
          </reference>
          <reference field="9" count="3">
            <x v="1"/>
            <x v="270"/>
            <x v="276"/>
          </reference>
        </references>
      </pivotArea>
    </format>
    <format dxfId="1471">
      <pivotArea collapsedLevelsAreSubtotals="1" fieldPosition="0">
        <references count="2">
          <reference field="1" count="1" selected="0">
            <x v="3"/>
          </reference>
          <reference field="9" count="2">
            <x v="1"/>
            <x v="276"/>
          </reference>
        </references>
      </pivotArea>
    </format>
    <format dxfId="1470">
      <pivotArea collapsedLevelsAreSubtotals="1" fieldPosition="0">
        <references count="2">
          <reference field="1" count="2" selected="0">
            <x v="3"/>
            <x v="4"/>
          </reference>
          <reference field="9" count="3">
            <x v="220"/>
            <x v="274"/>
            <x v="283"/>
          </reference>
        </references>
      </pivotArea>
    </format>
    <format dxfId="1469">
      <pivotArea collapsedLevelsAreSubtotals="1" fieldPosition="0">
        <references count="2">
          <reference field="1" count="1" selected="0">
            <x v="4"/>
          </reference>
          <reference field="9" count="1">
            <x v="254"/>
          </reference>
        </references>
      </pivotArea>
    </format>
    <format dxfId="1468">
      <pivotArea collapsedLevelsAreSubtotals="1" fieldPosition="0">
        <references count="2">
          <reference field="1" count="2" selected="0">
            <x v="3"/>
            <x v="4"/>
          </reference>
          <reference field="9" count="7">
            <x v="217"/>
            <x v="218"/>
            <x v="219"/>
            <x v="223"/>
            <x v="224"/>
            <x v="225"/>
            <x v="256"/>
          </reference>
        </references>
      </pivotArea>
    </format>
    <format dxfId="1467">
      <pivotArea collapsedLevelsAreSubtotals="1" fieldPosition="0">
        <references count="2">
          <reference field="1" count="2" selected="0">
            <x v="3"/>
            <x v="4"/>
          </reference>
          <reference field="9" count="1">
            <x v="222"/>
          </reference>
        </references>
      </pivotArea>
    </format>
    <format dxfId="1466">
      <pivotArea collapsedLevelsAreSubtotals="1" fieldPosition="0">
        <references count="2">
          <reference field="1" count="1" selected="0">
            <x v="4"/>
          </reference>
          <reference field="9" count="1">
            <x v="271"/>
          </reference>
        </references>
      </pivotArea>
    </format>
    <format dxfId="1465">
      <pivotArea collapsedLevelsAreSubtotals="1" fieldPosition="0">
        <references count="2">
          <reference field="1" count="2" selected="0">
            <x v="3"/>
            <x v="4"/>
          </reference>
          <reference field="9" count="2">
            <x v="216"/>
            <x v="221"/>
          </reference>
        </references>
      </pivotArea>
    </format>
    <format dxfId="1464">
      <pivotArea collapsedLevelsAreSubtotals="1" fieldPosition="0">
        <references count="2">
          <reference field="1" count="1" selected="0">
            <x v="4"/>
          </reference>
          <reference field="9" count="7">
            <x v="12"/>
            <x v="310"/>
            <x v="315"/>
            <x v="316"/>
            <x v="352"/>
            <x v="394"/>
            <x v="400"/>
          </reference>
        </references>
      </pivotArea>
    </format>
    <format dxfId="1463">
      <pivotArea collapsedLevelsAreSubtotals="1" fieldPosition="0">
        <references count="2">
          <reference field="1" count="1" selected="0">
            <x v="4"/>
          </reference>
          <reference field="9" count="6">
            <x v="12"/>
            <x v="310"/>
            <x v="315"/>
            <x v="316"/>
            <x v="394"/>
            <x v="400"/>
          </reference>
        </references>
      </pivotArea>
    </format>
    <format dxfId="1462">
      <pivotArea collapsedLevelsAreSubtotals="1" fieldPosition="0">
        <references count="1">
          <reference field="9" count="6">
            <x v="12"/>
            <x v="310"/>
            <x v="315"/>
            <x v="352"/>
            <x v="394"/>
            <x v="400"/>
          </reference>
        </references>
      </pivotArea>
    </format>
    <format dxfId="1461">
      <pivotArea collapsedLevelsAreSubtotals="1" fieldPosition="0">
        <references count="1">
          <reference field="9" count="1">
            <x v="316"/>
          </reference>
        </references>
      </pivotArea>
    </format>
    <format dxfId="1460">
      <pivotArea collapsedLevelsAreSubtotals="1" fieldPosition="0">
        <references count="2">
          <reference field="1" count="1" selected="0">
            <x v="4"/>
          </reference>
          <reference field="9" count="1">
            <x v="125"/>
          </reference>
        </references>
      </pivotArea>
    </format>
    <format dxfId="1459">
      <pivotArea collapsedLevelsAreSubtotals="1" fieldPosition="0">
        <references count="2">
          <reference field="1" count="1" selected="0">
            <x v="4"/>
          </reference>
          <reference field="9" count="4">
            <x v="73"/>
            <x v="277"/>
            <x v="284"/>
            <x v="286"/>
          </reference>
        </references>
      </pivotArea>
    </format>
    <format dxfId="1458">
      <pivotArea collapsedLevelsAreSubtotals="1" fieldPosition="0">
        <references count="2">
          <reference field="1" count="1" selected="0">
            <x v="4"/>
          </reference>
          <reference field="9" count="1">
            <x v="270"/>
          </reference>
        </references>
      </pivotArea>
    </format>
    <format dxfId="1457">
      <pivotArea collapsedLevelsAreSubtotals="1" fieldPosition="0">
        <references count="2">
          <reference field="1" count="0" selected="0"/>
          <reference field="9" count="1">
            <x v="278"/>
          </reference>
        </references>
      </pivotArea>
    </format>
    <format dxfId="1456">
      <pivotArea dataOnly="0" labelOnly="1" fieldPosition="0">
        <references count="1">
          <reference field="9" count="10">
            <x v="125"/>
            <x v="263"/>
            <x v="272"/>
            <x v="275"/>
            <x v="277"/>
            <x v="278"/>
            <x v="279"/>
            <x v="280"/>
            <x v="282"/>
            <x v="285"/>
          </reference>
        </references>
      </pivotArea>
    </format>
    <format dxfId="1455">
      <pivotArea collapsedLevelsAreSubtotals="1" fieldPosition="0">
        <references count="2">
          <reference field="1" count="1" selected="0">
            <x v="4"/>
          </reference>
          <reference field="9" count="3">
            <x v="1"/>
            <x v="268"/>
            <x v="276"/>
          </reference>
        </references>
      </pivotArea>
    </format>
    <format dxfId="1454">
      <pivotArea collapsedLevelsAreSubtotals="1" fieldPosition="0">
        <references count="2">
          <reference field="1" count="1" selected="0">
            <x v="3"/>
          </reference>
          <reference field="9" count="2">
            <x v="1"/>
            <x v="276"/>
          </reference>
        </references>
      </pivotArea>
    </format>
    <format dxfId="1453">
      <pivotArea collapsedLevelsAreSubtotals="1" fieldPosition="0">
        <references count="2">
          <reference field="1" count="2" selected="0">
            <x v="3"/>
            <x v="4"/>
          </reference>
          <reference field="9" count="3">
            <x v="220"/>
            <x v="274"/>
            <x v="283"/>
          </reference>
        </references>
      </pivotArea>
    </format>
    <format dxfId="1452">
      <pivotArea collapsedLevelsAreSubtotals="1" fieldPosition="0">
        <references count="2">
          <reference field="1" count="1" selected="0">
            <x v="4"/>
          </reference>
          <reference field="9" count="1">
            <x v="254"/>
          </reference>
        </references>
      </pivotArea>
    </format>
    <format dxfId="1451">
      <pivotArea collapsedLevelsAreSubtotals="1" fieldPosition="0">
        <references count="2">
          <reference field="1" count="2" selected="0">
            <x v="3"/>
            <x v="4"/>
          </reference>
          <reference field="9" count="7">
            <x v="217"/>
            <x v="218"/>
            <x v="219"/>
            <x v="223"/>
            <x v="224"/>
            <x v="225"/>
            <x v="256"/>
          </reference>
        </references>
      </pivotArea>
    </format>
    <format dxfId="1450">
      <pivotArea collapsedLevelsAreSubtotals="1" fieldPosition="0">
        <references count="2">
          <reference field="1" count="2" selected="0">
            <x v="3"/>
            <x v="4"/>
          </reference>
          <reference field="9" count="1">
            <x v="222"/>
          </reference>
        </references>
      </pivotArea>
    </format>
    <format dxfId="1449">
      <pivotArea collapsedLevelsAreSubtotals="1" fieldPosition="0">
        <references count="2">
          <reference field="1" count="2" selected="0">
            <x v="3"/>
            <x v="4"/>
          </reference>
          <reference field="9" count="2">
            <x v="216"/>
            <x v="221"/>
          </reference>
        </references>
      </pivotArea>
    </format>
    <format dxfId="1448">
      <pivotArea collapsedLevelsAreSubtotals="1" fieldPosition="0">
        <references count="2">
          <reference field="1" count="1" selected="0">
            <x v="4"/>
          </reference>
          <reference field="9" count="1">
            <x v="271"/>
          </reference>
        </references>
      </pivotArea>
    </format>
    <format dxfId="1447">
      <pivotArea collapsedLevelsAreSubtotals="1" fieldPosition="0">
        <references count="1">
          <reference field="9" count="7">
            <x v="12"/>
            <x v="310"/>
            <x v="315"/>
            <x v="316"/>
            <x v="352"/>
            <x v="394"/>
            <x v="400"/>
          </reference>
        </references>
      </pivotArea>
    </format>
    <format dxfId="1446">
      <pivotArea collapsedLevelsAreSubtotals="1" fieldPosition="0">
        <references count="1">
          <reference field="9" count="7">
            <x v="12"/>
            <x v="310"/>
            <x v="315"/>
            <x v="316"/>
            <x v="352"/>
            <x v="394"/>
            <x v="400"/>
          </reference>
        </references>
      </pivotArea>
    </format>
    <format dxfId="1445">
      <pivotArea collapsedLevelsAreSubtotals="1" fieldPosition="0">
        <references count="2">
          <reference field="1" count="2" selected="0">
            <x v="3"/>
            <x v="4"/>
          </reference>
          <reference field="9" count="2">
            <x v="216"/>
            <x v="221"/>
          </reference>
        </references>
      </pivotArea>
    </format>
    <format dxfId="1444">
      <pivotArea collapsedLevelsAreSubtotals="1" fieldPosition="0">
        <references count="2">
          <reference field="1" count="2" selected="0">
            <x v="3"/>
            <x v="4"/>
          </reference>
          <reference field="9" count="1">
            <x v="222"/>
          </reference>
        </references>
      </pivotArea>
    </format>
    <format dxfId="1443">
      <pivotArea collapsedLevelsAreSubtotals="1" fieldPosition="0">
        <references count="2">
          <reference field="1" count="1" selected="0">
            <x v="4"/>
          </reference>
          <reference field="9" count="1">
            <x v="271"/>
          </reference>
        </references>
      </pivotArea>
    </format>
    <format dxfId="1442">
      <pivotArea collapsedLevelsAreSubtotals="1" fieldPosition="0">
        <references count="2">
          <reference field="1" count="2" selected="0">
            <x v="3"/>
            <x v="4"/>
          </reference>
          <reference field="9" count="7">
            <x v="217"/>
            <x v="218"/>
            <x v="219"/>
            <x v="223"/>
            <x v="224"/>
            <x v="225"/>
            <x v="256"/>
          </reference>
        </references>
      </pivotArea>
    </format>
    <format dxfId="1441">
      <pivotArea collapsedLevelsAreSubtotals="1" fieldPosition="0">
        <references count="2">
          <reference field="1" count="1" selected="0">
            <x v="4"/>
          </reference>
          <reference field="9" count="1">
            <x v="254"/>
          </reference>
        </references>
      </pivotArea>
    </format>
    <format dxfId="1440">
      <pivotArea collapsedLevelsAreSubtotals="1" fieldPosition="0">
        <references count="2">
          <reference field="1" count="2" selected="0">
            <x v="3"/>
            <x v="4"/>
          </reference>
          <reference field="9" count="3">
            <x v="220"/>
            <x v="274"/>
            <x v="283"/>
          </reference>
        </references>
      </pivotArea>
    </format>
    <format dxfId="1439">
      <pivotArea collapsedLevelsAreSubtotals="1" fieldPosition="0">
        <references count="2">
          <reference field="1" count="2" selected="0">
            <x v="3"/>
            <x v="4"/>
          </reference>
          <reference field="9" count="2">
            <x v="1"/>
            <x v="276"/>
          </reference>
        </references>
      </pivotArea>
    </format>
    <format dxfId="1438">
      <pivotArea collapsedLevelsAreSubtotals="1" fieldPosition="0">
        <references count="2">
          <reference field="1" count="1" selected="0">
            <x v="4"/>
          </reference>
          <reference field="9" count="1">
            <x v="268"/>
          </reference>
        </references>
      </pivotArea>
    </format>
    <format dxfId="1437">
      <pivotArea collapsedLevelsAreSubtotals="1" fieldPosition="0">
        <references count="2">
          <reference field="1" count="2" selected="0">
            <x v="2"/>
            <x v="3"/>
          </reference>
          <reference field="9" count="1">
            <x v="263"/>
          </reference>
        </references>
      </pivotArea>
    </format>
    <format dxfId="1436">
      <pivotArea collapsedLevelsAreSubtotals="1" fieldPosition="0">
        <references count="2">
          <reference field="1" count="1" selected="0">
            <x v="3"/>
          </reference>
          <reference field="9" count="1">
            <x v="286"/>
          </reference>
        </references>
      </pivotArea>
    </format>
    <format dxfId="1435">
      <pivotArea collapsedLevelsAreSubtotals="1" fieldPosition="0">
        <references count="2">
          <reference field="1" count="2" selected="0">
            <x v="2"/>
            <x v="3"/>
          </reference>
          <reference field="9" count="1">
            <x v="264"/>
          </reference>
        </references>
      </pivotArea>
    </format>
    <format dxfId="1434">
      <pivotArea collapsedLevelsAreSubtotals="1" fieldPosition="0">
        <references count="2">
          <reference field="1" count="1" selected="0">
            <x v="2"/>
          </reference>
          <reference field="9" count="1">
            <x v="281"/>
          </reference>
        </references>
      </pivotArea>
    </format>
    <format dxfId="1433">
      <pivotArea collapsedLevelsAreSubtotals="1" fieldPosition="0">
        <references count="2">
          <reference field="1" count="2" selected="0">
            <x v="2"/>
            <x v="3"/>
          </reference>
          <reference field="9" count="2">
            <x v="265"/>
            <x v="414"/>
          </reference>
        </references>
      </pivotArea>
    </format>
    <format dxfId="1432">
      <pivotArea collapsedLevelsAreSubtotals="1" fieldPosition="0">
        <references count="2">
          <reference field="1" count="2" selected="0">
            <x v="2"/>
            <x v="3"/>
          </reference>
          <reference field="9" count="2">
            <x v="415"/>
            <x v="417"/>
          </reference>
        </references>
      </pivotArea>
    </format>
    <format dxfId="1431">
      <pivotArea collapsedLevelsAreSubtotals="1" fieldPosition="0">
        <references count="2">
          <reference field="1" count="1" selected="0">
            <x v="2"/>
          </reference>
          <reference field="9" count="1">
            <x v="267"/>
          </reference>
        </references>
      </pivotArea>
    </format>
    <format dxfId="1430">
      <pivotArea collapsedLevelsAreSubtotals="1" fieldPosition="0">
        <references count="2">
          <reference field="1" count="2" selected="0">
            <x v="2"/>
            <x v="3"/>
          </reference>
          <reference field="9" count="1">
            <x v="416"/>
          </reference>
        </references>
      </pivotArea>
    </format>
    <format dxfId="1429">
      <pivotArea collapsedLevelsAreSubtotals="1" fieldPosition="0">
        <references count="2">
          <reference field="1" count="1" selected="0">
            <x v="3"/>
          </reference>
          <reference field="9" count="1">
            <x v="265"/>
          </reference>
        </references>
      </pivotArea>
    </format>
    <format dxfId="1428">
      <pivotArea collapsedLevelsAreSubtotals="1" fieldPosition="0">
        <references count="2">
          <reference field="1" count="1" selected="0">
            <x v="4"/>
          </reference>
          <reference field="9" count="1">
            <x v="270"/>
          </reference>
        </references>
      </pivotArea>
    </format>
    <format dxfId="1427">
      <pivotArea dataOnly="0" labelOnly="1" fieldPosition="0">
        <references count="1">
          <reference field="9" count="1">
            <x v="264"/>
          </reference>
        </references>
      </pivotArea>
    </format>
    <format dxfId="1426">
      <pivotArea dataOnly="0" labelOnly="1" fieldPosition="0">
        <references count="1">
          <reference field="9" count="1">
            <x v="277"/>
          </reference>
        </references>
      </pivotArea>
    </format>
    <format dxfId="1425">
      <pivotArea collapsedLevelsAreSubtotals="1" fieldPosition="0">
        <references count="2">
          <reference field="1" count="1" selected="0">
            <x v="4"/>
          </reference>
          <reference field="9" count="1">
            <x v="269"/>
          </reference>
        </references>
      </pivotArea>
    </format>
    <format dxfId="1424">
      <pivotArea outline="0" collapsedLevelsAreSubtotals="1" fieldPosition="0">
        <references count="1">
          <reference field="1" count="1" selected="0">
            <x v="4"/>
          </reference>
        </references>
      </pivotArea>
    </format>
    <format dxfId="1423">
      <pivotArea dataOnly="0" labelOnly="1" outline="0" fieldPosition="0">
        <references count="1">
          <reference field="4" count="0"/>
        </references>
      </pivotArea>
    </format>
    <format dxfId="1422">
      <pivotArea field="1" type="button" dataOnly="0" labelOnly="1" outline="0" axis="axisCol" fieldPosition="0"/>
    </format>
    <format dxfId="1421">
      <pivotArea dataOnly="0" labelOnly="1" fieldPosition="0">
        <references count="1">
          <reference field="1" count="1">
            <x v="4"/>
          </reference>
        </references>
      </pivotArea>
    </format>
    <format dxfId="1420">
      <pivotArea outline="0" collapsedLevelsAreSubtotals="1" fieldPosition="0">
        <references count="2">
          <reference field="0" count="1" selected="0">
            <x v="1"/>
          </reference>
          <reference field="1" count="1" selected="0">
            <x v="6"/>
          </reference>
        </references>
      </pivotArea>
    </format>
    <format dxfId="1419">
      <pivotArea field="0" type="button" dataOnly="0" labelOnly="1" outline="0" axis="axisCol" fieldPosition="1"/>
    </format>
    <format dxfId="1418">
      <pivotArea dataOnly="0" labelOnly="1" fieldPosition="0">
        <references count="1">
          <reference field="1" count="1">
            <x v="6"/>
          </reference>
        </references>
      </pivotArea>
    </format>
    <format dxfId="1417">
      <pivotArea dataOnly="0" labelOnly="1" fieldPosition="0">
        <references count="2">
          <reference field="0" count="1">
            <x v="1"/>
          </reference>
          <reference field="1" count="1" selected="0">
            <x v="6"/>
          </reference>
        </references>
      </pivotArea>
    </format>
    <format dxfId="1416">
      <pivotArea outline="0" collapsedLevelsAreSubtotals="1" fieldPosition="0">
        <references count="1">
          <reference field="1" count="1" selected="0" sumSubtotal="1">
            <x v="6"/>
          </reference>
        </references>
      </pivotArea>
    </format>
    <format dxfId="1415">
      <pivotArea type="topRight" dataOnly="0" labelOnly="1" outline="0" fieldPosition="0"/>
    </format>
    <format dxfId="1414">
      <pivotArea dataOnly="0" labelOnly="1" fieldPosition="0">
        <references count="1">
          <reference field="1" count="1" sumSubtotal="1">
            <x v="6"/>
          </reference>
        </references>
      </pivotArea>
    </format>
    <format dxfId="1413">
      <pivotArea dataOnly="0" labelOnly="1" fieldPosition="0">
        <references count="1">
          <reference field="9" count="1">
            <x v="265"/>
          </reference>
        </references>
      </pivotArea>
    </format>
    <format dxfId="1412">
      <pivotArea dataOnly="0" labelOnly="1" fieldPosition="0">
        <references count="1">
          <reference field="9" count="1">
            <x v="438"/>
          </reference>
        </references>
      </pivotArea>
    </format>
    <format dxfId="1411">
      <pivotArea dataOnly="0" labelOnly="1" fieldPosition="0">
        <references count="1">
          <reference field="9" count="1">
            <x v="134"/>
          </reference>
        </references>
      </pivotArea>
    </format>
    <format dxfId="1410">
      <pivotArea dataOnly="0" labelOnly="1" fieldPosition="0">
        <references count="1">
          <reference field="9" count="1">
            <x v="136"/>
          </reference>
        </references>
      </pivotArea>
    </format>
    <format dxfId="1409">
      <pivotArea dataOnly="0" labelOnly="1" fieldPosition="0">
        <references count="1">
          <reference field="9" count="1">
            <x v="127"/>
          </reference>
        </references>
      </pivotArea>
    </format>
    <format dxfId="1408">
      <pivotArea collapsedLevelsAreSubtotals="1" fieldPosition="0">
        <references count="2">
          <reference field="1" count="1" selected="0">
            <x v="3"/>
          </reference>
          <reference field="9" count="1">
            <x v="80"/>
          </reference>
        </references>
      </pivotArea>
    </format>
    <format dxfId="1407">
      <pivotArea dataOnly="0" labelOnly="1" fieldPosition="0">
        <references count="1">
          <reference field="9" count="1">
            <x v="473"/>
          </reference>
        </references>
      </pivotArea>
    </format>
    <format dxfId="1406">
      <pivotArea dataOnly="0" labelOnly="1" fieldPosition="0">
        <references count="2">
          <reference field="0" count="1">
            <x v="3"/>
          </reference>
          <reference field="1" count="1" selected="0">
            <x v="6"/>
          </reference>
        </references>
      </pivotArea>
    </format>
  </formats>
  <chartFormats count="78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9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9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9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29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29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29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29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29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29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</references>
      </pivotArea>
    </chartFormat>
    <chartFormat chart="29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29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29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29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29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29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29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"/>
          </reference>
        </references>
      </pivotArea>
    </chartFormat>
    <chartFormat chart="29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29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</references>
      </pivotArea>
    </chartFormat>
    <chartFormat chart="29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3"/>
          </reference>
        </references>
      </pivotArea>
    </chartFormat>
    <chartFormat chart="29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3"/>
          </reference>
        </references>
      </pivotArea>
    </chartFormat>
    <chartFormat chart="29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3"/>
          </reference>
        </references>
      </pivotArea>
    </chartFormat>
    <chartFormat chart="29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"/>
          </reference>
        </references>
      </pivotArea>
    </chartFormat>
    <chartFormat chart="29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29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29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29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29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29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29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29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29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29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3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5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35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35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35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35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4"/>
          </reference>
        </references>
      </pivotArea>
    </chartFormat>
    <chartFormat chart="35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4"/>
          </reference>
        </references>
      </pivotArea>
    </chartFormat>
    <chartFormat chart="35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4"/>
          </reference>
        </references>
      </pivotArea>
    </chartFormat>
    <chartFormat chart="35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35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</references>
      </pivotArea>
    </chartFormat>
    <chartFormat chart="29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</references>
      </pivotArea>
    </chartFormat>
    <chartFormat chart="35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35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35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35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35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35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35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</references>
      </pivotArea>
    </chartFormat>
    <chartFormat chart="35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35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4"/>
          </reference>
        </references>
      </pivotArea>
    </chartFormat>
    <chartFormat chart="29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4"/>
          </reference>
        </references>
      </pivotArea>
    </chartFormat>
    <chartFormat chart="35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4"/>
          </reference>
        </references>
      </pivotArea>
    </chartFormat>
    <chartFormat chart="29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4"/>
          </reference>
        </references>
      </pivotArea>
    </chartFormat>
    <chartFormat chart="35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29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38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8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39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9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4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6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46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46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46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46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6"/>
          </reference>
        </references>
      </pivotArea>
    </chartFormat>
    <chartFormat chart="46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2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6F3C3-DB52-4D8D-9EEE-328775D8E020}" name="TablaDinámica1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7" rowHeaderCaption="CLIENTE / SKU" colHeaderCaption="ANO/MÊS">
  <location ref="R5:X33" firstHeaderRow="1" firstDataRow="3" firstDataCol="1" rowPageCount="1" colPageCount="1"/>
  <pivotFields count="37">
    <pivotField axis="axisCol" showAll="0">
      <items count="14">
        <item x="7"/>
        <item x="8"/>
        <item x="0"/>
        <item x="9"/>
        <item x="10"/>
        <item x="1"/>
        <item x="2"/>
        <item x="11"/>
        <item x="3"/>
        <item x="4"/>
        <item x="5"/>
        <item x="6"/>
        <item x="12"/>
        <item t="default"/>
      </items>
    </pivotField>
    <pivotField axis="axisCol" multipleItemSelectionAllowed="1" showAll="0">
      <items count="8">
        <item h="1" x="0"/>
        <item h="1" x="1"/>
        <item h="1" sd="0" x="2"/>
        <item sd="0" x="3"/>
        <item sd="0" x="4"/>
        <item h="1" x="6"/>
        <item x="5"/>
        <item t="default"/>
      </items>
    </pivotField>
    <pivotField showAll="0"/>
    <pivotField showAll="0"/>
    <pivotField axis="axisPage" multipleItemSelectionAllowed="1" showAll="0">
      <items count="66">
        <item h="1" x="8"/>
        <item h="1" x="25"/>
        <item h="1" x="32"/>
        <item h="1" x="15"/>
        <item h="1" x="30"/>
        <item h="1" x="7"/>
        <item h="1" x="10"/>
        <item h="1" x="2"/>
        <item x="18"/>
        <item h="1" x="6"/>
        <item h="1" x="3"/>
        <item h="1" x="28"/>
        <item h="1" m="1" x="62"/>
        <item h="1" x="16"/>
        <item h="1" x="0"/>
        <item h="1" x="1"/>
        <item h="1" x="29"/>
        <item h="1" x="12"/>
        <item h="1" x="26"/>
        <item h="1" x="27"/>
        <item h="1" x="9"/>
        <item h="1" x="20"/>
        <item h="1" x="13"/>
        <item h="1" x="5"/>
        <item h="1" x="11"/>
        <item h="1" x="17"/>
        <item h="1" x="19"/>
        <item h="1" x="14"/>
        <item h="1" x="23"/>
        <item h="1" m="1" x="64"/>
        <item h="1" x="24"/>
        <item h="1" x="22"/>
        <item h="1" x="31"/>
        <item h="1" x="33"/>
        <item h="1" x="21"/>
        <item h="1" x="4"/>
        <item h="1" x="34"/>
        <item h="1" x="59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m="1" x="63"/>
        <item h="1" x="47"/>
        <item h="1" x="48"/>
        <item h="1" m="1" x="61"/>
        <item h="1" m="1" x="60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662">
        <item x="355"/>
        <item x="357"/>
        <item x="358"/>
        <item x="396"/>
        <item x="135"/>
        <item x="122"/>
        <item x="136"/>
        <item x="159"/>
        <item x="107"/>
        <item x="109"/>
        <item x="121"/>
        <item x="111"/>
        <item x="60"/>
        <item x="160"/>
        <item x="70"/>
        <item x="10"/>
        <item x="154"/>
        <item x="21"/>
        <item x="141"/>
        <item x="143"/>
        <item x="55"/>
        <item x="155"/>
        <item x="22"/>
        <item x="51"/>
        <item x="102"/>
        <item x="13"/>
        <item x="14"/>
        <item x="106"/>
        <item x="152"/>
        <item x="23"/>
        <item x="99"/>
        <item x="92"/>
        <item x="93"/>
        <item x="125"/>
        <item x="108"/>
        <item x="127"/>
        <item x="133"/>
        <item x="134"/>
        <item x="29"/>
        <item x="25"/>
        <item x="126"/>
        <item x="9"/>
        <item x="11"/>
        <item x="56"/>
        <item x="95"/>
        <item x="131"/>
        <item x="132"/>
        <item x="57"/>
        <item x="2"/>
        <item x="110"/>
        <item x="62"/>
        <item x="105"/>
        <item x="47"/>
        <item x="41"/>
        <item x="150"/>
        <item x="12"/>
        <item x="33"/>
        <item x="117"/>
        <item x="115"/>
        <item x="116"/>
        <item x="114"/>
        <item x="113"/>
        <item x="119"/>
        <item x="118"/>
        <item x="120"/>
        <item x="85"/>
        <item x="86"/>
        <item x="87"/>
        <item x="91"/>
        <item x="89"/>
        <item x="90"/>
        <item x="88"/>
        <item x="103"/>
        <item x="28"/>
        <item x="94"/>
        <item x="48"/>
        <item x="156"/>
        <item x="130"/>
        <item x="100"/>
        <item x="98"/>
        <item x="31"/>
        <item x="30"/>
        <item x="42"/>
        <item x="151"/>
        <item x="96"/>
        <item x="32"/>
        <item x="43"/>
        <item x="36"/>
        <item x="59"/>
        <item x="16"/>
        <item x="15"/>
        <item x="147"/>
        <item x="158"/>
        <item x="8"/>
        <item x="45"/>
        <item x="37"/>
        <item x="97"/>
        <item x="65"/>
        <item x="124"/>
        <item x="128"/>
        <item x="149"/>
        <item x="153"/>
        <item x="157"/>
        <item x="104"/>
        <item x="129"/>
        <item x="148"/>
        <item x="142"/>
        <item x="137"/>
        <item x="79"/>
        <item x="84"/>
        <item x="80"/>
        <item x="72"/>
        <item x="73"/>
        <item x="74"/>
        <item x="78"/>
        <item x="76"/>
        <item x="77"/>
        <item x="75"/>
        <item x="83"/>
        <item x="81"/>
        <item x="82"/>
        <item x="186"/>
        <item x="168"/>
        <item x="230"/>
        <item x="169"/>
        <item x="194"/>
        <item x="308"/>
        <item x="170"/>
        <item x="162"/>
        <item x="167"/>
        <item x="193"/>
        <item x="171"/>
        <item x="185"/>
        <item x="187"/>
        <item x="225"/>
        <item x="224"/>
        <item x="276"/>
        <item x="277"/>
        <item x="278"/>
        <item x="293"/>
        <item x="338"/>
        <item x="371"/>
        <item x="385"/>
        <item x="394"/>
        <item x="392"/>
        <item x="280"/>
        <item x="233"/>
        <item x="232"/>
        <item x="182"/>
        <item x="234"/>
        <item x="164"/>
        <item x="188"/>
        <item x="183"/>
        <item x="340"/>
        <item x="372"/>
        <item x="195"/>
        <item x="196"/>
        <item x="231"/>
        <item x="209"/>
        <item x="207"/>
        <item x="206"/>
        <item x="208"/>
        <item x="281"/>
        <item x="282"/>
        <item x="341"/>
        <item x="337"/>
        <item x="342"/>
        <item x="215"/>
        <item x="381"/>
        <item x="382"/>
        <item x="319"/>
        <item x="317"/>
        <item x="318"/>
        <item x="228"/>
        <item x="227"/>
        <item x="226"/>
        <item x="229"/>
        <item x="179"/>
        <item x="172"/>
        <item x="180"/>
        <item x="175"/>
        <item x="177"/>
        <item x="181"/>
        <item x="174"/>
        <item x="173"/>
        <item x="176"/>
        <item x="178"/>
        <item x="189"/>
        <item x="191"/>
        <item x="190"/>
        <item x="192"/>
        <item x="166"/>
        <item x="313"/>
        <item x="312"/>
        <item x="311"/>
        <item x="310"/>
        <item x="309"/>
        <item x="260"/>
        <item x="259"/>
        <item x="369"/>
        <item x="367"/>
        <item x="272"/>
        <item x="269"/>
        <item x="264"/>
        <item x="332"/>
        <item x="265"/>
        <item x="266"/>
        <item x="267"/>
        <item x="262"/>
        <item x="268"/>
        <item x="333"/>
        <item x="263"/>
        <item x="271"/>
        <item x="331"/>
        <item x="255"/>
        <item x="254"/>
        <item x="253"/>
        <item x="330"/>
        <item x="252"/>
        <item x="250"/>
        <item x="249"/>
        <item x="328"/>
        <item x="248"/>
        <item x="251"/>
        <item x="256"/>
        <item x="329"/>
        <item x="257"/>
        <item x="258"/>
        <item x="273"/>
        <item x="368"/>
        <item x="275"/>
        <item x="274"/>
        <item x="270"/>
        <item x="261"/>
        <item x="323"/>
        <item x="322"/>
        <item x="327"/>
        <item x="321"/>
        <item x="324"/>
        <item x="325"/>
        <item x="326"/>
        <item x="378"/>
        <item x="374"/>
        <item x="366"/>
        <item x="365"/>
        <item x="364"/>
        <item x="363"/>
        <item x="377"/>
        <item x="376"/>
        <item x="375"/>
        <item x="362"/>
        <item x="380"/>
        <item x="283"/>
        <item x="284"/>
        <item x="285"/>
        <item x="286"/>
        <item x="287"/>
        <item x="203"/>
        <item x="199"/>
        <item x="197"/>
        <item x="202"/>
        <item x="200"/>
        <item x="201"/>
        <item x="204"/>
        <item x="205"/>
        <item x="198"/>
        <item x="335"/>
        <item x="393"/>
        <item x="336"/>
        <item x="389"/>
        <item x="391"/>
        <item x="390"/>
        <item x="184"/>
        <item x="211"/>
        <item x="216"/>
        <item x="213"/>
        <item x="217"/>
        <item x="289"/>
        <item x="288"/>
        <item x="294"/>
        <item x="295"/>
        <item x="296"/>
        <item x="316"/>
        <item x="297"/>
        <item x="314"/>
        <item x="315"/>
        <item x="320"/>
        <item x="359"/>
        <item x="360"/>
        <item x="379"/>
        <item x="292"/>
        <item x="291"/>
        <item x="290"/>
        <item x="239"/>
        <item x="242"/>
        <item x="244"/>
        <item x="241"/>
        <item x="243"/>
        <item x="238"/>
        <item x="236"/>
        <item x="240"/>
        <item x="237"/>
        <item x="373"/>
        <item x="395"/>
        <item x="339"/>
        <item x="349"/>
        <item x="354"/>
        <item x="353"/>
        <item x="352"/>
        <item x="351"/>
        <item x="350"/>
        <item x="343"/>
        <item x="348"/>
        <item x="347"/>
        <item x="346"/>
        <item x="345"/>
        <item x="344"/>
        <item x="370"/>
        <item x="383"/>
        <item x="384"/>
        <item x="386"/>
        <item x="388"/>
        <item x="387"/>
        <item x="27"/>
        <item x="235"/>
        <item x="112"/>
        <item x="58"/>
        <item x="18"/>
        <item x="35"/>
        <item x="34"/>
        <item x="3"/>
        <item x="17"/>
        <item x="46"/>
        <item x="64"/>
        <item x="138"/>
        <item x="44"/>
        <item x="19"/>
        <item x="24"/>
        <item x="63"/>
        <item x="52"/>
        <item x="53"/>
        <item x="54"/>
        <item x="67"/>
        <item x="5"/>
        <item x="38"/>
        <item x="39"/>
        <item x="68"/>
        <item x="40"/>
        <item x="20"/>
        <item x="144"/>
        <item x="222"/>
        <item x="223"/>
        <item x="221"/>
        <item x="279"/>
        <item x="356"/>
        <item x="214"/>
        <item x="361"/>
        <item x="334"/>
        <item x="218"/>
        <item x="245"/>
        <item x="247"/>
        <item x="246"/>
        <item x="219"/>
        <item x="299"/>
        <item x="300"/>
        <item x="298"/>
        <item x="302"/>
        <item x="301"/>
        <item x="304"/>
        <item x="305"/>
        <item x="307"/>
        <item x="306"/>
        <item x="303"/>
        <item x="26"/>
        <item x="220"/>
        <item x="165"/>
        <item x="50"/>
        <item x="71"/>
        <item x="101"/>
        <item x="7"/>
        <item x="140"/>
        <item x="6"/>
        <item x="61"/>
        <item x="139"/>
        <item x="0"/>
        <item x="161"/>
        <item x="1"/>
        <item x="145"/>
        <item x="69"/>
        <item x="146"/>
        <item x="4"/>
        <item x="66"/>
        <item x="210"/>
        <item x="212"/>
        <item x="49"/>
        <item x="123"/>
        <item x="163"/>
        <item x="660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6">
    <i>
      <x v="533"/>
    </i>
    <i>
      <x v="538"/>
    </i>
    <i>
      <x v="240"/>
    </i>
    <i>
      <x v="489"/>
    </i>
    <i>
      <x v="481"/>
    </i>
    <i>
      <x v="472"/>
    </i>
    <i>
      <x v="477"/>
    </i>
    <i>
      <x v="656"/>
    </i>
    <i>
      <x v="244"/>
    </i>
    <i>
      <x v="234"/>
    </i>
    <i>
      <x v="483"/>
    </i>
    <i>
      <x v="213"/>
    </i>
    <i>
      <x v="476"/>
    </i>
    <i>
      <x v="210"/>
    </i>
    <i>
      <x v="473"/>
    </i>
    <i>
      <x v="655"/>
    </i>
    <i>
      <x v="479"/>
    </i>
    <i>
      <x v="470"/>
    </i>
    <i>
      <x v="221"/>
    </i>
    <i>
      <x v="537"/>
    </i>
    <i>
      <x v="250"/>
    </i>
    <i>
      <x v="487"/>
    </i>
    <i>
      <x v="475"/>
    </i>
    <i>
      <x v="471"/>
    </i>
    <i>
      <x v="490"/>
    </i>
    <i t="grand">
      <x/>
    </i>
  </rowItems>
  <colFields count="2">
    <field x="1"/>
    <field x="0"/>
  </colFields>
  <colItems count="6">
    <i>
      <x v="3"/>
    </i>
    <i>
      <x v="4"/>
    </i>
    <i>
      <x v="6"/>
      <x v="3"/>
    </i>
    <i r="1">
      <x v="8"/>
    </i>
    <i t="default">
      <x v="6"/>
    </i>
    <i t="grand">
      <x/>
    </i>
  </colItems>
  <pageFields count="1">
    <pageField fld="4" hier="-1"/>
  </pageFields>
  <dataFields count="1">
    <dataField name="Soma de Valor (total)" fld="18" baseField="0" baseItem="0"/>
  </dataFields>
  <formats count="65">
    <format dxfId="1566">
      <pivotArea dataOnly="0" labelOnly="1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1565">
      <pivotArea dataOnly="0" labelOnly="1" grandCol="1" outline="0" fieldPosition="0"/>
    </format>
    <format dxfId="1564">
      <pivotArea collapsedLevelsAreSubtotals="1" fieldPosition="0">
        <references count="1">
          <reference field="4" count="31">
            <x v="0"/>
            <x v="1"/>
            <x v="2"/>
            <x v="3"/>
            <x v="4"/>
            <x v="5"/>
            <x v="6"/>
            <x v="8"/>
            <x v="11"/>
            <x v="13"/>
            <x v="15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</references>
      </pivotArea>
    </format>
    <format dxfId="1563">
      <pivotArea collapsedLevelsAreSubtotals="1" fieldPosition="0">
        <references count="2">
          <reference field="1" count="0" selected="0"/>
          <reference field="4" count="1">
            <x v="15"/>
          </reference>
        </references>
      </pivotArea>
    </format>
    <format dxfId="1562">
      <pivotArea collapsedLevelsAreSubtotals="1" fieldPosition="0">
        <references count="2">
          <reference field="1" count="0" selected="0"/>
          <reference field="4" count="1">
            <x v="20"/>
          </reference>
        </references>
      </pivotArea>
    </format>
    <format dxfId="1561">
      <pivotArea collapsedLevelsAreSubtotals="1" fieldPosition="0">
        <references count="2">
          <reference field="1" count="3" selected="0">
            <x v="1"/>
            <x v="2"/>
            <x v="3"/>
          </reference>
          <reference field="4" count="1">
            <x v="25"/>
          </reference>
        </references>
      </pivotArea>
    </format>
    <format dxfId="1560">
      <pivotArea collapsedLevelsAreSubtotals="1" fieldPosition="0">
        <references count="2">
          <reference field="1" count="3" selected="0">
            <x v="2"/>
            <x v="3"/>
            <x v="4"/>
          </reference>
          <reference field="4" count="1">
            <x v="34"/>
          </reference>
        </references>
      </pivotArea>
    </format>
    <format dxfId="1559">
      <pivotArea collapsedLevelsAreSubtotals="1" fieldPosition="0">
        <references count="2">
          <reference field="1" count="1" selected="0">
            <x v="1"/>
          </reference>
          <reference field="4" count="3">
            <x v="3"/>
            <x v="4"/>
            <x v="5"/>
          </reference>
        </references>
      </pivotArea>
    </format>
    <format dxfId="1558">
      <pivotArea field="4" grandRow="1" collapsedLevelsAreSubtotals="1" axis="axisPage" fieldPosition="0">
        <references count="1">
          <reference field="4" count="1">
            <x v="15"/>
          </reference>
        </references>
      </pivotArea>
    </format>
    <format dxfId="1557">
      <pivotArea field="4" grandRow="1" collapsedLevelsAreSubtotals="1" axis="axisPage" fieldPosition="0">
        <references count="1">
          <reference field="4" count="1">
            <x v="20"/>
          </reference>
        </references>
      </pivotArea>
    </format>
    <format dxfId="1556">
      <pivotArea field="4" grandRow="1" collapsedLevelsAreSubtotals="1" axis="axisPage" fieldPosition="0">
        <references count="1">
          <reference field="4" count="1">
            <x v="25"/>
          </reference>
        </references>
      </pivotArea>
    </format>
    <format dxfId="1555">
      <pivotArea collapsedLevelsAreSubtotals="1" fieldPosition="0">
        <references count="1">
          <reference field="9" count="53">
            <x v="20"/>
            <x v="24"/>
            <x v="43"/>
            <x v="47"/>
            <x v="54"/>
            <x v="55"/>
            <x v="88"/>
            <x v="91"/>
            <x v="92"/>
            <x v="97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8"/>
            <x v="150"/>
            <x v="177"/>
            <x v="178"/>
            <x v="179"/>
            <x v="180"/>
            <x v="181"/>
            <x v="182"/>
            <x v="183"/>
            <x v="184"/>
            <x v="185"/>
            <x v="186"/>
            <x v="272"/>
            <x v="324"/>
            <x v="325"/>
            <x v="326"/>
            <x v="333"/>
            <x v="385"/>
            <x v="396"/>
          </reference>
        </references>
      </pivotArea>
    </format>
    <format dxfId="1554">
      <pivotArea grandRow="1" outline="0" collapsedLevelsAreSubtotals="1" fieldPosition="0"/>
    </format>
    <format dxfId="1553">
      <pivotArea dataOnly="0" fieldPosition="0">
        <references count="1">
          <reference field="9" count="1">
            <x v="97"/>
          </reference>
        </references>
      </pivotArea>
    </format>
    <format dxfId="1552">
      <pivotArea dataOnly="0" fieldPosition="0">
        <references count="1">
          <reference field="9" count="1">
            <x v="122"/>
          </reference>
        </references>
      </pivotArea>
    </format>
    <format dxfId="1551">
      <pivotArea dataOnly="0" fieldPosition="0">
        <references count="1">
          <reference field="9" count="1">
            <x v="132"/>
          </reference>
        </references>
      </pivotArea>
    </format>
    <format dxfId="1550">
      <pivotArea dataOnly="0" fieldPosition="0">
        <references count="1">
          <reference field="9" count="1">
            <x v="127"/>
          </reference>
        </references>
      </pivotArea>
    </format>
    <format dxfId="1549">
      <pivotArea dataOnly="0" fieldPosition="0">
        <references count="1">
          <reference field="9" count="1">
            <x v="272"/>
          </reference>
        </references>
      </pivotArea>
    </format>
    <format dxfId="1548">
      <pivotArea collapsedLevelsAreSubtotals="1" fieldPosition="0">
        <references count="1">
          <reference field="9" count="1">
            <x v="97"/>
          </reference>
        </references>
      </pivotArea>
    </format>
    <format dxfId="1547">
      <pivotArea collapsedLevelsAreSubtotals="1" fieldPosition="0">
        <references count="1">
          <reference field="9" count="1">
            <x v="132"/>
          </reference>
        </references>
      </pivotArea>
    </format>
    <format dxfId="1546">
      <pivotArea dataOnly="0" labelOnly="1" outline="0" fieldPosition="0">
        <references count="1">
          <reference field="4" count="0"/>
        </references>
      </pivotArea>
    </format>
    <format dxfId="1545">
      <pivotArea dataOnly="0" labelOnly="1" outline="0" fieldPosition="0">
        <references count="1">
          <reference field="4" count="0"/>
        </references>
      </pivotArea>
    </format>
    <format dxfId="1544">
      <pivotArea outline="0" collapsedLevelsAreSubtotals="1" fieldPosition="0"/>
    </format>
    <format dxfId="1543">
      <pivotArea collapsedLevelsAreSubtotals="1" fieldPosition="0">
        <references count="1">
          <reference field="9" count="10">
            <x v="122"/>
            <x v="125"/>
            <x v="127"/>
            <x v="128"/>
            <x v="129"/>
            <x v="135"/>
            <x v="144"/>
            <x v="414"/>
            <x v="415"/>
            <x v="417"/>
          </reference>
        </references>
      </pivotArea>
    </format>
    <format dxfId="1542">
      <pivotArea dataOnly="0" outline="0" fieldPosition="0">
        <references count="1">
          <reference field="0" count="1">
            <x v="4"/>
          </reference>
        </references>
      </pivotArea>
    </format>
    <format dxfId="1541">
      <pivotArea field="9" grandCol="1" collapsedLevelsAreSubtotals="1" axis="axisRow" fieldPosition="0">
        <references count="1">
          <reference field="9" count="7">
            <x v="122"/>
            <x v="125"/>
            <x v="127"/>
            <x v="129"/>
            <x v="144"/>
            <x v="414"/>
            <x v="415"/>
          </reference>
        </references>
      </pivotArea>
    </format>
    <format dxfId="1540">
      <pivotArea collapsedLevelsAreSubtotals="1" fieldPosition="0">
        <references count="2">
          <reference field="0" count="6" selected="0">
            <x v="0"/>
            <x v="1"/>
            <x v="2"/>
            <x v="3"/>
            <x v="4"/>
            <x v="5"/>
          </reference>
          <reference field="9" count="7">
            <x v="122"/>
            <x v="125"/>
            <x v="127"/>
            <x v="128"/>
            <x v="129"/>
            <x v="414"/>
            <x v="415"/>
          </reference>
        </references>
      </pivotArea>
    </format>
    <format dxfId="1539">
      <pivotArea dataOnly="0" labelOnly="1" fieldPosition="0">
        <references count="1">
          <reference field="9" count="1">
            <x v="128"/>
          </reference>
        </references>
      </pivotArea>
    </format>
    <format dxfId="1538">
      <pivotArea dataOnly="0" labelOnly="1" fieldPosition="0">
        <references count="1">
          <reference field="0" count="7">
            <x v="0"/>
            <x v="1"/>
            <x v="2"/>
            <x v="3"/>
            <x v="4"/>
            <x v="5"/>
            <x v="6"/>
          </reference>
        </references>
      </pivotArea>
    </format>
    <format dxfId="1537">
      <pivotArea dataOnly="0" labelOnly="1" fieldPosition="0">
        <references count="1">
          <reference field="9" count="3">
            <x v="414"/>
            <x v="415"/>
            <x v="417"/>
          </reference>
        </references>
      </pivotArea>
    </format>
    <format dxfId="1536">
      <pivotArea collapsedLevelsAreSubtotals="1" fieldPosition="0">
        <references count="3">
          <reference field="0" count="7" selected="0">
            <x v="0"/>
            <x v="1"/>
            <x v="2"/>
            <x v="3"/>
            <x v="4"/>
            <x v="5"/>
            <x v="6"/>
          </reference>
          <reference field="1" count="1" selected="0">
            <x v="3"/>
          </reference>
          <reference field="9" count="1">
            <x v="132"/>
          </reference>
        </references>
      </pivotArea>
    </format>
    <format dxfId="1535">
      <pivotArea collapsedLevelsAreSubtotals="1" fieldPosition="0">
        <references count="3">
          <reference field="0" count="5" selected="0">
            <x v="7"/>
            <x v="8"/>
            <x v="9"/>
            <x v="10"/>
            <x v="11"/>
          </reference>
          <reference field="1" count="1" selected="0">
            <x v="3"/>
          </reference>
          <reference field="9" count="1">
            <x v="132"/>
          </reference>
        </references>
      </pivotArea>
    </format>
    <format dxfId="1534">
      <pivotArea collapsedLevelsAreSubtotals="1" fieldPosition="0">
        <references count="2">
          <reference field="1" count="1" selected="0" defaultSubtotal="1">
            <x v="3"/>
          </reference>
          <reference field="9" count="1">
            <x v="132"/>
          </reference>
        </references>
      </pivotArea>
    </format>
    <format dxfId="1533">
      <pivotArea collapsedLevelsAreSubtotals="1" fieldPosition="0">
        <references count="2">
          <reference field="1" count="1" selected="0" defaultSubtotal="1">
            <x v="4"/>
          </reference>
          <reference field="9" count="1">
            <x v="132"/>
          </reference>
        </references>
      </pivotArea>
    </format>
    <format dxfId="1532">
      <pivotArea field="9" grandCol="1" collapsedLevelsAreSubtotals="1" axis="axisRow" fieldPosition="0">
        <references count="1">
          <reference field="9" count="1">
            <x v="132"/>
          </reference>
        </references>
      </pivotArea>
    </format>
    <format dxfId="1531">
      <pivotArea collapsedLevelsAreSubtotals="1" fieldPosition="0">
        <references count="2">
          <reference field="1" count="1" selected="0">
            <x v="2"/>
          </reference>
          <reference field="9" count="1">
            <x v="132"/>
          </reference>
        </references>
      </pivotArea>
    </format>
    <format dxfId="1530">
      <pivotArea collapsedLevelsAreSubtotals="1" fieldPosition="0">
        <references count="2">
          <reference field="1" count="1" selected="0">
            <x v="2"/>
          </reference>
          <reference field="9" count="1">
            <x v="97"/>
          </reference>
        </references>
      </pivotArea>
    </format>
    <format dxfId="1529">
      <pivotArea field="9" grandCol="1" collapsedLevelsAreSubtotals="1" axis="axisRow" fieldPosition="0">
        <references count="1">
          <reference field="9" count="1">
            <x v="97"/>
          </reference>
        </references>
      </pivotArea>
    </format>
    <format dxfId="1528">
      <pivotArea collapsedLevelsAreSubtotals="1" fieldPosition="0">
        <references count="1">
          <reference field="9" count="9">
            <x v="122"/>
            <x v="125"/>
            <x v="127"/>
            <x v="128"/>
            <x v="129"/>
            <x v="132"/>
            <x v="135"/>
            <x v="144"/>
            <x v="272"/>
          </reference>
        </references>
      </pivotArea>
    </format>
    <format dxfId="1527">
      <pivotArea collapsedLevelsAreSubtotals="1" fieldPosition="0">
        <references count="2">
          <reference field="1" count="1" selected="0">
            <x v="4"/>
          </reference>
          <reference field="9" count="3">
            <x v="92"/>
            <x v="123"/>
            <x v="130"/>
          </reference>
        </references>
      </pivotArea>
    </format>
    <format dxfId="1526">
      <pivotArea collapsedLevelsAreSubtotals="1" fieldPosition="0">
        <references count="2">
          <reference field="1" count="1" selected="0">
            <x v="4"/>
          </reference>
          <reference field="9" count="1">
            <x v="121"/>
          </reference>
        </references>
      </pivotArea>
    </format>
    <format dxfId="1525">
      <pivotArea collapsedLevelsAreSubtotals="1" fieldPosition="0">
        <references count="2">
          <reference field="1" count="1" selected="0">
            <x v="4"/>
          </reference>
          <reference field="9" count="1">
            <x v="97"/>
          </reference>
        </references>
      </pivotArea>
    </format>
    <format dxfId="1524">
      <pivotArea collapsedLevelsAreSubtotals="1" fieldPosition="0">
        <references count="2">
          <reference field="1" count="1" selected="0">
            <x v="4"/>
          </reference>
          <reference field="9" count="5">
            <x v="7"/>
            <x v="91"/>
            <x v="136"/>
            <x v="138"/>
            <x v="324"/>
          </reference>
        </references>
      </pivotArea>
    </format>
    <format dxfId="1523">
      <pivotArea collapsedLevelsAreSubtotals="1" fieldPosition="0">
        <references count="2">
          <reference field="1" count="1" selected="0">
            <x v="4"/>
          </reference>
          <reference field="9" count="5">
            <x v="13"/>
            <x v="55"/>
            <x v="131"/>
            <x v="133"/>
            <x v="139"/>
          </reference>
        </references>
      </pivotArea>
    </format>
    <format dxfId="1522">
      <pivotArea collapsedLevelsAreSubtotals="1" fieldPosition="0">
        <references count="2">
          <reference field="1" count="1" selected="0">
            <x v="4"/>
          </reference>
          <reference field="9" count="1">
            <x v="124"/>
          </reference>
        </references>
      </pivotArea>
    </format>
    <format dxfId="1521">
      <pivotArea collapsedLevelsAreSubtotals="1" fieldPosition="0">
        <references count="2">
          <reference field="1" count="1" selected="0">
            <x v="4"/>
          </reference>
          <reference field="9" count="1">
            <x v="148"/>
          </reference>
        </references>
      </pivotArea>
    </format>
    <format dxfId="1520">
      <pivotArea collapsedLevelsAreSubtotals="1" fieldPosition="0">
        <references count="2">
          <reference field="1" count="1" selected="0">
            <x v="4"/>
          </reference>
          <reference field="9" count="10">
            <x v="150"/>
            <x v="177"/>
            <x v="178"/>
            <x v="179"/>
            <x v="182"/>
            <x v="183"/>
            <x v="184"/>
            <x v="185"/>
            <x v="385"/>
            <x v="396"/>
          </reference>
        </references>
      </pivotArea>
    </format>
    <format dxfId="1519">
      <pivotArea collapsedLevelsAreSubtotals="1" fieldPosition="0">
        <references count="2">
          <reference field="1" count="1" selected="0">
            <x v="4"/>
          </reference>
          <reference field="9" count="3">
            <x v="180"/>
            <x v="181"/>
            <x v="186"/>
          </reference>
        </references>
      </pivotArea>
    </format>
    <format dxfId="1518">
      <pivotArea collapsedLevelsAreSubtotals="1" fieldPosition="0">
        <references count="3">
          <reference field="0" count="3" selected="0">
            <x v="1"/>
            <x v="2"/>
            <x v="3"/>
          </reference>
          <reference field="1" count="1" selected="0">
            <x v="4"/>
          </reference>
          <reference field="9" count="1">
            <x v="132"/>
          </reference>
        </references>
      </pivotArea>
    </format>
    <format dxfId="1517">
      <pivotArea collapsedLevelsAreSubtotals="1" fieldPosition="0">
        <references count="3">
          <reference field="0" count="2" selected="0">
            <x v="7"/>
            <x v="8"/>
          </reference>
          <reference field="1" count="1" selected="0">
            <x v="4"/>
          </reference>
          <reference field="9" count="1">
            <x v="125"/>
          </reference>
        </references>
      </pivotArea>
    </format>
    <format dxfId="1516">
      <pivotArea collapsedLevelsAreSubtotals="1" fieldPosition="0">
        <references count="3">
          <reference field="0" count="1" selected="0">
            <x v="8"/>
          </reference>
          <reference field="1" count="1" selected="0">
            <x v="4"/>
          </reference>
          <reference field="9" count="1">
            <x v="135"/>
          </reference>
        </references>
      </pivotArea>
    </format>
    <format dxfId="1515">
      <pivotArea collapsedLevelsAreSubtotals="1" fieldPosition="0">
        <references count="2">
          <reference field="1" count="2" selected="0">
            <x v="2"/>
            <x v="3"/>
          </reference>
          <reference field="9" count="1">
            <x v="144"/>
          </reference>
        </references>
      </pivotArea>
    </format>
    <format dxfId="1514">
      <pivotArea collapsedLevelsAreSubtotals="1" fieldPosition="0">
        <references count="2">
          <reference field="1" count="1" selected="0">
            <x v="3"/>
          </reference>
          <reference field="9" count="1">
            <x v="142"/>
          </reference>
        </references>
      </pivotArea>
    </format>
    <format dxfId="1513">
      <pivotArea collapsedLevelsAreSubtotals="1" fieldPosition="0">
        <references count="2">
          <reference field="1" count="1" selected="0">
            <x v="2"/>
          </reference>
          <reference field="9" count="1">
            <x v="142"/>
          </reference>
        </references>
      </pivotArea>
    </format>
    <format dxfId="1512">
      <pivotArea collapsedLevelsAreSubtotals="1" fieldPosition="0">
        <references count="2">
          <reference field="1" count="1" selected="0">
            <x v="2"/>
          </reference>
          <reference field="9" count="1">
            <x v="126"/>
          </reference>
        </references>
      </pivotArea>
    </format>
    <format dxfId="1511">
      <pivotArea collapsedLevelsAreSubtotals="1" fieldPosition="0">
        <references count="2">
          <reference field="1" count="2" selected="0">
            <x v="2"/>
            <x v="3"/>
          </reference>
          <reference field="9" count="1">
            <x v="143"/>
          </reference>
        </references>
      </pivotArea>
    </format>
    <format dxfId="1510">
      <pivotArea collapsedLevelsAreSubtotals="1" fieldPosition="0">
        <references count="2">
          <reference field="1" count="1" selected="0">
            <x v="3"/>
          </reference>
          <reference field="9" count="1">
            <x v="121"/>
          </reference>
        </references>
      </pivotArea>
    </format>
    <format dxfId="1509">
      <pivotArea collapsedLevelsAreSubtotals="1" fieldPosition="0">
        <references count="2">
          <reference field="1" count="2" selected="0">
            <x v="2"/>
            <x v="3"/>
          </reference>
          <reference field="9" count="1">
            <x v="415"/>
          </reference>
        </references>
      </pivotArea>
    </format>
    <format dxfId="1508">
      <pivotArea collapsedLevelsAreSubtotals="1" fieldPosition="0">
        <references count="2">
          <reference field="1" count="2" selected="0">
            <x v="2"/>
            <x v="3"/>
          </reference>
          <reference field="9" count="1">
            <x v="414"/>
          </reference>
        </references>
      </pivotArea>
    </format>
    <format dxfId="1507">
      <pivotArea collapsedLevelsAreSubtotals="1" fieldPosition="0">
        <references count="2">
          <reference field="1" count="1" selected="0">
            <x v="3"/>
          </reference>
          <reference field="9" count="1">
            <x v="97"/>
          </reference>
        </references>
      </pivotArea>
    </format>
    <format dxfId="1506">
      <pivotArea collapsedLevelsAreSubtotals="1" fieldPosition="0">
        <references count="2">
          <reference field="1" count="2" selected="0">
            <x v="2"/>
            <x v="3"/>
          </reference>
          <reference field="9" count="1">
            <x v="417"/>
          </reference>
        </references>
      </pivotArea>
    </format>
    <format dxfId="1505">
      <pivotArea collapsedLevelsAreSubtotals="1" fieldPosition="0">
        <references count="2">
          <reference field="1" count="1" selected="0">
            <x v="2"/>
          </reference>
          <reference field="9" count="2">
            <x v="140"/>
            <x v="141"/>
          </reference>
        </references>
      </pivotArea>
    </format>
    <format dxfId="1504">
      <pivotArea collapsedLevelsAreSubtotals="1" fieldPosition="0">
        <references count="2">
          <reference field="1" count="1" selected="0">
            <x v="4"/>
          </reference>
          <reference field="9" count="1">
            <x v="138"/>
          </reference>
        </references>
      </pivotArea>
    </format>
    <format dxfId="1503">
      <pivotArea dataOnly="0" labelOnly="1" fieldPosition="0">
        <references count="1">
          <reference field="9" count="0"/>
        </references>
      </pivotArea>
    </format>
    <format dxfId="1502">
      <pivotArea dataOnly="0" labelOnly="1" fieldPosition="0">
        <references count="1">
          <reference field="9" count="10">
            <x v="122"/>
            <x v="125"/>
            <x v="127"/>
            <x v="128"/>
            <x v="129"/>
            <x v="135"/>
            <x v="142"/>
            <x v="143"/>
            <x v="144"/>
            <x v="272"/>
          </reference>
        </references>
      </pivotArea>
    </format>
  </formats>
  <chartFormats count="11"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1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3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3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6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36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40876-FE45-4268-AF2B-F61BACCF4E87}" name="TablaDinámica2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rowHeaderCaption="CLIENTE/SKU/VALOR" colHeaderCaption="AÑOS">
  <location ref="AO5:AR14" firstHeaderRow="1" firstDataRow="2" firstDataCol="1" rowPageCount="1" colPageCount="1"/>
  <pivotFields count="37">
    <pivotField showAll="0"/>
    <pivotField axis="axisCol" showAll="0">
      <items count="8">
        <item h="1" x="0"/>
        <item h="1" x="1"/>
        <item h="1" x="2"/>
        <item h="1" x="3"/>
        <item x="4"/>
        <item x="5"/>
        <item h="1" x="6"/>
        <item t="default"/>
      </items>
    </pivotField>
    <pivotField showAll="0"/>
    <pivotField showAll="0"/>
    <pivotField axis="axisRow" showAll="0" sortType="descending">
      <items count="66">
        <item x="8"/>
        <item x="25"/>
        <item sd="0" x="36"/>
        <item x="32"/>
        <item x="15"/>
        <item x="30"/>
        <item x="7"/>
        <item x="10"/>
        <item x="46"/>
        <item x="2"/>
        <item x="18"/>
        <item x="6"/>
        <item x="3"/>
        <item x="28"/>
        <item m="1" x="62"/>
        <item x="16"/>
        <item x="0"/>
        <item sd="0" x="37"/>
        <item x="1"/>
        <item x="29"/>
        <item x="12"/>
        <item x="26"/>
        <item x="27"/>
        <item x="9"/>
        <item x="35"/>
        <item x="43"/>
        <item x="20"/>
        <item x="44"/>
        <item x="13"/>
        <item x="5"/>
        <item x="11"/>
        <item x="45"/>
        <item x="17"/>
        <item x="19"/>
        <item x="42"/>
        <item x="14"/>
        <item x="23"/>
        <item m="1" x="64"/>
        <item x="24"/>
        <item x="22"/>
        <item x="31"/>
        <item x="41"/>
        <item sd="0" x="33"/>
        <item sd="0" x="40"/>
        <item x="39"/>
        <item x="38"/>
        <item x="21"/>
        <item x="4"/>
        <item x="34"/>
        <item x="59"/>
        <item m="1" x="63"/>
        <item sd="0" x="47"/>
        <item sd="0" x="48"/>
        <item m="1" x="61"/>
        <item sd="0" m="1" x="60"/>
        <item x="49"/>
        <item x="50"/>
        <item x="51"/>
        <item x="52"/>
        <item x="53"/>
        <item x="54"/>
        <item x="55"/>
        <item x="56"/>
        <item x="57"/>
        <item sd="0"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ame="PAIS EXTERIOR/MERCADO" axis="axisPage" multipleItemSelectionAllowed="1" showAll="0">
      <items count="17">
        <item h="1" x="10"/>
        <item h="1" x="3"/>
        <item x="9"/>
        <item h="1" x="0"/>
        <item h="1" x="2"/>
        <item h="1" x="7"/>
        <item h="1" x="6"/>
        <item h="1" x="11"/>
        <item h="1" x="12"/>
        <item h="1" x="4"/>
        <item h="1" x="14"/>
        <item h="1" x="13"/>
        <item h="1" x="1"/>
        <item h="1" x="8"/>
        <item h="1" x="5"/>
        <item h="1" x="15"/>
        <item t="default"/>
      </items>
    </pivotField>
    <pivotField showAll="0"/>
    <pivotField showAll="0"/>
    <pivotField axis="axisRow" showAll="0">
      <items count="662">
        <item x="355"/>
        <item x="357"/>
        <item x="358"/>
        <item x="396"/>
        <item x="135"/>
        <item x="122"/>
        <item x="136"/>
        <item x="159"/>
        <item x="107"/>
        <item x="109"/>
        <item x="121"/>
        <item x="111"/>
        <item x="60"/>
        <item x="160"/>
        <item x="70"/>
        <item x="10"/>
        <item x="154"/>
        <item x="21"/>
        <item x="141"/>
        <item x="143"/>
        <item x="55"/>
        <item x="155"/>
        <item x="22"/>
        <item x="51"/>
        <item x="102"/>
        <item x="13"/>
        <item x="14"/>
        <item x="106"/>
        <item x="152"/>
        <item x="23"/>
        <item x="99"/>
        <item x="92"/>
        <item x="93"/>
        <item x="125"/>
        <item x="108"/>
        <item x="127"/>
        <item x="133"/>
        <item x="134"/>
        <item x="29"/>
        <item x="25"/>
        <item x="126"/>
        <item x="9"/>
        <item x="11"/>
        <item x="56"/>
        <item x="95"/>
        <item x="131"/>
        <item x="132"/>
        <item x="57"/>
        <item x="2"/>
        <item x="110"/>
        <item x="62"/>
        <item x="105"/>
        <item x="47"/>
        <item x="41"/>
        <item x="150"/>
        <item x="12"/>
        <item x="33"/>
        <item x="117"/>
        <item x="115"/>
        <item x="116"/>
        <item x="114"/>
        <item x="113"/>
        <item x="119"/>
        <item x="118"/>
        <item x="120"/>
        <item x="85"/>
        <item x="86"/>
        <item x="87"/>
        <item x="91"/>
        <item x="89"/>
        <item x="90"/>
        <item x="88"/>
        <item x="103"/>
        <item x="28"/>
        <item x="94"/>
        <item x="48"/>
        <item x="156"/>
        <item x="130"/>
        <item x="100"/>
        <item x="98"/>
        <item x="31"/>
        <item x="30"/>
        <item x="42"/>
        <item x="151"/>
        <item x="96"/>
        <item x="32"/>
        <item x="43"/>
        <item x="36"/>
        <item x="59"/>
        <item x="16"/>
        <item x="15"/>
        <item x="147"/>
        <item x="158"/>
        <item x="8"/>
        <item x="45"/>
        <item x="37"/>
        <item x="97"/>
        <item x="65"/>
        <item x="124"/>
        <item x="128"/>
        <item x="149"/>
        <item x="153"/>
        <item x="157"/>
        <item x="104"/>
        <item x="129"/>
        <item x="148"/>
        <item x="142"/>
        <item x="137"/>
        <item x="79"/>
        <item x="84"/>
        <item x="80"/>
        <item x="72"/>
        <item x="73"/>
        <item x="74"/>
        <item x="78"/>
        <item x="76"/>
        <item x="77"/>
        <item x="75"/>
        <item x="83"/>
        <item x="81"/>
        <item x="82"/>
        <item x="560"/>
        <item x="186"/>
        <item x="168"/>
        <item x="230"/>
        <item x="169"/>
        <item x="194"/>
        <item x="308"/>
        <item x="170"/>
        <item x="162"/>
        <item x="167"/>
        <item x="193"/>
        <item x="171"/>
        <item x="185"/>
        <item x="187"/>
        <item x="225"/>
        <item x="224"/>
        <item x="276"/>
        <item x="277"/>
        <item x="278"/>
        <item x="293"/>
        <item x="338"/>
        <item x="371"/>
        <item x="385"/>
        <item x="394"/>
        <item x="392"/>
        <item x="562"/>
        <item x="280"/>
        <item x="400"/>
        <item x="399"/>
        <item x="398"/>
        <item x="518"/>
        <item x="517"/>
        <item x="516"/>
        <item x="515"/>
        <item x="561"/>
        <item x="233"/>
        <item x="232"/>
        <item x="182"/>
        <item x="234"/>
        <item x="164"/>
        <item x="188"/>
        <item x="183"/>
        <item x="340"/>
        <item x="372"/>
        <item x="401"/>
        <item x="563"/>
        <item x="195"/>
        <item x="196"/>
        <item x="231"/>
        <item x="512"/>
        <item x="209"/>
        <item x="207"/>
        <item x="206"/>
        <item x="208"/>
        <item x="281"/>
        <item x="282"/>
        <item x="341"/>
        <item x="337"/>
        <item x="342"/>
        <item x="402"/>
        <item x="513"/>
        <item x="514"/>
        <item x="542"/>
        <item x="543"/>
        <item x="544"/>
        <item x="215"/>
        <item x="381"/>
        <item x="382"/>
        <item x="319"/>
        <item x="317"/>
        <item x="318"/>
        <item x="228"/>
        <item x="227"/>
        <item x="226"/>
        <item x="229"/>
        <item x="179"/>
        <item x="172"/>
        <item x="180"/>
        <item x="175"/>
        <item x="177"/>
        <item x="181"/>
        <item x="174"/>
        <item x="173"/>
        <item x="176"/>
        <item x="178"/>
        <item x="189"/>
        <item x="191"/>
        <item x="190"/>
        <item x="192"/>
        <item x="458"/>
        <item x="459"/>
        <item x="460"/>
        <item x="555"/>
        <item x="461"/>
        <item x="462"/>
        <item x="457"/>
        <item x="464"/>
        <item x="465"/>
        <item x="466"/>
        <item x="467"/>
        <item x="468"/>
        <item x="456"/>
        <item x="463"/>
        <item x="445"/>
        <item x="446"/>
        <item x="447"/>
        <item x="448"/>
        <item x="449"/>
        <item x="444"/>
        <item x="451"/>
        <item x="452"/>
        <item x="450"/>
        <item x="455"/>
        <item x="454"/>
        <item x="453"/>
        <item x="491"/>
        <item x="490"/>
        <item x="492"/>
        <item x="496"/>
        <item x="493"/>
        <item x="494"/>
        <item x="497"/>
        <item x="498"/>
        <item x="495"/>
        <item x="586"/>
        <item x="587"/>
        <item x="588"/>
        <item x="585"/>
        <item x="590"/>
        <item x="584"/>
        <item x="591"/>
        <item x="592"/>
        <item x="593"/>
        <item x="594"/>
        <item x="589"/>
        <item x="577"/>
        <item x="574"/>
        <item x="576"/>
        <item x="575"/>
        <item x="571"/>
        <item x="573"/>
        <item x="572"/>
        <item x="578"/>
        <item x="579"/>
        <item x="580"/>
        <item x="581"/>
        <item x="582"/>
        <item x="583"/>
        <item x="397"/>
        <item x="166"/>
        <item x="313"/>
        <item x="312"/>
        <item x="311"/>
        <item x="310"/>
        <item x="309"/>
        <item x="404"/>
        <item x="403"/>
        <item x="406"/>
        <item x="405"/>
        <item x="485"/>
        <item x="260"/>
        <item x="259"/>
        <item x="471"/>
        <item x="369"/>
        <item x="484"/>
        <item x="367"/>
        <item x="472"/>
        <item x="272"/>
        <item x="269"/>
        <item x="489"/>
        <item x="264"/>
        <item x="332"/>
        <item x="265"/>
        <item x="266"/>
        <item x="267"/>
        <item x="262"/>
        <item x="268"/>
        <item x="479"/>
        <item x="333"/>
        <item x="263"/>
        <item x="271"/>
        <item x="475"/>
        <item x="331"/>
        <item x="255"/>
        <item x="254"/>
        <item x="253"/>
        <item x="481"/>
        <item x="330"/>
        <item x="252"/>
        <item x="250"/>
        <item x="482"/>
        <item x="249"/>
        <item x="328"/>
        <item x="248"/>
        <item x="480"/>
        <item x="251"/>
        <item x="256"/>
        <item x="329"/>
        <item x="257"/>
        <item x="258"/>
        <item x="273"/>
        <item x="483"/>
        <item x="368"/>
        <item x="275"/>
        <item x="274"/>
        <item x="270"/>
        <item x="261"/>
        <item x="478"/>
        <item x="323"/>
        <item x="322"/>
        <item x="477"/>
        <item x="327"/>
        <item x="321"/>
        <item x="476"/>
        <item x="324"/>
        <item x="487"/>
        <item x="325"/>
        <item x="488"/>
        <item x="326"/>
        <item x="378"/>
        <item x="374"/>
        <item x="366"/>
        <item x="365"/>
        <item x="470"/>
        <item x="364"/>
        <item x="363"/>
        <item x="377"/>
        <item x="376"/>
        <item x="375"/>
        <item x="469"/>
        <item x="362"/>
        <item x="380"/>
        <item x="474"/>
        <item x="486"/>
        <item x="536"/>
        <item x="537"/>
        <item x="532"/>
        <item x="283"/>
        <item x="284"/>
        <item x="285"/>
        <item x="286"/>
        <item x="287"/>
        <item x="436"/>
        <item x="203"/>
        <item x="199"/>
        <item x="197"/>
        <item x="202"/>
        <item x="200"/>
        <item x="201"/>
        <item x="204"/>
        <item x="205"/>
        <item x="198"/>
        <item x="335"/>
        <item x="393"/>
        <item x="336"/>
        <item x="437"/>
        <item x="389"/>
        <item x="438"/>
        <item x="391"/>
        <item x="390"/>
        <item x="184"/>
        <item x="211"/>
        <item x="216"/>
        <item x="213"/>
        <item x="217"/>
        <item x="289"/>
        <item x="288"/>
        <item x="294"/>
        <item x="295"/>
        <item x="296"/>
        <item x="316"/>
        <item x="297"/>
        <item x="314"/>
        <item x="315"/>
        <item x="320"/>
        <item x="359"/>
        <item x="360"/>
        <item x="379"/>
        <item x="503"/>
        <item x="504"/>
        <item x="501"/>
        <item x="502"/>
        <item x="500"/>
        <item x="499"/>
        <item x="292"/>
        <item x="291"/>
        <item x="290"/>
        <item x="239"/>
        <item x="242"/>
        <item x="244"/>
        <item x="241"/>
        <item x="243"/>
        <item x="238"/>
        <item x="236"/>
        <item x="240"/>
        <item x="237"/>
        <item x="373"/>
        <item x="395"/>
        <item x="339"/>
        <item x="349"/>
        <item x="354"/>
        <item x="353"/>
        <item x="352"/>
        <item x="351"/>
        <item x="350"/>
        <item x="343"/>
        <item x="348"/>
        <item x="347"/>
        <item x="346"/>
        <item x="345"/>
        <item x="344"/>
        <item x="559"/>
        <item x="558"/>
        <item x="556"/>
        <item x="557"/>
        <item x="370"/>
        <item x="519"/>
        <item x="383"/>
        <item x="384"/>
        <item x="386"/>
        <item x="388"/>
        <item x="387"/>
        <item x="506"/>
        <item x="507"/>
        <item x="554"/>
        <item x="442"/>
        <item x="443"/>
        <item x="440"/>
        <item x="441"/>
        <item x="439"/>
        <item x="508"/>
        <item x="509"/>
        <item x="510"/>
        <item x="526"/>
        <item x="531"/>
        <item x="530"/>
        <item x="529"/>
        <item x="528"/>
        <item x="527"/>
        <item x="520"/>
        <item x="535"/>
        <item x="525"/>
        <item x="524"/>
        <item x="534"/>
        <item x="533"/>
        <item x="523"/>
        <item x="522"/>
        <item x="521"/>
        <item x="541"/>
        <item x="540"/>
        <item x="538"/>
        <item x="539"/>
        <item x="553"/>
        <item x="551"/>
        <item x="550"/>
        <item x="545"/>
        <item x="549"/>
        <item x="548"/>
        <item x="547"/>
        <item x="546"/>
        <item x="552"/>
        <item x="570"/>
        <item x="569"/>
        <item x="568"/>
        <item x="564"/>
        <item x="567"/>
        <item x="566"/>
        <item x="565"/>
        <item x="27"/>
        <item x="235"/>
        <item x="112"/>
        <item x="58"/>
        <item x="18"/>
        <item x="35"/>
        <item x="34"/>
        <item x="3"/>
        <item x="17"/>
        <item x="46"/>
        <item x="64"/>
        <item x="138"/>
        <item x="44"/>
        <item x="19"/>
        <item x="24"/>
        <item x="63"/>
        <item x="52"/>
        <item x="53"/>
        <item x="54"/>
        <item x="67"/>
        <item x="5"/>
        <item x="38"/>
        <item x="39"/>
        <item x="68"/>
        <item x="40"/>
        <item x="20"/>
        <item x="144"/>
        <item x="222"/>
        <item x="223"/>
        <item x="221"/>
        <item x="279"/>
        <item x="356"/>
        <item x="214"/>
        <item x="511"/>
        <item x="361"/>
        <item x="473"/>
        <item x="334"/>
        <item x="505"/>
        <item x="218"/>
        <item x="245"/>
        <item x="247"/>
        <item x="246"/>
        <item x="219"/>
        <item x="299"/>
        <item x="300"/>
        <item x="298"/>
        <item x="302"/>
        <item x="301"/>
        <item x="304"/>
        <item x="305"/>
        <item x="307"/>
        <item x="306"/>
        <item x="303"/>
        <item x="26"/>
        <item x="432"/>
        <item x="220"/>
        <item x="165"/>
        <item x="50"/>
        <item x="414"/>
        <item x="415"/>
        <item x="71"/>
        <item x="101"/>
        <item x="7"/>
        <item x="140"/>
        <item x="6"/>
        <item x="61"/>
        <item x="139"/>
        <item x="0"/>
        <item x="161"/>
        <item x="1"/>
        <item x="145"/>
        <item x="69"/>
        <item x="146"/>
        <item x="4"/>
        <item x="66"/>
        <item x="210"/>
        <item x="212"/>
        <item x="49"/>
        <item x="123"/>
        <item x="163"/>
        <item x="434"/>
        <item x="435"/>
        <item x="417"/>
        <item x="428"/>
        <item x="429"/>
        <item x="407"/>
        <item x="430"/>
        <item x="431"/>
        <item x="412"/>
        <item x="420"/>
        <item x="422"/>
        <item x="421"/>
        <item x="423"/>
        <item x="410"/>
        <item x="408"/>
        <item x="416"/>
        <item x="433"/>
        <item x="411"/>
        <item x="419"/>
        <item x="424"/>
        <item x="425"/>
        <item x="427"/>
        <item x="413"/>
        <item x="409"/>
        <item x="418"/>
        <item x="426"/>
        <item x="660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9"/>
  </rowFields>
  <rowItems count="8">
    <i>
      <x v="2"/>
    </i>
    <i>
      <x v="51"/>
    </i>
    <i>
      <x v="42"/>
    </i>
    <i>
      <x v="64"/>
    </i>
    <i>
      <x v="43"/>
    </i>
    <i>
      <x v="17"/>
    </i>
    <i>
      <x v="52"/>
    </i>
    <i t="grand">
      <x/>
    </i>
  </rowItems>
  <colFields count="1">
    <field x="1"/>
  </colFields>
  <colItems count="3">
    <i>
      <x v="4"/>
    </i>
    <i>
      <x v="5"/>
    </i>
    <i t="grand">
      <x/>
    </i>
  </colItems>
  <pageFields count="1">
    <pageField fld="6" hier="-1"/>
  </pageFields>
  <dataFields count="1">
    <dataField name="VALOR (R$)" fld="18" baseField="0" baseItem="0"/>
  </dataFields>
  <formats count="17">
    <format dxfId="1385">
      <pivotArea outline="0" collapsedLevelsAreSubtotals="1" fieldPosition="0">
        <references count="1">
          <reference field="1" count="0" selected="0"/>
        </references>
      </pivotArea>
    </format>
    <format dxfId="1384">
      <pivotArea dataOnly="0" labelOnly="1" outline="0" fieldPosition="0">
        <references count="1">
          <reference field="6" count="0"/>
        </references>
      </pivotArea>
    </format>
    <format dxfId="1383">
      <pivotArea field="1" type="button" dataOnly="0" labelOnly="1" outline="0" axis="axisCol" fieldPosition="0"/>
    </format>
    <format dxfId="1382">
      <pivotArea type="topRight" dataOnly="0" labelOnly="1" outline="0" fieldPosition="0"/>
    </format>
    <format dxfId="1381">
      <pivotArea dataOnly="0" labelOnly="1" fieldPosition="0">
        <references count="1">
          <reference field="1" count="0"/>
        </references>
      </pivotArea>
    </format>
    <format dxfId="1380">
      <pivotArea outline="0" collapsedLevelsAreSubtotals="1" fieldPosition="0"/>
    </format>
    <format dxfId="1379">
      <pivotArea dataOnly="0" labelOnly="1" outline="0" fieldPosition="0">
        <references count="1">
          <reference field="6" count="0"/>
        </references>
      </pivotArea>
    </format>
    <format dxfId="1378">
      <pivotArea field="1" type="button" dataOnly="0" labelOnly="1" outline="0" axis="axisCol" fieldPosition="0"/>
    </format>
    <format dxfId="1377">
      <pivotArea type="topRight" dataOnly="0" labelOnly="1" outline="0" fieldPosition="0"/>
    </format>
    <format dxfId="1376">
      <pivotArea dataOnly="0" labelOnly="1" fieldPosition="0">
        <references count="1">
          <reference field="1" count="6">
            <x v="0"/>
            <x v="1"/>
            <x v="2"/>
            <x v="3"/>
            <x v="4"/>
            <x v="5"/>
          </reference>
        </references>
      </pivotArea>
    </format>
    <format dxfId="1375">
      <pivotArea dataOnly="0" labelOnly="1" grandCol="1" outline="0" fieldPosition="0"/>
    </format>
    <format dxfId="1374">
      <pivotArea dataOnly="0" labelOnly="1" outline="0" fieldPosition="0">
        <references count="1">
          <reference field="6" count="0"/>
        </references>
      </pivotArea>
    </format>
    <format dxfId="1373">
      <pivotArea type="origin" dataOnly="0" labelOnly="1" outline="0" fieldPosition="0"/>
    </format>
    <format dxfId="1372">
      <pivotArea field="4" type="button" dataOnly="0" labelOnly="1" outline="0" axis="axisRow" fieldPosition="0"/>
    </format>
    <format dxfId="1371">
      <pivotArea type="origin" dataOnly="0" labelOnly="1" outline="0" fieldPosition="0"/>
    </format>
    <format dxfId="1370">
      <pivotArea dataOnly="0" labelOnly="1" fieldPosition="0">
        <references count="1">
          <reference field="4" count="1">
            <x v="15"/>
          </reference>
        </references>
      </pivotArea>
    </format>
    <format dxfId="1369">
      <pivotArea field="6" type="button" dataOnly="0" labelOnly="1" outline="0" axis="axisPage" fieldPosition="0"/>
    </format>
  </formats>
  <chartFormats count="6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AC88C-A69B-4C8D-B32F-7651F1009802}" name="TablaDinámica1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CLIENTE/ SKU / VOLUME" colHeaderCaption="AÑOS">
  <location ref="A5:D14" firstHeaderRow="1" firstDataRow="2" firstDataCol="1" rowPageCount="1" colPageCount="1"/>
  <pivotFields count="37">
    <pivotField showAll="0"/>
    <pivotField axis="axisCol" showAll="0">
      <items count="8">
        <item h="1" x="0"/>
        <item h="1" x="1"/>
        <item h="1" x="2"/>
        <item h="1" x="3"/>
        <item x="4"/>
        <item x="5"/>
        <item h="1" x="6"/>
        <item t="default"/>
      </items>
    </pivotField>
    <pivotField showAll="0"/>
    <pivotField showAll="0"/>
    <pivotField axis="axisRow" showAll="0" sortType="descending">
      <items count="66">
        <item sd="0" x="8"/>
        <item sd="0" x="25"/>
        <item sd="0" x="36"/>
        <item sd="0" x="32"/>
        <item sd="0" x="15"/>
        <item sd="0" x="30"/>
        <item sd="0" x="7"/>
        <item sd="0" x="10"/>
        <item sd="0" x="46"/>
        <item sd="0" x="2"/>
        <item sd="0" x="18"/>
        <item sd="0" x="6"/>
        <item sd="0" x="3"/>
        <item sd="0" x="28"/>
        <item sd="0" m="1" x="62"/>
        <item sd="0" x="16"/>
        <item sd="0" x="0"/>
        <item sd="0" x="37"/>
        <item sd="0" x="1"/>
        <item sd="0" x="29"/>
        <item sd="0" x="12"/>
        <item sd="0" x="26"/>
        <item sd="0" x="27"/>
        <item sd="0" x="9"/>
        <item sd="0" x="35"/>
        <item sd="0" x="43"/>
        <item sd="0" x="20"/>
        <item sd="0" x="44"/>
        <item sd="0" x="13"/>
        <item sd="0" x="5"/>
        <item sd="0" x="11"/>
        <item sd="0" x="45"/>
        <item sd="0" x="17"/>
        <item sd="0" x="19"/>
        <item sd="0" x="42"/>
        <item sd="0" x="14"/>
        <item sd="0" x="23"/>
        <item sd="0" m="1" x="64"/>
        <item sd="0" x="24"/>
        <item sd="0" x="22"/>
        <item sd="0" x="31"/>
        <item sd="0" x="41"/>
        <item sd="0" x="33"/>
        <item sd="0" x="40"/>
        <item sd="0" x="39"/>
        <item sd="0" x="38"/>
        <item sd="0" x="21"/>
        <item sd="0" x="4"/>
        <item sd="0" x="34"/>
        <item sd="0" x="59"/>
        <item sd="0" m="1" x="63"/>
        <item sd="0" x="47"/>
        <item sd="0" x="48"/>
        <item m="1" x="61"/>
        <item sd="0" m="1" x="60"/>
        <item x="49"/>
        <item x="50"/>
        <item x="51"/>
        <item x="52"/>
        <item x="53"/>
        <item x="54"/>
        <item x="55"/>
        <item x="56"/>
        <item x="57"/>
        <item sd="0" x="58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ame="PAIS EXTERIOR/ MERCADO" axis="axisPage" multipleItemSelectionAllowed="1" showAll="0">
      <items count="17">
        <item h="1" x="10"/>
        <item h="1" x="3"/>
        <item x="9"/>
        <item h="1" x="0"/>
        <item h="1" x="2"/>
        <item h="1" x="7"/>
        <item h="1" x="6"/>
        <item h="1" x="11"/>
        <item h="1" x="12"/>
        <item h="1" x="4"/>
        <item h="1" x="14"/>
        <item h="1" x="13"/>
        <item h="1" x="1"/>
        <item h="1" x="8"/>
        <item h="1" x="5"/>
        <item h="1" x="15"/>
        <item t="default"/>
      </items>
    </pivotField>
    <pivotField showAll="0"/>
    <pivotField showAll="0"/>
    <pivotField axis="axisRow" showAll="0">
      <items count="662">
        <item x="355"/>
        <item x="357"/>
        <item x="358"/>
        <item x="396"/>
        <item x="135"/>
        <item x="122"/>
        <item x="136"/>
        <item x="159"/>
        <item x="107"/>
        <item x="109"/>
        <item x="121"/>
        <item x="111"/>
        <item x="60"/>
        <item x="160"/>
        <item x="70"/>
        <item x="10"/>
        <item x="154"/>
        <item x="21"/>
        <item x="141"/>
        <item x="143"/>
        <item x="55"/>
        <item x="155"/>
        <item x="22"/>
        <item x="51"/>
        <item x="102"/>
        <item x="13"/>
        <item x="14"/>
        <item x="106"/>
        <item x="152"/>
        <item x="23"/>
        <item x="99"/>
        <item x="92"/>
        <item x="93"/>
        <item x="125"/>
        <item x="108"/>
        <item x="127"/>
        <item x="133"/>
        <item x="134"/>
        <item x="29"/>
        <item x="25"/>
        <item x="126"/>
        <item x="9"/>
        <item x="11"/>
        <item x="56"/>
        <item x="95"/>
        <item x="131"/>
        <item x="132"/>
        <item x="57"/>
        <item x="2"/>
        <item x="110"/>
        <item x="62"/>
        <item x="105"/>
        <item x="47"/>
        <item x="41"/>
        <item x="150"/>
        <item x="12"/>
        <item x="33"/>
        <item x="117"/>
        <item x="115"/>
        <item x="116"/>
        <item x="114"/>
        <item x="113"/>
        <item x="119"/>
        <item x="118"/>
        <item x="120"/>
        <item x="85"/>
        <item x="86"/>
        <item x="87"/>
        <item x="91"/>
        <item x="89"/>
        <item x="90"/>
        <item x="88"/>
        <item x="103"/>
        <item x="28"/>
        <item x="94"/>
        <item x="48"/>
        <item x="156"/>
        <item x="130"/>
        <item x="100"/>
        <item x="98"/>
        <item x="31"/>
        <item x="30"/>
        <item x="42"/>
        <item x="151"/>
        <item x="96"/>
        <item x="32"/>
        <item x="43"/>
        <item x="36"/>
        <item x="59"/>
        <item x="16"/>
        <item x="15"/>
        <item x="147"/>
        <item x="158"/>
        <item x="8"/>
        <item x="45"/>
        <item x="37"/>
        <item x="97"/>
        <item x="65"/>
        <item x="124"/>
        <item x="128"/>
        <item x="149"/>
        <item x="153"/>
        <item x="157"/>
        <item x="104"/>
        <item x="129"/>
        <item x="148"/>
        <item x="142"/>
        <item x="137"/>
        <item x="79"/>
        <item x="84"/>
        <item x="80"/>
        <item x="72"/>
        <item x="73"/>
        <item x="74"/>
        <item x="78"/>
        <item x="76"/>
        <item x="77"/>
        <item x="75"/>
        <item x="83"/>
        <item x="81"/>
        <item x="82"/>
        <item x="560"/>
        <item x="186"/>
        <item x="168"/>
        <item x="230"/>
        <item x="169"/>
        <item x="194"/>
        <item x="308"/>
        <item x="170"/>
        <item x="162"/>
        <item x="167"/>
        <item x="193"/>
        <item x="171"/>
        <item x="185"/>
        <item x="187"/>
        <item x="225"/>
        <item x="224"/>
        <item x="276"/>
        <item x="277"/>
        <item x="278"/>
        <item x="293"/>
        <item x="338"/>
        <item x="371"/>
        <item x="385"/>
        <item x="394"/>
        <item x="392"/>
        <item x="562"/>
        <item x="280"/>
        <item x="400"/>
        <item x="399"/>
        <item x="398"/>
        <item x="518"/>
        <item x="517"/>
        <item x="516"/>
        <item x="515"/>
        <item x="561"/>
        <item x="233"/>
        <item x="232"/>
        <item x="182"/>
        <item x="234"/>
        <item x="164"/>
        <item x="188"/>
        <item x="183"/>
        <item x="340"/>
        <item x="372"/>
        <item x="401"/>
        <item x="563"/>
        <item x="195"/>
        <item x="196"/>
        <item x="231"/>
        <item x="512"/>
        <item x="209"/>
        <item x="207"/>
        <item x="206"/>
        <item x="208"/>
        <item x="281"/>
        <item x="282"/>
        <item x="341"/>
        <item x="337"/>
        <item x="342"/>
        <item x="402"/>
        <item x="513"/>
        <item x="514"/>
        <item x="542"/>
        <item x="543"/>
        <item x="544"/>
        <item x="215"/>
        <item x="381"/>
        <item x="382"/>
        <item x="319"/>
        <item x="317"/>
        <item x="318"/>
        <item x="228"/>
        <item x="227"/>
        <item x="226"/>
        <item x="229"/>
        <item x="179"/>
        <item x="172"/>
        <item x="180"/>
        <item x="175"/>
        <item x="177"/>
        <item x="181"/>
        <item x="174"/>
        <item x="173"/>
        <item x="176"/>
        <item x="178"/>
        <item x="189"/>
        <item x="191"/>
        <item x="190"/>
        <item x="192"/>
        <item x="458"/>
        <item x="459"/>
        <item x="460"/>
        <item x="555"/>
        <item x="461"/>
        <item x="462"/>
        <item x="457"/>
        <item x="464"/>
        <item x="465"/>
        <item x="466"/>
        <item x="467"/>
        <item x="468"/>
        <item x="456"/>
        <item x="463"/>
        <item x="445"/>
        <item x="446"/>
        <item x="447"/>
        <item x="448"/>
        <item x="449"/>
        <item x="444"/>
        <item x="451"/>
        <item x="452"/>
        <item x="450"/>
        <item x="455"/>
        <item x="454"/>
        <item x="453"/>
        <item x="491"/>
        <item x="490"/>
        <item x="492"/>
        <item x="496"/>
        <item x="493"/>
        <item x="494"/>
        <item x="497"/>
        <item x="498"/>
        <item x="495"/>
        <item x="586"/>
        <item x="587"/>
        <item x="588"/>
        <item x="585"/>
        <item x="590"/>
        <item x="584"/>
        <item x="591"/>
        <item x="592"/>
        <item x="593"/>
        <item x="594"/>
        <item x="589"/>
        <item x="577"/>
        <item x="574"/>
        <item x="576"/>
        <item x="575"/>
        <item x="571"/>
        <item x="573"/>
        <item x="572"/>
        <item x="578"/>
        <item x="579"/>
        <item x="580"/>
        <item x="581"/>
        <item x="582"/>
        <item x="583"/>
        <item x="397"/>
        <item x="166"/>
        <item x="313"/>
        <item x="312"/>
        <item x="311"/>
        <item x="310"/>
        <item x="309"/>
        <item x="404"/>
        <item x="403"/>
        <item x="406"/>
        <item x="405"/>
        <item x="485"/>
        <item x="260"/>
        <item x="259"/>
        <item x="471"/>
        <item x="369"/>
        <item x="484"/>
        <item x="367"/>
        <item x="472"/>
        <item x="272"/>
        <item x="269"/>
        <item x="489"/>
        <item x="264"/>
        <item x="332"/>
        <item x="265"/>
        <item x="266"/>
        <item x="267"/>
        <item x="262"/>
        <item x="268"/>
        <item x="479"/>
        <item x="333"/>
        <item x="263"/>
        <item x="271"/>
        <item x="475"/>
        <item x="331"/>
        <item x="255"/>
        <item x="254"/>
        <item x="253"/>
        <item x="481"/>
        <item x="330"/>
        <item x="252"/>
        <item x="250"/>
        <item x="482"/>
        <item x="249"/>
        <item x="328"/>
        <item x="248"/>
        <item x="480"/>
        <item x="251"/>
        <item x="256"/>
        <item x="329"/>
        <item x="257"/>
        <item x="258"/>
        <item x="273"/>
        <item x="483"/>
        <item x="368"/>
        <item x="275"/>
        <item x="274"/>
        <item x="270"/>
        <item x="261"/>
        <item x="478"/>
        <item x="323"/>
        <item x="322"/>
        <item x="477"/>
        <item x="327"/>
        <item x="321"/>
        <item x="476"/>
        <item x="324"/>
        <item x="487"/>
        <item x="325"/>
        <item x="488"/>
        <item x="326"/>
        <item x="378"/>
        <item x="374"/>
        <item x="366"/>
        <item x="365"/>
        <item x="470"/>
        <item x="364"/>
        <item x="363"/>
        <item x="377"/>
        <item x="376"/>
        <item x="375"/>
        <item x="469"/>
        <item x="362"/>
        <item x="380"/>
        <item x="474"/>
        <item x="486"/>
        <item x="536"/>
        <item x="537"/>
        <item x="532"/>
        <item x="283"/>
        <item x="284"/>
        <item x="285"/>
        <item x="286"/>
        <item x="287"/>
        <item x="436"/>
        <item x="203"/>
        <item x="199"/>
        <item x="197"/>
        <item x="202"/>
        <item x="200"/>
        <item x="201"/>
        <item x="204"/>
        <item x="205"/>
        <item x="198"/>
        <item x="335"/>
        <item x="393"/>
        <item x="336"/>
        <item x="437"/>
        <item x="389"/>
        <item x="438"/>
        <item x="391"/>
        <item x="390"/>
        <item x="184"/>
        <item x="211"/>
        <item x="216"/>
        <item x="213"/>
        <item x="217"/>
        <item x="289"/>
        <item x="288"/>
        <item x="294"/>
        <item x="295"/>
        <item x="296"/>
        <item x="316"/>
        <item x="297"/>
        <item x="314"/>
        <item x="315"/>
        <item x="320"/>
        <item x="359"/>
        <item x="360"/>
        <item x="379"/>
        <item x="503"/>
        <item x="504"/>
        <item x="501"/>
        <item x="502"/>
        <item x="500"/>
        <item x="499"/>
        <item x="292"/>
        <item x="291"/>
        <item x="290"/>
        <item x="239"/>
        <item x="242"/>
        <item x="244"/>
        <item x="241"/>
        <item x="243"/>
        <item x="238"/>
        <item x="236"/>
        <item x="240"/>
        <item x="237"/>
        <item x="373"/>
        <item x="395"/>
        <item x="339"/>
        <item x="349"/>
        <item x="354"/>
        <item x="353"/>
        <item x="352"/>
        <item x="351"/>
        <item x="350"/>
        <item x="343"/>
        <item x="348"/>
        <item x="347"/>
        <item x="346"/>
        <item x="345"/>
        <item x="344"/>
        <item x="559"/>
        <item x="558"/>
        <item x="556"/>
        <item x="557"/>
        <item x="370"/>
        <item x="519"/>
        <item x="383"/>
        <item x="384"/>
        <item x="386"/>
        <item x="388"/>
        <item x="387"/>
        <item x="506"/>
        <item x="507"/>
        <item x="554"/>
        <item x="442"/>
        <item x="443"/>
        <item x="440"/>
        <item x="441"/>
        <item x="439"/>
        <item x="508"/>
        <item x="509"/>
        <item x="510"/>
        <item x="526"/>
        <item x="531"/>
        <item x="530"/>
        <item x="529"/>
        <item x="528"/>
        <item x="527"/>
        <item x="520"/>
        <item x="535"/>
        <item x="525"/>
        <item x="524"/>
        <item x="534"/>
        <item x="533"/>
        <item x="523"/>
        <item x="522"/>
        <item x="521"/>
        <item x="541"/>
        <item x="540"/>
        <item x="538"/>
        <item x="539"/>
        <item x="553"/>
        <item x="551"/>
        <item x="550"/>
        <item x="545"/>
        <item x="549"/>
        <item x="548"/>
        <item x="547"/>
        <item x="546"/>
        <item x="552"/>
        <item x="570"/>
        <item x="569"/>
        <item x="568"/>
        <item x="564"/>
        <item x="567"/>
        <item x="566"/>
        <item x="565"/>
        <item x="27"/>
        <item x="235"/>
        <item x="112"/>
        <item x="58"/>
        <item x="18"/>
        <item x="35"/>
        <item x="34"/>
        <item x="3"/>
        <item x="17"/>
        <item x="46"/>
        <item x="64"/>
        <item x="138"/>
        <item x="44"/>
        <item x="19"/>
        <item x="24"/>
        <item x="63"/>
        <item x="52"/>
        <item x="53"/>
        <item x="54"/>
        <item x="67"/>
        <item x="5"/>
        <item x="38"/>
        <item x="39"/>
        <item x="68"/>
        <item x="40"/>
        <item x="20"/>
        <item x="144"/>
        <item x="222"/>
        <item x="223"/>
        <item x="221"/>
        <item x="279"/>
        <item x="356"/>
        <item x="214"/>
        <item x="511"/>
        <item x="361"/>
        <item x="473"/>
        <item x="334"/>
        <item x="505"/>
        <item x="218"/>
        <item x="245"/>
        <item x="247"/>
        <item x="246"/>
        <item x="219"/>
        <item x="299"/>
        <item x="300"/>
        <item x="298"/>
        <item x="302"/>
        <item x="301"/>
        <item x="304"/>
        <item x="305"/>
        <item x="307"/>
        <item x="306"/>
        <item x="303"/>
        <item x="26"/>
        <item x="432"/>
        <item x="220"/>
        <item x="165"/>
        <item x="50"/>
        <item x="414"/>
        <item x="415"/>
        <item x="71"/>
        <item x="101"/>
        <item x="7"/>
        <item x="140"/>
        <item x="6"/>
        <item x="61"/>
        <item x="139"/>
        <item x="0"/>
        <item x="161"/>
        <item x="1"/>
        <item x="145"/>
        <item x="69"/>
        <item x="146"/>
        <item x="4"/>
        <item x="66"/>
        <item x="210"/>
        <item x="212"/>
        <item x="49"/>
        <item x="123"/>
        <item x="163"/>
        <item x="434"/>
        <item x="435"/>
        <item x="417"/>
        <item x="428"/>
        <item x="429"/>
        <item x="407"/>
        <item x="430"/>
        <item x="431"/>
        <item x="412"/>
        <item x="420"/>
        <item x="422"/>
        <item x="421"/>
        <item x="423"/>
        <item x="410"/>
        <item x="408"/>
        <item x="416"/>
        <item x="433"/>
        <item x="411"/>
        <item x="419"/>
        <item x="424"/>
        <item x="425"/>
        <item x="427"/>
        <item x="413"/>
        <item x="409"/>
        <item x="418"/>
        <item x="426"/>
        <item x="660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9"/>
  </rowFields>
  <rowItems count="8">
    <i>
      <x v="2"/>
    </i>
    <i>
      <x v="51"/>
    </i>
    <i>
      <x v="42"/>
    </i>
    <i>
      <x v="43"/>
    </i>
    <i>
      <x v="64"/>
    </i>
    <i>
      <x v="17"/>
    </i>
    <i>
      <x v="52"/>
    </i>
    <i t="grand">
      <x/>
    </i>
  </rowItems>
  <colFields count="1">
    <field x="1"/>
  </colFields>
  <colItems count="3">
    <i>
      <x v="4"/>
    </i>
    <i>
      <x v="5"/>
    </i>
    <i t="grand">
      <x/>
    </i>
  </colItems>
  <pageFields count="1">
    <pageField fld="6" hier="-1"/>
  </pageFields>
  <dataFields count="1">
    <dataField name="MTS" fld="22" baseField="0" baseItem="0" numFmtId="3"/>
  </dataFields>
  <formats count="20">
    <format dxfId="1405">
      <pivotArea outline="0" collapsedLevelsAreSubtotals="1" fieldPosition="0">
        <references count="1">
          <reference field="1" count="0" selected="0"/>
        </references>
      </pivotArea>
    </format>
    <format dxfId="1404">
      <pivotArea dataOnly="0" labelOnly="1" outline="0" fieldPosition="0">
        <references count="1">
          <reference field="6" count="0"/>
        </references>
      </pivotArea>
    </format>
    <format dxfId="1403">
      <pivotArea field="1" type="button" dataOnly="0" labelOnly="1" outline="0" axis="axisCol" fieldPosition="0"/>
    </format>
    <format dxfId="1402">
      <pivotArea type="topRight" dataOnly="0" labelOnly="1" outline="0" fieldPosition="0"/>
    </format>
    <format dxfId="1401">
      <pivotArea dataOnly="0" labelOnly="1" fieldPosition="0">
        <references count="1">
          <reference field="1" count="0"/>
        </references>
      </pivotArea>
    </format>
    <format dxfId="1400">
      <pivotArea outline="0" collapsedLevelsAreSubtotals="1" fieldPosition="0"/>
    </format>
    <format dxfId="1399">
      <pivotArea dataOnly="0" labelOnly="1" outline="0" fieldPosition="0">
        <references count="1">
          <reference field="6" count="0"/>
        </references>
      </pivotArea>
    </format>
    <format dxfId="1398">
      <pivotArea field="1" type="button" dataOnly="0" labelOnly="1" outline="0" axis="axisCol" fieldPosition="0"/>
    </format>
    <format dxfId="1397">
      <pivotArea type="topRight" dataOnly="0" labelOnly="1" outline="0" fieldPosition="0"/>
    </format>
    <format dxfId="1396">
      <pivotArea dataOnly="0" labelOnly="1" fieldPosition="0">
        <references count="1">
          <reference field="1" count="6">
            <x v="0"/>
            <x v="1"/>
            <x v="2"/>
            <x v="3"/>
            <x v="4"/>
            <x v="5"/>
          </reference>
        </references>
      </pivotArea>
    </format>
    <format dxfId="1395">
      <pivotArea dataOnly="0" labelOnly="1" grandCol="1" outline="0" fieldPosition="0"/>
    </format>
    <format dxfId="1394">
      <pivotArea outline="0" collapsedLevelsAreSubtotals="1" fieldPosition="0"/>
    </format>
    <format dxfId="1393">
      <pivotArea dataOnly="0" labelOnly="1" fieldPosition="0">
        <references count="1">
          <reference field="1" count="3">
            <x v="3"/>
            <x v="4"/>
            <x v="5"/>
          </reference>
        </references>
      </pivotArea>
    </format>
    <format dxfId="1392">
      <pivotArea dataOnly="0" labelOnly="1" grandCol="1" outline="0" fieldPosition="0"/>
    </format>
    <format dxfId="1391">
      <pivotArea dataOnly="0" labelOnly="1" outline="0" fieldPosition="0">
        <references count="1">
          <reference field="6" count="0"/>
        </references>
      </pivotArea>
    </format>
    <format dxfId="1390">
      <pivotArea type="origin" dataOnly="0" labelOnly="1" outline="0" fieldPosition="0"/>
    </format>
    <format dxfId="1389">
      <pivotArea field="4" type="button" dataOnly="0" labelOnly="1" outline="0" axis="axisRow" fieldPosition="0"/>
    </format>
    <format dxfId="1388">
      <pivotArea type="origin" dataOnly="0" labelOnly="1" outline="0" fieldPosition="0"/>
    </format>
    <format dxfId="1387">
      <pivotArea dataOnly="0" labelOnly="1" fieldPosition="0">
        <references count="1">
          <reference field="4" count="1">
            <x v="15"/>
          </reference>
        </references>
      </pivotArea>
    </format>
    <format dxfId="1386">
      <pivotArea field="6" type="button" dataOnly="0" labelOnly="1" outline="0" axis="axisPage" fieldPosition="0"/>
    </format>
  </formats>
  <chartFormats count="6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B67A1-0E78-4E95-8DE4-B42B0466D6EC}" name="Tabla1" displayName="Tabla1" ref="A1:AK1617" totalsRowShown="0" headerRowDxfId="1368">
  <autoFilter ref="A1:AK1617" xr:uid="{1C1B67A1-0E78-4E95-8DE4-B42B0466D6EC}"/>
  <tableColumns count="37">
    <tableColumn id="1" xr3:uid="{03C9BB53-1E75-4C28-9379-6F3F476DE197}" name="MÊS" dataDxfId="1367"/>
    <tableColumn id="2" xr3:uid="{56D3D4FD-00B5-41C2-8C54-01FC4F80A178}" name="ANO" dataDxfId="1366"/>
    <tableColumn id="3" xr3:uid="{228D2464-10AB-4160-A2D3-47279AFF2071}" name="TIPO" dataDxfId="1365"/>
    <tableColumn id="4" xr3:uid="{6BA76706-8A09-4D4B-BD95-55DEBCD09296}" name="REPRESENTANTE" dataDxfId="1364"/>
    <tableColumn id="5" xr3:uid="{022E7194-C08D-484C-82E7-4C72744DCC46}" name="CLIENTE" dataDxfId="1363"/>
    <tableColumn id="6" xr3:uid="{46BF15B9-AC84-4C56-A0E7-2557D77CBE80}" name="Checa Repres." dataDxfId="1362"/>
    <tableColumn id="7" xr3:uid="{3971CC11-E545-4F58-8C4F-9576124CFE8F}" name="PAIS EXTERIOR" dataDxfId="1361"/>
    <tableColumn id="8" xr3:uid="{7243FC71-0287-4575-B130-D6C41F38CA18}" name="Fatura" dataDxfId="1360"/>
    <tableColumn id="9" xr3:uid="{E80E4C12-D30D-4008-B368-A843E2A161C6}" name="Artigo" dataDxfId="1359"/>
    <tableColumn id="10" xr3:uid="{DC1B207C-11DE-44F8-874F-9B0E2BA4CF10}" name="Descrição Item" dataDxfId="1358"/>
    <tableColumn id="11" xr3:uid="{4B9301FA-1916-4F68-AF8E-E9DE54C1210F}" name="Cliente2"/>
    <tableColumn id="12" xr3:uid="{BD347A96-9764-47B4-AA82-C99E777C24B5}" name="estado"/>
    <tableColumn id="13" xr3:uid="{11642499-0948-4D7B-B6D9-AF4E5DB3DFCC}" name="Tipo Cliente"/>
    <tableColumn id="14" xr3:uid="{D90956DE-5D28-4091-8410-6EF5F0FF3FBC}" name="Repres"/>
    <tableColumn id="15" xr3:uid="{A53821BF-4FEE-45DC-9905-FDBDF154D25E}" name="Nome do Representante"/>
    <tableColumn id="16" xr3:uid="{042A0FE3-6EFE-4AD3-8E0E-1C3CF271E5F3}" name="Emissão/NFE"/>
    <tableColumn id="17" xr3:uid="{2EFF266C-A003-46BD-8532-D4A7D85F52DB}" name="ICMS"/>
    <tableColumn id="18" xr3:uid="{B5B09B8B-08B4-4D84-A820-D294C6E88A07}" name="Preço Unit"/>
    <tableColumn id="19" xr3:uid="{1864FF0F-97BA-489D-85C3-018462D277B5}" name="Valor (total)" dataDxfId="1357"/>
    <tableColumn id="20" xr3:uid="{8B6F4AEF-B596-4E2D-9DCA-F827E76CD8EF}" name="Unidade"/>
    <tableColumn id="21" xr3:uid="{0AD9EC80-1430-462F-A61B-275E4ACB6168}" name="Gramatura"/>
    <tableColumn id="22" xr3:uid="{AB222C2D-B4A9-4983-BDC8-705337A47B50}" name="Peças"/>
    <tableColumn id="23" xr3:uid="{DA546C10-8DA4-4B31-914A-CE13DDF4113A}" name="MT" dataDxfId="1356"/>
    <tableColumn id="24" xr3:uid="{3A3551F0-6BFE-483D-9C7F-BCDF1C1F62A0}" name="KG"/>
    <tableColumn id="25" xr3:uid="{0011F8F8-D137-467B-9676-0C4A626D51D6}" name="Rentabilidade Ult preço FIo"/>
    <tableColumn id="26" xr3:uid="{A3749AFB-7983-4000-8142-F493B3584F74}" name="CPV"/>
    <tableColumn id="27" xr3:uid="{63B2671C-ABFF-4E5B-ADC9-55CF712E1053}" name="$ ICMS"/>
    <tableColumn id="28" xr3:uid="{8FB611E1-2F8F-45B0-92D8-40A1C0BF0DBC}" name="$ Frete"/>
    <tableColumn id="29" xr3:uid="{7DDBC3F6-AA59-48FB-862E-B8BD990C254F}" name="PiaCofins"/>
    <tableColumn id="30" xr3:uid="{98152EF5-68AC-4172-B414-26049CD61B8C}" name="$ reo Com"/>
    <tableColumn id="31" xr3:uid="{828C65B4-7837-4D57-845E-0ACC078E2018}" name="$ Com 2"/>
    <tableColumn id="32" xr3:uid="{B95E3A30-8AC3-49E4-A1B0-15226BA423B1}" name="$Custo Fixo"/>
    <tableColumn id="33" xr3:uid="{5360914C-7E3B-46F1-BBA9-188FB759E01E}" name="$ OverHead"/>
    <tableColumn id="34" xr3:uid="{2E92EB9F-D5A7-42E8-B63B-5BE92DE432D1}" name="Total Fio 1"/>
    <tableColumn id="35" xr3:uid="{B176BE36-0846-4689-81BD-FE62FADCA20D}" name="Cliente TOTVS"/>
    <tableColumn id="36" xr3:uid="{72A6F6A0-5420-4FF3-8A96-AF2F35CFFAE5}" name="Representate TOTVS"/>
    <tableColumn id="37" xr3:uid="{2EED94A9-580F-4469-B9D0-48DE22D7289D}" name="Coluna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drawing" Target="../drawings/drawing7.xml"/><Relationship Id="rId4" Type="http://schemas.openxmlformats.org/officeDocument/2006/relationships/pivotTable" Target="../pivotTables/pivotTable1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3203-1B81-4E83-922A-260DF619C12A}">
  <dimension ref="A1:AK1617"/>
  <sheetViews>
    <sheetView showGridLines="0" zoomScaleNormal="100" workbookViewId="0">
      <pane xSplit="5" ySplit="1" topLeftCell="T1562" activePane="bottomRight" state="frozen"/>
      <selection pane="topRight" activeCell="F1" sqref="F1"/>
      <selection pane="bottomLeft" activeCell="A2" sqref="A2"/>
      <selection pane="bottomRight" activeCell="U1612" sqref="U1612"/>
    </sheetView>
  </sheetViews>
  <sheetFormatPr baseColWidth="10" defaultColWidth="9.1796875" defaultRowHeight="14.5" x14ac:dyDescent="0.35"/>
  <cols>
    <col min="1" max="1" width="7" bestFit="1" customWidth="1"/>
    <col min="2" max="2" width="7.453125" bestFit="1" customWidth="1"/>
    <col min="3" max="3" width="17.54296875" customWidth="1"/>
    <col min="4" max="4" width="8" customWidth="1"/>
    <col min="5" max="5" width="27" customWidth="1"/>
    <col min="6" max="6" width="12.54296875" style="3" customWidth="1"/>
    <col min="7" max="7" width="15.1796875" style="2" customWidth="1"/>
    <col min="8" max="8" width="10.81640625" style="3" customWidth="1"/>
    <col min="9" max="9" width="11.54296875" style="3" bestFit="1" customWidth="1"/>
    <col min="10" max="10" width="54.81640625" style="2" bestFit="1" customWidth="1"/>
    <col min="11" max="15" width="6.1796875" customWidth="1"/>
    <col min="16" max="16" width="8.81640625" customWidth="1"/>
    <col min="17" max="17" width="7.1796875" customWidth="1"/>
    <col min="18" max="18" width="12.54296875" bestFit="1" customWidth="1"/>
    <col min="19" max="19" width="13.81640625" style="6" customWidth="1"/>
    <col min="20" max="20" width="12.81640625" customWidth="1"/>
    <col min="21" max="21" width="12.54296875" customWidth="1"/>
    <col min="22" max="22" width="8.1796875" customWidth="1"/>
    <col min="23" max="23" width="9.81640625" style="7" bestFit="1" customWidth="1"/>
    <col min="24" max="24" width="9" bestFit="1" customWidth="1"/>
    <col min="25" max="25" width="17.453125" customWidth="1"/>
    <col min="26" max="26" width="10" bestFit="1" customWidth="1"/>
    <col min="27" max="28" width="9.1796875" customWidth="1"/>
    <col min="29" max="29" width="11.453125" customWidth="1"/>
    <col min="30" max="30" width="12" customWidth="1"/>
    <col min="31" max="31" width="10.1796875" customWidth="1"/>
    <col min="32" max="32" width="13.1796875" customWidth="1"/>
    <col min="33" max="33" width="13.453125" customWidth="1"/>
    <col min="34" max="34" width="10.81640625" customWidth="1"/>
    <col min="35" max="35" width="14.81640625" customWidth="1"/>
    <col min="36" max="36" width="14.1796875" customWidth="1"/>
    <col min="37" max="37" width="12.81640625" bestFit="1" customWidth="1"/>
  </cols>
  <sheetData>
    <row r="1" spans="1:37" ht="21.75" customHeight="1" x14ac:dyDescent="0.35">
      <c r="A1" s="20" t="s">
        <v>0</v>
      </c>
      <c r="B1" s="20" t="s">
        <v>1</v>
      </c>
      <c r="C1" s="20" t="s">
        <v>2</v>
      </c>
      <c r="D1" s="29" t="s">
        <v>3</v>
      </c>
      <c r="E1" s="20" t="s">
        <v>4</v>
      </c>
      <c r="F1" s="42" t="s">
        <v>5</v>
      </c>
      <c r="G1" s="33" t="s">
        <v>547</v>
      </c>
      <c r="H1" s="30" t="s">
        <v>6</v>
      </c>
      <c r="I1" s="30" t="s">
        <v>7</v>
      </c>
      <c r="J1" s="33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59" t="s">
        <v>543</v>
      </c>
      <c r="Q1" s="4" t="s">
        <v>14</v>
      </c>
      <c r="R1" s="5" t="s">
        <v>544</v>
      </c>
      <c r="S1" s="119" t="s">
        <v>545</v>
      </c>
      <c r="T1" s="4" t="s">
        <v>15</v>
      </c>
      <c r="U1" s="126" t="s">
        <v>16</v>
      </c>
      <c r="V1" s="4" t="s">
        <v>17</v>
      </c>
      <c r="W1" s="126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</row>
    <row r="2" spans="1:37" x14ac:dyDescent="0.35">
      <c r="A2">
        <v>3</v>
      </c>
      <c r="B2">
        <v>2021</v>
      </c>
      <c r="C2" t="s">
        <v>33</v>
      </c>
      <c r="D2" t="s">
        <v>34</v>
      </c>
      <c r="E2" t="s">
        <v>35</v>
      </c>
      <c r="F2" s="3" t="s">
        <v>36</v>
      </c>
      <c r="G2" s="2" t="s">
        <v>37</v>
      </c>
      <c r="H2" s="3">
        <v>37002</v>
      </c>
      <c r="I2" s="3">
        <v>2510001</v>
      </c>
      <c r="J2" s="2" t="s">
        <v>38</v>
      </c>
      <c r="K2" t="s">
        <v>35</v>
      </c>
      <c r="L2" t="s">
        <v>39</v>
      </c>
      <c r="M2" t="s">
        <v>40</v>
      </c>
      <c r="N2">
        <v>1</v>
      </c>
      <c r="O2" t="s">
        <v>34</v>
      </c>
      <c r="P2">
        <v>44285</v>
      </c>
      <c r="R2">
        <v>30.65</v>
      </c>
      <c r="S2" s="6">
        <v>24488.12</v>
      </c>
      <c r="T2" t="s">
        <v>19</v>
      </c>
      <c r="U2">
        <v>210</v>
      </c>
      <c r="V2">
        <v>34</v>
      </c>
      <c r="W2" s="7">
        <v>1551</v>
      </c>
      <c r="X2">
        <v>798.96</v>
      </c>
      <c r="Y2">
        <v>16.739999999999998</v>
      </c>
      <c r="Z2">
        <v>16401.05</v>
      </c>
      <c r="AD2">
        <v>979.52</v>
      </c>
      <c r="AE2">
        <v>489.76</v>
      </c>
      <c r="AF2">
        <v>1230.4000000000001</v>
      </c>
      <c r="AG2">
        <v>5387.39</v>
      </c>
      <c r="AH2">
        <v>14152.18</v>
      </c>
      <c r="AK2">
        <v>15.788600902643456</v>
      </c>
    </row>
    <row r="3" spans="1:37" x14ac:dyDescent="0.35">
      <c r="A3">
        <v>3</v>
      </c>
      <c r="B3">
        <v>2021</v>
      </c>
      <c r="C3" t="s">
        <v>33</v>
      </c>
      <c r="D3" t="s">
        <v>34</v>
      </c>
      <c r="E3" t="s">
        <v>35</v>
      </c>
      <c r="F3" s="3" t="s">
        <v>36</v>
      </c>
      <c r="G3" s="2" t="s">
        <v>37</v>
      </c>
      <c r="H3" s="3">
        <v>37002</v>
      </c>
      <c r="I3" s="3">
        <v>2510002</v>
      </c>
      <c r="J3" s="2" t="s">
        <v>38</v>
      </c>
      <c r="K3" t="s">
        <v>35</v>
      </c>
      <c r="L3" t="s">
        <v>39</v>
      </c>
      <c r="M3" t="s">
        <v>40</v>
      </c>
      <c r="N3">
        <v>1</v>
      </c>
      <c r="O3" t="s">
        <v>34</v>
      </c>
      <c r="P3">
        <v>44285</v>
      </c>
      <c r="R3">
        <v>29.1</v>
      </c>
      <c r="S3" s="6">
        <v>7397.8</v>
      </c>
      <c r="T3" t="s">
        <v>19</v>
      </c>
      <c r="U3">
        <v>160</v>
      </c>
      <c r="V3">
        <v>14</v>
      </c>
      <c r="W3" s="7">
        <v>639</v>
      </c>
      <c r="X3">
        <v>254.22</v>
      </c>
      <c r="Y3">
        <v>19.760000000000002</v>
      </c>
      <c r="Z3">
        <v>4934.92</v>
      </c>
      <c r="AD3">
        <v>295.91000000000003</v>
      </c>
      <c r="AE3">
        <v>147.96</v>
      </c>
      <c r="AF3">
        <v>391.5</v>
      </c>
      <c r="AG3">
        <v>1627.52</v>
      </c>
      <c r="AH3">
        <v>4031.27</v>
      </c>
      <c r="AK3">
        <v>11.577151799687011</v>
      </c>
    </row>
    <row r="4" spans="1:37" x14ac:dyDescent="0.35">
      <c r="A4">
        <v>3</v>
      </c>
      <c r="B4">
        <v>2021</v>
      </c>
      <c r="C4" t="s">
        <v>33</v>
      </c>
      <c r="D4" t="s">
        <v>34</v>
      </c>
      <c r="E4" t="s">
        <v>35</v>
      </c>
      <c r="F4" s="3" t="s">
        <v>36</v>
      </c>
      <c r="G4" s="2" t="s">
        <v>37</v>
      </c>
      <c r="H4" s="3">
        <v>37002</v>
      </c>
      <c r="I4" s="3">
        <v>2510003</v>
      </c>
      <c r="J4" s="2" t="s">
        <v>38</v>
      </c>
      <c r="K4" t="s">
        <v>35</v>
      </c>
      <c r="L4" t="s">
        <v>39</v>
      </c>
      <c r="M4" t="s">
        <v>40</v>
      </c>
      <c r="N4">
        <v>1</v>
      </c>
      <c r="O4" t="s">
        <v>34</v>
      </c>
      <c r="P4">
        <v>44285</v>
      </c>
      <c r="R4">
        <v>34.58</v>
      </c>
      <c r="S4" s="6">
        <v>13620.37</v>
      </c>
      <c r="T4" t="s">
        <v>19</v>
      </c>
      <c r="U4">
        <v>330</v>
      </c>
      <c r="V4">
        <v>13</v>
      </c>
      <c r="W4" s="7">
        <v>564</v>
      </c>
      <c r="X4">
        <v>393.88</v>
      </c>
      <c r="Y4">
        <v>17.25</v>
      </c>
      <c r="Z4">
        <v>9200.09</v>
      </c>
      <c r="AD4">
        <v>544.80999999999995</v>
      </c>
      <c r="AE4">
        <v>272.41000000000003</v>
      </c>
      <c r="AF4">
        <v>606.58000000000004</v>
      </c>
      <c r="AG4">
        <v>2996.48</v>
      </c>
      <c r="AH4">
        <v>6660.94</v>
      </c>
      <c r="AK4">
        <v>24.149592198581562</v>
      </c>
    </row>
    <row r="5" spans="1:37" x14ac:dyDescent="0.35">
      <c r="A5">
        <v>3</v>
      </c>
      <c r="B5">
        <v>2021</v>
      </c>
      <c r="C5" t="s">
        <v>33</v>
      </c>
      <c r="D5" t="s">
        <v>34</v>
      </c>
      <c r="E5" t="s">
        <v>35</v>
      </c>
      <c r="F5" s="3" t="s">
        <v>36</v>
      </c>
      <c r="G5" s="2" t="s">
        <v>37</v>
      </c>
      <c r="H5" s="3">
        <v>37002</v>
      </c>
      <c r="I5" s="3">
        <v>2510004</v>
      </c>
      <c r="J5" s="2" t="s">
        <v>38</v>
      </c>
      <c r="K5" t="s">
        <v>35</v>
      </c>
      <c r="L5" t="s">
        <v>39</v>
      </c>
      <c r="M5" t="s">
        <v>40</v>
      </c>
      <c r="N5">
        <v>1</v>
      </c>
      <c r="O5" t="s">
        <v>34</v>
      </c>
      <c r="P5">
        <v>44285</v>
      </c>
      <c r="R5">
        <v>31.73</v>
      </c>
      <c r="S5" s="6">
        <v>15171.38</v>
      </c>
      <c r="T5" t="s">
        <v>19</v>
      </c>
      <c r="U5">
        <v>280</v>
      </c>
      <c r="V5">
        <v>15</v>
      </c>
      <c r="W5" s="7">
        <v>717</v>
      </c>
      <c r="X5">
        <v>478.14</v>
      </c>
      <c r="Y5">
        <v>17.350000000000001</v>
      </c>
      <c r="Z5">
        <v>10187.06</v>
      </c>
      <c r="AD5">
        <v>606.86</v>
      </c>
      <c r="AE5">
        <v>303.43</v>
      </c>
      <c r="AF5">
        <v>736.34</v>
      </c>
      <c r="AG5">
        <v>3337.7</v>
      </c>
      <c r="AH5">
        <v>8345.8700000000008</v>
      </c>
      <c r="AK5">
        <v>21.159525801952579</v>
      </c>
    </row>
    <row r="6" spans="1:37" x14ac:dyDescent="0.35">
      <c r="A6">
        <v>3</v>
      </c>
      <c r="B6">
        <v>2021</v>
      </c>
      <c r="C6" t="s">
        <v>33</v>
      </c>
      <c r="D6" t="s">
        <v>34</v>
      </c>
      <c r="E6" t="s">
        <v>35</v>
      </c>
      <c r="F6" s="3" t="s">
        <v>36</v>
      </c>
      <c r="G6" s="2" t="s">
        <v>37</v>
      </c>
      <c r="H6" s="3">
        <v>37002</v>
      </c>
      <c r="I6" s="3">
        <v>2510005</v>
      </c>
      <c r="J6" s="2" t="s">
        <v>38</v>
      </c>
      <c r="K6" t="s">
        <v>35</v>
      </c>
      <c r="L6" t="s">
        <v>39</v>
      </c>
      <c r="M6" t="s">
        <v>40</v>
      </c>
      <c r="N6">
        <v>1</v>
      </c>
      <c r="O6" t="s">
        <v>34</v>
      </c>
      <c r="P6">
        <v>44285</v>
      </c>
      <c r="R6">
        <v>32.369999999999997</v>
      </c>
      <c r="S6" s="6">
        <v>14176.12</v>
      </c>
      <c r="T6" t="s">
        <v>19</v>
      </c>
      <c r="U6">
        <v>280</v>
      </c>
      <c r="V6">
        <v>13</v>
      </c>
      <c r="W6" s="7">
        <v>670</v>
      </c>
      <c r="X6">
        <v>437.94</v>
      </c>
      <c r="Y6">
        <v>17.399999999999999</v>
      </c>
      <c r="Z6">
        <v>9532.3799999999992</v>
      </c>
      <c r="AD6">
        <v>567.04</v>
      </c>
      <c r="AE6">
        <v>283.52</v>
      </c>
      <c r="AF6">
        <v>674.43</v>
      </c>
      <c r="AG6">
        <v>3118.75</v>
      </c>
      <c r="AH6">
        <v>7635.89</v>
      </c>
      <c r="AK6">
        <v>21.158388059701494</v>
      </c>
    </row>
    <row r="7" spans="1:37" x14ac:dyDescent="0.35">
      <c r="A7">
        <v>3</v>
      </c>
      <c r="B7">
        <v>2021</v>
      </c>
      <c r="C7" t="s">
        <v>33</v>
      </c>
      <c r="D7" t="s">
        <v>34</v>
      </c>
      <c r="E7" t="s">
        <v>35</v>
      </c>
      <c r="F7" s="3" t="s">
        <v>36</v>
      </c>
      <c r="G7" s="2" t="s">
        <v>37</v>
      </c>
      <c r="H7" s="3">
        <v>37002</v>
      </c>
      <c r="I7" s="3">
        <v>2510006</v>
      </c>
      <c r="J7" s="2" t="s">
        <v>38</v>
      </c>
      <c r="K7" t="s">
        <v>35</v>
      </c>
      <c r="L7" t="s">
        <v>39</v>
      </c>
      <c r="M7" t="s">
        <v>40</v>
      </c>
      <c r="N7">
        <v>1</v>
      </c>
      <c r="O7" t="s">
        <v>34</v>
      </c>
      <c r="P7">
        <v>44285</v>
      </c>
      <c r="R7">
        <v>33.54</v>
      </c>
      <c r="S7" s="6">
        <v>14033.14</v>
      </c>
      <c r="T7" t="s">
        <v>19</v>
      </c>
      <c r="U7">
        <v>340</v>
      </c>
      <c r="V7">
        <v>18</v>
      </c>
      <c r="W7" s="7">
        <v>573</v>
      </c>
      <c r="X7">
        <v>418.4</v>
      </c>
      <c r="Y7">
        <v>18.79</v>
      </c>
      <c r="Z7">
        <v>9459.52</v>
      </c>
      <c r="AD7">
        <v>561.33000000000004</v>
      </c>
      <c r="AE7">
        <v>280.66000000000003</v>
      </c>
      <c r="AF7">
        <v>644.34</v>
      </c>
      <c r="AG7">
        <v>3087.29</v>
      </c>
      <c r="AH7">
        <v>6727.51</v>
      </c>
      <c r="AK7">
        <v>24.49064572425829</v>
      </c>
    </row>
    <row r="8" spans="1:37" x14ac:dyDescent="0.35">
      <c r="A8">
        <v>3</v>
      </c>
      <c r="B8">
        <v>2021</v>
      </c>
      <c r="C8" t="s">
        <v>33</v>
      </c>
      <c r="D8" t="s">
        <v>34</v>
      </c>
      <c r="E8" t="s">
        <v>35</v>
      </c>
      <c r="F8" s="3" t="s">
        <v>36</v>
      </c>
      <c r="G8" s="2" t="s">
        <v>37</v>
      </c>
      <c r="H8" s="3">
        <v>37002</v>
      </c>
      <c r="I8" s="3">
        <v>2510007</v>
      </c>
      <c r="J8" s="2" t="s">
        <v>41</v>
      </c>
      <c r="K8" t="s">
        <v>35</v>
      </c>
      <c r="L8" t="s">
        <v>39</v>
      </c>
      <c r="M8" t="s">
        <v>40</v>
      </c>
      <c r="N8">
        <v>1</v>
      </c>
      <c r="O8" t="s">
        <v>34</v>
      </c>
      <c r="P8">
        <v>44285</v>
      </c>
      <c r="R8">
        <v>36.520000000000003</v>
      </c>
      <c r="S8" s="6">
        <v>13055.17</v>
      </c>
      <c r="T8" t="s">
        <v>19</v>
      </c>
      <c r="U8">
        <v>280</v>
      </c>
      <c r="V8">
        <v>15</v>
      </c>
      <c r="W8" s="7">
        <v>617</v>
      </c>
      <c r="X8">
        <v>357.48</v>
      </c>
      <c r="Y8">
        <v>15.98</v>
      </c>
      <c r="Z8">
        <v>8849.2000000000007</v>
      </c>
      <c r="AD8">
        <v>522.21</v>
      </c>
      <c r="AE8">
        <v>261.10000000000002</v>
      </c>
      <c r="AF8">
        <v>550.52</v>
      </c>
      <c r="AG8">
        <v>2872.14</v>
      </c>
      <c r="AH8">
        <v>6409.85</v>
      </c>
      <c r="AK8">
        <v>21.159108589951376</v>
      </c>
    </row>
    <row r="9" spans="1:37" x14ac:dyDescent="0.35">
      <c r="A9">
        <v>6</v>
      </c>
      <c r="B9">
        <v>2021</v>
      </c>
      <c r="C9" t="s">
        <v>33</v>
      </c>
      <c r="D9" t="s">
        <v>34</v>
      </c>
      <c r="E9" t="s">
        <v>42</v>
      </c>
      <c r="F9" s="3" t="s">
        <v>36</v>
      </c>
      <c r="G9" s="2" t="s">
        <v>43</v>
      </c>
      <c r="H9" s="3">
        <v>37611</v>
      </c>
      <c r="I9" s="3">
        <v>2540001</v>
      </c>
      <c r="J9" s="2" t="s">
        <v>44</v>
      </c>
      <c r="K9" t="s">
        <v>42</v>
      </c>
      <c r="L9" t="s">
        <v>39</v>
      </c>
      <c r="M9" t="s">
        <v>40</v>
      </c>
      <c r="N9">
        <v>90</v>
      </c>
      <c r="O9" t="s">
        <v>45</v>
      </c>
      <c r="P9">
        <v>44351</v>
      </c>
      <c r="R9">
        <v>27.94</v>
      </c>
      <c r="S9" s="6">
        <v>114605.41</v>
      </c>
      <c r="T9" t="s">
        <v>19</v>
      </c>
      <c r="U9">
        <v>180</v>
      </c>
      <c r="V9">
        <v>200</v>
      </c>
      <c r="W9" s="7">
        <v>10185</v>
      </c>
      <c r="X9">
        <v>4101.84</v>
      </c>
      <c r="Y9">
        <v>6.74</v>
      </c>
      <c r="Z9">
        <v>76199.06</v>
      </c>
      <c r="AD9">
        <v>4584.22</v>
      </c>
      <c r="AE9">
        <v>2292.11</v>
      </c>
      <c r="AF9">
        <v>6316.83</v>
      </c>
      <c r="AG9">
        <v>25213.19</v>
      </c>
      <c r="AH9">
        <v>71206.27</v>
      </c>
      <c r="AK9">
        <v>11.252372115856652</v>
      </c>
    </row>
    <row r="10" spans="1:37" x14ac:dyDescent="0.35">
      <c r="A10">
        <v>6</v>
      </c>
      <c r="B10">
        <v>2021</v>
      </c>
      <c r="C10" t="s">
        <v>33</v>
      </c>
      <c r="D10" t="s">
        <v>34</v>
      </c>
      <c r="E10" t="s">
        <v>42</v>
      </c>
      <c r="F10" s="3" t="s">
        <v>36</v>
      </c>
      <c r="G10" s="2" t="s">
        <v>43</v>
      </c>
      <c r="H10" s="3">
        <v>37611</v>
      </c>
      <c r="I10" s="3">
        <v>2540002</v>
      </c>
      <c r="J10" s="2" t="s">
        <v>46</v>
      </c>
      <c r="K10" t="s">
        <v>42</v>
      </c>
      <c r="L10" t="s">
        <v>39</v>
      </c>
      <c r="M10" t="s">
        <v>40</v>
      </c>
      <c r="N10">
        <v>90</v>
      </c>
      <c r="O10" t="s">
        <v>45</v>
      </c>
      <c r="P10">
        <v>44351</v>
      </c>
      <c r="R10">
        <v>35.909999999999997</v>
      </c>
      <c r="S10" s="6">
        <v>196841.38</v>
      </c>
      <c r="T10" t="s">
        <v>19</v>
      </c>
      <c r="U10">
        <v>300</v>
      </c>
      <c r="V10">
        <v>215</v>
      </c>
      <c r="W10" s="7">
        <v>7827</v>
      </c>
      <c r="X10">
        <v>5481.52</v>
      </c>
      <c r="Y10">
        <v>21.33</v>
      </c>
      <c r="Z10">
        <v>141157.91</v>
      </c>
      <c r="AE10">
        <v>3936.83</v>
      </c>
      <c r="AF10">
        <v>8441.5400000000009</v>
      </c>
      <c r="AG10">
        <v>43305.1</v>
      </c>
      <c r="AH10">
        <v>102932.88</v>
      </c>
      <c r="AK10">
        <v>25.149020058770923</v>
      </c>
    </row>
    <row r="11" spans="1:37" x14ac:dyDescent="0.35">
      <c r="A11">
        <v>6</v>
      </c>
      <c r="B11">
        <v>2021</v>
      </c>
      <c r="C11" t="s">
        <v>33</v>
      </c>
      <c r="D11" t="s">
        <v>34</v>
      </c>
      <c r="E11" t="s">
        <v>42</v>
      </c>
      <c r="F11" s="3" t="s">
        <v>36</v>
      </c>
      <c r="G11" s="2" t="s">
        <v>43</v>
      </c>
      <c r="H11" s="3">
        <v>37799</v>
      </c>
      <c r="I11" s="3">
        <v>2540003</v>
      </c>
      <c r="J11" s="2" t="s">
        <v>47</v>
      </c>
      <c r="K11" t="s">
        <v>42</v>
      </c>
      <c r="L11" t="s">
        <v>39</v>
      </c>
      <c r="M11" t="s">
        <v>40</v>
      </c>
      <c r="N11">
        <v>90</v>
      </c>
      <c r="O11" t="s">
        <v>45</v>
      </c>
      <c r="P11">
        <v>44369</v>
      </c>
      <c r="R11">
        <v>31.75</v>
      </c>
      <c r="S11" s="6">
        <v>175133</v>
      </c>
      <c r="T11" t="s">
        <v>19</v>
      </c>
      <c r="U11">
        <v>400</v>
      </c>
      <c r="V11">
        <v>206</v>
      </c>
      <c r="W11" s="7">
        <v>6345</v>
      </c>
      <c r="X11">
        <v>5516</v>
      </c>
      <c r="Y11">
        <v>18.350000000000001</v>
      </c>
      <c r="Z11">
        <v>124606.44</v>
      </c>
      <c r="AE11">
        <v>3502.66</v>
      </c>
      <c r="AF11">
        <v>8494.64</v>
      </c>
      <c r="AG11">
        <v>38529.26</v>
      </c>
      <c r="AH11">
        <v>90084.05</v>
      </c>
      <c r="AK11">
        <v>27.601733648542158</v>
      </c>
    </row>
    <row r="12" spans="1:37" x14ac:dyDescent="0.35">
      <c r="A12">
        <v>6</v>
      </c>
      <c r="B12">
        <v>2021</v>
      </c>
      <c r="C12" t="s">
        <v>33</v>
      </c>
      <c r="D12" t="s">
        <v>34</v>
      </c>
      <c r="E12" t="s">
        <v>42</v>
      </c>
      <c r="F12" s="3" t="s">
        <v>36</v>
      </c>
      <c r="G12" s="2" t="s">
        <v>43</v>
      </c>
      <c r="H12" s="3">
        <v>37921</v>
      </c>
      <c r="I12" s="3">
        <v>2540003</v>
      </c>
      <c r="J12" s="2" t="s">
        <v>48</v>
      </c>
      <c r="K12" t="s">
        <v>42</v>
      </c>
      <c r="L12" t="s">
        <v>39</v>
      </c>
      <c r="M12" t="s">
        <v>40</v>
      </c>
      <c r="N12">
        <v>90</v>
      </c>
      <c r="O12" t="s">
        <v>45</v>
      </c>
      <c r="P12">
        <v>44376</v>
      </c>
      <c r="R12">
        <v>30.03</v>
      </c>
      <c r="S12" s="6">
        <v>40210.17</v>
      </c>
      <c r="T12" t="s">
        <v>19</v>
      </c>
      <c r="U12">
        <v>400</v>
      </c>
      <c r="V12">
        <v>50</v>
      </c>
      <c r="W12" s="7">
        <v>1555</v>
      </c>
      <c r="X12">
        <v>1339</v>
      </c>
      <c r="Y12">
        <v>18.350000000000001</v>
      </c>
      <c r="Z12">
        <v>28497.67</v>
      </c>
      <c r="AE12">
        <v>804.2</v>
      </c>
      <c r="AF12">
        <v>2062.06</v>
      </c>
      <c r="AG12">
        <v>8846.24</v>
      </c>
      <c r="AH12">
        <v>21867.759999999998</v>
      </c>
      <c r="AK12">
        <v>25.858630225080386</v>
      </c>
    </row>
    <row r="13" spans="1:37" x14ac:dyDescent="0.35">
      <c r="A13">
        <v>6</v>
      </c>
      <c r="B13">
        <v>2021</v>
      </c>
      <c r="C13" t="s">
        <v>33</v>
      </c>
      <c r="D13" t="s">
        <v>34</v>
      </c>
      <c r="E13" t="s">
        <v>42</v>
      </c>
      <c r="F13" s="3" t="s">
        <v>36</v>
      </c>
      <c r="G13" s="2" t="s">
        <v>43</v>
      </c>
      <c r="H13" s="3">
        <v>37922</v>
      </c>
      <c r="I13" s="3">
        <v>2540003</v>
      </c>
      <c r="J13" s="2" t="s">
        <v>48</v>
      </c>
      <c r="K13" t="s">
        <v>42</v>
      </c>
      <c r="L13" t="s">
        <v>39</v>
      </c>
      <c r="M13" t="s">
        <v>40</v>
      </c>
      <c r="N13">
        <v>90</v>
      </c>
      <c r="O13" t="s">
        <v>45</v>
      </c>
      <c r="P13">
        <v>44376</v>
      </c>
      <c r="R13">
        <v>30.04</v>
      </c>
      <c r="S13" s="6">
        <v>125477.08</v>
      </c>
      <c r="T13" t="s">
        <v>19</v>
      </c>
      <c r="U13">
        <v>400</v>
      </c>
      <c r="V13">
        <v>156</v>
      </c>
      <c r="W13" s="7">
        <v>4790</v>
      </c>
      <c r="X13">
        <v>4177</v>
      </c>
      <c r="Y13">
        <v>18.350000000000001</v>
      </c>
      <c r="Z13">
        <v>88930</v>
      </c>
      <c r="AE13">
        <v>2509.54</v>
      </c>
      <c r="AF13">
        <v>6432.58</v>
      </c>
      <c r="AG13">
        <v>27604.959999999999</v>
      </c>
      <c r="AH13">
        <v>68216.3</v>
      </c>
      <c r="AK13">
        <v>26.195632567849689</v>
      </c>
    </row>
    <row r="14" spans="1:37" x14ac:dyDescent="0.35">
      <c r="A14">
        <v>7</v>
      </c>
      <c r="B14">
        <v>2021</v>
      </c>
      <c r="C14" t="s">
        <v>33</v>
      </c>
      <c r="D14" t="s">
        <v>34</v>
      </c>
      <c r="E14" t="s">
        <v>49</v>
      </c>
      <c r="F14" s="3" t="s">
        <v>36</v>
      </c>
      <c r="G14" s="2" t="s">
        <v>50</v>
      </c>
      <c r="H14" s="3">
        <v>38090</v>
      </c>
      <c r="I14" s="3">
        <v>2590001</v>
      </c>
      <c r="J14" s="2" t="s">
        <v>51</v>
      </c>
      <c r="K14" t="s">
        <v>49</v>
      </c>
      <c r="L14" t="s">
        <v>39</v>
      </c>
      <c r="M14" t="s">
        <v>40</v>
      </c>
      <c r="N14">
        <v>91</v>
      </c>
      <c r="O14" t="s">
        <v>34</v>
      </c>
      <c r="P14">
        <v>44391</v>
      </c>
      <c r="R14">
        <v>24.1</v>
      </c>
      <c r="S14" s="6">
        <v>76084.66</v>
      </c>
      <c r="T14" t="s">
        <v>19</v>
      </c>
      <c r="U14">
        <v>160</v>
      </c>
      <c r="V14">
        <v>158</v>
      </c>
      <c r="W14" s="7">
        <v>8000</v>
      </c>
      <c r="X14">
        <v>3157.04</v>
      </c>
      <c r="Y14">
        <v>12.94</v>
      </c>
      <c r="Z14">
        <v>39925.24</v>
      </c>
      <c r="AB14">
        <v>9993.8700000000008</v>
      </c>
      <c r="AD14">
        <v>3043.39</v>
      </c>
      <c r="AE14">
        <v>1521.69</v>
      </c>
      <c r="AF14">
        <v>4861.84</v>
      </c>
      <c r="AG14">
        <v>16738.63</v>
      </c>
      <c r="AH14">
        <v>48868.54</v>
      </c>
      <c r="AK14">
        <v>9.5105824999999999</v>
      </c>
    </row>
    <row r="15" spans="1:37" x14ac:dyDescent="0.35">
      <c r="A15">
        <v>7</v>
      </c>
      <c r="B15">
        <v>2021</v>
      </c>
      <c r="C15" t="s">
        <v>33</v>
      </c>
      <c r="D15" t="s">
        <v>34</v>
      </c>
      <c r="E15" t="s">
        <v>49</v>
      </c>
      <c r="F15" s="3" t="s">
        <v>36</v>
      </c>
      <c r="G15" s="2" t="s">
        <v>50</v>
      </c>
      <c r="H15" s="3">
        <v>38090</v>
      </c>
      <c r="I15" s="3">
        <v>2590002</v>
      </c>
      <c r="J15" s="2" t="s">
        <v>52</v>
      </c>
      <c r="K15" t="s">
        <v>49</v>
      </c>
      <c r="L15" t="s">
        <v>39</v>
      </c>
      <c r="M15" t="s">
        <v>40</v>
      </c>
      <c r="N15">
        <v>91</v>
      </c>
      <c r="O15" t="s">
        <v>34</v>
      </c>
      <c r="P15">
        <v>44391</v>
      </c>
      <c r="R15">
        <v>24.7</v>
      </c>
      <c r="S15" s="6">
        <v>58692.88</v>
      </c>
      <c r="T15" t="s">
        <v>19</v>
      </c>
      <c r="U15">
        <v>160</v>
      </c>
      <c r="V15">
        <v>127</v>
      </c>
      <c r="W15" s="7">
        <v>6000</v>
      </c>
      <c r="X15">
        <v>2376.23</v>
      </c>
      <c r="Y15">
        <v>11.27</v>
      </c>
      <c r="Z15">
        <v>30890.06</v>
      </c>
      <c r="AB15">
        <v>7709.42</v>
      </c>
      <c r="AD15">
        <v>2347.7199999999998</v>
      </c>
      <c r="AE15">
        <v>1173.8599999999999</v>
      </c>
      <c r="AF15">
        <v>3659.39</v>
      </c>
      <c r="AG15">
        <v>12912.43</v>
      </c>
      <c r="AH15">
        <v>37931.949999999997</v>
      </c>
      <c r="AK15">
        <v>9.7821466666666659</v>
      </c>
    </row>
    <row r="16" spans="1:37" x14ac:dyDescent="0.35">
      <c r="A16">
        <v>9</v>
      </c>
      <c r="B16">
        <v>2021</v>
      </c>
      <c r="C16" t="s">
        <v>33</v>
      </c>
      <c r="D16" t="s">
        <v>34</v>
      </c>
      <c r="E16" t="s">
        <v>53</v>
      </c>
      <c r="F16" s="3" t="s">
        <v>36</v>
      </c>
      <c r="G16" s="2" t="s">
        <v>54</v>
      </c>
      <c r="H16" s="3">
        <v>39001</v>
      </c>
      <c r="I16" s="3">
        <v>2630002</v>
      </c>
      <c r="J16" s="2" t="s">
        <v>55</v>
      </c>
      <c r="K16" t="s">
        <v>53</v>
      </c>
      <c r="L16" t="s">
        <v>39</v>
      </c>
      <c r="M16" t="s">
        <v>40</v>
      </c>
      <c r="N16">
        <v>87</v>
      </c>
      <c r="O16" t="s">
        <v>34</v>
      </c>
      <c r="P16">
        <v>44456</v>
      </c>
      <c r="R16">
        <v>26.12</v>
      </c>
      <c r="S16" s="6">
        <v>40036.74</v>
      </c>
      <c r="T16" t="s">
        <v>19</v>
      </c>
      <c r="U16">
        <v>280</v>
      </c>
      <c r="V16">
        <v>48</v>
      </c>
      <c r="W16" s="7">
        <v>2369</v>
      </c>
      <c r="X16">
        <v>1532.8</v>
      </c>
      <c r="Y16">
        <v>1.27</v>
      </c>
      <c r="Z16">
        <v>28067.41</v>
      </c>
      <c r="AE16">
        <v>800.73</v>
      </c>
      <c r="AF16">
        <v>2360.5100000000002</v>
      </c>
      <c r="AG16">
        <v>8808.08</v>
      </c>
      <c r="AH16">
        <v>29087.200000000001</v>
      </c>
      <c r="AK16">
        <v>16.900270156184042</v>
      </c>
    </row>
    <row r="17" spans="1:37" x14ac:dyDescent="0.35">
      <c r="A17">
        <v>9</v>
      </c>
      <c r="B17">
        <v>2021</v>
      </c>
      <c r="C17" t="s">
        <v>33</v>
      </c>
      <c r="D17" t="s">
        <v>34</v>
      </c>
      <c r="E17" t="s">
        <v>53</v>
      </c>
      <c r="F17" s="3" t="s">
        <v>36</v>
      </c>
      <c r="G17" s="2" t="s">
        <v>54</v>
      </c>
      <c r="H17" s="3">
        <v>39001</v>
      </c>
      <c r="I17" s="3">
        <v>2630001</v>
      </c>
      <c r="J17" s="2" t="s">
        <v>56</v>
      </c>
      <c r="K17" t="s">
        <v>53</v>
      </c>
      <c r="L17" t="s">
        <v>39</v>
      </c>
      <c r="M17" t="s">
        <v>40</v>
      </c>
      <c r="N17">
        <v>87</v>
      </c>
      <c r="O17" t="s">
        <v>34</v>
      </c>
      <c r="P17">
        <v>44456</v>
      </c>
      <c r="R17">
        <v>25.57</v>
      </c>
      <c r="S17" s="6">
        <v>67892.44</v>
      </c>
      <c r="T17" t="s">
        <v>19</v>
      </c>
      <c r="U17">
        <v>280</v>
      </c>
      <c r="V17">
        <v>80</v>
      </c>
      <c r="W17" s="7">
        <v>4016</v>
      </c>
      <c r="X17">
        <v>2655.16</v>
      </c>
      <c r="Y17">
        <v>10.54</v>
      </c>
      <c r="Z17">
        <v>47509.31</v>
      </c>
      <c r="AE17">
        <v>1357.85</v>
      </c>
      <c r="AF17">
        <v>4088.95</v>
      </c>
      <c r="AG17">
        <v>14936.34</v>
      </c>
      <c r="AH17">
        <v>43440.37</v>
      </c>
      <c r="AK17">
        <v>16.905488047808767</v>
      </c>
    </row>
    <row r="18" spans="1:37" x14ac:dyDescent="0.35">
      <c r="A18">
        <v>9</v>
      </c>
      <c r="B18">
        <v>2021</v>
      </c>
      <c r="C18" t="s">
        <v>33</v>
      </c>
      <c r="D18" t="s">
        <v>34</v>
      </c>
      <c r="E18" t="s">
        <v>53</v>
      </c>
      <c r="F18" s="3" t="s">
        <v>36</v>
      </c>
      <c r="G18" s="2" t="s">
        <v>54</v>
      </c>
      <c r="H18" s="3">
        <v>39001</v>
      </c>
      <c r="I18" s="3">
        <v>2630003</v>
      </c>
      <c r="J18" s="2" t="s">
        <v>57</v>
      </c>
      <c r="K18" t="s">
        <v>53</v>
      </c>
      <c r="L18" t="s">
        <v>39</v>
      </c>
      <c r="M18" t="s">
        <v>40</v>
      </c>
      <c r="N18">
        <v>87</v>
      </c>
      <c r="O18" t="s">
        <v>34</v>
      </c>
      <c r="P18">
        <v>44456</v>
      </c>
      <c r="R18">
        <v>27.81</v>
      </c>
      <c r="S18" s="6">
        <v>38371.68</v>
      </c>
      <c r="T18" t="s">
        <v>19</v>
      </c>
      <c r="U18">
        <v>160</v>
      </c>
      <c r="V18">
        <v>67</v>
      </c>
      <c r="W18" s="7">
        <v>3582</v>
      </c>
      <c r="X18">
        <v>1379.78</v>
      </c>
      <c r="Y18">
        <v>13.63</v>
      </c>
      <c r="Z18">
        <v>27037.62</v>
      </c>
      <c r="AE18">
        <v>767.43</v>
      </c>
      <c r="AF18">
        <v>2124.86</v>
      </c>
      <c r="AG18">
        <v>8441.77</v>
      </c>
      <c r="AH18">
        <v>22898.44</v>
      </c>
      <c r="AK18">
        <v>10.712361809045227</v>
      </c>
    </row>
    <row r="19" spans="1:37" x14ac:dyDescent="0.35">
      <c r="A19">
        <v>10</v>
      </c>
      <c r="B19">
        <v>2021</v>
      </c>
      <c r="C19" t="s">
        <v>33</v>
      </c>
      <c r="D19" t="s">
        <v>34</v>
      </c>
      <c r="E19" t="s">
        <v>42</v>
      </c>
      <c r="F19" s="3" t="s">
        <v>36</v>
      </c>
      <c r="G19" s="2" t="s">
        <v>43</v>
      </c>
      <c r="H19" s="3">
        <v>39235</v>
      </c>
      <c r="I19" s="3">
        <v>2540004</v>
      </c>
      <c r="J19" s="2" t="s">
        <v>58</v>
      </c>
      <c r="K19" t="s">
        <v>42</v>
      </c>
      <c r="L19" t="s">
        <v>39</v>
      </c>
      <c r="M19" t="s">
        <v>40</v>
      </c>
      <c r="N19">
        <v>87</v>
      </c>
      <c r="O19" t="s">
        <v>45</v>
      </c>
      <c r="P19">
        <v>44477</v>
      </c>
      <c r="R19">
        <v>30.46</v>
      </c>
      <c r="S19" s="6">
        <v>7330.5</v>
      </c>
      <c r="T19" t="s">
        <v>19</v>
      </c>
      <c r="U19">
        <v>160</v>
      </c>
      <c r="V19">
        <v>11</v>
      </c>
      <c r="W19" s="7">
        <v>632</v>
      </c>
      <c r="X19">
        <v>240.66</v>
      </c>
      <c r="Y19">
        <v>23.9</v>
      </c>
      <c r="Z19">
        <v>5200.5600000000004</v>
      </c>
      <c r="AE19">
        <v>146.61000000000001</v>
      </c>
      <c r="AF19">
        <v>370.62</v>
      </c>
      <c r="AG19">
        <v>1612.71</v>
      </c>
      <c r="AH19">
        <v>3805.06</v>
      </c>
      <c r="AK19">
        <v>11.598892405063291</v>
      </c>
    </row>
    <row r="20" spans="1:37" x14ac:dyDescent="0.35">
      <c r="A20">
        <v>10</v>
      </c>
      <c r="B20">
        <v>2021</v>
      </c>
      <c r="C20" t="s">
        <v>33</v>
      </c>
      <c r="D20" t="s">
        <v>34</v>
      </c>
      <c r="E20" t="s">
        <v>42</v>
      </c>
      <c r="F20" s="3" t="s">
        <v>36</v>
      </c>
      <c r="G20" s="2" t="s">
        <v>43</v>
      </c>
      <c r="H20" s="3">
        <v>39235</v>
      </c>
      <c r="I20" s="3">
        <v>2540005</v>
      </c>
      <c r="J20" s="2" t="s">
        <v>59</v>
      </c>
      <c r="K20" t="s">
        <v>42</v>
      </c>
      <c r="L20" t="s">
        <v>39</v>
      </c>
      <c r="M20" t="s">
        <v>40</v>
      </c>
      <c r="N20">
        <v>87</v>
      </c>
      <c r="O20" t="s">
        <v>45</v>
      </c>
      <c r="P20">
        <v>44477</v>
      </c>
      <c r="R20">
        <v>33.6</v>
      </c>
      <c r="S20" s="6">
        <v>111974.02</v>
      </c>
      <c r="T20" t="s">
        <v>19</v>
      </c>
      <c r="U20">
        <v>240</v>
      </c>
      <c r="V20">
        <v>120</v>
      </c>
      <c r="W20" s="7">
        <v>6222</v>
      </c>
      <c r="X20">
        <v>3332.56</v>
      </c>
      <c r="Y20">
        <v>21.63</v>
      </c>
      <c r="Z20">
        <v>79968.11</v>
      </c>
      <c r="AE20">
        <v>2239.48</v>
      </c>
      <c r="AF20">
        <v>5132.1400000000003</v>
      </c>
      <c r="AG20">
        <v>24634.28</v>
      </c>
      <c r="AH20">
        <v>57845.84</v>
      </c>
      <c r="AK20">
        <v>17.996467373834779</v>
      </c>
    </row>
    <row r="21" spans="1:37" x14ac:dyDescent="0.35">
      <c r="A21">
        <v>10</v>
      </c>
      <c r="B21">
        <v>2021</v>
      </c>
      <c r="C21" t="s">
        <v>33</v>
      </c>
      <c r="D21" t="s">
        <v>34</v>
      </c>
      <c r="E21" t="s">
        <v>60</v>
      </c>
      <c r="F21" s="3" t="s">
        <v>36</v>
      </c>
      <c r="G21" s="2" t="s">
        <v>37</v>
      </c>
      <c r="H21" s="3">
        <v>39423</v>
      </c>
      <c r="I21" s="3" t="s">
        <v>61</v>
      </c>
      <c r="J21" s="2" t="s">
        <v>62</v>
      </c>
      <c r="K21" t="s">
        <v>60</v>
      </c>
      <c r="L21" t="s">
        <v>39</v>
      </c>
      <c r="M21" t="s">
        <v>40</v>
      </c>
      <c r="N21">
        <v>87</v>
      </c>
      <c r="O21" t="s">
        <v>34</v>
      </c>
      <c r="P21">
        <v>44494</v>
      </c>
      <c r="R21">
        <v>29.06</v>
      </c>
      <c r="S21" s="6">
        <v>16632.2</v>
      </c>
      <c r="T21" t="s">
        <v>19</v>
      </c>
      <c r="U21">
        <v>160</v>
      </c>
      <c r="V21">
        <v>31</v>
      </c>
      <c r="W21" s="7">
        <v>1529</v>
      </c>
      <c r="X21">
        <v>572.34</v>
      </c>
      <c r="Y21">
        <v>12.74</v>
      </c>
      <c r="Z21">
        <v>11759.07</v>
      </c>
      <c r="AE21">
        <v>332.64</v>
      </c>
      <c r="AF21">
        <v>881.4</v>
      </c>
      <c r="AG21">
        <v>3659.08</v>
      </c>
      <c r="AH21">
        <v>10032.32</v>
      </c>
      <c r="AK21">
        <v>10.87782864617397</v>
      </c>
    </row>
    <row r="22" spans="1:37" x14ac:dyDescent="0.35">
      <c r="A22">
        <v>10</v>
      </c>
      <c r="B22">
        <v>2021</v>
      </c>
      <c r="C22" t="s">
        <v>33</v>
      </c>
      <c r="D22" t="s">
        <v>34</v>
      </c>
      <c r="E22" t="s">
        <v>60</v>
      </c>
      <c r="F22" s="3" t="s">
        <v>36</v>
      </c>
      <c r="G22" s="2" t="s">
        <v>37</v>
      </c>
      <c r="H22" s="3">
        <v>39423</v>
      </c>
      <c r="I22" s="3" t="s">
        <v>63</v>
      </c>
      <c r="J22" s="2" t="s">
        <v>64</v>
      </c>
      <c r="K22" t="s">
        <v>60</v>
      </c>
      <c r="L22" t="s">
        <v>39</v>
      </c>
      <c r="M22" t="s">
        <v>40</v>
      </c>
      <c r="N22">
        <v>87</v>
      </c>
      <c r="O22" t="s">
        <v>34</v>
      </c>
      <c r="P22">
        <v>44494</v>
      </c>
      <c r="R22">
        <v>17.809999999999999</v>
      </c>
      <c r="S22" s="6">
        <v>23774.93</v>
      </c>
      <c r="T22" t="s">
        <v>19</v>
      </c>
      <c r="U22">
        <v>260</v>
      </c>
      <c r="V22">
        <v>46</v>
      </c>
      <c r="W22" s="7">
        <v>2185</v>
      </c>
      <c r="X22">
        <v>1334.92</v>
      </c>
      <c r="Y22">
        <v>-29.01</v>
      </c>
      <c r="Z22">
        <v>16013.17</v>
      </c>
      <c r="AE22">
        <v>475.5</v>
      </c>
      <c r="AF22">
        <v>2055.7800000000002</v>
      </c>
      <c r="AG22">
        <v>5230.4799999999996</v>
      </c>
      <c r="AH22">
        <v>23946.86</v>
      </c>
      <c r="AK22">
        <v>10.880974828375287</v>
      </c>
    </row>
    <row r="23" spans="1:37" x14ac:dyDescent="0.35">
      <c r="A23">
        <v>10</v>
      </c>
      <c r="B23">
        <v>2021</v>
      </c>
      <c r="C23" t="s">
        <v>33</v>
      </c>
      <c r="D23" t="s">
        <v>34</v>
      </c>
      <c r="E23" t="s">
        <v>60</v>
      </c>
      <c r="F23" s="3" t="s">
        <v>36</v>
      </c>
      <c r="G23" s="2" t="s">
        <v>37</v>
      </c>
      <c r="H23" s="3">
        <v>39423</v>
      </c>
      <c r="I23" s="3">
        <v>2650001</v>
      </c>
      <c r="J23" s="2" t="s">
        <v>65</v>
      </c>
      <c r="K23" t="s">
        <v>60</v>
      </c>
      <c r="L23" t="s">
        <v>39</v>
      </c>
      <c r="M23" t="s">
        <v>40</v>
      </c>
      <c r="N23">
        <v>87</v>
      </c>
      <c r="O23" t="s">
        <v>34</v>
      </c>
      <c r="P23">
        <v>44494</v>
      </c>
      <c r="R23">
        <v>23.81</v>
      </c>
      <c r="S23" s="6">
        <v>7511.58</v>
      </c>
      <c r="T23" t="s">
        <v>19</v>
      </c>
      <c r="U23">
        <v>260</v>
      </c>
      <c r="V23">
        <v>9</v>
      </c>
      <c r="W23" s="7">
        <v>477</v>
      </c>
      <c r="X23">
        <v>315.48</v>
      </c>
      <c r="Y23">
        <v>9.5299999999999994</v>
      </c>
      <c r="Z23">
        <v>5222.96</v>
      </c>
      <c r="AE23">
        <v>150.22999999999999</v>
      </c>
      <c r="AF23">
        <v>485.84</v>
      </c>
      <c r="AG23">
        <v>1652.55</v>
      </c>
      <c r="AH23">
        <v>5400.19</v>
      </c>
      <c r="AK23">
        <v>15.747547169811321</v>
      </c>
    </row>
    <row r="24" spans="1:37" x14ac:dyDescent="0.35">
      <c r="A24">
        <v>10</v>
      </c>
      <c r="B24">
        <v>2021</v>
      </c>
      <c r="C24" t="s">
        <v>33</v>
      </c>
      <c r="D24" t="s">
        <v>34</v>
      </c>
      <c r="E24" t="s">
        <v>60</v>
      </c>
      <c r="F24" s="3" t="s">
        <v>36</v>
      </c>
      <c r="G24" s="2" t="s">
        <v>37</v>
      </c>
      <c r="H24" s="3">
        <v>39423</v>
      </c>
      <c r="I24" s="3">
        <v>2650003</v>
      </c>
      <c r="J24" s="2" t="s">
        <v>66</v>
      </c>
      <c r="K24" t="s">
        <v>60</v>
      </c>
      <c r="L24" t="s">
        <v>39</v>
      </c>
      <c r="M24" t="s">
        <v>40</v>
      </c>
      <c r="N24">
        <v>87</v>
      </c>
      <c r="O24" t="s">
        <v>34</v>
      </c>
      <c r="P24">
        <v>44494</v>
      </c>
      <c r="R24">
        <v>25.3</v>
      </c>
      <c r="S24" s="6">
        <v>9316.98</v>
      </c>
      <c r="T24" t="s">
        <v>19</v>
      </c>
      <c r="U24">
        <v>320</v>
      </c>
      <c r="V24">
        <v>10</v>
      </c>
      <c r="W24" s="7">
        <v>493</v>
      </c>
      <c r="X24">
        <v>368.26</v>
      </c>
      <c r="Y24">
        <v>12.38</v>
      </c>
      <c r="Z24">
        <v>6513.78</v>
      </c>
      <c r="AE24">
        <v>186.34</v>
      </c>
      <c r="AF24">
        <v>567.12</v>
      </c>
      <c r="AG24">
        <v>2049.7399999999998</v>
      </c>
      <c r="AH24">
        <v>6260.74</v>
      </c>
      <c r="AK24">
        <v>18.898539553752535</v>
      </c>
    </row>
    <row r="25" spans="1:37" x14ac:dyDescent="0.35">
      <c r="A25">
        <v>10</v>
      </c>
      <c r="B25">
        <v>2021</v>
      </c>
      <c r="C25" t="s">
        <v>33</v>
      </c>
      <c r="D25" t="s">
        <v>34</v>
      </c>
      <c r="E25" t="s">
        <v>60</v>
      </c>
      <c r="F25" s="3" t="s">
        <v>36</v>
      </c>
      <c r="G25" s="2" t="s">
        <v>37</v>
      </c>
      <c r="H25" s="3">
        <v>39423</v>
      </c>
      <c r="I25" s="3">
        <v>2650004</v>
      </c>
      <c r="J25" s="2" t="s">
        <v>67</v>
      </c>
      <c r="K25" t="s">
        <v>60</v>
      </c>
      <c r="L25" t="s">
        <v>39</v>
      </c>
      <c r="M25" t="s">
        <v>40</v>
      </c>
      <c r="N25">
        <v>87</v>
      </c>
      <c r="O25" t="s">
        <v>34</v>
      </c>
      <c r="P25">
        <v>44494</v>
      </c>
      <c r="R25">
        <v>25.47</v>
      </c>
      <c r="S25" s="6">
        <v>9274.14</v>
      </c>
      <c r="T25" t="s">
        <v>19</v>
      </c>
      <c r="U25">
        <v>500</v>
      </c>
      <c r="V25">
        <v>13</v>
      </c>
      <c r="W25" s="7">
        <v>320</v>
      </c>
      <c r="X25">
        <v>364.12</v>
      </c>
      <c r="Y25">
        <v>13.15</v>
      </c>
      <c r="Z25">
        <v>6487.6</v>
      </c>
      <c r="AE25">
        <v>185.48</v>
      </c>
      <c r="AF25">
        <v>560.74</v>
      </c>
      <c r="AG25">
        <v>2040.31</v>
      </c>
      <c r="AH25">
        <v>6330.08</v>
      </c>
      <c r="AK25">
        <v>28.9816875</v>
      </c>
    </row>
    <row r="26" spans="1:37" x14ac:dyDescent="0.35">
      <c r="A26">
        <v>10</v>
      </c>
      <c r="B26">
        <v>2021</v>
      </c>
      <c r="C26" t="s">
        <v>33</v>
      </c>
      <c r="D26" t="s">
        <v>34</v>
      </c>
      <c r="E26" t="s">
        <v>60</v>
      </c>
      <c r="F26" s="3" t="s">
        <v>36</v>
      </c>
      <c r="G26" s="2" t="s">
        <v>37</v>
      </c>
      <c r="H26" s="3">
        <v>39423</v>
      </c>
      <c r="I26" s="3">
        <v>2650005</v>
      </c>
      <c r="J26" s="2" t="s">
        <v>68</v>
      </c>
      <c r="K26" t="s">
        <v>60</v>
      </c>
      <c r="L26" t="s">
        <v>39</v>
      </c>
      <c r="M26" t="s">
        <v>40</v>
      </c>
      <c r="N26">
        <v>87</v>
      </c>
      <c r="O26" t="s">
        <v>34</v>
      </c>
      <c r="P26">
        <v>44494</v>
      </c>
      <c r="R26">
        <v>27.83</v>
      </c>
      <c r="S26" s="6">
        <v>10023.81</v>
      </c>
      <c r="T26" t="s">
        <v>19</v>
      </c>
      <c r="U26">
        <v>350</v>
      </c>
      <c r="V26">
        <v>13</v>
      </c>
      <c r="W26" s="7">
        <v>442</v>
      </c>
      <c r="X26">
        <v>360.18</v>
      </c>
      <c r="Y26">
        <v>8.2100000000000009</v>
      </c>
      <c r="Z26">
        <v>7063.42</v>
      </c>
      <c r="AE26">
        <v>200.48</v>
      </c>
      <c r="AF26">
        <v>554.67999999999995</v>
      </c>
      <c r="AG26">
        <v>2205.2399999999998</v>
      </c>
      <c r="AH26">
        <v>6810.16</v>
      </c>
      <c r="AK26">
        <v>22.678303167420815</v>
      </c>
    </row>
    <row r="27" spans="1:37" x14ac:dyDescent="0.35">
      <c r="A27">
        <v>10</v>
      </c>
      <c r="B27">
        <v>2021</v>
      </c>
      <c r="C27" t="s">
        <v>33</v>
      </c>
      <c r="D27" t="s">
        <v>34</v>
      </c>
      <c r="E27" t="s">
        <v>60</v>
      </c>
      <c r="F27" s="3" t="s">
        <v>36</v>
      </c>
      <c r="G27" s="2" t="s">
        <v>37</v>
      </c>
      <c r="H27" s="3">
        <v>39423</v>
      </c>
      <c r="I27" s="3">
        <v>2650006</v>
      </c>
      <c r="J27" s="2" t="s">
        <v>69</v>
      </c>
      <c r="K27" t="s">
        <v>60</v>
      </c>
      <c r="L27" t="s">
        <v>39</v>
      </c>
      <c r="M27" t="s">
        <v>40</v>
      </c>
      <c r="N27">
        <v>87</v>
      </c>
      <c r="O27" t="s">
        <v>34</v>
      </c>
      <c r="P27">
        <v>44494</v>
      </c>
      <c r="R27">
        <v>22.69</v>
      </c>
      <c r="S27" s="6">
        <v>11266.72</v>
      </c>
      <c r="T27" t="s">
        <v>19</v>
      </c>
      <c r="U27">
        <v>640</v>
      </c>
      <c r="V27">
        <v>13</v>
      </c>
      <c r="W27" s="7">
        <v>353</v>
      </c>
      <c r="X27">
        <v>496.55</v>
      </c>
      <c r="Y27">
        <v>6.97</v>
      </c>
      <c r="Z27">
        <v>7798.02</v>
      </c>
      <c r="AE27">
        <v>225.33</v>
      </c>
      <c r="AF27">
        <v>764.69</v>
      </c>
      <c r="AG27">
        <v>2478.6799999999998</v>
      </c>
      <c r="AH27">
        <v>8927</v>
      </c>
      <c r="AK27">
        <v>31.917053824362604</v>
      </c>
    </row>
    <row r="28" spans="1:37" x14ac:dyDescent="0.35">
      <c r="A28">
        <v>10</v>
      </c>
      <c r="B28">
        <v>2021</v>
      </c>
      <c r="C28" t="s">
        <v>33</v>
      </c>
      <c r="D28" t="s">
        <v>34</v>
      </c>
      <c r="E28" t="s">
        <v>60</v>
      </c>
      <c r="F28" s="3" t="s">
        <v>36</v>
      </c>
      <c r="G28" s="2" t="s">
        <v>37</v>
      </c>
      <c r="H28" s="3">
        <v>39423</v>
      </c>
      <c r="I28" s="3">
        <v>2650007</v>
      </c>
      <c r="J28" s="2" t="s">
        <v>70</v>
      </c>
      <c r="K28" t="s">
        <v>60</v>
      </c>
      <c r="L28" t="s">
        <v>39</v>
      </c>
      <c r="M28" t="s">
        <v>40</v>
      </c>
      <c r="N28">
        <v>87</v>
      </c>
      <c r="O28" t="s">
        <v>34</v>
      </c>
      <c r="P28">
        <v>44494</v>
      </c>
      <c r="R28">
        <v>22.68</v>
      </c>
      <c r="S28" s="6">
        <v>13314.52</v>
      </c>
      <c r="T28" t="s">
        <v>19</v>
      </c>
      <c r="U28">
        <v>620</v>
      </c>
      <c r="V28">
        <v>13</v>
      </c>
      <c r="W28" s="7">
        <v>417</v>
      </c>
      <c r="X28">
        <v>587.05999999999995</v>
      </c>
      <c r="Y28">
        <v>8.0299999999999994</v>
      </c>
      <c r="Z28">
        <v>9214.9599999999991</v>
      </c>
      <c r="AE28">
        <v>266.29000000000002</v>
      </c>
      <c r="AF28">
        <v>904.07</v>
      </c>
      <c r="AG28">
        <v>2929.19</v>
      </c>
      <c r="AH28">
        <v>10382.469999999999</v>
      </c>
      <c r="AK28">
        <v>31.929304556354918</v>
      </c>
    </row>
    <row r="29" spans="1:37" x14ac:dyDescent="0.35">
      <c r="A29">
        <v>10</v>
      </c>
      <c r="B29">
        <v>2021</v>
      </c>
      <c r="C29" t="s">
        <v>33</v>
      </c>
      <c r="D29" t="s">
        <v>34</v>
      </c>
      <c r="E29" t="s">
        <v>60</v>
      </c>
      <c r="F29" s="3" t="s">
        <v>36</v>
      </c>
      <c r="G29" s="2" t="s">
        <v>37</v>
      </c>
      <c r="H29" s="3">
        <v>39423</v>
      </c>
      <c r="I29" s="3">
        <v>2650008</v>
      </c>
      <c r="J29" s="2" t="s">
        <v>71</v>
      </c>
      <c r="K29" t="s">
        <v>60</v>
      </c>
      <c r="L29" t="s">
        <v>39</v>
      </c>
      <c r="M29" t="s">
        <v>40</v>
      </c>
      <c r="N29">
        <v>87</v>
      </c>
      <c r="O29" t="s">
        <v>34</v>
      </c>
      <c r="P29">
        <v>44494</v>
      </c>
      <c r="R29">
        <v>22.57</v>
      </c>
      <c r="S29" s="6">
        <v>3489.32</v>
      </c>
      <c r="T29" t="s">
        <v>19</v>
      </c>
      <c r="U29">
        <v>160</v>
      </c>
      <c r="V29">
        <v>8</v>
      </c>
      <c r="W29" s="7">
        <v>410</v>
      </c>
      <c r="X29">
        <v>154.6</v>
      </c>
      <c r="Y29">
        <v>4.0999999999999996</v>
      </c>
      <c r="Z29">
        <v>2274.23</v>
      </c>
      <c r="AD29">
        <v>139.57</v>
      </c>
      <c r="AE29">
        <v>69.790000000000006</v>
      </c>
      <c r="AF29">
        <v>238.08</v>
      </c>
      <c r="AG29">
        <v>767.65</v>
      </c>
      <c r="AH29">
        <v>2471.96</v>
      </c>
      <c r="AK29">
        <v>8.5105365853658537</v>
      </c>
    </row>
    <row r="30" spans="1:37" x14ac:dyDescent="0.35">
      <c r="A30">
        <v>10</v>
      </c>
      <c r="B30">
        <v>2021</v>
      </c>
      <c r="C30" t="s">
        <v>33</v>
      </c>
      <c r="D30" t="s">
        <v>34</v>
      </c>
      <c r="E30" t="s">
        <v>60</v>
      </c>
      <c r="F30" s="3" t="s">
        <v>36</v>
      </c>
      <c r="G30" s="2" t="s">
        <v>37</v>
      </c>
      <c r="H30" s="3">
        <v>39423</v>
      </c>
      <c r="I30" s="3">
        <v>2650009</v>
      </c>
      <c r="J30" s="2" t="s">
        <v>72</v>
      </c>
      <c r="K30" t="s">
        <v>60</v>
      </c>
      <c r="L30" t="s">
        <v>39</v>
      </c>
      <c r="M30" t="s">
        <v>40</v>
      </c>
      <c r="N30">
        <v>87</v>
      </c>
      <c r="O30" t="s">
        <v>34</v>
      </c>
      <c r="P30">
        <v>44494</v>
      </c>
      <c r="R30">
        <v>21.13</v>
      </c>
      <c r="S30" s="6">
        <v>3786.92</v>
      </c>
      <c r="T30" t="s">
        <v>19</v>
      </c>
      <c r="U30">
        <v>160</v>
      </c>
      <c r="V30">
        <v>9</v>
      </c>
      <c r="W30" s="7">
        <v>445</v>
      </c>
      <c r="X30">
        <v>179.22</v>
      </c>
      <c r="Y30">
        <v>0.94</v>
      </c>
      <c r="Z30">
        <v>2602.06</v>
      </c>
      <c r="AE30">
        <v>75.739999999999995</v>
      </c>
      <c r="AF30">
        <v>276</v>
      </c>
      <c r="AG30">
        <v>833.12</v>
      </c>
      <c r="AH30">
        <v>3197.42</v>
      </c>
      <c r="AK30">
        <v>8.5099325842696629</v>
      </c>
    </row>
    <row r="31" spans="1:37" x14ac:dyDescent="0.35">
      <c r="A31">
        <v>10</v>
      </c>
      <c r="B31">
        <v>2021</v>
      </c>
      <c r="C31" t="s">
        <v>33</v>
      </c>
      <c r="D31" t="s">
        <v>34</v>
      </c>
      <c r="E31" t="s">
        <v>60</v>
      </c>
      <c r="F31" s="3" t="s">
        <v>36</v>
      </c>
      <c r="G31" s="2" t="s">
        <v>37</v>
      </c>
      <c r="H31" s="3">
        <v>39423</v>
      </c>
      <c r="I31" s="3">
        <v>2650010</v>
      </c>
      <c r="J31" s="2" t="s">
        <v>73</v>
      </c>
      <c r="K31" t="s">
        <v>60</v>
      </c>
      <c r="L31" t="s">
        <v>39</v>
      </c>
      <c r="M31" t="s">
        <v>40</v>
      </c>
      <c r="N31">
        <v>87</v>
      </c>
      <c r="O31" t="s">
        <v>34</v>
      </c>
      <c r="P31">
        <v>44494</v>
      </c>
      <c r="R31">
        <v>29.37</v>
      </c>
      <c r="S31" s="6">
        <v>9243.91</v>
      </c>
      <c r="T31" t="s">
        <v>19</v>
      </c>
      <c r="U31">
        <v>300</v>
      </c>
      <c r="V31">
        <v>11</v>
      </c>
      <c r="W31" s="7">
        <v>489</v>
      </c>
      <c r="X31">
        <v>314.74</v>
      </c>
      <c r="Y31">
        <v>11.58</v>
      </c>
      <c r="Z31">
        <v>6540.67</v>
      </c>
      <c r="AE31">
        <v>184.88</v>
      </c>
      <c r="AF31">
        <v>484.7</v>
      </c>
      <c r="AG31">
        <v>2033.66</v>
      </c>
      <c r="AH31">
        <v>5434.62</v>
      </c>
      <c r="AK31">
        <v>18.903701431492841</v>
      </c>
    </row>
    <row r="32" spans="1:37" x14ac:dyDescent="0.35">
      <c r="A32">
        <v>10</v>
      </c>
      <c r="B32">
        <v>2021</v>
      </c>
      <c r="C32" t="s">
        <v>33</v>
      </c>
      <c r="D32" t="s">
        <v>34</v>
      </c>
      <c r="E32" t="s">
        <v>60</v>
      </c>
      <c r="F32" s="3" t="s">
        <v>36</v>
      </c>
      <c r="G32" s="2" t="s">
        <v>37</v>
      </c>
      <c r="H32" s="3">
        <v>39423</v>
      </c>
      <c r="I32" s="3">
        <v>2650011</v>
      </c>
      <c r="J32" s="2" t="s">
        <v>74</v>
      </c>
      <c r="K32" t="s">
        <v>60</v>
      </c>
      <c r="L32" t="s">
        <v>39</v>
      </c>
      <c r="M32" t="s">
        <v>40</v>
      </c>
      <c r="N32">
        <v>87</v>
      </c>
      <c r="O32" t="s">
        <v>34</v>
      </c>
      <c r="P32">
        <v>44494</v>
      </c>
      <c r="R32">
        <v>27.14</v>
      </c>
      <c r="S32" s="6">
        <v>12348.7</v>
      </c>
      <c r="T32" t="s">
        <v>19</v>
      </c>
      <c r="U32">
        <v>580</v>
      </c>
      <c r="V32">
        <v>14</v>
      </c>
      <c r="W32" s="7">
        <v>392</v>
      </c>
      <c r="X32">
        <v>455</v>
      </c>
      <c r="Y32">
        <v>-7.75</v>
      </c>
      <c r="Z32">
        <v>8684.31</v>
      </c>
      <c r="AE32">
        <v>246.97</v>
      </c>
      <c r="AF32">
        <v>700.7</v>
      </c>
      <c r="AG32">
        <v>2716.71</v>
      </c>
      <c r="AH32">
        <v>8493.65</v>
      </c>
      <c r="AK32">
        <v>31.501785714285717</v>
      </c>
    </row>
    <row r="33" spans="1:37" x14ac:dyDescent="0.35">
      <c r="A33">
        <v>10</v>
      </c>
      <c r="B33">
        <v>2021</v>
      </c>
      <c r="C33" t="s">
        <v>33</v>
      </c>
      <c r="D33" t="s">
        <v>34</v>
      </c>
      <c r="E33" t="s">
        <v>60</v>
      </c>
      <c r="F33" s="3" t="s">
        <v>36</v>
      </c>
      <c r="G33" s="2" t="s">
        <v>37</v>
      </c>
      <c r="H33" s="3">
        <v>39423</v>
      </c>
      <c r="I33" s="3" t="s">
        <v>75</v>
      </c>
      <c r="J33" s="2" t="s">
        <v>76</v>
      </c>
      <c r="K33" t="s">
        <v>60</v>
      </c>
      <c r="L33" t="s">
        <v>39</v>
      </c>
      <c r="M33" t="s">
        <v>40</v>
      </c>
      <c r="N33">
        <v>87</v>
      </c>
      <c r="O33" t="s">
        <v>34</v>
      </c>
      <c r="P33">
        <v>44494</v>
      </c>
      <c r="R33">
        <v>26.26</v>
      </c>
      <c r="S33" s="6">
        <v>7880.63</v>
      </c>
      <c r="T33" t="s">
        <v>19</v>
      </c>
      <c r="U33">
        <v>280</v>
      </c>
      <c r="V33">
        <v>9</v>
      </c>
      <c r="W33" s="7">
        <v>469</v>
      </c>
      <c r="X33">
        <v>300.10000000000002</v>
      </c>
      <c r="Y33">
        <v>5.44</v>
      </c>
      <c r="Z33">
        <v>5211.8999999999996</v>
      </c>
      <c r="AD33">
        <v>315.23</v>
      </c>
      <c r="AE33">
        <v>157.61000000000001</v>
      </c>
      <c r="AF33">
        <v>462.15</v>
      </c>
      <c r="AG33">
        <v>1733.74</v>
      </c>
      <c r="AH33">
        <v>5090.9799999999996</v>
      </c>
      <c r="AK33">
        <v>16.803049040511727</v>
      </c>
    </row>
    <row r="34" spans="1:37" x14ac:dyDescent="0.35">
      <c r="A34">
        <v>10</v>
      </c>
      <c r="B34">
        <v>2021</v>
      </c>
      <c r="C34" t="s">
        <v>33</v>
      </c>
      <c r="D34" t="s">
        <v>34</v>
      </c>
      <c r="E34" t="s">
        <v>60</v>
      </c>
      <c r="F34" s="3" t="s">
        <v>36</v>
      </c>
      <c r="G34" s="2" t="s">
        <v>37</v>
      </c>
      <c r="H34" s="3">
        <v>39423</v>
      </c>
      <c r="I34" s="3" t="s">
        <v>77</v>
      </c>
      <c r="J34" s="2" t="s">
        <v>78</v>
      </c>
      <c r="K34" t="s">
        <v>60</v>
      </c>
      <c r="L34" t="s">
        <v>39</v>
      </c>
      <c r="M34" t="s">
        <v>40</v>
      </c>
      <c r="N34">
        <v>87</v>
      </c>
      <c r="O34" t="s">
        <v>34</v>
      </c>
      <c r="P34">
        <v>44494</v>
      </c>
      <c r="R34">
        <v>13.6</v>
      </c>
      <c r="S34" s="6">
        <v>35781.33</v>
      </c>
      <c r="T34" t="s">
        <v>19</v>
      </c>
      <c r="U34">
        <v>160</v>
      </c>
      <c r="V34">
        <v>150</v>
      </c>
      <c r="W34" s="7">
        <v>2630.98</v>
      </c>
      <c r="X34">
        <v>2630.98</v>
      </c>
      <c r="Y34">
        <v>-95.91</v>
      </c>
      <c r="Z34">
        <v>23142.1</v>
      </c>
      <c r="AE34">
        <v>715.63</v>
      </c>
      <c r="AF34">
        <v>4051.71</v>
      </c>
      <c r="AG34">
        <v>7871.89</v>
      </c>
      <c r="AH34">
        <v>46117.39</v>
      </c>
      <c r="AK34">
        <v>13.600000760173016</v>
      </c>
    </row>
    <row r="35" spans="1:37" x14ac:dyDescent="0.35">
      <c r="A35">
        <v>10</v>
      </c>
      <c r="B35">
        <v>2021</v>
      </c>
      <c r="C35" t="s">
        <v>33</v>
      </c>
      <c r="D35" t="s">
        <v>34</v>
      </c>
      <c r="E35" t="s">
        <v>60</v>
      </c>
      <c r="F35" s="3" t="s">
        <v>36</v>
      </c>
      <c r="G35" s="2" t="s">
        <v>37</v>
      </c>
      <c r="H35" s="3">
        <v>39423</v>
      </c>
      <c r="I35" s="3" t="s">
        <v>79</v>
      </c>
      <c r="J35" s="2" t="s">
        <v>80</v>
      </c>
      <c r="K35" t="s">
        <v>60</v>
      </c>
      <c r="L35" t="s">
        <v>39</v>
      </c>
      <c r="M35" t="s">
        <v>40</v>
      </c>
      <c r="N35">
        <v>87</v>
      </c>
      <c r="O35" t="s">
        <v>34</v>
      </c>
      <c r="P35">
        <v>44494</v>
      </c>
      <c r="R35">
        <v>15.32</v>
      </c>
      <c r="S35" s="6">
        <v>16277.5</v>
      </c>
      <c r="T35" t="s">
        <v>19</v>
      </c>
      <c r="U35">
        <v>300</v>
      </c>
      <c r="V35">
        <v>48</v>
      </c>
      <c r="W35" s="7">
        <v>1496</v>
      </c>
      <c r="X35">
        <v>1062.5</v>
      </c>
      <c r="Y35">
        <v>-47.64</v>
      </c>
      <c r="Z35">
        <v>10734.65</v>
      </c>
      <c r="AE35">
        <v>325.55</v>
      </c>
      <c r="AF35">
        <v>1636.25</v>
      </c>
      <c r="AG35">
        <v>3581.05</v>
      </c>
      <c r="AH35">
        <v>19994.099999999999</v>
      </c>
      <c r="AK35">
        <v>10.880681818181818</v>
      </c>
    </row>
    <row r="36" spans="1:37" x14ac:dyDescent="0.35">
      <c r="A36">
        <v>11</v>
      </c>
      <c r="B36">
        <v>2021</v>
      </c>
      <c r="C36" t="s">
        <v>33</v>
      </c>
      <c r="D36" t="s">
        <v>34</v>
      </c>
      <c r="E36" t="s">
        <v>81</v>
      </c>
      <c r="F36" s="3" t="s">
        <v>36</v>
      </c>
      <c r="G36" s="2" t="s">
        <v>82</v>
      </c>
      <c r="H36" s="3">
        <v>39673</v>
      </c>
      <c r="I36" s="3">
        <v>2670001</v>
      </c>
      <c r="J36" s="2" t="s">
        <v>83</v>
      </c>
      <c r="K36" t="s">
        <v>81</v>
      </c>
      <c r="L36" t="s">
        <v>39</v>
      </c>
      <c r="M36" t="s">
        <v>40</v>
      </c>
      <c r="N36">
        <v>1</v>
      </c>
      <c r="O36" t="s">
        <v>34</v>
      </c>
      <c r="P36">
        <v>44511</v>
      </c>
      <c r="R36">
        <v>29.72</v>
      </c>
      <c r="S36" s="6">
        <v>12068.1</v>
      </c>
      <c r="T36" t="s">
        <v>19</v>
      </c>
      <c r="U36">
        <v>200</v>
      </c>
      <c r="V36">
        <v>18</v>
      </c>
      <c r="W36" s="7">
        <v>906</v>
      </c>
      <c r="X36">
        <v>406.06</v>
      </c>
      <c r="Y36">
        <v>19.329999999999998</v>
      </c>
      <c r="Z36">
        <v>8546.42</v>
      </c>
      <c r="AE36">
        <v>241.36</v>
      </c>
      <c r="AF36">
        <v>625.33000000000004</v>
      </c>
      <c r="AG36">
        <v>2654.98</v>
      </c>
      <c r="AH36">
        <v>6475.8</v>
      </c>
      <c r="AK36">
        <v>13.320198675496689</v>
      </c>
    </row>
    <row r="37" spans="1:37" x14ac:dyDescent="0.35">
      <c r="A37">
        <v>11</v>
      </c>
      <c r="B37">
        <v>2021</v>
      </c>
      <c r="C37" t="s">
        <v>33</v>
      </c>
      <c r="D37" t="s">
        <v>34</v>
      </c>
      <c r="E37" t="s">
        <v>81</v>
      </c>
      <c r="F37" s="3" t="s">
        <v>36</v>
      </c>
      <c r="G37" s="2" t="s">
        <v>82</v>
      </c>
      <c r="H37" s="3">
        <v>39673</v>
      </c>
      <c r="I37" s="3">
        <v>2670002</v>
      </c>
      <c r="J37" s="2" t="s">
        <v>84</v>
      </c>
      <c r="K37" t="s">
        <v>81</v>
      </c>
      <c r="L37" t="s">
        <v>39</v>
      </c>
      <c r="M37" t="s">
        <v>40</v>
      </c>
      <c r="N37">
        <v>1</v>
      </c>
      <c r="O37" t="s">
        <v>34</v>
      </c>
      <c r="P37">
        <v>44511</v>
      </c>
      <c r="R37">
        <v>29.82</v>
      </c>
      <c r="S37" s="6">
        <v>8116.41</v>
      </c>
      <c r="T37" t="s">
        <v>19</v>
      </c>
      <c r="U37">
        <v>200</v>
      </c>
      <c r="V37">
        <v>11</v>
      </c>
      <c r="W37" s="7">
        <v>595</v>
      </c>
      <c r="X37">
        <v>272.18</v>
      </c>
      <c r="Y37">
        <v>21.47</v>
      </c>
      <c r="Z37">
        <v>5749.31</v>
      </c>
      <c r="AE37">
        <v>162.33000000000001</v>
      </c>
      <c r="AF37">
        <v>419.16</v>
      </c>
      <c r="AG37">
        <v>1785.61</v>
      </c>
      <c r="AH37">
        <v>4270.57</v>
      </c>
      <c r="AK37">
        <v>13.641025210084033</v>
      </c>
    </row>
    <row r="38" spans="1:37" x14ac:dyDescent="0.35">
      <c r="A38">
        <v>12</v>
      </c>
      <c r="B38">
        <v>2021</v>
      </c>
      <c r="C38" t="s">
        <v>33</v>
      </c>
      <c r="D38" t="s">
        <v>34</v>
      </c>
      <c r="E38" t="s">
        <v>85</v>
      </c>
      <c r="F38" s="3" t="s">
        <v>36</v>
      </c>
      <c r="G38" s="2" t="s">
        <v>82</v>
      </c>
      <c r="H38" s="3">
        <v>39969</v>
      </c>
      <c r="I38" s="3">
        <v>2730001</v>
      </c>
      <c r="J38" s="2" t="s">
        <v>86</v>
      </c>
      <c r="K38" t="s">
        <v>85</v>
      </c>
      <c r="L38" t="s">
        <v>39</v>
      </c>
      <c r="M38" t="s">
        <v>40</v>
      </c>
      <c r="N38">
        <v>93</v>
      </c>
      <c r="O38" t="s">
        <v>34</v>
      </c>
      <c r="P38">
        <v>44533</v>
      </c>
      <c r="R38">
        <v>27.45</v>
      </c>
      <c r="S38" s="6">
        <v>4030.21</v>
      </c>
      <c r="T38" t="s">
        <v>19</v>
      </c>
      <c r="U38">
        <v>180</v>
      </c>
      <c r="V38">
        <v>8</v>
      </c>
      <c r="W38" s="7">
        <v>349</v>
      </c>
      <c r="X38">
        <v>146.82</v>
      </c>
      <c r="Y38">
        <v>10.029999999999999</v>
      </c>
      <c r="Z38">
        <v>2836.86</v>
      </c>
      <c r="AE38">
        <v>80.599999999999994</v>
      </c>
      <c r="AF38">
        <v>226.1</v>
      </c>
      <c r="AG38">
        <v>886.65</v>
      </c>
      <c r="AH38">
        <v>2791.32</v>
      </c>
      <c r="AK38">
        <v>11.547879656160459</v>
      </c>
    </row>
    <row r="39" spans="1:37" x14ac:dyDescent="0.35">
      <c r="A39">
        <v>12</v>
      </c>
      <c r="B39">
        <v>2021</v>
      </c>
      <c r="C39" t="s">
        <v>33</v>
      </c>
      <c r="D39" t="s">
        <v>34</v>
      </c>
      <c r="E39" t="s">
        <v>85</v>
      </c>
      <c r="F39" s="3" t="s">
        <v>36</v>
      </c>
      <c r="G39" s="2" t="s">
        <v>82</v>
      </c>
      <c r="H39" s="3">
        <v>39969</v>
      </c>
      <c r="I39" s="3">
        <v>2730002</v>
      </c>
      <c r="J39" s="2" t="s">
        <v>87</v>
      </c>
      <c r="K39" t="s">
        <v>85</v>
      </c>
      <c r="L39" t="s">
        <v>39</v>
      </c>
      <c r="M39" t="s">
        <v>40</v>
      </c>
      <c r="N39">
        <v>93</v>
      </c>
      <c r="O39" t="s">
        <v>34</v>
      </c>
      <c r="P39">
        <v>44533</v>
      </c>
      <c r="R39">
        <v>28.68</v>
      </c>
      <c r="S39" s="6">
        <v>4284.79</v>
      </c>
      <c r="T39" t="s">
        <v>19</v>
      </c>
      <c r="U39">
        <v>180</v>
      </c>
      <c r="V39">
        <v>8</v>
      </c>
      <c r="W39" s="7">
        <v>371</v>
      </c>
      <c r="X39">
        <v>149.4</v>
      </c>
      <c r="Y39">
        <v>18.43</v>
      </c>
      <c r="Z39">
        <v>3026.36</v>
      </c>
      <c r="AE39">
        <v>85.7</v>
      </c>
      <c r="AF39">
        <v>230.08</v>
      </c>
      <c r="AG39">
        <v>942.65</v>
      </c>
      <c r="AH39">
        <v>2448.79</v>
      </c>
      <c r="AK39">
        <v>11.549299191374663</v>
      </c>
    </row>
    <row r="40" spans="1:37" x14ac:dyDescent="0.35">
      <c r="A40">
        <v>12</v>
      </c>
      <c r="B40">
        <v>2021</v>
      </c>
      <c r="C40" t="s">
        <v>33</v>
      </c>
      <c r="D40" t="s">
        <v>34</v>
      </c>
      <c r="E40" t="s">
        <v>85</v>
      </c>
      <c r="F40" s="3" t="s">
        <v>36</v>
      </c>
      <c r="G40" s="2" t="s">
        <v>82</v>
      </c>
      <c r="H40" s="3">
        <v>39969</v>
      </c>
      <c r="I40" s="3">
        <v>2730003</v>
      </c>
      <c r="J40" s="2" t="s">
        <v>88</v>
      </c>
      <c r="K40" t="s">
        <v>85</v>
      </c>
      <c r="L40" t="s">
        <v>39</v>
      </c>
      <c r="M40" t="s">
        <v>40</v>
      </c>
      <c r="N40">
        <v>93</v>
      </c>
      <c r="O40" t="s">
        <v>34</v>
      </c>
      <c r="P40">
        <v>44533</v>
      </c>
      <c r="R40">
        <v>28.36</v>
      </c>
      <c r="S40" s="6">
        <v>4736.12</v>
      </c>
      <c r="T40" t="s">
        <v>19</v>
      </c>
      <c r="U40">
        <v>180</v>
      </c>
      <c r="V40">
        <v>8</v>
      </c>
      <c r="W40" s="7">
        <v>410</v>
      </c>
      <c r="X40">
        <v>167</v>
      </c>
      <c r="Y40">
        <v>16.95</v>
      </c>
      <c r="Z40">
        <v>3342.27</v>
      </c>
      <c r="AE40">
        <v>94.72</v>
      </c>
      <c r="AF40">
        <v>257.18</v>
      </c>
      <c r="AG40">
        <v>1041.95</v>
      </c>
      <c r="AH40">
        <v>2814.37</v>
      </c>
      <c r="AK40">
        <v>11.551512195121951</v>
      </c>
    </row>
    <row r="41" spans="1:37" x14ac:dyDescent="0.35">
      <c r="A41">
        <v>12</v>
      </c>
      <c r="B41">
        <v>2021</v>
      </c>
      <c r="C41" t="s">
        <v>33</v>
      </c>
      <c r="D41" t="s">
        <v>34</v>
      </c>
      <c r="E41" t="s">
        <v>85</v>
      </c>
      <c r="F41" s="3" t="s">
        <v>36</v>
      </c>
      <c r="G41" s="2" t="s">
        <v>82</v>
      </c>
      <c r="H41" s="3">
        <v>39969</v>
      </c>
      <c r="I41" s="3">
        <v>2730004</v>
      </c>
      <c r="J41" s="2" t="s">
        <v>89</v>
      </c>
      <c r="K41" t="s">
        <v>85</v>
      </c>
      <c r="L41" t="s">
        <v>39</v>
      </c>
      <c r="M41" t="s">
        <v>40</v>
      </c>
      <c r="N41">
        <v>93</v>
      </c>
      <c r="O41" t="s">
        <v>34</v>
      </c>
      <c r="P41">
        <v>44533</v>
      </c>
      <c r="R41">
        <v>27.02</v>
      </c>
      <c r="S41" s="6">
        <v>4042.73</v>
      </c>
      <c r="T41" t="s">
        <v>19</v>
      </c>
      <c r="U41">
        <v>180</v>
      </c>
      <c r="V41">
        <v>7</v>
      </c>
      <c r="W41" s="7">
        <v>350</v>
      </c>
      <c r="X41">
        <v>149.62</v>
      </c>
      <c r="Y41">
        <v>16.95</v>
      </c>
      <c r="Z41">
        <v>2842.06</v>
      </c>
      <c r="AE41">
        <v>80.849999999999994</v>
      </c>
      <c r="AF41">
        <v>230.41</v>
      </c>
      <c r="AG41">
        <v>889.4</v>
      </c>
      <c r="AH41">
        <v>2521.4699999999998</v>
      </c>
      <c r="AK41">
        <v>11.550657142857142</v>
      </c>
    </row>
    <row r="42" spans="1:37" x14ac:dyDescent="0.35">
      <c r="A42">
        <v>1</v>
      </c>
      <c r="B42">
        <v>2022</v>
      </c>
      <c r="C42" t="s">
        <v>33</v>
      </c>
      <c r="D42" t="s">
        <v>34</v>
      </c>
      <c r="E42" t="s">
        <v>90</v>
      </c>
      <c r="F42" s="3" t="s">
        <v>36</v>
      </c>
      <c r="G42" s="2" t="s">
        <v>82</v>
      </c>
      <c r="H42" s="3">
        <v>40380</v>
      </c>
      <c r="I42" s="3">
        <v>2780001</v>
      </c>
      <c r="J42" s="2" t="s">
        <v>91</v>
      </c>
      <c r="K42" t="s">
        <v>90</v>
      </c>
      <c r="L42" t="s">
        <v>39</v>
      </c>
      <c r="M42" t="s">
        <v>40</v>
      </c>
      <c r="N42">
        <v>93</v>
      </c>
      <c r="O42" t="s">
        <v>34</v>
      </c>
      <c r="P42">
        <v>44586</v>
      </c>
      <c r="R42">
        <v>30.92</v>
      </c>
      <c r="S42" s="6">
        <v>27378.42</v>
      </c>
      <c r="T42" t="s">
        <v>19</v>
      </c>
      <c r="U42">
        <v>180</v>
      </c>
      <c r="V42">
        <v>41</v>
      </c>
      <c r="W42" s="7">
        <v>2190</v>
      </c>
      <c r="X42">
        <v>885.46</v>
      </c>
      <c r="Y42">
        <v>17.809999999999999</v>
      </c>
      <c r="Z42">
        <v>19443.990000000002</v>
      </c>
      <c r="AE42">
        <v>547.57000000000005</v>
      </c>
      <c r="AF42">
        <v>1363.61</v>
      </c>
      <c r="AG42">
        <v>6023.25</v>
      </c>
      <c r="AH42">
        <v>16222.28</v>
      </c>
      <c r="AK42">
        <v>12.501561643835617</v>
      </c>
    </row>
    <row r="43" spans="1:37" x14ac:dyDescent="0.35">
      <c r="A43">
        <v>1</v>
      </c>
      <c r="B43">
        <v>2022</v>
      </c>
      <c r="C43" t="s">
        <v>33</v>
      </c>
      <c r="D43" t="s">
        <v>34</v>
      </c>
      <c r="E43" t="s">
        <v>90</v>
      </c>
      <c r="F43" s="3" t="s">
        <v>36</v>
      </c>
      <c r="G43" s="2" t="s">
        <v>82</v>
      </c>
      <c r="H43" s="3">
        <v>40380</v>
      </c>
      <c r="I43" s="3">
        <v>2780002</v>
      </c>
      <c r="J43" s="2" t="s">
        <v>92</v>
      </c>
      <c r="K43" t="s">
        <v>90</v>
      </c>
      <c r="L43" t="s">
        <v>39</v>
      </c>
      <c r="M43" t="s">
        <v>40</v>
      </c>
      <c r="N43">
        <v>93</v>
      </c>
      <c r="O43" t="s">
        <v>34</v>
      </c>
      <c r="P43">
        <v>44586</v>
      </c>
      <c r="R43">
        <v>30.24</v>
      </c>
      <c r="S43" s="6">
        <v>28560.47</v>
      </c>
      <c r="T43" t="s">
        <v>19</v>
      </c>
      <c r="U43">
        <v>180</v>
      </c>
      <c r="V43">
        <v>41</v>
      </c>
      <c r="W43" s="7">
        <v>2285</v>
      </c>
      <c r="X43">
        <v>944.46</v>
      </c>
      <c r="Y43">
        <v>17.75</v>
      </c>
      <c r="Z43">
        <v>20251.490000000002</v>
      </c>
      <c r="AE43">
        <v>571.21</v>
      </c>
      <c r="AF43">
        <v>1454.47</v>
      </c>
      <c r="AG43">
        <v>6283.3</v>
      </c>
      <c r="AH43">
        <v>17301.71</v>
      </c>
      <c r="AK43">
        <v>12.49911159737418</v>
      </c>
    </row>
    <row r="44" spans="1:37" x14ac:dyDescent="0.35">
      <c r="A44">
        <v>1</v>
      </c>
      <c r="B44">
        <v>2022</v>
      </c>
      <c r="C44" t="s">
        <v>33</v>
      </c>
      <c r="D44" t="s">
        <v>34</v>
      </c>
      <c r="E44" t="s">
        <v>90</v>
      </c>
      <c r="F44" s="3" t="s">
        <v>36</v>
      </c>
      <c r="G44" s="2" t="s">
        <v>82</v>
      </c>
      <c r="H44" s="3">
        <v>40380</v>
      </c>
      <c r="I44" s="3">
        <v>2780001</v>
      </c>
      <c r="J44" s="2" t="s">
        <v>91</v>
      </c>
      <c r="K44" t="s">
        <v>90</v>
      </c>
      <c r="L44" t="s">
        <v>39</v>
      </c>
      <c r="M44" t="s">
        <v>40</v>
      </c>
      <c r="N44">
        <v>93</v>
      </c>
      <c r="O44" t="s">
        <v>34</v>
      </c>
      <c r="P44">
        <v>44586</v>
      </c>
      <c r="R44">
        <v>30.92</v>
      </c>
      <c r="S44" s="6">
        <v>-27378.42</v>
      </c>
      <c r="T44" t="s">
        <v>19</v>
      </c>
      <c r="U44">
        <v>180</v>
      </c>
      <c r="V44">
        <v>41</v>
      </c>
      <c r="W44" s="7">
        <v>-2190</v>
      </c>
      <c r="X44">
        <v>-885.46</v>
      </c>
      <c r="Y44">
        <v>17.809999999999999</v>
      </c>
      <c r="Z44">
        <v>-19443.990000000002</v>
      </c>
      <c r="AE44">
        <v>547.57000000000005</v>
      </c>
      <c r="AF44">
        <v>1363.61</v>
      </c>
      <c r="AG44">
        <v>6023.25</v>
      </c>
      <c r="AH44">
        <v>-16222.28</v>
      </c>
      <c r="AK44">
        <v>12.501561643835617</v>
      </c>
    </row>
    <row r="45" spans="1:37" x14ac:dyDescent="0.35">
      <c r="A45">
        <v>1</v>
      </c>
      <c r="B45">
        <v>2022</v>
      </c>
      <c r="C45" t="s">
        <v>33</v>
      </c>
      <c r="D45" t="s">
        <v>34</v>
      </c>
      <c r="E45" t="s">
        <v>90</v>
      </c>
      <c r="F45" s="3" t="s">
        <v>36</v>
      </c>
      <c r="G45" s="2" t="s">
        <v>82</v>
      </c>
      <c r="H45" s="3">
        <v>40380</v>
      </c>
      <c r="I45" s="3">
        <v>2780002</v>
      </c>
      <c r="J45" s="2" t="s">
        <v>92</v>
      </c>
      <c r="K45" t="s">
        <v>90</v>
      </c>
      <c r="L45" t="s">
        <v>39</v>
      </c>
      <c r="M45" t="s">
        <v>40</v>
      </c>
      <c r="N45">
        <v>93</v>
      </c>
      <c r="O45" t="s">
        <v>34</v>
      </c>
      <c r="P45">
        <v>44586</v>
      </c>
      <c r="R45">
        <v>30.24</v>
      </c>
      <c r="S45" s="6">
        <v>-28560.47</v>
      </c>
      <c r="T45" t="s">
        <v>19</v>
      </c>
      <c r="U45">
        <v>180</v>
      </c>
      <c r="V45">
        <v>41</v>
      </c>
      <c r="W45" s="7">
        <v>-2285</v>
      </c>
      <c r="X45">
        <v>-944.46</v>
      </c>
      <c r="Y45">
        <v>17.75</v>
      </c>
      <c r="Z45">
        <v>-20251.490000000002</v>
      </c>
      <c r="AE45">
        <v>571.21</v>
      </c>
      <c r="AF45">
        <v>1454.47</v>
      </c>
      <c r="AG45">
        <v>6283.3</v>
      </c>
      <c r="AH45">
        <v>-17301.71</v>
      </c>
      <c r="AK45">
        <v>12.49911159737418</v>
      </c>
    </row>
    <row r="46" spans="1:37" x14ac:dyDescent="0.35">
      <c r="A46">
        <v>1</v>
      </c>
      <c r="B46">
        <v>2022</v>
      </c>
      <c r="C46" t="s">
        <v>33</v>
      </c>
      <c r="D46" t="s">
        <v>34</v>
      </c>
      <c r="E46" t="s">
        <v>93</v>
      </c>
      <c r="F46" s="3" t="s">
        <v>36</v>
      </c>
      <c r="G46" s="2" t="s">
        <v>54</v>
      </c>
      <c r="H46" s="3">
        <v>40452</v>
      </c>
      <c r="I46" s="3" t="s">
        <v>94</v>
      </c>
      <c r="J46" s="2" t="s">
        <v>95</v>
      </c>
      <c r="K46" t="s">
        <v>93</v>
      </c>
      <c r="L46" t="s">
        <v>39</v>
      </c>
      <c r="M46" t="s">
        <v>40</v>
      </c>
      <c r="N46">
        <v>87</v>
      </c>
      <c r="O46" t="s">
        <v>34</v>
      </c>
      <c r="P46">
        <v>44592</v>
      </c>
      <c r="R46">
        <v>32.22</v>
      </c>
      <c r="S46" s="6">
        <v>616.04999999999995</v>
      </c>
      <c r="T46" t="s">
        <v>19</v>
      </c>
      <c r="U46">
        <v>190</v>
      </c>
      <c r="V46">
        <v>1</v>
      </c>
      <c r="W46" s="7">
        <v>40</v>
      </c>
      <c r="X46">
        <v>19.12</v>
      </c>
      <c r="Y46">
        <v>25.94</v>
      </c>
      <c r="Z46">
        <v>438.75</v>
      </c>
      <c r="AE46">
        <v>12.32</v>
      </c>
      <c r="AF46">
        <v>29.44</v>
      </c>
      <c r="AG46">
        <v>135.53</v>
      </c>
      <c r="AH46">
        <v>325.32</v>
      </c>
      <c r="AK46">
        <v>15.401249999999999</v>
      </c>
    </row>
    <row r="47" spans="1:37" x14ac:dyDescent="0.35">
      <c r="A47">
        <v>1</v>
      </c>
      <c r="B47">
        <v>2022</v>
      </c>
      <c r="C47" t="s">
        <v>33</v>
      </c>
      <c r="D47" t="s">
        <v>34</v>
      </c>
      <c r="E47" t="s">
        <v>93</v>
      </c>
      <c r="F47" s="3" t="s">
        <v>36</v>
      </c>
      <c r="G47" s="2" t="s">
        <v>54</v>
      </c>
      <c r="H47" s="3">
        <v>40452</v>
      </c>
      <c r="I47" s="3" t="s">
        <v>96</v>
      </c>
      <c r="J47" s="2" t="s">
        <v>97</v>
      </c>
      <c r="K47" t="s">
        <v>93</v>
      </c>
      <c r="L47" t="s">
        <v>39</v>
      </c>
      <c r="M47" t="s">
        <v>40</v>
      </c>
      <c r="N47">
        <v>87</v>
      </c>
      <c r="O47" t="s">
        <v>34</v>
      </c>
      <c r="P47">
        <v>44592</v>
      </c>
      <c r="R47">
        <v>29</v>
      </c>
      <c r="S47" s="6">
        <v>826.5</v>
      </c>
      <c r="T47" t="s">
        <v>19</v>
      </c>
      <c r="U47">
        <v>200</v>
      </c>
      <c r="V47">
        <v>1</v>
      </c>
      <c r="W47" s="7">
        <v>57</v>
      </c>
      <c r="X47">
        <v>28.5</v>
      </c>
      <c r="Y47">
        <v>22.88</v>
      </c>
      <c r="Z47">
        <v>584.25</v>
      </c>
      <c r="AE47">
        <v>16.53</v>
      </c>
      <c r="AF47">
        <v>43.89</v>
      </c>
      <c r="AG47">
        <v>181.83</v>
      </c>
      <c r="AH47">
        <v>446.58</v>
      </c>
      <c r="AK47">
        <v>14.5</v>
      </c>
    </row>
    <row r="48" spans="1:37" x14ac:dyDescent="0.35">
      <c r="A48">
        <v>1</v>
      </c>
      <c r="B48">
        <v>2022</v>
      </c>
      <c r="C48" t="s">
        <v>33</v>
      </c>
      <c r="D48" t="s">
        <v>34</v>
      </c>
      <c r="E48" t="s">
        <v>93</v>
      </c>
      <c r="F48" s="3" t="s">
        <v>36</v>
      </c>
      <c r="G48" s="2" t="s">
        <v>54</v>
      </c>
      <c r="H48" s="3">
        <v>40452</v>
      </c>
      <c r="I48" s="3" t="s">
        <v>98</v>
      </c>
      <c r="J48" s="2" t="s">
        <v>99</v>
      </c>
      <c r="K48" t="s">
        <v>93</v>
      </c>
      <c r="L48" t="s">
        <v>39</v>
      </c>
      <c r="M48" t="s">
        <v>40</v>
      </c>
      <c r="N48">
        <v>87</v>
      </c>
      <c r="O48" t="s">
        <v>34</v>
      </c>
      <c r="P48">
        <v>44592</v>
      </c>
      <c r="R48">
        <v>32.770000000000003</v>
      </c>
      <c r="S48" s="6">
        <v>980.48</v>
      </c>
      <c r="T48" t="s">
        <v>19</v>
      </c>
      <c r="U48">
        <v>350</v>
      </c>
      <c r="V48">
        <v>1</v>
      </c>
      <c r="W48" s="7">
        <v>37</v>
      </c>
      <c r="X48">
        <v>29.92</v>
      </c>
      <c r="Y48">
        <v>21.61</v>
      </c>
      <c r="Z48">
        <v>699.09</v>
      </c>
      <c r="AE48">
        <v>19.61</v>
      </c>
      <c r="AF48">
        <v>46.08</v>
      </c>
      <c r="AG48">
        <v>215.71</v>
      </c>
      <c r="AH48">
        <v>516.20000000000005</v>
      </c>
      <c r="AK48">
        <v>26.499459459459459</v>
      </c>
    </row>
    <row r="49" spans="1:37" x14ac:dyDescent="0.35">
      <c r="A49">
        <v>1</v>
      </c>
      <c r="B49">
        <v>2022</v>
      </c>
      <c r="C49" t="s">
        <v>33</v>
      </c>
      <c r="D49" t="s">
        <v>34</v>
      </c>
      <c r="E49" t="s">
        <v>93</v>
      </c>
      <c r="F49" s="3" t="s">
        <v>36</v>
      </c>
      <c r="G49" s="2" t="s">
        <v>54</v>
      </c>
      <c r="H49" s="3">
        <v>40452</v>
      </c>
      <c r="I49" s="3" t="s">
        <v>100</v>
      </c>
      <c r="J49" s="2" t="s">
        <v>101</v>
      </c>
      <c r="K49" t="s">
        <v>93</v>
      </c>
      <c r="L49" t="s">
        <v>39</v>
      </c>
      <c r="M49" t="s">
        <v>40</v>
      </c>
      <c r="N49">
        <v>87</v>
      </c>
      <c r="O49" t="s">
        <v>34</v>
      </c>
      <c r="P49">
        <v>44592</v>
      </c>
      <c r="R49">
        <v>40.6</v>
      </c>
      <c r="S49" s="6">
        <v>1300.01</v>
      </c>
      <c r="T49" t="s">
        <v>19</v>
      </c>
      <c r="U49">
        <v>420</v>
      </c>
      <c r="V49">
        <v>1</v>
      </c>
      <c r="W49" s="7">
        <v>40</v>
      </c>
      <c r="X49">
        <v>32.020000000000003</v>
      </c>
      <c r="Y49">
        <v>24.62</v>
      </c>
      <c r="Z49">
        <v>938.7</v>
      </c>
      <c r="AE49">
        <v>26</v>
      </c>
      <c r="AF49">
        <v>49.31</v>
      </c>
      <c r="AG49">
        <v>286</v>
      </c>
      <c r="AH49">
        <v>540.91999999999996</v>
      </c>
      <c r="AK49">
        <v>32.500250000000001</v>
      </c>
    </row>
    <row r="50" spans="1:37" x14ac:dyDescent="0.35">
      <c r="A50">
        <v>1</v>
      </c>
      <c r="B50">
        <v>2022</v>
      </c>
      <c r="C50" t="s">
        <v>33</v>
      </c>
      <c r="D50" t="s">
        <v>34</v>
      </c>
      <c r="E50" t="s">
        <v>93</v>
      </c>
      <c r="F50" s="3" t="s">
        <v>36</v>
      </c>
      <c r="G50" s="2" t="s">
        <v>54</v>
      </c>
      <c r="H50" s="3">
        <v>40452</v>
      </c>
      <c r="I50" s="3" t="s">
        <v>102</v>
      </c>
      <c r="J50" s="2" t="s">
        <v>103</v>
      </c>
      <c r="K50" t="s">
        <v>93</v>
      </c>
      <c r="L50" t="s">
        <v>39</v>
      </c>
      <c r="M50" t="s">
        <v>40</v>
      </c>
      <c r="N50">
        <v>87</v>
      </c>
      <c r="O50" t="s">
        <v>34</v>
      </c>
      <c r="P50">
        <v>44592</v>
      </c>
      <c r="R50">
        <v>41.98</v>
      </c>
      <c r="S50" s="6">
        <v>1340</v>
      </c>
      <c r="T50" t="s">
        <v>19</v>
      </c>
      <c r="U50">
        <v>410</v>
      </c>
      <c r="V50">
        <v>1</v>
      </c>
      <c r="W50" s="7">
        <v>40</v>
      </c>
      <c r="X50">
        <v>31.92</v>
      </c>
      <c r="Y50">
        <v>24.22</v>
      </c>
      <c r="Z50">
        <v>969.24</v>
      </c>
      <c r="AE50">
        <v>26.8</v>
      </c>
      <c r="AF50">
        <v>49.16</v>
      </c>
      <c r="AG50">
        <v>294.8</v>
      </c>
      <c r="AH50">
        <v>561.41</v>
      </c>
      <c r="AK50">
        <v>33.5</v>
      </c>
    </row>
    <row r="51" spans="1:37" x14ac:dyDescent="0.35">
      <c r="A51">
        <v>1</v>
      </c>
      <c r="B51">
        <v>2022</v>
      </c>
      <c r="C51" t="s">
        <v>33</v>
      </c>
      <c r="D51" t="s">
        <v>34</v>
      </c>
      <c r="E51" t="s">
        <v>93</v>
      </c>
      <c r="F51" s="3" t="s">
        <v>36</v>
      </c>
      <c r="G51" s="2" t="s">
        <v>54</v>
      </c>
      <c r="H51" s="3">
        <v>40452</v>
      </c>
      <c r="I51" s="3" t="s">
        <v>104</v>
      </c>
      <c r="J51" s="2" t="s">
        <v>105</v>
      </c>
      <c r="K51" t="s">
        <v>93</v>
      </c>
      <c r="L51" t="s">
        <v>39</v>
      </c>
      <c r="M51" t="s">
        <v>40</v>
      </c>
      <c r="N51">
        <v>87</v>
      </c>
      <c r="O51" t="s">
        <v>34</v>
      </c>
      <c r="P51">
        <v>44592</v>
      </c>
      <c r="R51">
        <v>58.9</v>
      </c>
      <c r="S51" s="6">
        <v>1552.6</v>
      </c>
      <c r="T51" t="s">
        <v>19</v>
      </c>
      <c r="U51">
        <v>280</v>
      </c>
      <c r="V51">
        <v>1</v>
      </c>
      <c r="W51" s="7">
        <v>45</v>
      </c>
      <c r="X51">
        <v>26.36</v>
      </c>
      <c r="Y51">
        <v>39.04</v>
      </c>
      <c r="Z51">
        <v>1139.3800000000001</v>
      </c>
      <c r="AE51">
        <v>31.05</v>
      </c>
      <c r="AF51">
        <v>40.590000000000003</v>
      </c>
      <c r="AG51">
        <v>341.57</v>
      </c>
      <c r="AH51">
        <v>482.23</v>
      </c>
      <c r="AK51">
        <v>34.502222222222223</v>
      </c>
    </row>
    <row r="52" spans="1:37" x14ac:dyDescent="0.35">
      <c r="A52">
        <v>2</v>
      </c>
      <c r="B52">
        <v>2022</v>
      </c>
      <c r="C52" t="s">
        <v>33</v>
      </c>
      <c r="D52" t="s">
        <v>34</v>
      </c>
      <c r="E52" t="s">
        <v>93</v>
      </c>
      <c r="F52" s="3" t="s">
        <v>36</v>
      </c>
      <c r="G52" s="2" t="s">
        <v>54</v>
      </c>
      <c r="H52" s="3">
        <v>40530</v>
      </c>
      <c r="I52" s="3" t="s">
        <v>106</v>
      </c>
      <c r="J52" s="2" t="s">
        <v>107</v>
      </c>
      <c r="K52" t="s">
        <v>93</v>
      </c>
      <c r="L52" t="s">
        <v>39</v>
      </c>
      <c r="M52" t="s">
        <v>40</v>
      </c>
      <c r="N52">
        <v>87</v>
      </c>
      <c r="O52" t="s">
        <v>34</v>
      </c>
      <c r="P52">
        <v>44596</v>
      </c>
      <c r="R52">
        <v>13.03</v>
      </c>
      <c r="S52" s="6">
        <v>334.09</v>
      </c>
      <c r="T52" t="s">
        <v>19</v>
      </c>
      <c r="U52">
        <v>208</v>
      </c>
      <c r="V52">
        <v>1</v>
      </c>
      <c r="W52" s="7">
        <v>54</v>
      </c>
      <c r="X52">
        <v>25.64</v>
      </c>
      <c r="Y52">
        <v>22.99</v>
      </c>
      <c r="Z52">
        <v>242.65</v>
      </c>
      <c r="AB52">
        <v>457.07</v>
      </c>
      <c r="AE52">
        <v>6.68</v>
      </c>
      <c r="AF52">
        <v>39.49</v>
      </c>
      <c r="AG52">
        <v>73.5</v>
      </c>
      <c r="AH52">
        <v>397.3</v>
      </c>
      <c r="AK52">
        <v>6.1868518518518512</v>
      </c>
    </row>
    <row r="53" spans="1:37" x14ac:dyDescent="0.35">
      <c r="A53">
        <v>2</v>
      </c>
      <c r="B53">
        <v>2022</v>
      </c>
      <c r="C53" t="s">
        <v>33</v>
      </c>
      <c r="D53" t="s">
        <v>34</v>
      </c>
      <c r="E53" t="s">
        <v>93</v>
      </c>
      <c r="F53" s="3" t="s">
        <v>36</v>
      </c>
      <c r="G53" s="2" t="s">
        <v>54</v>
      </c>
      <c r="H53" s="3">
        <v>40530</v>
      </c>
      <c r="I53" s="3" t="s">
        <v>94</v>
      </c>
      <c r="J53" s="2" t="s">
        <v>95</v>
      </c>
      <c r="K53" t="s">
        <v>93</v>
      </c>
      <c r="L53" t="s">
        <v>39</v>
      </c>
      <c r="M53" t="s">
        <v>40</v>
      </c>
      <c r="N53">
        <v>87</v>
      </c>
      <c r="O53" t="s">
        <v>34</v>
      </c>
      <c r="P53">
        <v>44596</v>
      </c>
      <c r="R53">
        <v>15.53</v>
      </c>
      <c r="S53" s="6">
        <v>296.93</v>
      </c>
      <c r="T53" t="s">
        <v>19</v>
      </c>
      <c r="U53">
        <v>190</v>
      </c>
      <c r="V53">
        <v>1</v>
      </c>
      <c r="W53" s="7">
        <v>40</v>
      </c>
      <c r="X53">
        <v>19.12</v>
      </c>
      <c r="Y53">
        <v>25.94</v>
      </c>
      <c r="Z53">
        <v>210.01</v>
      </c>
      <c r="AB53">
        <v>406.23</v>
      </c>
      <c r="AE53">
        <v>5.94</v>
      </c>
      <c r="AF53">
        <v>29.44</v>
      </c>
      <c r="AG53">
        <v>65.319999999999993</v>
      </c>
      <c r="AH53">
        <v>317.79000000000002</v>
      </c>
      <c r="AK53">
        <v>7.4232500000000003</v>
      </c>
    </row>
    <row r="54" spans="1:37" x14ac:dyDescent="0.35">
      <c r="A54">
        <v>2</v>
      </c>
      <c r="B54">
        <v>2022</v>
      </c>
      <c r="C54" t="s">
        <v>33</v>
      </c>
      <c r="D54" t="s">
        <v>34</v>
      </c>
      <c r="E54" t="s">
        <v>93</v>
      </c>
      <c r="F54" s="3" t="s">
        <v>36</v>
      </c>
      <c r="G54" s="2" t="s">
        <v>54</v>
      </c>
      <c r="H54" s="3">
        <v>40530</v>
      </c>
      <c r="I54" s="3" t="s">
        <v>108</v>
      </c>
      <c r="J54" s="2" t="s">
        <v>109</v>
      </c>
      <c r="K54" t="s">
        <v>93</v>
      </c>
      <c r="L54" t="s">
        <v>39</v>
      </c>
      <c r="M54" t="s">
        <v>40</v>
      </c>
      <c r="N54">
        <v>87</v>
      </c>
      <c r="O54" t="s">
        <v>34</v>
      </c>
      <c r="P54">
        <v>44596</v>
      </c>
      <c r="R54">
        <v>11.88</v>
      </c>
      <c r="S54" s="6">
        <v>297</v>
      </c>
      <c r="T54" t="s">
        <v>19</v>
      </c>
      <c r="U54">
        <v>203</v>
      </c>
      <c r="V54">
        <v>1</v>
      </c>
      <c r="W54" s="7">
        <v>46</v>
      </c>
      <c r="X54">
        <v>25</v>
      </c>
      <c r="Y54">
        <v>19.079999999999998</v>
      </c>
      <c r="Z54">
        <v>219.11</v>
      </c>
      <c r="AB54">
        <v>406.33</v>
      </c>
      <c r="AE54">
        <v>5.94</v>
      </c>
      <c r="AF54">
        <v>38.5</v>
      </c>
      <c r="AG54">
        <v>65.34</v>
      </c>
      <c r="AH54">
        <v>409.87</v>
      </c>
      <c r="AK54">
        <v>6.4565217391304346</v>
      </c>
    </row>
    <row r="55" spans="1:37" x14ac:dyDescent="0.35">
      <c r="A55">
        <v>2</v>
      </c>
      <c r="B55">
        <v>2022</v>
      </c>
      <c r="C55" t="s">
        <v>33</v>
      </c>
      <c r="D55" t="s">
        <v>34</v>
      </c>
      <c r="E55" t="s">
        <v>93</v>
      </c>
      <c r="F55" s="3" t="s">
        <v>36</v>
      </c>
      <c r="G55" s="2" t="s">
        <v>54</v>
      </c>
      <c r="H55" s="3">
        <v>40530</v>
      </c>
      <c r="I55" s="3" t="s">
        <v>110</v>
      </c>
      <c r="J55" s="2" t="s">
        <v>111</v>
      </c>
      <c r="K55" t="s">
        <v>93</v>
      </c>
      <c r="L55" t="s">
        <v>39</v>
      </c>
      <c r="M55" t="s">
        <v>40</v>
      </c>
      <c r="N55">
        <v>87</v>
      </c>
      <c r="O55" t="s">
        <v>34</v>
      </c>
      <c r="P55">
        <v>44596</v>
      </c>
      <c r="R55">
        <v>23.53</v>
      </c>
      <c r="S55" s="6">
        <v>746.51</v>
      </c>
      <c r="T55" t="s">
        <v>19</v>
      </c>
      <c r="U55">
        <v>339</v>
      </c>
      <c r="V55">
        <v>1</v>
      </c>
      <c r="W55" s="7">
        <v>43</v>
      </c>
      <c r="X55">
        <v>31.72</v>
      </c>
      <c r="Y55">
        <v>38.03</v>
      </c>
      <c r="Z55">
        <v>502.82</v>
      </c>
      <c r="AB55">
        <v>1021.32</v>
      </c>
      <c r="AE55">
        <v>14.93</v>
      </c>
      <c r="AF55">
        <v>48.85</v>
      </c>
      <c r="AG55">
        <v>164.23</v>
      </c>
      <c r="AH55">
        <v>487.87</v>
      </c>
      <c r="AK55">
        <v>17.360697674418603</v>
      </c>
    </row>
    <row r="56" spans="1:37" x14ac:dyDescent="0.35">
      <c r="A56">
        <v>2</v>
      </c>
      <c r="B56">
        <v>2022</v>
      </c>
      <c r="C56" t="s">
        <v>33</v>
      </c>
      <c r="D56" t="s">
        <v>34</v>
      </c>
      <c r="E56" t="s">
        <v>93</v>
      </c>
      <c r="F56" s="3" t="s">
        <v>36</v>
      </c>
      <c r="G56" s="2" t="s">
        <v>54</v>
      </c>
      <c r="H56" s="3">
        <v>40530</v>
      </c>
      <c r="I56" s="3" t="s">
        <v>96</v>
      </c>
      <c r="J56" s="2" t="s">
        <v>112</v>
      </c>
      <c r="K56" t="s">
        <v>93</v>
      </c>
      <c r="L56" t="s">
        <v>39</v>
      </c>
      <c r="M56" t="s">
        <v>40</v>
      </c>
      <c r="N56">
        <v>87</v>
      </c>
      <c r="O56" t="s">
        <v>34</v>
      </c>
      <c r="P56">
        <v>44596</v>
      </c>
      <c r="R56">
        <v>9.82</v>
      </c>
      <c r="S56" s="6">
        <v>279.94</v>
      </c>
      <c r="T56" t="s">
        <v>19</v>
      </c>
      <c r="U56">
        <v>204</v>
      </c>
      <c r="V56">
        <v>1</v>
      </c>
      <c r="W56" s="7">
        <v>57</v>
      </c>
      <c r="X56">
        <v>28.5</v>
      </c>
      <c r="Y56">
        <v>18.829999999999998</v>
      </c>
      <c r="Z56">
        <v>214.13</v>
      </c>
      <c r="AB56">
        <v>382.99</v>
      </c>
      <c r="AE56">
        <v>5.6</v>
      </c>
      <c r="AF56">
        <v>43.89</v>
      </c>
      <c r="AG56">
        <v>61.59</v>
      </c>
      <c r="AH56">
        <v>408.35</v>
      </c>
      <c r="AK56">
        <v>4.9112280701754383</v>
      </c>
    </row>
    <row r="57" spans="1:37" x14ac:dyDescent="0.35">
      <c r="A57">
        <v>2</v>
      </c>
      <c r="B57">
        <v>2022</v>
      </c>
      <c r="C57" t="s">
        <v>33</v>
      </c>
      <c r="D57" t="s">
        <v>34</v>
      </c>
      <c r="E57" t="s">
        <v>93</v>
      </c>
      <c r="F57" s="3" t="s">
        <v>36</v>
      </c>
      <c r="G57" s="2" t="s">
        <v>54</v>
      </c>
      <c r="H57" s="3">
        <v>40530</v>
      </c>
      <c r="I57" s="3" t="s">
        <v>113</v>
      </c>
      <c r="J57" s="2" t="s">
        <v>114</v>
      </c>
      <c r="K57" t="s">
        <v>93</v>
      </c>
      <c r="L57" t="s">
        <v>39</v>
      </c>
      <c r="M57" t="s">
        <v>40</v>
      </c>
      <c r="N57">
        <v>87</v>
      </c>
      <c r="O57" t="s">
        <v>34</v>
      </c>
      <c r="P57">
        <v>44596</v>
      </c>
      <c r="R57">
        <v>12.8</v>
      </c>
      <c r="S57" s="6">
        <v>487.78</v>
      </c>
      <c r="T57" t="s">
        <v>19</v>
      </c>
      <c r="U57">
        <v>313</v>
      </c>
      <c r="V57">
        <v>1</v>
      </c>
      <c r="W57" s="7">
        <v>40</v>
      </c>
      <c r="X57">
        <v>38.119999999999997</v>
      </c>
      <c r="Y57">
        <v>14.57</v>
      </c>
      <c r="Z57">
        <v>355.33</v>
      </c>
      <c r="AB57">
        <v>667.34</v>
      </c>
      <c r="AE57">
        <v>9.76</v>
      </c>
      <c r="AF57">
        <v>58.7</v>
      </c>
      <c r="AG57">
        <v>107.31</v>
      </c>
      <c r="AH57">
        <v>656.26</v>
      </c>
      <c r="AK57">
        <v>12.1945</v>
      </c>
    </row>
    <row r="58" spans="1:37" x14ac:dyDescent="0.35">
      <c r="A58">
        <v>2</v>
      </c>
      <c r="B58">
        <v>2022</v>
      </c>
      <c r="C58" t="s">
        <v>33</v>
      </c>
      <c r="D58" t="s">
        <v>34</v>
      </c>
      <c r="E58" t="s">
        <v>93</v>
      </c>
      <c r="F58" s="3" t="s">
        <v>36</v>
      </c>
      <c r="G58" s="2" t="s">
        <v>54</v>
      </c>
      <c r="H58" s="3">
        <v>40530</v>
      </c>
      <c r="I58" s="3" t="s">
        <v>98</v>
      </c>
      <c r="J58" s="2" t="s">
        <v>99</v>
      </c>
      <c r="K58" t="s">
        <v>93</v>
      </c>
      <c r="L58" t="s">
        <v>39</v>
      </c>
      <c r="M58" t="s">
        <v>40</v>
      </c>
      <c r="N58">
        <v>87</v>
      </c>
      <c r="O58" t="s">
        <v>34</v>
      </c>
      <c r="P58">
        <v>44596</v>
      </c>
      <c r="R58">
        <v>17.079999999999998</v>
      </c>
      <c r="S58" s="6">
        <v>511.1</v>
      </c>
      <c r="T58" t="s">
        <v>19</v>
      </c>
      <c r="U58">
        <v>356</v>
      </c>
      <c r="V58">
        <v>1</v>
      </c>
      <c r="W58" s="7">
        <v>37</v>
      </c>
      <c r="X58">
        <v>29.92</v>
      </c>
      <c r="Y58">
        <v>16.510000000000002</v>
      </c>
      <c r="Z58">
        <v>356.88</v>
      </c>
      <c r="AB58">
        <v>699.24</v>
      </c>
      <c r="AE58">
        <v>10.220000000000001</v>
      </c>
      <c r="AF58">
        <v>46.08</v>
      </c>
      <c r="AG58">
        <v>112.44</v>
      </c>
      <c r="AH58">
        <v>497.13</v>
      </c>
      <c r="AK58">
        <v>13.813513513513515</v>
      </c>
    </row>
    <row r="59" spans="1:37" x14ac:dyDescent="0.35">
      <c r="A59">
        <v>2</v>
      </c>
      <c r="B59">
        <v>2022</v>
      </c>
      <c r="C59" t="s">
        <v>33</v>
      </c>
      <c r="D59" t="s">
        <v>34</v>
      </c>
      <c r="E59" t="s">
        <v>93</v>
      </c>
      <c r="F59" s="3" t="s">
        <v>36</v>
      </c>
      <c r="G59" s="2" t="s">
        <v>54</v>
      </c>
      <c r="H59" s="3">
        <v>40530</v>
      </c>
      <c r="I59" s="3" t="s">
        <v>100</v>
      </c>
      <c r="J59" s="2" t="s">
        <v>101</v>
      </c>
      <c r="K59" t="s">
        <v>93</v>
      </c>
      <c r="L59" t="s">
        <v>39</v>
      </c>
      <c r="M59" t="s">
        <v>40</v>
      </c>
      <c r="N59">
        <v>87</v>
      </c>
      <c r="O59" t="s">
        <v>34</v>
      </c>
      <c r="P59">
        <v>44596</v>
      </c>
      <c r="R59">
        <v>19.57</v>
      </c>
      <c r="S59" s="6">
        <v>626.69000000000005</v>
      </c>
      <c r="T59" t="s">
        <v>19</v>
      </c>
      <c r="U59">
        <v>401</v>
      </c>
      <c r="V59">
        <v>1</v>
      </c>
      <c r="W59" s="7">
        <v>40</v>
      </c>
      <c r="X59">
        <v>32.020000000000003</v>
      </c>
      <c r="Y59">
        <v>28.1</v>
      </c>
      <c r="Z59">
        <v>430.41</v>
      </c>
      <c r="AB59">
        <v>857.38</v>
      </c>
      <c r="AE59">
        <v>12.53</v>
      </c>
      <c r="AF59">
        <v>49.31</v>
      </c>
      <c r="AG59">
        <v>137.87</v>
      </c>
      <c r="AH59">
        <v>497.07</v>
      </c>
      <c r="AK59">
        <v>15.667250000000001</v>
      </c>
    </row>
    <row r="60" spans="1:37" x14ac:dyDescent="0.35">
      <c r="A60">
        <v>2</v>
      </c>
      <c r="B60">
        <v>2022</v>
      </c>
      <c r="C60" t="s">
        <v>33</v>
      </c>
      <c r="D60" t="s">
        <v>34</v>
      </c>
      <c r="E60" t="s">
        <v>93</v>
      </c>
      <c r="F60" s="3" t="s">
        <v>36</v>
      </c>
      <c r="G60" s="2" t="s">
        <v>54</v>
      </c>
      <c r="H60" s="3">
        <v>40530</v>
      </c>
      <c r="I60" s="3" t="s">
        <v>102</v>
      </c>
      <c r="J60" s="2" t="s">
        <v>103</v>
      </c>
      <c r="K60" t="s">
        <v>93</v>
      </c>
      <c r="L60" t="s">
        <v>39</v>
      </c>
      <c r="M60" t="s">
        <v>40</v>
      </c>
      <c r="N60">
        <v>87</v>
      </c>
      <c r="O60" t="s">
        <v>34</v>
      </c>
      <c r="P60">
        <v>44596</v>
      </c>
      <c r="R60">
        <v>20.23</v>
      </c>
      <c r="S60" s="6">
        <v>645.77</v>
      </c>
      <c r="T60" t="s">
        <v>19</v>
      </c>
      <c r="U60">
        <v>360</v>
      </c>
      <c r="V60">
        <v>1</v>
      </c>
      <c r="W60" s="7">
        <v>40</v>
      </c>
      <c r="X60">
        <v>31.92</v>
      </c>
      <c r="Y60">
        <v>27.71</v>
      </c>
      <c r="Z60">
        <v>441.86</v>
      </c>
      <c r="AB60">
        <v>883.49</v>
      </c>
      <c r="AE60">
        <v>12.92</v>
      </c>
      <c r="AF60">
        <v>49.16</v>
      </c>
      <c r="AG60">
        <v>142.07</v>
      </c>
      <c r="AH60">
        <v>560.65</v>
      </c>
      <c r="AK60">
        <v>16.14425</v>
      </c>
    </row>
    <row r="61" spans="1:37" x14ac:dyDescent="0.35">
      <c r="A61">
        <v>2</v>
      </c>
      <c r="B61">
        <v>2022</v>
      </c>
      <c r="C61" t="s">
        <v>33</v>
      </c>
      <c r="D61" t="s">
        <v>34</v>
      </c>
      <c r="E61" t="s">
        <v>93</v>
      </c>
      <c r="F61" s="3" t="s">
        <v>36</v>
      </c>
      <c r="G61" s="2" t="s">
        <v>54</v>
      </c>
      <c r="H61" s="3">
        <v>40530</v>
      </c>
      <c r="I61" s="3" t="s">
        <v>104</v>
      </c>
      <c r="J61" s="2" t="s">
        <v>115</v>
      </c>
      <c r="K61" t="s">
        <v>93</v>
      </c>
      <c r="L61" t="s">
        <v>39</v>
      </c>
      <c r="M61" t="s">
        <v>40</v>
      </c>
      <c r="N61">
        <v>87</v>
      </c>
      <c r="O61" t="s">
        <v>34</v>
      </c>
      <c r="P61">
        <v>44596</v>
      </c>
      <c r="R61">
        <v>25.22</v>
      </c>
      <c r="S61" s="6">
        <v>664.86</v>
      </c>
      <c r="T61" t="s">
        <v>19</v>
      </c>
      <c r="U61">
        <v>262</v>
      </c>
      <c r="V61">
        <v>1</v>
      </c>
      <c r="W61" s="7">
        <v>45</v>
      </c>
      <c r="X61">
        <v>26.36</v>
      </c>
      <c r="Y61">
        <v>40.21</v>
      </c>
      <c r="Z61">
        <v>444.91</v>
      </c>
      <c r="AB61">
        <v>909.61</v>
      </c>
      <c r="AE61">
        <v>13.3</v>
      </c>
      <c r="AF61">
        <v>40.590000000000003</v>
      </c>
      <c r="AG61">
        <v>146.27000000000001</v>
      </c>
      <c r="AH61">
        <v>447.15</v>
      </c>
      <c r="AK61">
        <v>14.774666666666667</v>
      </c>
    </row>
    <row r="62" spans="1:37" x14ac:dyDescent="0.35">
      <c r="A62">
        <v>2</v>
      </c>
      <c r="B62">
        <v>2022</v>
      </c>
      <c r="C62" t="s">
        <v>33</v>
      </c>
      <c r="D62" t="s">
        <v>34</v>
      </c>
      <c r="E62" t="s">
        <v>116</v>
      </c>
      <c r="F62" s="3" t="s">
        <v>36</v>
      </c>
      <c r="G62" s="2" t="s">
        <v>50</v>
      </c>
      <c r="H62" s="3">
        <v>40780</v>
      </c>
      <c r="I62" s="3">
        <v>2810001</v>
      </c>
      <c r="J62" s="2" t="s">
        <v>117</v>
      </c>
      <c r="K62" t="s">
        <v>116</v>
      </c>
      <c r="L62" t="s">
        <v>39</v>
      </c>
      <c r="M62" t="s">
        <v>40</v>
      </c>
      <c r="N62">
        <v>91</v>
      </c>
      <c r="O62" t="s">
        <v>34</v>
      </c>
      <c r="P62">
        <v>44616</v>
      </c>
      <c r="R62">
        <v>31.45</v>
      </c>
      <c r="S62" s="6">
        <v>56602</v>
      </c>
      <c r="T62" t="s">
        <v>19</v>
      </c>
      <c r="U62">
        <v>160</v>
      </c>
      <c r="V62">
        <v>90</v>
      </c>
      <c r="W62" s="7">
        <v>4136</v>
      </c>
      <c r="X62">
        <v>1860.87</v>
      </c>
      <c r="Y62">
        <v>35.49</v>
      </c>
      <c r="Z62">
        <v>40151.78</v>
      </c>
      <c r="AE62">
        <v>1132.04</v>
      </c>
      <c r="AF62">
        <v>2865.74</v>
      </c>
      <c r="AG62">
        <v>12452.44</v>
      </c>
      <c r="AH62">
        <v>32137.54</v>
      </c>
      <c r="AK62">
        <v>13.685203094777563</v>
      </c>
    </row>
    <row r="63" spans="1:37" x14ac:dyDescent="0.35">
      <c r="A63">
        <v>3</v>
      </c>
      <c r="B63">
        <v>2022</v>
      </c>
      <c r="C63" t="s">
        <v>33</v>
      </c>
      <c r="D63" t="s">
        <v>34</v>
      </c>
      <c r="E63" t="s">
        <v>116</v>
      </c>
      <c r="F63" s="3" t="s">
        <v>36</v>
      </c>
      <c r="G63" s="2" t="s">
        <v>50</v>
      </c>
      <c r="H63" s="3">
        <v>41049</v>
      </c>
      <c r="I63" s="3">
        <v>2810002</v>
      </c>
      <c r="J63" s="2" t="s">
        <v>118</v>
      </c>
      <c r="K63" t="s">
        <v>116</v>
      </c>
      <c r="L63" t="s">
        <v>39</v>
      </c>
      <c r="M63" t="s">
        <v>40</v>
      </c>
      <c r="N63">
        <v>91</v>
      </c>
      <c r="O63" t="s">
        <v>34</v>
      </c>
      <c r="P63">
        <v>44638</v>
      </c>
      <c r="R63">
        <v>25.25</v>
      </c>
      <c r="S63" s="6">
        <v>19710.150000000001</v>
      </c>
      <c r="T63" t="s">
        <v>19</v>
      </c>
      <c r="U63">
        <v>280</v>
      </c>
      <c r="V63">
        <v>24</v>
      </c>
      <c r="W63" s="7">
        <v>1180</v>
      </c>
      <c r="X63">
        <v>780.6</v>
      </c>
      <c r="Y63">
        <v>14.21</v>
      </c>
      <c r="Z63">
        <v>13777.59</v>
      </c>
      <c r="AE63">
        <v>394.2</v>
      </c>
      <c r="AF63">
        <v>1202.1199999999999</v>
      </c>
      <c r="AG63">
        <v>4336.2299999999996</v>
      </c>
      <c r="AH63">
        <v>12938.36</v>
      </c>
      <c r="AK63">
        <v>16.703516949152544</v>
      </c>
    </row>
    <row r="64" spans="1:37" x14ac:dyDescent="0.35">
      <c r="A64">
        <v>3</v>
      </c>
      <c r="B64">
        <v>2022</v>
      </c>
      <c r="C64" t="s">
        <v>33</v>
      </c>
      <c r="D64" t="s">
        <v>34</v>
      </c>
      <c r="E64" t="s">
        <v>116</v>
      </c>
      <c r="F64" s="3" t="s">
        <v>36</v>
      </c>
      <c r="G64" s="2" t="s">
        <v>50</v>
      </c>
      <c r="H64" s="3">
        <v>41049</v>
      </c>
      <c r="I64" s="3" t="s">
        <v>119</v>
      </c>
      <c r="J64" s="2" t="s">
        <v>120</v>
      </c>
      <c r="K64" t="s">
        <v>116</v>
      </c>
      <c r="L64" t="s">
        <v>39</v>
      </c>
      <c r="M64" t="s">
        <v>40</v>
      </c>
      <c r="N64">
        <v>91</v>
      </c>
      <c r="O64" t="s">
        <v>34</v>
      </c>
      <c r="P64">
        <v>44638</v>
      </c>
      <c r="R64">
        <v>24.06</v>
      </c>
      <c r="S64" s="6">
        <v>65917.179999999993</v>
      </c>
      <c r="T64" t="s">
        <v>19</v>
      </c>
      <c r="U64">
        <v>300</v>
      </c>
      <c r="V64">
        <v>79</v>
      </c>
      <c r="W64" s="7">
        <v>3946</v>
      </c>
      <c r="X64">
        <v>2739.7</v>
      </c>
      <c r="Y64">
        <v>6.23</v>
      </c>
      <c r="Z64">
        <v>45877.919999999998</v>
      </c>
      <c r="AE64">
        <v>1318.34</v>
      </c>
      <c r="AF64">
        <v>4219.1400000000003</v>
      </c>
      <c r="AG64">
        <v>14501.78</v>
      </c>
      <c r="AH64">
        <v>45411.14</v>
      </c>
      <c r="AK64">
        <v>16.704809934110489</v>
      </c>
    </row>
    <row r="65" spans="1:37" x14ac:dyDescent="0.35">
      <c r="A65">
        <v>3</v>
      </c>
      <c r="B65">
        <v>2022</v>
      </c>
      <c r="C65" t="s">
        <v>33</v>
      </c>
      <c r="D65" t="s">
        <v>34</v>
      </c>
      <c r="E65" t="s">
        <v>116</v>
      </c>
      <c r="F65" s="3" t="s">
        <v>36</v>
      </c>
      <c r="G65" s="2" t="s">
        <v>50</v>
      </c>
      <c r="H65" s="3">
        <v>41049</v>
      </c>
      <c r="I65" s="3">
        <v>2810003</v>
      </c>
      <c r="J65" s="2" t="s">
        <v>121</v>
      </c>
      <c r="K65" t="s">
        <v>116</v>
      </c>
      <c r="L65" t="s">
        <v>39</v>
      </c>
      <c r="M65" t="s">
        <v>40</v>
      </c>
      <c r="N65">
        <v>91</v>
      </c>
      <c r="O65" t="s">
        <v>34</v>
      </c>
      <c r="P65">
        <v>44638</v>
      </c>
      <c r="R65">
        <v>30.51</v>
      </c>
      <c r="S65" s="6">
        <v>11516.91</v>
      </c>
      <c r="T65" t="s">
        <v>19</v>
      </c>
      <c r="U65">
        <v>160</v>
      </c>
      <c r="V65">
        <v>18</v>
      </c>
      <c r="W65" s="7">
        <v>810</v>
      </c>
      <c r="X65">
        <v>377.48</v>
      </c>
      <c r="Y65">
        <v>31.09</v>
      </c>
      <c r="Z65">
        <v>8171.53</v>
      </c>
      <c r="AE65">
        <v>230.34</v>
      </c>
      <c r="AF65">
        <v>581.32000000000005</v>
      </c>
      <c r="AG65">
        <v>2533.7199999999998</v>
      </c>
      <c r="AH65">
        <v>6483.59</v>
      </c>
      <c r="AK65">
        <v>14.218407407407406</v>
      </c>
    </row>
    <row r="66" spans="1:37" x14ac:dyDescent="0.35">
      <c r="A66">
        <v>3</v>
      </c>
      <c r="B66">
        <v>2022</v>
      </c>
      <c r="C66" t="s">
        <v>33</v>
      </c>
      <c r="D66" t="s">
        <v>34</v>
      </c>
      <c r="E66" t="s">
        <v>122</v>
      </c>
      <c r="F66" s="3" t="s">
        <v>36</v>
      </c>
      <c r="G66" s="2" t="s">
        <v>50</v>
      </c>
      <c r="H66" s="3">
        <v>41093</v>
      </c>
      <c r="I66" s="3" t="s">
        <v>123</v>
      </c>
      <c r="J66" s="2" t="s">
        <v>124</v>
      </c>
      <c r="K66" t="s">
        <v>122</v>
      </c>
      <c r="L66" t="s">
        <v>39</v>
      </c>
      <c r="M66" t="s">
        <v>40</v>
      </c>
      <c r="N66">
        <v>91</v>
      </c>
      <c r="O66" t="s">
        <v>34</v>
      </c>
      <c r="P66">
        <v>44643</v>
      </c>
      <c r="R66">
        <v>32.700000000000003</v>
      </c>
      <c r="S66" s="6">
        <v>26026.91</v>
      </c>
      <c r="T66" t="s">
        <v>19</v>
      </c>
      <c r="U66">
        <v>300</v>
      </c>
      <c r="V66">
        <v>28</v>
      </c>
      <c r="W66" s="7">
        <v>1117</v>
      </c>
      <c r="X66">
        <v>795.93</v>
      </c>
      <c r="Y66">
        <v>19.84</v>
      </c>
      <c r="Z66">
        <v>17513.64</v>
      </c>
      <c r="AD66">
        <v>1041.08</v>
      </c>
      <c r="AE66">
        <v>520.54</v>
      </c>
      <c r="AF66">
        <v>1225.73</v>
      </c>
      <c r="AG66">
        <v>5725.92</v>
      </c>
      <c r="AH66">
        <v>13332.9</v>
      </c>
      <c r="AK66">
        <v>23.30072515666965</v>
      </c>
    </row>
    <row r="67" spans="1:37" x14ac:dyDescent="0.35">
      <c r="A67">
        <v>3</v>
      </c>
      <c r="B67">
        <v>2022</v>
      </c>
      <c r="C67" t="s">
        <v>33</v>
      </c>
      <c r="D67" t="s">
        <v>34</v>
      </c>
      <c r="E67" t="s">
        <v>122</v>
      </c>
      <c r="F67" s="3" t="s">
        <v>36</v>
      </c>
      <c r="G67" s="2" t="s">
        <v>50</v>
      </c>
      <c r="H67" s="3">
        <v>41093</v>
      </c>
      <c r="I67" s="3" t="s">
        <v>125</v>
      </c>
      <c r="J67" s="2" t="s">
        <v>126</v>
      </c>
      <c r="K67" t="s">
        <v>122</v>
      </c>
      <c r="L67" t="s">
        <v>39</v>
      </c>
      <c r="M67" t="s">
        <v>40</v>
      </c>
      <c r="N67">
        <v>91</v>
      </c>
      <c r="O67" t="s">
        <v>34</v>
      </c>
      <c r="P67">
        <v>44643</v>
      </c>
      <c r="R67">
        <v>37.54</v>
      </c>
      <c r="S67" s="6">
        <v>28967.74</v>
      </c>
      <c r="T67" t="s">
        <v>19</v>
      </c>
      <c r="U67">
        <v>350</v>
      </c>
      <c r="V67">
        <v>33</v>
      </c>
      <c r="W67" s="7">
        <v>1019</v>
      </c>
      <c r="X67">
        <v>771.65</v>
      </c>
      <c r="Y67">
        <v>26.55</v>
      </c>
      <c r="Z67">
        <v>19668.43</v>
      </c>
      <c r="AD67">
        <v>1158.71</v>
      </c>
      <c r="AE67">
        <v>579.35</v>
      </c>
      <c r="AF67">
        <v>1188.3399999999999</v>
      </c>
      <c r="AG67">
        <v>6372.9</v>
      </c>
      <c r="AH67">
        <v>12448.01</v>
      </c>
      <c r="AK67">
        <v>28.427615309126598</v>
      </c>
    </row>
    <row r="68" spans="1:37" x14ac:dyDescent="0.35">
      <c r="A68">
        <v>3</v>
      </c>
      <c r="B68">
        <v>2022</v>
      </c>
      <c r="C68" t="s">
        <v>33</v>
      </c>
      <c r="D68" t="s">
        <v>34</v>
      </c>
      <c r="E68" t="s">
        <v>122</v>
      </c>
      <c r="F68" s="3" t="s">
        <v>36</v>
      </c>
      <c r="G68" s="2" t="s">
        <v>50</v>
      </c>
      <c r="H68" s="3">
        <v>41093</v>
      </c>
      <c r="I68" s="3" t="s">
        <v>123</v>
      </c>
      <c r="J68" s="2" t="s">
        <v>124</v>
      </c>
      <c r="K68" t="s">
        <v>122</v>
      </c>
      <c r="L68" t="s">
        <v>39</v>
      </c>
      <c r="M68" t="s">
        <v>40</v>
      </c>
      <c r="N68">
        <v>91</v>
      </c>
      <c r="O68" t="s">
        <v>34</v>
      </c>
      <c r="P68">
        <v>44643</v>
      </c>
      <c r="R68">
        <v>32.700000000000003</v>
      </c>
      <c r="S68" s="6">
        <v>262.58</v>
      </c>
      <c r="T68" t="s">
        <v>19</v>
      </c>
      <c r="U68">
        <v>300</v>
      </c>
      <c r="V68">
        <v>1</v>
      </c>
      <c r="W68" s="7">
        <v>11</v>
      </c>
      <c r="X68">
        <v>8.0299999999999994</v>
      </c>
      <c r="Y68">
        <v>19.84</v>
      </c>
      <c r="Z68">
        <v>176.69</v>
      </c>
      <c r="AD68">
        <v>10.5</v>
      </c>
      <c r="AE68">
        <v>5.25</v>
      </c>
      <c r="AF68">
        <v>12.37</v>
      </c>
      <c r="AG68">
        <v>57.77</v>
      </c>
      <c r="AH68">
        <v>134.51</v>
      </c>
      <c r="AK68">
        <v>23.870909090909091</v>
      </c>
    </row>
    <row r="69" spans="1:37" x14ac:dyDescent="0.35">
      <c r="A69">
        <v>3</v>
      </c>
      <c r="B69">
        <v>2022</v>
      </c>
      <c r="C69" t="s">
        <v>33</v>
      </c>
      <c r="D69" t="s">
        <v>34</v>
      </c>
      <c r="E69" t="s">
        <v>122</v>
      </c>
      <c r="F69" s="3" t="s">
        <v>36</v>
      </c>
      <c r="G69" s="2" t="s">
        <v>50</v>
      </c>
      <c r="H69" s="3">
        <v>41093</v>
      </c>
      <c r="I69" s="3" t="s">
        <v>125</v>
      </c>
      <c r="J69" s="2" t="s">
        <v>126</v>
      </c>
      <c r="K69" t="s">
        <v>122</v>
      </c>
      <c r="L69" t="s">
        <v>39</v>
      </c>
      <c r="M69" t="s">
        <v>40</v>
      </c>
      <c r="N69">
        <v>91</v>
      </c>
      <c r="O69" t="s">
        <v>34</v>
      </c>
      <c r="P69">
        <v>44643</v>
      </c>
      <c r="R69">
        <v>37.54</v>
      </c>
      <c r="S69" s="6">
        <v>292.44</v>
      </c>
      <c r="T69" t="s">
        <v>19</v>
      </c>
      <c r="U69">
        <v>350</v>
      </c>
      <c r="V69">
        <v>1</v>
      </c>
      <c r="W69" s="7">
        <v>10</v>
      </c>
      <c r="X69">
        <v>7.79</v>
      </c>
      <c r="Y69">
        <v>26.55</v>
      </c>
      <c r="Z69">
        <v>198.56</v>
      </c>
      <c r="AD69">
        <v>11.7</v>
      </c>
      <c r="AE69">
        <v>5.85</v>
      </c>
      <c r="AF69">
        <v>12</v>
      </c>
      <c r="AG69">
        <v>64.34</v>
      </c>
      <c r="AH69">
        <v>125.67</v>
      </c>
      <c r="AK69">
        <v>29.244</v>
      </c>
    </row>
    <row r="70" spans="1:37" x14ac:dyDescent="0.35">
      <c r="A70">
        <v>4</v>
      </c>
      <c r="B70">
        <v>2022</v>
      </c>
      <c r="C70" t="s">
        <v>33</v>
      </c>
      <c r="D70" t="s">
        <v>34</v>
      </c>
      <c r="E70" t="s">
        <v>116</v>
      </c>
      <c r="F70" s="3" t="s">
        <v>36</v>
      </c>
      <c r="G70" s="2" t="s">
        <v>50</v>
      </c>
      <c r="H70" s="3">
        <v>41266</v>
      </c>
      <c r="I70" s="3">
        <v>2810004</v>
      </c>
      <c r="J70" s="2" t="s">
        <v>127</v>
      </c>
      <c r="K70" t="s">
        <v>116</v>
      </c>
      <c r="L70" t="s">
        <v>39</v>
      </c>
      <c r="M70" t="s">
        <v>40</v>
      </c>
      <c r="N70">
        <v>1</v>
      </c>
      <c r="O70" t="s">
        <v>34</v>
      </c>
      <c r="P70">
        <v>44658</v>
      </c>
      <c r="R70">
        <v>30.74</v>
      </c>
      <c r="S70" s="6">
        <v>9184.7999999999993</v>
      </c>
      <c r="T70" t="s">
        <v>19</v>
      </c>
      <c r="U70">
        <v>400</v>
      </c>
      <c r="V70">
        <v>12</v>
      </c>
      <c r="W70" s="7">
        <v>328</v>
      </c>
      <c r="X70">
        <v>298.79000000000002</v>
      </c>
      <c r="Y70">
        <v>25.45</v>
      </c>
      <c r="Z70">
        <v>3645.21</v>
      </c>
      <c r="AB70">
        <v>2507.71</v>
      </c>
      <c r="AE70">
        <v>183.7</v>
      </c>
      <c r="AF70">
        <v>460.14</v>
      </c>
      <c r="AG70">
        <v>2388.0500000000002</v>
      </c>
      <c r="AH70">
        <v>3802.98</v>
      </c>
      <c r="AK70">
        <v>28.002439024390242</v>
      </c>
    </row>
    <row r="71" spans="1:37" x14ac:dyDescent="0.35">
      <c r="A71">
        <v>4</v>
      </c>
      <c r="B71">
        <v>2022</v>
      </c>
      <c r="C71" t="s">
        <v>33</v>
      </c>
      <c r="D71" t="s">
        <v>34</v>
      </c>
      <c r="E71" t="s">
        <v>42</v>
      </c>
      <c r="F71" s="3" t="s">
        <v>36</v>
      </c>
      <c r="G71" s="2" t="s">
        <v>43</v>
      </c>
      <c r="H71" s="3">
        <v>41293</v>
      </c>
      <c r="I71" s="3">
        <v>2540006</v>
      </c>
      <c r="J71" s="2" t="s">
        <v>128</v>
      </c>
      <c r="K71" t="s">
        <v>42</v>
      </c>
      <c r="L71" t="s">
        <v>39</v>
      </c>
      <c r="M71" t="s">
        <v>40</v>
      </c>
      <c r="N71">
        <v>1</v>
      </c>
      <c r="O71" t="s">
        <v>45</v>
      </c>
      <c r="P71">
        <v>44659</v>
      </c>
      <c r="R71">
        <v>34.130000000000003</v>
      </c>
      <c r="S71" s="6">
        <v>14989.9</v>
      </c>
      <c r="T71" t="s">
        <v>19</v>
      </c>
      <c r="U71">
        <v>360</v>
      </c>
      <c r="V71">
        <v>17</v>
      </c>
      <c r="W71" s="7">
        <v>543</v>
      </c>
      <c r="X71">
        <v>439.2</v>
      </c>
      <c r="Y71">
        <v>24.66</v>
      </c>
      <c r="Z71">
        <v>10116.36</v>
      </c>
      <c r="AE71">
        <v>299.8</v>
      </c>
      <c r="AF71">
        <v>676.37</v>
      </c>
      <c r="AG71">
        <v>3897.37</v>
      </c>
      <c r="AH71">
        <v>5394.65</v>
      </c>
      <c r="AK71">
        <v>27.605709023941067</v>
      </c>
    </row>
    <row r="72" spans="1:37" x14ac:dyDescent="0.35">
      <c r="A72">
        <v>4</v>
      </c>
      <c r="B72">
        <v>2022</v>
      </c>
      <c r="C72" t="s">
        <v>33</v>
      </c>
      <c r="D72" t="s">
        <v>34</v>
      </c>
      <c r="E72" t="s">
        <v>42</v>
      </c>
      <c r="F72" s="3" t="s">
        <v>36</v>
      </c>
      <c r="G72" s="2" t="s">
        <v>43</v>
      </c>
      <c r="H72" s="3">
        <v>41293</v>
      </c>
      <c r="I72" s="3">
        <v>2540007</v>
      </c>
      <c r="J72" s="2" t="s">
        <v>129</v>
      </c>
      <c r="K72" t="s">
        <v>42</v>
      </c>
      <c r="L72" t="s">
        <v>39</v>
      </c>
      <c r="M72" t="s">
        <v>40</v>
      </c>
      <c r="N72">
        <v>1</v>
      </c>
      <c r="O72" t="s">
        <v>45</v>
      </c>
      <c r="P72">
        <v>44659</v>
      </c>
      <c r="R72">
        <v>31.8</v>
      </c>
      <c r="S72" s="6">
        <v>12479.59</v>
      </c>
      <c r="T72" t="s">
        <v>19</v>
      </c>
      <c r="U72">
        <v>300</v>
      </c>
      <c r="V72">
        <v>14</v>
      </c>
      <c r="W72" s="7">
        <v>586</v>
      </c>
      <c r="X72">
        <v>392.44</v>
      </c>
      <c r="Y72">
        <v>28.23</v>
      </c>
      <c r="Z72">
        <v>8380.9500000000007</v>
      </c>
      <c r="AE72">
        <v>249.59</v>
      </c>
      <c r="AF72">
        <v>604.36</v>
      </c>
      <c r="AG72">
        <v>3244.69</v>
      </c>
      <c r="AH72">
        <v>4947</v>
      </c>
      <c r="AK72">
        <v>21.296228668941978</v>
      </c>
    </row>
    <row r="73" spans="1:37" x14ac:dyDescent="0.35">
      <c r="A73">
        <v>4</v>
      </c>
      <c r="B73">
        <v>2022</v>
      </c>
      <c r="C73" t="s">
        <v>33</v>
      </c>
      <c r="D73" t="s">
        <v>34</v>
      </c>
      <c r="E73" t="s">
        <v>42</v>
      </c>
      <c r="F73" s="3" t="s">
        <v>36</v>
      </c>
      <c r="G73" s="2" t="s">
        <v>43</v>
      </c>
      <c r="H73" s="3">
        <v>41293</v>
      </c>
      <c r="I73" s="3">
        <v>2540008</v>
      </c>
      <c r="J73" s="2" t="s">
        <v>130</v>
      </c>
      <c r="K73" t="s">
        <v>42</v>
      </c>
      <c r="L73" t="s">
        <v>39</v>
      </c>
      <c r="M73" t="s">
        <v>40</v>
      </c>
      <c r="N73">
        <v>1</v>
      </c>
      <c r="O73" t="s">
        <v>45</v>
      </c>
      <c r="P73">
        <v>44659</v>
      </c>
      <c r="R73">
        <v>17.55</v>
      </c>
      <c r="S73" s="6">
        <v>5249.21</v>
      </c>
      <c r="T73" t="s">
        <v>19</v>
      </c>
      <c r="U73">
        <v>260</v>
      </c>
      <c r="V73">
        <v>14</v>
      </c>
      <c r="W73" s="7">
        <v>530</v>
      </c>
      <c r="X73">
        <v>299.10000000000002</v>
      </c>
      <c r="Y73">
        <v>-22.76</v>
      </c>
      <c r="Z73">
        <v>3318.82</v>
      </c>
      <c r="AE73">
        <v>104.98</v>
      </c>
      <c r="AF73">
        <v>460.61</v>
      </c>
      <c r="AG73">
        <v>1364.79</v>
      </c>
      <c r="AH73">
        <v>4028.01</v>
      </c>
      <c r="AK73">
        <v>9.9041698113207541</v>
      </c>
    </row>
    <row r="74" spans="1:37" x14ac:dyDescent="0.35">
      <c r="A74">
        <v>4</v>
      </c>
      <c r="B74">
        <v>2022</v>
      </c>
      <c r="C74" t="s">
        <v>33</v>
      </c>
      <c r="D74" t="s">
        <v>34</v>
      </c>
      <c r="E74" t="s">
        <v>42</v>
      </c>
      <c r="F74" s="3" t="s">
        <v>36</v>
      </c>
      <c r="G74" s="2" t="s">
        <v>43</v>
      </c>
      <c r="H74" s="3">
        <v>41293</v>
      </c>
      <c r="I74" s="3">
        <v>2540009</v>
      </c>
      <c r="J74" s="2" t="s">
        <v>131</v>
      </c>
      <c r="K74" t="s">
        <v>42</v>
      </c>
      <c r="L74" t="s">
        <v>39</v>
      </c>
      <c r="M74" t="s">
        <v>40</v>
      </c>
      <c r="N74">
        <v>1</v>
      </c>
      <c r="O74" t="s">
        <v>45</v>
      </c>
      <c r="P74">
        <v>44659</v>
      </c>
      <c r="R74">
        <v>36.33</v>
      </c>
      <c r="S74" s="6">
        <v>7773.89</v>
      </c>
      <c r="T74" t="s">
        <v>19</v>
      </c>
      <c r="U74">
        <v>97</v>
      </c>
      <c r="V74">
        <v>7</v>
      </c>
      <c r="W74" s="7">
        <v>1049</v>
      </c>
      <c r="X74">
        <v>213.98</v>
      </c>
      <c r="Y74">
        <v>-14.66</v>
      </c>
      <c r="Z74">
        <v>5267.67</v>
      </c>
      <c r="AE74">
        <v>155.47999999999999</v>
      </c>
      <c r="AF74">
        <v>329.53</v>
      </c>
      <c r="AG74">
        <v>2021.21</v>
      </c>
      <c r="AH74">
        <v>7010.2</v>
      </c>
      <c r="AK74">
        <v>7.4107626310772163</v>
      </c>
    </row>
    <row r="75" spans="1:37" x14ac:dyDescent="0.35">
      <c r="A75">
        <v>4</v>
      </c>
      <c r="B75">
        <v>2022</v>
      </c>
      <c r="C75" t="s">
        <v>33</v>
      </c>
      <c r="D75" t="s">
        <v>34</v>
      </c>
      <c r="E75" t="s">
        <v>42</v>
      </c>
      <c r="F75" s="3" t="s">
        <v>36</v>
      </c>
      <c r="G75" s="2" t="s">
        <v>43</v>
      </c>
      <c r="H75" s="3">
        <v>41293</v>
      </c>
      <c r="I75" s="3">
        <v>2540010</v>
      </c>
      <c r="J75" s="2" t="s">
        <v>132</v>
      </c>
      <c r="K75" t="s">
        <v>42</v>
      </c>
      <c r="L75" t="s">
        <v>39</v>
      </c>
      <c r="M75" t="s">
        <v>40</v>
      </c>
      <c r="N75">
        <v>1</v>
      </c>
      <c r="O75" t="s">
        <v>45</v>
      </c>
      <c r="P75">
        <v>44659</v>
      </c>
      <c r="R75">
        <v>26.41</v>
      </c>
      <c r="S75" s="6">
        <v>17500.849999999999</v>
      </c>
      <c r="T75" t="s">
        <v>19</v>
      </c>
      <c r="U75">
        <v>400</v>
      </c>
      <c r="V75">
        <v>25</v>
      </c>
      <c r="W75" s="7">
        <v>893</v>
      </c>
      <c r="X75">
        <v>662.66</v>
      </c>
      <c r="Y75">
        <v>12.02</v>
      </c>
      <c r="Z75">
        <v>11578.58</v>
      </c>
      <c r="AE75">
        <v>350.02</v>
      </c>
      <c r="AF75">
        <v>1020.5</v>
      </c>
      <c r="AG75">
        <v>4550.22</v>
      </c>
      <c r="AH75">
        <v>8626.2199999999993</v>
      </c>
      <c r="AK75">
        <v>19.597816349384097</v>
      </c>
    </row>
    <row r="76" spans="1:37" x14ac:dyDescent="0.35">
      <c r="A76">
        <v>4</v>
      </c>
      <c r="B76">
        <v>2022</v>
      </c>
      <c r="C76" t="s">
        <v>33</v>
      </c>
      <c r="D76" t="s">
        <v>34</v>
      </c>
      <c r="E76" t="s">
        <v>133</v>
      </c>
      <c r="F76" s="3" t="s">
        <v>36</v>
      </c>
      <c r="G76" s="2" t="s">
        <v>37</v>
      </c>
      <c r="H76" s="3">
        <v>41470</v>
      </c>
      <c r="I76" s="3">
        <v>2900009</v>
      </c>
      <c r="J76" s="2" t="s">
        <v>134</v>
      </c>
      <c r="K76" t="s">
        <v>133</v>
      </c>
      <c r="L76" t="s">
        <v>39</v>
      </c>
      <c r="M76" t="s">
        <v>40</v>
      </c>
      <c r="N76">
        <v>1</v>
      </c>
      <c r="O76" t="s">
        <v>34</v>
      </c>
      <c r="P76">
        <v>44677</v>
      </c>
      <c r="R76">
        <v>17.36</v>
      </c>
      <c r="S76" s="6">
        <v>7225.93</v>
      </c>
      <c r="T76" t="s">
        <v>19</v>
      </c>
      <c r="U76">
        <v>300</v>
      </c>
      <c r="V76">
        <v>20</v>
      </c>
      <c r="W76" s="7">
        <v>839</v>
      </c>
      <c r="X76">
        <v>416.24</v>
      </c>
      <c r="Y76">
        <v>61.09</v>
      </c>
      <c r="Z76">
        <v>4561.66</v>
      </c>
      <c r="AE76">
        <v>144.52000000000001</v>
      </c>
      <c r="AF76">
        <v>641.01</v>
      </c>
      <c r="AG76">
        <v>1878.74</v>
      </c>
      <c r="AK76">
        <v>8.6125506555423126</v>
      </c>
    </row>
    <row r="77" spans="1:37" x14ac:dyDescent="0.35">
      <c r="A77">
        <v>4</v>
      </c>
      <c r="B77">
        <v>2022</v>
      </c>
      <c r="C77" t="s">
        <v>33</v>
      </c>
      <c r="D77" t="s">
        <v>135</v>
      </c>
      <c r="E77" t="s">
        <v>136</v>
      </c>
      <c r="F77" s="3" t="s">
        <v>36</v>
      </c>
      <c r="G77" s="2" t="e">
        <v>#N/A</v>
      </c>
      <c r="H77" s="3">
        <v>41493</v>
      </c>
      <c r="I77" s="3">
        <v>2920001</v>
      </c>
      <c r="J77" s="2" t="s">
        <v>137</v>
      </c>
      <c r="K77" t="s">
        <v>136</v>
      </c>
      <c r="L77" t="s">
        <v>138</v>
      </c>
      <c r="M77" t="s">
        <v>40</v>
      </c>
      <c r="N77">
        <v>31</v>
      </c>
      <c r="O77" t="s">
        <v>135</v>
      </c>
      <c r="P77">
        <v>44678</v>
      </c>
      <c r="R77">
        <v>23.33</v>
      </c>
      <c r="S77" s="6">
        <v>6490</v>
      </c>
      <c r="T77" t="s">
        <v>19</v>
      </c>
      <c r="U77">
        <v>160</v>
      </c>
      <c r="V77">
        <v>15</v>
      </c>
      <c r="W77" s="7">
        <v>589</v>
      </c>
      <c r="X77">
        <v>278.18</v>
      </c>
      <c r="Y77">
        <v>23.63</v>
      </c>
      <c r="Z77">
        <v>3984.8</v>
      </c>
      <c r="AD77">
        <v>259.60000000000002</v>
      </c>
      <c r="AE77">
        <v>129.80000000000001</v>
      </c>
      <c r="AF77">
        <v>428.4</v>
      </c>
      <c r="AG77">
        <v>1687.4</v>
      </c>
      <c r="AH77">
        <v>2987.79</v>
      </c>
      <c r="AK77">
        <v>11.018675721561969</v>
      </c>
    </row>
    <row r="78" spans="1:37" x14ac:dyDescent="0.35">
      <c r="A78">
        <v>5</v>
      </c>
      <c r="B78">
        <v>2022</v>
      </c>
      <c r="C78" t="s">
        <v>33</v>
      </c>
      <c r="D78" t="s">
        <v>34</v>
      </c>
      <c r="E78" t="s">
        <v>116</v>
      </c>
      <c r="F78" s="3" t="s">
        <v>36</v>
      </c>
      <c r="G78" s="2" t="s">
        <v>50</v>
      </c>
      <c r="H78" s="3">
        <v>41643</v>
      </c>
      <c r="I78" s="3">
        <v>2810005</v>
      </c>
      <c r="J78" s="2" t="s">
        <v>139</v>
      </c>
      <c r="K78" t="s">
        <v>116</v>
      </c>
      <c r="L78" t="s">
        <v>39</v>
      </c>
      <c r="M78" t="s">
        <v>40</v>
      </c>
      <c r="N78">
        <v>1</v>
      </c>
      <c r="O78" t="s">
        <v>34</v>
      </c>
      <c r="P78">
        <v>44687</v>
      </c>
      <c r="R78">
        <v>24.44</v>
      </c>
      <c r="S78" s="6">
        <v>28578.43</v>
      </c>
      <c r="T78" t="s">
        <v>19</v>
      </c>
      <c r="U78">
        <v>240</v>
      </c>
      <c r="V78">
        <v>43</v>
      </c>
      <c r="W78" s="7">
        <v>2018</v>
      </c>
      <c r="X78">
        <v>1169.33</v>
      </c>
      <c r="Y78">
        <v>30.94</v>
      </c>
      <c r="Z78">
        <v>13459.81</v>
      </c>
      <c r="AB78">
        <v>4172.75</v>
      </c>
      <c r="AD78">
        <v>1143.1400000000001</v>
      </c>
      <c r="AE78">
        <v>571.57000000000005</v>
      </c>
      <c r="AF78">
        <v>1800.77</v>
      </c>
      <c r="AG78">
        <v>7430.39</v>
      </c>
      <c r="AH78">
        <v>15797.13</v>
      </c>
      <c r="AK78">
        <v>14.161759167492567</v>
      </c>
    </row>
    <row r="79" spans="1:37" x14ac:dyDescent="0.35">
      <c r="A79">
        <v>5</v>
      </c>
      <c r="B79">
        <v>2022</v>
      </c>
      <c r="C79" t="s">
        <v>33</v>
      </c>
      <c r="D79" t="s">
        <v>34</v>
      </c>
      <c r="E79" t="s">
        <v>116</v>
      </c>
      <c r="F79" s="3" t="s">
        <v>36</v>
      </c>
      <c r="G79" s="2" t="s">
        <v>50</v>
      </c>
      <c r="H79" s="3">
        <v>41829</v>
      </c>
      <c r="I79" s="3">
        <v>2810004</v>
      </c>
      <c r="J79" s="2" t="s">
        <v>127</v>
      </c>
      <c r="K79" t="s">
        <v>116</v>
      </c>
      <c r="L79" t="s">
        <v>39</v>
      </c>
      <c r="M79" t="s">
        <v>40</v>
      </c>
      <c r="N79">
        <v>1</v>
      </c>
      <c r="O79" t="s">
        <v>34</v>
      </c>
      <c r="P79">
        <v>44704</v>
      </c>
      <c r="R79">
        <v>30.03</v>
      </c>
      <c r="S79" s="6">
        <v>24861.84</v>
      </c>
      <c r="T79" t="s">
        <v>19</v>
      </c>
      <c r="U79">
        <v>400</v>
      </c>
      <c r="V79">
        <v>30</v>
      </c>
      <c r="W79" s="7">
        <v>888</v>
      </c>
      <c r="X79">
        <v>827.9</v>
      </c>
      <c r="Y79">
        <v>25.45</v>
      </c>
      <c r="Z79">
        <v>15526.92</v>
      </c>
      <c r="AB79">
        <v>1098.6400000000001</v>
      </c>
      <c r="AE79">
        <v>497.24</v>
      </c>
      <c r="AF79">
        <v>1274.97</v>
      </c>
      <c r="AG79">
        <v>6464.08</v>
      </c>
      <c r="AH79">
        <v>10537.46</v>
      </c>
      <c r="AK79">
        <v>27.997567567567568</v>
      </c>
    </row>
    <row r="80" spans="1:37" x14ac:dyDescent="0.35">
      <c r="A80">
        <v>5</v>
      </c>
      <c r="B80">
        <v>2022</v>
      </c>
      <c r="C80" t="s">
        <v>33</v>
      </c>
      <c r="D80" t="s">
        <v>34</v>
      </c>
      <c r="E80" t="s">
        <v>122</v>
      </c>
      <c r="F80" s="3" t="s">
        <v>36</v>
      </c>
      <c r="G80" s="2" t="s">
        <v>50</v>
      </c>
      <c r="H80" s="3">
        <v>41982</v>
      </c>
      <c r="I80" s="3">
        <v>2860003</v>
      </c>
      <c r="J80" s="2" t="s">
        <v>140</v>
      </c>
      <c r="K80" t="s">
        <v>122</v>
      </c>
      <c r="L80" t="s">
        <v>39</v>
      </c>
      <c r="M80" t="s">
        <v>40</v>
      </c>
      <c r="N80">
        <v>91</v>
      </c>
      <c r="O80" t="s">
        <v>34</v>
      </c>
      <c r="P80">
        <v>44712</v>
      </c>
      <c r="R80">
        <v>37.79</v>
      </c>
      <c r="S80" s="6">
        <v>21131.41</v>
      </c>
      <c r="T80" t="s">
        <v>19</v>
      </c>
      <c r="U80">
        <v>420</v>
      </c>
      <c r="V80">
        <v>20</v>
      </c>
      <c r="W80" s="7">
        <v>616</v>
      </c>
      <c r="X80">
        <v>559.17999999999995</v>
      </c>
      <c r="Y80">
        <v>22.99</v>
      </c>
      <c r="Z80">
        <v>13508.22</v>
      </c>
      <c r="AD80">
        <v>845.26</v>
      </c>
      <c r="AE80">
        <v>422.63</v>
      </c>
      <c r="AF80">
        <v>861.14</v>
      </c>
      <c r="AG80">
        <v>5494.17</v>
      </c>
      <c r="AH80">
        <v>8032.41</v>
      </c>
      <c r="AK80">
        <v>34.304237012987009</v>
      </c>
    </row>
    <row r="81" spans="1:37" x14ac:dyDescent="0.35">
      <c r="A81">
        <v>5</v>
      </c>
      <c r="B81">
        <v>2022</v>
      </c>
      <c r="C81" t="s">
        <v>33</v>
      </c>
      <c r="D81" t="s">
        <v>34</v>
      </c>
      <c r="E81" t="s">
        <v>42</v>
      </c>
      <c r="F81" s="3" t="s">
        <v>36</v>
      </c>
      <c r="G81" s="2" t="s">
        <v>43</v>
      </c>
      <c r="H81" s="3">
        <v>41983</v>
      </c>
      <c r="I81" s="3">
        <v>2540010</v>
      </c>
      <c r="J81" s="2" t="s">
        <v>141</v>
      </c>
      <c r="K81" t="s">
        <v>42</v>
      </c>
      <c r="L81" t="s">
        <v>39</v>
      </c>
      <c r="M81" t="s">
        <v>40</v>
      </c>
      <c r="N81">
        <v>1</v>
      </c>
      <c r="O81" t="s">
        <v>45</v>
      </c>
      <c r="P81">
        <v>44712</v>
      </c>
      <c r="R81">
        <v>31.16</v>
      </c>
      <c r="S81" s="6">
        <v>10936.54</v>
      </c>
      <c r="T81" t="s">
        <v>19</v>
      </c>
      <c r="U81">
        <v>400</v>
      </c>
      <c r="V81">
        <v>11</v>
      </c>
      <c r="W81" s="7">
        <v>378</v>
      </c>
      <c r="X81">
        <v>350.98</v>
      </c>
      <c r="Y81">
        <v>12.02</v>
      </c>
      <c r="Z81">
        <v>7332.26</v>
      </c>
      <c r="AE81">
        <v>218.73</v>
      </c>
      <c r="AF81">
        <v>540.51</v>
      </c>
      <c r="AG81">
        <v>2843.5</v>
      </c>
      <c r="AH81">
        <v>4568.8999999999996</v>
      </c>
      <c r="AK81">
        <v>28.932645502645506</v>
      </c>
    </row>
    <row r="82" spans="1:37" x14ac:dyDescent="0.35">
      <c r="A82">
        <v>5</v>
      </c>
      <c r="B82">
        <v>2022</v>
      </c>
      <c r="C82" t="s">
        <v>33</v>
      </c>
      <c r="D82" t="s">
        <v>34</v>
      </c>
      <c r="E82" t="s">
        <v>42</v>
      </c>
      <c r="F82" s="3" t="s">
        <v>36</v>
      </c>
      <c r="G82" s="2" t="s">
        <v>43</v>
      </c>
      <c r="H82" s="3">
        <v>41983</v>
      </c>
      <c r="I82" s="3">
        <v>2540007</v>
      </c>
      <c r="J82" s="2" t="s">
        <v>129</v>
      </c>
      <c r="K82" t="s">
        <v>42</v>
      </c>
      <c r="L82" t="s">
        <v>39</v>
      </c>
      <c r="M82" t="s">
        <v>40</v>
      </c>
      <c r="N82">
        <v>1</v>
      </c>
      <c r="O82" t="s">
        <v>45</v>
      </c>
      <c r="P82">
        <v>44712</v>
      </c>
      <c r="R82">
        <v>39.700000000000003</v>
      </c>
      <c r="S82" s="6">
        <v>15295.62</v>
      </c>
      <c r="T82" t="s">
        <v>19</v>
      </c>
      <c r="U82">
        <v>300</v>
      </c>
      <c r="V82">
        <v>18</v>
      </c>
      <c r="W82" s="7">
        <v>562</v>
      </c>
      <c r="X82">
        <v>385.28</v>
      </c>
      <c r="Y82">
        <v>28.23</v>
      </c>
      <c r="Z82">
        <v>10419.52</v>
      </c>
      <c r="AE82">
        <v>305.91000000000003</v>
      </c>
      <c r="AF82">
        <v>593.33000000000004</v>
      </c>
      <c r="AG82">
        <v>3976.86</v>
      </c>
      <c r="AH82">
        <v>4856.75</v>
      </c>
      <c r="AK82">
        <v>27.216405693950179</v>
      </c>
    </row>
    <row r="83" spans="1:37" x14ac:dyDescent="0.35">
      <c r="A83">
        <v>5</v>
      </c>
      <c r="B83">
        <v>2022</v>
      </c>
      <c r="C83" t="s">
        <v>33</v>
      </c>
      <c r="D83" t="s">
        <v>34</v>
      </c>
      <c r="E83" t="s">
        <v>42</v>
      </c>
      <c r="F83" s="3" t="s">
        <v>36</v>
      </c>
      <c r="G83" s="2" t="s">
        <v>43</v>
      </c>
      <c r="H83" s="3">
        <v>41983</v>
      </c>
      <c r="I83" s="3">
        <v>2540006</v>
      </c>
      <c r="J83" s="2" t="s">
        <v>128</v>
      </c>
      <c r="K83" t="s">
        <v>42</v>
      </c>
      <c r="L83" t="s">
        <v>39</v>
      </c>
      <c r="M83" t="s">
        <v>40</v>
      </c>
      <c r="N83">
        <v>1</v>
      </c>
      <c r="O83" t="s">
        <v>45</v>
      </c>
      <c r="P83">
        <v>44712</v>
      </c>
      <c r="R83">
        <v>34.08</v>
      </c>
      <c r="S83" s="6">
        <v>13471.14</v>
      </c>
      <c r="T83" t="s">
        <v>19</v>
      </c>
      <c r="U83">
        <v>360</v>
      </c>
      <c r="V83">
        <v>16</v>
      </c>
      <c r="W83" s="7">
        <v>488</v>
      </c>
      <c r="X83">
        <v>395.28</v>
      </c>
      <c r="Y83">
        <v>24.66</v>
      </c>
      <c r="Z83">
        <v>9090.49</v>
      </c>
      <c r="AE83">
        <v>269.42</v>
      </c>
      <c r="AF83">
        <v>608.73</v>
      </c>
      <c r="AG83">
        <v>3502.5</v>
      </c>
      <c r="AH83">
        <v>4855.18</v>
      </c>
      <c r="AK83">
        <v>27.604795081967211</v>
      </c>
    </row>
    <row r="84" spans="1:37" x14ac:dyDescent="0.35">
      <c r="A84">
        <v>5</v>
      </c>
      <c r="B84">
        <v>2022</v>
      </c>
      <c r="C84" t="s">
        <v>33</v>
      </c>
      <c r="D84" t="s">
        <v>34</v>
      </c>
      <c r="E84" t="s">
        <v>42</v>
      </c>
      <c r="F84" s="3" t="s">
        <v>36</v>
      </c>
      <c r="G84" s="2" t="s">
        <v>43</v>
      </c>
      <c r="H84" s="3">
        <v>41983</v>
      </c>
      <c r="I84" s="3">
        <v>2540012</v>
      </c>
      <c r="J84" s="2" t="s">
        <v>142</v>
      </c>
      <c r="K84" t="s">
        <v>42</v>
      </c>
      <c r="L84" t="s">
        <v>39</v>
      </c>
      <c r="M84" t="s">
        <v>40</v>
      </c>
      <c r="N84">
        <v>1</v>
      </c>
      <c r="O84" t="s">
        <v>45</v>
      </c>
      <c r="P84">
        <v>44712</v>
      </c>
      <c r="R84">
        <v>27.16</v>
      </c>
      <c r="S84" s="6">
        <v>42211.53</v>
      </c>
      <c r="T84" t="s">
        <v>19</v>
      </c>
      <c r="U84">
        <v>240</v>
      </c>
      <c r="V84">
        <v>62</v>
      </c>
      <c r="W84" s="7">
        <v>2688</v>
      </c>
      <c r="X84">
        <v>1554.18</v>
      </c>
      <c r="Y84">
        <v>23.26</v>
      </c>
      <c r="Z84">
        <v>27998.86</v>
      </c>
      <c r="AE84">
        <v>844.23</v>
      </c>
      <c r="AF84">
        <v>2393.44</v>
      </c>
      <c r="AG84">
        <v>10975</v>
      </c>
      <c r="AH84">
        <v>18304.07</v>
      </c>
      <c r="AK84">
        <v>15.703694196428572</v>
      </c>
    </row>
    <row r="85" spans="1:37" x14ac:dyDescent="0.35">
      <c r="A85">
        <v>6</v>
      </c>
      <c r="B85">
        <v>2022</v>
      </c>
      <c r="C85" t="s">
        <v>33</v>
      </c>
      <c r="D85" t="s">
        <v>34</v>
      </c>
      <c r="E85" t="s">
        <v>90</v>
      </c>
      <c r="F85" s="3" t="s">
        <v>36</v>
      </c>
      <c r="G85" s="2" t="s">
        <v>82</v>
      </c>
      <c r="H85" s="3">
        <v>41993</v>
      </c>
      <c r="I85" s="3">
        <v>2780001</v>
      </c>
      <c r="J85" s="2" t="s">
        <v>143</v>
      </c>
      <c r="K85" t="s">
        <v>90</v>
      </c>
      <c r="L85" t="s">
        <v>39</v>
      </c>
      <c r="M85" t="s">
        <v>40</v>
      </c>
      <c r="N85">
        <v>1</v>
      </c>
      <c r="O85" t="s">
        <v>34</v>
      </c>
      <c r="P85">
        <v>44714</v>
      </c>
      <c r="R85">
        <v>26.81</v>
      </c>
      <c r="S85" s="6">
        <v>23739.18</v>
      </c>
      <c r="T85" t="s">
        <v>19</v>
      </c>
      <c r="V85">
        <v>41</v>
      </c>
      <c r="W85" s="7">
        <v>2190</v>
      </c>
      <c r="X85">
        <v>885.46</v>
      </c>
      <c r="Y85">
        <v>19.579999999999998</v>
      </c>
      <c r="Z85">
        <v>16678.169999999998</v>
      </c>
      <c r="AE85">
        <v>474.78</v>
      </c>
      <c r="AF85">
        <v>1363.61</v>
      </c>
      <c r="AG85">
        <v>5222.62</v>
      </c>
      <c r="AH85">
        <v>15477.77</v>
      </c>
      <c r="AK85">
        <v>10.839808219178082</v>
      </c>
    </row>
    <row r="86" spans="1:37" x14ac:dyDescent="0.35">
      <c r="A86">
        <v>6</v>
      </c>
      <c r="B86">
        <v>2022</v>
      </c>
      <c r="C86" t="s">
        <v>33</v>
      </c>
      <c r="D86" t="s">
        <v>34</v>
      </c>
      <c r="E86" t="s">
        <v>90</v>
      </c>
      <c r="F86" s="3" t="s">
        <v>36</v>
      </c>
      <c r="G86" s="2" t="s">
        <v>82</v>
      </c>
      <c r="H86" s="3">
        <v>41993</v>
      </c>
      <c r="I86" s="3">
        <v>2780002</v>
      </c>
      <c r="J86" s="2" t="s">
        <v>143</v>
      </c>
      <c r="K86" t="s">
        <v>90</v>
      </c>
      <c r="L86" t="s">
        <v>39</v>
      </c>
      <c r="M86" t="s">
        <v>40</v>
      </c>
      <c r="N86">
        <v>1</v>
      </c>
      <c r="O86" t="s">
        <v>34</v>
      </c>
      <c r="P86">
        <v>44714</v>
      </c>
      <c r="R86">
        <v>26.23</v>
      </c>
      <c r="S86" s="6">
        <v>24773.19</v>
      </c>
      <c r="T86" t="s">
        <v>19</v>
      </c>
      <c r="V86">
        <v>41</v>
      </c>
      <c r="W86" s="7">
        <v>2285</v>
      </c>
      <c r="X86">
        <v>944.46</v>
      </c>
      <c r="Y86">
        <v>19.52</v>
      </c>
      <c r="Z86">
        <v>17373.16</v>
      </c>
      <c r="AE86">
        <v>495.46</v>
      </c>
      <c r="AF86">
        <v>1454.47</v>
      </c>
      <c r="AG86">
        <v>5450.1</v>
      </c>
      <c r="AH86">
        <v>16529.59</v>
      </c>
      <c r="AK86">
        <v>10.841658643326038</v>
      </c>
    </row>
    <row r="87" spans="1:37" x14ac:dyDescent="0.35">
      <c r="A87">
        <v>6</v>
      </c>
      <c r="B87">
        <v>2022</v>
      </c>
      <c r="C87" t="s">
        <v>33</v>
      </c>
      <c r="D87" t="s">
        <v>34</v>
      </c>
      <c r="E87" t="s">
        <v>42</v>
      </c>
      <c r="F87" s="3" t="s">
        <v>36</v>
      </c>
      <c r="G87" s="2" t="s">
        <v>43</v>
      </c>
      <c r="H87" s="3">
        <v>42047</v>
      </c>
      <c r="I87" s="3">
        <v>2540006</v>
      </c>
      <c r="J87" s="2" t="s">
        <v>128</v>
      </c>
      <c r="K87" t="s">
        <v>42</v>
      </c>
      <c r="L87" t="s">
        <v>39</v>
      </c>
      <c r="M87" t="s">
        <v>40</v>
      </c>
      <c r="N87">
        <v>1</v>
      </c>
      <c r="O87" t="s">
        <v>45</v>
      </c>
      <c r="P87">
        <v>44719</v>
      </c>
      <c r="R87">
        <v>34.14</v>
      </c>
      <c r="S87" s="6">
        <v>331.16</v>
      </c>
      <c r="T87" t="s">
        <v>19</v>
      </c>
      <c r="U87">
        <v>360</v>
      </c>
      <c r="V87">
        <v>1</v>
      </c>
      <c r="W87" s="7">
        <v>12</v>
      </c>
      <c r="X87">
        <v>9.6999999999999993</v>
      </c>
      <c r="Y87">
        <v>23.76</v>
      </c>
      <c r="Z87">
        <v>236.74</v>
      </c>
      <c r="AE87">
        <v>6.62</v>
      </c>
      <c r="AF87">
        <v>14.94</v>
      </c>
      <c r="AG87">
        <v>72.86</v>
      </c>
      <c r="AH87">
        <v>169.36</v>
      </c>
      <c r="AK87">
        <v>27.596666666666668</v>
      </c>
    </row>
    <row r="88" spans="1:37" x14ac:dyDescent="0.35">
      <c r="A88">
        <v>6</v>
      </c>
      <c r="B88">
        <v>2022</v>
      </c>
      <c r="C88" t="s">
        <v>33</v>
      </c>
      <c r="D88" t="s">
        <v>34</v>
      </c>
      <c r="E88" t="s">
        <v>42</v>
      </c>
      <c r="F88" s="3" t="s">
        <v>36</v>
      </c>
      <c r="G88" s="2" t="s">
        <v>43</v>
      </c>
      <c r="H88" s="3">
        <v>42047</v>
      </c>
      <c r="I88" s="3">
        <v>2540012</v>
      </c>
      <c r="J88" s="2" t="s">
        <v>142</v>
      </c>
      <c r="K88" t="s">
        <v>42</v>
      </c>
      <c r="L88" t="s">
        <v>39</v>
      </c>
      <c r="M88" t="s">
        <v>40</v>
      </c>
      <c r="N88">
        <v>1</v>
      </c>
      <c r="O88" t="s">
        <v>45</v>
      </c>
      <c r="P88">
        <v>44719</v>
      </c>
      <c r="R88">
        <v>27.36</v>
      </c>
      <c r="S88" s="6">
        <v>6908.95</v>
      </c>
      <c r="T88" t="s">
        <v>19</v>
      </c>
      <c r="U88">
        <v>240</v>
      </c>
      <c r="V88">
        <v>9</v>
      </c>
      <c r="W88" s="7">
        <v>440</v>
      </c>
      <c r="X88">
        <v>252.52</v>
      </c>
      <c r="Y88">
        <v>19.579999999999998</v>
      </c>
      <c r="Z88">
        <v>4861.92</v>
      </c>
      <c r="AE88">
        <v>138.18</v>
      </c>
      <c r="AF88">
        <v>388.88</v>
      </c>
      <c r="AG88">
        <v>1519.97</v>
      </c>
      <c r="AH88">
        <v>3857.52</v>
      </c>
      <c r="AK88">
        <v>15.70215909090909</v>
      </c>
    </row>
    <row r="89" spans="1:37" x14ac:dyDescent="0.35">
      <c r="A89">
        <v>6</v>
      </c>
      <c r="B89">
        <v>2022</v>
      </c>
      <c r="C89" t="s">
        <v>33</v>
      </c>
      <c r="D89" t="s">
        <v>34</v>
      </c>
      <c r="E89" t="s">
        <v>42</v>
      </c>
      <c r="F89" s="3" t="s">
        <v>36</v>
      </c>
      <c r="G89" s="2" t="s">
        <v>43</v>
      </c>
      <c r="H89" s="3">
        <v>42047</v>
      </c>
      <c r="I89" s="3">
        <v>2540010</v>
      </c>
      <c r="J89" s="2" t="s">
        <v>141</v>
      </c>
      <c r="K89" t="s">
        <v>42</v>
      </c>
      <c r="L89" t="s">
        <v>39</v>
      </c>
      <c r="M89" t="s">
        <v>40</v>
      </c>
      <c r="N89">
        <v>1</v>
      </c>
      <c r="O89" t="s">
        <v>45</v>
      </c>
      <c r="P89">
        <v>44719</v>
      </c>
      <c r="R89">
        <v>31.65</v>
      </c>
      <c r="S89" s="6">
        <v>4455.05</v>
      </c>
      <c r="T89" t="s">
        <v>19</v>
      </c>
      <c r="U89">
        <v>400</v>
      </c>
      <c r="V89">
        <v>4</v>
      </c>
      <c r="W89" s="7">
        <v>154</v>
      </c>
      <c r="X89">
        <v>140.76</v>
      </c>
      <c r="Y89">
        <v>-0.77</v>
      </c>
      <c r="Z89">
        <v>3169.07</v>
      </c>
      <c r="AE89">
        <v>89.1</v>
      </c>
      <c r="AF89">
        <v>216.77</v>
      </c>
      <c r="AG89">
        <v>980.11</v>
      </c>
      <c r="AH89">
        <v>2353.94</v>
      </c>
      <c r="AK89">
        <v>28.928896103896104</v>
      </c>
    </row>
    <row r="90" spans="1:37" x14ac:dyDescent="0.35">
      <c r="A90">
        <v>6</v>
      </c>
      <c r="B90">
        <v>2022</v>
      </c>
      <c r="C90" t="s">
        <v>33</v>
      </c>
      <c r="D90" t="s">
        <v>34</v>
      </c>
      <c r="E90" t="s">
        <v>42</v>
      </c>
      <c r="F90" s="3" t="s">
        <v>36</v>
      </c>
      <c r="G90" s="2" t="s">
        <v>43</v>
      </c>
      <c r="H90" s="3">
        <v>42047</v>
      </c>
      <c r="I90" s="3">
        <v>2540007</v>
      </c>
      <c r="J90" s="2" t="s">
        <v>129</v>
      </c>
      <c r="K90" t="s">
        <v>42</v>
      </c>
      <c r="L90" t="s">
        <v>39</v>
      </c>
      <c r="M90" t="s">
        <v>40</v>
      </c>
      <c r="N90">
        <v>1</v>
      </c>
      <c r="O90" t="s">
        <v>45</v>
      </c>
      <c r="P90">
        <v>44719</v>
      </c>
      <c r="R90">
        <v>37.86</v>
      </c>
      <c r="S90" s="6">
        <v>3402.1</v>
      </c>
      <c r="T90" t="s">
        <v>19</v>
      </c>
      <c r="U90">
        <v>300</v>
      </c>
      <c r="V90">
        <v>3</v>
      </c>
      <c r="W90" s="7">
        <v>125</v>
      </c>
      <c r="X90">
        <v>89.86</v>
      </c>
      <c r="Y90">
        <v>28.8</v>
      </c>
      <c r="Z90">
        <v>2447.21</v>
      </c>
      <c r="AE90">
        <v>68.040000000000006</v>
      </c>
      <c r="AF90">
        <v>138.38</v>
      </c>
      <c r="AG90">
        <v>748.46</v>
      </c>
      <c r="AH90">
        <v>1510.33</v>
      </c>
      <c r="AK90">
        <v>27.216799999999999</v>
      </c>
    </row>
    <row r="91" spans="1:37" x14ac:dyDescent="0.35">
      <c r="A91">
        <v>6</v>
      </c>
      <c r="B91">
        <v>2022</v>
      </c>
      <c r="C91" t="s">
        <v>33</v>
      </c>
      <c r="D91" t="s">
        <v>34</v>
      </c>
      <c r="E91" t="s">
        <v>122</v>
      </c>
      <c r="F91" s="3" t="s">
        <v>36</v>
      </c>
      <c r="G91" s="2" t="s">
        <v>50</v>
      </c>
      <c r="H91" s="3">
        <v>42145</v>
      </c>
      <c r="I91" s="3">
        <v>2860005</v>
      </c>
      <c r="J91" s="2" t="s">
        <v>144</v>
      </c>
      <c r="K91" t="s">
        <v>122</v>
      </c>
      <c r="L91" t="s">
        <v>39</v>
      </c>
      <c r="M91" t="s">
        <v>40</v>
      </c>
      <c r="N91">
        <v>91</v>
      </c>
      <c r="O91" t="s">
        <v>34</v>
      </c>
      <c r="P91">
        <v>44725</v>
      </c>
      <c r="R91">
        <v>37.97</v>
      </c>
      <c r="S91" s="6">
        <v>18750.349999999999</v>
      </c>
      <c r="T91" t="s">
        <v>19</v>
      </c>
      <c r="U91">
        <v>360</v>
      </c>
      <c r="V91">
        <v>20</v>
      </c>
      <c r="W91" s="7">
        <v>625</v>
      </c>
      <c r="X91">
        <v>493.82</v>
      </c>
      <c r="Y91">
        <v>22.66</v>
      </c>
      <c r="Z91">
        <v>10403.73</v>
      </c>
      <c r="AB91">
        <v>2336.04</v>
      </c>
      <c r="AD91">
        <v>750.01</v>
      </c>
      <c r="AE91">
        <v>375.01</v>
      </c>
      <c r="AF91">
        <v>760.48</v>
      </c>
      <c r="AG91">
        <v>4125.08</v>
      </c>
      <c r="AH91">
        <v>8867.34</v>
      </c>
      <c r="AK91">
        <v>30.000559999999997</v>
      </c>
    </row>
    <row r="92" spans="1:37" x14ac:dyDescent="0.35">
      <c r="A92">
        <v>6</v>
      </c>
      <c r="B92">
        <v>2022</v>
      </c>
      <c r="C92" t="s">
        <v>33</v>
      </c>
      <c r="D92" t="s">
        <v>34</v>
      </c>
      <c r="E92" t="s">
        <v>122</v>
      </c>
      <c r="F92" s="3" t="s">
        <v>36</v>
      </c>
      <c r="G92" s="2" t="s">
        <v>50</v>
      </c>
      <c r="H92" s="3">
        <v>42145</v>
      </c>
      <c r="I92" s="3">
        <v>2860004</v>
      </c>
      <c r="J92" s="2" t="s">
        <v>145</v>
      </c>
      <c r="K92" t="s">
        <v>122</v>
      </c>
      <c r="L92" t="s">
        <v>39</v>
      </c>
      <c r="M92" t="s">
        <v>40</v>
      </c>
      <c r="N92">
        <v>91</v>
      </c>
      <c r="O92" t="s">
        <v>34</v>
      </c>
      <c r="P92">
        <v>44725</v>
      </c>
      <c r="R92">
        <v>37.659999999999997</v>
      </c>
      <c r="S92" s="6">
        <v>21344.560000000001</v>
      </c>
      <c r="T92" t="s">
        <v>19</v>
      </c>
      <c r="U92">
        <v>450</v>
      </c>
      <c r="V92">
        <v>20</v>
      </c>
      <c r="W92" s="7">
        <v>553</v>
      </c>
      <c r="X92">
        <v>566.77</v>
      </c>
      <c r="Y92">
        <v>26.42</v>
      </c>
      <c r="Z92">
        <v>12689.8</v>
      </c>
      <c r="AB92">
        <v>2659.24</v>
      </c>
      <c r="AE92">
        <v>426.89</v>
      </c>
      <c r="AF92">
        <v>872.83</v>
      </c>
      <c r="AG92">
        <v>4695.8</v>
      </c>
      <c r="AH92">
        <v>10206.75</v>
      </c>
      <c r="AK92">
        <v>38.597757685352626</v>
      </c>
    </row>
    <row r="93" spans="1:37" x14ac:dyDescent="0.35">
      <c r="A93">
        <v>6</v>
      </c>
      <c r="B93">
        <v>2022</v>
      </c>
      <c r="C93" t="s">
        <v>33</v>
      </c>
      <c r="D93" t="s">
        <v>34</v>
      </c>
      <c r="E93" t="s">
        <v>122</v>
      </c>
      <c r="F93" s="3" t="s">
        <v>36</v>
      </c>
      <c r="G93" s="2" t="s">
        <v>50</v>
      </c>
      <c r="H93" s="3">
        <v>42145</v>
      </c>
      <c r="I93" s="3">
        <v>2860003</v>
      </c>
      <c r="J93" s="2" t="s">
        <v>146</v>
      </c>
      <c r="K93" t="s">
        <v>122</v>
      </c>
      <c r="L93" t="s">
        <v>39</v>
      </c>
      <c r="M93" t="s">
        <v>40</v>
      </c>
      <c r="N93">
        <v>91</v>
      </c>
      <c r="O93" t="s">
        <v>34</v>
      </c>
      <c r="P93">
        <v>44725</v>
      </c>
      <c r="R93">
        <v>37.79</v>
      </c>
      <c r="S93" s="6">
        <v>21131.41</v>
      </c>
      <c r="T93" t="s">
        <v>19</v>
      </c>
      <c r="U93">
        <v>420</v>
      </c>
      <c r="V93">
        <v>20</v>
      </c>
      <c r="W93" s="7">
        <v>616</v>
      </c>
      <c r="X93">
        <v>559.17999999999995</v>
      </c>
      <c r="Y93">
        <v>23.58</v>
      </c>
      <c r="Z93">
        <v>12566.04</v>
      </c>
      <c r="AB93">
        <v>2632.69</v>
      </c>
      <c r="AE93">
        <v>422.63</v>
      </c>
      <c r="AF93">
        <v>861.14</v>
      </c>
      <c r="AG93">
        <v>4648.91</v>
      </c>
      <c r="AH93">
        <v>10271.200000000001</v>
      </c>
      <c r="AK93">
        <v>34.304237012987009</v>
      </c>
    </row>
    <row r="94" spans="1:37" x14ac:dyDescent="0.35">
      <c r="A94">
        <v>6</v>
      </c>
      <c r="B94">
        <v>2022</v>
      </c>
      <c r="C94" t="s">
        <v>33</v>
      </c>
      <c r="D94" t="s">
        <v>34</v>
      </c>
      <c r="E94" t="s">
        <v>116</v>
      </c>
      <c r="F94" s="3" t="s">
        <v>36</v>
      </c>
      <c r="G94" s="2" t="s">
        <v>50</v>
      </c>
      <c r="H94" s="3">
        <v>42156</v>
      </c>
      <c r="I94" s="3">
        <v>2810006</v>
      </c>
      <c r="J94" s="2" t="s">
        <v>147</v>
      </c>
      <c r="K94" t="s">
        <v>116</v>
      </c>
      <c r="L94" t="s">
        <v>39</v>
      </c>
      <c r="M94" t="s">
        <v>40</v>
      </c>
      <c r="N94">
        <v>91</v>
      </c>
      <c r="O94" t="s">
        <v>34</v>
      </c>
      <c r="P94">
        <v>44726</v>
      </c>
      <c r="R94">
        <v>31.29</v>
      </c>
      <c r="S94" s="6">
        <v>8746.18</v>
      </c>
      <c r="T94" t="s">
        <v>19</v>
      </c>
      <c r="U94">
        <v>160</v>
      </c>
      <c r="V94">
        <v>13</v>
      </c>
      <c r="W94" s="7">
        <v>599</v>
      </c>
      <c r="X94">
        <v>279.52</v>
      </c>
      <c r="Y94">
        <v>32.26</v>
      </c>
      <c r="Z94">
        <v>6216.64</v>
      </c>
      <c r="AE94">
        <v>174.92</v>
      </c>
      <c r="AF94">
        <v>430.46</v>
      </c>
      <c r="AG94">
        <v>1924.16</v>
      </c>
      <c r="AH94">
        <v>4595.22</v>
      </c>
      <c r="AK94">
        <v>14.601302170283807</v>
      </c>
    </row>
    <row r="95" spans="1:37" x14ac:dyDescent="0.35">
      <c r="A95">
        <v>6</v>
      </c>
      <c r="B95">
        <v>2022</v>
      </c>
      <c r="C95" t="s">
        <v>33</v>
      </c>
      <c r="D95" t="s">
        <v>34</v>
      </c>
      <c r="E95" t="s">
        <v>81</v>
      </c>
      <c r="F95" s="3" t="s">
        <v>36</v>
      </c>
      <c r="G95" s="2" t="s">
        <v>82</v>
      </c>
      <c r="H95" s="3">
        <v>42293</v>
      </c>
      <c r="I95" s="3" t="s">
        <v>148</v>
      </c>
      <c r="J95" s="2" t="s">
        <v>149</v>
      </c>
      <c r="K95" t="s">
        <v>81</v>
      </c>
      <c r="L95" t="s">
        <v>39</v>
      </c>
      <c r="M95" t="s">
        <v>150</v>
      </c>
      <c r="N95">
        <v>1</v>
      </c>
      <c r="O95" t="s">
        <v>34</v>
      </c>
      <c r="P95">
        <v>44736</v>
      </c>
      <c r="R95">
        <v>17.43</v>
      </c>
      <c r="S95" s="6">
        <v>19870.2</v>
      </c>
      <c r="T95" t="s">
        <v>19</v>
      </c>
      <c r="U95">
        <v>261</v>
      </c>
      <c r="V95">
        <v>38</v>
      </c>
      <c r="W95" s="7">
        <v>1900</v>
      </c>
      <c r="X95">
        <v>1140</v>
      </c>
      <c r="Y95">
        <v>66.97</v>
      </c>
      <c r="Z95">
        <v>13345.75</v>
      </c>
      <c r="AE95">
        <v>397.4</v>
      </c>
      <c r="AF95">
        <v>1755.6</v>
      </c>
      <c r="AG95">
        <v>4371.4399999999996</v>
      </c>
      <c r="AK95">
        <v>10.458</v>
      </c>
    </row>
    <row r="96" spans="1:37" x14ac:dyDescent="0.35">
      <c r="A96">
        <v>6</v>
      </c>
      <c r="B96">
        <v>2022</v>
      </c>
      <c r="C96" t="s">
        <v>33</v>
      </c>
      <c r="D96" t="s">
        <v>34</v>
      </c>
      <c r="E96" t="s">
        <v>151</v>
      </c>
      <c r="F96" s="3" t="s">
        <v>36</v>
      </c>
      <c r="G96" s="2" t="s">
        <v>37</v>
      </c>
      <c r="H96" s="3">
        <v>42395</v>
      </c>
      <c r="I96" s="3">
        <v>2940001</v>
      </c>
      <c r="J96" s="2" t="s">
        <v>152</v>
      </c>
      <c r="K96" t="s">
        <v>151</v>
      </c>
      <c r="L96" t="s">
        <v>39</v>
      </c>
      <c r="M96" t="s">
        <v>40</v>
      </c>
      <c r="N96">
        <v>88</v>
      </c>
      <c r="O96" t="s">
        <v>153</v>
      </c>
      <c r="P96">
        <v>44742</v>
      </c>
      <c r="R96">
        <v>26.64</v>
      </c>
      <c r="S96" s="6">
        <v>11770.88</v>
      </c>
      <c r="T96" t="s">
        <v>19</v>
      </c>
      <c r="U96">
        <v>200</v>
      </c>
      <c r="V96">
        <v>20</v>
      </c>
      <c r="W96" s="7">
        <v>976</v>
      </c>
      <c r="X96">
        <v>441.85</v>
      </c>
      <c r="Y96">
        <v>7.64</v>
      </c>
      <c r="Z96">
        <v>7794.58</v>
      </c>
      <c r="AD96">
        <v>470.84</v>
      </c>
      <c r="AE96">
        <v>235.42</v>
      </c>
      <c r="AF96">
        <v>680.45</v>
      </c>
      <c r="AG96">
        <v>2589.59</v>
      </c>
      <c r="AH96">
        <v>6381.86</v>
      </c>
      <c r="AK96">
        <v>12.060327868852458</v>
      </c>
    </row>
    <row r="97" spans="1:37" x14ac:dyDescent="0.35">
      <c r="A97">
        <v>6</v>
      </c>
      <c r="B97">
        <v>2022</v>
      </c>
      <c r="C97" t="s">
        <v>33</v>
      </c>
      <c r="D97" t="s">
        <v>34</v>
      </c>
      <c r="E97" t="s">
        <v>151</v>
      </c>
      <c r="F97" s="3" t="s">
        <v>36</v>
      </c>
      <c r="G97" s="2" t="s">
        <v>37</v>
      </c>
      <c r="H97" s="3">
        <v>42395</v>
      </c>
      <c r="I97" s="3">
        <v>2940002</v>
      </c>
      <c r="J97" s="2" t="s">
        <v>154</v>
      </c>
      <c r="K97" t="s">
        <v>151</v>
      </c>
      <c r="L97" t="s">
        <v>39</v>
      </c>
      <c r="M97" t="s">
        <v>40</v>
      </c>
      <c r="N97">
        <v>88</v>
      </c>
      <c r="O97" t="s">
        <v>153</v>
      </c>
      <c r="P97">
        <v>44742</v>
      </c>
      <c r="R97">
        <v>23.61</v>
      </c>
      <c r="S97" s="6">
        <v>9548.83</v>
      </c>
      <c r="T97" t="s">
        <v>19</v>
      </c>
      <c r="U97">
        <v>200</v>
      </c>
      <c r="V97">
        <v>18</v>
      </c>
      <c r="W97" s="7">
        <v>854</v>
      </c>
      <c r="X97">
        <v>404.44</v>
      </c>
      <c r="Y97">
        <v>2.87</v>
      </c>
      <c r="Z97">
        <v>6252.32</v>
      </c>
      <c r="AD97">
        <v>381.95</v>
      </c>
      <c r="AE97">
        <v>190.98</v>
      </c>
      <c r="AF97">
        <v>622.84</v>
      </c>
      <c r="AG97">
        <v>2100.7399999999998</v>
      </c>
      <c r="AH97">
        <v>5839.5</v>
      </c>
      <c r="AK97">
        <v>11.181299765807962</v>
      </c>
    </row>
    <row r="98" spans="1:37" x14ac:dyDescent="0.35">
      <c r="A98">
        <v>6</v>
      </c>
      <c r="B98">
        <v>2022</v>
      </c>
      <c r="C98" t="s">
        <v>33</v>
      </c>
      <c r="D98" t="s">
        <v>34</v>
      </c>
      <c r="E98" t="s">
        <v>151</v>
      </c>
      <c r="F98" s="3" t="s">
        <v>36</v>
      </c>
      <c r="G98" s="2" t="s">
        <v>37</v>
      </c>
      <c r="H98" s="3">
        <v>42395</v>
      </c>
      <c r="I98" s="3">
        <v>2940003</v>
      </c>
      <c r="J98" s="2" t="s">
        <v>155</v>
      </c>
      <c r="K98" t="s">
        <v>151</v>
      </c>
      <c r="L98" t="s">
        <v>39</v>
      </c>
      <c r="M98" t="s">
        <v>40</v>
      </c>
      <c r="N98">
        <v>88</v>
      </c>
      <c r="O98" t="s">
        <v>153</v>
      </c>
      <c r="P98">
        <v>44742</v>
      </c>
      <c r="R98">
        <v>27.29</v>
      </c>
      <c r="S98" s="6">
        <v>11120.13</v>
      </c>
      <c r="T98" t="s">
        <v>19</v>
      </c>
      <c r="U98">
        <v>200</v>
      </c>
      <c r="V98">
        <v>18</v>
      </c>
      <c r="W98" s="7">
        <v>922</v>
      </c>
      <c r="X98">
        <v>407.48</v>
      </c>
      <c r="Y98">
        <v>-0.22</v>
      </c>
      <c r="Z98">
        <v>7378.97</v>
      </c>
      <c r="AD98">
        <v>444.81</v>
      </c>
      <c r="AE98">
        <v>222.4</v>
      </c>
      <c r="AF98">
        <v>627.52</v>
      </c>
      <c r="AG98">
        <v>2446.4299999999998</v>
      </c>
      <c r="AH98">
        <v>6541.92</v>
      </c>
      <c r="AK98">
        <v>12.060878524945769</v>
      </c>
    </row>
    <row r="99" spans="1:37" x14ac:dyDescent="0.35">
      <c r="A99">
        <v>6</v>
      </c>
      <c r="B99">
        <v>2022</v>
      </c>
      <c r="C99" t="s">
        <v>33</v>
      </c>
      <c r="D99" t="s">
        <v>34</v>
      </c>
      <c r="E99" t="s">
        <v>151</v>
      </c>
      <c r="F99" s="3" t="s">
        <v>36</v>
      </c>
      <c r="G99" s="2" t="s">
        <v>37</v>
      </c>
      <c r="H99" s="3">
        <v>42395</v>
      </c>
      <c r="I99" s="3">
        <v>2940004</v>
      </c>
      <c r="J99" s="2" t="s">
        <v>156</v>
      </c>
      <c r="K99" t="s">
        <v>151</v>
      </c>
      <c r="L99" t="s">
        <v>39</v>
      </c>
      <c r="M99" t="s">
        <v>40</v>
      </c>
      <c r="N99">
        <v>88</v>
      </c>
      <c r="O99" t="s">
        <v>153</v>
      </c>
      <c r="P99">
        <v>44742</v>
      </c>
      <c r="R99">
        <v>24.67</v>
      </c>
      <c r="S99" s="6">
        <v>8766.24</v>
      </c>
      <c r="T99" t="s">
        <v>19</v>
      </c>
      <c r="U99">
        <v>200</v>
      </c>
      <c r="V99">
        <v>19</v>
      </c>
      <c r="W99" s="7">
        <v>784</v>
      </c>
      <c r="X99">
        <v>355.34</v>
      </c>
      <c r="Y99">
        <v>1.49</v>
      </c>
      <c r="Z99">
        <v>5764.47</v>
      </c>
      <c r="AD99">
        <v>350.65</v>
      </c>
      <c r="AE99">
        <v>175.32</v>
      </c>
      <c r="AF99">
        <v>547.22</v>
      </c>
      <c r="AG99">
        <v>1928.57</v>
      </c>
      <c r="AH99">
        <v>5118.7299999999996</v>
      </c>
      <c r="AK99">
        <v>11.181428571428571</v>
      </c>
    </row>
    <row r="100" spans="1:37" x14ac:dyDescent="0.35">
      <c r="A100">
        <v>6</v>
      </c>
      <c r="B100">
        <v>2022</v>
      </c>
      <c r="C100" t="s">
        <v>33</v>
      </c>
      <c r="D100" t="s">
        <v>34</v>
      </c>
      <c r="E100" t="s">
        <v>151</v>
      </c>
      <c r="F100" s="3" t="s">
        <v>36</v>
      </c>
      <c r="G100" s="2" t="s">
        <v>37</v>
      </c>
      <c r="H100" s="3">
        <v>42395</v>
      </c>
      <c r="I100" s="3">
        <v>2940005</v>
      </c>
      <c r="J100" s="2" t="s">
        <v>157</v>
      </c>
      <c r="K100" t="s">
        <v>151</v>
      </c>
      <c r="L100" t="s">
        <v>39</v>
      </c>
      <c r="M100" t="s">
        <v>40</v>
      </c>
      <c r="N100">
        <v>88</v>
      </c>
      <c r="O100" t="s">
        <v>153</v>
      </c>
      <c r="P100">
        <v>44742</v>
      </c>
      <c r="R100">
        <v>24.84</v>
      </c>
      <c r="S100" s="6">
        <v>10258.92</v>
      </c>
      <c r="T100" t="s">
        <v>19</v>
      </c>
      <c r="U100">
        <v>200</v>
      </c>
      <c r="V100">
        <v>20</v>
      </c>
      <c r="W100" s="7">
        <v>948</v>
      </c>
      <c r="X100">
        <v>413</v>
      </c>
      <c r="Y100">
        <v>-1.1000000000000001</v>
      </c>
      <c r="Z100">
        <v>6750.4</v>
      </c>
      <c r="AD100">
        <v>410.36</v>
      </c>
      <c r="AE100">
        <v>205.18</v>
      </c>
      <c r="AF100">
        <v>636.02</v>
      </c>
      <c r="AG100">
        <v>2256.96</v>
      </c>
      <c r="AH100">
        <v>5956.69</v>
      </c>
      <c r="AK100">
        <v>10.821645569620253</v>
      </c>
    </row>
    <row r="101" spans="1:37" x14ac:dyDescent="0.35">
      <c r="A101">
        <v>6</v>
      </c>
      <c r="B101">
        <v>2022</v>
      </c>
      <c r="C101" t="s">
        <v>33</v>
      </c>
      <c r="D101" t="s">
        <v>34</v>
      </c>
      <c r="E101" t="s">
        <v>151</v>
      </c>
      <c r="F101" s="3" t="s">
        <v>36</v>
      </c>
      <c r="G101" s="2" t="s">
        <v>37</v>
      </c>
      <c r="H101" s="3">
        <v>42395</v>
      </c>
      <c r="I101" s="3">
        <v>2940006</v>
      </c>
      <c r="J101" s="2" t="s">
        <v>158</v>
      </c>
      <c r="K101" t="s">
        <v>151</v>
      </c>
      <c r="L101" t="s">
        <v>39</v>
      </c>
      <c r="M101" t="s">
        <v>40</v>
      </c>
      <c r="N101">
        <v>88</v>
      </c>
      <c r="O101" t="s">
        <v>153</v>
      </c>
      <c r="P101">
        <v>44742</v>
      </c>
      <c r="R101">
        <v>28.13</v>
      </c>
      <c r="S101" s="6">
        <v>9211.73</v>
      </c>
      <c r="T101" t="s">
        <v>19</v>
      </c>
      <c r="U101">
        <v>200</v>
      </c>
      <c r="V101">
        <v>15</v>
      </c>
      <c r="W101" s="7">
        <v>786</v>
      </c>
      <c r="X101">
        <v>327.47000000000003</v>
      </c>
      <c r="Y101">
        <v>-2</v>
      </c>
      <c r="Z101">
        <v>6128.14</v>
      </c>
      <c r="AD101">
        <v>368.47</v>
      </c>
      <c r="AE101">
        <v>184.23</v>
      </c>
      <c r="AF101">
        <v>504.3</v>
      </c>
      <c r="AG101">
        <v>2026.58</v>
      </c>
      <c r="AH101">
        <v>5241.37</v>
      </c>
      <c r="AK101">
        <v>11.719758269720101</v>
      </c>
    </row>
    <row r="102" spans="1:37" x14ac:dyDescent="0.35">
      <c r="A102">
        <v>6</v>
      </c>
      <c r="B102">
        <v>2022</v>
      </c>
      <c r="C102" t="s">
        <v>33</v>
      </c>
      <c r="D102" t="s">
        <v>34</v>
      </c>
      <c r="E102" t="s">
        <v>151</v>
      </c>
      <c r="F102" s="3" t="s">
        <v>36</v>
      </c>
      <c r="G102" s="2" t="s">
        <v>37</v>
      </c>
      <c r="H102" s="3">
        <v>42395</v>
      </c>
      <c r="I102" s="3">
        <v>2940007</v>
      </c>
      <c r="J102" s="2" t="s">
        <v>159</v>
      </c>
      <c r="K102" t="s">
        <v>151</v>
      </c>
      <c r="L102" t="s">
        <v>39</v>
      </c>
      <c r="M102" t="s">
        <v>40</v>
      </c>
      <c r="N102">
        <v>88</v>
      </c>
      <c r="O102" t="s">
        <v>153</v>
      </c>
      <c r="P102">
        <v>44742</v>
      </c>
      <c r="R102">
        <v>27.12</v>
      </c>
      <c r="S102" s="6">
        <v>9457.02</v>
      </c>
      <c r="T102" t="s">
        <v>19</v>
      </c>
      <c r="U102">
        <v>200</v>
      </c>
      <c r="V102">
        <v>17</v>
      </c>
      <c r="W102" s="7">
        <v>784</v>
      </c>
      <c r="X102">
        <v>348.71</v>
      </c>
      <c r="Y102">
        <v>-4.99</v>
      </c>
      <c r="Z102">
        <v>6272.04</v>
      </c>
      <c r="AD102">
        <v>378.28</v>
      </c>
      <c r="AE102">
        <v>189.14</v>
      </c>
      <c r="AF102">
        <v>537.01</v>
      </c>
      <c r="AG102">
        <v>2080.54</v>
      </c>
      <c r="AH102">
        <v>5994.19</v>
      </c>
      <c r="AK102">
        <v>12.062525510204082</v>
      </c>
    </row>
    <row r="103" spans="1:37" x14ac:dyDescent="0.35">
      <c r="A103">
        <v>6</v>
      </c>
      <c r="B103">
        <v>2022</v>
      </c>
      <c r="C103" t="s">
        <v>33</v>
      </c>
      <c r="D103" t="s">
        <v>34</v>
      </c>
      <c r="E103" t="s">
        <v>151</v>
      </c>
      <c r="F103" s="3" t="s">
        <v>36</v>
      </c>
      <c r="G103" s="2" t="s">
        <v>37</v>
      </c>
      <c r="H103" s="3">
        <v>42395</v>
      </c>
      <c r="I103" s="3">
        <v>2940008</v>
      </c>
      <c r="J103" s="2" t="s">
        <v>160</v>
      </c>
      <c r="K103" t="s">
        <v>151</v>
      </c>
      <c r="L103" t="s">
        <v>39</v>
      </c>
      <c r="M103" t="s">
        <v>40</v>
      </c>
      <c r="N103">
        <v>88</v>
      </c>
      <c r="O103" t="s">
        <v>153</v>
      </c>
      <c r="P103">
        <v>44742</v>
      </c>
      <c r="R103">
        <v>27.06</v>
      </c>
      <c r="S103" s="6">
        <v>8841.58</v>
      </c>
      <c r="T103" t="s">
        <v>19</v>
      </c>
      <c r="U103">
        <v>200</v>
      </c>
      <c r="V103">
        <v>14</v>
      </c>
      <c r="W103" s="7">
        <v>733</v>
      </c>
      <c r="X103">
        <v>326.74</v>
      </c>
      <c r="Y103">
        <v>5.91</v>
      </c>
      <c r="Z103">
        <v>6216.42</v>
      </c>
      <c r="AE103">
        <v>176.83</v>
      </c>
      <c r="AF103">
        <v>503.18</v>
      </c>
      <c r="AG103">
        <v>1945.15</v>
      </c>
      <c r="AH103">
        <v>5466.14</v>
      </c>
      <c r="AK103">
        <v>12.062182810368348</v>
      </c>
    </row>
    <row r="104" spans="1:37" x14ac:dyDescent="0.35">
      <c r="A104">
        <v>6</v>
      </c>
      <c r="B104">
        <v>2022</v>
      </c>
      <c r="C104" t="s">
        <v>33</v>
      </c>
      <c r="D104" t="s">
        <v>34</v>
      </c>
      <c r="E104" t="s">
        <v>151</v>
      </c>
      <c r="F104" s="3" t="s">
        <v>36</v>
      </c>
      <c r="G104" s="2" t="s">
        <v>37</v>
      </c>
      <c r="H104" s="3">
        <v>42395</v>
      </c>
      <c r="I104" s="3">
        <v>2940009</v>
      </c>
      <c r="J104" s="2" t="s">
        <v>161</v>
      </c>
      <c r="K104" t="s">
        <v>151</v>
      </c>
      <c r="L104" t="s">
        <v>39</v>
      </c>
      <c r="M104" t="s">
        <v>40</v>
      </c>
      <c r="N104">
        <v>88</v>
      </c>
      <c r="O104" t="s">
        <v>153</v>
      </c>
      <c r="P104">
        <v>44742</v>
      </c>
      <c r="R104">
        <v>26.44</v>
      </c>
      <c r="S104" s="6">
        <v>7881.76</v>
      </c>
      <c r="T104" t="s">
        <v>19</v>
      </c>
      <c r="U104">
        <v>200</v>
      </c>
      <c r="V104">
        <v>15</v>
      </c>
      <c r="W104" s="7">
        <v>705</v>
      </c>
      <c r="X104">
        <v>298.10000000000002</v>
      </c>
      <c r="Y104">
        <v>7.09</v>
      </c>
      <c r="Z104">
        <v>5531.06</v>
      </c>
      <c r="AE104">
        <v>157.63999999999999</v>
      </c>
      <c r="AF104">
        <v>459.07</v>
      </c>
      <c r="AG104">
        <v>1733.99</v>
      </c>
      <c r="AH104">
        <v>4894.63</v>
      </c>
      <c r="AK104">
        <v>11.179801418439716</v>
      </c>
    </row>
    <row r="105" spans="1:37" x14ac:dyDescent="0.35">
      <c r="A105">
        <v>6</v>
      </c>
      <c r="B105">
        <v>2022</v>
      </c>
      <c r="C105" t="s">
        <v>33</v>
      </c>
      <c r="D105" t="s">
        <v>34</v>
      </c>
      <c r="E105" t="s">
        <v>151</v>
      </c>
      <c r="F105" s="3" t="s">
        <v>36</v>
      </c>
      <c r="G105" s="2" t="s">
        <v>37</v>
      </c>
      <c r="H105" s="3">
        <v>42395</v>
      </c>
      <c r="I105" s="3">
        <v>2940013</v>
      </c>
      <c r="J105" s="2" t="s">
        <v>162</v>
      </c>
      <c r="K105" t="s">
        <v>151</v>
      </c>
      <c r="L105" t="s">
        <v>39</v>
      </c>
      <c r="M105" t="s">
        <v>40</v>
      </c>
      <c r="N105">
        <v>88</v>
      </c>
      <c r="O105" t="s">
        <v>153</v>
      </c>
      <c r="P105">
        <v>44742</v>
      </c>
      <c r="R105">
        <v>25.98</v>
      </c>
      <c r="S105" s="6">
        <v>9492.57</v>
      </c>
      <c r="T105" t="s">
        <v>19</v>
      </c>
      <c r="U105">
        <v>200</v>
      </c>
      <c r="V105">
        <v>17</v>
      </c>
      <c r="W105" s="7">
        <v>849</v>
      </c>
      <c r="X105">
        <v>365.38</v>
      </c>
      <c r="Y105">
        <v>5.08</v>
      </c>
      <c r="Z105">
        <v>6271.97</v>
      </c>
      <c r="AD105">
        <v>379.7</v>
      </c>
      <c r="AE105">
        <v>189.85</v>
      </c>
      <c r="AF105">
        <v>562.69000000000005</v>
      </c>
      <c r="AG105">
        <v>2088.37</v>
      </c>
      <c r="AH105">
        <v>5356</v>
      </c>
      <c r="AK105">
        <v>11.180883392226148</v>
      </c>
    </row>
    <row r="106" spans="1:37" x14ac:dyDescent="0.35">
      <c r="A106">
        <v>6</v>
      </c>
      <c r="B106">
        <v>2022</v>
      </c>
      <c r="C106" t="s">
        <v>33</v>
      </c>
      <c r="D106" t="s">
        <v>34</v>
      </c>
      <c r="E106" t="s">
        <v>151</v>
      </c>
      <c r="F106" s="3" t="s">
        <v>36</v>
      </c>
      <c r="G106" s="2" t="s">
        <v>37</v>
      </c>
      <c r="H106" s="3">
        <v>42395</v>
      </c>
      <c r="I106" s="3">
        <v>2940015</v>
      </c>
      <c r="J106" s="2" t="s">
        <v>163</v>
      </c>
      <c r="K106" t="s">
        <v>151</v>
      </c>
      <c r="L106" t="s">
        <v>39</v>
      </c>
      <c r="M106" t="s">
        <v>40</v>
      </c>
      <c r="N106">
        <v>88</v>
      </c>
      <c r="O106" t="s">
        <v>153</v>
      </c>
      <c r="P106">
        <v>44742</v>
      </c>
      <c r="R106">
        <v>26.89</v>
      </c>
      <c r="S106" s="6">
        <v>4812.2299999999996</v>
      </c>
      <c r="T106" t="s">
        <v>19</v>
      </c>
      <c r="U106">
        <v>200</v>
      </c>
      <c r="V106">
        <v>8</v>
      </c>
      <c r="W106" s="7">
        <v>399</v>
      </c>
      <c r="X106">
        <v>178.96</v>
      </c>
      <c r="Y106">
        <v>6.3</v>
      </c>
      <c r="Z106">
        <v>3381.7</v>
      </c>
      <c r="AE106">
        <v>96.24</v>
      </c>
      <c r="AF106">
        <v>275.60000000000002</v>
      </c>
      <c r="AG106">
        <v>1058.69</v>
      </c>
      <c r="AH106">
        <v>2975.35</v>
      </c>
      <c r="AK106">
        <v>12.060726817042605</v>
      </c>
    </row>
    <row r="107" spans="1:37" x14ac:dyDescent="0.35">
      <c r="A107">
        <v>6</v>
      </c>
      <c r="B107">
        <v>2022</v>
      </c>
      <c r="C107" t="s">
        <v>33</v>
      </c>
      <c r="D107" t="s">
        <v>34</v>
      </c>
      <c r="E107" t="s">
        <v>151</v>
      </c>
      <c r="F107" s="3" t="s">
        <v>36</v>
      </c>
      <c r="G107" s="2" t="s">
        <v>37</v>
      </c>
      <c r="H107" s="3">
        <v>42395</v>
      </c>
      <c r="I107" s="3">
        <v>2940016</v>
      </c>
      <c r="J107" s="2" t="s">
        <v>164</v>
      </c>
      <c r="K107" t="s">
        <v>151</v>
      </c>
      <c r="L107" t="s">
        <v>39</v>
      </c>
      <c r="M107" t="s">
        <v>40</v>
      </c>
      <c r="N107">
        <v>88</v>
      </c>
      <c r="O107" t="s">
        <v>153</v>
      </c>
      <c r="P107">
        <v>44742</v>
      </c>
      <c r="R107">
        <v>31.04</v>
      </c>
      <c r="S107" s="6">
        <v>8934.5499999999993</v>
      </c>
      <c r="T107" t="s">
        <v>19</v>
      </c>
      <c r="U107">
        <v>200</v>
      </c>
      <c r="V107">
        <v>14</v>
      </c>
      <c r="W107" s="7">
        <v>646</v>
      </c>
      <c r="X107">
        <v>287.83999999999997</v>
      </c>
      <c r="Y107">
        <v>4.07</v>
      </c>
      <c r="Z107">
        <v>5989.6</v>
      </c>
      <c r="AD107">
        <v>357.38</v>
      </c>
      <c r="AE107">
        <v>178.69</v>
      </c>
      <c r="AF107">
        <v>443.27</v>
      </c>
      <c r="AG107">
        <v>1965.6</v>
      </c>
      <c r="AH107">
        <v>5515.21</v>
      </c>
      <c r="AK107">
        <v>13.830572755417956</v>
      </c>
    </row>
    <row r="108" spans="1:37" x14ac:dyDescent="0.35">
      <c r="A108">
        <v>6</v>
      </c>
      <c r="B108">
        <v>2022</v>
      </c>
      <c r="C108" t="s">
        <v>33</v>
      </c>
      <c r="D108" t="s">
        <v>34</v>
      </c>
      <c r="E108" t="s">
        <v>151</v>
      </c>
      <c r="F108" s="3" t="s">
        <v>36</v>
      </c>
      <c r="G108" s="2" t="s">
        <v>37</v>
      </c>
      <c r="H108" s="3">
        <v>42395</v>
      </c>
      <c r="I108" s="3">
        <v>2940012</v>
      </c>
      <c r="J108" s="2" t="s">
        <v>165</v>
      </c>
      <c r="K108" t="s">
        <v>151</v>
      </c>
      <c r="L108" t="s">
        <v>39</v>
      </c>
      <c r="M108" t="s">
        <v>40</v>
      </c>
      <c r="N108">
        <v>88</v>
      </c>
      <c r="O108" t="s">
        <v>153</v>
      </c>
      <c r="P108">
        <v>44742</v>
      </c>
      <c r="R108">
        <v>26.05</v>
      </c>
      <c r="S108" s="6">
        <v>8128.12</v>
      </c>
      <c r="T108" t="s">
        <v>19</v>
      </c>
      <c r="U108">
        <v>200</v>
      </c>
      <c r="V108">
        <v>16</v>
      </c>
      <c r="W108" s="7">
        <v>674</v>
      </c>
      <c r="X108">
        <v>312.02</v>
      </c>
      <c r="Y108">
        <v>0.14000000000000001</v>
      </c>
      <c r="Z108">
        <v>5371.74</v>
      </c>
      <c r="AD108">
        <v>325.12</v>
      </c>
      <c r="AE108">
        <v>162.56</v>
      </c>
      <c r="AF108">
        <v>480.51</v>
      </c>
      <c r="AG108">
        <v>1788.19</v>
      </c>
      <c r="AH108">
        <v>5363.5</v>
      </c>
      <c r="AK108">
        <v>12.059525222551928</v>
      </c>
    </row>
    <row r="109" spans="1:37" x14ac:dyDescent="0.35">
      <c r="A109">
        <v>6</v>
      </c>
      <c r="B109">
        <v>2022</v>
      </c>
      <c r="C109" t="s">
        <v>33</v>
      </c>
      <c r="D109" t="s">
        <v>34</v>
      </c>
      <c r="E109" t="s">
        <v>151</v>
      </c>
      <c r="F109" s="3" t="s">
        <v>36</v>
      </c>
      <c r="G109" s="2" t="s">
        <v>37</v>
      </c>
      <c r="H109" s="3">
        <v>42395</v>
      </c>
      <c r="I109" s="3">
        <v>2940001</v>
      </c>
      <c r="J109" s="2" t="s">
        <v>152</v>
      </c>
      <c r="K109" t="s">
        <v>151</v>
      </c>
      <c r="L109" t="s">
        <v>39</v>
      </c>
      <c r="M109" t="s">
        <v>40</v>
      </c>
      <c r="N109">
        <v>88</v>
      </c>
      <c r="O109" t="s">
        <v>153</v>
      </c>
      <c r="P109">
        <v>44742</v>
      </c>
      <c r="R109">
        <v>26.64</v>
      </c>
      <c r="S109" s="6">
        <v>-11770.88</v>
      </c>
      <c r="T109" t="s">
        <v>19</v>
      </c>
      <c r="U109">
        <v>200</v>
      </c>
      <c r="V109">
        <v>20</v>
      </c>
      <c r="W109" s="7">
        <v>-976</v>
      </c>
      <c r="X109">
        <v>-441.85</v>
      </c>
      <c r="Y109">
        <v>7.64</v>
      </c>
      <c r="Z109">
        <v>-7794.58</v>
      </c>
      <c r="AD109">
        <v>470.84</v>
      </c>
      <c r="AE109">
        <v>235.42</v>
      </c>
      <c r="AF109">
        <v>680.45</v>
      </c>
      <c r="AG109">
        <v>2589.59</v>
      </c>
      <c r="AH109">
        <v>-6381.86</v>
      </c>
      <c r="AK109">
        <v>12.060327868852458</v>
      </c>
    </row>
    <row r="110" spans="1:37" x14ac:dyDescent="0.35">
      <c r="A110">
        <v>6</v>
      </c>
      <c r="B110">
        <v>2022</v>
      </c>
      <c r="C110" t="s">
        <v>33</v>
      </c>
      <c r="D110" t="s">
        <v>34</v>
      </c>
      <c r="E110" t="s">
        <v>151</v>
      </c>
      <c r="F110" s="3" t="s">
        <v>36</v>
      </c>
      <c r="G110" s="2" t="s">
        <v>37</v>
      </c>
      <c r="H110" s="3">
        <v>42395</v>
      </c>
      <c r="I110" s="3">
        <v>2940002</v>
      </c>
      <c r="J110" s="2" t="s">
        <v>154</v>
      </c>
      <c r="K110" t="s">
        <v>151</v>
      </c>
      <c r="L110" t="s">
        <v>39</v>
      </c>
      <c r="M110" t="s">
        <v>40</v>
      </c>
      <c r="N110">
        <v>88</v>
      </c>
      <c r="O110" t="s">
        <v>153</v>
      </c>
      <c r="P110">
        <v>44742</v>
      </c>
      <c r="R110">
        <v>23.61</v>
      </c>
      <c r="S110" s="6">
        <v>-9548.83</v>
      </c>
      <c r="T110" t="s">
        <v>19</v>
      </c>
      <c r="U110">
        <v>200</v>
      </c>
      <c r="V110">
        <v>18</v>
      </c>
      <c r="W110" s="7">
        <v>-854</v>
      </c>
      <c r="X110">
        <v>-404.44</v>
      </c>
      <c r="Y110">
        <v>2.87</v>
      </c>
      <c r="Z110">
        <v>-6252.32</v>
      </c>
      <c r="AD110">
        <v>381.95</v>
      </c>
      <c r="AE110">
        <v>190.98</v>
      </c>
      <c r="AF110">
        <v>622.84</v>
      </c>
      <c r="AG110">
        <v>2100.7399999999998</v>
      </c>
      <c r="AH110">
        <v>-5839.5</v>
      </c>
      <c r="AK110">
        <v>11.181299765807962</v>
      </c>
    </row>
    <row r="111" spans="1:37" x14ac:dyDescent="0.35">
      <c r="A111">
        <v>6</v>
      </c>
      <c r="B111">
        <v>2022</v>
      </c>
      <c r="C111" t="s">
        <v>33</v>
      </c>
      <c r="D111" t="s">
        <v>34</v>
      </c>
      <c r="E111" t="s">
        <v>151</v>
      </c>
      <c r="F111" s="3" t="s">
        <v>36</v>
      </c>
      <c r="G111" s="2" t="s">
        <v>37</v>
      </c>
      <c r="H111" s="3">
        <v>42395</v>
      </c>
      <c r="I111" s="3">
        <v>2940003</v>
      </c>
      <c r="J111" s="2" t="s">
        <v>155</v>
      </c>
      <c r="K111" t="s">
        <v>151</v>
      </c>
      <c r="L111" t="s">
        <v>39</v>
      </c>
      <c r="M111" t="s">
        <v>40</v>
      </c>
      <c r="N111">
        <v>88</v>
      </c>
      <c r="O111" t="s">
        <v>153</v>
      </c>
      <c r="P111">
        <v>44742</v>
      </c>
      <c r="R111">
        <v>27.29</v>
      </c>
      <c r="S111" s="6">
        <v>-11120.13</v>
      </c>
      <c r="T111" t="s">
        <v>19</v>
      </c>
      <c r="U111">
        <v>200</v>
      </c>
      <c r="V111">
        <v>18</v>
      </c>
      <c r="W111" s="7">
        <v>-922</v>
      </c>
      <c r="X111">
        <v>-407.48</v>
      </c>
      <c r="Y111">
        <v>-0.22</v>
      </c>
      <c r="Z111">
        <v>-7378.97</v>
      </c>
      <c r="AD111">
        <v>444.81</v>
      </c>
      <c r="AE111">
        <v>222.4</v>
      </c>
      <c r="AF111">
        <v>627.52</v>
      </c>
      <c r="AG111">
        <v>2446.4299999999998</v>
      </c>
      <c r="AH111">
        <v>-6541.92</v>
      </c>
      <c r="AK111">
        <v>12.060878524945769</v>
      </c>
    </row>
    <row r="112" spans="1:37" x14ac:dyDescent="0.35">
      <c r="A112">
        <v>6</v>
      </c>
      <c r="B112">
        <v>2022</v>
      </c>
      <c r="C112" t="s">
        <v>33</v>
      </c>
      <c r="D112" t="s">
        <v>34</v>
      </c>
      <c r="E112" t="s">
        <v>151</v>
      </c>
      <c r="F112" s="3" t="s">
        <v>36</v>
      </c>
      <c r="G112" s="2" t="s">
        <v>37</v>
      </c>
      <c r="H112" s="3">
        <v>42395</v>
      </c>
      <c r="I112" s="3">
        <v>2940004</v>
      </c>
      <c r="J112" s="2" t="s">
        <v>156</v>
      </c>
      <c r="K112" t="s">
        <v>151</v>
      </c>
      <c r="L112" t="s">
        <v>39</v>
      </c>
      <c r="M112" t="s">
        <v>40</v>
      </c>
      <c r="N112">
        <v>88</v>
      </c>
      <c r="O112" t="s">
        <v>153</v>
      </c>
      <c r="P112">
        <v>44742</v>
      </c>
      <c r="R112">
        <v>24.67</v>
      </c>
      <c r="S112" s="6">
        <v>-8766.24</v>
      </c>
      <c r="T112" t="s">
        <v>19</v>
      </c>
      <c r="U112">
        <v>200</v>
      </c>
      <c r="V112">
        <v>19</v>
      </c>
      <c r="W112" s="7">
        <v>-784</v>
      </c>
      <c r="X112">
        <v>-355.34</v>
      </c>
      <c r="Y112">
        <v>1.49</v>
      </c>
      <c r="Z112">
        <v>-5764.47</v>
      </c>
      <c r="AD112">
        <v>350.65</v>
      </c>
      <c r="AE112">
        <v>175.32</v>
      </c>
      <c r="AF112">
        <v>547.22</v>
      </c>
      <c r="AG112">
        <v>1928.57</v>
      </c>
      <c r="AH112">
        <v>-5118.7299999999996</v>
      </c>
      <c r="AK112">
        <v>11.181428571428571</v>
      </c>
    </row>
    <row r="113" spans="1:37" x14ac:dyDescent="0.35">
      <c r="A113">
        <v>6</v>
      </c>
      <c r="B113">
        <v>2022</v>
      </c>
      <c r="C113" t="s">
        <v>33</v>
      </c>
      <c r="D113" t="s">
        <v>34</v>
      </c>
      <c r="E113" t="s">
        <v>151</v>
      </c>
      <c r="F113" s="3" t="s">
        <v>36</v>
      </c>
      <c r="G113" s="2" t="s">
        <v>37</v>
      </c>
      <c r="H113" s="3">
        <v>42395</v>
      </c>
      <c r="I113" s="3">
        <v>2940005</v>
      </c>
      <c r="J113" s="2" t="s">
        <v>157</v>
      </c>
      <c r="K113" t="s">
        <v>151</v>
      </c>
      <c r="L113" t="s">
        <v>39</v>
      </c>
      <c r="M113" t="s">
        <v>40</v>
      </c>
      <c r="N113">
        <v>88</v>
      </c>
      <c r="O113" t="s">
        <v>153</v>
      </c>
      <c r="P113">
        <v>44742</v>
      </c>
      <c r="R113">
        <v>24.84</v>
      </c>
      <c r="S113" s="6">
        <v>-10258.92</v>
      </c>
      <c r="T113" t="s">
        <v>19</v>
      </c>
      <c r="U113">
        <v>200</v>
      </c>
      <c r="V113">
        <v>20</v>
      </c>
      <c r="W113" s="7">
        <v>-948</v>
      </c>
      <c r="X113">
        <v>-413</v>
      </c>
      <c r="Y113">
        <v>-1.1000000000000001</v>
      </c>
      <c r="Z113">
        <v>-6750.4</v>
      </c>
      <c r="AD113">
        <v>410.36</v>
      </c>
      <c r="AE113">
        <v>205.18</v>
      </c>
      <c r="AF113">
        <v>636.02</v>
      </c>
      <c r="AG113">
        <v>2256.96</v>
      </c>
      <c r="AH113">
        <v>-5956.69</v>
      </c>
      <c r="AK113">
        <v>10.821645569620253</v>
      </c>
    </row>
    <row r="114" spans="1:37" x14ac:dyDescent="0.35">
      <c r="A114">
        <v>6</v>
      </c>
      <c r="B114">
        <v>2022</v>
      </c>
      <c r="C114" t="s">
        <v>33</v>
      </c>
      <c r="D114" t="s">
        <v>34</v>
      </c>
      <c r="E114" t="s">
        <v>151</v>
      </c>
      <c r="F114" s="3" t="s">
        <v>36</v>
      </c>
      <c r="G114" s="2" t="s">
        <v>37</v>
      </c>
      <c r="H114" s="3">
        <v>42395</v>
      </c>
      <c r="I114" s="3">
        <v>2940006</v>
      </c>
      <c r="J114" s="2" t="s">
        <v>158</v>
      </c>
      <c r="K114" t="s">
        <v>151</v>
      </c>
      <c r="L114" t="s">
        <v>39</v>
      </c>
      <c r="M114" t="s">
        <v>40</v>
      </c>
      <c r="N114">
        <v>88</v>
      </c>
      <c r="O114" t="s">
        <v>153</v>
      </c>
      <c r="P114">
        <v>44742</v>
      </c>
      <c r="R114">
        <v>28.13</v>
      </c>
      <c r="S114" s="6">
        <v>-9211.73</v>
      </c>
      <c r="T114" t="s">
        <v>19</v>
      </c>
      <c r="U114">
        <v>200</v>
      </c>
      <c r="V114">
        <v>15</v>
      </c>
      <c r="W114" s="7">
        <v>-786</v>
      </c>
      <c r="X114">
        <v>-327.47000000000003</v>
      </c>
      <c r="Y114">
        <v>-2</v>
      </c>
      <c r="Z114">
        <v>-6128.14</v>
      </c>
      <c r="AD114">
        <v>368.47</v>
      </c>
      <c r="AE114">
        <v>184.23</v>
      </c>
      <c r="AF114">
        <v>504.3</v>
      </c>
      <c r="AG114">
        <v>2026.58</v>
      </c>
      <c r="AH114">
        <v>-5241.37</v>
      </c>
      <c r="AK114">
        <v>11.719758269720101</v>
      </c>
    </row>
    <row r="115" spans="1:37" x14ac:dyDescent="0.35">
      <c r="A115">
        <v>6</v>
      </c>
      <c r="B115">
        <v>2022</v>
      </c>
      <c r="C115" t="s">
        <v>33</v>
      </c>
      <c r="D115" t="s">
        <v>34</v>
      </c>
      <c r="E115" t="s">
        <v>151</v>
      </c>
      <c r="F115" s="3" t="s">
        <v>36</v>
      </c>
      <c r="G115" s="2" t="s">
        <v>37</v>
      </c>
      <c r="H115" s="3">
        <v>42395</v>
      </c>
      <c r="I115" s="3">
        <v>2940007</v>
      </c>
      <c r="J115" s="2" t="s">
        <v>159</v>
      </c>
      <c r="K115" t="s">
        <v>151</v>
      </c>
      <c r="L115" t="s">
        <v>39</v>
      </c>
      <c r="M115" t="s">
        <v>40</v>
      </c>
      <c r="N115">
        <v>88</v>
      </c>
      <c r="O115" t="s">
        <v>153</v>
      </c>
      <c r="P115">
        <v>44742</v>
      </c>
      <c r="R115">
        <v>27.12</v>
      </c>
      <c r="S115" s="6">
        <v>-9457.02</v>
      </c>
      <c r="T115" t="s">
        <v>19</v>
      </c>
      <c r="U115">
        <v>200</v>
      </c>
      <c r="V115">
        <v>17</v>
      </c>
      <c r="W115" s="7">
        <v>-784</v>
      </c>
      <c r="X115">
        <v>-348.71</v>
      </c>
      <c r="Y115">
        <v>-4.99</v>
      </c>
      <c r="Z115">
        <v>-6272.04</v>
      </c>
      <c r="AD115">
        <v>378.28</v>
      </c>
      <c r="AE115">
        <v>189.14</v>
      </c>
      <c r="AF115">
        <v>537.01</v>
      </c>
      <c r="AG115">
        <v>2080.54</v>
      </c>
      <c r="AH115">
        <v>-5994.19</v>
      </c>
      <c r="AK115">
        <v>12.062525510204082</v>
      </c>
    </row>
    <row r="116" spans="1:37" x14ac:dyDescent="0.35">
      <c r="A116">
        <v>6</v>
      </c>
      <c r="B116">
        <v>2022</v>
      </c>
      <c r="C116" t="s">
        <v>33</v>
      </c>
      <c r="D116" t="s">
        <v>34</v>
      </c>
      <c r="E116" t="s">
        <v>151</v>
      </c>
      <c r="F116" s="3" t="s">
        <v>36</v>
      </c>
      <c r="G116" s="2" t="s">
        <v>37</v>
      </c>
      <c r="H116" s="3">
        <v>42395</v>
      </c>
      <c r="I116" s="3">
        <v>2940008</v>
      </c>
      <c r="J116" s="2" t="s">
        <v>160</v>
      </c>
      <c r="K116" t="s">
        <v>151</v>
      </c>
      <c r="L116" t="s">
        <v>39</v>
      </c>
      <c r="M116" t="s">
        <v>40</v>
      </c>
      <c r="N116">
        <v>88</v>
      </c>
      <c r="O116" t="s">
        <v>153</v>
      </c>
      <c r="P116">
        <v>44742</v>
      </c>
      <c r="R116">
        <v>27.06</v>
      </c>
      <c r="S116" s="6">
        <v>-8841.58</v>
      </c>
      <c r="T116" t="s">
        <v>19</v>
      </c>
      <c r="U116">
        <v>200</v>
      </c>
      <c r="V116">
        <v>14</v>
      </c>
      <c r="W116" s="7">
        <v>-733</v>
      </c>
      <c r="X116">
        <v>-326.74</v>
      </c>
      <c r="Y116">
        <v>5.91</v>
      </c>
      <c r="Z116">
        <v>-6216.42</v>
      </c>
      <c r="AE116">
        <v>176.83</v>
      </c>
      <c r="AF116">
        <v>503.18</v>
      </c>
      <c r="AG116">
        <v>1945.15</v>
      </c>
      <c r="AH116">
        <v>-5466.14</v>
      </c>
      <c r="AK116">
        <v>12.062182810368348</v>
      </c>
    </row>
    <row r="117" spans="1:37" x14ac:dyDescent="0.35">
      <c r="A117">
        <v>6</v>
      </c>
      <c r="B117">
        <v>2022</v>
      </c>
      <c r="C117" t="s">
        <v>33</v>
      </c>
      <c r="D117" t="s">
        <v>34</v>
      </c>
      <c r="E117" t="s">
        <v>151</v>
      </c>
      <c r="F117" s="3" t="s">
        <v>36</v>
      </c>
      <c r="G117" s="2" t="s">
        <v>37</v>
      </c>
      <c r="H117" s="3">
        <v>42395</v>
      </c>
      <c r="I117" s="3">
        <v>2940009</v>
      </c>
      <c r="J117" s="2" t="s">
        <v>161</v>
      </c>
      <c r="K117" t="s">
        <v>151</v>
      </c>
      <c r="L117" t="s">
        <v>39</v>
      </c>
      <c r="M117" t="s">
        <v>40</v>
      </c>
      <c r="N117">
        <v>88</v>
      </c>
      <c r="O117" t="s">
        <v>153</v>
      </c>
      <c r="P117">
        <v>44742</v>
      </c>
      <c r="R117">
        <v>26.44</v>
      </c>
      <c r="S117" s="6">
        <v>-7881.76</v>
      </c>
      <c r="T117" t="s">
        <v>19</v>
      </c>
      <c r="U117">
        <v>200</v>
      </c>
      <c r="V117">
        <v>15</v>
      </c>
      <c r="W117" s="7">
        <v>-705</v>
      </c>
      <c r="X117">
        <v>-298.10000000000002</v>
      </c>
      <c r="Y117">
        <v>7.09</v>
      </c>
      <c r="Z117">
        <v>-5531.06</v>
      </c>
      <c r="AE117">
        <v>157.63999999999999</v>
      </c>
      <c r="AF117">
        <v>459.07</v>
      </c>
      <c r="AG117">
        <v>1733.99</v>
      </c>
      <c r="AH117">
        <v>-4894.63</v>
      </c>
      <c r="AK117">
        <v>11.179801418439716</v>
      </c>
    </row>
    <row r="118" spans="1:37" x14ac:dyDescent="0.35">
      <c r="A118">
        <v>6</v>
      </c>
      <c r="B118">
        <v>2022</v>
      </c>
      <c r="C118" t="s">
        <v>33</v>
      </c>
      <c r="D118" t="s">
        <v>34</v>
      </c>
      <c r="E118" t="s">
        <v>151</v>
      </c>
      <c r="F118" s="3" t="s">
        <v>36</v>
      </c>
      <c r="G118" s="2" t="s">
        <v>37</v>
      </c>
      <c r="H118" s="3">
        <v>42395</v>
      </c>
      <c r="I118" s="3">
        <v>2940013</v>
      </c>
      <c r="J118" s="2" t="s">
        <v>162</v>
      </c>
      <c r="K118" t="s">
        <v>151</v>
      </c>
      <c r="L118" t="s">
        <v>39</v>
      </c>
      <c r="M118" t="s">
        <v>40</v>
      </c>
      <c r="N118">
        <v>88</v>
      </c>
      <c r="O118" t="s">
        <v>153</v>
      </c>
      <c r="P118">
        <v>44742</v>
      </c>
      <c r="R118">
        <v>25.98</v>
      </c>
      <c r="S118" s="6">
        <v>-9492.57</v>
      </c>
      <c r="T118" t="s">
        <v>19</v>
      </c>
      <c r="U118">
        <v>200</v>
      </c>
      <c r="V118">
        <v>17</v>
      </c>
      <c r="W118" s="7">
        <v>-849</v>
      </c>
      <c r="X118">
        <v>-365.38</v>
      </c>
      <c r="Y118">
        <v>5.08</v>
      </c>
      <c r="Z118">
        <v>-6271.97</v>
      </c>
      <c r="AD118">
        <v>379.7</v>
      </c>
      <c r="AE118">
        <v>189.85</v>
      </c>
      <c r="AF118">
        <v>562.69000000000005</v>
      </c>
      <c r="AG118">
        <v>2088.37</v>
      </c>
      <c r="AH118">
        <v>-5356</v>
      </c>
      <c r="AK118">
        <v>11.180883392226148</v>
      </c>
    </row>
    <row r="119" spans="1:37" x14ac:dyDescent="0.35">
      <c r="A119">
        <v>6</v>
      </c>
      <c r="B119">
        <v>2022</v>
      </c>
      <c r="C119" t="s">
        <v>33</v>
      </c>
      <c r="D119" t="s">
        <v>34</v>
      </c>
      <c r="E119" t="s">
        <v>151</v>
      </c>
      <c r="F119" s="3" t="s">
        <v>36</v>
      </c>
      <c r="G119" s="2" t="s">
        <v>37</v>
      </c>
      <c r="H119" s="3">
        <v>42395</v>
      </c>
      <c r="I119" s="3">
        <v>2940015</v>
      </c>
      <c r="J119" s="2" t="s">
        <v>163</v>
      </c>
      <c r="K119" t="s">
        <v>151</v>
      </c>
      <c r="L119" t="s">
        <v>39</v>
      </c>
      <c r="M119" t="s">
        <v>40</v>
      </c>
      <c r="N119">
        <v>88</v>
      </c>
      <c r="O119" t="s">
        <v>153</v>
      </c>
      <c r="P119">
        <v>44742</v>
      </c>
      <c r="R119">
        <v>26.89</v>
      </c>
      <c r="S119" s="6">
        <v>-4812.2299999999996</v>
      </c>
      <c r="T119" t="s">
        <v>19</v>
      </c>
      <c r="U119">
        <v>200</v>
      </c>
      <c r="V119">
        <v>8</v>
      </c>
      <c r="W119" s="7">
        <v>-399</v>
      </c>
      <c r="X119">
        <v>-178.96</v>
      </c>
      <c r="Y119">
        <v>6.3</v>
      </c>
      <c r="Z119">
        <v>-3381.7</v>
      </c>
      <c r="AE119">
        <v>96.24</v>
      </c>
      <c r="AF119">
        <v>275.60000000000002</v>
      </c>
      <c r="AG119">
        <v>1058.69</v>
      </c>
      <c r="AH119">
        <v>-2975.35</v>
      </c>
      <c r="AK119">
        <v>12.060726817042605</v>
      </c>
    </row>
    <row r="120" spans="1:37" x14ac:dyDescent="0.35">
      <c r="A120">
        <v>6</v>
      </c>
      <c r="B120">
        <v>2022</v>
      </c>
      <c r="C120" t="s">
        <v>33</v>
      </c>
      <c r="D120" t="s">
        <v>34</v>
      </c>
      <c r="E120" t="s">
        <v>151</v>
      </c>
      <c r="F120" s="3" t="s">
        <v>36</v>
      </c>
      <c r="G120" s="2" t="s">
        <v>37</v>
      </c>
      <c r="H120" s="3">
        <v>42395</v>
      </c>
      <c r="I120" s="3">
        <v>2940016</v>
      </c>
      <c r="J120" s="2" t="s">
        <v>164</v>
      </c>
      <c r="K120" t="s">
        <v>151</v>
      </c>
      <c r="L120" t="s">
        <v>39</v>
      </c>
      <c r="M120" t="s">
        <v>40</v>
      </c>
      <c r="N120">
        <v>88</v>
      </c>
      <c r="O120" t="s">
        <v>153</v>
      </c>
      <c r="P120">
        <v>44742</v>
      </c>
      <c r="R120">
        <v>31.04</v>
      </c>
      <c r="S120" s="6">
        <v>-8934.5499999999993</v>
      </c>
      <c r="T120" t="s">
        <v>19</v>
      </c>
      <c r="U120">
        <v>200</v>
      </c>
      <c r="V120">
        <v>14</v>
      </c>
      <c r="W120" s="7">
        <v>-646</v>
      </c>
      <c r="X120">
        <v>-287.83999999999997</v>
      </c>
      <c r="Y120">
        <v>4.07</v>
      </c>
      <c r="Z120">
        <v>-5989.6</v>
      </c>
      <c r="AD120">
        <v>357.38</v>
      </c>
      <c r="AE120">
        <v>178.69</v>
      </c>
      <c r="AF120">
        <v>443.27</v>
      </c>
      <c r="AG120">
        <v>1965.6</v>
      </c>
      <c r="AH120">
        <v>-5515.21</v>
      </c>
      <c r="AK120">
        <v>13.830572755417956</v>
      </c>
    </row>
    <row r="121" spans="1:37" x14ac:dyDescent="0.35">
      <c r="A121">
        <v>6</v>
      </c>
      <c r="B121">
        <v>2022</v>
      </c>
      <c r="C121" t="s">
        <v>33</v>
      </c>
      <c r="D121" t="s">
        <v>34</v>
      </c>
      <c r="E121" t="s">
        <v>151</v>
      </c>
      <c r="F121" s="3" t="s">
        <v>36</v>
      </c>
      <c r="G121" s="2" t="s">
        <v>37</v>
      </c>
      <c r="H121" s="3">
        <v>42395</v>
      </c>
      <c r="I121" s="3">
        <v>2940012</v>
      </c>
      <c r="J121" s="2" t="s">
        <v>165</v>
      </c>
      <c r="K121" t="s">
        <v>151</v>
      </c>
      <c r="L121" t="s">
        <v>39</v>
      </c>
      <c r="M121" t="s">
        <v>40</v>
      </c>
      <c r="N121">
        <v>88</v>
      </c>
      <c r="O121" t="s">
        <v>153</v>
      </c>
      <c r="P121">
        <v>44742</v>
      </c>
      <c r="R121">
        <v>26.05</v>
      </c>
      <c r="S121" s="6">
        <v>-8128.12</v>
      </c>
      <c r="T121" t="s">
        <v>19</v>
      </c>
      <c r="U121">
        <v>200</v>
      </c>
      <c r="V121">
        <v>16</v>
      </c>
      <c r="W121" s="7">
        <v>-674</v>
      </c>
      <c r="X121">
        <v>-312.02</v>
      </c>
      <c r="Y121">
        <v>0.14000000000000001</v>
      </c>
      <c r="Z121">
        <v>-5371.74</v>
      </c>
      <c r="AD121">
        <v>325.12</v>
      </c>
      <c r="AE121">
        <v>162.56</v>
      </c>
      <c r="AF121">
        <v>480.51</v>
      </c>
      <c r="AG121">
        <v>1788.19</v>
      </c>
      <c r="AH121">
        <v>-5363.5</v>
      </c>
      <c r="AK121">
        <v>12.059525222551928</v>
      </c>
    </row>
    <row r="122" spans="1:37" x14ac:dyDescent="0.35">
      <c r="A122">
        <v>7</v>
      </c>
      <c r="B122">
        <v>2022</v>
      </c>
      <c r="C122" t="s">
        <v>33</v>
      </c>
      <c r="D122" t="s">
        <v>34</v>
      </c>
      <c r="E122" t="s">
        <v>151</v>
      </c>
      <c r="F122" s="3" t="s">
        <v>36</v>
      </c>
      <c r="G122" s="2" t="s">
        <v>37</v>
      </c>
      <c r="H122" s="3">
        <v>42509</v>
      </c>
      <c r="I122" s="3">
        <v>2940001</v>
      </c>
      <c r="J122" s="2" t="s">
        <v>166</v>
      </c>
      <c r="K122" t="s">
        <v>151</v>
      </c>
      <c r="L122" t="s">
        <v>39</v>
      </c>
      <c r="M122" t="s">
        <v>40</v>
      </c>
      <c r="N122">
        <v>88</v>
      </c>
      <c r="O122" t="s">
        <v>153</v>
      </c>
      <c r="P122">
        <v>44754</v>
      </c>
      <c r="R122">
        <v>26.58</v>
      </c>
      <c r="S122" s="6">
        <v>11744.37</v>
      </c>
      <c r="T122" t="s">
        <v>19</v>
      </c>
      <c r="U122">
        <v>200</v>
      </c>
      <c r="V122">
        <v>20</v>
      </c>
      <c r="W122" s="7">
        <v>976</v>
      </c>
      <c r="X122">
        <v>441.85</v>
      </c>
      <c r="Y122">
        <v>7.64</v>
      </c>
      <c r="Z122">
        <v>7775.5</v>
      </c>
      <c r="AD122">
        <v>469.77</v>
      </c>
      <c r="AE122">
        <v>234.89</v>
      </c>
      <c r="AF122">
        <v>680.45</v>
      </c>
      <c r="AG122">
        <v>2583.7600000000002</v>
      </c>
      <c r="AH122">
        <v>6381.86</v>
      </c>
      <c r="AK122">
        <v>12.033165983606558</v>
      </c>
    </row>
    <row r="123" spans="1:37" x14ac:dyDescent="0.35">
      <c r="A123">
        <v>7</v>
      </c>
      <c r="B123">
        <v>2022</v>
      </c>
      <c r="C123" t="s">
        <v>33</v>
      </c>
      <c r="D123" t="s">
        <v>34</v>
      </c>
      <c r="E123" t="s">
        <v>151</v>
      </c>
      <c r="F123" s="3" t="s">
        <v>36</v>
      </c>
      <c r="G123" s="2" t="s">
        <v>37</v>
      </c>
      <c r="H123" s="3">
        <v>42509</v>
      </c>
      <c r="I123" s="3">
        <v>2940002</v>
      </c>
      <c r="J123" s="2" t="s">
        <v>167</v>
      </c>
      <c r="K123" t="s">
        <v>151</v>
      </c>
      <c r="L123" t="s">
        <v>39</v>
      </c>
      <c r="M123" t="s">
        <v>40</v>
      </c>
      <c r="N123">
        <v>88</v>
      </c>
      <c r="O123" t="s">
        <v>153</v>
      </c>
      <c r="P123">
        <v>44754</v>
      </c>
      <c r="R123">
        <v>23.59</v>
      </c>
      <c r="S123" s="6">
        <v>9540.74</v>
      </c>
      <c r="T123" t="s">
        <v>19</v>
      </c>
      <c r="U123">
        <v>200</v>
      </c>
      <c r="V123">
        <v>18</v>
      </c>
      <c r="W123" s="7">
        <v>854</v>
      </c>
      <c r="X123">
        <v>404.44</v>
      </c>
      <c r="Y123">
        <v>2.87</v>
      </c>
      <c r="Z123">
        <v>6246.5</v>
      </c>
      <c r="AD123">
        <v>381.63</v>
      </c>
      <c r="AE123">
        <v>190.81</v>
      </c>
      <c r="AF123">
        <v>622.84</v>
      </c>
      <c r="AG123">
        <v>2098.96</v>
      </c>
      <c r="AH123">
        <v>5839.5</v>
      </c>
      <c r="AK123">
        <v>11.171826697892271</v>
      </c>
    </row>
    <row r="124" spans="1:37" x14ac:dyDescent="0.35">
      <c r="A124">
        <v>7</v>
      </c>
      <c r="B124">
        <v>2022</v>
      </c>
      <c r="C124" t="s">
        <v>33</v>
      </c>
      <c r="D124" t="s">
        <v>34</v>
      </c>
      <c r="E124" t="s">
        <v>151</v>
      </c>
      <c r="F124" s="3" t="s">
        <v>36</v>
      </c>
      <c r="G124" s="2" t="s">
        <v>37</v>
      </c>
      <c r="H124" s="3">
        <v>42509</v>
      </c>
      <c r="I124" s="3">
        <v>2940003</v>
      </c>
      <c r="J124" s="2" t="s">
        <v>168</v>
      </c>
      <c r="K124" t="s">
        <v>151</v>
      </c>
      <c r="L124" t="s">
        <v>39</v>
      </c>
      <c r="M124" t="s">
        <v>40</v>
      </c>
      <c r="N124">
        <v>88</v>
      </c>
      <c r="O124" t="s">
        <v>153</v>
      </c>
      <c r="P124">
        <v>44754</v>
      </c>
      <c r="R124">
        <v>27.22</v>
      </c>
      <c r="S124" s="6">
        <v>11091.61</v>
      </c>
      <c r="T124" t="s">
        <v>19</v>
      </c>
      <c r="U124">
        <v>200</v>
      </c>
      <c r="V124">
        <v>18</v>
      </c>
      <c r="W124" s="7">
        <v>922</v>
      </c>
      <c r="X124">
        <v>407.48</v>
      </c>
      <c r="Y124">
        <v>-0.22</v>
      </c>
      <c r="Z124">
        <v>7358.44</v>
      </c>
      <c r="AD124">
        <v>443.66</v>
      </c>
      <c r="AE124">
        <v>221.83</v>
      </c>
      <c r="AF124">
        <v>627.52</v>
      </c>
      <c r="AG124">
        <v>2440.15</v>
      </c>
      <c r="AH124">
        <v>6541.92</v>
      </c>
      <c r="AK124">
        <v>12.029945770065076</v>
      </c>
    </row>
    <row r="125" spans="1:37" x14ac:dyDescent="0.35">
      <c r="A125">
        <v>7</v>
      </c>
      <c r="B125">
        <v>2022</v>
      </c>
      <c r="C125" t="s">
        <v>33</v>
      </c>
      <c r="D125" t="s">
        <v>34</v>
      </c>
      <c r="E125" t="s">
        <v>151</v>
      </c>
      <c r="F125" s="3" t="s">
        <v>36</v>
      </c>
      <c r="G125" s="2" t="s">
        <v>37</v>
      </c>
      <c r="H125" s="3">
        <v>42509</v>
      </c>
      <c r="I125" s="3">
        <v>2940004</v>
      </c>
      <c r="J125" s="2" t="s">
        <v>169</v>
      </c>
      <c r="K125" t="s">
        <v>151</v>
      </c>
      <c r="L125" t="s">
        <v>39</v>
      </c>
      <c r="M125" t="s">
        <v>40</v>
      </c>
      <c r="N125">
        <v>88</v>
      </c>
      <c r="O125" t="s">
        <v>153</v>
      </c>
      <c r="P125">
        <v>44754</v>
      </c>
      <c r="R125">
        <v>24.65</v>
      </c>
      <c r="S125" s="6">
        <v>8759.1299999999992</v>
      </c>
      <c r="T125" t="s">
        <v>19</v>
      </c>
      <c r="U125">
        <v>200</v>
      </c>
      <c r="V125">
        <v>19</v>
      </c>
      <c r="W125" s="7">
        <v>784</v>
      </c>
      <c r="X125">
        <v>355.34</v>
      </c>
      <c r="Y125">
        <v>1.49</v>
      </c>
      <c r="Z125">
        <v>5759.35</v>
      </c>
      <c r="AD125">
        <v>350.37</v>
      </c>
      <c r="AE125">
        <v>175.18</v>
      </c>
      <c r="AF125">
        <v>547.22</v>
      </c>
      <c r="AG125">
        <v>1927.01</v>
      </c>
      <c r="AH125">
        <v>5118.7299999999996</v>
      </c>
      <c r="AK125">
        <v>11.172359693877549</v>
      </c>
    </row>
    <row r="126" spans="1:37" x14ac:dyDescent="0.35">
      <c r="A126">
        <v>7</v>
      </c>
      <c r="B126">
        <v>2022</v>
      </c>
      <c r="C126" t="s">
        <v>33</v>
      </c>
      <c r="D126" t="s">
        <v>34</v>
      </c>
      <c r="E126" t="s">
        <v>151</v>
      </c>
      <c r="F126" s="3" t="s">
        <v>36</v>
      </c>
      <c r="G126" s="2" t="s">
        <v>37</v>
      </c>
      <c r="H126" s="3">
        <v>42509</v>
      </c>
      <c r="I126" s="3">
        <v>2940005</v>
      </c>
      <c r="J126" s="2" t="s">
        <v>170</v>
      </c>
      <c r="K126" t="s">
        <v>151</v>
      </c>
      <c r="L126" t="s">
        <v>39</v>
      </c>
      <c r="M126" t="s">
        <v>40</v>
      </c>
      <c r="N126">
        <v>88</v>
      </c>
      <c r="O126" t="s">
        <v>153</v>
      </c>
      <c r="P126">
        <v>44754</v>
      </c>
      <c r="R126">
        <v>24.79</v>
      </c>
      <c r="S126" s="6">
        <v>10238.27</v>
      </c>
      <c r="T126" t="s">
        <v>19</v>
      </c>
      <c r="U126">
        <v>200</v>
      </c>
      <c r="V126">
        <v>20</v>
      </c>
      <c r="W126" s="7">
        <v>948</v>
      </c>
      <c r="X126">
        <v>413</v>
      </c>
      <c r="Y126">
        <v>-1.1000000000000001</v>
      </c>
      <c r="Z126">
        <v>6735.53</v>
      </c>
      <c r="AD126">
        <v>409.53</v>
      </c>
      <c r="AE126">
        <v>204.77</v>
      </c>
      <c r="AF126">
        <v>636.02</v>
      </c>
      <c r="AG126">
        <v>2252.42</v>
      </c>
      <c r="AH126">
        <v>5956.69</v>
      </c>
      <c r="AK126">
        <v>10.799862869198313</v>
      </c>
    </row>
    <row r="127" spans="1:37" x14ac:dyDescent="0.35">
      <c r="A127">
        <v>7</v>
      </c>
      <c r="B127">
        <v>2022</v>
      </c>
      <c r="C127" t="s">
        <v>33</v>
      </c>
      <c r="D127" t="s">
        <v>34</v>
      </c>
      <c r="E127" t="s">
        <v>151</v>
      </c>
      <c r="F127" s="3" t="s">
        <v>36</v>
      </c>
      <c r="G127" s="2" t="s">
        <v>37</v>
      </c>
      <c r="H127" s="3">
        <v>42509</v>
      </c>
      <c r="I127" s="3">
        <v>2940006</v>
      </c>
      <c r="J127" s="2" t="s">
        <v>171</v>
      </c>
      <c r="K127" t="s">
        <v>151</v>
      </c>
      <c r="L127" t="s">
        <v>39</v>
      </c>
      <c r="M127" t="s">
        <v>40</v>
      </c>
      <c r="N127">
        <v>88</v>
      </c>
      <c r="O127" t="s">
        <v>153</v>
      </c>
      <c r="P127">
        <v>44754</v>
      </c>
      <c r="R127">
        <v>28.12</v>
      </c>
      <c r="S127" s="6">
        <v>10024.5</v>
      </c>
      <c r="T127" t="s">
        <v>19</v>
      </c>
      <c r="U127">
        <v>200</v>
      </c>
      <c r="V127">
        <v>17</v>
      </c>
      <c r="W127" s="7">
        <v>856</v>
      </c>
      <c r="X127">
        <v>356.49</v>
      </c>
      <c r="Y127">
        <v>-2</v>
      </c>
      <c r="Z127">
        <v>6668.65</v>
      </c>
      <c r="AD127">
        <v>400.98</v>
      </c>
      <c r="AE127">
        <v>200.49</v>
      </c>
      <c r="AF127">
        <v>548.99</v>
      </c>
      <c r="AG127">
        <v>2205.39</v>
      </c>
      <c r="AH127">
        <v>5705.86</v>
      </c>
      <c r="AK127">
        <v>11.710864485981308</v>
      </c>
    </row>
    <row r="128" spans="1:37" x14ac:dyDescent="0.35">
      <c r="A128">
        <v>7</v>
      </c>
      <c r="B128">
        <v>2022</v>
      </c>
      <c r="C128" t="s">
        <v>33</v>
      </c>
      <c r="D128" t="s">
        <v>34</v>
      </c>
      <c r="E128" t="s">
        <v>151</v>
      </c>
      <c r="F128" s="3" t="s">
        <v>36</v>
      </c>
      <c r="G128" s="2" t="s">
        <v>37</v>
      </c>
      <c r="H128" s="3">
        <v>42509</v>
      </c>
      <c r="I128" s="3">
        <v>2940007</v>
      </c>
      <c r="J128" s="2" t="s">
        <v>172</v>
      </c>
      <c r="K128" t="s">
        <v>151</v>
      </c>
      <c r="L128" t="s">
        <v>39</v>
      </c>
      <c r="M128" t="s">
        <v>40</v>
      </c>
      <c r="N128">
        <v>88</v>
      </c>
      <c r="O128" t="s">
        <v>153</v>
      </c>
      <c r="P128">
        <v>44754</v>
      </c>
      <c r="R128">
        <v>27.05</v>
      </c>
      <c r="S128" s="6">
        <v>9432.61</v>
      </c>
      <c r="T128" t="s">
        <v>19</v>
      </c>
      <c r="U128">
        <v>200</v>
      </c>
      <c r="V128">
        <v>17</v>
      </c>
      <c r="W128" s="7">
        <v>784</v>
      </c>
      <c r="X128">
        <v>348.71</v>
      </c>
      <c r="Y128">
        <v>-4.99</v>
      </c>
      <c r="Z128">
        <v>6254.47</v>
      </c>
      <c r="AD128">
        <v>377.3</v>
      </c>
      <c r="AE128">
        <v>188.65</v>
      </c>
      <c r="AF128">
        <v>537.01</v>
      </c>
      <c r="AG128">
        <v>2075.17</v>
      </c>
      <c r="AH128">
        <v>5994.19</v>
      </c>
      <c r="AK128">
        <v>12.03139030612245</v>
      </c>
    </row>
    <row r="129" spans="1:37" x14ac:dyDescent="0.35">
      <c r="A129">
        <v>7</v>
      </c>
      <c r="B129">
        <v>2022</v>
      </c>
      <c r="C129" t="s">
        <v>33</v>
      </c>
      <c r="D129" t="s">
        <v>34</v>
      </c>
      <c r="E129" t="s">
        <v>151</v>
      </c>
      <c r="F129" s="3" t="s">
        <v>36</v>
      </c>
      <c r="G129" s="2" t="s">
        <v>37</v>
      </c>
      <c r="H129" s="3">
        <v>42509</v>
      </c>
      <c r="I129" s="3">
        <v>2940008</v>
      </c>
      <c r="J129" s="2" t="s">
        <v>173</v>
      </c>
      <c r="K129" t="s">
        <v>151</v>
      </c>
      <c r="L129" t="s">
        <v>39</v>
      </c>
      <c r="M129" t="s">
        <v>40</v>
      </c>
      <c r="N129">
        <v>88</v>
      </c>
      <c r="O129" t="s">
        <v>153</v>
      </c>
      <c r="P129">
        <v>44754</v>
      </c>
      <c r="R129">
        <v>26.99</v>
      </c>
      <c r="S129" s="6">
        <v>8818.7099999999991</v>
      </c>
      <c r="T129" t="s">
        <v>19</v>
      </c>
      <c r="U129">
        <v>200</v>
      </c>
      <c r="V129">
        <v>14</v>
      </c>
      <c r="W129" s="7">
        <v>733</v>
      </c>
      <c r="X129">
        <v>326.74</v>
      </c>
      <c r="Y129">
        <v>5.91</v>
      </c>
      <c r="Z129">
        <v>6199.04</v>
      </c>
      <c r="AE129">
        <v>176.37</v>
      </c>
      <c r="AF129">
        <v>503.18</v>
      </c>
      <c r="AG129">
        <v>1940.12</v>
      </c>
      <c r="AH129">
        <v>5466.14</v>
      </c>
      <c r="AK129">
        <v>12.030982264665756</v>
      </c>
    </row>
    <row r="130" spans="1:37" x14ac:dyDescent="0.35">
      <c r="A130">
        <v>7</v>
      </c>
      <c r="B130">
        <v>2022</v>
      </c>
      <c r="C130" t="s">
        <v>33</v>
      </c>
      <c r="D130" t="s">
        <v>34</v>
      </c>
      <c r="E130" t="s">
        <v>151</v>
      </c>
      <c r="F130" s="3" t="s">
        <v>36</v>
      </c>
      <c r="G130" s="2" t="s">
        <v>37</v>
      </c>
      <c r="H130" s="3">
        <v>42509</v>
      </c>
      <c r="I130" s="3">
        <v>2940009</v>
      </c>
      <c r="J130" s="2" t="s">
        <v>174</v>
      </c>
      <c r="K130" t="s">
        <v>151</v>
      </c>
      <c r="L130" t="s">
        <v>39</v>
      </c>
      <c r="M130" t="s">
        <v>40</v>
      </c>
      <c r="N130">
        <v>88</v>
      </c>
      <c r="O130" t="s">
        <v>153</v>
      </c>
      <c r="P130">
        <v>44754</v>
      </c>
      <c r="R130">
        <v>26.42</v>
      </c>
      <c r="S130" s="6">
        <v>7875.8</v>
      </c>
      <c r="T130" t="s">
        <v>19</v>
      </c>
      <c r="U130">
        <v>200</v>
      </c>
      <c r="V130">
        <v>15</v>
      </c>
      <c r="W130" s="7">
        <v>705</v>
      </c>
      <c r="X130">
        <v>298.10000000000002</v>
      </c>
      <c r="Y130">
        <v>7.09</v>
      </c>
      <c r="Z130">
        <v>5526.53</v>
      </c>
      <c r="AE130">
        <v>157.52000000000001</v>
      </c>
      <c r="AF130">
        <v>459.07</v>
      </c>
      <c r="AG130">
        <v>1732.68</v>
      </c>
      <c r="AH130">
        <v>4894.63</v>
      </c>
      <c r="AK130">
        <v>11.171347517730498</v>
      </c>
    </row>
    <row r="131" spans="1:37" x14ac:dyDescent="0.35">
      <c r="A131">
        <v>7</v>
      </c>
      <c r="B131">
        <v>2022</v>
      </c>
      <c r="C131" t="s">
        <v>33</v>
      </c>
      <c r="D131" t="s">
        <v>34</v>
      </c>
      <c r="E131" t="s">
        <v>151</v>
      </c>
      <c r="F131" s="3" t="s">
        <v>36</v>
      </c>
      <c r="G131" s="2" t="s">
        <v>37</v>
      </c>
      <c r="H131" s="3">
        <v>42509</v>
      </c>
      <c r="I131" s="3">
        <v>2940011</v>
      </c>
      <c r="J131" s="2" t="s">
        <v>175</v>
      </c>
      <c r="K131" t="s">
        <v>151</v>
      </c>
      <c r="L131" t="s">
        <v>39</v>
      </c>
      <c r="M131" t="s">
        <v>40</v>
      </c>
      <c r="N131">
        <v>88</v>
      </c>
      <c r="O131" t="s">
        <v>153</v>
      </c>
      <c r="P131">
        <v>44754</v>
      </c>
      <c r="R131">
        <v>33.590000000000003</v>
      </c>
      <c r="S131" s="6">
        <v>8154.98</v>
      </c>
      <c r="T131" t="s">
        <v>19</v>
      </c>
      <c r="U131">
        <v>200</v>
      </c>
      <c r="V131">
        <v>12</v>
      </c>
      <c r="W131" s="7">
        <v>580</v>
      </c>
      <c r="X131">
        <v>242.78</v>
      </c>
      <c r="Y131">
        <v>6.7</v>
      </c>
      <c r="Z131">
        <v>5823.9</v>
      </c>
      <c r="AE131">
        <v>163.1</v>
      </c>
      <c r="AF131">
        <v>373.88</v>
      </c>
      <c r="AG131">
        <v>1794.1</v>
      </c>
      <c r="AH131">
        <v>4753.58</v>
      </c>
      <c r="AK131">
        <v>14.060310344827585</v>
      </c>
    </row>
    <row r="132" spans="1:37" x14ac:dyDescent="0.35">
      <c r="A132">
        <v>7</v>
      </c>
      <c r="B132">
        <v>2022</v>
      </c>
      <c r="C132" t="s">
        <v>33</v>
      </c>
      <c r="D132" t="s">
        <v>34</v>
      </c>
      <c r="E132" t="s">
        <v>151</v>
      </c>
      <c r="F132" s="3" t="s">
        <v>36</v>
      </c>
      <c r="G132" s="2" t="s">
        <v>37</v>
      </c>
      <c r="H132" s="3">
        <v>42509</v>
      </c>
      <c r="I132" s="3">
        <v>2940010</v>
      </c>
      <c r="J132" s="2" t="s">
        <v>176</v>
      </c>
      <c r="K132" t="s">
        <v>151</v>
      </c>
      <c r="L132" t="s">
        <v>39</v>
      </c>
      <c r="M132" t="s">
        <v>40</v>
      </c>
      <c r="N132">
        <v>88</v>
      </c>
      <c r="O132" t="s">
        <v>153</v>
      </c>
      <c r="P132">
        <v>44754</v>
      </c>
      <c r="R132">
        <v>32.700000000000003</v>
      </c>
      <c r="S132" s="6">
        <v>9883.58</v>
      </c>
      <c r="T132" t="s">
        <v>19</v>
      </c>
      <c r="U132">
        <v>200</v>
      </c>
      <c r="V132">
        <v>15</v>
      </c>
      <c r="W132" s="7">
        <v>703</v>
      </c>
      <c r="X132">
        <v>302.25</v>
      </c>
      <c r="Y132">
        <v>6.07</v>
      </c>
      <c r="Z132">
        <v>7046.06</v>
      </c>
      <c r="AE132">
        <v>197.67</v>
      </c>
      <c r="AF132">
        <v>465.47</v>
      </c>
      <c r="AG132">
        <v>2174.39</v>
      </c>
      <c r="AH132">
        <v>5976.02</v>
      </c>
      <c r="AK132">
        <v>14.059146514935989</v>
      </c>
    </row>
    <row r="133" spans="1:37" x14ac:dyDescent="0.35">
      <c r="A133">
        <v>7</v>
      </c>
      <c r="B133">
        <v>2022</v>
      </c>
      <c r="C133" t="s">
        <v>33</v>
      </c>
      <c r="D133" t="s">
        <v>34</v>
      </c>
      <c r="E133" t="s">
        <v>151</v>
      </c>
      <c r="F133" s="3" t="s">
        <v>36</v>
      </c>
      <c r="G133" s="2" t="s">
        <v>37</v>
      </c>
      <c r="H133" s="3">
        <v>42509</v>
      </c>
      <c r="I133" s="3">
        <v>2940013</v>
      </c>
      <c r="J133" s="2" t="s">
        <v>177</v>
      </c>
      <c r="K133" t="s">
        <v>151</v>
      </c>
      <c r="L133" t="s">
        <v>39</v>
      </c>
      <c r="M133" t="s">
        <v>40</v>
      </c>
      <c r="N133">
        <v>88</v>
      </c>
      <c r="O133" t="s">
        <v>153</v>
      </c>
      <c r="P133">
        <v>44754</v>
      </c>
      <c r="R133">
        <v>26.03</v>
      </c>
      <c r="S133" s="6">
        <v>10132.959999999999</v>
      </c>
      <c r="T133" t="s">
        <v>19</v>
      </c>
      <c r="U133">
        <v>200</v>
      </c>
      <c r="V133">
        <v>18</v>
      </c>
      <c r="W133" s="7">
        <v>907</v>
      </c>
      <c r="X133">
        <v>389.28</v>
      </c>
      <c r="Y133">
        <v>5.08</v>
      </c>
      <c r="Z133">
        <v>6696.24</v>
      </c>
      <c r="AD133">
        <v>405.32</v>
      </c>
      <c r="AE133">
        <v>202.66</v>
      </c>
      <c r="AF133">
        <v>599.49</v>
      </c>
      <c r="AG133">
        <v>2229.25</v>
      </c>
      <c r="AH133">
        <v>5706.34</v>
      </c>
      <c r="AK133">
        <v>11.171951488423373</v>
      </c>
    </row>
    <row r="134" spans="1:37" x14ac:dyDescent="0.35">
      <c r="A134">
        <v>7</v>
      </c>
      <c r="B134">
        <v>2022</v>
      </c>
      <c r="C134" t="s">
        <v>33</v>
      </c>
      <c r="D134" t="s">
        <v>34</v>
      </c>
      <c r="E134" t="s">
        <v>151</v>
      </c>
      <c r="F134" s="3" t="s">
        <v>36</v>
      </c>
      <c r="G134" s="2" t="s">
        <v>37</v>
      </c>
      <c r="H134" s="3">
        <v>42509</v>
      </c>
      <c r="I134" s="3">
        <v>2940015</v>
      </c>
      <c r="J134" s="2" t="s">
        <v>178</v>
      </c>
      <c r="K134" t="s">
        <v>151</v>
      </c>
      <c r="L134" t="s">
        <v>39</v>
      </c>
      <c r="M134" t="s">
        <v>40</v>
      </c>
      <c r="N134">
        <v>88</v>
      </c>
      <c r="O134" t="s">
        <v>153</v>
      </c>
      <c r="P134">
        <v>44754</v>
      </c>
      <c r="R134">
        <v>26.14</v>
      </c>
      <c r="S134" s="6">
        <v>8877.67</v>
      </c>
      <c r="T134" t="s">
        <v>19</v>
      </c>
      <c r="U134">
        <v>200</v>
      </c>
      <c r="V134">
        <v>16</v>
      </c>
      <c r="W134" s="7">
        <v>738</v>
      </c>
      <c r="X134">
        <v>339.62</v>
      </c>
      <c r="Y134">
        <v>6.3</v>
      </c>
      <c r="Z134">
        <v>6224.01</v>
      </c>
      <c r="AE134">
        <v>177.55</v>
      </c>
      <c r="AF134">
        <v>523.01</v>
      </c>
      <c r="AG134">
        <v>1953.09</v>
      </c>
      <c r="AH134">
        <v>5646.44</v>
      </c>
      <c r="AK134">
        <v>12.029363143631436</v>
      </c>
    </row>
    <row r="135" spans="1:37" x14ac:dyDescent="0.35">
      <c r="A135">
        <v>7</v>
      </c>
      <c r="B135">
        <v>2022</v>
      </c>
      <c r="C135" t="s">
        <v>33</v>
      </c>
      <c r="D135" t="s">
        <v>34</v>
      </c>
      <c r="E135" t="s">
        <v>151</v>
      </c>
      <c r="F135" s="3" t="s">
        <v>36</v>
      </c>
      <c r="G135" s="2" t="s">
        <v>37</v>
      </c>
      <c r="H135" s="3">
        <v>42509</v>
      </c>
      <c r="I135" s="3">
        <v>2940016</v>
      </c>
      <c r="J135" s="2" t="s">
        <v>179</v>
      </c>
      <c r="K135" t="s">
        <v>151</v>
      </c>
      <c r="L135" t="s">
        <v>39</v>
      </c>
      <c r="M135" t="s">
        <v>40</v>
      </c>
      <c r="N135">
        <v>88</v>
      </c>
      <c r="O135" t="s">
        <v>153</v>
      </c>
      <c r="P135">
        <v>44754</v>
      </c>
      <c r="R135">
        <v>32.229999999999997</v>
      </c>
      <c r="S135" s="6">
        <v>9730.8799999999992</v>
      </c>
      <c r="T135" t="s">
        <v>19</v>
      </c>
      <c r="U135">
        <v>200</v>
      </c>
      <c r="V135">
        <v>15</v>
      </c>
      <c r="W135" s="7">
        <v>692</v>
      </c>
      <c r="X135">
        <v>301.92</v>
      </c>
      <c r="Y135">
        <v>4.07</v>
      </c>
      <c r="Z135">
        <v>6541.28</v>
      </c>
      <c r="AD135">
        <v>389.24</v>
      </c>
      <c r="AE135">
        <v>194.62</v>
      </c>
      <c r="AF135">
        <v>464.96</v>
      </c>
      <c r="AG135">
        <v>2140.79</v>
      </c>
      <c r="AH135">
        <v>5784.99</v>
      </c>
      <c r="AK135">
        <v>14.061965317919073</v>
      </c>
    </row>
    <row r="136" spans="1:37" x14ac:dyDescent="0.35">
      <c r="A136">
        <v>7</v>
      </c>
      <c r="B136">
        <v>2022</v>
      </c>
      <c r="C136" t="s">
        <v>33</v>
      </c>
      <c r="D136" t="s">
        <v>34</v>
      </c>
      <c r="E136" t="s">
        <v>151</v>
      </c>
      <c r="F136" s="3" t="s">
        <v>36</v>
      </c>
      <c r="G136" s="2" t="s">
        <v>37</v>
      </c>
      <c r="H136" s="3">
        <v>42509</v>
      </c>
      <c r="I136" s="3">
        <v>2940012</v>
      </c>
      <c r="J136" s="2" t="s">
        <v>180</v>
      </c>
      <c r="K136" t="s">
        <v>151</v>
      </c>
      <c r="L136" t="s">
        <v>39</v>
      </c>
      <c r="M136" t="s">
        <v>40</v>
      </c>
      <c r="N136">
        <v>88</v>
      </c>
      <c r="O136" t="s">
        <v>153</v>
      </c>
      <c r="P136">
        <v>44754</v>
      </c>
      <c r="R136">
        <v>25.85</v>
      </c>
      <c r="S136" s="6">
        <v>8975.1200000000008</v>
      </c>
      <c r="T136" t="s">
        <v>19</v>
      </c>
      <c r="U136">
        <v>200</v>
      </c>
      <c r="V136">
        <v>18</v>
      </c>
      <c r="W136" s="7">
        <v>746</v>
      </c>
      <c r="X136">
        <v>347.2</v>
      </c>
      <c r="Y136">
        <v>0.14000000000000001</v>
      </c>
      <c r="Z136">
        <v>5927.4</v>
      </c>
      <c r="AD136">
        <v>359</v>
      </c>
      <c r="AE136">
        <v>179.5</v>
      </c>
      <c r="AF136">
        <v>534.69000000000005</v>
      </c>
      <c r="AG136">
        <v>1974.53</v>
      </c>
      <c r="AH136">
        <v>5968.23</v>
      </c>
      <c r="AK136">
        <v>12.030991957104559</v>
      </c>
    </row>
    <row r="137" spans="1:37" x14ac:dyDescent="0.35">
      <c r="A137">
        <v>7</v>
      </c>
      <c r="B137">
        <v>2022</v>
      </c>
      <c r="C137" t="s">
        <v>33</v>
      </c>
      <c r="D137" t="s">
        <v>34</v>
      </c>
      <c r="E137" t="s">
        <v>151</v>
      </c>
      <c r="F137" s="3" t="s">
        <v>36</v>
      </c>
      <c r="G137" s="2" t="s">
        <v>37</v>
      </c>
      <c r="H137" s="3">
        <v>42509</v>
      </c>
      <c r="I137" s="3">
        <v>2940014</v>
      </c>
      <c r="J137" s="2" t="s">
        <v>181</v>
      </c>
      <c r="K137" t="s">
        <v>151</v>
      </c>
      <c r="L137" t="s">
        <v>39</v>
      </c>
      <c r="M137" t="s">
        <v>40</v>
      </c>
      <c r="N137">
        <v>88</v>
      </c>
      <c r="O137" t="s">
        <v>153</v>
      </c>
      <c r="P137">
        <v>44754</v>
      </c>
      <c r="R137">
        <v>24.74</v>
      </c>
      <c r="S137" s="6">
        <v>8565.48</v>
      </c>
      <c r="T137" t="s">
        <v>19</v>
      </c>
      <c r="U137">
        <v>200</v>
      </c>
      <c r="V137">
        <v>14</v>
      </c>
      <c r="W137" s="7">
        <v>793</v>
      </c>
      <c r="X137">
        <v>346.22</v>
      </c>
      <c r="Y137">
        <v>3.52</v>
      </c>
      <c r="Z137">
        <v>5633.97</v>
      </c>
      <c r="AD137">
        <v>342.62</v>
      </c>
      <c r="AE137">
        <v>171.31</v>
      </c>
      <c r="AF137">
        <v>533.17999999999995</v>
      </c>
      <c r="AG137">
        <v>1884.41</v>
      </c>
      <c r="AH137">
        <v>5013.37</v>
      </c>
      <c r="AK137">
        <v>10.801361916771752</v>
      </c>
    </row>
    <row r="138" spans="1:37" x14ac:dyDescent="0.35">
      <c r="A138">
        <v>7</v>
      </c>
      <c r="B138">
        <v>2022</v>
      </c>
      <c r="C138" t="s">
        <v>33</v>
      </c>
      <c r="D138" t="s">
        <v>34</v>
      </c>
      <c r="E138" t="s">
        <v>60</v>
      </c>
      <c r="F138" s="3" t="s">
        <v>36</v>
      </c>
      <c r="G138" s="2" t="s">
        <v>37</v>
      </c>
      <c r="H138" s="3">
        <v>42514</v>
      </c>
      <c r="I138" s="3">
        <v>2650100</v>
      </c>
      <c r="J138" s="2" t="s">
        <v>182</v>
      </c>
      <c r="K138" t="s">
        <v>60</v>
      </c>
      <c r="L138" t="s">
        <v>39</v>
      </c>
      <c r="M138" t="s">
        <v>150</v>
      </c>
      <c r="N138">
        <v>1</v>
      </c>
      <c r="O138" t="s">
        <v>34</v>
      </c>
      <c r="P138">
        <v>44754</v>
      </c>
      <c r="R138">
        <v>17.18</v>
      </c>
      <c r="S138" s="6">
        <v>58086.95</v>
      </c>
      <c r="T138" t="s">
        <v>19</v>
      </c>
      <c r="U138">
        <v>261</v>
      </c>
      <c r="V138">
        <v>160</v>
      </c>
      <c r="W138" s="7">
        <v>5584</v>
      </c>
      <c r="X138">
        <v>3381.08</v>
      </c>
      <c r="Y138">
        <v>66.92</v>
      </c>
      <c r="Z138">
        <v>38939.22</v>
      </c>
      <c r="AE138">
        <v>1161.74</v>
      </c>
      <c r="AF138">
        <v>5206.8599999999997</v>
      </c>
      <c r="AG138">
        <v>12779.13</v>
      </c>
      <c r="AK138">
        <v>10.40239075931232</v>
      </c>
    </row>
    <row r="139" spans="1:37" x14ac:dyDescent="0.35">
      <c r="A139">
        <v>7</v>
      </c>
      <c r="B139">
        <v>2022</v>
      </c>
      <c r="C139" t="s">
        <v>33</v>
      </c>
      <c r="D139" t="s">
        <v>34</v>
      </c>
      <c r="E139" t="s">
        <v>116</v>
      </c>
      <c r="F139" s="3" t="s">
        <v>36</v>
      </c>
      <c r="G139" s="2" t="s">
        <v>50</v>
      </c>
      <c r="H139" s="3">
        <v>42559</v>
      </c>
      <c r="I139" s="3">
        <v>2810001</v>
      </c>
      <c r="J139" s="2" t="s">
        <v>117</v>
      </c>
      <c r="K139" t="s">
        <v>116</v>
      </c>
      <c r="L139" t="s">
        <v>39</v>
      </c>
      <c r="M139" t="s">
        <v>40</v>
      </c>
      <c r="N139">
        <v>91</v>
      </c>
      <c r="O139" t="s">
        <v>34</v>
      </c>
      <c r="P139">
        <v>44756</v>
      </c>
      <c r="R139">
        <v>32.11</v>
      </c>
      <c r="S139" s="6">
        <v>30934.13</v>
      </c>
      <c r="T139" t="s">
        <v>19</v>
      </c>
      <c r="U139">
        <v>160</v>
      </c>
      <c r="V139">
        <v>48</v>
      </c>
      <c r="W139" s="7">
        <v>2230</v>
      </c>
      <c r="X139">
        <v>963.38</v>
      </c>
      <c r="Y139">
        <v>35.93</v>
      </c>
      <c r="Z139">
        <v>18377.490000000002</v>
      </c>
      <c r="AB139">
        <v>3648.84</v>
      </c>
      <c r="AE139">
        <v>618.67999999999995</v>
      </c>
      <c r="AF139">
        <v>1483.61</v>
      </c>
      <c r="AG139">
        <v>6805.51</v>
      </c>
      <c r="AH139">
        <v>14639.83</v>
      </c>
      <c r="AK139">
        <v>13.871807174887893</v>
      </c>
    </row>
    <row r="140" spans="1:37" x14ac:dyDescent="0.35">
      <c r="A140">
        <v>7</v>
      </c>
      <c r="B140">
        <v>2022</v>
      </c>
      <c r="C140" t="s">
        <v>33</v>
      </c>
      <c r="D140" t="s">
        <v>34</v>
      </c>
      <c r="E140" t="s">
        <v>116</v>
      </c>
      <c r="F140" s="3" t="s">
        <v>36</v>
      </c>
      <c r="G140" s="2" t="s">
        <v>50</v>
      </c>
      <c r="H140" s="3">
        <v>42559</v>
      </c>
      <c r="I140" s="3">
        <v>2810005</v>
      </c>
      <c r="J140" s="2" t="s">
        <v>139</v>
      </c>
      <c r="K140" t="s">
        <v>116</v>
      </c>
      <c r="L140" t="s">
        <v>39</v>
      </c>
      <c r="M140" t="s">
        <v>40</v>
      </c>
      <c r="N140">
        <v>91</v>
      </c>
      <c r="O140" t="s">
        <v>34</v>
      </c>
      <c r="P140">
        <v>44756</v>
      </c>
      <c r="R140">
        <v>30.19</v>
      </c>
      <c r="S140" s="6">
        <v>64228.02</v>
      </c>
      <c r="T140" t="s">
        <v>19</v>
      </c>
      <c r="U140">
        <v>240</v>
      </c>
      <c r="V140">
        <v>75</v>
      </c>
      <c r="W140" s="7">
        <v>3626</v>
      </c>
      <c r="X140">
        <v>2127.46</v>
      </c>
      <c r="Y140">
        <v>30.77</v>
      </c>
      <c r="Z140">
        <v>35391.86</v>
      </c>
      <c r="AB140">
        <v>7576.03</v>
      </c>
      <c r="AD140">
        <v>2569.12</v>
      </c>
      <c r="AE140">
        <v>1284.56</v>
      </c>
      <c r="AF140">
        <v>3276.29</v>
      </c>
      <c r="AG140">
        <v>14130.16</v>
      </c>
      <c r="AH140">
        <v>34770.629999999997</v>
      </c>
      <c r="AK140">
        <v>17.713188086045228</v>
      </c>
    </row>
    <row r="141" spans="1:37" x14ac:dyDescent="0.35">
      <c r="A141">
        <v>8</v>
      </c>
      <c r="B141">
        <v>2022</v>
      </c>
      <c r="C141" t="s">
        <v>33</v>
      </c>
      <c r="D141" t="s">
        <v>34</v>
      </c>
      <c r="E141" t="s">
        <v>42</v>
      </c>
      <c r="F141" s="3" t="s">
        <v>36</v>
      </c>
      <c r="G141" s="2" t="s">
        <v>43</v>
      </c>
      <c r="H141" s="3">
        <v>42914</v>
      </c>
      <c r="I141" s="3">
        <v>2540010</v>
      </c>
      <c r="J141" s="2" t="s">
        <v>141</v>
      </c>
      <c r="K141" t="s">
        <v>42</v>
      </c>
      <c r="L141" t="s">
        <v>39</v>
      </c>
      <c r="M141" t="s">
        <v>40</v>
      </c>
      <c r="N141">
        <v>1</v>
      </c>
      <c r="O141" t="s">
        <v>45</v>
      </c>
      <c r="P141">
        <v>44783</v>
      </c>
      <c r="R141">
        <v>27.62</v>
      </c>
      <c r="S141" s="6">
        <v>14726.71</v>
      </c>
      <c r="T141" t="s">
        <v>19</v>
      </c>
      <c r="U141">
        <v>400</v>
      </c>
      <c r="V141">
        <v>18</v>
      </c>
      <c r="W141" s="7">
        <v>565</v>
      </c>
      <c r="X141">
        <v>533.19000000000005</v>
      </c>
      <c r="Y141">
        <v>5.47</v>
      </c>
      <c r="Z141">
        <v>10369.65</v>
      </c>
      <c r="AE141">
        <v>294.52999999999997</v>
      </c>
      <c r="AF141">
        <v>821.11</v>
      </c>
      <c r="AG141">
        <v>3239.88</v>
      </c>
      <c r="AH141">
        <v>8857.26</v>
      </c>
      <c r="AK141">
        <v>26.064973451327432</v>
      </c>
    </row>
    <row r="142" spans="1:37" x14ac:dyDescent="0.35">
      <c r="A142">
        <v>8</v>
      </c>
      <c r="B142">
        <v>2022</v>
      </c>
      <c r="C142" t="s">
        <v>33</v>
      </c>
      <c r="D142" t="s">
        <v>34</v>
      </c>
      <c r="E142" t="s">
        <v>42</v>
      </c>
      <c r="F142" s="3" t="s">
        <v>36</v>
      </c>
      <c r="G142" s="2" t="s">
        <v>43</v>
      </c>
      <c r="H142" s="3">
        <v>42914</v>
      </c>
      <c r="I142" s="3">
        <v>2540006</v>
      </c>
      <c r="J142" s="2" t="s">
        <v>128</v>
      </c>
      <c r="K142" t="s">
        <v>42</v>
      </c>
      <c r="L142" t="s">
        <v>39</v>
      </c>
      <c r="M142" t="s">
        <v>40</v>
      </c>
      <c r="N142">
        <v>1</v>
      </c>
      <c r="O142" t="s">
        <v>45</v>
      </c>
      <c r="P142">
        <v>44783</v>
      </c>
      <c r="R142">
        <v>36.54</v>
      </c>
      <c r="S142" s="6">
        <v>9255.58</v>
      </c>
      <c r="T142" t="s">
        <v>19</v>
      </c>
      <c r="U142">
        <v>360</v>
      </c>
      <c r="V142">
        <v>13</v>
      </c>
      <c r="W142" s="7">
        <v>347</v>
      </c>
      <c r="X142">
        <v>253.3</v>
      </c>
      <c r="Y142">
        <v>18.87</v>
      </c>
      <c r="Z142">
        <v>6644.16</v>
      </c>
      <c r="AE142">
        <v>185.11</v>
      </c>
      <c r="AF142">
        <v>390.08</v>
      </c>
      <c r="AG142">
        <v>2036.23</v>
      </c>
      <c r="AH142">
        <v>3969.99</v>
      </c>
      <c r="AK142">
        <v>26.673141210374638</v>
      </c>
    </row>
    <row r="143" spans="1:37" x14ac:dyDescent="0.35">
      <c r="A143">
        <v>8</v>
      </c>
      <c r="B143">
        <v>2022</v>
      </c>
      <c r="C143" t="s">
        <v>33</v>
      </c>
      <c r="D143" t="s">
        <v>34</v>
      </c>
      <c r="E143" t="s">
        <v>42</v>
      </c>
      <c r="F143" s="3" t="s">
        <v>36</v>
      </c>
      <c r="G143" s="2" t="s">
        <v>43</v>
      </c>
      <c r="H143" s="3">
        <v>42914</v>
      </c>
      <c r="I143" s="3">
        <v>2540014</v>
      </c>
      <c r="J143" s="2" t="s">
        <v>183</v>
      </c>
      <c r="K143" t="s">
        <v>42</v>
      </c>
      <c r="L143" t="s">
        <v>39</v>
      </c>
      <c r="M143" t="s">
        <v>40</v>
      </c>
      <c r="N143">
        <v>1</v>
      </c>
      <c r="O143" t="s">
        <v>45</v>
      </c>
      <c r="P143">
        <v>44783</v>
      </c>
      <c r="R143">
        <v>32.21</v>
      </c>
      <c r="S143" s="6">
        <v>26186.09</v>
      </c>
      <c r="T143" t="s">
        <v>19</v>
      </c>
      <c r="U143">
        <v>300</v>
      </c>
      <c r="V143">
        <v>26</v>
      </c>
      <c r="W143" s="7">
        <v>1189</v>
      </c>
      <c r="X143">
        <v>812.98</v>
      </c>
      <c r="Y143">
        <v>17.59</v>
      </c>
      <c r="Z143">
        <v>18649.439999999999</v>
      </c>
      <c r="AE143">
        <v>523.72</v>
      </c>
      <c r="AF143">
        <v>1251.99</v>
      </c>
      <c r="AG143">
        <v>5760.94</v>
      </c>
      <c r="AH143">
        <v>13206.46</v>
      </c>
      <c r="AK143">
        <v>22.023624894869638</v>
      </c>
    </row>
    <row r="144" spans="1:37" x14ac:dyDescent="0.35">
      <c r="A144">
        <v>8</v>
      </c>
      <c r="B144">
        <v>2022</v>
      </c>
      <c r="C144" t="s">
        <v>33</v>
      </c>
      <c r="D144" t="s">
        <v>34</v>
      </c>
      <c r="E144" t="s">
        <v>42</v>
      </c>
      <c r="F144" s="3" t="s">
        <v>36</v>
      </c>
      <c r="G144" s="2" t="s">
        <v>43</v>
      </c>
      <c r="H144" s="3">
        <v>42914</v>
      </c>
      <c r="I144" s="3">
        <v>2540012</v>
      </c>
      <c r="J144" s="2" t="s">
        <v>142</v>
      </c>
      <c r="K144" t="s">
        <v>42</v>
      </c>
      <c r="L144" t="s">
        <v>39</v>
      </c>
      <c r="M144" t="s">
        <v>40</v>
      </c>
      <c r="N144">
        <v>1</v>
      </c>
      <c r="O144" t="s">
        <v>45</v>
      </c>
      <c r="P144">
        <v>44783</v>
      </c>
      <c r="R144">
        <v>27.28</v>
      </c>
      <c r="S144" s="6">
        <v>89860.32</v>
      </c>
      <c r="T144" t="s">
        <v>19</v>
      </c>
      <c r="U144">
        <v>240</v>
      </c>
      <c r="V144">
        <v>119</v>
      </c>
      <c r="W144" s="7">
        <v>5932</v>
      </c>
      <c r="X144">
        <v>3294</v>
      </c>
      <c r="Y144">
        <v>14.85</v>
      </c>
      <c r="Z144">
        <v>63221.08</v>
      </c>
      <c r="AE144">
        <v>1797.21</v>
      </c>
      <c r="AF144">
        <v>5072.76</v>
      </c>
      <c r="AG144">
        <v>19769.27</v>
      </c>
      <c r="AH144">
        <v>49296.46</v>
      </c>
      <c r="AK144">
        <v>15.148401888064734</v>
      </c>
    </row>
    <row r="145" spans="1:37" x14ac:dyDescent="0.35">
      <c r="A145">
        <v>8</v>
      </c>
      <c r="B145">
        <v>2022</v>
      </c>
      <c r="C145" t="s">
        <v>33</v>
      </c>
      <c r="D145" t="s">
        <v>34</v>
      </c>
      <c r="E145" t="s">
        <v>81</v>
      </c>
      <c r="F145" s="3" t="s">
        <v>36</v>
      </c>
      <c r="G145" s="2" t="s">
        <v>82</v>
      </c>
      <c r="H145" s="3">
        <v>43021</v>
      </c>
      <c r="I145" s="3">
        <v>2670005</v>
      </c>
      <c r="J145" s="2" t="s">
        <v>184</v>
      </c>
      <c r="K145" t="s">
        <v>81</v>
      </c>
      <c r="L145" t="s">
        <v>39</v>
      </c>
      <c r="M145" t="s">
        <v>40</v>
      </c>
      <c r="N145">
        <v>1</v>
      </c>
      <c r="O145" t="s">
        <v>34</v>
      </c>
      <c r="P145">
        <v>44792</v>
      </c>
      <c r="R145">
        <v>23.43</v>
      </c>
      <c r="S145" s="6">
        <v>48068.99</v>
      </c>
      <c r="T145" t="s">
        <v>19</v>
      </c>
      <c r="U145">
        <v>180</v>
      </c>
      <c r="V145">
        <v>95</v>
      </c>
      <c r="W145" s="7">
        <v>4787</v>
      </c>
      <c r="X145">
        <v>2051.6</v>
      </c>
      <c r="Y145">
        <v>11.94</v>
      </c>
      <c r="Z145">
        <v>30969.52</v>
      </c>
      <c r="AD145">
        <v>2403.4499999999998</v>
      </c>
      <c r="AE145">
        <v>961.38</v>
      </c>
      <c r="AF145">
        <v>3159.46</v>
      </c>
      <c r="AG145">
        <v>10575.18</v>
      </c>
      <c r="AH145">
        <v>28933.72</v>
      </c>
      <c r="AK145">
        <v>10.04156883225402</v>
      </c>
    </row>
    <row r="146" spans="1:37" x14ac:dyDescent="0.35">
      <c r="A146">
        <v>8</v>
      </c>
      <c r="B146">
        <v>2022</v>
      </c>
      <c r="C146" t="s">
        <v>33</v>
      </c>
      <c r="D146" t="s">
        <v>34</v>
      </c>
      <c r="E146" t="s">
        <v>81</v>
      </c>
      <c r="F146" s="3" t="s">
        <v>36</v>
      </c>
      <c r="G146" s="2" t="s">
        <v>82</v>
      </c>
      <c r="H146" s="3">
        <v>43021</v>
      </c>
      <c r="I146" s="3">
        <v>2670006</v>
      </c>
      <c r="J146" s="2" t="s">
        <v>185</v>
      </c>
      <c r="K146" t="s">
        <v>81</v>
      </c>
      <c r="L146" t="s">
        <v>39</v>
      </c>
      <c r="M146" t="s">
        <v>40</v>
      </c>
      <c r="N146">
        <v>1</v>
      </c>
      <c r="O146" t="s">
        <v>34</v>
      </c>
      <c r="P146">
        <v>44792</v>
      </c>
      <c r="R146">
        <v>23.83</v>
      </c>
      <c r="S146" s="6">
        <v>12030.34</v>
      </c>
      <c r="T146" t="s">
        <v>19</v>
      </c>
      <c r="U146">
        <v>180</v>
      </c>
      <c r="V146">
        <v>24</v>
      </c>
      <c r="W146" s="7">
        <v>1198</v>
      </c>
      <c r="X146">
        <v>504.84</v>
      </c>
      <c r="Y146">
        <v>10.85</v>
      </c>
      <c r="Z146">
        <v>7764.09</v>
      </c>
      <c r="AD146">
        <v>601.52</v>
      </c>
      <c r="AE146">
        <v>240.61</v>
      </c>
      <c r="AF146">
        <v>777.45</v>
      </c>
      <c r="AG146">
        <v>2646.67</v>
      </c>
      <c r="AH146">
        <v>7095.81</v>
      </c>
      <c r="AK146">
        <v>10.042020033388981</v>
      </c>
    </row>
    <row r="147" spans="1:37" x14ac:dyDescent="0.35">
      <c r="A147">
        <v>8</v>
      </c>
      <c r="B147">
        <v>2022</v>
      </c>
      <c r="C147" t="s">
        <v>33</v>
      </c>
      <c r="D147" t="s">
        <v>34</v>
      </c>
      <c r="E147" t="s">
        <v>116</v>
      </c>
      <c r="F147" s="3" t="s">
        <v>36</v>
      </c>
      <c r="G147" s="2" t="s">
        <v>50</v>
      </c>
      <c r="H147" s="3">
        <v>43146</v>
      </c>
      <c r="I147" s="3">
        <v>2810007</v>
      </c>
      <c r="J147" s="2" t="s">
        <v>186</v>
      </c>
      <c r="K147" t="s">
        <v>116</v>
      </c>
      <c r="L147" t="s">
        <v>39</v>
      </c>
      <c r="M147" t="s">
        <v>40</v>
      </c>
      <c r="N147">
        <v>91</v>
      </c>
      <c r="O147" t="s">
        <v>34</v>
      </c>
      <c r="P147">
        <v>44803</v>
      </c>
      <c r="R147">
        <v>27.42</v>
      </c>
      <c r="S147" s="6">
        <v>13780.2</v>
      </c>
      <c r="T147" t="s">
        <v>19</v>
      </c>
      <c r="U147">
        <v>210</v>
      </c>
      <c r="V147">
        <v>18</v>
      </c>
      <c r="W147" s="7">
        <v>957</v>
      </c>
      <c r="X147">
        <v>502.56</v>
      </c>
      <c r="Y147">
        <v>18.34</v>
      </c>
      <c r="Z147">
        <v>9699.01</v>
      </c>
      <c r="AE147">
        <v>275.60000000000002</v>
      </c>
      <c r="AF147">
        <v>773.94</v>
      </c>
      <c r="AG147">
        <v>3031.64</v>
      </c>
      <c r="AH147">
        <v>7994.92</v>
      </c>
      <c r="AK147">
        <v>14.399373040752351</v>
      </c>
    </row>
    <row r="148" spans="1:37" x14ac:dyDescent="0.35">
      <c r="A148">
        <v>8</v>
      </c>
      <c r="B148">
        <v>2022</v>
      </c>
      <c r="C148" t="s">
        <v>33</v>
      </c>
      <c r="D148" t="s">
        <v>34</v>
      </c>
      <c r="E148" t="s">
        <v>187</v>
      </c>
      <c r="F148" s="3" t="s">
        <v>36</v>
      </c>
      <c r="G148" s="2" t="s">
        <v>82</v>
      </c>
      <c r="H148" s="3">
        <v>43164</v>
      </c>
      <c r="I148" s="3">
        <v>2920002</v>
      </c>
      <c r="J148" s="2" t="s">
        <v>188</v>
      </c>
      <c r="K148" t="s">
        <v>187</v>
      </c>
      <c r="L148" t="s">
        <v>39</v>
      </c>
      <c r="M148" t="s">
        <v>40</v>
      </c>
      <c r="N148">
        <v>87</v>
      </c>
      <c r="O148" t="s">
        <v>34</v>
      </c>
      <c r="P148">
        <v>44803</v>
      </c>
      <c r="R148">
        <v>33.24</v>
      </c>
      <c r="S148" s="6">
        <v>16642</v>
      </c>
      <c r="T148" t="s">
        <v>19</v>
      </c>
      <c r="U148">
        <v>390</v>
      </c>
      <c r="V148">
        <v>17</v>
      </c>
      <c r="W148" s="7">
        <v>628</v>
      </c>
      <c r="X148">
        <v>500.66</v>
      </c>
      <c r="Y148">
        <v>17.989999999999998</v>
      </c>
      <c r="Z148">
        <v>11876.07</v>
      </c>
      <c r="AE148">
        <v>332.84</v>
      </c>
      <c r="AF148">
        <v>771.02</v>
      </c>
      <c r="AG148">
        <v>3661.24</v>
      </c>
      <c r="AH148">
        <v>7961.16</v>
      </c>
      <c r="AK148">
        <v>26.5</v>
      </c>
    </row>
    <row r="149" spans="1:37" x14ac:dyDescent="0.35">
      <c r="A149">
        <v>8</v>
      </c>
      <c r="B149">
        <v>2022</v>
      </c>
      <c r="C149" t="s">
        <v>33</v>
      </c>
      <c r="D149" t="s">
        <v>34</v>
      </c>
      <c r="E149" t="s">
        <v>187</v>
      </c>
      <c r="F149" s="3" t="s">
        <v>36</v>
      </c>
      <c r="G149" s="2" t="s">
        <v>82</v>
      </c>
      <c r="H149" s="3">
        <v>43164</v>
      </c>
      <c r="I149" s="3">
        <v>2920003</v>
      </c>
      <c r="J149" s="2" t="s">
        <v>189</v>
      </c>
      <c r="K149" t="s">
        <v>187</v>
      </c>
      <c r="L149" t="s">
        <v>39</v>
      </c>
      <c r="M149" t="s">
        <v>40</v>
      </c>
      <c r="N149">
        <v>87</v>
      </c>
      <c r="O149" t="s">
        <v>34</v>
      </c>
      <c r="P149">
        <v>44803</v>
      </c>
      <c r="R149">
        <v>25.71</v>
      </c>
      <c r="S149" s="6">
        <v>10144.01</v>
      </c>
      <c r="T149" t="s">
        <v>19</v>
      </c>
      <c r="U149">
        <v>280</v>
      </c>
      <c r="V149">
        <v>13</v>
      </c>
      <c r="W149" s="7">
        <v>586</v>
      </c>
      <c r="X149">
        <v>394.6</v>
      </c>
      <c r="Y149">
        <v>-70.92</v>
      </c>
      <c r="Z149">
        <v>7101.76</v>
      </c>
      <c r="AE149">
        <v>202.88</v>
      </c>
      <c r="AF149">
        <v>607.67999999999995</v>
      </c>
      <c r="AG149">
        <v>2231.6799999999998</v>
      </c>
      <c r="AH149">
        <v>5994.74</v>
      </c>
      <c r="AK149">
        <v>17.310597269624573</v>
      </c>
    </row>
    <row r="150" spans="1:37" x14ac:dyDescent="0.35">
      <c r="A150">
        <v>8</v>
      </c>
      <c r="B150">
        <v>2022</v>
      </c>
      <c r="C150" t="s">
        <v>33</v>
      </c>
      <c r="D150" t="s">
        <v>34</v>
      </c>
      <c r="E150" t="s">
        <v>187</v>
      </c>
      <c r="F150" s="3" t="s">
        <v>36</v>
      </c>
      <c r="G150" s="2" t="s">
        <v>82</v>
      </c>
      <c r="H150" s="3">
        <v>43164</v>
      </c>
      <c r="I150" s="3">
        <v>2920004</v>
      </c>
      <c r="J150" s="2" t="s">
        <v>190</v>
      </c>
      <c r="K150" t="s">
        <v>187</v>
      </c>
      <c r="L150" t="s">
        <v>39</v>
      </c>
      <c r="M150" t="s">
        <v>40</v>
      </c>
      <c r="N150">
        <v>87</v>
      </c>
      <c r="O150" t="s">
        <v>34</v>
      </c>
      <c r="P150">
        <v>44803</v>
      </c>
      <c r="R150">
        <v>25.26</v>
      </c>
      <c r="S150" s="6">
        <v>15004.79</v>
      </c>
      <c r="T150" t="s">
        <v>19</v>
      </c>
      <c r="U150">
        <v>300</v>
      </c>
      <c r="V150">
        <v>16</v>
      </c>
      <c r="W150" s="7">
        <v>841</v>
      </c>
      <c r="X150">
        <v>594.02</v>
      </c>
      <c r="Y150">
        <v>8.02</v>
      </c>
      <c r="Z150">
        <v>10488.85</v>
      </c>
      <c r="AE150">
        <v>300.10000000000002</v>
      </c>
      <c r="AF150">
        <v>914.79</v>
      </c>
      <c r="AG150">
        <v>3301.05</v>
      </c>
      <c r="AH150">
        <v>8441.14</v>
      </c>
      <c r="AK150">
        <v>17.841605231866826</v>
      </c>
    </row>
    <row r="151" spans="1:37" x14ac:dyDescent="0.35">
      <c r="A151">
        <v>8</v>
      </c>
      <c r="B151">
        <v>2022</v>
      </c>
      <c r="C151" t="s">
        <v>33</v>
      </c>
      <c r="D151" t="s">
        <v>34</v>
      </c>
      <c r="E151" t="s">
        <v>187</v>
      </c>
      <c r="F151" s="3" t="s">
        <v>36</v>
      </c>
      <c r="G151" s="2" t="s">
        <v>82</v>
      </c>
      <c r="H151" s="3">
        <v>43164</v>
      </c>
      <c r="I151" s="3">
        <v>2920006</v>
      </c>
      <c r="J151" s="2" t="s">
        <v>191</v>
      </c>
      <c r="K151" t="s">
        <v>187</v>
      </c>
      <c r="L151" t="s">
        <v>39</v>
      </c>
      <c r="M151" t="s">
        <v>40</v>
      </c>
      <c r="N151">
        <v>87</v>
      </c>
      <c r="O151" t="s">
        <v>34</v>
      </c>
      <c r="P151">
        <v>44803</v>
      </c>
      <c r="R151">
        <v>26.75</v>
      </c>
      <c r="S151" s="6">
        <v>8534.1299999999992</v>
      </c>
      <c r="T151" t="s">
        <v>19</v>
      </c>
      <c r="U151">
        <v>280</v>
      </c>
      <c r="V151">
        <v>11</v>
      </c>
      <c r="W151" s="7">
        <v>493</v>
      </c>
      <c r="X151">
        <v>319.08</v>
      </c>
      <c r="Y151">
        <v>22.39</v>
      </c>
      <c r="Z151">
        <v>5994.56</v>
      </c>
      <c r="AE151">
        <v>170.68</v>
      </c>
      <c r="AF151">
        <v>491.38</v>
      </c>
      <c r="AG151">
        <v>1877.51</v>
      </c>
      <c r="AH151">
        <v>4708.1899999999996</v>
      </c>
      <c r="AK151">
        <v>17.310608519269774</v>
      </c>
    </row>
    <row r="152" spans="1:37" x14ac:dyDescent="0.35">
      <c r="A152">
        <v>8</v>
      </c>
      <c r="B152">
        <v>2022</v>
      </c>
      <c r="C152" t="s">
        <v>33</v>
      </c>
      <c r="D152" t="s">
        <v>34</v>
      </c>
      <c r="E152" t="s">
        <v>187</v>
      </c>
      <c r="F152" s="3" t="s">
        <v>36</v>
      </c>
      <c r="G152" s="2" t="s">
        <v>82</v>
      </c>
      <c r="H152" s="3">
        <v>43164</v>
      </c>
      <c r="I152" s="3">
        <v>2920007</v>
      </c>
      <c r="J152" s="2" t="s">
        <v>192</v>
      </c>
      <c r="K152" t="s">
        <v>187</v>
      </c>
      <c r="L152" t="s">
        <v>39</v>
      </c>
      <c r="M152" t="s">
        <v>40</v>
      </c>
      <c r="N152">
        <v>87</v>
      </c>
      <c r="O152" t="s">
        <v>34</v>
      </c>
      <c r="P152">
        <v>44803</v>
      </c>
      <c r="R152">
        <v>43.98</v>
      </c>
      <c r="S152" s="6">
        <v>15513.93</v>
      </c>
      <c r="T152" t="s">
        <v>19</v>
      </c>
      <c r="U152">
        <v>280</v>
      </c>
      <c r="V152">
        <v>11</v>
      </c>
      <c r="W152" s="7">
        <v>537</v>
      </c>
      <c r="X152">
        <v>352.72</v>
      </c>
      <c r="Y152">
        <v>26.37</v>
      </c>
      <c r="Z152">
        <v>11245.44</v>
      </c>
      <c r="AE152">
        <v>310.27999999999997</v>
      </c>
      <c r="AF152">
        <v>543.19000000000005</v>
      </c>
      <c r="AG152">
        <v>3413.06</v>
      </c>
      <c r="AH152">
        <v>6757.02</v>
      </c>
      <c r="AK152">
        <v>28.89</v>
      </c>
    </row>
    <row r="153" spans="1:37" x14ac:dyDescent="0.35">
      <c r="A153">
        <v>8</v>
      </c>
      <c r="B153">
        <v>2022</v>
      </c>
      <c r="C153" t="s">
        <v>33</v>
      </c>
      <c r="D153" t="s">
        <v>34</v>
      </c>
      <c r="E153" t="s">
        <v>187</v>
      </c>
      <c r="F153" s="3" t="s">
        <v>36</v>
      </c>
      <c r="G153" s="2" t="s">
        <v>82</v>
      </c>
      <c r="H153" s="3">
        <v>43164</v>
      </c>
      <c r="I153" s="3">
        <v>2920008</v>
      </c>
      <c r="J153" s="2" t="s">
        <v>193</v>
      </c>
      <c r="K153" t="s">
        <v>187</v>
      </c>
      <c r="L153" t="s">
        <v>39</v>
      </c>
      <c r="M153" t="s">
        <v>40</v>
      </c>
      <c r="N153">
        <v>87</v>
      </c>
      <c r="O153" t="s">
        <v>34</v>
      </c>
      <c r="P153">
        <v>44803</v>
      </c>
      <c r="R153">
        <v>33.799999999999997</v>
      </c>
      <c r="S153" s="6">
        <v>10305.01</v>
      </c>
      <c r="T153" t="s">
        <v>19</v>
      </c>
      <c r="U153">
        <v>280</v>
      </c>
      <c r="V153">
        <v>12</v>
      </c>
      <c r="W153" s="7">
        <v>478</v>
      </c>
      <c r="X153">
        <v>304.88</v>
      </c>
      <c r="Y153">
        <v>26.95</v>
      </c>
      <c r="Z153">
        <v>7362.29</v>
      </c>
      <c r="AE153">
        <v>206.1</v>
      </c>
      <c r="AF153">
        <v>469.52</v>
      </c>
      <c r="AG153">
        <v>2267.1</v>
      </c>
      <c r="AH153">
        <v>4693.3100000000004</v>
      </c>
      <c r="AK153">
        <v>21.558598326359832</v>
      </c>
    </row>
    <row r="154" spans="1:37" x14ac:dyDescent="0.35">
      <c r="A154">
        <v>8</v>
      </c>
      <c r="B154">
        <v>2022</v>
      </c>
      <c r="C154" t="s">
        <v>33</v>
      </c>
      <c r="D154" t="s">
        <v>34</v>
      </c>
      <c r="E154" t="s">
        <v>187</v>
      </c>
      <c r="F154" s="3" t="s">
        <v>36</v>
      </c>
      <c r="G154" s="2" t="s">
        <v>82</v>
      </c>
      <c r="H154" s="3">
        <v>43164</v>
      </c>
      <c r="I154" s="3">
        <v>2920009</v>
      </c>
      <c r="J154" s="2" t="s">
        <v>194</v>
      </c>
      <c r="K154" t="s">
        <v>187</v>
      </c>
      <c r="L154" t="s">
        <v>39</v>
      </c>
      <c r="M154" t="s">
        <v>40</v>
      </c>
      <c r="N154">
        <v>87</v>
      </c>
      <c r="O154" t="s">
        <v>34</v>
      </c>
      <c r="P154">
        <v>44803</v>
      </c>
      <c r="R154">
        <v>42.65</v>
      </c>
      <c r="S154" s="6">
        <v>4446</v>
      </c>
      <c r="T154" t="s">
        <v>19</v>
      </c>
      <c r="U154">
        <v>97</v>
      </c>
      <c r="V154">
        <v>4</v>
      </c>
      <c r="W154" s="7">
        <v>600</v>
      </c>
      <c r="X154">
        <v>104.24</v>
      </c>
      <c r="Y154">
        <v>52.6</v>
      </c>
      <c r="Z154">
        <v>3218.43</v>
      </c>
      <c r="AE154">
        <v>88.92</v>
      </c>
      <c r="AF154">
        <v>160.53</v>
      </c>
      <c r="AG154">
        <v>978.12</v>
      </c>
      <c r="AH154">
        <v>759.91</v>
      </c>
      <c r="AK154">
        <v>7.41</v>
      </c>
    </row>
    <row r="155" spans="1:37" x14ac:dyDescent="0.35">
      <c r="A155">
        <v>9</v>
      </c>
      <c r="B155">
        <v>2022</v>
      </c>
      <c r="C155" t="s">
        <v>33</v>
      </c>
      <c r="D155" t="s">
        <v>34</v>
      </c>
      <c r="E155" t="s">
        <v>195</v>
      </c>
      <c r="F155" s="3" t="s">
        <v>36</v>
      </c>
      <c r="G155" s="2" t="s">
        <v>37</v>
      </c>
      <c r="H155" s="3">
        <v>43199</v>
      </c>
      <c r="I155" s="3">
        <v>2980001</v>
      </c>
      <c r="J155" s="2" t="s">
        <v>196</v>
      </c>
      <c r="K155" t="s">
        <v>195</v>
      </c>
      <c r="L155" t="s">
        <v>39</v>
      </c>
      <c r="M155" t="s">
        <v>40</v>
      </c>
      <c r="N155">
        <v>1</v>
      </c>
      <c r="O155" t="s">
        <v>34</v>
      </c>
      <c r="P155">
        <v>44806</v>
      </c>
      <c r="R155">
        <v>24.24</v>
      </c>
      <c r="S155" s="6">
        <v>6240.82</v>
      </c>
      <c r="T155" t="s">
        <v>19</v>
      </c>
      <c r="U155">
        <v>200</v>
      </c>
      <c r="V155">
        <v>11</v>
      </c>
      <c r="W155" s="7">
        <v>557</v>
      </c>
      <c r="X155">
        <v>257.48</v>
      </c>
      <c r="Y155">
        <v>8.67</v>
      </c>
      <c r="Z155">
        <v>3847.24</v>
      </c>
      <c r="AD155">
        <v>249.63</v>
      </c>
      <c r="AE155">
        <v>124.82</v>
      </c>
      <c r="AF155">
        <v>396.52</v>
      </c>
      <c r="AG155">
        <v>1622.61</v>
      </c>
      <c r="AH155">
        <v>2890.37</v>
      </c>
      <c r="AK155">
        <v>11.204344703770197</v>
      </c>
    </row>
    <row r="156" spans="1:37" x14ac:dyDescent="0.35">
      <c r="A156">
        <v>9</v>
      </c>
      <c r="B156">
        <v>2022</v>
      </c>
      <c r="C156" t="s">
        <v>33</v>
      </c>
      <c r="D156" t="s">
        <v>34</v>
      </c>
      <c r="E156" t="s">
        <v>195</v>
      </c>
      <c r="F156" s="3" t="s">
        <v>36</v>
      </c>
      <c r="G156" s="2" t="s">
        <v>37</v>
      </c>
      <c r="H156" s="3">
        <v>43199</v>
      </c>
      <c r="I156" s="3">
        <v>2980002</v>
      </c>
      <c r="J156" s="2" t="s">
        <v>197</v>
      </c>
      <c r="K156" t="s">
        <v>195</v>
      </c>
      <c r="L156" t="s">
        <v>39</v>
      </c>
      <c r="M156" t="s">
        <v>40</v>
      </c>
      <c r="N156">
        <v>1</v>
      </c>
      <c r="O156" t="s">
        <v>34</v>
      </c>
      <c r="P156">
        <v>44806</v>
      </c>
      <c r="R156">
        <v>24.5</v>
      </c>
      <c r="S156" s="6">
        <v>6476.12</v>
      </c>
      <c r="T156" t="s">
        <v>19</v>
      </c>
      <c r="U156">
        <v>200</v>
      </c>
      <c r="V156">
        <v>12</v>
      </c>
      <c r="W156" s="7">
        <v>578</v>
      </c>
      <c r="X156">
        <v>264.3</v>
      </c>
      <c r="Y156">
        <v>9.1</v>
      </c>
      <c r="Z156">
        <v>3996.74</v>
      </c>
      <c r="AD156">
        <v>259.04000000000002</v>
      </c>
      <c r="AE156">
        <v>129.52000000000001</v>
      </c>
      <c r="AF156">
        <v>407.02</v>
      </c>
      <c r="AG156">
        <v>1683.79</v>
      </c>
      <c r="AH156">
        <v>2427.09</v>
      </c>
      <c r="AK156">
        <v>11.204359861591696</v>
      </c>
    </row>
    <row r="157" spans="1:37" x14ac:dyDescent="0.35">
      <c r="A157">
        <v>9</v>
      </c>
      <c r="B157">
        <v>2022</v>
      </c>
      <c r="C157" t="s">
        <v>33</v>
      </c>
      <c r="D157" t="s">
        <v>34</v>
      </c>
      <c r="E157" t="s">
        <v>195</v>
      </c>
      <c r="F157" s="3" t="s">
        <v>36</v>
      </c>
      <c r="G157" s="2" t="s">
        <v>37</v>
      </c>
      <c r="H157" s="3">
        <v>43199</v>
      </c>
      <c r="I157" s="3">
        <v>2980003</v>
      </c>
      <c r="J157" s="2" t="s">
        <v>198</v>
      </c>
      <c r="K157" t="s">
        <v>195</v>
      </c>
      <c r="L157" t="s">
        <v>39</v>
      </c>
      <c r="M157" t="s">
        <v>40</v>
      </c>
      <c r="N157">
        <v>1</v>
      </c>
      <c r="O157" t="s">
        <v>34</v>
      </c>
      <c r="P157">
        <v>44806</v>
      </c>
      <c r="R157">
        <v>23.79</v>
      </c>
      <c r="S157" s="6">
        <v>6459.1</v>
      </c>
      <c r="T157" t="s">
        <v>19</v>
      </c>
      <c r="U157">
        <v>200</v>
      </c>
      <c r="V157">
        <v>11</v>
      </c>
      <c r="W157" s="7">
        <v>566</v>
      </c>
      <c r="X157">
        <v>271.54000000000002</v>
      </c>
      <c r="Y157">
        <v>8.52</v>
      </c>
      <c r="Z157">
        <v>3974.02</v>
      </c>
      <c r="AD157">
        <v>258.36</v>
      </c>
      <c r="AE157">
        <v>129.18</v>
      </c>
      <c r="AF157">
        <v>418.17</v>
      </c>
      <c r="AG157">
        <v>1679.37</v>
      </c>
      <c r="AH157">
        <v>2803.68</v>
      </c>
      <c r="AK157">
        <v>11.411837455830389</v>
      </c>
    </row>
    <row r="158" spans="1:37" x14ac:dyDescent="0.35">
      <c r="A158">
        <v>9</v>
      </c>
      <c r="B158">
        <v>2022</v>
      </c>
      <c r="C158" t="s">
        <v>33</v>
      </c>
      <c r="D158" t="s">
        <v>34</v>
      </c>
      <c r="E158" t="s">
        <v>195</v>
      </c>
      <c r="F158" s="3" t="s">
        <v>36</v>
      </c>
      <c r="G158" s="2" t="s">
        <v>37</v>
      </c>
      <c r="H158" s="3">
        <v>43199</v>
      </c>
      <c r="I158" s="3">
        <v>2980004</v>
      </c>
      <c r="J158" s="2" t="s">
        <v>199</v>
      </c>
      <c r="K158" t="s">
        <v>195</v>
      </c>
      <c r="L158" t="s">
        <v>39</v>
      </c>
      <c r="M158" t="s">
        <v>40</v>
      </c>
      <c r="N158">
        <v>1</v>
      </c>
      <c r="O158" t="s">
        <v>34</v>
      </c>
      <c r="P158">
        <v>44806</v>
      </c>
      <c r="R158">
        <v>24.58</v>
      </c>
      <c r="S158" s="6">
        <v>5945.57</v>
      </c>
      <c r="T158" t="s">
        <v>19</v>
      </c>
      <c r="U158">
        <v>200</v>
      </c>
      <c r="V158">
        <v>11</v>
      </c>
      <c r="W158" s="7">
        <v>521</v>
      </c>
      <c r="X158">
        <v>241.92</v>
      </c>
      <c r="Y158">
        <v>8.52</v>
      </c>
      <c r="Z158">
        <v>3670.43</v>
      </c>
      <c r="AD158">
        <v>237.82</v>
      </c>
      <c r="AE158">
        <v>118.91</v>
      </c>
      <c r="AF158">
        <v>372.56</v>
      </c>
      <c r="AG158">
        <v>1545.85</v>
      </c>
      <c r="AH158">
        <v>2497.85</v>
      </c>
      <c r="AK158">
        <v>11.411842610364683</v>
      </c>
    </row>
    <row r="159" spans="1:37" x14ac:dyDescent="0.35">
      <c r="A159">
        <v>9</v>
      </c>
      <c r="B159">
        <v>2022</v>
      </c>
      <c r="C159" t="s">
        <v>33</v>
      </c>
      <c r="D159" t="s">
        <v>34</v>
      </c>
      <c r="E159" t="s">
        <v>195</v>
      </c>
      <c r="F159" s="3" t="s">
        <v>36</v>
      </c>
      <c r="G159" s="2" t="s">
        <v>37</v>
      </c>
      <c r="H159" s="3">
        <v>43199</v>
      </c>
      <c r="I159" s="3">
        <v>2980005</v>
      </c>
      <c r="J159" s="2" t="s">
        <v>200</v>
      </c>
      <c r="K159" t="s">
        <v>195</v>
      </c>
      <c r="L159" t="s">
        <v>39</v>
      </c>
      <c r="M159" t="s">
        <v>40</v>
      </c>
      <c r="N159">
        <v>1</v>
      </c>
      <c r="O159" t="s">
        <v>34</v>
      </c>
      <c r="P159">
        <v>44806</v>
      </c>
      <c r="R159">
        <v>24.22</v>
      </c>
      <c r="S159" s="6">
        <v>4336.5</v>
      </c>
      <c r="T159" t="s">
        <v>19</v>
      </c>
      <c r="U159">
        <v>200</v>
      </c>
      <c r="V159">
        <v>7</v>
      </c>
      <c r="W159" s="7">
        <v>380</v>
      </c>
      <c r="X159">
        <v>179.08</v>
      </c>
      <c r="Y159">
        <v>8.52</v>
      </c>
      <c r="Z159">
        <v>2673.04</v>
      </c>
      <c r="AD159">
        <v>173.46</v>
      </c>
      <c r="AE159">
        <v>86.73</v>
      </c>
      <c r="AF159">
        <v>275.77999999999997</v>
      </c>
      <c r="AG159">
        <v>1127.49</v>
      </c>
      <c r="AH159">
        <v>1849.02</v>
      </c>
      <c r="AK159">
        <v>11.411842105263158</v>
      </c>
    </row>
    <row r="160" spans="1:37" x14ac:dyDescent="0.35">
      <c r="A160">
        <v>9</v>
      </c>
      <c r="B160">
        <v>2022</v>
      </c>
      <c r="C160" t="s">
        <v>33</v>
      </c>
      <c r="D160" t="s">
        <v>34</v>
      </c>
      <c r="E160" t="s">
        <v>195</v>
      </c>
      <c r="F160" s="3" t="s">
        <v>36</v>
      </c>
      <c r="G160" s="2" t="s">
        <v>37</v>
      </c>
      <c r="H160" s="3">
        <v>43199</v>
      </c>
      <c r="I160" s="3">
        <v>2980006</v>
      </c>
      <c r="J160" s="2" t="s">
        <v>201</v>
      </c>
      <c r="K160" t="s">
        <v>195</v>
      </c>
      <c r="L160" t="s">
        <v>39</v>
      </c>
      <c r="M160" t="s">
        <v>40</v>
      </c>
      <c r="N160">
        <v>1</v>
      </c>
      <c r="O160" t="s">
        <v>34</v>
      </c>
      <c r="P160">
        <v>44806</v>
      </c>
      <c r="R160">
        <v>28.52</v>
      </c>
      <c r="S160" s="6">
        <v>16339.68</v>
      </c>
      <c r="T160" t="s">
        <v>19</v>
      </c>
      <c r="U160">
        <v>160</v>
      </c>
      <c r="V160">
        <v>29</v>
      </c>
      <c r="W160" s="7">
        <v>1500</v>
      </c>
      <c r="X160">
        <v>572.91999999999996</v>
      </c>
      <c r="Y160">
        <v>24.47</v>
      </c>
      <c r="Z160">
        <v>10882.27</v>
      </c>
      <c r="AE160">
        <v>326.79000000000002</v>
      </c>
      <c r="AF160">
        <v>882.3</v>
      </c>
      <c r="AG160">
        <v>4248.32</v>
      </c>
      <c r="AH160">
        <v>5389.71</v>
      </c>
      <c r="AK160">
        <v>10.89312</v>
      </c>
    </row>
    <row r="161" spans="1:37" x14ac:dyDescent="0.35">
      <c r="A161">
        <v>9</v>
      </c>
      <c r="B161">
        <v>2022</v>
      </c>
      <c r="C161" t="s">
        <v>33</v>
      </c>
      <c r="D161" t="s">
        <v>34</v>
      </c>
      <c r="E161" t="s">
        <v>195</v>
      </c>
      <c r="F161" s="3" t="s">
        <v>36</v>
      </c>
      <c r="G161" s="2" t="s">
        <v>37</v>
      </c>
      <c r="H161" s="3">
        <v>43199</v>
      </c>
      <c r="I161" s="3">
        <v>2980007</v>
      </c>
      <c r="J161" s="2" t="s">
        <v>202</v>
      </c>
      <c r="K161" t="s">
        <v>195</v>
      </c>
      <c r="L161" t="s">
        <v>39</v>
      </c>
      <c r="M161" t="s">
        <v>40</v>
      </c>
      <c r="N161">
        <v>1</v>
      </c>
      <c r="O161" t="s">
        <v>34</v>
      </c>
      <c r="P161">
        <v>44806</v>
      </c>
      <c r="R161">
        <v>25.07</v>
      </c>
      <c r="S161" s="6">
        <v>9240.74</v>
      </c>
      <c r="T161" t="s">
        <v>19</v>
      </c>
      <c r="U161">
        <v>200</v>
      </c>
      <c r="V161">
        <v>16</v>
      </c>
      <c r="W161" s="7">
        <v>869</v>
      </c>
      <c r="X161">
        <v>368.6</v>
      </c>
      <c r="Y161">
        <v>9.43</v>
      </c>
      <c r="Z161">
        <v>5716.06</v>
      </c>
      <c r="AD161">
        <v>369.63</v>
      </c>
      <c r="AE161">
        <v>184.81</v>
      </c>
      <c r="AF161">
        <v>567.64</v>
      </c>
      <c r="AG161">
        <v>2402.59</v>
      </c>
      <c r="AH161">
        <v>3590.36</v>
      </c>
      <c r="AK161">
        <v>10.633762945914844</v>
      </c>
    </row>
    <row r="162" spans="1:37" x14ac:dyDescent="0.35">
      <c r="A162">
        <v>9</v>
      </c>
      <c r="B162">
        <v>2022</v>
      </c>
      <c r="C162" t="s">
        <v>33</v>
      </c>
      <c r="D162" t="s">
        <v>34</v>
      </c>
      <c r="E162" t="s">
        <v>195</v>
      </c>
      <c r="F162" s="3" t="s">
        <v>36</v>
      </c>
      <c r="G162" s="2" t="s">
        <v>37</v>
      </c>
      <c r="H162" s="3">
        <v>43199</v>
      </c>
      <c r="I162" s="3">
        <v>2980008</v>
      </c>
      <c r="J162" s="2" t="s">
        <v>203</v>
      </c>
      <c r="K162" t="s">
        <v>195</v>
      </c>
      <c r="L162" t="s">
        <v>39</v>
      </c>
      <c r="M162" t="s">
        <v>40</v>
      </c>
      <c r="N162">
        <v>1</v>
      </c>
      <c r="O162" t="s">
        <v>34</v>
      </c>
      <c r="P162">
        <v>44806</v>
      </c>
      <c r="R162">
        <v>26.75</v>
      </c>
      <c r="S162" s="6">
        <v>11388.76</v>
      </c>
      <c r="T162" t="s">
        <v>19</v>
      </c>
      <c r="U162">
        <v>160</v>
      </c>
      <c r="V162">
        <v>24</v>
      </c>
      <c r="W162" s="7">
        <v>1071</v>
      </c>
      <c r="X162">
        <v>425.72</v>
      </c>
      <c r="Y162">
        <v>20.48</v>
      </c>
      <c r="Z162">
        <v>7544.3</v>
      </c>
      <c r="AE162">
        <v>227.78</v>
      </c>
      <c r="AF162">
        <v>655.61</v>
      </c>
      <c r="AG162">
        <v>2961.08</v>
      </c>
      <c r="AH162">
        <v>4449.17</v>
      </c>
      <c r="AK162">
        <v>10.633762838468721</v>
      </c>
    </row>
    <row r="163" spans="1:37" x14ac:dyDescent="0.35">
      <c r="A163">
        <v>9</v>
      </c>
      <c r="B163">
        <v>2022</v>
      </c>
      <c r="C163" t="s">
        <v>33</v>
      </c>
      <c r="D163" t="s">
        <v>34</v>
      </c>
      <c r="E163" t="s">
        <v>195</v>
      </c>
      <c r="F163" s="3" t="s">
        <v>36</v>
      </c>
      <c r="G163" s="2" t="s">
        <v>37</v>
      </c>
      <c r="H163" s="3">
        <v>43199</v>
      </c>
      <c r="I163" s="3">
        <v>2980009</v>
      </c>
      <c r="J163" s="2" t="s">
        <v>204</v>
      </c>
      <c r="K163" t="s">
        <v>195</v>
      </c>
      <c r="L163" t="s">
        <v>39</v>
      </c>
      <c r="M163" t="s">
        <v>40</v>
      </c>
      <c r="N163">
        <v>1</v>
      </c>
      <c r="O163" t="s">
        <v>34</v>
      </c>
      <c r="P163">
        <v>44806</v>
      </c>
      <c r="R163">
        <v>26.84</v>
      </c>
      <c r="S163" s="6">
        <v>12122.49</v>
      </c>
      <c r="T163" t="s">
        <v>19</v>
      </c>
      <c r="U163">
        <v>160</v>
      </c>
      <c r="V163">
        <v>23</v>
      </c>
      <c r="W163" s="7">
        <v>1140</v>
      </c>
      <c r="X163">
        <v>451.58</v>
      </c>
      <c r="Y163">
        <v>15.91</v>
      </c>
      <c r="Z163">
        <v>7547.86</v>
      </c>
      <c r="AD163">
        <v>484.9</v>
      </c>
      <c r="AE163">
        <v>242.45</v>
      </c>
      <c r="AF163">
        <v>695.43</v>
      </c>
      <c r="AG163">
        <v>3151.85</v>
      </c>
      <c r="AH163">
        <v>4438.91</v>
      </c>
      <c r="AK163">
        <v>10.633763157894737</v>
      </c>
    </row>
    <row r="164" spans="1:37" x14ac:dyDescent="0.35">
      <c r="A164">
        <v>9</v>
      </c>
      <c r="B164">
        <v>2022</v>
      </c>
      <c r="C164" t="s">
        <v>33</v>
      </c>
      <c r="D164" t="s">
        <v>34</v>
      </c>
      <c r="E164" t="s">
        <v>195</v>
      </c>
      <c r="F164" s="3" t="s">
        <v>36</v>
      </c>
      <c r="G164" s="2" t="s">
        <v>37</v>
      </c>
      <c r="H164" s="3">
        <v>43199</v>
      </c>
      <c r="I164" s="3">
        <v>2980100</v>
      </c>
      <c r="J164" s="2" t="s">
        <v>205</v>
      </c>
      <c r="K164" t="s">
        <v>195</v>
      </c>
      <c r="L164" t="s">
        <v>39</v>
      </c>
      <c r="M164" t="s">
        <v>40</v>
      </c>
      <c r="N164">
        <v>1</v>
      </c>
      <c r="O164" t="s">
        <v>34</v>
      </c>
      <c r="P164">
        <v>44806</v>
      </c>
      <c r="R164">
        <v>9.49</v>
      </c>
      <c r="S164" s="6">
        <v>29040.54</v>
      </c>
      <c r="T164" t="s">
        <v>19</v>
      </c>
      <c r="U164">
        <v>300</v>
      </c>
      <c r="V164">
        <v>201</v>
      </c>
      <c r="W164" s="7">
        <v>5599</v>
      </c>
      <c r="X164">
        <v>3059.29</v>
      </c>
      <c r="Y164">
        <v>57.09</v>
      </c>
      <c r="Z164">
        <v>16197.88</v>
      </c>
      <c r="AE164">
        <v>580.80999999999995</v>
      </c>
      <c r="AF164">
        <v>4711.3100000000004</v>
      </c>
      <c r="AG164">
        <v>7550.54</v>
      </c>
      <c r="AK164">
        <v>5.1867369173066624</v>
      </c>
    </row>
    <row r="165" spans="1:37" x14ac:dyDescent="0.35">
      <c r="A165">
        <v>9</v>
      </c>
      <c r="B165">
        <v>2022</v>
      </c>
      <c r="C165" t="s">
        <v>33</v>
      </c>
      <c r="D165" t="s">
        <v>34</v>
      </c>
      <c r="E165" t="s">
        <v>195</v>
      </c>
      <c r="F165" s="3" t="s">
        <v>36</v>
      </c>
      <c r="G165" s="2" t="s">
        <v>37</v>
      </c>
      <c r="H165" s="3">
        <v>43201</v>
      </c>
      <c r="I165" s="3">
        <v>2980100</v>
      </c>
      <c r="J165" s="2" t="s">
        <v>205</v>
      </c>
      <c r="K165" t="s">
        <v>195</v>
      </c>
      <c r="L165" t="s">
        <v>39</v>
      </c>
      <c r="M165" t="s">
        <v>40</v>
      </c>
      <c r="N165">
        <v>1</v>
      </c>
      <c r="O165" t="s">
        <v>34</v>
      </c>
      <c r="P165">
        <v>44806</v>
      </c>
      <c r="R165">
        <v>11.68</v>
      </c>
      <c r="S165" s="6">
        <v>93960.93</v>
      </c>
      <c r="T165" t="s">
        <v>19</v>
      </c>
      <c r="U165">
        <v>300</v>
      </c>
      <c r="V165">
        <v>325</v>
      </c>
      <c r="W165" s="7">
        <v>12076</v>
      </c>
      <c r="X165">
        <v>8046.79</v>
      </c>
      <c r="Y165">
        <v>57.09</v>
      </c>
      <c r="Z165">
        <v>55259.81</v>
      </c>
      <c r="AE165">
        <v>1879.22</v>
      </c>
      <c r="AF165">
        <v>12392.06</v>
      </c>
      <c r="AG165">
        <v>24429.84</v>
      </c>
      <c r="AK165">
        <v>7.7807991056641264</v>
      </c>
    </row>
    <row r="166" spans="1:37" x14ac:dyDescent="0.35">
      <c r="A166">
        <v>9</v>
      </c>
      <c r="B166">
        <v>2022</v>
      </c>
      <c r="C166" t="s">
        <v>33</v>
      </c>
      <c r="D166" t="s">
        <v>34</v>
      </c>
      <c r="E166" t="s">
        <v>60</v>
      </c>
      <c r="F166" s="3" t="s">
        <v>36</v>
      </c>
      <c r="G166" s="2" t="s">
        <v>37</v>
      </c>
      <c r="H166" s="3">
        <v>43407</v>
      </c>
      <c r="I166" s="3">
        <v>2650100</v>
      </c>
      <c r="J166" s="2" t="s">
        <v>206</v>
      </c>
      <c r="K166" t="s">
        <v>60</v>
      </c>
      <c r="L166" t="s">
        <v>39</v>
      </c>
      <c r="M166" t="s">
        <v>40</v>
      </c>
      <c r="N166">
        <v>1</v>
      </c>
      <c r="O166" t="s">
        <v>34</v>
      </c>
      <c r="P166">
        <v>44826</v>
      </c>
      <c r="R166">
        <v>17.38</v>
      </c>
      <c r="S166" s="6">
        <v>59223.519999999997</v>
      </c>
      <c r="T166" t="s">
        <v>19</v>
      </c>
      <c r="U166">
        <v>261</v>
      </c>
      <c r="V166">
        <v>138</v>
      </c>
      <c r="W166" s="7">
        <v>6030</v>
      </c>
      <c r="X166">
        <v>3407.61</v>
      </c>
      <c r="Y166">
        <v>62.92</v>
      </c>
      <c r="Z166">
        <v>37393.22</v>
      </c>
      <c r="AE166">
        <v>1184.47</v>
      </c>
      <c r="AF166">
        <v>5247.72</v>
      </c>
      <c r="AG166">
        <v>15398.12</v>
      </c>
      <c r="AK166">
        <v>9.8214792703150913</v>
      </c>
    </row>
    <row r="167" spans="1:37" x14ac:dyDescent="0.35">
      <c r="A167">
        <v>9</v>
      </c>
      <c r="B167">
        <v>2022</v>
      </c>
      <c r="C167" t="s">
        <v>33</v>
      </c>
      <c r="D167" t="s">
        <v>34</v>
      </c>
      <c r="E167" t="s">
        <v>344</v>
      </c>
      <c r="F167" s="3" t="s">
        <v>36</v>
      </c>
      <c r="G167" s="2" t="s">
        <v>37</v>
      </c>
      <c r="H167" s="3">
        <v>43455</v>
      </c>
      <c r="I167" s="3">
        <v>3040001</v>
      </c>
      <c r="J167" s="2" t="s">
        <v>208</v>
      </c>
      <c r="K167" t="s">
        <v>207</v>
      </c>
      <c r="L167" t="s">
        <v>39</v>
      </c>
      <c r="M167" t="s">
        <v>40</v>
      </c>
      <c r="N167">
        <v>1</v>
      </c>
      <c r="O167" t="s">
        <v>34</v>
      </c>
      <c r="P167">
        <v>44830</v>
      </c>
      <c r="R167">
        <v>34.08</v>
      </c>
      <c r="S167" s="6">
        <v>11302.54</v>
      </c>
      <c r="T167" t="s">
        <v>19</v>
      </c>
      <c r="U167">
        <v>80</v>
      </c>
      <c r="V167">
        <v>8</v>
      </c>
      <c r="W167" s="7">
        <v>2060</v>
      </c>
      <c r="X167">
        <v>331.66</v>
      </c>
      <c r="Y167">
        <v>0</v>
      </c>
      <c r="Z167">
        <v>7627.07</v>
      </c>
      <c r="AE167">
        <v>226.05</v>
      </c>
      <c r="AF167">
        <v>510.76</v>
      </c>
      <c r="AG167">
        <v>2938.66</v>
      </c>
      <c r="AH167" t="s">
        <v>209</v>
      </c>
      <c r="AK167">
        <v>5.486669902912622</v>
      </c>
    </row>
    <row r="168" spans="1:37" x14ac:dyDescent="0.35">
      <c r="A168">
        <v>9</v>
      </c>
      <c r="B168">
        <v>2022</v>
      </c>
      <c r="C168" t="s">
        <v>33</v>
      </c>
      <c r="D168" t="s">
        <v>34</v>
      </c>
      <c r="E168" t="s">
        <v>344</v>
      </c>
      <c r="F168" s="3" t="s">
        <v>36</v>
      </c>
      <c r="G168" s="2" t="s">
        <v>37</v>
      </c>
      <c r="H168" s="3">
        <v>43455</v>
      </c>
      <c r="I168" s="3">
        <v>3040002</v>
      </c>
      <c r="J168" s="2" t="s">
        <v>210</v>
      </c>
      <c r="K168" t="s">
        <v>207</v>
      </c>
      <c r="L168" t="s">
        <v>39</v>
      </c>
      <c r="M168" t="s">
        <v>40</v>
      </c>
      <c r="N168">
        <v>1</v>
      </c>
      <c r="O168" t="s">
        <v>34</v>
      </c>
      <c r="P168">
        <v>44830</v>
      </c>
      <c r="R168">
        <v>34.119999999999997</v>
      </c>
      <c r="S168" s="6">
        <v>6348.08</v>
      </c>
      <c r="T168" t="s">
        <v>19</v>
      </c>
      <c r="U168">
        <v>80</v>
      </c>
      <c r="V168">
        <v>4</v>
      </c>
      <c r="W168" s="7">
        <v>1157</v>
      </c>
      <c r="X168">
        <v>186.06</v>
      </c>
      <c r="Y168">
        <v>67.459999999999994</v>
      </c>
      <c r="Z168">
        <v>4284.09</v>
      </c>
      <c r="AE168">
        <v>126.96</v>
      </c>
      <c r="AF168">
        <v>286.52999999999997</v>
      </c>
      <c r="AG168">
        <v>1650.5</v>
      </c>
      <c r="AH168" t="s">
        <v>209</v>
      </c>
      <c r="AK168">
        <v>5.4866724286949005</v>
      </c>
    </row>
    <row r="169" spans="1:37" x14ac:dyDescent="0.35">
      <c r="A169">
        <v>9</v>
      </c>
      <c r="B169">
        <v>2022</v>
      </c>
      <c r="C169" t="s">
        <v>33</v>
      </c>
      <c r="D169" t="s">
        <v>34</v>
      </c>
      <c r="E169" t="s">
        <v>344</v>
      </c>
      <c r="F169" s="3" t="s">
        <v>36</v>
      </c>
      <c r="G169" s="2" t="s">
        <v>37</v>
      </c>
      <c r="H169" s="3">
        <v>43455</v>
      </c>
      <c r="I169" s="3">
        <v>3040003</v>
      </c>
      <c r="J169" s="2" t="s">
        <v>211</v>
      </c>
      <c r="K169" t="s">
        <v>207</v>
      </c>
      <c r="L169" t="s">
        <v>39</v>
      </c>
      <c r="M169" t="s">
        <v>40</v>
      </c>
      <c r="N169">
        <v>1</v>
      </c>
      <c r="O169" t="s">
        <v>34</v>
      </c>
      <c r="P169">
        <v>44830</v>
      </c>
      <c r="R169">
        <v>34.1</v>
      </c>
      <c r="S169" s="6">
        <v>11121.48</v>
      </c>
      <c r="T169" t="s">
        <v>19</v>
      </c>
      <c r="U169">
        <v>80</v>
      </c>
      <c r="V169">
        <v>8</v>
      </c>
      <c r="W169" s="7">
        <v>2027</v>
      </c>
      <c r="X169">
        <v>326.17</v>
      </c>
      <c r="Y169">
        <v>67.459999999999994</v>
      </c>
      <c r="Z169">
        <v>7505.16</v>
      </c>
      <c r="AE169">
        <v>222.43</v>
      </c>
      <c r="AF169">
        <v>502.3</v>
      </c>
      <c r="AG169">
        <v>2891.58</v>
      </c>
      <c r="AH169" t="s">
        <v>209</v>
      </c>
      <c r="AK169">
        <v>5.4866699555994076</v>
      </c>
    </row>
    <row r="170" spans="1:37" x14ac:dyDescent="0.35">
      <c r="A170">
        <v>9</v>
      </c>
      <c r="B170">
        <v>2022</v>
      </c>
      <c r="C170" t="s">
        <v>33</v>
      </c>
      <c r="D170" t="s">
        <v>34</v>
      </c>
      <c r="E170" t="s">
        <v>344</v>
      </c>
      <c r="F170" s="3" t="s">
        <v>36</v>
      </c>
      <c r="G170" s="2" t="s">
        <v>37</v>
      </c>
      <c r="H170" s="3">
        <v>43455</v>
      </c>
      <c r="I170" s="3">
        <v>3040004</v>
      </c>
      <c r="J170" s="2" t="s">
        <v>212</v>
      </c>
      <c r="K170" t="s">
        <v>207</v>
      </c>
      <c r="L170" t="s">
        <v>39</v>
      </c>
      <c r="M170" t="s">
        <v>40</v>
      </c>
      <c r="N170">
        <v>1</v>
      </c>
      <c r="O170" t="s">
        <v>34</v>
      </c>
      <c r="P170">
        <v>44830</v>
      </c>
      <c r="R170">
        <v>34.08</v>
      </c>
      <c r="S170" s="6">
        <v>11637.23</v>
      </c>
      <c r="T170" t="s">
        <v>19</v>
      </c>
      <c r="U170">
        <v>80</v>
      </c>
      <c r="V170">
        <v>9</v>
      </c>
      <c r="W170" s="7">
        <v>2121</v>
      </c>
      <c r="X170">
        <v>341.46</v>
      </c>
      <c r="Y170">
        <v>67.459999999999994</v>
      </c>
      <c r="Z170">
        <v>7852.96</v>
      </c>
      <c r="AE170">
        <v>232.74</v>
      </c>
      <c r="AF170">
        <v>525.85</v>
      </c>
      <c r="AG170">
        <v>3025.68</v>
      </c>
      <c r="AH170" t="s">
        <v>209</v>
      </c>
      <c r="AK170">
        <v>5.4866713814238564</v>
      </c>
    </row>
    <row r="171" spans="1:37" x14ac:dyDescent="0.35">
      <c r="A171">
        <v>9</v>
      </c>
      <c r="B171">
        <v>2022</v>
      </c>
      <c r="C171" t="s">
        <v>33</v>
      </c>
      <c r="D171" t="s">
        <v>34</v>
      </c>
      <c r="E171" t="s">
        <v>344</v>
      </c>
      <c r="F171" s="3" t="s">
        <v>36</v>
      </c>
      <c r="G171" s="2" t="s">
        <v>37</v>
      </c>
      <c r="H171" s="3">
        <v>43455</v>
      </c>
      <c r="I171" s="3">
        <v>3040005</v>
      </c>
      <c r="J171" s="2" t="s">
        <v>213</v>
      </c>
      <c r="K171" t="s">
        <v>207</v>
      </c>
      <c r="L171" t="s">
        <v>39</v>
      </c>
      <c r="M171" t="s">
        <v>40</v>
      </c>
      <c r="N171">
        <v>1</v>
      </c>
      <c r="O171" t="s">
        <v>34</v>
      </c>
      <c r="P171">
        <v>44830</v>
      </c>
      <c r="R171">
        <v>34.08</v>
      </c>
      <c r="S171" s="6">
        <v>12482.17</v>
      </c>
      <c r="T171" t="s">
        <v>19</v>
      </c>
      <c r="U171">
        <v>80</v>
      </c>
      <c r="V171">
        <v>9</v>
      </c>
      <c r="W171" s="7">
        <v>2275</v>
      </c>
      <c r="X171">
        <v>366.27</v>
      </c>
      <c r="Y171">
        <v>67.459999999999994</v>
      </c>
      <c r="Z171">
        <v>8423.11</v>
      </c>
      <c r="AE171">
        <v>249.64</v>
      </c>
      <c r="AF171">
        <v>564.05999999999995</v>
      </c>
      <c r="AG171">
        <v>3245.36</v>
      </c>
      <c r="AH171" t="s">
        <v>209</v>
      </c>
      <c r="AK171">
        <v>5.4866681318681323</v>
      </c>
    </row>
    <row r="172" spans="1:37" x14ac:dyDescent="0.35">
      <c r="A172">
        <v>9</v>
      </c>
      <c r="B172">
        <v>2022</v>
      </c>
      <c r="C172" t="s">
        <v>33</v>
      </c>
      <c r="D172" t="s">
        <v>34</v>
      </c>
      <c r="E172" t="s">
        <v>344</v>
      </c>
      <c r="F172" s="3" t="s">
        <v>36</v>
      </c>
      <c r="G172" s="2" t="s">
        <v>37</v>
      </c>
      <c r="H172" s="3">
        <v>43455</v>
      </c>
      <c r="I172" s="3">
        <v>3040006</v>
      </c>
      <c r="J172" s="2" t="s">
        <v>214</v>
      </c>
      <c r="K172" t="s">
        <v>207</v>
      </c>
      <c r="L172" t="s">
        <v>39</v>
      </c>
      <c r="M172" t="s">
        <v>40</v>
      </c>
      <c r="N172">
        <v>1</v>
      </c>
      <c r="O172" t="s">
        <v>34</v>
      </c>
      <c r="P172">
        <v>44830</v>
      </c>
      <c r="R172">
        <v>34.08</v>
      </c>
      <c r="S172" s="6">
        <v>9678.49</v>
      </c>
      <c r="T172" t="s">
        <v>19</v>
      </c>
      <c r="U172">
        <v>80</v>
      </c>
      <c r="V172">
        <v>7</v>
      </c>
      <c r="W172" s="7">
        <v>1764</v>
      </c>
      <c r="X172">
        <v>283.99</v>
      </c>
      <c r="Y172">
        <v>67.459999999999994</v>
      </c>
      <c r="Z172">
        <v>6531.17</v>
      </c>
      <c r="AE172">
        <v>193.57</v>
      </c>
      <c r="AF172">
        <v>437.34</v>
      </c>
      <c r="AG172">
        <v>2516.41</v>
      </c>
      <c r="AH172" t="s">
        <v>209</v>
      </c>
      <c r="AK172">
        <v>5.4866723356009066</v>
      </c>
    </row>
    <row r="173" spans="1:37" x14ac:dyDescent="0.35">
      <c r="A173">
        <v>9</v>
      </c>
      <c r="B173">
        <v>2022</v>
      </c>
      <c r="C173" t="s">
        <v>33</v>
      </c>
      <c r="D173" t="s">
        <v>34</v>
      </c>
      <c r="E173" t="s">
        <v>344</v>
      </c>
      <c r="F173" s="3" t="s">
        <v>36</v>
      </c>
      <c r="G173" s="2" t="s">
        <v>37</v>
      </c>
      <c r="H173" s="3">
        <v>43455</v>
      </c>
      <c r="I173" s="3">
        <v>3040007</v>
      </c>
      <c r="J173" s="2" t="s">
        <v>215</v>
      </c>
      <c r="K173" t="s">
        <v>207</v>
      </c>
      <c r="L173" t="s">
        <v>39</v>
      </c>
      <c r="M173" t="s">
        <v>40</v>
      </c>
      <c r="N173">
        <v>1</v>
      </c>
      <c r="O173" t="s">
        <v>34</v>
      </c>
      <c r="P173">
        <v>44830</v>
      </c>
      <c r="R173">
        <v>34.08</v>
      </c>
      <c r="S173" s="6">
        <v>11549.44</v>
      </c>
      <c r="T173" t="s">
        <v>19</v>
      </c>
      <c r="U173">
        <v>80</v>
      </c>
      <c r="V173">
        <v>8</v>
      </c>
      <c r="W173" s="7">
        <v>2105</v>
      </c>
      <c r="X173">
        <v>338.9</v>
      </c>
      <c r="Y173">
        <v>67.459999999999994</v>
      </c>
      <c r="Z173">
        <v>7793.69</v>
      </c>
      <c r="AE173">
        <v>230.99</v>
      </c>
      <c r="AF173">
        <v>521.91</v>
      </c>
      <c r="AG173">
        <v>3002.85</v>
      </c>
      <c r="AH173" t="s">
        <v>209</v>
      </c>
      <c r="AK173">
        <v>5.4866698337292164</v>
      </c>
    </row>
    <row r="174" spans="1:37" x14ac:dyDescent="0.35">
      <c r="A174">
        <v>9</v>
      </c>
      <c r="B174">
        <v>2022</v>
      </c>
      <c r="C174" t="s">
        <v>33</v>
      </c>
      <c r="D174" t="s">
        <v>34</v>
      </c>
      <c r="E174" t="s">
        <v>344</v>
      </c>
      <c r="F174" s="3" t="s">
        <v>36</v>
      </c>
      <c r="G174" s="2" t="s">
        <v>37</v>
      </c>
      <c r="H174" s="3">
        <v>43455</v>
      </c>
      <c r="I174" s="3">
        <v>3040008</v>
      </c>
      <c r="J174" s="2" t="s">
        <v>216</v>
      </c>
      <c r="K174" t="s">
        <v>207</v>
      </c>
      <c r="L174" t="s">
        <v>39</v>
      </c>
      <c r="M174" t="s">
        <v>40</v>
      </c>
      <c r="N174">
        <v>1</v>
      </c>
      <c r="O174" t="s">
        <v>34</v>
      </c>
      <c r="P174">
        <v>44830</v>
      </c>
      <c r="R174">
        <v>34.08</v>
      </c>
      <c r="S174" s="6">
        <v>10386.27</v>
      </c>
      <c r="T174" t="s">
        <v>19</v>
      </c>
      <c r="U174">
        <v>80</v>
      </c>
      <c r="V174">
        <v>7</v>
      </c>
      <c r="W174" s="7">
        <v>1893</v>
      </c>
      <c r="X174">
        <v>304.77</v>
      </c>
      <c r="Y174">
        <v>67.459999999999994</v>
      </c>
      <c r="Z174">
        <v>7008.77</v>
      </c>
      <c r="AE174">
        <v>207.73</v>
      </c>
      <c r="AF174">
        <v>469.35</v>
      </c>
      <c r="AG174">
        <v>2700.43</v>
      </c>
      <c r="AH174" t="s">
        <v>209</v>
      </c>
      <c r="AK174">
        <v>5.4866719492868468</v>
      </c>
    </row>
    <row r="175" spans="1:37" x14ac:dyDescent="0.35">
      <c r="A175">
        <v>9</v>
      </c>
      <c r="B175">
        <v>2022</v>
      </c>
      <c r="C175" t="s">
        <v>33</v>
      </c>
      <c r="D175" t="s">
        <v>34</v>
      </c>
      <c r="E175" t="s">
        <v>344</v>
      </c>
      <c r="F175" s="3" t="s">
        <v>36</v>
      </c>
      <c r="G175" s="2" t="s">
        <v>37</v>
      </c>
      <c r="H175" s="3">
        <v>43455</v>
      </c>
      <c r="I175" s="3">
        <v>3040009</v>
      </c>
      <c r="J175" s="2" t="s">
        <v>217</v>
      </c>
      <c r="K175" t="s">
        <v>207</v>
      </c>
      <c r="L175" t="s">
        <v>39</v>
      </c>
      <c r="M175" t="s">
        <v>40</v>
      </c>
      <c r="N175">
        <v>1</v>
      </c>
      <c r="O175" t="s">
        <v>34</v>
      </c>
      <c r="P175">
        <v>44830</v>
      </c>
      <c r="R175">
        <v>34.08</v>
      </c>
      <c r="S175" s="6">
        <v>11686.61</v>
      </c>
      <c r="T175" t="s">
        <v>19</v>
      </c>
      <c r="U175">
        <v>80</v>
      </c>
      <c r="V175">
        <v>8</v>
      </c>
      <c r="W175" s="7">
        <v>2130</v>
      </c>
      <c r="X175">
        <v>342.93</v>
      </c>
      <c r="Y175">
        <v>67.459999999999994</v>
      </c>
      <c r="Z175">
        <v>7886.25</v>
      </c>
      <c r="AE175">
        <v>233.73</v>
      </c>
      <c r="AF175">
        <v>528.11</v>
      </c>
      <c r="AG175">
        <v>3038.52</v>
      </c>
      <c r="AH175" t="s">
        <v>209</v>
      </c>
      <c r="AK175">
        <v>5.4866713615023475</v>
      </c>
    </row>
    <row r="176" spans="1:37" x14ac:dyDescent="0.35">
      <c r="A176">
        <v>9</v>
      </c>
      <c r="B176">
        <v>2022</v>
      </c>
      <c r="C176" t="s">
        <v>33</v>
      </c>
      <c r="D176" t="s">
        <v>34</v>
      </c>
      <c r="E176" t="s">
        <v>344</v>
      </c>
      <c r="F176" s="3" t="s">
        <v>36</v>
      </c>
      <c r="G176" s="2" t="s">
        <v>37</v>
      </c>
      <c r="H176" s="3">
        <v>43455</v>
      </c>
      <c r="I176" s="3">
        <v>3040010</v>
      </c>
      <c r="J176" s="2" t="s">
        <v>218</v>
      </c>
      <c r="K176" t="s">
        <v>207</v>
      </c>
      <c r="L176" t="s">
        <v>39</v>
      </c>
      <c r="M176" t="s">
        <v>40</v>
      </c>
      <c r="N176">
        <v>1</v>
      </c>
      <c r="O176" t="s">
        <v>34</v>
      </c>
      <c r="P176">
        <v>44830</v>
      </c>
      <c r="R176">
        <v>33.590000000000003</v>
      </c>
      <c r="S176" s="6">
        <v>11187.32</v>
      </c>
      <c r="T176" t="s">
        <v>19</v>
      </c>
      <c r="U176">
        <v>80</v>
      </c>
      <c r="V176">
        <v>8</v>
      </c>
      <c r="W176" s="7">
        <v>2039</v>
      </c>
      <c r="X176">
        <v>333.1</v>
      </c>
      <c r="Y176">
        <v>67.459999999999994</v>
      </c>
      <c r="Z176">
        <v>7541.9</v>
      </c>
      <c r="AE176">
        <v>223.75</v>
      </c>
      <c r="AF176">
        <v>512.97</v>
      </c>
      <c r="AG176">
        <v>2908.7</v>
      </c>
      <c r="AH176" t="s">
        <v>209</v>
      </c>
      <c r="AK176">
        <v>5.4866699362432563</v>
      </c>
    </row>
    <row r="177" spans="1:37" x14ac:dyDescent="0.35">
      <c r="A177">
        <v>9</v>
      </c>
      <c r="B177">
        <v>2022</v>
      </c>
      <c r="C177" t="s">
        <v>33</v>
      </c>
      <c r="D177" t="s">
        <v>34</v>
      </c>
      <c r="E177" t="s">
        <v>344</v>
      </c>
      <c r="F177" s="3" t="s">
        <v>36</v>
      </c>
      <c r="G177" s="2" t="s">
        <v>37</v>
      </c>
      <c r="H177" s="3">
        <v>43455</v>
      </c>
      <c r="I177" s="3">
        <v>3040011</v>
      </c>
      <c r="J177" s="2" t="s">
        <v>219</v>
      </c>
      <c r="K177" t="s">
        <v>207</v>
      </c>
      <c r="L177" t="s">
        <v>39</v>
      </c>
      <c r="M177" t="s">
        <v>40</v>
      </c>
      <c r="N177">
        <v>1</v>
      </c>
      <c r="O177" t="s">
        <v>34</v>
      </c>
      <c r="P177">
        <v>44830</v>
      </c>
      <c r="R177">
        <v>37.33</v>
      </c>
      <c r="S177" s="6">
        <v>10300.31</v>
      </c>
      <c r="T177" t="s">
        <v>19</v>
      </c>
      <c r="U177">
        <v>80</v>
      </c>
      <c r="V177">
        <v>11</v>
      </c>
      <c r="W177" s="7">
        <v>1792</v>
      </c>
      <c r="X177">
        <v>275.92</v>
      </c>
      <c r="Y177">
        <v>67.67</v>
      </c>
      <c r="Z177">
        <v>6991.31</v>
      </c>
      <c r="AE177">
        <v>206.01</v>
      </c>
      <c r="AF177">
        <v>424.92</v>
      </c>
      <c r="AG177">
        <v>2678.08</v>
      </c>
      <c r="AK177">
        <v>5.7479408482142853</v>
      </c>
    </row>
    <row r="178" spans="1:37" x14ac:dyDescent="0.35">
      <c r="A178">
        <v>9</v>
      </c>
      <c r="B178">
        <v>2022</v>
      </c>
      <c r="C178" t="s">
        <v>33</v>
      </c>
      <c r="D178" t="s">
        <v>34</v>
      </c>
      <c r="E178" t="s">
        <v>42</v>
      </c>
      <c r="F178" s="3" t="s">
        <v>36</v>
      </c>
      <c r="G178" s="2" t="s">
        <v>43</v>
      </c>
      <c r="H178" s="3">
        <v>43532</v>
      </c>
      <c r="I178" s="3">
        <v>2540008</v>
      </c>
      <c r="J178" s="2" t="s">
        <v>130</v>
      </c>
      <c r="K178" t="s">
        <v>42</v>
      </c>
      <c r="L178" t="s">
        <v>39</v>
      </c>
      <c r="M178" t="s">
        <v>40</v>
      </c>
      <c r="N178">
        <v>1</v>
      </c>
      <c r="O178" t="s">
        <v>45</v>
      </c>
      <c r="P178">
        <v>44834</v>
      </c>
      <c r="R178">
        <v>29.43</v>
      </c>
      <c r="S178" s="6">
        <v>11071.57</v>
      </c>
      <c r="T178" t="s">
        <v>19</v>
      </c>
      <c r="U178">
        <v>260</v>
      </c>
      <c r="V178">
        <v>14</v>
      </c>
      <c r="W178" s="7">
        <v>604</v>
      </c>
      <c r="X178">
        <v>376.22</v>
      </c>
      <c r="Y178">
        <v>-22.76</v>
      </c>
      <c r="Z178">
        <v>7392.15</v>
      </c>
      <c r="AE178">
        <v>221.43</v>
      </c>
      <c r="AF178">
        <v>579.38</v>
      </c>
      <c r="AG178">
        <v>2878.61</v>
      </c>
      <c r="AH178">
        <v>5066.6000000000004</v>
      </c>
      <c r="AK178">
        <v>18.330413907284768</v>
      </c>
    </row>
    <row r="179" spans="1:37" x14ac:dyDescent="0.35">
      <c r="A179">
        <v>9</v>
      </c>
      <c r="B179">
        <v>2022</v>
      </c>
      <c r="C179" t="s">
        <v>33</v>
      </c>
      <c r="D179" t="s">
        <v>34</v>
      </c>
      <c r="E179" t="s">
        <v>42</v>
      </c>
      <c r="F179" s="3" t="s">
        <v>36</v>
      </c>
      <c r="G179" s="2" t="s">
        <v>43</v>
      </c>
      <c r="H179" s="3">
        <v>43532</v>
      </c>
      <c r="I179" s="3">
        <v>2540012</v>
      </c>
      <c r="J179" s="2" t="s">
        <v>142</v>
      </c>
      <c r="K179" t="s">
        <v>42</v>
      </c>
      <c r="L179" t="s">
        <v>39</v>
      </c>
      <c r="M179" t="s">
        <v>40</v>
      </c>
      <c r="N179">
        <v>1</v>
      </c>
      <c r="O179" t="s">
        <v>45</v>
      </c>
      <c r="P179">
        <v>44834</v>
      </c>
      <c r="R179">
        <v>32.200000000000003</v>
      </c>
      <c r="S179" s="6">
        <v>112952.05</v>
      </c>
      <c r="T179" t="s">
        <v>19</v>
      </c>
      <c r="U179">
        <v>240</v>
      </c>
      <c r="V179">
        <v>120</v>
      </c>
      <c r="W179" s="7">
        <v>6162</v>
      </c>
      <c r="X179">
        <v>3507.48</v>
      </c>
      <c r="Y179">
        <v>23.26</v>
      </c>
      <c r="Z179">
        <v>75923.960000000006</v>
      </c>
      <c r="AE179">
        <v>2259.04</v>
      </c>
      <c r="AF179">
        <v>5401.52</v>
      </c>
      <c r="AG179">
        <v>29367.53</v>
      </c>
      <c r="AH179">
        <v>41308.699999999997</v>
      </c>
      <c r="AK179">
        <v>18.330420318078545</v>
      </c>
    </row>
    <row r="180" spans="1:37" x14ac:dyDescent="0.35">
      <c r="A180">
        <v>10</v>
      </c>
      <c r="B180">
        <v>2022</v>
      </c>
      <c r="C180" t="s">
        <v>33</v>
      </c>
      <c r="D180" t="s">
        <v>34</v>
      </c>
      <c r="E180" t="s">
        <v>42</v>
      </c>
      <c r="F180" s="3" t="s">
        <v>36</v>
      </c>
      <c r="G180" s="2" t="s">
        <v>43</v>
      </c>
      <c r="H180" s="3">
        <v>43536</v>
      </c>
      <c r="I180" s="3">
        <v>2540008</v>
      </c>
      <c r="J180" s="2" t="s">
        <v>130</v>
      </c>
      <c r="K180" t="s">
        <v>42</v>
      </c>
      <c r="L180" t="s">
        <v>39</v>
      </c>
      <c r="M180" t="s">
        <v>40</v>
      </c>
      <c r="N180">
        <v>1</v>
      </c>
      <c r="O180" t="s">
        <v>45</v>
      </c>
      <c r="P180">
        <v>44837</v>
      </c>
      <c r="R180">
        <v>29.51</v>
      </c>
      <c r="S180" s="6">
        <v>-11071.57</v>
      </c>
      <c r="T180" t="s">
        <v>19</v>
      </c>
      <c r="U180">
        <v>260</v>
      </c>
      <c r="V180">
        <v>14</v>
      </c>
      <c r="W180" s="7">
        <v>604</v>
      </c>
      <c r="X180">
        <v>376.22</v>
      </c>
      <c r="Y180">
        <v>-22.76</v>
      </c>
      <c r="Z180">
        <v>7414.33</v>
      </c>
      <c r="AE180">
        <v>222.05</v>
      </c>
      <c r="AH180">
        <v>579.38</v>
      </c>
      <c r="AK180">
        <v>-18.330413907284768</v>
      </c>
    </row>
    <row r="181" spans="1:37" x14ac:dyDescent="0.35">
      <c r="A181">
        <v>10</v>
      </c>
      <c r="B181">
        <v>2022</v>
      </c>
      <c r="C181" t="s">
        <v>33</v>
      </c>
      <c r="D181" t="s">
        <v>34</v>
      </c>
      <c r="E181" t="s">
        <v>42</v>
      </c>
      <c r="F181" s="3" t="s">
        <v>36</v>
      </c>
      <c r="G181" s="2" t="s">
        <v>43</v>
      </c>
      <c r="H181" s="3">
        <v>43536</v>
      </c>
      <c r="I181" s="3">
        <v>2540012</v>
      </c>
      <c r="J181" s="2" t="s">
        <v>142</v>
      </c>
      <c r="K181" t="s">
        <v>42</v>
      </c>
      <c r="L181" t="s">
        <v>39</v>
      </c>
      <c r="M181" t="s">
        <v>40</v>
      </c>
      <c r="N181">
        <v>1</v>
      </c>
      <c r="O181" t="s">
        <v>45</v>
      </c>
      <c r="P181">
        <v>44837</v>
      </c>
      <c r="R181">
        <v>28.11</v>
      </c>
      <c r="S181" s="6">
        <v>-112952.05</v>
      </c>
      <c r="T181" t="s">
        <v>19</v>
      </c>
      <c r="U181">
        <v>240</v>
      </c>
      <c r="V181">
        <v>120</v>
      </c>
      <c r="W181" s="7">
        <v>6162</v>
      </c>
      <c r="X181">
        <v>3507.48</v>
      </c>
      <c r="Y181">
        <v>15.65</v>
      </c>
      <c r="Z181">
        <v>65596.47</v>
      </c>
      <c r="AE181">
        <v>1972.17</v>
      </c>
      <c r="AH181">
        <v>5401.52</v>
      </c>
      <c r="AK181">
        <v>-18.330420318078545</v>
      </c>
    </row>
    <row r="182" spans="1:37" x14ac:dyDescent="0.35">
      <c r="A182">
        <v>10</v>
      </c>
      <c r="B182">
        <v>2022</v>
      </c>
      <c r="C182" t="s">
        <v>33</v>
      </c>
      <c r="D182" t="s">
        <v>34</v>
      </c>
      <c r="E182" t="s">
        <v>42</v>
      </c>
      <c r="F182" s="3" t="s">
        <v>36</v>
      </c>
      <c r="G182" s="2" t="s">
        <v>43</v>
      </c>
      <c r="H182" s="3">
        <v>43538</v>
      </c>
      <c r="I182" s="3">
        <v>2540008</v>
      </c>
      <c r="J182" s="2" t="s">
        <v>130</v>
      </c>
      <c r="K182" t="s">
        <v>42</v>
      </c>
      <c r="L182" t="s">
        <v>39</v>
      </c>
      <c r="M182" t="s">
        <v>40</v>
      </c>
      <c r="N182">
        <v>1</v>
      </c>
      <c r="O182" t="s">
        <v>45</v>
      </c>
      <c r="P182">
        <v>44837</v>
      </c>
      <c r="R182">
        <v>29.51</v>
      </c>
      <c r="S182" s="6">
        <v>11102.38</v>
      </c>
      <c r="T182" t="s">
        <v>19</v>
      </c>
      <c r="U182">
        <v>260</v>
      </c>
      <c r="V182">
        <v>14</v>
      </c>
      <c r="W182" s="7">
        <v>604</v>
      </c>
      <c r="X182">
        <v>376.22</v>
      </c>
      <c r="Y182">
        <v>-22.76</v>
      </c>
      <c r="Z182">
        <v>7414.33</v>
      </c>
      <c r="AE182">
        <v>222.05</v>
      </c>
      <c r="AH182">
        <v>579.38</v>
      </c>
      <c r="AK182">
        <v>18.3814238410596</v>
      </c>
    </row>
    <row r="183" spans="1:37" x14ac:dyDescent="0.35">
      <c r="A183">
        <v>10</v>
      </c>
      <c r="B183">
        <v>2022</v>
      </c>
      <c r="C183" t="s">
        <v>33</v>
      </c>
      <c r="D183" t="s">
        <v>34</v>
      </c>
      <c r="E183" t="s">
        <v>42</v>
      </c>
      <c r="F183" s="3" t="s">
        <v>36</v>
      </c>
      <c r="G183" s="2" t="s">
        <v>43</v>
      </c>
      <c r="H183" s="3">
        <v>43538</v>
      </c>
      <c r="I183" s="3">
        <v>2540012</v>
      </c>
      <c r="J183" s="2" t="s">
        <v>142</v>
      </c>
      <c r="K183" t="s">
        <v>42</v>
      </c>
      <c r="L183" t="s">
        <v>39</v>
      </c>
      <c r="M183" t="s">
        <v>40</v>
      </c>
      <c r="N183">
        <v>1</v>
      </c>
      <c r="O183" t="s">
        <v>45</v>
      </c>
      <c r="P183">
        <v>44837</v>
      </c>
      <c r="R183">
        <v>28.11</v>
      </c>
      <c r="S183" s="6">
        <v>98608.320000000007</v>
      </c>
      <c r="T183" t="s">
        <v>19</v>
      </c>
      <c r="U183">
        <v>240</v>
      </c>
      <c r="V183">
        <v>120</v>
      </c>
      <c r="W183" s="7">
        <v>6162</v>
      </c>
      <c r="X183">
        <v>3507.48</v>
      </c>
      <c r="Y183">
        <v>19.809999999999999</v>
      </c>
      <c r="Z183">
        <v>65596.47</v>
      </c>
      <c r="AE183">
        <v>1972.17</v>
      </c>
      <c r="AH183">
        <v>5401.52</v>
      </c>
      <c r="AK183">
        <v>16.002648490749756</v>
      </c>
    </row>
    <row r="184" spans="1:37" x14ac:dyDescent="0.35">
      <c r="A184">
        <v>10</v>
      </c>
      <c r="B184">
        <v>2022</v>
      </c>
      <c r="C184" t="s">
        <v>33</v>
      </c>
      <c r="D184" t="s">
        <v>34</v>
      </c>
      <c r="E184" t="s">
        <v>116</v>
      </c>
      <c r="F184" s="3" t="s">
        <v>36</v>
      </c>
      <c r="G184" s="2" t="s">
        <v>50</v>
      </c>
      <c r="H184" s="3">
        <v>43729</v>
      </c>
      <c r="I184" s="3">
        <v>2810008</v>
      </c>
      <c r="J184" s="2" t="s">
        <v>220</v>
      </c>
      <c r="K184" t="s">
        <v>116</v>
      </c>
      <c r="L184" t="s">
        <v>39</v>
      </c>
      <c r="M184" t="s">
        <v>40</v>
      </c>
      <c r="N184">
        <v>91</v>
      </c>
      <c r="O184" t="s">
        <v>34</v>
      </c>
      <c r="P184">
        <v>44855</v>
      </c>
      <c r="R184">
        <v>27.43</v>
      </c>
      <c r="S184" s="6">
        <v>17818.66</v>
      </c>
      <c r="T184" t="s">
        <v>19</v>
      </c>
      <c r="U184">
        <v>180</v>
      </c>
      <c r="V184">
        <v>40</v>
      </c>
      <c r="W184" s="7">
        <v>1518</v>
      </c>
      <c r="X184">
        <v>649.5</v>
      </c>
      <c r="Y184">
        <v>19.16</v>
      </c>
      <c r="Z184">
        <v>8548.76</v>
      </c>
      <c r="AB184">
        <v>3280.45</v>
      </c>
      <c r="AE184">
        <v>356.37</v>
      </c>
      <c r="AH184">
        <v>1000.23</v>
      </c>
      <c r="AK184">
        <v>11.738247694334651</v>
      </c>
    </row>
    <row r="185" spans="1:37" x14ac:dyDescent="0.35">
      <c r="A185">
        <v>10</v>
      </c>
      <c r="B185">
        <v>2022</v>
      </c>
      <c r="C185" t="s">
        <v>33</v>
      </c>
      <c r="D185" t="s">
        <v>34</v>
      </c>
      <c r="E185" t="s">
        <v>122</v>
      </c>
      <c r="F185" s="3" t="s">
        <v>36</v>
      </c>
      <c r="G185" s="2" t="s">
        <v>50</v>
      </c>
      <c r="H185" s="3">
        <v>43801</v>
      </c>
      <c r="I185" s="3" t="s">
        <v>221</v>
      </c>
      <c r="J185" s="2" t="s">
        <v>145</v>
      </c>
      <c r="K185" t="s">
        <v>122</v>
      </c>
      <c r="L185" t="s">
        <v>39</v>
      </c>
      <c r="M185" t="s">
        <v>40</v>
      </c>
      <c r="N185">
        <v>91</v>
      </c>
      <c r="O185" t="s">
        <v>34</v>
      </c>
      <c r="P185">
        <v>44859</v>
      </c>
      <c r="R185">
        <v>39.36</v>
      </c>
      <c r="S185" s="6">
        <v>21323.03</v>
      </c>
      <c r="T185" t="s">
        <v>19</v>
      </c>
      <c r="U185">
        <v>407</v>
      </c>
      <c r="V185">
        <v>18</v>
      </c>
      <c r="W185" s="7">
        <v>532</v>
      </c>
      <c r="X185">
        <v>541.76</v>
      </c>
      <c r="Y185">
        <v>20.67</v>
      </c>
      <c r="Z185">
        <v>12584.71</v>
      </c>
      <c r="AB185">
        <v>1933.56</v>
      </c>
      <c r="AE185">
        <v>426.46</v>
      </c>
      <c r="AH185">
        <v>834.31</v>
      </c>
      <c r="AK185">
        <v>40.080883458646618</v>
      </c>
    </row>
    <row r="186" spans="1:37" x14ac:dyDescent="0.35">
      <c r="A186">
        <v>10</v>
      </c>
      <c r="B186">
        <v>2022</v>
      </c>
      <c r="C186" t="s">
        <v>33</v>
      </c>
      <c r="D186" t="s">
        <v>34</v>
      </c>
      <c r="E186" t="s">
        <v>122</v>
      </c>
      <c r="F186" s="3" t="s">
        <v>36</v>
      </c>
      <c r="G186" s="2" t="s">
        <v>50</v>
      </c>
      <c r="H186" s="3">
        <v>43801</v>
      </c>
      <c r="I186" s="3">
        <v>2860006</v>
      </c>
      <c r="J186" s="2" t="s">
        <v>222</v>
      </c>
      <c r="K186" t="s">
        <v>122</v>
      </c>
      <c r="L186" t="s">
        <v>39</v>
      </c>
      <c r="M186" t="s">
        <v>40</v>
      </c>
      <c r="N186">
        <v>91</v>
      </c>
      <c r="O186" t="s">
        <v>34</v>
      </c>
      <c r="P186">
        <v>44859</v>
      </c>
      <c r="R186">
        <v>34.92</v>
      </c>
      <c r="S186" s="6">
        <v>24588.57</v>
      </c>
      <c r="T186" t="s">
        <v>19</v>
      </c>
      <c r="U186">
        <v>360</v>
      </c>
      <c r="V186">
        <v>30</v>
      </c>
      <c r="W186" s="7">
        <v>940</v>
      </c>
      <c r="X186">
        <v>704.1</v>
      </c>
      <c r="Y186">
        <v>23.06</v>
      </c>
      <c r="Z186">
        <v>14389.79</v>
      </c>
      <c r="AB186">
        <v>2229.67</v>
      </c>
      <c r="AE186">
        <v>491.77</v>
      </c>
      <c r="AH186">
        <v>1084.31</v>
      </c>
      <c r="AK186">
        <v>26.158053191489362</v>
      </c>
    </row>
    <row r="187" spans="1:37" x14ac:dyDescent="0.35">
      <c r="A187">
        <v>10</v>
      </c>
      <c r="B187">
        <v>2022</v>
      </c>
      <c r="C187" t="s">
        <v>33</v>
      </c>
      <c r="D187" t="s">
        <v>34</v>
      </c>
      <c r="E187" t="s">
        <v>122</v>
      </c>
      <c r="F187" s="3" t="s">
        <v>36</v>
      </c>
      <c r="G187" s="2" t="s">
        <v>50</v>
      </c>
      <c r="H187" s="3">
        <v>43801</v>
      </c>
      <c r="I187" s="3">
        <v>2860003</v>
      </c>
      <c r="J187" s="2" t="s">
        <v>140</v>
      </c>
      <c r="K187" t="s">
        <v>122</v>
      </c>
      <c r="L187" t="s">
        <v>39</v>
      </c>
      <c r="M187" t="s">
        <v>40</v>
      </c>
      <c r="N187">
        <v>91</v>
      </c>
      <c r="O187" t="s">
        <v>34</v>
      </c>
      <c r="P187">
        <v>44859</v>
      </c>
      <c r="R187">
        <v>39.24</v>
      </c>
      <c r="S187" s="6">
        <v>24563.46</v>
      </c>
      <c r="T187" t="s">
        <v>19</v>
      </c>
      <c r="U187">
        <v>420</v>
      </c>
      <c r="V187">
        <v>19</v>
      </c>
      <c r="W187" s="7">
        <v>689</v>
      </c>
      <c r="X187">
        <v>625.91999999999996</v>
      </c>
      <c r="Y187">
        <v>27.8</v>
      </c>
      <c r="Z187">
        <v>14494.37</v>
      </c>
      <c r="AB187">
        <v>2227.4</v>
      </c>
      <c r="AE187">
        <v>491.27</v>
      </c>
      <c r="AH187">
        <v>963.92</v>
      </c>
      <c r="AK187">
        <v>35.650885341074016</v>
      </c>
    </row>
    <row r="188" spans="1:37" x14ac:dyDescent="0.35">
      <c r="A188">
        <v>10</v>
      </c>
      <c r="B188">
        <v>2022</v>
      </c>
      <c r="C188" t="s">
        <v>33</v>
      </c>
      <c r="D188" t="s">
        <v>34</v>
      </c>
      <c r="E188" t="s">
        <v>223</v>
      </c>
      <c r="F188" s="3" t="s">
        <v>36</v>
      </c>
      <c r="G188" s="2" t="s">
        <v>37</v>
      </c>
      <c r="H188" s="3">
        <v>43879</v>
      </c>
      <c r="I188" s="3">
        <v>3020004</v>
      </c>
      <c r="J188" s="2" t="s">
        <v>224</v>
      </c>
      <c r="K188" t="s">
        <v>223</v>
      </c>
      <c r="L188" t="s">
        <v>39</v>
      </c>
      <c r="M188" t="s">
        <v>40</v>
      </c>
      <c r="N188">
        <v>87</v>
      </c>
      <c r="O188" t="s">
        <v>34</v>
      </c>
      <c r="P188">
        <v>44865</v>
      </c>
      <c r="R188">
        <v>36.619999999999997</v>
      </c>
      <c r="S188" s="6">
        <v>27532.23</v>
      </c>
      <c r="T188" t="s">
        <v>19</v>
      </c>
      <c r="U188">
        <v>160</v>
      </c>
      <c r="V188">
        <v>34</v>
      </c>
      <c r="W188" s="7">
        <v>1951</v>
      </c>
      <c r="X188">
        <v>751.82</v>
      </c>
      <c r="Y188">
        <v>33.6</v>
      </c>
      <c r="Z188">
        <v>17564.11</v>
      </c>
      <c r="AD188">
        <v>1101.29</v>
      </c>
      <c r="AE188">
        <v>550.64</v>
      </c>
      <c r="AH188">
        <v>1157.8</v>
      </c>
      <c r="AK188">
        <v>14.111855458739107</v>
      </c>
    </row>
    <row r="189" spans="1:37" x14ac:dyDescent="0.35">
      <c r="A189">
        <v>10</v>
      </c>
      <c r="B189">
        <v>2022</v>
      </c>
      <c r="C189" t="s">
        <v>33</v>
      </c>
      <c r="D189" t="s">
        <v>34</v>
      </c>
      <c r="E189" t="s">
        <v>223</v>
      </c>
      <c r="F189" s="3" t="s">
        <v>36</v>
      </c>
      <c r="G189" s="2" t="s">
        <v>37</v>
      </c>
      <c r="H189" s="3">
        <v>43879</v>
      </c>
      <c r="I189" s="3">
        <v>3020002</v>
      </c>
      <c r="J189" s="2" t="s">
        <v>224</v>
      </c>
      <c r="K189" t="s">
        <v>223</v>
      </c>
      <c r="L189" t="s">
        <v>39</v>
      </c>
      <c r="M189" t="s">
        <v>40</v>
      </c>
      <c r="N189">
        <v>87</v>
      </c>
      <c r="O189" t="s">
        <v>34</v>
      </c>
      <c r="P189">
        <v>44865</v>
      </c>
      <c r="R189">
        <v>29.89</v>
      </c>
      <c r="S189" s="6">
        <v>20847.060000000001</v>
      </c>
      <c r="T189" t="s">
        <v>19</v>
      </c>
      <c r="U189">
        <v>160</v>
      </c>
      <c r="V189">
        <v>42</v>
      </c>
      <c r="W189" s="7">
        <v>1950</v>
      </c>
      <c r="X189">
        <v>697.48</v>
      </c>
      <c r="Y189">
        <v>16.37</v>
      </c>
      <c r="Z189">
        <v>13101.88</v>
      </c>
      <c r="AD189">
        <v>833.88</v>
      </c>
      <c r="AE189">
        <v>416.94</v>
      </c>
      <c r="AH189">
        <v>1074.1199999999999</v>
      </c>
      <c r="AK189">
        <v>10.690800000000001</v>
      </c>
    </row>
    <row r="190" spans="1:37" x14ac:dyDescent="0.35">
      <c r="A190">
        <v>10</v>
      </c>
      <c r="B190">
        <v>2022</v>
      </c>
      <c r="C190" t="s">
        <v>33</v>
      </c>
      <c r="D190" t="s">
        <v>34</v>
      </c>
      <c r="E190" t="s">
        <v>223</v>
      </c>
      <c r="F190" s="3" t="s">
        <v>36</v>
      </c>
      <c r="G190" s="2" t="s">
        <v>37</v>
      </c>
      <c r="H190" s="3">
        <v>43879</v>
      </c>
      <c r="I190" s="3">
        <v>3020005</v>
      </c>
      <c r="J190" s="2" t="s">
        <v>224</v>
      </c>
      <c r="K190" t="s">
        <v>223</v>
      </c>
      <c r="L190" t="s">
        <v>39</v>
      </c>
      <c r="M190" t="s">
        <v>40</v>
      </c>
      <c r="N190">
        <v>87</v>
      </c>
      <c r="O190" t="s">
        <v>34</v>
      </c>
      <c r="P190">
        <v>44865</v>
      </c>
      <c r="R190">
        <v>32.89</v>
      </c>
      <c r="S190" s="6">
        <v>32853.26</v>
      </c>
      <c r="T190" t="s">
        <v>19</v>
      </c>
      <c r="U190">
        <v>240</v>
      </c>
      <c r="V190">
        <v>37</v>
      </c>
      <c r="W190" s="7">
        <v>1712</v>
      </c>
      <c r="X190">
        <v>998.77</v>
      </c>
      <c r="Y190">
        <v>16.079999999999998</v>
      </c>
      <c r="Z190">
        <v>20802.11</v>
      </c>
      <c r="AD190">
        <v>1314.13</v>
      </c>
      <c r="AE190">
        <v>657.07</v>
      </c>
      <c r="AH190">
        <v>1538.11</v>
      </c>
      <c r="AK190">
        <v>19.18998831775701</v>
      </c>
    </row>
    <row r="191" spans="1:37" x14ac:dyDescent="0.35">
      <c r="A191">
        <v>10</v>
      </c>
      <c r="B191">
        <v>2022</v>
      </c>
      <c r="C191" t="s">
        <v>33</v>
      </c>
      <c r="D191" t="s">
        <v>34</v>
      </c>
      <c r="E191" t="s">
        <v>223</v>
      </c>
      <c r="F191" s="3" t="s">
        <v>36</v>
      </c>
      <c r="G191" s="2" t="s">
        <v>37</v>
      </c>
      <c r="H191" s="3">
        <v>43879</v>
      </c>
      <c r="I191" s="3">
        <v>3020006</v>
      </c>
      <c r="J191" s="2" t="s">
        <v>225</v>
      </c>
      <c r="K191" t="s">
        <v>223</v>
      </c>
      <c r="L191" t="s">
        <v>39</v>
      </c>
      <c r="M191" t="s">
        <v>40</v>
      </c>
      <c r="N191">
        <v>87</v>
      </c>
      <c r="O191" t="s">
        <v>34</v>
      </c>
      <c r="P191">
        <v>44865</v>
      </c>
      <c r="R191">
        <v>45.15</v>
      </c>
      <c r="S191" s="6">
        <v>49837.3</v>
      </c>
      <c r="T191" t="s">
        <v>19</v>
      </c>
      <c r="U191">
        <v>260</v>
      </c>
      <c r="V191">
        <v>41</v>
      </c>
      <c r="W191" s="7">
        <v>1895</v>
      </c>
      <c r="X191">
        <v>1103.92</v>
      </c>
      <c r="Y191">
        <v>18.079999999999998</v>
      </c>
      <c r="Z191">
        <v>32189.33</v>
      </c>
      <c r="AD191">
        <v>1993.49</v>
      </c>
      <c r="AE191">
        <v>996.75</v>
      </c>
      <c r="AH191">
        <v>1700.04</v>
      </c>
      <c r="AK191">
        <v>26.299366754617417</v>
      </c>
    </row>
    <row r="192" spans="1:37" x14ac:dyDescent="0.35">
      <c r="A192">
        <v>10</v>
      </c>
      <c r="B192">
        <v>2022</v>
      </c>
      <c r="C192" t="s">
        <v>33</v>
      </c>
      <c r="D192" t="s">
        <v>34</v>
      </c>
      <c r="E192" t="s">
        <v>223</v>
      </c>
      <c r="F192" s="3" t="s">
        <v>36</v>
      </c>
      <c r="G192" s="2" t="s">
        <v>37</v>
      </c>
      <c r="H192" s="3">
        <v>43879</v>
      </c>
      <c r="I192" s="3">
        <v>3020007</v>
      </c>
      <c r="J192" s="2" t="s">
        <v>224</v>
      </c>
      <c r="K192" t="s">
        <v>223</v>
      </c>
      <c r="L192" t="s">
        <v>39</v>
      </c>
      <c r="M192" t="s">
        <v>40</v>
      </c>
      <c r="N192">
        <v>87</v>
      </c>
      <c r="O192" t="s">
        <v>34</v>
      </c>
      <c r="P192">
        <v>44865</v>
      </c>
      <c r="R192">
        <v>31.67</v>
      </c>
      <c r="S192" s="6">
        <v>31062.12</v>
      </c>
      <c r="T192" t="s">
        <v>19</v>
      </c>
      <c r="U192">
        <v>200</v>
      </c>
      <c r="V192">
        <v>43</v>
      </c>
      <c r="W192" s="7">
        <v>1950</v>
      </c>
      <c r="X192">
        <v>980.9</v>
      </c>
      <c r="Y192">
        <v>21.19</v>
      </c>
      <c r="Z192">
        <v>19611.66</v>
      </c>
      <c r="AD192">
        <v>1242.48</v>
      </c>
      <c r="AE192">
        <v>621.24</v>
      </c>
      <c r="AH192">
        <v>1510.59</v>
      </c>
      <c r="AK192">
        <v>15.929292307692307</v>
      </c>
    </row>
    <row r="193" spans="1:37" x14ac:dyDescent="0.35">
      <c r="A193">
        <v>10</v>
      </c>
      <c r="B193">
        <v>2022</v>
      </c>
      <c r="C193" t="s">
        <v>33</v>
      </c>
      <c r="D193" t="s">
        <v>34</v>
      </c>
      <c r="E193" t="s">
        <v>223</v>
      </c>
      <c r="F193" s="3" t="s">
        <v>36</v>
      </c>
      <c r="G193" s="2" t="s">
        <v>37</v>
      </c>
      <c r="H193" s="3">
        <v>43879</v>
      </c>
      <c r="I193" s="3">
        <v>3020001</v>
      </c>
      <c r="J193" s="2" t="s">
        <v>224</v>
      </c>
      <c r="K193" t="s">
        <v>223</v>
      </c>
      <c r="L193" t="s">
        <v>39</v>
      </c>
      <c r="M193" t="s">
        <v>40</v>
      </c>
      <c r="N193">
        <v>87</v>
      </c>
      <c r="O193" t="s">
        <v>34</v>
      </c>
      <c r="P193">
        <v>44865</v>
      </c>
      <c r="R193">
        <v>24.92</v>
      </c>
      <c r="S193" s="6">
        <v>23005.32</v>
      </c>
      <c r="T193" t="s">
        <v>19</v>
      </c>
      <c r="U193">
        <v>160</v>
      </c>
      <c r="V193">
        <v>43</v>
      </c>
      <c r="W193" s="7">
        <v>2339</v>
      </c>
      <c r="X193">
        <v>923.04</v>
      </c>
      <c r="Y193">
        <v>19.63</v>
      </c>
      <c r="Z193">
        <v>14222.14</v>
      </c>
      <c r="AD193">
        <v>920.21</v>
      </c>
      <c r="AE193">
        <v>460.11</v>
      </c>
      <c r="AH193">
        <v>1421.48</v>
      </c>
      <c r="AK193">
        <v>9.8355365540829407</v>
      </c>
    </row>
    <row r="194" spans="1:37" x14ac:dyDescent="0.35">
      <c r="A194">
        <v>10</v>
      </c>
      <c r="B194">
        <v>2022</v>
      </c>
      <c r="C194" t="s">
        <v>33</v>
      </c>
      <c r="D194" t="s">
        <v>34</v>
      </c>
      <c r="E194" t="s">
        <v>223</v>
      </c>
      <c r="F194" s="3" t="s">
        <v>36</v>
      </c>
      <c r="G194" s="2" t="s">
        <v>37</v>
      </c>
      <c r="H194" s="3">
        <v>43879</v>
      </c>
      <c r="I194" s="3">
        <v>3020009</v>
      </c>
      <c r="J194" s="2" t="s">
        <v>224</v>
      </c>
      <c r="K194" t="s">
        <v>223</v>
      </c>
      <c r="L194" t="s">
        <v>39</v>
      </c>
      <c r="M194" t="s">
        <v>40</v>
      </c>
      <c r="N194">
        <v>87</v>
      </c>
      <c r="O194" t="s">
        <v>34</v>
      </c>
      <c r="P194">
        <v>44865</v>
      </c>
      <c r="R194">
        <v>39.31</v>
      </c>
      <c r="S194" s="6">
        <v>80090.820000000007</v>
      </c>
      <c r="T194" t="s">
        <v>19</v>
      </c>
      <c r="U194">
        <v>260</v>
      </c>
      <c r="V194">
        <v>67</v>
      </c>
      <c r="W194" s="7">
        <v>3337</v>
      </c>
      <c r="X194">
        <v>2037.62</v>
      </c>
      <c r="Y194">
        <v>24.14</v>
      </c>
      <c r="Z194">
        <v>54527.46</v>
      </c>
      <c r="AE194">
        <v>1601.82</v>
      </c>
      <c r="AH194">
        <v>3137.93</v>
      </c>
      <c r="AK194">
        <v>24.000845070422539</v>
      </c>
    </row>
    <row r="195" spans="1:37" x14ac:dyDescent="0.35">
      <c r="A195">
        <v>10</v>
      </c>
      <c r="B195">
        <v>2022</v>
      </c>
      <c r="C195" t="s">
        <v>33</v>
      </c>
      <c r="D195" t="s">
        <v>34</v>
      </c>
      <c r="E195" t="s">
        <v>223</v>
      </c>
      <c r="F195" s="3" t="s">
        <v>36</v>
      </c>
      <c r="G195" s="2" t="s">
        <v>37</v>
      </c>
      <c r="H195" s="3">
        <v>43879</v>
      </c>
      <c r="I195" s="3">
        <v>3020003</v>
      </c>
      <c r="J195" s="2" t="s">
        <v>224</v>
      </c>
      <c r="K195" t="s">
        <v>223</v>
      </c>
      <c r="L195" t="s">
        <v>39</v>
      </c>
      <c r="M195" t="s">
        <v>40</v>
      </c>
      <c r="N195">
        <v>87</v>
      </c>
      <c r="O195" t="s">
        <v>34</v>
      </c>
      <c r="P195">
        <v>44865</v>
      </c>
      <c r="R195">
        <v>27.47</v>
      </c>
      <c r="S195" s="6">
        <v>24578.15</v>
      </c>
      <c r="T195" t="s">
        <v>19</v>
      </c>
      <c r="U195">
        <v>160</v>
      </c>
      <c r="V195">
        <v>43</v>
      </c>
      <c r="W195" s="7">
        <v>2299</v>
      </c>
      <c r="X195">
        <v>894.68</v>
      </c>
      <c r="Y195">
        <v>25.16</v>
      </c>
      <c r="Z195">
        <v>15335.33</v>
      </c>
      <c r="AD195">
        <v>983.13</v>
      </c>
      <c r="AE195">
        <v>491.56</v>
      </c>
      <c r="AH195">
        <v>1377.81</v>
      </c>
      <c r="AK195">
        <v>10.690800347977381</v>
      </c>
    </row>
    <row r="196" spans="1:37" x14ac:dyDescent="0.35">
      <c r="A196">
        <v>11</v>
      </c>
      <c r="B196">
        <v>2022</v>
      </c>
      <c r="C196" t="s">
        <v>33</v>
      </c>
      <c r="D196" t="s">
        <v>34</v>
      </c>
      <c r="E196" s="18" t="s">
        <v>390</v>
      </c>
      <c r="F196" s="3" t="s">
        <v>36</v>
      </c>
      <c r="G196" s="2" t="s">
        <v>43</v>
      </c>
      <c r="H196" s="3">
        <v>43983</v>
      </c>
      <c r="I196" s="3">
        <v>3030001</v>
      </c>
      <c r="J196" s="2" t="s">
        <v>227</v>
      </c>
      <c r="K196" t="s">
        <v>226</v>
      </c>
      <c r="L196" t="s">
        <v>39</v>
      </c>
      <c r="M196" t="s">
        <v>40</v>
      </c>
      <c r="N196">
        <v>90</v>
      </c>
      <c r="O196" t="s">
        <v>45</v>
      </c>
      <c r="P196">
        <v>44875</v>
      </c>
      <c r="R196">
        <v>22.23</v>
      </c>
      <c r="S196" s="6">
        <v>6270.63</v>
      </c>
      <c r="T196" t="s">
        <v>19</v>
      </c>
      <c r="U196">
        <v>180</v>
      </c>
      <c r="V196">
        <v>12</v>
      </c>
      <c r="W196" s="7">
        <v>653</v>
      </c>
      <c r="X196">
        <v>282.06</v>
      </c>
      <c r="Y196">
        <v>20.95</v>
      </c>
      <c r="Z196">
        <v>4080.48</v>
      </c>
      <c r="AE196">
        <v>125.41</v>
      </c>
      <c r="AF196">
        <v>434.37</v>
      </c>
      <c r="AG196">
        <v>1630.36</v>
      </c>
      <c r="AH196">
        <v>3662.73</v>
      </c>
      <c r="AK196">
        <v>9.60280245022971</v>
      </c>
    </row>
    <row r="197" spans="1:37" x14ac:dyDescent="0.35">
      <c r="A197">
        <v>11</v>
      </c>
      <c r="B197">
        <v>2022</v>
      </c>
      <c r="C197" t="s">
        <v>33</v>
      </c>
      <c r="D197" t="s">
        <v>34</v>
      </c>
      <c r="E197" s="18" t="s">
        <v>390</v>
      </c>
      <c r="F197" s="3" t="s">
        <v>36</v>
      </c>
      <c r="G197" s="2" t="s">
        <v>43</v>
      </c>
      <c r="H197" s="3">
        <v>43983</v>
      </c>
      <c r="I197" s="3">
        <v>3030002</v>
      </c>
      <c r="J197" s="2" t="s">
        <v>227</v>
      </c>
      <c r="K197" t="s">
        <v>226</v>
      </c>
      <c r="L197" t="s">
        <v>39</v>
      </c>
      <c r="M197" t="s">
        <v>40</v>
      </c>
      <c r="N197">
        <v>90</v>
      </c>
      <c r="O197" t="s">
        <v>45</v>
      </c>
      <c r="P197">
        <v>44875</v>
      </c>
      <c r="R197">
        <v>24.95</v>
      </c>
      <c r="S197" s="6">
        <v>6050.8</v>
      </c>
      <c r="T197" t="s">
        <v>19</v>
      </c>
      <c r="U197">
        <v>180</v>
      </c>
      <c r="V197">
        <v>13</v>
      </c>
      <c r="W197" s="7">
        <v>586</v>
      </c>
      <c r="X197">
        <v>242.48</v>
      </c>
      <c r="Y197">
        <v>15.74</v>
      </c>
      <c r="Z197">
        <v>3983.16</v>
      </c>
      <c r="AE197">
        <v>121.02</v>
      </c>
      <c r="AF197">
        <v>373.42</v>
      </c>
      <c r="AG197">
        <v>1573.21</v>
      </c>
      <c r="AH197">
        <v>3669.21</v>
      </c>
      <c r="AK197">
        <v>10.325597269624573</v>
      </c>
    </row>
    <row r="198" spans="1:37" x14ac:dyDescent="0.35">
      <c r="A198">
        <v>11</v>
      </c>
      <c r="B198">
        <v>2022</v>
      </c>
      <c r="C198" t="s">
        <v>33</v>
      </c>
      <c r="D198" t="s">
        <v>34</v>
      </c>
      <c r="E198" s="18" t="s">
        <v>390</v>
      </c>
      <c r="F198" s="3" t="s">
        <v>36</v>
      </c>
      <c r="G198" s="2" t="s">
        <v>43</v>
      </c>
      <c r="H198" s="3">
        <v>43983</v>
      </c>
      <c r="I198" s="3">
        <v>3030003</v>
      </c>
      <c r="J198" s="2" t="s">
        <v>227</v>
      </c>
      <c r="K198" t="s">
        <v>226</v>
      </c>
      <c r="L198" t="s">
        <v>39</v>
      </c>
      <c r="M198" t="s">
        <v>40</v>
      </c>
      <c r="N198">
        <v>90</v>
      </c>
      <c r="O198" t="s">
        <v>45</v>
      </c>
      <c r="P198">
        <v>44875</v>
      </c>
      <c r="R198">
        <v>24.93</v>
      </c>
      <c r="S198" s="6">
        <v>5823.64</v>
      </c>
      <c r="T198" t="s">
        <v>19</v>
      </c>
      <c r="U198">
        <v>180</v>
      </c>
      <c r="V198">
        <v>13</v>
      </c>
      <c r="W198" s="7">
        <v>564</v>
      </c>
      <c r="X198">
        <v>233.6</v>
      </c>
      <c r="Y198">
        <v>21.52</v>
      </c>
      <c r="Z198">
        <v>3833.28</v>
      </c>
      <c r="AE198">
        <v>116.47</v>
      </c>
      <c r="AF198">
        <v>359.74</v>
      </c>
      <c r="AG198">
        <v>1514.15</v>
      </c>
      <c r="AH198">
        <v>3170.6</v>
      </c>
      <c r="AK198">
        <v>10.325602836879433</v>
      </c>
    </row>
    <row r="199" spans="1:37" x14ac:dyDescent="0.35">
      <c r="A199">
        <v>11</v>
      </c>
      <c r="B199">
        <v>2022</v>
      </c>
      <c r="C199" t="s">
        <v>33</v>
      </c>
      <c r="D199" t="s">
        <v>34</v>
      </c>
      <c r="E199" s="18" t="s">
        <v>390</v>
      </c>
      <c r="F199" s="3" t="s">
        <v>36</v>
      </c>
      <c r="G199" s="2" t="s">
        <v>43</v>
      </c>
      <c r="H199" s="3">
        <v>43983</v>
      </c>
      <c r="I199" s="3">
        <v>3030005</v>
      </c>
      <c r="J199" s="2" t="s">
        <v>227</v>
      </c>
      <c r="K199" t="s">
        <v>226</v>
      </c>
      <c r="L199" t="s">
        <v>39</v>
      </c>
      <c r="M199" t="s">
        <v>40</v>
      </c>
      <c r="N199">
        <v>90</v>
      </c>
      <c r="O199" t="s">
        <v>45</v>
      </c>
      <c r="P199">
        <v>44875</v>
      </c>
      <c r="R199">
        <v>23.44</v>
      </c>
      <c r="S199" s="6">
        <v>6350.04</v>
      </c>
      <c r="T199" t="s">
        <v>19</v>
      </c>
      <c r="U199">
        <v>180</v>
      </c>
      <c r="V199">
        <v>14</v>
      </c>
      <c r="W199" s="7">
        <v>634</v>
      </c>
      <c r="X199">
        <v>270.89</v>
      </c>
      <c r="Y199">
        <v>17.82</v>
      </c>
      <c r="Z199">
        <v>4154.8599999999997</v>
      </c>
      <c r="AE199">
        <v>127</v>
      </c>
      <c r="AF199">
        <v>417.17</v>
      </c>
      <c r="AG199">
        <v>1651.01</v>
      </c>
      <c r="AH199">
        <v>3606.64</v>
      </c>
      <c r="AK199">
        <v>10.015835962145111</v>
      </c>
    </row>
    <row r="200" spans="1:37" x14ac:dyDescent="0.35">
      <c r="A200">
        <v>11</v>
      </c>
      <c r="B200">
        <v>2022</v>
      </c>
      <c r="C200" t="s">
        <v>33</v>
      </c>
      <c r="D200" t="s">
        <v>34</v>
      </c>
      <c r="E200" s="18" t="s">
        <v>390</v>
      </c>
      <c r="F200" s="3" t="s">
        <v>36</v>
      </c>
      <c r="G200" s="2" t="s">
        <v>43</v>
      </c>
      <c r="H200" s="3">
        <v>43983</v>
      </c>
      <c r="I200" s="3">
        <v>3030006</v>
      </c>
      <c r="J200" s="2" t="s">
        <v>227</v>
      </c>
      <c r="K200" t="s">
        <v>226</v>
      </c>
      <c r="L200" t="s">
        <v>39</v>
      </c>
      <c r="M200" t="s">
        <v>40</v>
      </c>
      <c r="N200">
        <v>90</v>
      </c>
      <c r="O200" t="s">
        <v>45</v>
      </c>
      <c r="P200">
        <v>44875</v>
      </c>
      <c r="R200">
        <v>23.61</v>
      </c>
      <c r="S200" s="6">
        <v>5629.52</v>
      </c>
      <c r="T200" t="s">
        <v>19</v>
      </c>
      <c r="U200">
        <v>180</v>
      </c>
      <c r="V200">
        <v>12</v>
      </c>
      <c r="W200" s="7">
        <v>580</v>
      </c>
      <c r="X200">
        <v>238.48</v>
      </c>
      <c r="Y200">
        <v>17.989999999999998</v>
      </c>
      <c r="Z200">
        <v>3686</v>
      </c>
      <c r="AE200">
        <v>112.59</v>
      </c>
      <c r="AF200">
        <v>367.26</v>
      </c>
      <c r="AG200">
        <v>1463.68</v>
      </c>
      <c r="AH200">
        <v>3084.8</v>
      </c>
      <c r="AK200">
        <v>9.7060689655172414</v>
      </c>
    </row>
    <row r="201" spans="1:37" x14ac:dyDescent="0.35">
      <c r="A201">
        <v>11</v>
      </c>
      <c r="B201">
        <v>2022</v>
      </c>
      <c r="C201" t="s">
        <v>33</v>
      </c>
      <c r="D201" t="s">
        <v>34</v>
      </c>
      <c r="E201" s="18" t="s">
        <v>390</v>
      </c>
      <c r="F201" s="3" t="s">
        <v>36</v>
      </c>
      <c r="G201" s="2" t="s">
        <v>43</v>
      </c>
      <c r="H201" s="3">
        <v>43983</v>
      </c>
      <c r="I201" s="3">
        <v>3030008</v>
      </c>
      <c r="J201" s="2" t="s">
        <v>227</v>
      </c>
      <c r="K201" t="s">
        <v>226</v>
      </c>
      <c r="L201" t="s">
        <v>39</v>
      </c>
      <c r="M201" t="s">
        <v>40</v>
      </c>
      <c r="N201">
        <v>90</v>
      </c>
      <c r="O201" t="s">
        <v>45</v>
      </c>
      <c r="P201">
        <v>44875</v>
      </c>
      <c r="R201">
        <v>25.03</v>
      </c>
      <c r="S201" s="6">
        <v>6116.99</v>
      </c>
      <c r="T201" t="s">
        <v>19</v>
      </c>
      <c r="U201">
        <v>160</v>
      </c>
      <c r="V201">
        <v>13</v>
      </c>
      <c r="W201" s="7">
        <v>637</v>
      </c>
      <c r="X201">
        <v>244.42</v>
      </c>
      <c r="Y201">
        <v>10.86</v>
      </c>
      <c r="Z201">
        <v>4027.83</v>
      </c>
      <c r="AE201">
        <v>122.34</v>
      </c>
      <c r="AF201">
        <v>376.41</v>
      </c>
      <c r="AG201">
        <v>1590.42</v>
      </c>
      <c r="AH201">
        <v>3610.48</v>
      </c>
      <c r="AK201">
        <v>9.6028100470957618</v>
      </c>
    </row>
    <row r="202" spans="1:37" x14ac:dyDescent="0.35">
      <c r="A202">
        <v>11</v>
      </c>
      <c r="B202">
        <v>2022</v>
      </c>
      <c r="C202" t="s">
        <v>33</v>
      </c>
      <c r="D202" t="s">
        <v>34</v>
      </c>
      <c r="E202" s="18" t="s">
        <v>390</v>
      </c>
      <c r="F202" s="3" t="s">
        <v>36</v>
      </c>
      <c r="G202" s="2" t="s">
        <v>43</v>
      </c>
      <c r="H202" s="3">
        <v>43983</v>
      </c>
      <c r="I202" s="3">
        <v>3030009</v>
      </c>
      <c r="J202" s="2" t="s">
        <v>227</v>
      </c>
      <c r="K202" t="s">
        <v>226</v>
      </c>
      <c r="L202" t="s">
        <v>39</v>
      </c>
      <c r="M202" t="s">
        <v>40</v>
      </c>
      <c r="N202">
        <v>90</v>
      </c>
      <c r="O202" t="s">
        <v>45</v>
      </c>
      <c r="P202">
        <v>44875</v>
      </c>
      <c r="R202">
        <v>22.88</v>
      </c>
      <c r="S202" s="6">
        <v>5610.93</v>
      </c>
      <c r="T202" t="s">
        <v>19</v>
      </c>
      <c r="U202">
        <v>180</v>
      </c>
      <c r="V202">
        <v>12</v>
      </c>
      <c r="W202" s="7">
        <v>572</v>
      </c>
      <c r="X202">
        <v>245.24</v>
      </c>
      <c r="Y202">
        <v>18.55</v>
      </c>
      <c r="Z202">
        <v>3662.2</v>
      </c>
      <c r="AE202">
        <v>112.22</v>
      </c>
      <c r="AF202">
        <v>377.67</v>
      </c>
      <c r="AG202">
        <v>1458.84</v>
      </c>
      <c r="AH202">
        <v>3182.8</v>
      </c>
      <c r="AK202">
        <v>9.8093181818181829</v>
      </c>
    </row>
    <row r="203" spans="1:37" x14ac:dyDescent="0.35">
      <c r="A203">
        <v>11</v>
      </c>
      <c r="B203">
        <v>2022</v>
      </c>
      <c r="C203" t="s">
        <v>33</v>
      </c>
      <c r="D203" t="s">
        <v>34</v>
      </c>
      <c r="E203" s="18" t="s">
        <v>390</v>
      </c>
      <c r="F203" s="3" t="s">
        <v>36</v>
      </c>
      <c r="G203" s="2" t="s">
        <v>43</v>
      </c>
      <c r="H203" s="3">
        <v>43983</v>
      </c>
      <c r="I203" s="3">
        <v>3030011</v>
      </c>
      <c r="J203" s="2" t="s">
        <v>227</v>
      </c>
      <c r="K203" t="s">
        <v>226</v>
      </c>
      <c r="L203" t="s">
        <v>39</v>
      </c>
      <c r="M203" t="s">
        <v>40</v>
      </c>
      <c r="N203">
        <v>90</v>
      </c>
      <c r="O203" t="s">
        <v>45</v>
      </c>
      <c r="P203">
        <v>44875</v>
      </c>
      <c r="R203">
        <v>21.41</v>
      </c>
      <c r="S203" s="6">
        <v>6117.71</v>
      </c>
      <c r="T203" t="s">
        <v>19</v>
      </c>
      <c r="U203">
        <v>180</v>
      </c>
      <c r="V203">
        <v>12</v>
      </c>
      <c r="W203" s="7">
        <v>644</v>
      </c>
      <c r="X203">
        <v>285.8</v>
      </c>
      <c r="Y203">
        <v>18.239999999999998</v>
      </c>
      <c r="Z203">
        <v>3964.62</v>
      </c>
      <c r="AE203">
        <v>122.35</v>
      </c>
      <c r="AF203">
        <v>440.13</v>
      </c>
      <c r="AG203">
        <v>1590.6</v>
      </c>
      <c r="AH203">
        <v>3580.14</v>
      </c>
      <c r="AK203">
        <v>9.4995496894409932</v>
      </c>
    </row>
    <row r="204" spans="1:37" x14ac:dyDescent="0.35">
      <c r="A204">
        <v>11</v>
      </c>
      <c r="B204">
        <v>2022</v>
      </c>
      <c r="C204" t="s">
        <v>33</v>
      </c>
      <c r="D204" t="s">
        <v>34</v>
      </c>
      <c r="E204" s="18" t="s">
        <v>390</v>
      </c>
      <c r="F204" s="3" t="s">
        <v>36</v>
      </c>
      <c r="G204" s="2" t="s">
        <v>43</v>
      </c>
      <c r="H204" s="3">
        <v>43983</v>
      </c>
      <c r="I204" s="3">
        <v>3030014</v>
      </c>
      <c r="J204" s="2" t="s">
        <v>227</v>
      </c>
      <c r="K204" t="s">
        <v>226</v>
      </c>
      <c r="L204" t="s">
        <v>39</v>
      </c>
      <c r="M204" t="s">
        <v>40</v>
      </c>
      <c r="N204">
        <v>90</v>
      </c>
      <c r="O204" t="s">
        <v>45</v>
      </c>
      <c r="P204">
        <v>44875</v>
      </c>
      <c r="R204">
        <v>21.72</v>
      </c>
      <c r="S204" s="6">
        <v>5227.8500000000004</v>
      </c>
      <c r="T204" t="s">
        <v>19</v>
      </c>
      <c r="U204">
        <v>160</v>
      </c>
      <c r="V204">
        <v>12</v>
      </c>
      <c r="W204" s="7">
        <v>610</v>
      </c>
      <c r="X204">
        <v>240.68</v>
      </c>
      <c r="Y204">
        <v>19.62</v>
      </c>
      <c r="Z204">
        <v>3393.4</v>
      </c>
      <c r="AE204">
        <v>104.56</v>
      </c>
      <c r="AF204">
        <v>370.65</v>
      </c>
      <c r="AG204">
        <v>1359.24</v>
      </c>
      <c r="AH204">
        <v>3186.14</v>
      </c>
      <c r="AK204">
        <v>8.5702459016393444</v>
      </c>
    </row>
    <row r="205" spans="1:37" x14ac:dyDescent="0.35">
      <c r="A205">
        <v>11</v>
      </c>
      <c r="B205">
        <v>2022</v>
      </c>
      <c r="C205" t="s">
        <v>33</v>
      </c>
      <c r="D205" t="s">
        <v>34</v>
      </c>
      <c r="E205" s="18" t="s">
        <v>390</v>
      </c>
      <c r="F205" s="3" t="s">
        <v>36</v>
      </c>
      <c r="G205" s="2" t="s">
        <v>43</v>
      </c>
      <c r="H205" s="3">
        <v>43983</v>
      </c>
      <c r="I205" s="3">
        <v>3030017</v>
      </c>
      <c r="J205" s="2" t="s">
        <v>227</v>
      </c>
      <c r="K205" t="s">
        <v>226</v>
      </c>
      <c r="L205" t="s">
        <v>39</v>
      </c>
      <c r="M205" t="s">
        <v>40</v>
      </c>
      <c r="N205">
        <v>90</v>
      </c>
      <c r="O205" t="s">
        <v>45</v>
      </c>
      <c r="P205">
        <v>44875</v>
      </c>
      <c r="R205">
        <v>27.86</v>
      </c>
      <c r="S205" s="6">
        <v>7058.06</v>
      </c>
      <c r="T205" t="s">
        <v>19</v>
      </c>
      <c r="U205">
        <v>160</v>
      </c>
      <c r="V205">
        <v>12</v>
      </c>
      <c r="W205" s="7">
        <v>651</v>
      </c>
      <c r="X205">
        <v>253.38</v>
      </c>
      <c r="Y205">
        <v>19.45</v>
      </c>
      <c r="Z205">
        <v>4691.6000000000004</v>
      </c>
      <c r="AE205">
        <v>141.16</v>
      </c>
      <c r="AF205">
        <v>390.21</v>
      </c>
      <c r="AG205">
        <v>1835.1</v>
      </c>
      <c r="AH205">
        <v>4162.29</v>
      </c>
      <c r="AK205">
        <v>10.841874039938556</v>
      </c>
    </row>
    <row r="206" spans="1:37" x14ac:dyDescent="0.35">
      <c r="A206">
        <v>11</v>
      </c>
      <c r="B206">
        <v>2022</v>
      </c>
      <c r="C206" t="s">
        <v>33</v>
      </c>
      <c r="D206" t="s">
        <v>34</v>
      </c>
      <c r="E206" s="18" t="s">
        <v>390</v>
      </c>
      <c r="F206" s="3" t="s">
        <v>36</v>
      </c>
      <c r="G206" s="2" t="s">
        <v>43</v>
      </c>
      <c r="H206" s="3">
        <v>43983</v>
      </c>
      <c r="I206" s="3">
        <v>3030019</v>
      </c>
      <c r="J206" s="2" t="s">
        <v>227</v>
      </c>
      <c r="K206" t="s">
        <v>226</v>
      </c>
      <c r="L206" t="s">
        <v>39</v>
      </c>
      <c r="M206" t="s">
        <v>40</v>
      </c>
      <c r="N206">
        <v>90</v>
      </c>
      <c r="O206" t="s">
        <v>45</v>
      </c>
      <c r="P206">
        <v>44875</v>
      </c>
      <c r="R206">
        <v>26.12</v>
      </c>
      <c r="S206" s="6">
        <v>13631.55</v>
      </c>
      <c r="T206" t="s">
        <v>19</v>
      </c>
      <c r="U206">
        <v>160</v>
      </c>
      <c r="V206">
        <v>27</v>
      </c>
      <c r="W206" s="7">
        <v>1361</v>
      </c>
      <c r="X206">
        <v>521.79999999999995</v>
      </c>
      <c r="Y206">
        <v>19.46</v>
      </c>
      <c r="Z206">
        <v>9011.14</v>
      </c>
      <c r="AE206">
        <v>272.63</v>
      </c>
      <c r="AF206">
        <v>803.57</v>
      </c>
      <c r="AG206">
        <v>3544.2</v>
      </c>
      <c r="AH206">
        <v>7816.11</v>
      </c>
      <c r="AK206">
        <v>10.015833945628215</v>
      </c>
    </row>
    <row r="207" spans="1:37" x14ac:dyDescent="0.35">
      <c r="A207">
        <v>11</v>
      </c>
      <c r="B207">
        <v>2022</v>
      </c>
      <c r="C207" t="s">
        <v>33</v>
      </c>
      <c r="D207" t="s">
        <v>34</v>
      </c>
      <c r="E207" s="18" t="s">
        <v>390</v>
      </c>
      <c r="F207" s="3" t="s">
        <v>36</v>
      </c>
      <c r="G207" s="2" t="s">
        <v>43</v>
      </c>
      <c r="H207" s="3">
        <v>43983</v>
      </c>
      <c r="I207" s="3">
        <v>3030020</v>
      </c>
      <c r="J207" s="2" t="s">
        <v>227</v>
      </c>
      <c r="K207" t="s">
        <v>226</v>
      </c>
      <c r="L207" t="s">
        <v>39</v>
      </c>
      <c r="M207" t="s">
        <v>40</v>
      </c>
      <c r="N207">
        <v>90</v>
      </c>
      <c r="O207" t="s">
        <v>45</v>
      </c>
      <c r="P207">
        <v>44875</v>
      </c>
      <c r="R207">
        <v>24.33</v>
      </c>
      <c r="S207" s="6">
        <v>6846.8</v>
      </c>
      <c r="T207" t="s">
        <v>19</v>
      </c>
      <c r="U207">
        <v>160</v>
      </c>
      <c r="V207">
        <v>14</v>
      </c>
      <c r="W207" s="7">
        <v>713</v>
      </c>
      <c r="X207">
        <v>281.36</v>
      </c>
      <c r="Y207">
        <v>23.25</v>
      </c>
      <c r="Z207">
        <v>4496.3999999999996</v>
      </c>
      <c r="AE207">
        <v>136.94</v>
      </c>
      <c r="AF207">
        <v>433.29</v>
      </c>
      <c r="AG207">
        <v>1780.17</v>
      </c>
      <c r="AH207">
        <v>3892.26</v>
      </c>
      <c r="AK207">
        <v>9.6028050490883601</v>
      </c>
    </row>
    <row r="208" spans="1:37" x14ac:dyDescent="0.35">
      <c r="A208">
        <v>11</v>
      </c>
      <c r="B208">
        <v>2022</v>
      </c>
      <c r="C208" t="s">
        <v>33</v>
      </c>
      <c r="D208" t="s">
        <v>34</v>
      </c>
      <c r="E208" s="18" t="s">
        <v>390</v>
      </c>
      <c r="F208" s="3" t="s">
        <v>36</v>
      </c>
      <c r="G208" s="2" t="s">
        <v>43</v>
      </c>
      <c r="H208" s="3">
        <v>43983</v>
      </c>
      <c r="I208" s="3">
        <v>3030018</v>
      </c>
      <c r="J208" s="2" t="s">
        <v>227</v>
      </c>
      <c r="K208" t="s">
        <v>226</v>
      </c>
      <c r="L208" t="s">
        <v>39</v>
      </c>
      <c r="M208" t="s">
        <v>40</v>
      </c>
      <c r="N208">
        <v>90</v>
      </c>
      <c r="O208" t="s">
        <v>45</v>
      </c>
      <c r="P208">
        <v>44875</v>
      </c>
      <c r="R208">
        <v>26.16</v>
      </c>
      <c r="S208" s="6">
        <v>7431.64</v>
      </c>
      <c r="T208" t="s">
        <v>19</v>
      </c>
      <c r="U208">
        <v>160</v>
      </c>
      <c r="V208">
        <v>14</v>
      </c>
      <c r="W208" s="7">
        <v>727</v>
      </c>
      <c r="X208">
        <v>284.08</v>
      </c>
      <c r="Y208">
        <v>22.08</v>
      </c>
      <c r="Z208">
        <v>4913.3</v>
      </c>
      <c r="AE208">
        <v>148.63</v>
      </c>
      <c r="AF208">
        <v>437.48</v>
      </c>
      <c r="AG208">
        <v>1932.23</v>
      </c>
      <c r="AH208">
        <v>3547.71</v>
      </c>
      <c r="AK208">
        <v>10.222338376891335</v>
      </c>
    </row>
    <row r="209" spans="1:37" x14ac:dyDescent="0.35">
      <c r="A209">
        <v>11</v>
      </c>
      <c r="B209">
        <v>2022</v>
      </c>
      <c r="C209" t="s">
        <v>33</v>
      </c>
      <c r="D209" t="s">
        <v>34</v>
      </c>
      <c r="E209" s="18" t="s">
        <v>390</v>
      </c>
      <c r="F209" s="3" t="s">
        <v>36</v>
      </c>
      <c r="G209" s="2" t="s">
        <v>43</v>
      </c>
      <c r="H209" s="3">
        <v>43983</v>
      </c>
      <c r="I209" s="3">
        <v>3030013</v>
      </c>
      <c r="J209" s="2" t="s">
        <v>227</v>
      </c>
      <c r="K209" t="s">
        <v>226</v>
      </c>
      <c r="L209" t="s">
        <v>39</v>
      </c>
      <c r="M209" t="s">
        <v>40</v>
      </c>
      <c r="N209">
        <v>90</v>
      </c>
      <c r="O209" t="s">
        <v>45</v>
      </c>
      <c r="P209">
        <v>44875</v>
      </c>
      <c r="R209">
        <v>22.01</v>
      </c>
      <c r="S209" s="6">
        <v>6565.02</v>
      </c>
      <c r="T209" t="s">
        <v>19</v>
      </c>
      <c r="U209">
        <v>160</v>
      </c>
      <c r="V209">
        <v>15</v>
      </c>
      <c r="W209" s="7">
        <v>748</v>
      </c>
      <c r="X209">
        <v>298.26</v>
      </c>
      <c r="Y209">
        <v>23.09</v>
      </c>
      <c r="Z209">
        <v>4267.49</v>
      </c>
      <c r="AE209">
        <v>131.30000000000001</v>
      </c>
      <c r="AF209">
        <v>459.32</v>
      </c>
      <c r="AG209">
        <v>1706.91</v>
      </c>
      <c r="AH209">
        <v>3909.64</v>
      </c>
      <c r="AK209">
        <v>8.7767647058823535</v>
      </c>
    </row>
    <row r="210" spans="1:37" x14ac:dyDescent="0.35">
      <c r="A210">
        <v>11</v>
      </c>
      <c r="B210">
        <v>2022</v>
      </c>
      <c r="C210" t="s">
        <v>33</v>
      </c>
      <c r="D210" t="s">
        <v>34</v>
      </c>
      <c r="E210" s="18" t="s">
        <v>390</v>
      </c>
      <c r="F210" s="3" t="s">
        <v>36</v>
      </c>
      <c r="G210" s="2" t="s">
        <v>43</v>
      </c>
      <c r="H210" s="3">
        <v>43983</v>
      </c>
      <c r="I210" s="3">
        <v>3030015</v>
      </c>
      <c r="J210" s="2" t="s">
        <v>227</v>
      </c>
      <c r="K210" t="s">
        <v>226</v>
      </c>
      <c r="L210" t="s">
        <v>39</v>
      </c>
      <c r="M210" t="s">
        <v>40</v>
      </c>
      <c r="N210">
        <v>90</v>
      </c>
      <c r="O210" t="s">
        <v>45</v>
      </c>
      <c r="P210">
        <v>44875</v>
      </c>
      <c r="R210">
        <v>20.170000000000002</v>
      </c>
      <c r="S210" s="6">
        <v>3033.92</v>
      </c>
      <c r="T210" t="s">
        <v>19</v>
      </c>
      <c r="U210">
        <v>160</v>
      </c>
      <c r="V210">
        <v>8</v>
      </c>
      <c r="W210" s="7">
        <v>365</v>
      </c>
      <c r="X210">
        <v>150.44</v>
      </c>
      <c r="Y210">
        <v>19.760000000000002</v>
      </c>
      <c r="Z210">
        <v>1952.74</v>
      </c>
      <c r="AE210">
        <v>60.68</v>
      </c>
      <c r="AF210">
        <v>231.68</v>
      </c>
      <c r="AG210">
        <v>788.82</v>
      </c>
      <c r="AH210">
        <v>1924.17</v>
      </c>
      <c r="AK210">
        <v>8.3121095890410963</v>
      </c>
    </row>
    <row r="211" spans="1:37" x14ac:dyDescent="0.35">
      <c r="A211">
        <v>11</v>
      </c>
      <c r="B211">
        <v>2022</v>
      </c>
      <c r="C211" t="s">
        <v>33</v>
      </c>
      <c r="D211" t="s">
        <v>34</v>
      </c>
      <c r="E211" s="18" t="s">
        <v>390</v>
      </c>
      <c r="F211" s="3" t="s">
        <v>36</v>
      </c>
      <c r="G211" s="2" t="s">
        <v>43</v>
      </c>
      <c r="H211" s="3">
        <v>43983</v>
      </c>
      <c r="I211" s="3">
        <v>3030012</v>
      </c>
      <c r="J211" s="2" t="s">
        <v>227</v>
      </c>
      <c r="K211" t="s">
        <v>226</v>
      </c>
      <c r="L211" t="s">
        <v>39</v>
      </c>
      <c r="M211" t="s">
        <v>40</v>
      </c>
      <c r="N211">
        <v>90</v>
      </c>
      <c r="O211" t="s">
        <v>45</v>
      </c>
      <c r="P211">
        <v>44875</v>
      </c>
      <c r="R211">
        <v>22.65</v>
      </c>
      <c r="S211" s="6">
        <v>5569.42</v>
      </c>
      <c r="T211" t="s">
        <v>19</v>
      </c>
      <c r="U211">
        <v>180</v>
      </c>
      <c r="V211">
        <v>12</v>
      </c>
      <c r="W211" s="7">
        <v>596</v>
      </c>
      <c r="X211">
        <v>245.94</v>
      </c>
      <c r="Y211">
        <v>20.079999999999998</v>
      </c>
      <c r="Z211">
        <v>3631.23</v>
      </c>
      <c r="AE211">
        <v>111.39</v>
      </c>
      <c r="AF211">
        <v>378.75</v>
      </c>
      <c r="AG211">
        <v>1448.05</v>
      </c>
      <c r="AH211">
        <v>3129.15</v>
      </c>
      <c r="AK211">
        <v>9.3446644295302015</v>
      </c>
    </row>
    <row r="212" spans="1:37" x14ac:dyDescent="0.35">
      <c r="A212">
        <v>11</v>
      </c>
      <c r="B212">
        <v>2022</v>
      </c>
      <c r="C212" t="s">
        <v>33</v>
      </c>
      <c r="D212" t="s">
        <v>34</v>
      </c>
      <c r="E212" s="18" t="s">
        <v>390</v>
      </c>
      <c r="F212" s="3" t="s">
        <v>36</v>
      </c>
      <c r="G212" s="2" t="s">
        <v>43</v>
      </c>
      <c r="H212" s="3">
        <v>43983</v>
      </c>
      <c r="I212" s="3">
        <v>3030010</v>
      </c>
      <c r="J212" s="2" t="s">
        <v>227</v>
      </c>
      <c r="K212" t="s">
        <v>226</v>
      </c>
      <c r="L212" t="s">
        <v>39</v>
      </c>
      <c r="M212" t="s">
        <v>40</v>
      </c>
      <c r="N212">
        <v>90</v>
      </c>
      <c r="O212" t="s">
        <v>45</v>
      </c>
      <c r="P212">
        <v>44875</v>
      </c>
      <c r="R212">
        <v>22.06</v>
      </c>
      <c r="S212" s="6">
        <v>12375.23</v>
      </c>
      <c r="T212" t="s">
        <v>19</v>
      </c>
      <c r="U212">
        <v>180</v>
      </c>
      <c r="V212">
        <v>26</v>
      </c>
      <c r="W212" s="7">
        <v>1275</v>
      </c>
      <c r="X212">
        <v>561.04</v>
      </c>
      <c r="Y212">
        <v>20.05</v>
      </c>
      <c r="Z212">
        <v>8046.16</v>
      </c>
      <c r="AE212">
        <v>247.5</v>
      </c>
      <c r="AF212">
        <v>864</v>
      </c>
      <c r="AG212">
        <v>3217.56</v>
      </c>
      <c r="AH212">
        <v>7032.38</v>
      </c>
      <c r="AK212">
        <v>9.7060627450980395</v>
      </c>
    </row>
    <row r="213" spans="1:37" x14ac:dyDescent="0.35">
      <c r="A213">
        <v>11</v>
      </c>
      <c r="B213">
        <v>2022</v>
      </c>
      <c r="C213" t="s">
        <v>33</v>
      </c>
      <c r="D213" t="s">
        <v>34</v>
      </c>
      <c r="E213" s="18" t="s">
        <v>390</v>
      </c>
      <c r="F213" s="3" t="s">
        <v>36</v>
      </c>
      <c r="G213" s="2" t="s">
        <v>43</v>
      </c>
      <c r="H213" s="3">
        <v>43983</v>
      </c>
      <c r="I213" s="3">
        <v>3030007</v>
      </c>
      <c r="J213" s="2" t="s">
        <v>227</v>
      </c>
      <c r="K213" t="s">
        <v>226</v>
      </c>
      <c r="L213" t="s">
        <v>39</v>
      </c>
      <c r="M213" t="s">
        <v>40</v>
      </c>
      <c r="N213">
        <v>90</v>
      </c>
      <c r="O213" t="s">
        <v>45</v>
      </c>
      <c r="P213">
        <v>44875</v>
      </c>
      <c r="R213">
        <v>27.86</v>
      </c>
      <c r="S213" s="6">
        <v>5338.34</v>
      </c>
      <c r="T213" t="s">
        <v>19</v>
      </c>
      <c r="U213">
        <v>160</v>
      </c>
      <c r="V213">
        <v>10</v>
      </c>
      <c r="W213" s="7">
        <v>517</v>
      </c>
      <c r="X213">
        <v>191.58</v>
      </c>
      <c r="Y213">
        <v>22.4</v>
      </c>
      <c r="Z213">
        <v>3548.57</v>
      </c>
      <c r="AE213">
        <v>106.77</v>
      </c>
      <c r="AF213">
        <v>295.02999999999997</v>
      </c>
      <c r="AG213">
        <v>1387.97</v>
      </c>
      <c r="AH213">
        <v>2432.91</v>
      </c>
      <c r="AK213">
        <v>10.325609284332689</v>
      </c>
    </row>
    <row r="214" spans="1:37" x14ac:dyDescent="0.35">
      <c r="A214">
        <v>11</v>
      </c>
      <c r="B214">
        <v>2022</v>
      </c>
      <c r="C214" t="s">
        <v>33</v>
      </c>
      <c r="D214" t="s">
        <v>34</v>
      </c>
      <c r="E214" s="18" t="s">
        <v>390</v>
      </c>
      <c r="F214" s="3" t="s">
        <v>36</v>
      </c>
      <c r="G214" s="2" t="s">
        <v>43</v>
      </c>
      <c r="H214" s="3">
        <v>43983</v>
      </c>
      <c r="I214" s="3">
        <v>3030004</v>
      </c>
      <c r="J214" s="2" t="s">
        <v>227</v>
      </c>
      <c r="K214" t="s">
        <v>226</v>
      </c>
      <c r="L214" t="s">
        <v>39</v>
      </c>
      <c r="M214" t="s">
        <v>40</v>
      </c>
      <c r="N214">
        <v>90</v>
      </c>
      <c r="O214" t="s">
        <v>45</v>
      </c>
      <c r="P214">
        <v>44875</v>
      </c>
      <c r="R214">
        <v>23.7</v>
      </c>
      <c r="S214" s="6">
        <v>7329.11</v>
      </c>
      <c r="T214" t="s">
        <v>19</v>
      </c>
      <c r="U214">
        <v>160</v>
      </c>
      <c r="V214">
        <v>16</v>
      </c>
      <c r="W214" s="7">
        <v>780</v>
      </c>
      <c r="X214">
        <v>309.24</v>
      </c>
      <c r="Y214">
        <v>20.29</v>
      </c>
      <c r="Z214">
        <v>4800.7299999999996</v>
      </c>
      <c r="AE214">
        <v>146.58000000000001</v>
      </c>
      <c r="AF214">
        <v>476.23</v>
      </c>
      <c r="AG214">
        <v>1905.57</v>
      </c>
      <c r="AH214">
        <v>4321</v>
      </c>
      <c r="AK214">
        <v>9.396294871794872</v>
      </c>
    </row>
    <row r="215" spans="1:37" x14ac:dyDescent="0.35">
      <c r="A215">
        <v>11</v>
      </c>
      <c r="B215">
        <v>2022</v>
      </c>
      <c r="C215" t="s">
        <v>33</v>
      </c>
      <c r="D215" t="s">
        <v>34</v>
      </c>
      <c r="E215" s="18" t="s">
        <v>390</v>
      </c>
      <c r="F215" s="3" t="s">
        <v>36</v>
      </c>
      <c r="G215" s="2" t="s">
        <v>43</v>
      </c>
      <c r="H215" s="3">
        <v>43983</v>
      </c>
      <c r="I215" s="3">
        <v>3030016</v>
      </c>
      <c r="J215" s="2" t="s">
        <v>227</v>
      </c>
      <c r="K215" t="s">
        <v>226</v>
      </c>
      <c r="L215" t="s">
        <v>39</v>
      </c>
      <c r="M215" t="s">
        <v>40</v>
      </c>
      <c r="N215">
        <v>90</v>
      </c>
      <c r="O215" t="s">
        <v>45</v>
      </c>
      <c r="P215">
        <v>44875</v>
      </c>
      <c r="R215">
        <v>22.14</v>
      </c>
      <c r="S215" s="6">
        <v>12147.04</v>
      </c>
      <c r="T215" t="s">
        <v>19</v>
      </c>
      <c r="U215">
        <v>160</v>
      </c>
      <c r="V215">
        <v>29</v>
      </c>
      <c r="W215" s="7">
        <v>1360</v>
      </c>
      <c r="X215">
        <v>548.66</v>
      </c>
      <c r="Y215">
        <v>18.29</v>
      </c>
      <c r="Z215">
        <v>7900.93</v>
      </c>
      <c r="AE215">
        <v>242.94</v>
      </c>
      <c r="AF215">
        <v>844.94</v>
      </c>
      <c r="AG215">
        <v>3158.23</v>
      </c>
      <c r="AH215">
        <v>7331.61</v>
      </c>
      <c r="AK215">
        <v>8.9316470588235308</v>
      </c>
    </row>
    <row r="216" spans="1:37" x14ac:dyDescent="0.35">
      <c r="A216">
        <v>11</v>
      </c>
      <c r="B216">
        <v>2022</v>
      </c>
      <c r="C216" t="s">
        <v>33</v>
      </c>
      <c r="D216" t="s">
        <v>34</v>
      </c>
      <c r="E216" s="18" t="s">
        <v>390</v>
      </c>
      <c r="F216" s="3" t="s">
        <v>36</v>
      </c>
      <c r="G216" s="2" t="s">
        <v>43</v>
      </c>
      <c r="H216" s="3">
        <v>43983</v>
      </c>
      <c r="I216" s="3">
        <v>3030021</v>
      </c>
      <c r="J216" s="2" t="s">
        <v>227</v>
      </c>
      <c r="K216" t="s">
        <v>226</v>
      </c>
      <c r="L216" t="s">
        <v>39</v>
      </c>
      <c r="M216" t="s">
        <v>40</v>
      </c>
      <c r="N216">
        <v>90</v>
      </c>
      <c r="O216" t="s">
        <v>45</v>
      </c>
      <c r="P216">
        <v>44875</v>
      </c>
      <c r="R216">
        <v>35.31</v>
      </c>
      <c r="S216" s="6">
        <v>16702.169999999998</v>
      </c>
      <c r="T216" t="s">
        <v>19</v>
      </c>
      <c r="U216">
        <v>80</v>
      </c>
      <c r="V216">
        <v>12</v>
      </c>
      <c r="W216" s="7">
        <v>2941</v>
      </c>
      <c r="X216">
        <v>473</v>
      </c>
      <c r="Y216">
        <v>67.459999999999994</v>
      </c>
      <c r="Z216">
        <v>11297.14</v>
      </c>
      <c r="AE216">
        <v>334.04</v>
      </c>
      <c r="AF216">
        <v>728.42</v>
      </c>
      <c r="AG216">
        <v>4342.5600000000004</v>
      </c>
      <c r="AH216">
        <v>1264.94</v>
      </c>
      <c r="AK216">
        <v>5.6790785447126826</v>
      </c>
    </row>
    <row r="217" spans="1:37" x14ac:dyDescent="0.35">
      <c r="A217">
        <v>11</v>
      </c>
      <c r="B217">
        <v>2022</v>
      </c>
      <c r="C217" t="s">
        <v>33</v>
      </c>
      <c r="D217" t="s">
        <v>34</v>
      </c>
      <c r="E217" s="18" t="s">
        <v>390</v>
      </c>
      <c r="F217" s="3" t="s">
        <v>36</v>
      </c>
      <c r="G217" s="2" t="s">
        <v>43</v>
      </c>
      <c r="H217" s="3">
        <v>43983</v>
      </c>
      <c r="I217" s="3">
        <v>3030022</v>
      </c>
      <c r="J217" s="2" t="s">
        <v>227</v>
      </c>
      <c r="K217" t="s">
        <v>226</v>
      </c>
      <c r="L217" t="s">
        <v>39</v>
      </c>
      <c r="M217" t="s">
        <v>40</v>
      </c>
      <c r="N217">
        <v>90</v>
      </c>
      <c r="O217" t="s">
        <v>45</v>
      </c>
      <c r="P217">
        <v>44875</v>
      </c>
      <c r="R217">
        <v>35.24</v>
      </c>
      <c r="S217" s="6">
        <v>16418.22</v>
      </c>
      <c r="T217" t="s">
        <v>19</v>
      </c>
      <c r="U217">
        <v>80</v>
      </c>
      <c r="V217">
        <v>11</v>
      </c>
      <c r="W217" s="7">
        <v>2891</v>
      </c>
      <c r="X217">
        <v>465.91</v>
      </c>
      <c r="Y217">
        <v>67.459999999999994</v>
      </c>
      <c r="Z217">
        <v>11103.62</v>
      </c>
      <c r="AE217">
        <v>328.36</v>
      </c>
      <c r="AF217">
        <v>717.5</v>
      </c>
      <c r="AG217">
        <v>4268.74</v>
      </c>
      <c r="AH217">
        <v>1255.3</v>
      </c>
      <c r="AK217">
        <v>5.6790799031477004</v>
      </c>
    </row>
    <row r="218" spans="1:37" x14ac:dyDescent="0.35">
      <c r="A218">
        <v>11</v>
      </c>
      <c r="B218">
        <v>2022</v>
      </c>
      <c r="C218" t="s">
        <v>33</v>
      </c>
      <c r="D218" t="s">
        <v>34</v>
      </c>
      <c r="E218" s="18" t="s">
        <v>390</v>
      </c>
      <c r="F218" s="3" t="s">
        <v>36</v>
      </c>
      <c r="G218" s="2" t="s">
        <v>43</v>
      </c>
      <c r="H218" s="3">
        <v>43983</v>
      </c>
      <c r="I218" s="3">
        <v>3030023</v>
      </c>
      <c r="J218" s="2" t="s">
        <v>227</v>
      </c>
      <c r="K218" t="s">
        <v>226</v>
      </c>
      <c r="L218" t="s">
        <v>39</v>
      </c>
      <c r="M218" t="s">
        <v>40</v>
      </c>
      <c r="N218">
        <v>90</v>
      </c>
      <c r="O218" t="s">
        <v>45</v>
      </c>
      <c r="P218">
        <v>44875</v>
      </c>
      <c r="R218">
        <v>35.28</v>
      </c>
      <c r="S218" s="6">
        <v>12465.58</v>
      </c>
      <c r="T218" t="s">
        <v>19</v>
      </c>
      <c r="U218">
        <v>80</v>
      </c>
      <c r="V218">
        <v>9</v>
      </c>
      <c r="W218" s="7">
        <v>2195</v>
      </c>
      <c r="X218">
        <v>353.38</v>
      </c>
      <c r="Y218">
        <v>67.459999999999994</v>
      </c>
      <c r="Z218">
        <v>8431.01</v>
      </c>
      <c r="AE218">
        <v>249.31</v>
      </c>
      <c r="AF218">
        <v>544.21</v>
      </c>
      <c r="AG218">
        <v>3241.05</v>
      </c>
      <c r="AH218">
        <v>927.93</v>
      </c>
      <c r="AK218">
        <v>5.679079726651481</v>
      </c>
    </row>
    <row r="219" spans="1:37" x14ac:dyDescent="0.35">
      <c r="A219">
        <v>11</v>
      </c>
      <c r="B219">
        <v>2022</v>
      </c>
      <c r="C219" t="s">
        <v>33</v>
      </c>
      <c r="D219" t="s">
        <v>34</v>
      </c>
      <c r="E219" t="s">
        <v>116</v>
      </c>
      <c r="F219" s="3" t="s">
        <v>36</v>
      </c>
      <c r="G219" s="2" t="s">
        <v>50</v>
      </c>
      <c r="H219" s="3">
        <v>43991</v>
      </c>
      <c r="I219" s="3">
        <v>2810007</v>
      </c>
      <c r="J219" s="2" t="s">
        <v>228</v>
      </c>
      <c r="K219" t="s">
        <v>116</v>
      </c>
      <c r="L219" t="s">
        <v>39</v>
      </c>
      <c r="M219" t="s">
        <v>40</v>
      </c>
      <c r="N219">
        <v>91</v>
      </c>
      <c r="O219" t="s">
        <v>34</v>
      </c>
      <c r="P219">
        <v>44876</v>
      </c>
      <c r="R219">
        <v>30.25</v>
      </c>
      <c r="S219" s="6">
        <v>50466.81</v>
      </c>
      <c r="T219" t="s">
        <v>19</v>
      </c>
      <c r="U219">
        <v>210</v>
      </c>
      <c r="V219">
        <v>71</v>
      </c>
      <c r="W219" s="7">
        <v>3361</v>
      </c>
      <c r="X219">
        <v>1668.56</v>
      </c>
      <c r="Y219">
        <v>18.329999999999998</v>
      </c>
      <c r="Z219">
        <v>31747.85</v>
      </c>
      <c r="AD219">
        <v>2018.67</v>
      </c>
      <c r="AE219">
        <v>1009.34</v>
      </c>
      <c r="AF219">
        <v>2569.58</v>
      </c>
      <c r="AG219">
        <v>13121.37</v>
      </c>
      <c r="AH219">
        <v>24742.52</v>
      </c>
      <c r="AK219">
        <v>15.015415055043141</v>
      </c>
    </row>
    <row r="220" spans="1:37" x14ac:dyDescent="0.35">
      <c r="A220">
        <v>11</v>
      </c>
      <c r="B220">
        <v>2022</v>
      </c>
      <c r="C220" t="s">
        <v>33</v>
      </c>
      <c r="D220" t="s">
        <v>34</v>
      </c>
      <c r="E220" t="s">
        <v>187</v>
      </c>
      <c r="F220" s="3" t="s">
        <v>36</v>
      </c>
      <c r="G220" s="2" t="s">
        <v>82</v>
      </c>
      <c r="H220" s="3">
        <v>44133</v>
      </c>
      <c r="I220" s="3">
        <v>2920011</v>
      </c>
      <c r="J220" s="2" t="s">
        <v>229</v>
      </c>
      <c r="K220" t="s">
        <v>187</v>
      </c>
      <c r="L220" t="s">
        <v>39</v>
      </c>
      <c r="M220" t="s">
        <v>40</v>
      </c>
      <c r="N220">
        <v>87</v>
      </c>
      <c r="O220" t="s">
        <v>34</v>
      </c>
      <c r="P220">
        <v>44887</v>
      </c>
      <c r="R220">
        <v>31.72</v>
      </c>
      <c r="S220" s="6">
        <v>9261.36</v>
      </c>
      <c r="T220" t="s">
        <v>19</v>
      </c>
      <c r="U220">
        <v>300</v>
      </c>
      <c r="V220">
        <v>11</v>
      </c>
      <c r="W220" s="7">
        <v>470</v>
      </c>
      <c r="X220">
        <v>328.8</v>
      </c>
      <c r="Y220">
        <v>27.12</v>
      </c>
      <c r="Z220">
        <v>6161.83</v>
      </c>
      <c r="AE220">
        <v>185.23</v>
      </c>
      <c r="AF220">
        <v>506.35</v>
      </c>
      <c r="AG220">
        <v>2407.9499999999998</v>
      </c>
      <c r="AH220">
        <v>4671.82</v>
      </c>
      <c r="AK220">
        <v>19.705021276595748</v>
      </c>
    </row>
    <row r="221" spans="1:37" x14ac:dyDescent="0.35">
      <c r="A221">
        <v>11</v>
      </c>
      <c r="B221">
        <v>2022</v>
      </c>
      <c r="C221" t="s">
        <v>33</v>
      </c>
      <c r="D221" t="s">
        <v>34</v>
      </c>
      <c r="E221" t="s">
        <v>187</v>
      </c>
      <c r="F221" s="3" t="s">
        <v>36</v>
      </c>
      <c r="G221" s="2" t="s">
        <v>82</v>
      </c>
      <c r="H221" s="3">
        <v>44133</v>
      </c>
      <c r="I221" s="3">
        <v>2920012</v>
      </c>
      <c r="J221" s="2" t="s">
        <v>230</v>
      </c>
      <c r="K221" t="s">
        <v>187</v>
      </c>
      <c r="L221" t="s">
        <v>39</v>
      </c>
      <c r="M221" t="s">
        <v>40</v>
      </c>
      <c r="N221">
        <v>87</v>
      </c>
      <c r="O221" t="s">
        <v>34</v>
      </c>
      <c r="P221">
        <v>44887</v>
      </c>
      <c r="R221">
        <v>36.46</v>
      </c>
      <c r="S221" s="6">
        <v>12312.08</v>
      </c>
      <c r="T221" t="s">
        <v>19</v>
      </c>
      <c r="U221">
        <v>260</v>
      </c>
      <c r="V221">
        <v>12</v>
      </c>
      <c r="W221" s="7">
        <v>586</v>
      </c>
      <c r="X221">
        <v>380.28</v>
      </c>
      <c r="Y221">
        <v>17.46</v>
      </c>
      <c r="Z221">
        <v>8277.2999999999993</v>
      </c>
      <c r="AE221">
        <v>246.24</v>
      </c>
      <c r="AF221">
        <v>585.63</v>
      </c>
      <c r="AG221">
        <v>3201.14</v>
      </c>
      <c r="AH221">
        <v>7724.45</v>
      </c>
      <c r="AK221">
        <v>21.01037542662116</v>
      </c>
    </row>
    <row r="222" spans="1:37" x14ac:dyDescent="0.35">
      <c r="A222">
        <v>11</v>
      </c>
      <c r="B222">
        <v>2022</v>
      </c>
      <c r="C222" t="s">
        <v>33</v>
      </c>
      <c r="D222" t="s">
        <v>34</v>
      </c>
      <c r="E222" t="s">
        <v>187</v>
      </c>
      <c r="F222" s="3" t="s">
        <v>36</v>
      </c>
      <c r="G222" s="2" t="s">
        <v>82</v>
      </c>
      <c r="H222" s="3">
        <v>44133</v>
      </c>
      <c r="I222" s="3">
        <v>2920013</v>
      </c>
      <c r="J222" s="2" t="s">
        <v>231</v>
      </c>
      <c r="K222" t="s">
        <v>187</v>
      </c>
      <c r="L222" t="s">
        <v>39</v>
      </c>
      <c r="M222" t="s">
        <v>40</v>
      </c>
      <c r="N222">
        <v>87</v>
      </c>
      <c r="O222" t="s">
        <v>34</v>
      </c>
      <c r="P222">
        <v>44887</v>
      </c>
      <c r="R222">
        <v>31.99</v>
      </c>
      <c r="S222" s="6">
        <v>12229.52</v>
      </c>
      <c r="T222" t="s">
        <v>19</v>
      </c>
      <c r="U222">
        <v>300</v>
      </c>
      <c r="V222">
        <v>15</v>
      </c>
      <c r="W222" s="7">
        <v>649</v>
      </c>
      <c r="X222">
        <v>430.56</v>
      </c>
      <c r="Y222">
        <v>18.54</v>
      </c>
      <c r="Z222">
        <v>8142.19</v>
      </c>
      <c r="AE222">
        <v>244.59</v>
      </c>
      <c r="AF222">
        <v>663.06</v>
      </c>
      <c r="AG222">
        <v>3179.68</v>
      </c>
      <c r="AH222">
        <v>7754.32</v>
      </c>
      <c r="AK222">
        <v>18.843636363636364</v>
      </c>
    </row>
    <row r="223" spans="1:37" x14ac:dyDescent="0.35">
      <c r="A223">
        <v>11</v>
      </c>
      <c r="B223">
        <v>2022</v>
      </c>
      <c r="C223" t="s">
        <v>33</v>
      </c>
      <c r="D223" t="s">
        <v>34</v>
      </c>
      <c r="E223" t="s">
        <v>187</v>
      </c>
      <c r="F223" s="3" t="s">
        <v>36</v>
      </c>
      <c r="G223" s="2" t="s">
        <v>82</v>
      </c>
      <c r="H223" s="3">
        <v>44133</v>
      </c>
      <c r="I223" s="3">
        <v>2920010</v>
      </c>
      <c r="J223" s="2" t="s">
        <v>232</v>
      </c>
      <c r="K223" t="s">
        <v>187</v>
      </c>
      <c r="L223" t="s">
        <v>39</v>
      </c>
      <c r="M223" t="s">
        <v>40</v>
      </c>
      <c r="N223">
        <v>87</v>
      </c>
      <c r="O223" t="s">
        <v>34</v>
      </c>
      <c r="P223">
        <v>44887</v>
      </c>
      <c r="R223">
        <v>32.47</v>
      </c>
      <c r="S223" s="6">
        <v>12280.69</v>
      </c>
      <c r="T223" t="s">
        <v>19</v>
      </c>
      <c r="U223">
        <v>300</v>
      </c>
      <c r="V223">
        <v>14</v>
      </c>
      <c r="W223" s="7">
        <v>591</v>
      </c>
      <c r="X223">
        <v>425.9</v>
      </c>
      <c r="Y223">
        <v>22.99</v>
      </c>
      <c r="Z223">
        <v>8184.45</v>
      </c>
      <c r="AE223">
        <v>245.61</v>
      </c>
      <c r="AF223">
        <v>655.89</v>
      </c>
      <c r="AG223">
        <v>3192.98</v>
      </c>
      <c r="AH223">
        <v>6715.96</v>
      </c>
      <c r="AK223">
        <v>20.779509306260575</v>
      </c>
    </row>
    <row r="224" spans="1:37" x14ac:dyDescent="0.35">
      <c r="A224">
        <v>11</v>
      </c>
      <c r="B224">
        <v>2022</v>
      </c>
      <c r="C224" t="s">
        <v>33</v>
      </c>
      <c r="D224" t="s">
        <v>34</v>
      </c>
      <c r="E224" t="s">
        <v>187</v>
      </c>
      <c r="F224" s="3" t="s">
        <v>36</v>
      </c>
      <c r="G224" s="2" t="s">
        <v>82</v>
      </c>
      <c r="H224" s="3">
        <v>44133</v>
      </c>
      <c r="I224" s="3">
        <v>2920009</v>
      </c>
      <c r="J224" s="2" t="s">
        <v>194</v>
      </c>
      <c r="K224" t="s">
        <v>187</v>
      </c>
      <c r="L224" t="s">
        <v>39</v>
      </c>
      <c r="M224" t="s">
        <v>40</v>
      </c>
      <c r="N224">
        <v>87</v>
      </c>
      <c r="O224" t="s">
        <v>34</v>
      </c>
      <c r="P224">
        <v>44887</v>
      </c>
      <c r="R224">
        <v>39.06</v>
      </c>
      <c r="S224" s="6">
        <v>3948.11</v>
      </c>
      <c r="T224" t="s">
        <v>19</v>
      </c>
      <c r="U224">
        <v>97</v>
      </c>
      <c r="V224">
        <v>4</v>
      </c>
      <c r="W224" s="7">
        <v>600</v>
      </c>
      <c r="X224">
        <v>113.83</v>
      </c>
      <c r="Y224">
        <v>52.6</v>
      </c>
      <c r="Z224">
        <v>2667.34</v>
      </c>
      <c r="AE224">
        <v>78.959999999999994</v>
      </c>
      <c r="AF224">
        <v>175.3</v>
      </c>
      <c r="AG224">
        <v>1026.51</v>
      </c>
      <c r="AH224">
        <v>795.67</v>
      </c>
      <c r="AK224">
        <v>6.5801833333333333</v>
      </c>
    </row>
    <row r="225" spans="1:37" x14ac:dyDescent="0.35">
      <c r="A225">
        <v>11</v>
      </c>
      <c r="B225">
        <v>2022</v>
      </c>
      <c r="C225" t="s">
        <v>33</v>
      </c>
      <c r="D225" t="s">
        <v>34</v>
      </c>
      <c r="E225" t="s">
        <v>187</v>
      </c>
      <c r="F225" s="3" t="s">
        <v>36</v>
      </c>
      <c r="G225" s="2" t="s">
        <v>82</v>
      </c>
      <c r="H225" s="3">
        <v>44133</v>
      </c>
      <c r="I225" s="3">
        <v>2920014</v>
      </c>
      <c r="J225" s="2" t="s">
        <v>233</v>
      </c>
      <c r="K225" t="s">
        <v>187</v>
      </c>
      <c r="L225" t="s">
        <v>39</v>
      </c>
      <c r="M225" t="s">
        <v>40</v>
      </c>
      <c r="N225">
        <v>87</v>
      </c>
      <c r="O225" t="s">
        <v>34</v>
      </c>
      <c r="P225">
        <v>44887</v>
      </c>
      <c r="R225">
        <v>12.77</v>
      </c>
      <c r="S225" s="6">
        <v>4087.97</v>
      </c>
      <c r="T225" t="s">
        <v>19</v>
      </c>
      <c r="U225">
        <v>270</v>
      </c>
      <c r="V225">
        <v>11</v>
      </c>
      <c r="W225" s="7">
        <v>558</v>
      </c>
      <c r="X225">
        <v>360.54</v>
      </c>
      <c r="Y225">
        <v>23.71</v>
      </c>
      <c r="Z225">
        <v>2388.11</v>
      </c>
      <c r="AE225">
        <v>81.760000000000005</v>
      </c>
      <c r="AF225">
        <v>555.23</v>
      </c>
      <c r="AG225">
        <v>1062.8699999999999</v>
      </c>
      <c r="AH225">
        <v>6317.99</v>
      </c>
      <c r="AK225">
        <v>7.3261111111111106</v>
      </c>
    </row>
    <row r="226" spans="1:37" x14ac:dyDescent="0.35">
      <c r="A226">
        <v>11</v>
      </c>
      <c r="B226">
        <v>2022</v>
      </c>
      <c r="C226" t="s">
        <v>33</v>
      </c>
      <c r="D226" t="s">
        <v>34</v>
      </c>
      <c r="E226" t="s">
        <v>187</v>
      </c>
      <c r="F226" s="3" t="s">
        <v>36</v>
      </c>
      <c r="G226" s="2" t="s">
        <v>82</v>
      </c>
      <c r="H226" s="3">
        <v>44133</v>
      </c>
      <c r="I226" s="3">
        <v>2920015</v>
      </c>
      <c r="J226" s="2" t="s">
        <v>234</v>
      </c>
      <c r="K226" t="s">
        <v>187</v>
      </c>
      <c r="L226" t="s">
        <v>39</v>
      </c>
      <c r="M226" t="s">
        <v>40</v>
      </c>
      <c r="N226">
        <v>87</v>
      </c>
      <c r="O226" t="s">
        <v>34</v>
      </c>
      <c r="P226">
        <v>44887</v>
      </c>
      <c r="R226">
        <v>37.049999999999997</v>
      </c>
      <c r="S226" s="6">
        <v>12071.28</v>
      </c>
      <c r="T226" t="s">
        <v>19</v>
      </c>
      <c r="U226">
        <v>280</v>
      </c>
      <c r="V226">
        <v>11</v>
      </c>
      <c r="W226" s="7">
        <v>539</v>
      </c>
      <c r="X226">
        <v>366.9</v>
      </c>
      <c r="Y226">
        <v>20.5</v>
      </c>
      <c r="Z226">
        <v>8124.34</v>
      </c>
      <c r="AE226">
        <v>241.43</v>
      </c>
      <c r="AF226">
        <v>565.03</v>
      </c>
      <c r="AG226">
        <v>3138.53</v>
      </c>
      <c r="AH226">
        <v>7943.1</v>
      </c>
      <c r="AK226">
        <v>22.39569573283859</v>
      </c>
    </row>
    <row r="227" spans="1:37" x14ac:dyDescent="0.35">
      <c r="A227">
        <v>2</v>
      </c>
      <c r="B227">
        <v>2023</v>
      </c>
      <c r="C227" t="s">
        <v>33</v>
      </c>
      <c r="D227" t="s">
        <v>34</v>
      </c>
      <c r="E227" t="s">
        <v>42</v>
      </c>
      <c r="F227" s="3" t="s">
        <v>36</v>
      </c>
      <c r="G227" s="2" t="s">
        <v>43</v>
      </c>
      <c r="H227" s="3">
        <v>44163</v>
      </c>
      <c r="I227" s="3">
        <v>2540012</v>
      </c>
      <c r="J227" s="2" t="s">
        <v>142</v>
      </c>
      <c r="K227" t="s">
        <v>42</v>
      </c>
      <c r="L227" t="s">
        <v>39</v>
      </c>
      <c r="M227" t="s">
        <v>40</v>
      </c>
      <c r="N227">
        <v>1</v>
      </c>
      <c r="O227" t="s">
        <v>45</v>
      </c>
      <c r="P227">
        <v>44985</v>
      </c>
      <c r="S227" s="6">
        <v>47389.95</v>
      </c>
      <c r="T227" t="s">
        <v>19</v>
      </c>
      <c r="U227">
        <v>240</v>
      </c>
      <c r="X227">
        <v>47389.95</v>
      </c>
      <c r="AK227">
        <v>0</v>
      </c>
    </row>
    <row r="228" spans="1:37" x14ac:dyDescent="0.35">
      <c r="A228">
        <v>2</v>
      </c>
      <c r="B228">
        <v>2023</v>
      </c>
      <c r="C228" t="s">
        <v>33</v>
      </c>
      <c r="D228" t="s">
        <v>34</v>
      </c>
      <c r="E228" t="s">
        <v>42</v>
      </c>
      <c r="F228" s="3" t="s">
        <v>36</v>
      </c>
      <c r="G228" s="2" t="s">
        <v>43</v>
      </c>
      <c r="H228" s="3">
        <v>44163</v>
      </c>
      <c r="I228" s="3">
        <v>2540015</v>
      </c>
      <c r="J228" s="2" t="s">
        <v>235</v>
      </c>
      <c r="K228" t="s">
        <v>42</v>
      </c>
      <c r="L228" t="s">
        <v>39</v>
      </c>
      <c r="M228" t="s">
        <v>40</v>
      </c>
      <c r="N228">
        <v>1</v>
      </c>
      <c r="O228" t="s">
        <v>45</v>
      </c>
      <c r="P228">
        <v>44985</v>
      </c>
      <c r="S228" s="6">
        <v>15909.99</v>
      </c>
      <c r="T228" t="s">
        <v>19</v>
      </c>
      <c r="U228">
        <v>260</v>
      </c>
      <c r="X228">
        <v>15909.99</v>
      </c>
      <c r="AK228">
        <v>0</v>
      </c>
    </row>
    <row r="229" spans="1:37" x14ac:dyDescent="0.35">
      <c r="A229">
        <v>2</v>
      </c>
      <c r="B229">
        <v>2023</v>
      </c>
      <c r="C229" t="s">
        <v>33</v>
      </c>
      <c r="D229" t="s">
        <v>34</v>
      </c>
      <c r="E229" t="s">
        <v>42</v>
      </c>
      <c r="F229" s="3" t="s">
        <v>36</v>
      </c>
      <c r="G229" s="2" t="s">
        <v>43</v>
      </c>
      <c r="H229" s="3">
        <v>44163</v>
      </c>
      <c r="I229" s="3">
        <v>2540005</v>
      </c>
      <c r="J229" s="2" t="s">
        <v>59</v>
      </c>
      <c r="K229" t="s">
        <v>42</v>
      </c>
      <c r="L229" t="s">
        <v>39</v>
      </c>
      <c r="M229" t="s">
        <v>40</v>
      </c>
      <c r="N229">
        <v>1</v>
      </c>
      <c r="O229" t="s">
        <v>45</v>
      </c>
      <c r="P229">
        <v>44985</v>
      </c>
      <c r="S229" s="6">
        <v>24461.32</v>
      </c>
      <c r="T229" t="s">
        <v>19</v>
      </c>
      <c r="U229">
        <v>240</v>
      </c>
      <c r="X229">
        <v>24461.32</v>
      </c>
      <c r="AK229">
        <v>0</v>
      </c>
    </row>
    <row r="230" spans="1:37" x14ac:dyDescent="0.35">
      <c r="A230">
        <v>11</v>
      </c>
      <c r="B230">
        <v>2022</v>
      </c>
      <c r="C230" t="s">
        <v>33</v>
      </c>
      <c r="D230" t="s">
        <v>34</v>
      </c>
      <c r="E230" t="s">
        <v>42</v>
      </c>
      <c r="F230" s="3" t="s">
        <v>36</v>
      </c>
      <c r="G230" s="2" t="s">
        <v>43</v>
      </c>
      <c r="H230" s="3">
        <v>44231</v>
      </c>
      <c r="I230" s="3">
        <v>2540015</v>
      </c>
      <c r="J230" s="2" t="s">
        <v>235</v>
      </c>
      <c r="K230" t="s">
        <v>42</v>
      </c>
      <c r="L230" t="s">
        <v>39</v>
      </c>
      <c r="M230" t="s">
        <v>40</v>
      </c>
      <c r="N230">
        <v>1</v>
      </c>
      <c r="O230" t="s">
        <v>45</v>
      </c>
      <c r="P230">
        <v>44894</v>
      </c>
      <c r="R230">
        <v>25.22</v>
      </c>
      <c r="S230" s="6">
        <v>50094.83</v>
      </c>
      <c r="T230" t="s">
        <v>19</v>
      </c>
      <c r="U230">
        <v>260</v>
      </c>
      <c r="V230">
        <v>57</v>
      </c>
      <c r="W230" s="7">
        <v>3104</v>
      </c>
      <c r="X230">
        <v>1986.06</v>
      </c>
      <c r="Y230">
        <v>20.71</v>
      </c>
      <c r="Z230">
        <v>33009.75</v>
      </c>
      <c r="AE230">
        <v>1001.9</v>
      </c>
      <c r="AF230">
        <v>3058.53</v>
      </c>
      <c r="AG230">
        <v>13024.66</v>
      </c>
      <c r="AH230">
        <v>28594.99</v>
      </c>
      <c r="AK230">
        <v>16.138798324742268</v>
      </c>
    </row>
    <row r="231" spans="1:37" x14ac:dyDescent="0.35">
      <c r="A231">
        <v>11</v>
      </c>
      <c r="B231">
        <v>2022</v>
      </c>
      <c r="C231" t="s">
        <v>33</v>
      </c>
      <c r="D231" t="s">
        <v>34</v>
      </c>
      <c r="E231" t="s">
        <v>42</v>
      </c>
      <c r="F231" s="3" t="s">
        <v>36</v>
      </c>
      <c r="G231" s="2" t="s">
        <v>43</v>
      </c>
      <c r="H231" s="3">
        <v>44231</v>
      </c>
      <c r="I231" s="3">
        <v>2540010</v>
      </c>
      <c r="J231" s="2" t="s">
        <v>141</v>
      </c>
      <c r="K231" t="s">
        <v>42</v>
      </c>
      <c r="L231" t="s">
        <v>39</v>
      </c>
      <c r="M231" t="s">
        <v>40</v>
      </c>
      <c r="N231">
        <v>1</v>
      </c>
      <c r="O231" t="s">
        <v>45</v>
      </c>
      <c r="P231">
        <v>44894</v>
      </c>
      <c r="R231">
        <v>27.25</v>
      </c>
      <c r="S231" s="6">
        <v>15142.34</v>
      </c>
      <c r="T231" t="s">
        <v>19</v>
      </c>
      <c r="U231">
        <v>400</v>
      </c>
      <c r="V231">
        <v>15</v>
      </c>
      <c r="W231" s="7">
        <v>553</v>
      </c>
      <c r="X231">
        <v>555.66</v>
      </c>
      <c r="Y231">
        <v>12.02</v>
      </c>
      <c r="Z231">
        <v>10045.23</v>
      </c>
      <c r="AE231">
        <v>302.85000000000002</v>
      </c>
      <c r="AF231">
        <v>855.72</v>
      </c>
      <c r="AG231">
        <v>3937.01</v>
      </c>
      <c r="AH231">
        <v>8531.2999999999993</v>
      </c>
      <c r="AK231">
        <v>27.382169981916817</v>
      </c>
    </row>
    <row r="232" spans="1:37" x14ac:dyDescent="0.35">
      <c r="A232">
        <v>11</v>
      </c>
      <c r="B232">
        <v>2022</v>
      </c>
      <c r="C232" t="s">
        <v>33</v>
      </c>
      <c r="D232" t="s">
        <v>34</v>
      </c>
      <c r="E232" t="s">
        <v>42</v>
      </c>
      <c r="F232" s="3" t="s">
        <v>36</v>
      </c>
      <c r="G232" s="2" t="s">
        <v>43</v>
      </c>
      <c r="H232" s="3">
        <v>44231</v>
      </c>
      <c r="I232" s="3">
        <v>2540012</v>
      </c>
      <c r="J232" s="2" t="s">
        <v>142</v>
      </c>
      <c r="K232" t="s">
        <v>42</v>
      </c>
      <c r="L232" t="s">
        <v>39</v>
      </c>
      <c r="M232" t="s">
        <v>40</v>
      </c>
      <c r="N232">
        <v>1</v>
      </c>
      <c r="O232" t="s">
        <v>45</v>
      </c>
      <c r="P232">
        <v>44894</v>
      </c>
      <c r="R232">
        <v>25.92</v>
      </c>
      <c r="S232" s="6">
        <v>110143.65</v>
      </c>
      <c r="T232" t="s">
        <v>19</v>
      </c>
      <c r="U232">
        <v>240</v>
      </c>
      <c r="V232">
        <v>135</v>
      </c>
      <c r="W232" s="7">
        <v>6917</v>
      </c>
      <c r="X232">
        <v>4249</v>
      </c>
      <c r="Y232">
        <v>19.809999999999999</v>
      </c>
      <c r="Z232">
        <v>72759.97</v>
      </c>
      <c r="AE232">
        <v>2202.87</v>
      </c>
      <c r="AF232">
        <v>6543.46</v>
      </c>
      <c r="AG232">
        <v>28637.35</v>
      </c>
      <c r="AH232">
        <v>58418.96</v>
      </c>
      <c r="AK232">
        <v>15.923615729362439</v>
      </c>
    </row>
    <row r="233" spans="1:37" x14ac:dyDescent="0.35">
      <c r="A233">
        <v>11</v>
      </c>
      <c r="B233">
        <v>2022</v>
      </c>
      <c r="C233" t="s">
        <v>33</v>
      </c>
      <c r="D233" t="s">
        <v>34</v>
      </c>
      <c r="E233" t="s">
        <v>42</v>
      </c>
      <c r="F233" s="3" t="s">
        <v>36</v>
      </c>
      <c r="G233" s="2" t="s">
        <v>43</v>
      </c>
      <c r="H233" s="3">
        <v>44231</v>
      </c>
      <c r="I233" s="3">
        <v>2540007</v>
      </c>
      <c r="J233" s="2" t="s">
        <v>129</v>
      </c>
      <c r="K233" t="s">
        <v>42</v>
      </c>
      <c r="L233" t="s">
        <v>39</v>
      </c>
      <c r="M233" t="s">
        <v>40</v>
      </c>
      <c r="N233">
        <v>1</v>
      </c>
      <c r="O233" t="s">
        <v>45</v>
      </c>
      <c r="P233">
        <v>44894</v>
      </c>
      <c r="R233">
        <v>35.78</v>
      </c>
      <c r="S233" s="6">
        <v>13766.02</v>
      </c>
      <c r="T233" t="s">
        <v>19</v>
      </c>
      <c r="U233">
        <v>300</v>
      </c>
      <c r="V233">
        <v>14</v>
      </c>
      <c r="W233" s="7">
        <v>541</v>
      </c>
      <c r="X233">
        <v>384.7</v>
      </c>
      <c r="Y233">
        <v>28.23</v>
      </c>
      <c r="Z233">
        <v>9319.1</v>
      </c>
      <c r="AE233">
        <v>275.32</v>
      </c>
      <c r="AF233">
        <v>592.44000000000005</v>
      </c>
      <c r="AG233">
        <v>3579.17</v>
      </c>
      <c r="AH233">
        <v>5508.96</v>
      </c>
      <c r="AK233">
        <v>25.445508317929761</v>
      </c>
    </row>
    <row r="234" spans="1:37" x14ac:dyDescent="0.35">
      <c r="A234">
        <v>11</v>
      </c>
      <c r="B234">
        <v>2022</v>
      </c>
      <c r="C234" t="s">
        <v>33</v>
      </c>
      <c r="D234" t="s">
        <v>34</v>
      </c>
      <c r="E234" t="s">
        <v>42</v>
      </c>
      <c r="F234" s="3" t="s">
        <v>36</v>
      </c>
      <c r="G234" s="2" t="s">
        <v>43</v>
      </c>
      <c r="H234" s="3">
        <v>44231</v>
      </c>
      <c r="I234" s="3">
        <v>2540016</v>
      </c>
      <c r="J234" s="2" t="s">
        <v>194</v>
      </c>
      <c r="K234" t="s">
        <v>42</v>
      </c>
      <c r="L234" t="s">
        <v>39</v>
      </c>
      <c r="M234" t="s">
        <v>40</v>
      </c>
      <c r="N234">
        <v>1</v>
      </c>
      <c r="O234" t="s">
        <v>45</v>
      </c>
      <c r="P234">
        <v>44894</v>
      </c>
      <c r="R234">
        <v>41.84</v>
      </c>
      <c r="S234" s="6">
        <v>7862.82</v>
      </c>
      <c r="T234" t="s">
        <v>19</v>
      </c>
      <c r="U234">
        <v>97</v>
      </c>
      <c r="V234">
        <v>7</v>
      </c>
      <c r="W234" s="7">
        <v>1015</v>
      </c>
      <c r="X234">
        <v>187.92</v>
      </c>
      <c r="Y234">
        <v>48.6</v>
      </c>
      <c r="Z234">
        <v>5371.83</v>
      </c>
      <c r="AE234">
        <v>157.26</v>
      </c>
      <c r="AF234">
        <v>289.39999999999998</v>
      </c>
      <c r="AG234">
        <v>2044.33</v>
      </c>
      <c r="AH234">
        <v>1313.56</v>
      </c>
      <c r="AK234">
        <v>7.7466206896551721</v>
      </c>
    </row>
    <row r="235" spans="1:37" x14ac:dyDescent="0.35">
      <c r="A235">
        <v>12</v>
      </c>
      <c r="B235">
        <v>2022</v>
      </c>
      <c r="C235" t="s">
        <v>33</v>
      </c>
      <c r="D235" t="s">
        <v>34</v>
      </c>
      <c r="E235" t="s">
        <v>236</v>
      </c>
      <c r="F235" s="3" t="s">
        <v>36</v>
      </c>
      <c r="G235" s="2" t="s">
        <v>237</v>
      </c>
      <c r="H235" s="3">
        <v>44366</v>
      </c>
      <c r="I235" s="3">
        <v>3080001</v>
      </c>
      <c r="J235" s="2" t="s">
        <v>238</v>
      </c>
      <c r="K235" t="s">
        <v>236</v>
      </c>
      <c r="L235" t="s">
        <v>39</v>
      </c>
      <c r="M235" t="s">
        <v>40</v>
      </c>
      <c r="N235">
        <v>91</v>
      </c>
      <c r="O235" t="s">
        <v>34</v>
      </c>
      <c r="P235">
        <v>44907</v>
      </c>
      <c r="R235">
        <v>22.7</v>
      </c>
      <c r="S235" s="6">
        <v>15753.57</v>
      </c>
      <c r="T235" t="s">
        <v>19</v>
      </c>
      <c r="U235">
        <v>240</v>
      </c>
      <c r="V235">
        <v>22</v>
      </c>
      <c r="W235" s="7">
        <v>1198</v>
      </c>
      <c r="X235">
        <v>694.06</v>
      </c>
      <c r="Y235">
        <v>-39.6</v>
      </c>
      <c r="Z235">
        <v>6825.67</v>
      </c>
      <c r="AB235">
        <v>2817.91</v>
      </c>
      <c r="AD235">
        <v>630.14</v>
      </c>
      <c r="AE235">
        <v>315.07</v>
      </c>
      <c r="AF235">
        <v>1068.8499999999999</v>
      </c>
      <c r="AG235">
        <v>4095.93</v>
      </c>
      <c r="AH235">
        <v>9390.92</v>
      </c>
      <c r="AK235">
        <v>13.149891485809682</v>
      </c>
    </row>
    <row r="236" spans="1:37" x14ac:dyDescent="0.35">
      <c r="A236">
        <v>12</v>
      </c>
      <c r="B236">
        <v>2022</v>
      </c>
      <c r="C236" t="s">
        <v>33</v>
      </c>
      <c r="D236" t="s">
        <v>34</v>
      </c>
      <c r="E236" t="s">
        <v>236</v>
      </c>
      <c r="F236" s="3" t="s">
        <v>36</v>
      </c>
      <c r="G236" s="2" t="s">
        <v>237</v>
      </c>
      <c r="H236" s="3">
        <v>44366</v>
      </c>
      <c r="I236" s="3">
        <v>3080002</v>
      </c>
      <c r="J236" s="2" t="s">
        <v>239</v>
      </c>
      <c r="K236" t="s">
        <v>236</v>
      </c>
      <c r="L236" t="s">
        <v>39</v>
      </c>
      <c r="M236" t="s">
        <v>40</v>
      </c>
      <c r="N236">
        <v>91</v>
      </c>
      <c r="O236" t="s">
        <v>34</v>
      </c>
      <c r="P236">
        <v>44907</v>
      </c>
      <c r="R236">
        <v>50.48</v>
      </c>
      <c r="S236" s="6">
        <v>12784.21</v>
      </c>
      <c r="T236" t="s">
        <v>19</v>
      </c>
      <c r="U236">
        <v>130</v>
      </c>
      <c r="V236">
        <v>11</v>
      </c>
      <c r="W236" s="7">
        <v>980</v>
      </c>
      <c r="X236">
        <v>253.26</v>
      </c>
      <c r="Y236">
        <v>-41.05</v>
      </c>
      <c r="Z236">
        <v>6016.48</v>
      </c>
      <c r="AB236">
        <v>2286.7600000000002</v>
      </c>
      <c r="AD236">
        <v>511.37</v>
      </c>
      <c r="AE236">
        <v>255.68</v>
      </c>
      <c r="AF236">
        <v>390.02</v>
      </c>
      <c r="AG236">
        <v>3323.89</v>
      </c>
      <c r="AH236">
        <v>9892.0400000000009</v>
      </c>
      <c r="AK236">
        <v>13.045112244897958</v>
      </c>
    </row>
    <row r="237" spans="1:37" x14ac:dyDescent="0.35">
      <c r="A237">
        <v>12</v>
      </c>
      <c r="B237">
        <v>2022</v>
      </c>
      <c r="C237" t="s">
        <v>33</v>
      </c>
      <c r="D237" t="s">
        <v>34</v>
      </c>
      <c r="E237" t="s">
        <v>42</v>
      </c>
      <c r="F237" s="3" t="s">
        <v>36</v>
      </c>
      <c r="G237" s="2" t="s">
        <v>43</v>
      </c>
      <c r="H237" s="3">
        <v>44371</v>
      </c>
      <c r="I237" s="3">
        <v>2540017</v>
      </c>
      <c r="J237" s="2" t="s">
        <v>240</v>
      </c>
      <c r="K237" t="s">
        <v>42</v>
      </c>
      <c r="L237" t="s">
        <v>39</v>
      </c>
      <c r="M237" t="s">
        <v>40</v>
      </c>
      <c r="N237">
        <v>1</v>
      </c>
      <c r="O237" t="s">
        <v>45</v>
      </c>
      <c r="P237">
        <v>44907</v>
      </c>
      <c r="R237">
        <v>33.94</v>
      </c>
      <c r="S237" s="6">
        <v>18577</v>
      </c>
      <c r="T237" t="s">
        <v>19</v>
      </c>
      <c r="U237">
        <v>280</v>
      </c>
      <c r="V237">
        <v>21</v>
      </c>
      <c r="W237" s="7">
        <v>1013</v>
      </c>
      <c r="X237">
        <v>547.28</v>
      </c>
      <c r="Y237">
        <v>24.91</v>
      </c>
      <c r="Z237">
        <v>12532.63</v>
      </c>
      <c r="AE237">
        <v>371.54</v>
      </c>
      <c r="AF237">
        <v>842.81</v>
      </c>
      <c r="AG237">
        <v>4830.0200000000004</v>
      </c>
      <c r="AH237">
        <v>7775.46</v>
      </c>
      <c r="AK237">
        <v>18.338598223099705</v>
      </c>
    </row>
    <row r="238" spans="1:37" x14ac:dyDescent="0.35">
      <c r="A238">
        <v>12</v>
      </c>
      <c r="B238">
        <v>2022</v>
      </c>
      <c r="C238" t="s">
        <v>33</v>
      </c>
      <c r="D238" t="s">
        <v>34</v>
      </c>
      <c r="E238" t="s">
        <v>116</v>
      </c>
      <c r="F238" s="3" t="s">
        <v>36</v>
      </c>
      <c r="G238" s="2" t="s">
        <v>50</v>
      </c>
      <c r="H238" s="3">
        <v>44409</v>
      </c>
      <c r="I238" s="3">
        <v>2810009</v>
      </c>
      <c r="J238" s="2" t="s">
        <v>241</v>
      </c>
      <c r="K238" t="s">
        <v>116</v>
      </c>
      <c r="L238" t="s">
        <v>39</v>
      </c>
      <c r="M238" t="s">
        <v>40</v>
      </c>
      <c r="N238">
        <v>91</v>
      </c>
      <c r="O238" t="s">
        <v>34</v>
      </c>
      <c r="P238">
        <v>44909</v>
      </c>
      <c r="R238">
        <v>28.34</v>
      </c>
      <c r="S238" s="6">
        <v>14965.17</v>
      </c>
      <c r="T238" t="s">
        <v>19</v>
      </c>
      <c r="U238">
        <v>180</v>
      </c>
      <c r="V238">
        <v>35</v>
      </c>
      <c r="W238" s="7">
        <v>1356</v>
      </c>
      <c r="X238">
        <v>567.02</v>
      </c>
      <c r="Y238">
        <v>20.07</v>
      </c>
      <c r="Z238">
        <v>9303.1</v>
      </c>
      <c r="AD238">
        <v>598.61</v>
      </c>
      <c r="AE238">
        <v>299.3</v>
      </c>
      <c r="AF238">
        <v>873.21</v>
      </c>
      <c r="AG238">
        <v>3890.94</v>
      </c>
      <c r="AH238">
        <v>8523.02</v>
      </c>
      <c r="AK238">
        <v>11.036261061946902</v>
      </c>
    </row>
    <row r="239" spans="1:37" x14ac:dyDescent="0.35">
      <c r="A239">
        <v>12</v>
      </c>
      <c r="B239">
        <v>2022</v>
      </c>
      <c r="C239" t="s">
        <v>33</v>
      </c>
      <c r="D239" t="s">
        <v>34</v>
      </c>
      <c r="E239" t="s">
        <v>116</v>
      </c>
      <c r="F239" s="3" t="s">
        <v>36</v>
      </c>
      <c r="G239" s="2" t="s">
        <v>50</v>
      </c>
      <c r="H239" s="3">
        <v>44409</v>
      </c>
      <c r="I239" s="3">
        <v>2810007</v>
      </c>
      <c r="J239" s="2" t="s">
        <v>186</v>
      </c>
      <c r="K239" t="s">
        <v>116</v>
      </c>
      <c r="L239" t="s">
        <v>39</v>
      </c>
      <c r="M239" t="s">
        <v>40</v>
      </c>
      <c r="N239">
        <v>91</v>
      </c>
      <c r="O239" t="s">
        <v>34</v>
      </c>
      <c r="P239">
        <v>44909</v>
      </c>
      <c r="R239">
        <v>29.76</v>
      </c>
      <c r="S239" s="6">
        <v>45266.46</v>
      </c>
      <c r="T239" t="s">
        <v>19</v>
      </c>
      <c r="U239">
        <v>210</v>
      </c>
      <c r="V239">
        <v>63</v>
      </c>
      <c r="W239" s="7">
        <v>3261</v>
      </c>
      <c r="X239">
        <v>1633.06</v>
      </c>
      <c r="Y239">
        <v>17.95</v>
      </c>
      <c r="Z239">
        <v>28266.28</v>
      </c>
      <c r="AD239">
        <v>1810.66</v>
      </c>
      <c r="AE239">
        <v>905.33</v>
      </c>
      <c r="AF239">
        <v>2514.91</v>
      </c>
      <c r="AG239">
        <v>11769.28</v>
      </c>
      <c r="AH239">
        <v>22709.86</v>
      </c>
      <c r="AK239">
        <v>13.881159153633854</v>
      </c>
    </row>
    <row r="240" spans="1:37" x14ac:dyDescent="0.35">
      <c r="A240">
        <v>12</v>
      </c>
      <c r="B240">
        <v>2022</v>
      </c>
      <c r="C240" t="s">
        <v>33</v>
      </c>
      <c r="D240" t="s">
        <v>34</v>
      </c>
      <c r="E240" t="s">
        <v>242</v>
      </c>
      <c r="F240" s="3" t="s">
        <v>36</v>
      </c>
      <c r="G240" s="2" t="s">
        <v>82</v>
      </c>
      <c r="H240" s="3">
        <v>44450</v>
      </c>
      <c r="I240" s="3">
        <v>3070001</v>
      </c>
      <c r="J240" s="2" t="s">
        <v>243</v>
      </c>
      <c r="K240" t="s">
        <v>242</v>
      </c>
      <c r="L240" t="s">
        <v>39</v>
      </c>
      <c r="M240" t="s">
        <v>40</v>
      </c>
      <c r="N240">
        <v>93</v>
      </c>
      <c r="O240" t="s">
        <v>34</v>
      </c>
      <c r="P240">
        <v>44911</v>
      </c>
      <c r="R240">
        <v>22.91</v>
      </c>
      <c r="S240" s="6">
        <v>24493.48</v>
      </c>
      <c r="T240" t="s">
        <v>19</v>
      </c>
      <c r="U240">
        <v>210</v>
      </c>
      <c r="V240">
        <v>40</v>
      </c>
      <c r="W240" s="7">
        <v>1911</v>
      </c>
      <c r="X240">
        <v>1069.02</v>
      </c>
      <c r="Y240">
        <v>12.87</v>
      </c>
      <c r="Z240">
        <v>14764.34</v>
      </c>
      <c r="AD240">
        <v>1224.67</v>
      </c>
      <c r="AE240">
        <v>489.87</v>
      </c>
      <c r="AF240">
        <v>1646.29</v>
      </c>
      <c r="AG240">
        <v>6368.3</v>
      </c>
      <c r="AH240">
        <v>14342</v>
      </c>
      <c r="AK240">
        <v>12.817100994243852</v>
      </c>
    </row>
    <row r="241" spans="1:37" x14ac:dyDescent="0.35">
      <c r="A241">
        <v>1</v>
      </c>
      <c r="B241">
        <v>2023</v>
      </c>
      <c r="C241" t="s">
        <v>33</v>
      </c>
      <c r="D241" t="s">
        <v>34</v>
      </c>
      <c r="E241" t="s">
        <v>187</v>
      </c>
      <c r="F241" s="3" t="s">
        <v>36</v>
      </c>
      <c r="G241" s="2" t="s">
        <v>82</v>
      </c>
      <c r="H241" s="3">
        <v>44805</v>
      </c>
      <c r="I241" s="3">
        <v>2920017</v>
      </c>
      <c r="J241" s="2" t="s">
        <v>244</v>
      </c>
      <c r="K241" t="s">
        <v>187</v>
      </c>
      <c r="L241" t="s">
        <v>39</v>
      </c>
      <c r="M241" t="s">
        <v>40</v>
      </c>
      <c r="N241">
        <v>87</v>
      </c>
      <c r="O241" t="s">
        <v>34</v>
      </c>
      <c r="P241">
        <v>44957</v>
      </c>
      <c r="R241">
        <v>26.51</v>
      </c>
      <c r="S241" s="6">
        <v>7879.62</v>
      </c>
      <c r="T241" t="s">
        <v>19</v>
      </c>
      <c r="U241">
        <v>250</v>
      </c>
      <c r="V241">
        <v>10</v>
      </c>
      <c r="X241">
        <v>511</v>
      </c>
      <c r="Y241">
        <v>21.14</v>
      </c>
      <c r="Z241">
        <v>5215.5200000000004</v>
      </c>
      <c r="AE241">
        <v>157.59</v>
      </c>
      <c r="AF241">
        <v>457.81</v>
      </c>
      <c r="AG241">
        <v>2048.6999999999998</v>
      </c>
      <c r="AH241">
        <v>3411.68</v>
      </c>
      <c r="AK241">
        <v>0</v>
      </c>
    </row>
    <row r="242" spans="1:37" x14ac:dyDescent="0.35">
      <c r="A242">
        <v>1</v>
      </c>
      <c r="B242">
        <v>2023</v>
      </c>
      <c r="C242" t="s">
        <v>33</v>
      </c>
      <c r="D242" t="s">
        <v>34</v>
      </c>
      <c r="E242" t="s">
        <v>187</v>
      </c>
      <c r="F242" s="3" t="s">
        <v>36</v>
      </c>
      <c r="G242" s="2" t="s">
        <v>82</v>
      </c>
      <c r="H242" s="3">
        <v>44805</v>
      </c>
      <c r="I242" s="3">
        <v>2920018</v>
      </c>
      <c r="J242" s="2" t="s">
        <v>245</v>
      </c>
      <c r="K242" t="s">
        <v>187</v>
      </c>
      <c r="L242" t="s">
        <v>39</v>
      </c>
      <c r="M242" t="s">
        <v>40</v>
      </c>
      <c r="N242">
        <v>87</v>
      </c>
      <c r="O242" t="s">
        <v>34</v>
      </c>
      <c r="P242">
        <v>44957</v>
      </c>
      <c r="R242">
        <v>28.03</v>
      </c>
      <c r="S242" s="6">
        <v>6826.4</v>
      </c>
      <c r="T242" t="s">
        <v>19</v>
      </c>
      <c r="U242">
        <v>200</v>
      </c>
      <c r="V242">
        <v>10</v>
      </c>
      <c r="X242">
        <v>530</v>
      </c>
      <c r="Y242">
        <v>21.22</v>
      </c>
      <c r="Z242">
        <v>4539.8900000000003</v>
      </c>
      <c r="AE242">
        <v>136.53</v>
      </c>
      <c r="AF242">
        <v>375.11</v>
      </c>
      <c r="AG242">
        <v>1774.86</v>
      </c>
      <c r="AH242">
        <v>3039.18</v>
      </c>
      <c r="AK242">
        <v>0</v>
      </c>
    </row>
    <row r="243" spans="1:37" x14ac:dyDescent="0.35">
      <c r="A243">
        <v>1</v>
      </c>
      <c r="B243">
        <v>2023</v>
      </c>
      <c r="C243" t="s">
        <v>33</v>
      </c>
      <c r="D243" t="s">
        <v>34</v>
      </c>
      <c r="E243" t="s">
        <v>187</v>
      </c>
      <c r="F243" s="3" t="s">
        <v>36</v>
      </c>
      <c r="G243" s="2" t="s">
        <v>82</v>
      </c>
      <c r="H243" s="3">
        <v>44805</v>
      </c>
      <c r="I243" s="3">
        <v>2920020</v>
      </c>
      <c r="J243" s="2" t="s">
        <v>246</v>
      </c>
      <c r="K243" t="s">
        <v>187</v>
      </c>
      <c r="L243" t="s">
        <v>39</v>
      </c>
      <c r="M243" t="s">
        <v>40</v>
      </c>
      <c r="N243">
        <v>87</v>
      </c>
      <c r="O243" t="s">
        <v>34</v>
      </c>
      <c r="P243">
        <v>44957</v>
      </c>
      <c r="R243">
        <v>30.4</v>
      </c>
      <c r="S243" s="6">
        <v>12993.96</v>
      </c>
      <c r="T243" t="s">
        <v>19</v>
      </c>
      <c r="U243">
        <v>310</v>
      </c>
      <c r="V243">
        <v>20</v>
      </c>
      <c r="X243">
        <v>651</v>
      </c>
      <c r="Y243">
        <v>17.63</v>
      </c>
      <c r="Z243">
        <v>8697.49</v>
      </c>
      <c r="AE243">
        <v>259.88</v>
      </c>
      <c r="AF243">
        <v>658.17</v>
      </c>
      <c r="AG243">
        <v>3378.43</v>
      </c>
      <c r="AH243">
        <v>5422.77</v>
      </c>
      <c r="AK243">
        <v>0</v>
      </c>
    </row>
    <row r="244" spans="1:37" x14ac:dyDescent="0.35">
      <c r="A244">
        <v>1</v>
      </c>
      <c r="B244">
        <v>2023</v>
      </c>
      <c r="C244" t="s">
        <v>33</v>
      </c>
      <c r="D244" t="s">
        <v>34</v>
      </c>
      <c r="E244" t="s">
        <v>187</v>
      </c>
      <c r="F244" s="3" t="s">
        <v>36</v>
      </c>
      <c r="G244" s="2" t="s">
        <v>82</v>
      </c>
      <c r="H244" s="3">
        <v>44805</v>
      </c>
      <c r="I244" s="3">
        <v>2920019</v>
      </c>
      <c r="J244" s="2" t="s">
        <v>247</v>
      </c>
      <c r="K244" t="s">
        <v>187</v>
      </c>
      <c r="L244" t="s">
        <v>39</v>
      </c>
      <c r="M244" t="s">
        <v>40</v>
      </c>
      <c r="N244">
        <v>87</v>
      </c>
      <c r="O244" t="s">
        <v>34</v>
      </c>
      <c r="P244">
        <v>44957</v>
      </c>
      <c r="R244">
        <v>33.11</v>
      </c>
      <c r="S244" s="6">
        <v>12880.84</v>
      </c>
      <c r="T244" t="s">
        <v>19</v>
      </c>
      <c r="U244">
        <v>300</v>
      </c>
      <c r="V244">
        <v>12</v>
      </c>
      <c r="X244">
        <v>514</v>
      </c>
      <c r="Y244">
        <v>20.9</v>
      </c>
      <c r="Z244">
        <v>8673.1299999999992</v>
      </c>
      <c r="AE244">
        <v>257.62</v>
      </c>
      <c r="AF244">
        <v>599.03</v>
      </c>
      <c r="AG244">
        <v>3349.02</v>
      </c>
      <c r="AH244">
        <v>4998.8100000000004</v>
      </c>
      <c r="AK244">
        <v>0</v>
      </c>
    </row>
    <row r="245" spans="1:37" x14ac:dyDescent="0.35">
      <c r="A245">
        <v>1</v>
      </c>
      <c r="B245">
        <v>2023</v>
      </c>
      <c r="C245" t="s">
        <v>33</v>
      </c>
      <c r="D245" t="s">
        <v>34</v>
      </c>
      <c r="E245" t="s">
        <v>187</v>
      </c>
      <c r="F245" s="3" t="s">
        <v>36</v>
      </c>
      <c r="G245" s="2" t="s">
        <v>82</v>
      </c>
      <c r="H245" s="3">
        <v>44805</v>
      </c>
      <c r="I245" s="3">
        <v>2920016</v>
      </c>
      <c r="J245" s="2" t="s">
        <v>248</v>
      </c>
      <c r="K245" t="s">
        <v>187</v>
      </c>
      <c r="L245" t="s">
        <v>39</v>
      </c>
      <c r="M245" t="s">
        <v>40</v>
      </c>
      <c r="N245">
        <v>87</v>
      </c>
      <c r="O245" t="s">
        <v>34</v>
      </c>
      <c r="P245">
        <v>44957</v>
      </c>
      <c r="R245">
        <v>36.47</v>
      </c>
      <c r="S245" s="6">
        <v>10616.49</v>
      </c>
      <c r="T245" t="s">
        <v>19</v>
      </c>
      <c r="U245">
        <v>240</v>
      </c>
      <c r="V245">
        <v>10</v>
      </c>
      <c r="X245">
        <v>537</v>
      </c>
      <c r="Y245">
        <v>22.16</v>
      </c>
      <c r="Z245">
        <v>7193.97</v>
      </c>
      <c r="AE245">
        <v>212.33</v>
      </c>
      <c r="AF245">
        <v>448.29</v>
      </c>
      <c r="AG245">
        <v>2760.29</v>
      </c>
      <c r="AH245">
        <v>3788.06</v>
      </c>
      <c r="AK245">
        <v>0</v>
      </c>
    </row>
    <row r="246" spans="1:37" x14ac:dyDescent="0.35">
      <c r="A246">
        <v>1</v>
      </c>
      <c r="B246">
        <v>2023</v>
      </c>
      <c r="C246" t="s">
        <v>33</v>
      </c>
      <c r="D246" t="s">
        <v>34</v>
      </c>
      <c r="E246" t="s">
        <v>42</v>
      </c>
      <c r="F246" s="3" t="s">
        <v>36</v>
      </c>
      <c r="G246" s="2" t="s">
        <v>43</v>
      </c>
      <c r="H246" s="3">
        <v>44818</v>
      </c>
      <c r="I246" s="3">
        <v>2540015</v>
      </c>
      <c r="J246" s="2" t="s">
        <v>235</v>
      </c>
      <c r="K246" t="s">
        <v>42</v>
      </c>
      <c r="L246" t="s">
        <v>39</v>
      </c>
      <c r="M246" t="s">
        <v>40</v>
      </c>
      <c r="N246">
        <v>1</v>
      </c>
      <c r="O246" t="s">
        <v>45</v>
      </c>
      <c r="P246">
        <v>44957</v>
      </c>
      <c r="R246">
        <v>25.89</v>
      </c>
      <c r="S246" s="6">
        <v>32837.980000000003</v>
      </c>
      <c r="T246" t="s">
        <v>19</v>
      </c>
      <c r="U246">
        <v>260</v>
      </c>
      <c r="V246">
        <v>53</v>
      </c>
      <c r="X246">
        <v>2148</v>
      </c>
      <c r="Y246">
        <v>19.27</v>
      </c>
      <c r="Z246">
        <v>21690.33</v>
      </c>
      <c r="AE246">
        <v>656.76</v>
      </c>
      <c r="AF246">
        <v>1953.01</v>
      </c>
      <c r="AG246">
        <v>8537.8700000000008</v>
      </c>
      <c r="AH246">
        <v>15307.3</v>
      </c>
      <c r="AK246">
        <v>0</v>
      </c>
    </row>
    <row r="247" spans="1:37" x14ac:dyDescent="0.35">
      <c r="A247">
        <v>1</v>
      </c>
      <c r="B247">
        <v>2023</v>
      </c>
      <c r="C247" t="s">
        <v>33</v>
      </c>
      <c r="D247" t="s">
        <v>34</v>
      </c>
      <c r="E247" t="s">
        <v>42</v>
      </c>
      <c r="F247" s="3" t="s">
        <v>36</v>
      </c>
      <c r="G247" s="2" t="s">
        <v>43</v>
      </c>
      <c r="H247" s="3">
        <v>44818</v>
      </c>
      <c r="I247" s="3">
        <v>2540012</v>
      </c>
      <c r="J247" s="2" t="s">
        <v>142</v>
      </c>
      <c r="K247" t="s">
        <v>42</v>
      </c>
      <c r="L247" t="s">
        <v>39</v>
      </c>
      <c r="M247" t="s">
        <v>40</v>
      </c>
      <c r="N247">
        <v>1</v>
      </c>
      <c r="O247" t="s">
        <v>45</v>
      </c>
      <c r="P247">
        <v>44957</v>
      </c>
      <c r="R247">
        <v>27.78</v>
      </c>
      <c r="S247" s="6">
        <v>17376.61</v>
      </c>
      <c r="T247" t="s">
        <v>19</v>
      </c>
      <c r="U247">
        <v>240</v>
      </c>
      <c r="V247">
        <v>21</v>
      </c>
      <c r="X247">
        <v>1152</v>
      </c>
      <c r="Y247">
        <v>23.26</v>
      </c>
      <c r="Z247">
        <v>11547.98</v>
      </c>
      <c r="AE247">
        <v>347.53</v>
      </c>
      <c r="AF247">
        <v>963.18</v>
      </c>
      <c r="AG247">
        <v>4517.92</v>
      </c>
      <c r="AH247">
        <v>6883.8</v>
      </c>
      <c r="AK247">
        <v>0</v>
      </c>
    </row>
    <row r="248" spans="1:37" x14ac:dyDescent="0.35">
      <c r="A248">
        <v>1</v>
      </c>
      <c r="B248">
        <v>2023</v>
      </c>
      <c r="C248" t="s">
        <v>33</v>
      </c>
      <c r="D248" t="s">
        <v>34</v>
      </c>
      <c r="E248" t="s">
        <v>42</v>
      </c>
      <c r="F248" s="3" t="s">
        <v>36</v>
      </c>
      <c r="G248" s="2" t="s">
        <v>43</v>
      </c>
      <c r="H248" s="3">
        <v>44818</v>
      </c>
      <c r="I248" s="3">
        <v>2540018</v>
      </c>
      <c r="J248" s="2" t="s">
        <v>249</v>
      </c>
      <c r="K248" t="s">
        <v>42</v>
      </c>
      <c r="L248" t="s">
        <v>39</v>
      </c>
      <c r="M248" t="s">
        <v>40</v>
      </c>
      <c r="N248">
        <v>1</v>
      </c>
      <c r="O248" t="s">
        <v>45</v>
      </c>
      <c r="P248">
        <v>44957</v>
      </c>
      <c r="R248">
        <v>26.61</v>
      </c>
      <c r="S248" s="6">
        <v>94877.5</v>
      </c>
      <c r="T248" t="s">
        <v>19</v>
      </c>
      <c r="U248">
        <v>240</v>
      </c>
      <c r="V248">
        <v>120</v>
      </c>
      <c r="X248">
        <v>6290</v>
      </c>
      <c r="Y248">
        <v>22.56</v>
      </c>
      <c r="Z248">
        <v>62821.64</v>
      </c>
      <c r="AE248">
        <v>1897.55</v>
      </c>
      <c r="AF248">
        <v>5490.16</v>
      </c>
      <c r="AG248">
        <v>24668.15</v>
      </c>
      <c r="AH248">
        <v>43279.53</v>
      </c>
      <c r="AK248">
        <v>0</v>
      </c>
    </row>
    <row r="249" spans="1:37" x14ac:dyDescent="0.35">
      <c r="A249">
        <v>1</v>
      </c>
      <c r="B249">
        <v>2023</v>
      </c>
      <c r="C249" t="s">
        <v>33</v>
      </c>
      <c r="D249" t="s">
        <v>34</v>
      </c>
      <c r="E249" t="s">
        <v>42</v>
      </c>
      <c r="F249" s="3" t="s">
        <v>36</v>
      </c>
      <c r="G249" s="2" t="s">
        <v>43</v>
      </c>
      <c r="H249" s="3">
        <v>44818</v>
      </c>
      <c r="I249" s="3">
        <v>2540020</v>
      </c>
      <c r="J249" s="2" t="s">
        <v>250</v>
      </c>
      <c r="K249" t="s">
        <v>42</v>
      </c>
      <c r="L249" t="s">
        <v>39</v>
      </c>
      <c r="M249" t="s">
        <v>150</v>
      </c>
      <c r="N249">
        <v>1</v>
      </c>
      <c r="O249" t="s">
        <v>45</v>
      </c>
      <c r="P249">
        <v>44957</v>
      </c>
      <c r="R249">
        <v>28.8</v>
      </c>
      <c r="S249" s="6">
        <v>27822.240000000002</v>
      </c>
      <c r="T249" t="s">
        <v>19</v>
      </c>
      <c r="U249">
        <v>300</v>
      </c>
      <c r="V249">
        <v>39</v>
      </c>
      <c r="X249">
        <v>1433</v>
      </c>
      <c r="Y249">
        <v>21.75</v>
      </c>
      <c r="Z249">
        <v>18544.37</v>
      </c>
      <c r="AE249">
        <v>556.44000000000005</v>
      </c>
      <c r="AF249">
        <v>1487.64</v>
      </c>
      <c r="AG249">
        <v>7233.78</v>
      </c>
      <c r="AH249">
        <v>11788.19</v>
      </c>
      <c r="AK249">
        <v>0</v>
      </c>
    </row>
    <row r="250" spans="1:37" x14ac:dyDescent="0.35">
      <c r="A250">
        <v>1</v>
      </c>
      <c r="B250">
        <v>2023</v>
      </c>
      <c r="C250" t="s">
        <v>33</v>
      </c>
      <c r="D250" t="s">
        <v>34</v>
      </c>
      <c r="E250" t="s">
        <v>42</v>
      </c>
      <c r="F250" s="3" t="s">
        <v>36</v>
      </c>
      <c r="G250" s="2" t="s">
        <v>43</v>
      </c>
      <c r="H250" s="3">
        <v>44818</v>
      </c>
      <c r="I250" s="3">
        <v>2540019</v>
      </c>
      <c r="J250" s="2" t="s">
        <v>251</v>
      </c>
      <c r="K250" t="s">
        <v>42</v>
      </c>
      <c r="L250" t="s">
        <v>39</v>
      </c>
      <c r="M250" t="s">
        <v>40</v>
      </c>
      <c r="N250">
        <v>1</v>
      </c>
      <c r="O250" t="s">
        <v>45</v>
      </c>
      <c r="P250">
        <v>44957</v>
      </c>
      <c r="R250">
        <v>50.57</v>
      </c>
      <c r="S250" s="6">
        <v>30123.9</v>
      </c>
      <c r="T250" t="s">
        <v>19</v>
      </c>
      <c r="U250">
        <v>80</v>
      </c>
      <c r="V250">
        <v>21</v>
      </c>
      <c r="X250">
        <v>5374</v>
      </c>
      <c r="Y250">
        <v>53.04</v>
      </c>
      <c r="Z250">
        <v>20771.8</v>
      </c>
      <c r="AE250">
        <v>602.48</v>
      </c>
      <c r="AF250">
        <v>917.41</v>
      </c>
      <c r="AG250">
        <v>7832.21</v>
      </c>
      <c r="AH250">
        <v>2859.46</v>
      </c>
      <c r="AK250">
        <v>0</v>
      </c>
    </row>
    <row r="251" spans="1:37" x14ac:dyDescent="0.35">
      <c r="A251">
        <v>1</v>
      </c>
      <c r="B251">
        <v>2023</v>
      </c>
      <c r="C251" t="s">
        <v>33</v>
      </c>
      <c r="D251" t="s">
        <v>34</v>
      </c>
      <c r="E251" t="s">
        <v>42</v>
      </c>
      <c r="F251" s="3" t="s">
        <v>36</v>
      </c>
      <c r="G251" s="2" t="s">
        <v>43</v>
      </c>
      <c r="H251" s="3">
        <v>44818</v>
      </c>
      <c r="I251" s="3">
        <v>2540016</v>
      </c>
      <c r="J251" s="2" t="s">
        <v>252</v>
      </c>
      <c r="K251" t="s">
        <v>42</v>
      </c>
      <c r="L251" t="s">
        <v>39</v>
      </c>
      <c r="M251" t="s">
        <v>40</v>
      </c>
      <c r="N251">
        <v>1</v>
      </c>
      <c r="O251" t="s">
        <v>45</v>
      </c>
      <c r="P251">
        <v>44957</v>
      </c>
      <c r="R251">
        <v>38.49</v>
      </c>
      <c r="S251" s="6">
        <v>7705</v>
      </c>
      <c r="T251" t="s">
        <v>19</v>
      </c>
      <c r="U251">
        <v>97</v>
      </c>
      <c r="V251">
        <v>7</v>
      </c>
      <c r="X251">
        <v>1050</v>
      </c>
      <c r="Y251">
        <v>48.6</v>
      </c>
      <c r="Z251">
        <v>5239.3500000000004</v>
      </c>
      <c r="AE251">
        <v>154.1</v>
      </c>
      <c r="AF251">
        <v>308.25</v>
      </c>
      <c r="AG251">
        <v>2003.3</v>
      </c>
      <c r="AH251">
        <v>1399.12</v>
      </c>
      <c r="AK251">
        <v>0</v>
      </c>
    </row>
    <row r="252" spans="1:37" x14ac:dyDescent="0.35">
      <c r="A252">
        <v>1</v>
      </c>
      <c r="B252">
        <v>2023</v>
      </c>
      <c r="C252" t="s">
        <v>33</v>
      </c>
      <c r="D252" t="s">
        <v>34</v>
      </c>
      <c r="E252" t="s">
        <v>116</v>
      </c>
      <c r="F252" s="3" t="s">
        <v>36</v>
      </c>
      <c r="G252" s="2" t="s">
        <v>50</v>
      </c>
      <c r="H252" s="3">
        <v>44822</v>
      </c>
      <c r="I252" s="3">
        <v>2810007</v>
      </c>
      <c r="J252" s="2" t="s">
        <v>186</v>
      </c>
      <c r="K252" t="s">
        <v>116</v>
      </c>
      <c r="L252" t="s">
        <v>39</v>
      </c>
      <c r="M252" t="s">
        <v>40</v>
      </c>
      <c r="N252">
        <v>91</v>
      </c>
      <c r="O252" t="s">
        <v>34</v>
      </c>
      <c r="P252">
        <v>44957</v>
      </c>
      <c r="R252">
        <v>28.74</v>
      </c>
      <c r="S252" s="6">
        <v>46956.07</v>
      </c>
      <c r="T252" t="s">
        <v>19</v>
      </c>
      <c r="U252">
        <v>210</v>
      </c>
      <c r="V252">
        <v>65</v>
      </c>
      <c r="X252">
        <v>3256</v>
      </c>
      <c r="Y252">
        <v>20.86</v>
      </c>
      <c r="Z252">
        <v>29413.919999999998</v>
      </c>
      <c r="AD252">
        <v>1878.24</v>
      </c>
      <c r="AE252">
        <v>939.12</v>
      </c>
      <c r="AF252">
        <v>2516.21</v>
      </c>
      <c r="AG252">
        <v>12208.58</v>
      </c>
      <c r="AH252">
        <v>20656.63</v>
      </c>
      <c r="AK252">
        <v>0</v>
      </c>
    </row>
    <row r="253" spans="1:37" x14ac:dyDescent="0.35">
      <c r="A253">
        <v>2</v>
      </c>
      <c r="B253">
        <v>2023</v>
      </c>
      <c r="C253" t="s">
        <v>33</v>
      </c>
      <c r="D253" t="s">
        <v>34</v>
      </c>
      <c r="E253" t="s">
        <v>42</v>
      </c>
      <c r="F253" s="3" t="s">
        <v>36</v>
      </c>
      <c r="G253" s="2" t="s">
        <v>43</v>
      </c>
      <c r="H253" s="3">
        <v>45157</v>
      </c>
      <c r="I253" s="3">
        <v>2540020</v>
      </c>
      <c r="J253" s="2" t="s">
        <v>250</v>
      </c>
      <c r="K253" t="s">
        <v>42</v>
      </c>
      <c r="L253" t="s">
        <v>39</v>
      </c>
      <c r="M253" t="s">
        <v>40</v>
      </c>
      <c r="N253">
        <v>1</v>
      </c>
      <c r="O253" t="s">
        <v>45</v>
      </c>
      <c r="P253">
        <v>44985</v>
      </c>
      <c r="S253" s="6">
        <v>12877.2</v>
      </c>
      <c r="T253" t="s">
        <v>19</v>
      </c>
      <c r="U253">
        <v>300</v>
      </c>
      <c r="X253">
        <v>12877.2</v>
      </c>
      <c r="AK253">
        <v>0</v>
      </c>
    </row>
    <row r="254" spans="1:37" x14ac:dyDescent="0.35">
      <c r="A254">
        <v>3</v>
      </c>
      <c r="B254">
        <v>2023</v>
      </c>
      <c r="C254" t="s">
        <v>33</v>
      </c>
      <c r="D254" t="s">
        <v>34</v>
      </c>
      <c r="E254" t="s">
        <v>42</v>
      </c>
      <c r="F254" s="3" t="s">
        <v>36</v>
      </c>
      <c r="G254" s="2" t="s">
        <v>43</v>
      </c>
      <c r="H254" s="3">
        <v>45283</v>
      </c>
      <c r="I254" s="3">
        <v>1506</v>
      </c>
      <c r="J254" s="2" t="s">
        <v>253</v>
      </c>
      <c r="K254" t="s">
        <v>42</v>
      </c>
      <c r="L254" t="s">
        <v>39</v>
      </c>
      <c r="M254" t="s">
        <v>40</v>
      </c>
      <c r="O254" t="s">
        <v>45</v>
      </c>
      <c r="P254">
        <v>44995</v>
      </c>
      <c r="S254" s="6">
        <v>11698.82</v>
      </c>
      <c r="T254" t="s">
        <v>254</v>
      </c>
      <c r="U254">
        <v>280</v>
      </c>
      <c r="W254" s="7">
        <v>645</v>
      </c>
      <c r="X254">
        <v>360.40999999999997</v>
      </c>
      <c r="AI254" t="s">
        <v>255</v>
      </c>
      <c r="AK254">
        <v>18.13770542635659</v>
      </c>
    </row>
    <row r="255" spans="1:37" x14ac:dyDescent="0.35">
      <c r="A255">
        <v>3</v>
      </c>
      <c r="B255">
        <v>2023</v>
      </c>
      <c r="C255" t="s">
        <v>33</v>
      </c>
      <c r="D255" t="s">
        <v>34</v>
      </c>
      <c r="E255" t="s">
        <v>42</v>
      </c>
      <c r="F255" s="3" t="s">
        <v>36</v>
      </c>
      <c r="G255" s="2" t="s">
        <v>43</v>
      </c>
      <c r="H255" s="3">
        <v>45283</v>
      </c>
      <c r="I255" s="3">
        <v>1523</v>
      </c>
      <c r="J255" s="2" t="s">
        <v>256</v>
      </c>
      <c r="K255" t="s">
        <v>42</v>
      </c>
      <c r="L255" t="s">
        <v>39</v>
      </c>
      <c r="M255" t="s">
        <v>40</v>
      </c>
      <c r="O255" t="s">
        <v>45</v>
      </c>
      <c r="P255">
        <v>44995</v>
      </c>
      <c r="S255" s="6">
        <v>11827.85</v>
      </c>
      <c r="T255" t="s">
        <v>254</v>
      </c>
      <c r="W255" s="7">
        <v>1585</v>
      </c>
      <c r="X255">
        <v>304.14999999999998</v>
      </c>
      <c r="AI255" t="s">
        <v>255</v>
      </c>
      <c r="AK255">
        <v>7.4623659305993693</v>
      </c>
    </row>
    <row r="256" spans="1:37" x14ac:dyDescent="0.35">
      <c r="A256">
        <v>3</v>
      </c>
      <c r="B256">
        <v>2023</v>
      </c>
      <c r="C256" t="s">
        <v>33</v>
      </c>
      <c r="D256" t="s">
        <v>34</v>
      </c>
      <c r="E256" t="s">
        <v>116</v>
      </c>
      <c r="F256" s="3" t="s">
        <v>36</v>
      </c>
      <c r="G256" s="2" t="s">
        <v>50</v>
      </c>
      <c r="H256" s="3">
        <v>45356</v>
      </c>
      <c r="I256" s="3">
        <v>1419</v>
      </c>
      <c r="J256" s="2" t="s">
        <v>257</v>
      </c>
      <c r="K256" t="s">
        <v>116</v>
      </c>
      <c r="L256" t="s">
        <v>39</v>
      </c>
      <c r="M256" t="s">
        <v>40</v>
      </c>
      <c r="O256" t="s">
        <v>34</v>
      </c>
      <c r="P256">
        <v>45000</v>
      </c>
      <c r="S256" s="6">
        <v>9731.2900000000009</v>
      </c>
      <c r="T256" t="s">
        <v>254</v>
      </c>
      <c r="U256">
        <v>180</v>
      </c>
      <c r="W256" s="7">
        <v>561.101</v>
      </c>
      <c r="X256">
        <v>239.64000000000001</v>
      </c>
      <c r="AI256" t="s">
        <v>116</v>
      </c>
      <c r="AJ256" t="s">
        <v>258</v>
      </c>
      <c r="AK256">
        <v>17.343205590437375</v>
      </c>
    </row>
    <row r="257" spans="1:37" x14ac:dyDescent="0.35">
      <c r="A257">
        <v>3</v>
      </c>
      <c r="B257">
        <v>2023</v>
      </c>
      <c r="C257" t="s">
        <v>33</v>
      </c>
      <c r="D257" t="s">
        <v>34</v>
      </c>
      <c r="E257" t="s">
        <v>60</v>
      </c>
      <c r="F257" s="3" t="s">
        <v>36</v>
      </c>
      <c r="G257" s="2" t="s">
        <v>37</v>
      </c>
      <c r="H257" s="3">
        <v>45520</v>
      </c>
      <c r="I257" s="3">
        <v>1706</v>
      </c>
      <c r="J257" s="2" t="s">
        <v>259</v>
      </c>
      <c r="K257" t="s">
        <v>60</v>
      </c>
      <c r="L257" t="s">
        <v>39</v>
      </c>
      <c r="M257" t="s">
        <v>40</v>
      </c>
      <c r="O257" t="s">
        <v>34</v>
      </c>
      <c r="P257">
        <v>45009</v>
      </c>
      <c r="S257" s="6">
        <v>167939.21</v>
      </c>
      <c r="T257" t="s">
        <v>254</v>
      </c>
      <c r="W257" s="7">
        <v>19943</v>
      </c>
      <c r="X257">
        <v>0</v>
      </c>
      <c r="AI257" t="s">
        <v>60</v>
      </c>
      <c r="AK257">
        <v>8.4209602366745226</v>
      </c>
    </row>
    <row r="258" spans="1:37" x14ac:dyDescent="0.35">
      <c r="A258">
        <v>3</v>
      </c>
      <c r="B258">
        <v>2023</v>
      </c>
      <c r="C258" t="s">
        <v>33</v>
      </c>
      <c r="D258" t="s">
        <v>34</v>
      </c>
      <c r="E258" t="s">
        <v>223</v>
      </c>
      <c r="F258" s="3" t="s">
        <v>36</v>
      </c>
      <c r="G258" s="2" t="s">
        <v>37</v>
      </c>
      <c r="H258" s="3">
        <v>45523</v>
      </c>
      <c r="I258" s="3">
        <v>1227</v>
      </c>
      <c r="J258" s="2" t="s">
        <v>260</v>
      </c>
      <c r="K258" t="s">
        <v>223</v>
      </c>
      <c r="L258" t="s">
        <v>39</v>
      </c>
      <c r="M258" t="s">
        <v>40</v>
      </c>
      <c r="O258" t="s">
        <v>34</v>
      </c>
      <c r="P258">
        <v>45009</v>
      </c>
      <c r="S258" s="6">
        <v>23990.400000000001</v>
      </c>
      <c r="T258" t="s">
        <v>254</v>
      </c>
      <c r="W258" s="7">
        <v>1764</v>
      </c>
      <c r="X258">
        <v>716.7</v>
      </c>
      <c r="AI258" t="s">
        <v>261</v>
      </c>
      <c r="AK258">
        <v>13.600000000000001</v>
      </c>
    </row>
    <row r="259" spans="1:37" x14ac:dyDescent="0.35">
      <c r="A259">
        <v>3</v>
      </c>
      <c r="B259">
        <v>2023</v>
      </c>
      <c r="C259" t="s">
        <v>33</v>
      </c>
      <c r="D259" t="s">
        <v>34</v>
      </c>
      <c r="E259" t="s">
        <v>42</v>
      </c>
      <c r="F259" s="3" t="s">
        <v>36</v>
      </c>
      <c r="G259" s="2" t="s">
        <v>43</v>
      </c>
      <c r="H259" s="3">
        <v>45704</v>
      </c>
      <c r="I259" s="3">
        <v>1506</v>
      </c>
      <c r="J259" s="2" t="s">
        <v>253</v>
      </c>
      <c r="K259" t="s">
        <v>42</v>
      </c>
      <c r="L259" t="s">
        <v>39</v>
      </c>
      <c r="M259" t="s">
        <v>40</v>
      </c>
      <c r="O259" t="s">
        <v>45</v>
      </c>
      <c r="P259">
        <v>45016</v>
      </c>
      <c r="S259" s="6">
        <v>8016.86</v>
      </c>
      <c r="T259" t="s">
        <v>254</v>
      </c>
      <c r="U259">
        <v>280</v>
      </c>
      <c r="W259" s="7">
        <v>442</v>
      </c>
      <c r="X259">
        <v>286.78000000000003</v>
      </c>
      <c r="AI259" t="s">
        <v>255</v>
      </c>
      <c r="AJ259" t="s">
        <v>262</v>
      </c>
      <c r="AK259">
        <v>18.137692307692308</v>
      </c>
    </row>
    <row r="260" spans="1:37" x14ac:dyDescent="0.35">
      <c r="A260">
        <v>3</v>
      </c>
      <c r="B260">
        <v>2023</v>
      </c>
      <c r="C260" t="s">
        <v>33</v>
      </c>
      <c r="D260" t="s">
        <v>34</v>
      </c>
      <c r="E260" t="s">
        <v>42</v>
      </c>
      <c r="F260" s="3" t="s">
        <v>36</v>
      </c>
      <c r="G260" s="2" t="s">
        <v>43</v>
      </c>
      <c r="H260" s="3">
        <v>45707</v>
      </c>
      <c r="I260" s="3">
        <v>1504</v>
      </c>
      <c r="J260" s="2" t="s">
        <v>263</v>
      </c>
      <c r="K260" t="s">
        <v>42</v>
      </c>
      <c r="L260" t="s">
        <v>39</v>
      </c>
      <c r="M260" t="s">
        <v>40</v>
      </c>
      <c r="O260" t="s">
        <v>45</v>
      </c>
      <c r="P260">
        <v>45016</v>
      </c>
      <c r="S260" s="6">
        <v>16185.75</v>
      </c>
      <c r="T260" t="s">
        <v>254</v>
      </c>
      <c r="U260">
        <v>240</v>
      </c>
      <c r="W260" s="7">
        <v>1067</v>
      </c>
      <c r="X260">
        <v>569.29999999999995</v>
      </c>
      <c r="AI260" t="s">
        <v>255</v>
      </c>
      <c r="AJ260" t="s">
        <v>262</v>
      </c>
      <c r="AK260">
        <v>15.169400187441424</v>
      </c>
    </row>
    <row r="261" spans="1:37" x14ac:dyDescent="0.35">
      <c r="A261">
        <v>3</v>
      </c>
      <c r="B261">
        <v>2023</v>
      </c>
      <c r="C261" t="s">
        <v>33</v>
      </c>
      <c r="D261" t="s">
        <v>34</v>
      </c>
      <c r="E261" t="s">
        <v>42</v>
      </c>
      <c r="F261" s="3" t="s">
        <v>36</v>
      </c>
      <c r="G261" s="2" t="s">
        <v>43</v>
      </c>
      <c r="H261" s="3">
        <v>45707</v>
      </c>
      <c r="I261" s="3">
        <v>1506</v>
      </c>
      <c r="J261" s="2" t="s">
        <v>253</v>
      </c>
      <c r="K261" t="s">
        <v>42</v>
      </c>
      <c r="L261" t="s">
        <v>39</v>
      </c>
      <c r="M261" t="s">
        <v>40</v>
      </c>
      <c r="O261" t="s">
        <v>45</v>
      </c>
      <c r="P261">
        <v>45016</v>
      </c>
      <c r="S261" s="6">
        <v>19710.599999999999</v>
      </c>
      <c r="T261" t="s">
        <v>254</v>
      </c>
      <c r="U261">
        <v>280</v>
      </c>
      <c r="W261" s="7">
        <v>1083</v>
      </c>
      <c r="X261">
        <v>703.08</v>
      </c>
      <c r="AI261" t="s">
        <v>255</v>
      </c>
      <c r="AJ261" t="s">
        <v>262</v>
      </c>
      <c r="AK261">
        <v>18.2</v>
      </c>
    </row>
    <row r="262" spans="1:37" x14ac:dyDescent="0.35">
      <c r="A262">
        <v>3</v>
      </c>
      <c r="B262">
        <v>2023</v>
      </c>
      <c r="C262" t="s">
        <v>33</v>
      </c>
      <c r="D262" t="s">
        <v>34</v>
      </c>
      <c r="E262" t="s">
        <v>42</v>
      </c>
      <c r="F262" s="3" t="s">
        <v>36</v>
      </c>
      <c r="G262" s="2" t="s">
        <v>43</v>
      </c>
      <c r="H262" s="3">
        <v>45707</v>
      </c>
      <c r="I262" s="3">
        <v>1236</v>
      </c>
      <c r="J262" s="2" t="s">
        <v>264</v>
      </c>
      <c r="K262" t="s">
        <v>42</v>
      </c>
      <c r="L262" t="s">
        <v>39</v>
      </c>
      <c r="M262" t="s">
        <v>40</v>
      </c>
      <c r="O262" t="s">
        <v>45</v>
      </c>
      <c r="P262">
        <v>45016</v>
      </c>
      <c r="S262" s="6">
        <v>19695.29</v>
      </c>
      <c r="T262" t="s">
        <v>254</v>
      </c>
      <c r="U262">
        <v>240</v>
      </c>
      <c r="W262" s="7">
        <v>1098.038</v>
      </c>
      <c r="X262">
        <v>1134.4399999999998</v>
      </c>
      <c r="AI262" t="s">
        <v>255</v>
      </c>
      <c r="AJ262" t="s">
        <v>262</v>
      </c>
      <c r="AK262">
        <v>17.936801822887734</v>
      </c>
    </row>
    <row r="263" spans="1:37" x14ac:dyDescent="0.35">
      <c r="A263">
        <v>3</v>
      </c>
      <c r="B263">
        <v>2023</v>
      </c>
      <c r="C263" t="s">
        <v>33</v>
      </c>
      <c r="D263" t="s">
        <v>34</v>
      </c>
      <c r="E263" t="s">
        <v>42</v>
      </c>
      <c r="F263" s="3" t="s">
        <v>36</v>
      </c>
      <c r="G263" s="2" t="s">
        <v>43</v>
      </c>
      <c r="H263" s="3">
        <v>45707</v>
      </c>
      <c r="I263" s="3">
        <v>1503</v>
      </c>
      <c r="J263" s="2" t="s">
        <v>265</v>
      </c>
      <c r="K263" t="s">
        <v>42</v>
      </c>
      <c r="L263" t="s">
        <v>39</v>
      </c>
      <c r="M263" t="s">
        <v>40</v>
      </c>
      <c r="O263" t="s">
        <v>45</v>
      </c>
      <c r="P263">
        <v>45016</v>
      </c>
      <c r="S263" s="6">
        <v>6377.3</v>
      </c>
      <c r="T263" t="s">
        <v>254</v>
      </c>
      <c r="U263">
        <v>260</v>
      </c>
      <c r="W263" s="7">
        <v>366</v>
      </c>
      <c r="X263">
        <v>202.45999999999998</v>
      </c>
      <c r="AI263" t="s">
        <v>255</v>
      </c>
      <c r="AJ263" t="s">
        <v>262</v>
      </c>
      <c r="AK263">
        <v>17.424316939890712</v>
      </c>
    </row>
    <row r="264" spans="1:37" x14ac:dyDescent="0.35">
      <c r="A264">
        <v>3</v>
      </c>
      <c r="B264">
        <v>2023</v>
      </c>
      <c r="C264" t="s">
        <v>33</v>
      </c>
      <c r="D264" t="s">
        <v>34</v>
      </c>
      <c r="E264" t="s">
        <v>42</v>
      </c>
      <c r="F264" s="3" t="s">
        <v>36</v>
      </c>
      <c r="G264" s="2" t="s">
        <v>43</v>
      </c>
      <c r="H264" s="3">
        <v>45707</v>
      </c>
      <c r="I264" s="3">
        <v>1236</v>
      </c>
      <c r="J264" s="2" t="s">
        <v>264</v>
      </c>
      <c r="K264" t="s">
        <v>42</v>
      </c>
      <c r="L264" t="s">
        <v>39</v>
      </c>
      <c r="M264" t="s">
        <v>40</v>
      </c>
      <c r="O264" t="s">
        <v>45</v>
      </c>
      <c r="P264">
        <v>45016</v>
      </c>
      <c r="S264" s="6">
        <v>18468</v>
      </c>
      <c r="T264" t="s">
        <v>254</v>
      </c>
      <c r="U264">
        <v>240</v>
      </c>
      <c r="W264" s="7">
        <v>1026</v>
      </c>
      <c r="X264">
        <v>1134.4399999999998</v>
      </c>
      <c r="AI264" t="s">
        <v>255</v>
      </c>
      <c r="AJ264" t="s">
        <v>262</v>
      </c>
      <c r="AK264">
        <v>18</v>
      </c>
    </row>
    <row r="265" spans="1:37" x14ac:dyDescent="0.35">
      <c r="A265">
        <v>3</v>
      </c>
      <c r="B265">
        <v>2023</v>
      </c>
      <c r="C265" t="s">
        <v>33</v>
      </c>
      <c r="D265" t="s">
        <v>34</v>
      </c>
      <c r="E265" t="s">
        <v>42</v>
      </c>
      <c r="F265" s="3" t="s">
        <v>36</v>
      </c>
      <c r="G265" s="2" t="s">
        <v>43</v>
      </c>
      <c r="H265" s="3">
        <v>45707</v>
      </c>
      <c r="I265" s="3">
        <v>1226</v>
      </c>
      <c r="J265" s="2" t="s">
        <v>266</v>
      </c>
      <c r="K265" t="s">
        <v>42</v>
      </c>
      <c r="L265" t="s">
        <v>267</v>
      </c>
      <c r="M265" t="s">
        <v>40</v>
      </c>
      <c r="O265" t="s">
        <v>45</v>
      </c>
      <c r="P265">
        <v>45016</v>
      </c>
      <c r="S265" s="6">
        <v>8225.2999999999993</v>
      </c>
      <c r="T265" t="s">
        <v>254</v>
      </c>
      <c r="U265">
        <v>260</v>
      </c>
      <c r="W265" s="7">
        <v>535</v>
      </c>
      <c r="X265">
        <v>314.95999999999998</v>
      </c>
      <c r="AI265" t="s">
        <v>255</v>
      </c>
      <c r="AJ265" t="s">
        <v>262</v>
      </c>
      <c r="AK265">
        <v>15.374392523364484</v>
      </c>
    </row>
    <row r="266" spans="1:37" x14ac:dyDescent="0.35">
      <c r="A266">
        <v>3</v>
      </c>
      <c r="B266">
        <v>2023</v>
      </c>
      <c r="C266" t="s">
        <v>33</v>
      </c>
      <c r="D266" t="s">
        <v>34</v>
      </c>
      <c r="E266" t="s">
        <v>42</v>
      </c>
      <c r="F266" s="3" t="s">
        <v>36</v>
      </c>
      <c r="G266" s="2" t="s">
        <v>43</v>
      </c>
      <c r="H266" s="3">
        <v>45707</v>
      </c>
      <c r="I266" s="3">
        <v>1237</v>
      </c>
      <c r="J266" s="2" t="s">
        <v>268</v>
      </c>
      <c r="K266" t="s">
        <v>42</v>
      </c>
      <c r="L266" t="s">
        <v>267</v>
      </c>
      <c r="M266" t="s">
        <v>40</v>
      </c>
      <c r="O266" t="s">
        <v>45</v>
      </c>
      <c r="P266">
        <v>45016</v>
      </c>
      <c r="S266" s="6">
        <v>8708.33</v>
      </c>
      <c r="T266" t="s">
        <v>254</v>
      </c>
      <c r="U266">
        <v>300</v>
      </c>
      <c r="W266" s="7">
        <v>446</v>
      </c>
      <c r="X266">
        <v>299.68</v>
      </c>
      <c r="AI266" t="s">
        <v>255</v>
      </c>
      <c r="AJ266" t="s">
        <v>262</v>
      </c>
      <c r="AK266">
        <v>19.525403587443947</v>
      </c>
    </row>
    <row r="267" spans="1:37" x14ac:dyDescent="0.35">
      <c r="A267">
        <v>3</v>
      </c>
      <c r="B267">
        <v>2023</v>
      </c>
      <c r="C267" t="s">
        <v>33</v>
      </c>
      <c r="D267" t="s">
        <v>34</v>
      </c>
      <c r="E267" t="s">
        <v>42</v>
      </c>
      <c r="F267" s="3" t="s">
        <v>36</v>
      </c>
      <c r="G267" s="2" t="s">
        <v>43</v>
      </c>
      <c r="H267" s="3">
        <v>45708</v>
      </c>
      <c r="I267" s="3">
        <v>1472</v>
      </c>
      <c r="J267" s="2" t="s">
        <v>269</v>
      </c>
      <c r="K267" t="s">
        <v>42</v>
      </c>
      <c r="L267" t="s">
        <v>267</v>
      </c>
      <c r="M267" t="s">
        <v>40</v>
      </c>
      <c r="O267" t="s">
        <v>45</v>
      </c>
      <c r="P267">
        <v>45016</v>
      </c>
      <c r="S267" s="6">
        <v>9894.2999999999993</v>
      </c>
      <c r="T267" t="s">
        <v>254</v>
      </c>
      <c r="U267">
        <v>200</v>
      </c>
      <c r="W267" s="7">
        <v>885</v>
      </c>
      <c r="X267">
        <v>384.94</v>
      </c>
      <c r="AI267" t="s">
        <v>270</v>
      </c>
      <c r="AJ267" t="s">
        <v>258</v>
      </c>
      <c r="AK267">
        <v>11.18</v>
      </c>
    </row>
    <row r="268" spans="1:37" x14ac:dyDescent="0.35">
      <c r="A268">
        <v>3</v>
      </c>
      <c r="B268">
        <v>2023</v>
      </c>
      <c r="C268" t="s">
        <v>33</v>
      </c>
      <c r="D268" t="s">
        <v>34</v>
      </c>
      <c r="E268" t="s">
        <v>42</v>
      </c>
      <c r="F268" s="3" t="s">
        <v>36</v>
      </c>
      <c r="G268" s="2" t="s">
        <v>43</v>
      </c>
      <c r="H268" s="3">
        <v>45708</v>
      </c>
      <c r="I268" s="3">
        <v>1496</v>
      </c>
      <c r="J268" s="2" t="s">
        <v>271</v>
      </c>
      <c r="K268" t="s">
        <v>42</v>
      </c>
      <c r="L268" t="s">
        <v>267</v>
      </c>
      <c r="M268" t="s">
        <v>40</v>
      </c>
      <c r="O268" t="s">
        <v>45</v>
      </c>
      <c r="P268">
        <v>45016</v>
      </c>
      <c r="S268" s="6">
        <v>8680.43</v>
      </c>
      <c r="T268" t="s">
        <v>254</v>
      </c>
      <c r="U268">
        <v>200</v>
      </c>
      <c r="W268" s="7">
        <v>803</v>
      </c>
      <c r="X268">
        <v>344.41999999999996</v>
      </c>
      <c r="AI268" t="s">
        <v>270</v>
      </c>
      <c r="AJ268" t="s">
        <v>258</v>
      </c>
      <c r="AK268">
        <v>10.81</v>
      </c>
    </row>
    <row r="269" spans="1:37" x14ac:dyDescent="0.35">
      <c r="A269">
        <v>3</v>
      </c>
      <c r="B269">
        <v>2023</v>
      </c>
      <c r="C269" t="s">
        <v>33</v>
      </c>
      <c r="D269" t="s">
        <v>34</v>
      </c>
      <c r="E269" t="s">
        <v>42</v>
      </c>
      <c r="F269" s="3" t="s">
        <v>36</v>
      </c>
      <c r="G269" s="2" t="s">
        <v>43</v>
      </c>
      <c r="H269" s="3">
        <v>45708</v>
      </c>
      <c r="I269" s="3">
        <v>1497</v>
      </c>
      <c r="J269" s="2" t="s">
        <v>272</v>
      </c>
      <c r="K269" t="s">
        <v>42</v>
      </c>
      <c r="L269" t="s">
        <v>267</v>
      </c>
      <c r="M269" t="s">
        <v>40</v>
      </c>
      <c r="O269" t="s">
        <v>45</v>
      </c>
      <c r="P269">
        <v>45016</v>
      </c>
      <c r="S269" s="6">
        <v>9760.14</v>
      </c>
      <c r="T269" t="s">
        <v>254</v>
      </c>
      <c r="U269">
        <v>200</v>
      </c>
      <c r="W269" s="7">
        <v>873</v>
      </c>
      <c r="X269">
        <v>375.7</v>
      </c>
      <c r="AI269" t="s">
        <v>270</v>
      </c>
      <c r="AJ269" t="s">
        <v>258</v>
      </c>
      <c r="AK269">
        <v>11.18</v>
      </c>
    </row>
    <row r="270" spans="1:37" x14ac:dyDescent="0.35">
      <c r="A270">
        <v>3</v>
      </c>
      <c r="B270">
        <v>2023</v>
      </c>
      <c r="C270" t="s">
        <v>33</v>
      </c>
      <c r="D270" t="s">
        <v>34</v>
      </c>
      <c r="E270" t="s">
        <v>42</v>
      </c>
      <c r="F270" s="3" t="s">
        <v>36</v>
      </c>
      <c r="G270" s="2" t="s">
        <v>43</v>
      </c>
      <c r="H270" s="3">
        <v>45708</v>
      </c>
      <c r="I270" s="3">
        <v>1474</v>
      </c>
      <c r="J270" s="2" t="s">
        <v>273</v>
      </c>
      <c r="K270" t="s">
        <v>42</v>
      </c>
      <c r="L270" t="s">
        <v>267</v>
      </c>
      <c r="M270" t="s">
        <v>40</v>
      </c>
      <c r="O270" t="s">
        <v>45</v>
      </c>
      <c r="P270">
        <v>45016</v>
      </c>
      <c r="S270" s="6">
        <v>6157.58</v>
      </c>
      <c r="T270" t="s">
        <v>254</v>
      </c>
      <c r="U270">
        <v>200</v>
      </c>
      <c r="W270" s="7">
        <v>569.61900000000003</v>
      </c>
      <c r="X270">
        <v>249.60000000000002</v>
      </c>
      <c r="AI270" t="s">
        <v>270</v>
      </c>
      <c r="AJ270" t="s">
        <v>258</v>
      </c>
      <c r="AK270">
        <v>10.809997559772409</v>
      </c>
    </row>
    <row r="271" spans="1:37" x14ac:dyDescent="0.35">
      <c r="A271">
        <v>3</v>
      </c>
      <c r="B271">
        <v>2023</v>
      </c>
      <c r="C271" t="s">
        <v>33</v>
      </c>
      <c r="D271" t="s">
        <v>34</v>
      </c>
      <c r="E271" t="s">
        <v>42</v>
      </c>
      <c r="F271" s="3" t="s">
        <v>36</v>
      </c>
      <c r="G271" s="2" t="s">
        <v>43</v>
      </c>
      <c r="H271" s="3">
        <v>45708</v>
      </c>
      <c r="I271" s="3">
        <v>1549</v>
      </c>
      <c r="J271" s="2" t="s">
        <v>274</v>
      </c>
      <c r="K271" t="s">
        <v>42</v>
      </c>
      <c r="L271" t="s">
        <v>267</v>
      </c>
      <c r="M271" t="s">
        <v>40</v>
      </c>
      <c r="O271" t="s">
        <v>45</v>
      </c>
      <c r="P271">
        <v>45016</v>
      </c>
      <c r="S271" s="6">
        <v>9372.0400000000009</v>
      </c>
      <c r="T271" t="s">
        <v>254</v>
      </c>
      <c r="U271">
        <v>210</v>
      </c>
      <c r="W271" s="7">
        <v>777.11800000000005</v>
      </c>
      <c r="X271">
        <v>344.88</v>
      </c>
      <c r="AI271" t="s">
        <v>270</v>
      </c>
      <c r="AJ271" t="s">
        <v>258</v>
      </c>
      <c r="AK271">
        <v>12.059996036637937</v>
      </c>
    </row>
    <row r="272" spans="1:37" x14ac:dyDescent="0.35">
      <c r="A272">
        <v>3</v>
      </c>
      <c r="B272">
        <v>2023</v>
      </c>
      <c r="C272" t="s">
        <v>33</v>
      </c>
      <c r="D272" t="s">
        <v>34</v>
      </c>
      <c r="E272" t="s">
        <v>42</v>
      </c>
      <c r="F272" s="3" t="s">
        <v>36</v>
      </c>
      <c r="G272" s="2" t="s">
        <v>43</v>
      </c>
      <c r="H272" s="3">
        <v>45708</v>
      </c>
      <c r="I272" s="3">
        <v>1499</v>
      </c>
      <c r="J272" s="2" t="s">
        <v>275</v>
      </c>
      <c r="K272" t="s">
        <v>42</v>
      </c>
      <c r="L272" t="s">
        <v>267</v>
      </c>
      <c r="M272" t="s">
        <v>40</v>
      </c>
      <c r="O272" t="s">
        <v>45</v>
      </c>
      <c r="P272">
        <v>45016</v>
      </c>
      <c r="S272" s="6">
        <v>5024.3999999999996</v>
      </c>
      <c r="T272" t="s">
        <v>254</v>
      </c>
      <c r="U272">
        <v>200</v>
      </c>
      <c r="W272" s="7">
        <v>424</v>
      </c>
      <c r="X272">
        <v>181.26000000000002</v>
      </c>
      <c r="AI272" t="s">
        <v>270</v>
      </c>
      <c r="AJ272" t="s">
        <v>258</v>
      </c>
      <c r="AK272">
        <v>11.85</v>
      </c>
    </row>
    <row r="273" spans="1:37" x14ac:dyDescent="0.35">
      <c r="A273">
        <v>3</v>
      </c>
      <c r="B273">
        <v>2023</v>
      </c>
      <c r="C273" t="s">
        <v>33</v>
      </c>
      <c r="D273" t="s">
        <v>34</v>
      </c>
      <c r="E273" t="s">
        <v>42</v>
      </c>
      <c r="F273" s="3" t="s">
        <v>36</v>
      </c>
      <c r="G273" s="2" t="s">
        <v>43</v>
      </c>
      <c r="H273" s="3">
        <v>45708</v>
      </c>
      <c r="I273" s="3">
        <v>1548</v>
      </c>
      <c r="J273" s="2" t="s">
        <v>276</v>
      </c>
      <c r="K273" t="s">
        <v>42</v>
      </c>
      <c r="L273" t="s">
        <v>267</v>
      </c>
      <c r="M273" t="s">
        <v>40</v>
      </c>
      <c r="O273" t="s">
        <v>45</v>
      </c>
      <c r="P273">
        <v>45016</v>
      </c>
      <c r="S273" s="6">
        <v>5814.36</v>
      </c>
      <c r="T273" t="s">
        <v>254</v>
      </c>
      <c r="U273">
        <v>210</v>
      </c>
      <c r="W273" s="7">
        <v>431.97300000000001</v>
      </c>
      <c r="X273">
        <v>187.14000000000001</v>
      </c>
      <c r="AI273" t="s">
        <v>270</v>
      </c>
      <c r="AJ273" t="s">
        <v>258</v>
      </c>
      <c r="AK273">
        <v>13.460007917161487</v>
      </c>
    </row>
    <row r="274" spans="1:37" x14ac:dyDescent="0.35">
      <c r="A274">
        <v>3</v>
      </c>
      <c r="B274">
        <v>2023</v>
      </c>
      <c r="C274" t="s">
        <v>33</v>
      </c>
      <c r="D274" t="s">
        <v>34</v>
      </c>
      <c r="E274" t="s">
        <v>42</v>
      </c>
      <c r="F274" s="3" t="s">
        <v>36</v>
      </c>
      <c r="G274" s="2" t="s">
        <v>43</v>
      </c>
      <c r="H274" s="3">
        <v>45708</v>
      </c>
      <c r="I274" s="3">
        <v>1471</v>
      </c>
      <c r="J274" s="2" t="s">
        <v>277</v>
      </c>
      <c r="K274" t="s">
        <v>42</v>
      </c>
      <c r="L274" t="s">
        <v>267</v>
      </c>
      <c r="M274" t="s">
        <v>40</v>
      </c>
      <c r="O274" t="s">
        <v>45</v>
      </c>
      <c r="P274">
        <v>45016</v>
      </c>
      <c r="S274" s="6">
        <v>9807.5300000000007</v>
      </c>
      <c r="T274" t="s">
        <v>254</v>
      </c>
      <c r="U274">
        <v>200</v>
      </c>
      <c r="W274" s="7">
        <v>842.57100000000003</v>
      </c>
      <c r="X274">
        <v>335.82000000000005</v>
      </c>
      <c r="AI274" t="s">
        <v>270</v>
      </c>
      <c r="AJ274" t="s">
        <v>258</v>
      </c>
      <c r="AK274">
        <v>11.640004225163221</v>
      </c>
    </row>
    <row r="275" spans="1:37" x14ac:dyDescent="0.35">
      <c r="A275">
        <v>3</v>
      </c>
      <c r="B275">
        <v>2023</v>
      </c>
      <c r="C275" t="s">
        <v>33</v>
      </c>
      <c r="D275" t="s">
        <v>34</v>
      </c>
      <c r="E275" t="s">
        <v>42</v>
      </c>
      <c r="F275" s="3" t="s">
        <v>36</v>
      </c>
      <c r="G275" s="2" t="s">
        <v>43</v>
      </c>
      <c r="H275" s="3">
        <v>45708</v>
      </c>
      <c r="I275" s="3">
        <v>1473</v>
      </c>
      <c r="J275" s="2" t="s">
        <v>278</v>
      </c>
      <c r="K275" t="s">
        <v>42</v>
      </c>
      <c r="L275" t="s">
        <v>267</v>
      </c>
      <c r="M275" t="s">
        <v>40</v>
      </c>
      <c r="O275" t="s">
        <v>45</v>
      </c>
      <c r="P275">
        <v>45016</v>
      </c>
      <c r="S275" s="6">
        <v>10359.540000000001</v>
      </c>
      <c r="T275" t="s">
        <v>254</v>
      </c>
      <c r="U275">
        <v>200</v>
      </c>
      <c r="W275" s="7">
        <v>859</v>
      </c>
      <c r="X275">
        <v>380.77</v>
      </c>
      <c r="AI275" t="s">
        <v>270</v>
      </c>
      <c r="AJ275" t="s">
        <v>258</v>
      </c>
      <c r="AK275">
        <v>12.06</v>
      </c>
    </row>
    <row r="276" spans="1:37" x14ac:dyDescent="0.35">
      <c r="A276">
        <v>3</v>
      </c>
      <c r="B276">
        <v>2023</v>
      </c>
      <c r="C276" t="s">
        <v>33</v>
      </c>
      <c r="D276" t="s">
        <v>34</v>
      </c>
      <c r="E276" t="s">
        <v>42</v>
      </c>
      <c r="F276" s="3" t="s">
        <v>36</v>
      </c>
      <c r="G276" s="2" t="s">
        <v>43</v>
      </c>
      <c r="H276" s="3">
        <v>45708</v>
      </c>
      <c r="I276" s="3">
        <v>1498</v>
      </c>
      <c r="J276" s="2" t="s">
        <v>279</v>
      </c>
      <c r="K276" t="s">
        <v>42</v>
      </c>
      <c r="L276" t="s">
        <v>267</v>
      </c>
      <c r="M276" t="s">
        <v>40</v>
      </c>
      <c r="O276" t="s">
        <v>45</v>
      </c>
      <c r="P276">
        <v>45016</v>
      </c>
      <c r="S276" s="6">
        <v>12236.79</v>
      </c>
      <c r="T276" t="s">
        <v>254</v>
      </c>
      <c r="U276">
        <v>200</v>
      </c>
      <c r="W276" s="7">
        <v>1041.4290000000001</v>
      </c>
      <c r="X276">
        <v>450.18</v>
      </c>
      <c r="AI276" t="s">
        <v>270</v>
      </c>
      <c r="AJ276" t="s">
        <v>258</v>
      </c>
      <c r="AK276">
        <v>11.749999279835688</v>
      </c>
    </row>
    <row r="277" spans="1:37" x14ac:dyDescent="0.35">
      <c r="A277">
        <v>3</v>
      </c>
      <c r="B277">
        <v>2023</v>
      </c>
      <c r="C277" t="s">
        <v>33</v>
      </c>
      <c r="D277" t="s">
        <v>34</v>
      </c>
      <c r="E277" t="s">
        <v>42</v>
      </c>
      <c r="F277" s="3" t="s">
        <v>36</v>
      </c>
      <c r="G277" s="2" t="s">
        <v>43</v>
      </c>
      <c r="H277" s="3">
        <v>45709</v>
      </c>
      <c r="I277" s="3">
        <v>1422</v>
      </c>
      <c r="J277" s="2" t="s">
        <v>280</v>
      </c>
      <c r="K277" t="s">
        <v>42</v>
      </c>
      <c r="L277" t="s">
        <v>267</v>
      </c>
      <c r="M277" t="s">
        <v>40</v>
      </c>
      <c r="O277" t="s">
        <v>45</v>
      </c>
      <c r="P277">
        <v>45016</v>
      </c>
      <c r="S277" s="6">
        <v>17617</v>
      </c>
      <c r="T277" t="s">
        <v>254</v>
      </c>
      <c r="U277">
        <v>240</v>
      </c>
      <c r="W277" s="7">
        <v>790</v>
      </c>
      <c r="X277">
        <v>414.06000000000012</v>
      </c>
      <c r="AI277" t="s">
        <v>116</v>
      </c>
      <c r="AJ277" t="s">
        <v>258</v>
      </c>
      <c r="AK277">
        <v>22.3</v>
      </c>
    </row>
    <row r="278" spans="1:37" x14ac:dyDescent="0.35">
      <c r="A278">
        <v>3</v>
      </c>
      <c r="B278">
        <v>2023</v>
      </c>
      <c r="C278" t="s">
        <v>33</v>
      </c>
      <c r="D278" t="s">
        <v>34</v>
      </c>
      <c r="E278" t="s">
        <v>42</v>
      </c>
      <c r="F278" s="3" t="s">
        <v>36</v>
      </c>
      <c r="G278" s="2" t="s">
        <v>43</v>
      </c>
      <c r="H278" s="3">
        <v>45709</v>
      </c>
      <c r="I278" s="3">
        <v>1419</v>
      </c>
      <c r="J278" s="2" t="s">
        <v>257</v>
      </c>
      <c r="K278" t="s">
        <v>42</v>
      </c>
      <c r="L278" t="s">
        <v>267</v>
      </c>
      <c r="M278" t="s">
        <v>40</v>
      </c>
      <c r="O278" t="s">
        <v>45</v>
      </c>
      <c r="P278">
        <v>45016</v>
      </c>
      <c r="S278" s="6">
        <v>11402.37</v>
      </c>
      <c r="T278" t="s">
        <v>254</v>
      </c>
      <c r="U278">
        <v>180</v>
      </c>
      <c r="W278" s="7">
        <v>982.96299999999997</v>
      </c>
      <c r="X278">
        <v>385.84</v>
      </c>
      <c r="AI278" t="s">
        <v>116</v>
      </c>
      <c r="AJ278" t="s">
        <v>258</v>
      </c>
      <c r="AK278">
        <v>11.59999918613417</v>
      </c>
    </row>
    <row r="279" spans="1:37" x14ac:dyDescent="0.35">
      <c r="A279">
        <v>4</v>
      </c>
      <c r="B279">
        <v>2023</v>
      </c>
      <c r="C279" t="s">
        <v>33</v>
      </c>
      <c r="D279" t="s">
        <v>34</v>
      </c>
      <c r="E279" t="s">
        <v>60</v>
      </c>
      <c r="F279" s="3" t="s">
        <v>36</v>
      </c>
      <c r="G279" s="2" t="s">
        <v>37</v>
      </c>
      <c r="H279" s="3">
        <v>45745</v>
      </c>
      <c r="I279" s="3">
        <v>1706</v>
      </c>
      <c r="J279" s="2" t="s">
        <v>259</v>
      </c>
      <c r="K279" t="s">
        <v>60</v>
      </c>
      <c r="L279" t="s">
        <v>267</v>
      </c>
      <c r="M279" t="s">
        <v>40</v>
      </c>
      <c r="O279" t="s">
        <v>34</v>
      </c>
      <c r="P279">
        <v>45021</v>
      </c>
      <c r="S279" s="6">
        <v>14363.35</v>
      </c>
      <c r="T279" t="s">
        <v>254</v>
      </c>
      <c r="W279" s="7">
        <v>1820.45</v>
      </c>
      <c r="X279">
        <v>1820.45</v>
      </c>
      <c r="AI279" t="s">
        <v>60</v>
      </c>
      <c r="AK279">
        <v>7.8899997253426353</v>
      </c>
    </row>
    <row r="280" spans="1:37" x14ac:dyDescent="0.35">
      <c r="A280">
        <v>4</v>
      </c>
      <c r="B280">
        <v>2023</v>
      </c>
      <c r="C280" t="s">
        <v>33</v>
      </c>
      <c r="D280" t="s">
        <v>34</v>
      </c>
      <c r="E280" t="s">
        <v>116</v>
      </c>
      <c r="F280" s="3" t="s">
        <v>36</v>
      </c>
      <c r="G280" s="2" t="s">
        <v>50</v>
      </c>
      <c r="H280" s="3">
        <v>45746</v>
      </c>
      <c r="I280" s="3">
        <v>1703</v>
      </c>
      <c r="J280" s="2" t="s">
        <v>281</v>
      </c>
      <c r="K280" t="s">
        <v>116</v>
      </c>
      <c r="L280" t="s">
        <v>267</v>
      </c>
      <c r="M280" t="s">
        <v>40</v>
      </c>
      <c r="O280" t="s">
        <v>34</v>
      </c>
      <c r="P280">
        <v>45021</v>
      </c>
      <c r="S280" s="6">
        <v>21586.27</v>
      </c>
      <c r="T280" t="s">
        <v>254</v>
      </c>
      <c r="U280">
        <v>160</v>
      </c>
      <c r="W280" s="7">
        <v>2054</v>
      </c>
      <c r="X280">
        <v>844.58</v>
      </c>
      <c r="AI280" t="s">
        <v>116</v>
      </c>
      <c r="AJ280" t="s">
        <v>258</v>
      </c>
      <c r="AK280">
        <v>10.509381694255111</v>
      </c>
    </row>
    <row r="281" spans="1:37" x14ac:dyDescent="0.35">
      <c r="A281">
        <v>4</v>
      </c>
      <c r="B281">
        <v>2023</v>
      </c>
      <c r="C281" t="s">
        <v>33</v>
      </c>
      <c r="D281" t="s">
        <v>34</v>
      </c>
      <c r="E281" t="s">
        <v>42</v>
      </c>
      <c r="F281" s="3" t="s">
        <v>36</v>
      </c>
      <c r="G281" s="2" t="s">
        <v>43</v>
      </c>
      <c r="H281" s="3">
        <v>45780</v>
      </c>
      <c r="I281" s="3">
        <v>1503</v>
      </c>
      <c r="J281" s="2" t="s">
        <v>265</v>
      </c>
      <c r="K281" t="s">
        <v>42</v>
      </c>
      <c r="L281" t="s">
        <v>267</v>
      </c>
      <c r="M281" t="s">
        <v>40</v>
      </c>
      <c r="O281" t="s">
        <v>45</v>
      </c>
      <c r="P281">
        <v>45022</v>
      </c>
      <c r="S281" s="6">
        <v>592.42999999999995</v>
      </c>
      <c r="T281" t="s">
        <v>254</v>
      </c>
      <c r="U281">
        <v>260</v>
      </c>
      <c r="W281" s="7">
        <v>34</v>
      </c>
      <c r="X281">
        <v>38.72</v>
      </c>
      <c r="AI281" t="s">
        <v>255</v>
      </c>
      <c r="AJ281" t="s">
        <v>262</v>
      </c>
      <c r="AK281">
        <v>17.42441176470588</v>
      </c>
    </row>
    <row r="282" spans="1:37" x14ac:dyDescent="0.35">
      <c r="A282">
        <v>4</v>
      </c>
      <c r="B282">
        <v>2023</v>
      </c>
      <c r="C282" t="s">
        <v>33</v>
      </c>
      <c r="D282" t="s">
        <v>34</v>
      </c>
      <c r="E282" t="s">
        <v>42</v>
      </c>
      <c r="F282" s="3" t="s">
        <v>36</v>
      </c>
      <c r="G282" s="2" t="s">
        <v>43</v>
      </c>
      <c r="H282" s="3">
        <v>45780</v>
      </c>
      <c r="I282" s="3">
        <v>1523</v>
      </c>
      <c r="J282" s="2" t="s">
        <v>282</v>
      </c>
      <c r="K282" t="s">
        <v>42</v>
      </c>
      <c r="L282" t="s">
        <v>267</v>
      </c>
      <c r="M282" t="s">
        <v>40</v>
      </c>
      <c r="O282" t="s">
        <v>45</v>
      </c>
      <c r="P282">
        <v>45022</v>
      </c>
      <c r="S282" s="6">
        <v>19171.240000000002</v>
      </c>
      <c r="T282" t="s">
        <v>254</v>
      </c>
      <c r="W282" s="7">
        <v>2563</v>
      </c>
      <c r="X282">
        <v>494.42000000000007</v>
      </c>
      <c r="AI282" t="s">
        <v>255</v>
      </c>
      <c r="AJ282" t="s">
        <v>262</v>
      </c>
      <c r="AK282">
        <v>7.48</v>
      </c>
    </row>
    <row r="283" spans="1:37" x14ac:dyDescent="0.35">
      <c r="A283">
        <v>4</v>
      </c>
      <c r="B283">
        <v>2023</v>
      </c>
      <c r="C283" t="s">
        <v>33</v>
      </c>
      <c r="D283" t="s">
        <v>34</v>
      </c>
      <c r="E283" t="s">
        <v>42</v>
      </c>
      <c r="F283" s="3" t="s">
        <v>36</v>
      </c>
      <c r="G283" s="2" t="s">
        <v>43</v>
      </c>
      <c r="H283" s="3">
        <v>45780</v>
      </c>
      <c r="I283" s="3">
        <v>1503</v>
      </c>
      <c r="J283" s="2" t="s">
        <v>265</v>
      </c>
      <c r="K283" t="s">
        <v>42</v>
      </c>
      <c r="L283" t="s">
        <v>267</v>
      </c>
      <c r="M283" t="s">
        <v>40</v>
      </c>
      <c r="O283" t="s">
        <v>45</v>
      </c>
      <c r="P283">
        <v>45022</v>
      </c>
      <c r="S283" s="6">
        <v>557.58000000000004</v>
      </c>
      <c r="T283" t="s">
        <v>254</v>
      </c>
      <c r="U283">
        <v>260</v>
      </c>
      <c r="W283" s="7">
        <v>32</v>
      </c>
      <c r="X283">
        <v>38.72</v>
      </c>
      <c r="AI283" t="s">
        <v>255</v>
      </c>
      <c r="AJ283" t="s">
        <v>262</v>
      </c>
      <c r="AK283">
        <v>17.424375000000001</v>
      </c>
    </row>
    <row r="284" spans="1:37" x14ac:dyDescent="0.35">
      <c r="A284">
        <v>4</v>
      </c>
      <c r="B284">
        <v>2023</v>
      </c>
      <c r="C284" t="s">
        <v>33</v>
      </c>
      <c r="D284" t="s">
        <v>34</v>
      </c>
      <c r="E284" t="s">
        <v>42</v>
      </c>
      <c r="F284" s="3" t="s">
        <v>36</v>
      </c>
      <c r="G284" s="2" t="s">
        <v>43</v>
      </c>
      <c r="H284" s="3">
        <v>45780</v>
      </c>
      <c r="I284" s="3">
        <v>1525</v>
      </c>
      <c r="J284" s="2" t="s">
        <v>283</v>
      </c>
      <c r="K284" t="s">
        <v>42</v>
      </c>
      <c r="L284" t="s">
        <v>267</v>
      </c>
      <c r="M284" t="s">
        <v>40</v>
      </c>
      <c r="O284" t="s">
        <v>45</v>
      </c>
      <c r="P284">
        <v>45022</v>
      </c>
      <c r="S284" s="6">
        <v>483.01</v>
      </c>
      <c r="T284" t="s">
        <v>254</v>
      </c>
      <c r="U284">
        <v>320</v>
      </c>
      <c r="W284" s="7">
        <v>25</v>
      </c>
      <c r="X284">
        <v>996.1600000000002</v>
      </c>
      <c r="AI284" t="s">
        <v>255</v>
      </c>
      <c r="AJ284" t="s">
        <v>262</v>
      </c>
      <c r="AK284">
        <v>19.320399999999999</v>
      </c>
    </row>
    <row r="285" spans="1:37" x14ac:dyDescent="0.35">
      <c r="A285">
        <v>4</v>
      </c>
      <c r="B285">
        <v>2023</v>
      </c>
      <c r="C285" t="s">
        <v>33</v>
      </c>
      <c r="D285" t="s">
        <v>34</v>
      </c>
      <c r="E285" t="s">
        <v>42</v>
      </c>
      <c r="F285" s="3" t="s">
        <v>36</v>
      </c>
      <c r="G285" s="2" t="s">
        <v>43</v>
      </c>
      <c r="H285" s="3">
        <v>45780</v>
      </c>
      <c r="I285" s="3">
        <v>1524</v>
      </c>
      <c r="J285" s="2" t="s">
        <v>284</v>
      </c>
      <c r="K285" t="s">
        <v>42</v>
      </c>
      <c r="L285" t="s">
        <v>267</v>
      </c>
      <c r="M285" t="s">
        <v>40</v>
      </c>
      <c r="O285" t="s">
        <v>45</v>
      </c>
      <c r="P285">
        <v>45022</v>
      </c>
      <c r="S285" s="6">
        <v>28104.959999999999</v>
      </c>
      <c r="T285" t="s">
        <v>254</v>
      </c>
      <c r="W285" s="7">
        <v>3378</v>
      </c>
      <c r="X285">
        <v>678.97300000000007</v>
      </c>
      <c r="AI285" t="s">
        <v>255</v>
      </c>
      <c r="AJ285" t="s">
        <v>262</v>
      </c>
      <c r="AK285">
        <v>8.32</v>
      </c>
    </row>
    <row r="286" spans="1:37" x14ac:dyDescent="0.35">
      <c r="A286">
        <v>4</v>
      </c>
      <c r="B286">
        <v>2023</v>
      </c>
      <c r="C286" t="s">
        <v>33</v>
      </c>
      <c r="D286" t="s">
        <v>34</v>
      </c>
      <c r="E286" t="s">
        <v>42</v>
      </c>
      <c r="F286" s="3" t="s">
        <v>36</v>
      </c>
      <c r="G286" s="2" t="s">
        <v>43</v>
      </c>
      <c r="H286" s="3">
        <v>45780</v>
      </c>
      <c r="I286" s="3">
        <v>1226</v>
      </c>
      <c r="J286" s="2" t="s">
        <v>266</v>
      </c>
      <c r="K286" t="s">
        <v>42</v>
      </c>
      <c r="L286" t="s">
        <v>267</v>
      </c>
      <c r="M286" t="s">
        <v>40</v>
      </c>
      <c r="O286" t="s">
        <v>45</v>
      </c>
      <c r="P286">
        <v>45022</v>
      </c>
      <c r="S286" s="6">
        <v>6841.61</v>
      </c>
      <c r="T286" t="s">
        <v>254</v>
      </c>
      <c r="U286">
        <v>260</v>
      </c>
      <c r="W286" s="7">
        <v>445</v>
      </c>
      <c r="X286">
        <v>269.036</v>
      </c>
      <c r="AI286" t="s">
        <v>255</v>
      </c>
      <c r="AJ286" t="s">
        <v>262</v>
      </c>
      <c r="AK286">
        <v>15.374404494382022</v>
      </c>
    </row>
    <row r="287" spans="1:37" x14ac:dyDescent="0.35">
      <c r="A287">
        <v>4</v>
      </c>
      <c r="B287">
        <v>2023</v>
      </c>
      <c r="C287" t="s">
        <v>33</v>
      </c>
      <c r="D287" t="s">
        <v>34</v>
      </c>
      <c r="E287" t="s">
        <v>42</v>
      </c>
      <c r="F287" s="3" t="s">
        <v>36</v>
      </c>
      <c r="G287" s="2" t="s">
        <v>43</v>
      </c>
      <c r="H287" s="3">
        <v>45780</v>
      </c>
      <c r="I287" s="3">
        <v>1652</v>
      </c>
      <c r="J287" s="2" t="s">
        <v>285</v>
      </c>
      <c r="K287" t="s">
        <v>42</v>
      </c>
      <c r="L287" t="s">
        <v>267</v>
      </c>
      <c r="M287" t="s">
        <v>40</v>
      </c>
      <c r="O287" t="s">
        <v>45</v>
      </c>
      <c r="P287">
        <v>45022</v>
      </c>
      <c r="S287" s="6">
        <v>30104.15</v>
      </c>
      <c r="T287" t="s">
        <v>254</v>
      </c>
      <c r="U287">
        <v>460</v>
      </c>
      <c r="W287" s="7">
        <v>1021.172</v>
      </c>
      <c r="X287">
        <v>1091.98</v>
      </c>
      <c r="AI287" t="s">
        <v>255</v>
      </c>
      <c r="AJ287" t="s">
        <v>262</v>
      </c>
      <c r="AK287">
        <v>29.479999451610503</v>
      </c>
    </row>
    <row r="288" spans="1:37" x14ac:dyDescent="0.35">
      <c r="A288">
        <v>4</v>
      </c>
      <c r="B288">
        <v>2023</v>
      </c>
      <c r="C288" t="s">
        <v>33</v>
      </c>
      <c r="D288" t="s">
        <v>34</v>
      </c>
      <c r="E288" t="s">
        <v>42</v>
      </c>
      <c r="F288" s="3" t="s">
        <v>36</v>
      </c>
      <c r="G288" s="2" t="s">
        <v>43</v>
      </c>
      <c r="H288" s="3">
        <v>45780</v>
      </c>
      <c r="I288" s="3">
        <v>1525</v>
      </c>
      <c r="J288" s="2" t="s">
        <v>283</v>
      </c>
      <c r="K288" t="s">
        <v>42</v>
      </c>
      <c r="L288" t="s">
        <v>267</v>
      </c>
      <c r="M288" t="s">
        <v>40</v>
      </c>
      <c r="O288" t="s">
        <v>45</v>
      </c>
      <c r="P288">
        <v>45022</v>
      </c>
      <c r="S288" s="6">
        <v>26488.400000000001</v>
      </c>
      <c r="T288" t="s">
        <v>254</v>
      </c>
      <c r="U288">
        <v>320</v>
      </c>
      <c r="W288" s="7">
        <v>1371</v>
      </c>
      <c r="X288">
        <v>996.1600000000002</v>
      </c>
      <c r="AI288" t="s">
        <v>255</v>
      </c>
      <c r="AJ288" t="s">
        <v>262</v>
      </c>
      <c r="AK288">
        <v>19.320495988329686</v>
      </c>
    </row>
    <row r="289" spans="1:37" x14ac:dyDescent="0.35">
      <c r="A289">
        <v>4</v>
      </c>
      <c r="B289">
        <v>2023</v>
      </c>
      <c r="C289" t="s">
        <v>33</v>
      </c>
      <c r="D289" t="s">
        <v>34</v>
      </c>
      <c r="E289" t="s">
        <v>42</v>
      </c>
      <c r="F289" s="3" t="s">
        <v>36</v>
      </c>
      <c r="G289" s="2" t="s">
        <v>43</v>
      </c>
      <c r="H289" s="3">
        <v>45782</v>
      </c>
      <c r="I289" s="3">
        <v>1525</v>
      </c>
      <c r="J289" s="2" t="s">
        <v>283</v>
      </c>
      <c r="K289" t="s">
        <v>42</v>
      </c>
      <c r="L289" t="s">
        <v>267</v>
      </c>
      <c r="M289" t="s">
        <v>40</v>
      </c>
      <c r="O289" t="s">
        <v>45</v>
      </c>
      <c r="P289">
        <v>45022</v>
      </c>
      <c r="S289" s="6">
        <v>16789.509999999998</v>
      </c>
      <c r="T289" t="s">
        <v>254</v>
      </c>
      <c r="U289">
        <v>320</v>
      </c>
      <c r="W289" s="7">
        <v>869</v>
      </c>
      <c r="X289">
        <v>635.50000000000011</v>
      </c>
      <c r="AI289" t="s">
        <v>255</v>
      </c>
      <c r="AJ289" t="s">
        <v>262</v>
      </c>
      <c r="AK289">
        <v>19.32049482163406</v>
      </c>
    </row>
    <row r="290" spans="1:37" x14ac:dyDescent="0.35">
      <c r="A290">
        <v>4</v>
      </c>
      <c r="B290">
        <v>2023</v>
      </c>
      <c r="C290" t="s">
        <v>33</v>
      </c>
      <c r="D290" t="s">
        <v>34</v>
      </c>
      <c r="E290" t="s">
        <v>116</v>
      </c>
      <c r="F290" s="3" t="s">
        <v>36</v>
      </c>
      <c r="G290" s="2" t="s">
        <v>50</v>
      </c>
      <c r="H290" s="3">
        <v>45915</v>
      </c>
      <c r="I290" s="3">
        <v>1703</v>
      </c>
      <c r="J290" s="2" t="s">
        <v>281</v>
      </c>
      <c r="K290" t="s">
        <v>116</v>
      </c>
      <c r="L290" t="s">
        <v>267</v>
      </c>
      <c r="M290" t="s">
        <v>40</v>
      </c>
      <c r="O290" t="s">
        <v>34</v>
      </c>
      <c r="P290">
        <v>45033</v>
      </c>
      <c r="S290" s="6">
        <v>19610.5</v>
      </c>
      <c r="T290" t="s">
        <v>254</v>
      </c>
      <c r="U290">
        <v>160</v>
      </c>
      <c r="W290" s="7">
        <v>1866</v>
      </c>
      <c r="X290">
        <v>767.84000000000026</v>
      </c>
      <c r="AI290" t="s">
        <v>116</v>
      </c>
      <c r="AJ290" t="s">
        <v>258</v>
      </c>
      <c r="AK290">
        <v>10.509378349410504</v>
      </c>
    </row>
    <row r="291" spans="1:37" x14ac:dyDescent="0.35">
      <c r="A291">
        <v>4</v>
      </c>
      <c r="B291">
        <v>2023</v>
      </c>
      <c r="C291" t="s">
        <v>33</v>
      </c>
      <c r="D291" t="s">
        <v>34</v>
      </c>
      <c r="E291" t="s">
        <v>116</v>
      </c>
      <c r="F291" s="3" t="s">
        <v>36</v>
      </c>
      <c r="G291" s="2" t="s">
        <v>50</v>
      </c>
      <c r="H291" s="3">
        <v>45918</v>
      </c>
      <c r="I291" s="3">
        <v>1419</v>
      </c>
      <c r="J291" s="2" t="s">
        <v>286</v>
      </c>
      <c r="K291" t="s">
        <v>116</v>
      </c>
      <c r="L291" t="s">
        <v>267</v>
      </c>
      <c r="M291" t="s">
        <v>40</v>
      </c>
      <c r="O291" t="s">
        <v>34</v>
      </c>
      <c r="P291">
        <v>45033</v>
      </c>
      <c r="S291" s="6">
        <v>6644.65</v>
      </c>
      <c r="T291" t="s">
        <v>254</v>
      </c>
      <c r="U291">
        <v>180</v>
      </c>
      <c r="W291" s="7">
        <v>572.81500000000005</v>
      </c>
      <c r="X291">
        <v>259.22000000000003</v>
      </c>
      <c r="AI291" t="s">
        <v>116</v>
      </c>
      <c r="AJ291" t="s">
        <v>258</v>
      </c>
      <c r="AK291">
        <v>11.599993016942641</v>
      </c>
    </row>
    <row r="292" spans="1:37" x14ac:dyDescent="0.35">
      <c r="A292">
        <v>4</v>
      </c>
      <c r="B292">
        <v>2023</v>
      </c>
      <c r="C292" t="s">
        <v>33</v>
      </c>
      <c r="D292" t="s">
        <v>34</v>
      </c>
      <c r="E292" t="s">
        <v>116</v>
      </c>
      <c r="F292" s="3" t="s">
        <v>36</v>
      </c>
      <c r="G292" s="2" t="s">
        <v>50</v>
      </c>
      <c r="H292" s="3">
        <v>45918</v>
      </c>
      <c r="I292" s="3">
        <v>1422</v>
      </c>
      <c r="J292" s="2" t="s">
        <v>280</v>
      </c>
      <c r="K292" t="s">
        <v>116</v>
      </c>
      <c r="L292" t="s">
        <v>267</v>
      </c>
      <c r="M292" t="s">
        <v>40</v>
      </c>
      <c r="O292" t="s">
        <v>34</v>
      </c>
      <c r="P292">
        <v>45033</v>
      </c>
      <c r="S292" s="6">
        <v>45269</v>
      </c>
      <c r="T292" t="s">
        <v>254</v>
      </c>
      <c r="U292">
        <v>240</v>
      </c>
      <c r="W292" s="7">
        <v>2030</v>
      </c>
      <c r="X292">
        <v>1043.7599999999998</v>
      </c>
      <c r="AI292" t="s">
        <v>116</v>
      </c>
      <c r="AJ292" t="s">
        <v>258</v>
      </c>
      <c r="AK292">
        <v>22.3</v>
      </c>
    </row>
    <row r="293" spans="1:37" x14ac:dyDescent="0.35">
      <c r="A293">
        <v>4</v>
      </c>
      <c r="B293">
        <v>2023</v>
      </c>
      <c r="C293" t="s">
        <v>33</v>
      </c>
      <c r="D293" t="s">
        <v>34</v>
      </c>
      <c r="E293" t="s">
        <v>116</v>
      </c>
      <c r="F293" s="3" t="s">
        <v>36</v>
      </c>
      <c r="G293" s="2" t="s">
        <v>50</v>
      </c>
      <c r="H293" s="3">
        <v>45919</v>
      </c>
      <c r="I293" s="3">
        <v>1419</v>
      </c>
      <c r="J293" s="2" t="s">
        <v>286</v>
      </c>
      <c r="K293" t="s">
        <v>116</v>
      </c>
      <c r="L293" t="s">
        <v>267</v>
      </c>
      <c r="M293" t="s">
        <v>40</v>
      </c>
      <c r="O293" t="s">
        <v>34</v>
      </c>
      <c r="P293">
        <v>45033</v>
      </c>
      <c r="S293" s="6">
        <v>50309.2</v>
      </c>
      <c r="T293" t="s">
        <v>254</v>
      </c>
      <c r="U293">
        <v>180</v>
      </c>
      <c r="W293" s="7">
        <v>4337</v>
      </c>
      <c r="X293">
        <v>1862.0139999999999</v>
      </c>
      <c r="AI293" t="s">
        <v>116</v>
      </c>
      <c r="AJ293" t="s">
        <v>258</v>
      </c>
      <c r="AK293">
        <v>11.6</v>
      </c>
    </row>
    <row r="294" spans="1:37" x14ac:dyDescent="0.35">
      <c r="A294">
        <v>4</v>
      </c>
      <c r="B294">
        <v>2023</v>
      </c>
      <c r="C294" t="s">
        <v>33</v>
      </c>
      <c r="D294" t="s">
        <v>34</v>
      </c>
      <c r="E294" t="s">
        <v>116</v>
      </c>
      <c r="F294" s="3" t="s">
        <v>36</v>
      </c>
      <c r="G294" s="2" t="s">
        <v>50</v>
      </c>
      <c r="H294" s="3">
        <v>45920</v>
      </c>
      <c r="I294" s="3">
        <v>1422</v>
      </c>
      <c r="J294" s="2" t="s">
        <v>280</v>
      </c>
      <c r="K294" t="s">
        <v>116</v>
      </c>
      <c r="L294" t="s">
        <v>267</v>
      </c>
      <c r="M294" t="s">
        <v>40</v>
      </c>
      <c r="O294" t="s">
        <v>34</v>
      </c>
      <c r="P294">
        <v>45033</v>
      </c>
      <c r="S294" s="6">
        <v>55727.7</v>
      </c>
      <c r="T294" t="s">
        <v>254</v>
      </c>
      <c r="U294">
        <v>240</v>
      </c>
      <c r="W294" s="7">
        <v>2499</v>
      </c>
      <c r="X294">
        <v>1337.4179999999999</v>
      </c>
      <c r="AI294" t="s">
        <v>116</v>
      </c>
      <c r="AJ294" t="s">
        <v>258</v>
      </c>
      <c r="AK294">
        <v>22.299999999999997</v>
      </c>
    </row>
    <row r="295" spans="1:37" x14ac:dyDescent="0.35">
      <c r="A295">
        <v>4</v>
      </c>
      <c r="B295">
        <v>2023</v>
      </c>
      <c r="C295" t="s">
        <v>33</v>
      </c>
      <c r="D295" t="s">
        <v>34</v>
      </c>
      <c r="E295" t="s">
        <v>116</v>
      </c>
      <c r="F295" s="3" t="s">
        <v>36</v>
      </c>
      <c r="G295" s="2" t="s">
        <v>50</v>
      </c>
      <c r="H295" s="3">
        <v>45921</v>
      </c>
      <c r="I295" s="3">
        <v>1703</v>
      </c>
      <c r="J295" s="2" t="s">
        <v>281</v>
      </c>
      <c r="K295" t="s">
        <v>116</v>
      </c>
      <c r="L295" t="s">
        <v>267</v>
      </c>
      <c r="M295" t="s">
        <v>40</v>
      </c>
      <c r="O295" t="s">
        <v>34</v>
      </c>
      <c r="P295">
        <v>45033</v>
      </c>
      <c r="S295" s="6">
        <v>535.98</v>
      </c>
      <c r="T295" t="s">
        <v>254</v>
      </c>
      <c r="U295">
        <v>160</v>
      </c>
      <c r="W295" s="7">
        <v>51</v>
      </c>
      <c r="X295">
        <v>17.135999999999999</v>
      </c>
      <c r="AI295" t="s">
        <v>116</v>
      </c>
      <c r="AJ295" t="s">
        <v>258</v>
      </c>
      <c r="AK295">
        <v>10.509411764705883</v>
      </c>
    </row>
    <row r="296" spans="1:37" x14ac:dyDescent="0.35">
      <c r="A296">
        <v>4</v>
      </c>
      <c r="B296">
        <v>2023</v>
      </c>
      <c r="C296" t="s">
        <v>33</v>
      </c>
      <c r="D296" t="s">
        <v>34</v>
      </c>
      <c r="E296" t="s">
        <v>116</v>
      </c>
      <c r="F296" s="3" t="s">
        <v>36</v>
      </c>
      <c r="G296" s="2" t="s">
        <v>50</v>
      </c>
      <c r="H296" s="3">
        <v>45923</v>
      </c>
      <c r="I296" s="3">
        <v>1703</v>
      </c>
      <c r="J296" s="2" t="s">
        <v>281</v>
      </c>
      <c r="K296" t="s">
        <v>116</v>
      </c>
      <c r="L296" t="s">
        <v>267</v>
      </c>
      <c r="M296" t="s">
        <v>40</v>
      </c>
      <c r="O296" t="s">
        <v>34</v>
      </c>
      <c r="P296">
        <v>45033</v>
      </c>
      <c r="S296" s="6">
        <v>52809.63</v>
      </c>
      <c r="T296" t="s">
        <v>254</v>
      </c>
      <c r="U296">
        <v>160</v>
      </c>
      <c r="W296" s="7">
        <v>5025</v>
      </c>
      <c r="X296">
        <v>1970.5590000000002</v>
      </c>
      <c r="AI296" t="s">
        <v>116</v>
      </c>
      <c r="AJ296" t="s">
        <v>258</v>
      </c>
      <c r="AK296">
        <v>10.509379104477611</v>
      </c>
    </row>
    <row r="297" spans="1:37" x14ac:dyDescent="0.35">
      <c r="A297">
        <v>4</v>
      </c>
      <c r="B297">
        <v>2023</v>
      </c>
      <c r="C297" t="s">
        <v>33</v>
      </c>
      <c r="D297" t="s">
        <v>34</v>
      </c>
      <c r="E297" t="s">
        <v>116</v>
      </c>
      <c r="F297" s="3" t="s">
        <v>36</v>
      </c>
      <c r="G297" s="2" t="s">
        <v>50</v>
      </c>
      <c r="H297" s="3">
        <v>45924</v>
      </c>
      <c r="I297" s="3">
        <v>1419</v>
      </c>
      <c r="J297" s="2" t="s">
        <v>286</v>
      </c>
      <c r="K297" t="s">
        <v>116</v>
      </c>
      <c r="L297" t="s">
        <v>267</v>
      </c>
      <c r="M297" t="s">
        <v>40</v>
      </c>
      <c r="O297" t="s">
        <v>34</v>
      </c>
      <c r="P297">
        <v>45033</v>
      </c>
      <c r="S297" s="6">
        <v>3259.6</v>
      </c>
      <c r="T297" t="s">
        <v>254</v>
      </c>
      <c r="U297">
        <v>180</v>
      </c>
      <c r="W297" s="7">
        <v>281</v>
      </c>
      <c r="X297">
        <v>113.05999999999999</v>
      </c>
      <c r="AI297" t="s">
        <v>116</v>
      </c>
      <c r="AJ297" t="s">
        <v>258</v>
      </c>
      <c r="AK297">
        <v>11.6</v>
      </c>
    </row>
    <row r="298" spans="1:37" x14ac:dyDescent="0.35">
      <c r="A298">
        <v>4</v>
      </c>
      <c r="B298">
        <v>2023</v>
      </c>
      <c r="C298" t="s">
        <v>33</v>
      </c>
      <c r="D298" t="s">
        <v>34</v>
      </c>
      <c r="E298" t="s">
        <v>116</v>
      </c>
      <c r="F298" s="3" t="s">
        <v>36</v>
      </c>
      <c r="G298" s="2" t="s">
        <v>50</v>
      </c>
      <c r="H298" s="3">
        <v>45928</v>
      </c>
      <c r="I298" s="3">
        <v>1703</v>
      </c>
      <c r="J298" s="2" t="s">
        <v>281</v>
      </c>
      <c r="K298" t="s">
        <v>116</v>
      </c>
      <c r="L298" t="s">
        <v>267</v>
      </c>
      <c r="M298" t="s">
        <v>40</v>
      </c>
      <c r="O298" t="s">
        <v>34</v>
      </c>
      <c r="P298">
        <v>45033</v>
      </c>
      <c r="S298" s="6">
        <v>1399.32</v>
      </c>
      <c r="T298" t="s">
        <v>254</v>
      </c>
      <c r="U298">
        <v>160</v>
      </c>
      <c r="W298" s="7">
        <v>207</v>
      </c>
      <c r="X298">
        <v>92.76</v>
      </c>
      <c r="AI298" t="s">
        <v>116</v>
      </c>
      <c r="AJ298" t="s">
        <v>258</v>
      </c>
      <c r="AK298">
        <v>6.76</v>
      </c>
    </row>
    <row r="299" spans="1:37" x14ac:dyDescent="0.35">
      <c r="A299">
        <v>4</v>
      </c>
      <c r="B299">
        <v>2023</v>
      </c>
      <c r="C299" t="s">
        <v>33</v>
      </c>
      <c r="D299" t="s">
        <v>34</v>
      </c>
      <c r="E299" t="s">
        <v>116</v>
      </c>
      <c r="F299" s="3" t="s">
        <v>36</v>
      </c>
      <c r="G299" s="2" t="s">
        <v>50</v>
      </c>
      <c r="H299" s="3">
        <v>45929</v>
      </c>
      <c r="I299" s="3">
        <v>1422</v>
      </c>
      <c r="J299" s="2" t="s">
        <v>280</v>
      </c>
      <c r="K299" t="s">
        <v>116</v>
      </c>
      <c r="L299" t="s">
        <v>267</v>
      </c>
      <c r="M299" t="s">
        <v>40</v>
      </c>
      <c r="O299" t="s">
        <v>34</v>
      </c>
      <c r="P299">
        <v>45033</v>
      </c>
      <c r="S299" s="6">
        <v>28053.4</v>
      </c>
      <c r="T299" t="s">
        <v>254</v>
      </c>
      <c r="U299">
        <v>240</v>
      </c>
      <c r="W299" s="7">
        <v>1258</v>
      </c>
      <c r="X299">
        <v>693.96</v>
      </c>
      <c r="AI299" t="s">
        <v>116</v>
      </c>
      <c r="AJ299" t="s">
        <v>258</v>
      </c>
      <c r="AK299">
        <v>22.3</v>
      </c>
    </row>
    <row r="300" spans="1:37" x14ac:dyDescent="0.35">
      <c r="A300">
        <v>4</v>
      </c>
      <c r="B300">
        <v>2023</v>
      </c>
      <c r="C300" t="s">
        <v>33</v>
      </c>
      <c r="D300" t="s">
        <v>34</v>
      </c>
      <c r="E300" t="s">
        <v>116</v>
      </c>
      <c r="F300" s="3" t="s">
        <v>36</v>
      </c>
      <c r="G300" s="2" t="s">
        <v>50</v>
      </c>
      <c r="H300" s="3">
        <v>45929</v>
      </c>
      <c r="I300" s="3">
        <v>1419</v>
      </c>
      <c r="J300" s="2" t="s">
        <v>286</v>
      </c>
      <c r="K300" t="s">
        <v>116</v>
      </c>
      <c r="L300" t="s">
        <v>267</v>
      </c>
      <c r="M300" t="s">
        <v>40</v>
      </c>
      <c r="O300" t="s">
        <v>34</v>
      </c>
      <c r="P300">
        <v>45033</v>
      </c>
      <c r="S300" s="6">
        <v>18365.18</v>
      </c>
      <c r="T300" t="s">
        <v>254</v>
      </c>
      <c r="U300">
        <v>180</v>
      </c>
      <c r="W300" s="7">
        <v>1559</v>
      </c>
      <c r="X300">
        <v>568.13</v>
      </c>
      <c r="AI300" t="s">
        <v>116</v>
      </c>
      <c r="AJ300" t="s">
        <v>258</v>
      </c>
      <c r="AK300">
        <v>11.780102629890957</v>
      </c>
    </row>
    <row r="301" spans="1:37" x14ac:dyDescent="0.35">
      <c r="A301">
        <v>4</v>
      </c>
      <c r="B301">
        <v>2023</v>
      </c>
      <c r="C301" t="s">
        <v>33</v>
      </c>
      <c r="D301" t="s">
        <v>34</v>
      </c>
      <c r="E301" t="s">
        <v>116</v>
      </c>
      <c r="F301" s="3" t="s">
        <v>36</v>
      </c>
      <c r="G301" s="2" t="s">
        <v>50</v>
      </c>
      <c r="H301" s="3">
        <v>45930</v>
      </c>
      <c r="I301" s="3">
        <v>1419</v>
      </c>
      <c r="J301" s="2" t="s">
        <v>286</v>
      </c>
      <c r="K301" t="s">
        <v>116</v>
      </c>
      <c r="L301" t="s">
        <v>267</v>
      </c>
      <c r="M301" t="s">
        <v>40</v>
      </c>
      <c r="O301" t="s">
        <v>34</v>
      </c>
      <c r="P301">
        <v>45033</v>
      </c>
      <c r="S301" s="6">
        <v>6414.8</v>
      </c>
      <c r="T301" t="s">
        <v>254</v>
      </c>
      <c r="U301">
        <v>180</v>
      </c>
      <c r="W301" s="7">
        <v>553</v>
      </c>
      <c r="X301">
        <v>218.16</v>
      </c>
      <c r="AI301" t="s">
        <v>116</v>
      </c>
      <c r="AJ301" t="s">
        <v>258</v>
      </c>
      <c r="AK301">
        <v>11.6</v>
      </c>
    </row>
    <row r="302" spans="1:37" x14ac:dyDescent="0.35">
      <c r="A302">
        <v>4</v>
      </c>
      <c r="B302">
        <v>2023</v>
      </c>
      <c r="C302" t="s">
        <v>33</v>
      </c>
      <c r="D302" t="s">
        <v>34</v>
      </c>
      <c r="E302" t="s">
        <v>151</v>
      </c>
      <c r="F302" s="3" t="s">
        <v>36</v>
      </c>
      <c r="G302" s="2" t="s">
        <v>37</v>
      </c>
      <c r="H302" s="3">
        <v>45951</v>
      </c>
      <c r="I302" s="3">
        <v>1707</v>
      </c>
      <c r="J302" s="2" t="s">
        <v>287</v>
      </c>
      <c r="K302" t="s">
        <v>151</v>
      </c>
      <c r="L302" t="s">
        <v>267</v>
      </c>
      <c r="M302" t="s">
        <v>40</v>
      </c>
      <c r="O302" t="s">
        <v>153</v>
      </c>
      <c r="P302">
        <v>45035</v>
      </c>
      <c r="S302" s="6">
        <v>13190.8</v>
      </c>
      <c r="T302" t="s">
        <v>254</v>
      </c>
      <c r="U302">
        <v>200</v>
      </c>
      <c r="W302" s="7">
        <v>980</v>
      </c>
      <c r="X302">
        <v>488.22</v>
      </c>
      <c r="AI302" t="s">
        <v>270</v>
      </c>
      <c r="AJ302" t="s">
        <v>258</v>
      </c>
      <c r="AK302">
        <v>13.459999999999999</v>
      </c>
    </row>
    <row r="303" spans="1:37" x14ac:dyDescent="0.35">
      <c r="A303">
        <v>4</v>
      </c>
      <c r="B303">
        <v>2023</v>
      </c>
      <c r="C303" t="s">
        <v>33</v>
      </c>
      <c r="D303" t="s">
        <v>34</v>
      </c>
      <c r="E303" t="s">
        <v>151</v>
      </c>
      <c r="F303" s="3" t="s">
        <v>36</v>
      </c>
      <c r="G303" s="2" t="s">
        <v>37</v>
      </c>
      <c r="H303" s="3">
        <v>45951</v>
      </c>
      <c r="I303" s="3">
        <v>1723</v>
      </c>
      <c r="J303" s="2" t="s">
        <v>288</v>
      </c>
      <c r="K303" t="s">
        <v>151</v>
      </c>
      <c r="L303" t="s">
        <v>267</v>
      </c>
      <c r="M303" t="s">
        <v>40</v>
      </c>
      <c r="O303" t="s">
        <v>153</v>
      </c>
      <c r="P303">
        <v>45035</v>
      </c>
      <c r="S303" s="6">
        <v>7264.4</v>
      </c>
      <c r="T303" t="s">
        <v>254</v>
      </c>
      <c r="U303">
        <v>220</v>
      </c>
      <c r="W303" s="7">
        <v>508</v>
      </c>
      <c r="X303">
        <v>251.22000000000003</v>
      </c>
      <c r="AI303" t="s">
        <v>270</v>
      </c>
      <c r="AJ303" t="s">
        <v>258</v>
      </c>
      <c r="AK303">
        <v>14.299999999999999</v>
      </c>
    </row>
    <row r="304" spans="1:37" x14ac:dyDescent="0.35">
      <c r="A304">
        <v>4</v>
      </c>
      <c r="B304">
        <v>2023</v>
      </c>
      <c r="C304" t="s">
        <v>33</v>
      </c>
      <c r="D304" t="s">
        <v>34</v>
      </c>
      <c r="E304" t="s">
        <v>151</v>
      </c>
      <c r="F304" s="3" t="s">
        <v>36</v>
      </c>
      <c r="G304" s="2" t="s">
        <v>37</v>
      </c>
      <c r="H304" s="3">
        <v>45951</v>
      </c>
      <c r="I304" s="3">
        <v>1708</v>
      </c>
      <c r="J304" s="2" t="s">
        <v>289</v>
      </c>
      <c r="K304" t="s">
        <v>151</v>
      </c>
      <c r="L304" t="s">
        <v>267</v>
      </c>
      <c r="M304" t="s">
        <v>40</v>
      </c>
      <c r="O304" t="s">
        <v>153</v>
      </c>
      <c r="P304">
        <v>45035</v>
      </c>
      <c r="S304" s="6">
        <v>13542.1</v>
      </c>
      <c r="T304" t="s">
        <v>254</v>
      </c>
      <c r="U304">
        <v>220</v>
      </c>
      <c r="W304" s="7">
        <v>947</v>
      </c>
      <c r="X304">
        <v>448.38</v>
      </c>
      <c r="AI304" t="s">
        <v>270</v>
      </c>
      <c r="AJ304" t="s">
        <v>258</v>
      </c>
      <c r="AK304">
        <v>14.3</v>
      </c>
    </row>
    <row r="305" spans="1:37" x14ac:dyDescent="0.35">
      <c r="A305">
        <v>4</v>
      </c>
      <c r="B305">
        <v>2023</v>
      </c>
      <c r="C305" t="s">
        <v>33</v>
      </c>
      <c r="D305" t="s">
        <v>34</v>
      </c>
      <c r="E305" t="s">
        <v>151</v>
      </c>
      <c r="F305" s="3" t="s">
        <v>36</v>
      </c>
      <c r="G305" s="2" t="s">
        <v>37</v>
      </c>
      <c r="H305" s="3">
        <v>45951</v>
      </c>
      <c r="I305" s="3">
        <v>1727</v>
      </c>
      <c r="J305" s="2" t="s">
        <v>290</v>
      </c>
      <c r="K305" t="s">
        <v>151</v>
      </c>
      <c r="L305" t="s">
        <v>267</v>
      </c>
      <c r="M305" t="s">
        <v>40</v>
      </c>
      <c r="O305" t="s">
        <v>153</v>
      </c>
      <c r="P305">
        <v>45035</v>
      </c>
      <c r="S305" s="6">
        <v>12026.3</v>
      </c>
      <c r="T305" t="s">
        <v>254</v>
      </c>
      <c r="U305">
        <v>220</v>
      </c>
      <c r="W305" s="7">
        <v>841</v>
      </c>
      <c r="X305">
        <v>447.42</v>
      </c>
      <c r="AI305" t="s">
        <v>270</v>
      </c>
      <c r="AJ305" t="s">
        <v>258</v>
      </c>
      <c r="AK305">
        <v>14.299999999999999</v>
      </c>
    </row>
    <row r="306" spans="1:37" x14ac:dyDescent="0.35">
      <c r="A306">
        <v>4</v>
      </c>
      <c r="B306">
        <v>2023</v>
      </c>
      <c r="C306" t="s">
        <v>33</v>
      </c>
      <c r="D306" t="s">
        <v>34</v>
      </c>
      <c r="E306" t="s">
        <v>151</v>
      </c>
      <c r="F306" s="3" t="s">
        <v>36</v>
      </c>
      <c r="G306" s="2" t="s">
        <v>37</v>
      </c>
      <c r="H306" s="3">
        <v>45954</v>
      </c>
      <c r="I306" s="3">
        <v>1727</v>
      </c>
      <c r="J306" s="2" t="s">
        <v>290</v>
      </c>
      <c r="K306" t="s">
        <v>151</v>
      </c>
      <c r="L306" t="s">
        <v>267</v>
      </c>
      <c r="M306" t="s">
        <v>40</v>
      </c>
      <c r="O306" t="s">
        <v>153</v>
      </c>
      <c r="P306">
        <v>45035</v>
      </c>
      <c r="S306" s="6">
        <v>1301.3</v>
      </c>
      <c r="T306" t="s">
        <v>254</v>
      </c>
      <c r="U306">
        <v>220</v>
      </c>
      <c r="W306" s="7">
        <v>91</v>
      </c>
      <c r="X306">
        <v>47.06</v>
      </c>
      <c r="AI306" t="s">
        <v>270</v>
      </c>
      <c r="AJ306" t="s">
        <v>258</v>
      </c>
      <c r="AK306">
        <v>14.299999999999999</v>
      </c>
    </row>
    <row r="307" spans="1:37" x14ac:dyDescent="0.35">
      <c r="A307">
        <v>4</v>
      </c>
      <c r="B307">
        <v>2023</v>
      </c>
      <c r="C307" t="s">
        <v>33</v>
      </c>
      <c r="D307" t="s">
        <v>34</v>
      </c>
      <c r="E307" t="s">
        <v>151</v>
      </c>
      <c r="F307" s="3" t="s">
        <v>36</v>
      </c>
      <c r="G307" s="2" t="s">
        <v>37</v>
      </c>
      <c r="H307" s="3">
        <v>45954</v>
      </c>
      <c r="I307" s="3">
        <v>1549</v>
      </c>
      <c r="J307" s="2" t="s">
        <v>274</v>
      </c>
      <c r="K307" t="s">
        <v>151</v>
      </c>
      <c r="L307" t="s">
        <v>267</v>
      </c>
      <c r="M307" t="s">
        <v>40</v>
      </c>
      <c r="O307" t="s">
        <v>153</v>
      </c>
      <c r="P307">
        <v>45035</v>
      </c>
      <c r="S307" s="6">
        <v>518.58000000000004</v>
      </c>
      <c r="T307" t="s">
        <v>254</v>
      </c>
      <c r="U307">
        <v>210</v>
      </c>
      <c r="W307" s="7">
        <v>43</v>
      </c>
      <c r="X307">
        <v>19.48</v>
      </c>
      <c r="AI307" t="s">
        <v>270</v>
      </c>
      <c r="AJ307" t="s">
        <v>258</v>
      </c>
      <c r="AK307">
        <v>12.06</v>
      </c>
    </row>
    <row r="308" spans="1:37" x14ac:dyDescent="0.35">
      <c r="A308">
        <v>4</v>
      </c>
      <c r="B308">
        <v>2023</v>
      </c>
      <c r="C308" t="s">
        <v>33</v>
      </c>
      <c r="D308" t="s">
        <v>34</v>
      </c>
      <c r="E308" t="s">
        <v>151</v>
      </c>
      <c r="F308" s="3" t="s">
        <v>36</v>
      </c>
      <c r="G308" s="2" t="s">
        <v>37</v>
      </c>
      <c r="H308" s="3">
        <v>45954</v>
      </c>
      <c r="I308" s="3">
        <v>1496</v>
      </c>
      <c r="J308" s="2" t="s">
        <v>271</v>
      </c>
      <c r="K308" t="s">
        <v>151</v>
      </c>
      <c r="L308" t="s">
        <v>267</v>
      </c>
      <c r="M308" t="s">
        <v>40</v>
      </c>
      <c r="O308" t="s">
        <v>153</v>
      </c>
      <c r="P308">
        <v>45035</v>
      </c>
      <c r="S308" s="6">
        <v>799.94</v>
      </c>
      <c r="T308" t="s">
        <v>254</v>
      </c>
      <c r="U308">
        <v>200</v>
      </c>
      <c r="W308" s="7">
        <v>74</v>
      </c>
      <c r="X308">
        <v>33.660000000000004</v>
      </c>
      <c r="AI308" t="s">
        <v>270</v>
      </c>
      <c r="AJ308" t="s">
        <v>258</v>
      </c>
      <c r="AK308">
        <v>10.81</v>
      </c>
    </row>
    <row r="309" spans="1:37" x14ac:dyDescent="0.35">
      <c r="A309">
        <v>4</v>
      </c>
      <c r="B309">
        <v>2023</v>
      </c>
      <c r="C309" t="s">
        <v>33</v>
      </c>
      <c r="D309" t="s">
        <v>34</v>
      </c>
      <c r="E309" t="s">
        <v>151</v>
      </c>
      <c r="F309" s="3" t="s">
        <v>36</v>
      </c>
      <c r="G309" s="2" t="s">
        <v>37</v>
      </c>
      <c r="H309" s="3">
        <v>45954</v>
      </c>
      <c r="I309" s="3">
        <v>1473</v>
      </c>
      <c r="J309" s="2" t="s">
        <v>278</v>
      </c>
      <c r="K309" t="s">
        <v>151</v>
      </c>
      <c r="L309" t="s">
        <v>267</v>
      </c>
      <c r="M309" t="s">
        <v>40</v>
      </c>
      <c r="O309" t="s">
        <v>153</v>
      </c>
      <c r="P309">
        <v>45035</v>
      </c>
      <c r="S309" s="6">
        <v>446.22</v>
      </c>
      <c r="T309" t="s">
        <v>254</v>
      </c>
      <c r="U309">
        <v>200</v>
      </c>
      <c r="W309" s="7">
        <v>37</v>
      </c>
      <c r="X309">
        <v>15.54</v>
      </c>
      <c r="AI309" t="s">
        <v>270</v>
      </c>
      <c r="AJ309" t="s">
        <v>258</v>
      </c>
      <c r="AK309">
        <v>12.06</v>
      </c>
    </row>
    <row r="310" spans="1:37" x14ac:dyDescent="0.35">
      <c r="A310">
        <v>4</v>
      </c>
      <c r="B310">
        <v>2023</v>
      </c>
      <c r="C310" t="s">
        <v>33</v>
      </c>
      <c r="D310" t="s">
        <v>34</v>
      </c>
      <c r="E310" t="s">
        <v>151</v>
      </c>
      <c r="F310" s="3" t="s">
        <v>36</v>
      </c>
      <c r="G310" s="2" t="s">
        <v>37</v>
      </c>
      <c r="H310" s="3">
        <v>45954</v>
      </c>
      <c r="I310" s="3">
        <v>1472</v>
      </c>
      <c r="J310" s="2" t="s">
        <v>269</v>
      </c>
      <c r="K310" t="s">
        <v>151</v>
      </c>
      <c r="L310" t="s">
        <v>267</v>
      </c>
      <c r="M310" t="s">
        <v>40</v>
      </c>
      <c r="O310" t="s">
        <v>153</v>
      </c>
      <c r="P310">
        <v>45035</v>
      </c>
      <c r="S310" s="6">
        <v>1028.56</v>
      </c>
      <c r="T310" t="s">
        <v>254</v>
      </c>
      <c r="U310">
        <v>200</v>
      </c>
      <c r="W310" s="7">
        <v>92</v>
      </c>
      <c r="X310">
        <v>77.900000000000006</v>
      </c>
      <c r="AI310" t="s">
        <v>270</v>
      </c>
      <c r="AJ310" t="s">
        <v>258</v>
      </c>
      <c r="AK310">
        <v>11.18</v>
      </c>
    </row>
    <row r="311" spans="1:37" x14ac:dyDescent="0.35">
      <c r="A311">
        <v>4</v>
      </c>
      <c r="B311">
        <v>2023</v>
      </c>
      <c r="C311" t="s">
        <v>33</v>
      </c>
      <c r="D311" t="s">
        <v>34</v>
      </c>
      <c r="E311" t="s">
        <v>151</v>
      </c>
      <c r="F311" s="3" t="s">
        <v>36</v>
      </c>
      <c r="G311" s="2" t="s">
        <v>37</v>
      </c>
      <c r="H311" s="3">
        <v>45954</v>
      </c>
      <c r="I311" s="3">
        <v>1499</v>
      </c>
      <c r="J311" s="2" t="s">
        <v>275</v>
      </c>
      <c r="K311" t="s">
        <v>151</v>
      </c>
      <c r="L311" t="s">
        <v>267</v>
      </c>
      <c r="M311" t="s">
        <v>40</v>
      </c>
      <c r="O311" t="s">
        <v>153</v>
      </c>
      <c r="P311">
        <v>45035</v>
      </c>
      <c r="S311" s="6">
        <v>284.39999999999998</v>
      </c>
      <c r="T311" t="s">
        <v>254</v>
      </c>
      <c r="U311">
        <v>200</v>
      </c>
      <c r="W311" s="7">
        <v>24</v>
      </c>
      <c r="X311">
        <v>10.38</v>
      </c>
      <c r="AI311" t="s">
        <v>270</v>
      </c>
      <c r="AJ311" t="s">
        <v>258</v>
      </c>
      <c r="AK311">
        <v>11.85</v>
      </c>
    </row>
    <row r="312" spans="1:37" x14ac:dyDescent="0.35">
      <c r="A312">
        <v>4</v>
      </c>
      <c r="B312">
        <v>2023</v>
      </c>
      <c r="C312" t="s">
        <v>33</v>
      </c>
      <c r="D312" t="s">
        <v>34</v>
      </c>
      <c r="E312" t="s">
        <v>151</v>
      </c>
      <c r="F312" s="3" t="s">
        <v>36</v>
      </c>
      <c r="G312" s="2" t="s">
        <v>37</v>
      </c>
      <c r="H312" s="3">
        <v>46008</v>
      </c>
      <c r="I312" s="3">
        <v>1496</v>
      </c>
      <c r="J312" s="2" t="s">
        <v>271</v>
      </c>
      <c r="K312" t="s">
        <v>151</v>
      </c>
      <c r="L312" t="s">
        <v>267</v>
      </c>
      <c r="M312" t="s">
        <v>40</v>
      </c>
      <c r="O312" t="s">
        <v>153</v>
      </c>
      <c r="P312">
        <v>45036</v>
      </c>
      <c r="S312" s="6">
        <v>356.73</v>
      </c>
      <c r="T312" t="s">
        <v>254</v>
      </c>
      <c r="U312">
        <v>200</v>
      </c>
      <c r="W312" s="7">
        <v>33</v>
      </c>
      <c r="X312">
        <v>14.9</v>
      </c>
      <c r="AI312" t="s">
        <v>270</v>
      </c>
      <c r="AJ312" t="s">
        <v>258</v>
      </c>
      <c r="AK312">
        <v>10.81</v>
      </c>
    </row>
    <row r="313" spans="1:37" x14ac:dyDescent="0.35">
      <c r="A313">
        <v>4</v>
      </c>
      <c r="B313">
        <v>2023</v>
      </c>
      <c r="C313" t="s">
        <v>33</v>
      </c>
      <c r="D313" t="s">
        <v>34</v>
      </c>
      <c r="E313" t="s">
        <v>151</v>
      </c>
      <c r="F313" s="3" t="s">
        <v>36</v>
      </c>
      <c r="G313" s="2" t="s">
        <v>37</v>
      </c>
      <c r="H313" s="3">
        <v>46008</v>
      </c>
      <c r="I313" s="3">
        <v>1497</v>
      </c>
      <c r="J313" s="2" t="s">
        <v>272</v>
      </c>
      <c r="K313" t="s">
        <v>151</v>
      </c>
      <c r="L313" t="s">
        <v>267</v>
      </c>
      <c r="M313" t="s">
        <v>40</v>
      </c>
      <c r="O313" t="s">
        <v>153</v>
      </c>
      <c r="P313">
        <v>45036</v>
      </c>
      <c r="S313" s="6">
        <v>1151.54</v>
      </c>
      <c r="T313" t="s">
        <v>254</v>
      </c>
      <c r="U313">
        <v>200</v>
      </c>
      <c r="W313" s="7">
        <v>103</v>
      </c>
      <c r="X313">
        <v>54.591999999999999</v>
      </c>
      <c r="AI313" t="s">
        <v>270</v>
      </c>
      <c r="AJ313" t="s">
        <v>258</v>
      </c>
      <c r="AK313">
        <v>11.18</v>
      </c>
    </row>
    <row r="314" spans="1:37" x14ac:dyDescent="0.35">
      <c r="A314">
        <v>4</v>
      </c>
      <c r="B314">
        <v>2023</v>
      </c>
      <c r="C314" t="s">
        <v>33</v>
      </c>
      <c r="D314" t="s">
        <v>34</v>
      </c>
      <c r="E314" t="s">
        <v>151</v>
      </c>
      <c r="F314" s="3" t="s">
        <v>36</v>
      </c>
      <c r="G314" s="2" t="s">
        <v>37</v>
      </c>
      <c r="H314" s="3">
        <v>46008</v>
      </c>
      <c r="I314" s="3">
        <v>1471</v>
      </c>
      <c r="J314" s="2" t="s">
        <v>277</v>
      </c>
      <c r="K314" t="s">
        <v>151</v>
      </c>
      <c r="L314" t="s">
        <v>267</v>
      </c>
      <c r="M314" t="s">
        <v>40</v>
      </c>
      <c r="O314" t="s">
        <v>153</v>
      </c>
      <c r="P314">
        <v>45036</v>
      </c>
      <c r="S314" s="6">
        <v>1699.44</v>
      </c>
      <c r="T314" t="s">
        <v>254</v>
      </c>
      <c r="U314">
        <v>200</v>
      </c>
      <c r="W314" s="7">
        <v>146</v>
      </c>
      <c r="X314">
        <v>68.149999999999991</v>
      </c>
      <c r="AI314" t="s">
        <v>270</v>
      </c>
      <c r="AJ314" t="s">
        <v>258</v>
      </c>
      <c r="AK314">
        <v>11.64</v>
      </c>
    </row>
    <row r="315" spans="1:37" x14ac:dyDescent="0.35">
      <c r="A315">
        <v>4</v>
      </c>
      <c r="B315">
        <v>2023</v>
      </c>
      <c r="C315" t="s">
        <v>33</v>
      </c>
      <c r="D315" t="s">
        <v>34</v>
      </c>
      <c r="E315" t="s">
        <v>151</v>
      </c>
      <c r="F315" s="3" t="s">
        <v>36</v>
      </c>
      <c r="G315" s="2" t="s">
        <v>37</v>
      </c>
      <c r="H315" s="3">
        <v>46008</v>
      </c>
      <c r="I315" s="3">
        <v>1549</v>
      </c>
      <c r="J315" s="2" t="s">
        <v>274</v>
      </c>
      <c r="K315" t="s">
        <v>151</v>
      </c>
      <c r="L315" t="s">
        <v>267</v>
      </c>
      <c r="M315" t="s">
        <v>40</v>
      </c>
      <c r="O315" t="s">
        <v>153</v>
      </c>
      <c r="P315">
        <v>45036</v>
      </c>
      <c r="S315" s="6">
        <v>2110.5</v>
      </c>
      <c r="T315" t="s">
        <v>254</v>
      </c>
      <c r="U315">
        <v>210</v>
      </c>
      <c r="W315" s="7">
        <v>175</v>
      </c>
      <c r="X315">
        <v>96.02</v>
      </c>
      <c r="AI315" t="s">
        <v>270</v>
      </c>
      <c r="AJ315" t="s">
        <v>258</v>
      </c>
      <c r="AK315">
        <v>12.06</v>
      </c>
    </row>
    <row r="316" spans="1:37" x14ac:dyDescent="0.35">
      <c r="A316">
        <v>4</v>
      </c>
      <c r="B316">
        <v>2023</v>
      </c>
      <c r="C316" t="s">
        <v>33</v>
      </c>
      <c r="D316" t="s">
        <v>34</v>
      </c>
      <c r="E316" t="s">
        <v>151</v>
      </c>
      <c r="F316" s="3" t="s">
        <v>36</v>
      </c>
      <c r="G316" s="2" t="s">
        <v>37</v>
      </c>
      <c r="H316" s="3">
        <v>46008</v>
      </c>
      <c r="I316" s="3">
        <v>1708</v>
      </c>
      <c r="J316" s="2" t="s">
        <v>289</v>
      </c>
      <c r="K316" t="s">
        <v>151</v>
      </c>
      <c r="L316" t="s">
        <v>267</v>
      </c>
      <c r="M316" t="s">
        <v>40</v>
      </c>
      <c r="O316" t="s">
        <v>153</v>
      </c>
      <c r="P316">
        <v>45036</v>
      </c>
      <c r="S316" s="6">
        <v>600.6</v>
      </c>
      <c r="T316" t="s">
        <v>254</v>
      </c>
      <c r="U316">
        <v>220</v>
      </c>
      <c r="W316" s="7">
        <v>42</v>
      </c>
      <c r="X316">
        <v>19.54</v>
      </c>
      <c r="AI316" t="s">
        <v>270</v>
      </c>
      <c r="AJ316" t="s">
        <v>258</v>
      </c>
      <c r="AK316">
        <v>14.3</v>
      </c>
    </row>
    <row r="317" spans="1:37" x14ac:dyDescent="0.35">
      <c r="A317">
        <v>4</v>
      </c>
      <c r="B317">
        <v>2023</v>
      </c>
      <c r="C317" t="s">
        <v>33</v>
      </c>
      <c r="D317" t="s">
        <v>34</v>
      </c>
      <c r="E317" t="s">
        <v>151</v>
      </c>
      <c r="F317" s="3" t="s">
        <v>36</v>
      </c>
      <c r="G317" s="2" t="s">
        <v>37</v>
      </c>
      <c r="H317" s="3">
        <v>46008</v>
      </c>
      <c r="I317" s="3">
        <v>1473</v>
      </c>
      <c r="J317" s="2" t="s">
        <v>278</v>
      </c>
      <c r="K317" t="s">
        <v>151</v>
      </c>
      <c r="L317" t="s">
        <v>267</v>
      </c>
      <c r="M317" t="s">
        <v>40</v>
      </c>
      <c r="O317" t="s">
        <v>153</v>
      </c>
      <c r="P317">
        <v>45036</v>
      </c>
      <c r="S317" s="6">
        <v>2568.7800000000002</v>
      </c>
      <c r="T317" t="s">
        <v>254</v>
      </c>
      <c r="U317">
        <v>200</v>
      </c>
      <c r="W317" s="7">
        <v>213</v>
      </c>
      <c r="X317">
        <v>103.9</v>
      </c>
      <c r="AI317" t="s">
        <v>270</v>
      </c>
      <c r="AJ317" t="s">
        <v>258</v>
      </c>
      <c r="AK317">
        <v>12.06</v>
      </c>
    </row>
    <row r="318" spans="1:37" x14ac:dyDescent="0.35">
      <c r="A318">
        <v>4</v>
      </c>
      <c r="B318">
        <v>2023</v>
      </c>
      <c r="C318" t="s">
        <v>33</v>
      </c>
      <c r="D318" t="s">
        <v>34</v>
      </c>
      <c r="E318" t="s">
        <v>151</v>
      </c>
      <c r="F318" s="3" t="s">
        <v>36</v>
      </c>
      <c r="G318" s="2" t="s">
        <v>37</v>
      </c>
      <c r="H318" s="3">
        <v>46008</v>
      </c>
      <c r="I318" s="3">
        <v>1707</v>
      </c>
      <c r="J318" s="2" t="s">
        <v>287</v>
      </c>
      <c r="K318" t="s">
        <v>151</v>
      </c>
      <c r="L318" t="s">
        <v>267</v>
      </c>
      <c r="M318" t="s">
        <v>40</v>
      </c>
      <c r="O318" t="s">
        <v>153</v>
      </c>
      <c r="P318">
        <v>45036</v>
      </c>
      <c r="S318" s="6">
        <v>1494.06</v>
      </c>
      <c r="T318" t="s">
        <v>254</v>
      </c>
      <c r="U318">
        <v>200</v>
      </c>
      <c r="W318" s="7">
        <v>111</v>
      </c>
      <c r="X318">
        <v>48.22</v>
      </c>
      <c r="AI318" t="s">
        <v>270</v>
      </c>
      <c r="AJ318" t="s">
        <v>258</v>
      </c>
      <c r="AK318">
        <v>13.459999999999999</v>
      </c>
    </row>
    <row r="319" spans="1:37" x14ac:dyDescent="0.35">
      <c r="A319">
        <v>5</v>
      </c>
      <c r="B319">
        <v>2023</v>
      </c>
      <c r="C319" t="s">
        <v>33</v>
      </c>
      <c r="D319" t="s">
        <v>34</v>
      </c>
      <c r="E319" t="s">
        <v>42</v>
      </c>
      <c r="F319" s="3" t="s">
        <v>36</v>
      </c>
      <c r="G319" s="2" t="s">
        <v>43</v>
      </c>
      <c r="H319" s="3">
        <v>46548</v>
      </c>
      <c r="I319" s="3">
        <v>1226</v>
      </c>
      <c r="J319" s="2" t="s">
        <v>266</v>
      </c>
      <c r="K319" t="s">
        <v>42</v>
      </c>
      <c r="L319" t="s">
        <v>267</v>
      </c>
      <c r="M319" t="s">
        <v>40</v>
      </c>
      <c r="O319" t="s">
        <v>45</v>
      </c>
      <c r="P319">
        <v>45070</v>
      </c>
      <c r="S319" s="6">
        <v>31904.25</v>
      </c>
      <c r="T319" t="s">
        <v>254</v>
      </c>
      <c r="U319">
        <v>260</v>
      </c>
      <c r="W319" s="7">
        <v>2065</v>
      </c>
      <c r="X319">
        <v>1212.6600000000001</v>
      </c>
      <c r="AI319" t="s">
        <v>255</v>
      </c>
      <c r="AJ319" t="s">
        <v>262</v>
      </c>
      <c r="AK319">
        <v>15.45</v>
      </c>
    </row>
    <row r="320" spans="1:37" x14ac:dyDescent="0.35">
      <c r="A320">
        <v>5</v>
      </c>
      <c r="B320">
        <v>2023</v>
      </c>
      <c r="C320" t="s">
        <v>33</v>
      </c>
      <c r="D320" t="s">
        <v>34</v>
      </c>
      <c r="E320" t="s">
        <v>42</v>
      </c>
      <c r="F320" s="3" t="s">
        <v>36</v>
      </c>
      <c r="G320" s="2" t="s">
        <v>43</v>
      </c>
      <c r="H320" s="3">
        <v>46548</v>
      </c>
      <c r="I320" s="3">
        <v>1237</v>
      </c>
      <c r="J320" s="2" t="s">
        <v>268</v>
      </c>
      <c r="K320" t="s">
        <v>42</v>
      </c>
      <c r="L320" t="s">
        <v>267</v>
      </c>
      <c r="M320" t="s">
        <v>40</v>
      </c>
      <c r="O320" t="s">
        <v>45</v>
      </c>
      <c r="P320">
        <v>45070</v>
      </c>
      <c r="S320" s="6">
        <v>1640.13</v>
      </c>
      <c r="T320" t="s">
        <v>254</v>
      </c>
      <c r="U320">
        <v>300</v>
      </c>
      <c r="W320" s="7">
        <v>84</v>
      </c>
      <c r="X320">
        <v>54.9</v>
      </c>
      <c r="AI320" t="s">
        <v>255</v>
      </c>
      <c r="AJ320" t="s">
        <v>262</v>
      </c>
      <c r="AK320">
        <v>19.525357142857143</v>
      </c>
    </row>
    <row r="321" spans="1:37" x14ac:dyDescent="0.35">
      <c r="A321">
        <v>5</v>
      </c>
      <c r="B321">
        <v>2023</v>
      </c>
      <c r="C321" t="s">
        <v>33</v>
      </c>
      <c r="D321" t="s">
        <v>34</v>
      </c>
      <c r="E321" t="s">
        <v>42</v>
      </c>
      <c r="F321" s="3" t="s">
        <v>36</v>
      </c>
      <c r="G321" s="2" t="s">
        <v>43</v>
      </c>
      <c r="H321" s="3">
        <v>46548</v>
      </c>
      <c r="I321" s="3">
        <v>1504</v>
      </c>
      <c r="J321" s="2" t="s">
        <v>263</v>
      </c>
      <c r="K321" t="s">
        <v>42</v>
      </c>
      <c r="L321" t="s">
        <v>267</v>
      </c>
      <c r="M321" t="s">
        <v>40</v>
      </c>
      <c r="O321" t="s">
        <v>45</v>
      </c>
      <c r="P321">
        <v>45070</v>
      </c>
      <c r="S321" s="6">
        <v>68039.19</v>
      </c>
      <c r="T321" t="s">
        <v>254</v>
      </c>
      <c r="U321">
        <v>240</v>
      </c>
      <c r="W321" s="7">
        <v>4421</v>
      </c>
      <c r="X321">
        <v>2527.3560000000002</v>
      </c>
      <c r="AI321" t="s">
        <v>255</v>
      </c>
      <c r="AJ321" t="s">
        <v>262</v>
      </c>
      <c r="AK321">
        <v>15.39</v>
      </c>
    </row>
    <row r="322" spans="1:37" x14ac:dyDescent="0.35">
      <c r="A322">
        <v>5</v>
      </c>
      <c r="B322">
        <v>2023</v>
      </c>
      <c r="C322" t="s">
        <v>33</v>
      </c>
      <c r="D322" t="s">
        <v>34</v>
      </c>
      <c r="E322" t="s">
        <v>42</v>
      </c>
      <c r="F322" s="3" t="s">
        <v>36</v>
      </c>
      <c r="G322" s="2" t="s">
        <v>43</v>
      </c>
      <c r="H322" s="3">
        <v>46548</v>
      </c>
      <c r="I322" s="3">
        <v>1525</v>
      </c>
      <c r="J322" s="2" t="s">
        <v>283</v>
      </c>
      <c r="K322" t="s">
        <v>42</v>
      </c>
      <c r="L322" t="s">
        <v>267</v>
      </c>
      <c r="M322" t="s">
        <v>40</v>
      </c>
      <c r="O322" t="s">
        <v>45</v>
      </c>
      <c r="P322">
        <v>45070</v>
      </c>
      <c r="S322" s="6">
        <v>5235.8500000000004</v>
      </c>
      <c r="T322" t="s">
        <v>254</v>
      </c>
      <c r="U322">
        <v>320</v>
      </c>
      <c r="W322" s="7">
        <v>271</v>
      </c>
      <c r="X322">
        <v>191.83199999999999</v>
      </c>
      <c r="AI322" t="s">
        <v>255</v>
      </c>
      <c r="AJ322" t="s">
        <v>262</v>
      </c>
      <c r="AK322">
        <v>19.320479704797048</v>
      </c>
    </row>
    <row r="323" spans="1:37" x14ac:dyDescent="0.35">
      <c r="A323">
        <v>5</v>
      </c>
      <c r="B323">
        <v>2023</v>
      </c>
      <c r="C323" t="s">
        <v>33</v>
      </c>
      <c r="D323" t="s">
        <v>34</v>
      </c>
      <c r="E323" t="s">
        <v>42</v>
      </c>
      <c r="F323" s="3" t="s">
        <v>36</v>
      </c>
      <c r="G323" s="2" t="s">
        <v>43</v>
      </c>
      <c r="H323" s="3">
        <v>46548</v>
      </c>
      <c r="I323" s="3">
        <v>1236</v>
      </c>
      <c r="J323" s="2" t="s">
        <v>264</v>
      </c>
      <c r="K323" t="s">
        <v>42</v>
      </c>
      <c r="L323" t="s">
        <v>267</v>
      </c>
      <c r="M323" t="s">
        <v>40</v>
      </c>
      <c r="O323" t="s">
        <v>45</v>
      </c>
      <c r="P323">
        <v>45070</v>
      </c>
      <c r="S323" s="6">
        <v>27342</v>
      </c>
      <c r="T323" t="s">
        <v>254</v>
      </c>
      <c r="U323">
        <v>240</v>
      </c>
      <c r="W323" s="7">
        <v>1519</v>
      </c>
      <c r="X323">
        <v>872.47599999999966</v>
      </c>
      <c r="AI323" t="s">
        <v>255</v>
      </c>
      <c r="AJ323" t="s">
        <v>262</v>
      </c>
      <c r="AK323">
        <v>18</v>
      </c>
    </row>
    <row r="324" spans="1:37" x14ac:dyDescent="0.35">
      <c r="A324">
        <v>5</v>
      </c>
      <c r="B324">
        <v>2023</v>
      </c>
      <c r="C324" t="s">
        <v>33</v>
      </c>
      <c r="D324" t="s">
        <v>34</v>
      </c>
      <c r="E324" t="s">
        <v>42</v>
      </c>
      <c r="F324" s="3" t="s">
        <v>36</v>
      </c>
      <c r="G324" s="2" t="s">
        <v>43</v>
      </c>
      <c r="H324" s="3">
        <v>46548</v>
      </c>
      <c r="I324" s="3">
        <v>1905</v>
      </c>
      <c r="J324" s="2" t="s">
        <v>291</v>
      </c>
      <c r="K324" t="s">
        <v>42</v>
      </c>
      <c r="L324" t="s">
        <v>267</v>
      </c>
      <c r="M324" t="s">
        <v>40</v>
      </c>
      <c r="O324" t="s">
        <v>45</v>
      </c>
      <c r="P324">
        <v>45070</v>
      </c>
      <c r="S324" s="6">
        <v>33679.360000000001</v>
      </c>
      <c r="T324" t="s">
        <v>254</v>
      </c>
      <c r="W324" s="7">
        <v>4048</v>
      </c>
      <c r="X324">
        <v>813.64800000000025</v>
      </c>
      <c r="AI324" t="s">
        <v>255</v>
      </c>
      <c r="AJ324" t="s">
        <v>262</v>
      </c>
      <c r="AK324">
        <v>8.32</v>
      </c>
    </row>
    <row r="325" spans="1:37" x14ac:dyDescent="0.35">
      <c r="A325">
        <v>5</v>
      </c>
      <c r="B325">
        <v>2023</v>
      </c>
      <c r="C325" t="s">
        <v>33</v>
      </c>
      <c r="D325" t="s">
        <v>34</v>
      </c>
      <c r="E325" t="s">
        <v>42</v>
      </c>
      <c r="F325" s="3" t="s">
        <v>36</v>
      </c>
      <c r="G325" s="2" t="s">
        <v>43</v>
      </c>
      <c r="H325" s="3">
        <v>46548</v>
      </c>
      <c r="I325" s="3">
        <v>1225</v>
      </c>
      <c r="J325" s="2" t="s">
        <v>292</v>
      </c>
      <c r="K325" t="s">
        <v>42</v>
      </c>
      <c r="L325" t="s">
        <v>267</v>
      </c>
      <c r="M325" t="s">
        <v>40</v>
      </c>
      <c r="O325" t="s">
        <v>45</v>
      </c>
      <c r="P325">
        <v>45070</v>
      </c>
      <c r="S325" s="6">
        <v>52338</v>
      </c>
      <c r="T325" t="s">
        <v>254</v>
      </c>
      <c r="U325">
        <v>240</v>
      </c>
      <c r="W325" s="7">
        <v>3432</v>
      </c>
      <c r="X325">
        <v>1991.64</v>
      </c>
      <c r="AI325" t="s">
        <v>255</v>
      </c>
      <c r="AJ325" t="s">
        <v>262</v>
      </c>
      <c r="AK325">
        <v>15.25</v>
      </c>
    </row>
    <row r="326" spans="1:37" x14ac:dyDescent="0.35">
      <c r="A326">
        <v>5</v>
      </c>
      <c r="B326">
        <v>2023</v>
      </c>
      <c r="C326" t="s">
        <v>33</v>
      </c>
      <c r="D326" t="s">
        <v>34</v>
      </c>
      <c r="E326" t="s">
        <v>116</v>
      </c>
      <c r="F326" s="3" t="s">
        <v>36</v>
      </c>
      <c r="G326" s="2" t="s">
        <v>50</v>
      </c>
      <c r="H326" s="3">
        <v>46580</v>
      </c>
      <c r="I326" s="3">
        <v>1419</v>
      </c>
      <c r="J326" s="2" t="s">
        <v>286</v>
      </c>
      <c r="K326" t="s">
        <v>116</v>
      </c>
      <c r="L326" t="s">
        <v>267</v>
      </c>
      <c r="M326" t="s">
        <v>40</v>
      </c>
      <c r="O326" t="s">
        <v>34</v>
      </c>
      <c r="P326">
        <v>45072</v>
      </c>
      <c r="S326" s="6">
        <v>14720.4</v>
      </c>
      <c r="T326" t="s">
        <v>254</v>
      </c>
      <c r="U326">
        <v>180</v>
      </c>
      <c r="W326" s="7">
        <v>1269</v>
      </c>
      <c r="X326">
        <v>494.65999999999985</v>
      </c>
      <c r="AI326" t="s">
        <v>116</v>
      </c>
      <c r="AJ326" t="s">
        <v>258</v>
      </c>
      <c r="AK326">
        <v>11.6</v>
      </c>
    </row>
    <row r="327" spans="1:37" x14ac:dyDescent="0.35">
      <c r="A327">
        <v>5</v>
      </c>
      <c r="B327">
        <v>2023</v>
      </c>
      <c r="C327" t="s">
        <v>33</v>
      </c>
      <c r="D327" t="s">
        <v>34</v>
      </c>
      <c r="E327" t="s">
        <v>122</v>
      </c>
      <c r="F327" s="3" t="s">
        <v>36</v>
      </c>
      <c r="G327" s="2" t="s">
        <v>50</v>
      </c>
      <c r="H327" s="3">
        <v>46586</v>
      </c>
      <c r="I327" s="3">
        <v>1903</v>
      </c>
      <c r="J327" s="2" t="s">
        <v>293</v>
      </c>
      <c r="K327" t="s">
        <v>122</v>
      </c>
      <c r="L327" t="s">
        <v>267</v>
      </c>
      <c r="M327" t="s">
        <v>40</v>
      </c>
      <c r="O327" t="s">
        <v>34</v>
      </c>
      <c r="P327">
        <v>45072</v>
      </c>
      <c r="S327" s="6">
        <v>29465.399999999998</v>
      </c>
      <c r="T327" t="s">
        <v>254</v>
      </c>
      <c r="U327">
        <v>420</v>
      </c>
      <c r="W327" s="7">
        <v>672</v>
      </c>
      <c r="X327">
        <v>617.88</v>
      </c>
      <c r="AI327" t="s">
        <v>122</v>
      </c>
      <c r="AJ327" t="s">
        <v>258</v>
      </c>
      <c r="AK327">
        <v>43.847321428571426</v>
      </c>
    </row>
    <row r="328" spans="1:37" x14ac:dyDescent="0.35">
      <c r="A328">
        <v>5</v>
      </c>
      <c r="B328">
        <v>2023</v>
      </c>
      <c r="C328" t="s">
        <v>33</v>
      </c>
      <c r="D328" t="s">
        <v>34</v>
      </c>
      <c r="E328" t="s">
        <v>122</v>
      </c>
      <c r="F328" s="3" t="s">
        <v>36</v>
      </c>
      <c r="G328" s="2" t="s">
        <v>50</v>
      </c>
      <c r="H328" s="3">
        <v>46586</v>
      </c>
      <c r="I328" s="3">
        <v>1904</v>
      </c>
      <c r="J328" s="2" t="s">
        <v>294</v>
      </c>
      <c r="K328" t="s">
        <v>122</v>
      </c>
      <c r="L328" t="s">
        <v>267</v>
      </c>
      <c r="M328" t="s">
        <v>40</v>
      </c>
      <c r="O328" t="s">
        <v>34</v>
      </c>
      <c r="P328">
        <v>45072</v>
      </c>
      <c r="S328" s="6">
        <v>24009.200000000001</v>
      </c>
      <c r="T328" t="s">
        <v>254</v>
      </c>
      <c r="U328">
        <v>450</v>
      </c>
      <c r="W328" s="7">
        <v>622</v>
      </c>
      <c r="X328">
        <v>614.51999999999987</v>
      </c>
      <c r="AI328" t="s">
        <v>122</v>
      </c>
      <c r="AJ328" t="s">
        <v>258</v>
      </c>
      <c r="AK328">
        <v>38.6</v>
      </c>
    </row>
    <row r="329" spans="1:37" x14ac:dyDescent="0.35">
      <c r="A329">
        <v>6</v>
      </c>
      <c r="B329">
        <v>2023</v>
      </c>
      <c r="C329" t="s">
        <v>33</v>
      </c>
      <c r="D329" t="s">
        <v>34</v>
      </c>
      <c r="E329" t="s">
        <v>295</v>
      </c>
      <c r="F329" s="3" t="s">
        <v>36</v>
      </c>
      <c r="G329" s="2" t="s">
        <v>82</v>
      </c>
      <c r="H329" s="3">
        <v>46971</v>
      </c>
      <c r="I329" s="3">
        <v>1757</v>
      </c>
      <c r="J329" s="2" t="s">
        <v>296</v>
      </c>
      <c r="K329" t="s">
        <v>295</v>
      </c>
      <c r="L329" t="s">
        <v>267</v>
      </c>
      <c r="M329" t="s">
        <v>40</v>
      </c>
      <c r="O329" t="s">
        <v>297</v>
      </c>
      <c r="P329">
        <v>45098</v>
      </c>
      <c r="S329" s="6">
        <v>38245.480000000003</v>
      </c>
      <c r="T329" t="s">
        <v>254</v>
      </c>
      <c r="U329">
        <v>350</v>
      </c>
      <c r="W329" s="7">
        <v>1862</v>
      </c>
      <c r="X329">
        <v>1388.2600000000002</v>
      </c>
      <c r="AI329" t="s">
        <v>298</v>
      </c>
      <c r="AK329">
        <v>20.540000000000003</v>
      </c>
    </row>
    <row r="330" spans="1:37" x14ac:dyDescent="0.35">
      <c r="A330">
        <v>6</v>
      </c>
      <c r="B330">
        <v>2023</v>
      </c>
      <c r="C330" t="s">
        <v>33</v>
      </c>
      <c r="D330" t="s">
        <v>34</v>
      </c>
      <c r="E330" t="s">
        <v>295</v>
      </c>
      <c r="F330" s="3" t="s">
        <v>36</v>
      </c>
      <c r="G330" s="2" t="s">
        <v>82</v>
      </c>
      <c r="H330" s="3">
        <v>46971</v>
      </c>
      <c r="I330" s="3">
        <v>1979</v>
      </c>
      <c r="J330" s="2" t="s">
        <v>299</v>
      </c>
      <c r="K330" t="s">
        <v>295</v>
      </c>
      <c r="L330" t="s">
        <v>267</v>
      </c>
      <c r="M330" t="s">
        <v>40</v>
      </c>
      <c r="O330" t="s">
        <v>297</v>
      </c>
      <c r="P330">
        <v>45098</v>
      </c>
      <c r="S330" s="6">
        <v>36392.46</v>
      </c>
      <c r="T330" t="s">
        <v>254</v>
      </c>
      <c r="U330">
        <v>320</v>
      </c>
      <c r="W330" s="7">
        <v>1443</v>
      </c>
      <c r="X330">
        <v>759.75999999999988</v>
      </c>
      <c r="AI330" t="s">
        <v>298</v>
      </c>
      <c r="AK330">
        <v>25.22</v>
      </c>
    </row>
    <row r="331" spans="1:37" x14ac:dyDescent="0.35">
      <c r="A331">
        <v>6</v>
      </c>
      <c r="B331">
        <v>2023</v>
      </c>
      <c r="C331" t="s">
        <v>33</v>
      </c>
      <c r="D331" t="s">
        <v>34</v>
      </c>
      <c r="E331" t="s">
        <v>295</v>
      </c>
      <c r="F331" s="3" t="s">
        <v>36</v>
      </c>
      <c r="G331" s="2" t="s">
        <v>82</v>
      </c>
      <c r="H331" s="3">
        <v>46971</v>
      </c>
      <c r="I331" s="3">
        <v>1755</v>
      </c>
      <c r="J331" s="2" t="s">
        <v>300</v>
      </c>
      <c r="K331" t="s">
        <v>295</v>
      </c>
      <c r="L331" t="s">
        <v>267</v>
      </c>
      <c r="M331" t="s">
        <v>40</v>
      </c>
      <c r="O331" t="s">
        <v>297</v>
      </c>
      <c r="P331">
        <v>45098</v>
      </c>
      <c r="S331" s="6">
        <v>39030.53</v>
      </c>
      <c r="T331" t="s">
        <v>254</v>
      </c>
      <c r="U331">
        <v>290</v>
      </c>
      <c r="W331" s="7">
        <v>2051</v>
      </c>
      <c r="X331">
        <v>1222.8799999999997</v>
      </c>
      <c r="AI331" t="s">
        <v>298</v>
      </c>
      <c r="AK331">
        <v>19.03</v>
      </c>
    </row>
    <row r="332" spans="1:37" x14ac:dyDescent="0.35">
      <c r="A332">
        <v>6</v>
      </c>
      <c r="B332">
        <v>2023</v>
      </c>
      <c r="C332" t="s">
        <v>33</v>
      </c>
      <c r="D332" t="s">
        <v>34</v>
      </c>
      <c r="E332" t="s">
        <v>295</v>
      </c>
      <c r="F332" s="3" t="s">
        <v>36</v>
      </c>
      <c r="G332" s="2" t="s">
        <v>82</v>
      </c>
      <c r="H332" s="3">
        <v>46971</v>
      </c>
      <c r="I332" s="3">
        <v>1759</v>
      </c>
      <c r="J332" s="2" t="s">
        <v>301</v>
      </c>
      <c r="K332" t="s">
        <v>295</v>
      </c>
      <c r="L332" t="s">
        <v>267</v>
      </c>
      <c r="M332" t="s">
        <v>40</v>
      </c>
      <c r="O332" t="s">
        <v>297</v>
      </c>
      <c r="P332">
        <v>45098</v>
      </c>
      <c r="S332" s="6">
        <v>37536.36</v>
      </c>
      <c r="T332" t="s">
        <v>254</v>
      </c>
      <c r="U332">
        <v>280</v>
      </c>
      <c r="W332" s="7">
        <v>2229</v>
      </c>
      <c r="X332">
        <v>1487.502</v>
      </c>
      <c r="AI332" t="s">
        <v>298</v>
      </c>
      <c r="AK332">
        <v>16.84</v>
      </c>
    </row>
    <row r="333" spans="1:37" x14ac:dyDescent="0.35">
      <c r="A333">
        <v>6</v>
      </c>
      <c r="B333">
        <v>2023</v>
      </c>
      <c r="C333" t="s">
        <v>33</v>
      </c>
      <c r="D333" t="s">
        <v>34</v>
      </c>
      <c r="E333" t="s">
        <v>295</v>
      </c>
      <c r="F333" s="3" t="s">
        <v>36</v>
      </c>
      <c r="G333" s="2" t="s">
        <v>82</v>
      </c>
      <c r="H333" s="3">
        <v>46971</v>
      </c>
      <c r="I333" s="3">
        <v>1760</v>
      </c>
      <c r="J333" s="2" t="s">
        <v>302</v>
      </c>
      <c r="K333" t="s">
        <v>295</v>
      </c>
      <c r="L333" t="s">
        <v>267</v>
      </c>
      <c r="M333" t="s">
        <v>40</v>
      </c>
      <c r="O333" t="s">
        <v>297</v>
      </c>
      <c r="P333">
        <v>45098</v>
      </c>
      <c r="S333" s="6">
        <v>23220.68</v>
      </c>
      <c r="T333" t="s">
        <v>254</v>
      </c>
      <c r="U333">
        <v>180</v>
      </c>
      <c r="W333" s="7">
        <v>2612</v>
      </c>
      <c r="X333">
        <v>1220.2200000000003</v>
      </c>
      <c r="AI333" t="s">
        <v>298</v>
      </c>
      <c r="AK333">
        <v>8.89</v>
      </c>
    </row>
    <row r="334" spans="1:37" x14ac:dyDescent="0.35">
      <c r="A334">
        <v>6</v>
      </c>
      <c r="B334">
        <v>2023</v>
      </c>
      <c r="C334" t="s">
        <v>33</v>
      </c>
      <c r="D334" t="s">
        <v>34</v>
      </c>
      <c r="E334" t="s">
        <v>295</v>
      </c>
      <c r="F334" s="3" t="s">
        <v>36</v>
      </c>
      <c r="G334" s="2" t="s">
        <v>82</v>
      </c>
      <c r="H334" s="3">
        <v>46971</v>
      </c>
      <c r="I334" s="3">
        <v>1758</v>
      </c>
      <c r="J334" s="2" t="s">
        <v>303</v>
      </c>
      <c r="K334" t="s">
        <v>295</v>
      </c>
      <c r="L334" t="s">
        <v>267</v>
      </c>
      <c r="M334" t="s">
        <v>40</v>
      </c>
      <c r="O334" t="s">
        <v>297</v>
      </c>
      <c r="P334">
        <v>45098</v>
      </c>
      <c r="S334" s="6">
        <v>63344.2</v>
      </c>
      <c r="T334" t="s">
        <v>254</v>
      </c>
      <c r="U334">
        <v>300</v>
      </c>
      <c r="W334" s="7">
        <v>3452</v>
      </c>
      <c r="X334">
        <v>2291.4800000000005</v>
      </c>
      <c r="AI334" t="s">
        <v>298</v>
      </c>
      <c r="AK334">
        <v>18.349999999999998</v>
      </c>
    </row>
    <row r="335" spans="1:37" x14ac:dyDescent="0.35">
      <c r="A335">
        <v>6</v>
      </c>
      <c r="B335">
        <v>2023</v>
      </c>
      <c r="C335" t="s">
        <v>33</v>
      </c>
      <c r="D335" t="s">
        <v>34</v>
      </c>
      <c r="E335" t="s">
        <v>295</v>
      </c>
      <c r="F335" s="3" t="s">
        <v>36</v>
      </c>
      <c r="G335" s="2" t="s">
        <v>82</v>
      </c>
      <c r="H335" s="3">
        <v>46971</v>
      </c>
      <c r="I335" s="3">
        <v>1754</v>
      </c>
      <c r="J335" s="2" t="s">
        <v>304</v>
      </c>
      <c r="K335" t="s">
        <v>295</v>
      </c>
      <c r="L335" t="s">
        <v>267</v>
      </c>
      <c r="M335" t="s">
        <v>40</v>
      </c>
      <c r="O335" t="s">
        <v>297</v>
      </c>
      <c r="P335">
        <v>45098</v>
      </c>
      <c r="S335" s="6">
        <v>17809.740000000002</v>
      </c>
      <c r="T335" t="s">
        <v>254</v>
      </c>
      <c r="U335">
        <v>160</v>
      </c>
      <c r="W335" s="7">
        <v>2301</v>
      </c>
      <c r="X335">
        <v>960.08000000000015</v>
      </c>
      <c r="AI335" t="s">
        <v>298</v>
      </c>
      <c r="AK335">
        <v>7.7400000000000011</v>
      </c>
    </row>
    <row r="336" spans="1:37" x14ac:dyDescent="0.35">
      <c r="A336">
        <v>6</v>
      </c>
      <c r="B336">
        <v>2023</v>
      </c>
      <c r="C336" t="s">
        <v>33</v>
      </c>
      <c r="D336" t="s">
        <v>34</v>
      </c>
      <c r="E336" t="s">
        <v>295</v>
      </c>
      <c r="F336" s="3" t="s">
        <v>36</v>
      </c>
      <c r="G336" s="2" t="s">
        <v>82</v>
      </c>
      <c r="H336" s="3">
        <v>46971</v>
      </c>
      <c r="I336" s="3">
        <v>1761</v>
      </c>
      <c r="J336" s="2" t="s">
        <v>305</v>
      </c>
      <c r="K336" t="s">
        <v>295</v>
      </c>
      <c r="L336" t="s">
        <v>267</v>
      </c>
      <c r="M336" t="s">
        <v>40</v>
      </c>
      <c r="O336" t="s">
        <v>297</v>
      </c>
      <c r="P336">
        <v>45098</v>
      </c>
      <c r="S336" s="6">
        <v>15621.24</v>
      </c>
      <c r="T336" t="s">
        <v>254</v>
      </c>
      <c r="U336">
        <v>280</v>
      </c>
      <c r="W336" s="7">
        <v>1047</v>
      </c>
      <c r="X336">
        <v>613.29999999999995</v>
      </c>
      <c r="AI336" t="s">
        <v>298</v>
      </c>
      <c r="AK336">
        <v>14.92</v>
      </c>
    </row>
    <row r="337" spans="1:37" x14ac:dyDescent="0.35">
      <c r="A337">
        <v>6</v>
      </c>
      <c r="B337">
        <v>2023</v>
      </c>
      <c r="C337" t="s">
        <v>33</v>
      </c>
      <c r="D337" t="s">
        <v>34</v>
      </c>
      <c r="E337" t="s">
        <v>295</v>
      </c>
      <c r="F337" s="3" t="s">
        <v>36</v>
      </c>
      <c r="G337" s="2" t="s">
        <v>82</v>
      </c>
      <c r="H337" s="3">
        <v>46971</v>
      </c>
      <c r="I337" s="3">
        <v>1762</v>
      </c>
      <c r="J337" s="2" t="s">
        <v>306</v>
      </c>
      <c r="K337" t="s">
        <v>295</v>
      </c>
      <c r="L337" t="s">
        <v>267</v>
      </c>
      <c r="M337" t="s">
        <v>40</v>
      </c>
      <c r="O337" t="s">
        <v>297</v>
      </c>
      <c r="P337">
        <v>45098</v>
      </c>
      <c r="S337" s="6">
        <v>21199.200000000001</v>
      </c>
      <c r="T337" t="s">
        <v>254</v>
      </c>
      <c r="U337">
        <v>280</v>
      </c>
      <c r="W337" s="7">
        <v>1210</v>
      </c>
      <c r="X337">
        <v>730.81999999999994</v>
      </c>
      <c r="AI337" t="s">
        <v>298</v>
      </c>
      <c r="AK337">
        <v>17.52</v>
      </c>
    </row>
    <row r="338" spans="1:37" x14ac:dyDescent="0.35">
      <c r="A338">
        <v>6</v>
      </c>
      <c r="B338">
        <v>2023</v>
      </c>
      <c r="C338" t="s">
        <v>33</v>
      </c>
      <c r="D338" t="s">
        <v>34</v>
      </c>
      <c r="E338" t="s">
        <v>122</v>
      </c>
      <c r="F338" s="3" t="s">
        <v>36</v>
      </c>
      <c r="G338" s="2" t="s">
        <v>50</v>
      </c>
      <c r="H338" s="3">
        <v>47129</v>
      </c>
      <c r="I338" s="3">
        <v>2001</v>
      </c>
      <c r="J338" s="2" t="s">
        <v>307</v>
      </c>
      <c r="K338" t="s">
        <v>122</v>
      </c>
      <c r="L338" t="s">
        <v>267</v>
      </c>
      <c r="M338" t="s">
        <v>40</v>
      </c>
      <c r="O338" t="s">
        <v>34</v>
      </c>
      <c r="P338">
        <v>45107</v>
      </c>
      <c r="S338" s="6">
        <v>14925.98</v>
      </c>
      <c r="T338" t="s">
        <v>254</v>
      </c>
      <c r="U338">
        <v>430</v>
      </c>
      <c r="W338" s="7">
        <v>466</v>
      </c>
      <c r="X338">
        <v>453.25799999999998</v>
      </c>
      <c r="AI338" t="s">
        <v>308</v>
      </c>
      <c r="AJ338" t="s">
        <v>258</v>
      </c>
      <c r="AK338">
        <v>32.03</v>
      </c>
    </row>
    <row r="339" spans="1:37" x14ac:dyDescent="0.35">
      <c r="A339">
        <v>6</v>
      </c>
      <c r="B339">
        <v>2023</v>
      </c>
      <c r="C339" t="s">
        <v>33</v>
      </c>
      <c r="D339" t="s">
        <v>34</v>
      </c>
      <c r="E339" t="s">
        <v>122</v>
      </c>
      <c r="F339" s="3" t="s">
        <v>36</v>
      </c>
      <c r="G339" s="2" t="s">
        <v>50</v>
      </c>
      <c r="H339" s="3">
        <v>47129</v>
      </c>
      <c r="I339" s="3">
        <v>2000</v>
      </c>
      <c r="J339" s="2" t="s">
        <v>309</v>
      </c>
      <c r="K339" t="s">
        <v>122</v>
      </c>
      <c r="L339" t="s">
        <v>267</v>
      </c>
      <c r="M339" t="s">
        <v>40</v>
      </c>
      <c r="O339" t="s">
        <v>34</v>
      </c>
      <c r="P339">
        <v>45107</v>
      </c>
      <c r="S339" s="6">
        <v>13466.88</v>
      </c>
      <c r="T339" t="s">
        <v>254</v>
      </c>
      <c r="U339">
        <v>380</v>
      </c>
      <c r="W339" s="7">
        <v>501</v>
      </c>
      <c r="X339">
        <v>458.18</v>
      </c>
      <c r="AI339" t="s">
        <v>308</v>
      </c>
      <c r="AJ339" t="s">
        <v>258</v>
      </c>
      <c r="AK339">
        <v>26.88</v>
      </c>
    </row>
    <row r="340" spans="1:37" x14ac:dyDescent="0.35">
      <c r="A340">
        <v>6</v>
      </c>
      <c r="B340">
        <v>2023</v>
      </c>
      <c r="C340" t="s">
        <v>33</v>
      </c>
      <c r="D340" t="s">
        <v>34</v>
      </c>
      <c r="E340" t="s">
        <v>122</v>
      </c>
      <c r="F340" s="3" t="s">
        <v>36</v>
      </c>
      <c r="G340" s="2" t="s">
        <v>50</v>
      </c>
      <c r="H340" s="3">
        <v>47129</v>
      </c>
      <c r="I340" s="3">
        <v>2002</v>
      </c>
      <c r="J340" s="2" t="s">
        <v>310</v>
      </c>
      <c r="K340" t="s">
        <v>122</v>
      </c>
      <c r="L340" t="s">
        <v>267</v>
      </c>
      <c r="M340" t="s">
        <v>40</v>
      </c>
      <c r="O340" t="s">
        <v>34</v>
      </c>
      <c r="P340">
        <v>45107</v>
      </c>
      <c r="S340" s="6">
        <v>15486.66</v>
      </c>
      <c r="T340" t="s">
        <v>254</v>
      </c>
      <c r="U340">
        <v>440</v>
      </c>
      <c r="W340" s="7">
        <v>482</v>
      </c>
      <c r="X340">
        <v>447.94</v>
      </c>
      <c r="AI340" t="s">
        <v>308</v>
      </c>
      <c r="AJ340" t="s">
        <v>258</v>
      </c>
      <c r="AK340">
        <v>32.130000000000003</v>
      </c>
    </row>
    <row r="341" spans="1:37" x14ac:dyDescent="0.35">
      <c r="A341">
        <v>6</v>
      </c>
      <c r="B341">
        <v>2023</v>
      </c>
      <c r="C341" t="s">
        <v>33</v>
      </c>
      <c r="D341" t="s">
        <v>34</v>
      </c>
      <c r="E341" t="s">
        <v>122</v>
      </c>
      <c r="F341" s="3" t="s">
        <v>36</v>
      </c>
      <c r="G341" s="2" t="s">
        <v>50</v>
      </c>
      <c r="H341" s="3">
        <v>47129</v>
      </c>
      <c r="I341" s="3">
        <v>1999</v>
      </c>
      <c r="J341" s="2" t="s">
        <v>311</v>
      </c>
      <c r="K341" t="s">
        <v>122</v>
      </c>
      <c r="L341" t="s">
        <v>267</v>
      </c>
      <c r="M341" t="s">
        <v>40</v>
      </c>
      <c r="O341" t="s">
        <v>34</v>
      </c>
      <c r="P341">
        <v>45107</v>
      </c>
      <c r="S341" s="6">
        <v>28575.690000000013</v>
      </c>
      <c r="T341" t="s">
        <v>254</v>
      </c>
      <c r="U341">
        <v>440</v>
      </c>
      <c r="W341" s="7">
        <v>564</v>
      </c>
      <c r="X341">
        <v>534.08000000000004</v>
      </c>
      <c r="AI341" t="s">
        <v>308</v>
      </c>
      <c r="AJ341" t="s">
        <v>258</v>
      </c>
      <c r="AK341">
        <v>50.666117021276619</v>
      </c>
    </row>
    <row r="342" spans="1:37" x14ac:dyDescent="0.35">
      <c r="A342">
        <v>6</v>
      </c>
      <c r="B342">
        <v>2023</v>
      </c>
      <c r="C342" t="s">
        <v>33</v>
      </c>
      <c r="D342" t="s">
        <v>34</v>
      </c>
      <c r="E342" t="s">
        <v>312</v>
      </c>
      <c r="F342" s="3" t="s">
        <v>36</v>
      </c>
      <c r="G342" s="2" t="s">
        <v>54</v>
      </c>
      <c r="H342" s="3">
        <v>47145</v>
      </c>
      <c r="I342" s="3">
        <v>2049</v>
      </c>
      <c r="J342" s="2" t="s">
        <v>313</v>
      </c>
      <c r="K342" t="s">
        <v>312</v>
      </c>
      <c r="L342" t="s">
        <v>267</v>
      </c>
      <c r="M342" t="s">
        <v>40</v>
      </c>
      <c r="O342" t="s">
        <v>34</v>
      </c>
      <c r="P342">
        <v>45107</v>
      </c>
      <c r="S342" s="6">
        <v>8435.19</v>
      </c>
      <c r="T342" t="s">
        <v>254</v>
      </c>
      <c r="W342" s="7">
        <v>1174</v>
      </c>
      <c r="X342">
        <v>130.31</v>
      </c>
      <c r="AI342" t="s">
        <v>314</v>
      </c>
      <c r="AJ342" t="s">
        <v>258</v>
      </c>
      <c r="AK342">
        <v>7.1850000000000005</v>
      </c>
    </row>
    <row r="343" spans="1:37" x14ac:dyDescent="0.35">
      <c r="A343">
        <v>6</v>
      </c>
      <c r="B343">
        <v>2023</v>
      </c>
      <c r="C343" t="s">
        <v>33</v>
      </c>
      <c r="D343" t="s">
        <v>34</v>
      </c>
      <c r="E343" t="s">
        <v>312</v>
      </c>
      <c r="F343" s="3" t="s">
        <v>36</v>
      </c>
      <c r="G343" s="2" t="s">
        <v>54</v>
      </c>
      <c r="H343" s="3">
        <v>47145</v>
      </c>
      <c r="I343" s="3">
        <v>1880</v>
      </c>
      <c r="J343" s="2" t="s">
        <v>315</v>
      </c>
      <c r="K343" t="s">
        <v>312</v>
      </c>
      <c r="L343" t="s">
        <v>267</v>
      </c>
      <c r="M343" t="s">
        <v>40</v>
      </c>
      <c r="O343" t="s">
        <v>34</v>
      </c>
      <c r="P343">
        <v>45107</v>
      </c>
      <c r="S343" s="6">
        <v>20588.03</v>
      </c>
      <c r="T343" t="s">
        <v>254</v>
      </c>
      <c r="U343">
        <v>280</v>
      </c>
      <c r="W343" s="7">
        <v>614</v>
      </c>
      <c r="X343">
        <v>397.10000000000008</v>
      </c>
      <c r="AI343" t="s">
        <v>314</v>
      </c>
      <c r="AJ343" t="s">
        <v>258</v>
      </c>
      <c r="AK343">
        <v>33.530993485342016</v>
      </c>
    </row>
    <row r="344" spans="1:37" x14ac:dyDescent="0.35">
      <c r="A344">
        <v>6</v>
      </c>
      <c r="B344">
        <v>2023</v>
      </c>
      <c r="C344" t="s">
        <v>33</v>
      </c>
      <c r="D344" t="s">
        <v>34</v>
      </c>
      <c r="E344" t="s">
        <v>312</v>
      </c>
      <c r="F344" s="3" t="s">
        <v>36</v>
      </c>
      <c r="G344" s="2" t="s">
        <v>54</v>
      </c>
      <c r="H344" s="3">
        <v>47145</v>
      </c>
      <c r="I344" s="3">
        <v>2050</v>
      </c>
      <c r="J344" s="2" t="s">
        <v>316</v>
      </c>
      <c r="K344" t="s">
        <v>312</v>
      </c>
      <c r="L344" t="s">
        <v>267</v>
      </c>
      <c r="M344" t="s">
        <v>40</v>
      </c>
      <c r="O344" t="s">
        <v>34</v>
      </c>
      <c r="P344">
        <v>45107</v>
      </c>
      <c r="S344" s="6">
        <v>7062.86</v>
      </c>
      <c r="T344" t="s">
        <v>254</v>
      </c>
      <c r="W344" s="7">
        <v>983</v>
      </c>
      <c r="X344">
        <v>109.11</v>
      </c>
      <c r="AI344" t="s">
        <v>314</v>
      </c>
      <c r="AJ344" t="s">
        <v>258</v>
      </c>
      <c r="AK344">
        <v>7.1850050864699897</v>
      </c>
    </row>
    <row r="345" spans="1:37" x14ac:dyDescent="0.35">
      <c r="A345">
        <v>6</v>
      </c>
      <c r="B345">
        <v>2023</v>
      </c>
      <c r="C345" t="s">
        <v>33</v>
      </c>
      <c r="D345" t="s">
        <v>34</v>
      </c>
      <c r="E345" t="s">
        <v>312</v>
      </c>
      <c r="F345" s="3" t="s">
        <v>36</v>
      </c>
      <c r="G345" s="2" t="s">
        <v>54</v>
      </c>
      <c r="H345" s="3">
        <v>47145</v>
      </c>
      <c r="I345" s="3">
        <v>1885</v>
      </c>
      <c r="J345" s="2" t="s">
        <v>317</v>
      </c>
      <c r="K345" t="s">
        <v>312</v>
      </c>
      <c r="L345" t="s">
        <v>267</v>
      </c>
      <c r="M345" t="s">
        <v>40</v>
      </c>
      <c r="O345" t="s">
        <v>34</v>
      </c>
      <c r="P345">
        <v>45107</v>
      </c>
      <c r="S345" s="6">
        <v>14820.7</v>
      </c>
      <c r="T345" t="s">
        <v>254</v>
      </c>
      <c r="U345">
        <v>280</v>
      </c>
      <c r="W345" s="7">
        <v>442</v>
      </c>
      <c r="X345">
        <v>330.95000000000005</v>
      </c>
      <c r="AI345" t="s">
        <v>314</v>
      </c>
      <c r="AJ345" t="s">
        <v>258</v>
      </c>
      <c r="AK345">
        <v>33.530995475113123</v>
      </c>
    </row>
    <row r="346" spans="1:37" x14ac:dyDescent="0.35">
      <c r="A346">
        <v>6</v>
      </c>
      <c r="B346">
        <v>2023</v>
      </c>
      <c r="C346" t="s">
        <v>33</v>
      </c>
      <c r="D346" t="s">
        <v>34</v>
      </c>
      <c r="E346" t="s">
        <v>312</v>
      </c>
      <c r="F346" s="3" t="s">
        <v>36</v>
      </c>
      <c r="G346" s="2" t="s">
        <v>54</v>
      </c>
      <c r="H346" s="3">
        <v>47145</v>
      </c>
      <c r="I346" s="3">
        <v>2051</v>
      </c>
      <c r="J346" s="2" t="s">
        <v>318</v>
      </c>
      <c r="K346" t="s">
        <v>312</v>
      </c>
      <c r="L346" t="s">
        <v>267</v>
      </c>
      <c r="M346" t="s">
        <v>40</v>
      </c>
      <c r="O346" t="s">
        <v>34</v>
      </c>
      <c r="P346">
        <v>45107</v>
      </c>
      <c r="S346" s="6">
        <v>287.41000000000003</v>
      </c>
      <c r="T346" t="s">
        <v>319</v>
      </c>
      <c r="W346" s="7">
        <v>1</v>
      </c>
      <c r="X346">
        <v>31.277000000000001</v>
      </c>
      <c r="AI346" t="s">
        <v>314</v>
      </c>
      <c r="AJ346" t="s">
        <v>258</v>
      </c>
      <c r="AK346">
        <v>287.41000000000003</v>
      </c>
    </row>
    <row r="347" spans="1:37" x14ac:dyDescent="0.35">
      <c r="A347">
        <v>6</v>
      </c>
      <c r="B347">
        <v>2023</v>
      </c>
      <c r="C347" t="s">
        <v>33</v>
      </c>
      <c r="D347" t="s">
        <v>34</v>
      </c>
      <c r="E347" t="s">
        <v>312</v>
      </c>
      <c r="F347" s="3" t="s">
        <v>36</v>
      </c>
      <c r="G347" s="2" t="s">
        <v>54</v>
      </c>
      <c r="H347" s="3">
        <v>47145</v>
      </c>
      <c r="I347" s="3">
        <v>2041</v>
      </c>
      <c r="J347" s="2" t="s">
        <v>320</v>
      </c>
      <c r="K347" t="s">
        <v>312</v>
      </c>
      <c r="L347" t="s">
        <v>267</v>
      </c>
      <c r="M347" t="s">
        <v>40</v>
      </c>
      <c r="O347" t="s">
        <v>34</v>
      </c>
      <c r="P347">
        <v>45107</v>
      </c>
      <c r="S347" s="6">
        <v>30298</v>
      </c>
      <c r="T347" t="s">
        <v>319</v>
      </c>
      <c r="W347" s="7">
        <v>100</v>
      </c>
      <c r="X347">
        <v>1134.5999999999999</v>
      </c>
      <c r="AI347" t="s">
        <v>314</v>
      </c>
      <c r="AJ347" t="s">
        <v>258</v>
      </c>
      <c r="AK347">
        <v>302.98</v>
      </c>
    </row>
    <row r="348" spans="1:37" x14ac:dyDescent="0.35">
      <c r="A348">
        <v>6</v>
      </c>
      <c r="B348">
        <v>2023</v>
      </c>
      <c r="C348" t="s">
        <v>33</v>
      </c>
      <c r="D348" t="s">
        <v>34</v>
      </c>
      <c r="E348" t="s">
        <v>312</v>
      </c>
      <c r="F348" s="3" t="s">
        <v>36</v>
      </c>
      <c r="G348" s="2" t="s">
        <v>54</v>
      </c>
      <c r="H348" s="3">
        <v>47145</v>
      </c>
      <c r="I348" s="3">
        <v>1883</v>
      </c>
      <c r="J348" s="2" t="s">
        <v>321</v>
      </c>
      <c r="K348" t="s">
        <v>312</v>
      </c>
      <c r="L348" t="s">
        <v>267</v>
      </c>
      <c r="M348" t="s">
        <v>40</v>
      </c>
      <c r="O348" t="s">
        <v>34</v>
      </c>
      <c r="P348">
        <v>45107</v>
      </c>
      <c r="S348" s="6">
        <v>17268.47</v>
      </c>
      <c r="T348" t="s">
        <v>254</v>
      </c>
      <c r="U348">
        <v>280</v>
      </c>
      <c r="W348" s="7">
        <v>515</v>
      </c>
      <c r="X348">
        <v>359.04</v>
      </c>
      <c r="AI348" t="s">
        <v>314</v>
      </c>
      <c r="AJ348" t="s">
        <v>258</v>
      </c>
      <c r="AK348">
        <v>33.531009708737869</v>
      </c>
    </row>
    <row r="349" spans="1:37" x14ac:dyDescent="0.35">
      <c r="A349">
        <v>6</v>
      </c>
      <c r="B349">
        <v>2023</v>
      </c>
      <c r="C349" t="s">
        <v>33</v>
      </c>
      <c r="D349" t="s">
        <v>34</v>
      </c>
      <c r="E349" t="s">
        <v>312</v>
      </c>
      <c r="F349" s="3" t="s">
        <v>36</v>
      </c>
      <c r="G349" s="2" t="s">
        <v>54</v>
      </c>
      <c r="H349" s="3">
        <v>47145</v>
      </c>
      <c r="I349" s="3">
        <v>1886</v>
      </c>
      <c r="J349" s="2" t="s">
        <v>322</v>
      </c>
      <c r="K349" t="s">
        <v>312</v>
      </c>
      <c r="L349" t="s">
        <v>267</v>
      </c>
      <c r="M349" t="s">
        <v>40</v>
      </c>
      <c r="O349" t="s">
        <v>34</v>
      </c>
      <c r="P349">
        <v>45107</v>
      </c>
      <c r="S349" s="6">
        <v>17905.55</v>
      </c>
      <c r="T349" t="s">
        <v>254</v>
      </c>
      <c r="U349">
        <v>280</v>
      </c>
      <c r="W349" s="7">
        <v>534</v>
      </c>
      <c r="X349">
        <v>359.83</v>
      </c>
      <c r="AI349" t="s">
        <v>314</v>
      </c>
      <c r="AJ349" t="s">
        <v>258</v>
      </c>
      <c r="AK349">
        <v>33.530992509363294</v>
      </c>
    </row>
    <row r="350" spans="1:37" x14ac:dyDescent="0.35">
      <c r="A350">
        <v>6</v>
      </c>
      <c r="B350">
        <v>2023</v>
      </c>
      <c r="C350" t="s">
        <v>33</v>
      </c>
      <c r="D350" t="s">
        <v>34</v>
      </c>
      <c r="E350" t="s">
        <v>312</v>
      </c>
      <c r="F350" s="3" t="s">
        <v>36</v>
      </c>
      <c r="G350" s="2" t="s">
        <v>54</v>
      </c>
      <c r="H350" s="3">
        <v>47145</v>
      </c>
      <c r="I350" s="3">
        <v>2048</v>
      </c>
      <c r="J350" s="2" t="s">
        <v>323</v>
      </c>
      <c r="K350" t="s">
        <v>312</v>
      </c>
      <c r="L350" t="s">
        <v>267</v>
      </c>
      <c r="M350" t="s">
        <v>40</v>
      </c>
      <c r="O350" t="s">
        <v>34</v>
      </c>
      <c r="P350">
        <v>45107</v>
      </c>
      <c r="S350" s="6">
        <v>3134.53</v>
      </c>
      <c r="T350" t="s">
        <v>254</v>
      </c>
      <c r="W350" s="7">
        <v>6397</v>
      </c>
      <c r="X350">
        <v>43.22</v>
      </c>
      <c r="AI350" t="s">
        <v>314</v>
      </c>
      <c r="AJ350" t="s">
        <v>258</v>
      </c>
      <c r="AK350">
        <v>0.49000000000000005</v>
      </c>
    </row>
    <row r="351" spans="1:37" x14ac:dyDescent="0.35">
      <c r="A351">
        <v>6</v>
      </c>
      <c r="B351">
        <v>2023</v>
      </c>
      <c r="C351" t="s">
        <v>33</v>
      </c>
      <c r="D351" t="s">
        <v>34</v>
      </c>
      <c r="E351" t="s">
        <v>312</v>
      </c>
      <c r="F351" s="3" t="s">
        <v>36</v>
      </c>
      <c r="G351" s="2" t="s">
        <v>54</v>
      </c>
      <c r="H351" s="3">
        <v>47145</v>
      </c>
      <c r="I351" s="3">
        <v>2047</v>
      </c>
      <c r="J351" s="2" t="s">
        <v>324</v>
      </c>
      <c r="K351" t="s">
        <v>312</v>
      </c>
      <c r="L351" t="s">
        <v>267</v>
      </c>
      <c r="M351" t="s">
        <v>40</v>
      </c>
      <c r="O351" t="s">
        <v>34</v>
      </c>
      <c r="P351">
        <v>45107</v>
      </c>
      <c r="S351" s="6">
        <v>3163.93</v>
      </c>
      <c r="T351" t="s">
        <v>254</v>
      </c>
      <c r="W351" s="7">
        <v>6457</v>
      </c>
      <c r="X351">
        <v>43.22</v>
      </c>
      <c r="AI351" t="s">
        <v>314</v>
      </c>
      <c r="AJ351" t="s">
        <v>258</v>
      </c>
      <c r="AK351">
        <v>0.49</v>
      </c>
    </row>
    <row r="352" spans="1:37" x14ac:dyDescent="0.35">
      <c r="A352">
        <v>6</v>
      </c>
      <c r="B352">
        <v>2023</v>
      </c>
      <c r="C352" t="s">
        <v>33</v>
      </c>
      <c r="D352" t="s">
        <v>34</v>
      </c>
      <c r="E352" t="s">
        <v>312</v>
      </c>
      <c r="F352" s="3" t="s">
        <v>36</v>
      </c>
      <c r="G352" s="2" t="s">
        <v>54</v>
      </c>
      <c r="H352" s="3">
        <v>47145</v>
      </c>
      <c r="I352" s="3">
        <v>1995</v>
      </c>
      <c r="J352" s="2" t="s">
        <v>325</v>
      </c>
      <c r="K352" t="s">
        <v>312</v>
      </c>
      <c r="L352" t="s">
        <v>267</v>
      </c>
      <c r="M352" t="s">
        <v>40</v>
      </c>
      <c r="O352" t="s">
        <v>34</v>
      </c>
      <c r="P352">
        <v>45107</v>
      </c>
      <c r="S352" s="6">
        <v>24908</v>
      </c>
      <c r="T352" t="s">
        <v>326</v>
      </c>
      <c r="W352" s="7">
        <v>2000</v>
      </c>
      <c r="X352">
        <v>0</v>
      </c>
      <c r="AI352" t="s">
        <v>314</v>
      </c>
      <c r="AJ352" t="s">
        <v>258</v>
      </c>
      <c r="AK352">
        <v>12.454000000000001</v>
      </c>
    </row>
    <row r="353" spans="1:37" x14ac:dyDescent="0.35">
      <c r="A353">
        <v>6</v>
      </c>
      <c r="B353">
        <v>2023</v>
      </c>
      <c r="C353" t="s">
        <v>33</v>
      </c>
      <c r="D353" t="s">
        <v>34</v>
      </c>
      <c r="E353" t="s">
        <v>60</v>
      </c>
      <c r="F353" s="3" t="s">
        <v>36</v>
      </c>
      <c r="G353" s="2" t="s">
        <v>37</v>
      </c>
      <c r="H353" s="3">
        <v>47155</v>
      </c>
      <c r="I353" s="3">
        <v>1992</v>
      </c>
      <c r="J353" s="2" t="s">
        <v>327</v>
      </c>
      <c r="K353" t="s">
        <v>60</v>
      </c>
      <c r="L353" t="s">
        <v>267</v>
      </c>
      <c r="M353" t="s">
        <v>40</v>
      </c>
      <c r="O353" t="s">
        <v>34</v>
      </c>
      <c r="P353">
        <v>45107</v>
      </c>
      <c r="S353" s="6">
        <v>11989.12</v>
      </c>
      <c r="T353" t="s">
        <v>254</v>
      </c>
      <c r="W353" s="7">
        <v>2096</v>
      </c>
      <c r="X353">
        <v>232.65599999999998</v>
      </c>
      <c r="AI353" t="s">
        <v>60</v>
      </c>
      <c r="AJ353" t="s">
        <v>262</v>
      </c>
      <c r="AK353">
        <v>5.7200000000000006</v>
      </c>
    </row>
    <row r="354" spans="1:37" x14ac:dyDescent="0.35">
      <c r="A354">
        <v>6</v>
      </c>
      <c r="B354">
        <v>2023</v>
      </c>
      <c r="C354" t="s">
        <v>33</v>
      </c>
      <c r="D354" t="s">
        <v>34</v>
      </c>
      <c r="E354" t="s">
        <v>60</v>
      </c>
      <c r="F354" s="3" t="s">
        <v>36</v>
      </c>
      <c r="G354" s="2" t="s">
        <v>37</v>
      </c>
      <c r="H354" s="3">
        <v>47155</v>
      </c>
      <c r="I354" s="3">
        <v>1990</v>
      </c>
      <c r="J354" s="2" t="s">
        <v>328</v>
      </c>
      <c r="K354" t="s">
        <v>60</v>
      </c>
      <c r="L354" t="s">
        <v>267</v>
      </c>
      <c r="M354" t="s">
        <v>40</v>
      </c>
      <c r="O354" t="s">
        <v>34</v>
      </c>
      <c r="P354">
        <v>45107</v>
      </c>
      <c r="S354" s="6">
        <v>11468.6</v>
      </c>
      <c r="T354" t="s">
        <v>254</v>
      </c>
      <c r="W354" s="7">
        <v>2005</v>
      </c>
      <c r="X354">
        <v>322.80499999999995</v>
      </c>
      <c r="AI354" t="s">
        <v>60</v>
      </c>
      <c r="AJ354" t="s">
        <v>262</v>
      </c>
      <c r="AK354">
        <v>5.72</v>
      </c>
    </row>
    <row r="355" spans="1:37" x14ac:dyDescent="0.35">
      <c r="A355">
        <v>6</v>
      </c>
      <c r="B355">
        <v>2023</v>
      </c>
      <c r="C355" t="s">
        <v>33</v>
      </c>
      <c r="D355" t="s">
        <v>34</v>
      </c>
      <c r="E355" t="s">
        <v>60</v>
      </c>
      <c r="F355" s="3" t="s">
        <v>36</v>
      </c>
      <c r="G355" s="2" t="s">
        <v>37</v>
      </c>
      <c r="H355" s="3">
        <v>47155</v>
      </c>
      <c r="I355" s="3">
        <v>1991</v>
      </c>
      <c r="J355" s="2" t="s">
        <v>329</v>
      </c>
      <c r="K355" t="s">
        <v>60</v>
      </c>
      <c r="L355" t="s">
        <v>267</v>
      </c>
      <c r="M355" t="s">
        <v>40</v>
      </c>
      <c r="O355" t="s">
        <v>34</v>
      </c>
      <c r="P355">
        <v>45107</v>
      </c>
      <c r="S355" s="6">
        <v>7207.2</v>
      </c>
      <c r="T355" t="s">
        <v>254</v>
      </c>
      <c r="W355" s="7">
        <v>1260</v>
      </c>
      <c r="X355">
        <v>202.85999999999999</v>
      </c>
      <c r="AI355" t="s">
        <v>60</v>
      </c>
      <c r="AJ355" t="s">
        <v>262</v>
      </c>
      <c r="AK355">
        <v>5.72</v>
      </c>
    </row>
    <row r="356" spans="1:37" x14ac:dyDescent="0.35">
      <c r="A356">
        <v>7</v>
      </c>
      <c r="B356">
        <v>2023</v>
      </c>
      <c r="C356" t="s">
        <v>33</v>
      </c>
      <c r="D356" t="s">
        <v>34</v>
      </c>
      <c r="E356" t="s">
        <v>42</v>
      </c>
      <c r="F356" s="3" t="s">
        <v>36</v>
      </c>
      <c r="G356" s="2" t="s">
        <v>43</v>
      </c>
      <c r="H356" s="3">
        <v>47239</v>
      </c>
      <c r="I356" s="3">
        <v>1226</v>
      </c>
      <c r="J356" s="2" t="s">
        <v>266</v>
      </c>
      <c r="K356" t="s">
        <v>42</v>
      </c>
      <c r="L356" t="s">
        <v>267</v>
      </c>
      <c r="M356" t="s">
        <v>40</v>
      </c>
      <c r="O356" t="s">
        <v>297</v>
      </c>
      <c r="P356">
        <v>45114</v>
      </c>
      <c r="S356" s="6">
        <v>65322.6</v>
      </c>
      <c r="T356" t="s">
        <v>254</v>
      </c>
      <c r="U356">
        <v>260</v>
      </c>
      <c r="W356" s="7">
        <v>4228</v>
      </c>
      <c r="X356">
        <v>2541.5299999999993</v>
      </c>
      <c r="AI356" t="s">
        <v>255</v>
      </c>
      <c r="AJ356" t="s">
        <v>262</v>
      </c>
      <c r="AK356">
        <v>15.45</v>
      </c>
    </row>
    <row r="357" spans="1:37" x14ac:dyDescent="0.35">
      <c r="A357">
        <v>7</v>
      </c>
      <c r="B357">
        <v>2023</v>
      </c>
      <c r="C357" t="s">
        <v>33</v>
      </c>
      <c r="D357" t="s">
        <v>34</v>
      </c>
      <c r="E357" t="s">
        <v>42</v>
      </c>
      <c r="F357" s="3" t="s">
        <v>36</v>
      </c>
      <c r="G357" s="2" t="s">
        <v>43</v>
      </c>
      <c r="H357" s="3">
        <v>47239</v>
      </c>
      <c r="I357" s="3">
        <v>1225</v>
      </c>
      <c r="J357" s="2" t="s">
        <v>292</v>
      </c>
      <c r="K357" t="s">
        <v>42</v>
      </c>
      <c r="L357" t="s">
        <v>267</v>
      </c>
      <c r="M357" t="s">
        <v>40</v>
      </c>
      <c r="O357" t="s">
        <v>297</v>
      </c>
      <c r="P357">
        <v>45114</v>
      </c>
      <c r="S357" s="6">
        <v>34998.75</v>
      </c>
      <c r="T357" t="s">
        <v>254</v>
      </c>
      <c r="U357">
        <v>240</v>
      </c>
      <c r="W357" s="7">
        <v>2295</v>
      </c>
      <c r="X357">
        <v>1266.9399999999996</v>
      </c>
      <c r="AI357" t="s">
        <v>255</v>
      </c>
      <c r="AJ357" t="s">
        <v>262</v>
      </c>
      <c r="AK357">
        <v>15.25</v>
      </c>
    </row>
    <row r="358" spans="1:37" x14ac:dyDescent="0.35">
      <c r="A358">
        <v>7</v>
      </c>
      <c r="B358">
        <v>2023</v>
      </c>
      <c r="C358" t="s">
        <v>33</v>
      </c>
      <c r="D358" t="s">
        <v>34</v>
      </c>
      <c r="E358" t="s">
        <v>42</v>
      </c>
      <c r="F358" s="3" t="s">
        <v>36</v>
      </c>
      <c r="G358" s="2" t="s">
        <v>43</v>
      </c>
      <c r="H358" s="3">
        <v>47239</v>
      </c>
      <c r="I358" s="3">
        <v>2054</v>
      </c>
      <c r="J358" s="2" t="s">
        <v>330</v>
      </c>
      <c r="K358" t="s">
        <v>42</v>
      </c>
      <c r="L358" t="s">
        <v>267</v>
      </c>
      <c r="M358" t="s">
        <v>40</v>
      </c>
      <c r="O358" t="s">
        <v>297</v>
      </c>
      <c r="P358">
        <v>45114</v>
      </c>
      <c r="S358" s="6">
        <v>36391.68</v>
      </c>
      <c r="T358" t="s">
        <v>254</v>
      </c>
      <c r="U358">
        <v>280</v>
      </c>
      <c r="W358" s="7">
        <v>2187</v>
      </c>
      <c r="X358">
        <v>1349.64</v>
      </c>
      <c r="AI358" t="s">
        <v>255</v>
      </c>
      <c r="AJ358" t="s">
        <v>262</v>
      </c>
      <c r="AK358">
        <v>16.64</v>
      </c>
    </row>
    <row r="359" spans="1:37" x14ac:dyDescent="0.35">
      <c r="A359">
        <v>7</v>
      </c>
      <c r="B359">
        <v>2023</v>
      </c>
      <c r="C359" t="s">
        <v>33</v>
      </c>
      <c r="D359" t="s">
        <v>34</v>
      </c>
      <c r="E359" t="s">
        <v>42</v>
      </c>
      <c r="F359" s="3" t="s">
        <v>36</v>
      </c>
      <c r="G359" s="2" t="s">
        <v>43</v>
      </c>
      <c r="H359" s="3">
        <v>47239</v>
      </c>
      <c r="I359" s="3">
        <v>1237</v>
      </c>
      <c r="J359" s="2" t="s">
        <v>268</v>
      </c>
      <c r="K359" t="s">
        <v>42</v>
      </c>
      <c r="L359" t="s">
        <v>267</v>
      </c>
      <c r="M359" t="s">
        <v>40</v>
      </c>
      <c r="O359" t="s">
        <v>297</v>
      </c>
      <c r="P359">
        <v>45114</v>
      </c>
      <c r="S359" s="6">
        <v>19756.8</v>
      </c>
      <c r="T359" t="s">
        <v>254</v>
      </c>
      <c r="U359">
        <v>300</v>
      </c>
      <c r="W359" s="7">
        <v>1008</v>
      </c>
      <c r="X359">
        <v>730.28</v>
      </c>
      <c r="AI359" t="s">
        <v>255</v>
      </c>
      <c r="AJ359" t="s">
        <v>262</v>
      </c>
      <c r="AK359">
        <v>19.599999999999998</v>
      </c>
    </row>
    <row r="360" spans="1:37" x14ac:dyDescent="0.35">
      <c r="A360">
        <v>7</v>
      </c>
      <c r="B360">
        <v>2023</v>
      </c>
      <c r="C360" t="s">
        <v>33</v>
      </c>
      <c r="D360" t="s">
        <v>34</v>
      </c>
      <c r="E360" t="s">
        <v>42</v>
      </c>
      <c r="F360" s="3" t="s">
        <v>36</v>
      </c>
      <c r="G360" s="2" t="s">
        <v>43</v>
      </c>
      <c r="H360" s="3">
        <v>47239</v>
      </c>
      <c r="I360" s="3">
        <v>1504</v>
      </c>
      <c r="J360" s="2" t="s">
        <v>263</v>
      </c>
      <c r="K360" t="s">
        <v>42</v>
      </c>
      <c r="L360" t="s">
        <v>267</v>
      </c>
      <c r="M360" t="s">
        <v>40</v>
      </c>
      <c r="O360" t="s">
        <v>297</v>
      </c>
      <c r="P360">
        <v>45114</v>
      </c>
      <c r="S360" s="6">
        <v>43184.34</v>
      </c>
      <c r="T360" t="s">
        <v>254</v>
      </c>
      <c r="U360">
        <v>240</v>
      </c>
      <c r="W360" s="7">
        <v>2806</v>
      </c>
      <c r="X360">
        <v>1568.84</v>
      </c>
      <c r="AI360" t="s">
        <v>255</v>
      </c>
      <c r="AJ360" t="s">
        <v>262</v>
      </c>
      <c r="AK360">
        <v>15.389999999999999</v>
      </c>
    </row>
    <row r="361" spans="1:37" x14ac:dyDescent="0.35">
      <c r="A361">
        <v>7</v>
      </c>
      <c r="B361">
        <v>2023</v>
      </c>
      <c r="C361" t="s">
        <v>33</v>
      </c>
      <c r="D361" t="s">
        <v>34</v>
      </c>
      <c r="E361" t="s">
        <v>42</v>
      </c>
      <c r="F361" s="3" t="s">
        <v>36</v>
      </c>
      <c r="G361" s="2" t="s">
        <v>43</v>
      </c>
      <c r="H361" s="3">
        <v>47239</v>
      </c>
      <c r="I361" s="3">
        <v>1506</v>
      </c>
      <c r="J361" s="2" t="s">
        <v>253</v>
      </c>
      <c r="K361" t="s">
        <v>42</v>
      </c>
      <c r="L361" t="s">
        <v>267</v>
      </c>
      <c r="M361" t="s">
        <v>40</v>
      </c>
      <c r="O361" t="s">
        <v>297</v>
      </c>
      <c r="P361">
        <v>45114</v>
      </c>
      <c r="S361" s="6">
        <v>9227.4</v>
      </c>
      <c r="T361" t="s">
        <v>254</v>
      </c>
      <c r="U361">
        <v>280</v>
      </c>
      <c r="W361" s="7">
        <v>507</v>
      </c>
      <c r="X361">
        <v>335.71999999999991</v>
      </c>
      <c r="AI361" t="s">
        <v>255</v>
      </c>
      <c r="AJ361" t="s">
        <v>262</v>
      </c>
      <c r="AK361">
        <v>18.2</v>
      </c>
    </row>
    <row r="362" spans="1:37" x14ac:dyDescent="0.35">
      <c r="A362">
        <v>7</v>
      </c>
      <c r="B362">
        <v>2023</v>
      </c>
      <c r="C362" t="s">
        <v>33</v>
      </c>
      <c r="D362" t="s">
        <v>34</v>
      </c>
      <c r="E362" t="s">
        <v>42</v>
      </c>
      <c r="F362" s="3" t="s">
        <v>36</v>
      </c>
      <c r="G362" s="2" t="s">
        <v>43</v>
      </c>
      <c r="H362" s="3">
        <v>47239</v>
      </c>
      <c r="I362" s="3">
        <v>1503</v>
      </c>
      <c r="J362" s="2" t="s">
        <v>265</v>
      </c>
      <c r="K362" t="s">
        <v>42</v>
      </c>
      <c r="L362" t="s">
        <v>267</v>
      </c>
      <c r="M362" t="s">
        <v>40</v>
      </c>
      <c r="O362" t="s">
        <v>297</v>
      </c>
      <c r="P362">
        <v>45114</v>
      </c>
      <c r="S362" s="6">
        <v>12388.73</v>
      </c>
      <c r="T362" t="s">
        <v>254</v>
      </c>
      <c r="U362">
        <v>260</v>
      </c>
      <c r="W362" s="7">
        <v>700.72</v>
      </c>
      <c r="X362">
        <v>415.13999999999993</v>
      </c>
      <c r="AI362" t="s">
        <v>255</v>
      </c>
      <c r="AJ362" t="s">
        <v>262</v>
      </c>
      <c r="AK362">
        <v>17.680000570841418</v>
      </c>
    </row>
    <row r="363" spans="1:37" x14ac:dyDescent="0.35">
      <c r="A363">
        <v>7</v>
      </c>
      <c r="B363">
        <v>2023</v>
      </c>
      <c r="C363" t="s">
        <v>33</v>
      </c>
      <c r="D363" t="s">
        <v>34</v>
      </c>
      <c r="E363" t="s">
        <v>42</v>
      </c>
      <c r="F363" s="3" t="s">
        <v>36</v>
      </c>
      <c r="G363" s="2" t="s">
        <v>43</v>
      </c>
      <c r="H363" s="3">
        <v>47239</v>
      </c>
      <c r="I363" s="3">
        <v>1525</v>
      </c>
      <c r="J363" s="2" t="s">
        <v>283</v>
      </c>
      <c r="K363" t="s">
        <v>42</v>
      </c>
      <c r="L363" t="s">
        <v>267</v>
      </c>
      <c r="M363" t="s">
        <v>40</v>
      </c>
      <c r="O363" t="s">
        <v>297</v>
      </c>
      <c r="P363">
        <v>45114</v>
      </c>
      <c r="S363" s="6">
        <v>26107.200000000001</v>
      </c>
      <c r="T363" t="s">
        <v>254</v>
      </c>
      <c r="U363">
        <v>320</v>
      </c>
      <c r="W363" s="7">
        <v>1332</v>
      </c>
      <c r="X363">
        <v>877.05999999999983</v>
      </c>
      <c r="AI363" t="s">
        <v>255</v>
      </c>
      <c r="AJ363" t="s">
        <v>262</v>
      </c>
      <c r="AK363">
        <v>19.600000000000001</v>
      </c>
    </row>
    <row r="364" spans="1:37" x14ac:dyDescent="0.35">
      <c r="A364">
        <v>7</v>
      </c>
      <c r="B364">
        <v>2023</v>
      </c>
      <c r="C364" t="s">
        <v>33</v>
      </c>
      <c r="D364" t="s">
        <v>34</v>
      </c>
      <c r="E364" t="s">
        <v>42</v>
      </c>
      <c r="F364" s="3" t="s">
        <v>36</v>
      </c>
      <c r="G364" s="2" t="s">
        <v>43</v>
      </c>
      <c r="H364" s="3">
        <v>47239</v>
      </c>
      <c r="I364" s="3">
        <v>1523</v>
      </c>
      <c r="J364" s="2" t="s">
        <v>282</v>
      </c>
      <c r="K364" t="s">
        <v>42</v>
      </c>
      <c r="L364" t="s">
        <v>267</v>
      </c>
      <c r="M364" t="s">
        <v>40</v>
      </c>
      <c r="O364" t="s">
        <v>297</v>
      </c>
      <c r="P364">
        <v>45114</v>
      </c>
      <c r="S364" s="6">
        <v>4488</v>
      </c>
      <c r="T364" t="s">
        <v>254</v>
      </c>
      <c r="W364" s="7">
        <v>600</v>
      </c>
      <c r="X364">
        <v>118.8</v>
      </c>
      <c r="AI364" t="s">
        <v>255</v>
      </c>
      <c r="AJ364" t="s">
        <v>262</v>
      </c>
      <c r="AK364">
        <v>7.48</v>
      </c>
    </row>
    <row r="365" spans="1:37" x14ac:dyDescent="0.35">
      <c r="A365">
        <v>7</v>
      </c>
      <c r="B365">
        <v>2023</v>
      </c>
      <c r="C365" t="s">
        <v>33</v>
      </c>
      <c r="D365" t="s">
        <v>34</v>
      </c>
      <c r="E365" t="s">
        <v>42</v>
      </c>
      <c r="F365" s="3" t="s">
        <v>36</v>
      </c>
      <c r="G365" s="2" t="s">
        <v>43</v>
      </c>
      <c r="H365" s="3">
        <v>47239</v>
      </c>
      <c r="I365" s="3">
        <v>1524</v>
      </c>
      <c r="J365" s="2" t="s">
        <v>284</v>
      </c>
      <c r="K365" t="s">
        <v>42</v>
      </c>
      <c r="L365" t="s">
        <v>267</v>
      </c>
      <c r="M365" t="s">
        <v>40</v>
      </c>
      <c r="O365" t="s">
        <v>297</v>
      </c>
      <c r="P365">
        <v>45114</v>
      </c>
      <c r="S365" s="6">
        <v>30318.080000000002</v>
      </c>
      <c r="T365" t="s">
        <v>254</v>
      </c>
      <c r="W365" s="7">
        <v>3644</v>
      </c>
      <c r="X365">
        <v>732.73800000000006</v>
      </c>
      <c r="AI365" t="s">
        <v>255</v>
      </c>
      <c r="AJ365" t="s">
        <v>262</v>
      </c>
      <c r="AK365">
        <v>8.32</v>
      </c>
    </row>
    <row r="366" spans="1:37" x14ac:dyDescent="0.35">
      <c r="A366">
        <v>7</v>
      </c>
      <c r="B366">
        <v>2023</v>
      </c>
      <c r="C366" t="s">
        <v>33</v>
      </c>
      <c r="D366" t="s">
        <v>34</v>
      </c>
      <c r="E366" t="s">
        <v>42</v>
      </c>
      <c r="F366" s="3" t="s">
        <v>36</v>
      </c>
      <c r="G366" s="2" t="s">
        <v>43</v>
      </c>
      <c r="H366" s="3">
        <v>47239</v>
      </c>
      <c r="I366" s="3">
        <v>2053</v>
      </c>
      <c r="J366" s="2" t="s">
        <v>331</v>
      </c>
      <c r="K366" t="s">
        <v>42</v>
      </c>
      <c r="L366" t="s">
        <v>267</v>
      </c>
      <c r="M366" t="s">
        <v>40</v>
      </c>
      <c r="O366" t="s">
        <v>297</v>
      </c>
      <c r="P366">
        <v>45114</v>
      </c>
      <c r="S366" s="6">
        <v>18733.830000000002</v>
      </c>
      <c r="T366" t="s">
        <v>254</v>
      </c>
      <c r="U366">
        <v>300</v>
      </c>
      <c r="W366" s="7">
        <v>1059.606</v>
      </c>
      <c r="X366">
        <v>752.48</v>
      </c>
      <c r="AI366" t="s">
        <v>255</v>
      </c>
      <c r="AJ366" t="s">
        <v>262</v>
      </c>
      <c r="AK366">
        <v>17.679996149512178</v>
      </c>
    </row>
    <row r="367" spans="1:37" x14ac:dyDescent="0.35">
      <c r="A367">
        <v>7</v>
      </c>
      <c r="B367">
        <v>2023</v>
      </c>
      <c r="C367" t="s">
        <v>33</v>
      </c>
      <c r="D367" t="s">
        <v>34</v>
      </c>
      <c r="E367" t="s">
        <v>332</v>
      </c>
      <c r="F367" s="3" t="s">
        <v>36</v>
      </c>
      <c r="G367" s="2" t="s">
        <v>82</v>
      </c>
      <c r="H367" s="3">
        <v>47415</v>
      </c>
      <c r="I367" s="3">
        <v>1984</v>
      </c>
      <c r="J367" s="2" t="s">
        <v>333</v>
      </c>
      <c r="K367" t="s">
        <v>332</v>
      </c>
      <c r="L367" t="s">
        <v>267</v>
      </c>
      <c r="M367" t="s">
        <v>40</v>
      </c>
      <c r="O367" t="s">
        <v>297</v>
      </c>
      <c r="P367">
        <v>45124</v>
      </c>
      <c r="S367" s="6">
        <v>8747.76</v>
      </c>
      <c r="T367" t="s">
        <v>254</v>
      </c>
      <c r="W367" s="7">
        <v>492</v>
      </c>
      <c r="X367">
        <v>334.81999999999994</v>
      </c>
      <c r="AI367" t="s">
        <v>332</v>
      </c>
      <c r="AJ367" t="s">
        <v>262</v>
      </c>
      <c r="AK367">
        <v>17.78</v>
      </c>
    </row>
    <row r="368" spans="1:37" x14ac:dyDescent="0.35">
      <c r="A368">
        <v>7</v>
      </c>
      <c r="B368">
        <v>2023</v>
      </c>
      <c r="C368" t="s">
        <v>33</v>
      </c>
      <c r="D368" t="s">
        <v>34</v>
      </c>
      <c r="E368" t="s">
        <v>332</v>
      </c>
      <c r="F368" s="3" t="s">
        <v>36</v>
      </c>
      <c r="G368" s="2" t="s">
        <v>82</v>
      </c>
      <c r="H368" s="3">
        <v>47415</v>
      </c>
      <c r="I368" s="3">
        <v>1982</v>
      </c>
      <c r="J368" s="2" t="s">
        <v>334</v>
      </c>
      <c r="K368" t="s">
        <v>332</v>
      </c>
      <c r="L368" t="s">
        <v>267</v>
      </c>
      <c r="M368" t="s">
        <v>40</v>
      </c>
      <c r="O368" t="s">
        <v>297</v>
      </c>
      <c r="P368">
        <v>45124</v>
      </c>
      <c r="S368" s="6">
        <v>5098.32</v>
      </c>
      <c r="T368" t="s">
        <v>254</v>
      </c>
      <c r="W368" s="7">
        <v>438</v>
      </c>
      <c r="X368">
        <v>178.95999999999998</v>
      </c>
      <c r="AI368" t="s">
        <v>332</v>
      </c>
      <c r="AJ368" t="s">
        <v>262</v>
      </c>
      <c r="AK368">
        <v>11.639999999999999</v>
      </c>
    </row>
    <row r="369" spans="1:37" x14ac:dyDescent="0.35">
      <c r="A369">
        <v>7</v>
      </c>
      <c r="B369">
        <v>2023</v>
      </c>
      <c r="C369" t="s">
        <v>33</v>
      </c>
      <c r="D369" t="s">
        <v>34</v>
      </c>
      <c r="E369" t="s">
        <v>332</v>
      </c>
      <c r="F369" s="3" t="s">
        <v>36</v>
      </c>
      <c r="G369" s="2" t="s">
        <v>82</v>
      </c>
      <c r="H369" s="3">
        <v>47415</v>
      </c>
      <c r="I369" s="3">
        <v>1981</v>
      </c>
      <c r="J369" s="2" t="s">
        <v>335</v>
      </c>
      <c r="K369" t="s">
        <v>332</v>
      </c>
      <c r="L369" t="s">
        <v>267</v>
      </c>
      <c r="M369" t="s">
        <v>40</v>
      </c>
      <c r="O369" t="s">
        <v>297</v>
      </c>
      <c r="P369">
        <v>45124</v>
      </c>
      <c r="S369" s="6">
        <v>9396</v>
      </c>
      <c r="T369" t="s">
        <v>254</v>
      </c>
      <c r="W369" s="7">
        <v>522</v>
      </c>
      <c r="X369">
        <v>327.86</v>
      </c>
      <c r="AI369" t="s">
        <v>332</v>
      </c>
      <c r="AJ369" t="s">
        <v>262</v>
      </c>
      <c r="AK369">
        <v>18</v>
      </c>
    </row>
    <row r="370" spans="1:37" x14ac:dyDescent="0.35">
      <c r="A370">
        <v>7</v>
      </c>
      <c r="B370">
        <v>2023</v>
      </c>
      <c r="C370" t="s">
        <v>33</v>
      </c>
      <c r="D370" t="s">
        <v>34</v>
      </c>
      <c r="E370" t="s">
        <v>332</v>
      </c>
      <c r="F370" s="3" t="s">
        <v>36</v>
      </c>
      <c r="G370" s="2" t="s">
        <v>82</v>
      </c>
      <c r="H370" s="3">
        <v>47415</v>
      </c>
      <c r="I370" s="3">
        <v>1986</v>
      </c>
      <c r="J370" s="2" t="s">
        <v>336</v>
      </c>
      <c r="K370" t="s">
        <v>332</v>
      </c>
      <c r="L370" t="s">
        <v>267</v>
      </c>
      <c r="M370" t="s">
        <v>40</v>
      </c>
      <c r="O370" t="s">
        <v>297</v>
      </c>
      <c r="P370">
        <v>45124</v>
      </c>
      <c r="S370" s="6">
        <v>4318.08</v>
      </c>
      <c r="T370" t="s">
        <v>254</v>
      </c>
      <c r="W370" s="7">
        <v>519</v>
      </c>
      <c r="X370">
        <v>199.13900000000001</v>
      </c>
      <c r="AI370" t="s">
        <v>332</v>
      </c>
      <c r="AJ370" t="s">
        <v>262</v>
      </c>
      <c r="AK370">
        <v>8.32</v>
      </c>
    </row>
    <row r="371" spans="1:37" x14ac:dyDescent="0.35">
      <c r="A371">
        <v>7</v>
      </c>
      <c r="B371">
        <v>2023</v>
      </c>
      <c r="C371" t="s">
        <v>33</v>
      </c>
      <c r="D371" t="s">
        <v>34</v>
      </c>
      <c r="E371" t="s">
        <v>42</v>
      </c>
      <c r="F371" s="3" t="s">
        <v>36</v>
      </c>
      <c r="G371" s="2" t="s">
        <v>43</v>
      </c>
      <c r="H371" s="3">
        <v>47495</v>
      </c>
      <c r="I371" s="3">
        <v>1225</v>
      </c>
      <c r="J371" s="2" t="s">
        <v>292</v>
      </c>
      <c r="K371" t="s">
        <v>42</v>
      </c>
      <c r="L371" t="s">
        <v>267</v>
      </c>
      <c r="M371" t="s">
        <v>40</v>
      </c>
      <c r="O371" t="s">
        <v>297</v>
      </c>
      <c r="P371">
        <v>45126</v>
      </c>
      <c r="S371" s="6">
        <v>12099.94</v>
      </c>
      <c r="T371" t="s">
        <v>254</v>
      </c>
      <c r="W371" s="7">
        <v>1084</v>
      </c>
      <c r="X371">
        <v>624.29999999999995</v>
      </c>
      <c r="AI371" t="s">
        <v>255</v>
      </c>
      <c r="AJ371" t="s">
        <v>262</v>
      </c>
      <c r="AK371">
        <v>11.162306273062731</v>
      </c>
    </row>
    <row r="372" spans="1:37" x14ac:dyDescent="0.35">
      <c r="A372">
        <v>7</v>
      </c>
      <c r="B372">
        <v>2023</v>
      </c>
      <c r="C372" t="s">
        <v>33</v>
      </c>
      <c r="D372" t="s">
        <v>34</v>
      </c>
      <c r="E372" t="s">
        <v>42</v>
      </c>
      <c r="F372" s="3" t="s">
        <v>36</v>
      </c>
      <c r="G372" s="2" t="s">
        <v>43</v>
      </c>
      <c r="H372" s="3">
        <v>47495</v>
      </c>
      <c r="I372" s="3">
        <v>2157</v>
      </c>
      <c r="J372" s="2" t="s">
        <v>337</v>
      </c>
      <c r="K372" t="s">
        <v>42</v>
      </c>
      <c r="L372" t="s">
        <v>267</v>
      </c>
      <c r="M372" t="s">
        <v>40</v>
      </c>
      <c r="O372" t="s">
        <v>297</v>
      </c>
      <c r="P372">
        <v>45126</v>
      </c>
      <c r="S372" s="6">
        <v>18532.73</v>
      </c>
      <c r="T372" t="s">
        <v>254</v>
      </c>
      <c r="W372" s="7">
        <v>1039</v>
      </c>
      <c r="X372">
        <v>779.5</v>
      </c>
      <c r="AI372" t="s">
        <v>255</v>
      </c>
      <c r="AJ372" t="s">
        <v>262</v>
      </c>
      <c r="AK372">
        <v>17.837083734359961</v>
      </c>
    </row>
    <row r="373" spans="1:37" x14ac:dyDescent="0.35">
      <c r="A373">
        <v>7</v>
      </c>
      <c r="B373">
        <v>2023</v>
      </c>
      <c r="C373" t="s">
        <v>33</v>
      </c>
      <c r="D373" t="s">
        <v>34</v>
      </c>
      <c r="E373" t="s">
        <v>122</v>
      </c>
      <c r="F373" s="3" t="s">
        <v>36</v>
      </c>
      <c r="G373" s="2" t="s">
        <v>50</v>
      </c>
      <c r="H373" s="3">
        <v>47716</v>
      </c>
      <c r="I373" s="3">
        <v>1904</v>
      </c>
      <c r="J373" s="2" t="s">
        <v>294</v>
      </c>
      <c r="K373" t="s">
        <v>122</v>
      </c>
      <c r="L373" t="s">
        <v>267</v>
      </c>
      <c r="M373" t="s">
        <v>40</v>
      </c>
      <c r="O373" t="s">
        <v>34</v>
      </c>
      <c r="P373">
        <v>45138</v>
      </c>
      <c r="S373" s="6">
        <v>49418.36</v>
      </c>
      <c r="T373" t="s">
        <v>254</v>
      </c>
      <c r="W373" s="7">
        <v>1075</v>
      </c>
      <c r="X373">
        <v>976.66</v>
      </c>
      <c r="AI373" t="s">
        <v>308</v>
      </c>
      <c r="AJ373" t="s">
        <v>258</v>
      </c>
      <c r="AK373">
        <v>45.970567441860467</v>
      </c>
    </row>
    <row r="374" spans="1:37" x14ac:dyDescent="0.35">
      <c r="A374">
        <v>7</v>
      </c>
      <c r="B374">
        <v>2023</v>
      </c>
      <c r="C374" t="s">
        <v>33</v>
      </c>
      <c r="D374" t="s">
        <v>34</v>
      </c>
      <c r="E374" t="s">
        <v>122</v>
      </c>
      <c r="F374" s="3" t="s">
        <v>36</v>
      </c>
      <c r="G374" s="2" t="s">
        <v>50</v>
      </c>
      <c r="H374" s="3">
        <v>47716</v>
      </c>
      <c r="I374" s="3">
        <v>2002</v>
      </c>
      <c r="J374" s="2" t="s">
        <v>310</v>
      </c>
      <c r="K374" t="s">
        <v>122</v>
      </c>
      <c r="L374" t="s">
        <v>267</v>
      </c>
      <c r="M374" t="s">
        <v>40</v>
      </c>
      <c r="O374" t="s">
        <v>34</v>
      </c>
      <c r="P374">
        <v>45138</v>
      </c>
      <c r="S374" s="6">
        <v>14583.55</v>
      </c>
      <c r="T374" t="s">
        <v>254</v>
      </c>
      <c r="W374" s="7">
        <v>500</v>
      </c>
      <c r="X374">
        <v>441.29600000000005</v>
      </c>
      <c r="AI374" t="s">
        <v>308</v>
      </c>
      <c r="AJ374" t="s">
        <v>258</v>
      </c>
      <c r="AK374">
        <v>29.167099999999998</v>
      </c>
    </row>
    <row r="375" spans="1:37" x14ac:dyDescent="0.35">
      <c r="A375">
        <v>7</v>
      </c>
      <c r="B375">
        <v>2023</v>
      </c>
      <c r="C375" t="s">
        <v>33</v>
      </c>
      <c r="D375" t="s">
        <v>34</v>
      </c>
      <c r="E375" t="s">
        <v>122</v>
      </c>
      <c r="F375" s="3" t="s">
        <v>36</v>
      </c>
      <c r="G375" s="2" t="s">
        <v>50</v>
      </c>
      <c r="H375" s="3">
        <v>47716</v>
      </c>
      <c r="I375" s="3">
        <v>2032</v>
      </c>
      <c r="J375" s="2" t="s">
        <v>338</v>
      </c>
      <c r="K375" t="s">
        <v>122</v>
      </c>
      <c r="L375" t="s">
        <v>267</v>
      </c>
      <c r="M375" t="s">
        <v>40</v>
      </c>
      <c r="O375" t="s">
        <v>34</v>
      </c>
      <c r="P375">
        <v>45138</v>
      </c>
      <c r="S375" s="6">
        <v>12606.22</v>
      </c>
      <c r="T375" t="s">
        <v>254</v>
      </c>
      <c r="W375" s="7">
        <v>544</v>
      </c>
      <c r="X375">
        <v>419.76000000000005</v>
      </c>
      <c r="AI375" t="s">
        <v>308</v>
      </c>
      <c r="AJ375" t="s">
        <v>258</v>
      </c>
      <c r="AK375">
        <v>23.173198529411764</v>
      </c>
    </row>
    <row r="376" spans="1:37" x14ac:dyDescent="0.35">
      <c r="A376">
        <v>7</v>
      </c>
      <c r="B376">
        <v>2023</v>
      </c>
      <c r="C376" t="s">
        <v>33</v>
      </c>
      <c r="D376" t="s">
        <v>34</v>
      </c>
      <c r="E376" t="s">
        <v>122</v>
      </c>
      <c r="F376" s="3" t="s">
        <v>36</v>
      </c>
      <c r="G376" s="2" t="s">
        <v>50</v>
      </c>
      <c r="H376" s="3">
        <v>47716</v>
      </c>
      <c r="I376" s="3">
        <v>1903</v>
      </c>
      <c r="J376" s="2" t="s">
        <v>293</v>
      </c>
      <c r="K376" t="s">
        <v>122</v>
      </c>
      <c r="L376" t="s">
        <v>267</v>
      </c>
      <c r="M376" t="s">
        <v>40</v>
      </c>
      <c r="O376" t="s">
        <v>34</v>
      </c>
      <c r="P376">
        <v>45138</v>
      </c>
      <c r="S376" s="6">
        <v>59398.9</v>
      </c>
      <c r="T376" t="s">
        <v>254</v>
      </c>
      <c r="W376" s="7">
        <v>1656</v>
      </c>
      <c r="X376">
        <v>1477.8899999999996</v>
      </c>
      <c r="AI376" t="s">
        <v>308</v>
      </c>
      <c r="AJ376" t="s">
        <v>258</v>
      </c>
      <c r="AK376">
        <v>35.868900966183574</v>
      </c>
    </row>
    <row r="377" spans="1:37" x14ac:dyDescent="0.35">
      <c r="A377">
        <v>8</v>
      </c>
      <c r="B377">
        <v>2023</v>
      </c>
      <c r="C377" t="s">
        <v>33</v>
      </c>
      <c r="D377" t="s">
        <v>34</v>
      </c>
      <c r="E377" t="s">
        <v>116</v>
      </c>
      <c r="F377" s="3" t="s">
        <v>36</v>
      </c>
      <c r="G377" s="2" t="s">
        <v>50</v>
      </c>
      <c r="H377" s="3">
        <v>47892</v>
      </c>
      <c r="I377" s="3">
        <v>1422</v>
      </c>
      <c r="J377" s="2" t="s">
        <v>339</v>
      </c>
      <c r="K377" t="s">
        <v>116</v>
      </c>
      <c r="L377" t="s">
        <v>267</v>
      </c>
      <c r="M377" t="s">
        <v>40</v>
      </c>
      <c r="O377" t="s">
        <v>34</v>
      </c>
      <c r="P377">
        <v>45147</v>
      </c>
      <c r="S377" s="6">
        <v>22656.799999999999</v>
      </c>
      <c r="T377" t="s">
        <v>254</v>
      </c>
      <c r="U377">
        <v>240</v>
      </c>
      <c r="W377" s="7">
        <v>1016</v>
      </c>
      <c r="X377">
        <v>530.86</v>
      </c>
      <c r="AI377" t="s">
        <v>116</v>
      </c>
      <c r="AJ377" t="s">
        <v>258</v>
      </c>
      <c r="AK377">
        <v>22.3</v>
      </c>
    </row>
    <row r="378" spans="1:37" x14ac:dyDescent="0.35">
      <c r="A378">
        <v>8</v>
      </c>
      <c r="B378">
        <v>2023</v>
      </c>
      <c r="C378" t="s">
        <v>33</v>
      </c>
      <c r="D378" t="s">
        <v>34</v>
      </c>
      <c r="E378" t="s">
        <v>116</v>
      </c>
      <c r="F378" s="3" t="s">
        <v>36</v>
      </c>
      <c r="G378" s="2" t="s">
        <v>50</v>
      </c>
      <c r="H378" s="3">
        <v>47892</v>
      </c>
      <c r="I378" s="3">
        <v>2029</v>
      </c>
      <c r="J378" s="2" t="s">
        <v>340</v>
      </c>
      <c r="K378" t="s">
        <v>116</v>
      </c>
      <c r="L378" t="s">
        <v>267</v>
      </c>
      <c r="M378" t="s">
        <v>40</v>
      </c>
      <c r="O378" t="s">
        <v>34</v>
      </c>
      <c r="P378">
        <v>45147</v>
      </c>
      <c r="S378" s="6">
        <v>32422</v>
      </c>
      <c r="T378" t="s">
        <v>254</v>
      </c>
      <c r="U378">
        <v>400</v>
      </c>
      <c r="W378" s="7">
        <v>1075</v>
      </c>
      <c r="X378">
        <v>1105.7</v>
      </c>
      <c r="AI378" t="s">
        <v>116</v>
      </c>
      <c r="AJ378" t="s">
        <v>258</v>
      </c>
      <c r="AK378">
        <v>30.16</v>
      </c>
    </row>
    <row r="379" spans="1:37" x14ac:dyDescent="0.35">
      <c r="A379">
        <v>8</v>
      </c>
      <c r="B379">
        <v>2023</v>
      </c>
      <c r="C379" t="s">
        <v>33</v>
      </c>
      <c r="D379" t="s">
        <v>34</v>
      </c>
      <c r="E379" t="s">
        <v>116</v>
      </c>
      <c r="F379" s="3" t="s">
        <v>36</v>
      </c>
      <c r="G379" s="2" t="s">
        <v>50</v>
      </c>
      <c r="H379" s="3">
        <v>47892</v>
      </c>
      <c r="I379" s="3">
        <v>1419</v>
      </c>
      <c r="J379" s="2" t="s">
        <v>341</v>
      </c>
      <c r="K379" t="s">
        <v>116</v>
      </c>
      <c r="L379" t="s">
        <v>267</v>
      </c>
      <c r="M379" t="s">
        <v>40</v>
      </c>
      <c r="O379" t="s">
        <v>34</v>
      </c>
      <c r="P379">
        <v>45147</v>
      </c>
      <c r="S379" s="6">
        <v>23408.799999999999</v>
      </c>
      <c r="T379" t="s">
        <v>254</v>
      </c>
      <c r="U379">
        <v>180</v>
      </c>
      <c r="W379" s="7">
        <v>2018</v>
      </c>
      <c r="X379">
        <v>1937.762999999999</v>
      </c>
      <c r="AI379" t="s">
        <v>116</v>
      </c>
      <c r="AJ379" t="s">
        <v>258</v>
      </c>
      <c r="AK379">
        <v>11.6</v>
      </c>
    </row>
    <row r="380" spans="1:37" x14ac:dyDescent="0.35">
      <c r="A380">
        <v>8</v>
      </c>
      <c r="B380">
        <v>2023</v>
      </c>
      <c r="C380" t="s">
        <v>33</v>
      </c>
      <c r="D380" t="s">
        <v>34</v>
      </c>
      <c r="E380" t="s">
        <v>116</v>
      </c>
      <c r="F380" s="3" t="s">
        <v>36</v>
      </c>
      <c r="G380" s="2" t="s">
        <v>50</v>
      </c>
      <c r="H380" s="3">
        <v>47892</v>
      </c>
      <c r="I380" s="3">
        <v>1419</v>
      </c>
      <c r="J380" s="2" t="s">
        <v>341</v>
      </c>
      <c r="K380" t="s">
        <v>116</v>
      </c>
      <c r="L380" t="s">
        <v>267</v>
      </c>
      <c r="M380" t="s">
        <v>40</v>
      </c>
      <c r="O380" t="s">
        <v>34</v>
      </c>
      <c r="P380">
        <v>45147</v>
      </c>
      <c r="S380" s="6">
        <v>29081.200000000001</v>
      </c>
      <c r="T380" t="s">
        <v>254</v>
      </c>
      <c r="U380">
        <v>180</v>
      </c>
      <c r="W380" s="7">
        <v>2507</v>
      </c>
      <c r="X380">
        <v>1937.762999999999</v>
      </c>
      <c r="AI380" t="s">
        <v>116</v>
      </c>
      <c r="AJ380" t="s">
        <v>258</v>
      </c>
      <c r="AK380">
        <v>11.6</v>
      </c>
    </row>
    <row r="381" spans="1:37" x14ac:dyDescent="0.35">
      <c r="A381">
        <v>8</v>
      </c>
      <c r="B381">
        <v>2023</v>
      </c>
      <c r="C381" t="s">
        <v>33</v>
      </c>
      <c r="D381" t="s">
        <v>34</v>
      </c>
      <c r="E381" t="s">
        <v>42</v>
      </c>
      <c r="F381" s="3" t="s">
        <v>36</v>
      </c>
      <c r="G381" s="2" t="s">
        <v>43</v>
      </c>
      <c r="H381" s="3">
        <v>48173</v>
      </c>
      <c r="I381" s="3">
        <v>1226</v>
      </c>
      <c r="J381" s="2" t="s">
        <v>266</v>
      </c>
      <c r="K381" t="s">
        <v>42</v>
      </c>
      <c r="L381" t="s">
        <v>267</v>
      </c>
      <c r="M381" t="s">
        <v>40</v>
      </c>
      <c r="O381" t="s">
        <v>297</v>
      </c>
      <c r="P381">
        <v>45160</v>
      </c>
      <c r="S381" s="6">
        <v>63507.6</v>
      </c>
      <c r="T381" t="s">
        <v>254</v>
      </c>
      <c r="U381">
        <v>260</v>
      </c>
      <c r="W381" s="7">
        <v>4071</v>
      </c>
      <c r="X381">
        <v>2579.8800000000006</v>
      </c>
      <c r="AI381" t="s">
        <v>255</v>
      </c>
      <c r="AJ381" t="s">
        <v>262</v>
      </c>
      <c r="AK381">
        <v>15.6</v>
      </c>
    </row>
    <row r="382" spans="1:37" x14ac:dyDescent="0.35">
      <c r="A382">
        <v>8</v>
      </c>
      <c r="B382">
        <v>2023</v>
      </c>
      <c r="C382" t="s">
        <v>33</v>
      </c>
      <c r="D382" t="s">
        <v>34</v>
      </c>
      <c r="E382" t="s">
        <v>42</v>
      </c>
      <c r="F382" s="3" t="s">
        <v>36</v>
      </c>
      <c r="G382" s="2" t="s">
        <v>43</v>
      </c>
      <c r="H382" s="3">
        <v>48173</v>
      </c>
      <c r="I382" s="3">
        <v>2157</v>
      </c>
      <c r="J382" s="2" t="s">
        <v>337</v>
      </c>
      <c r="K382" t="s">
        <v>42</v>
      </c>
      <c r="L382" t="s">
        <v>267</v>
      </c>
      <c r="M382" t="s">
        <v>40</v>
      </c>
      <c r="O382" t="s">
        <v>297</v>
      </c>
      <c r="P382">
        <v>45160</v>
      </c>
      <c r="S382" s="6">
        <v>12546</v>
      </c>
      <c r="T382" t="s">
        <v>254</v>
      </c>
      <c r="U382">
        <v>300</v>
      </c>
      <c r="W382" s="7">
        <v>510</v>
      </c>
      <c r="X382">
        <v>347.22</v>
      </c>
      <c r="AI382" t="s">
        <v>255</v>
      </c>
      <c r="AJ382" t="s">
        <v>262</v>
      </c>
      <c r="AK382">
        <v>24.6</v>
      </c>
    </row>
    <row r="383" spans="1:37" x14ac:dyDescent="0.35">
      <c r="A383">
        <v>8</v>
      </c>
      <c r="B383">
        <v>2023</v>
      </c>
      <c r="C383" t="s">
        <v>33</v>
      </c>
      <c r="D383" t="s">
        <v>34</v>
      </c>
      <c r="E383" t="s">
        <v>42</v>
      </c>
      <c r="F383" s="3" t="s">
        <v>36</v>
      </c>
      <c r="G383" s="2" t="s">
        <v>43</v>
      </c>
      <c r="H383" s="3">
        <v>48173</v>
      </c>
      <c r="I383" s="3">
        <v>1225</v>
      </c>
      <c r="J383" s="2" t="s">
        <v>292</v>
      </c>
      <c r="K383" t="s">
        <v>42</v>
      </c>
      <c r="L383" t="s">
        <v>267</v>
      </c>
      <c r="M383" t="s">
        <v>40</v>
      </c>
      <c r="O383" t="s">
        <v>297</v>
      </c>
      <c r="P383">
        <v>45160</v>
      </c>
      <c r="S383" s="6">
        <v>106798.67</v>
      </c>
      <c r="T383" t="s">
        <v>254</v>
      </c>
      <c r="U383">
        <v>240</v>
      </c>
      <c r="W383" s="7">
        <v>6939.4849999999997</v>
      </c>
      <c r="X383">
        <v>4129.12</v>
      </c>
      <c r="AI383" t="s">
        <v>255</v>
      </c>
      <c r="AJ383" t="s">
        <v>262</v>
      </c>
      <c r="AK383">
        <v>15.389999401972913</v>
      </c>
    </row>
    <row r="384" spans="1:37" x14ac:dyDescent="0.35">
      <c r="A384">
        <v>8</v>
      </c>
      <c r="B384">
        <v>2023</v>
      </c>
      <c r="C384" t="s">
        <v>33</v>
      </c>
      <c r="D384" t="s">
        <v>34</v>
      </c>
      <c r="E384" t="s">
        <v>42</v>
      </c>
      <c r="F384" s="3" t="s">
        <v>36</v>
      </c>
      <c r="G384" s="2" t="s">
        <v>43</v>
      </c>
      <c r="H384" s="3">
        <v>48173</v>
      </c>
      <c r="I384" s="3">
        <v>1236</v>
      </c>
      <c r="J384" s="2" t="s">
        <v>264</v>
      </c>
      <c r="K384" t="s">
        <v>42</v>
      </c>
      <c r="L384" t="s">
        <v>267</v>
      </c>
      <c r="M384" t="s">
        <v>40</v>
      </c>
      <c r="O384" t="s">
        <v>297</v>
      </c>
      <c r="P384">
        <v>45160</v>
      </c>
      <c r="S384" s="6">
        <v>7079.8</v>
      </c>
      <c r="T384" t="s">
        <v>254</v>
      </c>
      <c r="U384">
        <v>240</v>
      </c>
      <c r="W384" s="7">
        <v>389</v>
      </c>
      <c r="X384">
        <v>199.56</v>
      </c>
      <c r="AI384" t="s">
        <v>255</v>
      </c>
      <c r="AJ384" t="s">
        <v>262</v>
      </c>
      <c r="AK384">
        <v>18.2</v>
      </c>
    </row>
    <row r="385" spans="1:37" x14ac:dyDescent="0.35">
      <c r="A385">
        <v>8</v>
      </c>
      <c r="B385">
        <v>2023</v>
      </c>
      <c r="C385" t="s">
        <v>33</v>
      </c>
      <c r="D385" t="s">
        <v>34</v>
      </c>
      <c r="E385" t="s">
        <v>42</v>
      </c>
      <c r="F385" s="3" t="s">
        <v>36</v>
      </c>
      <c r="G385" s="2" t="s">
        <v>43</v>
      </c>
      <c r="H385" s="3">
        <v>48173</v>
      </c>
      <c r="I385" s="3">
        <v>1523</v>
      </c>
      <c r="J385" s="2" t="s">
        <v>282</v>
      </c>
      <c r="K385" t="s">
        <v>42</v>
      </c>
      <c r="L385" t="s">
        <v>267</v>
      </c>
      <c r="M385" t="s">
        <v>40</v>
      </c>
      <c r="O385" t="s">
        <v>297</v>
      </c>
      <c r="P385">
        <v>45160</v>
      </c>
      <c r="S385" s="6">
        <v>4464</v>
      </c>
      <c r="T385" t="s">
        <v>254</v>
      </c>
      <c r="W385" s="7">
        <v>600</v>
      </c>
      <c r="X385">
        <v>119.74</v>
      </c>
      <c r="AI385" t="s">
        <v>255</v>
      </c>
      <c r="AJ385" t="s">
        <v>262</v>
      </c>
      <c r="AK385">
        <v>7.44</v>
      </c>
    </row>
    <row r="386" spans="1:37" x14ac:dyDescent="0.35">
      <c r="A386">
        <v>8</v>
      </c>
      <c r="B386">
        <v>2023</v>
      </c>
      <c r="C386" t="s">
        <v>33</v>
      </c>
      <c r="D386" t="s">
        <v>34</v>
      </c>
      <c r="E386" t="s">
        <v>42</v>
      </c>
      <c r="F386" s="3" t="s">
        <v>36</v>
      </c>
      <c r="G386" s="2" t="s">
        <v>43</v>
      </c>
      <c r="H386" s="3">
        <v>48173</v>
      </c>
      <c r="I386" s="3">
        <v>1504</v>
      </c>
      <c r="J386" s="2" t="s">
        <v>263</v>
      </c>
      <c r="K386" t="s">
        <v>42</v>
      </c>
      <c r="L386" t="s">
        <v>267</v>
      </c>
      <c r="M386" t="s">
        <v>40</v>
      </c>
      <c r="O386" t="s">
        <v>297</v>
      </c>
      <c r="P386">
        <v>45160</v>
      </c>
      <c r="S386" s="6">
        <v>74337.64</v>
      </c>
      <c r="T386" t="s">
        <v>254</v>
      </c>
      <c r="U386">
        <v>240</v>
      </c>
      <c r="W386" s="7">
        <v>4846</v>
      </c>
      <c r="X386">
        <v>2743.2800000000007</v>
      </c>
      <c r="AI386" t="s">
        <v>255</v>
      </c>
      <c r="AJ386" t="s">
        <v>262</v>
      </c>
      <c r="AK386">
        <v>15.34</v>
      </c>
    </row>
    <row r="387" spans="1:37" x14ac:dyDescent="0.35">
      <c r="A387">
        <v>8</v>
      </c>
      <c r="B387">
        <v>2023</v>
      </c>
      <c r="C387" t="s">
        <v>33</v>
      </c>
      <c r="D387" t="s">
        <v>34</v>
      </c>
      <c r="E387" t="s">
        <v>42</v>
      </c>
      <c r="F387" s="3" t="s">
        <v>36</v>
      </c>
      <c r="G387" s="2" t="s">
        <v>43</v>
      </c>
      <c r="H387" s="3">
        <v>48173</v>
      </c>
      <c r="I387" s="3">
        <v>1506</v>
      </c>
      <c r="J387" s="2" t="s">
        <v>253</v>
      </c>
      <c r="K387" t="s">
        <v>42</v>
      </c>
      <c r="L387" t="s">
        <v>267</v>
      </c>
      <c r="M387" t="s">
        <v>40</v>
      </c>
      <c r="O387" t="s">
        <v>297</v>
      </c>
      <c r="P387">
        <v>45160</v>
      </c>
      <c r="S387" s="6">
        <v>45791.199999999997</v>
      </c>
      <c r="T387" t="s">
        <v>254</v>
      </c>
      <c r="U387">
        <v>280</v>
      </c>
      <c r="W387" s="7">
        <v>2516</v>
      </c>
      <c r="X387">
        <v>1614.48</v>
      </c>
      <c r="AI387" t="s">
        <v>255</v>
      </c>
      <c r="AJ387" t="s">
        <v>262</v>
      </c>
      <c r="AK387">
        <v>18.2</v>
      </c>
    </row>
    <row r="388" spans="1:37" x14ac:dyDescent="0.35">
      <c r="A388">
        <v>8</v>
      </c>
      <c r="B388">
        <v>2023</v>
      </c>
      <c r="C388" t="s">
        <v>33</v>
      </c>
      <c r="D388" t="s">
        <v>34</v>
      </c>
      <c r="E388" t="s">
        <v>42</v>
      </c>
      <c r="F388" s="3" t="s">
        <v>36</v>
      </c>
      <c r="G388" s="2" t="s">
        <v>43</v>
      </c>
      <c r="H388" s="3">
        <v>48343</v>
      </c>
      <c r="I388" s="3">
        <v>1504</v>
      </c>
      <c r="J388" s="2" t="s">
        <v>263</v>
      </c>
      <c r="K388" t="s">
        <v>42</v>
      </c>
      <c r="L388" t="s">
        <v>267</v>
      </c>
      <c r="M388" t="s">
        <v>40</v>
      </c>
      <c r="O388" t="s">
        <v>297</v>
      </c>
      <c r="P388">
        <v>45168</v>
      </c>
      <c r="S388" s="6">
        <v>2678.57</v>
      </c>
      <c r="T388" t="s">
        <v>254</v>
      </c>
      <c r="U388">
        <v>240</v>
      </c>
      <c r="W388" s="7">
        <v>186</v>
      </c>
      <c r="X388">
        <v>105.64</v>
      </c>
      <c r="AI388" t="s">
        <v>255</v>
      </c>
      <c r="AJ388" t="s">
        <v>262</v>
      </c>
      <c r="AK388">
        <v>14.400913978494625</v>
      </c>
    </row>
    <row r="389" spans="1:37" x14ac:dyDescent="0.35">
      <c r="A389">
        <v>8</v>
      </c>
      <c r="B389">
        <v>2023</v>
      </c>
      <c r="C389" t="s">
        <v>33</v>
      </c>
      <c r="D389" t="s">
        <v>34</v>
      </c>
      <c r="E389" t="s">
        <v>42</v>
      </c>
      <c r="F389" s="3" t="s">
        <v>36</v>
      </c>
      <c r="G389" s="2" t="s">
        <v>43</v>
      </c>
      <c r="H389" s="3">
        <v>48343</v>
      </c>
      <c r="I389" s="3">
        <v>1525</v>
      </c>
      <c r="J389" s="2" t="s">
        <v>283</v>
      </c>
      <c r="K389" t="s">
        <v>42</v>
      </c>
      <c r="L389" t="s">
        <v>267</v>
      </c>
      <c r="M389" t="s">
        <v>40</v>
      </c>
      <c r="O389" t="s">
        <v>297</v>
      </c>
      <c r="P389">
        <v>45168</v>
      </c>
      <c r="S389" s="6">
        <v>35087.86</v>
      </c>
      <c r="T389" t="s">
        <v>254</v>
      </c>
      <c r="U389">
        <v>320</v>
      </c>
      <c r="W389" s="7">
        <v>1913</v>
      </c>
      <c r="X389">
        <v>1338.3899999999999</v>
      </c>
      <c r="AI389" t="s">
        <v>255</v>
      </c>
      <c r="AJ389" t="s">
        <v>262</v>
      </c>
      <c r="AK389">
        <v>18.341798222686879</v>
      </c>
    </row>
    <row r="390" spans="1:37" x14ac:dyDescent="0.35">
      <c r="A390">
        <v>8</v>
      </c>
      <c r="B390">
        <v>2023</v>
      </c>
      <c r="C390" t="s">
        <v>33</v>
      </c>
      <c r="D390" t="s">
        <v>34</v>
      </c>
      <c r="E390" t="s">
        <v>42</v>
      </c>
      <c r="F390" s="3" t="s">
        <v>36</v>
      </c>
      <c r="G390" s="2" t="s">
        <v>43</v>
      </c>
      <c r="H390" s="3">
        <v>48343</v>
      </c>
      <c r="I390" s="3">
        <v>2339</v>
      </c>
      <c r="J390" s="2" t="s">
        <v>342</v>
      </c>
      <c r="K390" t="s">
        <v>42</v>
      </c>
      <c r="L390" t="s">
        <v>267</v>
      </c>
      <c r="M390" t="s">
        <v>40</v>
      </c>
      <c r="O390" t="s">
        <v>297</v>
      </c>
      <c r="P390">
        <v>45168</v>
      </c>
      <c r="S390" s="6">
        <v>10946.7</v>
      </c>
      <c r="T390" t="s">
        <v>254</v>
      </c>
      <c r="W390" s="7">
        <v>1500</v>
      </c>
      <c r="X390">
        <v>313.5</v>
      </c>
      <c r="AI390" t="s">
        <v>255</v>
      </c>
      <c r="AJ390" t="s">
        <v>262</v>
      </c>
      <c r="AK390">
        <v>7.2978000000000005</v>
      </c>
    </row>
    <row r="391" spans="1:37" x14ac:dyDescent="0.35">
      <c r="A391">
        <v>8</v>
      </c>
      <c r="B391">
        <v>2023</v>
      </c>
      <c r="C391" t="s">
        <v>33</v>
      </c>
      <c r="D391" t="s">
        <v>34</v>
      </c>
      <c r="E391" t="s">
        <v>42</v>
      </c>
      <c r="F391" s="3" t="s">
        <v>36</v>
      </c>
      <c r="G391" s="2" t="s">
        <v>43</v>
      </c>
      <c r="H391" s="3">
        <v>48343</v>
      </c>
      <c r="I391" s="3">
        <v>1236</v>
      </c>
      <c r="J391" s="2" t="s">
        <v>264</v>
      </c>
      <c r="K391" t="s">
        <v>42</v>
      </c>
      <c r="L391" t="s">
        <v>267</v>
      </c>
      <c r="M391" t="s">
        <v>40</v>
      </c>
      <c r="O391" t="s">
        <v>297</v>
      </c>
      <c r="P391">
        <v>45168</v>
      </c>
      <c r="S391" s="6">
        <v>44528.74</v>
      </c>
      <c r="T391" t="s">
        <v>254</v>
      </c>
      <c r="U391">
        <v>240</v>
      </c>
      <c r="W391" s="7">
        <v>2615</v>
      </c>
      <c r="X391">
        <v>1398.96</v>
      </c>
      <c r="AI391" t="s">
        <v>255</v>
      </c>
      <c r="AJ391" t="s">
        <v>262</v>
      </c>
      <c r="AK391">
        <v>17.028198852772466</v>
      </c>
    </row>
    <row r="392" spans="1:37" x14ac:dyDescent="0.35">
      <c r="A392">
        <v>9</v>
      </c>
      <c r="B392">
        <v>2023</v>
      </c>
      <c r="C392" t="s">
        <v>33</v>
      </c>
      <c r="D392" t="s">
        <v>34</v>
      </c>
      <c r="E392" t="s">
        <v>344</v>
      </c>
      <c r="F392" s="3" t="s">
        <v>36</v>
      </c>
      <c r="G392" s="2" t="s">
        <v>37</v>
      </c>
      <c r="H392" s="3">
        <v>48652</v>
      </c>
      <c r="I392" s="3">
        <v>2208</v>
      </c>
      <c r="J392" s="2" t="s">
        <v>343</v>
      </c>
      <c r="K392" t="s">
        <v>207</v>
      </c>
      <c r="L392" t="s">
        <v>267</v>
      </c>
      <c r="M392" t="s">
        <v>40</v>
      </c>
      <c r="O392" t="s">
        <v>297</v>
      </c>
      <c r="P392">
        <v>45187</v>
      </c>
      <c r="S392" s="6">
        <v>9608.23</v>
      </c>
      <c r="T392" t="s">
        <v>254</v>
      </c>
      <c r="W392" s="7">
        <v>1716</v>
      </c>
      <c r="X392">
        <v>343.2</v>
      </c>
      <c r="AI392" t="s">
        <v>344</v>
      </c>
      <c r="AJ392" t="s">
        <v>258</v>
      </c>
      <c r="AK392">
        <v>5.5992016317016313</v>
      </c>
    </row>
    <row r="393" spans="1:37" x14ac:dyDescent="0.35">
      <c r="A393">
        <v>9</v>
      </c>
      <c r="B393">
        <v>2023</v>
      </c>
      <c r="C393" t="s">
        <v>33</v>
      </c>
      <c r="D393" t="s">
        <v>34</v>
      </c>
      <c r="E393" t="s">
        <v>344</v>
      </c>
      <c r="F393" s="3" t="s">
        <v>36</v>
      </c>
      <c r="G393" s="2" t="s">
        <v>37</v>
      </c>
      <c r="H393" s="3">
        <v>48652</v>
      </c>
      <c r="I393" s="3">
        <v>2210</v>
      </c>
      <c r="J393" s="2" t="s">
        <v>345</v>
      </c>
      <c r="K393" t="s">
        <v>207</v>
      </c>
      <c r="L393" t="s">
        <v>267</v>
      </c>
      <c r="M393" t="s">
        <v>40</v>
      </c>
      <c r="O393" t="s">
        <v>297</v>
      </c>
      <c r="P393">
        <v>45187</v>
      </c>
      <c r="S393" s="6">
        <v>16781.13</v>
      </c>
      <c r="T393" t="s">
        <v>254</v>
      </c>
      <c r="U393">
        <v>180</v>
      </c>
      <c r="W393" s="7">
        <v>1814</v>
      </c>
      <c r="X393">
        <v>772.29000000000019</v>
      </c>
      <c r="AI393" t="s">
        <v>344</v>
      </c>
      <c r="AJ393" t="s">
        <v>258</v>
      </c>
      <c r="AK393">
        <v>9.2508985667034178</v>
      </c>
    </row>
    <row r="394" spans="1:37" x14ac:dyDescent="0.35">
      <c r="A394">
        <v>9</v>
      </c>
      <c r="B394">
        <v>2023</v>
      </c>
      <c r="C394" t="s">
        <v>33</v>
      </c>
      <c r="D394" t="s">
        <v>34</v>
      </c>
      <c r="E394" t="s">
        <v>344</v>
      </c>
      <c r="F394" s="3" t="s">
        <v>36</v>
      </c>
      <c r="G394" s="2" t="s">
        <v>37</v>
      </c>
      <c r="H394" s="3">
        <v>48652</v>
      </c>
      <c r="I394" s="3">
        <v>2207</v>
      </c>
      <c r="J394" s="2" t="s">
        <v>346</v>
      </c>
      <c r="K394" t="s">
        <v>207</v>
      </c>
      <c r="L394" t="s">
        <v>267</v>
      </c>
      <c r="M394" t="s">
        <v>40</v>
      </c>
      <c r="O394" t="s">
        <v>297</v>
      </c>
      <c r="P394">
        <v>45187</v>
      </c>
      <c r="S394" s="6">
        <v>8965.48</v>
      </c>
      <c r="T394" t="s">
        <v>254</v>
      </c>
      <c r="U394">
        <v>200</v>
      </c>
      <c r="W394" s="7">
        <v>1188</v>
      </c>
      <c r="X394">
        <v>510.98</v>
      </c>
      <c r="AI394" t="s">
        <v>344</v>
      </c>
      <c r="AJ394" t="s">
        <v>258</v>
      </c>
      <c r="AK394">
        <v>7.5467003367003365</v>
      </c>
    </row>
    <row r="395" spans="1:37" x14ac:dyDescent="0.35">
      <c r="A395">
        <v>9</v>
      </c>
      <c r="B395">
        <v>2023</v>
      </c>
      <c r="C395" t="s">
        <v>33</v>
      </c>
      <c r="D395" t="s">
        <v>34</v>
      </c>
      <c r="E395" t="s">
        <v>344</v>
      </c>
      <c r="F395" s="3" t="s">
        <v>36</v>
      </c>
      <c r="G395" s="2" t="s">
        <v>37</v>
      </c>
      <c r="H395" s="3">
        <v>48652</v>
      </c>
      <c r="I395" s="3">
        <v>2202</v>
      </c>
      <c r="J395" s="2" t="s">
        <v>347</v>
      </c>
      <c r="K395" t="s">
        <v>207</v>
      </c>
      <c r="L395" t="s">
        <v>267</v>
      </c>
      <c r="M395" t="s">
        <v>40</v>
      </c>
      <c r="O395" t="s">
        <v>297</v>
      </c>
      <c r="P395">
        <v>45187</v>
      </c>
      <c r="S395" s="6">
        <v>9535.2199999999993</v>
      </c>
      <c r="T395" t="s">
        <v>254</v>
      </c>
      <c r="U395">
        <v>300</v>
      </c>
      <c r="W395" s="7">
        <v>576</v>
      </c>
      <c r="X395">
        <v>434.68</v>
      </c>
      <c r="AI395" t="s">
        <v>344</v>
      </c>
      <c r="AJ395" t="s">
        <v>258</v>
      </c>
      <c r="AK395">
        <v>16.554201388888888</v>
      </c>
    </row>
    <row r="396" spans="1:37" x14ac:dyDescent="0.35">
      <c r="A396">
        <v>9</v>
      </c>
      <c r="B396">
        <v>2023</v>
      </c>
      <c r="C396" t="s">
        <v>33</v>
      </c>
      <c r="D396" t="s">
        <v>34</v>
      </c>
      <c r="E396" t="s">
        <v>344</v>
      </c>
      <c r="F396" s="3" t="s">
        <v>36</v>
      </c>
      <c r="G396" s="2" t="s">
        <v>37</v>
      </c>
      <c r="H396" s="3">
        <v>48652</v>
      </c>
      <c r="I396" s="3">
        <v>2209</v>
      </c>
      <c r="J396" s="2" t="s">
        <v>348</v>
      </c>
      <c r="K396" t="s">
        <v>207</v>
      </c>
      <c r="L396" t="s">
        <v>267</v>
      </c>
      <c r="M396" t="s">
        <v>40</v>
      </c>
      <c r="O396" t="s">
        <v>297</v>
      </c>
      <c r="P396">
        <v>45187</v>
      </c>
      <c r="S396" s="6">
        <v>11165.84</v>
      </c>
      <c r="T396" t="s">
        <v>254</v>
      </c>
      <c r="U396">
        <v>200</v>
      </c>
      <c r="W396" s="7">
        <v>1207</v>
      </c>
      <c r="X396">
        <v>524.68000000000006</v>
      </c>
      <c r="AI396" t="s">
        <v>344</v>
      </c>
      <c r="AJ396" t="s">
        <v>258</v>
      </c>
      <c r="AK396">
        <v>9.2509030654515332</v>
      </c>
    </row>
    <row r="397" spans="1:37" x14ac:dyDescent="0.35">
      <c r="A397">
        <v>9</v>
      </c>
      <c r="B397">
        <v>2023</v>
      </c>
      <c r="C397" t="s">
        <v>33</v>
      </c>
      <c r="D397" t="s">
        <v>34</v>
      </c>
      <c r="E397" t="s">
        <v>344</v>
      </c>
      <c r="F397" s="3" t="s">
        <v>36</v>
      </c>
      <c r="G397" s="2" t="s">
        <v>37</v>
      </c>
      <c r="H397" s="3">
        <v>48652</v>
      </c>
      <c r="I397" s="3">
        <v>2205</v>
      </c>
      <c r="J397" s="2" t="s">
        <v>349</v>
      </c>
      <c r="K397" t="s">
        <v>207</v>
      </c>
      <c r="L397" t="s">
        <v>267</v>
      </c>
      <c r="M397" t="s">
        <v>40</v>
      </c>
      <c r="O397" t="s">
        <v>297</v>
      </c>
      <c r="P397">
        <v>45187</v>
      </c>
      <c r="S397" s="6">
        <v>13730.23</v>
      </c>
      <c r="T397" t="s">
        <v>254</v>
      </c>
      <c r="U397">
        <v>200</v>
      </c>
      <c r="W397" s="7">
        <v>1175</v>
      </c>
      <c r="X397">
        <v>608.41999999999996</v>
      </c>
      <c r="AI397" t="s">
        <v>344</v>
      </c>
      <c r="AJ397" t="s">
        <v>258</v>
      </c>
      <c r="AK397">
        <v>11.685302127659574</v>
      </c>
    </row>
    <row r="398" spans="1:37" x14ac:dyDescent="0.35">
      <c r="A398">
        <v>9</v>
      </c>
      <c r="B398">
        <v>2023</v>
      </c>
      <c r="C398" t="s">
        <v>33</v>
      </c>
      <c r="D398" t="s">
        <v>34</v>
      </c>
      <c r="E398" t="s">
        <v>344</v>
      </c>
      <c r="F398" s="3" t="s">
        <v>36</v>
      </c>
      <c r="G398" s="2" t="s">
        <v>37</v>
      </c>
      <c r="H398" s="3">
        <v>48652</v>
      </c>
      <c r="I398" s="3">
        <v>2203</v>
      </c>
      <c r="J398" s="2" t="s">
        <v>350</v>
      </c>
      <c r="K398" t="s">
        <v>207</v>
      </c>
      <c r="L398" t="s">
        <v>267</v>
      </c>
      <c r="M398" t="s">
        <v>40</v>
      </c>
      <c r="O398" t="s">
        <v>297</v>
      </c>
      <c r="P398">
        <v>45187</v>
      </c>
      <c r="S398" s="6">
        <v>17273.84</v>
      </c>
      <c r="T398" t="s">
        <v>254</v>
      </c>
      <c r="U398">
        <v>280</v>
      </c>
      <c r="W398" s="7">
        <v>1095</v>
      </c>
      <c r="X398">
        <v>720.25999999999976</v>
      </c>
      <c r="AI398" t="s">
        <v>344</v>
      </c>
      <c r="AJ398" t="s">
        <v>258</v>
      </c>
      <c r="AK398">
        <v>15.775196347031963</v>
      </c>
    </row>
    <row r="399" spans="1:37" x14ac:dyDescent="0.35">
      <c r="A399">
        <v>9</v>
      </c>
      <c r="B399">
        <v>2023</v>
      </c>
      <c r="C399" t="s">
        <v>33</v>
      </c>
      <c r="D399" t="s">
        <v>34</v>
      </c>
      <c r="E399" t="s">
        <v>344</v>
      </c>
      <c r="F399" s="3" t="s">
        <v>36</v>
      </c>
      <c r="G399" s="2" t="s">
        <v>37</v>
      </c>
      <c r="H399" s="3">
        <v>48652</v>
      </c>
      <c r="I399" s="3">
        <v>2206</v>
      </c>
      <c r="J399" s="2" t="s">
        <v>351</v>
      </c>
      <c r="K399" t="s">
        <v>207</v>
      </c>
      <c r="L399" t="s">
        <v>267</v>
      </c>
      <c r="M399" t="s">
        <v>40</v>
      </c>
      <c r="O399" t="s">
        <v>297</v>
      </c>
      <c r="P399">
        <v>45187</v>
      </c>
      <c r="S399" s="6">
        <v>25220.720000000001</v>
      </c>
      <c r="T399" t="s">
        <v>254</v>
      </c>
      <c r="U399">
        <v>180</v>
      </c>
      <c r="W399" s="7">
        <v>2800</v>
      </c>
      <c r="X399">
        <v>1205.0499999999997</v>
      </c>
      <c r="AI399" t="s">
        <v>344</v>
      </c>
      <c r="AJ399" t="s">
        <v>258</v>
      </c>
      <c r="AK399">
        <v>9.0074000000000005</v>
      </c>
    </row>
    <row r="400" spans="1:37" x14ac:dyDescent="0.35">
      <c r="A400">
        <v>9</v>
      </c>
      <c r="B400">
        <v>2023</v>
      </c>
      <c r="C400" t="s">
        <v>33</v>
      </c>
      <c r="D400" t="s">
        <v>34</v>
      </c>
      <c r="E400" t="s">
        <v>344</v>
      </c>
      <c r="F400" s="3" t="s">
        <v>36</v>
      </c>
      <c r="G400" s="2" t="s">
        <v>37</v>
      </c>
      <c r="H400" s="3">
        <v>48652</v>
      </c>
      <c r="I400" s="3">
        <v>2204</v>
      </c>
      <c r="J400" s="2" t="s">
        <v>352</v>
      </c>
      <c r="K400" t="s">
        <v>207</v>
      </c>
      <c r="L400" t="s">
        <v>267</v>
      </c>
      <c r="M400" t="s">
        <v>40</v>
      </c>
      <c r="O400" t="s">
        <v>297</v>
      </c>
      <c r="P400">
        <v>45187</v>
      </c>
      <c r="S400" s="6">
        <v>11761.76</v>
      </c>
      <c r="T400" t="s">
        <v>254</v>
      </c>
      <c r="U400">
        <v>200</v>
      </c>
      <c r="W400" s="7">
        <v>1421</v>
      </c>
      <c r="X400">
        <v>593.3599999999999</v>
      </c>
      <c r="AI400" t="s">
        <v>344</v>
      </c>
      <c r="AJ400" t="s">
        <v>258</v>
      </c>
      <c r="AK400">
        <v>8.2771006333567918</v>
      </c>
    </row>
    <row r="401" spans="1:37" x14ac:dyDescent="0.35">
      <c r="A401">
        <v>9</v>
      </c>
      <c r="B401">
        <v>2023</v>
      </c>
      <c r="C401" t="s">
        <v>33</v>
      </c>
      <c r="D401" t="s">
        <v>34</v>
      </c>
      <c r="E401" t="s">
        <v>116</v>
      </c>
      <c r="F401" s="3" t="s">
        <v>36</v>
      </c>
      <c r="G401" s="2" t="s">
        <v>50</v>
      </c>
      <c r="H401" s="3">
        <v>48969</v>
      </c>
      <c r="I401" s="3">
        <v>1419</v>
      </c>
      <c r="J401" s="2" t="s">
        <v>341</v>
      </c>
      <c r="K401" t="s">
        <v>116</v>
      </c>
      <c r="L401" t="s">
        <v>267</v>
      </c>
      <c r="M401" t="s">
        <v>40</v>
      </c>
      <c r="O401" t="s">
        <v>34</v>
      </c>
      <c r="P401">
        <v>45199</v>
      </c>
      <c r="S401" s="6">
        <v>47682.35</v>
      </c>
      <c r="T401" t="s">
        <v>254</v>
      </c>
      <c r="U401">
        <v>180</v>
      </c>
      <c r="W401" s="7">
        <v>4232</v>
      </c>
      <c r="X401">
        <v>1850.2300000000007</v>
      </c>
      <c r="AI401" t="s">
        <v>116</v>
      </c>
      <c r="AJ401" t="s">
        <v>258</v>
      </c>
      <c r="AK401">
        <v>11.267095935727788</v>
      </c>
    </row>
    <row r="402" spans="1:37" x14ac:dyDescent="0.35">
      <c r="A402">
        <v>9</v>
      </c>
      <c r="B402">
        <v>2023</v>
      </c>
      <c r="C402" t="s">
        <v>33</v>
      </c>
      <c r="D402" t="s">
        <v>34</v>
      </c>
      <c r="E402" t="s">
        <v>116</v>
      </c>
      <c r="F402" s="3" t="s">
        <v>36</v>
      </c>
      <c r="G402" s="2" t="s">
        <v>50</v>
      </c>
      <c r="H402" s="3">
        <v>48969</v>
      </c>
      <c r="I402" s="3">
        <v>1422</v>
      </c>
      <c r="J402" s="2" t="s">
        <v>339</v>
      </c>
      <c r="K402" t="s">
        <v>116</v>
      </c>
      <c r="L402" t="s">
        <v>267</v>
      </c>
      <c r="M402" t="s">
        <v>40</v>
      </c>
      <c r="O402" t="s">
        <v>34</v>
      </c>
      <c r="P402">
        <v>45199</v>
      </c>
      <c r="S402" s="6">
        <v>40121.89</v>
      </c>
      <c r="T402" t="s">
        <v>254</v>
      </c>
      <c r="U402">
        <v>240</v>
      </c>
      <c r="W402" s="7">
        <v>1383</v>
      </c>
      <c r="X402">
        <v>760.34</v>
      </c>
      <c r="AI402" t="s">
        <v>116</v>
      </c>
      <c r="AJ402" t="s">
        <v>258</v>
      </c>
      <c r="AK402">
        <v>29.010766449746928</v>
      </c>
    </row>
    <row r="403" spans="1:37" x14ac:dyDescent="0.35">
      <c r="A403">
        <v>9</v>
      </c>
      <c r="B403">
        <v>2023</v>
      </c>
      <c r="C403" t="s">
        <v>33</v>
      </c>
      <c r="D403" t="s">
        <v>34</v>
      </c>
      <c r="E403" t="s">
        <v>42</v>
      </c>
      <c r="F403" s="3" t="s">
        <v>36</v>
      </c>
      <c r="G403" s="2" t="s">
        <v>43</v>
      </c>
      <c r="H403" s="3">
        <v>48986</v>
      </c>
      <c r="I403" s="3">
        <v>1506</v>
      </c>
      <c r="J403" s="2" t="s">
        <v>253</v>
      </c>
      <c r="K403" t="s">
        <v>42</v>
      </c>
      <c r="L403" t="s">
        <v>267</v>
      </c>
      <c r="M403" t="s">
        <v>40</v>
      </c>
      <c r="O403" t="s">
        <v>297</v>
      </c>
      <c r="P403">
        <v>45199</v>
      </c>
      <c r="S403" s="6">
        <v>45989.79</v>
      </c>
      <c r="T403" t="s">
        <v>254</v>
      </c>
      <c r="U403">
        <v>280</v>
      </c>
      <c r="W403" s="7">
        <v>2624</v>
      </c>
      <c r="X403">
        <v>1695.8360000000002</v>
      </c>
      <c r="AI403" t="s">
        <v>255</v>
      </c>
      <c r="AJ403" t="s">
        <v>262</v>
      </c>
      <c r="AK403">
        <v>17.526596798780488</v>
      </c>
    </row>
    <row r="404" spans="1:37" x14ac:dyDescent="0.35">
      <c r="A404">
        <v>9</v>
      </c>
      <c r="B404">
        <v>2023</v>
      </c>
      <c r="C404" t="s">
        <v>33</v>
      </c>
      <c r="D404" t="s">
        <v>34</v>
      </c>
      <c r="E404" t="s">
        <v>42</v>
      </c>
      <c r="F404" s="3" t="s">
        <v>36</v>
      </c>
      <c r="G404" s="2" t="s">
        <v>43</v>
      </c>
      <c r="H404" s="3">
        <v>48986</v>
      </c>
      <c r="I404" s="3">
        <v>1523</v>
      </c>
      <c r="J404" s="2" t="s">
        <v>282</v>
      </c>
      <c r="K404" t="s">
        <v>42</v>
      </c>
      <c r="L404" t="s">
        <v>267</v>
      </c>
      <c r="M404" t="s">
        <v>40</v>
      </c>
      <c r="O404" t="s">
        <v>297</v>
      </c>
      <c r="P404">
        <v>45199</v>
      </c>
      <c r="S404" s="6">
        <v>29096.16</v>
      </c>
      <c r="T404" t="s">
        <v>254</v>
      </c>
      <c r="W404" s="7">
        <v>4035</v>
      </c>
      <c r="X404">
        <v>756.70999999999992</v>
      </c>
      <c r="AI404" t="s">
        <v>255</v>
      </c>
      <c r="AJ404" t="s">
        <v>262</v>
      </c>
      <c r="AK404">
        <v>7.2109442379182154</v>
      </c>
    </row>
    <row r="405" spans="1:37" x14ac:dyDescent="0.35">
      <c r="A405">
        <v>9</v>
      </c>
      <c r="B405">
        <v>2023</v>
      </c>
      <c r="C405" t="s">
        <v>33</v>
      </c>
      <c r="D405" t="s">
        <v>34</v>
      </c>
      <c r="E405" t="s">
        <v>42</v>
      </c>
      <c r="F405" s="3" t="s">
        <v>36</v>
      </c>
      <c r="G405" s="2" t="s">
        <v>43</v>
      </c>
      <c r="H405" s="3">
        <v>48986</v>
      </c>
      <c r="I405" s="3">
        <v>2157</v>
      </c>
      <c r="J405" s="2" t="s">
        <v>337</v>
      </c>
      <c r="K405" t="s">
        <v>42</v>
      </c>
      <c r="L405" t="s">
        <v>267</v>
      </c>
      <c r="M405" t="s">
        <v>40</v>
      </c>
      <c r="O405" t="s">
        <v>297</v>
      </c>
      <c r="P405">
        <v>45199</v>
      </c>
      <c r="S405" s="6">
        <v>40147.67</v>
      </c>
      <c r="T405" t="s">
        <v>254</v>
      </c>
      <c r="U405">
        <v>300</v>
      </c>
      <c r="W405" s="7">
        <v>1695</v>
      </c>
      <c r="X405">
        <v>1202.02</v>
      </c>
      <c r="AI405" t="s">
        <v>255</v>
      </c>
      <c r="AJ405" t="s">
        <v>262</v>
      </c>
      <c r="AK405">
        <v>23.68594100294985</v>
      </c>
    </row>
    <row r="406" spans="1:37" x14ac:dyDescent="0.35">
      <c r="A406">
        <v>9</v>
      </c>
      <c r="B406">
        <v>2023</v>
      </c>
      <c r="C406" t="s">
        <v>33</v>
      </c>
      <c r="D406" t="s">
        <v>34</v>
      </c>
      <c r="E406" t="s">
        <v>42</v>
      </c>
      <c r="F406" s="3" t="s">
        <v>36</v>
      </c>
      <c r="G406" s="2" t="s">
        <v>43</v>
      </c>
      <c r="H406" s="3">
        <v>48986</v>
      </c>
      <c r="I406" s="3">
        <v>1225</v>
      </c>
      <c r="J406" s="2" t="s">
        <v>292</v>
      </c>
      <c r="K406" t="s">
        <v>42</v>
      </c>
      <c r="L406" t="s">
        <v>267</v>
      </c>
      <c r="M406" t="s">
        <v>40</v>
      </c>
      <c r="O406" t="s">
        <v>297</v>
      </c>
      <c r="P406">
        <v>45199</v>
      </c>
      <c r="S406" s="6">
        <v>82338.95</v>
      </c>
      <c r="T406" t="s">
        <v>254</v>
      </c>
      <c r="U406">
        <v>240</v>
      </c>
      <c r="W406" s="7">
        <v>5555</v>
      </c>
      <c r="X406">
        <v>3117.36</v>
      </c>
      <c r="AI406" t="s">
        <v>255</v>
      </c>
      <c r="AJ406" t="s">
        <v>262</v>
      </c>
      <c r="AK406">
        <v>14.822493249324932</v>
      </c>
    </row>
    <row r="407" spans="1:37" x14ac:dyDescent="0.35">
      <c r="A407">
        <v>9</v>
      </c>
      <c r="B407">
        <v>2023</v>
      </c>
      <c r="C407" t="s">
        <v>33</v>
      </c>
      <c r="D407" t="s">
        <v>34</v>
      </c>
      <c r="E407" t="s">
        <v>42</v>
      </c>
      <c r="F407" s="3" t="s">
        <v>36</v>
      </c>
      <c r="G407" s="2" t="s">
        <v>43</v>
      </c>
      <c r="H407" s="3">
        <v>48986</v>
      </c>
      <c r="I407" s="3">
        <v>1226</v>
      </c>
      <c r="J407" s="2" t="s">
        <v>266</v>
      </c>
      <c r="K407" t="s">
        <v>42</v>
      </c>
      <c r="L407" t="s">
        <v>267</v>
      </c>
      <c r="M407" t="s">
        <v>40</v>
      </c>
      <c r="O407" t="s">
        <v>297</v>
      </c>
      <c r="P407">
        <v>45199</v>
      </c>
      <c r="S407" s="6">
        <v>67407.289999999994</v>
      </c>
      <c r="T407" t="s">
        <v>254</v>
      </c>
      <c r="U407">
        <v>260</v>
      </c>
      <c r="W407" s="7">
        <v>4487</v>
      </c>
      <c r="X407">
        <v>2716.2919999999995</v>
      </c>
      <c r="AI407" t="s">
        <v>255</v>
      </c>
      <c r="AJ407" t="s">
        <v>262</v>
      </c>
      <c r="AK407">
        <v>15.022796969021616</v>
      </c>
    </row>
    <row r="408" spans="1:37" x14ac:dyDescent="0.35">
      <c r="A408">
        <v>9</v>
      </c>
      <c r="B408">
        <v>2023</v>
      </c>
      <c r="C408" t="s">
        <v>33</v>
      </c>
      <c r="D408" t="s">
        <v>34</v>
      </c>
      <c r="E408" t="s">
        <v>42</v>
      </c>
      <c r="F408" s="3" t="s">
        <v>36</v>
      </c>
      <c r="G408" s="2" t="s">
        <v>43</v>
      </c>
      <c r="H408" s="3">
        <v>48986</v>
      </c>
      <c r="I408" s="3">
        <v>2053</v>
      </c>
      <c r="J408" s="2" t="s">
        <v>331</v>
      </c>
      <c r="K408" t="s">
        <v>42</v>
      </c>
      <c r="L408" t="s">
        <v>267</v>
      </c>
      <c r="M408" t="s">
        <v>40</v>
      </c>
      <c r="O408" t="s">
        <v>297</v>
      </c>
      <c r="P408">
        <v>45199</v>
      </c>
      <c r="S408" s="6">
        <v>23972.38</v>
      </c>
      <c r="T408" t="s">
        <v>254</v>
      </c>
      <c r="U408">
        <v>300</v>
      </c>
      <c r="W408" s="7">
        <v>1408</v>
      </c>
      <c r="X408">
        <v>931.56000000000006</v>
      </c>
      <c r="AI408" t="s">
        <v>255</v>
      </c>
      <c r="AJ408" t="s">
        <v>262</v>
      </c>
      <c r="AK408">
        <v>17.02583806818182</v>
      </c>
    </row>
    <row r="409" spans="1:37" x14ac:dyDescent="0.35">
      <c r="A409">
        <v>9</v>
      </c>
      <c r="B409">
        <v>2023</v>
      </c>
      <c r="C409" t="s">
        <v>33</v>
      </c>
      <c r="D409" t="s">
        <v>34</v>
      </c>
      <c r="E409" t="s">
        <v>42</v>
      </c>
      <c r="F409" s="3" t="s">
        <v>36</v>
      </c>
      <c r="G409" s="2" t="s">
        <v>43</v>
      </c>
      <c r="H409" s="3">
        <v>48986</v>
      </c>
      <c r="I409" s="3">
        <v>1236</v>
      </c>
      <c r="J409" s="2" t="s">
        <v>264</v>
      </c>
      <c r="K409" t="s">
        <v>42</v>
      </c>
      <c r="L409" t="s">
        <v>267</v>
      </c>
      <c r="M409" t="s">
        <v>40</v>
      </c>
      <c r="O409" t="s">
        <v>297</v>
      </c>
      <c r="P409">
        <v>45199</v>
      </c>
      <c r="S409" s="6">
        <v>50932.29</v>
      </c>
      <c r="T409" t="s">
        <v>254</v>
      </c>
      <c r="U409">
        <v>240</v>
      </c>
      <c r="W409" s="7">
        <v>2906</v>
      </c>
      <c r="X409">
        <v>1646.3999999999999</v>
      </c>
      <c r="AI409" t="s">
        <v>255</v>
      </c>
      <c r="AJ409" t="s">
        <v>262</v>
      </c>
      <c r="AK409">
        <v>17.526596696490021</v>
      </c>
    </row>
    <row r="410" spans="1:37" x14ac:dyDescent="0.35">
      <c r="A410">
        <v>9</v>
      </c>
      <c r="B410">
        <v>2023</v>
      </c>
      <c r="C410" t="s">
        <v>33</v>
      </c>
      <c r="D410" t="s">
        <v>34</v>
      </c>
      <c r="E410" t="s">
        <v>42</v>
      </c>
      <c r="F410" s="3" t="s">
        <v>36</v>
      </c>
      <c r="G410" s="2" t="s">
        <v>43</v>
      </c>
      <c r="H410" s="3">
        <v>48986</v>
      </c>
      <c r="I410" s="3">
        <v>1525</v>
      </c>
      <c r="J410" s="2" t="s">
        <v>283</v>
      </c>
      <c r="K410" t="s">
        <v>42</v>
      </c>
      <c r="L410" t="s">
        <v>267</v>
      </c>
      <c r="M410" t="s">
        <v>40</v>
      </c>
      <c r="O410" t="s">
        <v>297</v>
      </c>
      <c r="P410">
        <v>45199</v>
      </c>
      <c r="S410" s="6">
        <v>31810.52</v>
      </c>
      <c r="T410" t="s">
        <v>254</v>
      </c>
      <c r="U410">
        <v>320</v>
      </c>
      <c r="W410" s="7">
        <v>1685</v>
      </c>
      <c r="X410">
        <v>1171.3399999999997</v>
      </c>
      <c r="AI410" t="s">
        <v>255</v>
      </c>
      <c r="AJ410" t="s">
        <v>262</v>
      </c>
      <c r="AK410">
        <v>18.878646884272996</v>
      </c>
    </row>
    <row r="411" spans="1:37" x14ac:dyDescent="0.35">
      <c r="A411">
        <v>9</v>
      </c>
      <c r="B411">
        <v>2023</v>
      </c>
      <c r="C411" t="s">
        <v>33</v>
      </c>
      <c r="D411" t="s">
        <v>34</v>
      </c>
      <c r="E411" t="s">
        <v>312</v>
      </c>
      <c r="F411" s="3" t="s">
        <v>36</v>
      </c>
      <c r="G411" s="2" t="s">
        <v>54</v>
      </c>
      <c r="H411" s="3">
        <v>48987</v>
      </c>
      <c r="I411" s="3">
        <v>1706</v>
      </c>
      <c r="J411" s="2" t="s">
        <v>259</v>
      </c>
      <c r="K411" t="s">
        <v>312</v>
      </c>
      <c r="L411" t="s">
        <v>267</v>
      </c>
      <c r="M411" t="s">
        <v>40</v>
      </c>
      <c r="O411" t="s">
        <v>34</v>
      </c>
      <c r="P411">
        <v>45199</v>
      </c>
      <c r="S411" s="6">
        <v>148882.23999999999</v>
      </c>
      <c r="T411" t="s">
        <v>254</v>
      </c>
      <c r="W411" s="7">
        <v>22024</v>
      </c>
      <c r="X411">
        <v>11291</v>
      </c>
      <c r="AI411" t="s">
        <v>314</v>
      </c>
      <c r="AJ411" t="s">
        <v>258</v>
      </c>
      <c r="AK411">
        <v>6.76</v>
      </c>
    </row>
    <row r="412" spans="1:37" x14ac:dyDescent="0.35">
      <c r="A412">
        <v>10</v>
      </c>
      <c r="B412">
        <v>2023</v>
      </c>
      <c r="C412" t="s">
        <v>33</v>
      </c>
      <c r="D412" t="s">
        <v>34</v>
      </c>
      <c r="E412" t="s">
        <v>42</v>
      </c>
      <c r="F412" s="3" t="s">
        <v>36</v>
      </c>
      <c r="G412" s="2" t="s">
        <v>43</v>
      </c>
      <c r="H412" s="3">
        <v>49095</v>
      </c>
      <c r="I412" s="3">
        <v>1225</v>
      </c>
      <c r="J412" s="2" t="s">
        <v>292</v>
      </c>
      <c r="K412" t="s">
        <v>42</v>
      </c>
      <c r="L412" t="s">
        <v>267</v>
      </c>
      <c r="M412" t="s">
        <v>40</v>
      </c>
      <c r="O412" t="s">
        <v>297</v>
      </c>
      <c r="P412">
        <v>45205</v>
      </c>
      <c r="S412" s="6">
        <v>9213.77</v>
      </c>
      <c r="T412" t="s">
        <v>254</v>
      </c>
      <c r="U412">
        <v>240</v>
      </c>
      <c r="W412" s="7">
        <v>602</v>
      </c>
      <c r="X412">
        <v>342.5</v>
      </c>
      <c r="AI412" t="s">
        <v>255</v>
      </c>
      <c r="AJ412" t="s">
        <v>262</v>
      </c>
      <c r="AK412">
        <v>15.305265780730897</v>
      </c>
    </row>
    <row r="413" spans="1:37" x14ac:dyDescent="0.35">
      <c r="A413">
        <v>10</v>
      </c>
      <c r="B413">
        <v>2023</v>
      </c>
      <c r="C413" t="s">
        <v>33</v>
      </c>
      <c r="D413" t="s">
        <v>34</v>
      </c>
      <c r="E413" t="s">
        <v>42</v>
      </c>
      <c r="F413" s="3" t="s">
        <v>36</v>
      </c>
      <c r="G413" s="2" t="s">
        <v>43</v>
      </c>
      <c r="H413" s="3">
        <v>49095</v>
      </c>
      <c r="I413" s="3">
        <v>1525</v>
      </c>
      <c r="J413" s="2" t="s">
        <v>283</v>
      </c>
      <c r="K413" t="s">
        <v>42</v>
      </c>
      <c r="L413" t="s">
        <v>267</v>
      </c>
      <c r="M413" t="s">
        <v>40</v>
      </c>
      <c r="O413" t="s">
        <v>297</v>
      </c>
      <c r="P413">
        <v>45205</v>
      </c>
      <c r="S413" s="6">
        <v>1793.41</v>
      </c>
      <c r="T413" t="s">
        <v>254</v>
      </c>
      <c r="U413">
        <v>320</v>
      </c>
      <c r="W413" s="7">
        <v>92</v>
      </c>
      <c r="X413">
        <v>67.36</v>
      </c>
      <c r="AI413" t="s">
        <v>255</v>
      </c>
      <c r="AJ413" t="s">
        <v>262</v>
      </c>
      <c r="AK413">
        <v>19.493586956521739</v>
      </c>
    </row>
    <row r="414" spans="1:37" x14ac:dyDescent="0.35">
      <c r="A414">
        <v>10</v>
      </c>
      <c r="B414">
        <v>2023</v>
      </c>
      <c r="C414" t="s">
        <v>33</v>
      </c>
      <c r="D414" t="s">
        <v>34</v>
      </c>
      <c r="E414" t="s">
        <v>42</v>
      </c>
      <c r="F414" s="3" t="s">
        <v>36</v>
      </c>
      <c r="G414" s="2" t="s">
        <v>43</v>
      </c>
      <c r="H414" s="3">
        <v>49095</v>
      </c>
      <c r="I414" s="3">
        <v>1524</v>
      </c>
      <c r="J414" s="2" t="s">
        <v>284</v>
      </c>
      <c r="K414" t="s">
        <v>42</v>
      </c>
      <c r="L414" t="s">
        <v>267</v>
      </c>
      <c r="M414" t="s">
        <v>40</v>
      </c>
      <c r="O414" t="s">
        <v>297</v>
      </c>
      <c r="P414">
        <v>45205</v>
      </c>
      <c r="S414" s="6">
        <v>24413.98</v>
      </c>
      <c r="T414" t="s">
        <v>254</v>
      </c>
      <c r="W414" s="7">
        <v>2951</v>
      </c>
      <c r="X414">
        <v>593.15100000000007</v>
      </c>
      <c r="AI414" t="s">
        <v>255</v>
      </c>
      <c r="AJ414" t="s">
        <v>262</v>
      </c>
      <c r="AK414">
        <v>8.2731209759403583</v>
      </c>
    </row>
    <row r="415" spans="1:37" x14ac:dyDescent="0.35">
      <c r="A415">
        <v>11</v>
      </c>
      <c r="B415">
        <v>2023</v>
      </c>
      <c r="C415" t="s">
        <v>33</v>
      </c>
      <c r="D415" t="s">
        <v>34</v>
      </c>
      <c r="E415" t="s">
        <v>116</v>
      </c>
      <c r="F415" s="3" t="s">
        <v>36</v>
      </c>
      <c r="G415" s="2" t="s">
        <v>50</v>
      </c>
      <c r="H415" s="3">
        <v>49837</v>
      </c>
      <c r="I415" s="3">
        <v>1419</v>
      </c>
      <c r="J415" s="2" t="s">
        <v>341</v>
      </c>
      <c r="K415" t="s">
        <v>116</v>
      </c>
      <c r="L415" t="s">
        <v>267</v>
      </c>
      <c r="M415" t="s">
        <v>40</v>
      </c>
      <c r="O415" t="s">
        <v>34</v>
      </c>
      <c r="P415">
        <v>45240</v>
      </c>
      <c r="S415" s="6">
        <v>71330.899999999994</v>
      </c>
      <c r="T415" t="s">
        <v>254</v>
      </c>
      <c r="U415">
        <v>180</v>
      </c>
      <c r="W415" s="7">
        <v>6469</v>
      </c>
      <c r="AK415">
        <v>11.026572886072035</v>
      </c>
    </row>
    <row r="416" spans="1:37" x14ac:dyDescent="0.35">
      <c r="A416">
        <v>11</v>
      </c>
      <c r="B416">
        <v>2023</v>
      </c>
      <c r="C416" t="s">
        <v>33</v>
      </c>
      <c r="D416" t="s">
        <v>34</v>
      </c>
      <c r="E416" t="s">
        <v>116</v>
      </c>
      <c r="F416" s="3" t="s">
        <v>36</v>
      </c>
      <c r="G416" s="2" t="s">
        <v>50</v>
      </c>
      <c r="H416" s="3">
        <v>49837</v>
      </c>
      <c r="I416" s="3">
        <v>1422</v>
      </c>
      <c r="J416" s="2" t="s">
        <v>339</v>
      </c>
      <c r="K416" t="s">
        <v>116</v>
      </c>
      <c r="L416" t="s">
        <v>267</v>
      </c>
      <c r="M416" t="s">
        <v>40</v>
      </c>
      <c r="O416" t="s">
        <v>34</v>
      </c>
      <c r="P416">
        <v>45240</v>
      </c>
      <c r="S416" s="6">
        <v>8709.7199999999993</v>
      </c>
      <c r="T416" t="s">
        <v>254</v>
      </c>
      <c r="U416">
        <v>240</v>
      </c>
      <c r="W416" s="7">
        <v>628</v>
      </c>
      <c r="AK416">
        <v>13.868980891719744</v>
      </c>
    </row>
    <row r="417" spans="1:37" x14ac:dyDescent="0.35">
      <c r="A417">
        <v>11</v>
      </c>
      <c r="B417">
        <v>2023</v>
      </c>
      <c r="C417" t="s">
        <v>33</v>
      </c>
      <c r="D417" t="s">
        <v>34</v>
      </c>
      <c r="E417" t="s">
        <v>312</v>
      </c>
      <c r="F417" s="3" t="s">
        <v>36</v>
      </c>
      <c r="G417" s="2" t="s">
        <v>54</v>
      </c>
      <c r="H417" s="3">
        <v>50132</v>
      </c>
      <c r="I417" s="3">
        <v>1706</v>
      </c>
      <c r="J417" s="2" t="s">
        <v>259</v>
      </c>
      <c r="K417" t="s">
        <v>312</v>
      </c>
      <c r="L417" t="s">
        <v>267</v>
      </c>
      <c r="M417" t="s">
        <v>40</v>
      </c>
      <c r="O417" t="s">
        <v>34</v>
      </c>
      <c r="P417">
        <v>45254</v>
      </c>
      <c r="S417" s="6">
        <v>81092.77</v>
      </c>
      <c r="T417" t="s">
        <v>254</v>
      </c>
      <c r="W417" s="7">
        <v>12339</v>
      </c>
      <c r="AK417">
        <v>6.5720698597941487</v>
      </c>
    </row>
    <row r="418" spans="1:37" x14ac:dyDescent="0.35">
      <c r="A418">
        <v>11</v>
      </c>
      <c r="B418">
        <v>2023</v>
      </c>
      <c r="C418" t="s">
        <v>33</v>
      </c>
      <c r="D418" t="s">
        <v>34</v>
      </c>
      <c r="E418" t="s">
        <v>312</v>
      </c>
      <c r="F418" s="3" t="s">
        <v>36</v>
      </c>
      <c r="G418" s="2" t="s">
        <v>54</v>
      </c>
      <c r="H418" s="3">
        <v>50132</v>
      </c>
      <c r="I418" s="3">
        <v>2047</v>
      </c>
      <c r="J418" s="2" t="s">
        <v>324</v>
      </c>
      <c r="K418" t="s">
        <v>312</v>
      </c>
      <c r="L418" t="s">
        <v>267</v>
      </c>
      <c r="M418" t="s">
        <v>40</v>
      </c>
      <c r="O418" t="s">
        <v>34</v>
      </c>
      <c r="P418">
        <v>45254</v>
      </c>
      <c r="S418" s="6">
        <v>1601.64</v>
      </c>
      <c r="T418" t="s">
        <v>254</v>
      </c>
      <c r="W418" s="7">
        <v>3290</v>
      </c>
      <c r="AK418">
        <v>0.48682066869300916</v>
      </c>
    </row>
    <row r="419" spans="1:37" x14ac:dyDescent="0.35">
      <c r="A419">
        <v>11</v>
      </c>
      <c r="B419">
        <v>2023</v>
      </c>
      <c r="C419" t="s">
        <v>33</v>
      </c>
      <c r="D419" t="s">
        <v>34</v>
      </c>
      <c r="E419" t="s">
        <v>312</v>
      </c>
      <c r="F419" s="3" t="s">
        <v>36</v>
      </c>
      <c r="G419" s="2" t="s">
        <v>54</v>
      </c>
      <c r="H419" s="3">
        <v>50132</v>
      </c>
      <c r="I419" s="3">
        <v>2479</v>
      </c>
      <c r="J419" s="2" t="s">
        <v>353</v>
      </c>
      <c r="K419" t="s">
        <v>312</v>
      </c>
      <c r="L419" t="s">
        <v>267</v>
      </c>
      <c r="M419" t="s">
        <v>40</v>
      </c>
      <c r="O419" t="s">
        <v>34</v>
      </c>
      <c r="P419">
        <v>45254</v>
      </c>
      <c r="S419" s="6">
        <v>2934.55</v>
      </c>
      <c r="T419" t="s">
        <v>254</v>
      </c>
      <c r="W419" s="7">
        <v>6028</v>
      </c>
      <c r="AK419">
        <v>0.48681984074319845</v>
      </c>
    </row>
    <row r="420" spans="1:37" x14ac:dyDescent="0.35">
      <c r="A420">
        <v>11</v>
      </c>
      <c r="B420">
        <v>2023</v>
      </c>
      <c r="C420" t="s">
        <v>33</v>
      </c>
      <c r="D420" t="s">
        <v>34</v>
      </c>
      <c r="E420" t="s">
        <v>312</v>
      </c>
      <c r="F420" s="3" t="s">
        <v>36</v>
      </c>
      <c r="G420" s="2" t="s">
        <v>54</v>
      </c>
      <c r="H420" s="3">
        <v>50132</v>
      </c>
      <c r="I420" s="3">
        <v>2480</v>
      </c>
      <c r="J420" s="2" t="s">
        <v>354</v>
      </c>
      <c r="K420" t="s">
        <v>312</v>
      </c>
      <c r="L420" t="s">
        <v>267</v>
      </c>
      <c r="M420" t="s">
        <v>40</v>
      </c>
      <c r="O420" t="s">
        <v>34</v>
      </c>
      <c r="P420">
        <v>45254</v>
      </c>
      <c r="S420" s="6">
        <v>1470.2</v>
      </c>
      <c r="T420" t="s">
        <v>254</v>
      </c>
      <c r="W420" s="7">
        <v>3020</v>
      </c>
      <c r="AK420">
        <v>0.48682119205298013</v>
      </c>
    </row>
    <row r="421" spans="1:37" x14ac:dyDescent="0.35">
      <c r="A421">
        <v>11</v>
      </c>
      <c r="B421">
        <v>2023</v>
      </c>
      <c r="C421" t="s">
        <v>33</v>
      </c>
      <c r="D421" t="s">
        <v>34</v>
      </c>
      <c r="E421" t="s">
        <v>312</v>
      </c>
      <c r="F421" s="3" t="s">
        <v>36</v>
      </c>
      <c r="G421" s="2" t="s">
        <v>54</v>
      </c>
      <c r="H421" s="3">
        <v>50132</v>
      </c>
      <c r="I421" s="3">
        <v>2481</v>
      </c>
      <c r="J421" s="2" t="s">
        <v>355</v>
      </c>
      <c r="K421" t="s">
        <v>312</v>
      </c>
      <c r="L421" t="s">
        <v>267</v>
      </c>
      <c r="M421" t="s">
        <v>40</v>
      </c>
      <c r="O421" t="s">
        <v>34</v>
      </c>
      <c r="P421">
        <v>45254</v>
      </c>
      <c r="S421" s="6">
        <v>1662.49</v>
      </c>
      <c r="T421" t="s">
        <v>254</v>
      </c>
      <c r="W421" s="7">
        <v>3415</v>
      </c>
      <c r="AK421">
        <v>0.48681991215226939</v>
      </c>
    </row>
    <row r="422" spans="1:37" x14ac:dyDescent="0.35">
      <c r="A422">
        <v>11</v>
      </c>
      <c r="B422">
        <v>2023</v>
      </c>
      <c r="C422" t="s">
        <v>33</v>
      </c>
      <c r="D422" t="s">
        <v>34</v>
      </c>
      <c r="E422" t="s">
        <v>312</v>
      </c>
      <c r="F422" s="3" t="s">
        <v>36</v>
      </c>
      <c r="G422" s="2" t="s">
        <v>54</v>
      </c>
      <c r="H422" s="3">
        <v>50133</v>
      </c>
      <c r="I422" s="3">
        <v>1706</v>
      </c>
      <c r="J422" s="2" t="s">
        <v>259</v>
      </c>
      <c r="K422" t="s">
        <v>312</v>
      </c>
      <c r="L422" t="s">
        <v>267</v>
      </c>
      <c r="M422" t="s">
        <v>40</v>
      </c>
      <c r="O422" t="s">
        <v>34</v>
      </c>
      <c r="P422">
        <v>45254</v>
      </c>
      <c r="S422" s="6">
        <v>63282.46</v>
      </c>
      <c r="T422" t="s">
        <v>254</v>
      </c>
      <c r="W422" s="7">
        <v>9629</v>
      </c>
      <c r="AK422">
        <v>6.5720697891785234</v>
      </c>
    </row>
    <row r="423" spans="1:37" x14ac:dyDescent="0.35">
      <c r="A423">
        <v>11</v>
      </c>
      <c r="B423">
        <v>2023</v>
      </c>
      <c r="C423" t="s">
        <v>33</v>
      </c>
      <c r="D423" t="s">
        <v>34</v>
      </c>
      <c r="E423" s="18" t="s">
        <v>390</v>
      </c>
      <c r="F423" s="3" t="s">
        <v>36</v>
      </c>
      <c r="G423" s="2" t="s">
        <v>43</v>
      </c>
      <c r="H423" s="3">
        <v>50231</v>
      </c>
      <c r="I423" s="3">
        <v>2429</v>
      </c>
      <c r="J423" s="2" t="s">
        <v>356</v>
      </c>
      <c r="K423" t="s">
        <v>226</v>
      </c>
      <c r="L423" t="s">
        <v>267</v>
      </c>
      <c r="M423" t="s">
        <v>40</v>
      </c>
      <c r="O423" t="s">
        <v>45</v>
      </c>
      <c r="P423">
        <v>45260</v>
      </c>
      <c r="S423" s="6">
        <v>5746.85</v>
      </c>
      <c r="T423" t="s">
        <v>254</v>
      </c>
      <c r="U423">
        <v>160</v>
      </c>
      <c r="W423" s="7">
        <v>587</v>
      </c>
      <c r="AK423">
        <v>9.790204429301534</v>
      </c>
    </row>
    <row r="424" spans="1:37" x14ac:dyDescent="0.35">
      <c r="A424">
        <v>11</v>
      </c>
      <c r="B424">
        <v>2023</v>
      </c>
      <c r="C424" t="s">
        <v>33</v>
      </c>
      <c r="D424" t="s">
        <v>34</v>
      </c>
      <c r="E424" s="18" t="s">
        <v>390</v>
      </c>
      <c r="F424" s="3" t="s">
        <v>36</v>
      </c>
      <c r="G424" s="2" t="s">
        <v>43</v>
      </c>
      <c r="H424" s="3">
        <v>50231</v>
      </c>
      <c r="I424" s="3">
        <v>2428</v>
      </c>
      <c r="J424" s="2" t="s">
        <v>357</v>
      </c>
      <c r="K424" t="s">
        <v>226</v>
      </c>
      <c r="L424" t="s">
        <v>267</v>
      </c>
      <c r="M424" t="s">
        <v>40</v>
      </c>
      <c r="O424" t="s">
        <v>45</v>
      </c>
      <c r="P424">
        <v>45260</v>
      </c>
      <c r="S424" s="6">
        <v>8360.83</v>
      </c>
      <c r="T424" t="s">
        <v>254</v>
      </c>
      <c r="U424">
        <v>160</v>
      </c>
      <c r="W424" s="7">
        <v>854</v>
      </c>
      <c r="AK424">
        <v>9.7901990632318494</v>
      </c>
    </row>
    <row r="425" spans="1:37" x14ac:dyDescent="0.35">
      <c r="A425">
        <v>11</v>
      </c>
      <c r="B425">
        <v>2023</v>
      </c>
      <c r="C425" t="s">
        <v>33</v>
      </c>
      <c r="D425" t="s">
        <v>34</v>
      </c>
      <c r="E425" s="18" t="s">
        <v>390</v>
      </c>
      <c r="F425" s="3" t="s">
        <v>36</v>
      </c>
      <c r="G425" s="2" t="s">
        <v>43</v>
      </c>
      <c r="H425" s="3">
        <v>50231</v>
      </c>
      <c r="I425" s="3">
        <v>2427</v>
      </c>
      <c r="J425" s="2" t="s">
        <v>358</v>
      </c>
      <c r="K425" t="s">
        <v>226</v>
      </c>
      <c r="L425" t="s">
        <v>267</v>
      </c>
      <c r="M425" t="s">
        <v>40</v>
      </c>
      <c r="O425" t="s">
        <v>45</v>
      </c>
      <c r="P425">
        <v>45260</v>
      </c>
      <c r="S425" s="6">
        <v>4131.46</v>
      </c>
      <c r="T425" t="s">
        <v>254</v>
      </c>
      <c r="U425">
        <v>160</v>
      </c>
      <c r="W425" s="7">
        <v>422</v>
      </c>
      <c r="AK425">
        <v>9.7901895734597151</v>
      </c>
    </row>
    <row r="426" spans="1:37" x14ac:dyDescent="0.35">
      <c r="A426">
        <v>11</v>
      </c>
      <c r="B426">
        <v>2023</v>
      </c>
      <c r="C426" t="s">
        <v>33</v>
      </c>
      <c r="D426" t="s">
        <v>34</v>
      </c>
      <c r="E426" s="18" t="s">
        <v>390</v>
      </c>
      <c r="F426" s="3" t="s">
        <v>36</v>
      </c>
      <c r="G426" s="2" t="s">
        <v>43</v>
      </c>
      <c r="H426" s="3">
        <v>50231</v>
      </c>
      <c r="I426" s="3">
        <v>2430</v>
      </c>
      <c r="J426" s="2" t="s">
        <v>359</v>
      </c>
      <c r="K426" t="s">
        <v>226</v>
      </c>
      <c r="L426" t="s">
        <v>267</v>
      </c>
      <c r="M426" t="s">
        <v>40</v>
      </c>
      <c r="O426" t="s">
        <v>45</v>
      </c>
      <c r="P426">
        <v>45260</v>
      </c>
      <c r="S426" s="6">
        <v>3896.5</v>
      </c>
      <c r="T426" t="s">
        <v>254</v>
      </c>
      <c r="U426">
        <v>160</v>
      </c>
      <c r="W426" s="7">
        <v>398</v>
      </c>
      <c r="AK426">
        <v>9.7902010050251249</v>
      </c>
    </row>
    <row r="427" spans="1:37" x14ac:dyDescent="0.35">
      <c r="A427">
        <v>11</v>
      </c>
      <c r="B427">
        <v>2023</v>
      </c>
      <c r="C427" t="s">
        <v>33</v>
      </c>
      <c r="D427" t="s">
        <v>34</v>
      </c>
      <c r="E427" s="18" t="s">
        <v>390</v>
      </c>
      <c r="F427" s="3" t="s">
        <v>36</v>
      </c>
      <c r="G427" s="2" t="s">
        <v>43</v>
      </c>
      <c r="H427" s="3">
        <v>50231</v>
      </c>
      <c r="I427" s="3">
        <v>2426</v>
      </c>
      <c r="J427" s="2" t="s">
        <v>360</v>
      </c>
      <c r="K427" t="s">
        <v>226</v>
      </c>
      <c r="L427" t="s">
        <v>267</v>
      </c>
      <c r="M427" t="s">
        <v>40</v>
      </c>
      <c r="O427" t="s">
        <v>45</v>
      </c>
      <c r="P427">
        <v>45260</v>
      </c>
      <c r="S427" s="6">
        <v>4060.49</v>
      </c>
      <c r="T427" t="s">
        <v>254</v>
      </c>
      <c r="U427">
        <v>160</v>
      </c>
      <c r="W427" s="7">
        <v>553</v>
      </c>
      <c r="AK427">
        <v>7.3426582278481005</v>
      </c>
    </row>
    <row r="428" spans="1:37" x14ac:dyDescent="0.35">
      <c r="A428">
        <v>11</v>
      </c>
      <c r="B428">
        <v>2023</v>
      </c>
      <c r="C428" t="s">
        <v>33</v>
      </c>
      <c r="D428" t="s">
        <v>34</v>
      </c>
      <c r="E428" s="18" t="s">
        <v>390</v>
      </c>
      <c r="F428" s="3" t="s">
        <v>36</v>
      </c>
      <c r="G428" s="2" t="s">
        <v>43</v>
      </c>
      <c r="H428" s="3">
        <v>50231</v>
      </c>
      <c r="I428" s="3">
        <v>2425</v>
      </c>
      <c r="J428" s="2" t="s">
        <v>361</v>
      </c>
      <c r="K428" t="s">
        <v>226</v>
      </c>
      <c r="L428" t="s">
        <v>267</v>
      </c>
      <c r="M428" t="s">
        <v>40</v>
      </c>
      <c r="O428" t="s">
        <v>45</v>
      </c>
      <c r="P428">
        <v>45260</v>
      </c>
      <c r="S428" s="6">
        <v>3563.63</v>
      </c>
      <c r="T428" t="s">
        <v>254</v>
      </c>
      <c r="U428">
        <v>160</v>
      </c>
      <c r="W428" s="7">
        <v>560</v>
      </c>
      <c r="AK428">
        <v>6.3636249999999999</v>
      </c>
    </row>
    <row r="429" spans="1:37" x14ac:dyDescent="0.35">
      <c r="A429">
        <v>11</v>
      </c>
      <c r="B429">
        <v>2023</v>
      </c>
      <c r="C429" t="s">
        <v>33</v>
      </c>
      <c r="D429" t="s">
        <v>34</v>
      </c>
      <c r="E429" s="18" t="s">
        <v>390</v>
      </c>
      <c r="F429" s="3" t="s">
        <v>36</v>
      </c>
      <c r="G429" s="2" t="s">
        <v>43</v>
      </c>
      <c r="H429" s="3">
        <v>50231</v>
      </c>
      <c r="I429" s="3">
        <v>2424</v>
      </c>
      <c r="J429" s="2" t="s">
        <v>362</v>
      </c>
      <c r="K429" t="s">
        <v>226</v>
      </c>
      <c r="L429" t="s">
        <v>267</v>
      </c>
      <c r="M429" t="s">
        <v>40</v>
      </c>
      <c r="O429" t="s">
        <v>45</v>
      </c>
      <c r="P429">
        <v>45260</v>
      </c>
      <c r="S429" s="6">
        <v>9128.3799999999992</v>
      </c>
      <c r="T429" t="s">
        <v>254</v>
      </c>
      <c r="U429">
        <v>180</v>
      </c>
      <c r="W429" s="7">
        <v>1332</v>
      </c>
      <c r="AK429">
        <v>6.8531381381381378</v>
      </c>
    </row>
    <row r="430" spans="1:37" x14ac:dyDescent="0.35">
      <c r="A430">
        <v>11</v>
      </c>
      <c r="B430">
        <v>2023</v>
      </c>
      <c r="C430" t="s">
        <v>33</v>
      </c>
      <c r="D430" t="s">
        <v>34</v>
      </c>
      <c r="E430" s="18" t="s">
        <v>390</v>
      </c>
      <c r="F430" s="3" t="s">
        <v>36</v>
      </c>
      <c r="G430" s="2" t="s">
        <v>43</v>
      </c>
      <c r="H430" s="3">
        <v>50231</v>
      </c>
      <c r="I430" s="3">
        <v>2423</v>
      </c>
      <c r="J430" s="2" t="s">
        <v>363</v>
      </c>
      <c r="K430" t="s">
        <v>226</v>
      </c>
      <c r="L430" t="s">
        <v>267</v>
      </c>
      <c r="M430" t="s">
        <v>40</v>
      </c>
      <c r="O430" t="s">
        <v>45</v>
      </c>
      <c r="P430">
        <v>45260</v>
      </c>
      <c r="S430" s="6">
        <v>3811.32</v>
      </c>
      <c r="T430" t="s">
        <v>254</v>
      </c>
      <c r="U430">
        <v>180</v>
      </c>
      <c r="W430" s="7">
        <v>458</v>
      </c>
      <c r="AK430">
        <v>8.3216593886462888</v>
      </c>
    </row>
    <row r="431" spans="1:37" x14ac:dyDescent="0.35">
      <c r="A431">
        <v>11</v>
      </c>
      <c r="B431">
        <v>2023</v>
      </c>
      <c r="C431" t="s">
        <v>33</v>
      </c>
      <c r="D431" t="s">
        <v>34</v>
      </c>
      <c r="E431" s="18" t="s">
        <v>390</v>
      </c>
      <c r="F431" s="3" t="s">
        <v>36</v>
      </c>
      <c r="G431" s="2" t="s">
        <v>43</v>
      </c>
      <c r="H431" s="3">
        <v>50231</v>
      </c>
      <c r="I431" s="3">
        <v>2431</v>
      </c>
      <c r="J431" s="2" t="s">
        <v>364</v>
      </c>
      <c r="K431" t="s">
        <v>226</v>
      </c>
      <c r="L431" t="s">
        <v>267</v>
      </c>
      <c r="M431" t="s">
        <v>40</v>
      </c>
      <c r="O431" t="s">
        <v>45</v>
      </c>
      <c r="P431">
        <v>45260</v>
      </c>
      <c r="S431" s="6">
        <v>4307.6899999999996</v>
      </c>
      <c r="T431" t="s">
        <v>254</v>
      </c>
      <c r="U431">
        <v>160</v>
      </c>
      <c r="W431" s="7">
        <v>440</v>
      </c>
      <c r="AK431">
        <v>9.7902045454545448</v>
      </c>
    </row>
    <row r="432" spans="1:37" x14ac:dyDescent="0.35">
      <c r="A432">
        <v>11</v>
      </c>
      <c r="B432">
        <v>2023</v>
      </c>
      <c r="C432" t="s">
        <v>33</v>
      </c>
      <c r="D432" t="s">
        <v>34</v>
      </c>
      <c r="E432" s="18" t="s">
        <v>390</v>
      </c>
      <c r="F432" s="3" t="s">
        <v>36</v>
      </c>
      <c r="G432" s="2" t="s">
        <v>43</v>
      </c>
      <c r="H432" s="3">
        <v>50231</v>
      </c>
      <c r="I432" s="3">
        <v>2432</v>
      </c>
      <c r="J432" s="2" t="s">
        <v>365</v>
      </c>
      <c r="K432" t="s">
        <v>226</v>
      </c>
      <c r="L432" t="s">
        <v>267</v>
      </c>
      <c r="M432" t="s">
        <v>40</v>
      </c>
      <c r="O432" t="s">
        <v>45</v>
      </c>
      <c r="P432">
        <v>45260</v>
      </c>
      <c r="S432" s="6">
        <v>7176.22</v>
      </c>
      <c r="T432" t="s">
        <v>254</v>
      </c>
      <c r="U432">
        <v>160</v>
      </c>
      <c r="W432" s="7">
        <v>733</v>
      </c>
      <c r="AK432">
        <v>9.7902046384720336</v>
      </c>
    </row>
    <row r="433" spans="1:37" x14ac:dyDescent="0.35">
      <c r="A433">
        <v>11</v>
      </c>
      <c r="B433">
        <v>2023</v>
      </c>
      <c r="C433" t="s">
        <v>33</v>
      </c>
      <c r="D433" t="s">
        <v>34</v>
      </c>
      <c r="E433" s="18" t="s">
        <v>390</v>
      </c>
      <c r="F433" s="3" t="s">
        <v>36</v>
      </c>
      <c r="G433" s="2" t="s">
        <v>43</v>
      </c>
      <c r="H433" s="3">
        <v>50231</v>
      </c>
      <c r="I433" s="3">
        <v>2433</v>
      </c>
      <c r="J433" s="2" t="s">
        <v>366</v>
      </c>
      <c r="K433" t="s">
        <v>226</v>
      </c>
      <c r="L433" t="s">
        <v>267</v>
      </c>
      <c r="M433" t="s">
        <v>40</v>
      </c>
      <c r="O433" t="s">
        <v>45</v>
      </c>
      <c r="P433">
        <v>45260</v>
      </c>
      <c r="S433" s="6">
        <v>3994.4</v>
      </c>
      <c r="T433" t="s">
        <v>254</v>
      </c>
      <c r="U433">
        <v>160</v>
      </c>
      <c r="W433" s="7">
        <v>408</v>
      </c>
      <c r="AK433">
        <v>9.7901960784313733</v>
      </c>
    </row>
    <row r="434" spans="1:37" x14ac:dyDescent="0.35">
      <c r="A434">
        <v>11</v>
      </c>
      <c r="B434">
        <v>2023</v>
      </c>
      <c r="C434" t="s">
        <v>33</v>
      </c>
      <c r="D434" t="s">
        <v>34</v>
      </c>
      <c r="E434" s="18" t="s">
        <v>390</v>
      </c>
      <c r="F434" s="3" t="s">
        <v>36</v>
      </c>
      <c r="G434" s="2" t="s">
        <v>43</v>
      </c>
      <c r="H434" s="3">
        <v>50231</v>
      </c>
      <c r="I434" s="3">
        <v>2434</v>
      </c>
      <c r="J434" s="2" t="s">
        <v>367</v>
      </c>
      <c r="K434" t="s">
        <v>226</v>
      </c>
      <c r="L434" t="s">
        <v>267</v>
      </c>
      <c r="M434" t="s">
        <v>40</v>
      </c>
      <c r="O434" t="s">
        <v>45</v>
      </c>
      <c r="P434">
        <v>45260</v>
      </c>
      <c r="S434" s="6">
        <v>4864.26</v>
      </c>
      <c r="T434" t="s">
        <v>254</v>
      </c>
      <c r="U434">
        <v>180</v>
      </c>
      <c r="W434" s="7">
        <v>523</v>
      </c>
      <c r="AK434">
        <v>9.3006883365200768</v>
      </c>
    </row>
    <row r="435" spans="1:37" x14ac:dyDescent="0.35">
      <c r="A435">
        <v>11</v>
      </c>
      <c r="B435">
        <v>2023</v>
      </c>
      <c r="C435" t="s">
        <v>33</v>
      </c>
      <c r="D435" t="s">
        <v>34</v>
      </c>
      <c r="E435" s="18" t="s">
        <v>390</v>
      </c>
      <c r="F435" s="3" t="s">
        <v>36</v>
      </c>
      <c r="G435" s="2" t="s">
        <v>43</v>
      </c>
      <c r="H435" s="3">
        <v>50231</v>
      </c>
      <c r="I435" s="3">
        <v>2435</v>
      </c>
      <c r="J435" s="2" t="s">
        <v>368</v>
      </c>
      <c r="K435" t="s">
        <v>226</v>
      </c>
      <c r="L435" t="s">
        <v>267</v>
      </c>
      <c r="M435" t="s">
        <v>40</v>
      </c>
      <c r="O435" t="s">
        <v>45</v>
      </c>
      <c r="P435">
        <v>45260</v>
      </c>
      <c r="S435" s="6">
        <v>5269.09</v>
      </c>
      <c r="T435" t="s">
        <v>254</v>
      </c>
      <c r="U435">
        <v>180</v>
      </c>
      <c r="W435" s="7">
        <v>598</v>
      </c>
      <c r="AK435">
        <v>8.8111872909698992</v>
      </c>
    </row>
    <row r="436" spans="1:37" x14ac:dyDescent="0.35">
      <c r="A436">
        <v>11</v>
      </c>
      <c r="B436">
        <v>2023</v>
      </c>
      <c r="C436" t="s">
        <v>33</v>
      </c>
      <c r="D436" t="s">
        <v>34</v>
      </c>
      <c r="E436" s="18" t="s">
        <v>390</v>
      </c>
      <c r="F436" s="3" t="s">
        <v>36</v>
      </c>
      <c r="G436" s="2" t="s">
        <v>43</v>
      </c>
      <c r="H436" s="3">
        <v>50231</v>
      </c>
      <c r="I436" s="3">
        <v>2544</v>
      </c>
      <c r="J436" s="2" t="s">
        <v>369</v>
      </c>
      <c r="K436" t="s">
        <v>226</v>
      </c>
      <c r="L436" t="s">
        <v>267</v>
      </c>
      <c r="M436" t="s">
        <v>40</v>
      </c>
      <c r="O436" t="s">
        <v>45</v>
      </c>
      <c r="P436">
        <v>45260</v>
      </c>
      <c r="S436" s="6">
        <v>2165.59</v>
      </c>
      <c r="T436" t="s">
        <v>254</v>
      </c>
      <c r="U436">
        <v>180</v>
      </c>
      <c r="W436" s="7">
        <v>316</v>
      </c>
      <c r="AK436">
        <v>6.8531329113924055</v>
      </c>
    </row>
    <row r="437" spans="1:37" x14ac:dyDescent="0.35">
      <c r="A437">
        <v>11</v>
      </c>
      <c r="B437">
        <v>2023</v>
      </c>
      <c r="C437" t="s">
        <v>33</v>
      </c>
      <c r="D437" t="s">
        <v>34</v>
      </c>
      <c r="E437" s="18" t="s">
        <v>390</v>
      </c>
      <c r="F437" s="3" t="s">
        <v>36</v>
      </c>
      <c r="G437" s="2" t="s">
        <v>43</v>
      </c>
      <c r="H437" s="3">
        <v>50231</v>
      </c>
      <c r="I437" s="3">
        <v>2411</v>
      </c>
      <c r="J437" s="2" t="s">
        <v>370</v>
      </c>
      <c r="K437" t="s">
        <v>226</v>
      </c>
      <c r="L437" t="s">
        <v>267</v>
      </c>
      <c r="M437" t="s">
        <v>40</v>
      </c>
      <c r="O437" t="s">
        <v>45</v>
      </c>
      <c r="P437">
        <v>45260</v>
      </c>
      <c r="S437" s="6">
        <v>4486.3599999999997</v>
      </c>
      <c r="T437" t="s">
        <v>254</v>
      </c>
      <c r="U437">
        <v>200</v>
      </c>
      <c r="W437" s="7">
        <v>470</v>
      </c>
      <c r="AK437">
        <v>9.5454468085106381</v>
      </c>
    </row>
    <row r="438" spans="1:37" x14ac:dyDescent="0.35">
      <c r="A438">
        <v>11</v>
      </c>
      <c r="B438">
        <v>2023</v>
      </c>
      <c r="C438" t="s">
        <v>33</v>
      </c>
      <c r="D438" t="s">
        <v>34</v>
      </c>
      <c r="E438" s="18" t="s">
        <v>390</v>
      </c>
      <c r="F438" s="3" t="s">
        <v>36</v>
      </c>
      <c r="G438" s="2" t="s">
        <v>43</v>
      </c>
      <c r="H438" s="3">
        <v>50231</v>
      </c>
      <c r="I438" s="3">
        <v>2413</v>
      </c>
      <c r="J438" s="2" t="s">
        <v>371</v>
      </c>
      <c r="K438" t="s">
        <v>226</v>
      </c>
      <c r="L438" t="s">
        <v>267</v>
      </c>
      <c r="M438" t="s">
        <v>40</v>
      </c>
      <c r="O438" t="s">
        <v>45</v>
      </c>
      <c r="P438">
        <v>45260</v>
      </c>
      <c r="S438" s="6">
        <v>8469.99</v>
      </c>
      <c r="T438" t="s">
        <v>254</v>
      </c>
      <c r="U438">
        <v>200</v>
      </c>
      <c r="W438" s="7">
        <v>1331</v>
      </c>
      <c r="AK438">
        <v>6.3636288504883547</v>
      </c>
    </row>
    <row r="439" spans="1:37" x14ac:dyDescent="0.35">
      <c r="A439">
        <v>11</v>
      </c>
      <c r="B439">
        <v>2023</v>
      </c>
      <c r="C439" t="s">
        <v>33</v>
      </c>
      <c r="D439" t="s">
        <v>34</v>
      </c>
      <c r="E439" s="18" t="s">
        <v>390</v>
      </c>
      <c r="F439" s="3" t="s">
        <v>36</v>
      </c>
      <c r="G439" s="2" t="s">
        <v>43</v>
      </c>
      <c r="H439" s="3">
        <v>50231</v>
      </c>
      <c r="I439" s="3">
        <v>2406</v>
      </c>
      <c r="J439" s="2" t="s">
        <v>372</v>
      </c>
      <c r="K439" t="s">
        <v>226</v>
      </c>
      <c r="L439" t="s">
        <v>267</v>
      </c>
      <c r="M439" t="s">
        <v>40</v>
      </c>
      <c r="O439" t="s">
        <v>45</v>
      </c>
      <c r="P439">
        <v>45260</v>
      </c>
      <c r="S439" s="6">
        <v>4620.97</v>
      </c>
      <c r="T439" t="s">
        <v>254</v>
      </c>
      <c r="U439">
        <v>200</v>
      </c>
      <c r="W439" s="7">
        <v>472</v>
      </c>
      <c r="AK439">
        <v>9.7901906779661019</v>
      </c>
    </row>
    <row r="440" spans="1:37" x14ac:dyDescent="0.35">
      <c r="A440">
        <v>11</v>
      </c>
      <c r="B440">
        <v>2023</v>
      </c>
      <c r="C440" t="s">
        <v>33</v>
      </c>
      <c r="D440" t="s">
        <v>34</v>
      </c>
      <c r="E440" s="18" t="s">
        <v>390</v>
      </c>
      <c r="F440" s="3" t="s">
        <v>36</v>
      </c>
      <c r="G440" s="2" t="s">
        <v>43</v>
      </c>
      <c r="H440" s="3">
        <v>50231</v>
      </c>
      <c r="I440" s="3">
        <v>2407</v>
      </c>
      <c r="J440" s="2" t="s">
        <v>373</v>
      </c>
      <c r="K440" t="s">
        <v>226</v>
      </c>
      <c r="L440" t="s">
        <v>267</v>
      </c>
      <c r="M440" t="s">
        <v>40</v>
      </c>
      <c r="O440" t="s">
        <v>45</v>
      </c>
      <c r="P440">
        <v>45260</v>
      </c>
      <c r="S440" s="6">
        <v>4305</v>
      </c>
      <c r="T440" t="s">
        <v>254</v>
      </c>
      <c r="U440">
        <v>200</v>
      </c>
      <c r="W440" s="7">
        <v>429</v>
      </c>
      <c r="AK440">
        <v>10.034965034965035</v>
      </c>
    </row>
    <row r="441" spans="1:37" x14ac:dyDescent="0.35">
      <c r="A441">
        <v>11</v>
      </c>
      <c r="B441">
        <v>2023</v>
      </c>
      <c r="C441" t="s">
        <v>33</v>
      </c>
      <c r="D441" t="s">
        <v>34</v>
      </c>
      <c r="E441" s="18" t="s">
        <v>390</v>
      </c>
      <c r="F441" s="3" t="s">
        <v>36</v>
      </c>
      <c r="G441" s="2" t="s">
        <v>43</v>
      </c>
      <c r="H441" s="3">
        <v>50231</v>
      </c>
      <c r="I441" s="3">
        <v>2408</v>
      </c>
      <c r="J441" s="2" t="s">
        <v>374</v>
      </c>
      <c r="K441" t="s">
        <v>226</v>
      </c>
      <c r="L441" t="s">
        <v>267</v>
      </c>
      <c r="M441" t="s">
        <v>40</v>
      </c>
      <c r="O441" t="s">
        <v>45</v>
      </c>
      <c r="P441">
        <v>45260</v>
      </c>
      <c r="S441" s="6">
        <v>3913.63</v>
      </c>
      <c r="T441" t="s">
        <v>254</v>
      </c>
      <c r="U441">
        <v>200</v>
      </c>
      <c r="W441" s="7">
        <v>410</v>
      </c>
      <c r="AK441">
        <v>9.5454390243902445</v>
      </c>
    </row>
    <row r="442" spans="1:37" x14ac:dyDescent="0.35">
      <c r="A442">
        <v>11</v>
      </c>
      <c r="B442">
        <v>2023</v>
      </c>
      <c r="C442" t="s">
        <v>33</v>
      </c>
      <c r="D442" t="s">
        <v>34</v>
      </c>
      <c r="E442" s="18" t="s">
        <v>390</v>
      </c>
      <c r="F442" s="3" t="s">
        <v>36</v>
      </c>
      <c r="G442" s="2" t="s">
        <v>43</v>
      </c>
      <c r="H442" s="3">
        <v>50231</v>
      </c>
      <c r="I442" s="3">
        <v>2409</v>
      </c>
      <c r="J442" s="2" t="s">
        <v>375</v>
      </c>
      <c r="K442" t="s">
        <v>226</v>
      </c>
      <c r="L442" t="s">
        <v>267</v>
      </c>
      <c r="M442" t="s">
        <v>40</v>
      </c>
      <c r="O442" t="s">
        <v>45</v>
      </c>
      <c r="P442">
        <v>45260</v>
      </c>
      <c r="S442" s="6">
        <v>3763.11</v>
      </c>
      <c r="T442" t="s">
        <v>254</v>
      </c>
      <c r="U442">
        <v>200</v>
      </c>
      <c r="W442" s="7">
        <v>375</v>
      </c>
      <c r="AK442">
        <v>10.03496</v>
      </c>
    </row>
    <row r="443" spans="1:37" x14ac:dyDescent="0.35">
      <c r="A443">
        <v>11</v>
      </c>
      <c r="B443">
        <v>2023</v>
      </c>
      <c r="C443" t="s">
        <v>33</v>
      </c>
      <c r="D443" t="s">
        <v>34</v>
      </c>
      <c r="E443" s="18" t="s">
        <v>390</v>
      </c>
      <c r="F443" s="3" t="s">
        <v>36</v>
      </c>
      <c r="G443" s="2" t="s">
        <v>43</v>
      </c>
      <c r="H443" s="3">
        <v>50231</v>
      </c>
      <c r="I443" s="3">
        <v>2412</v>
      </c>
      <c r="J443" s="2" t="s">
        <v>376</v>
      </c>
      <c r="K443" t="s">
        <v>226</v>
      </c>
      <c r="L443" t="s">
        <v>267</v>
      </c>
      <c r="M443" t="s">
        <v>40</v>
      </c>
      <c r="O443" t="s">
        <v>45</v>
      </c>
      <c r="P443">
        <v>45260</v>
      </c>
      <c r="S443" s="6">
        <v>4724.75</v>
      </c>
      <c r="T443" t="s">
        <v>254</v>
      </c>
      <c r="U443">
        <v>200</v>
      </c>
      <c r="W443" s="7">
        <v>508</v>
      </c>
      <c r="AK443">
        <v>9.3006889763779519</v>
      </c>
    </row>
    <row r="444" spans="1:37" x14ac:dyDescent="0.35">
      <c r="A444">
        <v>11</v>
      </c>
      <c r="B444">
        <v>2023</v>
      </c>
      <c r="C444" t="s">
        <v>33</v>
      </c>
      <c r="D444" t="s">
        <v>34</v>
      </c>
      <c r="E444" s="18" t="s">
        <v>390</v>
      </c>
      <c r="F444" s="3" t="s">
        <v>36</v>
      </c>
      <c r="G444" s="2" t="s">
        <v>43</v>
      </c>
      <c r="H444" s="3">
        <v>50231</v>
      </c>
      <c r="I444" s="3">
        <v>2422</v>
      </c>
      <c r="J444" s="2" t="s">
        <v>377</v>
      </c>
      <c r="K444" t="s">
        <v>226</v>
      </c>
      <c r="L444" t="s">
        <v>267</v>
      </c>
      <c r="M444" t="s">
        <v>40</v>
      </c>
      <c r="O444" t="s">
        <v>45</v>
      </c>
      <c r="P444">
        <v>45260</v>
      </c>
      <c r="S444" s="6">
        <v>4696.8500000000004</v>
      </c>
      <c r="T444" t="s">
        <v>254</v>
      </c>
      <c r="U444">
        <v>180</v>
      </c>
      <c r="W444" s="7">
        <v>505</v>
      </c>
      <c r="AK444">
        <v>9.3006930693069307</v>
      </c>
    </row>
    <row r="445" spans="1:37" x14ac:dyDescent="0.35">
      <c r="A445">
        <v>11</v>
      </c>
      <c r="B445">
        <v>2023</v>
      </c>
      <c r="C445" t="s">
        <v>33</v>
      </c>
      <c r="D445" t="s">
        <v>34</v>
      </c>
      <c r="E445" s="18" t="s">
        <v>390</v>
      </c>
      <c r="F445" s="3" t="s">
        <v>36</v>
      </c>
      <c r="G445" s="2" t="s">
        <v>43</v>
      </c>
      <c r="H445" s="3">
        <v>50231</v>
      </c>
      <c r="I445" s="3">
        <v>2418</v>
      </c>
      <c r="J445" s="2" t="s">
        <v>378</v>
      </c>
      <c r="K445" t="s">
        <v>226</v>
      </c>
      <c r="L445" t="s">
        <v>267</v>
      </c>
      <c r="M445" t="s">
        <v>40</v>
      </c>
      <c r="O445" t="s">
        <v>45</v>
      </c>
      <c r="P445">
        <v>45260</v>
      </c>
      <c r="S445" s="6">
        <v>4244.93</v>
      </c>
      <c r="T445" t="s">
        <v>254</v>
      </c>
      <c r="U445">
        <v>200</v>
      </c>
      <c r="W445" s="7">
        <v>447</v>
      </c>
      <c r="AK445">
        <v>9.4964876957494422</v>
      </c>
    </row>
    <row r="446" spans="1:37" x14ac:dyDescent="0.35">
      <c r="A446">
        <v>11</v>
      </c>
      <c r="B446">
        <v>2023</v>
      </c>
      <c r="C446" t="s">
        <v>33</v>
      </c>
      <c r="D446" t="s">
        <v>34</v>
      </c>
      <c r="E446" s="18" t="s">
        <v>390</v>
      </c>
      <c r="F446" s="3" t="s">
        <v>36</v>
      </c>
      <c r="G446" s="2" t="s">
        <v>43</v>
      </c>
      <c r="H446" s="3">
        <v>50231</v>
      </c>
      <c r="I446" s="3">
        <v>2420</v>
      </c>
      <c r="J446" s="2" t="s">
        <v>379</v>
      </c>
      <c r="K446" t="s">
        <v>226</v>
      </c>
      <c r="L446" t="s">
        <v>267</v>
      </c>
      <c r="M446" t="s">
        <v>40</v>
      </c>
      <c r="O446" t="s">
        <v>45</v>
      </c>
      <c r="P446">
        <v>45260</v>
      </c>
      <c r="S446" s="6">
        <v>12829.08</v>
      </c>
      <c r="T446" t="s">
        <v>254</v>
      </c>
      <c r="U446">
        <v>160</v>
      </c>
      <c r="W446" s="7">
        <v>2016</v>
      </c>
      <c r="AK446">
        <v>6.3636309523809524</v>
      </c>
    </row>
    <row r="447" spans="1:37" x14ac:dyDescent="0.35">
      <c r="A447">
        <v>11</v>
      </c>
      <c r="B447">
        <v>2023</v>
      </c>
      <c r="C447" t="s">
        <v>33</v>
      </c>
      <c r="D447" t="s">
        <v>34</v>
      </c>
      <c r="E447" s="18" t="s">
        <v>390</v>
      </c>
      <c r="F447" s="3" t="s">
        <v>36</v>
      </c>
      <c r="G447" s="2" t="s">
        <v>43</v>
      </c>
      <c r="H447" s="3">
        <v>50231</v>
      </c>
      <c r="I447" s="3">
        <v>2419</v>
      </c>
      <c r="J447" s="2" t="s">
        <v>380</v>
      </c>
      <c r="K447" t="s">
        <v>226</v>
      </c>
      <c r="L447" t="s">
        <v>267</v>
      </c>
      <c r="M447" t="s">
        <v>40</v>
      </c>
      <c r="O447" t="s">
        <v>45</v>
      </c>
      <c r="P447">
        <v>45260</v>
      </c>
      <c r="S447" s="6">
        <v>4758.04</v>
      </c>
      <c r="T447" t="s">
        <v>254</v>
      </c>
      <c r="U447">
        <v>180</v>
      </c>
      <c r="W447" s="7">
        <v>486</v>
      </c>
      <c r="AK447">
        <v>9.7902057613168729</v>
      </c>
    </row>
    <row r="448" spans="1:37" x14ac:dyDescent="0.35">
      <c r="A448">
        <v>11</v>
      </c>
      <c r="B448">
        <v>2023</v>
      </c>
      <c r="C448" t="s">
        <v>33</v>
      </c>
      <c r="D448" t="s">
        <v>34</v>
      </c>
      <c r="E448" s="18" t="s">
        <v>390</v>
      </c>
      <c r="F448" s="3" t="s">
        <v>36</v>
      </c>
      <c r="G448" s="2" t="s">
        <v>43</v>
      </c>
      <c r="H448" s="3">
        <v>50231</v>
      </c>
      <c r="I448" s="3">
        <v>2415</v>
      </c>
      <c r="J448" s="2" t="s">
        <v>381</v>
      </c>
      <c r="K448" t="s">
        <v>226</v>
      </c>
      <c r="L448" t="s">
        <v>267</v>
      </c>
      <c r="M448" t="s">
        <v>40</v>
      </c>
      <c r="O448" t="s">
        <v>45</v>
      </c>
      <c r="P448">
        <v>45260</v>
      </c>
      <c r="S448" s="6">
        <v>10318.629999999999</v>
      </c>
      <c r="T448" t="s">
        <v>254</v>
      </c>
      <c r="U448">
        <v>200</v>
      </c>
      <c r="W448" s="7">
        <v>1081</v>
      </c>
      <c r="AK448">
        <v>9.5454486586493985</v>
      </c>
    </row>
    <row r="449" spans="1:37" x14ac:dyDescent="0.35">
      <c r="A449">
        <v>11</v>
      </c>
      <c r="B449">
        <v>2023</v>
      </c>
      <c r="C449" t="s">
        <v>33</v>
      </c>
      <c r="D449" t="s">
        <v>34</v>
      </c>
      <c r="E449" s="18" t="s">
        <v>390</v>
      </c>
      <c r="F449" s="3" t="s">
        <v>36</v>
      </c>
      <c r="G449" s="2" t="s">
        <v>43</v>
      </c>
      <c r="H449" s="3">
        <v>50231</v>
      </c>
      <c r="I449" s="3">
        <v>2417</v>
      </c>
      <c r="J449" s="2" t="s">
        <v>382</v>
      </c>
      <c r="K449" t="s">
        <v>226</v>
      </c>
      <c r="L449" t="s">
        <v>267</v>
      </c>
      <c r="M449" t="s">
        <v>40</v>
      </c>
      <c r="O449" t="s">
        <v>45</v>
      </c>
      <c r="P449">
        <v>45260</v>
      </c>
      <c r="S449" s="6">
        <v>3494.71</v>
      </c>
      <c r="T449" t="s">
        <v>254</v>
      </c>
      <c r="U449">
        <v>200</v>
      </c>
      <c r="W449" s="7">
        <v>368</v>
      </c>
      <c r="AK449">
        <v>9.4964945652173913</v>
      </c>
    </row>
    <row r="450" spans="1:37" x14ac:dyDescent="0.35">
      <c r="A450">
        <v>11</v>
      </c>
      <c r="B450">
        <v>2023</v>
      </c>
      <c r="C450" t="s">
        <v>33</v>
      </c>
      <c r="D450" t="s">
        <v>34</v>
      </c>
      <c r="E450" s="18" t="s">
        <v>390</v>
      </c>
      <c r="F450" s="3" t="s">
        <v>36</v>
      </c>
      <c r="G450" s="2" t="s">
        <v>43</v>
      </c>
      <c r="H450" s="3">
        <v>50231</v>
      </c>
      <c r="I450" s="3">
        <v>2416</v>
      </c>
      <c r="J450" s="2" t="s">
        <v>383</v>
      </c>
      <c r="K450" t="s">
        <v>226</v>
      </c>
      <c r="L450" t="s">
        <v>267</v>
      </c>
      <c r="M450" t="s">
        <v>40</v>
      </c>
      <c r="O450" t="s">
        <v>45</v>
      </c>
      <c r="P450">
        <v>45260</v>
      </c>
      <c r="S450" s="6">
        <v>4901.46</v>
      </c>
      <c r="T450" t="s">
        <v>254</v>
      </c>
      <c r="U450">
        <v>200</v>
      </c>
      <c r="W450" s="7">
        <v>527</v>
      </c>
      <c r="AK450">
        <v>9.3006831119544593</v>
      </c>
    </row>
    <row r="451" spans="1:37" x14ac:dyDescent="0.35">
      <c r="A451">
        <v>11</v>
      </c>
      <c r="B451">
        <v>2023</v>
      </c>
      <c r="C451" t="s">
        <v>33</v>
      </c>
      <c r="D451" t="s">
        <v>34</v>
      </c>
      <c r="E451" t="s">
        <v>42</v>
      </c>
      <c r="F451" s="3" t="s">
        <v>36</v>
      </c>
      <c r="G451" s="2" t="s">
        <v>43</v>
      </c>
      <c r="H451" s="3">
        <v>50234</v>
      </c>
      <c r="I451" s="3">
        <v>2054</v>
      </c>
      <c r="J451" s="2" t="s">
        <v>330</v>
      </c>
      <c r="K451" t="s">
        <v>42</v>
      </c>
      <c r="L451" t="s">
        <v>267</v>
      </c>
      <c r="M451" t="s">
        <v>40</v>
      </c>
      <c r="O451" t="s">
        <v>297</v>
      </c>
      <c r="P451">
        <v>45260</v>
      </c>
      <c r="S451" s="6">
        <v>14640.75</v>
      </c>
      <c r="T451" t="s">
        <v>254</v>
      </c>
      <c r="U451">
        <v>280</v>
      </c>
      <c r="W451" s="7">
        <v>935</v>
      </c>
      <c r="AK451">
        <v>15.65855614973262</v>
      </c>
    </row>
    <row r="452" spans="1:37" x14ac:dyDescent="0.35">
      <c r="A452">
        <v>11</v>
      </c>
      <c r="B452">
        <v>2023</v>
      </c>
      <c r="C452" t="s">
        <v>33</v>
      </c>
      <c r="D452" t="s">
        <v>34</v>
      </c>
      <c r="E452" t="s">
        <v>42</v>
      </c>
      <c r="F452" s="3" t="s">
        <v>36</v>
      </c>
      <c r="G452" s="2" t="s">
        <v>43</v>
      </c>
      <c r="H452" s="3">
        <v>50234</v>
      </c>
      <c r="I452" s="3">
        <v>2157</v>
      </c>
      <c r="J452" s="2" t="s">
        <v>337</v>
      </c>
      <c r="K452" t="s">
        <v>42</v>
      </c>
      <c r="L452" t="s">
        <v>267</v>
      </c>
      <c r="M452" t="s">
        <v>40</v>
      </c>
      <c r="O452" t="s">
        <v>297</v>
      </c>
      <c r="P452">
        <v>45260</v>
      </c>
      <c r="S452" s="6">
        <v>22612.97</v>
      </c>
      <c r="T452" t="s">
        <v>254</v>
      </c>
      <c r="U452">
        <v>300</v>
      </c>
      <c r="W452" s="7">
        <v>977</v>
      </c>
      <c r="AK452">
        <v>23.145312180143296</v>
      </c>
    </row>
    <row r="453" spans="1:37" x14ac:dyDescent="0.35">
      <c r="A453">
        <v>11</v>
      </c>
      <c r="B453">
        <v>2023</v>
      </c>
      <c r="C453" t="s">
        <v>33</v>
      </c>
      <c r="D453" t="s">
        <v>34</v>
      </c>
      <c r="E453" t="s">
        <v>42</v>
      </c>
      <c r="F453" s="3" t="s">
        <v>36</v>
      </c>
      <c r="G453" s="2" t="s">
        <v>43</v>
      </c>
      <c r="H453" s="3">
        <v>50234</v>
      </c>
      <c r="I453" s="3">
        <v>1905</v>
      </c>
      <c r="J453" s="2" t="s">
        <v>291</v>
      </c>
      <c r="K453" t="s">
        <v>42</v>
      </c>
      <c r="L453" t="s">
        <v>267</v>
      </c>
      <c r="M453" t="s">
        <v>40</v>
      </c>
      <c r="O453" t="s">
        <v>297</v>
      </c>
      <c r="P453">
        <v>45260</v>
      </c>
      <c r="S453" s="6">
        <v>7829.28</v>
      </c>
      <c r="T453" t="s">
        <v>254</v>
      </c>
      <c r="W453" s="7">
        <v>1000</v>
      </c>
      <c r="AK453">
        <v>7.8292799999999998</v>
      </c>
    </row>
    <row r="454" spans="1:37" x14ac:dyDescent="0.35">
      <c r="A454">
        <v>11</v>
      </c>
      <c r="B454">
        <v>2023</v>
      </c>
      <c r="C454" t="s">
        <v>33</v>
      </c>
      <c r="D454" t="s">
        <v>34</v>
      </c>
      <c r="E454" t="s">
        <v>42</v>
      </c>
      <c r="F454" s="3" t="s">
        <v>36</v>
      </c>
      <c r="G454" s="2" t="s">
        <v>43</v>
      </c>
      <c r="H454" s="3">
        <v>50234</v>
      </c>
      <c r="I454" s="3">
        <v>2495</v>
      </c>
      <c r="J454" s="2" t="s">
        <v>384</v>
      </c>
      <c r="K454" t="s">
        <v>42</v>
      </c>
      <c r="L454" t="s">
        <v>267</v>
      </c>
      <c r="M454" t="s">
        <v>40</v>
      </c>
      <c r="O454" t="s">
        <v>297</v>
      </c>
      <c r="P454">
        <v>45260</v>
      </c>
      <c r="S454" s="6">
        <v>23083.85</v>
      </c>
      <c r="T454" t="s">
        <v>254</v>
      </c>
      <c r="U454">
        <v>470</v>
      </c>
      <c r="W454" s="7">
        <v>832</v>
      </c>
      <c r="AK454">
        <v>27.745012019230767</v>
      </c>
    </row>
    <row r="455" spans="1:37" x14ac:dyDescent="0.35">
      <c r="A455">
        <v>11</v>
      </c>
      <c r="B455">
        <v>2023</v>
      </c>
      <c r="C455" t="s">
        <v>33</v>
      </c>
      <c r="D455" t="s">
        <v>34</v>
      </c>
      <c r="E455" t="s">
        <v>42</v>
      </c>
      <c r="F455" s="3" t="s">
        <v>36</v>
      </c>
      <c r="G455" s="2" t="s">
        <v>43</v>
      </c>
      <c r="H455" s="3">
        <v>50234</v>
      </c>
      <c r="I455" s="3">
        <v>2496</v>
      </c>
      <c r="J455" s="2" t="s">
        <v>385</v>
      </c>
      <c r="K455" t="s">
        <v>42</v>
      </c>
      <c r="L455" t="s">
        <v>267</v>
      </c>
      <c r="M455" t="s">
        <v>40</v>
      </c>
      <c r="O455" t="s">
        <v>297</v>
      </c>
      <c r="P455">
        <v>45260</v>
      </c>
      <c r="S455" s="6">
        <v>10070.41</v>
      </c>
      <c r="T455" t="s">
        <v>254</v>
      </c>
      <c r="U455">
        <v>310</v>
      </c>
      <c r="W455" s="7">
        <v>490</v>
      </c>
      <c r="AK455">
        <v>20.551857142857141</v>
      </c>
    </row>
    <row r="456" spans="1:37" x14ac:dyDescent="0.35">
      <c r="A456">
        <v>11</v>
      </c>
      <c r="B456">
        <v>2023</v>
      </c>
      <c r="C456" t="s">
        <v>33</v>
      </c>
      <c r="D456" t="s">
        <v>34</v>
      </c>
      <c r="E456" t="s">
        <v>42</v>
      </c>
      <c r="F456" s="3" t="s">
        <v>36</v>
      </c>
      <c r="G456" s="2" t="s">
        <v>43</v>
      </c>
      <c r="H456" s="3">
        <v>50234</v>
      </c>
      <c r="I456" s="3">
        <v>2497</v>
      </c>
      <c r="J456" s="2" t="s">
        <v>386</v>
      </c>
      <c r="K456" t="s">
        <v>42</v>
      </c>
      <c r="L456" t="s">
        <v>267</v>
      </c>
      <c r="M456" t="s">
        <v>40</v>
      </c>
      <c r="O456" t="s">
        <v>297</v>
      </c>
      <c r="P456">
        <v>45260</v>
      </c>
      <c r="S456" s="6">
        <v>1972.98</v>
      </c>
      <c r="T456" t="s">
        <v>254</v>
      </c>
      <c r="U456">
        <v>230</v>
      </c>
      <c r="W456" s="7">
        <v>168</v>
      </c>
      <c r="AK456">
        <v>11.743928571428572</v>
      </c>
    </row>
    <row r="457" spans="1:37" x14ac:dyDescent="0.35">
      <c r="A457">
        <v>11</v>
      </c>
      <c r="B457">
        <v>2023</v>
      </c>
      <c r="C457" t="s">
        <v>33</v>
      </c>
      <c r="D457" t="s">
        <v>34</v>
      </c>
      <c r="E457" t="s">
        <v>42</v>
      </c>
      <c r="F457" s="3" t="s">
        <v>36</v>
      </c>
      <c r="G457" s="2" t="s">
        <v>43</v>
      </c>
      <c r="H457" s="3">
        <v>50234</v>
      </c>
      <c r="I457" s="3">
        <v>1504</v>
      </c>
      <c r="J457" s="2" t="s">
        <v>263</v>
      </c>
      <c r="K457" t="s">
        <v>42</v>
      </c>
      <c r="L457" t="s">
        <v>267</v>
      </c>
      <c r="M457" t="s">
        <v>40</v>
      </c>
      <c r="O457" t="s">
        <v>297</v>
      </c>
      <c r="P457">
        <v>45260</v>
      </c>
      <c r="S457" s="6">
        <v>63370.68</v>
      </c>
      <c r="T457" t="s">
        <v>254</v>
      </c>
      <c r="U457">
        <v>240</v>
      </c>
      <c r="W457" s="7">
        <v>4390</v>
      </c>
      <c r="AK457">
        <v>14.435234624145785</v>
      </c>
    </row>
    <row r="458" spans="1:37" x14ac:dyDescent="0.35">
      <c r="A458">
        <v>11</v>
      </c>
      <c r="B458">
        <v>2023</v>
      </c>
      <c r="C458" t="s">
        <v>33</v>
      </c>
      <c r="D458" t="s">
        <v>34</v>
      </c>
      <c r="E458" t="s">
        <v>42</v>
      </c>
      <c r="F458" s="3" t="s">
        <v>36</v>
      </c>
      <c r="G458" s="2" t="s">
        <v>43</v>
      </c>
      <c r="H458" s="3">
        <v>50234</v>
      </c>
      <c r="I458" s="3">
        <v>1523</v>
      </c>
      <c r="J458" s="2" t="s">
        <v>282</v>
      </c>
      <c r="K458" t="s">
        <v>42</v>
      </c>
      <c r="L458" t="s">
        <v>267</v>
      </c>
      <c r="M458" t="s">
        <v>40</v>
      </c>
      <c r="O458" t="s">
        <v>297</v>
      </c>
      <c r="P458">
        <v>45260</v>
      </c>
      <c r="S458" s="6">
        <v>10569.53</v>
      </c>
      <c r="T458" t="s">
        <v>254</v>
      </c>
      <c r="W458" s="7">
        <v>1500</v>
      </c>
      <c r="AK458">
        <v>7.0463533333333341</v>
      </c>
    </row>
    <row r="459" spans="1:37" x14ac:dyDescent="0.35">
      <c r="A459">
        <v>11</v>
      </c>
      <c r="B459">
        <v>2023</v>
      </c>
      <c r="C459" t="s">
        <v>33</v>
      </c>
      <c r="D459" t="s">
        <v>34</v>
      </c>
      <c r="E459" t="s">
        <v>42</v>
      </c>
      <c r="F459" s="3" t="s">
        <v>36</v>
      </c>
      <c r="G459" s="2" t="s">
        <v>43</v>
      </c>
      <c r="H459" s="3">
        <v>50234</v>
      </c>
      <c r="I459" s="3">
        <v>1236</v>
      </c>
      <c r="J459" s="2" t="s">
        <v>264</v>
      </c>
      <c r="K459" t="s">
        <v>42</v>
      </c>
      <c r="L459" t="s">
        <v>267</v>
      </c>
      <c r="M459" t="s">
        <v>40</v>
      </c>
      <c r="O459" t="s">
        <v>297</v>
      </c>
      <c r="P459">
        <v>45260</v>
      </c>
      <c r="S459" s="6">
        <v>27796.39</v>
      </c>
      <c r="T459" t="s">
        <v>254</v>
      </c>
      <c r="U459">
        <v>240</v>
      </c>
      <c r="W459" s="7">
        <v>1623</v>
      </c>
      <c r="AK459">
        <v>17.126549599507086</v>
      </c>
    </row>
    <row r="460" spans="1:37" x14ac:dyDescent="0.35">
      <c r="A460">
        <v>11</v>
      </c>
      <c r="B460">
        <v>2023</v>
      </c>
      <c r="C460" t="s">
        <v>33</v>
      </c>
      <c r="D460" t="s">
        <v>34</v>
      </c>
      <c r="E460" t="s">
        <v>42</v>
      </c>
      <c r="F460" s="3" t="s">
        <v>36</v>
      </c>
      <c r="G460" s="2" t="s">
        <v>43</v>
      </c>
      <c r="H460" s="3">
        <v>50234</v>
      </c>
      <c r="I460" s="3">
        <v>1226</v>
      </c>
      <c r="J460" s="2" t="s">
        <v>266</v>
      </c>
      <c r="K460" t="s">
        <v>42</v>
      </c>
      <c r="L460" t="s">
        <v>267</v>
      </c>
      <c r="M460" t="s">
        <v>40</v>
      </c>
      <c r="O460" t="s">
        <v>297</v>
      </c>
      <c r="P460">
        <v>45260</v>
      </c>
      <c r="S460" s="6">
        <v>20610.580000000002</v>
      </c>
      <c r="T460" t="s">
        <v>254</v>
      </c>
      <c r="U460">
        <v>260</v>
      </c>
      <c r="W460" s="7">
        <v>1404</v>
      </c>
      <c r="AK460">
        <v>14.679900284900286</v>
      </c>
    </row>
    <row r="461" spans="1:37" x14ac:dyDescent="0.35">
      <c r="A461">
        <v>11</v>
      </c>
      <c r="B461">
        <v>2023</v>
      </c>
      <c r="C461" t="s">
        <v>33</v>
      </c>
      <c r="D461" t="s">
        <v>34</v>
      </c>
      <c r="E461" t="s">
        <v>42</v>
      </c>
      <c r="F461" s="3" t="s">
        <v>36</v>
      </c>
      <c r="G461" s="2" t="s">
        <v>43</v>
      </c>
      <c r="H461" s="3">
        <v>50234</v>
      </c>
      <c r="I461" s="3">
        <v>1225</v>
      </c>
      <c r="J461" s="2" t="s">
        <v>292</v>
      </c>
      <c r="K461" t="s">
        <v>42</v>
      </c>
      <c r="L461" t="s">
        <v>267</v>
      </c>
      <c r="M461" t="s">
        <v>40</v>
      </c>
      <c r="O461" t="s">
        <v>297</v>
      </c>
      <c r="P461">
        <v>45260</v>
      </c>
      <c r="S461" s="6">
        <v>118002.52</v>
      </c>
      <c r="T461" t="s">
        <v>254</v>
      </c>
      <c r="U461">
        <v>240</v>
      </c>
      <c r="W461" s="7">
        <v>8147</v>
      </c>
      <c r="AK461">
        <v>14.484168405548054</v>
      </c>
    </row>
    <row r="462" spans="1:37" x14ac:dyDescent="0.35">
      <c r="A462">
        <v>11</v>
      </c>
      <c r="B462">
        <v>2023</v>
      </c>
      <c r="C462" t="s">
        <v>33</v>
      </c>
      <c r="D462" t="s">
        <v>34</v>
      </c>
      <c r="E462" t="s">
        <v>42</v>
      </c>
      <c r="F462" s="3" t="s">
        <v>36</v>
      </c>
      <c r="G462" s="2" t="s">
        <v>43</v>
      </c>
      <c r="H462" s="3">
        <v>50234</v>
      </c>
      <c r="I462" s="3">
        <v>1525</v>
      </c>
      <c r="J462" s="2" t="s">
        <v>283</v>
      </c>
      <c r="K462" t="s">
        <v>42</v>
      </c>
      <c r="L462" t="s">
        <v>267</v>
      </c>
      <c r="M462" t="s">
        <v>40</v>
      </c>
      <c r="O462" t="s">
        <v>297</v>
      </c>
      <c r="P462">
        <v>45260</v>
      </c>
      <c r="S462" s="6">
        <v>53572.24</v>
      </c>
      <c r="T462" t="s">
        <v>254</v>
      </c>
      <c r="U462">
        <v>320</v>
      </c>
      <c r="W462" s="7">
        <v>2904</v>
      </c>
      <c r="AK462">
        <v>18.447741046831954</v>
      </c>
    </row>
    <row r="463" spans="1:37" x14ac:dyDescent="0.35">
      <c r="A463">
        <v>12</v>
      </c>
      <c r="B463">
        <v>2023</v>
      </c>
      <c r="C463" t="s">
        <v>33</v>
      </c>
      <c r="D463" t="s">
        <v>34</v>
      </c>
      <c r="E463" t="s">
        <v>42</v>
      </c>
      <c r="F463" s="3" t="s">
        <v>36</v>
      </c>
      <c r="G463" s="2" t="s">
        <v>43</v>
      </c>
      <c r="H463" s="3">
        <v>50258</v>
      </c>
      <c r="I463" s="3">
        <v>2497</v>
      </c>
      <c r="J463" s="2" t="s">
        <v>386</v>
      </c>
      <c r="K463" t="s">
        <v>42</v>
      </c>
      <c r="L463" t="s">
        <v>267</v>
      </c>
      <c r="M463" t="s">
        <v>40</v>
      </c>
      <c r="O463" t="s">
        <v>297</v>
      </c>
      <c r="P463">
        <v>45264</v>
      </c>
      <c r="S463" s="6">
        <v>1251.42</v>
      </c>
      <c r="T463" t="s">
        <v>254</v>
      </c>
      <c r="U463">
        <v>230</v>
      </c>
      <c r="W463" s="7">
        <v>106</v>
      </c>
      <c r="AI463" t="s">
        <v>255</v>
      </c>
      <c r="AJ463" t="s">
        <v>262</v>
      </c>
      <c r="AK463">
        <v>11.805849056603774</v>
      </c>
    </row>
    <row r="464" spans="1:37" x14ac:dyDescent="0.35">
      <c r="A464">
        <v>12</v>
      </c>
      <c r="B464">
        <v>2023</v>
      </c>
      <c r="C464" t="s">
        <v>33</v>
      </c>
      <c r="D464" t="s">
        <v>34</v>
      </c>
      <c r="E464" t="s">
        <v>387</v>
      </c>
      <c r="F464" s="3" t="s">
        <v>36</v>
      </c>
      <c r="G464" s="2" t="s">
        <v>388</v>
      </c>
      <c r="H464" s="3">
        <v>50316</v>
      </c>
      <c r="I464" s="3">
        <v>2543</v>
      </c>
      <c r="J464" s="2" t="s">
        <v>389</v>
      </c>
      <c r="K464" t="s">
        <v>387</v>
      </c>
      <c r="L464" t="s">
        <v>267</v>
      </c>
      <c r="M464" t="s">
        <v>40</v>
      </c>
      <c r="O464" t="s">
        <v>297</v>
      </c>
      <c r="P464">
        <v>45265</v>
      </c>
      <c r="S464" s="6">
        <v>5447.24</v>
      </c>
      <c r="T464" t="s">
        <v>254</v>
      </c>
      <c r="U464">
        <v>260</v>
      </c>
      <c r="W464" s="7">
        <v>509</v>
      </c>
      <c r="AI464" t="s">
        <v>387</v>
      </c>
      <c r="AJ464" t="s">
        <v>258</v>
      </c>
      <c r="AK464">
        <v>10.701846758349705</v>
      </c>
    </row>
    <row r="465" spans="1:37" x14ac:dyDescent="0.35">
      <c r="A465">
        <v>12</v>
      </c>
      <c r="B465">
        <v>2023</v>
      </c>
      <c r="C465" t="s">
        <v>33</v>
      </c>
      <c r="D465" t="s">
        <v>34</v>
      </c>
      <c r="E465" t="s">
        <v>42</v>
      </c>
      <c r="F465" s="3" t="s">
        <v>36</v>
      </c>
      <c r="G465" s="2" t="s">
        <v>43</v>
      </c>
      <c r="H465" s="3">
        <v>50334</v>
      </c>
      <c r="I465" s="3">
        <v>2157</v>
      </c>
      <c r="J465" s="2" t="s">
        <v>337</v>
      </c>
      <c r="K465" t="s">
        <v>42</v>
      </c>
      <c r="L465" t="s">
        <v>267</v>
      </c>
      <c r="M465" t="s">
        <v>40</v>
      </c>
      <c r="O465" t="s">
        <v>297</v>
      </c>
      <c r="P465">
        <v>45266</v>
      </c>
      <c r="S465" s="6">
        <v>22885.16</v>
      </c>
      <c r="T465" t="s">
        <v>254</v>
      </c>
      <c r="AI465" t="s">
        <v>255</v>
      </c>
      <c r="AJ465" t="s">
        <v>262</v>
      </c>
      <c r="AK465">
        <v>0</v>
      </c>
    </row>
    <row r="466" spans="1:37" x14ac:dyDescent="0.35">
      <c r="A466">
        <v>12</v>
      </c>
      <c r="B466">
        <v>2023</v>
      </c>
      <c r="C466" t="s">
        <v>33</v>
      </c>
      <c r="D466" t="s">
        <v>34</v>
      </c>
      <c r="E466" t="s">
        <v>42</v>
      </c>
      <c r="F466" s="3" t="s">
        <v>36</v>
      </c>
      <c r="G466" s="2" t="s">
        <v>43</v>
      </c>
      <c r="H466" s="3">
        <v>50334</v>
      </c>
      <c r="I466" s="3">
        <v>2495</v>
      </c>
      <c r="J466" s="2" t="s">
        <v>384</v>
      </c>
      <c r="K466" t="s">
        <v>42</v>
      </c>
      <c r="L466" t="s">
        <v>267</v>
      </c>
      <c r="M466" t="s">
        <v>40</v>
      </c>
      <c r="O466" t="s">
        <v>297</v>
      </c>
      <c r="P466">
        <v>45266</v>
      </c>
      <c r="S466" s="6">
        <v>23361.71</v>
      </c>
      <c r="T466" t="s">
        <v>254</v>
      </c>
      <c r="AI466" t="s">
        <v>255</v>
      </c>
      <c r="AJ466" t="s">
        <v>262</v>
      </c>
      <c r="AK466">
        <v>0</v>
      </c>
    </row>
    <row r="467" spans="1:37" x14ac:dyDescent="0.35">
      <c r="A467">
        <v>12</v>
      </c>
      <c r="B467">
        <v>2023</v>
      </c>
      <c r="C467" t="s">
        <v>33</v>
      </c>
      <c r="D467" t="s">
        <v>34</v>
      </c>
      <c r="E467" t="s">
        <v>42</v>
      </c>
      <c r="F467" s="3" t="s">
        <v>36</v>
      </c>
      <c r="G467" s="2" t="s">
        <v>43</v>
      </c>
      <c r="H467" s="3">
        <v>50334</v>
      </c>
      <c r="I467" s="3">
        <v>2054</v>
      </c>
      <c r="J467" s="2" t="s">
        <v>330</v>
      </c>
      <c r="K467" t="s">
        <v>42</v>
      </c>
      <c r="L467" t="s">
        <v>267</v>
      </c>
      <c r="M467" t="s">
        <v>40</v>
      </c>
      <c r="O467" t="s">
        <v>297</v>
      </c>
      <c r="P467">
        <v>45266</v>
      </c>
      <c r="S467" s="6">
        <v>14816.98</v>
      </c>
      <c r="T467" t="s">
        <v>254</v>
      </c>
      <c r="AI467" t="s">
        <v>255</v>
      </c>
      <c r="AJ467" t="s">
        <v>262</v>
      </c>
      <c r="AK467">
        <v>0</v>
      </c>
    </row>
    <row r="468" spans="1:37" x14ac:dyDescent="0.35">
      <c r="A468">
        <v>12</v>
      </c>
      <c r="B468">
        <v>2023</v>
      </c>
      <c r="C468" t="s">
        <v>33</v>
      </c>
      <c r="D468" t="s">
        <v>34</v>
      </c>
      <c r="E468" t="s">
        <v>42</v>
      </c>
      <c r="F468" s="3" t="s">
        <v>36</v>
      </c>
      <c r="G468" s="2" t="s">
        <v>43</v>
      </c>
      <c r="H468" s="3">
        <v>50334</v>
      </c>
      <c r="I468" s="3">
        <v>1905</v>
      </c>
      <c r="J468" s="2" t="s">
        <v>291</v>
      </c>
      <c r="K468" t="s">
        <v>42</v>
      </c>
      <c r="L468" t="s">
        <v>267</v>
      </c>
      <c r="M468" t="s">
        <v>40</v>
      </c>
      <c r="O468" t="s">
        <v>297</v>
      </c>
      <c r="P468">
        <v>45266</v>
      </c>
      <c r="S468" s="6">
        <v>7923.52</v>
      </c>
      <c r="T468" t="s">
        <v>254</v>
      </c>
      <c r="AI468" t="s">
        <v>255</v>
      </c>
      <c r="AJ468" t="s">
        <v>262</v>
      </c>
      <c r="AK468">
        <v>0</v>
      </c>
    </row>
    <row r="469" spans="1:37" x14ac:dyDescent="0.35">
      <c r="A469">
        <v>12</v>
      </c>
      <c r="B469">
        <v>2023</v>
      </c>
      <c r="C469" t="s">
        <v>33</v>
      </c>
      <c r="D469" t="s">
        <v>34</v>
      </c>
      <c r="E469" t="s">
        <v>42</v>
      </c>
      <c r="F469" s="3" t="s">
        <v>36</v>
      </c>
      <c r="G469" s="2" t="s">
        <v>43</v>
      </c>
      <c r="H469" s="3">
        <v>50334</v>
      </c>
      <c r="I469" s="3">
        <v>2496</v>
      </c>
      <c r="J469" s="2" t="s">
        <v>385</v>
      </c>
      <c r="K469" t="s">
        <v>42</v>
      </c>
      <c r="L469" t="s">
        <v>267</v>
      </c>
      <c r="M469" t="s">
        <v>40</v>
      </c>
      <c r="O469" t="s">
        <v>297</v>
      </c>
      <c r="P469">
        <v>45266</v>
      </c>
      <c r="S469" s="6">
        <v>10191.629999999999</v>
      </c>
      <c r="T469" t="s">
        <v>254</v>
      </c>
      <c r="AI469" t="s">
        <v>255</v>
      </c>
      <c r="AJ469" t="s">
        <v>262</v>
      </c>
      <c r="AK469">
        <v>0</v>
      </c>
    </row>
    <row r="470" spans="1:37" x14ac:dyDescent="0.35">
      <c r="A470">
        <v>12</v>
      </c>
      <c r="B470">
        <v>2023</v>
      </c>
      <c r="C470" t="s">
        <v>33</v>
      </c>
      <c r="D470" t="s">
        <v>34</v>
      </c>
      <c r="E470" t="s">
        <v>42</v>
      </c>
      <c r="F470" s="3" t="s">
        <v>36</v>
      </c>
      <c r="G470" s="2" t="s">
        <v>43</v>
      </c>
      <c r="H470" s="3">
        <v>50334</v>
      </c>
      <c r="I470" s="3">
        <v>2497</v>
      </c>
      <c r="J470" s="2" t="s">
        <v>386</v>
      </c>
      <c r="K470" t="s">
        <v>42</v>
      </c>
      <c r="L470" t="s">
        <v>267</v>
      </c>
      <c r="M470" t="s">
        <v>40</v>
      </c>
      <c r="O470" t="s">
        <v>297</v>
      </c>
      <c r="P470">
        <v>45266</v>
      </c>
      <c r="S470" s="6">
        <v>3256.57</v>
      </c>
      <c r="T470" t="s">
        <v>254</v>
      </c>
      <c r="AI470" t="s">
        <v>255</v>
      </c>
      <c r="AJ470" t="s">
        <v>262</v>
      </c>
      <c r="AK470">
        <v>0</v>
      </c>
    </row>
    <row r="471" spans="1:37" x14ac:dyDescent="0.35">
      <c r="A471">
        <v>12</v>
      </c>
      <c r="B471">
        <v>2023</v>
      </c>
      <c r="C471" t="s">
        <v>33</v>
      </c>
      <c r="D471" t="s">
        <v>34</v>
      </c>
      <c r="E471" t="s">
        <v>42</v>
      </c>
      <c r="F471" s="3" t="s">
        <v>36</v>
      </c>
      <c r="G471" s="2" t="s">
        <v>43</v>
      </c>
      <c r="H471" s="3">
        <v>50334</v>
      </c>
      <c r="I471" s="3">
        <v>1226</v>
      </c>
      <c r="J471" s="2" t="s">
        <v>266</v>
      </c>
      <c r="K471" t="s">
        <v>42</v>
      </c>
      <c r="L471" t="s">
        <v>267</v>
      </c>
      <c r="M471" t="s">
        <v>40</v>
      </c>
      <c r="O471" t="s">
        <v>297</v>
      </c>
      <c r="P471">
        <v>45266</v>
      </c>
      <c r="S471" s="6">
        <v>20858.669999999998</v>
      </c>
      <c r="T471" t="s">
        <v>254</v>
      </c>
      <c r="AI471" t="s">
        <v>255</v>
      </c>
      <c r="AJ471" t="s">
        <v>262</v>
      </c>
      <c r="AK471">
        <v>0</v>
      </c>
    </row>
    <row r="472" spans="1:37" x14ac:dyDescent="0.35">
      <c r="A472">
        <v>12</v>
      </c>
      <c r="B472">
        <v>2023</v>
      </c>
      <c r="C472" t="s">
        <v>33</v>
      </c>
      <c r="D472" t="s">
        <v>34</v>
      </c>
      <c r="E472" t="s">
        <v>42</v>
      </c>
      <c r="F472" s="3" t="s">
        <v>36</v>
      </c>
      <c r="G472" s="2" t="s">
        <v>43</v>
      </c>
      <c r="H472" s="3">
        <v>50334</v>
      </c>
      <c r="I472" s="3">
        <v>1525</v>
      </c>
      <c r="J472" s="2" t="s">
        <v>283</v>
      </c>
      <c r="K472" t="s">
        <v>42</v>
      </c>
      <c r="L472" t="s">
        <v>267</v>
      </c>
      <c r="M472" t="s">
        <v>40</v>
      </c>
      <c r="O472" t="s">
        <v>297</v>
      </c>
      <c r="P472">
        <v>45266</v>
      </c>
      <c r="S472" s="6">
        <v>54217.08</v>
      </c>
      <c r="T472" t="s">
        <v>254</v>
      </c>
      <c r="AI472" t="s">
        <v>255</v>
      </c>
      <c r="AJ472" t="s">
        <v>262</v>
      </c>
      <c r="AK472">
        <v>0</v>
      </c>
    </row>
    <row r="473" spans="1:37" x14ac:dyDescent="0.35">
      <c r="A473">
        <v>12</v>
      </c>
      <c r="B473">
        <v>2023</v>
      </c>
      <c r="C473" t="s">
        <v>33</v>
      </c>
      <c r="D473" t="s">
        <v>34</v>
      </c>
      <c r="E473" t="s">
        <v>42</v>
      </c>
      <c r="F473" s="3" t="s">
        <v>36</v>
      </c>
      <c r="G473" s="2" t="s">
        <v>43</v>
      </c>
      <c r="H473" s="3">
        <v>50334</v>
      </c>
      <c r="I473" s="3">
        <v>1523</v>
      </c>
      <c r="J473" s="2" t="s">
        <v>282</v>
      </c>
      <c r="K473" t="s">
        <v>42</v>
      </c>
      <c r="L473" t="s">
        <v>267</v>
      </c>
      <c r="M473" t="s">
        <v>40</v>
      </c>
      <c r="O473" t="s">
        <v>297</v>
      </c>
      <c r="P473">
        <v>45266</v>
      </c>
      <c r="S473" s="6">
        <v>10696.75</v>
      </c>
      <c r="T473" t="s">
        <v>254</v>
      </c>
      <c r="AI473" t="s">
        <v>255</v>
      </c>
      <c r="AJ473" t="s">
        <v>262</v>
      </c>
      <c r="AK473">
        <v>0</v>
      </c>
    </row>
    <row r="474" spans="1:37" x14ac:dyDescent="0.35">
      <c r="A474">
        <v>12</v>
      </c>
      <c r="B474">
        <v>2023</v>
      </c>
      <c r="C474" t="s">
        <v>33</v>
      </c>
      <c r="D474" t="s">
        <v>34</v>
      </c>
      <c r="E474" t="s">
        <v>42</v>
      </c>
      <c r="F474" s="3" t="s">
        <v>36</v>
      </c>
      <c r="G474" s="2" t="s">
        <v>43</v>
      </c>
      <c r="H474" s="3">
        <v>50334</v>
      </c>
      <c r="I474" s="3">
        <v>1504</v>
      </c>
      <c r="J474" s="2" t="s">
        <v>263</v>
      </c>
      <c r="K474" t="s">
        <v>42</v>
      </c>
      <c r="L474" t="s">
        <v>267</v>
      </c>
      <c r="M474" t="s">
        <v>40</v>
      </c>
      <c r="O474" t="s">
        <v>297</v>
      </c>
      <c r="P474">
        <v>45266</v>
      </c>
      <c r="S474" s="6">
        <v>64133.47</v>
      </c>
      <c r="T474" t="s">
        <v>254</v>
      </c>
      <c r="AI474" t="s">
        <v>255</v>
      </c>
      <c r="AJ474" t="s">
        <v>262</v>
      </c>
      <c r="AK474">
        <v>0</v>
      </c>
    </row>
    <row r="475" spans="1:37" x14ac:dyDescent="0.35">
      <c r="A475">
        <v>12</v>
      </c>
      <c r="B475">
        <v>2023</v>
      </c>
      <c r="C475" t="s">
        <v>33</v>
      </c>
      <c r="D475" t="s">
        <v>34</v>
      </c>
      <c r="E475" t="s">
        <v>42</v>
      </c>
      <c r="F475" s="3" t="s">
        <v>36</v>
      </c>
      <c r="G475" s="2" t="s">
        <v>43</v>
      </c>
      <c r="H475" s="3">
        <v>50334</v>
      </c>
      <c r="I475" s="3">
        <v>1236</v>
      </c>
      <c r="J475" s="2" t="s">
        <v>264</v>
      </c>
      <c r="K475" t="s">
        <v>42</v>
      </c>
      <c r="L475" t="s">
        <v>267</v>
      </c>
      <c r="M475" t="s">
        <v>40</v>
      </c>
      <c r="O475" t="s">
        <v>297</v>
      </c>
      <c r="P475">
        <v>45266</v>
      </c>
      <c r="S475" s="6">
        <v>28130.97</v>
      </c>
      <c r="T475" t="s">
        <v>254</v>
      </c>
      <c r="AI475" t="s">
        <v>255</v>
      </c>
      <c r="AJ475" t="s">
        <v>262</v>
      </c>
      <c r="AK475">
        <v>0</v>
      </c>
    </row>
    <row r="476" spans="1:37" x14ac:dyDescent="0.35">
      <c r="A476">
        <v>12</v>
      </c>
      <c r="B476">
        <v>2023</v>
      </c>
      <c r="C476" t="s">
        <v>33</v>
      </c>
      <c r="D476" t="s">
        <v>34</v>
      </c>
      <c r="E476" t="s">
        <v>42</v>
      </c>
      <c r="F476" s="3" t="s">
        <v>36</v>
      </c>
      <c r="G476" s="2" t="s">
        <v>43</v>
      </c>
      <c r="H476" s="3">
        <v>50334</v>
      </c>
      <c r="I476" s="3">
        <v>1225</v>
      </c>
      <c r="J476" s="2" t="s">
        <v>292</v>
      </c>
      <c r="K476" t="s">
        <v>42</v>
      </c>
      <c r="L476" t="s">
        <v>267</v>
      </c>
      <c r="M476" t="s">
        <v>40</v>
      </c>
      <c r="O476" t="s">
        <v>297</v>
      </c>
      <c r="P476">
        <v>45266</v>
      </c>
      <c r="S476" s="6">
        <v>119422.9</v>
      </c>
      <c r="T476" t="s">
        <v>254</v>
      </c>
      <c r="AI476" t="s">
        <v>255</v>
      </c>
      <c r="AJ476" t="s">
        <v>262</v>
      </c>
      <c r="AK476">
        <v>0</v>
      </c>
    </row>
    <row r="477" spans="1:37" x14ac:dyDescent="0.35">
      <c r="A477">
        <v>12</v>
      </c>
      <c r="B477">
        <v>2023</v>
      </c>
      <c r="C477" t="s">
        <v>33</v>
      </c>
      <c r="D477" t="s">
        <v>34</v>
      </c>
      <c r="E477" s="18" t="s">
        <v>390</v>
      </c>
      <c r="F477" s="3" t="s">
        <v>36</v>
      </c>
      <c r="G477" s="2" t="s">
        <v>43</v>
      </c>
      <c r="H477" s="3">
        <v>50332</v>
      </c>
      <c r="I477" s="3">
        <v>2427</v>
      </c>
      <c r="J477" s="2" t="s">
        <v>358</v>
      </c>
      <c r="K477" t="s">
        <v>390</v>
      </c>
      <c r="L477" t="s">
        <v>267</v>
      </c>
      <c r="M477" t="s">
        <v>40</v>
      </c>
      <c r="O477" t="s">
        <v>297</v>
      </c>
      <c r="P477">
        <v>45266</v>
      </c>
      <c r="T477" t="s">
        <v>254</v>
      </c>
      <c r="AI477" t="s">
        <v>390</v>
      </c>
      <c r="AJ477" t="s">
        <v>262</v>
      </c>
      <c r="AK477">
        <v>0</v>
      </c>
    </row>
    <row r="478" spans="1:37" x14ac:dyDescent="0.35">
      <c r="A478">
        <v>12</v>
      </c>
      <c r="B478">
        <v>2023</v>
      </c>
      <c r="C478" t="s">
        <v>33</v>
      </c>
      <c r="D478" t="s">
        <v>34</v>
      </c>
      <c r="E478" s="18" t="s">
        <v>390</v>
      </c>
      <c r="F478" s="3" t="s">
        <v>36</v>
      </c>
      <c r="G478" s="2" t="s">
        <v>43</v>
      </c>
      <c r="H478" s="3">
        <v>50332</v>
      </c>
      <c r="I478" s="3">
        <v>2426</v>
      </c>
      <c r="J478" s="2" t="s">
        <v>360</v>
      </c>
      <c r="K478" t="s">
        <v>390</v>
      </c>
      <c r="L478" t="s">
        <v>267</v>
      </c>
      <c r="M478" t="s">
        <v>40</v>
      </c>
      <c r="O478" t="s">
        <v>297</v>
      </c>
      <c r="P478">
        <v>45266</v>
      </c>
      <c r="T478" t="s">
        <v>254</v>
      </c>
      <c r="AI478" t="s">
        <v>390</v>
      </c>
      <c r="AJ478" t="s">
        <v>262</v>
      </c>
      <c r="AK478">
        <v>0</v>
      </c>
    </row>
    <row r="479" spans="1:37" x14ac:dyDescent="0.35">
      <c r="A479">
        <v>12</v>
      </c>
      <c r="B479">
        <v>2023</v>
      </c>
      <c r="C479" t="s">
        <v>33</v>
      </c>
      <c r="D479" t="s">
        <v>34</v>
      </c>
      <c r="E479" s="18" t="s">
        <v>390</v>
      </c>
      <c r="F479" s="3" t="s">
        <v>36</v>
      </c>
      <c r="G479" s="2" t="s">
        <v>43</v>
      </c>
      <c r="H479" s="3">
        <v>50332</v>
      </c>
      <c r="I479" s="3">
        <v>2428</v>
      </c>
      <c r="J479" s="2" t="s">
        <v>357</v>
      </c>
      <c r="K479" t="s">
        <v>390</v>
      </c>
      <c r="L479" t="s">
        <v>267</v>
      </c>
      <c r="M479" t="s">
        <v>40</v>
      </c>
      <c r="O479" t="s">
        <v>297</v>
      </c>
      <c r="P479">
        <v>45266</v>
      </c>
      <c r="T479" t="s">
        <v>254</v>
      </c>
      <c r="AI479" t="s">
        <v>390</v>
      </c>
      <c r="AJ479" t="s">
        <v>262</v>
      </c>
      <c r="AK479">
        <v>0</v>
      </c>
    </row>
    <row r="480" spans="1:37" x14ac:dyDescent="0.35">
      <c r="A480">
        <v>12</v>
      </c>
      <c r="B480">
        <v>2023</v>
      </c>
      <c r="C480" t="s">
        <v>33</v>
      </c>
      <c r="D480" t="s">
        <v>34</v>
      </c>
      <c r="E480" s="18" t="s">
        <v>390</v>
      </c>
      <c r="F480" s="3" t="s">
        <v>36</v>
      </c>
      <c r="G480" s="2" t="s">
        <v>43</v>
      </c>
      <c r="H480" s="3">
        <v>50332</v>
      </c>
      <c r="I480" s="3">
        <v>2429</v>
      </c>
      <c r="J480" s="2" t="s">
        <v>356</v>
      </c>
      <c r="K480" t="s">
        <v>390</v>
      </c>
      <c r="L480" t="s">
        <v>267</v>
      </c>
      <c r="M480" t="s">
        <v>40</v>
      </c>
      <c r="O480" t="s">
        <v>297</v>
      </c>
      <c r="P480">
        <v>45266</v>
      </c>
      <c r="T480" t="s">
        <v>254</v>
      </c>
      <c r="AI480" t="s">
        <v>390</v>
      </c>
      <c r="AJ480" t="s">
        <v>262</v>
      </c>
      <c r="AK480">
        <v>0</v>
      </c>
    </row>
    <row r="481" spans="1:37" x14ac:dyDescent="0.35">
      <c r="A481">
        <v>12</v>
      </c>
      <c r="B481">
        <v>2023</v>
      </c>
      <c r="C481" t="s">
        <v>33</v>
      </c>
      <c r="D481" t="s">
        <v>34</v>
      </c>
      <c r="E481" s="18" t="s">
        <v>390</v>
      </c>
      <c r="F481" s="3" t="s">
        <v>36</v>
      </c>
      <c r="G481" s="2" t="s">
        <v>43</v>
      </c>
      <c r="H481" s="3">
        <v>50332</v>
      </c>
      <c r="I481" s="3">
        <v>2425</v>
      </c>
      <c r="J481" s="2" t="s">
        <v>361</v>
      </c>
      <c r="K481" t="s">
        <v>390</v>
      </c>
      <c r="L481" t="s">
        <v>267</v>
      </c>
      <c r="M481" t="s">
        <v>40</v>
      </c>
      <c r="O481" t="s">
        <v>297</v>
      </c>
      <c r="P481">
        <v>45266</v>
      </c>
      <c r="T481" t="s">
        <v>254</v>
      </c>
      <c r="AI481" t="s">
        <v>390</v>
      </c>
      <c r="AJ481" t="s">
        <v>262</v>
      </c>
      <c r="AK481">
        <v>0</v>
      </c>
    </row>
    <row r="482" spans="1:37" x14ac:dyDescent="0.35">
      <c r="A482">
        <v>12</v>
      </c>
      <c r="B482">
        <v>2023</v>
      </c>
      <c r="C482" t="s">
        <v>33</v>
      </c>
      <c r="D482" t="s">
        <v>34</v>
      </c>
      <c r="E482" s="18" t="s">
        <v>390</v>
      </c>
      <c r="F482" s="3" t="s">
        <v>36</v>
      </c>
      <c r="G482" s="2" t="s">
        <v>43</v>
      </c>
      <c r="H482" s="3">
        <v>50332</v>
      </c>
      <c r="I482" s="3">
        <v>2424</v>
      </c>
      <c r="J482" s="2" t="s">
        <v>362</v>
      </c>
      <c r="K482" t="s">
        <v>390</v>
      </c>
      <c r="L482" t="s">
        <v>267</v>
      </c>
      <c r="M482" t="s">
        <v>40</v>
      </c>
      <c r="O482" t="s">
        <v>297</v>
      </c>
      <c r="P482">
        <v>45266</v>
      </c>
      <c r="T482" t="s">
        <v>254</v>
      </c>
      <c r="AI482" t="s">
        <v>390</v>
      </c>
      <c r="AJ482" t="s">
        <v>262</v>
      </c>
      <c r="AK482">
        <v>0</v>
      </c>
    </row>
    <row r="483" spans="1:37" x14ac:dyDescent="0.35">
      <c r="A483">
        <v>12</v>
      </c>
      <c r="B483">
        <v>2023</v>
      </c>
      <c r="C483" t="s">
        <v>33</v>
      </c>
      <c r="D483" t="s">
        <v>34</v>
      </c>
      <c r="E483" s="18" t="s">
        <v>390</v>
      </c>
      <c r="F483" s="3" t="s">
        <v>36</v>
      </c>
      <c r="G483" s="2" t="s">
        <v>43</v>
      </c>
      <c r="H483" s="3">
        <v>50332</v>
      </c>
      <c r="I483" s="3">
        <v>2423</v>
      </c>
      <c r="J483" s="2" t="s">
        <v>363</v>
      </c>
      <c r="K483" t="s">
        <v>390</v>
      </c>
      <c r="L483" t="s">
        <v>267</v>
      </c>
      <c r="M483" t="s">
        <v>40</v>
      </c>
      <c r="O483" t="s">
        <v>297</v>
      </c>
      <c r="P483">
        <v>45266</v>
      </c>
      <c r="T483" t="s">
        <v>254</v>
      </c>
      <c r="AI483" t="s">
        <v>390</v>
      </c>
      <c r="AJ483" t="s">
        <v>262</v>
      </c>
      <c r="AK483">
        <v>0</v>
      </c>
    </row>
    <row r="484" spans="1:37" x14ac:dyDescent="0.35">
      <c r="A484">
        <v>12</v>
      </c>
      <c r="B484">
        <v>2023</v>
      </c>
      <c r="C484" t="s">
        <v>33</v>
      </c>
      <c r="D484" t="s">
        <v>34</v>
      </c>
      <c r="E484" s="18" t="s">
        <v>390</v>
      </c>
      <c r="F484" s="3" t="s">
        <v>36</v>
      </c>
      <c r="G484" s="2" t="s">
        <v>43</v>
      </c>
      <c r="H484" s="3">
        <v>50332</v>
      </c>
      <c r="I484" s="3">
        <v>2430</v>
      </c>
      <c r="J484" s="2" t="s">
        <v>359</v>
      </c>
      <c r="K484" t="s">
        <v>390</v>
      </c>
      <c r="L484" t="s">
        <v>267</v>
      </c>
      <c r="M484" t="s">
        <v>40</v>
      </c>
      <c r="O484" t="s">
        <v>297</v>
      </c>
      <c r="P484">
        <v>45266</v>
      </c>
      <c r="T484" t="s">
        <v>254</v>
      </c>
      <c r="AI484" t="s">
        <v>390</v>
      </c>
      <c r="AJ484" t="s">
        <v>262</v>
      </c>
      <c r="AK484">
        <v>0</v>
      </c>
    </row>
    <row r="485" spans="1:37" x14ac:dyDescent="0.35">
      <c r="A485">
        <v>12</v>
      </c>
      <c r="B485">
        <v>2023</v>
      </c>
      <c r="C485" t="s">
        <v>33</v>
      </c>
      <c r="D485" t="s">
        <v>34</v>
      </c>
      <c r="E485" s="18" t="s">
        <v>390</v>
      </c>
      <c r="F485" s="3" t="s">
        <v>36</v>
      </c>
      <c r="G485" s="2" t="s">
        <v>43</v>
      </c>
      <c r="H485" s="3">
        <v>50332</v>
      </c>
      <c r="I485" s="3">
        <v>2431</v>
      </c>
      <c r="J485" s="2" t="s">
        <v>364</v>
      </c>
      <c r="K485" t="s">
        <v>390</v>
      </c>
      <c r="L485" t="s">
        <v>267</v>
      </c>
      <c r="M485" t="s">
        <v>40</v>
      </c>
      <c r="O485" t="s">
        <v>297</v>
      </c>
      <c r="P485">
        <v>45266</v>
      </c>
      <c r="T485" t="s">
        <v>254</v>
      </c>
      <c r="AI485" t="s">
        <v>390</v>
      </c>
      <c r="AJ485" t="s">
        <v>262</v>
      </c>
      <c r="AK485">
        <v>0</v>
      </c>
    </row>
    <row r="486" spans="1:37" x14ac:dyDescent="0.35">
      <c r="A486">
        <v>12</v>
      </c>
      <c r="B486">
        <v>2023</v>
      </c>
      <c r="C486" t="s">
        <v>33</v>
      </c>
      <c r="D486" t="s">
        <v>34</v>
      </c>
      <c r="E486" s="18" t="s">
        <v>390</v>
      </c>
      <c r="F486" s="3" t="s">
        <v>36</v>
      </c>
      <c r="G486" s="2" t="s">
        <v>43</v>
      </c>
      <c r="H486" s="3">
        <v>50332</v>
      </c>
      <c r="I486" s="3">
        <v>2432</v>
      </c>
      <c r="J486" s="2" t="s">
        <v>365</v>
      </c>
      <c r="K486" t="s">
        <v>390</v>
      </c>
      <c r="L486" t="s">
        <v>267</v>
      </c>
      <c r="M486" t="s">
        <v>40</v>
      </c>
      <c r="O486" t="s">
        <v>297</v>
      </c>
      <c r="P486">
        <v>45266</v>
      </c>
      <c r="T486" t="s">
        <v>254</v>
      </c>
      <c r="AI486" t="s">
        <v>390</v>
      </c>
      <c r="AJ486" t="s">
        <v>262</v>
      </c>
      <c r="AK486">
        <v>0</v>
      </c>
    </row>
    <row r="487" spans="1:37" x14ac:dyDescent="0.35">
      <c r="A487">
        <v>12</v>
      </c>
      <c r="B487">
        <v>2023</v>
      </c>
      <c r="C487" t="s">
        <v>33</v>
      </c>
      <c r="D487" t="s">
        <v>34</v>
      </c>
      <c r="E487" s="18" t="s">
        <v>390</v>
      </c>
      <c r="F487" s="3" t="s">
        <v>36</v>
      </c>
      <c r="G487" s="2" t="s">
        <v>43</v>
      </c>
      <c r="H487" s="3">
        <v>50332</v>
      </c>
      <c r="I487" s="3">
        <v>2433</v>
      </c>
      <c r="J487" s="2" t="s">
        <v>366</v>
      </c>
      <c r="K487" t="s">
        <v>390</v>
      </c>
      <c r="L487" t="s">
        <v>267</v>
      </c>
      <c r="M487" t="s">
        <v>40</v>
      </c>
      <c r="O487" t="s">
        <v>297</v>
      </c>
      <c r="P487">
        <v>45266</v>
      </c>
      <c r="T487" t="s">
        <v>254</v>
      </c>
      <c r="AI487" t="s">
        <v>390</v>
      </c>
      <c r="AJ487" t="s">
        <v>262</v>
      </c>
      <c r="AK487">
        <v>0</v>
      </c>
    </row>
    <row r="488" spans="1:37" x14ac:dyDescent="0.35">
      <c r="A488">
        <v>12</v>
      </c>
      <c r="B488">
        <v>2023</v>
      </c>
      <c r="C488" t="s">
        <v>33</v>
      </c>
      <c r="D488" t="s">
        <v>34</v>
      </c>
      <c r="E488" s="18" t="s">
        <v>390</v>
      </c>
      <c r="F488" s="3" t="s">
        <v>36</v>
      </c>
      <c r="G488" s="2" t="s">
        <v>43</v>
      </c>
      <c r="H488" s="3">
        <v>50332</v>
      </c>
      <c r="I488" s="3">
        <v>2434</v>
      </c>
      <c r="J488" s="2" t="s">
        <v>367</v>
      </c>
      <c r="K488" t="s">
        <v>390</v>
      </c>
      <c r="L488" t="s">
        <v>267</v>
      </c>
      <c r="M488" t="s">
        <v>40</v>
      </c>
      <c r="O488" t="s">
        <v>297</v>
      </c>
      <c r="P488">
        <v>45266</v>
      </c>
      <c r="T488" t="s">
        <v>254</v>
      </c>
      <c r="AI488" t="s">
        <v>390</v>
      </c>
      <c r="AJ488" t="s">
        <v>262</v>
      </c>
      <c r="AK488">
        <v>0</v>
      </c>
    </row>
    <row r="489" spans="1:37" x14ac:dyDescent="0.35">
      <c r="A489">
        <v>12</v>
      </c>
      <c r="B489">
        <v>2023</v>
      </c>
      <c r="C489" t="s">
        <v>33</v>
      </c>
      <c r="D489" t="s">
        <v>34</v>
      </c>
      <c r="E489" s="18" t="s">
        <v>390</v>
      </c>
      <c r="F489" s="3" t="s">
        <v>36</v>
      </c>
      <c r="G489" s="2" t="s">
        <v>43</v>
      </c>
      <c r="H489" s="3">
        <v>50332</v>
      </c>
      <c r="I489" s="3">
        <v>2435</v>
      </c>
      <c r="J489" s="2" t="s">
        <v>368</v>
      </c>
      <c r="K489" t="s">
        <v>390</v>
      </c>
      <c r="L489" t="s">
        <v>267</v>
      </c>
      <c r="M489" t="s">
        <v>40</v>
      </c>
      <c r="O489" t="s">
        <v>297</v>
      </c>
      <c r="P489">
        <v>45266</v>
      </c>
      <c r="T489" t="s">
        <v>254</v>
      </c>
      <c r="AI489" t="s">
        <v>390</v>
      </c>
      <c r="AJ489" t="s">
        <v>262</v>
      </c>
      <c r="AK489">
        <v>0</v>
      </c>
    </row>
    <row r="490" spans="1:37" x14ac:dyDescent="0.35">
      <c r="A490">
        <v>12</v>
      </c>
      <c r="B490">
        <v>2023</v>
      </c>
      <c r="C490" t="s">
        <v>33</v>
      </c>
      <c r="D490" t="s">
        <v>34</v>
      </c>
      <c r="E490" s="18" t="s">
        <v>390</v>
      </c>
      <c r="F490" s="3" t="s">
        <v>36</v>
      </c>
      <c r="G490" s="2" t="s">
        <v>43</v>
      </c>
      <c r="H490" s="3">
        <v>50332</v>
      </c>
      <c r="I490" s="3">
        <v>2544</v>
      </c>
      <c r="J490" s="2" t="s">
        <v>369</v>
      </c>
      <c r="K490" t="s">
        <v>390</v>
      </c>
      <c r="L490" t="s">
        <v>267</v>
      </c>
      <c r="M490" t="s">
        <v>40</v>
      </c>
      <c r="O490" t="s">
        <v>297</v>
      </c>
      <c r="P490">
        <v>45266</v>
      </c>
      <c r="T490" t="s">
        <v>254</v>
      </c>
      <c r="AI490" t="s">
        <v>390</v>
      </c>
      <c r="AJ490" t="s">
        <v>262</v>
      </c>
      <c r="AK490">
        <v>0</v>
      </c>
    </row>
    <row r="491" spans="1:37" x14ac:dyDescent="0.35">
      <c r="A491">
        <v>12</v>
      </c>
      <c r="B491">
        <v>2023</v>
      </c>
      <c r="C491" t="s">
        <v>33</v>
      </c>
      <c r="D491" t="s">
        <v>34</v>
      </c>
      <c r="E491" s="18" t="s">
        <v>390</v>
      </c>
      <c r="F491" s="3" t="s">
        <v>36</v>
      </c>
      <c r="G491" s="2" t="s">
        <v>43</v>
      </c>
      <c r="H491" s="3">
        <v>50332</v>
      </c>
      <c r="I491" s="3">
        <v>2420</v>
      </c>
      <c r="J491" s="2" t="s">
        <v>379</v>
      </c>
      <c r="K491" t="s">
        <v>390</v>
      </c>
      <c r="L491" t="s">
        <v>267</v>
      </c>
      <c r="M491" t="s">
        <v>40</v>
      </c>
      <c r="O491" t="s">
        <v>297</v>
      </c>
      <c r="P491">
        <v>45266</v>
      </c>
      <c r="T491" t="s">
        <v>254</v>
      </c>
      <c r="AI491" t="s">
        <v>390</v>
      </c>
      <c r="AJ491" t="s">
        <v>262</v>
      </c>
      <c r="AK491">
        <v>0</v>
      </c>
    </row>
    <row r="492" spans="1:37" x14ac:dyDescent="0.35">
      <c r="A492">
        <v>12</v>
      </c>
      <c r="B492">
        <v>2023</v>
      </c>
      <c r="C492" t="s">
        <v>33</v>
      </c>
      <c r="D492" t="s">
        <v>34</v>
      </c>
      <c r="E492" s="18" t="s">
        <v>390</v>
      </c>
      <c r="F492" s="3" t="s">
        <v>36</v>
      </c>
      <c r="G492" s="2" t="s">
        <v>43</v>
      </c>
      <c r="H492" s="3">
        <v>50332</v>
      </c>
      <c r="I492" s="3">
        <v>2412</v>
      </c>
      <c r="J492" s="2" t="s">
        <v>376</v>
      </c>
      <c r="K492" t="s">
        <v>390</v>
      </c>
      <c r="L492" t="s">
        <v>267</v>
      </c>
      <c r="M492" t="s">
        <v>40</v>
      </c>
      <c r="O492" t="s">
        <v>297</v>
      </c>
      <c r="P492">
        <v>45266</v>
      </c>
      <c r="T492" t="s">
        <v>254</v>
      </c>
      <c r="AI492" t="s">
        <v>390</v>
      </c>
      <c r="AJ492" t="s">
        <v>262</v>
      </c>
      <c r="AK492">
        <v>0</v>
      </c>
    </row>
    <row r="493" spans="1:37" x14ac:dyDescent="0.35">
      <c r="A493">
        <v>12</v>
      </c>
      <c r="B493">
        <v>2023</v>
      </c>
      <c r="C493" t="s">
        <v>33</v>
      </c>
      <c r="D493" t="s">
        <v>34</v>
      </c>
      <c r="E493" s="18" t="s">
        <v>390</v>
      </c>
      <c r="F493" s="3" t="s">
        <v>36</v>
      </c>
      <c r="G493" s="2" t="s">
        <v>43</v>
      </c>
      <c r="H493" s="3">
        <v>50332</v>
      </c>
      <c r="I493" s="3">
        <v>2406</v>
      </c>
      <c r="J493" s="2" t="s">
        <v>372</v>
      </c>
      <c r="K493" t="s">
        <v>390</v>
      </c>
      <c r="L493" t="s">
        <v>267</v>
      </c>
      <c r="M493" t="s">
        <v>40</v>
      </c>
      <c r="O493" t="s">
        <v>297</v>
      </c>
      <c r="P493">
        <v>45266</v>
      </c>
      <c r="T493" t="s">
        <v>254</v>
      </c>
      <c r="AI493" t="s">
        <v>390</v>
      </c>
      <c r="AJ493" t="s">
        <v>262</v>
      </c>
      <c r="AK493">
        <v>0</v>
      </c>
    </row>
    <row r="494" spans="1:37" x14ac:dyDescent="0.35">
      <c r="A494">
        <v>12</v>
      </c>
      <c r="B494">
        <v>2023</v>
      </c>
      <c r="C494" t="s">
        <v>33</v>
      </c>
      <c r="D494" t="s">
        <v>34</v>
      </c>
      <c r="E494" s="18" t="s">
        <v>390</v>
      </c>
      <c r="F494" s="3" t="s">
        <v>36</v>
      </c>
      <c r="G494" s="2" t="s">
        <v>43</v>
      </c>
      <c r="H494" s="3">
        <v>50332</v>
      </c>
      <c r="I494" s="3">
        <v>2407</v>
      </c>
      <c r="J494" s="2" t="s">
        <v>373</v>
      </c>
      <c r="K494" t="s">
        <v>390</v>
      </c>
      <c r="L494" t="s">
        <v>267</v>
      </c>
      <c r="M494" t="s">
        <v>40</v>
      </c>
      <c r="O494" t="s">
        <v>297</v>
      </c>
      <c r="P494">
        <v>45266</v>
      </c>
      <c r="T494" t="s">
        <v>254</v>
      </c>
      <c r="AI494" t="s">
        <v>390</v>
      </c>
      <c r="AJ494" t="s">
        <v>262</v>
      </c>
      <c r="AK494">
        <v>0</v>
      </c>
    </row>
    <row r="495" spans="1:37" x14ac:dyDescent="0.35">
      <c r="A495">
        <v>12</v>
      </c>
      <c r="B495">
        <v>2023</v>
      </c>
      <c r="C495" t="s">
        <v>33</v>
      </c>
      <c r="D495" t="s">
        <v>34</v>
      </c>
      <c r="E495" s="18" t="s">
        <v>390</v>
      </c>
      <c r="F495" s="3" t="s">
        <v>36</v>
      </c>
      <c r="G495" s="2" t="s">
        <v>43</v>
      </c>
      <c r="H495" s="3">
        <v>50332</v>
      </c>
      <c r="I495" s="3">
        <v>2408</v>
      </c>
      <c r="J495" s="2" t="s">
        <v>374</v>
      </c>
      <c r="K495" t="s">
        <v>390</v>
      </c>
      <c r="L495" t="s">
        <v>267</v>
      </c>
      <c r="M495" t="s">
        <v>40</v>
      </c>
      <c r="O495" t="s">
        <v>297</v>
      </c>
      <c r="P495">
        <v>45266</v>
      </c>
      <c r="T495" t="s">
        <v>254</v>
      </c>
      <c r="AI495" t="s">
        <v>390</v>
      </c>
      <c r="AJ495" t="s">
        <v>262</v>
      </c>
      <c r="AK495">
        <v>0</v>
      </c>
    </row>
    <row r="496" spans="1:37" x14ac:dyDescent="0.35">
      <c r="A496">
        <v>12</v>
      </c>
      <c r="B496">
        <v>2023</v>
      </c>
      <c r="C496" t="s">
        <v>33</v>
      </c>
      <c r="D496" t="s">
        <v>34</v>
      </c>
      <c r="E496" s="18" t="s">
        <v>390</v>
      </c>
      <c r="F496" s="3" t="s">
        <v>36</v>
      </c>
      <c r="G496" s="2" t="s">
        <v>43</v>
      </c>
      <c r="H496" s="3">
        <v>50332</v>
      </c>
      <c r="I496" s="3">
        <v>2409</v>
      </c>
      <c r="J496" s="2" t="s">
        <v>375</v>
      </c>
      <c r="K496" t="s">
        <v>390</v>
      </c>
      <c r="L496" t="s">
        <v>267</v>
      </c>
      <c r="M496" t="s">
        <v>40</v>
      </c>
      <c r="O496" t="s">
        <v>297</v>
      </c>
      <c r="P496">
        <v>45266</v>
      </c>
      <c r="T496" t="s">
        <v>254</v>
      </c>
      <c r="AI496" t="s">
        <v>390</v>
      </c>
      <c r="AJ496" t="s">
        <v>262</v>
      </c>
      <c r="AK496">
        <v>0</v>
      </c>
    </row>
    <row r="497" spans="1:37" x14ac:dyDescent="0.35">
      <c r="A497">
        <v>12</v>
      </c>
      <c r="B497">
        <v>2023</v>
      </c>
      <c r="C497" t="s">
        <v>33</v>
      </c>
      <c r="D497" t="s">
        <v>34</v>
      </c>
      <c r="E497" s="18" t="s">
        <v>390</v>
      </c>
      <c r="F497" s="3" t="s">
        <v>36</v>
      </c>
      <c r="G497" s="2" t="s">
        <v>43</v>
      </c>
      <c r="H497" s="3">
        <v>50332</v>
      </c>
      <c r="I497" s="3">
        <v>2411</v>
      </c>
      <c r="J497" s="2" t="s">
        <v>370</v>
      </c>
      <c r="K497" t="s">
        <v>390</v>
      </c>
      <c r="L497" t="s">
        <v>267</v>
      </c>
      <c r="M497" t="s">
        <v>40</v>
      </c>
      <c r="O497" t="s">
        <v>297</v>
      </c>
      <c r="P497">
        <v>45266</v>
      </c>
      <c r="T497" t="s">
        <v>254</v>
      </c>
      <c r="AI497" t="s">
        <v>390</v>
      </c>
      <c r="AJ497" t="s">
        <v>262</v>
      </c>
      <c r="AK497">
        <v>0</v>
      </c>
    </row>
    <row r="498" spans="1:37" x14ac:dyDescent="0.35">
      <c r="A498">
        <v>12</v>
      </c>
      <c r="B498">
        <v>2023</v>
      </c>
      <c r="C498" t="s">
        <v>33</v>
      </c>
      <c r="D498" t="s">
        <v>34</v>
      </c>
      <c r="E498" s="18" t="s">
        <v>390</v>
      </c>
      <c r="F498" s="3" t="s">
        <v>36</v>
      </c>
      <c r="G498" s="2" t="s">
        <v>43</v>
      </c>
      <c r="H498" s="3">
        <v>50332</v>
      </c>
      <c r="I498" s="3">
        <v>2422</v>
      </c>
      <c r="J498" s="2" t="s">
        <v>377</v>
      </c>
      <c r="K498" t="s">
        <v>390</v>
      </c>
      <c r="L498" t="s">
        <v>267</v>
      </c>
      <c r="M498" t="s">
        <v>40</v>
      </c>
      <c r="O498" t="s">
        <v>297</v>
      </c>
      <c r="P498">
        <v>45266</v>
      </c>
      <c r="T498" t="s">
        <v>254</v>
      </c>
      <c r="AI498" t="s">
        <v>390</v>
      </c>
      <c r="AJ498" t="s">
        <v>262</v>
      </c>
      <c r="AK498">
        <v>0</v>
      </c>
    </row>
    <row r="499" spans="1:37" x14ac:dyDescent="0.35">
      <c r="A499">
        <v>12</v>
      </c>
      <c r="B499">
        <v>2023</v>
      </c>
      <c r="C499" t="s">
        <v>33</v>
      </c>
      <c r="D499" t="s">
        <v>34</v>
      </c>
      <c r="E499" s="18" t="s">
        <v>390</v>
      </c>
      <c r="F499" s="3" t="s">
        <v>36</v>
      </c>
      <c r="G499" s="2" t="s">
        <v>43</v>
      </c>
      <c r="H499" s="3">
        <v>50332</v>
      </c>
      <c r="I499" s="3">
        <v>2413</v>
      </c>
      <c r="J499" s="2" t="s">
        <v>371</v>
      </c>
      <c r="K499" t="s">
        <v>390</v>
      </c>
      <c r="L499" t="s">
        <v>267</v>
      </c>
      <c r="M499" t="s">
        <v>40</v>
      </c>
      <c r="O499" t="s">
        <v>297</v>
      </c>
      <c r="P499">
        <v>45266</v>
      </c>
      <c r="T499" t="s">
        <v>254</v>
      </c>
      <c r="AI499" t="s">
        <v>390</v>
      </c>
      <c r="AJ499" t="s">
        <v>262</v>
      </c>
      <c r="AK499">
        <v>0</v>
      </c>
    </row>
    <row r="500" spans="1:37" x14ac:dyDescent="0.35">
      <c r="A500">
        <v>12</v>
      </c>
      <c r="B500">
        <v>2023</v>
      </c>
      <c r="C500" t="s">
        <v>33</v>
      </c>
      <c r="D500" t="s">
        <v>34</v>
      </c>
      <c r="E500" s="18" t="s">
        <v>390</v>
      </c>
      <c r="F500" s="3" t="s">
        <v>36</v>
      </c>
      <c r="G500" s="2" t="s">
        <v>43</v>
      </c>
      <c r="H500" s="3">
        <v>50332</v>
      </c>
      <c r="I500" s="3">
        <v>2415</v>
      </c>
      <c r="J500" s="2" t="s">
        <v>381</v>
      </c>
      <c r="K500" t="s">
        <v>390</v>
      </c>
      <c r="L500" t="s">
        <v>267</v>
      </c>
      <c r="M500" t="s">
        <v>40</v>
      </c>
      <c r="O500" t="s">
        <v>297</v>
      </c>
      <c r="P500">
        <v>45266</v>
      </c>
      <c r="T500" t="s">
        <v>254</v>
      </c>
      <c r="AI500" t="s">
        <v>390</v>
      </c>
      <c r="AJ500" t="s">
        <v>262</v>
      </c>
      <c r="AK500">
        <v>0</v>
      </c>
    </row>
    <row r="501" spans="1:37" x14ac:dyDescent="0.35">
      <c r="A501">
        <v>12</v>
      </c>
      <c r="B501">
        <v>2023</v>
      </c>
      <c r="C501" t="s">
        <v>33</v>
      </c>
      <c r="D501" t="s">
        <v>34</v>
      </c>
      <c r="E501" s="18" t="s">
        <v>390</v>
      </c>
      <c r="F501" s="3" t="s">
        <v>36</v>
      </c>
      <c r="G501" s="2" t="s">
        <v>43</v>
      </c>
      <c r="H501" s="3">
        <v>50332</v>
      </c>
      <c r="I501" s="3">
        <v>2416</v>
      </c>
      <c r="J501" s="2" t="s">
        <v>383</v>
      </c>
      <c r="K501" t="s">
        <v>390</v>
      </c>
      <c r="L501" t="s">
        <v>267</v>
      </c>
      <c r="M501" t="s">
        <v>40</v>
      </c>
      <c r="O501" t="s">
        <v>297</v>
      </c>
      <c r="P501">
        <v>45266</v>
      </c>
      <c r="T501" t="s">
        <v>254</v>
      </c>
      <c r="AI501" t="s">
        <v>390</v>
      </c>
      <c r="AJ501" t="s">
        <v>262</v>
      </c>
      <c r="AK501">
        <v>0</v>
      </c>
    </row>
    <row r="502" spans="1:37" x14ac:dyDescent="0.35">
      <c r="A502">
        <v>12</v>
      </c>
      <c r="B502">
        <v>2023</v>
      </c>
      <c r="C502" t="s">
        <v>33</v>
      </c>
      <c r="D502" t="s">
        <v>34</v>
      </c>
      <c r="E502" s="18" t="s">
        <v>390</v>
      </c>
      <c r="F502" s="3" t="s">
        <v>36</v>
      </c>
      <c r="G502" s="2" t="s">
        <v>43</v>
      </c>
      <c r="H502" s="3">
        <v>50332</v>
      </c>
      <c r="I502" s="3">
        <v>2417</v>
      </c>
      <c r="J502" s="2" t="s">
        <v>382</v>
      </c>
      <c r="K502" t="s">
        <v>390</v>
      </c>
      <c r="L502" t="s">
        <v>267</v>
      </c>
      <c r="M502" t="s">
        <v>40</v>
      </c>
      <c r="O502" t="s">
        <v>297</v>
      </c>
      <c r="P502">
        <v>45266</v>
      </c>
      <c r="T502" t="s">
        <v>254</v>
      </c>
      <c r="AI502" t="s">
        <v>390</v>
      </c>
      <c r="AJ502" t="s">
        <v>262</v>
      </c>
      <c r="AK502">
        <v>0</v>
      </c>
    </row>
    <row r="503" spans="1:37" x14ac:dyDescent="0.35">
      <c r="A503">
        <v>12</v>
      </c>
      <c r="B503">
        <v>2023</v>
      </c>
      <c r="C503" t="s">
        <v>33</v>
      </c>
      <c r="D503" t="s">
        <v>34</v>
      </c>
      <c r="E503" s="18" t="s">
        <v>390</v>
      </c>
      <c r="F503" s="3" t="s">
        <v>36</v>
      </c>
      <c r="G503" s="2" t="s">
        <v>43</v>
      </c>
      <c r="H503" s="3">
        <v>50332</v>
      </c>
      <c r="I503" s="3">
        <v>2418</v>
      </c>
      <c r="J503" s="2" t="s">
        <v>378</v>
      </c>
      <c r="K503" t="s">
        <v>390</v>
      </c>
      <c r="L503" t="s">
        <v>267</v>
      </c>
      <c r="M503" t="s">
        <v>40</v>
      </c>
      <c r="O503" t="s">
        <v>297</v>
      </c>
      <c r="P503">
        <v>45266</v>
      </c>
      <c r="T503" t="s">
        <v>254</v>
      </c>
      <c r="AI503" t="s">
        <v>390</v>
      </c>
      <c r="AJ503" t="s">
        <v>262</v>
      </c>
      <c r="AK503">
        <v>0</v>
      </c>
    </row>
    <row r="504" spans="1:37" x14ac:dyDescent="0.35">
      <c r="A504">
        <v>12</v>
      </c>
      <c r="B504">
        <v>2023</v>
      </c>
      <c r="C504" t="s">
        <v>33</v>
      </c>
      <c r="D504" t="s">
        <v>34</v>
      </c>
      <c r="E504" s="18" t="s">
        <v>390</v>
      </c>
      <c r="F504" s="3" t="s">
        <v>36</v>
      </c>
      <c r="G504" s="2" t="s">
        <v>43</v>
      </c>
      <c r="H504" s="3">
        <v>50332</v>
      </c>
      <c r="I504" s="3">
        <v>2419</v>
      </c>
      <c r="J504" s="2" t="s">
        <v>380</v>
      </c>
      <c r="K504" t="s">
        <v>390</v>
      </c>
      <c r="L504" t="s">
        <v>267</v>
      </c>
      <c r="M504" t="s">
        <v>40</v>
      </c>
      <c r="O504" t="s">
        <v>297</v>
      </c>
      <c r="P504">
        <v>45266</v>
      </c>
      <c r="T504" t="s">
        <v>254</v>
      </c>
      <c r="AI504" t="s">
        <v>390</v>
      </c>
      <c r="AJ504" t="s">
        <v>262</v>
      </c>
      <c r="AK504">
        <v>0</v>
      </c>
    </row>
    <row r="505" spans="1:37" x14ac:dyDescent="0.35">
      <c r="A505">
        <v>12</v>
      </c>
      <c r="B505">
        <v>2023</v>
      </c>
      <c r="C505" t="s">
        <v>33</v>
      </c>
      <c r="D505" t="s">
        <v>34</v>
      </c>
      <c r="E505" t="s">
        <v>116</v>
      </c>
      <c r="F505" s="3" t="s">
        <v>36</v>
      </c>
      <c r="G505" s="2" t="s">
        <v>50</v>
      </c>
      <c r="H505" s="3">
        <v>50341</v>
      </c>
      <c r="I505" s="3">
        <v>1419</v>
      </c>
      <c r="J505" s="2" t="s">
        <v>341</v>
      </c>
      <c r="K505" t="s">
        <v>116</v>
      </c>
      <c r="L505" t="s">
        <v>267</v>
      </c>
      <c r="M505" t="s">
        <v>40</v>
      </c>
      <c r="O505" t="s">
        <v>34</v>
      </c>
      <c r="P505">
        <v>45267</v>
      </c>
      <c r="S505" s="6">
        <v>8713.99</v>
      </c>
      <c r="T505" t="s">
        <v>254</v>
      </c>
      <c r="AI505" t="s">
        <v>116</v>
      </c>
      <c r="AJ505" t="s">
        <v>258</v>
      </c>
      <c r="AK505">
        <v>0</v>
      </c>
    </row>
    <row r="506" spans="1:37" x14ac:dyDescent="0.35">
      <c r="A506">
        <v>12</v>
      </c>
      <c r="B506">
        <v>2023</v>
      </c>
      <c r="C506" t="s">
        <v>33</v>
      </c>
      <c r="D506" t="s">
        <v>34</v>
      </c>
      <c r="E506" t="s">
        <v>116</v>
      </c>
      <c r="F506" s="3" t="s">
        <v>36</v>
      </c>
      <c r="G506" s="2" t="s">
        <v>50</v>
      </c>
      <c r="H506" s="3">
        <v>50341</v>
      </c>
      <c r="I506" s="3">
        <v>1422</v>
      </c>
      <c r="J506" s="2" t="s">
        <v>339</v>
      </c>
      <c r="K506" t="s">
        <v>116</v>
      </c>
      <c r="L506" t="s">
        <v>267</v>
      </c>
      <c r="M506" t="s">
        <v>40</v>
      </c>
      <c r="O506" t="s">
        <v>34</v>
      </c>
      <c r="P506">
        <v>45267</v>
      </c>
      <c r="S506" s="6">
        <v>71365.850000000006</v>
      </c>
      <c r="T506" t="s">
        <v>254</v>
      </c>
      <c r="AI506" t="s">
        <v>116</v>
      </c>
      <c r="AJ506" t="s">
        <v>258</v>
      </c>
      <c r="AK506">
        <v>0</v>
      </c>
    </row>
    <row r="507" spans="1:37" x14ac:dyDescent="0.35">
      <c r="A507">
        <v>12</v>
      </c>
      <c r="B507">
        <v>2023</v>
      </c>
      <c r="C507" t="s">
        <v>33</v>
      </c>
      <c r="D507" t="s">
        <v>34</v>
      </c>
      <c r="E507" t="s">
        <v>116</v>
      </c>
      <c r="F507" s="3" t="s">
        <v>36</v>
      </c>
      <c r="G507" s="2" t="s">
        <v>50</v>
      </c>
      <c r="H507" s="3">
        <v>50350</v>
      </c>
      <c r="I507" s="3">
        <v>1419</v>
      </c>
      <c r="J507" s="2" t="s">
        <v>341</v>
      </c>
      <c r="K507" t="s">
        <v>116</v>
      </c>
      <c r="L507" t="s">
        <v>267</v>
      </c>
      <c r="M507" t="s">
        <v>40</v>
      </c>
      <c r="O507" t="s">
        <v>34</v>
      </c>
      <c r="P507">
        <v>45268</v>
      </c>
      <c r="S507" s="6">
        <v>11307.77</v>
      </c>
      <c r="T507" t="s">
        <v>254</v>
      </c>
      <c r="U507">
        <v>180</v>
      </c>
      <c r="W507" s="7">
        <v>1025</v>
      </c>
      <c r="AI507" t="s">
        <v>116</v>
      </c>
      <c r="AJ507" t="s">
        <v>258</v>
      </c>
      <c r="AK507">
        <v>11.031970731707318</v>
      </c>
    </row>
    <row r="508" spans="1:37" x14ac:dyDescent="0.35">
      <c r="A508">
        <v>12</v>
      </c>
      <c r="B508">
        <v>2023</v>
      </c>
      <c r="C508" t="s">
        <v>33</v>
      </c>
      <c r="D508" t="s">
        <v>34</v>
      </c>
      <c r="E508" t="s">
        <v>81</v>
      </c>
      <c r="F508" s="3" t="s">
        <v>36</v>
      </c>
      <c r="G508" s="2" t="s">
        <v>82</v>
      </c>
      <c r="H508" s="3">
        <v>50352</v>
      </c>
      <c r="I508" s="3">
        <v>2566</v>
      </c>
      <c r="J508" s="2" t="s">
        <v>391</v>
      </c>
      <c r="K508" t="s">
        <v>81</v>
      </c>
      <c r="L508" t="s">
        <v>267</v>
      </c>
      <c r="M508" t="s">
        <v>40</v>
      </c>
      <c r="O508" t="s">
        <v>34</v>
      </c>
      <c r="P508">
        <v>45268</v>
      </c>
      <c r="S508" s="6">
        <v>16796.36</v>
      </c>
      <c r="T508" t="s">
        <v>254</v>
      </c>
      <c r="U508">
        <v>220</v>
      </c>
      <c r="W508" s="7">
        <v>1634</v>
      </c>
      <c r="AI508" t="s">
        <v>81</v>
      </c>
      <c r="AJ508" t="s">
        <v>262</v>
      </c>
      <c r="AK508">
        <v>10.279290085679316</v>
      </c>
    </row>
    <row r="509" spans="1:37" x14ac:dyDescent="0.35">
      <c r="A509">
        <v>12</v>
      </c>
      <c r="B509">
        <v>2023</v>
      </c>
      <c r="C509" t="s">
        <v>33</v>
      </c>
      <c r="D509" t="s">
        <v>34</v>
      </c>
      <c r="E509" t="s">
        <v>81</v>
      </c>
      <c r="F509" s="3" t="s">
        <v>36</v>
      </c>
      <c r="G509" s="2" t="s">
        <v>82</v>
      </c>
      <c r="H509" s="3">
        <v>50393</v>
      </c>
      <c r="I509" s="3">
        <v>2566</v>
      </c>
      <c r="J509" s="2" t="s">
        <v>391</v>
      </c>
      <c r="K509" t="s">
        <v>81</v>
      </c>
      <c r="L509" t="s">
        <v>267</v>
      </c>
      <c r="M509" t="s">
        <v>40</v>
      </c>
      <c r="O509" t="s">
        <v>34</v>
      </c>
      <c r="P509">
        <v>45271</v>
      </c>
      <c r="S509" s="6">
        <v>16868.080000000002</v>
      </c>
      <c r="T509" t="s">
        <v>254</v>
      </c>
      <c r="U509">
        <v>310</v>
      </c>
      <c r="W509" s="7">
        <v>1634</v>
      </c>
      <c r="AI509" t="s">
        <v>81</v>
      </c>
      <c r="AJ509" t="s">
        <v>262</v>
      </c>
      <c r="AK509">
        <v>10.323182374541005</v>
      </c>
    </row>
    <row r="510" spans="1:37" x14ac:dyDescent="0.35">
      <c r="A510">
        <v>12</v>
      </c>
      <c r="B510">
        <v>2023</v>
      </c>
      <c r="C510" t="s">
        <v>33</v>
      </c>
      <c r="D510" t="s">
        <v>34</v>
      </c>
      <c r="E510" t="s">
        <v>122</v>
      </c>
      <c r="F510" s="3" t="s">
        <v>36</v>
      </c>
      <c r="G510" s="2" t="s">
        <v>50</v>
      </c>
      <c r="H510" s="3">
        <v>50469</v>
      </c>
      <c r="I510" s="3">
        <v>2535</v>
      </c>
      <c r="J510" s="2" t="s">
        <v>392</v>
      </c>
      <c r="K510" t="s">
        <v>122</v>
      </c>
      <c r="L510" t="s">
        <v>267</v>
      </c>
      <c r="M510" t="s">
        <v>40</v>
      </c>
      <c r="O510" t="s">
        <v>34</v>
      </c>
      <c r="P510">
        <v>45275</v>
      </c>
      <c r="S510" s="6">
        <v>17472.34</v>
      </c>
      <c r="T510" t="s">
        <v>254</v>
      </c>
      <c r="U510">
        <v>430</v>
      </c>
      <c r="W510" s="7">
        <v>543</v>
      </c>
      <c r="AI510" t="s">
        <v>308</v>
      </c>
      <c r="AJ510" t="s">
        <v>258</v>
      </c>
      <c r="AK510">
        <v>32.177421731123388</v>
      </c>
    </row>
    <row r="511" spans="1:37" x14ac:dyDescent="0.35">
      <c r="A511">
        <v>12</v>
      </c>
      <c r="B511">
        <v>2023</v>
      </c>
      <c r="C511" t="s">
        <v>33</v>
      </c>
      <c r="D511" t="s">
        <v>34</v>
      </c>
      <c r="E511" t="s">
        <v>122</v>
      </c>
      <c r="F511" s="3" t="s">
        <v>36</v>
      </c>
      <c r="G511" s="2" t="s">
        <v>50</v>
      </c>
      <c r="H511" s="3">
        <v>50469</v>
      </c>
      <c r="I511" s="3">
        <v>2536</v>
      </c>
      <c r="J511" s="2" t="s">
        <v>393</v>
      </c>
      <c r="K511" t="s">
        <v>122</v>
      </c>
      <c r="L511" t="s">
        <v>267</v>
      </c>
      <c r="M511" t="s">
        <v>40</v>
      </c>
      <c r="O511" t="s">
        <v>34</v>
      </c>
      <c r="P511">
        <v>45275</v>
      </c>
      <c r="S511" s="6">
        <v>19885.650000000001</v>
      </c>
      <c r="T511" t="s">
        <v>254</v>
      </c>
      <c r="U511">
        <v>440</v>
      </c>
      <c r="W511" s="7">
        <v>618</v>
      </c>
      <c r="AI511" t="s">
        <v>308</v>
      </c>
      <c r="AJ511" t="s">
        <v>258</v>
      </c>
      <c r="AK511">
        <v>32.177427184466019</v>
      </c>
    </row>
    <row r="512" spans="1:37" x14ac:dyDescent="0.35">
      <c r="A512">
        <v>12</v>
      </c>
      <c r="B512">
        <v>2023</v>
      </c>
      <c r="C512" t="s">
        <v>33</v>
      </c>
      <c r="D512" t="s">
        <v>34</v>
      </c>
      <c r="E512" t="s">
        <v>122</v>
      </c>
      <c r="F512" s="3" t="s">
        <v>36</v>
      </c>
      <c r="G512" s="2" t="s">
        <v>50</v>
      </c>
      <c r="H512" s="3">
        <v>50469</v>
      </c>
      <c r="I512" s="3">
        <v>2032</v>
      </c>
      <c r="J512" s="2" t="s">
        <v>338</v>
      </c>
      <c r="K512" t="s">
        <v>122</v>
      </c>
      <c r="L512" t="s">
        <v>267</v>
      </c>
      <c r="M512" t="s">
        <v>40</v>
      </c>
      <c r="O512" t="s">
        <v>34</v>
      </c>
      <c r="P512">
        <v>45275</v>
      </c>
      <c r="S512" s="6">
        <v>14898.39</v>
      </c>
      <c r="T512" t="s">
        <v>254</v>
      </c>
      <c r="U512">
        <v>360</v>
      </c>
      <c r="W512" s="7">
        <v>612</v>
      </c>
      <c r="AI512" t="s">
        <v>308</v>
      </c>
      <c r="AJ512" t="s">
        <v>258</v>
      </c>
      <c r="AK512">
        <v>24.343774509803922</v>
      </c>
    </row>
    <row r="513" spans="1:37" x14ac:dyDescent="0.35">
      <c r="A513">
        <v>12</v>
      </c>
      <c r="B513">
        <v>2023</v>
      </c>
      <c r="C513" t="s">
        <v>33</v>
      </c>
      <c r="D513" t="s">
        <v>34</v>
      </c>
      <c r="E513" t="s">
        <v>122</v>
      </c>
      <c r="F513" s="3" t="s">
        <v>36</v>
      </c>
      <c r="G513" s="2" t="s">
        <v>50</v>
      </c>
      <c r="H513" s="3">
        <v>50469</v>
      </c>
      <c r="I513" s="3">
        <v>2000</v>
      </c>
      <c r="J513" s="2" t="s">
        <v>309</v>
      </c>
      <c r="K513" t="s">
        <v>122</v>
      </c>
      <c r="L513" t="s">
        <v>267</v>
      </c>
      <c r="M513" t="s">
        <v>40</v>
      </c>
      <c r="O513" t="s">
        <v>34</v>
      </c>
      <c r="P513">
        <v>45275</v>
      </c>
      <c r="S513" s="6">
        <v>16686.990000000002</v>
      </c>
      <c r="T513" t="s">
        <v>254</v>
      </c>
      <c r="U513">
        <v>380</v>
      </c>
      <c r="W513" s="7">
        <v>651</v>
      </c>
      <c r="AI513" t="s">
        <v>308</v>
      </c>
      <c r="AJ513" t="s">
        <v>258</v>
      </c>
      <c r="AK513">
        <v>25.632857142857144</v>
      </c>
    </row>
    <row r="514" spans="1:37" x14ac:dyDescent="0.35">
      <c r="A514">
        <v>12</v>
      </c>
      <c r="B514">
        <v>2023</v>
      </c>
      <c r="C514" t="s">
        <v>33</v>
      </c>
      <c r="D514" t="s">
        <v>34</v>
      </c>
      <c r="E514" t="s">
        <v>42</v>
      </c>
      <c r="F514" s="3" t="s">
        <v>36</v>
      </c>
      <c r="G514" s="2" t="s">
        <v>43</v>
      </c>
      <c r="H514" s="3">
        <v>50474</v>
      </c>
      <c r="I514" s="3">
        <v>1225</v>
      </c>
      <c r="J514" s="2" t="s">
        <v>292</v>
      </c>
      <c r="K514" t="s">
        <v>42</v>
      </c>
      <c r="L514" t="s">
        <v>267</v>
      </c>
      <c r="M514" t="s">
        <v>40</v>
      </c>
      <c r="O514" t="s">
        <v>297</v>
      </c>
      <c r="P514">
        <v>45275</v>
      </c>
      <c r="S514" s="6">
        <v>839.72</v>
      </c>
      <c r="T514" t="s">
        <v>254</v>
      </c>
      <c r="U514">
        <v>240</v>
      </c>
      <c r="W514" s="7">
        <v>58</v>
      </c>
      <c r="AI514" t="s">
        <v>255</v>
      </c>
      <c r="AJ514" t="s">
        <v>262</v>
      </c>
      <c r="AK514">
        <v>14.47793103448276</v>
      </c>
    </row>
    <row r="515" spans="1:37" x14ac:dyDescent="0.35">
      <c r="A515">
        <v>12</v>
      </c>
      <c r="B515">
        <v>2023</v>
      </c>
      <c r="C515" t="s">
        <v>33</v>
      </c>
      <c r="D515" t="s">
        <v>34</v>
      </c>
      <c r="E515" t="s">
        <v>42</v>
      </c>
      <c r="F515" s="3" t="s">
        <v>36</v>
      </c>
      <c r="G515" s="2" t="s">
        <v>43</v>
      </c>
      <c r="H515" s="3">
        <v>50474</v>
      </c>
      <c r="I515" s="3">
        <v>1225</v>
      </c>
      <c r="J515" s="2" t="s">
        <v>292</v>
      </c>
      <c r="K515" t="s">
        <v>42</v>
      </c>
      <c r="L515" t="s">
        <v>267</v>
      </c>
      <c r="M515" t="s">
        <v>40</v>
      </c>
      <c r="O515" t="s">
        <v>297</v>
      </c>
      <c r="P515">
        <v>45275</v>
      </c>
      <c r="S515" s="6">
        <v>6355.82</v>
      </c>
      <c r="T515" t="s">
        <v>254</v>
      </c>
      <c r="U515">
        <v>240</v>
      </c>
      <c r="W515" s="7">
        <v>439</v>
      </c>
      <c r="AI515" t="s">
        <v>255</v>
      </c>
      <c r="AJ515" t="s">
        <v>262</v>
      </c>
      <c r="AK515">
        <v>14.477949886104783</v>
      </c>
    </row>
    <row r="516" spans="1:37" x14ac:dyDescent="0.35">
      <c r="A516">
        <v>12</v>
      </c>
      <c r="B516">
        <v>2023</v>
      </c>
      <c r="C516" t="s">
        <v>33</v>
      </c>
      <c r="D516" t="s">
        <v>34</v>
      </c>
      <c r="E516" t="s">
        <v>42</v>
      </c>
      <c r="F516" s="3" t="s">
        <v>36</v>
      </c>
      <c r="G516" s="2" t="s">
        <v>43</v>
      </c>
      <c r="H516" s="3">
        <v>50474</v>
      </c>
      <c r="I516" s="3">
        <v>2339</v>
      </c>
      <c r="J516" s="2" t="s">
        <v>342</v>
      </c>
      <c r="K516" t="s">
        <v>42</v>
      </c>
      <c r="L516" t="s">
        <v>267</v>
      </c>
      <c r="M516" t="s">
        <v>40</v>
      </c>
      <c r="O516" t="s">
        <v>297</v>
      </c>
      <c r="P516">
        <v>45275</v>
      </c>
      <c r="S516" s="6">
        <v>18342</v>
      </c>
      <c r="T516" t="s">
        <v>254</v>
      </c>
      <c r="W516" s="7">
        <v>2500</v>
      </c>
      <c r="AI516" t="s">
        <v>255</v>
      </c>
      <c r="AJ516" t="s">
        <v>262</v>
      </c>
      <c r="AK516">
        <v>7.3368000000000002</v>
      </c>
    </row>
    <row r="517" spans="1:37" x14ac:dyDescent="0.35">
      <c r="A517">
        <v>12</v>
      </c>
      <c r="B517">
        <v>2023</v>
      </c>
      <c r="C517" t="s">
        <v>33</v>
      </c>
      <c r="D517" t="s">
        <v>34</v>
      </c>
      <c r="E517" t="s">
        <v>312</v>
      </c>
      <c r="F517" s="3" t="s">
        <v>36</v>
      </c>
      <c r="G517" s="2" t="s">
        <v>54</v>
      </c>
      <c r="H517" s="3">
        <v>50484</v>
      </c>
      <c r="I517" s="3">
        <v>2047</v>
      </c>
      <c r="J517" s="2" t="s">
        <v>324</v>
      </c>
      <c r="K517" t="s">
        <v>312</v>
      </c>
      <c r="L517" t="s">
        <v>267</v>
      </c>
      <c r="M517" t="s">
        <v>40</v>
      </c>
      <c r="O517" t="s">
        <v>34</v>
      </c>
      <c r="P517">
        <v>45278</v>
      </c>
      <c r="S517" s="6">
        <v>1625.16</v>
      </c>
      <c r="T517" t="s">
        <v>254</v>
      </c>
      <c r="W517" s="7">
        <v>3290</v>
      </c>
      <c r="AI517" t="s">
        <v>314</v>
      </c>
      <c r="AJ517" t="s">
        <v>258</v>
      </c>
      <c r="AK517">
        <v>0.49396960486322189</v>
      </c>
    </row>
    <row r="518" spans="1:37" x14ac:dyDescent="0.35">
      <c r="A518">
        <v>12</v>
      </c>
      <c r="B518">
        <v>2023</v>
      </c>
      <c r="C518" t="s">
        <v>33</v>
      </c>
      <c r="D518" t="s">
        <v>34</v>
      </c>
      <c r="E518" t="s">
        <v>312</v>
      </c>
      <c r="F518" s="3" t="s">
        <v>36</v>
      </c>
      <c r="G518" s="2" t="s">
        <v>54</v>
      </c>
      <c r="H518" s="3">
        <v>50484</v>
      </c>
      <c r="I518" s="3">
        <v>2479</v>
      </c>
      <c r="J518" s="2" t="s">
        <v>353</v>
      </c>
      <c r="K518" t="s">
        <v>312</v>
      </c>
      <c r="L518" t="s">
        <v>267</v>
      </c>
      <c r="M518" t="s">
        <v>40</v>
      </c>
      <c r="O518" t="s">
        <v>34</v>
      </c>
      <c r="P518">
        <v>45278</v>
      </c>
      <c r="S518" s="6">
        <v>2977.65</v>
      </c>
      <c r="T518" t="s">
        <v>254</v>
      </c>
      <c r="W518" s="7">
        <v>6028</v>
      </c>
      <c r="AI518" t="s">
        <v>314</v>
      </c>
      <c r="AJ518" t="s">
        <v>258</v>
      </c>
      <c r="AK518">
        <v>0.4939698075646981</v>
      </c>
    </row>
    <row r="519" spans="1:37" x14ac:dyDescent="0.35">
      <c r="A519">
        <v>12</v>
      </c>
      <c r="B519">
        <v>2023</v>
      </c>
      <c r="C519" t="s">
        <v>33</v>
      </c>
      <c r="D519" t="s">
        <v>34</v>
      </c>
      <c r="E519" t="s">
        <v>312</v>
      </c>
      <c r="F519" s="3" t="s">
        <v>36</v>
      </c>
      <c r="G519" s="2" t="s">
        <v>54</v>
      </c>
      <c r="H519" s="3">
        <v>50484</v>
      </c>
      <c r="I519" s="3">
        <v>2480</v>
      </c>
      <c r="J519" s="2" t="s">
        <v>354</v>
      </c>
      <c r="K519" t="s">
        <v>312</v>
      </c>
      <c r="L519" t="s">
        <v>267</v>
      </c>
      <c r="M519" t="s">
        <v>40</v>
      </c>
      <c r="O519" t="s">
        <v>34</v>
      </c>
      <c r="P519">
        <v>45278</v>
      </c>
      <c r="S519" s="6">
        <v>1491.79</v>
      </c>
      <c r="T519" t="s">
        <v>254</v>
      </c>
      <c r="W519" s="7">
        <v>3020</v>
      </c>
      <c r="AI519" t="s">
        <v>314</v>
      </c>
      <c r="AJ519" t="s">
        <v>258</v>
      </c>
      <c r="AK519">
        <v>0.49397019867549669</v>
      </c>
    </row>
    <row r="520" spans="1:37" x14ac:dyDescent="0.35">
      <c r="A520">
        <v>12</v>
      </c>
      <c r="B520">
        <v>2023</v>
      </c>
      <c r="C520" t="s">
        <v>33</v>
      </c>
      <c r="D520" t="s">
        <v>34</v>
      </c>
      <c r="E520" t="s">
        <v>312</v>
      </c>
      <c r="F520" s="3" t="s">
        <v>36</v>
      </c>
      <c r="G520" s="2" t="s">
        <v>54</v>
      </c>
      <c r="H520" s="3">
        <v>50484</v>
      </c>
      <c r="I520" s="3">
        <v>2481</v>
      </c>
      <c r="J520" s="2" t="s">
        <v>355</v>
      </c>
      <c r="K520" t="s">
        <v>312</v>
      </c>
      <c r="L520" t="s">
        <v>267</v>
      </c>
      <c r="M520" t="s">
        <v>40</v>
      </c>
      <c r="O520" t="s">
        <v>34</v>
      </c>
      <c r="P520">
        <v>45278</v>
      </c>
      <c r="S520" s="6">
        <v>1686.91</v>
      </c>
      <c r="T520" t="s">
        <v>254</v>
      </c>
      <c r="W520" s="7">
        <v>3415</v>
      </c>
      <c r="AI520" t="s">
        <v>314</v>
      </c>
      <c r="AJ520" t="s">
        <v>258</v>
      </c>
      <c r="AK520">
        <v>0.49397071742313325</v>
      </c>
    </row>
    <row r="521" spans="1:37" x14ac:dyDescent="0.35">
      <c r="A521">
        <v>12</v>
      </c>
      <c r="B521">
        <v>2023</v>
      </c>
      <c r="C521" t="s">
        <v>33</v>
      </c>
      <c r="D521" t="s">
        <v>34</v>
      </c>
      <c r="E521" t="s">
        <v>312</v>
      </c>
      <c r="F521" s="3" t="s">
        <v>36</v>
      </c>
      <c r="G521" s="2" t="s">
        <v>54</v>
      </c>
      <c r="H521" s="3">
        <v>50484</v>
      </c>
      <c r="I521" s="3">
        <v>1706</v>
      </c>
      <c r="J521" s="2" t="s">
        <v>259</v>
      </c>
      <c r="K521" t="s">
        <v>312</v>
      </c>
      <c r="L521" t="s">
        <v>267</v>
      </c>
      <c r="M521" t="s">
        <v>40</v>
      </c>
      <c r="O521" t="s">
        <v>34</v>
      </c>
      <c r="P521">
        <v>45278</v>
      </c>
      <c r="S521" s="6">
        <v>52121.74</v>
      </c>
      <c r="T521" t="s">
        <v>254</v>
      </c>
      <c r="W521" s="7">
        <v>7816</v>
      </c>
      <c r="AI521" t="s">
        <v>314</v>
      </c>
      <c r="AJ521" t="s">
        <v>258</v>
      </c>
      <c r="AK521">
        <v>6.6685951893551687</v>
      </c>
    </row>
    <row r="522" spans="1:37" x14ac:dyDescent="0.35">
      <c r="A522">
        <v>12</v>
      </c>
      <c r="B522">
        <v>2023</v>
      </c>
      <c r="C522" t="s">
        <v>33</v>
      </c>
      <c r="D522" t="s">
        <v>34</v>
      </c>
      <c r="E522" t="s">
        <v>312</v>
      </c>
      <c r="F522" s="3" t="s">
        <v>36</v>
      </c>
      <c r="G522" s="2" t="s">
        <v>54</v>
      </c>
      <c r="H522" s="3">
        <v>50485</v>
      </c>
      <c r="I522" s="3">
        <v>1706</v>
      </c>
      <c r="J522" s="2" t="s">
        <v>259</v>
      </c>
      <c r="K522" t="s">
        <v>312</v>
      </c>
      <c r="L522" t="s">
        <v>267</v>
      </c>
      <c r="M522" t="s">
        <v>40</v>
      </c>
      <c r="O522" t="s">
        <v>34</v>
      </c>
      <c r="P522">
        <v>45278</v>
      </c>
      <c r="S522" s="6">
        <v>30539.32</v>
      </c>
      <c r="T522" t="s">
        <v>254</v>
      </c>
      <c r="W522" s="7">
        <v>4512</v>
      </c>
      <c r="AI522" t="s">
        <v>314</v>
      </c>
      <c r="AJ522" t="s">
        <v>258</v>
      </c>
      <c r="AK522">
        <v>6.7684663120567379</v>
      </c>
    </row>
    <row r="523" spans="1:37" x14ac:dyDescent="0.35">
      <c r="A523">
        <v>12</v>
      </c>
      <c r="B523">
        <v>2023</v>
      </c>
      <c r="C523" t="s">
        <v>33</v>
      </c>
      <c r="D523" t="s">
        <v>34</v>
      </c>
      <c r="E523" t="s">
        <v>394</v>
      </c>
      <c r="F523" s="3" t="s">
        <v>36</v>
      </c>
      <c r="G523" s="2" t="s">
        <v>54</v>
      </c>
      <c r="H523" s="3">
        <v>50486</v>
      </c>
      <c r="I523" s="3">
        <v>1706</v>
      </c>
      <c r="J523" s="2" t="s">
        <v>259</v>
      </c>
      <c r="K523" t="s">
        <v>394</v>
      </c>
      <c r="L523" t="s">
        <v>267</v>
      </c>
      <c r="M523" t="s">
        <v>40</v>
      </c>
      <c r="O523" t="s">
        <v>34</v>
      </c>
      <c r="P523">
        <v>45278</v>
      </c>
      <c r="S523" s="6">
        <v>65173.56</v>
      </c>
      <c r="T523" t="s">
        <v>254</v>
      </c>
      <c r="W523" s="7">
        <v>9629</v>
      </c>
      <c r="AI523" t="s">
        <v>394</v>
      </c>
      <c r="AJ523" t="s">
        <v>258</v>
      </c>
      <c r="AK523">
        <v>6.7684660920137087</v>
      </c>
    </row>
    <row r="524" spans="1:37" x14ac:dyDescent="0.35">
      <c r="A524">
        <v>12</v>
      </c>
      <c r="B524">
        <v>2023</v>
      </c>
      <c r="C524" t="s">
        <v>33</v>
      </c>
      <c r="D524" t="s">
        <v>34</v>
      </c>
      <c r="E524" t="s">
        <v>395</v>
      </c>
      <c r="F524" s="3" t="s">
        <v>36</v>
      </c>
      <c r="G524" s="2" t="s">
        <v>82</v>
      </c>
      <c r="H524" s="3">
        <v>50525</v>
      </c>
      <c r="I524" s="3">
        <v>2509</v>
      </c>
      <c r="J524" s="2" t="s">
        <v>396</v>
      </c>
      <c r="K524" t="s">
        <v>395</v>
      </c>
      <c r="L524" t="s">
        <v>267</v>
      </c>
      <c r="M524" t="s">
        <v>40</v>
      </c>
      <c r="O524" t="s">
        <v>297</v>
      </c>
      <c r="P524">
        <v>45280</v>
      </c>
      <c r="S524" s="6">
        <v>4049.17</v>
      </c>
      <c r="T524" t="s">
        <v>254</v>
      </c>
      <c r="AI524" t="s">
        <v>395</v>
      </c>
      <c r="AJ524" t="s">
        <v>258</v>
      </c>
      <c r="AK524">
        <v>0</v>
      </c>
    </row>
    <row r="525" spans="1:37" x14ac:dyDescent="0.35">
      <c r="A525">
        <v>12</v>
      </c>
      <c r="B525">
        <v>2023</v>
      </c>
      <c r="C525" t="s">
        <v>33</v>
      </c>
      <c r="D525" t="s">
        <v>34</v>
      </c>
      <c r="E525" t="s">
        <v>395</v>
      </c>
      <c r="F525" s="3" t="s">
        <v>36</v>
      </c>
      <c r="G525" s="2" t="s">
        <v>82</v>
      </c>
      <c r="H525" s="3">
        <v>50525</v>
      </c>
      <c r="I525" s="3">
        <v>2510</v>
      </c>
      <c r="J525" s="2" t="s">
        <v>397</v>
      </c>
      <c r="K525" t="s">
        <v>395</v>
      </c>
      <c r="L525" t="s">
        <v>267</v>
      </c>
      <c r="M525" t="s">
        <v>40</v>
      </c>
      <c r="O525" t="s">
        <v>297</v>
      </c>
      <c r="P525">
        <v>45280</v>
      </c>
      <c r="S525" s="6">
        <v>4190.3500000000004</v>
      </c>
      <c r="T525" t="s">
        <v>254</v>
      </c>
      <c r="AI525" t="s">
        <v>395</v>
      </c>
      <c r="AJ525" t="s">
        <v>258</v>
      </c>
      <c r="AK525">
        <v>0</v>
      </c>
    </row>
    <row r="526" spans="1:37" x14ac:dyDescent="0.35">
      <c r="A526">
        <v>12</v>
      </c>
      <c r="B526">
        <v>2023</v>
      </c>
      <c r="C526" t="s">
        <v>33</v>
      </c>
      <c r="D526" t="s">
        <v>34</v>
      </c>
      <c r="E526" t="s">
        <v>395</v>
      </c>
      <c r="F526" s="3" t="s">
        <v>36</v>
      </c>
      <c r="G526" s="2" t="s">
        <v>82</v>
      </c>
      <c r="H526" s="3">
        <v>50525</v>
      </c>
      <c r="I526" s="3">
        <v>2511</v>
      </c>
      <c r="J526" s="2" t="s">
        <v>398</v>
      </c>
      <c r="K526" t="s">
        <v>395</v>
      </c>
      <c r="L526" t="s">
        <v>267</v>
      </c>
      <c r="M526" t="s">
        <v>40</v>
      </c>
      <c r="O526" t="s">
        <v>297</v>
      </c>
      <c r="P526">
        <v>45280</v>
      </c>
      <c r="S526" s="6">
        <v>3121.89</v>
      </c>
      <c r="T526" t="s">
        <v>254</v>
      </c>
      <c r="AI526" t="s">
        <v>395</v>
      </c>
      <c r="AJ526" t="s">
        <v>258</v>
      </c>
      <c r="AK526">
        <v>0</v>
      </c>
    </row>
    <row r="527" spans="1:37" x14ac:dyDescent="0.35">
      <c r="A527">
        <v>12</v>
      </c>
      <c r="B527">
        <v>2023</v>
      </c>
      <c r="C527" t="s">
        <v>33</v>
      </c>
      <c r="D527" t="s">
        <v>34</v>
      </c>
      <c r="E527" t="s">
        <v>395</v>
      </c>
      <c r="F527" s="3" t="s">
        <v>36</v>
      </c>
      <c r="G527" s="2" t="s">
        <v>82</v>
      </c>
      <c r="H527" s="3">
        <v>50525</v>
      </c>
      <c r="I527" s="3">
        <v>2512</v>
      </c>
      <c r="J527" s="2" t="s">
        <v>399</v>
      </c>
      <c r="K527" t="s">
        <v>395</v>
      </c>
      <c r="L527" t="s">
        <v>267</v>
      </c>
      <c r="M527" t="s">
        <v>40</v>
      </c>
      <c r="O527" t="s">
        <v>297</v>
      </c>
      <c r="P527">
        <v>45280</v>
      </c>
      <c r="S527" s="6">
        <v>4161.2</v>
      </c>
      <c r="T527" t="s">
        <v>254</v>
      </c>
      <c r="AI527" t="s">
        <v>395</v>
      </c>
      <c r="AJ527" t="s">
        <v>258</v>
      </c>
      <c r="AK527">
        <v>0</v>
      </c>
    </row>
    <row r="528" spans="1:37" x14ac:dyDescent="0.35">
      <c r="A528">
        <v>12</v>
      </c>
      <c r="B528">
        <v>2023</v>
      </c>
      <c r="C528" t="s">
        <v>33</v>
      </c>
      <c r="D528" t="s">
        <v>34</v>
      </c>
      <c r="E528" t="s">
        <v>395</v>
      </c>
      <c r="F528" s="3" t="s">
        <v>36</v>
      </c>
      <c r="G528" s="2" t="s">
        <v>82</v>
      </c>
      <c r="H528" s="3">
        <v>50525</v>
      </c>
      <c r="I528" s="3">
        <v>2513</v>
      </c>
      <c r="J528" s="2" t="s">
        <v>400</v>
      </c>
      <c r="K528" t="s">
        <v>395</v>
      </c>
      <c r="L528" t="s">
        <v>267</v>
      </c>
      <c r="M528" t="s">
        <v>40</v>
      </c>
      <c r="O528" t="s">
        <v>297</v>
      </c>
      <c r="P528">
        <v>45280</v>
      </c>
      <c r="S528" s="6">
        <v>4449.29</v>
      </c>
      <c r="T528" t="s">
        <v>254</v>
      </c>
      <c r="AI528" t="s">
        <v>395</v>
      </c>
      <c r="AJ528" t="s">
        <v>258</v>
      </c>
      <c r="AK528">
        <v>0</v>
      </c>
    </row>
    <row r="529" spans="1:37" x14ac:dyDescent="0.35">
      <c r="A529">
        <v>12</v>
      </c>
      <c r="B529">
        <v>2023</v>
      </c>
      <c r="C529" t="s">
        <v>33</v>
      </c>
      <c r="D529" t="s">
        <v>34</v>
      </c>
      <c r="E529" t="s">
        <v>395</v>
      </c>
      <c r="F529" s="3" t="s">
        <v>36</v>
      </c>
      <c r="G529" s="2" t="s">
        <v>82</v>
      </c>
      <c r="H529" s="3">
        <v>50557</v>
      </c>
      <c r="I529" s="3">
        <v>2509</v>
      </c>
      <c r="J529" s="2" t="s">
        <v>396</v>
      </c>
      <c r="K529" t="s">
        <v>395</v>
      </c>
      <c r="L529" t="s">
        <v>267</v>
      </c>
      <c r="M529" t="s">
        <v>40</v>
      </c>
      <c r="O529" t="s">
        <v>297</v>
      </c>
      <c r="P529">
        <v>45281</v>
      </c>
      <c r="S529" s="6">
        <v>3082.01</v>
      </c>
      <c r="T529" t="s">
        <v>254</v>
      </c>
      <c r="U529">
        <v>180</v>
      </c>
      <c r="W529" s="7">
        <v>395</v>
      </c>
      <c r="AI529" t="s">
        <v>395</v>
      </c>
      <c r="AJ529" t="s">
        <v>258</v>
      </c>
      <c r="AK529">
        <v>7.8025569620253172</v>
      </c>
    </row>
    <row r="530" spans="1:37" x14ac:dyDescent="0.35">
      <c r="A530">
        <v>12</v>
      </c>
      <c r="B530">
        <v>2023</v>
      </c>
      <c r="C530" t="s">
        <v>33</v>
      </c>
      <c r="D530" t="s">
        <v>34</v>
      </c>
      <c r="E530" t="s">
        <v>395</v>
      </c>
      <c r="F530" s="3" t="s">
        <v>36</v>
      </c>
      <c r="G530" s="2" t="s">
        <v>82</v>
      </c>
      <c r="H530" s="3">
        <v>50557</v>
      </c>
      <c r="I530" s="3">
        <v>2510</v>
      </c>
      <c r="J530" s="2" t="s">
        <v>397</v>
      </c>
      <c r="K530" t="s">
        <v>395</v>
      </c>
      <c r="L530" t="s">
        <v>267</v>
      </c>
      <c r="M530" t="s">
        <v>40</v>
      </c>
      <c r="O530" t="s">
        <v>297</v>
      </c>
      <c r="P530">
        <v>45281</v>
      </c>
      <c r="S530" s="6">
        <v>4392.45</v>
      </c>
      <c r="T530" t="s">
        <v>254</v>
      </c>
      <c r="U530">
        <v>180</v>
      </c>
      <c r="W530" s="7">
        <v>556</v>
      </c>
      <c r="AI530" t="s">
        <v>395</v>
      </c>
      <c r="AJ530" t="s">
        <v>258</v>
      </c>
      <c r="AK530">
        <v>7.9000899280575538</v>
      </c>
    </row>
    <row r="531" spans="1:37" x14ac:dyDescent="0.35">
      <c r="A531">
        <v>12</v>
      </c>
      <c r="B531">
        <v>2023</v>
      </c>
      <c r="C531" t="s">
        <v>33</v>
      </c>
      <c r="D531" t="s">
        <v>34</v>
      </c>
      <c r="E531" t="s">
        <v>395</v>
      </c>
      <c r="F531" s="3" t="s">
        <v>36</v>
      </c>
      <c r="G531" s="2" t="s">
        <v>82</v>
      </c>
      <c r="H531" s="3">
        <v>50557</v>
      </c>
      <c r="I531" s="3">
        <v>2511</v>
      </c>
      <c r="J531" s="2" t="s">
        <v>398</v>
      </c>
      <c r="K531" t="s">
        <v>395</v>
      </c>
      <c r="L531" t="s">
        <v>267</v>
      </c>
      <c r="M531" t="s">
        <v>40</v>
      </c>
      <c r="O531" t="s">
        <v>297</v>
      </c>
      <c r="P531">
        <v>45281</v>
      </c>
      <c r="S531" s="6">
        <v>4108.05</v>
      </c>
      <c r="T531" t="s">
        <v>254</v>
      </c>
      <c r="U531">
        <v>180</v>
      </c>
      <c r="W531" s="7">
        <v>520</v>
      </c>
      <c r="AI531" t="s">
        <v>395</v>
      </c>
      <c r="AJ531" t="s">
        <v>258</v>
      </c>
      <c r="AK531">
        <v>7.900096153846154</v>
      </c>
    </row>
    <row r="532" spans="1:37" x14ac:dyDescent="0.35">
      <c r="A532">
        <v>12</v>
      </c>
      <c r="B532">
        <v>2023</v>
      </c>
      <c r="C532" t="s">
        <v>33</v>
      </c>
      <c r="D532" t="s">
        <v>34</v>
      </c>
      <c r="E532" t="s">
        <v>395</v>
      </c>
      <c r="F532" s="3" t="s">
        <v>36</v>
      </c>
      <c r="G532" s="2" t="s">
        <v>82</v>
      </c>
      <c r="H532" s="3">
        <v>50557</v>
      </c>
      <c r="I532" s="3">
        <v>2512</v>
      </c>
      <c r="J532" s="2" t="s">
        <v>399</v>
      </c>
      <c r="K532" t="s">
        <v>395</v>
      </c>
      <c r="L532" t="s">
        <v>267</v>
      </c>
      <c r="M532" t="s">
        <v>40</v>
      </c>
      <c r="O532" t="s">
        <v>297</v>
      </c>
      <c r="P532">
        <v>45281</v>
      </c>
      <c r="S532" s="6">
        <v>4136.82</v>
      </c>
      <c r="T532" t="s">
        <v>254</v>
      </c>
      <c r="U532">
        <v>180</v>
      </c>
      <c r="W532" s="7">
        <v>499</v>
      </c>
      <c r="AI532" t="s">
        <v>395</v>
      </c>
      <c r="AJ532" t="s">
        <v>258</v>
      </c>
      <c r="AK532">
        <v>8.2902204408817628</v>
      </c>
    </row>
    <row r="533" spans="1:37" x14ac:dyDescent="0.35">
      <c r="A533">
        <v>12</v>
      </c>
      <c r="B533">
        <v>2023</v>
      </c>
      <c r="C533" t="s">
        <v>33</v>
      </c>
      <c r="D533" t="s">
        <v>34</v>
      </c>
      <c r="E533" t="s">
        <v>395</v>
      </c>
      <c r="F533" s="3" t="s">
        <v>36</v>
      </c>
      <c r="G533" s="2" t="s">
        <v>82</v>
      </c>
      <c r="H533" s="3">
        <v>50557</v>
      </c>
      <c r="I533" s="3">
        <v>2513</v>
      </c>
      <c r="J533" s="2" t="s">
        <v>400</v>
      </c>
      <c r="K533" t="s">
        <v>395</v>
      </c>
      <c r="L533" t="s">
        <v>267</v>
      </c>
      <c r="M533" t="s">
        <v>40</v>
      </c>
      <c r="O533" t="s">
        <v>297</v>
      </c>
      <c r="P533">
        <v>45281</v>
      </c>
      <c r="S533" s="6">
        <v>3997.45</v>
      </c>
      <c r="T533" t="s">
        <v>254</v>
      </c>
      <c r="U533">
        <v>180</v>
      </c>
      <c r="W533" s="7">
        <v>506</v>
      </c>
      <c r="AI533" t="s">
        <v>395</v>
      </c>
      <c r="AJ533" t="s">
        <v>258</v>
      </c>
      <c r="AK533">
        <v>7.9000988142292483</v>
      </c>
    </row>
    <row r="534" spans="1:37" x14ac:dyDescent="0.35">
      <c r="A534">
        <v>12</v>
      </c>
      <c r="B534">
        <v>2023</v>
      </c>
      <c r="C534" t="s">
        <v>33</v>
      </c>
      <c r="D534" t="s">
        <v>34</v>
      </c>
      <c r="E534" t="s">
        <v>387</v>
      </c>
      <c r="F534" s="3" t="s">
        <v>36</v>
      </c>
      <c r="G534" s="2" t="s">
        <v>388</v>
      </c>
      <c r="H534" s="3">
        <v>50561</v>
      </c>
      <c r="I534" s="3">
        <v>2584</v>
      </c>
      <c r="J534" s="2" t="s">
        <v>401</v>
      </c>
      <c r="K534" t="s">
        <v>387</v>
      </c>
      <c r="L534" t="s">
        <v>267</v>
      </c>
      <c r="M534" t="s">
        <v>40</v>
      </c>
      <c r="O534" t="s">
        <v>297</v>
      </c>
      <c r="P534">
        <v>45286</v>
      </c>
      <c r="S534" s="6">
        <v>15941.59</v>
      </c>
      <c r="T534" t="s">
        <v>254</v>
      </c>
      <c r="U534">
        <v>160</v>
      </c>
      <c r="W534" s="7">
        <v>1656</v>
      </c>
      <c r="AI534" t="s">
        <v>387</v>
      </c>
      <c r="AJ534" t="s">
        <v>258</v>
      </c>
      <c r="AK534">
        <v>9.6265640096618359</v>
      </c>
    </row>
    <row r="535" spans="1:37" x14ac:dyDescent="0.35">
      <c r="A535">
        <v>12</v>
      </c>
      <c r="B535">
        <v>2023</v>
      </c>
      <c r="C535" t="s">
        <v>33</v>
      </c>
      <c r="D535" t="s">
        <v>34</v>
      </c>
      <c r="E535" t="s">
        <v>387</v>
      </c>
      <c r="F535" s="3" t="s">
        <v>36</v>
      </c>
      <c r="G535" s="2" t="s">
        <v>388</v>
      </c>
      <c r="H535" s="3">
        <v>50561</v>
      </c>
      <c r="I535" s="3">
        <v>2582</v>
      </c>
      <c r="J535" s="2" t="s">
        <v>402</v>
      </c>
      <c r="K535" t="s">
        <v>387</v>
      </c>
      <c r="L535" t="s">
        <v>267</v>
      </c>
      <c r="M535" t="s">
        <v>40</v>
      </c>
      <c r="O535" t="s">
        <v>297</v>
      </c>
      <c r="P535">
        <v>45286</v>
      </c>
      <c r="S535" s="6">
        <v>35919.81</v>
      </c>
      <c r="T535" t="s">
        <v>254</v>
      </c>
      <c r="U535">
        <v>240</v>
      </c>
      <c r="W535" s="7">
        <v>3389</v>
      </c>
      <c r="AI535" t="s">
        <v>387</v>
      </c>
      <c r="AJ535" t="s">
        <v>258</v>
      </c>
      <c r="AK535">
        <v>10.598940690469163</v>
      </c>
    </row>
    <row r="536" spans="1:37" x14ac:dyDescent="0.35">
      <c r="A536">
        <v>1</v>
      </c>
      <c r="B536">
        <v>2024</v>
      </c>
      <c r="C536" t="s">
        <v>33</v>
      </c>
      <c r="D536" t="s">
        <v>34</v>
      </c>
      <c r="E536" t="s">
        <v>42</v>
      </c>
      <c r="F536" s="3" t="s">
        <v>36</v>
      </c>
      <c r="G536" s="2" t="s">
        <v>43</v>
      </c>
      <c r="H536" s="3">
        <v>51145</v>
      </c>
      <c r="I536" s="3">
        <v>2054</v>
      </c>
      <c r="J536" s="2" t="s">
        <v>330</v>
      </c>
      <c r="K536" t="s">
        <v>42</v>
      </c>
      <c r="L536" t="s">
        <v>267</v>
      </c>
      <c r="M536" t="s">
        <v>40</v>
      </c>
      <c r="O536" t="s">
        <v>297</v>
      </c>
      <c r="P536">
        <v>45320</v>
      </c>
      <c r="S536" s="6">
        <v>18109.439999999999</v>
      </c>
      <c r="T536" t="s">
        <v>254</v>
      </c>
      <c r="W536" s="7">
        <v>1152</v>
      </c>
      <c r="AI536" t="s">
        <v>255</v>
      </c>
      <c r="AJ536" t="s">
        <v>262</v>
      </c>
      <c r="AK536">
        <v>15.719999999999999</v>
      </c>
    </row>
    <row r="537" spans="1:37" x14ac:dyDescent="0.35">
      <c r="A537">
        <v>1</v>
      </c>
      <c r="B537">
        <v>2024</v>
      </c>
      <c r="C537" t="s">
        <v>33</v>
      </c>
      <c r="D537" t="s">
        <v>34</v>
      </c>
      <c r="E537" t="s">
        <v>42</v>
      </c>
      <c r="F537" s="3" t="s">
        <v>36</v>
      </c>
      <c r="G537" s="2" t="s">
        <v>43</v>
      </c>
      <c r="H537" s="3">
        <v>51145</v>
      </c>
      <c r="I537" s="3">
        <v>1905</v>
      </c>
      <c r="J537" s="2" t="s">
        <v>291</v>
      </c>
      <c r="K537" t="s">
        <v>42</v>
      </c>
      <c r="L537" t="s">
        <v>267</v>
      </c>
      <c r="M537" t="s">
        <v>40</v>
      </c>
      <c r="O537" t="s">
        <v>297</v>
      </c>
      <c r="P537">
        <v>45320</v>
      </c>
      <c r="S537" s="6">
        <v>11845.02</v>
      </c>
      <c r="T537" t="s">
        <v>254</v>
      </c>
      <c r="W537" s="7">
        <v>1507</v>
      </c>
      <c r="AI537" t="s">
        <v>255</v>
      </c>
      <c r="AJ537" t="s">
        <v>262</v>
      </c>
      <c r="AK537">
        <v>7.86</v>
      </c>
    </row>
    <row r="538" spans="1:37" x14ac:dyDescent="0.35">
      <c r="A538">
        <v>1</v>
      </c>
      <c r="B538">
        <v>2024</v>
      </c>
      <c r="C538" t="s">
        <v>33</v>
      </c>
      <c r="D538" t="s">
        <v>34</v>
      </c>
      <c r="E538" t="s">
        <v>42</v>
      </c>
      <c r="F538" s="3" t="s">
        <v>36</v>
      </c>
      <c r="G538" s="2" t="s">
        <v>43</v>
      </c>
      <c r="H538" s="3">
        <v>51145</v>
      </c>
      <c r="I538" s="3">
        <v>1525</v>
      </c>
      <c r="J538" s="2" t="s">
        <v>283</v>
      </c>
      <c r="K538" t="s">
        <v>42</v>
      </c>
      <c r="L538" t="s">
        <v>267</v>
      </c>
      <c r="M538" t="s">
        <v>40</v>
      </c>
      <c r="O538" t="s">
        <v>297</v>
      </c>
      <c r="P538">
        <v>45320</v>
      </c>
      <c r="S538" s="6">
        <v>45096.5</v>
      </c>
      <c r="T538" t="s">
        <v>254</v>
      </c>
      <c r="W538" s="7">
        <v>2435</v>
      </c>
      <c r="AI538" t="s">
        <v>255</v>
      </c>
      <c r="AJ538" t="s">
        <v>262</v>
      </c>
      <c r="AK538">
        <v>18.520123203285422</v>
      </c>
    </row>
    <row r="539" spans="1:37" x14ac:dyDescent="0.35">
      <c r="A539">
        <v>1</v>
      </c>
      <c r="B539">
        <v>2024</v>
      </c>
      <c r="C539" t="s">
        <v>33</v>
      </c>
      <c r="D539" t="s">
        <v>34</v>
      </c>
      <c r="E539" t="s">
        <v>42</v>
      </c>
      <c r="F539" s="3" t="s">
        <v>36</v>
      </c>
      <c r="G539" s="2" t="s">
        <v>43</v>
      </c>
      <c r="H539" s="3">
        <v>51145</v>
      </c>
      <c r="I539" s="3">
        <v>2339</v>
      </c>
      <c r="J539" s="2" t="s">
        <v>342</v>
      </c>
      <c r="K539" t="s">
        <v>42</v>
      </c>
      <c r="L539" t="s">
        <v>267</v>
      </c>
      <c r="M539" t="s">
        <v>40</v>
      </c>
      <c r="O539" t="s">
        <v>297</v>
      </c>
      <c r="P539">
        <v>45320</v>
      </c>
      <c r="S539" s="6">
        <v>19202.96</v>
      </c>
      <c r="T539" t="s">
        <v>254</v>
      </c>
      <c r="W539" s="7">
        <v>2606</v>
      </c>
      <c r="AI539" t="s">
        <v>255</v>
      </c>
      <c r="AJ539" t="s">
        <v>262</v>
      </c>
      <c r="AK539">
        <v>7.3687490406753646</v>
      </c>
    </row>
    <row r="540" spans="1:37" x14ac:dyDescent="0.35">
      <c r="A540">
        <v>1</v>
      </c>
      <c r="B540">
        <v>2024</v>
      </c>
      <c r="C540" t="s">
        <v>33</v>
      </c>
      <c r="D540" t="s">
        <v>34</v>
      </c>
      <c r="E540" t="s">
        <v>42</v>
      </c>
      <c r="F540" s="3" t="s">
        <v>36</v>
      </c>
      <c r="G540" s="2" t="s">
        <v>43</v>
      </c>
      <c r="H540" s="3">
        <v>51145</v>
      </c>
      <c r="I540" s="3">
        <v>2496</v>
      </c>
      <c r="J540" s="2" t="s">
        <v>385</v>
      </c>
      <c r="K540" t="s">
        <v>42</v>
      </c>
      <c r="L540" t="s">
        <v>267</v>
      </c>
      <c r="M540" t="s">
        <v>40</v>
      </c>
      <c r="O540" t="s">
        <v>297</v>
      </c>
      <c r="P540">
        <v>45320</v>
      </c>
      <c r="S540" s="6">
        <v>5385.08</v>
      </c>
      <c r="T540" t="s">
        <v>254</v>
      </c>
      <c r="W540" s="7">
        <v>261</v>
      </c>
      <c r="AI540" t="s">
        <v>255</v>
      </c>
      <c r="AJ540" t="s">
        <v>262</v>
      </c>
      <c r="AK540">
        <v>20.632490421455937</v>
      </c>
    </row>
    <row r="541" spans="1:37" x14ac:dyDescent="0.35">
      <c r="A541">
        <v>1</v>
      </c>
      <c r="B541">
        <v>2024</v>
      </c>
      <c r="C541" t="s">
        <v>33</v>
      </c>
      <c r="D541" t="s">
        <v>34</v>
      </c>
      <c r="E541" t="s">
        <v>42</v>
      </c>
      <c r="F541" s="3" t="s">
        <v>36</v>
      </c>
      <c r="G541" s="2" t="s">
        <v>43</v>
      </c>
      <c r="H541" s="3">
        <v>51145</v>
      </c>
      <c r="I541" s="3">
        <v>2497</v>
      </c>
      <c r="J541" s="2" t="s">
        <v>386</v>
      </c>
      <c r="K541" t="s">
        <v>42</v>
      </c>
      <c r="L541" t="s">
        <v>267</v>
      </c>
      <c r="M541" t="s">
        <v>40</v>
      </c>
      <c r="O541" t="s">
        <v>297</v>
      </c>
      <c r="P541">
        <v>45320</v>
      </c>
      <c r="S541" s="6">
        <v>8064.36</v>
      </c>
      <c r="T541" t="s">
        <v>254</v>
      </c>
      <c r="W541" s="7">
        <v>684</v>
      </c>
      <c r="AI541" t="s">
        <v>255</v>
      </c>
      <c r="AJ541" t="s">
        <v>262</v>
      </c>
      <c r="AK541">
        <v>11.79</v>
      </c>
    </row>
    <row r="542" spans="1:37" x14ac:dyDescent="0.35">
      <c r="A542">
        <v>1</v>
      </c>
      <c r="B542">
        <v>2024</v>
      </c>
      <c r="C542" t="s">
        <v>33</v>
      </c>
      <c r="D542" t="s">
        <v>34</v>
      </c>
      <c r="E542" t="s">
        <v>42</v>
      </c>
      <c r="F542" s="3" t="s">
        <v>36</v>
      </c>
      <c r="G542" s="2" t="s">
        <v>43</v>
      </c>
      <c r="H542" s="3">
        <v>51145</v>
      </c>
      <c r="I542" s="3">
        <v>1506</v>
      </c>
      <c r="J542" s="2" t="s">
        <v>253</v>
      </c>
      <c r="K542" t="s">
        <v>42</v>
      </c>
      <c r="L542" t="s">
        <v>267</v>
      </c>
      <c r="M542" t="s">
        <v>40</v>
      </c>
      <c r="O542" t="s">
        <v>297</v>
      </c>
      <c r="P542">
        <v>45320</v>
      </c>
      <c r="S542" s="6">
        <v>38135.74</v>
      </c>
      <c r="T542" t="s">
        <v>254</v>
      </c>
      <c r="W542" s="7">
        <v>2218</v>
      </c>
      <c r="AI542" t="s">
        <v>255</v>
      </c>
      <c r="AJ542" t="s">
        <v>262</v>
      </c>
      <c r="AK542">
        <v>17.193751127141567</v>
      </c>
    </row>
    <row r="543" spans="1:37" x14ac:dyDescent="0.35">
      <c r="A543">
        <v>1</v>
      </c>
      <c r="B543">
        <v>2024</v>
      </c>
      <c r="C543" t="s">
        <v>33</v>
      </c>
      <c r="D543" t="s">
        <v>34</v>
      </c>
      <c r="E543" t="s">
        <v>42</v>
      </c>
      <c r="F543" s="3" t="s">
        <v>36</v>
      </c>
      <c r="G543" s="2" t="s">
        <v>43</v>
      </c>
      <c r="H543" s="3">
        <v>51145</v>
      </c>
      <c r="I543" s="3">
        <v>1504</v>
      </c>
      <c r="J543" s="2" t="s">
        <v>263</v>
      </c>
      <c r="K543" t="s">
        <v>42</v>
      </c>
      <c r="L543" t="s">
        <v>267</v>
      </c>
      <c r="M543" t="s">
        <v>40</v>
      </c>
      <c r="O543" t="s">
        <v>297</v>
      </c>
      <c r="P543">
        <v>45320</v>
      </c>
      <c r="S543" s="6">
        <v>78082.22</v>
      </c>
      <c r="T543" t="s">
        <v>254</v>
      </c>
      <c r="W543" s="7">
        <v>5388</v>
      </c>
      <c r="AI543" t="s">
        <v>255</v>
      </c>
      <c r="AJ543" t="s">
        <v>262</v>
      </c>
      <c r="AK543">
        <v>14.491874536005939</v>
      </c>
    </row>
    <row r="544" spans="1:37" x14ac:dyDescent="0.35">
      <c r="A544">
        <v>1</v>
      </c>
      <c r="B544">
        <v>2024</v>
      </c>
      <c r="C544" t="s">
        <v>33</v>
      </c>
      <c r="D544" t="s">
        <v>34</v>
      </c>
      <c r="E544" t="s">
        <v>42</v>
      </c>
      <c r="F544" s="3" t="s">
        <v>36</v>
      </c>
      <c r="G544" s="2" t="s">
        <v>43</v>
      </c>
      <c r="H544" s="3">
        <v>51145</v>
      </c>
      <c r="I544" s="3">
        <v>1236</v>
      </c>
      <c r="J544" s="2" t="s">
        <v>264</v>
      </c>
      <c r="K544" t="s">
        <v>42</v>
      </c>
      <c r="L544" t="s">
        <v>267</v>
      </c>
      <c r="M544" t="s">
        <v>40</v>
      </c>
      <c r="O544" t="s">
        <v>297</v>
      </c>
      <c r="P544">
        <v>45320</v>
      </c>
      <c r="S544" s="6">
        <v>18380.12</v>
      </c>
      <c r="T544" t="s">
        <v>254</v>
      </c>
      <c r="W544" s="7">
        <v>1069</v>
      </c>
      <c r="AI544" t="s">
        <v>255</v>
      </c>
      <c r="AJ544" t="s">
        <v>262</v>
      </c>
      <c r="AK544">
        <v>17.193751169317117</v>
      </c>
    </row>
    <row r="545" spans="1:37" x14ac:dyDescent="0.35">
      <c r="A545">
        <v>1</v>
      </c>
      <c r="B545">
        <v>2024</v>
      </c>
      <c r="C545" t="s">
        <v>33</v>
      </c>
      <c r="D545" t="s">
        <v>34</v>
      </c>
      <c r="E545" t="s">
        <v>42</v>
      </c>
      <c r="F545" s="3" t="s">
        <v>36</v>
      </c>
      <c r="G545" s="2" t="s">
        <v>43</v>
      </c>
      <c r="H545" s="3">
        <v>51145</v>
      </c>
      <c r="I545" s="3">
        <v>1226</v>
      </c>
      <c r="J545" s="2" t="s">
        <v>266</v>
      </c>
      <c r="K545" t="s">
        <v>42</v>
      </c>
      <c r="L545" t="s">
        <v>267</v>
      </c>
      <c r="M545" t="s">
        <v>40</v>
      </c>
      <c r="O545" t="s">
        <v>297</v>
      </c>
      <c r="P545">
        <v>45320</v>
      </c>
      <c r="S545" s="6">
        <v>5939.21</v>
      </c>
      <c r="T545" t="s">
        <v>254</v>
      </c>
      <c r="W545" s="7">
        <v>403</v>
      </c>
      <c r="AI545" t="s">
        <v>255</v>
      </c>
      <c r="AJ545" t="s">
        <v>262</v>
      </c>
      <c r="AK545">
        <v>14.737493796526055</v>
      </c>
    </row>
    <row r="546" spans="1:37" x14ac:dyDescent="0.35">
      <c r="A546">
        <v>1</v>
      </c>
      <c r="B546">
        <v>2024</v>
      </c>
      <c r="C546" t="s">
        <v>33</v>
      </c>
      <c r="D546" t="s">
        <v>34</v>
      </c>
      <c r="E546" t="s">
        <v>42</v>
      </c>
      <c r="F546" s="3" t="s">
        <v>36</v>
      </c>
      <c r="G546" s="2" t="s">
        <v>43</v>
      </c>
      <c r="H546" s="3">
        <v>51145</v>
      </c>
      <c r="I546" s="3">
        <v>1225</v>
      </c>
      <c r="J546" s="2" t="s">
        <v>292</v>
      </c>
      <c r="K546" t="s">
        <v>42</v>
      </c>
      <c r="L546" t="s">
        <v>267</v>
      </c>
      <c r="M546" t="s">
        <v>40</v>
      </c>
      <c r="O546" t="s">
        <v>297</v>
      </c>
      <c r="P546">
        <v>45320</v>
      </c>
      <c r="S546" s="6">
        <v>101990.57</v>
      </c>
      <c r="T546" t="s">
        <v>254</v>
      </c>
      <c r="W546" s="7">
        <v>7014</v>
      </c>
      <c r="AI546" t="s">
        <v>255</v>
      </c>
      <c r="AJ546" t="s">
        <v>262</v>
      </c>
      <c r="AK546">
        <v>14.540999429712006</v>
      </c>
    </row>
    <row r="547" spans="1:37" x14ac:dyDescent="0.35">
      <c r="A547">
        <v>1</v>
      </c>
      <c r="B547">
        <v>2024</v>
      </c>
      <c r="C547" t="s">
        <v>33</v>
      </c>
      <c r="D547" t="s">
        <v>34</v>
      </c>
      <c r="E547" t="s">
        <v>116</v>
      </c>
      <c r="F547" s="3" t="s">
        <v>36</v>
      </c>
      <c r="G547" s="2" t="s">
        <v>50</v>
      </c>
      <c r="H547" s="3">
        <v>51203</v>
      </c>
      <c r="I547" s="3">
        <v>1419</v>
      </c>
      <c r="J547" s="2" t="s">
        <v>341</v>
      </c>
      <c r="K547" t="s">
        <v>116</v>
      </c>
      <c r="L547" t="s">
        <v>267</v>
      </c>
      <c r="M547" t="s">
        <v>40</v>
      </c>
      <c r="O547" t="s">
        <v>34</v>
      </c>
      <c r="P547">
        <v>45322</v>
      </c>
      <c r="S547" s="6">
        <v>26862.52</v>
      </c>
      <c r="T547" t="s">
        <v>254</v>
      </c>
      <c r="W547" s="7">
        <v>2427</v>
      </c>
      <c r="AI547" t="s">
        <v>116</v>
      </c>
      <c r="AJ547" t="s">
        <v>258</v>
      </c>
      <c r="AK547">
        <v>11.068199423156161</v>
      </c>
    </row>
    <row r="548" spans="1:37" x14ac:dyDescent="0.35">
      <c r="A548">
        <v>1</v>
      </c>
      <c r="B548">
        <v>2024</v>
      </c>
      <c r="C548" t="s">
        <v>33</v>
      </c>
      <c r="D548" t="s">
        <v>34</v>
      </c>
      <c r="E548" t="s">
        <v>116</v>
      </c>
      <c r="F548" s="3" t="s">
        <v>36</v>
      </c>
      <c r="G548" s="2" t="s">
        <v>50</v>
      </c>
      <c r="H548" s="3">
        <v>51203</v>
      </c>
      <c r="I548" s="3">
        <v>1422</v>
      </c>
      <c r="J548" s="2" t="s">
        <v>339</v>
      </c>
      <c r="K548" t="s">
        <v>116</v>
      </c>
      <c r="L548" t="s">
        <v>267</v>
      </c>
      <c r="M548" t="s">
        <v>40</v>
      </c>
      <c r="O548" t="s">
        <v>34</v>
      </c>
      <c r="P548">
        <v>45322</v>
      </c>
      <c r="S548" s="6">
        <v>19796.14</v>
      </c>
      <c r="T548" t="s">
        <v>254</v>
      </c>
      <c r="W548" s="7">
        <v>1422</v>
      </c>
      <c r="AI548" t="s">
        <v>116</v>
      </c>
      <c r="AJ548" t="s">
        <v>258</v>
      </c>
      <c r="AK548">
        <v>13.921336146272855</v>
      </c>
    </row>
    <row r="549" spans="1:37" x14ac:dyDescent="0.35">
      <c r="A549">
        <v>2</v>
      </c>
      <c r="B549">
        <v>2024</v>
      </c>
      <c r="C549" t="s">
        <v>33</v>
      </c>
      <c r="D549" t="s">
        <v>34</v>
      </c>
      <c r="E549" t="s">
        <v>116</v>
      </c>
      <c r="F549" s="3" t="s">
        <v>36</v>
      </c>
      <c r="G549" s="2" t="s">
        <v>50</v>
      </c>
      <c r="H549" s="3">
        <v>51277</v>
      </c>
      <c r="I549" s="3">
        <v>1422</v>
      </c>
      <c r="J549" s="2" t="s">
        <v>339</v>
      </c>
      <c r="K549" t="s">
        <v>116</v>
      </c>
      <c r="L549" t="s">
        <v>267</v>
      </c>
      <c r="M549" t="s">
        <v>40</v>
      </c>
      <c r="O549" t="s">
        <v>34</v>
      </c>
      <c r="P549">
        <v>45328</v>
      </c>
      <c r="S549" s="6">
        <v>23668.59</v>
      </c>
      <c r="T549" t="s">
        <v>254</v>
      </c>
      <c r="U549">
        <v>240</v>
      </c>
      <c r="W549" s="7">
        <v>1422</v>
      </c>
      <c r="AI549" t="s">
        <v>116</v>
      </c>
      <c r="AJ549" t="s">
        <v>258</v>
      </c>
      <c r="AK549">
        <v>16.64457805907173</v>
      </c>
    </row>
    <row r="550" spans="1:37" x14ac:dyDescent="0.35">
      <c r="A550">
        <v>2</v>
      </c>
      <c r="B550">
        <v>2024</v>
      </c>
      <c r="C550" t="s">
        <v>33</v>
      </c>
      <c r="D550" t="s">
        <v>34</v>
      </c>
      <c r="E550" t="s">
        <v>116</v>
      </c>
      <c r="F550" s="3" t="s">
        <v>36</v>
      </c>
      <c r="G550" s="2" t="s">
        <v>50</v>
      </c>
      <c r="H550" s="3">
        <v>51395</v>
      </c>
      <c r="I550" s="3">
        <v>1419</v>
      </c>
      <c r="J550" s="2" t="s">
        <v>341</v>
      </c>
      <c r="K550" t="s">
        <v>116</v>
      </c>
      <c r="L550" t="s">
        <v>267</v>
      </c>
      <c r="M550" t="s">
        <v>40</v>
      </c>
      <c r="O550" t="s">
        <v>34</v>
      </c>
      <c r="P550">
        <v>45336</v>
      </c>
      <c r="S550" s="6">
        <v>27332.69</v>
      </c>
      <c r="T550" t="s">
        <v>254</v>
      </c>
      <c r="U550">
        <v>180</v>
      </c>
      <c r="W550" s="7">
        <v>2427</v>
      </c>
      <c r="AI550" t="s">
        <v>116</v>
      </c>
      <c r="AJ550" t="s">
        <v>258</v>
      </c>
      <c r="AK550">
        <v>11.261924186238154</v>
      </c>
    </row>
    <row r="551" spans="1:37" x14ac:dyDescent="0.35">
      <c r="A551">
        <v>2</v>
      </c>
      <c r="B551">
        <v>2024</v>
      </c>
      <c r="C551" t="s">
        <v>33</v>
      </c>
      <c r="D551" t="s">
        <v>34</v>
      </c>
      <c r="E551" t="s">
        <v>403</v>
      </c>
      <c r="F551" s="3" t="s">
        <v>36</v>
      </c>
      <c r="G551" s="2" t="s">
        <v>50</v>
      </c>
      <c r="H551" s="3">
        <v>51485</v>
      </c>
      <c r="I551" s="3">
        <v>2799</v>
      </c>
      <c r="J551" s="2" t="s">
        <v>404</v>
      </c>
      <c r="K551" t="s">
        <v>403</v>
      </c>
      <c r="L551" t="s">
        <v>405</v>
      </c>
      <c r="M551" t="s">
        <v>40</v>
      </c>
      <c r="O551" t="s">
        <v>34</v>
      </c>
      <c r="P551">
        <v>45342</v>
      </c>
      <c r="S551" s="6">
        <v>10940</v>
      </c>
      <c r="T551" t="s">
        <v>254</v>
      </c>
      <c r="U551">
        <v>560</v>
      </c>
      <c r="W551" s="7">
        <v>547</v>
      </c>
      <c r="AI551" t="s">
        <v>406</v>
      </c>
      <c r="AJ551" t="s">
        <v>258</v>
      </c>
      <c r="AK551">
        <v>20</v>
      </c>
    </row>
    <row r="552" spans="1:37" x14ac:dyDescent="0.35">
      <c r="A552">
        <v>2</v>
      </c>
      <c r="B552">
        <v>2024</v>
      </c>
      <c r="C552" t="s">
        <v>33</v>
      </c>
      <c r="D552" t="s">
        <v>34</v>
      </c>
      <c r="E552" t="s">
        <v>403</v>
      </c>
      <c r="F552" s="3" t="s">
        <v>36</v>
      </c>
      <c r="G552" s="2" t="s">
        <v>50</v>
      </c>
      <c r="H552" s="3">
        <v>51485</v>
      </c>
      <c r="I552" s="3">
        <v>2800</v>
      </c>
      <c r="J552" s="2" t="s">
        <v>407</v>
      </c>
      <c r="K552" t="s">
        <v>403</v>
      </c>
      <c r="L552" t="s">
        <v>405</v>
      </c>
      <c r="M552" t="s">
        <v>40</v>
      </c>
      <c r="O552" t="s">
        <v>34</v>
      </c>
      <c r="P552">
        <v>45342</v>
      </c>
      <c r="S552" s="6">
        <v>1540</v>
      </c>
      <c r="T552" t="s">
        <v>254</v>
      </c>
      <c r="U552">
        <v>300</v>
      </c>
      <c r="W552" s="7">
        <v>154</v>
      </c>
      <c r="AI552" t="s">
        <v>406</v>
      </c>
      <c r="AJ552" t="s">
        <v>258</v>
      </c>
      <c r="AK552">
        <v>10</v>
      </c>
    </row>
    <row r="553" spans="1:37" x14ac:dyDescent="0.35">
      <c r="A553">
        <v>2</v>
      </c>
      <c r="B553">
        <v>2024</v>
      </c>
      <c r="C553" t="s">
        <v>33</v>
      </c>
      <c r="D553" t="s">
        <v>34</v>
      </c>
      <c r="E553" t="s">
        <v>403</v>
      </c>
      <c r="F553" s="3" t="s">
        <v>36</v>
      </c>
      <c r="G553" s="2" t="s">
        <v>50</v>
      </c>
      <c r="H553" s="3">
        <v>51485</v>
      </c>
      <c r="I553" s="3">
        <v>2801</v>
      </c>
      <c r="J553" s="2" t="s">
        <v>408</v>
      </c>
      <c r="K553" t="s">
        <v>403</v>
      </c>
      <c r="L553" t="s">
        <v>405</v>
      </c>
      <c r="M553" t="s">
        <v>40</v>
      </c>
      <c r="O553" t="s">
        <v>34</v>
      </c>
      <c r="P553">
        <v>45342</v>
      </c>
      <c r="S553" s="6">
        <v>1380</v>
      </c>
      <c r="T553" t="s">
        <v>254</v>
      </c>
      <c r="U553">
        <v>300</v>
      </c>
      <c r="W553" s="7">
        <v>138</v>
      </c>
      <c r="AI553" t="s">
        <v>406</v>
      </c>
      <c r="AJ553" t="s">
        <v>258</v>
      </c>
      <c r="AK553">
        <v>10</v>
      </c>
    </row>
    <row r="554" spans="1:37" x14ac:dyDescent="0.35">
      <c r="A554">
        <v>2</v>
      </c>
      <c r="B554">
        <v>2024</v>
      </c>
      <c r="C554" t="s">
        <v>33</v>
      </c>
      <c r="D554" t="s">
        <v>34</v>
      </c>
      <c r="E554" t="s">
        <v>42</v>
      </c>
      <c r="F554" s="3" t="s">
        <v>36</v>
      </c>
      <c r="G554" s="2" t="s">
        <v>43</v>
      </c>
      <c r="H554" s="3">
        <v>51560</v>
      </c>
      <c r="I554" s="3">
        <v>2157</v>
      </c>
      <c r="J554" s="2" t="s">
        <v>337</v>
      </c>
      <c r="K554" t="s">
        <v>42</v>
      </c>
      <c r="L554" t="s">
        <v>267</v>
      </c>
      <c r="M554" t="s">
        <v>40</v>
      </c>
      <c r="O554" t="s">
        <v>297</v>
      </c>
      <c r="P554">
        <v>45345</v>
      </c>
      <c r="S554" s="6">
        <v>14562.74</v>
      </c>
      <c r="T554" t="s">
        <v>254</v>
      </c>
      <c r="U554">
        <v>300</v>
      </c>
      <c r="W554" s="7">
        <v>623</v>
      </c>
      <c r="AI554" t="s">
        <v>255</v>
      </c>
      <c r="AJ554" t="s">
        <v>262</v>
      </c>
      <c r="AK554">
        <v>23.375184590690207</v>
      </c>
    </row>
    <row r="555" spans="1:37" x14ac:dyDescent="0.35">
      <c r="A555">
        <v>2</v>
      </c>
      <c r="B555">
        <v>2024</v>
      </c>
      <c r="C555" t="s">
        <v>33</v>
      </c>
      <c r="D555" t="s">
        <v>34</v>
      </c>
      <c r="E555" t="s">
        <v>42</v>
      </c>
      <c r="F555" s="3" t="s">
        <v>36</v>
      </c>
      <c r="G555" s="2" t="s">
        <v>43</v>
      </c>
      <c r="H555" s="3">
        <v>51560</v>
      </c>
      <c r="I555" s="3">
        <v>2495</v>
      </c>
      <c r="J555" s="2" t="s">
        <v>384</v>
      </c>
      <c r="K555" t="s">
        <v>42</v>
      </c>
      <c r="L555" t="s">
        <v>267</v>
      </c>
      <c r="M555" t="s">
        <v>40</v>
      </c>
      <c r="O555" t="s">
        <v>297</v>
      </c>
      <c r="P555">
        <v>45345</v>
      </c>
      <c r="S555" s="6">
        <v>14374.55</v>
      </c>
      <c r="T555" t="s">
        <v>254</v>
      </c>
      <c r="U555">
        <v>470</v>
      </c>
      <c r="W555" s="7">
        <v>513</v>
      </c>
      <c r="AI555" t="s">
        <v>255</v>
      </c>
      <c r="AJ555" t="s">
        <v>262</v>
      </c>
      <c r="AK555">
        <v>28.020565302144249</v>
      </c>
    </row>
    <row r="556" spans="1:37" x14ac:dyDescent="0.35">
      <c r="A556">
        <v>2</v>
      </c>
      <c r="B556">
        <v>2024</v>
      </c>
      <c r="C556" t="s">
        <v>33</v>
      </c>
      <c r="D556" t="s">
        <v>34</v>
      </c>
      <c r="E556" t="s">
        <v>42</v>
      </c>
      <c r="F556" s="3" t="s">
        <v>36</v>
      </c>
      <c r="G556" s="2" t="s">
        <v>43</v>
      </c>
      <c r="H556" s="3">
        <v>51560</v>
      </c>
      <c r="I556" s="3">
        <v>2054</v>
      </c>
      <c r="J556" s="2" t="s">
        <v>330</v>
      </c>
      <c r="K556" t="s">
        <v>42</v>
      </c>
      <c r="L556" t="s">
        <v>267</v>
      </c>
      <c r="M556" t="s">
        <v>40</v>
      </c>
      <c r="O556" t="s">
        <v>297</v>
      </c>
      <c r="P556">
        <v>45345</v>
      </c>
      <c r="S556" s="6">
        <v>11892.19</v>
      </c>
      <c r="T556" t="s">
        <v>254</v>
      </c>
      <c r="U556">
        <v>280</v>
      </c>
      <c r="W556" s="7">
        <v>752</v>
      </c>
      <c r="AI556" t="s">
        <v>255</v>
      </c>
      <c r="AJ556" t="s">
        <v>262</v>
      </c>
      <c r="AK556">
        <v>15.814082446808511</v>
      </c>
    </row>
    <row r="557" spans="1:37" x14ac:dyDescent="0.35">
      <c r="A557">
        <v>2</v>
      </c>
      <c r="B557">
        <v>2024</v>
      </c>
      <c r="C557" t="s">
        <v>33</v>
      </c>
      <c r="D557" t="s">
        <v>34</v>
      </c>
      <c r="E557" t="s">
        <v>42</v>
      </c>
      <c r="F557" s="3" t="s">
        <v>36</v>
      </c>
      <c r="G557" s="2" t="s">
        <v>43</v>
      </c>
      <c r="H557" s="3">
        <v>51560</v>
      </c>
      <c r="I557" s="3">
        <v>1525</v>
      </c>
      <c r="J557" s="2" t="s">
        <v>283</v>
      </c>
      <c r="K557" t="s">
        <v>42</v>
      </c>
      <c r="L557" t="s">
        <v>267</v>
      </c>
      <c r="M557" t="s">
        <v>40</v>
      </c>
      <c r="O557" t="s">
        <v>297</v>
      </c>
      <c r="P557">
        <v>45345</v>
      </c>
      <c r="S557" s="6">
        <v>22729.77</v>
      </c>
      <c r="T557" t="s">
        <v>254</v>
      </c>
      <c r="U557">
        <v>320</v>
      </c>
      <c r="W557" s="7">
        <v>1220</v>
      </c>
      <c r="AI557" t="s">
        <v>255</v>
      </c>
      <c r="AJ557" t="s">
        <v>262</v>
      </c>
      <c r="AK557">
        <v>18.630959016393444</v>
      </c>
    </row>
    <row r="558" spans="1:37" x14ac:dyDescent="0.35">
      <c r="A558">
        <v>2</v>
      </c>
      <c r="B558">
        <v>2024</v>
      </c>
      <c r="C558" t="s">
        <v>33</v>
      </c>
      <c r="D558" t="s">
        <v>34</v>
      </c>
      <c r="E558" t="s">
        <v>42</v>
      </c>
      <c r="F558" s="3" t="s">
        <v>36</v>
      </c>
      <c r="G558" s="2" t="s">
        <v>43</v>
      </c>
      <c r="H558" s="3">
        <v>51560</v>
      </c>
      <c r="I558" s="3">
        <v>2496</v>
      </c>
      <c r="J558" s="2" t="s">
        <v>385</v>
      </c>
      <c r="K558" t="s">
        <v>42</v>
      </c>
      <c r="L558" t="s">
        <v>267</v>
      </c>
      <c r="M558" t="s">
        <v>40</v>
      </c>
      <c r="O558" t="s">
        <v>297</v>
      </c>
      <c r="P558">
        <v>45345</v>
      </c>
      <c r="S558" s="6">
        <v>6766.45</v>
      </c>
      <c r="T558" t="s">
        <v>254</v>
      </c>
      <c r="U558">
        <v>310</v>
      </c>
      <c r="W558" s="7">
        <v>326</v>
      </c>
      <c r="AI558" t="s">
        <v>255</v>
      </c>
      <c r="AJ558" t="s">
        <v>262</v>
      </c>
      <c r="AK558">
        <v>20.755981595092024</v>
      </c>
    </row>
    <row r="559" spans="1:37" x14ac:dyDescent="0.35">
      <c r="A559">
        <v>2</v>
      </c>
      <c r="B559">
        <v>2024</v>
      </c>
      <c r="C559" t="s">
        <v>33</v>
      </c>
      <c r="D559" t="s">
        <v>34</v>
      </c>
      <c r="E559" t="s">
        <v>42</v>
      </c>
      <c r="F559" s="3" t="s">
        <v>36</v>
      </c>
      <c r="G559" s="2" t="s">
        <v>43</v>
      </c>
      <c r="H559" s="3">
        <v>51560</v>
      </c>
      <c r="I559" s="3">
        <v>2790</v>
      </c>
      <c r="J559" s="2" t="s">
        <v>409</v>
      </c>
      <c r="K559" t="s">
        <v>42</v>
      </c>
      <c r="L559" t="s">
        <v>267</v>
      </c>
      <c r="M559" t="s">
        <v>40</v>
      </c>
      <c r="O559" t="s">
        <v>297</v>
      </c>
      <c r="P559">
        <v>45345</v>
      </c>
      <c r="S559" s="6">
        <v>20685.41</v>
      </c>
      <c r="T559" t="s">
        <v>254</v>
      </c>
      <c r="U559">
        <v>220</v>
      </c>
      <c r="W559" s="7">
        <v>1359</v>
      </c>
      <c r="AI559" t="s">
        <v>255</v>
      </c>
      <c r="AJ559" t="s">
        <v>262</v>
      </c>
      <c r="AK559">
        <v>15.221052244297278</v>
      </c>
    </row>
    <row r="560" spans="1:37" x14ac:dyDescent="0.35">
      <c r="A560">
        <v>2</v>
      </c>
      <c r="B560">
        <v>2024</v>
      </c>
      <c r="C560" t="s">
        <v>33</v>
      </c>
      <c r="D560" t="s">
        <v>34</v>
      </c>
      <c r="E560" t="s">
        <v>42</v>
      </c>
      <c r="F560" s="3" t="s">
        <v>36</v>
      </c>
      <c r="G560" s="2" t="s">
        <v>43</v>
      </c>
      <c r="H560" s="3">
        <v>51560</v>
      </c>
      <c r="I560" s="3">
        <v>1225</v>
      </c>
      <c r="J560" s="2" t="s">
        <v>292</v>
      </c>
      <c r="K560" t="s">
        <v>42</v>
      </c>
      <c r="L560" t="s">
        <v>267</v>
      </c>
      <c r="M560" t="s">
        <v>40</v>
      </c>
      <c r="O560" t="s">
        <v>297</v>
      </c>
      <c r="P560">
        <v>45345</v>
      </c>
      <c r="S560" s="6">
        <v>59954.95</v>
      </c>
      <c r="T560" t="s">
        <v>254</v>
      </c>
      <c r="U560">
        <v>240</v>
      </c>
      <c r="W560" s="7">
        <v>4098.6360000000004</v>
      </c>
      <c r="AI560" t="s">
        <v>255</v>
      </c>
      <c r="AJ560" t="s">
        <v>262</v>
      </c>
      <c r="AK560">
        <v>14.628025030766331</v>
      </c>
    </row>
    <row r="561" spans="1:37" x14ac:dyDescent="0.35">
      <c r="A561">
        <v>2</v>
      </c>
      <c r="B561">
        <v>2024</v>
      </c>
      <c r="C561" t="s">
        <v>33</v>
      </c>
      <c r="D561" t="s">
        <v>34</v>
      </c>
      <c r="E561" t="s">
        <v>42</v>
      </c>
      <c r="F561" s="3" t="s">
        <v>36</v>
      </c>
      <c r="G561" s="2" t="s">
        <v>43</v>
      </c>
      <c r="H561" s="3">
        <v>51560</v>
      </c>
      <c r="I561" s="3">
        <v>1523</v>
      </c>
      <c r="J561" s="2" t="s">
        <v>282</v>
      </c>
      <c r="K561" t="s">
        <v>42</v>
      </c>
      <c r="L561" t="s">
        <v>267</v>
      </c>
      <c r="M561" t="s">
        <v>40</v>
      </c>
      <c r="O561" t="s">
        <v>297</v>
      </c>
      <c r="P561">
        <v>45345</v>
      </c>
      <c r="S561" s="6">
        <v>7472.15</v>
      </c>
      <c r="T561" t="s">
        <v>254</v>
      </c>
      <c r="W561" s="7">
        <v>1050</v>
      </c>
      <c r="AI561" t="s">
        <v>255</v>
      </c>
      <c r="AJ561" t="s">
        <v>262</v>
      </c>
      <c r="AK561">
        <v>7.1163333333333334</v>
      </c>
    </row>
    <row r="562" spans="1:37" x14ac:dyDescent="0.35">
      <c r="A562">
        <v>2</v>
      </c>
      <c r="B562">
        <v>2024</v>
      </c>
      <c r="C562" t="s">
        <v>33</v>
      </c>
      <c r="D562" t="s">
        <v>34</v>
      </c>
      <c r="E562" t="s">
        <v>42</v>
      </c>
      <c r="F562" s="3" t="s">
        <v>36</v>
      </c>
      <c r="G562" s="2" t="s">
        <v>43</v>
      </c>
      <c r="H562" s="3">
        <v>51560</v>
      </c>
      <c r="I562" s="3">
        <v>1506</v>
      </c>
      <c r="J562" s="2" t="s">
        <v>253</v>
      </c>
      <c r="K562" t="s">
        <v>42</v>
      </c>
      <c r="L562" t="s">
        <v>267</v>
      </c>
      <c r="M562" t="s">
        <v>40</v>
      </c>
      <c r="O562" t="s">
        <v>297</v>
      </c>
      <c r="P562">
        <v>45345</v>
      </c>
      <c r="S562" s="6">
        <v>53982.84</v>
      </c>
      <c r="T562" t="s">
        <v>254</v>
      </c>
      <c r="U562">
        <v>280</v>
      </c>
      <c r="W562" s="7">
        <v>3121</v>
      </c>
      <c r="AI562" t="s">
        <v>255</v>
      </c>
      <c r="AJ562" t="s">
        <v>262</v>
      </c>
      <c r="AK562">
        <v>17.296648510092918</v>
      </c>
    </row>
    <row r="563" spans="1:37" x14ac:dyDescent="0.35">
      <c r="A563">
        <v>2</v>
      </c>
      <c r="B563">
        <v>2024</v>
      </c>
      <c r="C563" t="s">
        <v>33</v>
      </c>
      <c r="D563" t="s">
        <v>34</v>
      </c>
      <c r="E563" t="s">
        <v>42</v>
      </c>
      <c r="F563" s="3" t="s">
        <v>36</v>
      </c>
      <c r="G563" s="2" t="s">
        <v>43</v>
      </c>
      <c r="H563" s="3">
        <v>51560</v>
      </c>
      <c r="I563" s="3">
        <v>1504</v>
      </c>
      <c r="J563" s="2" t="s">
        <v>263</v>
      </c>
      <c r="K563" t="s">
        <v>42</v>
      </c>
      <c r="L563" t="s">
        <v>267</v>
      </c>
      <c r="M563" t="s">
        <v>40</v>
      </c>
      <c r="O563" t="s">
        <v>297</v>
      </c>
      <c r="P563">
        <v>45345</v>
      </c>
      <c r="S563" s="6">
        <v>52803.71</v>
      </c>
      <c r="T563" t="s">
        <v>254</v>
      </c>
      <c r="U563">
        <v>240</v>
      </c>
      <c r="W563" s="7">
        <v>3622</v>
      </c>
      <c r="AI563" t="s">
        <v>255</v>
      </c>
      <c r="AJ563" t="s">
        <v>262</v>
      </c>
      <c r="AK563">
        <v>14.5786057426836</v>
      </c>
    </row>
    <row r="564" spans="1:37" x14ac:dyDescent="0.35">
      <c r="A564">
        <v>2</v>
      </c>
      <c r="B564">
        <v>2024</v>
      </c>
      <c r="C564" t="s">
        <v>33</v>
      </c>
      <c r="D564" t="s">
        <v>34</v>
      </c>
      <c r="E564" t="s">
        <v>42</v>
      </c>
      <c r="F564" s="3" t="s">
        <v>36</v>
      </c>
      <c r="G564" s="2" t="s">
        <v>43</v>
      </c>
      <c r="H564" s="3">
        <v>51560</v>
      </c>
      <c r="I564" s="3">
        <v>1504</v>
      </c>
      <c r="J564" s="2" t="s">
        <v>263</v>
      </c>
      <c r="K564" t="s">
        <v>42</v>
      </c>
      <c r="L564" t="s">
        <v>267</v>
      </c>
      <c r="M564" t="s">
        <v>40</v>
      </c>
      <c r="O564" t="s">
        <v>297</v>
      </c>
      <c r="P564">
        <v>45345</v>
      </c>
      <c r="S564" s="6">
        <v>17523.48</v>
      </c>
      <c r="T564" t="s">
        <v>254</v>
      </c>
      <c r="U564">
        <v>240</v>
      </c>
      <c r="W564" s="7">
        <v>1202</v>
      </c>
      <c r="AI564" t="s">
        <v>255</v>
      </c>
      <c r="AJ564" t="s">
        <v>262</v>
      </c>
      <c r="AK564">
        <v>14.578602329450915</v>
      </c>
    </row>
    <row r="565" spans="1:37" x14ac:dyDescent="0.35">
      <c r="A565">
        <v>2</v>
      </c>
      <c r="B565">
        <v>2024</v>
      </c>
      <c r="C565" t="s">
        <v>33</v>
      </c>
      <c r="D565" t="s">
        <v>34</v>
      </c>
      <c r="E565" t="s">
        <v>42</v>
      </c>
      <c r="F565" s="3" t="s">
        <v>36</v>
      </c>
      <c r="G565" s="2" t="s">
        <v>43</v>
      </c>
      <c r="H565" s="3">
        <v>51560</v>
      </c>
      <c r="I565" s="3">
        <v>1236</v>
      </c>
      <c r="J565" s="2" t="s">
        <v>264</v>
      </c>
      <c r="K565" t="s">
        <v>42</v>
      </c>
      <c r="L565" t="s">
        <v>267</v>
      </c>
      <c r="M565" t="s">
        <v>40</v>
      </c>
      <c r="O565" t="s">
        <v>297</v>
      </c>
      <c r="P565">
        <v>45345</v>
      </c>
      <c r="S565" s="6">
        <v>18247.97</v>
      </c>
      <c r="T565" t="s">
        <v>254</v>
      </c>
      <c r="U565">
        <v>240</v>
      </c>
      <c r="W565" s="7">
        <v>1055</v>
      </c>
      <c r="AI565" t="s">
        <v>255</v>
      </c>
      <c r="AJ565" t="s">
        <v>262</v>
      </c>
      <c r="AK565">
        <v>17.29665402843602</v>
      </c>
    </row>
    <row r="566" spans="1:37" x14ac:dyDescent="0.35">
      <c r="A566">
        <v>2</v>
      </c>
      <c r="B566">
        <v>2024</v>
      </c>
      <c r="C566" t="s">
        <v>33</v>
      </c>
      <c r="D566" t="s">
        <v>34</v>
      </c>
      <c r="E566" t="s">
        <v>42</v>
      </c>
      <c r="F566" s="3" t="s">
        <v>36</v>
      </c>
      <c r="G566" s="2" t="s">
        <v>43</v>
      </c>
      <c r="H566" s="3">
        <v>51560</v>
      </c>
      <c r="I566" s="3">
        <v>1226</v>
      </c>
      <c r="J566" s="2" t="s">
        <v>266</v>
      </c>
      <c r="K566" t="s">
        <v>42</v>
      </c>
      <c r="L566" t="s">
        <v>267</v>
      </c>
      <c r="M566" t="s">
        <v>40</v>
      </c>
      <c r="O566" t="s">
        <v>297</v>
      </c>
      <c r="P566">
        <v>45345</v>
      </c>
      <c r="S566" s="6">
        <v>10733.81</v>
      </c>
      <c r="T566" t="s">
        <v>254</v>
      </c>
      <c r="U566">
        <v>260</v>
      </c>
      <c r="W566" s="7">
        <v>724</v>
      </c>
      <c r="AI566" t="s">
        <v>255</v>
      </c>
      <c r="AJ566" t="s">
        <v>262</v>
      </c>
      <c r="AK566">
        <v>14.825704419889503</v>
      </c>
    </row>
    <row r="567" spans="1:37" x14ac:dyDescent="0.35">
      <c r="A567">
        <v>2</v>
      </c>
      <c r="B567">
        <v>2024</v>
      </c>
      <c r="C567" t="s">
        <v>33</v>
      </c>
      <c r="D567" t="s">
        <v>34</v>
      </c>
      <c r="E567" t="s">
        <v>42</v>
      </c>
      <c r="F567" s="3" t="s">
        <v>36</v>
      </c>
      <c r="G567" s="2" t="s">
        <v>43</v>
      </c>
      <c r="H567" s="3">
        <v>51607</v>
      </c>
      <c r="I567" s="3">
        <v>2790</v>
      </c>
      <c r="J567" s="2" t="s">
        <v>409</v>
      </c>
      <c r="K567" t="s">
        <v>42</v>
      </c>
      <c r="L567" t="s">
        <v>267</v>
      </c>
      <c r="M567" t="s">
        <v>40</v>
      </c>
      <c r="O567" t="s">
        <v>297</v>
      </c>
      <c r="P567">
        <v>45348</v>
      </c>
      <c r="S567" s="6">
        <v>20866.23</v>
      </c>
      <c r="T567" t="s">
        <v>254</v>
      </c>
      <c r="U567">
        <v>220</v>
      </c>
      <c r="W567" s="7">
        <v>1359</v>
      </c>
      <c r="AI567" t="s">
        <v>255</v>
      </c>
      <c r="AJ567" t="s">
        <v>262</v>
      </c>
      <c r="AK567">
        <v>15.354105960264901</v>
      </c>
    </row>
    <row r="568" spans="1:37" x14ac:dyDescent="0.35">
      <c r="A568">
        <v>2</v>
      </c>
      <c r="B568">
        <v>2024</v>
      </c>
      <c r="C568" t="s">
        <v>33</v>
      </c>
      <c r="D568" t="s">
        <v>34</v>
      </c>
      <c r="E568" t="s">
        <v>42</v>
      </c>
      <c r="F568" s="3" t="s">
        <v>36</v>
      </c>
      <c r="G568" s="2" t="s">
        <v>43</v>
      </c>
      <c r="H568" s="3">
        <v>51607</v>
      </c>
      <c r="I568" s="3">
        <v>2496</v>
      </c>
      <c r="J568" s="2" t="s">
        <v>385</v>
      </c>
      <c r="K568" t="s">
        <v>42</v>
      </c>
      <c r="L568" t="s">
        <v>267</v>
      </c>
      <c r="M568" t="s">
        <v>40</v>
      </c>
      <c r="O568" t="s">
        <v>297</v>
      </c>
      <c r="P568">
        <v>45348</v>
      </c>
      <c r="S568" s="6">
        <v>6825.6</v>
      </c>
      <c r="T568" t="s">
        <v>254</v>
      </c>
      <c r="U568">
        <v>310</v>
      </c>
      <c r="W568" s="7">
        <v>326</v>
      </c>
      <c r="AI568" t="s">
        <v>255</v>
      </c>
      <c r="AJ568" t="s">
        <v>262</v>
      </c>
      <c r="AK568">
        <v>20.937423312883435</v>
      </c>
    </row>
    <row r="569" spans="1:37" x14ac:dyDescent="0.35">
      <c r="A569">
        <v>2</v>
      </c>
      <c r="B569">
        <v>2024</v>
      </c>
      <c r="C569" t="s">
        <v>33</v>
      </c>
      <c r="D569" t="s">
        <v>34</v>
      </c>
      <c r="E569" t="s">
        <v>42</v>
      </c>
      <c r="F569" s="3" t="s">
        <v>36</v>
      </c>
      <c r="G569" s="2" t="s">
        <v>43</v>
      </c>
      <c r="H569" s="3">
        <v>51607</v>
      </c>
      <c r="I569" s="3">
        <v>2495</v>
      </c>
      <c r="J569" s="2" t="s">
        <v>384</v>
      </c>
      <c r="K569" t="s">
        <v>42</v>
      </c>
      <c r="L569" t="s">
        <v>267</v>
      </c>
      <c r="M569" t="s">
        <v>40</v>
      </c>
      <c r="O569" t="s">
        <v>297</v>
      </c>
      <c r="P569">
        <v>45348</v>
      </c>
      <c r="S569" s="6">
        <v>14500.21</v>
      </c>
      <c r="T569" t="s">
        <v>254</v>
      </c>
      <c r="U569">
        <v>470</v>
      </c>
      <c r="W569" s="7">
        <v>513</v>
      </c>
      <c r="AI569" t="s">
        <v>255</v>
      </c>
      <c r="AJ569" t="s">
        <v>262</v>
      </c>
      <c r="AK569">
        <v>28.265516569200777</v>
      </c>
    </row>
    <row r="570" spans="1:37" x14ac:dyDescent="0.35">
      <c r="A570">
        <v>2</v>
      </c>
      <c r="B570">
        <v>2024</v>
      </c>
      <c r="C570" t="s">
        <v>33</v>
      </c>
      <c r="D570" t="s">
        <v>34</v>
      </c>
      <c r="E570" t="s">
        <v>42</v>
      </c>
      <c r="F570" s="3" t="s">
        <v>36</v>
      </c>
      <c r="G570" s="2" t="s">
        <v>43</v>
      </c>
      <c r="H570" s="3">
        <v>51607</v>
      </c>
      <c r="I570" s="3">
        <v>2157</v>
      </c>
      <c r="J570" s="2" t="s">
        <v>337</v>
      </c>
      <c r="K570" t="s">
        <v>42</v>
      </c>
      <c r="L570" t="s">
        <v>267</v>
      </c>
      <c r="M570" t="s">
        <v>40</v>
      </c>
      <c r="O570" t="s">
        <v>297</v>
      </c>
      <c r="P570">
        <v>45348</v>
      </c>
      <c r="S570" s="6">
        <v>14690.04</v>
      </c>
      <c r="T570" t="s">
        <v>254</v>
      </c>
      <c r="U570">
        <v>300</v>
      </c>
      <c r="W570" s="7">
        <v>623</v>
      </c>
      <c r="AI570" t="s">
        <v>255</v>
      </c>
      <c r="AJ570" t="s">
        <v>262</v>
      </c>
      <c r="AK570">
        <v>23.579518459069021</v>
      </c>
    </row>
    <row r="571" spans="1:37" x14ac:dyDescent="0.35">
      <c r="A571">
        <v>2</v>
      </c>
      <c r="B571">
        <v>2024</v>
      </c>
      <c r="C571" t="s">
        <v>33</v>
      </c>
      <c r="D571" t="s">
        <v>34</v>
      </c>
      <c r="E571" t="s">
        <v>42</v>
      </c>
      <c r="F571" s="3" t="s">
        <v>36</v>
      </c>
      <c r="G571" s="2" t="s">
        <v>43</v>
      </c>
      <c r="H571" s="3">
        <v>51607</v>
      </c>
      <c r="I571" s="3">
        <v>2054</v>
      </c>
      <c r="J571" s="2" t="s">
        <v>330</v>
      </c>
      <c r="K571" t="s">
        <v>42</v>
      </c>
      <c r="L571" t="s">
        <v>267</v>
      </c>
      <c r="M571" t="s">
        <v>40</v>
      </c>
      <c r="O571" t="s">
        <v>297</v>
      </c>
      <c r="P571">
        <v>45348</v>
      </c>
      <c r="S571" s="6">
        <v>11996.14</v>
      </c>
      <c r="T571" t="s">
        <v>254</v>
      </c>
      <c r="U571">
        <v>280</v>
      </c>
      <c r="W571" s="7">
        <v>752</v>
      </c>
      <c r="AI571" t="s">
        <v>255</v>
      </c>
      <c r="AJ571" t="s">
        <v>262</v>
      </c>
      <c r="AK571">
        <v>15.952313829787233</v>
      </c>
    </row>
    <row r="572" spans="1:37" x14ac:dyDescent="0.35">
      <c r="A572">
        <v>2</v>
      </c>
      <c r="B572">
        <v>2024</v>
      </c>
      <c r="C572" t="s">
        <v>33</v>
      </c>
      <c r="D572" t="s">
        <v>34</v>
      </c>
      <c r="E572" t="s">
        <v>42</v>
      </c>
      <c r="F572" s="3" t="s">
        <v>36</v>
      </c>
      <c r="G572" s="2" t="s">
        <v>43</v>
      </c>
      <c r="H572" s="3">
        <v>51607</v>
      </c>
      <c r="I572" s="3">
        <v>1525</v>
      </c>
      <c r="J572" s="2" t="s">
        <v>283</v>
      </c>
      <c r="K572" t="s">
        <v>42</v>
      </c>
      <c r="L572" t="s">
        <v>267</v>
      </c>
      <c r="M572" t="s">
        <v>40</v>
      </c>
      <c r="O572" t="s">
        <v>297</v>
      </c>
      <c r="P572">
        <v>45348</v>
      </c>
      <c r="S572" s="6">
        <v>22928.47</v>
      </c>
      <c r="T572" t="s">
        <v>254</v>
      </c>
      <c r="U572">
        <v>320</v>
      </c>
      <c r="W572" s="7">
        <v>1220</v>
      </c>
      <c r="AI572" t="s">
        <v>255</v>
      </c>
      <c r="AJ572" t="s">
        <v>262</v>
      </c>
      <c r="AK572">
        <v>18.79382786885246</v>
      </c>
    </row>
    <row r="573" spans="1:37" x14ac:dyDescent="0.35">
      <c r="A573">
        <v>2</v>
      </c>
      <c r="B573">
        <v>2024</v>
      </c>
      <c r="C573" t="s">
        <v>33</v>
      </c>
      <c r="D573" t="s">
        <v>34</v>
      </c>
      <c r="E573" t="s">
        <v>42</v>
      </c>
      <c r="F573" s="3" t="s">
        <v>36</v>
      </c>
      <c r="G573" s="2" t="s">
        <v>43</v>
      </c>
      <c r="H573" s="3">
        <v>51607</v>
      </c>
      <c r="I573" s="3">
        <v>1523</v>
      </c>
      <c r="J573" s="2" t="s">
        <v>282</v>
      </c>
      <c r="K573" t="s">
        <v>42</v>
      </c>
      <c r="L573" t="s">
        <v>267</v>
      </c>
      <c r="M573" t="s">
        <v>40</v>
      </c>
      <c r="O573" t="s">
        <v>297</v>
      </c>
      <c r="P573">
        <v>45348</v>
      </c>
      <c r="S573" s="6">
        <v>7537.47</v>
      </c>
      <c r="T573" t="s">
        <v>254</v>
      </c>
      <c r="W573" s="7">
        <v>1050</v>
      </c>
      <c r="AI573" t="s">
        <v>255</v>
      </c>
      <c r="AJ573" t="s">
        <v>262</v>
      </c>
      <c r="AK573">
        <v>7.1785428571428573</v>
      </c>
    </row>
    <row r="574" spans="1:37" x14ac:dyDescent="0.35">
      <c r="A574">
        <v>2</v>
      </c>
      <c r="B574">
        <v>2024</v>
      </c>
      <c r="C574" t="s">
        <v>33</v>
      </c>
      <c r="D574" t="s">
        <v>34</v>
      </c>
      <c r="E574" t="s">
        <v>42</v>
      </c>
      <c r="F574" s="3" t="s">
        <v>36</v>
      </c>
      <c r="G574" s="2" t="s">
        <v>43</v>
      </c>
      <c r="H574" s="3">
        <v>51607</v>
      </c>
      <c r="I574" s="3">
        <v>1506</v>
      </c>
      <c r="J574" s="2" t="s">
        <v>253</v>
      </c>
      <c r="K574" t="s">
        <v>42</v>
      </c>
      <c r="L574" t="s">
        <v>267</v>
      </c>
      <c r="M574" t="s">
        <v>40</v>
      </c>
      <c r="O574" t="s">
        <v>297</v>
      </c>
      <c r="P574">
        <v>45348</v>
      </c>
      <c r="S574" s="6">
        <v>54454.74</v>
      </c>
      <c r="T574" t="s">
        <v>254</v>
      </c>
      <c r="U574">
        <v>280</v>
      </c>
      <c r="W574" s="7">
        <v>3121</v>
      </c>
      <c r="AI574" t="s">
        <v>255</v>
      </c>
      <c r="AJ574" t="s">
        <v>262</v>
      </c>
      <c r="AK574">
        <v>17.447850048061518</v>
      </c>
    </row>
    <row r="575" spans="1:37" x14ac:dyDescent="0.35">
      <c r="A575">
        <v>2</v>
      </c>
      <c r="B575">
        <v>2024</v>
      </c>
      <c r="C575" t="s">
        <v>33</v>
      </c>
      <c r="D575" t="s">
        <v>34</v>
      </c>
      <c r="E575" t="s">
        <v>42</v>
      </c>
      <c r="F575" s="3" t="s">
        <v>36</v>
      </c>
      <c r="G575" s="2" t="s">
        <v>43</v>
      </c>
      <c r="H575" s="3">
        <v>51607</v>
      </c>
      <c r="I575" s="3">
        <v>1504</v>
      </c>
      <c r="J575" s="2" t="s">
        <v>263</v>
      </c>
      <c r="K575" t="s">
        <v>42</v>
      </c>
      <c r="L575" t="s">
        <v>267</v>
      </c>
      <c r="M575" t="s">
        <v>40</v>
      </c>
      <c r="O575" t="s">
        <v>297</v>
      </c>
      <c r="P575">
        <v>45348</v>
      </c>
      <c r="S575" s="6">
        <v>71182.44</v>
      </c>
      <c r="T575" t="s">
        <v>254</v>
      </c>
      <c r="U575">
        <v>240</v>
      </c>
      <c r="W575" s="7">
        <v>4824</v>
      </c>
      <c r="AI575" t="s">
        <v>255</v>
      </c>
      <c r="AJ575" t="s">
        <v>262</v>
      </c>
      <c r="AK575">
        <v>14.755895522388061</v>
      </c>
    </row>
    <row r="576" spans="1:37" x14ac:dyDescent="0.35">
      <c r="A576">
        <v>2</v>
      </c>
      <c r="B576">
        <v>2024</v>
      </c>
      <c r="C576" t="s">
        <v>33</v>
      </c>
      <c r="D576" t="s">
        <v>34</v>
      </c>
      <c r="E576" t="s">
        <v>42</v>
      </c>
      <c r="F576" s="3" t="s">
        <v>36</v>
      </c>
      <c r="G576" s="2" t="s">
        <v>43</v>
      </c>
      <c r="H576" s="3">
        <v>51607</v>
      </c>
      <c r="I576" s="3">
        <v>1236</v>
      </c>
      <c r="J576" s="2" t="s">
        <v>264</v>
      </c>
      <c r="K576" t="s">
        <v>42</v>
      </c>
      <c r="L576" t="s">
        <v>267</v>
      </c>
      <c r="M576" t="s">
        <v>40</v>
      </c>
      <c r="O576" t="s">
        <v>297</v>
      </c>
      <c r="P576">
        <v>45348</v>
      </c>
      <c r="S576" s="6">
        <v>18407.48</v>
      </c>
      <c r="T576" t="s">
        <v>254</v>
      </c>
      <c r="U576">
        <v>240</v>
      </c>
      <c r="W576" s="7">
        <v>1055</v>
      </c>
      <c r="AI576" t="s">
        <v>255</v>
      </c>
      <c r="AJ576" t="s">
        <v>262</v>
      </c>
      <c r="AK576">
        <v>17.447848341232227</v>
      </c>
    </row>
    <row r="577" spans="1:37" x14ac:dyDescent="0.35">
      <c r="A577">
        <v>2</v>
      </c>
      <c r="B577">
        <v>2024</v>
      </c>
      <c r="C577" t="s">
        <v>33</v>
      </c>
      <c r="D577" t="s">
        <v>34</v>
      </c>
      <c r="E577" t="s">
        <v>42</v>
      </c>
      <c r="F577" s="3" t="s">
        <v>36</v>
      </c>
      <c r="G577" s="2" t="s">
        <v>43</v>
      </c>
      <c r="H577" s="3">
        <v>51607</v>
      </c>
      <c r="I577" s="3">
        <v>1226</v>
      </c>
      <c r="J577" s="2" t="s">
        <v>266</v>
      </c>
      <c r="K577" t="s">
        <v>42</v>
      </c>
      <c r="L577" t="s">
        <v>267</v>
      </c>
      <c r="M577" t="s">
        <v>40</v>
      </c>
      <c r="O577" t="s">
        <v>297</v>
      </c>
      <c r="P577">
        <v>45348</v>
      </c>
      <c r="S577" s="6">
        <v>10827.64</v>
      </c>
      <c r="T577" t="s">
        <v>254</v>
      </c>
      <c r="U577">
        <v>260</v>
      </c>
      <c r="W577" s="7">
        <v>724</v>
      </c>
      <c r="AI577" t="s">
        <v>255</v>
      </c>
      <c r="AJ577" t="s">
        <v>262</v>
      </c>
      <c r="AK577">
        <v>14.955303867403314</v>
      </c>
    </row>
    <row r="578" spans="1:37" x14ac:dyDescent="0.35">
      <c r="A578">
        <v>2</v>
      </c>
      <c r="B578">
        <v>2024</v>
      </c>
      <c r="C578" t="s">
        <v>33</v>
      </c>
      <c r="D578" t="s">
        <v>34</v>
      </c>
      <c r="E578" t="s">
        <v>42</v>
      </c>
      <c r="F578" s="3" t="s">
        <v>36</v>
      </c>
      <c r="G578" s="2" t="s">
        <v>43</v>
      </c>
      <c r="H578" s="3">
        <v>51607</v>
      </c>
      <c r="I578" s="3">
        <v>1225</v>
      </c>
      <c r="J578" s="2" t="s">
        <v>292</v>
      </c>
      <c r="K578" t="s">
        <v>42</v>
      </c>
      <c r="L578" t="s">
        <v>267</v>
      </c>
      <c r="M578" t="s">
        <v>40</v>
      </c>
      <c r="O578" t="s">
        <v>297</v>
      </c>
      <c r="P578">
        <v>45348</v>
      </c>
      <c r="S578" s="6">
        <v>60479.05</v>
      </c>
      <c r="T578" t="s">
        <v>254</v>
      </c>
      <c r="U578">
        <v>240</v>
      </c>
      <c r="W578" s="7">
        <v>4098.6360000000004</v>
      </c>
      <c r="AI578" t="s">
        <v>255</v>
      </c>
      <c r="AJ578" t="s">
        <v>262</v>
      </c>
      <c r="AK578">
        <v>14.755896839826713</v>
      </c>
    </row>
    <row r="579" spans="1:37" x14ac:dyDescent="0.35">
      <c r="A579">
        <v>2</v>
      </c>
      <c r="B579">
        <v>2024</v>
      </c>
      <c r="C579" t="s">
        <v>33</v>
      </c>
      <c r="D579" t="s">
        <v>34</v>
      </c>
      <c r="E579" t="s">
        <v>42</v>
      </c>
      <c r="F579" s="3" t="s">
        <v>36</v>
      </c>
      <c r="G579" s="2" t="s">
        <v>43</v>
      </c>
      <c r="H579" s="3">
        <v>51591</v>
      </c>
      <c r="I579" s="3">
        <v>2157</v>
      </c>
      <c r="J579" s="2" t="s">
        <v>337</v>
      </c>
      <c r="K579" t="s">
        <v>42</v>
      </c>
      <c r="L579" t="s">
        <v>267</v>
      </c>
      <c r="M579" t="s">
        <v>40</v>
      </c>
      <c r="O579" t="s">
        <v>297</v>
      </c>
      <c r="P579">
        <v>45345</v>
      </c>
      <c r="Q579">
        <v>14562.74</v>
      </c>
      <c r="R579" t="s">
        <v>254</v>
      </c>
      <c r="S579" s="6">
        <v>-14562.74</v>
      </c>
      <c r="T579" t="s">
        <v>254</v>
      </c>
      <c r="U579">
        <v>300</v>
      </c>
      <c r="W579" s="7">
        <v>-623</v>
      </c>
      <c r="AI579" t="s">
        <v>255</v>
      </c>
      <c r="AJ579" t="s">
        <v>262</v>
      </c>
      <c r="AK579">
        <v>23.375184590690207</v>
      </c>
    </row>
    <row r="580" spans="1:37" x14ac:dyDescent="0.35">
      <c r="A580">
        <v>2</v>
      </c>
      <c r="B580">
        <v>2024</v>
      </c>
      <c r="C580" t="s">
        <v>33</v>
      </c>
      <c r="D580" t="s">
        <v>34</v>
      </c>
      <c r="E580" t="s">
        <v>42</v>
      </c>
      <c r="F580" s="3" t="s">
        <v>36</v>
      </c>
      <c r="G580" s="2" t="s">
        <v>43</v>
      </c>
      <c r="H580" s="3">
        <v>51591</v>
      </c>
      <c r="I580" s="3">
        <v>2495</v>
      </c>
      <c r="J580" s="2" t="s">
        <v>384</v>
      </c>
      <c r="K580" t="s">
        <v>42</v>
      </c>
      <c r="L580" t="s">
        <v>267</v>
      </c>
      <c r="M580" t="s">
        <v>40</v>
      </c>
      <c r="O580" t="s">
        <v>297</v>
      </c>
      <c r="P580">
        <v>45345</v>
      </c>
      <c r="Q580">
        <v>14374.55</v>
      </c>
      <c r="R580" t="s">
        <v>254</v>
      </c>
      <c r="S580" s="6">
        <v>-14374.55</v>
      </c>
      <c r="T580" t="s">
        <v>254</v>
      </c>
      <c r="U580">
        <v>470</v>
      </c>
      <c r="W580" s="7">
        <v>-513</v>
      </c>
      <c r="AI580" t="s">
        <v>255</v>
      </c>
      <c r="AJ580" t="s">
        <v>262</v>
      </c>
      <c r="AK580">
        <v>28.020565302144249</v>
      </c>
    </row>
    <row r="581" spans="1:37" x14ac:dyDescent="0.35">
      <c r="A581">
        <v>2</v>
      </c>
      <c r="B581">
        <v>2024</v>
      </c>
      <c r="C581" t="s">
        <v>33</v>
      </c>
      <c r="D581" t="s">
        <v>34</v>
      </c>
      <c r="E581" t="s">
        <v>42</v>
      </c>
      <c r="F581" s="3" t="s">
        <v>36</v>
      </c>
      <c r="G581" s="2" t="s">
        <v>43</v>
      </c>
      <c r="H581" s="3">
        <v>51591</v>
      </c>
      <c r="I581" s="3">
        <v>2054</v>
      </c>
      <c r="J581" s="2" t="s">
        <v>330</v>
      </c>
      <c r="K581" t="s">
        <v>42</v>
      </c>
      <c r="L581" t="s">
        <v>267</v>
      </c>
      <c r="M581" t="s">
        <v>40</v>
      </c>
      <c r="O581" t="s">
        <v>297</v>
      </c>
      <c r="P581">
        <v>45345</v>
      </c>
      <c r="Q581">
        <v>11892.19</v>
      </c>
      <c r="R581" t="s">
        <v>254</v>
      </c>
      <c r="S581" s="6">
        <v>-11892.19</v>
      </c>
      <c r="T581" t="s">
        <v>254</v>
      </c>
      <c r="U581">
        <v>280</v>
      </c>
      <c r="W581" s="7">
        <v>-752</v>
      </c>
      <c r="AI581" t="s">
        <v>255</v>
      </c>
      <c r="AJ581" t="s">
        <v>262</v>
      </c>
      <c r="AK581">
        <v>15.814082446808511</v>
      </c>
    </row>
    <row r="582" spans="1:37" x14ac:dyDescent="0.35">
      <c r="A582">
        <v>2</v>
      </c>
      <c r="B582">
        <v>2024</v>
      </c>
      <c r="C582" t="s">
        <v>33</v>
      </c>
      <c r="D582" t="s">
        <v>34</v>
      </c>
      <c r="E582" t="s">
        <v>42</v>
      </c>
      <c r="F582" s="3" t="s">
        <v>36</v>
      </c>
      <c r="G582" s="2" t="s">
        <v>43</v>
      </c>
      <c r="H582" s="3">
        <v>51591</v>
      </c>
      <c r="I582" s="3">
        <v>1525</v>
      </c>
      <c r="J582" s="2" t="s">
        <v>283</v>
      </c>
      <c r="K582" t="s">
        <v>42</v>
      </c>
      <c r="L582" t="s">
        <v>267</v>
      </c>
      <c r="M582" t="s">
        <v>40</v>
      </c>
      <c r="O582" t="s">
        <v>297</v>
      </c>
      <c r="P582">
        <v>45345</v>
      </c>
      <c r="Q582">
        <v>22729.77</v>
      </c>
      <c r="R582" t="s">
        <v>254</v>
      </c>
      <c r="S582" s="6">
        <v>-22729.77</v>
      </c>
      <c r="T582" t="s">
        <v>254</v>
      </c>
      <c r="U582">
        <v>320</v>
      </c>
      <c r="W582" s="7">
        <v>-1220</v>
      </c>
      <c r="AI582" t="s">
        <v>255</v>
      </c>
      <c r="AJ582" t="s">
        <v>262</v>
      </c>
      <c r="AK582">
        <v>18.630959016393444</v>
      </c>
    </row>
    <row r="583" spans="1:37" x14ac:dyDescent="0.35">
      <c r="A583">
        <v>2</v>
      </c>
      <c r="B583">
        <v>2024</v>
      </c>
      <c r="C583" t="s">
        <v>33</v>
      </c>
      <c r="D583" t="s">
        <v>34</v>
      </c>
      <c r="E583" t="s">
        <v>42</v>
      </c>
      <c r="F583" s="3" t="s">
        <v>36</v>
      </c>
      <c r="G583" s="2" t="s">
        <v>43</v>
      </c>
      <c r="H583" s="3">
        <v>51591</v>
      </c>
      <c r="I583" s="3">
        <v>2496</v>
      </c>
      <c r="J583" s="2" t="s">
        <v>385</v>
      </c>
      <c r="K583" t="s">
        <v>42</v>
      </c>
      <c r="L583" t="s">
        <v>267</v>
      </c>
      <c r="M583" t="s">
        <v>40</v>
      </c>
      <c r="O583" t="s">
        <v>297</v>
      </c>
      <c r="P583">
        <v>45345</v>
      </c>
      <c r="Q583">
        <v>6766.45</v>
      </c>
      <c r="R583" t="s">
        <v>254</v>
      </c>
      <c r="S583" s="6">
        <v>-6766.45</v>
      </c>
      <c r="T583" t="s">
        <v>254</v>
      </c>
      <c r="U583">
        <v>310</v>
      </c>
      <c r="W583" s="7">
        <v>-326</v>
      </c>
      <c r="AI583" t="s">
        <v>255</v>
      </c>
      <c r="AJ583" t="s">
        <v>262</v>
      </c>
      <c r="AK583">
        <v>20.755981595092024</v>
      </c>
    </row>
    <row r="584" spans="1:37" x14ac:dyDescent="0.35">
      <c r="A584">
        <v>2</v>
      </c>
      <c r="B584">
        <v>2024</v>
      </c>
      <c r="C584" t="s">
        <v>33</v>
      </c>
      <c r="D584" t="s">
        <v>34</v>
      </c>
      <c r="E584" t="s">
        <v>42</v>
      </c>
      <c r="F584" s="3" t="s">
        <v>36</v>
      </c>
      <c r="G584" s="2" t="s">
        <v>43</v>
      </c>
      <c r="H584" s="3">
        <v>51591</v>
      </c>
      <c r="I584" s="3">
        <v>2790</v>
      </c>
      <c r="J584" s="2" t="s">
        <v>409</v>
      </c>
      <c r="K584" t="s">
        <v>42</v>
      </c>
      <c r="L584" t="s">
        <v>267</v>
      </c>
      <c r="M584" t="s">
        <v>40</v>
      </c>
      <c r="O584" t="s">
        <v>297</v>
      </c>
      <c r="P584">
        <v>45345</v>
      </c>
      <c r="Q584">
        <v>20685.41</v>
      </c>
      <c r="R584" t="s">
        <v>254</v>
      </c>
      <c r="S584" s="6">
        <v>-20685.41</v>
      </c>
      <c r="T584" t="s">
        <v>254</v>
      </c>
      <c r="U584">
        <v>220</v>
      </c>
      <c r="W584" s="7">
        <v>-1359</v>
      </c>
      <c r="AI584" t="s">
        <v>255</v>
      </c>
      <c r="AJ584" t="s">
        <v>262</v>
      </c>
      <c r="AK584">
        <v>15.221052244297278</v>
      </c>
    </row>
    <row r="585" spans="1:37" x14ac:dyDescent="0.35">
      <c r="A585">
        <v>2</v>
      </c>
      <c r="B585">
        <v>2024</v>
      </c>
      <c r="C585" t="s">
        <v>33</v>
      </c>
      <c r="D585" t="s">
        <v>34</v>
      </c>
      <c r="E585" t="s">
        <v>42</v>
      </c>
      <c r="F585" s="3" t="s">
        <v>36</v>
      </c>
      <c r="G585" s="2" t="s">
        <v>43</v>
      </c>
      <c r="H585" s="3">
        <v>51591</v>
      </c>
      <c r="I585" s="3">
        <v>1225</v>
      </c>
      <c r="J585" s="2" t="s">
        <v>292</v>
      </c>
      <c r="K585" t="s">
        <v>42</v>
      </c>
      <c r="L585" t="s">
        <v>267</v>
      </c>
      <c r="M585" t="s">
        <v>40</v>
      </c>
      <c r="O585" t="s">
        <v>297</v>
      </c>
      <c r="P585">
        <v>45345</v>
      </c>
      <c r="Q585">
        <v>59954.95</v>
      </c>
      <c r="R585" t="s">
        <v>254</v>
      </c>
      <c r="S585" s="6">
        <v>-59954.95</v>
      </c>
      <c r="T585" t="s">
        <v>254</v>
      </c>
      <c r="U585">
        <v>240</v>
      </c>
      <c r="W585" s="7">
        <v>-4098.6360000000004</v>
      </c>
      <c r="AI585" t="s">
        <v>255</v>
      </c>
      <c r="AJ585" t="s">
        <v>262</v>
      </c>
      <c r="AK585">
        <v>14.628025030766331</v>
      </c>
    </row>
    <row r="586" spans="1:37" x14ac:dyDescent="0.35">
      <c r="A586">
        <v>2</v>
      </c>
      <c r="B586">
        <v>2024</v>
      </c>
      <c r="C586" t="s">
        <v>33</v>
      </c>
      <c r="D586" t="s">
        <v>34</v>
      </c>
      <c r="E586" t="s">
        <v>42</v>
      </c>
      <c r="F586" s="3" t="s">
        <v>36</v>
      </c>
      <c r="G586" s="2" t="s">
        <v>43</v>
      </c>
      <c r="H586" s="3">
        <v>51591</v>
      </c>
      <c r="I586" s="3">
        <v>1523</v>
      </c>
      <c r="J586" s="2" t="s">
        <v>282</v>
      </c>
      <c r="K586" t="s">
        <v>42</v>
      </c>
      <c r="L586" t="s">
        <v>267</v>
      </c>
      <c r="M586" t="s">
        <v>40</v>
      </c>
      <c r="O586" t="s">
        <v>297</v>
      </c>
      <c r="P586">
        <v>45345</v>
      </c>
      <c r="Q586">
        <v>7472.15</v>
      </c>
      <c r="R586" t="s">
        <v>254</v>
      </c>
      <c r="S586" s="6">
        <v>-7472.15</v>
      </c>
      <c r="T586" t="s">
        <v>254</v>
      </c>
      <c r="W586" s="7">
        <v>-1050</v>
      </c>
      <c r="AI586" t="s">
        <v>255</v>
      </c>
      <c r="AJ586" t="s">
        <v>262</v>
      </c>
      <c r="AK586">
        <v>7.1163333333333334</v>
      </c>
    </row>
    <row r="587" spans="1:37" x14ac:dyDescent="0.35">
      <c r="A587">
        <v>2</v>
      </c>
      <c r="B587">
        <v>2024</v>
      </c>
      <c r="C587" t="s">
        <v>33</v>
      </c>
      <c r="D587" t="s">
        <v>34</v>
      </c>
      <c r="E587" t="s">
        <v>42</v>
      </c>
      <c r="F587" s="3" t="s">
        <v>36</v>
      </c>
      <c r="G587" s="2" t="s">
        <v>43</v>
      </c>
      <c r="H587" s="3">
        <v>51591</v>
      </c>
      <c r="I587" s="3">
        <v>1506</v>
      </c>
      <c r="J587" s="2" t="s">
        <v>253</v>
      </c>
      <c r="K587" t="s">
        <v>42</v>
      </c>
      <c r="L587" t="s">
        <v>267</v>
      </c>
      <c r="M587" t="s">
        <v>40</v>
      </c>
      <c r="O587" t="s">
        <v>297</v>
      </c>
      <c r="P587">
        <v>45345</v>
      </c>
      <c r="Q587">
        <v>53982.84</v>
      </c>
      <c r="R587" t="s">
        <v>254</v>
      </c>
      <c r="S587" s="6">
        <v>-53982.84</v>
      </c>
      <c r="T587" t="s">
        <v>254</v>
      </c>
      <c r="U587">
        <v>280</v>
      </c>
      <c r="W587" s="7">
        <v>-3121</v>
      </c>
      <c r="AI587" t="s">
        <v>255</v>
      </c>
      <c r="AJ587" t="s">
        <v>262</v>
      </c>
      <c r="AK587">
        <v>17.296648510092918</v>
      </c>
    </row>
    <row r="588" spans="1:37" x14ac:dyDescent="0.35">
      <c r="A588">
        <v>2</v>
      </c>
      <c r="B588">
        <v>2024</v>
      </c>
      <c r="C588" t="s">
        <v>33</v>
      </c>
      <c r="D588" t="s">
        <v>34</v>
      </c>
      <c r="E588" t="s">
        <v>42</v>
      </c>
      <c r="F588" s="3" t="s">
        <v>36</v>
      </c>
      <c r="G588" s="2" t="s">
        <v>43</v>
      </c>
      <c r="H588" s="3">
        <v>51591</v>
      </c>
      <c r="I588" s="3">
        <v>1504</v>
      </c>
      <c r="J588" s="2" t="s">
        <v>263</v>
      </c>
      <c r="K588" t="s">
        <v>42</v>
      </c>
      <c r="L588" t="s">
        <v>267</v>
      </c>
      <c r="M588" t="s">
        <v>40</v>
      </c>
      <c r="O588" t="s">
        <v>297</v>
      </c>
      <c r="P588">
        <v>45345</v>
      </c>
      <c r="Q588">
        <v>52803.71</v>
      </c>
      <c r="R588" t="s">
        <v>254</v>
      </c>
      <c r="S588" s="6">
        <v>-52803.71</v>
      </c>
      <c r="T588" t="s">
        <v>254</v>
      </c>
      <c r="U588">
        <v>240</v>
      </c>
      <c r="W588" s="7">
        <v>-3622</v>
      </c>
      <c r="AI588" t="s">
        <v>255</v>
      </c>
      <c r="AJ588" t="s">
        <v>262</v>
      </c>
      <c r="AK588">
        <v>14.5786057426836</v>
      </c>
    </row>
    <row r="589" spans="1:37" x14ac:dyDescent="0.35">
      <c r="A589">
        <v>2</v>
      </c>
      <c r="B589">
        <v>2024</v>
      </c>
      <c r="C589" t="s">
        <v>33</v>
      </c>
      <c r="D589" t="s">
        <v>34</v>
      </c>
      <c r="E589" t="s">
        <v>42</v>
      </c>
      <c r="F589" s="3" t="s">
        <v>36</v>
      </c>
      <c r="G589" s="2" t="s">
        <v>43</v>
      </c>
      <c r="H589" s="3">
        <v>51591</v>
      </c>
      <c r="I589" s="3">
        <v>1504</v>
      </c>
      <c r="J589" s="2" t="s">
        <v>263</v>
      </c>
      <c r="K589" t="s">
        <v>42</v>
      </c>
      <c r="L589" t="s">
        <v>267</v>
      </c>
      <c r="M589" t="s">
        <v>40</v>
      </c>
      <c r="O589" t="s">
        <v>297</v>
      </c>
      <c r="P589">
        <v>45345</v>
      </c>
      <c r="Q589">
        <v>17523.48</v>
      </c>
      <c r="R589" t="s">
        <v>254</v>
      </c>
      <c r="S589" s="6">
        <v>-17523.48</v>
      </c>
      <c r="T589" t="s">
        <v>254</v>
      </c>
      <c r="U589">
        <v>240</v>
      </c>
      <c r="W589" s="7">
        <v>-1202</v>
      </c>
      <c r="AI589" t="s">
        <v>255</v>
      </c>
      <c r="AJ589" t="s">
        <v>262</v>
      </c>
      <c r="AK589">
        <v>14.578602329450915</v>
      </c>
    </row>
    <row r="590" spans="1:37" x14ac:dyDescent="0.35">
      <c r="A590">
        <v>2</v>
      </c>
      <c r="B590">
        <v>2024</v>
      </c>
      <c r="C590" t="s">
        <v>33</v>
      </c>
      <c r="D590" t="s">
        <v>34</v>
      </c>
      <c r="E590" t="s">
        <v>42</v>
      </c>
      <c r="F590" s="3" t="s">
        <v>36</v>
      </c>
      <c r="G590" s="2" t="s">
        <v>43</v>
      </c>
      <c r="H590" s="3">
        <v>51591</v>
      </c>
      <c r="I590" s="3">
        <v>1236</v>
      </c>
      <c r="J590" s="2" t="s">
        <v>264</v>
      </c>
      <c r="K590" t="s">
        <v>42</v>
      </c>
      <c r="L590" t="s">
        <v>267</v>
      </c>
      <c r="M590" t="s">
        <v>40</v>
      </c>
      <c r="O590" t="s">
        <v>297</v>
      </c>
      <c r="P590">
        <v>45345</v>
      </c>
      <c r="Q590">
        <v>18247.97</v>
      </c>
      <c r="R590" t="s">
        <v>254</v>
      </c>
      <c r="S590" s="6">
        <v>-18247.97</v>
      </c>
      <c r="T590" t="s">
        <v>254</v>
      </c>
      <c r="U590">
        <v>240</v>
      </c>
      <c r="W590" s="7">
        <v>-1055</v>
      </c>
      <c r="AI590" t="s">
        <v>255</v>
      </c>
      <c r="AJ590" t="s">
        <v>262</v>
      </c>
      <c r="AK590">
        <v>17.29665402843602</v>
      </c>
    </row>
    <row r="591" spans="1:37" x14ac:dyDescent="0.35">
      <c r="A591">
        <v>2</v>
      </c>
      <c r="B591">
        <v>2024</v>
      </c>
      <c r="C591" t="s">
        <v>33</v>
      </c>
      <c r="D591" t="s">
        <v>34</v>
      </c>
      <c r="E591" t="s">
        <v>42</v>
      </c>
      <c r="F591" s="3" t="s">
        <v>36</v>
      </c>
      <c r="G591" s="2" t="s">
        <v>43</v>
      </c>
      <c r="H591" s="3">
        <v>51591</v>
      </c>
      <c r="I591" s="3">
        <v>1226</v>
      </c>
      <c r="J591" s="2" t="s">
        <v>266</v>
      </c>
      <c r="K591" t="s">
        <v>42</v>
      </c>
      <c r="L591" t="s">
        <v>267</v>
      </c>
      <c r="M591" t="s">
        <v>40</v>
      </c>
      <c r="O591" t="s">
        <v>297</v>
      </c>
      <c r="P591">
        <v>45345</v>
      </c>
      <c r="Q591">
        <v>10733.81</v>
      </c>
      <c r="R591" t="s">
        <v>254</v>
      </c>
      <c r="S591" s="6">
        <v>-10733.81</v>
      </c>
      <c r="T591" t="s">
        <v>254</v>
      </c>
      <c r="U591">
        <v>260</v>
      </c>
      <c r="W591" s="7">
        <v>-724</v>
      </c>
      <c r="AI591" t="s">
        <v>255</v>
      </c>
      <c r="AJ591" t="s">
        <v>262</v>
      </c>
      <c r="AK591">
        <v>14.825704419889503</v>
      </c>
    </row>
    <row r="592" spans="1:37" x14ac:dyDescent="0.35">
      <c r="A592">
        <v>2</v>
      </c>
      <c r="B592">
        <v>2024</v>
      </c>
      <c r="C592" t="s">
        <v>33</v>
      </c>
      <c r="D592" t="s">
        <v>34</v>
      </c>
      <c r="E592" t="s">
        <v>116</v>
      </c>
      <c r="F592" s="3" t="s">
        <v>36</v>
      </c>
      <c r="G592" s="2" t="s">
        <v>50</v>
      </c>
      <c r="H592" s="3">
        <v>51273</v>
      </c>
      <c r="I592" s="3">
        <v>1419</v>
      </c>
      <c r="J592" s="2" t="s">
        <v>341</v>
      </c>
      <c r="K592" t="s">
        <v>116</v>
      </c>
      <c r="L592" t="s">
        <v>267</v>
      </c>
      <c r="M592" t="s">
        <v>40</v>
      </c>
      <c r="O592" t="s">
        <v>34</v>
      </c>
      <c r="P592">
        <v>45327</v>
      </c>
      <c r="Q592">
        <v>26862.52</v>
      </c>
      <c r="R592" t="s">
        <v>254</v>
      </c>
      <c r="S592" s="6">
        <v>-26862.52</v>
      </c>
      <c r="T592" t="s">
        <v>254</v>
      </c>
      <c r="W592" s="7">
        <v>-2427</v>
      </c>
      <c r="AI592" t="s">
        <v>116</v>
      </c>
      <c r="AJ592" t="s">
        <v>258</v>
      </c>
      <c r="AK592">
        <v>11.068199423156161</v>
      </c>
    </row>
    <row r="593" spans="1:37" x14ac:dyDescent="0.35">
      <c r="A593">
        <v>2</v>
      </c>
      <c r="B593">
        <v>2024</v>
      </c>
      <c r="C593" t="s">
        <v>33</v>
      </c>
      <c r="D593" t="s">
        <v>34</v>
      </c>
      <c r="E593" t="s">
        <v>116</v>
      </c>
      <c r="F593" s="3" t="s">
        <v>36</v>
      </c>
      <c r="G593" s="2" t="s">
        <v>50</v>
      </c>
      <c r="H593" s="3">
        <v>51273</v>
      </c>
      <c r="I593" s="3">
        <v>1422</v>
      </c>
      <c r="J593" s="2" t="s">
        <v>339</v>
      </c>
      <c r="K593" t="s">
        <v>116</v>
      </c>
      <c r="L593" t="s">
        <v>267</v>
      </c>
      <c r="M593" t="s">
        <v>40</v>
      </c>
      <c r="O593" t="s">
        <v>34</v>
      </c>
      <c r="P593">
        <v>45327</v>
      </c>
      <c r="Q593">
        <v>19796.14</v>
      </c>
      <c r="R593" t="s">
        <v>254</v>
      </c>
      <c r="S593" s="6">
        <v>-19796.14</v>
      </c>
      <c r="T593" t="s">
        <v>254</v>
      </c>
      <c r="W593" s="7">
        <v>-1422</v>
      </c>
      <c r="AI593" t="s">
        <v>116</v>
      </c>
      <c r="AJ593" t="s">
        <v>258</v>
      </c>
      <c r="AK593">
        <v>13.921336146272855</v>
      </c>
    </row>
    <row r="594" spans="1:37" x14ac:dyDescent="0.35">
      <c r="A594">
        <v>12</v>
      </c>
      <c r="B594">
        <v>2023</v>
      </c>
      <c r="C594" t="s">
        <v>33</v>
      </c>
      <c r="D594" t="e">
        <v>#N/A</v>
      </c>
      <c r="E594" t="s">
        <v>116</v>
      </c>
      <c r="F594" s="3" t="s">
        <v>36</v>
      </c>
      <c r="G594" s="2" t="s">
        <v>50</v>
      </c>
      <c r="H594" s="3">
        <v>50542</v>
      </c>
      <c r="I594" s="3">
        <v>1419</v>
      </c>
      <c r="J594" s="2" t="s">
        <v>341</v>
      </c>
      <c r="K594" t="s">
        <v>116</v>
      </c>
      <c r="L594" t="s">
        <v>267</v>
      </c>
      <c r="M594" t="s">
        <v>40</v>
      </c>
      <c r="O594" t="e">
        <v>#N/A</v>
      </c>
      <c r="P594">
        <v>45281</v>
      </c>
      <c r="S594" s="6">
        <v>-71330.899999999994</v>
      </c>
      <c r="T594" t="s">
        <v>254</v>
      </c>
      <c r="U594">
        <v>180</v>
      </c>
      <c r="W594" s="7">
        <v>-6469</v>
      </c>
      <c r="AK594">
        <v>11.026572886072035</v>
      </c>
    </row>
    <row r="595" spans="1:37" x14ac:dyDescent="0.35">
      <c r="A595">
        <v>12</v>
      </c>
      <c r="B595">
        <v>2023</v>
      </c>
      <c r="C595" t="s">
        <v>33</v>
      </c>
      <c r="D595" t="e">
        <v>#N/A</v>
      </c>
      <c r="E595" t="s">
        <v>116</v>
      </c>
      <c r="F595" s="3" t="s">
        <v>36</v>
      </c>
      <c r="G595" s="2" t="s">
        <v>50</v>
      </c>
      <c r="H595" s="3">
        <v>50542</v>
      </c>
      <c r="I595" s="3">
        <v>1422</v>
      </c>
      <c r="J595" s="2" t="s">
        <v>339</v>
      </c>
      <c r="K595" t="s">
        <v>116</v>
      </c>
      <c r="L595" t="s">
        <v>267</v>
      </c>
      <c r="M595" t="s">
        <v>40</v>
      </c>
      <c r="O595" t="e">
        <v>#N/A</v>
      </c>
      <c r="P595">
        <v>45281</v>
      </c>
      <c r="S595" s="6">
        <v>-8709.7199999999993</v>
      </c>
      <c r="T595" t="s">
        <v>254</v>
      </c>
      <c r="U595">
        <v>240</v>
      </c>
      <c r="W595" s="7">
        <v>-628</v>
      </c>
      <c r="AK595">
        <v>13.868980891719744</v>
      </c>
    </row>
    <row r="596" spans="1:37" x14ac:dyDescent="0.35">
      <c r="A596">
        <v>12</v>
      </c>
      <c r="B596">
        <v>2023</v>
      </c>
      <c r="C596" t="s">
        <v>33</v>
      </c>
      <c r="D596" t="e">
        <v>#N/A</v>
      </c>
      <c r="E596" t="s">
        <v>395</v>
      </c>
      <c r="F596" s="3" t="s">
        <v>36</v>
      </c>
      <c r="G596" s="2" t="s">
        <v>82</v>
      </c>
      <c r="H596" s="3">
        <v>50559</v>
      </c>
      <c r="I596" s="3">
        <v>2513</v>
      </c>
      <c r="J596" s="2" t="s">
        <v>400</v>
      </c>
      <c r="K596" t="s">
        <v>395</v>
      </c>
      <c r="L596" t="s">
        <v>267</v>
      </c>
      <c r="M596" t="s">
        <v>40</v>
      </c>
      <c r="O596" t="e">
        <v>#N/A</v>
      </c>
      <c r="P596">
        <v>45286</v>
      </c>
      <c r="S596" s="6">
        <v>-4049.17</v>
      </c>
      <c r="T596" t="s">
        <v>254</v>
      </c>
      <c r="U596">
        <v>180</v>
      </c>
      <c r="W596" s="7">
        <v>-506</v>
      </c>
      <c r="AK596">
        <v>8.0023122529644262</v>
      </c>
    </row>
    <row r="597" spans="1:37" x14ac:dyDescent="0.35">
      <c r="A597">
        <v>12</v>
      </c>
      <c r="B597">
        <v>2023</v>
      </c>
      <c r="C597" t="s">
        <v>33</v>
      </c>
      <c r="D597" t="e">
        <v>#N/A</v>
      </c>
      <c r="E597" t="s">
        <v>395</v>
      </c>
      <c r="F597" s="3" t="s">
        <v>36</v>
      </c>
      <c r="G597" s="2" t="s">
        <v>82</v>
      </c>
      <c r="H597" s="3">
        <v>50559</v>
      </c>
      <c r="I597" s="3">
        <v>2512</v>
      </c>
      <c r="J597" s="2" t="s">
        <v>399</v>
      </c>
      <c r="K597" t="s">
        <v>395</v>
      </c>
      <c r="L597" t="s">
        <v>267</v>
      </c>
      <c r="M597" t="s">
        <v>40</v>
      </c>
      <c r="O597" t="e">
        <v>#N/A</v>
      </c>
      <c r="P597">
        <v>45286</v>
      </c>
      <c r="S597" s="6">
        <v>-4190.3500000000004</v>
      </c>
      <c r="T597" t="s">
        <v>254</v>
      </c>
      <c r="U597">
        <v>180</v>
      </c>
      <c r="W597" s="7">
        <v>-499</v>
      </c>
      <c r="AK597">
        <v>8.3974949899799611</v>
      </c>
    </row>
    <row r="598" spans="1:37" x14ac:dyDescent="0.35">
      <c r="A598">
        <v>12</v>
      </c>
      <c r="B598">
        <v>2023</v>
      </c>
      <c r="C598" t="s">
        <v>33</v>
      </c>
      <c r="D598" t="e">
        <v>#N/A</v>
      </c>
      <c r="E598" t="s">
        <v>395</v>
      </c>
      <c r="F598" s="3" t="s">
        <v>36</v>
      </c>
      <c r="G598" s="2" t="s">
        <v>82</v>
      </c>
      <c r="H598" s="3">
        <v>50559</v>
      </c>
      <c r="I598" s="3">
        <v>2509</v>
      </c>
      <c r="J598" s="2" t="s">
        <v>396</v>
      </c>
      <c r="K598" t="s">
        <v>395</v>
      </c>
      <c r="L598" t="s">
        <v>267</v>
      </c>
      <c r="M598" t="s">
        <v>40</v>
      </c>
      <c r="O598" t="e">
        <v>#N/A</v>
      </c>
      <c r="P598">
        <v>45286</v>
      </c>
      <c r="S598" s="6">
        <v>-3121.89</v>
      </c>
      <c r="T598" t="s">
        <v>254</v>
      </c>
      <c r="U598">
        <v>180</v>
      </c>
      <c r="W598" s="7">
        <v>-395</v>
      </c>
      <c r="AK598">
        <v>7.9035189873417719</v>
      </c>
    </row>
    <row r="599" spans="1:37" x14ac:dyDescent="0.35">
      <c r="A599">
        <v>12</v>
      </c>
      <c r="B599">
        <v>2023</v>
      </c>
      <c r="C599" t="s">
        <v>33</v>
      </c>
      <c r="D599" t="e">
        <v>#N/A</v>
      </c>
      <c r="E599" t="s">
        <v>395</v>
      </c>
      <c r="F599" s="3" t="s">
        <v>36</v>
      </c>
      <c r="G599" s="2" t="s">
        <v>82</v>
      </c>
      <c r="H599" s="3">
        <v>50559</v>
      </c>
      <c r="I599" s="3">
        <v>2511</v>
      </c>
      <c r="J599" s="2" t="s">
        <v>398</v>
      </c>
      <c r="K599" t="s">
        <v>395</v>
      </c>
      <c r="L599" t="s">
        <v>267</v>
      </c>
      <c r="M599" t="s">
        <v>40</v>
      </c>
      <c r="O599" t="e">
        <v>#N/A</v>
      </c>
      <c r="P599">
        <v>45286</v>
      </c>
      <c r="S599" s="6">
        <v>-4161.2</v>
      </c>
      <c r="T599" t="s">
        <v>254</v>
      </c>
      <c r="U599">
        <v>180</v>
      </c>
      <c r="W599" s="7">
        <v>-520</v>
      </c>
      <c r="AK599">
        <v>8.0023076923076921</v>
      </c>
    </row>
    <row r="600" spans="1:37" x14ac:dyDescent="0.35">
      <c r="A600">
        <v>12</v>
      </c>
      <c r="B600">
        <v>2023</v>
      </c>
      <c r="C600" t="s">
        <v>33</v>
      </c>
      <c r="D600" t="e">
        <v>#N/A</v>
      </c>
      <c r="E600" t="s">
        <v>395</v>
      </c>
      <c r="F600" s="3" t="s">
        <v>36</v>
      </c>
      <c r="G600" s="2" t="s">
        <v>82</v>
      </c>
      <c r="H600" s="3">
        <v>50559</v>
      </c>
      <c r="I600" s="3">
        <v>2510</v>
      </c>
      <c r="J600" s="2" t="s">
        <v>397</v>
      </c>
      <c r="K600" t="s">
        <v>395</v>
      </c>
      <c r="L600" t="s">
        <v>267</v>
      </c>
      <c r="M600" t="s">
        <v>40</v>
      </c>
      <c r="O600" t="e">
        <v>#N/A</v>
      </c>
      <c r="P600">
        <v>45286</v>
      </c>
      <c r="S600" s="6">
        <v>-4449.29</v>
      </c>
      <c r="T600" t="s">
        <v>254</v>
      </c>
      <c r="U600">
        <v>180</v>
      </c>
      <c r="W600" s="7">
        <v>-556</v>
      </c>
      <c r="AK600">
        <v>8.0023201438848925</v>
      </c>
    </row>
    <row r="601" spans="1:37" x14ac:dyDescent="0.35">
      <c r="A601">
        <v>12</v>
      </c>
      <c r="B601">
        <v>2023</v>
      </c>
      <c r="C601" t="s">
        <v>33</v>
      </c>
      <c r="D601" t="e">
        <v>#N/A</v>
      </c>
      <c r="E601" t="s">
        <v>42</v>
      </c>
      <c r="F601" s="3" t="s">
        <v>36</v>
      </c>
      <c r="G601" s="2" t="s">
        <v>43</v>
      </c>
      <c r="H601" s="3">
        <v>50560</v>
      </c>
      <c r="I601" s="3">
        <v>2054</v>
      </c>
      <c r="J601" s="2" t="s">
        <v>330</v>
      </c>
      <c r="K601" t="s">
        <v>42</v>
      </c>
      <c r="L601" t="s">
        <v>267</v>
      </c>
      <c r="M601" t="s">
        <v>40</v>
      </c>
      <c r="O601" t="e">
        <v>#N/A</v>
      </c>
      <c r="P601">
        <v>45286</v>
      </c>
      <c r="S601" s="6">
        <v>-14640.75</v>
      </c>
      <c r="T601" t="s">
        <v>254</v>
      </c>
      <c r="U601">
        <v>280</v>
      </c>
      <c r="W601" s="7">
        <v>-935</v>
      </c>
      <c r="AK601">
        <v>15.65855614973262</v>
      </c>
    </row>
    <row r="602" spans="1:37" x14ac:dyDescent="0.35">
      <c r="A602">
        <v>12</v>
      </c>
      <c r="B602">
        <v>2023</v>
      </c>
      <c r="C602" t="s">
        <v>33</v>
      </c>
      <c r="D602" t="e">
        <v>#N/A</v>
      </c>
      <c r="E602" t="s">
        <v>42</v>
      </c>
      <c r="F602" s="3" t="s">
        <v>36</v>
      </c>
      <c r="G602" s="2" t="s">
        <v>43</v>
      </c>
      <c r="H602" s="3">
        <v>50560</v>
      </c>
      <c r="I602" s="3">
        <v>2157</v>
      </c>
      <c r="J602" s="2" t="s">
        <v>337</v>
      </c>
      <c r="K602" t="s">
        <v>42</v>
      </c>
      <c r="L602" t="s">
        <v>267</v>
      </c>
      <c r="M602" t="s">
        <v>40</v>
      </c>
      <c r="O602" t="e">
        <v>#N/A</v>
      </c>
      <c r="P602">
        <v>45286</v>
      </c>
      <c r="S602" s="6">
        <v>-22612.97</v>
      </c>
      <c r="T602" t="s">
        <v>254</v>
      </c>
      <c r="U602">
        <v>300</v>
      </c>
      <c r="W602" s="7">
        <v>-977</v>
      </c>
      <c r="AK602">
        <v>23.145312180143296</v>
      </c>
    </row>
    <row r="603" spans="1:37" x14ac:dyDescent="0.35">
      <c r="A603">
        <v>12</v>
      </c>
      <c r="B603">
        <v>2023</v>
      </c>
      <c r="C603" t="s">
        <v>33</v>
      </c>
      <c r="D603" t="e">
        <v>#N/A</v>
      </c>
      <c r="E603" t="s">
        <v>42</v>
      </c>
      <c r="F603" s="3" t="s">
        <v>36</v>
      </c>
      <c r="G603" s="2" t="s">
        <v>43</v>
      </c>
      <c r="H603" s="3">
        <v>50560</v>
      </c>
      <c r="I603" s="3">
        <v>1905</v>
      </c>
      <c r="J603" s="2" t="s">
        <v>291</v>
      </c>
      <c r="K603" t="s">
        <v>42</v>
      </c>
      <c r="L603" t="s">
        <v>267</v>
      </c>
      <c r="M603" t="s">
        <v>40</v>
      </c>
      <c r="O603" t="e">
        <v>#N/A</v>
      </c>
      <c r="P603">
        <v>45286</v>
      </c>
      <c r="S603" s="6">
        <v>-7829.28</v>
      </c>
      <c r="T603" t="s">
        <v>254</v>
      </c>
      <c r="W603" s="7">
        <v>-1000</v>
      </c>
      <c r="AK603">
        <v>7.8292799999999998</v>
      </c>
    </row>
    <row r="604" spans="1:37" x14ac:dyDescent="0.35">
      <c r="A604">
        <v>12</v>
      </c>
      <c r="B604">
        <v>2023</v>
      </c>
      <c r="C604" t="s">
        <v>33</v>
      </c>
      <c r="D604" t="e">
        <v>#N/A</v>
      </c>
      <c r="E604" t="s">
        <v>42</v>
      </c>
      <c r="F604" s="3" t="s">
        <v>36</v>
      </c>
      <c r="G604" s="2" t="s">
        <v>43</v>
      </c>
      <c r="H604" s="3">
        <v>50560</v>
      </c>
      <c r="I604" s="3">
        <v>2495</v>
      </c>
      <c r="J604" s="2" t="s">
        <v>384</v>
      </c>
      <c r="K604" t="s">
        <v>42</v>
      </c>
      <c r="L604" t="s">
        <v>267</v>
      </c>
      <c r="M604" t="s">
        <v>40</v>
      </c>
      <c r="O604" t="e">
        <v>#N/A</v>
      </c>
      <c r="P604">
        <v>45286</v>
      </c>
      <c r="S604" s="6">
        <v>-23083.85</v>
      </c>
      <c r="T604" t="s">
        <v>254</v>
      </c>
      <c r="U604">
        <v>470</v>
      </c>
      <c r="W604" s="7">
        <v>-832</v>
      </c>
      <c r="AK604">
        <v>27.745012019230767</v>
      </c>
    </row>
    <row r="605" spans="1:37" x14ac:dyDescent="0.35">
      <c r="A605">
        <v>12</v>
      </c>
      <c r="B605">
        <v>2023</v>
      </c>
      <c r="C605" t="s">
        <v>33</v>
      </c>
      <c r="D605" t="e">
        <v>#N/A</v>
      </c>
      <c r="E605" t="s">
        <v>42</v>
      </c>
      <c r="F605" s="3" t="s">
        <v>36</v>
      </c>
      <c r="G605" s="2" t="s">
        <v>43</v>
      </c>
      <c r="H605" s="3">
        <v>50560</v>
      </c>
      <c r="I605" s="3">
        <v>2496</v>
      </c>
      <c r="J605" s="2" t="s">
        <v>385</v>
      </c>
      <c r="K605" t="s">
        <v>42</v>
      </c>
      <c r="L605" t="s">
        <v>267</v>
      </c>
      <c r="M605" t="s">
        <v>40</v>
      </c>
      <c r="O605" t="e">
        <v>#N/A</v>
      </c>
      <c r="P605">
        <v>45286</v>
      </c>
      <c r="S605" s="6">
        <v>-10070.41</v>
      </c>
      <c r="T605" t="s">
        <v>254</v>
      </c>
      <c r="U605">
        <v>310</v>
      </c>
      <c r="W605" s="7">
        <v>-490</v>
      </c>
      <c r="AK605">
        <v>20.551857142857141</v>
      </c>
    </row>
    <row r="606" spans="1:37" x14ac:dyDescent="0.35">
      <c r="A606">
        <v>12</v>
      </c>
      <c r="B606">
        <v>2023</v>
      </c>
      <c r="C606" t="s">
        <v>33</v>
      </c>
      <c r="D606" t="e">
        <v>#N/A</v>
      </c>
      <c r="E606" t="s">
        <v>42</v>
      </c>
      <c r="F606" s="3" t="s">
        <v>36</v>
      </c>
      <c r="G606" s="2" t="s">
        <v>43</v>
      </c>
      <c r="H606" s="3">
        <v>50560</v>
      </c>
      <c r="I606" s="3">
        <v>2497</v>
      </c>
      <c r="J606" s="2" t="s">
        <v>386</v>
      </c>
      <c r="K606" t="s">
        <v>42</v>
      </c>
      <c r="L606" t="s">
        <v>267</v>
      </c>
      <c r="M606" t="s">
        <v>40</v>
      </c>
      <c r="O606" t="e">
        <v>#N/A</v>
      </c>
      <c r="P606">
        <v>45286</v>
      </c>
      <c r="S606" s="6">
        <v>-1972.98</v>
      </c>
      <c r="T606" t="s">
        <v>254</v>
      </c>
      <c r="U606">
        <v>230</v>
      </c>
      <c r="W606" s="7">
        <v>-168</v>
      </c>
      <c r="AK606">
        <v>11.743928571428572</v>
      </c>
    </row>
    <row r="607" spans="1:37" x14ac:dyDescent="0.35">
      <c r="A607">
        <v>12</v>
      </c>
      <c r="B607">
        <v>2023</v>
      </c>
      <c r="C607" t="s">
        <v>33</v>
      </c>
      <c r="D607" t="e">
        <v>#N/A</v>
      </c>
      <c r="E607" t="s">
        <v>42</v>
      </c>
      <c r="F607" s="3" t="s">
        <v>36</v>
      </c>
      <c r="G607" s="2" t="s">
        <v>43</v>
      </c>
      <c r="H607" s="3">
        <v>50560</v>
      </c>
      <c r="I607" s="3">
        <v>1504</v>
      </c>
      <c r="J607" s="2" t="s">
        <v>263</v>
      </c>
      <c r="K607" t="s">
        <v>42</v>
      </c>
      <c r="L607" t="s">
        <v>267</v>
      </c>
      <c r="M607" t="s">
        <v>40</v>
      </c>
      <c r="O607" t="e">
        <v>#N/A</v>
      </c>
      <c r="P607">
        <v>45286</v>
      </c>
      <c r="S607" s="6">
        <v>-63370.68</v>
      </c>
      <c r="T607" t="s">
        <v>254</v>
      </c>
      <c r="U607">
        <v>240</v>
      </c>
      <c r="W607" s="7">
        <v>-4390</v>
      </c>
      <c r="AK607">
        <v>14.435234624145785</v>
      </c>
    </row>
    <row r="608" spans="1:37" x14ac:dyDescent="0.35">
      <c r="A608">
        <v>12</v>
      </c>
      <c r="B608">
        <v>2023</v>
      </c>
      <c r="C608" t="s">
        <v>33</v>
      </c>
      <c r="D608" t="e">
        <v>#N/A</v>
      </c>
      <c r="E608" t="s">
        <v>42</v>
      </c>
      <c r="F608" s="3" t="s">
        <v>36</v>
      </c>
      <c r="G608" s="2" t="s">
        <v>43</v>
      </c>
      <c r="H608" s="3">
        <v>50560</v>
      </c>
      <c r="I608" s="3">
        <v>1523</v>
      </c>
      <c r="J608" s="2" t="s">
        <v>282</v>
      </c>
      <c r="K608" t="s">
        <v>42</v>
      </c>
      <c r="L608" t="s">
        <v>267</v>
      </c>
      <c r="M608" t="s">
        <v>40</v>
      </c>
      <c r="O608" t="e">
        <v>#N/A</v>
      </c>
      <c r="P608">
        <v>45286</v>
      </c>
      <c r="S608" s="6">
        <v>-10569.53</v>
      </c>
      <c r="T608" t="s">
        <v>254</v>
      </c>
      <c r="W608" s="7">
        <v>-1500</v>
      </c>
      <c r="AK608">
        <v>7.0463533333333341</v>
      </c>
    </row>
    <row r="609" spans="1:37" x14ac:dyDescent="0.35">
      <c r="A609">
        <v>12</v>
      </c>
      <c r="B609">
        <v>2023</v>
      </c>
      <c r="C609" t="s">
        <v>33</v>
      </c>
      <c r="D609" t="e">
        <v>#N/A</v>
      </c>
      <c r="E609" t="s">
        <v>42</v>
      </c>
      <c r="F609" s="3" t="s">
        <v>36</v>
      </c>
      <c r="G609" s="2" t="s">
        <v>43</v>
      </c>
      <c r="H609" s="3">
        <v>50560</v>
      </c>
      <c r="I609" s="3">
        <v>1236</v>
      </c>
      <c r="J609" s="2" t="s">
        <v>264</v>
      </c>
      <c r="K609" t="s">
        <v>42</v>
      </c>
      <c r="L609" t="s">
        <v>267</v>
      </c>
      <c r="M609" t="s">
        <v>40</v>
      </c>
      <c r="O609" t="e">
        <v>#N/A</v>
      </c>
      <c r="P609">
        <v>45286</v>
      </c>
      <c r="S609" s="6">
        <v>-27796.39</v>
      </c>
      <c r="T609" t="s">
        <v>254</v>
      </c>
      <c r="U609">
        <v>240</v>
      </c>
      <c r="W609" s="7">
        <v>-1623</v>
      </c>
      <c r="AK609">
        <v>17.126549599507086</v>
      </c>
    </row>
    <row r="610" spans="1:37" x14ac:dyDescent="0.35">
      <c r="A610">
        <v>12</v>
      </c>
      <c r="B610">
        <v>2023</v>
      </c>
      <c r="C610" t="s">
        <v>33</v>
      </c>
      <c r="D610" t="e">
        <v>#N/A</v>
      </c>
      <c r="E610" t="s">
        <v>42</v>
      </c>
      <c r="F610" s="3" t="s">
        <v>36</v>
      </c>
      <c r="G610" s="2" t="s">
        <v>43</v>
      </c>
      <c r="H610" s="3">
        <v>50560</v>
      </c>
      <c r="I610" s="3">
        <v>1226</v>
      </c>
      <c r="J610" s="2" t="s">
        <v>266</v>
      </c>
      <c r="K610" t="s">
        <v>42</v>
      </c>
      <c r="L610" t="s">
        <v>267</v>
      </c>
      <c r="M610" t="s">
        <v>40</v>
      </c>
      <c r="O610" t="e">
        <v>#N/A</v>
      </c>
      <c r="P610">
        <v>45286</v>
      </c>
      <c r="S610" s="6">
        <v>-20610.580000000002</v>
      </c>
      <c r="T610" t="s">
        <v>254</v>
      </c>
      <c r="U610">
        <v>260</v>
      </c>
      <c r="W610" s="7">
        <v>-1404</v>
      </c>
      <c r="AK610">
        <v>14.679900284900286</v>
      </c>
    </row>
    <row r="611" spans="1:37" x14ac:dyDescent="0.35">
      <c r="A611">
        <v>12</v>
      </c>
      <c r="B611">
        <v>2023</v>
      </c>
      <c r="C611" t="s">
        <v>33</v>
      </c>
      <c r="D611" t="e">
        <v>#N/A</v>
      </c>
      <c r="E611" t="s">
        <v>42</v>
      </c>
      <c r="F611" s="3" t="s">
        <v>36</v>
      </c>
      <c r="G611" s="2" t="s">
        <v>43</v>
      </c>
      <c r="H611" s="3">
        <v>50560</v>
      </c>
      <c r="I611" s="3">
        <v>1225</v>
      </c>
      <c r="J611" s="2" t="s">
        <v>292</v>
      </c>
      <c r="K611" t="s">
        <v>42</v>
      </c>
      <c r="L611" t="s">
        <v>267</v>
      </c>
      <c r="M611" t="s">
        <v>40</v>
      </c>
      <c r="O611" t="e">
        <v>#N/A</v>
      </c>
      <c r="P611">
        <v>45286</v>
      </c>
      <c r="S611" s="6">
        <v>-118002.52</v>
      </c>
      <c r="T611" t="s">
        <v>254</v>
      </c>
      <c r="U611">
        <v>240</v>
      </c>
      <c r="W611" s="7">
        <v>-8147</v>
      </c>
      <c r="AK611">
        <v>14.484168405548054</v>
      </c>
    </row>
    <row r="612" spans="1:37" x14ac:dyDescent="0.35">
      <c r="A612">
        <v>12</v>
      </c>
      <c r="B612">
        <v>2023</v>
      </c>
      <c r="C612" t="s">
        <v>33</v>
      </c>
      <c r="D612" t="e">
        <v>#N/A</v>
      </c>
      <c r="E612" t="s">
        <v>42</v>
      </c>
      <c r="F612" s="3" t="s">
        <v>36</v>
      </c>
      <c r="G612" s="2" t="s">
        <v>43</v>
      </c>
      <c r="H612" s="3">
        <v>50560</v>
      </c>
      <c r="I612" s="3">
        <v>1525</v>
      </c>
      <c r="J612" s="2" t="s">
        <v>283</v>
      </c>
      <c r="K612" t="s">
        <v>42</v>
      </c>
      <c r="L612" t="s">
        <v>267</v>
      </c>
      <c r="M612" t="s">
        <v>40</v>
      </c>
      <c r="O612" t="e">
        <v>#N/A</v>
      </c>
      <c r="P612">
        <v>45286</v>
      </c>
      <c r="S612" s="6">
        <v>-53572.24</v>
      </c>
      <c r="T612" t="s">
        <v>254</v>
      </c>
      <c r="U612">
        <v>320</v>
      </c>
      <c r="W612" s="7">
        <v>-2904</v>
      </c>
      <c r="AK612">
        <v>18.447741046831954</v>
      </c>
    </row>
    <row r="613" spans="1:37" x14ac:dyDescent="0.35">
      <c r="A613">
        <v>12</v>
      </c>
      <c r="B613">
        <v>2023</v>
      </c>
      <c r="C613" t="s">
        <v>33</v>
      </c>
      <c r="D613" t="e">
        <v>#N/A</v>
      </c>
      <c r="E613" s="18" t="s">
        <v>390</v>
      </c>
      <c r="F613" s="3" t="s">
        <v>36</v>
      </c>
      <c r="G613" s="2" t="s">
        <v>43</v>
      </c>
      <c r="H613" s="3">
        <v>50566</v>
      </c>
      <c r="I613" s="3">
        <v>2428</v>
      </c>
      <c r="J613" s="2" t="s">
        <v>357</v>
      </c>
      <c r="K613" t="s">
        <v>226</v>
      </c>
      <c r="L613" t="s">
        <v>267</v>
      </c>
      <c r="M613" t="s">
        <v>40</v>
      </c>
      <c r="O613" t="e">
        <v>#N/A</v>
      </c>
      <c r="P613">
        <v>45286</v>
      </c>
      <c r="S613" s="6">
        <v>-8360.83</v>
      </c>
      <c r="T613" t="s">
        <v>254</v>
      </c>
      <c r="U613">
        <v>160</v>
      </c>
      <c r="W613" s="7">
        <v>-854</v>
      </c>
      <c r="AK613">
        <v>9.7901990632318494</v>
      </c>
    </row>
    <row r="614" spans="1:37" x14ac:dyDescent="0.35">
      <c r="A614">
        <v>12</v>
      </c>
      <c r="B614">
        <v>2023</v>
      </c>
      <c r="C614" t="s">
        <v>33</v>
      </c>
      <c r="D614" t="e">
        <v>#N/A</v>
      </c>
      <c r="E614" s="18" t="s">
        <v>390</v>
      </c>
      <c r="F614" s="3" t="s">
        <v>36</v>
      </c>
      <c r="G614" s="2" t="s">
        <v>43</v>
      </c>
      <c r="H614" s="3">
        <v>50566</v>
      </c>
      <c r="I614" s="3">
        <v>2427</v>
      </c>
      <c r="J614" s="2" t="s">
        <v>358</v>
      </c>
      <c r="K614" t="s">
        <v>226</v>
      </c>
      <c r="L614" t="s">
        <v>267</v>
      </c>
      <c r="M614" t="s">
        <v>40</v>
      </c>
      <c r="O614" t="e">
        <v>#N/A</v>
      </c>
      <c r="P614">
        <v>45286</v>
      </c>
      <c r="S614" s="6">
        <v>-4131.46</v>
      </c>
      <c r="T614" t="s">
        <v>254</v>
      </c>
      <c r="U614">
        <v>160</v>
      </c>
      <c r="W614" s="7">
        <v>-422</v>
      </c>
      <c r="AK614">
        <v>9.7901895734597151</v>
      </c>
    </row>
    <row r="615" spans="1:37" x14ac:dyDescent="0.35">
      <c r="A615">
        <v>12</v>
      </c>
      <c r="B615">
        <v>2023</v>
      </c>
      <c r="C615" t="s">
        <v>33</v>
      </c>
      <c r="D615" t="e">
        <v>#N/A</v>
      </c>
      <c r="E615" s="18" t="s">
        <v>390</v>
      </c>
      <c r="F615" s="3" t="s">
        <v>36</v>
      </c>
      <c r="G615" s="2" t="s">
        <v>43</v>
      </c>
      <c r="H615" s="3">
        <v>50566</v>
      </c>
      <c r="I615" s="3">
        <v>2426</v>
      </c>
      <c r="J615" s="2" t="s">
        <v>360</v>
      </c>
      <c r="K615" t="s">
        <v>226</v>
      </c>
      <c r="L615" t="s">
        <v>267</v>
      </c>
      <c r="M615" t="s">
        <v>40</v>
      </c>
      <c r="O615" t="e">
        <v>#N/A</v>
      </c>
      <c r="P615">
        <v>45286</v>
      </c>
      <c r="S615" s="6">
        <v>-4060.49</v>
      </c>
      <c r="T615" t="s">
        <v>254</v>
      </c>
      <c r="U615">
        <v>160</v>
      </c>
      <c r="W615" s="7">
        <v>-553</v>
      </c>
      <c r="AK615">
        <v>7.3426582278481005</v>
      </c>
    </row>
    <row r="616" spans="1:37" x14ac:dyDescent="0.35">
      <c r="A616">
        <v>12</v>
      </c>
      <c r="B616">
        <v>2023</v>
      </c>
      <c r="C616" t="s">
        <v>33</v>
      </c>
      <c r="D616" t="e">
        <v>#N/A</v>
      </c>
      <c r="E616" s="18" t="s">
        <v>390</v>
      </c>
      <c r="F616" s="3" t="s">
        <v>36</v>
      </c>
      <c r="G616" s="2" t="s">
        <v>43</v>
      </c>
      <c r="H616" s="3">
        <v>50566</v>
      </c>
      <c r="I616" s="3">
        <v>2429</v>
      </c>
      <c r="J616" s="2" t="s">
        <v>356</v>
      </c>
      <c r="K616" t="s">
        <v>226</v>
      </c>
      <c r="L616" t="s">
        <v>267</v>
      </c>
      <c r="M616" t="s">
        <v>40</v>
      </c>
      <c r="O616" t="e">
        <v>#N/A</v>
      </c>
      <c r="P616">
        <v>45286</v>
      </c>
      <c r="S616" s="6">
        <v>-5746.85</v>
      </c>
      <c r="T616" t="s">
        <v>254</v>
      </c>
      <c r="U616">
        <v>160</v>
      </c>
      <c r="W616" s="7">
        <v>-587</v>
      </c>
      <c r="AK616">
        <v>9.790204429301534</v>
      </c>
    </row>
    <row r="617" spans="1:37" x14ac:dyDescent="0.35">
      <c r="A617">
        <v>12</v>
      </c>
      <c r="B617">
        <v>2023</v>
      </c>
      <c r="C617" t="s">
        <v>33</v>
      </c>
      <c r="D617" t="e">
        <v>#N/A</v>
      </c>
      <c r="E617" s="18" t="s">
        <v>390</v>
      </c>
      <c r="F617" s="3" t="s">
        <v>36</v>
      </c>
      <c r="G617" s="2" t="s">
        <v>43</v>
      </c>
      <c r="H617" s="3">
        <v>50566</v>
      </c>
      <c r="I617" s="3">
        <v>2425</v>
      </c>
      <c r="J617" s="2" t="s">
        <v>361</v>
      </c>
      <c r="K617" t="s">
        <v>226</v>
      </c>
      <c r="L617" t="s">
        <v>267</v>
      </c>
      <c r="M617" t="s">
        <v>40</v>
      </c>
      <c r="O617" t="e">
        <v>#N/A</v>
      </c>
      <c r="P617">
        <v>45286</v>
      </c>
      <c r="S617" s="6">
        <v>-3563.63</v>
      </c>
      <c r="T617" t="s">
        <v>254</v>
      </c>
      <c r="U617">
        <v>160</v>
      </c>
      <c r="W617" s="7">
        <v>-560</v>
      </c>
      <c r="AK617">
        <v>6.3636249999999999</v>
      </c>
    </row>
    <row r="618" spans="1:37" x14ac:dyDescent="0.35">
      <c r="A618">
        <v>12</v>
      </c>
      <c r="B618">
        <v>2023</v>
      </c>
      <c r="C618" t="s">
        <v>33</v>
      </c>
      <c r="D618" t="e">
        <v>#N/A</v>
      </c>
      <c r="E618" s="18" t="s">
        <v>390</v>
      </c>
      <c r="F618" s="3" t="s">
        <v>36</v>
      </c>
      <c r="G618" s="2" t="s">
        <v>43</v>
      </c>
      <c r="H618" s="3">
        <v>50566</v>
      </c>
      <c r="I618" s="3">
        <v>2424</v>
      </c>
      <c r="J618" s="2" t="s">
        <v>362</v>
      </c>
      <c r="K618" t="s">
        <v>226</v>
      </c>
      <c r="L618" t="s">
        <v>267</v>
      </c>
      <c r="M618" t="s">
        <v>40</v>
      </c>
      <c r="O618" t="e">
        <v>#N/A</v>
      </c>
      <c r="P618">
        <v>45286</v>
      </c>
      <c r="S618" s="6">
        <v>-9128.3799999999992</v>
      </c>
      <c r="T618" t="s">
        <v>254</v>
      </c>
      <c r="U618">
        <v>180</v>
      </c>
      <c r="W618" s="7">
        <v>-1332</v>
      </c>
      <c r="AK618">
        <v>6.8531381381381378</v>
      </c>
    </row>
    <row r="619" spans="1:37" x14ac:dyDescent="0.35">
      <c r="A619">
        <v>12</v>
      </c>
      <c r="B619">
        <v>2023</v>
      </c>
      <c r="C619" t="s">
        <v>33</v>
      </c>
      <c r="D619" t="e">
        <v>#N/A</v>
      </c>
      <c r="E619" s="18" t="s">
        <v>390</v>
      </c>
      <c r="F619" s="3" t="s">
        <v>36</v>
      </c>
      <c r="G619" s="2" t="s">
        <v>43</v>
      </c>
      <c r="H619" s="3">
        <v>50566</v>
      </c>
      <c r="I619" s="3">
        <v>2423</v>
      </c>
      <c r="J619" s="2" t="s">
        <v>363</v>
      </c>
      <c r="K619" t="s">
        <v>226</v>
      </c>
      <c r="L619" t="s">
        <v>267</v>
      </c>
      <c r="M619" t="s">
        <v>40</v>
      </c>
      <c r="O619" t="e">
        <v>#N/A</v>
      </c>
      <c r="P619">
        <v>45286</v>
      </c>
      <c r="S619" s="6">
        <v>-3811.32</v>
      </c>
      <c r="T619" t="s">
        <v>254</v>
      </c>
      <c r="U619">
        <v>180</v>
      </c>
      <c r="W619" s="7">
        <v>-458</v>
      </c>
      <c r="AK619">
        <v>8.3216593886462888</v>
      </c>
    </row>
    <row r="620" spans="1:37" x14ac:dyDescent="0.35">
      <c r="A620">
        <v>12</v>
      </c>
      <c r="B620">
        <v>2023</v>
      </c>
      <c r="C620" t="s">
        <v>33</v>
      </c>
      <c r="D620" t="e">
        <v>#N/A</v>
      </c>
      <c r="E620" s="18" t="s">
        <v>390</v>
      </c>
      <c r="F620" s="3" t="s">
        <v>36</v>
      </c>
      <c r="G620" s="2" t="s">
        <v>43</v>
      </c>
      <c r="H620" s="3">
        <v>50566</v>
      </c>
      <c r="I620" s="3">
        <v>2433</v>
      </c>
      <c r="J620" s="2" t="s">
        <v>366</v>
      </c>
      <c r="K620" t="s">
        <v>226</v>
      </c>
      <c r="L620" t="s">
        <v>267</v>
      </c>
      <c r="M620" t="s">
        <v>40</v>
      </c>
      <c r="O620" t="e">
        <v>#N/A</v>
      </c>
      <c r="P620">
        <v>45286</v>
      </c>
      <c r="S620" s="6">
        <v>-3994.4</v>
      </c>
      <c r="T620" t="s">
        <v>254</v>
      </c>
      <c r="U620">
        <v>160</v>
      </c>
      <c r="W620" s="7">
        <v>-408</v>
      </c>
      <c r="AK620">
        <v>9.7901960784313733</v>
      </c>
    </row>
    <row r="621" spans="1:37" x14ac:dyDescent="0.35">
      <c r="A621">
        <v>12</v>
      </c>
      <c r="B621">
        <v>2023</v>
      </c>
      <c r="C621" t="s">
        <v>33</v>
      </c>
      <c r="D621" t="e">
        <v>#N/A</v>
      </c>
      <c r="E621" s="18" t="s">
        <v>390</v>
      </c>
      <c r="F621" s="3" t="s">
        <v>36</v>
      </c>
      <c r="G621" s="2" t="s">
        <v>43</v>
      </c>
      <c r="H621" s="3">
        <v>50566</v>
      </c>
      <c r="I621" s="3">
        <v>2430</v>
      </c>
      <c r="J621" s="2" t="s">
        <v>359</v>
      </c>
      <c r="K621" t="s">
        <v>226</v>
      </c>
      <c r="L621" t="s">
        <v>267</v>
      </c>
      <c r="M621" t="s">
        <v>40</v>
      </c>
      <c r="O621" t="e">
        <v>#N/A</v>
      </c>
      <c r="P621">
        <v>45286</v>
      </c>
      <c r="S621" s="6">
        <v>-3896.5</v>
      </c>
      <c r="T621" t="s">
        <v>254</v>
      </c>
      <c r="U621">
        <v>160</v>
      </c>
      <c r="W621" s="7">
        <v>-398</v>
      </c>
      <c r="AK621">
        <v>9.7902010050251249</v>
      </c>
    </row>
    <row r="622" spans="1:37" x14ac:dyDescent="0.35">
      <c r="A622">
        <v>12</v>
      </c>
      <c r="B622">
        <v>2023</v>
      </c>
      <c r="C622" t="s">
        <v>33</v>
      </c>
      <c r="D622" t="e">
        <v>#N/A</v>
      </c>
      <c r="E622" s="18" t="s">
        <v>390</v>
      </c>
      <c r="F622" s="3" t="s">
        <v>36</v>
      </c>
      <c r="G622" s="2" t="s">
        <v>43</v>
      </c>
      <c r="H622" s="3">
        <v>50566</v>
      </c>
      <c r="I622" s="3">
        <v>2431</v>
      </c>
      <c r="J622" s="2" t="s">
        <v>364</v>
      </c>
      <c r="K622" t="s">
        <v>226</v>
      </c>
      <c r="L622" t="s">
        <v>267</v>
      </c>
      <c r="M622" t="s">
        <v>40</v>
      </c>
      <c r="O622" t="e">
        <v>#N/A</v>
      </c>
      <c r="P622">
        <v>45286</v>
      </c>
      <c r="S622" s="6">
        <v>-4307.6899999999996</v>
      </c>
      <c r="T622" t="s">
        <v>254</v>
      </c>
      <c r="U622">
        <v>160</v>
      </c>
      <c r="W622" s="7">
        <v>-440</v>
      </c>
      <c r="AK622">
        <v>9.7902045454545448</v>
      </c>
    </row>
    <row r="623" spans="1:37" x14ac:dyDescent="0.35">
      <c r="A623">
        <v>12</v>
      </c>
      <c r="B623">
        <v>2023</v>
      </c>
      <c r="C623" t="s">
        <v>33</v>
      </c>
      <c r="D623" t="e">
        <v>#N/A</v>
      </c>
      <c r="E623" s="18" t="s">
        <v>390</v>
      </c>
      <c r="F623" s="3" t="s">
        <v>36</v>
      </c>
      <c r="G623" s="2" t="s">
        <v>43</v>
      </c>
      <c r="H623" s="3">
        <v>50566</v>
      </c>
      <c r="I623" s="3">
        <v>2432</v>
      </c>
      <c r="J623" s="2" t="s">
        <v>365</v>
      </c>
      <c r="K623" t="s">
        <v>226</v>
      </c>
      <c r="L623" t="s">
        <v>267</v>
      </c>
      <c r="M623" t="s">
        <v>40</v>
      </c>
      <c r="O623" t="e">
        <v>#N/A</v>
      </c>
      <c r="P623">
        <v>45286</v>
      </c>
      <c r="S623" s="6">
        <v>-7176.22</v>
      </c>
      <c r="T623" t="s">
        <v>254</v>
      </c>
      <c r="U623">
        <v>160</v>
      </c>
      <c r="W623" s="7">
        <v>-733</v>
      </c>
      <c r="AK623">
        <v>9.7902046384720336</v>
      </c>
    </row>
    <row r="624" spans="1:37" x14ac:dyDescent="0.35">
      <c r="A624">
        <v>12</v>
      </c>
      <c r="B624">
        <v>2023</v>
      </c>
      <c r="C624" t="s">
        <v>33</v>
      </c>
      <c r="D624" t="e">
        <v>#N/A</v>
      </c>
      <c r="E624" s="18" t="s">
        <v>390</v>
      </c>
      <c r="F624" s="3" t="s">
        <v>36</v>
      </c>
      <c r="G624" s="2" t="s">
        <v>43</v>
      </c>
      <c r="H624" s="3">
        <v>50566</v>
      </c>
      <c r="I624" s="3">
        <v>2434</v>
      </c>
      <c r="J624" s="2" t="s">
        <v>367</v>
      </c>
      <c r="K624" t="s">
        <v>226</v>
      </c>
      <c r="L624" t="s">
        <v>267</v>
      </c>
      <c r="M624" t="s">
        <v>40</v>
      </c>
      <c r="O624" t="e">
        <v>#N/A</v>
      </c>
      <c r="P624">
        <v>45286</v>
      </c>
      <c r="S624" s="6">
        <v>-4864.26</v>
      </c>
      <c r="T624" t="s">
        <v>254</v>
      </c>
      <c r="U624">
        <v>180</v>
      </c>
      <c r="W624" s="7">
        <v>-523</v>
      </c>
      <c r="AK624">
        <v>9.3006883365200768</v>
      </c>
    </row>
    <row r="625" spans="1:37" x14ac:dyDescent="0.35">
      <c r="A625">
        <v>12</v>
      </c>
      <c r="B625">
        <v>2023</v>
      </c>
      <c r="C625" t="s">
        <v>33</v>
      </c>
      <c r="D625" t="e">
        <v>#N/A</v>
      </c>
      <c r="E625" s="18" t="s">
        <v>390</v>
      </c>
      <c r="F625" s="3" t="s">
        <v>36</v>
      </c>
      <c r="G625" s="2" t="s">
        <v>43</v>
      </c>
      <c r="H625" s="3">
        <v>50566</v>
      </c>
      <c r="I625" s="3">
        <v>2435</v>
      </c>
      <c r="J625" s="2" t="s">
        <v>368</v>
      </c>
      <c r="K625" t="s">
        <v>226</v>
      </c>
      <c r="L625" t="s">
        <v>267</v>
      </c>
      <c r="M625" t="s">
        <v>40</v>
      </c>
      <c r="O625" t="e">
        <v>#N/A</v>
      </c>
      <c r="P625">
        <v>45286</v>
      </c>
      <c r="S625" s="6">
        <v>-5269.09</v>
      </c>
      <c r="T625" t="s">
        <v>254</v>
      </c>
      <c r="U625">
        <v>180</v>
      </c>
      <c r="W625" s="7">
        <v>-598</v>
      </c>
      <c r="AK625">
        <v>8.8111872909698992</v>
      </c>
    </row>
    <row r="626" spans="1:37" x14ac:dyDescent="0.35">
      <c r="A626">
        <v>12</v>
      </c>
      <c r="B626">
        <v>2023</v>
      </c>
      <c r="C626" t="s">
        <v>33</v>
      </c>
      <c r="D626" t="e">
        <v>#N/A</v>
      </c>
      <c r="E626" s="18" t="s">
        <v>390</v>
      </c>
      <c r="F626" s="3" t="s">
        <v>36</v>
      </c>
      <c r="G626" s="2" t="s">
        <v>43</v>
      </c>
      <c r="H626" s="3">
        <v>50566</v>
      </c>
      <c r="I626" s="3">
        <v>2544</v>
      </c>
      <c r="J626" s="2" t="s">
        <v>369</v>
      </c>
      <c r="K626" t="s">
        <v>226</v>
      </c>
      <c r="L626" t="s">
        <v>267</v>
      </c>
      <c r="M626" t="s">
        <v>40</v>
      </c>
      <c r="O626" t="e">
        <v>#N/A</v>
      </c>
      <c r="P626">
        <v>45286</v>
      </c>
      <c r="S626" s="6">
        <v>-2165.59</v>
      </c>
      <c r="T626" t="s">
        <v>254</v>
      </c>
      <c r="U626">
        <v>180</v>
      </c>
      <c r="W626" s="7">
        <v>-316</v>
      </c>
      <c r="AK626">
        <v>6.8531329113924055</v>
      </c>
    </row>
    <row r="627" spans="1:37" x14ac:dyDescent="0.35">
      <c r="A627">
        <v>12</v>
      </c>
      <c r="B627">
        <v>2023</v>
      </c>
      <c r="C627" t="s">
        <v>33</v>
      </c>
      <c r="D627" t="e">
        <v>#N/A</v>
      </c>
      <c r="E627" s="18" t="s">
        <v>390</v>
      </c>
      <c r="F627" s="3" t="s">
        <v>36</v>
      </c>
      <c r="G627" s="2" t="s">
        <v>43</v>
      </c>
      <c r="H627" s="3">
        <v>50566</v>
      </c>
      <c r="I627" s="3">
        <v>2422</v>
      </c>
      <c r="J627" s="2" t="s">
        <v>377</v>
      </c>
      <c r="K627" t="s">
        <v>226</v>
      </c>
      <c r="L627" t="s">
        <v>267</v>
      </c>
      <c r="M627" t="s">
        <v>40</v>
      </c>
      <c r="O627" t="e">
        <v>#N/A</v>
      </c>
      <c r="P627">
        <v>45286</v>
      </c>
      <c r="S627" s="6">
        <v>-4696.8500000000004</v>
      </c>
      <c r="T627" t="s">
        <v>254</v>
      </c>
      <c r="U627">
        <v>180</v>
      </c>
      <c r="W627" s="7">
        <v>-505</v>
      </c>
      <c r="AK627">
        <v>9.3006930693069307</v>
      </c>
    </row>
    <row r="628" spans="1:37" x14ac:dyDescent="0.35">
      <c r="A628">
        <v>12</v>
      </c>
      <c r="B628">
        <v>2023</v>
      </c>
      <c r="C628" t="s">
        <v>33</v>
      </c>
      <c r="D628" t="e">
        <v>#N/A</v>
      </c>
      <c r="E628" s="18" t="s">
        <v>390</v>
      </c>
      <c r="F628" s="3" t="s">
        <v>36</v>
      </c>
      <c r="G628" s="2" t="s">
        <v>43</v>
      </c>
      <c r="H628" s="3">
        <v>50566</v>
      </c>
      <c r="I628" s="3">
        <v>2412</v>
      </c>
      <c r="J628" s="2" t="s">
        <v>376</v>
      </c>
      <c r="K628" t="s">
        <v>226</v>
      </c>
      <c r="L628" t="s">
        <v>267</v>
      </c>
      <c r="M628" t="s">
        <v>40</v>
      </c>
      <c r="O628" t="e">
        <v>#N/A</v>
      </c>
      <c r="P628">
        <v>45286</v>
      </c>
      <c r="S628" s="6">
        <v>-4724.75</v>
      </c>
      <c r="T628" t="s">
        <v>254</v>
      </c>
      <c r="U628">
        <v>200</v>
      </c>
      <c r="W628" s="7">
        <v>-508</v>
      </c>
      <c r="AK628">
        <v>9.3006889763779519</v>
      </c>
    </row>
    <row r="629" spans="1:37" x14ac:dyDescent="0.35">
      <c r="A629">
        <v>12</v>
      </c>
      <c r="B629">
        <v>2023</v>
      </c>
      <c r="C629" t="s">
        <v>33</v>
      </c>
      <c r="D629" t="e">
        <v>#N/A</v>
      </c>
      <c r="E629" s="18" t="s">
        <v>390</v>
      </c>
      <c r="F629" s="3" t="s">
        <v>36</v>
      </c>
      <c r="G629" s="2" t="s">
        <v>43</v>
      </c>
      <c r="H629" s="3">
        <v>50566</v>
      </c>
      <c r="I629" s="3">
        <v>2406</v>
      </c>
      <c r="J629" s="2" t="s">
        <v>372</v>
      </c>
      <c r="K629" t="s">
        <v>226</v>
      </c>
      <c r="L629" t="s">
        <v>267</v>
      </c>
      <c r="M629" t="s">
        <v>40</v>
      </c>
      <c r="O629" t="e">
        <v>#N/A</v>
      </c>
      <c r="P629">
        <v>45286</v>
      </c>
      <c r="S629" s="6">
        <v>-4620.97</v>
      </c>
      <c r="T629" t="s">
        <v>254</v>
      </c>
      <c r="U629">
        <v>200</v>
      </c>
      <c r="W629" s="7">
        <v>-472</v>
      </c>
      <c r="AK629">
        <v>9.7901906779661019</v>
      </c>
    </row>
    <row r="630" spans="1:37" x14ac:dyDescent="0.35">
      <c r="A630">
        <v>12</v>
      </c>
      <c r="B630">
        <v>2023</v>
      </c>
      <c r="C630" t="s">
        <v>33</v>
      </c>
      <c r="D630" t="e">
        <v>#N/A</v>
      </c>
      <c r="E630" s="18" t="s">
        <v>390</v>
      </c>
      <c r="F630" s="3" t="s">
        <v>36</v>
      </c>
      <c r="G630" s="2" t="s">
        <v>43</v>
      </c>
      <c r="H630" s="3">
        <v>50566</v>
      </c>
      <c r="I630" s="3">
        <v>2407</v>
      </c>
      <c r="J630" s="2" t="s">
        <v>373</v>
      </c>
      <c r="K630" t="s">
        <v>226</v>
      </c>
      <c r="L630" t="s">
        <v>267</v>
      </c>
      <c r="M630" t="s">
        <v>40</v>
      </c>
      <c r="O630" t="e">
        <v>#N/A</v>
      </c>
      <c r="P630">
        <v>45286</v>
      </c>
      <c r="S630" s="6">
        <v>-4305</v>
      </c>
      <c r="T630" t="s">
        <v>254</v>
      </c>
      <c r="U630">
        <v>200</v>
      </c>
      <c r="W630" s="7">
        <v>-429</v>
      </c>
      <c r="AK630">
        <v>10.034965034965035</v>
      </c>
    </row>
    <row r="631" spans="1:37" x14ac:dyDescent="0.35">
      <c r="A631">
        <v>12</v>
      </c>
      <c r="B631">
        <v>2023</v>
      </c>
      <c r="C631" t="s">
        <v>33</v>
      </c>
      <c r="D631" t="e">
        <v>#N/A</v>
      </c>
      <c r="E631" s="18" t="s">
        <v>390</v>
      </c>
      <c r="F631" s="3" t="s">
        <v>36</v>
      </c>
      <c r="G631" s="2" t="s">
        <v>43</v>
      </c>
      <c r="H631" s="3">
        <v>50566</v>
      </c>
      <c r="I631" s="3">
        <v>2408</v>
      </c>
      <c r="J631" s="2" t="s">
        <v>374</v>
      </c>
      <c r="K631" t="s">
        <v>226</v>
      </c>
      <c r="L631" t="s">
        <v>267</v>
      </c>
      <c r="M631" t="s">
        <v>40</v>
      </c>
      <c r="O631" t="e">
        <v>#N/A</v>
      </c>
      <c r="P631">
        <v>45286</v>
      </c>
      <c r="S631" s="6">
        <v>-3913.63</v>
      </c>
      <c r="T631" t="s">
        <v>254</v>
      </c>
      <c r="U631">
        <v>200</v>
      </c>
      <c r="W631" s="7">
        <v>-410</v>
      </c>
      <c r="AK631">
        <v>9.5454390243902445</v>
      </c>
    </row>
    <row r="632" spans="1:37" x14ac:dyDescent="0.35">
      <c r="A632">
        <v>12</v>
      </c>
      <c r="B632">
        <v>2023</v>
      </c>
      <c r="C632" t="s">
        <v>33</v>
      </c>
      <c r="D632" t="e">
        <v>#N/A</v>
      </c>
      <c r="E632" s="18" t="s">
        <v>390</v>
      </c>
      <c r="F632" s="3" t="s">
        <v>36</v>
      </c>
      <c r="G632" s="2" t="s">
        <v>43</v>
      </c>
      <c r="H632" s="3">
        <v>50566</v>
      </c>
      <c r="I632" s="3">
        <v>2409</v>
      </c>
      <c r="J632" s="2" t="s">
        <v>375</v>
      </c>
      <c r="K632" t="s">
        <v>226</v>
      </c>
      <c r="L632" t="s">
        <v>267</v>
      </c>
      <c r="M632" t="s">
        <v>40</v>
      </c>
      <c r="O632" t="e">
        <v>#N/A</v>
      </c>
      <c r="P632">
        <v>45286</v>
      </c>
      <c r="S632" s="6">
        <v>-3763.11</v>
      </c>
      <c r="T632" t="s">
        <v>254</v>
      </c>
      <c r="U632">
        <v>200</v>
      </c>
      <c r="W632" s="7">
        <v>-375</v>
      </c>
      <c r="AK632">
        <v>10.03496</v>
      </c>
    </row>
    <row r="633" spans="1:37" x14ac:dyDescent="0.35">
      <c r="A633">
        <v>12</v>
      </c>
      <c r="B633">
        <v>2023</v>
      </c>
      <c r="C633" t="s">
        <v>33</v>
      </c>
      <c r="D633" t="e">
        <v>#N/A</v>
      </c>
      <c r="E633" s="18" t="s">
        <v>390</v>
      </c>
      <c r="F633" s="3" t="s">
        <v>36</v>
      </c>
      <c r="G633" s="2" t="s">
        <v>43</v>
      </c>
      <c r="H633" s="3">
        <v>50566</v>
      </c>
      <c r="I633" s="3">
        <v>2411</v>
      </c>
      <c r="J633" s="2" t="s">
        <v>370</v>
      </c>
      <c r="K633" t="s">
        <v>226</v>
      </c>
      <c r="L633" t="s">
        <v>267</v>
      </c>
      <c r="M633" t="s">
        <v>40</v>
      </c>
      <c r="O633" t="e">
        <v>#N/A</v>
      </c>
      <c r="P633">
        <v>45286</v>
      </c>
      <c r="S633" s="6">
        <v>-4486.3599999999997</v>
      </c>
      <c r="T633" t="s">
        <v>254</v>
      </c>
      <c r="U633">
        <v>200</v>
      </c>
      <c r="W633" s="7">
        <v>-470</v>
      </c>
      <c r="AK633">
        <v>9.5454468085106381</v>
      </c>
    </row>
    <row r="634" spans="1:37" x14ac:dyDescent="0.35">
      <c r="A634">
        <v>12</v>
      </c>
      <c r="B634">
        <v>2023</v>
      </c>
      <c r="C634" t="s">
        <v>33</v>
      </c>
      <c r="D634" t="e">
        <v>#N/A</v>
      </c>
      <c r="E634" s="18" t="s">
        <v>390</v>
      </c>
      <c r="F634" s="3" t="s">
        <v>36</v>
      </c>
      <c r="G634" s="2" t="s">
        <v>43</v>
      </c>
      <c r="H634" s="3">
        <v>50566</v>
      </c>
      <c r="I634" s="3">
        <v>2420</v>
      </c>
      <c r="J634" s="2" t="s">
        <v>379</v>
      </c>
      <c r="K634" t="s">
        <v>226</v>
      </c>
      <c r="L634" t="s">
        <v>267</v>
      </c>
      <c r="M634" t="s">
        <v>40</v>
      </c>
      <c r="O634" t="e">
        <v>#N/A</v>
      </c>
      <c r="P634">
        <v>45286</v>
      </c>
      <c r="S634" s="6">
        <v>-12829.08</v>
      </c>
      <c r="T634" t="s">
        <v>254</v>
      </c>
      <c r="U634">
        <v>160</v>
      </c>
      <c r="W634" s="7">
        <v>-2016</v>
      </c>
      <c r="AK634">
        <v>6.3636309523809524</v>
      </c>
    </row>
    <row r="635" spans="1:37" x14ac:dyDescent="0.35">
      <c r="A635">
        <v>12</v>
      </c>
      <c r="B635">
        <v>2023</v>
      </c>
      <c r="C635" t="s">
        <v>33</v>
      </c>
      <c r="D635" t="e">
        <v>#N/A</v>
      </c>
      <c r="E635" s="18" t="s">
        <v>390</v>
      </c>
      <c r="F635" s="3" t="s">
        <v>36</v>
      </c>
      <c r="G635" s="2" t="s">
        <v>43</v>
      </c>
      <c r="H635" s="3">
        <v>50566</v>
      </c>
      <c r="I635" s="3">
        <v>2417</v>
      </c>
      <c r="J635" s="2" t="s">
        <v>382</v>
      </c>
      <c r="K635" t="s">
        <v>226</v>
      </c>
      <c r="L635" t="s">
        <v>267</v>
      </c>
      <c r="M635" t="s">
        <v>40</v>
      </c>
      <c r="O635" t="e">
        <v>#N/A</v>
      </c>
      <c r="P635">
        <v>45286</v>
      </c>
      <c r="S635" s="6">
        <v>-3494.71</v>
      </c>
      <c r="T635" t="s">
        <v>254</v>
      </c>
      <c r="U635">
        <v>200</v>
      </c>
      <c r="W635" s="7">
        <v>-368</v>
      </c>
      <c r="AK635">
        <v>9.4964945652173913</v>
      </c>
    </row>
    <row r="636" spans="1:37" x14ac:dyDescent="0.35">
      <c r="A636">
        <v>12</v>
      </c>
      <c r="B636">
        <v>2023</v>
      </c>
      <c r="C636" t="s">
        <v>33</v>
      </c>
      <c r="D636" t="e">
        <v>#N/A</v>
      </c>
      <c r="E636" s="18" t="s">
        <v>390</v>
      </c>
      <c r="F636" s="3" t="s">
        <v>36</v>
      </c>
      <c r="G636" s="2" t="s">
        <v>43</v>
      </c>
      <c r="H636" s="3">
        <v>50566</v>
      </c>
      <c r="I636" s="3">
        <v>2419</v>
      </c>
      <c r="J636" s="2" t="s">
        <v>380</v>
      </c>
      <c r="K636" t="s">
        <v>226</v>
      </c>
      <c r="L636" t="s">
        <v>267</v>
      </c>
      <c r="M636" t="s">
        <v>40</v>
      </c>
      <c r="O636" t="e">
        <v>#N/A</v>
      </c>
      <c r="P636">
        <v>45286</v>
      </c>
      <c r="S636" s="6">
        <v>-4758.04</v>
      </c>
      <c r="T636" t="s">
        <v>254</v>
      </c>
      <c r="U636">
        <v>180</v>
      </c>
      <c r="W636" s="7">
        <v>-486</v>
      </c>
      <c r="AK636">
        <v>9.7902057613168729</v>
      </c>
    </row>
    <row r="637" spans="1:37" x14ac:dyDescent="0.35">
      <c r="A637">
        <v>12</v>
      </c>
      <c r="B637">
        <v>2023</v>
      </c>
      <c r="C637" t="s">
        <v>33</v>
      </c>
      <c r="D637" t="e">
        <v>#N/A</v>
      </c>
      <c r="E637" s="18" t="s">
        <v>390</v>
      </c>
      <c r="F637" s="3" t="s">
        <v>36</v>
      </c>
      <c r="G637" s="2" t="s">
        <v>43</v>
      </c>
      <c r="H637" s="3">
        <v>50566</v>
      </c>
      <c r="I637" s="3">
        <v>2418</v>
      </c>
      <c r="J637" s="2" t="s">
        <v>378</v>
      </c>
      <c r="K637" t="s">
        <v>226</v>
      </c>
      <c r="L637" t="s">
        <v>267</v>
      </c>
      <c r="M637" t="s">
        <v>40</v>
      </c>
      <c r="O637" t="e">
        <v>#N/A</v>
      </c>
      <c r="P637">
        <v>45286</v>
      </c>
      <c r="S637" s="6">
        <v>-4244.93</v>
      </c>
      <c r="T637" t="s">
        <v>254</v>
      </c>
      <c r="U637">
        <v>200</v>
      </c>
      <c r="W637" s="7">
        <v>-447</v>
      </c>
      <c r="AK637">
        <v>9.4964876957494422</v>
      </c>
    </row>
    <row r="638" spans="1:37" x14ac:dyDescent="0.35">
      <c r="A638">
        <v>12</v>
      </c>
      <c r="B638">
        <v>2023</v>
      </c>
      <c r="C638" t="s">
        <v>33</v>
      </c>
      <c r="D638" t="e">
        <v>#N/A</v>
      </c>
      <c r="E638" s="18" t="s">
        <v>390</v>
      </c>
      <c r="F638" s="3" t="s">
        <v>36</v>
      </c>
      <c r="G638" s="2" t="s">
        <v>43</v>
      </c>
      <c r="H638" s="3">
        <v>50566</v>
      </c>
      <c r="I638" s="3">
        <v>2413</v>
      </c>
      <c r="J638" s="2" t="s">
        <v>371</v>
      </c>
      <c r="K638" t="s">
        <v>226</v>
      </c>
      <c r="L638" t="s">
        <v>267</v>
      </c>
      <c r="M638" t="s">
        <v>40</v>
      </c>
      <c r="O638" t="e">
        <v>#N/A</v>
      </c>
      <c r="P638">
        <v>45286</v>
      </c>
      <c r="S638" s="6">
        <v>-8469.99</v>
      </c>
      <c r="T638" t="s">
        <v>254</v>
      </c>
      <c r="U638">
        <v>200</v>
      </c>
      <c r="W638" s="7">
        <v>-1331</v>
      </c>
      <c r="AK638">
        <v>6.3636288504883547</v>
      </c>
    </row>
    <row r="639" spans="1:37" x14ac:dyDescent="0.35">
      <c r="A639">
        <v>12</v>
      </c>
      <c r="B639">
        <v>2023</v>
      </c>
      <c r="C639" t="s">
        <v>33</v>
      </c>
      <c r="D639" t="e">
        <v>#N/A</v>
      </c>
      <c r="E639" s="18" t="s">
        <v>390</v>
      </c>
      <c r="F639" s="3" t="s">
        <v>36</v>
      </c>
      <c r="G639" s="2" t="s">
        <v>43</v>
      </c>
      <c r="H639" s="3">
        <v>50566</v>
      </c>
      <c r="I639" s="3">
        <v>2416</v>
      </c>
      <c r="J639" s="2" t="s">
        <v>383</v>
      </c>
      <c r="K639" t="s">
        <v>226</v>
      </c>
      <c r="L639" t="s">
        <v>267</v>
      </c>
      <c r="M639" t="s">
        <v>40</v>
      </c>
      <c r="O639" t="e">
        <v>#N/A</v>
      </c>
      <c r="P639">
        <v>45286</v>
      </c>
      <c r="S639" s="6">
        <v>-4901.46</v>
      </c>
      <c r="T639" t="s">
        <v>254</v>
      </c>
      <c r="U639">
        <v>200</v>
      </c>
      <c r="W639" s="7">
        <v>-527</v>
      </c>
      <c r="AK639">
        <v>9.3006831119544593</v>
      </c>
    </row>
    <row r="640" spans="1:37" x14ac:dyDescent="0.35">
      <c r="A640">
        <v>12</v>
      </c>
      <c r="B640">
        <v>2023</v>
      </c>
      <c r="C640" t="s">
        <v>33</v>
      </c>
      <c r="D640" t="e">
        <v>#N/A</v>
      </c>
      <c r="E640" s="18" t="s">
        <v>390</v>
      </c>
      <c r="F640" s="3" t="s">
        <v>36</v>
      </c>
      <c r="G640" s="2" t="s">
        <v>43</v>
      </c>
      <c r="H640" s="3">
        <v>50566</v>
      </c>
      <c r="I640" s="3">
        <v>2415</v>
      </c>
      <c r="J640" s="2" t="s">
        <v>381</v>
      </c>
      <c r="K640" t="s">
        <v>226</v>
      </c>
      <c r="L640" t="s">
        <v>267</v>
      </c>
      <c r="M640" t="s">
        <v>40</v>
      </c>
      <c r="O640" t="e">
        <v>#N/A</v>
      </c>
      <c r="P640">
        <v>45286</v>
      </c>
      <c r="S640" s="6">
        <v>-10318.629999999999</v>
      </c>
      <c r="T640" t="s">
        <v>254</v>
      </c>
      <c r="U640">
        <v>200</v>
      </c>
      <c r="W640" s="7">
        <v>-1081</v>
      </c>
      <c r="AK640">
        <v>9.5454486586493985</v>
      </c>
    </row>
    <row r="641" spans="1:37" x14ac:dyDescent="0.35">
      <c r="A641">
        <v>3</v>
      </c>
      <c r="B641">
        <v>2024</v>
      </c>
      <c r="C641" t="s">
        <v>33</v>
      </c>
      <c r="D641" t="s">
        <v>34</v>
      </c>
      <c r="E641" t="s">
        <v>116</v>
      </c>
      <c r="F641" s="3" t="s">
        <v>36</v>
      </c>
      <c r="G641" s="2" t="s">
        <v>50</v>
      </c>
      <c r="H641" s="3">
        <v>51789</v>
      </c>
      <c r="I641" s="3">
        <v>1422</v>
      </c>
      <c r="J641" s="2" t="s">
        <v>339</v>
      </c>
      <c r="K641" t="s">
        <v>116</v>
      </c>
      <c r="L641" t="s">
        <v>267</v>
      </c>
      <c r="M641" t="s">
        <v>40</v>
      </c>
      <c r="O641" t="s">
        <v>34</v>
      </c>
      <c r="P641">
        <v>45358</v>
      </c>
      <c r="S641" s="6">
        <v>7535.17</v>
      </c>
      <c r="T641" t="s">
        <v>254</v>
      </c>
      <c r="U641">
        <v>240</v>
      </c>
      <c r="W641" s="7">
        <v>380</v>
      </c>
      <c r="AK641">
        <v>19.829394736842104</v>
      </c>
    </row>
    <row r="642" spans="1:37" x14ac:dyDescent="0.35">
      <c r="A642">
        <v>3</v>
      </c>
      <c r="B642">
        <v>2024</v>
      </c>
      <c r="C642" t="s">
        <v>33</v>
      </c>
      <c r="D642" t="s">
        <v>34</v>
      </c>
      <c r="E642" t="s">
        <v>116</v>
      </c>
      <c r="F642" s="3" t="s">
        <v>36</v>
      </c>
      <c r="G642" s="2" t="s">
        <v>50</v>
      </c>
      <c r="H642" s="3">
        <v>52108</v>
      </c>
      <c r="I642" s="3">
        <v>1419</v>
      </c>
      <c r="J642" s="2" t="s">
        <v>341</v>
      </c>
      <c r="K642" t="s">
        <v>116</v>
      </c>
      <c r="L642" t="s">
        <v>267</v>
      </c>
      <c r="M642" t="s">
        <v>40</v>
      </c>
      <c r="O642" t="s">
        <v>34</v>
      </c>
      <c r="P642">
        <v>45377</v>
      </c>
      <c r="S642" s="6">
        <v>6743.54</v>
      </c>
      <c r="T642" t="s">
        <v>254</v>
      </c>
      <c r="U642">
        <v>180</v>
      </c>
      <c r="W642" s="7">
        <v>601</v>
      </c>
      <c r="AK642">
        <v>11.22053244592346</v>
      </c>
    </row>
    <row r="643" spans="1:37" x14ac:dyDescent="0.35">
      <c r="A643">
        <v>3</v>
      </c>
      <c r="B643">
        <v>2024</v>
      </c>
      <c r="C643" t="s">
        <v>33</v>
      </c>
      <c r="D643" t="s">
        <v>34</v>
      </c>
      <c r="E643" t="s">
        <v>116</v>
      </c>
      <c r="F643" s="3" t="s">
        <v>36</v>
      </c>
      <c r="G643" s="2" t="s">
        <v>50</v>
      </c>
      <c r="H643" s="3">
        <v>52108</v>
      </c>
      <c r="I643" s="3">
        <v>1419</v>
      </c>
      <c r="J643" s="2" t="s">
        <v>341</v>
      </c>
      <c r="K643" t="s">
        <v>116</v>
      </c>
      <c r="L643" t="s">
        <v>267</v>
      </c>
      <c r="M643" t="s">
        <v>40</v>
      </c>
      <c r="O643" t="s">
        <v>34</v>
      </c>
      <c r="P643">
        <v>45377</v>
      </c>
      <c r="S643" s="6">
        <v>46217.34</v>
      </c>
      <c r="T643" t="s">
        <v>254</v>
      </c>
      <c r="U643">
        <v>180</v>
      </c>
      <c r="W643" s="7">
        <v>4119</v>
      </c>
      <c r="AK643">
        <v>11.220524399126001</v>
      </c>
    </row>
    <row r="644" spans="1:37" x14ac:dyDescent="0.35">
      <c r="A644">
        <v>3</v>
      </c>
      <c r="B644">
        <v>2024</v>
      </c>
      <c r="C644" t="s">
        <v>33</v>
      </c>
      <c r="D644" t="s">
        <v>34</v>
      </c>
      <c r="E644" t="s">
        <v>116</v>
      </c>
      <c r="F644" s="3" t="s">
        <v>36</v>
      </c>
      <c r="G644" s="2" t="s">
        <v>50</v>
      </c>
      <c r="H644" s="3">
        <v>52108</v>
      </c>
      <c r="I644" s="3">
        <v>1422</v>
      </c>
      <c r="J644" s="2" t="s">
        <v>339</v>
      </c>
      <c r="K644" t="s">
        <v>116</v>
      </c>
      <c r="L644" t="s">
        <v>267</v>
      </c>
      <c r="M644" t="s">
        <v>40</v>
      </c>
      <c r="O644" t="s">
        <v>34</v>
      </c>
      <c r="P644">
        <v>45377</v>
      </c>
      <c r="S644" s="6">
        <v>35211.75</v>
      </c>
      <c r="T644" t="s">
        <v>254</v>
      </c>
      <c r="U644">
        <v>240</v>
      </c>
      <c r="W644" s="7">
        <v>2495</v>
      </c>
      <c r="AK644">
        <v>14.112925851703407</v>
      </c>
    </row>
    <row r="645" spans="1:37" x14ac:dyDescent="0.35">
      <c r="A645">
        <v>3</v>
      </c>
      <c r="B645">
        <v>2024</v>
      </c>
      <c r="C645" t="s">
        <v>33</v>
      </c>
      <c r="D645" t="s">
        <v>34</v>
      </c>
      <c r="E645" t="s">
        <v>42</v>
      </c>
      <c r="F645" s="3" t="s">
        <v>36</v>
      </c>
      <c r="G645" s="2" t="s">
        <v>43</v>
      </c>
      <c r="H645" s="3">
        <v>52147</v>
      </c>
      <c r="I645" s="3">
        <v>1525</v>
      </c>
      <c r="J645" s="2" t="s">
        <v>283</v>
      </c>
      <c r="K645" t="s">
        <v>42</v>
      </c>
      <c r="L645" t="s">
        <v>267</v>
      </c>
      <c r="M645" t="s">
        <v>40</v>
      </c>
      <c r="O645" t="s">
        <v>297</v>
      </c>
      <c r="P645">
        <v>45379</v>
      </c>
      <c r="S645" s="6">
        <v>27930.43</v>
      </c>
      <c r="T645" t="s">
        <v>254</v>
      </c>
      <c r="W645" s="7">
        <v>1486</v>
      </c>
      <c r="AK645">
        <v>18.795713324360701</v>
      </c>
    </row>
    <row r="646" spans="1:37" x14ac:dyDescent="0.35">
      <c r="A646">
        <v>3</v>
      </c>
      <c r="B646">
        <v>2024</v>
      </c>
      <c r="C646" t="s">
        <v>33</v>
      </c>
      <c r="D646" t="s">
        <v>34</v>
      </c>
      <c r="E646" t="s">
        <v>42</v>
      </c>
      <c r="F646" s="3" t="s">
        <v>36</v>
      </c>
      <c r="G646" s="2" t="s">
        <v>43</v>
      </c>
      <c r="H646" s="3">
        <v>52147</v>
      </c>
      <c r="I646" s="3">
        <v>2790</v>
      </c>
      <c r="J646" s="2" t="s">
        <v>409</v>
      </c>
      <c r="K646" t="s">
        <v>42</v>
      </c>
      <c r="L646" t="s">
        <v>267</v>
      </c>
      <c r="M646" t="s">
        <v>40</v>
      </c>
      <c r="O646" t="s">
        <v>297</v>
      </c>
      <c r="P646">
        <v>45379</v>
      </c>
      <c r="S646" s="6">
        <v>5343.77</v>
      </c>
      <c r="T646" t="s">
        <v>254</v>
      </c>
      <c r="W646" s="7">
        <v>348</v>
      </c>
      <c r="AK646">
        <v>15.355660919540231</v>
      </c>
    </row>
    <row r="647" spans="1:37" x14ac:dyDescent="0.35">
      <c r="A647">
        <v>3</v>
      </c>
      <c r="B647">
        <v>2024</v>
      </c>
      <c r="C647" t="s">
        <v>33</v>
      </c>
      <c r="D647" t="s">
        <v>34</v>
      </c>
      <c r="E647" t="s">
        <v>42</v>
      </c>
      <c r="F647" s="3" t="s">
        <v>36</v>
      </c>
      <c r="G647" s="2" t="s">
        <v>43</v>
      </c>
      <c r="H647" s="3">
        <v>52147</v>
      </c>
      <c r="I647" s="3">
        <v>2497</v>
      </c>
      <c r="J647" s="2" t="s">
        <v>386</v>
      </c>
      <c r="K647" t="s">
        <v>42</v>
      </c>
      <c r="L647" t="s">
        <v>267</v>
      </c>
      <c r="M647" t="s">
        <v>40</v>
      </c>
      <c r="O647" t="s">
        <v>297</v>
      </c>
      <c r="P647">
        <v>45379</v>
      </c>
      <c r="S647" s="6">
        <v>6760.47</v>
      </c>
      <c r="T647" t="s">
        <v>254</v>
      </c>
      <c r="W647" s="7">
        <v>565</v>
      </c>
      <c r="AK647">
        <v>11.965433628318584</v>
      </c>
    </row>
    <row r="648" spans="1:37" x14ac:dyDescent="0.35">
      <c r="A648">
        <v>3</v>
      </c>
      <c r="B648">
        <v>2024</v>
      </c>
      <c r="C648" t="s">
        <v>33</v>
      </c>
      <c r="D648" t="s">
        <v>34</v>
      </c>
      <c r="E648" t="s">
        <v>42</v>
      </c>
      <c r="F648" s="3" t="s">
        <v>36</v>
      </c>
      <c r="G648" s="2" t="s">
        <v>43</v>
      </c>
      <c r="H648" s="3">
        <v>52147</v>
      </c>
      <c r="I648" s="3">
        <v>2054</v>
      </c>
      <c r="J648" s="2" t="s">
        <v>330</v>
      </c>
      <c r="K648" t="s">
        <v>42</v>
      </c>
      <c r="L648" t="s">
        <v>267</v>
      </c>
      <c r="M648" t="s">
        <v>40</v>
      </c>
      <c r="O648" t="s">
        <v>297</v>
      </c>
      <c r="P648">
        <v>45379</v>
      </c>
      <c r="S648" s="6">
        <v>9811.66</v>
      </c>
      <c r="T648" t="s">
        <v>254</v>
      </c>
      <c r="W648" s="7">
        <v>615</v>
      </c>
      <c r="AK648">
        <v>15.953918699186991</v>
      </c>
    </row>
    <row r="649" spans="1:37" x14ac:dyDescent="0.35">
      <c r="A649">
        <v>3</v>
      </c>
      <c r="B649">
        <v>2024</v>
      </c>
      <c r="C649" t="s">
        <v>33</v>
      </c>
      <c r="D649" t="s">
        <v>34</v>
      </c>
      <c r="E649" t="s">
        <v>42</v>
      </c>
      <c r="F649" s="3" t="s">
        <v>36</v>
      </c>
      <c r="G649" s="2" t="s">
        <v>43</v>
      </c>
      <c r="H649" s="3">
        <v>52147</v>
      </c>
      <c r="I649" s="3">
        <v>2053</v>
      </c>
      <c r="J649" s="2" t="s">
        <v>331</v>
      </c>
      <c r="K649" t="s">
        <v>42</v>
      </c>
      <c r="L649" t="s">
        <v>267</v>
      </c>
      <c r="M649" t="s">
        <v>40</v>
      </c>
      <c r="O649" t="s">
        <v>297</v>
      </c>
      <c r="P649">
        <v>45379</v>
      </c>
      <c r="S649" s="6">
        <v>11628.41</v>
      </c>
      <c r="T649" t="s">
        <v>254</v>
      </c>
      <c r="W649" s="7">
        <v>686</v>
      </c>
      <c r="AK649">
        <v>16.951034985422741</v>
      </c>
    </row>
    <row r="650" spans="1:37" x14ac:dyDescent="0.35">
      <c r="A650">
        <v>3</v>
      </c>
      <c r="B650">
        <v>2024</v>
      </c>
      <c r="C650" t="s">
        <v>33</v>
      </c>
      <c r="D650" t="s">
        <v>34</v>
      </c>
      <c r="E650" t="s">
        <v>42</v>
      </c>
      <c r="F650" s="3" t="s">
        <v>36</v>
      </c>
      <c r="G650" s="2" t="s">
        <v>43</v>
      </c>
      <c r="H650" s="3">
        <v>52147</v>
      </c>
      <c r="I650" s="3">
        <v>1905</v>
      </c>
      <c r="J650" s="2" t="s">
        <v>291</v>
      </c>
      <c r="K650" t="s">
        <v>42</v>
      </c>
      <c r="L650" t="s">
        <v>267</v>
      </c>
      <c r="M650" t="s">
        <v>40</v>
      </c>
      <c r="O650" t="s">
        <v>297</v>
      </c>
      <c r="P650">
        <v>45379</v>
      </c>
      <c r="S650" s="6">
        <v>8016.84</v>
      </c>
      <c r="T650" t="s">
        <v>254</v>
      </c>
      <c r="W650" s="7">
        <v>1005</v>
      </c>
      <c r="AK650">
        <v>7.976955223880597</v>
      </c>
    </row>
    <row r="651" spans="1:37" x14ac:dyDescent="0.35">
      <c r="A651">
        <v>3</v>
      </c>
      <c r="B651">
        <v>2024</v>
      </c>
      <c r="C651" t="s">
        <v>33</v>
      </c>
      <c r="D651" t="s">
        <v>34</v>
      </c>
      <c r="E651" t="s">
        <v>42</v>
      </c>
      <c r="F651" s="3" t="s">
        <v>36</v>
      </c>
      <c r="G651" s="2" t="s">
        <v>43</v>
      </c>
      <c r="H651" s="3">
        <v>52147</v>
      </c>
      <c r="I651" s="3">
        <v>1504</v>
      </c>
      <c r="J651" s="2" t="s">
        <v>263</v>
      </c>
      <c r="K651" t="s">
        <v>42</v>
      </c>
      <c r="L651" t="s">
        <v>267</v>
      </c>
      <c r="M651" t="s">
        <v>40</v>
      </c>
      <c r="O651" t="s">
        <v>297</v>
      </c>
      <c r="P651">
        <v>45379</v>
      </c>
      <c r="S651" s="6">
        <v>47152.31</v>
      </c>
      <c r="T651" t="s">
        <v>254</v>
      </c>
      <c r="W651" s="7">
        <v>3206</v>
      </c>
      <c r="AK651">
        <v>14.70752027448534</v>
      </c>
    </row>
    <row r="652" spans="1:37" x14ac:dyDescent="0.35">
      <c r="A652">
        <v>3</v>
      </c>
      <c r="B652">
        <v>2024</v>
      </c>
      <c r="C652" t="s">
        <v>33</v>
      </c>
      <c r="D652" t="s">
        <v>34</v>
      </c>
      <c r="E652" t="s">
        <v>42</v>
      </c>
      <c r="F652" s="3" t="s">
        <v>36</v>
      </c>
      <c r="G652" s="2" t="s">
        <v>43</v>
      </c>
      <c r="H652" s="3">
        <v>52147</v>
      </c>
      <c r="I652" s="3">
        <v>1523</v>
      </c>
      <c r="J652" s="2" t="s">
        <v>282</v>
      </c>
      <c r="K652" t="s">
        <v>42</v>
      </c>
      <c r="L652" t="s">
        <v>267</v>
      </c>
      <c r="M652" t="s">
        <v>40</v>
      </c>
      <c r="O652" t="s">
        <v>297</v>
      </c>
      <c r="P652">
        <v>45379</v>
      </c>
      <c r="S652" s="6">
        <v>21537.79</v>
      </c>
      <c r="T652" t="s">
        <v>254</v>
      </c>
      <c r="W652" s="7">
        <v>3000</v>
      </c>
      <c r="AK652">
        <v>7.179263333333334</v>
      </c>
    </row>
    <row r="653" spans="1:37" x14ac:dyDescent="0.35">
      <c r="A653">
        <v>3</v>
      </c>
      <c r="B653">
        <v>2024</v>
      </c>
      <c r="C653" t="s">
        <v>33</v>
      </c>
      <c r="D653" t="s">
        <v>34</v>
      </c>
      <c r="E653" t="s">
        <v>42</v>
      </c>
      <c r="F653" s="3" t="s">
        <v>36</v>
      </c>
      <c r="G653" s="2" t="s">
        <v>43</v>
      </c>
      <c r="H653" s="3">
        <v>52147</v>
      </c>
      <c r="I653" s="3">
        <v>1236</v>
      </c>
      <c r="J653" s="2" t="s">
        <v>264</v>
      </c>
      <c r="K653" t="s">
        <v>42</v>
      </c>
      <c r="L653" t="s">
        <v>267</v>
      </c>
      <c r="M653" t="s">
        <v>40</v>
      </c>
      <c r="O653" t="s">
        <v>297</v>
      </c>
      <c r="P653">
        <v>45379</v>
      </c>
      <c r="S653" s="6">
        <v>26575.74</v>
      </c>
      <c r="T653" t="s">
        <v>254</v>
      </c>
      <c r="W653" s="7">
        <v>1523</v>
      </c>
      <c r="AK653">
        <v>17.449599474720948</v>
      </c>
    </row>
    <row r="654" spans="1:37" x14ac:dyDescent="0.35">
      <c r="A654">
        <v>3</v>
      </c>
      <c r="B654">
        <v>2024</v>
      </c>
      <c r="C654" t="s">
        <v>33</v>
      </c>
      <c r="D654" t="s">
        <v>34</v>
      </c>
      <c r="E654" t="s">
        <v>42</v>
      </c>
      <c r="F654" s="3" t="s">
        <v>36</v>
      </c>
      <c r="G654" s="2" t="s">
        <v>43</v>
      </c>
      <c r="H654" s="3">
        <v>52147</v>
      </c>
      <c r="I654" s="3">
        <v>1236</v>
      </c>
      <c r="J654" s="2" t="s">
        <v>264</v>
      </c>
      <c r="K654" t="s">
        <v>42</v>
      </c>
      <c r="L654" t="s">
        <v>267</v>
      </c>
      <c r="M654" t="s">
        <v>40</v>
      </c>
      <c r="O654" t="s">
        <v>297</v>
      </c>
      <c r="P654">
        <v>45379</v>
      </c>
      <c r="S654" s="6">
        <v>6770.44</v>
      </c>
      <c r="T654" t="s">
        <v>254</v>
      </c>
      <c r="W654" s="7">
        <v>388</v>
      </c>
      <c r="AK654">
        <v>17.449587628865977</v>
      </c>
    </row>
    <row r="655" spans="1:37" x14ac:dyDescent="0.35">
      <c r="A655">
        <v>3</v>
      </c>
      <c r="B655">
        <v>2024</v>
      </c>
      <c r="C655" t="s">
        <v>33</v>
      </c>
      <c r="D655" t="s">
        <v>34</v>
      </c>
      <c r="E655" t="s">
        <v>42</v>
      </c>
      <c r="F655" s="3" t="s">
        <v>36</v>
      </c>
      <c r="G655" s="2" t="s">
        <v>43</v>
      </c>
      <c r="H655" s="3">
        <v>52147</v>
      </c>
      <c r="I655" s="3">
        <v>1226</v>
      </c>
      <c r="J655" s="2" t="s">
        <v>266</v>
      </c>
      <c r="K655" t="s">
        <v>42</v>
      </c>
      <c r="L655" t="s">
        <v>267</v>
      </c>
      <c r="M655" t="s">
        <v>40</v>
      </c>
      <c r="O655" t="s">
        <v>297</v>
      </c>
      <c r="P655">
        <v>45379</v>
      </c>
      <c r="S655" s="6">
        <v>47652.36</v>
      </c>
      <c r="T655" t="s">
        <v>254</v>
      </c>
      <c r="W655" s="7">
        <v>3186</v>
      </c>
      <c r="AK655">
        <v>14.956798493408662</v>
      </c>
    </row>
    <row r="656" spans="1:37" x14ac:dyDescent="0.35">
      <c r="A656">
        <v>3</v>
      </c>
      <c r="B656">
        <v>2024</v>
      </c>
      <c r="C656" t="s">
        <v>33</v>
      </c>
      <c r="D656" t="s">
        <v>34</v>
      </c>
      <c r="E656" t="s">
        <v>42</v>
      </c>
      <c r="F656" s="3" t="s">
        <v>36</v>
      </c>
      <c r="G656" s="2" t="s">
        <v>43</v>
      </c>
      <c r="H656" s="3">
        <v>52147</v>
      </c>
      <c r="I656" s="3">
        <v>1226</v>
      </c>
      <c r="J656" s="2" t="s">
        <v>266</v>
      </c>
      <c r="K656" t="s">
        <v>42</v>
      </c>
      <c r="L656" t="s">
        <v>267</v>
      </c>
      <c r="M656" t="s">
        <v>40</v>
      </c>
      <c r="O656" t="s">
        <v>297</v>
      </c>
      <c r="P656">
        <v>45379</v>
      </c>
      <c r="S656" s="6">
        <v>5085.3100000000004</v>
      </c>
      <c r="T656" t="s">
        <v>254</v>
      </c>
      <c r="W656" s="7">
        <v>340</v>
      </c>
      <c r="AK656">
        <v>14.95679411764706</v>
      </c>
    </row>
    <row r="657" spans="1:37" x14ac:dyDescent="0.35">
      <c r="A657">
        <v>3</v>
      </c>
      <c r="B657">
        <v>2024</v>
      </c>
      <c r="C657" t="s">
        <v>33</v>
      </c>
      <c r="D657" t="s">
        <v>34</v>
      </c>
      <c r="E657" t="s">
        <v>42</v>
      </c>
      <c r="F657" s="3" t="s">
        <v>36</v>
      </c>
      <c r="G657" s="2" t="s">
        <v>43</v>
      </c>
      <c r="H657" s="3">
        <v>52147</v>
      </c>
      <c r="I657" s="3">
        <v>1225</v>
      </c>
      <c r="J657" s="2" t="s">
        <v>292</v>
      </c>
      <c r="K657" t="s">
        <v>42</v>
      </c>
      <c r="L657" t="s">
        <v>267</v>
      </c>
      <c r="M657" t="s">
        <v>40</v>
      </c>
      <c r="O657" t="s">
        <v>297</v>
      </c>
      <c r="P657">
        <v>45379</v>
      </c>
      <c r="S657" s="6">
        <v>76679.33</v>
      </c>
      <c r="T657" t="s">
        <v>254</v>
      </c>
      <c r="W657" s="7">
        <v>5196</v>
      </c>
      <c r="AK657">
        <v>14.757376828329484</v>
      </c>
    </row>
    <row r="658" spans="1:37" x14ac:dyDescent="0.35">
      <c r="A658">
        <v>3</v>
      </c>
      <c r="B658">
        <v>2024</v>
      </c>
      <c r="C658" t="s">
        <v>33</v>
      </c>
      <c r="D658" t="s">
        <v>34</v>
      </c>
      <c r="E658" t="s">
        <v>387</v>
      </c>
      <c r="F658" s="3" t="s">
        <v>36</v>
      </c>
      <c r="G658" s="2" t="s">
        <v>388</v>
      </c>
      <c r="H658" s="3">
        <v>52175</v>
      </c>
      <c r="I658" s="3">
        <v>2582</v>
      </c>
      <c r="J658" s="2" t="s">
        <v>402</v>
      </c>
      <c r="K658" t="s">
        <v>387</v>
      </c>
      <c r="L658" t="s">
        <v>267</v>
      </c>
      <c r="M658" t="s">
        <v>40</v>
      </c>
      <c r="O658" t="s">
        <v>297</v>
      </c>
      <c r="P658">
        <v>45379</v>
      </c>
      <c r="S658" s="6">
        <v>14063.98</v>
      </c>
      <c r="T658" t="s">
        <v>254</v>
      </c>
      <c r="W658" s="7">
        <v>1294</v>
      </c>
      <c r="AK658">
        <v>10.868608964451314</v>
      </c>
    </row>
    <row r="659" spans="1:37" x14ac:dyDescent="0.35">
      <c r="A659">
        <v>3</v>
      </c>
      <c r="B659">
        <v>2024</v>
      </c>
      <c r="C659" t="s">
        <v>33</v>
      </c>
      <c r="D659" t="s">
        <v>34</v>
      </c>
      <c r="E659" t="s">
        <v>387</v>
      </c>
      <c r="F659" s="3" t="s">
        <v>36</v>
      </c>
      <c r="G659" s="2" t="s">
        <v>388</v>
      </c>
      <c r="H659" s="3">
        <v>52175</v>
      </c>
      <c r="I659" s="3">
        <v>2941</v>
      </c>
      <c r="J659" s="2" t="s">
        <v>410</v>
      </c>
      <c r="K659" t="s">
        <v>387</v>
      </c>
      <c r="L659" t="s">
        <v>267</v>
      </c>
      <c r="M659" t="s">
        <v>40</v>
      </c>
      <c r="O659" t="s">
        <v>297</v>
      </c>
      <c r="P659">
        <v>45379</v>
      </c>
      <c r="S659" s="6">
        <v>14096.78</v>
      </c>
      <c r="T659" t="s">
        <v>254</v>
      </c>
      <c r="W659" s="7">
        <v>1131</v>
      </c>
      <c r="AK659">
        <v>12.463996463306808</v>
      </c>
    </row>
    <row r="660" spans="1:37" x14ac:dyDescent="0.35">
      <c r="A660">
        <v>3</v>
      </c>
      <c r="B660">
        <v>2024</v>
      </c>
      <c r="C660" t="s">
        <v>33</v>
      </c>
      <c r="D660" t="s">
        <v>34</v>
      </c>
      <c r="E660" t="s">
        <v>387</v>
      </c>
      <c r="F660" s="3" t="s">
        <v>36</v>
      </c>
      <c r="G660" s="2" t="s">
        <v>388</v>
      </c>
      <c r="H660" s="3">
        <v>52175</v>
      </c>
      <c r="I660" s="3">
        <v>2942</v>
      </c>
      <c r="J660" s="2" t="s">
        <v>411</v>
      </c>
      <c r="K660" t="s">
        <v>387</v>
      </c>
      <c r="L660" t="s">
        <v>267</v>
      </c>
      <c r="M660" t="s">
        <v>40</v>
      </c>
      <c r="O660" t="s">
        <v>297</v>
      </c>
      <c r="P660">
        <v>45379</v>
      </c>
      <c r="S660" s="6">
        <v>16986.14</v>
      </c>
      <c r="T660" t="s">
        <v>254</v>
      </c>
      <c r="W660" s="7">
        <v>1008</v>
      </c>
      <c r="AK660">
        <v>16.851329365079366</v>
      </c>
    </row>
    <row r="661" spans="1:37" x14ac:dyDescent="0.35">
      <c r="A661">
        <v>3</v>
      </c>
      <c r="B661">
        <v>2024</v>
      </c>
      <c r="C661" t="s">
        <v>33</v>
      </c>
      <c r="D661" t="s">
        <v>34</v>
      </c>
      <c r="E661" t="s">
        <v>387</v>
      </c>
      <c r="F661" s="3" t="s">
        <v>36</v>
      </c>
      <c r="G661" s="2" t="s">
        <v>388</v>
      </c>
      <c r="H661" s="3">
        <v>52175</v>
      </c>
      <c r="I661" s="3">
        <v>2950</v>
      </c>
      <c r="J661" s="2" t="s">
        <v>412</v>
      </c>
      <c r="K661" t="s">
        <v>387</v>
      </c>
      <c r="L661" t="s">
        <v>267</v>
      </c>
      <c r="M661" t="s">
        <v>40</v>
      </c>
      <c r="O661" t="s">
        <v>297</v>
      </c>
      <c r="P661">
        <v>45379</v>
      </c>
      <c r="S661" s="6">
        <v>421.18</v>
      </c>
      <c r="T661" t="s">
        <v>254</v>
      </c>
      <c r="W661" s="7">
        <v>48</v>
      </c>
      <c r="AK661">
        <v>8.7745833333333341</v>
      </c>
    </row>
    <row r="662" spans="1:37" x14ac:dyDescent="0.35">
      <c r="A662">
        <v>3</v>
      </c>
      <c r="B662">
        <v>2024</v>
      </c>
      <c r="C662" t="s">
        <v>33</v>
      </c>
      <c r="D662" t="s">
        <v>34</v>
      </c>
      <c r="E662" t="s">
        <v>387</v>
      </c>
      <c r="F662" s="3" t="s">
        <v>36</v>
      </c>
      <c r="G662" s="2" t="s">
        <v>388</v>
      </c>
      <c r="H662" s="3">
        <v>52175</v>
      </c>
      <c r="I662" s="3">
        <v>2951</v>
      </c>
      <c r="J662" s="2" t="s">
        <v>413</v>
      </c>
      <c r="K662" t="s">
        <v>387</v>
      </c>
      <c r="L662" t="s">
        <v>267</v>
      </c>
      <c r="M662" t="s">
        <v>40</v>
      </c>
      <c r="O662" t="s">
        <v>297</v>
      </c>
      <c r="P662">
        <v>45379</v>
      </c>
      <c r="S662" s="6">
        <v>10177.11</v>
      </c>
      <c r="T662" t="s">
        <v>254</v>
      </c>
      <c r="W662" s="7">
        <v>685</v>
      </c>
      <c r="AK662">
        <v>14.85709489051095</v>
      </c>
    </row>
    <row r="663" spans="1:37" x14ac:dyDescent="0.35">
      <c r="A663">
        <v>4</v>
      </c>
      <c r="B663">
        <v>2024</v>
      </c>
      <c r="C663" t="s">
        <v>33</v>
      </c>
      <c r="D663" t="s">
        <v>34</v>
      </c>
      <c r="E663" t="s">
        <v>42</v>
      </c>
      <c r="F663" s="3" t="s">
        <v>36</v>
      </c>
      <c r="G663" s="2" t="s">
        <v>43</v>
      </c>
      <c r="H663" s="3">
        <v>52180</v>
      </c>
      <c r="I663" s="3">
        <v>1905</v>
      </c>
      <c r="J663" s="2" t="s">
        <v>291</v>
      </c>
      <c r="K663" t="s">
        <v>42</v>
      </c>
      <c r="L663" t="s">
        <v>267</v>
      </c>
      <c r="M663" t="s">
        <v>40</v>
      </c>
      <c r="O663" t="s">
        <v>297</v>
      </c>
      <c r="P663">
        <v>45383</v>
      </c>
      <c r="S663" s="6">
        <v>8033.89</v>
      </c>
      <c r="T663" t="s">
        <v>254</v>
      </c>
      <c r="W663" s="7">
        <v>1005</v>
      </c>
      <c r="AI663" t="s">
        <v>255</v>
      </c>
      <c r="AJ663" t="s">
        <v>262</v>
      </c>
      <c r="AK663">
        <v>7.9939203980099505</v>
      </c>
    </row>
    <row r="664" spans="1:37" x14ac:dyDescent="0.35">
      <c r="A664">
        <v>4</v>
      </c>
      <c r="B664">
        <v>2024</v>
      </c>
      <c r="C664" t="s">
        <v>33</v>
      </c>
      <c r="D664" t="s">
        <v>34</v>
      </c>
      <c r="E664" t="s">
        <v>42</v>
      </c>
      <c r="F664" s="3" t="s">
        <v>36</v>
      </c>
      <c r="G664" s="2" t="s">
        <v>43</v>
      </c>
      <c r="H664" s="3">
        <v>52180</v>
      </c>
      <c r="I664" s="3">
        <v>2790</v>
      </c>
      <c r="J664" s="2" t="s">
        <v>409</v>
      </c>
      <c r="K664" t="s">
        <v>42</v>
      </c>
      <c r="L664" t="s">
        <v>267</v>
      </c>
      <c r="M664" t="s">
        <v>40</v>
      </c>
      <c r="O664" t="s">
        <v>297</v>
      </c>
      <c r="P664">
        <v>45383</v>
      </c>
      <c r="S664" s="6">
        <v>5355.13</v>
      </c>
      <c r="T664" t="s">
        <v>254</v>
      </c>
      <c r="U664">
        <v>220</v>
      </c>
      <c r="W664" s="7">
        <v>348</v>
      </c>
      <c r="AI664" t="s">
        <v>255</v>
      </c>
      <c r="AJ664" t="s">
        <v>262</v>
      </c>
      <c r="AK664">
        <v>15.388304597701151</v>
      </c>
    </row>
    <row r="665" spans="1:37" x14ac:dyDescent="0.35">
      <c r="A665">
        <v>4</v>
      </c>
      <c r="B665">
        <v>2024</v>
      </c>
      <c r="C665" t="s">
        <v>33</v>
      </c>
      <c r="D665" t="s">
        <v>34</v>
      </c>
      <c r="E665" t="s">
        <v>42</v>
      </c>
      <c r="F665" s="3" t="s">
        <v>36</v>
      </c>
      <c r="G665" s="2" t="s">
        <v>43</v>
      </c>
      <c r="H665" s="3">
        <v>52180</v>
      </c>
      <c r="I665" s="3">
        <v>2497</v>
      </c>
      <c r="J665" s="2" t="s">
        <v>386</v>
      </c>
      <c r="K665" t="s">
        <v>42</v>
      </c>
      <c r="L665" t="s">
        <v>267</v>
      </c>
      <c r="M665" t="s">
        <v>40</v>
      </c>
      <c r="O665" t="s">
        <v>297</v>
      </c>
      <c r="P665">
        <v>45383</v>
      </c>
      <c r="S665" s="6">
        <v>6774.85</v>
      </c>
      <c r="T665" t="s">
        <v>254</v>
      </c>
      <c r="U665">
        <v>230</v>
      </c>
      <c r="W665" s="7">
        <v>565</v>
      </c>
      <c r="AI665" t="s">
        <v>255</v>
      </c>
      <c r="AJ665" t="s">
        <v>262</v>
      </c>
      <c r="AK665">
        <v>11.990884955752213</v>
      </c>
    </row>
    <row r="666" spans="1:37" x14ac:dyDescent="0.35">
      <c r="A666">
        <v>4</v>
      </c>
      <c r="B666">
        <v>2024</v>
      </c>
      <c r="C666" t="s">
        <v>33</v>
      </c>
      <c r="D666" t="s">
        <v>34</v>
      </c>
      <c r="E666" t="s">
        <v>42</v>
      </c>
      <c r="F666" s="3" t="s">
        <v>36</v>
      </c>
      <c r="G666" s="2" t="s">
        <v>43</v>
      </c>
      <c r="H666" s="3">
        <v>52180</v>
      </c>
      <c r="I666" s="3">
        <v>2054</v>
      </c>
      <c r="J666" s="2" t="s">
        <v>330</v>
      </c>
      <c r="K666" t="s">
        <v>42</v>
      </c>
      <c r="L666" t="s">
        <v>267</v>
      </c>
      <c r="M666" t="s">
        <v>40</v>
      </c>
      <c r="O666" t="s">
        <v>297</v>
      </c>
      <c r="P666">
        <v>45383</v>
      </c>
      <c r="S666" s="6">
        <v>9832.52</v>
      </c>
      <c r="T666" t="s">
        <v>254</v>
      </c>
      <c r="U666">
        <v>280</v>
      </c>
      <c r="W666" s="7">
        <v>615</v>
      </c>
      <c r="AI666" t="s">
        <v>255</v>
      </c>
      <c r="AJ666" t="s">
        <v>262</v>
      </c>
      <c r="AK666">
        <v>15.987837398373985</v>
      </c>
    </row>
    <row r="667" spans="1:37" x14ac:dyDescent="0.35">
      <c r="A667">
        <v>4</v>
      </c>
      <c r="B667">
        <v>2024</v>
      </c>
      <c r="C667" t="s">
        <v>33</v>
      </c>
      <c r="D667" t="s">
        <v>34</v>
      </c>
      <c r="E667" t="s">
        <v>42</v>
      </c>
      <c r="F667" s="3" t="s">
        <v>36</v>
      </c>
      <c r="G667" s="2" t="s">
        <v>43</v>
      </c>
      <c r="H667" s="3">
        <v>52180</v>
      </c>
      <c r="I667" s="3">
        <v>2053</v>
      </c>
      <c r="J667" s="2" t="s">
        <v>331</v>
      </c>
      <c r="K667" t="s">
        <v>42</v>
      </c>
      <c r="L667" t="s">
        <v>267</v>
      </c>
      <c r="M667" t="s">
        <v>40</v>
      </c>
      <c r="O667" t="s">
        <v>297</v>
      </c>
      <c r="P667">
        <v>45383</v>
      </c>
      <c r="S667" s="6">
        <v>11653.14</v>
      </c>
      <c r="T667" t="s">
        <v>254</v>
      </c>
      <c r="U667">
        <v>300</v>
      </c>
      <c r="W667" s="7">
        <v>686</v>
      </c>
      <c r="AI667" t="s">
        <v>255</v>
      </c>
      <c r="AJ667" t="s">
        <v>262</v>
      </c>
      <c r="AK667">
        <v>16.987084548104956</v>
      </c>
    </row>
    <row r="668" spans="1:37" x14ac:dyDescent="0.35">
      <c r="A668">
        <v>4</v>
      </c>
      <c r="B668">
        <v>2024</v>
      </c>
      <c r="C668" t="s">
        <v>33</v>
      </c>
      <c r="D668" t="s">
        <v>34</v>
      </c>
      <c r="E668" t="s">
        <v>42</v>
      </c>
      <c r="F668" s="3" t="s">
        <v>36</v>
      </c>
      <c r="G668" s="2" t="s">
        <v>43</v>
      </c>
      <c r="H668" s="3">
        <v>52180</v>
      </c>
      <c r="I668" s="3">
        <v>1225</v>
      </c>
      <c r="J668" s="2" t="s">
        <v>292</v>
      </c>
      <c r="K668" t="s">
        <v>42</v>
      </c>
      <c r="L668" t="s">
        <v>267</v>
      </c>
      <c r="M668" t="s">
        <v>40</v>
      </c>
      <c r="O668" t="s">
        <v>297</v>
      </c>
      <c r="P668">
        <v>45383</v>
      </c>
      <c r="S668" s="6">
        <v>76842.36</v>
      </c>
      <c r="T668" t="s">
        <v>254</v>
      </c>
      <c r="U668">
        <v>240</v>
      </c>
      <c r="W668" s="7">
        <v>5196</v>
      </c>
      <c r="AI668" t="s">
        <v>255</v>
      </c>
      <c r="AJ668" t="s">
        <v>262</v>
      </c>
      <c r="AK668">
        <v>14.788752886836027</v>
      </c>
    </row>
    <row r="669" spans="1:37" x14ac:dyDescent="0.35">
      <c r="A669">
        <v>4</v>
      </c>
      <c r="B669">
        <v>2024</v>
      </c>
      <c r="C669" t="s">
        <v>33</v>
      </c>
      <c r="D669" t="s">
        <v>34</v>
      </c>
      <c r="E669" t="s">
        <v>42</v>
      </c>
      <c r="F669" s="3" t="s">
        <v>36</v>
      </c>
      <c r="G669" s="2" t="s">
        <v>43</v>
      </c>
      <c r="H669" s="3">
        <v>52180</v>
      </c>
      <c r="I669" s="3">
        <v>1525</v>
      </c>
      <c r="J669" s="2" t="s">
        <v>283</v>
      </c>
      <c r="K669" t="s">
        <v>42</v>
      </c>
      <c r="L669" t="s">
        <v>267</v>
      </c>
      <c r="M669" t="s">
        <v>40</v>
      </c>
      <c r="O669" t="s">
        <v>297</v>
      </c>
      <c r="P669">
        <v>45383</v>
      </c>
      <c r="S669" s="6">
        <v>27989.81</v>
      </c>
      <c r="T669" t="s">
        <v>254</v>
      </c>
      <c r="U669">
        <v>320</v>
      </c>
      <c r="W669" s="7">
        <v>1486</v>
      </c>
      <c r="AI669" t="s">
        <v>255</v>
      </c>
      <c r="AJ669" t="s">
        <v>262</v>
      </c>
      <c r="AK669">
        <v>18.835672947510094</v>
      </c>
    </row>
    <row r="670" spans="1:37" x14ac:dyDescent="0.35">
      <c r="A670">
        <v>4</v>
      </c>
      <c r="B670">
        <v>2024</v>
      </c>
      <c r="C670" t="s">
        <v>33</v>
      </c>
      <c r="D670" t="s">
        <v>34</v>
      </c>
      <c r="E670" t="s">
        <v>42</v>
      </c>
      <c r="F670" s="3" t="s">
        <v>36</v>
      </c>
      <c r="G670" s="2" t="s">
        <v>43</v>
      </c>
      <c r="H670" s="3">
        <v>52180</v>
      </c>
      <c r="I670" s="3">
        <v>1523</v>
      </c>
      <c r="J670" s="2" t="s">
        <v>282</v>
      </c>
      <c r="K670" t="s">
        <v>42</v>
      </c>
      <c r="L670" t="s">
        <v>267</v>
      </c>
      <c r="M670" t="s">
        <v>40</v>
      </c>
      <c r="O670" t="s">
        <v>297</v>
      </c>
      <c r="P670">
        <v>45383</v>
      </c>
      <c r="S670" s="6">
        <v>21583.58</v>
      </c>
      <c r="T670" t="s">
        <v>254</v>
      </c>
      <c r="W670" s="7">
        <v>3000</v>
      </c>
      <c r="AI670" t="s">
        <v>255</v>
      </c>
      <c r="AJ670" t="s">
        <v>262</v>
      </c>
      <c r="AK670">
        <v>7.1945266666666674</v>
      </c>
    </row>
    <row r="671" spans="1:37" x14ac:dyDescent="0.35">
      <c r="A671">
        <v>4</v>
      </c>
      <c r="B671">
        <v>2024</v>
      </c>
      <c r="C671" t="s">
        <v>33</v>
      </c>
      <c r="D671" t="s">
        <v>34</v>
      </c>
      <c r="E671" t="s">
        <v>42</v>
      </c>
      <c r="F671" s="3" t="s">
        <v>36</v>
      </c>
      <c r="G671" s="2" t="s">
        <v>43</v>
      </c>
      <c r="H671" s="3">
        <v>52180</v>
      </c>
      <c r="I671" s="3">
        <v>1504</v>
      </c>
      <c r="J671" s="2" t="s">
        <v>263</v>
      </c>
      <c r="K671" t="s">
        <v>42</v>
      </c>
      <c r="L671" t="s">
        <v>267</v>
      </c>
      <c r="M671" t="s">
        <v>40</v>
      </c>
      <c r="O671" t="s">
        <v>297</v>
      </c>
      <c r="P671">
        <v>45383</v>
      </c>
      <c r="S671" s="6">
        <v>47412.74</v>
      </c>
      <c r="T671" t="s">
        <v>254</v>
      </c>
      <c r="U671">
        <v>240</v>
      </c>
      <c r="W671" s="7">
        <v>3206</v>
      </c>
      <c r="AI671" t="s">
        <v>255</v>
      </c>
      <c r="AJ671" t="s">
        <v>262</v>
      </c>
      <c r="AK671">
        <v>14.788752339363693</v>
      </c>
    </row>
    <row r="672" spans="1:37" x14ac:dyDescent="0.35">
      <c r="A672">
        <v>4</v>
      </c>
      <c r="B672">
        <v>2024</v>
      </c>
      <c r="C672" t="s">
        <v>33</v>
      </c>
      <c r="D672" t="s">
        <v>34</v>
      </c>
      <c r="E672" t="s">
        <v>42</v>
      </c>
      <c r="F672" s="3" t="s">
        <v>36</v>
      </c>
      <c r="G672" s="2" t="s">
        <v>43</v>
      </c>
      <c r="H672" s="3">
        <v>52180</v>
      </c>
      <c r="I672" s="3">
        <v>1236</v>
      </c>
      <c r="J672" s="2" t="s">
        <v>264</v>
      </c>
      <c r="K672" t="s">
        <v>42</v>
      </c>
      <c r="L672" t="s">
        <v>267</v>
      </c>
      <c r="M672" t="s">
        <v>40</v>
      </c>
      <c r="O672" t="s">
        <v>297</v>
      </c>
      <c r="P672">
        <v>45383</v>
      </c>
      <c r="S672" s="6">
        <v>33417.08</v>
      </c>
      <c r="T672" t="s">
        <v>254</v>
      </c>
      <c r="U672">
        <v>240</v>
      </c>
      <c r="W672" s="7">
        <v>1911</v>
      </c>
      <c r="AI672" t="s">
        <v>255</v>
      </c>
      <c r="AJ672" t="s">
        <v>262</v>
      </c>
      <c r="AK672">
        <v>17.486698063840922</v>
      </c>
    </row>
    <row r="673" spans="1:37" x14ac:dyDescent="0.35">
      <c r="A673">
        <v>4</v>
      </c>
      <c r="B673">
        <v>2024</v>
      </c>
      <c r="C673" t="s">
        <v>33</v>
      </c>
      <c r="D673" t="s">
        <v>34</v>
      </c>
      <c r="E673" t="s">
        <v>42</v>
      </c>
      <c r="F673" s="3" t="s">
        <v>36</v>
      </c>
      <c r="G673" s="2" t="s">
        <v>43</v>
      </c>
      <c r="H673" s="3">
        <v>52180</v>
      </c>
      <c r="I673" s="3">
        <v>1226</v>
      </c>
      <c r="J673" s="2" t="s">
        <v>266</v>
      </c>
      <c r="K673" t="s">
        <v>42</v>
      </c>
      <c r="L673" t="s">
        <v>267</v>
      </c>
      <c r="M673" t="s">
        <v>40</v>
      </c>
      <c r="O673" t="s">
        <v>297</v>
      </c>
      <c r="P673">
        <v>45383</v>
      </c>
      <c r="S673" s="6">
        <v>52849.8</v>
      </c>
      <c r="T673" t="s">
        <v>254</v>
      </c>
      <c r="U673">
        <v>260</v>
      </c>
      <c r="W673" s="7">
        <v>3526</v>
      </c>
      <c r="AI673" t="s">
        <v>255</v>
      </c>
      <c r="AJ673" t="s">
        <v>262</v>
      </c>
      <c r="AK673">
        <v>14.988598979013046</v>
      </c>
    </row>
    <row r="674" spans="1:37" x14ac:dyDescent="0.35">
      <c r="A674">
        <v>4</v>
      </c>
      <c r="B674">
        <v>2024</v>
      </c>
      <c r="C674" t="s">
        <v>33</v>
      </c>
      <c r="D674" t="s">
        <v>34</v>
      </c>
      <c r="E674" t="s">
        <v>42</v>
      </c>
      <c r="F674" s="3" t="s">
        <v>36</v>
      </c>
      <c r="G674" s="2" t="s">
        <v>43</v>
      </c>
      <c r="H674" s="3">
        <v>52194</v>
      </c>
      <c r="I674" s="3">
        <v>1525</v>
      </c>
      <c r="J674" s="2" t="s">
        <v>283</v>
      </c>
      <c r="K674" t="s">
        <v>42</v>
      </c>
      <c r="L674" t="s">
        <v>267</v>
      </c>
      <c r="M674" t="s">
        <v>40</v>
      </c>
      <c r="O674" t="s">
        <v>297</v>
      </c>
      <c r="P674">
        <v>45384</v>
      </c>
      <c r="S674" s="6">
        <v>-27930.43</v>
      </c>
      <c r="T674" t="s">
        <v>254</v>
      </c>
      <c r="W674" s="7">
        <v>-1486</v>
      </c>
      <c r="AK674">
        <v>18.795713324360701</v>
      </c>
    </row>
    <row r="675" spans="1:37" x14ac:dyDescent="0.35">
      <c r="A675">
        <v>4</v>
      </c>
      <c r="B675">
        <v>2024</v>
      </c>
      <c r="C675" t="s">
        <v>33</v>
      </c>
      <c r="D675" t="s">
        <v>34</v>
      </c>
      <c r="E675" t="s">
        <v>42</v>
      </c>
      <c r="F675" s="3" t="s">
        <v>36</v>
      </c>
      <c r="G675" s="2" t="s">
        <v>43</v>
      </c>
      <c r="H675" s="3">
        <v>52194</v>
      </c>
      <c r="I675" s="3">
        <v>2790</v>
      </c>
      <c r="J675" s="2" t="s">
        <v>409</v>
      </c>
      <c r="K675" t="s">
        <v>42</v>
      </c>
      <c r="L675" t="s">
        <v>267</v>
      </c>
      <c r="M675" t="s">
        <v>40</v>
      </c>
      <c r="O675" t="s">
        <v>297</v>
      </c>
      <c r="P675">
        <v>45384</v>
      </c>
      <c r="S675" s="6">
        <v>-5343.77</v>
      </c>
      <c r="T675" t="s">
        <v>254</v>
      </c>
      <c r="W675" s="7">
        <v>-348</v>
      </c>
      <c r="AK675">
        <v>15.355660919540231</v>
      </c>
    </row>
    <row r="676" spans="1:37" x14ac:dyDescent="0.35">
      <c r="A676">
        <v>4</v>
      </c>
      <c r="B676">
        <v>2024</v>
      </c>
      <c r="C676" t="s">
        <v>33</v>
      </c>
      <c r="D676" t="s">
        <v>34</v>
      </c>
      <c r="E676" t="s">
        <v>42</v>
      </c>
      <c r="F676" s="3" t="s">
        <v>36</v>
      </c>
      <c r="G676" s="2" t="s">
        <v>43</v>
      </c>
      <c r="H676" s="3">
        <v>52194</v>
      </c>
      <c r="I676" s="3">
        <v>2497</v>
      </c>
      <c r="J676" s="2" t="s">
        <v>386</v>
      </c>
      <c r="K676" t="s">
        <v>42</v>
      </c>
      <c r="L676" t="s">
        <v>267</v>
      </c>
      <c r="M676" t="s">
        <v>40</v>
      </c>
      <c r="O676" t="s">
        <v>297</v>
      </c>
      <c r="P676">
        <v>45384</v>
      </c>
      <c r="S676" s="6">
        <v>-6760.47</v>
      </c>
      <c r="T676" t="s">
        <v>254</v>
      </c>
      <c r="W676" s="7">
        <v>-565</v>
      </c>
      <c r="AK676">
        <v>11.965433628318584</v>
      </c>
    </row>
    <row r="677" spans="1:37" x14ac:dyDescent="0.35">
      <c r="A677">
        <v>4</v>
      </c>
      <c r="B677">
        <v>2024</v>
      </c>
      <c r="C677" t="s">
        <v>33</v>
      </c>
      <c r="D677" t="s">
        <v>34</v>
      </c>
      <c r="E677" t="s">
        <v>42</v>
      </c>
      <c r="F677" s="3" t="s">
        <v>36</v>
      </c>
      <c r="G677" s="2" t="s">
        <v>43</v>
      </c>
      <c r="H677" s="3">
        <v>52194</v>
      </c>
      <c r="I677" s="3">
        <v>2054</v>
      </c>
      <c r="J677" s="2" t="s">
        <v>330</v>
      </c>
      <c r="K677" t="s">
        <v>42</v>
      </c>
      <c r="L677" t="s">
        <v>267</v>
      </c>
      <c r="M677" t="s">
        <v>40</v>
      </c>
      <c r="O677" t="s">
        <v>297</v>
      </c>
      <c r="P677">
        <v>45384</v>
      </c>
      <c r="S677" s="6">
        <v>-9811.66</v>
      </c>
      <c r="T677" t="s">
        <v>254</v>
      </c>
      <c r="W677" s="7">
        <v>-615</v>
      </c>
      <c r="AK677">
        <v>15.953918699186991</v>
      </c>
    </row>
    <row r="678" spans="1:37" x14ac:dyDescent="0.35">
      <c r="A678">
        <v>4</v>
      </c>
      <c r="B678">
        <v>2024</v>
      </c>
      <c r="C678" t="s">
        <v>33</v>
      </c>
      <c r="D678" t="s">
        <v>34</v>
      </c>
      <c r="E678" t="s">
        <v>42</v>
      </c>
      <c r="F678" s="3" t="s">
        <v>36</v>
      </c>
      <c r="G678" s="2" t="s">
        <v>43</v>
      </c>
      <c r="H678" s="3">
        <v>52194</v>
      </c>
      <c r="I678" s="3">
        <v>2053</v>
      </c>
      <c r="J678" s="2" t="s">
        <v>331</v>
      </c>
      <c r="K678" t="s">
        <v>42</v>
      </c>
      <c r="L678" t="s">
        <v>267</v>
      </c>
      <c r="M678" t="s">
        <v>40</v>
      </c>
      <c r="O678" t="s">
        <v>297</v>
      </c>
      <c r="P678">
        <v>45384</v>
      </c>
      <c r="S678" s="6">
        <v>-11628.41</v>
      </c>
      <c r="T678" t="s">
        <v>254</v>
      </c>
      <c r="W678" s="7">
        <v>-686</v>
      </c>
      <c r="AK678">
        <v>16.951034985422741</v>
      </c>
    </row>
    <row r="679" spans="1:37" x14ac:dyDescent="0.35">
      <c r="A679">
        <v>4</v>
      </c>
      <c r="B679">
        <v>2024</v>
      </c>
      <c r="C679" t="s">
        <v>33</v>
      </c>
      <c r="D679" t="s">
        <v>34</v>
      </c>
      <c r="E679" t="s">
        <v>42</v>
      </c>
      <c r="F679" s="3" t="s">
        <v>36</v>
      </c>
      <c r="G679" s="2" t="s">
        <v>43</v>
      </c>
      <c r="H679" s="3">
        <v>52194</v>
      </c>
      <c r="I679" s="3">
        <v>1905</v>
      </c>
      <c r="J679" s="2" t="s">
        <v>291</v>
      </c>
      <c r="K679" t="s">
        <v>42</v>
      </c>
      <c r="L679" t="s">
        <v>267</v>
      </c>
      <c r="M679" t="s">
        <v>40</v>
      </c>
      <c r="O679" t="s">
        <v>297</v>
      </c>
      <c r="P679">
        <v>45384</v>
      </c>
      <c r="S679" s="6">
        <v>-8016.84</v>
      </c>
      <c r="T679" t="s">
        <v>254</v>
      </c>
      <c r="W679" s="7">
        <v>-1005</v>
      </c>
      <c r="AK679">
        <v>7.976955223880597</v>
      </c>
    </row>
    <row r="680" spans="1:37" x14ac:dyDescent="0.35">
      <c r="A680">
        <v>4</v>
      </c>
      <c r="B680">
        <v>2024</v>
      </c>
      <c r="C680" t="s">
        <v>33</v>
      </c>
      <c r="D680" t="s">
        <v>34</v>
      </c>
      <c r="E680" t="s">
        <v>42</v>
      </c>
      <c r="F680" s="3" t="s">
        <v>36</v>
      </c>
      <c r="G680" s="2" t="s">
        <v>43</v>
      </c>
      <c r="H680" s="3">
        <v>52194</v>
      </c>
      <c r="I680" s="3">
        <v>1504</v>
      </c>
      <c r="J680" s="2" t="s">
        <v>263</v>
      </c>
      <c r="K680" t="s">
        <v>42</v>
      </c>
      <c r="L680" t="s">
        <v>267</v>
      </c>
      <c r="M680" t="s">
        <v>40</v>
      </c>
      <c r="O680" t="s">
        <v>297</v>
      </c>
      <c r="P680">
        <v>45384</v>
      </c>
      <c r="S680" s="6">
        <v>-47152.31</v>
      </c>
      <c r="T680" t="s">
        <v>254</v>
      </c>
      <c r="W680" s="7">
        <v>-3206</v>
      </c>
      <c r="AK680">
        <v>14.70752027448534</v>
      </c>
    </row>
    <row r="681" spans="1:37" x14ac:dyDescent="0.35">
      <c r="A681">
        <v>4</v>
      </c>
      <c r="B681">
        <v>2024</v>
      </c>
      <c r="C681" t="s">
        <v>33</v>
      </c>
      <c r="D681" t="s">
        <v>34</v>
      </c>
      <c r="E681" t="s">
        <v>42</v>
      </c>
      <c r="F681" s="3" t="s">
        <v>36</v>
      </c>
      <c r="G681" s="2" t="s">
        <v>43</v>
      </c>
      <c r="H681" s="3">
        <v>52194</v>
      </c>
      <c r="I681" s="3">
        <v>1523</v>
      </c>
      <c r="J681" s="2" t="s">
        <v>282</v>
      </c>
      <c r="K681" t="s">
        <v>42</v>
      </c>
      <c r="L681" t="s">
        <v>267</v>
      </c>
      <c r="M681" t="s">
        <v>40</v>
      </c>
      <c r="O681" t="s">
        <v>297</v>
      </c>
      <c r="P681">
        <v>45384</v>
      </c>
      <c r="S681" s="6">
        <v>-21537.79</v>
      </c>
      <c r="T681" t="s">
        <v>254</v>
      </c>
      <c r="W681" s="7">
        <v>-3000</v>
      </c>
      <c r="AK681">
        <v>7.179263333333334</v>
      </c>
    </row>
    <row r="682" spans="1:37" x14ac:dyDescent="0.35">
      <c r="A682">
        <v>4</v>
      </c>
      <c r="B682">
        <v>2024</v>
      </c>
      <c r="C682" t="s">
        <v>33</v>
      </c>
      <c r="D682" t="s">
        <v>34</v>
      </c>
      <c r="E682" t="s">
        <v>42</v>
      </c>
      <c r="F682" s="3" t="s">
        <v>36</v>
      </c>
      <c r="G682" s="2" t="s">
        <v>43</v>
      </c>
      <c r="H682" s="3">
        <v>52194</v>
      </c>
      <c r="I682" s="3">
        <v>1236</v>
      </c>
      <c r="J682" s="2" t="s">
        <v>264</v>
      </c>
      <c r="K682" t="s">
        <v>42</v>
      </c>
      <c r="L682" t="s">
        <v>267</v>
      </c>
      <c r="M682" t="s">
        <v>40</v>
      </c>
      <c r="O682" t="s">
        <v>297</v>
      </c>
      <c r="P682">
        <v>45384</v>
      </c>
      <c r="S682" s="6">
        <v>-26575.74</v>
      </c>
      <c r="T682" t="s">
        <v>254</v>
      </c>
      <c r="W682" s="7">
        <v>-1523</v>
      </c>
      <c r="AK682">
        <v>17.449599474720948</v>
      </c>
    </row>
    <row r="683" spans="1:37" x14ac:dyDescent="0.35">
      <c r="A683">
        <v>4</v>
      </c>
      <c r="B683">
        <v>2024</v>
      </c>
      <c r="C683" t="s">
        <v>33</v>
      </c>
      <c r="D683" t="s">
        <v>34</v>
      </c>
      <c r="E683" t="s">
        <v>42</v>
      </c>
      <c r="F683" s="3" t="s">
        <v>36</v>
      </c>
      <c r="G683" s="2" t="s">
        <v>43</v>
      </c>
      <c r="H683" s="3">
        <v>52194</v>
      </c>
      <c r="I683" s="3">
        <v>1236</v>
      </c>
      <c r="J683" s="2" t="s">
        <v>264</v>
      </c>
      <c r="K683" t="s">
        <v>42</v>
      </c>
      <c r="L683" t="s">
        <v>267</v>
      </c>
      <c r="M683" t="s">
        <v>40</v>
      </c>
      <c r="O683" t="s">
        <v>297</v>
      </c>
      <c r="P683">
        <v>45384</v>
      </c>
      <c r="S683" s="6">
        <v>-6770.44</v>
      </c>
      <c r="T683" t="s">
        <v>254</v>
      </c>
      <c r="W683" s="7">
        <v>-388</v>
      </c>
      <c r="AK683">
        <v>17.449587628865977</v>
      </c>
    </row>
    <row r="684" spans="1:37" x14ac:dyDescent="0.35">
      <c r="A684">
        <v>4</v>
      </c>
      <c r="B684">
        <v>2024</v>
      </c>
      <c r="C684" t="s">
        <v>33</v>
      </c>
      <c r="D684" t="s">
        <v>34</v>
      </c>
      <c r="E684" t="s">
        <v>42</v>
      </c>
      <c r="F684" s="3" t="s">
        <v>36</v>
      </c>
      <c r="G684" s="2" t="s">
        <v>43</v>
      </c>
      <c r="H684" s="3">
        <v>52194</v>
      </c>
      <c r="I684" s="3">
        <v>1226</v>
      </c>
      <c r="J684" s="2" t="s">
        <v>266</v>
      </c>
      <c r="K684" t="s">
        <v>42</v>
      </c>
      <c r="L684" t="s">
        <v>267</v>
      </c>
      <c r="M684" t="s">
        <v>40</v>
      </c>
      <c r="O684" t="s">
        <v>297</v>
      </c>
      <c r="P684">
        <v>45384</v>
      </c>
      <c r="S684" s="6">
        <v>-47652.36</v>
      </c>
      <c r="T684" t="s">
        <v>254</v>
      </c>
      <c r="W684" s="7">
        <v>-3186</v>
      </c>
      <c r="AK684">
        <v>14.956798493408662</v>
      </c>
    </row>
    <row r="685" spans="1:37" x14ac:dyDescent="0.35">
      <c r="A685">
        <v>4</v>
      </c>
      <c r="B685">
        <v>2024</v>
      </c>
      <c r="C685" t="s">
        <v>33</v>
      </c>
      <c r="D685" t="s">
        <v>34</v>
      </c>
      <c r="E685" t="s">
        <v>42</v>
      </c>
      <c r="F685" s="3" t="s">
        <v>36</v>
      </c>
      <c r="G685" s="2" t="s">
        <v>43</v>
      </c>
      <c r="H685" s="3">
        <v>52194</v>
      </c>
      <c r="I685" s="3">
        <v>1226</v>
      </c>
      <c r="J685" s="2" t="s">
        <v>266</v>
      </c>
      <c r="K685" t="s">
        <v>42</v>
      </c>
      <c r="L685" t="s">
        <v>267</v>
      </c>
      <c r="M685" t="s">
        <v>40</v>
      </c>
      <c r="O685" t="s">
        <v>297</v>
      </c>
      <c r="P685">
        <v>45384</v>
      </c>
      <c r="S685" s="6">
        <v>-5085.3100000000004</v>
      </c>
      <c r="T685" t="s">
        <v>254</v>
      </c>
      <c r="W685" s="7">
        <v>-340</v>
      </c>
      <c r="AK685">
        <v>14.95679411764706</v>
      </c>
    </row>
    <row r="686" spans="1:37" x14ac:dyDescent="0.35">
      <c r="A686">
        <v>4</v>
      </c>
      <c r="B686">
        <v>2024</v>
      </c>
      <c r="C686" t="s">
        <v>33</v>
      </c>
      <c r="D686" t="s">
        <v>34</v>
      </c>
      <c r="E686" t="s">
        <v>42</v>
      </c>
      <c r="F686" s="3" t="s">
        <v>36</v>
      </c>
      <c r="G686" s="2" t="s">
        <v>43</v>
      </c>
      <c r="H686" s="3">
        <v>52194</v>
      </c>
      <c r="I686" s="3">
        <v>1225</v>
      </c>
      <c r="J686" s="2" t="s">
        <v>292</v>
      </c>
      <c r="K686" t="s">
        <v>42</v>
      </c>
      <c r="L686" t="s">
        <v>267</v>
      </c>
      <c r="M686" t="s">
        <v>40</v>
      </c>
      <c r="O686" t="s">
        <v>297</v>
      </c>
      <c r="P686">
        <v>45384</v>
      </c>
      <c r="S686" s="6">
        <v>-76679.33</v>
      </c>
      <c r="T686" t="s">
        <v>254</v>
      </c>
      <c r="W686" s="7">
        <v>-5196</v>
      </c>
      <c r="AK686">
        <v>14.757376828329484</v>
      </c>
    </row>
    <row r="687" spans="1:37" x14ac:dyDescent="0.35">
      <c r="A687">
        <v>4</v>
      </c>
      <c r="B687">
        <v>2024</v>
      </c>
      <c r="C687" t="s">
        <v>33</v>
      </c>
      <c r="D687" t="s">
        <v>34</v>
      </c>
      <c r="E687" t="s">
        <v>116</v>
      </c>
      <c r="F687" s="3" t="s">
        <v>36</v>
      </c>
      <c r="G687" s="2" t="s">
        <v>50</v>
      </c>
      <c r="H687" s="3">
        <v>52192</v>
      </c>
      <c r="I687" s="3">
        <v>1419</v>
      </c>
      <c r="J687" s="2" t="s">
        <v>341</v>
      </c>
      <c r="K687" t="s">
        <v>116</v>
      </c>
      <c r="L687" t="s">
        <v>267</v>
      </c>
      <c r="M687" t="s">
        <v>40</v>
      </c>
      <c r="O687" t="s">
        <v>34</v>
      </c>
      <c r="P687">
        <v>45384</v>
      </c>
      <c r="S687" s="6">
        <v>-6743.54</v>
      </c>
      <c r="T687" t="s">
        <v>254</v>
      </c>
      <c r="U687">
        <v>180</v>
      </c>
      <c r="W687" s="7">
        <v>-601</v>
      </c>
      <c r="AK687">
        <v>11.22053244592346</v>
      </c>
    </row>
    <row r="688" spans="1:37" x14ac:dyDescent="0.35">
      <c r="A688">
        <v>4</v>
      </c>
      <c r="B688">
        <v>2024</v>
      </c>
      <c r="C688" t="s">
        <v>33</v>
      </c>
      <c r="D688" t="s">
        <v>34</v>
      </c>
      <c r="E688" t="s">
        <v>116</v>
      </c>
      <c r="F688" s="3" t="s">
        <v>36</v>
      </c>
      <c r="G688" s="2" t="s">
        <v>50</v>
      </c>
      <c r="H688" s="3">
        <v>52192</v>
      </c>
      <c r="I688" s="3">
        <v>1419</v>
      </c>
      <c r="J688" s="2" t="s">
        <v>341</v>
      </c>
      <c r="K688" t="s">
        <v>116</v>
      </c>
      <c r="L688" t="s">
        <v>267</v>
      </c>
      <c r="M688" t="s">
        <v>40</v>
      </c>
      <c r="O688" t="s">
        <v>34</v>
      </c>
      <c r="P688">
        <v>45384</v>
      </c>
      <c r="S688" s="6">
        <v>-46217.34</v>
      </c>
      <c r="T688" t="s">
        <v>254</v>
      </c>
      <c r="U688">
        <v>180</v>
      </c>
      <c r="W688" s="7">
        <v>-4119</v>
      </c>
      <c r="AK688">
        <v>11.220524399126001</v>
      </c>
    </row>
    <row r="689" spans="1:37" x14ac:dyDescent="0.35">
      <c r="A689">
        <v>4</v>
      </c>
      <c r="B689">
        <v>2024</v>
      </c>
      <c r="C689" t="s">
        <v>33</v>
      </c>
      <c r="D689" t="s">
        <v>34</v>
      </c>
      <c r="E689" t="s">
        <v>116</v>
      </c>
      <c r="F689" s="3" t="s">
        <v>36</v>
      </c>
      <c r="G689" s="2" t="s">
        <v>50</v>
      </c>
      <c r="H689" s="3">
        <v>52192</v>
      </c>
      <c r="I689" s="3">
        <v>1422</v>
      </c>
      <c r="J689" s="2" t="s">
        <v>339</v>
      </c>
      <c r="K689" t="s">
        <v>116</v>
      </c>
      <c r="L689" t="s">
        <v>267</v>
      </c>
      <c r="M689" t="s">
        <v>40</v>
      </c>
      <c r="O689" t="s">
        <v>34</v>
      </c>
      <c r="P689">
        <v>45384</v>
      </c>
      <c r="S689" s="6">
        <v>-35211.75</v>
      </c>
      <c r="T689" t="s">
        <v>254</v>
      </c>
      <c r="U689">
        <v>240</v>
      </c>
      <c r="W689" s="7">
        <v>-2495</v>
      </c>
      <c r="AK689">
        <v>14.112925851703407</v>
      </c>
    </row>
    <row r="690" spans="1:37" x14ac:dyDescent="0.35">
      <c r="A690">
        <v>4</v>
      </c>
      <c r="B690">
        <v>2024</v>
      </c>
      <c r="C690" t="s">
        <v>33</v>
      </c>
      <c r="D690" t="s">
        <v>34</v>
      </c>
      <c r="E690" t="s">
        <v>116</v>
      </c>
      <c r="F690" s="3" t="s">
        <v>36</v>
      </c>
      <c r="G690" s="2" t="s">
        <v>50</v>
      </c>
      <c r="H690" s="3">
        <v>52184</v>
      </c>
      <c r="I690" s="3">
        <v>1422</v>
      </c>
      <c r="J690" s="2" t="s">
        <v>339</v>
      </c>
      <c r="K690" t="s">
        <v>116</v>
      </c>
      <c r="L690" t="s">
        <v>267</v>
      </c>
      <c r="M690" t="s">
        <v>40</v>
      </c>
      <c r="O690" t="s">
        <v>34</v>
      </c>
      <c r="P690">
        <v>45384</v>
      </c>
      <c r="S690" s="6">
        <v>35679.89</v>
      </c>
      <c r="T690" t="s">
        <v>254</v>
      </c>
      <c r="U690">
        <v>240</v>
      </c>
      <c r="W690" s="7">
        <v>2495</v>
      </c>
      <c r="AI690" t="s">
        <v>116</v>
      </c>
      <c r="AJ690" t="s">
        <v>258</v>
      </c>
      <c r="AK690">
        <v>14.300557114228457</v>
      </c>
    </row>
    <row r="691" spans="1:37" x14ac:dyDescent="0.35">
      <c r="A691">
        <v>4</v>
      </c>
      <c r="B691">
        <v>2024</v>
      </c>
      <c r="C691" t="s">
        <v>33</v>
      </c>
      <c r="D691" t="s">
        <v>34</v>
      </c>
      <c r="E691" t="s">
        <v>116</v>
      </c>
      <c r="F691" s="3" t="s">
        <v>36</v>
      </c>
      <c r="G691" s="2" t="s">
        <v>50</v>
      </c>
      <c r="H691" s="3">
        <v>52184</v>
      </c>
      <c r="I691" s="3">
        <v>1419</v>
      </c>
      <c r="J691" s="2" t="s">
        <v>341</v>
      </c>
      <c r="K691" t="s">
        <v>116</v>
      </c>
      <c r="L691" t="s">
        <v>267</v>
      </c>
      <c r="M691" t="s">
        <v>40</v>
      </c>
      <c r="O691" t="s">
        <v>34</v>
      </c>
      <c r="P691">
        <v>45384</v>
      </c>
      <c r="S691" s="6">
        <v>53664.98</v>
      </c>
      <c r="T691" t="s">
        <v>254</v>
      </c>
      <c r="U691">
        <v>180</v>
      </c>
      <c r="W691" s="7">
        <v>4720</v>
      </c>
      <c r="AI691" t="s">
        <v>116</v>
      </c>
      <c r="AJ691" t="s">
        <v>258</v>
      </c>
      <c r="AK691">
        <v>11.369699152542374</v>
      </c>
    </row>
    <row r="692" spans="1:37" x14ac:dyDescent="0.35">
      <c r="A692">
        <v>4</v>
      </c>
      <c r="B692">
        <v>2024</v>
      </c>
      <c r="C692" t="s">
        <v>33</v>
      </c>
      <c r="D692" t="s">
        <v>34</v>
      </c>
      <c r="E692" t="s">
        <v>394</v>
      </c>
      <c r="F692" s="3" t="s">
        <v>36</v>
      </c>
      <c r="G692" s="2" t="s">
        <v>54</v>
      </c>
      <c r="H692" s="3">
        <v>52356</v>
      </c>
      <c r="I692" s="3">
        <v>1706</v>
      </c>
      <c r="J692" s="2" t="s">
        <v>259</v>
      </c>
      <c r="K692" t="s">
        <v>394</v>
      </c>
      <c r="M692" t="s">
        <v>40</v>
      </c>
      <c r="O692" t="s">
        <v>34</v>
      </c>
      <c r="P692">
        <v>45398</v>
      </c>
      <c r="S692" s="6">
        <v>125278.33</v>
      </c>
      <c r="T692" t="s">
        <v>254</v>
      </c>
      <c r="W692" s="7">
        <v>18124</v>
      </c>
      <c r="AI692" t="s">
        <v>394</v>
      </c>
      <c r="AJ692" t="s">
        <v>262</v>
      </c>
      <c r="AK692">
        <v>6.9122892297506073</v>
      </c>
    </row>
    <row r="693" spans="1:37" x14ac:dyDescent="0.35">
      <c r="A693">
        <v>4</v>
      </c>
      <c r="B693">
        <v>2024</v>
      </c>
      <c r="C693" t="s">
        <v>33</v>
      </c>
      <c r="D693" t="s">
        <v>34</v>
      </c>
      <c r="E693" t="s">
        <v>394</v>
      </c>
      <c r="F693" s="3" t="s">
        <v>36</v>
      </c>
      <c r="G693" s="2" t="s">
        <v>54</v>
      </c>
      <c r="H693" s="3">
        <v>52399</v>
      </c>
      <c r="I693" s="3">
        <v>1706</v>
      </c>
      <c r="J693" s="2" t="s">
        <v>259</v>
      </c>
      <c r="K693" t="s">
        <v>394</v>
      </c>
      <c r="M693" t="s">
        <v>40</v>
      </c>
      <c r="O693" t="s">
        <v>34</v>
      </c>
      <c r="P693">
        <v>45400</v>
      </c>
      <c r="S693" s="6">
        <v>127041.12</v>
      </c>
      <c r="T693" t="s">
        <v>254</v>
      </c>
      <c r="W693" s="7">
        <v>18124</v>
      </c>
      <c r="AI693" t="s">
        <v>394</v>
      </c>
      <c r="AJ693" t="s">
        <v>258</v>
      </c>
      <c r="AK693">
        <v>7.0095519752813944</v>
      </c>
    </row>
    <row r="694" spans="1:37" x14ac:dyDescent="0.35">
      <c r="A694">
        <v>4</v>
      </c>
      <c r="B694">
        <v>2024</v>
      </c>
      <c r="C694" t="s">
        <v>33</v>
      </c>
      <c r="D694" t="s">
        <v>34</v>
      </c>
      <c r="E694" t="s">
        <v>394</v>
      </c>
      <c r="F694" s="3" t="s">
        <v>36</v>
      </c>
      <c r="G694" s="2" t="s">
        <v>54</v>
      </c>
      <c r="H694" s="3">
        <v>52402</v>
      </c>
      <c r="I694" s="3">
        <v>1706</v>
      </c>
      <c r="J694" s="2" t="s">
        <v>259</v>
      </c>
      <c r="K694" t="s">
        <v>394</v>
      </c>
      <c r="M694" t="s">
        <v>40</v>
      </c>
      <c r="O694" t="s">
        <v>34</v>
      </c>
      <c r="P694">
        <v>45400</v>
      </c>
      <c r="S694" s="6">
        <v>127041.12</v>
      </c>
      <c r="T694" t="s">
        <v>254</v>
      </c>
      <c r="W694" s="7">
        <v>18124</v>
      </c>
      <c r="AI694" t="s">
        <v>394</v>
      </c>
      <c r="AJ694" t="s">
        <v>258</v>
      </c>
      <c r="AK694">
        <v>7.0095519752813944</v>
      </c>
    </row>
    <row r="695" spans="1:37" x14ac:dyDescent="0.35">
      <c r="A695">
        <v>4</v>
      </c>
      <c r="B695">
        <v>2024</v>
      </c>
      <c r="C695" t="s">
        <v>33</v>
      </c>
      <c r="D695" t="s">
        <v>34</v>
      </c>
      <c r="E695" t="s">
        <v>394</v>
      </c>
      <c r="F695" s="3" t="s">
        <v>36</v>
      </c>
      <c r="G695" s="2" t="s">
        <v>54</v>
      </c>
      <c r="H695" s="3">
        <v>52406</v>
      </c>
      <c r="I695" s="3">
        <v>1706</v>
      </c>
      <c r="J695" s="2" t="s">
        <v>259</v>
      </c>
      <c r="K695" t="s">
        <v>394</v>
      </c>
      <c r="M695" t="s">
        <v>40</v>
      </c>
      <c r="O695" t="s">
        <v>34</v>
      </c>
      <c r="P695">
        <v>45400</v>
      </c>
      <c r="S695" s="6">
        <v>127041.12</v>
      </c>
      <c r="T695" t="s">
        <v>254</v>
      </c>
      <c r="W695" s="7">
        <v>18124</v>
      </c>
      <c r="AI695" t="s">
        <v>394</v>
      </c>
      <c r="AJ695" t="s">
        <v>258</v>
      </c>
      <c r="AK695">
        <v>7.0095519752813944</v>
      </c>
    </row>
    <row r="696" spans="1:37" x14ac:dyDescent="0.35">
      <c r="A696">
        <v>4</v>
      </c>
      <c r="B696">
        <v>2024</v>
      </c>
      <c r="C696" t="s">
        <v>33</v>
      </c>
      <c r="D696" t="s">
        <v>34</v>
      </c>
      <c r="E696" t="s">
        <v>394</v>
      </c>
      <c r="F696" s="3" t="s">
        <v>36</v>
      </c>
      <c r="G696" s="2" t="s">
        <v>54</v>
      </c>
      <c r="H696" s="3">
        <v>52401</v>
      </c>
      <c r="I696" s="3">
        <v>1706</v>
      </c>
      <c r="J696" s="2" t="s">
        <v>259</v>
      </c>
      <c r="K696" t="s">
        <v>394</v>
      </c>
      <c r="M696" t="s">
        <v>40</v>
      </c>
      <c r="O696" t="s">
        <v>34</v>
      </c>
      <c r="P696">
        <v>45400</v>
      </c>
      <c r="S696" s="6">
        <v>-127041.12</v>
      </c>
      <c r="T696" t="s">
        <v>254</v>
      </c>
      <c r="W696" s="7">
        <v>-18124</v>
      </c>
      <c r="AK696">
        <v>7.0095519752813944</v>
      </c>
    </row>
    <row r="697" spans="1:37" x14ac:dyDescent="0.35">
      <c r="A697">
        <v>4</v>
      </c>
      <c r="B697">
        <v>2024</v>
      </c>
      <c r="C697" t="s">
        <v>33</v>
      </c>
      <c r="D697" t="s">
        <v>34</v>
      </c>
      <c r="E697" t="s">
        <v>394</v>
      </c>
      <c r="F697" s="3" t="s">
        <v>36</v>
      </c>
      <c r="G697" s="2" t="s">
        <v>54</v>
      </c>
      <c r="H697" s="3">
        <v>52397</v>
      </c>
      <c r="I697" s="3">
        <v>1706</v>
      </c>
      <c r="J697" s="2" t="s">
        <v>259</v>
      </c>
      <c r="K697" t="s">
        <v>394</v>
      </c>
      <c r="M697" t="s">
        <v>40</v>
      </c>
      <c r="O697" t="s">
        <v>34</v>
      </c>
      <c r="P697">
        <v>45398</v>
      </c>
      <c r="S697" s="6">
        <v>-125278.33</v>
      </c>
      <c r="T697" t="s">
        <v>254</v>
      </c>
      <c r="W697" s="7">
        <v>-18124</v>
      </c>
      <c r="AK697">
        <v>6.9122892297506073</v>
      </c>
    </row>
    <row r="698" spans="1:37" x14ac:dyDescent="0.35">
      <c r="A698">
        <v>4</v>
      </c>
      <c r="B698">
        <v>2024</v>
      </c>
      <c r="C698" t="s">
        <v>33</v>
      </c>
      <c r="D698" t="s">
        <v>34</v>
      </c>
      <c r="E698" t="s">
        <v>236</v>
      </c>
      <c r="F698" s="3" t="s">
        <v>36</v>
      </c>
      <c r="G698" s="2" t="s">
        <v>237</v>
      </c>
      <c r="H698" s="3">
        <v>52426</v>
      </c>
      <c r="I698" s="3">
        <v>2807</v>
      </c>
      <c r="J698" s="2" t="s">
        <v>414</v>
      </c>
      <c r="K698" t="s">
        <v>236</v>
      </c>
      <c r="L698" t="s">
        <v>39</v>
      </c>
      <c r="M698" t="s">
        <v>40</v>
      </c>
      <c r="O698" t="s">
        <v>34</v>
      </c>
      <c r="P698">
        <v>45401</v>
      </c>
      <c r="S698" s="6">
        <v>16835.71</v>
      </c>
      <c r="T698" t="s">
        <v>319</v>
      </c>
      <c r="W698" s="7">
        <v>63</v>
      </c>
      <c r="AI698" t="s">
        <v>236</v>
      </c>
      <c r="AJ698" t="s">
        <v>258</v>
      </c>
      <c r="AK698">
        <v>267.23349206349206</v>
      </c>
    </row>
    <row r="699" spans="1:37" x14ac:dyDescent="0.35">
      <c r="A699">
        <v>4</v>
      </c>
      <c r="B699">
        <v>2024</v>
      </c>
      <c r="C699" t="s">
        <v>33</v>
      </c>
      <c r="D699" t="s">
        <v>34</v>
      </c>
      <c r="E699" t="s">
        <v>236</v>
      </c>
      <c r="F699" s="3" t="s">
        <v>36</v>
      </c>
      <c r="G699" s="2" t="s">
        <v>237</v>
      </c>
      <c r="H699" s="3">
        <v>52426</v>
      </c>
      <c r="I699" s="3">
        <v>2811</v>
      </c>
      <c r="J699" s="2" t="s">
        <v>415</v>
      </c>
      <c r="K699" t="s">
        <v>236</v>
      </c>
      <c r="L699" t="s">
        <v>39</v>
      </c>
      <c r="M699" t="s">
        <v>40</v>
      </c>
      <c r="O699" t="s">
        <v>34</v>
      </c>
      <c r="P699">
        <v>45401</v>
      </c>
      <c r="S699" s="6">
        <v>2697.17</v>
      </c>
      <c r="T699" t="s">
        <v>319</v>
      </c>
      <c r="W699" s="7">
        <v>13</v>
      </c>
      <c r="AI699" t="s">
        <v>236</v>
      </c>
      <c r="AJ699" t="s">
        <v>258</v>
      </c>
      <c r="AK699">
        <v>207.47461538461539</v>
      </c>
    </row>
    <row r="700" spans="1:37" x14ac:dyDescent="0.35">
      <c r="A700">
        <v>4</v>
      </c>
      <c r="B700">
        <v>2024</v>
      </c>
      <c r="C700" t="s">
        <v>33</v>
      </c>
      <c r="D700" t="s">
        <v>34</v>
      </c>
      <c r="E700" t="s">
        <v>236</v>
      </c>
      <c r="F700" s="3" t="s">
        <v>36</v>
      </c>
      <c r="G700" s="2" t="s">
        <v>237</v>
      </c>
      <c r="H700" s="3">
        <v>52426</v>
      </c>
      <c r="I700" s="3">
        <v>2810</v>
      </c>
      <c r="J700" s="2" t="s">
        <v>416</v>
      </c>
      <c r="K700" t="s">
        <v>236</v>
      </c>
      <c r="L700" t="s">
        <v>39</v>
      </c>
      <c r="M700" t="s">
        <v>40</v>
      </c>
      <c r="O700" t="s">
        <v>34</v>
      </c>
      <c r="P700">
        <v>45401</v>
      </c>
      <c r="S700" s="6">
        <v>2443.38</v>
      </c>
      <c r="T700" t="s">
        <v>319</v>
      </c>
      <c r="W700" s="7">
        <v>11</v>
      </c>
      <c r="AI700" t="s">
        <v>236</v>
      </c>
      <c r="AJ700" t="s">
        <v>258</v>
      </c>
      <c r="AK700">
        <v>222.12545454545455</v>
      </c>
    </row>
    <row r="701" spans="1:37" x14ac:dyDescent="0.35">
      <c r="A701">
        <v>4</v>
      </c>
      <c r="B701">
        <v>2024</v>
      </c>
      <c r="C701" t="s">
        <v>33</v>
      </c>
      <c r="D701" t="s">
        <v>34</v>
      </c>
      <c r="E701" t="s">
        <v>236</v>
      </c>
      <c r="F701" s="3" t="s">
        <v>36</v>
      </c>
      <c r="G701" s="2" t="s">
        <v>237</v>
      </c>
      <c r="H701" s="3">
        <v>52426</v>
      </c>
      <c r="I701" s="3">
        <v>2809</v>
      </c>
      <c r="J701" s="2" t="s">
        <v>417</v>
      </c>
      <c r="K701" t="s">
        <v>236</v>
      </c>
      <c r="L701" t="s">
        <v>39</v>
      </c>
      <c r="M701" t="s">
        <v>40</v>
      </c>
      <c r="O701" t="s">
        <v>34</v>
      </c>
      <c r="P701">
        <v>45401</v>
      </c>
      <c r="S701" s="6">
        <v>3733.6</v>
      </c>
      <c r="T701" t="s">
        <v>319</v>
      </c>
      <c r="W701" s="7">
        <v>10</v>
      </c>
      <c r="AI701" t="s">
        <v>236</v>
      </c>
      <c r="AJ701" t="s">
        <v>258</v>
      </c>
      <c r="AK701">
        <v>373.36</v>
      </c>
    </row>
    <row r="702" spans="1:37" x14ac:dyDescent="0.35">
      <c r="A702">
        <v>4</v>
      </c>
      <c r="B702">
        <v>2024</v>
      </c>
      <c r="C702" t="s">
        <v>33</v>
      </c>
      <c r="D702" t="s">
        <v>34</v>
      </c>
      <c r="E702" t="s">
        <v>236</v>
      </c>
      <c r="F702" s="3" t="s">
        <v>36</v>
      </c>
      <c r="G702" s="2" t="s">
        <v>237</v>
      </c>
      <c r="H702" s="3">
        <v>52426</v>
      </c>
      <c r="I702" s="3">
        <v>2808</v>
      </c>
      <c r="J702" s="2" t="s">
        <v>418</v>
      </c>
      <c r="K702" t="s">
        <v>236</v>
      </c>
      <c r="L702" t="s">
        <v>39</v>
      </c>
      <c r="M702" t="s">
        <v>40</v>
      </c>
      <c r="O702" t="s">
        <v>34</v>
      </c>
      <c r="P702">
        <v>45401</v>
      </c>
      <c r="S702" s="6">
        <v>6174.36</v>
      </c>
      <c r="T702" t="s">
        <v>319</v>
      </c>
      <c r="W702" s="7">
        <v>20</v>
      </c>
      <c r="AI702" t="s">
        <v>236</v>
      </c>
      <c r="AJ702" t="s">
        <v>258</v>
      </c>
      <c r="AK702">
        <v>308.71799999999996</v>
      </c>
    </row>
    <row r="703" spans="1:37" x14ac:dyDescent="0.35">
      <c r="A703">
        <v>4</v>
      </c>
      <c r="B703">
        <v>2024</v>
      </c>
      <c r="C703" t="s">
        <v>33</v>
      </c>
      <c r="D703" t="s">
        <v>34</v>
      </c>
      <c r="E703" t="s">
        <v>236</v>
      </c>
      <c r="F703" s="3" t="s">
        <v>36</v>
      </c>
      <c r="G703" s="2" t="s">
        <v>237</v>
      </c>
      <c r="H703" s="3">
        <v>52426</v>
      </c>
      <c r="I703" s="3">
        <v>2804</v>
      </c>
      <c r="J703" s="2" t="s">
        <v>419</v>
      </c>
      <c r="K703" t="s">
        <v>236</v>
      </c>
      <c r="L703" t="s">
        <v>39</v>
      </c>
      <c r="M703" t="s">
        <v>40</v>
      </c>
      <c r="O703" t="s">
        <v>34</v>
      </c>
      <c r="P703">
        <v>45401</v>
      </c>
      <c r="S703" s="6">
        <v>4106.96</v>
      </c>
      <c r="T703" t="s">
        <v>319</v>
      </c>
      <c r="W703" s="7">
        <v>11</v>
      </c>
      <c r="AI703" t="s">
        <v>236</v>
      </c>
      <c r="AJ703" t="s">
        <v>258</v>
      </c>
      <c r="AK703">
        <v>373.36</v>
      </c>
    </row>
    <row r="704" spans="1:37" x14ac:dyDescent="0.35">
      <c r="A704">
        <v>4</v>
      </c>
      <c r="B704">
        <v>2024</v>
      </c>
      <c r="C704" t="s">
        <v>33</v>
      </c>
      <c r="D704" t="s">
        <v>34</v>
      </c>
      <c r="E704" t="s">
        <v>236</v>
      </c>
      <c r="F704" s="3" t="s">
        <v>36</v>
      </c>
      <c r="G704" s="2" t="s">
        <v>237</v>
      </c>
      <c r="H704" s="3">
        <v>52426</v>
      </c>
      <c r="I704" s="3">
        <v>2806</v>
      </c>
      <c r="J704" s="2" t="s">
        <v>420</v>
      </c>
      <c r="K704" t="s">
        <v>236</v>
      </c>
      <c r="L704" t="s">
        <v>39</v>
      </c>
      <c r="M704" t="s">
        <v>40</v>
      </c>
      <c r="O704" t="s">
        <v>34</v>
      </c>
      <c r="P704">
        <v>45401</v>
      </c>
      <c r="S704" s="6">
        <v>2282.2199999999998</v>
      </c>
      <c r="T704" t="s">
        <v>319</v>
      </c>
      <c r="W704" s="7">
        <v>11</v>
      </c>
      <c r="AI704" t="s">
        <v>236</v>
      </c>
      <c r="AJ704" t="s">
        <v>258</v>
      </c>
      <c r="AK704">
        <v>207.47454545454545</v>
      </c>
    </row>
    <row r="705" spans="1:37" x14ac:dyDescent="0.35">
      <c r="A705">
        <v>4</v>
      </c>
      <c r="B705">
        <v>2024</v>
      </c>
      <c r="C705" t="s">
        <v>33</v>
      </c>
      <c r="D705" t="s">
        <v>34</v>
      </c>
      <c r="E705" t="s">
        <v>236</v>
      </c>
      <c r="F705" s="3" t="s">
        <v>36</v>
      </c>
      <c r="G705" s="2" t="s">
        <v>237</v>
      </c>
      <c r="H705" s="3">
        <v>52426</v>
      </c>
      <c r="I705" s="3">
        <v>2805</v>
      </c>
      <c r="J705" s="2" t="s">
        <v>421</v>
      </c>
      <c r="K705" t="s">
        <v>236</v>
      </c>
      <c r="L705" t="s">
        <v>39</v>
      </c>
      <c r="M705" t="s">
        <v>40</v>
      </c>
      <c r="O705" t="s">
        <v>34</v>
      </c>
      <c r="P705">
        <v>45401</v>
      </c>
      <c r="S705" s="6">
        <v>2443.38</v>
      </c>
      <c r="T705" t="s">
        <v>319</v>
      </c>
      <c r="W705" s="7">
        <v>11</v>
      </c>
      <c r="AI705" t="s">
        <v>236</v>
      </c>
      <c r="AJ705" t="s">
        <v>258</v>
      </c>
      <c r="AK705">
        <v>222.12545454545455</v>
      </c>
    </row>
    <row r="706" spans="1:37" x14ac:dyDescent="0.35">
      <c r="A706">
        <v>4</v>
      </c>
      <c r="B706">
        <v>2024</v>
      </c>
      <c r="C706" t="s">
        <v>33</v>
      </c>
      <c r="D706" t="s">
        <v>34</v>
      </c>
      <c r="E706" t="s">
        <v>236</v>
      </c>
      <c r="F706" s="3" t="s">
        <v>36</v>
      </c>
      <c r="G706" s="2" t="s">
        <v>237</v>
      </c>
      <c r="H706" s="3">
        <v>52426</v>
      </c>
      <c r="I706" s="3">
        <v>2803</v>
      </c>
      <c r="J706" s="2" t="s">
        <v>422</v>
      </c>
      <c r="K706" t="s">
        <v>236</v>
      </c>
      <c r="L706" t="s">
        <v>39</v>
      </c>
      <c r="M706" t="s">
        <v>40</v>
      </c>
      <c r="O706" t="s">
        <v>34</v>
      </c>
      <c r="P706">
        <v>45401</v>
      </c>
      <c r="S706" s="6">
        <v>8644.11</v>
      </c>
      <c r="T706" t="s">
        <v>319</v>
      </c>
      <c r="W706" s="7">
        <v>28</v>
      </c>
      <c r="AI706" t="s">
        <v>236</v>
      </c>
      <c r="AJ706" t="s">
        <v>258</v>
      </c>
      <c r="AK706">
        <v>308.71821428571428</v>
      </c>
    </row>
    <row r="707" spans="1:37" x14ac:dyDescent="0.35">
      <c r="A707">
        <v>4</v>
      </c>
      <c r="B707">
        <v>2024</v>
      </c>
      <c r="C707" t="s">
        <v>33</v>
      </c>
      <c r="D707" t="s">
        <v>34</v>
      </c>
      <c r="E707" t="s">
        <v>236</v>
      </c>
      <c r="F707" s="3" t="s">
        <v>36</v>
      </c>
      <c r="G707" s="2" t="s">
        <v>237</v>
      </c>
      <c r="H707" s="3">
        <v>52426</v>
      </c>
      <c r="I707" s="3">
        <v>2802</v>
      </c>
      <c r="J707" s="2" t="s">
        <v>423</v>
      </c>
      <c r="K707" t="s">
        <v>236</v>
      </c>
      <c r="L707" t="s">
        <v>39</v>
      </c>
      <c r="M707" t="s">
        <v>40</v>
      </c>
      <c r="O707" t="s">
        <v>34</v>
      </c>
      <c r="P707">
        <v>45401</v>
      </c>
      <c r="S707" s="6">
        <v>12025.51</v>
      </c>
      <c r="T707" t="s">
        <v>319</v>
      </c>
      <c r="W707" s="7">
        <v>45</v>
      </c>
      <c r="AI707" t="s">
        <v>236</v>
      </c>
      <c r="AJ707" t="s">
        <v>258</v>
      </c>
      <c r="AK707">
        <v>267.23355555555554</v>
      </c>
    </row>
    <row r="708" spans="1:37" x14ac:dyDescent="0.35">
      <c r="A708">
        <v>4</v>
      </c>
      <c r="B708">
        <v>2024</v>
      </c>
      <c r="C708" t="s">
        <v>33</v>
      </c>
      <c r="D708" t="s">
        <v>34</v>
      </c>
      <c r="E708" t="s">
        <v>394</v>
      </c>
      <c r="F708" s="3" t="s">
        <v>36</v>
      </c>
      <c r="G708" s="2" t="s">
        <v>54</v>
      </c>
      <c r="H708" s="3">
        <v>52402</v>
      </c>
      <c r="I708" s="3">
        <v>1706</v>
      </c>
      <c r="J708" s="2" t="s">
        <v>259</v>
      </c>
      <c r="K708" t="s">
        <v>394</v>
      </c>
      <c r="M708" t="s">
        <v>40</v>
      </c>
      <c r="O708" t="s">
        <v>34</v>
      </c>
      <c r="P708">
        <v>45400</v>
      </c>
      <c r="S708" s="6">
        <v>-127041.12</v>
      </c>
      <c r="T708" t="s">
        <v>254</v>
      </c>
      <c r="W708" s="7">
        <v>-18124</v>
      </c>
      <c r="AK708">
        <v>7.0095519752813944</v>
      </c>
    </row>
    <row r="709" spans="1:37" x14ac:dyDescent="0.35">
      <c r="A709">
        <v>4</v>
      </c>
      <c r="B709">
        <v>2024</v>
      </c>
      <c r="C709" t="s">
        <v>33</v>
      </c>
      <c r="D709" t="s">
        <v>34</v>
      </c>
      <c r="E709" t="s">
        <v>42</v>
      </c>
      <c r="F709" s="3" t="s">
        <v>36</v>
      </c>
      <c r="G709" s="2" t="s">
        <v>43</v>
      </c>
      <c r="H709" s="3">
        <v>52529</v>
      </c>
      <c r="I709" s="3">
        <v>2054</v>
      </c>
      <c r="J709" s="2" t="s">
        <v>330</v>
      </c>
      <c r="K709" t="s">
        <v>42</v>
      </c>
      <c r="L709" t="s">
        <v>39</v>
      </c>
      <c r="M709" t="s">
        <v>40</v>
      </c>
      <c r="O709" t="s">
        <v>297</v>
      </c>
      <c r="P709">
        <v>45412</v>
      </c>
      <c r="S709" s="6">
        <v>27108.06</v>
      </c>
      <c r="T709" t="s">
        <v>254</v>
      </c>
      <c r="U709">
        <v>280</v>
      </c>
      <c r="W709" s="7">
        <v>1656</v>
      </c>
      <c r="AI709" t="s">
        <v>255</v>
      </c>
      <c r="AJ709" t="s">
        <v>262</v>
      </c>
      <c r="AK709">
        <v>16.369601449275365</v>
      </c>
    </row>
    <row r="710" spans="1:37" x14ac:dyDescent="0.35">
      <c r="A710">
        <v>4</v>
      </c>
      <c r="B710">
        <v>2024</v>
      </c>
      <c r="C710" t="s">
        <v>33</v>
      </c>
      <c r="D710" t="s">
        <v>34</v>
      </c>
      <c r="E710" t="s">
        <v>42</v>
      </c>
      <c r="F710" s="3" t="s">
        <v>36</v>
      </c>
      <c r="G710" s="2" t="s">
        <v>43</v>
      </c>
      <c r="H710" s="3">
        <v>52529</v>
      </c>
      <c r="I710" s="3">
        <v>2157</v>
      </c>
      <c r="J710" s="2" t="s">
        <v>337</v>
      </c>
      <c r="K710" t="s">
        <v>42</v>
      </c>
      <c r="L710" t="s">
        <v>39</v>
      </c>
      <c r="M710" t="s">
        <v>40</v>
      </c>
      <c r="O710" t="s">
        <v>297</v>
      </c>
      <c r="P710">
        <v>45412</v>
      </c>
      <c r="S710" s="6">
        <v>29398.52</v>
      </c>
      <c r="T710" t="s">
        <v>254</v>
      </c>
      <c r="U710">
        <v>300</v>
      </c>
      <c r="W710" s="7">
        <v>1215</v>
      </c>
      <c r="AI710" t="s">
        <v>255</v>
      </c>
      <c r="AJ710" t="s">
        <v>262</v>
      </c>
      <c r="AK710">
        <v>24.196312757201646</v>
      </c>
    </row>
    <row r="711" spans="1:37" x14ac:dyDescent="0.35">
      <c r="A711">
        <v>4</v>
      </c>
      <c r="B711">
        <v>2024</v>
      </c>
      <c r="C711" t="s">
        <v>33</v>
      </c>
      <c r="D711" t="s">
        <v>34</v>
      </c>
      <c r="E711" t="s">
        <v>42</v>
      </c>
      <c r="F711" s="3" t="s">
        <v>36</v>
      </c>
      <c r="G711" s="2" t="s">
        <v>43</v>
      </c>
      <c r="H711" s="3">
        <v>52529</v>
      </c>
      <c r="I711" s="3">
        <v>1525</v>
      </c>
      <c r="J711" s="2" t="s">
        <v>283</v>
      </c>
      <c r="K711" t="s">
        <v>42</v>
      </c>
      <c r="L711" t="s">
        <v>39</v>
      </c>
      <c r="M711" t="s">
        <v>40</v>
      </c>
      <c r="O711" t="s">
        <v>297</v>
      </c>
      <c r="P711">
        <v>45412</v>
      </c>
      <c r="S711" s="6">
        <v>57844.73</v>
      </c>
      <c r="T711" t="s">
        <v>254</v>
      </c>
      <c r="U711">
        <v>320</v>
      </c>
      <c r="W711" s="7">
        <v>2999.4</v>
      </c>
      <c r="AI711" t="s">
        <v>255</v>
      </c>
      <c r="AJ711" t="s">
        <v>262</v>
      </c>
      <c r="AK711">
        <v>19.285433753417351</v>
      </c>
    </row>
    <row r="712" spans="1:37" x14ac:dyDescent="0.35">
      <c r="A712">
        <v>4</v>
      </c>
      <c r="B712">
        <v>2024</v>
      </c>
      <c r="C712" t="s">
        <v>33</v>
      </c>
      <c r="D712" t="s">
        <v>34</v>
      </c>
      <c r="E712" t="s">
        <v>42</v>
      </c>
      <c r="F712" s="3" t="s">
        <v>36</v>
      </c>
      <c r="G712" s="2" t="s">
        <v>43</v>
      </c>
      <c r="H712" s="3">
        <v>52529</v>
      </c>
      <c r="I712" s="3">
        <v>2496</v>
      </c>
      <c r="J712" s="2" t="s">
        <v>385</v>
      </c>
      <c r="K712" t="s">
        <v>42</v>
      </c>
      <c r="L712" t="s">
        <v>39</v>
      </c>
      <c r="M712" t="s">
        <v>40</v>
      </c>
      <c r="O712" t="s">
        <v>297</v>
      </c>
      <c r="P712">
        <v>45412</v>
      </c>
      <c r="S712" s="6">
        <v>11902.75</v>
      </c>
      <c r="T712" t="s">
        <v>254</v>
      </c>
      <c r="U712">
        <v>310</v>
      </c>
      <c r="W712" s="7">
        <v>554</v>
      </c>
      <c r="AI712" t="s">
        <v>255</v>
      </c>
      <c r="AJ712" t="s">
        <v>262</v>
      </c>
      <c r="AK712">
        <v>21.485108303249099</v>
      </c>
    </row>
    <row r="713" spans="1:37" x14ac:dyDescent="0.35">
      <c r="A713">
        <v>4</v>
      </c>
      <c r="B713">
        <v>2024</v>
      </c>
      <c r="C713" t="s">
        <v>33</v>
      </c>
      <c r="D713" t="s">
        <v>34</v>
      </c>
      <c r="E713" t="s">
        <v>42</v>
      </c>
      <c r="F713" s="3" t="s">
        <v>36</v>
      </c>
      <c r="G713" s="2" t="s">
        <v>43</v>
      </c>
      <c r="H713" s="3">
        <v>52529</v>
      </c>
      <c r="I713" s="3">
        <v>3009</v>
      </c>
      <c r="J713" s="2" t="s">
        <v>424</v>
      </c>
      <c r="K713" t="s">
        <v>42</v>
      </c>
      <c r="L713" t="s">
        <v>39</v>
      </c>
      <c r="M713" t="s">
        <v>40</v>
      </c>
      <c r="O713" t="s">
        <v>297</v>
      </c>
      <c r="P713">
        <v>45412</v>
      </c>
      <c r="S713" s="6">
        <v>11746.21</v>
      </c>
      <c r="T713" t="s">
        <v>254</v>
      </c>
      <c r="U713">
        <v>300</v>
      </c>
      <c r="W713" s="7">
        <v>534</v>
      </c>
      <c r="AI713" t="s">
        <v>255</v>
      </c>
      <c r="AJ713" t="s">
        <v>262</v>
      </c>
      <c r="AK713">
        <v>21.996647940074904</v>
      </c>
    </row>
    <row r="714" spans="1:37" x14ac:dyDescent="0.35">
      <c r="A714">
        <v>4</v>
      </c>
      <c r="B714">
        <v>2024</v>
      </c>
      <c r="C714" t="s">
        <v>33</v>
      </c>
      <c r="D714" t="s">
        <v>34</v>
      </c>
      <c r="E714" t="s">
        <v>42</v>
      </c>
      <c r="F714" s="3" t="s">
        <v>36</v>
      </c>
      <c r="G714" s="2" t="s">
        <v>43</v>
      </c>
      <c r="H714" s="3">
        <v>52529</v>
      </c>
      <c r="I714" s="3">
        <v>1226</v>
      </c>
      <c r="J714" s="2" t="s">
        <v>266</v>
      </c>
      <c r="K714" t="s">
        <v>42</v>
      </c>
      <c r="L714" t="s">
        <v>39</v>
      </c>
      <c r="M714" t="s">
        <v>40</v>
      </c>
      <c r="O714" t="s">
        <v>297</v>
      </c>
      <c r="P714">
        <v>45412</v>
      </c>
      <c r="S714" s="6">
        <v>23802.42</v>
      </c>
      <c r="T714" t="s">
        <v>254</v>
      </c>
      <c r="U714">
        <v>260</v>
      </c>
      <c r="W714" s="7">
        <v>1551</v>
      </c>
      <c r="AI714" t="s">
        <v>255</v>
      </c>
      <c r="AJ714" t="s">
        <v>262</v>
      </c>
      <c r="AK714">
        <v>15.34649903288201</v>
      </c>
    </row>
    <row r="715" spans="1:37" x14ac:dyDescent="0.35">
      <c r="A715">
        <v>4</v>
      </c>
      <c r="B715">
        <v>2024</v>
      </c>
      <c r="C715" t="s">
        <v>33</v>
      </c>
      <c r="D715" t="s">
        <v>34</v>
      </c>
      <c r="E715" t="s">
        <v>42</v>
      </c>
      <c r="F715" s="3" t="s">
        <v>36</v>
      </c>
      <c r="G715" s="2" t="s">
        <v>43</v>
      </c>
      <c r="H715" s="3">
        <v>52529</v>
      </c>
      <c r="I715" s="3">
        <v>1506</v>
      </c>
      <c r="J715" s="2" t="s">
        <v>253</v>
      </c>
      <c r="K715" t="s">
        <v>42</v>
      </c>
      <c r="L715" t="s">
        <v>39</v>
      </c>
      <c r="M715" t="s">
        <v>40</v>
      </c>
      <c r="O715" t="s">
        <v>297</v>
      </c>
      <c r="P715">
        <v>45412</v>
      </c>
      <c r="S715" s="6">
        <v>50830.17</v>
      </c>
      <c r="T715" t="s">
        <v>254</v>
      </c>
      <c r="U715">
        <v>280</v>
      </c>
      <c r="W715" s="7">
        <v>2839</v>
      </c>
      <c r="AI715" t="s">
        <v>255</v>
      </c>
      <c r="AJ715" t="s">
        <v>262</v>
      </c>
      <c r="AK715">
        <v>17.904251497005987</v>
      </c>
    </row>
    <row r="716" spans="1:37" x14ac:dyDescent="0.35">
      <c r="A716">
        <v>4</v>
      </c>
      <c r="B716">
        <v>2024</v>
      </c>
      <c r="C716" t="s">
        <v>33</v>
      </c>
      <c r="D716" t="s">
        <v>34</v>
      </c>
      <c r="E716" t="s">
        <v>42</v>
      </c>
      <c r="F716" s="3" t="s">
        <v>36</v>
      </c>
      <c r="G716" s="2" t="s">
        <v>43</v>
      </c>
      <c r="H716" s="3">
        <v>52529</v>
      </c>
      <c r="I716" s="3">
        <v>1504</v>
      </c>
      <c r="J716" s="2" t="s">
        <v>263</v>
      </c>
      <c r="K716" t="s">
        <v>42</v>
      </c>
      <c r="L716" t="s">
        <v>39</v>
      </c>
      <c r="M716" t="s">
        <v>40</v>
      </c>
      <c r="O716" t="s">
        <v>297</v>
      </c>
      <c r="P716">
        <v>45412</v>
      </c>
      <c r="S716" s="6">
        <v>52633.17</v>
      </c>
      <c r="T716" t="s">
        <v>254</v>
      </c>
      <c r="U716">
        <v>240</v>
      </c>
      <c r="W716" s="7">
        <v>3476</v>
      </c>
      <c r="AI716" t="s">
        <v>255</v>
      </c>
      <c r="AJ716" t="s">
        <v>262</v>
      </c>
      <c r="AK716">
        <v>15.141878596087457</v>
      </c>
    </row>
    <row r="717" spans="1:37" x14ac:dyDescent="0.35">
      <c r="A717">
        <v>4</v>
      </c>
      <c r="B717">
        <v>2024</v>
      </c>
      <c r="C717" t="s">
        <v>33</v>
      </c>
      <c r="D717" t="s">
        <v>34</v>
      </c>
      <c r="E717" t="s">
        <v>42</v>
      </c>
      <c r="F717" s="3" t="s">
        <v>36</v>
      </c>
      <c r="G717" s="2" t="s">
        <v>43</v>
      </c>
      <c r="H717" s="3">
        <v>52529</v>
      </c>
      <c r="I717" s="3">
        <v>1236</v>
      </c>
      <c r="J717" s="2" t="s">
        <v>264</v>
      </c>
      <c r="K717" t="s">
        <v>42</v>
      </c>
      <c r="L717" t="s">
        <v>39</v>
      </c>
      <c r="M717" t="s">
        <v>40</v>
      </c>
      <c r="O717" t="s">
        <v>297</v>
      </c>
      <c r="P717">
        <v>45412</v>
      </c>
      <c r="S717" s="6">
        <v>43990.74</v>
      </c>
      <c r="T717" t="s">
        <v>254</v>
      </c>
      <c r="U717">
        <v>240</v>
      </c>
      <c r="W717" s="7">
        <v>2457</v>
      </c>
      <c r="AI717" t="s">
        <v>255</v>
      </c>
      <c r="AJ717" t="s">
        <v>262</v>
      </c>
      <c r="AK717">
        <v>17.904249084249084</v>
      </c>
    </row>
    <row r="718" spans="1:37" x14ac:dyDescent="0.35">
      <c r="A718">
        <v>4</v>
      </c>
      <c r="B718">
        <v>2024</v>
      </c>
      <c r="C718" t="s">
        <v>33</v>
      </c>
      <c r="D718" t="s">
        <v>34</v>
      </c>
      <c r="E718" t="s">
        <v>42</v>
      </c>
      <c r="F718" s="3" t="s">
        <v>36</v>
      </c>
      <c r="G718" s="2" t="s">
        <v>43</v>
      </c>
      <c r="H718" s="3">
        <v>52529</v>
      </c>
      <c r="I718" s="3">
        <v>1225</v>
      </c>
      <c r="J718" s="2" t="s">
        <v>292</v>
      </c>
      <c r="K718" t="s">
        <v>42</v>
      </c>
      <c r="L718" t="s">
        <v>39</v>
      </c>
      <c r="M718" t="s">
        <v>40</v>
      </c>
      <c r="O718" t="s">
        <v>297</v>
      </c>
      <c r="P718">
        <v>45412</v>
      </c>
      <c r="S718" s="6">
        <v>48393.45</v>
      </c>
      <c r="T718" t="s">
        <v>254</v>
      </c>
      <c r="U718">
        <v>240</v>
      </c>
      <c r="W718" s="7">
        <v>3196</v>
      </c>
      <c r="AI718" t="s">
        <v>255</v>
      </c>
      <c r="AJ718" t="s">
        <v>262</v>
      </c>
      <c r="AK718">
        <v>15.141880475594492</v>
      </c>
    </row>
    <row r="719" spans="1:37" x14ac:dyDescent="0.35">
      <c r="A719">
        <v>4</v>
      </c>
      <c r="B719">
        <v>2024</v>
      </c>
      <c r="C719" t="s">
        <v>33</v>
      </c>
      <c r="D719" t="s">
        <v>34</v>
      </c>
      <c r="E719" t="s">
        <v>42</v>
      </c>
      <c r="F719" s="3" t="s">
        <v>36</v>
      </c>
      <c r="G719" s="2" t="s">
        <v>43</v>
      </c>
      <c r="H719" s="3">
        <v>52546</v>
      </c>
      <c r="I719" s="3">
        <v>1905</v>
      </c>
      <c r="J719" s="2" t="s">
        <v>291</v>
      </c>
      <c r="K719" t="s">
        <v>42</v>
      </c>
      <c r="L719" t="s">
        <v>39</v>
      </c>
      <c r="M719" t="s">
        <v>40</v>
      </c>
      <c r="O719" t="s">
        <v>297</v>
      </c>
      <c r="P719">
        <v>45412</v>
      </c>
      <c r="S719" s="6">
        <v>4583.49</v>
      </c>
      <c r="T719" t="s">
        <v>254</v>
      </c>
      <c r="W719" s="7">
        <v>560</v>
      </c>
      <c r="AI719" t="s">
        <v>255</v>
      </c>
      <c r="AJ719" t="s">
        <v>262</v>
      </c>
      <c r="AK719">
        <v>8.1848035714285707</v>
      </c>
    </row>
    <row r="720" spans="1:37" x14ac:dyDescent="0.35">
      <c r="A720">
        <v>4</v>
      </c>
      <c r="B720">
        <v>2024</v>
      </c>
      <c r="C720" t="s">
        <v>33</v>
      </c>
      <c r="D720" t="s">
        <v>34</v>
      </c>
      <c r="E720" t="s">
        <v>42</v>
      </c>
      <c r="F720" s="3" t="s">
        <v>36</v>
      </c>
      <c r="G720" s="2" t="s">
        <v>43</v>
      </c>
      <c r="H720" s="3">
        <v>52546</v>
      </c>
      <c r="I720" s="3">
        <v>1523</v>
      </c>
      <c r="J720" s="2" t="s">
        <v>282</v>
      </c>
      <c r="K720" t="s">
        <v>42</v>
      </c>
      <c r="L720" t="s">
        <v>39</v>
      </c>
      <c r="M720" t="s">
        <v>40</v>
      </c>
      <c r="O720" t="s">
        <v>297</v>
      </c>
      <c r="P720">
        <v>45412</v>
      </c>
      <c r="S720" s="6">
        <v>11049.48</v>
      </c>
      <c r="T720" t="s">
        <v>254</v>
      </c>
      <c r="W720" s="7">
        <v>1500</v>
      </c>
      <c r="AI720" t="s">
        <v>255</v>
      </c>
      <c r="AJ720" t="s">
        <v>262</v>
      </c>
      <c r="AK720">
        <v>7.36632</v>
      </c>
    </row>
    <row r="721" spans="1:37" x14ac:dyDescent="0.35">
      <c r="A721">
        <v>4</v>
      </c>
      <c r="B721">
        <v>2024</v>
      </c>
      <c r="C721" t="s">
        <v>33</v>
      </c>
      <c r="D721" t="s">
        <v>34</v>
      </c>
      <c r="E721" t="s">
        <v>116</v>
      </c>
      <c r="F721" s="3" t="s">
        <v>36</v>
      </c>
      <c r="G721" s="2" t="s">
        <v>50</v>
      </c>
      <c r="H721" s="3">
        <v>52558</v>
      </c>
      <c r="I721" s="3">
        <v>1419</v>
      </c>
      <c r="J721" s="2" t="s">
        <v>341</v>
      </c>
      <c r="K721" t="s">
        <v>116</v>
      </c>
      <c r="L721" t="s">
        <v>39</v>
      </c>
      <c r="M721" t="s">
        <v>40</v>
      </c>
      <c r="O721" t="s">
        <v>34</v>
      </c>
      <c r="P721">
        <v>45412</v>
      </c>
      <c r="S721" s="6">
        <v>17656.150000000001</v>
      </c>
      <c r="T721" t="s">
        <v>254</v>
      </c>
      <c r="U721">
        <v>180</v>
      </c>
      <c r="W721" s="7">
        <v>1534</v>
      </c>
      <c r="AI721" t="s">
        <v>116</v>
      </c>
      <c r="AJ721" t="s">
        <v>258</v>
      </c>
      <c r="AK721">
        <v>11.509876140808345</v>
      </c>
    </row>
    <row r="722" spans="1:37" x14ac:dyDescent="0.35">
      <c r="A722">
        <v>4</v>
      </c>
      <c r="B722">
        <v>2024</v>
      </c>
      <c r="C722" t="s">
        <v>33</v>
      </c>
      <c r="D722" t="s">
        <v>34</v>
      </c>
      <c r="E722" t="s">
        <v>116</v>
      </c>
      <c r="F722" s="3" t="s">
        <v>36</v>
      </c>
      <c r="G722" s="2" t="s">
        <v>50</v>
      </c>
      <c r="H722" s="3">
        <v>52558</v>
      </c>
      <c r="I722" s="3">
        <v>1422</v>
      </c>
      <c r="J722" s="2" t="s">
        <v>339</v>
      </c>
      <c r="K722" t="s">
        <v>116</v>
      </c>
      <c r="L722" t="s">
        <v>39</v>
      </c>
      <c r="M722" t="s">
        <v>40</v>
      </c>
      <c r="O722" t="s">
        <v>34</v>
      </c>
      <c r="P722">
        <v>45412</v>
      </c>
      <c r="S722" s="6">
        <v>33557.370000000003</v>
      </c>
      <c r="T722" t="s">
        <v>254</v>
      </c>
      <c r="U722">
        <v>240</v>
      </c>
      <c r="W722" s="7">
        <v>2318</v>
      </c>
      <c r="AI722" t="s">
        <v>116</v>
      </c>
      <c r="AJ722" t="s">
        <v>258</v>
      </c>
      <c r="AK722">
        <v>14.476863675582401</v>
      </c>
    </row>
    <row r="723" spans="1:37" x14ac:dyDescent="0.35">
      <c r="A723">
        <v>4</v>
      </c>
      <c r="B723">
        <v>2024</v>
      </c>
      <c r="C723" t="s">
        <v>33</v>
      </c>
      <c r="D723" t="s">
        <v>34</v>
      </c>
      <c r="E723" t="s">
        <v>223</v>
      </c>
      <c r="F723" s="3" t="s">
        <v>36</v>
      </c>
      <c r="G723" s="2" t="s">
        <v>37</v>
      </c>
      <c r="H723" s="3">
        <v>52563</v>
      </c>
      <c r="I723" s="3">
        <v>3074</v>
      </c>
      <c r="J723" s="2" t="s">
        <v>425</v>
      </c>
      <c r="K723" t="s">
        <v>223</v>
      </c>
      <c r="L723" t="s">
        <v>39</v>
      </c>
      <c r="M723" t="s">
        <v>40</v>
      </c>
      <c r="O723" t="s">
        <v>34</v>
      </c>
      <c r="P723">
        <v>45412</v>
      </c>
      <c r="S723" s="6">
        <v>22260.1</v>
      </c>
      <c r="T723" t="s">
        <v>254</v>
      </c>
      <c r="U723">
        <v>240</v>
      </c>
      <c r="W723" s="7">
        <v>1934</v>
      </c>
      <c r="AI723" t="s">
        <v>261</v>
      </c>
      <c r="AJ723" t="s">
        <v>258</v>
      </c>
      <c r="AK723">
        <v>11.509875904860392</v>
      </c>
    </row>
    <row r="724" spans="1:37" x14ac:dyDescent="0.35">
      <c r="A724">
        <v>4</v>
      </c>
      <c r="B724">
        <v>2024</v>
      </c>
      <c r="C724" t="s">
        <v>33</v>
      </c>
      <c r="D724" t="s">
        <v>34</v>
      </c>
      <c r="E724" t="s">
        <v>223</v>
      </c>
      <c r="F724" s="3" t="s">
        <v>36</v>
      </c>
      <c r="G724" s="2" t="s">
        <v>37</v>
      </c>
      <c r="H724" s="3">
        <v>52563</v>
      </c>
      <c r="I724" s="3">
        <v>3075</v>
      </c>
      <c r="J724" s="2" t="s">
        <v>426</v>
      </c>
      <c r="K724" t="s">
        <v>223</v>
      </c>
      <c r="L724" t="s">
        <v>39</v>
      </c>
      <c r="M724" t="s">
        <v>40</v>
      </c>
      <c r="O724" t="s">
        <v>34</v>
      </c>
      <c r="P724">
        <v>45412</v>
      </c>
      <c r="S724" s="6">
        <v>17740.55</v>
      </c>
      <c r="T724" t="s">
        <v>254</v>
      </c>
      <c r="U724">
        <v>240</v>
      </c>
      <c r="W724" s="7">
        <v>1734</v>
      </c>
      <c r="AI724" t="s">
        <v>261</v>
      </c>
      <c r="AJ724" t="s">
        <v>258</v>
      </c>
      <c r="AK724">
        <v>10.230997693194924</v>
      </c>
    </row>
    <row r="725" spans="1:37" x14ac:dyDescent="0.35">
      <c r="A725">
        <v>4</v>
      </c>
      <c r="B725">
        <v>2024</v>
      </c>
      <c r="C725" t="s">
        <v>33</v>
      </c>
      <c r="D725" t="s">
        <v>34</v>
      </c>
      <c r="E725" t="s">
        <v>223</v>
      </c>
      <c r="F725" s="3" t="s">
        <v>36</v>
      </c>
      <c r="G725" s="2" t="s">
        <v>37</v>
      </c>
      <c r="H725" s="3">
        <v>52563</v>
      </c>
      <c r="I725" s="3">
        <v>3076</v>
      </c>
      <c r="J725" s="2" t="s">
        <v>427</v>
      </c>
      <c r="K725" t="s">
        <v>223</v>
      </c>
      <c r="L725" t="s">
        <v>39</v>
      </c>
      <c r="M725" t="s">
        <v>40</v>
      </c>
      <c r="O725" t="s">
        <v>34</v>
      </c>
      <c r="P725">
        <v>45412</v>
      </c>
      <c r="S725" s="6">
        <v>31838.87</v>
      </c>
      <c r="T725" t="s">
        <v>254</v>
      </c>
      <c r="U725">
        <v>250</v>
      </c>
      <c r="W725" s="7">
        <v>3112</v>
      </c>
      <c r="AI725" t="s">
        <v>261</v>
      </c>
      <c r="AJ725" t="s">
        <v>258</v>
      </c>
      <c r="AK725">
        <v>10.230999357326478</v>
      </c>
    </row>
    <row r="726" spans="1:37" x14ac:dyDescent="0.35">
      <c r="A726">
        <v>4</v>
      </c>
      <c r="B726">
        <v>2024</v>
      </c>
      <c r="C726" t="s">
        <v>33</v>
      </c>
      <c r="D726" t="s">
        <v>34</v>
      </c>
      <c r="E726" t="s">
        <v>223</v>
      </c>
      <c r="F726" s="3" t="s">
        <v>36</v>
      </c>
      <c r="G726" s="2" t="s">
        <v>37</v>
      </c>
      <c r="H726" s="3">
        <v>52563</v>
      </c>
      <c r="I726" s="3">
        <v>3038</v>
      </c>
      <c r="J726" s="2" t="s">
        <v>428</v>
      </c>
      <c r="K726" t="s">
        <v>223</v>
      </c>
      <c r="L726" t="s">
        <v>39</v>
      </c>
      <c r="M726" t="s">
        <v>40</v>
      </c>
      <c r="O726" t="s">
        <v>34</v>
      </c>
      <c r="P726">
        <v>45412</v>
      </c>
      <c r="S726" s="6">
        <v>32937.370000000003</v>
      </c>
      <c r="T726" t="s">
        <v>254</v>
      </c>
      <c r="U726">
        <v>200</v>
      </c>
      <c r="W726" s="7">
        <v>2486</v>
      </c>
      <c r="AI726" t="s">
        <v>261</v>
      </c>
      <c r="AJ726" t="s">
        <v>258</v>
      </c>
      <c r="AK726">
        <v>13.249143201930814</v>
      </c>
    </row>
    <row r="727" spans="1:37" x14ac:dyDescent="0.35">
      <c r="A727">
        <v>4</v>
      </c>
      <c r="B727">
        <v>2024</v>
      </c>
      <c r="C727" t="s">
        <v>33</v>
      </c>
      <c r="D727" t="s">
        <v>34</v>
      </c>
      <c r="E727" t="s">
        <v>223</v>
      </c>
      <c r="F727" s="3" t="s">
        <v>36</v>
      </c>
      <c r="G727" s="2" t="s">
        <v>37</v>
      </c>
      <c r="H727" s="3">
        <v>52563</v>
      </c>
      <c r="I727" s="3">
        <v>3037</v>
      </c>
      <c r="J727" s="2" t="s">
        <v>429</v>
      </c>
      <c r="K727" t="s">
        <v>223</v>
      </c>
      <c r="L727" t="s">
        <v>39</v>
      </c>
      <c r="M727" t="s">
        <v>40</v>
      </c>
      <c r="O727" t="s">
        <v>34</v>
      </c>
      <c r="P727">
        <v>45412</v>
      </c>
      <c r="S727" s="6">
        <v>66674.399999999994</v>
      </c>
      <c r="T727" t="s">
        <v>254</v>
      </c>
      <c r="U727">
        <v>260</v>
      </c>
      <c r="W727" s="7">
        <v>3342</v>
      </c>
      <c r="AI727" t="s">
        <v>261</v>
      </c>
      <c r="AJ727" t="s">
        <v>258</v>
      </c>
      <c r="AK727">
        <v>19.950448833034109</v>
      </c>
    </row>
    <row r="728" spans="1:37" x14ac:dyDescent="0.35">
      <c r="A728">
        <v>4</v>
      </c>
      <c r="B728">
        <v>2024</v>
      </c>
      <c r="C728" t="s">
        <v>33</v>
      </c>
      <c r="D728" t="s">
        <v>34</v>
      </c>
      <c r="E728" t="s">
        <v>387</v>
      </c>
      <c r="F728" s="3" t="s">
        <v>36</v>
      </c>
      <c r="G728" s="2" t="s">
        <v>388</v>
      </c>
      <c r="H728" s="3">
        <v>52576</v>
      </c>
      <c r="I728" s="3">
        <v>2950</v>
      </c>
      <c r="J728" s="2" t="s">
        <v>412</v>
      </c>
      <c r="K728" t="s">
        <v>387</v>
      </c>
      <c r="L728" t="s">
        <v>39</v>
      </c>
      <c r="M728" t="s">
        <v>40</v>
      </c>
      <c r="O728" t="s">
        <v>297</v>
      </c>
      <c r="P728">
        <v>45412</v>
      </c>
      <c r="S728" s="6">
        <v>4393.6000000000004</v>
      </c>
      <c r="T728" t="s">
        <v>254</v>
      </c>
      <c r="U728">
        <v>180</v>
      </c>
      <c r="W728" s="7">
        <v>488</v>
      </c>
      <c r="AI728" t="s">
        <v>387</v>
      </c>
      <c r="AJ728" t="s">
        <v>258</v>
      </c>
      <c r="AK728">
        <v>9.0032786885245901</v>
      </c>
    </row>
    <row r="729" spans="1:37" x14ac:dyDescent="0.35">
      <c r="A729">
        <v>4</v>
      </c>
      <c r="B729">
        <v>2024</v>
      </c>
      <c r="C729" t="s">
        <v>33</v>
      </c>
      <c r="D729" t="s">
        <v>34</v>
      </c>
      <c r="E729" t="s">
        <v>387</v>
      </c>
      <c r="F729" s="3" t="s">
        <v>36</v>
      </c>
      <c r="G729" s="2" t="s">
        <v>388</v>
      </c>
      <c r="H729" s="3">
        <v>52576</v>
      </c>
      <c r="I729" s="3">
        <v>3128</v>
      </c>
      <c r="J729" s="2" t="s">
        <v>430</v>
      </c>
      <c r="K729" t="s">
        <v>387</v>
      </c>
      <c r="L729" t="s">
        <v>39</v>
      </c>
      <c r="M729" t="s">
        <v>40</v>
      </c>
      <c r="O729" t="s">
        <v>297</v>
      </c>
      <c r="P729">
        <v>45412</v>
      </c>
      <c r="S729" s="6">
        <v>32196.959999999999</v>
      </c>
      <c r="T729" t="s">
        <v>254</v>
      </c>
      <c r="U729">
        <v>280</v>
      </c>
      <c r="W729" s="7">
        <v>2098</v>
      </c>
      <c r="AI729" t="s">
        <v>387</v>
      </c>
      <c r="AJ729" t="s">
        <v>258</v>
      </c>
      <c r="AK729">
        <v>15.346501429933269</v>
      </c>
    </row>
    <row r="730" spans="1:37" x14ac:dyDescent="0.35">
      <c r="A730">
        <v>4</v>
      </c>
      <c r="B730">
        <v>2024</v>
      </c>
      <c r="C730" t="s">
        <v>33</v>
      </c>
      <c r="D730" t="s">
        <v>34</v>
      </c>
      <c r="E730" t="s">
        <v>387</v>
      </c>
      <c r="F730" s="3" t="s">
        <v>36</v>
      </c>
      <c r="G730" s="2" t="s">
        <v>388</v>
      </c>
      <c r="H730" s="3">
        <v>52576</v>
      </c>
      <c r="I730" s="3">
        <v>3127</v>
      </c>
      <c r="J730" s="2" t="s">
        <v>431</v>
      </c>
      <c r="K730" t="s">
        <v>387</v>
      </c>
      <c r="L730" t="s">
        <v>39</v>
      </c>
      <c r="M730" t="s">
        <v>40</v>
      </c>
      <c r="O730" t="s">
        <v>297</v>
      </c>
      <c r="P730">
        <v>45412</v>
      </c>
      <c r="S730" s="6">
        <v>12113.5</v>
      </c>
      <c r="T730" t="s">
        <v>254</v>
      </c>
      <c r="U730">
        <v>200</v>
      </c>
      <c r="W730" s="7">
        <v>1184</v>
      </c>
      <c r="AI730" t="s">
        <v>387</v>
      </c>
      <c r="AJ730" t="s">
        <v>258</v>
      </c>
      <c r="AK730">
        <v>10.230996621621621</v>
      </c>
    </row>
    <row r="731" spans="1:37" x14ac:dyDescent="0.35">
      <c r="A731">
        <v>4</v>
      </c>
      <c r="B731">
        <v>2024</v>
      </c>
      <c r="C731" t="s">
        <v>33</v>
      </c>
      <c r="D731" t="s">
        <v>34</v>
      </c>
      <c r="E731" t="s">
        <v>387</v>
      </c>
      <c r="F731" s="3" t="s">
        <v>36</v>
      </c>
      <c r="G731" s="2" t="s">
        <v>388</v>
      </c>
      <c r="H731" s="3">
        <v>52576</v>
      </c>
      <c r="I731" s="3">
        <v>2942</v>
      </c>
      <c r="J731" s="2" t="s">
        <v>411</v>
      </c>
      <c r="K731" t="s">
        <v>387</v>
      </c>
      <c r="L731" t="s">
        <v>39</v>
      </c>
      <c r="M731" t="s">
        <v>40</v>
      </c>
      <c r="O731" t="s">
        <v>297</v>
      </c>
      <c r="P731">
        <v>45412</v>
      </c>
      <c r="S731" s="6">
        <v>9336.81</v>
      </c>
      <c r="T731" t="s">
        <v>254</v>
      </c>
      <c r="U731">
        <v>260</v>
      </c>
      <c r="W731" s="7">
        <v>540</v>
      </c>
      <c r="AI731" t="s">
        <v>387</v>
      </c>
      <c r="AJ731" t="s">
        <v>258</v>
      </c>
      <c r="AK731">
        <v>17.290388888888888</v>
      </c>
    </row>
    <row r="732" spans="1:37" x14ac:dyDescent="0.35">
      <c r="A732">
        <v>4</v>
      </c>
      <c r="B732">
        <v>2024</v>
      </c>
      <c r="C732" t="s">
        <v>33</v>
      </c>
      <c r="D732" t="s">
        <v>34</v>
      </c>
      <c r="E732" t="s">
        <v>387</v>
      </c>
      <c r="F732" s="3" t="s">
        <v>36</v>
      </c>
      <c r="G732" s="2" t="s">
        <v>388</v>
      </c>
      <c r="H732" s="3">
        <v>52576</v>
      </c>
      <c r="I732" s="3">
        <v>2943</v>
      </c>
      <c r="J732" s="2" t="s">
        <v>432</v>
      </c>
      <c r="K732" t="s">
        <v>387</v>
      </c>
      <c r="L732" t="s">
        <v>39</v>
      </c>
      <c r="M732" t="s">
        <v>40</v>
      </c>
      <c r="O732" t="s">
        <v>297</v>
      </c>
      <c r="P732">
        <v>45412</v>
      </c>
      <c r="S732" s="6">
        <v>16758.38</v>
      </c>
      <c r="T732" t="s">
        <v>254</v>
      </c>
      <c r="U732">
        <v>280</v>
      </c>
      <c r="W732" s="7">
        <v>585</v>
      </c>
      <c r="AI732" t="s">
        <v>387</v>
      </c>
      <c r="AJ732" t="s">
        <v>258</v>
      </c>
      <c r="AK732">
        <v>28.646803418803419</v>
      </c>
    </row>
    <row r="733" spans="1:37" x14ac:dyDescent="0.35">
      <c r="A733">
        <v>4</v>
      </c>
      <c r="B733">
        <v>2024</v>
      </c>
      <c r="C733" t="s">
        <v>33</v>
      </c>
      <c r="D733" t="s">
        <v>34</v>
      </c>
      <c r="E733" t="s">
        <v>387</v>
      </c>
      <c r="F733" s="3" t="s">
        <v>36</v>
      </c>
      <c r="G733" s="2" t="s">
        <v>388</v>
      </c>
      <c r="H733" s="3">
        <v>52576</v>
      </c>
      <c r="I733" s="3">
        <v>2582</v>
      </c>
      <c r="J733" s="2" t="s">
        <v>402</v>
      </c>
      <c r="K733" t="s">
        <v>387</v>
      </c>
      <c r="L733" t="s">
        <v>39</v>
      </c>
      <c r="M733" t="s">
        <v>40</v>
      </c>
      <c r="O733" t="s">
        <v>297</v>
      </c>
      <c r="P733">
        <v>45412</v>
      </c>
      <c r="S733" s="6">
        <v>16225.85</v>
      </c>
      <c r="T733" t="s">
        <v>254</v>
      </c>
      <c r="U733">
        <v>240</v>
      </c>
      <c r="W733" s="7">
        <v>1455</v>
      </c>
      <c r="AI733" t="s">
        <v>387</v>
      </c>
      <c r="AJ733" t="s">
        <v>258</v>
      </c>
      <c r="AK733">
        <v>11.151786941580756</v>
      </c>
    </row>
    <row r="734" spans="1:37" x14ac:dyDescent="0.35">
      <c r="A734">
        <v>4</v>
      </c>
      <c r="B734">
        <v>2024</v>
      </c>
      <c r="C734" t="s">
        <v>33</v>
      </c>
      <c r="D734" t="s">
        <v>34</v>
      </c>
      <c r="E734" t="s">
        <v>332</v>
      </c>
      <c r="F734" s="3" t="s">
        <v>36</v>
      </c>
      <c r="G734" s="2" t="s">
        <v>82</v>
      </c>
      <c r="H734" s="3">
        <v>52585</v>
      </c>
      <c r="I734" s="3">
        <v>3055</v>
      </c>
      <c r="J734" s="2" t="s">
        <v>433</v>
      </c>
      <c r="K734" t="s">
        <v>332</v>
      </c>
      <c r="L734" t="s">
        <v>39</v>
      </c>
      <c r="M734" t="s">
        <v>40</v>
      </c>
      <c r="O734" t="s">
        <v>34</v>
      </c>
      <c r="P734">
        <v>45412</v>
      </c>
      <c r="S734" s="6">
        <v>6939</v>
      </c>
      <c r="T734" t="s">
        <v>254</v>
      </c>
      <c r="U734">
        <v>250</v>
      </c>
      <c r="W734" s="7">
        <v>450</v>
      </c>
      <c r="AI734" t="s">
        <v>332</v>
      </c>
      <c r="AJ734" t="s">
        <v>258</v>
      </c>
      <c r="AK734">
        <v>15.42</v>
      </c>
    </row>
    <row r="735" spans="1:37" x14ac:dyDescent="0.35">
      <c r="A735">
        <v>4</v>
      </c>
      <c r="B735">
        <v>2024</v>
      </c>
      <c r="C735" t="s">
        <v>33</v>
      </c>
      <c r="D735" t="s">
        <v>34</v>
      </c>
      <c r="E735" t="s">
        <v>332</v>
      </c>
      <c r="F735" s="3" t="s">
        <v>36</v>
      </c>
      <c r="G735" s="2" t="s">
        <v>82</v>
      </c>
      <c r="H735" s="3">
        <v>52585</v>
      </c>
      <c r="I735" s="3">
        <v>3056</v>
      </c>
      <c r="J735" s="2" t="s">
        <v>434</v>
      </c>
      <c r="K735" t="s">
        <v>332</v>
      </c>
      <c r="L735" t="s">
        <v>39</v>
      </c>
      <c r="M735" t="s">
        <v>40</v>
      </c>
      <c r="O735" t="s">
        <v>34</v>
      </c>
      <c r="P735">
        <v>45412</v>
      </c>
      <c r="S735" s="6">
        <v>8359.1200000000008</v>
      </c>
      <c r="T735" t="s">
        <v>254</v>
      </c>
      <c r="U735">
        <v>200</v>
      </c>
      <c r="W735" s="7">
        <v>649</v>
      </c>
      <c r="AI735" t="s">
        <v>332</v>
      </c>
      <c r="AJ735" t="s">
        <v>258</v>
      </c>
      <c r="AK735">
        <v>12.88</v>
      </c>
    </row>
    <row r="736" spans="1:37" x14ac:dyDescent="0.35">
      <c r="A736">
        <v>4</v>
      </c>
      <c r="B736">
        <v>2024</v>
      </c>
      <c r="C736" t="s">
        <v>33</v>
      </c>
      <c r="D736" t="s">
        <v>34</v>
      </c>
      <c r="E736" t="s">
        <v>332</v>
      </c>
      <c r="F736" s="3" t="s">
        <v>36</v>
      </c>
      <c r="G736" s="2" t="s">
        <v>82</v>
      </c>
      <c r="H736" s="3">
        <v>52585</v>
      </c>
      <c r="I736" s="3">
        <v>1853</v>
      </c>
      <c r="J736" s="2" t="s">
        <v>435</v>
      </c>
      <c r="K736" t="s">
        <v>332</v>
      </c>
      <c r="L736" t="s">
        <v>39</v>
      </c>
      <c r="M736" t="s">
        <v>40</v>
      </c>
      <c r="O736" t="s">
        <v>34</v>
      </c>
      <c r="P736">
        <v>45412</v>
      </c>
      <c r="S736" s="6">
        <v>6425.25</v>
      </c>
      <c r="T736" t="s">
        <v>254</v>
      </c>
      <c r="U736">
        <v>240</v>
      </c>
      <c r="W736" s="7">
        <v>325</v>
      </c>
      <c r="AI736" t="s">
        <v>332</v>
      </c>
      <c r="AJ736" t="s">
        <v>258</v>
      </c>
      <c r="AK736">
        <v>19.77</v>
      </c>
    </row>
    <row r="737" spans="1:37" x14ac:dyDescent="0.35">
      <c r="A737">
        <v>4</v>
      </c>
      <c r="B737">
        <v>2024</v>
      </c>
      <c r="C737" t="s">
        <v>33</v>
      </c>
      <c r="D737" t="s">
        <v>34</v>
      </c>
      <c r="E737" t="s">
        <v>81</v>
      </c>
      <c r="F737" s="3" t="s">
        <v>36</v>
      </c>
      <c r="G737" s="2" t="s">
        <v>82</v>
      </c>
      <c r="H737" s="3">
        <v>52368</v>
      </c>
      <c r="I737" s="3">
        <v>2566</v>
      </c>
      <c r="J737" s="2" t="s">
        <v>391</v>
      </c>
      <c r="K737" t="s">
        <v>81</v>
      </c>
      <c r="L737" t="s">
        <v>267</v>
      </c>
      <c r="M737" t="s">
        <v>40</v>
      </c>
      <c r="O737" t="s">
        <v>34</v>
      </c>
      <c r="P737">
        <v>45268</v>
      </c>
      <c r="S737" s="6">
        <v>-16796.36</v>
      </c>
      <c r="T737" t="s">
        <v>254</v>
      </c>
      <c r="U737">
        <v>220</v>
      </c>
      <c r="W737" s="7">
        <v>-1634</v>
      </c>
      <c r="AK737">
        <v>10.279290085679316</v>
      </c>
    </row>
    <row r="738" spans="1:37" x14ac:dyDescent="0.35">
      <c r="A738">
        <v>5</v>
      </c>
      <c r="B738">
        <v>2024</v>
      </c>
      <c r="C738" t="s">
        <v>33</v>
      </c>
      <c r="D738" t="s">
        <v>34</v>
      </c>
      <c r="E738" t="s">
        <v>387</v>
      </c>
      <c r="F738" s="3" t="s">
        <v>36</v>
      </c>
      <c r="G738" s="2" t="s">
        <v>388</v>
      </c>
      <c r="H738" s="3">
        <v>52607</v>
      </c>
      <c r="I738" s="3">
        <v>3152</v>
      </c>
      <c r="J738" s="2" t="s">
        <v>436</v>
      </c>
      <c r="K738" t="s">
        <v>387</v>
      </c>
      <c r="L738" t="s">
        <v>39</v>
      </c>
      <c r="M738" t="s">
        <v>40</v>
      </c>
      <c r="O738" t="s">
        <v>297</v>
      </c>
      <c r="P738">
        <v>45419</v>
      </c>
      <c r="S738" s="6">
        <v>7968.2</v>
      </c>
      <c r="T738" t="s">
        <v>254</v>
      </c>
      <c r="U738">
        <v>160</v>
      </c>
      <c r="W738" s="7">
        <v>160</v>
      </c>
      <c r="AI738" t="s">
        <v>387</v>
      </c>
      <c r="AJ738" t="s">
        <v>258</v>
      </c>
      <c r="AK738">
        <v>49.801249999999996</v>
      </c>
    </row>
    <row r="739" spans="1:37" x14ac:dyDescent="0.35">
      <c r="A739">
        <v>5</v>
      </c>
      <c r="B739">
        <v>2024</v>
      </c>
      <c r="C739" t="s">
        <v>33</v>
      </c>
      <c r="D739" t="s">
        <v>34</v>
      </c>
      <c r="E739" t="s">
        <v>387</v>
      </c>
      <c r="F739" s="3" t="s">
        <v>36</v>
      </c>
      <c r="G739" s="2" t="s">
        <v>388</v>
      </c>
      <c r="H739" s="3">
        <v>52610</v>
      </c>
      <c r="I739" s="3">
        <v>2582</v>
      </c>
      <c r="J739" s="2" t="s">
        <v>402</v>
      </c>
      <c r="K739" t="s">
        <v>387</v>
      </c>
      <c r="L739" t="s">
        <v>39</v>
      </c>
      <c r="M739" t="s">
        <v>40</v>
      </c>
      <c r="O739" t="s">
        <v>297</v>
      </c>
      <c r="P739">
        <v>45419</v>
      </c>
      <c r="S739" s="6">
        <v>6345.37</v>
      </c>
      <c r="T739" t="s">
        <v>254</v>
      </c>
      <c r="U739">
        <v>240</v>
      </c>
      <c r="W739" s="7">
        <v>240</v>
      </c>
      <c r="AI739" t="s">
        <v>387</v>
      </c>
      <c r="AJ739" t="s">
        <v>258</v>
      </c>
      <c r="AK739">
        <v>26.439041666666665</v>
      </c>
    </row>
    <row r="740" spans="1:37" x14ac:dyDescent="0.35">
      <c r="A740">
        <v>5</v>
      </c>
      <c r="B740">
        <v>2024</v>
      </c>
      <c r="C740" t="s">
        <v>33</v>
      </c>
      <c r="D740" t="s">
        <v>34</v>
      </c>
      <c r="E740" t="s">
        <v>387</v>
      </c>
      <c r="F740" s="3" t="s">
        <v>36</v>
      </c>
      <c r="G740" s="2" t="s">
        <v>388</v>
      </c>
      <c r="H740" s="3">
        <v>52610</v>
      </c>
      <c r="I740" s="3">
        <v>3152</v>
      </c>
      <c r="J740" s="2" t="s">
        <v>436</v>
      </c>
      <c r="K740" t="s">
        <v>387</v>
      </c>
      <c r="L740" t="s">
        <v>39</v>
      </c>
      <c r="M740" t="s">
        <v>40</v>
      </c>
      <c r="O740" t="s">
        <v>297</v>
      </c>
      <c r="P740">
        <v>45419</v>
      </c>
      <c r="S740" s="6">
        <v>3246.81</v>
      </c>
      <c r="T740" t="s">
        <v>254</v>
      </c>
      <c r="U740">
        <v>160</v>
      </c>
      <c r="W740" s="7">
        <v>160</v>
      </c>
      <c r="AI740" t="s">
        <v>387</v>
      </c>
      <c r="AJ740" t="s">
        <v>258</v>
      </c>
      <c r="AK740">
        <v>20.292562499999999</v>
      </c>
    </row>
    <row r="741" spans="1:37" x14ac:dyDescent="0.35">
      <c r="A741">
        <v>5</v>
      </c>
      <c r="B741">
        <v>2024</v>
      </c>
      <c r="C741" t="s">
        <v>33</v>
      </c>
      <c r="D741" t="s">
        <v>34</v>
      </c>
      <c r="E741" t="s">
        <v>116</v>
      </c>
      <c r="F741" s="3" t="s">
        <v>36</v>
      </c>
      <c r="G741" s="2" t="s">
        <v>50</v>
      </c>
      <c r="H741" s="3">
        <v>52672</v>
      </c>
      <c r="I741" s="3">
        <v>1419</v>
      </c>
      <c r="J741" s="2" t="s">
        <v>341</v>
      </c>
      <c r="K741" t="s">
        <v>116</v>
      </c>
      <c r="L741" t="s">
        <v>39</v>
      </c>
      <c r="M741" t="s">
        <v>40</v>
      </c>
      <c r="O741" t="s">
        <v>34</v>
      </c>
      <c r="P741">
        <v>45425</v>
      </c>
      <c r="S741" s="6">
        <v>17744.849999999999</v>
      </c>
      <c r="T741" t="s">
        <v>254</v>
      </c>
      <c r="U741">
        <v>180</v>
      </c>
      <c r="W741" s="7">
        <v>1534</v>
      </c>
      <c r="AI741" t="s">
        <v>116</v>
      </c>
      <c r="AJ741" t="s">
        <v>258</v>
      </c>
      <c r="AK741">
        <v>11.56769882659713</v>
      </c>
    </row>
    <row r="742" spans="1:37" x14ac:dyDescent="0.35">
      <c r="A742">
        <v>5</v>
      </c>
      <c r="B742">
        <v>2024</v>
      </c>
      <c r="C742" t="s">
        <v>33</v>
      </c>
      <c r="D742" t="s">
        <v>34</v>
      </c>
      <c r="E742" t="s">
        <v>116</v>
      </c>
      <c r="F742" s="3" t="s">
        <v>36</v>
      </c>
      <c r="G742" s="2" t="s">
        <v>50</v>
      </c>
      <c r="H742" s="3">
        <v>52672</v>
      </c>
      <c r="I742" s="3">
        <v>1422</v>
      </c>
      <c r="J742" s="2" t="s">
        <v>339</v>
      </c>
      <c r="K742" t="s">
        <v>116</v>
      </c>
      <c r="L742" t="s">
        <v>39</v>
      </c>
      <c r="M742" t="s">
        <v>40</v>
      </c>
      <c r="O742" t="s">
        <v>34</v>
      </c>
      <c r="P742">
        <v>45425</v>
      </c>
      <c r="S742" s="6">
        <v>33725.96</v>
      </c>
      <c r="T742" t="s">
        <v>254</v>
      </c>
      <c r="U742">
        <v>240</v>
      </c>
      <c r="W742" s="7">
        <v>2318</v>
      </c>
      <c r="AI742" t="s">
        <v>116</v>
      </c>
      <c r="AJ742" t="s">
        <v>258</v>
      </c>
      <c r="AK742">
        <v>14.549594477998275</v>
      </c>
    </row>
    <row r="743" spans="1:37" x14ac:dyDescent="0.35">
      <c r="A743">
        <v>5</v>
      </c>
      <c r="B743">
        <v>2024</v>
      </c>
      <c r="C743" t="s">
        <v>33</v>
      </c>
      <c r="D743" t="s">
        <v>34</v>
      </c>
      <c r="E743" t="s">
        <v>116</v>
      </c>
      <c r="F743" s="3" t="s">
        <v>36</v>
      </c>
      <c r="G743" s="2" t="s">
        <v>50</v>
      </c>
      <c r="H743" s="3">
        <v>52669</v>
      </c>
      <c r="I743" s="3">
        <v>1419</v>
      </c>
      <c r="J743" s="2" t="s">
        <v>341</v>
      </c>
      <c r="K743" t="s">
        <v>116</v>
      </c>
      <c r="L743" t="s">
        <v>39</v>
      </c>
      <c r="M743" t="s">
        <v>40</v>
      </c>
      <c r="O743" t="s">
        <v>34</v>
      </c>
      <c r="P743">
        <v>45425</v>
      </c>
      <c r="S743" s="6">
        <v>-17656.150000000001</v>
      </c>
      <c r="T743" t="s">
        <v>254</v>
      </c>
      <c r="U743">
        <v>180</v>
      </c>
      <c r="W743" s="7">
        <v>-1534</v>
      </c>
      <c r="AI743" t="s">
        <v>116</v>
      </c>
      <c r="AJ743" t="s">
        <v>258</v>
      </c>
      <c r="AK743">
        <v>11.509876140808345</v>
      </c>
    </row>
    <row r="744" spans="1:37" x14ac:dyDescent="0.35">
      <c r="A744">
        <v>5</v>
      </c>
      <c r="B744">
        <v>2024</v>
      </c>
      <c r="C744" t="s">
        <v>33</v>
      </c>
      <c r="D744" t="s">
        <v>34</v>
      </c>
      <c r="E744" t="s">
        <v>116</v>
      </c>
      <c r="F744" s="3" t="s">
        <v>36</v>
      </c>
      <c r="G744" s="2" t="s">
        <v>50</v>
      </c>
      <c r="H744" s="3">
        <v>52669</v>
      </c>
      <c r="I744" s="3">
        <v>1422</v>
      </c>
      <c r="J744" s="2" t="s">
        <v>339</v>
      </c>
      <c r="K744" t="s">
        <v>116</v>
      </c>
      <c r="L744" t="s">
        <v>39</v>
      </c>
      <c r="M744" t="s">
        <v>40</v>
      </c>
      <c r="O744" t="s">
        <v>34</v>
      </c>
      <c r="P744">
        <v>45425</v>
      </c>
      <c r="S744" s="6">
        <v>-33557.370000000003</v>
      </c>
      <c r="T744" t="s">
        <v>254</v>
      </c>
      <c r="U744">
        <v>240</v>
      </c>
      <c r="W744" s="7">
        <v>-2318</v>
      </c>
      <c r="AI744" t="s">
        <v>116</v>
      </c>
      <c r="AJ744" t="s">
        <v>258</v>
      </c>
      <c r="AK744">
        <v>14.476863675582401</v>
      </c>
    </row>
    <row r="745" spans="1:37" x14ac:dyDescent="0.35">
      <c r="A745">
        <v>5</v>
      </c>
      <c r="B745">
        <v>2024</v>
      </c>
      <c r="C745" t="s">
        <v>33</v>
      </c>
      <c r="D745" t="s">
        <v>34</v>
      </c>
      <c r="E745" t="s">
        <v>387</v>
      </c>
      <c r="F745" s="3" t="s">
        <v>36</v>
      </c>
      <c r="G745" s="2" t="s">
        <v>388</v>
      </c>
      <c r="H745" s="3">
        <v>52710</v>
      </c>
      <c r="I745" s="3">
        <v>2943</v>
      </c>
      <c r="J745" s="2" t="s">
        <v>432</v>
      </c>
      <c r="K745" t="s">
        <v>387</v>
      </c>
      <c r="L745" t="s">
        <v>39</v>
      </c>
      <c r="M745" t="s">
        <v>40</v>
      </c>
      <c r="O745" t="s">
        <v>34</v>
      </c>
      <c r="P745">
        <v>45427</v>
      </c>
      <c r="S745" s="6">
        <v>16824.23</v>
      </c>
      <c r="T745" t="s">
        <v>254</v>
      </c>
      <c r="U745">
        <v>280</v>
      </c>
      <c r="W745" s="7">
        <v>585</v>
      </c>
      <c r="AI745" t="s">
        <v>387</v>
      </c>
      <c r="AJ745" t="s">
        <v>258</v>
      </c>
      <c r="AK745">
        <v>28.759367521367519</v>
      </c>
    </row>
    <row r="746" spans="1:37" x14ac:dyDescent="0.35">
      <c r="A746">
        <v>5</v>
      </c>
      <c r="B746">
        <v>2024</v>
      </c>
      <c r="C746" t="s">
        <v>33</v>
      </c>
      <c r="D746" t="s">
        <v>34</v>
      </c>
      <c r="E746" t="s">
        <v>387</v>
      </c>
      <c r="F746" s="3" t="s">
        <v>36</v>
      </c>
      <c r="G746" s="2" t="s">
        <v>388</v>
      </c>
      <c r="H746" s="3">
        <v>52710</v>
      </c>
      <c r="I746" s="3">
        <v>3127</v>
      </c>
      <c r="J746" s="2" t="s">
        <v>431</v>
      </c>
      <c r="K746" t="s">
        <v>387</v>
      </c>
      <c r="L746" t="s">
        <v>39</v>
      </c>
      <c r="M746" t="s">
        <v>40</v>
      </c>
      <c r="O746" t="s">
        <v>34</v>
      </c>
      <c r="P746">
        <v>45427</v>
      </c>
      <c r="S746" s="6">
        <v>12161.1</v>
      </c>
      <c r="T746" t="s">
        <v>254</v>
      </c>
      <c r="U746">
        <v>200</v>
      </c>
      <c r="W746" s="7">
        <v>1184</v>
      </c>
      <c r="AI746" t="s">
        <v>387</v>
      </c>
      <c r="AJ746" t="s">
        <v>258</v>
      </c>
      <c r="AK746">
        <v>10.271199324324325</v>
      </c>
    </row>
    <row r="747" spans="1:37" x14ac:dyDescent="0.35">
      <c r="A747">
        <v>5</v>
      </c>
      <c r="B747">
        <v>2024</v>
      </c>
      <c r="C747" t="s">
        <v>33</v>
      </c>
      <c r="D747" t="s">
        <v>34</v>
      </c>
      <c r="E747" t="s">
        <v>387</v>
      </c>
      <c r="F747" s="3" t="s">
        <v>36</v>
      </c>
      <c r="G747" s="2" t="s">
        <v>388</v>
      </c>
      <c r="H747" s="3">
        <v>52710</v>
      </c>
      <c r="I747" s="3">
        <v>3128</v>
      </c>
      <c r="J747" s="2" t="s">
        <v>430</v>
      </c>
      <c r="K747" t="s">
        <v>387</v>
      </c>
      <c r="L747" t="s">
        <v>39</v>
      </c>
      <c r="M747" t="s">
        <v>40</v>
      </c>
      <c r="O747" t="s">
        <v>34</v>
      </c>
      <c r="P747">
        <v>45427</v>
      </c>
      <c r="S747" s="6">
        <v>16130.92</v>
      </c>
      <c r="T747" t="s">
        <v>254</v>
      </c>
      <c r="U747">
        <v>280</v>
      </c>
      <c r="W747" s="7">
        <v>1047</v>
      </c>
      <c r="AI747" t="s">
        <v>387</v>
      </c>
      <c r="AJ747" t="s">
        <v>258</v>
      </c>
      <c r="AK747">
        <v>15.406800382043935</v>
      </c>
    </row>
    <row r="748" spans="1:37" x14ac:dyDescent="0.35">
      <c r="A748">
        <v>5</v>
      </c>
      <c r="B748">
        <v>2024</v>
      </c>
      <c r="C748" t="s">
        <v>33</v>
      </c>
      <c r="D748" t="s">
        <v>34</v>
      </c>
      <c r="E748" t="s">
        <v>387</v>
      </c>
      <c r="F748" s="3" t="s">
        <v>36</v>
      </c>
      <c r="G748" s="2" t="s">
        <v>388</v>
      </c>
      <c r="H748" s="3">
        <v>52706</v>
      </c>
      <c r="I748" s="3">
        <v>2950</v>
      </c>
      <c r="J748" s="2" t="s">
        <v>412</v>
      </c>
      <c r="K748" t="s">
        <v>387</v>
      </c>
      <c r="L748" t="s">
        <v>39</v>
      </c>
      <c r="M748" t="s">
        <v>40</v>
      </c>
      <c r="O748" t="s">
        <v>297</v>
      </c>
      <c r="P748">
        <v>45427</v>
      </c>
      <c r="S748" s="6">
        <v>-4393.6000000000004</v>
      </c>
      <c r="T748" t="s">
        <v>254</v>
      </c>
      <c r="U748">
        <v>180</v>
      </c>
      <c r="W748" s="7">
        <v>-488</v>
      </c>
      <c r="AI748" t="s">
        <v>387</v>
      </c>
      <c r="AJ748" t="s">
        <v>258</v>
      </c>
      <c r="AK748">
        <v>9.0032786885245901</v>
      </c>
    </row>
    <row r="749" spans="1:37" x14ac:dyDescent="0.35">
      <c r="A749">
        <v>5</v>
      </c>
      <c r="B749">
        <v>2024</v>
      </c>
      <c r="C749" t="s">
        <v>33</v>
      </c>
      <c r="D749" t="s">
        <v>34</v>
      </c>
      <c r="E749" t="s">
        <v>387</v>
      </c>
      <c r="F749" s="3" t="s">
        <v>36</v>
      </c>
      <c r="G749" s="2" t="s">
        <v>388</v>
      </c>
      <c r="H749" s="3">
        <v>52706</v>
      </c>
      <c r="I749" s="3">
        <v>3128</v>
      </c>
      <c r="J749" s="2" t="s">
        <v>430</v>
      </c>
      <c r="K749" t="s">
        <v>387</v>
      </c>
      <c r="L749" t="s">
        <v>39</v>
      </c>
      <c r="M749" t="s">
        <v>40</v>
      </c>
      <c r="O749" t="s">
        <v>297</v>
      </c>
      <c r="P749">
        <v>45427</v>
      </c>
      <c r="S749" s="6">
        <v>-32196.959999999999</v>
      </c>
      <c r="T749" t="s">
        <v>254</v>
      </c>
      <c r="U749">
        <v>280</v>
      </c>
      <c r="W749" s="7">
        <v>-2098</v>
      </c>
      <c r="AI749" t="s">
        <v>387</v>
      </c>
      <c r="AJ749" t="s">
        <v>258</v>
      </c>
      <c r="AK749">
        <v>15.346501429933269</v>
      </c>
    </row>
    <row r="750" spans="1:37" x14ac:dyDescent="0.35">
      <c r="A750">
        <v>5</v>
      </c>
      <c r="B750">
        <v>2024</v>
      </c>
      <c r="C750" t="s">
        <v>33</v>
      </c>
      <c r="D750" t="s">
        <v>34</v>
      </c>
      <c r="E750" t="s">
        <v>387</v>
      </c>
      <c r="F750" s="3" t="s">
        <v>36</v>
      </c>
      <c r="G750" s="2" t="s">
        <v>388</v>
      </c>
      <c r="H750" s="3">
        <v>52706</v>
      </c>
      <c r="I750" s="3">
        <v>3127</v>
      </c>
      <c r="J750" s="2" t="s">
        <v>431</v>
      </c>
      <c r="K750" t="s">
        <v>387</v>
      </c>
      <c r="L750" t="s">
        <v>39</v>
      </c>
      <c r="M750" t="s">
        <v>40</v>
      </c>
      <c r="O750" t="s">
        <v>297</v>
      </c>
      <c r="P750">
        <v>45427</v>
      </c>
      <c r="S750" s="6">
        <v>-12113.5</v>
      </c>
      <c r="T750" t="s">
        <v>254</v>
      </c>
      <c r="U750">
        <v>200</v>
      </c>
      <c r="W750" s="7">
        <v>-1184</v>
      </c>
      <c r="AI750" t="s">
        <v>387</v>
      </c>
      <c r="AJ750" t="s">
        <v>258</v>
      </c>
      <c r="AK750">
        <v>10.230996621621621</v>
      </c>
    </row>
    <row r="751" spans="1:37" x14ac:dyDescent="0.35">
      <c r="A751">
        <v>5</v>
      </c>
      <c r="B751">
        <v>2024</v>
      </c>
      <c r="C751" t="s">
        <v>33</v>
      </c>
      <c r="D751" t="s">
        <v>34</v>
      </c>
      <c r="E751" t="s">
        <v>387</v>
      </c>
      <c r="F751" s="3" t="s">
        <v>36</v>
      </c>
      <c r="G751" s="2" t="s">
        <v>388</v>
      </c>
      <c r="H751" s="3">
        <v>52706</v>
      </c>
      <c r="I751" s="3">
        <v>2942</v>
      </c>
      <c r="J751" s="2" t="s">
        <v>411</v>
      </c>
      <c r="K751" t="s">
        <v>387</v>
      </c>
      <c r="L751" t="s">
        <v>39</v>
      </c>
      <c r="M751" t="s">
        <v>40</v>
      </c>
      <c r="O751" t="s">
        <v>297</v>
      </c>
      <c r="P751">
        <v>45427</v>
      </c>
      <c r="S751" s="6">
        <v>-9336.81</v>
      </c>
      <c r="T751" t="s">
        <v>254</v>
      </c>
      <c r="U751">
        <v>260</v>
      </c>
      <c r="W751" s="7">
        <v>-540</v>
      </c>
      <c r="AI751" t="s">
        <v>387</v>
      </c>
      <c r="AJ751" t="s">
        <v>258</v>
      </c>
      <c r="AK751">
        <v>17.290388888888888</v>
      </c>
    </row>
    <row r="752" spans="1:37" x14ac:dyDescent="0.35">
      <c r="A752">
        <v>5</v>
      </c>
      <c r="B752">
        <v>2024</v>
      </c>
      <c r="C752" t="s">
        <v>33</v>
      </c>
      <c r="D752" t="s">
        <v>34</v>
      </c>
      <c r="E752" t="s">
        <v>387</v>
      </c>
      <c r="F752" s="3" t="s">
        <v>36</v>
      </c>
      <c r="G752" s="2" t="s">
        <v>388</v>
      </c>
      <c r="H752" s="3">
        <v>52706</v>
      </c>
      <c r="I752" s="3">
        <v>2943</v>
      </c>
      <c r="J752" s="2" t="s">
        <v>432</v>
      </c>
      <c r="K752" t="s">
        <v>387</v>
      </c>
      <c r="L752" t="s">
        <v>39</v>
      </c>
      <c r="M752" t="s">
        <v>40</v>
      </c>
      <c r="O752" t="s">
        <v>297</v>
      </c>
      <c r="P752">
        <v>45427</v>
      </c>
      <c r="S752" s="6">
        <v>-16758.38</v>
      </c>
      <c r="T752" t="s">
        <v>254</v>
      </c>
      <c r="U752">
        <v>280</v>
      </c>
      <c r="W752" s="7">
        <v>-585</v>
      </c>
      <c r="AI752" t="s">
        <v>387</v>
      </c>
      <c r="AJ752" t="s">
        <v>258</v>
      </c>
      <c r="AK752">
        <v>28.646803418803419</v>
      </c>
    </row>
    <row r="753" spans="1:37" x14ac:dyDescent="0.35">
      <c r="A753">
        <v>5</v>
      </c>
      <c r="B753">
        <v>2024</v>
      </c>
      <c r="C753" t="s">
        <v>33</v>
      </c>
      <c r="D753" t="s">
        <v>34</v>
      </c>
      <c r="E753" t="s">
        <v>387</v>
      </c>
      <c r="F753" s="3" t="s">
        <v>36</v>
      </c>
      <c r="G753" s="2" t="s">
        <v>388</v>
      </c>
      <c r="H753" s="3">
        <v>52706</v>
      </c>
      <c r="I753" s="3">
        <v>2582</v>
      </c>
      <c r="J753" s="2" t="s">
        <v>402</v>
      </c>
      <c r="K753" t="s">
        <v>387</v>
      </c>
      <c r="L753" t="s">
        <v>39</v>
      </c>
      <c r="M753" t="s">
        <v>40</v>
      </c>
      <c r="O753" t="s">
        <v>297</v>
      </c>
      <c r="P753">
        <v>45427</v>
      </c>
      <c r="S753" s="6">
        <v>-16225.85</v>
      </c>
      <c r="T753" t="s">
        <v>254</v>
      </c>
      <c r="U753">
        <v>240</v>
      </c>
      <c r="W753" s="7">
        <v>-1455</v>
      </c>
      <c r="AI753" t="s">
        <v>387</v>
      </c>
      <c r="AJ753" t="s">
        <v>258</v>
      </c>
      <c r="AK753">
        <v>11.151786941580756</v>
      </c>
    </row>
    <row r="754" spans="1:37" x14ac:dyDescent="0.35">
      <c r="A754">
        <v>5</v>
      </c>
      <c r="B754">
        <v>2024</v>
      </c>
      <c r="C754" t="s">
        <v>33</v>
      </c>
      <c r="D754" t="s">
        <v>34</v>
      </c>
      <c r="E754" t="s">
        <v>42</v>
      </c>
      <c r="F754" s="3" t="s">
        <v>36</v>
      </c>
      <c r="G754" s="2" t="s">
        <v>43</v>
      </c>
      <c r="H754" s="3">
        <v>52784</v>
      </c>
      <c r="I754" s="3">
        <v>3009</v>
      </c>
      <c r="J754" s="2" t="s">
        <v>424</v>
      </c>
      <c r="K754" t="s">
        <v>42</v>
      </c>
      <c r="L754" t="s">
        <v>39</v>
      </c>
      <c r="M754" t="s">
        <v>40</v>
      </c>
      <c r="O754" t="s">
        <v>297</v>
      </c>
      <c r="P754">
        <v>45436</v>
      </c>
      <c r="S754" s="6">
        <v>10706.32</v>
      </c>
      <c r="T754" t="s">
        <v>254</v>
      </c>
      <c r="U754">
        <v>300</v>
      </c>
      <c r="W754" s="7">
        <v>484</v>
      </c>
      <c r="AI754" t="s">
        <v>255</v>
      </c>
      <c r="AJ754" t="s">
        <v>262</v>
      </c>
      <c r="AK754">
        <v>22.120495867768593</v>
      </c>
    </row>
    <row r="755" spans="1:37" x14ac:dyDescent="0.35">
      <c r="A755">
        <v>5</v>
      </c>
      <c r="B755">
        <v>2024</v>
      </c>
      <c r="C755" t="s">
        <v>33</v>
      </c>
      <c r="D755" t="s">
        <v>34</v>
      </c>
      <c r="E755" t="s">
        <v>42</v>
      </c>
      <c r="F755" s="3" t="s">
        <v>36</v>
      </c>
      <c r="G755" s="2" t="s">
        <v>43</v>
      </c>
      <c r="H755" s="3">
        <v>52784</v>
      </c>
      <c r="I755" s="3">
        <v>2157</v>
      </c>
      <c r="J755" s="2" t="s">
        <v>337</v>
      </c>
      <c r="K755" t="s">
        <v>42</v>
      </c>
      <c r="L755" t="s">
        <v>39</v>
      </c>
      <c r="M755" t="s">
        <v>40</v>
      </c>
      <c r="O755" t="s">
        <v>297</v>
      </c>
      <c r="P755">
        <v>45436</v>
      </c>
      <c r="S755" s="6">
        <v>23432.240000000002</v>
      </c>
      <c r="T755" t="s">
        <v>254</v>
      </c>
      <c r="U755">
        <v>300</v>
      </c>
      <c r="W755" s="7">
        <v>963</v>
      </c>
      <c r="AI755" t="s">
        <v>255</v>
      </c>
      <c r="AJ755" t="s">
        <v>262</v>
      </c>
      <c r="AK755">
        <v>24.332544132917967</v>
      </c>
    </row>
    <row r="756" spans="1:37" x14ac:dyDescent="0.35">
      <c r="A756">
        <v>5</v>
      </c>
      <c r="B756">
        <v>2024</v>
      </c>
      <c r="C756" t="s">
        <v>33</v>
      </c>
      <c r="D756" t="s">
        <v>34</v>
      </c>
      <c r="E756" t="s">
        <v>42</v>
      </c>
      <c r="F756" s="3" t="s">
        <v>36</v>
      </c>
      <c r="G756" s="2" t="s">
        <v>43</v>
      </c>
      <c r="H756" s="3">
        <v>52784</v>
      </c>
      <c r="I756" s="3">
        <v>2054</v>
      </c>
      <c r="J756" s="2" t="s">
        <v>330</v>
      </c>
      <c r="K756" t="s">
        <v>42</v>
      </c>
      <c r="L756" t="s">
        <v>39</v>
      </c>
      <c r="M756" t="s">
        <v>40</v>
      </c>
      <c r="O756" t="s">
        <v>297</v>
      </c>
      <c r="P756">
        <v>45436</v>
      </c>
      <c r="S756" s="6">
        <v>17186.080000000002</v>
      </c>
      <c r="T756" t="s">
        <v>254</v>
      </c>
      <c r="U756">
        <v>280</v>
      </c>
      <c r="W756" s="7">
        <v>1044</v>
      </c>
      <c r="AI756" t="s">
        <v>255</v>
      </c>
      <c r="AJ756" t="s">
        <v>262</v>
      </c>
      <c r="AK756">
        <v>16.46176245210728</v>
      </c>
    </row>
    <row r="757" spans="1:37" x14ac:dyDescent="0.35">
      <c r="A757">
        <v>5</v>
      </c>
      <c r="B757">
        <v>2024</v>
      </c>
      <c r="C757" t="s">
        <v>33</v>
      </c>
      <c r="D757" t="s">
        <v>34</v>
      </c>
      <c r="E757" t="s">
        <v>42</v>
      </c>
      <c r="F757" s="3" t="s">
        <v>36</v>
      </c>
      <c r="G757" s="2" t="s">
        <v>43</v>
      </c>
      <c r="H757" s="3">
        <v>52784</v>
      </c>
      <c r="I757" s="3">
        <v>2054</v>
      </c>
      <c r="J757" s="2" t="s">
        <v>330</v>
      </c>
      <c r="K757" t="s">
        <v>42</v>
      </c>
      <c r="L757" t="s">
        <v>39</v>
      </c>
      <c r="M757" t="s">
        <v>40</v>
      </c>
      <c r="O757" t="s">
        <v>297</v>
      </c>
      <c r="P757">
        <v>45436</v>
      </c>
      <c r="S757" s="6">
        <v>2271.7199999999998</v>
      </c>
      <c r="T757" t="s">
        <v>254</v>
      </c>
      <c r="U757">
        <v>280</v>
      </c>
      <c r="W757" s="7">
        <v>138</v>
      </c>
      <c r="AI757" t="s">
        <v>255</v>
      </c>
      <c r="AJ757" t="s">
        <v>262</v>
      </c>
      <c r="AK757">
        <v>16.461739130434783</v>
      </c>
    </row>
    <row r="758" spans="1:37" x14ac:dyDescent="0.35">
      <c r="A758">
        <v>5</v>
      </c>
      <c r="B758">
        <v>2024</v>
      </c>
      <c r="C758" t="s">
        <v>33</v>
      </c>
      <c r="D758" t="s">
        <v>34</v>
      </c>
      <c r="E758" t="s">
        <v>42</v>
      </c>
      <c r="F758" s="3" t="s">
        <v>36</v>
      </c>
      <c r="G758" s="2" t="s">
        <v>43</v>
      </c>
      <c r="H758" s="3">
        <v>52784</v>
      </c>
      <c r="I758" s="3">
        <v>1525</v>
      </c>
      <c r="J758" s="2" t="s">
        <v>283</v>
      </c>
      <c r="K758" t="s">
        <v>42</v>
      </c>
      <c r="L758" t="s">
        <v>39</v>
      </c>
      <c r="M758" t="s">
        <v>40</v>
      </c>
      <c r="O758" t="s">
        <v>297</v>
      </c>
      <c r="P758">
        <v>45436</v>
      </c>
      <c r="S758" s="6">
        <v>49668.06</v>
      </c>
      <c r="T758" t="s">
        <v>254</v>
      </c>
      <c r="U758">
        <v>320</v>
      </c>
      <c r="W758" s="7">
        <v>2561</v>
      </c>
      <c r="AI758" t="s">
        <v>255</v>
      </c>
      <c r="AJ758" t="s">
        <v>262</v>
      </c>
      <c r="AK758">
        <v>19.394010152284263</v>
      </c>
    </row>
    <row r="759" spans="1:37" x14ac:dyDescent="0.35">
      <c r="A759">
        <v>5</v>
      </c>
      <c r="B759">
        <v>2024</v>
      </c>
      <c r="C759" t="s">
        <v>33</v>
      </c>
      <c r="D759" t="s">
        <v>34</v>
      </c>
      <c r="E759" t="s">
        <v>42</v>
      </c>
      <c r="F759" s="3" t="s">
        <v>36</v>
      </c>
      <c r="G759" s="2" t="s">
        <v>43</v>
      </c>
      <c r="H759" s="3">
        <v>52784</v>
      </c>
      <c r="I759" s="3">
        <v>1525</v>
      </c>
      <c r="J759" s="2" t="s">
        <v>283</v>
      </c>
      <c r="K759" t="s">
        <v>42</v>
      </c>
      <c r="L759" t="s">
        <v>39</v>
      </c>
      <c r="M759" t="s">
        <v>40</v>
      </c>
      <c r="O759" t="s">
        <v>297</v>
      </c>
      <c r="P759">
        <v>45436</v>
      </c>
      <c r="S759" s="6">
        <v>5973.36</v>
      </c>
      <c r="T759" t="s">
        <v>254</v>
      </c>
      <c r="U759">
        <v>320</v>
      </c>
      <c r="W759" s="7">
        <v>308</v>
      </c>
      <c r="AI759" t="s">
        <v>255</v>
      </c>
      <c r="AJ759" t="s">
        <v>262</v>
      </c>
      <c r="AK759">
        <v>19.394025974025972</v>
      </c>
    </row>
    <row r="760" spans="1:37" x14ac:dyDescent="0.35">
      <c r="A760">
        <v>5</v>
      </c>
      <c r="B760">
        <v>2024</v>
      </c>
      <c r="C760" t="s">
        <v>33</v>
      </c>
      <c r="D760" t="s">
        <v>34</v>
      </c>
      <c r="E760" t="s">
        <v>42</v>
      </c>
      <c r="F760" s="3" t="s">
        <v>36</v>
      </c>
      <c r="G760" s="2" t="s">
        <v>43</v>
      </c>
      <c r="H760" s="3">
        <v>52784</v>
      </c>
      <c r="I760" s="3">
        <v>1506</v>
      </c>
      <c r="J760" s="2" t="s">
        <v>253</v>
      </c>
      <c r="K760" t="s">
        <v>42</v>
      </c>
      <c r="L760" t="s">
        <v>39</v>
      </c>
      <c r="M760" t="s">
        <v>40</v>
      </c>
      <c r="O760" t="s">
        <v>297</v>
      </c>
      <c r="P760">
        <v>45436</v>
      </c>
      <c r="S760" s="6">
        <v>10370.91</v>
      </c>
      <c r="T760" t="s">
        <v>254</v>
      </c>
      <c r="U760">
        <v>280</v>
      </c>
      <c r="W760" s="7">
        <v>576</v>
      </c>
      <c r="AI760" t="s">
        <v>255</v>
      </c>
      <c r="AJ760" t="s">
        <v>262</v>
      </c>
      <c r="AK760">
        <v>18.005052083333332</v>
      </c>
    </row>
    <row r="761" spans="1:37" x14ac:dyDescent="0.35">
      <c r="A761">
        <v>5</v>
      </c>
      <c r="B761">
        <v>2024</v>
      </c>
      <c r="C761" t="s">
        <v>33</v>
      </c>
      <c r="D761" t="s">
        <v>34</v>
      </c>
      <c r="E761" t="s">
        <v>42</v>
      </c>
      <c r="F761" s="3" t="s">
        <v>36</v>
      </c>
      <c r="G761" s="2" t="s">
        <v>43</v>
      </c>
      <c r="H761" s="3">
        <v>52784</v>
      </c>
      <c r="I761" s="3">
        <v>1504</v>
      </c>
      <c r="J761" s="2" t="s">
        <v>263</v>
      </c>
      <c r="K761" t="s">
        <v>42</v>
      </c>
      <c r="L761" t="s">
        <v>39</v>
      </c>
      <c r="M761" t="s">
        <v>40</v>
      </c>
      <c r="O761" t="s">
        <v>297</v>
      </c>
      <c r="P761">
        <v>45436</v>
      </c>
      <c r="S761" s="6">
        <v>33682.410000000003</v>
      </c>
      <c r="T761" t="s">
        <v>254</v>
      </c>
      <c r="U761">
        <v>240</v>
      </c>
      <c r="W761" s="7">
        <v>2212</v>
      </c>
      <c r="AI761" t="s">
        <v>255</v>
      </c>
      <c r="AJ761" t="s">
        <v>262</v>
      </c>
      <c r="AK761">
        <v>15.227129294755878</v>
      </c>
    </row>
    <row r="762" spans="1:37" x14ac:dyDescent="0.35">
      <c r="A762">
        <v>5</v>
      </c>
      <c r="B762">
        <v>2024</v>
      </c>
      <c r="C762" t="s">
        <v>33</v>
      </c>
      <c r="D762" t="s">
        <v>34</v>
      </c>
      <c r="E762" t="s">
        <v>42</v>
      </c>
      <c r="F762" s="3" t="s">
        <v>36</v>
      </c>
      <c r="G762" s="2" t="s">
        <v>43</v>
      </c>
      <c r="H762" s="3">
        <v>52784</v>
      </c>
      <c r="I762" s="3">
        <v>1236</v>
      </c>
      <c r="J762" s="2" t="s">
        <v>264</v>
      </c>
      <c r="K762" t="s">
        <v>42</v>
      </c>
      <c r="L762" t="s">
        <v>39</v>
      </c>
      <c r="M762" t="s">
        <v>40</v>
      </c>
      <c r="O762" t="s">
        <v>297</v>
      </c>
      <c r="P762">
        <v>45436</v>
      </c>
      <c r="S762" s="6">
        <v>33039.269999999997</v>
      </c>
      <c r="T762" t="s">
        <v>254</v>
      </c>
      <c r="U762">
        <v>240</v>
      </c>
      <c r="W762" s="7">
        <v>1835</v>
      </c>
      <c r="AI762" t="s">
        <v>255</v>
      </c>
      <c r="AJ762" t="s">
        <v>262</v>
      </c>
      <c r="AK762">
        <v>18.005051771117163</v>
      </c>
    </row>
    <row r="763" spans="1:37" x14ac:dyDescent="0.35">
      <c r="A763">
        <v>5</v>
      </c>
      <c r="B763">
        <v>2024</v>
      </c>
      <c r="C763" t="s">
        <v>33</v>
      </c>
      <c r="D763" t="s">
        <v>34</v>
      </c>
      <c r="E763" t="s">
        <v>42</v>
      </c>
      <c r="F763" s="3" t="s">
        <v>36</v>
      </c>
      <c r="G763" s="2" t="s">
        <v>43</v>
      </c>
      <c r="H763" s="3">
        <v>52784</v>
      </c>
      <c r="I763" s="3">
        <v>1225</v>
      </c>
      <c r="J763" s="2" t="s">
        <v>292</v>
      </c>
      <c r="K763" t="s">
        <v>42</v>
      </c>
      <c r="L763" t="s">
        <v>39</v>
      </c>
      <c r="M763" t="s">
        <v>40</v>
      </c>
      <c r="O763" t="s">
        <v>297</v>
      </c>
      <c r="P763">
        <v>45436</v>
      </c>
      <c r="S763" s="6">
        <v>52015.87</v>
      </c>
      <c r="T763" t="s">
        <v>254</v>
      </c>
      <c r="U763">
        <v>240</v>
      </c>
      <c r="W763" s="7">
        <v>3416</v>
      </c>
      <c r="AI763" t="s">
        <v>255</v>
      </c>
      <c r="AJ763" t="s">
        <v>262</v>
      </c>
      <c r="AK763">
        <v>15.227128220140516</v>
      </c>
    </row>
    <row r="764" spans="1:37" x14ac:dyDescent="0.35">
      <c r="A764">
        <v>5</v>
      </c>
      <c r="B764">
        <v>2024</v>
      </c>
      <c r="C764" t="s">
        <v>33</v>
      </c>
      <c r="D764" t="s">
        <v>34</v>
      </c>
      <c r="E764" t="s">
        <v>42</v>
      </c>
      <c r="F764" s="3" t="s">
        <v>36</v>
      </c>
      <c r="G764" s="2" t="s">
        <v>43</v>
      </c>
      <c r="H764" s="3">
        <v>52784</v>
      </c>
      <c r="I764" s="3">
        <v>1506</v>
      </c>
      <c r="J764" s="2" t="s">
        <v>253</v>
      </c>
      <c r="K764" t="s">
        <v>42</v>
      </c>
      <c r="L764" t="s">
        <v>39</v>
      </c>
      <c r="M764" t="s">
        <v>40</v>
      </c>
      <c r="O764" t="s">
        <v>297</v>
      </c>
      <c r="P764">
        <v>45436</v>
      </c>
      <c r="S764" s="6">
        <v>28664.04</v>
      </c>
      <c r="T764" t="s">
        <v>254</v>
      </c>
      <c r="U764">
        <v>280</v>
      </c>
      <c r="W764" s="7">
        <v>1592</v>
      </c>
      <c r="AI764" t="s">
        <v>255</v>
      </c>
      <c r="AJ764" t="s">
        <v>262</v>
      </c>
      <c r="AK764">
        <v>18.005050251256282</v>
      </c>
    </row>
    <row r="765" spans="1:37" x14ac:dyDescent="0.35">
      <c r="A765">
        <v>5</v>
      </c>
      <c r="B765">
        <v>2024</v>
      </c>
      <c r="C765" t="s">
        <v>33</v>
      </c>
      <c r="D765" t="s">
        <v>34</v>
      </c>
      <c r="E765" t="s">
        <v>42</v>
      </c>
      <c r="F765" s="3" t="s">
        <v>36</v>
      </c>
      <c r="G765" s="2" t="s">
        <v>43</v>
      </c>
      <c r="H765" s="3">
        <v>52785</v>
      </c>
      <c r="I765" s="3">
        <v>1905</v>
      </c>
      <c r="J765" s="2" t="s">
        <v>291</v>
      </c>
      <c r="K765" t="s">
        <v>42</v>
      </c>
      <c r="L765" t="s">
        <v>39</v>
      </c>
      <c r="M765" t="s">
        <v>40</v>
      </c>
      <c r="O765" t="s">
        <v>297</v>
      </c>
      <c r="P765">
        <v>45436</v>
      </c>
      <c r="S765" s="6">
        <v>3061.89</v>
      </c>
      <c r="T765" t="s">
        <v>254</v>
      </c>
      <c r="W765" s="7">
        <v>372</v>
      </c>
      <c r="AI765" t="s">
        <v>255</v>
      </c>
      <c r="AJ765" t="s">
        <v>262</v>
      </c>
      <c r="AK765">
        <v>8.2308870967741932</v>
      </c>
    </row>
    <row r="766" spans="1:37" x14ac:dyDescent="0.35">
      <c r="A766">
        <v>5</v>
      </c>
      <c r="B766">
        <v>2024</v>
      </c>
      <c r="C766" t="s">
        <v>33</v>
      </c>
      <c r="D766" t="s">
        <v>34</v>
      </c>
      <c r="E766" s="18" t="s">
        <v>390</v>
      </c>
      <c r="F766" s="3" t="s">
        <v>36</v>
      </c>
      <c r="G766" s="2" t="s">
        <v>43</v>
      </c>
      <c r="H766" s="3">
        <v>52799</v>
      </c>
      <c r="I766" s="3">
        <v>3145</v>
      </c>
      <c r="J766" s="2" t="s">
        <v>437</v>
      </c>
      <c r="K766" t="s">
        <v>390</v>
      </c>
      <c r="L766" t="s">
        <v>39</v>
      </c>
      <c r="M766" t="s">
        <v>40</v>
      </c>
      <c r="O766" t="s">
        <v>34</v>
      </c>
      <c r="P766">
        <v>45436</v>
      </c>
      <c r="S766" s="6">
        <v>5239.79</v>
      </c>
      <c r="T766" t="s">
        <v>254</v>
      </c>
      <c r="U766">
        <v>180</v>
      </c>
      <c r="W766" s="7">
        <v>789</v>
      </c>
      <c r="AI766" t="s">
        <v>390</v>
      </c>
      <c r="AJ766" t="s">
        <v>258</v>
      </c>
      <c r="AK766">
        <v>6.6410519645120409</v>
      </c>
    </row>
    <row r="767" spans="1:37" x14ac:dyDescent="0.35">
      <c r="A767">
        <v>5</v>
      </c>
      <c r="B767">
        <v>2024</v>
      </c>
      <c r="C767" t="s">
        <v>33</v>
      </c>
      <c r="D767" t="s">
        <v>34</v>
      </c>
      <c r="E767" s="18" t="s">
        <v>390</v>
      </c>
      <c r="F767" s="3" t="s">
        <v>36</v>
      </c>
      <c r="G767" s="2" t="s">
        <v>43</v>
      </c>
      <c r="H767" s="3">
        <v>52799</v>
      </c>
      <c r="I767" s="3">
        <v>3142</v>
      </c>
      <c r="J767" s="2" t="s">
        <v>438</v>
      </c>
      <c r="K767" t="s">
        <v>390</v>
      </c>
      <c r="L767" t="s">
        <v>39</v>
      </c>
      <c r="M767" t="s">
        <v>40</v>
      </c>
      <c r="O767" t="s">
        <v>34</v>
      </c>
      <c r="P767">
        <v>45436</v>
      </c>
      <c r="S767" s="6">
        <v>3499.83</v>
      </c>
      <c r="T767" t="s">
        <v>254</v>
      </c>
      <c r="U767">
        <v>180</v>
      </c>
      <c r="W767" s="7">
        <v>650</v>
      </c>
      <c r="AI767" t="s">
        <v>390</v>
      </c>
      <c r="AJ767" t="s">
        <v>258</v>
      </c>
      <c r="AK767">
        <v>5.3843538461538456</v>
      </c>
    </row>
    <row r="768" spans="1:37" x14ac:dyDescent="0.35">
      <c r="A768">
        <v>5</v>
      </c>
      <c r="B768">
        <v>2024</v>
      </c>
      <c r="C768" t="s">
        <v>33</v>
      </c>
      <c r="D768" t="s">
        <v>34</v>
      </c>
      <c r="E768" s="18" t="s">
        <v>390</v>
      </c>
      <c r="F768" s="3" t="s">
        <v>36</v>
      </c>
      <c r="G768" s="2" t="s">
        <v>43</v>
      </c>
      <c r="H768" s="3">
        <v>52799</v>
      </c>
      <c r="I768" s="3">
        <v>3138</v>
      </c>
      <c r="J768" s="2" t="s">
        <v>439</v>
      </c>
      <c r="K768" t="s">
        <v>390</v>
      </c>
      <c r="L768" t="s">
        <v>39</v>
      </c>
      <c r="M768" t="s">
        <v>40</v>
      </c>
      <c r="O768" t="s">
        <v>34</v>
      </c>
      <c r="P768">
        <v>45436</v>
      </c>
      <c r="S768" s="6">
        <v>4416.3</v>
      </c>
      <c r="T768" t="s">
        <v>254</v>
      </c>
      <c r="U768">
        <v>180</v>
      </c>
      <c r="W768" s="7">
        <v>455</v>
      </c>
      <c r="AI768" t="s">
        <v>390</v>
      </c>
      <c r="AJ768" t="s">
        <v>258</v>
      </c>
      <c r="AK768">
        <v>9.7061538461538461</v>
      </c>
    </row>
    <row r="769" spans="1:37" x14ac:dyDescent="0.35">
      <c r="A769">
        <v>5</v>
      </c>
      <c r="B769">
        <v>2024</v>
      </c>
      <c r="C769" t="s">
        <v>33</v>
      </c>
      <c r="D769" t="s">
        <v>34</v>
      </c>
      <c r="E769" s="18" t="s">
        <v>390</v>
      </c>
      <c r="F769" s="3" t="s">
        <v>36</v>
      </c>
      <c r="G769" s="2" t="s">
        <v>43</v>
      </c>
      <c r="H769" s="3">
        <v>52799</v>
      </c>
      <c r="I769" s="3">
        <v>3146</v>
      </c>
      <c r="J769" s="2" t="s">
        <v>440</v>
      </c>
      <c r="K769" t="s">
        <v>390</v>
      </c>
      <c r="L769" t="s">
        <v>39</v>
      </c>
      <c r="M769" t="s">
        <v>40</v>
      </c>
      <c r="O769" t="s">
        <v>34</v>
      </c>
      <c r="P769">
        <v>45436</v>
      </c>
      <c r="S769" s="6">
        <v>5065.08</v>
      </c>
      <c r="T769" t="s">
        <v>254</v>
      </c>
      <c r="U769">
        <v>180</v>
      </c>
      <c r="W769" s="7">
        <v>667</v>
      </c>
      <c r="AI769" t="s">
        <v>390</v>
      </c>
      <c r="AJ769" t="s">
        <v>258</v>
      </c>
      <c r="AK769">
        <v>7.593823088455772</v>
      </c>
    </row>
    <row r="770" spans="1:37" x14ac:dyDescent="0.35">
      <c r="A770">
        <v>5</v>
      </c>
      <c r="B770">
        <v>2024</v>
      </c>
      <c r="C770" t="s">
        <v>33</v>
      </c>
      <c r="D770" t="s">
        <v>34</v>
      </c>
      <c r="E770" s="18" t="s">
        <v>390</v>
      </c>
      <c r="F770" s="3" t="s">
        <v>36</v>
      </c>
      <c r="G770" s="2" t="s">
        <v>43</v>
      </c>
      <c r="H770" s="3">
        <v>52799</v>
      </c>
      <c r="I770" s="3">
        <v>3147</v>
      </c>
      <c r="J770" s="2" t="s">
        <v>441</v>
      </c>
      <c r="K770" t="s">
        <v>390</v>
      </c>
      <c r="L770" t="s">
        <v>39</v>
      </c>
      <c r="M770" t="s">
        <v>40</v>
      </c>
      <c r="O770" t="s">
        <v>34</v>
      </c>
      <c r="P770">
        <v>45436</v>
      </c>
      <c r="S770" s="6">
        <v>5827.78</v>
      </c>
      <c r="T770" t="s">
        <v>254</v>
      </c>
      <c r="U770">
        <v>180</v>
      </c>
      <c r="W770" s="7">
        <v>713</v>
      </c>
      <c r="AI770" t="s">
        <v>390</v>
      </c>
      <c r="AJ770" t="s">
        <v>258</v>
      </c>
      <c r="AK770">
        <v>8.1736044880785403</v>
      </c>
    </row>
    <row r="771" spans="1:37" x14ac:dyDescent="0.35">
      <c r="A771">
        <v>5</v>
      </c>
      <c r="B771">
        <v>2024</v>
      </c>
      <c r="C771" t="s">
        <v>33</v>
      </c>
      <c r="D771" t="s">
        <v>34</v>
      </c>
      <c r="E771" s="18" t="s">
        <v>390</v>
      </c>
      <c r="F771" s="3" t="s">
        <v>36</v>
      </c>
      <c r="G771" s="2" t="s">
        <v>43</v>
      </c>
      <c r="H771" s="3">
        <v>52799</v>
      </c>
      <c r="I771" s="3">
        <v>3148</v>
      </c>
      <c r="J771" s="2" t="s">
        <v>442</v>
      </c>
      <c r="K771" t="s">
        <v>390</v>
      </c>
      <c r="L771" t="s">
        <v>39</v>
      </c>
      <c r="M771" t="s">
        <v>40</v>
      </c>
      <c r="O771" t="s">
        <v>34</v>
      </c>
      <c r="P771">
        <v>45436</v>
      </c>
      <c r="S771" s="6">
        <v>6201.41</v>
      </c>
      <c r="T771" t="s">
        <v>254</v>
      </c>
      <c r="U771">
        <v>180</v>
      </c>
      <c r="W771" s="7">
        <v>976</v>
      </c>
      <c r="AI771" t="s">
        <v>390</v>
      </c>
      <c r="AJ771" t="s">
        <v>258</v>
      </c>
      <c r="AK771">
        <v>6.3539036885245901</v>
      </c>
    </row>
    <row r="772" spans="1:37" x14ac:dyDescent="0.35">
      <c r="A772">
        <v>5</v>
      </c>
      <c r="B772">
        <v>2024</v>
      </c>
      <c r="C772" t="s">
        <v>33</v>
      </c>
      <c r="D772" t="s">
        <v>34</v>
      </c>
      <c r="E772" s="18" t="s">
        <v>390</v>
      </c>
      <c r="F772" s="3" t="s">
        <v>36</v>
      </c>
      <c r="G772" s="2" t="s">
        <v>43</v>
      </c>
      <c r="H772" s="3">
        <v>52799</v>
      </c>
      <c r="I772" s="3">
        <v>3144</v>
      </c>
      <c r="J772" s="2" t="s">
        <v>443</v>
      </c>
      <c r="K772" t="s">
        <v>390</v>
      </c>
      <c r="L772" t="s">
        <v>39</v>
      </c>
      <c r="M772" t="s">
        <v>40</v>
      </c>
      <c r="O772" t="s">
        <v>34</v>
      </c>
      <c r="P772">
        <v>45436</v>
      </c>
      <c r="S772" s="6">
        <v>6222.15</v>
      </c>
      <c r="T772" t="s">
        <v>254</v>
      </c>
      <c r="U772">
        <v>200</v>
      </c>
      <c r="W772" s="7">
        <v>609</v>
      </c>
      <c r="AI772" t="s">
        <v>390</v>
      </c>
      <c r="AJ772" t="s">
        <v>258</v>
      </c>
      <c r="AK772">
        <v>10.216995073891624</v>
      </c>
    </row>
    <row r="773" spans="1:37" x14ac:dyDescent="0.35">
      <c r="A773">
        <v>5</v>
      </c>
      <c r="B773">
        <v>2024</v>
      </c>
      <c r="C773" t="s">
        <v>33</v>
      </c>
      <c r="D773" t="s">
        <v>34</v>
      </c>
      <c r="E773" s="18" t="s">
        <v>390</v>
      </c>
      <c r="F773" s="3" t="s">
        <v>36</v>
      </c>
      <c r="G773" s="2" t="s">
        <v>43</v>
      </c>
      <c r="H773" s="3">
        <v>52799</v>
      </c>
      <c r="I773" s="3">
        <v>3135</v>
      </c>
      <c r="J773" s="2" t="s">
        <v>444</v>
      </c>
      <c r="K773" t="s">
        <v>390</v>
      </c>
      <c r="L773" t="s">
        <v>39</v>
      </c>
      <c r="M773" t="s">
        <v>40</v>
      </c>
      <c r="O773" t="s">
        <v>34</v>
      </c>
      <c r="P773">
        <v>45436</v>
      </c>
      <c r="S773" s="6">
        <v>6309</v>
      </c>
      <c r="T773" t="s">
        <v>254</v>
      </c>
      <c r="U773">
        <v>160</v>
      </c>
      <c r="W773" s="7">
        <v>661</v>
      </c>
      <c r="AI773" t="s">
        <v>390</v>
      </c>
      <c r="AJ773" t="s">
        <v>258</v>
      </c>
      <c r="AK773">
        <v>9.5446293494704992</v>
      </c>
    </row>
    <row r="774" spans="1:37" x14ac:dyDescent="0.35">
      <c r="A774">
        <v>5</v>
      </c>
      <c r="B774">
        <v>2024</v>
      </c>
      <c r="C774" t="s">
        <v>33</v>
      </c>
      <c r="D774" t="s">
        <v>34</v>
      </c>
      <c r="E774" s="18" t="s">
        <v>390</v>
      </c>
      <c r="F774" s="3" t="s">
        <v>36</v>
      </c>
      <c r="G774" s="2" t="s">
        <v>43</v>
      </c>
      <c r="H774" s="3">
        <v>52799</v>
      </c>
      <c r="I774" s="3">
        <v>3134</v>
      </c>
      <c r="J774" s="2" t="s">
        <v>445</v>
      </c>
      <c r="K774" t="s">
        <v>390</v>
      </c>
      <c r="L774" t="s">
        <v>39</v>
      </c>
      <c r="M774" t="s">
        <v>40</v>
      </c>
      <c r="O774" t="s">
        <v>34</v>
      </c>
      <c r="P774">
        <v>45436</v>
      </c>
      <c r="S774" s="6">
        <v>6634.41</v>
      </c>
      <c r="T774" t="s">
        <v>254</v>
      </c>
      <c r="U774">
        <v>160</v>
      </c>
      <c r="W774" s="7">
        <v>1133</v>
      </c>
      <c r="AI774" t="s">
        <v>390</v>
      </c>
      <c r="AJ774" t="s">
        <v>258</v>
      </c>
      <c r="AK774">
        <v>5.8556134157105033</v>
      </c>
    </row>
    <row r="775" spans="1:37" x14ac:dyDescent="0.35">
      <c r="A775">
        <v>5</v>
      </c>
      <c r="B775">
        <v>2024</v>
      </c>
      <c r="C775" t="s">
        <v>33</v>
      </c>
      <c r="D775" t="s">
        <v>34</v>
      </c>
      <c r="E775" s="18" t="s">
        <v>390</v>
      </c>
      <c r="F775" s="3" t="s">
        <v>36</v>
      </c>
      <c r="G775" s="2" t="s">
        <v>43</v>
      </c>
      <c r="H775" s="3">
        <v>52799</v>
      </c>
      <c r="I775" s="3">
        <v>3133</v>
      </c>
      <c r="J775" s="2" t="s">
        <v>446</v>
      </c>
      <c r="K775" t="s">
        <v>390</v>
      </c>
      <c r="L775" t="s">
        <v>39</v>
      </c>
      <c r="M775" t="s">
        <v>40</v>
      </c>
      <c r="O775" t="s">
        <v>34</v>
      </c>
      <c r="P775">
        <v>45436</v>
      </c>
      <c r="S775" s="6">
        <v>8681.9</v>
      </c>
      <c r="T775" t="s">
        <v>254</v>
      </c>
      <c r="U775">
        <v>160</v>
      </c>
      <c r="W775" s="7">
        <v>527</v>
      </c>
      <c r="AI775" t="s">
        <v>390</v>
      </c>
      <c r="AJ775" t="s">
        <v>258</v>
      </c>
      <c r="AK775">
        <v>16.474193548387095</v>
      </c>
    </row>
    <row r="776" spans="1:37" x14ac:dyDescent="0.35">
      <c r="A776">
        <v>5</v>
      </c>
      <c r="B776">
        <v>2024</v>
      </c>
      <c r="C776" t="s">
        <v>33</v>
      </c>
      <c r="D776" t="s">
        <v>34</v>
      </c>
      <c r="E776" s="18" t="s">
        <v>390</v>
      </c>
      <c r="F776" s="3" t="s">
        <v>36</v>
      </c>
      <c r="G776" s="2" t="s">
        <v>43</v>
      </c>
      <c r="H776" s="3">
        <v>52799</v>
      </c>
      <c r="I776" s="3">
        <v>3132</v>
      </c>
      <c r="J776" s="2" t="s">
        <v>447</v>
      </c>
      <c r="K776" t="s">
        <v>390</v>
      </c>
      <c r="L776" t="s">
        <v>39</v>
      </c>
      <c r="M776" t="s">
        <v>40</v>
      </c>
      <c r="O776" t="s">
        <v>34</v>
      </c>
      <c r="P776">
        <v>45436</v>
      </c>
      <c r="S776" s="6">
        <v>9111.52</v>
      </c>
      <c r="T776" t="s">
        <v>254</v>
      </c>
      <c r="U776">
        <v>160</v>
      </c>
      <c r="W776" s="7">
        <v>1372</v>
      </c>
      <c r="AI776" t="s">
        <v>390</v>
      </c>
      <c r="AJ776" t="s">
        <v>258</v>
      </c>
      <c r="AK776">
        <v>6.6410495626822161</v>
      </c>
    </row>
    <row r="777" spans="1:37" x14ac:dyDescent="0.35">
      <c r="A777">
        <v>5</v>
      </c>
      <c r="B777">
        <v>2024</v>
      </c>
      <c r="C777" t="s">
        <v>33</v>
      </c>
      <c r="D777" t="s">
        <v>34</v>
      </c>
      <c r="E777" s="18" t="s">
        <v>390</v>
      </c>
      <c r="F777" s="3" t="s">
        <v>36</v>
      </c>
      <c r="G777" s="2" t="s">
        <v>43</v>
      </c>
      <c r="H777" s="3">
        <v>52799</v>
      </c>
      <c r="I777" s="3">
        <v>3131</v>
      </c>
      <c r="J777" s="2" t="s">
        <v>448</v>
      </c>
      <c r="K777" t="s">
        <v>390</v>
      </c>
      <c r="L777" t="s">
        <v>39</v>
      </c>
      <c r="M777" t="s">
        <v>40</v>
      </c>
      <c r="O777" t="s">
        <v>34</v>
      </c>
      <c r="P777">
        <v>45436</v>
      </c>
      <c r="S777" s="6">
        <v>10221.09</v>
      </c>
      <c r="T777" t="s">
        <v>254</v>
      </c>
      <c r="U777">
        <v>200</v>
      </c>
      <c r="W777" s="7">
        <v>1015</v>
      </c>
      <c r="AI777" t="s">
        <v>390</v>
      </c>
      <c r="AJ777" t="s">
        <v>258</v>
      </c>
      <c r="AK777">
        <v>10.070039408866995</v>
      </c>
    </row>
    <row r="778" spans="1:37" x14ac:dyDescent="0.35">
      <c r="A778">
        <v>5</v>
      </c>
      <c r="B778">
        <v>2024</v>
      </c>
      <c r="C778" t="s">
        <v>33</v>
      </c>
      <c r="D778" t="s">
        <v>34</v>
      </c>
      <c r="E778" s="18" t="s">
        <v>390</v>
      </c>
      <c r="F778" s="3" t="s">
        <v>36</v>
      </c>
      <c r="G778" s="2" t="s">
        <v>43</v>
      </c>
      <c r="H778" s="3">
        <v>52799</v>
      </c>
      <c r="I778" s="3">
        <v>3136</v>
      </c>
      <c r="J778" s="2" t="s">
        <v>449</v>
      </c>
      <c r="K778" t="s">
        <v>390</v>
      </c>
      <c r="L778" t="s">
        <v>39</v>
      </c>
      <c r="M778" t="s">
        <v>40</v>
      </c>
      <c r="O778" t="s">
        <v>34</v>
      </c>
      <c r="P778">
        <v>45436</v>
      </c>
      <c r="S778" s="6">
        <v>10370.26</v>
      </c>
      <c r="T778" t="s">
        <v>254</v>
      </c>
      <c r="U778">
        <v>200</v>
      </c>
      <c r="W778" s="7">
        <v>999</v>
      </c>
      <c r="AI778" t="s">
        <v>390</v>
      </c>
      <c r="AJ778" t="s">
        <v>258</v>
      </c>
      <c r="AK778">
        <v>10.380640640640641</v>
      </c>
    </row>
    <row r="779" spans="1:37" x14ac:dyDescent="0.35">
      <c r="A779">
        <v>5</v>
      </c>
      <c r="B779">
        <v>2024</v>
      </c>
      <c r="C779" t="s">
        <v>33</v>
      </c>
      <c r="D779" t="s">
        <v>34</v>
      </c>
      <c r="E779" t="s">
        <v>116</v>
      </c>
      <c r="F779" s="3" t="s">
        <v>36</v>
      </c>
      <c r="G779" s="2" t="s">
        <v>50</v>
      </c>
      <c r="H779" s="3">
        <v>52883</v>
      </c>
      <c r="I779" s="3">
        <v>1422</v>
      </c>
      <c r="J779" s="2" t="s">
        <v>339</v>
      </c>
      <c r="K779" t="s">
        <v>116</v>
      </c>
      <c r="L779" t="s">
        <v>39</v>
      </c>
      <c r="M779" t="s">
        <v>40</v>
      </c>
      <c r="O779" t="s">
        <v>34</v>
      </c>
      <c r="P779">
        <v>45442</v>
      </c>
      <c r="S779" s="6">
        <v>19208.78</v>
      </c>
      <c r="T779" t="s">
        <v>254</v>
      </c>
      <c r="U779">
        <v>240</v>
      </c>
      <c r="W779" s="7">
        <v>1317</v>
      </c>
      <c r="AI779" t="s">
        <v>116</v>
      </c>
      <c r="AJ779" t="s">
        <v>258</v>
      </c>
      <c r="AK779">
        <v>14.585254365983294</v>
      </c>
    </row>
    <row r="780" spans="1:37" x14ac:dyDescent="0.35">
      <c r="A780">
        <v>5</v>
      </c>
      <c r="B780">
        <v>2024</v>
      </c>
      <c r="C780" t="s">
        <v>33</v>
      </c>
      <c r="D780" t="s">
        <v>34</v>
      </c>
      <c r="E780" t="s">
        <v>116</v>
      </c>
      <c r="F780" s="3" t="s">
        <v>36</v>
      </c>
      <c r="G780" s="2" t="s">
        <v>50</v>
      </c>
      <c r="H780" s="3">
        <v>52883</v>
      </c>
      <c r="I780" s="3">
        <v>1419</v>
      </c>
      <c r="J780" s="2" t="s">
        <v>341</v>
      </c>
      <c r="K780" t="s">
        <v>116</v>
      </c>
      <c r="L780" t="s">
        <v>39</v>
      </c>
      <c r="M780" t="s">
        <v>40</v>
      </c>
      <c r="O780" t="s">
        <v>34</v>
      </c>
      <c r="P780">
        <v>45442</v>
      </c>
      <c r="S780" s="6">
        <v>25070.66</v>
      </c>
      <c r="T780" t="s">
        <v>254</v>
      </c>
      <c r="U780">
        <v>180</v>
      </c>
      <c r="W780" s="7">
        <v>2162</v>
      </c>
      <c r="AI780" t="s">
        <v>116</v>
      </c>
      <c r="AJ780" t="s">
        <v>258</v>
      </c>
      <c r="AK780">
        <v>11.596049953746531</v>
      </c>
    </row>
    <row r="781" spans="1:37" x14ac:dyDescent="0.35">
      <c r="A781">
        <v>6</v>
      </c>
      <c r="B781">
        <v>2024</v>
      </c>
      <c r="C781" t="s">
        <v>33</v>
      </c>
      <c r="D781" t="s">
        <v>34</v>
      </c>
      <c r="E781" t="s">
        <v>332</v>
      </c>
      <c r="F781" s="3" t="s">
        <v>36</v>
      </c>
      <c r="G781" s="2" t="s">
        <v>82</v>
      </c>
      <c r="H781" s="3">
        <v>52945</v>
      </c>
      <c r="I781" s="3">
        <v>3252</v>
      </c>
      <c r="J781" s="2" t="s">
        <v>450</v>
      </c>
      <c r="K781" t="s">
        <v>332</v>
      </c>
      <c r="L781" t="s">
        <v>39</v>
      </c>
      <c r="M781" t="s">
        <v>40</v>
      </c>
      <c r="O781" t="s">
        <v>34</v>
      </c>
      <c r="P781">
        <v>45449</v>
      </c>
      <c r="S781" s="6">
        <v>6024</v>
      </c>
      <c r="T781" t="s">
        <v>254</v>
      </c>
      <c r="W781" s="7">
        <v>502</v>
      </c>
      <c r="AI781" t="s">
        <v>332</v>
      </c>
      <c r="AJ781" t="s">
        <v>258</v>
      </c>
      <c r="AK781">
        <v>12</v>
      </c>
    </row>
    <row r="782" spans="1:37" x14ac:dyDescent="0.35">
      <c r="A782">
        <v>6</v>
      </c>
      <c r="B782">
        <v>2024</v>
      </c>
      <c r="C782" t="s">
        <v>33</v>
      </c>
      <c r="D782" t="s">
        <v>34</v>
      </c>
      <c r="E782" t="s">
        <v>116</v>
      </c>
      <c r="F782" s="3" t="s">
        <v>36</v>
      </c>
      <c r="G782" s="2" t="s">
        <v>50</v>
      </c>
      <c r="H782" s="3">
        <v>53030</v>
      </c>
      <c r="I782" s="3">
        <v>1422</v>
      </c>
      <c r="J782" s="2" t="s">
        <v>339</v>
      </c>
      <c r="K782" t="s">
        <v>116</v>
      </c>
      <c r="L782" t="s">
        <v>39</v>
      </c>
      <c r="M782" t="s">
        <v>40</v>
      </c>
      <c r="O782" t="s">
        <v>34</v>
      </c>
      <c r="P782">
        <v>45456</v>
      </c>
      <c r="S782" s="6">
        <v>-19208.78</v>
      </c>
      <c r="T782" t="s">
        <v>254</v>
      </c>
      <c r="U782">
        <v>240</v>
      </c>
      <c r="W782" s="7">
        <v>-1317</v>
      </c>
      <c r="AI782" t="s">
        <v>116</v>
      </c>
      <c r="AJ782" t="s">
        <v>258</v>
      </c>
      <c r="AK782">
        <v>14.585254365983294</v>
      </c>
    </row>
    <row r="783" spans="1:37" x14ac:dyDescent="0.35">
      <c r="A783">
        <v>6</v>
      </c>
      <c r="B783">
        <v>2024</v>
      </c>
      <c r="C783" t="s">
        <v>33</v>
      </c>
      <c r="D783" t="s">
        <v>34</v>
      </c>
      <c r="E783" t="s">
        <v>116</v>
      </c>
      <c r="F783" s="3" t="s">
        <v>36</v>
      </c>
      <c r="G783" s="2" t="s">
        <v>50</v>
      </c>
      <c r="H783" s="3">
        <v>53030</v>
      </c>
      <c r="I783" s="3">
        <v>1419</v>
      </c>
      <c r="J783" s="2" t="s">
        <v>341</v>
      </c>
      <c r="K783" t="s">
        <v>116</v>
      </c>
      <c r="L783" t="s">
        <v>39</v>
      </c>
      <c r="M783" t="s">
        <v>40</v>
      </c>
      <c r="O783" t="s">
        <v>34</v>
      </c>
      <c r="P783">
        <v>45456</v>
      </c>
      <c r="S783" s="6">
        <v>-25070.66</v>
      </c>
      <c r="T783" t="s">
        <v>254</v>
      </c>
      <c r="U783">
        <v>180</v>
      </c>
      <c r="W783" s="7">
        <v>-2162</v>
      </c>
      <c r="AI783" t="s">
        <v>116</v>
      </c>
      <c r="AJ783" t="s">
        <v>258</v>
      </c>
      <c r="AK783">
        <v>11.596049953746531</v>
      </c>
    </row>
    <row r="784" spans="1:37" x14ac:dyDescent="0.35">
      <c r="A784">
        <v>6</v>
      </c>
      <c r="B784">
        <v>2024</v>
      </c>
      <c r="C784" t="s">
        <v>33</v>
      </c>
      <c r="D784" t="s">
        <v>34</v>
      </c>
      <c r="E784" t="s">
        <v>116</v>
      </c>
      <c r="F784" s="3" t="s">
        <v>36</v>
      </c>
      <c r="G784" s="2" t="s">
        <v>50</v>
      </c>
      <c r="H784" s="3">
        <v>53037</v>
      </c>
      <c r="I784" s="3">
        <v>1419</v>
      </c>
      <c r="J784" s="2" t="s">
        <v>341</v>
      </c>
      <c r="K784" t="s">
        <v>116</v>
      </c>
      <c r="L784" t="s">
        <v>39</v>
      </c>
      <c r="M784" t="s">
        <v>40</v>
      </c>
      <c r="O784" t="s">
        <v>34</v>
      </c>
      <c r="P784">
        <v>45457</v>
      </c>
      <c r="S784" s="6">
        <v>26255.65</v>
      </c>
      <c r="T784" t="s">
        <v>254</v>
      </c>
      <c r="U784">
        <v>180</v>
      </c>
      <c r="W784" s="7">
        <v>2162</v>
      </c>
      <c r="AI784" t="s">
        <v>116</v>
      </c>
      <c r="AJ784" t="s">
        <v>258</v>
      </c>
      <c r="AK784">
        <v>12.144148936170213</v>
      </c>
    </row>
    <row r="785" spans="1:37" x14ac:dyDescent="0.35">
      <c r="A785">
        <v>6</v>
      </c>
      <c r="B785">
        <v>2024</v>
      </c>
      <c r="C785" t="s">
        <v>33</v>
      </c>
      <c r="D785" t="s">
        <v>34</v>
      </c>
      <c r="E785" t="s">
        <v>116</v>
      </c>
      <c r="F785" s="3" t="s">
        <v>36</v>
      </c>
      <c r="G785" s="2" t="s">
        <v>50</v>
      </c>
      <c r="H785" s="3">
        <v>53037</v>
      </c>
      <c r="I785" s="3">
        <v>1422</v>
      </c>
      <c r="J785" s="2" t="s">
        <v>339</v>
      </c>
      <c r="K785" t="s">
        <v>116</v>
      </c>
      <c r="L785" t="s">
        <v>39</v>
      </c>
      <c r="M785" t="s">
        <v>40</v>
      </c>
      <c r="O785" t="s">
        <v>34</v>
      </c>
      <c r="P785">
        <v>45457</v>
      </c>
      <c r="S785" s="6">
        <v>20116.7</v>
      </c>
      <c r="T785" t="s">
        <v>254</v>
      </c>
      <c r="U785">
        <v>240</v>
      </c>
      <c r="W785" s="7">
        <v>1317</v>
      </c>
      <c r="AI785" t="s">
        <v>116</v>
      </c>
      <c r="AJ785" t="s">
        <v>258</v>
      </c>
      <c r="AK785">
        <v>15.274639331814731</v>
      </c>
    </row>
    <row r="786" spans="1:37" x14ac:dyDescent="0.35">
      <c r="A786">
        <v>6</v>
      </c>
      <c r="B786">
        <v>2024</v>
      </c>
      <c r="C786" t="s">
        <v>33</v>
      </c>
      <c r="D786" t="s">
        <v>34</v>
      </c>
      <c r="E786" t="s">
        <v>42</v>
      </c>
      <c r="F786" s="3" t="s">
        <v>36</v>
      </c>
      <c r="G786" s="2" t="s">
        <v>43</v>
      </c>
      <c r="H786" s="3">
        <v>53147</v>
      </c>
      <c r="I786" s="3">
        <v>1506</v>
      </c>
      <c r="J786" s="2" t="s">
        <v>253</v>
      </c>
      <c r="K786" t="s">
        <v>42</v>
      </c>
      <c r="L786" t="s">
        <v>39</v>
      </c>
      <c r="M786" t="s">
        <v>40</v>
      </c>
      <c r="O786" t="s">
        <v>297</v>
      </c>
      <c r="P786">
        <v>45467</v>
      </c>
      <c r="S786" s="6">
        <v>55098.92</v>
      </c>
      <c r="T786" t="s">
        <v>254</v>
      </c>
      <c r="U786">
        <v>280</v>
      </c>
      <c r="W786" s="7">
        <v>2893</v>
      </c>
      <c r="AI786" t="s">
        <v>255</v>
      </c>
      <c r="AJ786" t="s">
        <v>262</v>
      </c>
      <c r="AK786">
        <v>19.045599723470445</v>
      </c>
    </row>
    <row r="787" spans="1:37" x14ac:dyDescent="0.35">
      <c r="A787">
        <v>6</v>
      </c>
      <c r="B787">
        <v>2024</v>
      </c>
      <c r="C787" t="s">
        <v>33</v>
      </c>
      <c r="D787" t="s">
        <v>34</v>
      </c>
      <c r="E787" t="s">
        <v>42</v>
      </c>
      <c r="F787" s="3" t="s">
        <v>36</v>
      </c>
      <c r="G787" s="2" t="s">
        <v>43</v>
      </c>
      <c r="H787" s="3">
        <v>53147</v>
      </c>
      <c r="I787" s="3">
        <v>2054</v>
      </c>
      <c r="J787" s="2" t="s">
        <v>330</v>
      </c>
      <c r="K787" t="s">
        <v>42</v>
      </c>
      <c r="L787" t="s">
        <v>39</v>
      </c>
      <c r="M787" t="s">
        <v>40</v>
      </c>
      <c r="O787" t="s">
        <v>297</v>
      </c>
      <c r="P787">
        <v>45467</v>
      </c>
      <c r="S787" s="6">
        <v>9455.32</v>
      </c>
      <c r="T787" t="s">
        <v>254</v>
      </c>
      <c r="U787">
        <v>280</v>
      </c>
      <c r="W787" s="7">
        <v>543</v>
      </c>
      <c r="AI787" t="s">
        <v>255</v>
      </c>
      <c r="AJ787" t="s">
        <v>262</v>
      </c>
      <c r="AK787">
        <v>17.413112338858195</v>
      </c>
    </row>
    <row r="788" spans="1:37" x14ac:dyDescent="0.35">
      <c r="A788">
        <v>6</v>
      </c>
      <c r="B788">
        <v>2024</v>
      </c>
      <c r="C788" t="s">
        <v>33</v>
      </c>
      <c r="D788" t="s">
        <v>34</v>
      </c>
      <c r="E788" t="s">
        <v>42</v>
      </c>
      <c r="F788" s="3" t="s">
        <v>36</v>
      </c>
      <c r="G788" s="2" t="s">
        <v>43</v>
      </c>
      <c r="H788" s="3">
        <v>53147</v>
      </c>
      <c r="I788" s="3">
        <v>1236</v>
      </c>
      <c r="J788" s="2" t="s">
        <v>264</v>
      </c>
      <c r="K788" t="s">
        <v>42</v>
      </c>
      <c r="L788" t="s">
        <v>39</v>
      </c>
      <c r="M788" t="s">
        <v>40</v>
      </c>
      <c r="O788" t="s">
        <v>297</v>
      </c>
      <c r="P788">
        <v>45467</v>
      </c>
      <c r="S788" s="6">
        <v>51099.34</v>
      </c>
      <c r="T788" t="s">
        <v>254</v>
      </c>
      <c r="U788">
        <v>240</v>
      </c>
      <c r="W788" s="7">
        <v>2683</v>
      </c>
      <c r="AI788" t="s">
        <v>255</v>
      </c>
      <c r="AJ788" t="s">
        <v>262</v>
      </c>
      <c r="AK788">
        <v>19.045598210957881</v>
      </c>
    </row>
    <row r="789" spans="1:37" x14ac:dyDescent="0.35">
      <c r="A789">
        <v>6</v>
      </c>
      <c r="B789">
        <v>2024</v>
      </c>
      <c r="C789" t="s">
        <v>33</v>
      </c>
      <c r="D789" t="s">
        <v>34</v>
      </c>
      <c r="E789" t="s">
        <v>42</v>
      </c>
      <c r="F789" s="3" t="s">
        <v>36</v>
      </c>
      <c r="G789" s="2" t="s">
        <v>43</v>
      </c>
      <c r="H789" s="3">
        <v>53147</v>
      </c>
      <c r="I789" s="3">
        <v>1504</v>
      </c>
      <c r="J789" s="2" t="s">
        <v>263</v>
      </c>
      <c r="K789" t="s">
        <v>42</v>
      </c>
      <c r="L789" t="s">
        <v>39</v>
      </c>
      <c r="M789" t="s">
        <v>40</v>
      </c>
      <c r="O789" t="s">
        <v>297</v>
      </c>
      <c r="P789">
        <v>45467</v>
      </c>
      <c r="S789" s="6">
        <v>68906.33</v>
      </c>
      <c r="T789" t="s">
        <v>254</v>
      </c>
      <c r="U789">
        <v>240</v>
      </c>
      <c r="W789" s="7">
        <v>4278</v>
      </c>
      <c r="AI789" t="s">
        <v>255</v>
      </c>
      <c r="AJ789" t="s">
        <v>262</v>
      </c>
      <c r="AK789">
        <v>16.107136512388966</v>
      </c>
    </row>
    <row r="790" spans="1:37" x14ac:dyDescent="0.35">
      <c r="A790">
        <v>6</v>
      </c>
      <c r="B790">
        <v>2024</v>
      </c>
      <c r="C790" t="s">
        <v>33</v>
      </c>
      <c r="D790" t="s">
        <v>34</v>
      </c>
      <c r="E790" t="s">
        <v>42</v>
      </c>
      <c r="F790" s="3" t="s">
        <v>36</v>
      </c>
      <c r="G790" s="2" t="s">
        <v>43</v>
      </c>
      <c r="H790" s="3">
        <v>53147</v>
      </c>
      <c r="I790" s="3">
        <v>1225</v>
      </c>
      <c r="J790" s="2" t="s">
        <v>292</v>
      </c>
      <c r="K790" t="s">
        <v>42</v>
      </c>
      <c r="L790" t="s">
        <v>39</v>
      </c>
      <c r="M790" t="s">
        <v>40</v>
      </c>
      <c r="O790" t="s">
        <v>297</v>
      </c>
      <c r="P790">
        <v>45467</v>
      </c>
      <c r="S790" s="6">
        <v>70710.33</v>
      </c>
      <c r="T790" t="s">
        <v>254</v>
      </c>
      <c r="U790">
        <v>240</v>
      </c>
      <c r="W790" s="7">
        <v>4390</v>
      </c>
      <c r="AI790" t="s">
        <v>255</v>
      </c>
      <c r="AJ790" t="s">
        <v>262</v>
      </c>
      <c r="AK790">
        <v>16.107136674259682</v>
      </c>
    </row>
    <row r="791" spans="1:37" x14ac:dyDescent="0.35">
      <c r="A791">
        <v>6</v>
      </c>
      <c r="B791">
        <v>2024</v>
      </c>
      <c r="C791" t="s">
        <v>33</v>
      </c>
      <c r="D791" t="s">
        <v>34</v>
      </c>
      <c r="E791" t="s">
        <v>295</v>
      </c>
      <c r="F791" s="3" t="s">
        <v>36</v>
      </c>
      <c r="G791" s="2" t="s">
        <v>82</v>
      </c>
      <c r="H791" s="3">
        <v>53158</v>
      </c>
      <c r="I791" s="3">
        <v>3274</v>
      </c>
      <c r="J791" s="2" t="s">
        <v>451</v>
      </c>
      <c r="K791" t="s">
        <v>295</v>
      </c>
      <c r="L791" t="s">
        <v>39</v>
      </c>
      <c r="M791" t="s">
        <v>40</v>
      </c>
      <c r="O791" t="s">
        <v>34</v>
      </c>
      <c r="P791">
        <v>45467</v>
      </c>
      <c r="S791" s="6">
        <v>8751.18</v>
      </c>
      <c r="T791" t="s">
        <v>254</v>
      </c>
      <c r="U791">
        <v>220</v>
      </c>
      <c r="W791" s="7">
        <v>731</v>
      </c>
      <c r="AI791" t="s">
        <v>298</v>
      </c>
      <c r="AJ791" t="s">
        <v>258</v>
      </c>
      <c r="AK791">
        <v>11.971518467852258</v>
      </c>
    </row>
    <row r="792" spans="1:37" x14ac:dyDescent="0.35">
      <c r="A792">
        <v>6</v>
      </c>
      <c r="B792">
        <v>2024</v>
      </c>
      <c r="C792" t="s">
        <v>33</v>
      </c>
      <c r="D792" t="s">
        <v>34</v>
      </c>
      <c r="E792" t="s">
        <v>295</v>
      </c>
      <c r="F792" s="3" t="s">
        <v>36</v>
      </c>
      <c r="G792" s="2" t="s">
        <v>82</v>
      </c>
      <c r="H792" s="3">
        <v>53158</v>
      </c>
      <c r="I792" s="3">
        <v>1761</v>
      </c>
      <c r="J792" s="2" t="s">
        <v>305</v>
      </c>
      <c r="K792" t="s">
        <v>295</v>
      </c>
      <c r="L792" t="s">
        <v>39</v>
      </c>
      <c r="M792" t="s">
        <v>40</v>
      </c>
      <c r="O792" t="s">
        <v>34</v>
      </c>
      <c r="P792">
        <v>45467</v>
      </c>
      <c r="S792" s="6">
        <v>9032.2900000000009</v>
      </c>
      <c r="T792" t="s">
        <v>254</v>
      </c>
      <c r="U792">
        <v>280</v>
      </c>
      <c r="W792" s="7">
        <v>557</v>
      </c>
      <c r="AI792" t="s">
        <v>298</v>
      </c>
      <c r="AJ792" t="s">
        <v>258</v>
      </c>
      <c r="AK792">
        <v>16.215960502693001</v>
      </c>
    </row>
    <row r="793" spans="1:37" x14ac:dyDescent="0.35">
      <c r="A793">
        <v>6</v>
      </c>
      <c r="B793">
        <v>2024</v>
      </c>
      <c r="C793" t="s">
        <v>33</v>
      </c>
      <c r="D793" t="s">
        <v>34</v>
      </c>
      <c r="E793" t="s">
        <v>295</v>
      </c>
      <c r="F793" s="3" t="s">
        <v>36</v>
      </c>
      <c r="G793" s="2" t="s">
        <v>82</v>
      </c>
      <c r="H793" s="3">
        <v>53158</v>
      </c>
      <c r="I793" s="3">
        <v>3270</v>
      </c>
      <c r="J793" s="2" t="s">
        <v>452</v>
      </c>
      <c r="K793" t="s">
        <v>295</v>
      </c>
      <c r="L793" t="s">
        <v>39</v>
      </c>
      <c r="M793" t="s">
        <v>40</v>
      </c>
      <c r="O793" t="s">
        <v>34</v>
      </c>
      <c r="P793">
        <v>45467</v>
      </c>
      <c r="S793" s="6">
        <v>6285.05</v>
      </c>
      <c r="T793" t="s">
        <v>254</v>
      </c>
      <c r="U793">
        <v>220</v>
      </c>
      <c r="W793" s="7">
        <v>525</v>
      </c>
      <c r="AI793" t="s">
        <v>298</v>
      </c>
      <c r="AJ793" t="s">
        <v>258</v>
      </c>
      <c r="AK793">
        <v>11.971523809523809</v>
      </c>
    </row>
    <row r="794" spans="1:37" x14ac:dyDescent="0.35">
      <c r="A794">
        <v>6</v>
      </c>
      <c r="B794">
        <v>2024</v>
      </c>
      <c r="C794" t="s">
        <v>33</v>
      </c>
      <c r="D794" t="s">
        <v>34</v>
      </c>
      <c r="E794" t="s">
        <v>42</v>
      </c>
      <c r="F794" s="3" t="s">
        <v>36</v>
      </c>
      <c r="G794" s="2" t="s">
        <v>43</v>
      </c>
      <c r="H794" s="3">
        <v>53163</v>
      </c>
      <c r="I794" s="3">
        <v>1523</v>
      </c>
      <c r="J794" s="2" t="s">
        <v>282</v>
      </c>
      <c r="K794" t="s">
        <v>42</v>
      </c>
      <c r="L794" t="s">
        <v>39</v>
      </c>
      <c r="M794" t="s">
        <v>40</v>
      </c>
      <c r="O794" t="s">
        <v>297</v>
      </c>
      <c r="P794">
        <v>45467</v>
      </c>
      <c r="S794" s="6">
        <v>8257.9</v>
      </c>
      <c r="T794" t="s">
        <v>254</v>
      </c>
      <c r="W794" s="7">
        <v>1005</v>
      </c>
      <c r="AI794" t="s">
        <v>255</v>
      </c>
      <c r="AJ794" t="s">
        <v>262</v>
      </c>
      <c r="AK794">
        <v>8.2168159203980089</v>
      </c>
    </row>
    <row r="795" spans="1:37" x14ac:dyDescent="0.35">
      <c r="A795">
        <v>6</v>
      </c>
      <c r="B795">
        <v>2024</v>
      </c>
      <c r="C795" t="s">
        <v>33</v>
      </c>
      <c r="D795" t="s">
        <v>34</v>
      </c>
      <c r="E795" t="s">
        <v>42</v>
      </c>
      <c r="F795" s="3" t="s">
        <v>36</v>
      </c>
      <c r="G795" s="2" t="s">
        <v>43</v>
      </c>
      <c r="H795" s="3">
        <v>53163</v>
      </c>
      <c r="I795" s="3">
        <v>1523</v>
      </c>
      <c r="J795" s="2" t="s">
        <v>282</v>
      </c>
      <c r="K795" t="s">
        <v>42</v>
      </c>
      <c r="L795" t="s">
        <v>39</v>
      </c>
      <c r="M795" t="s">
        <v>40</v>
      </c>
      <c r="O795" t="s">
        <v>297</v>
      </c>
      <c r="P795">
        <v>45467</v>
      </c>
      <c r="S795" s="6">
        <v>12752.5</v>
      </c>
      <c r="T795" t="s">
        <v>254</v>
      </c>
      <c r="W795" s="7">
        <v>1552</v>
      </c>
      <c r="AI795" t="s">
        <v>255</v>
      </c>
      <c r="AJ795" t="s">
        <v>262</v>
      </c>
      <c r="AK795">
        <v>8.2168170103092777</v>
      </c>
    </row>
    <row r="796" spans="1:37" x14ac:dyDescent="0.35">
      <c r="A796">
        <v>6</v>
      </c>
      <c r="B796">
        <v>2024</v>
      </c>
      <c r="C796" t="s">
        <v>33</v>
      </c>
      <c r="D796" t="s">
        <v>34</v>
      </c>
      <c r="E796" t="s">
        <v>116</v>
      </c>
      <c r="F796" s="3" t="s">
        <v>36</v>
      </c>
      <c r="G796" s="2" t="s">
        <v>50</v>
      </c>
      <c r="H796" s="3">
        <v>53263</v>
      </c>
      <c r="I796" s="3">
        <v>1419</v>
      </c>
      <c r="J796" s="2" t="s">
        <v>341</v>
      </c>
      <c r="K796" t="s">
        <v>116</v>
      </c>
      <c r="L796" t="s">
        <v>39</v>
      </c>
      <c r="M796" t="s">
        <v>40</v>
      </c>
      <c r="O796" t="s">
        <v>34</v>
      </c>
      <c r="P796">
        <v>45471</v>
      </c>
      <c r="S796" s="6">
        <v>66631.03</v>
      </c>
      <c r="T796" t="s">
        <v>254</v>
      </c>
      <c r="U796">
        <v>180</v>
      </c>
      <c r="W796" s="7">
        <v>5362</v>
      </c>
      <c r="AI796" t="s">
        <v>116</v>
      </c>
      <c r="AJ796" t="s">
        <v>258</v>
      </c>
      <c r="AK796">
        <v>12.426525550167847</v>
      </c>
    </row>
    <row r="797" spans="1:37" x14ac:dyDescent="0.35">
      <c r="A797">
        <v>6</v>
      </c>
      <c r="B797">
        <v>2024</v>
      </c>
      <c r="C797" t="s">
        <v>33</v>
      </c>
      <c r="D797" t="s">
        <v>34</v>
      </c>
      <c r="E797" t="s">
        <v>116</v>
      </c>
      <c r="F797" s="3" t="s">
        <v>36</v>
      </c>
      <c r="G797" s="2" t="s">
        <v>50</v>
      </c>
      <c r="H797" s="3">
        <v>53263</v>
      </c>
      <c r="I797" s="3">
        <v>1422</v>
      </c>
      <c r="J797" s="2" t="s">
        <v>339</v>
      </c>
      <c r="K797" t="s">
        <v>116</v>
      </c>
      <c r="L797" t="s">
        <v>39</v>
      </c>
      <c r="M797" t="s">
        <v>40</v>
      </c>
      <c r="O797" t="s">
        <v>34</v>
      </c>
      <c r="P797">
        <v>45471</v>
      </c>
      <c r="S797" s="6">
        <v>47248.91</v>
      </c>
      <c r="T797" t="s">
        <v>254</v>
      </c>
      <c r="U797">
        <v>240</v>
      </c>
      <c r="W797" s="7">
        <v>3023</v>
      </c>
      <c r="AI797" t="s">
        <v>116</v>
      </c>
      <c r="AJ797" t="s">
        <v>258</v>
      </c>
      <c r="AK797">
        <v>15.629808137611645</v>
      </c>
    </row>
    <row r="798" spans="1:37" x14ac:dyDescent="0.35">
      <c r="A798">
        <v>6</v>
      </c>
      <c r="B798">
        <v>2024</v>
      </c>
      <c r="C798" t="s">
        <v>33</v>
      </c>
      <c r="D798" t="s">
        <v>34</v>
      </c>
      <c r="E798" t="s">
        <v>453</v>
      </c>
      <c r="F798" s="3" t="s">
        <v>36</v>
      </c>
      <c r="G798" s="2" t="s">
        <v>50</v>
      </c>
      <c r="H798" s="3">
        <v>53265</v>
      </c>
      <c r="I798" s="3">
        <v>3276</v>
      </c>
      <c r="J798" s="2" t="s">
        <v>454</v>
      </c>
      <c r="K798" t="s">
        <v>453</v>
      </c>
      <c r="L798" t="s">
        <v>39</v>
      </c>
      <c r="M798" t="s">
        <v>40</v>
      </c>
      <c r="O798" t="s">
        <v>34</v>
      </c>
      <c r="P798">
        <v>45471</v>
      </c>
      <c r="S798" s="6">
        <v>16127.97</v>
      </c>
      <c r="T798" t="s">
        <v>254</v>
      </c>
      <c r="U798">
        <v>370</v>
      </c>
      <c r="W798" s="7">
        <v>471</v>
      </c>
      <c r="AI798" t="s">
        <v>453</v>
      </c>
      <c r="AJ798" t="s">
        <v>258</v>
      </c>
      <c r="AK798">
        <v>34.241974522292992</v>
      </c>
    </row>
    <row r="799" spans="1:37" x14ac:dyDescent="0.35">
      <c r="A799">
        <v>6</v>
      </c>
      <c r="B799">
        <v>2024</v>
      </c>
      <c r="C799" t="s">
        <v>33</v>
      </c>
      <c r="D799" t="s">
        <v>34</v>
      </c>
      <c r="E799" t="s">
        <v>453</v>
      </c>
      <c r="F799" s="3" t="s">
        <v>36</v>
      </c>
      <c r="G799" s="2" t="s">
        <v>50</v>
      </c>
      <c r="H799" s="3">
        <v>53265</v>
      </c>
      <c r="I799" s="3">
        <v>2536</v>
      </c>
      <c r="J799" s="2" t="s">
        <v>393</v>
      </c>
      <c r="K799" t="s">
        <v>453</v>
      </c>
      <c r="L799" t="s">
        <v>39</v>
      </c>
      <c r="M799" t="s">
        <v>40</v>
      </c>
      <c r="O799" t="s">
        <v>34</v>
      </c>
      <c r="P799">
        <v>45471</v>
      </c>
      <c r="S799" s="6">
        <v>36237.9</v>
      </c>
      <c r="T799" t="s">
        <v>254</v>
      </c>
      <c r="U799">
        <v>440</v>
      </c>
      <c r="W799" s="7">
        <v>1011</v>
      </c>
      <c r="AI799" t="s">
        <v>453</v>
      </c>
      <c r="AJ799" t="s">
        <v>258</v>
      </c>
      <c r="AK799">
        <v>35.843620178041547</v>
      </c>
    </row>
    <row r="800" spans="1:37" x14ac:dyDescent="0.35">
      <c r="A800">
        <v>6</v>
      </c>
      <c r="B800">
        <v>2024</v>
      </c>
      <c r="C800" t="s">
        <v>33</v>
      </c>
      <c r="D800" t="s">
        <v>34</v>
      </c>
      <c r="E800" t="s">
        <v>453</v>
      </c>
      <c r="F800" s="3" t="s">
        <v>36</v>
      </c>
      <c r="G800" s="2" t="s">
        <v>50</v>
      </c>
      <c r="H800" s="3">
        <v>53265</v>
      </c>
      <c r="I800" s="3">
        <v>2000</v>
      </c>
      <c r="J800" s="2" t="s">
        <v>309</v>
      </c>
      <c r="K800" t="s">
        <v>453</v>
      </c>
      <c r="L800" t="s">
        <v>39</v>
      </c>
      <c r="M800" t="s">
        <v>40</v>
      </c>
      <c r="O800" t="s">
        <v>34</v>
      </c>
      <c r="P800">
        <v>45471</v>
      </c>
      <c r="S800" s="6">
        <v>29295.78</v>
      </c>
      <c r="T800" t="s">
        <v>254</v>
      </c>
      <c r="U800">
        <v>380</v>
      </c>
      <c r="W800" s="7">
        <v>1026</v>
      </c>
      <c r="AI800" t="s">
        <v>453</v>
      </c>
      <c r="AJ800" t="s">
        <v>258</v>
      </c>
      <c r="AK800">
        <v>28.553391812865495</v>
      </c>
    </row>
    <row r="801" spans="1:37" x14ac:dyDescent="0.35">
      <c r="A801">
        <v>7</v>
      </c>
      <c r="B801">
        <v>2024</v>
      </c>
      <c r="C801" t="s">
        <v>33</v>
      </c>
      <c r="D801" t="s">
        <v>34</v>
      </c>
      <c r="E801" t="s">
        <v>387</v>
      </c>
      <c r="F801" s="3" t="s">
        <v>36</v>
      </c>
      <c r="G801" s="2" t="s">
        <v>388</v>
      </c>
      <c r="H801" s="3">
        <v>53471</v>
      </c>
      <c r="I801" s="3">
        <v>2582</v>
      </c>
      <c r="J801" s="2" t="s">
        <v>402</v>
      </c>
      <c r="K801" t="s">
        <v>387</v>
      </c>
      <c r="L801" t="s">
        <v>39</v>
      </c>
      <c r="M801" t="s">
        <v>40</v>
      </c>
      <c r="O801" t="s">
        <v>34</v>
      </c>
      <c r="P801">
        <v>45491</v>
      </c>
      <c r="S801" s="6">
        <v>23790.21</v>
      </c>
      <c r="T801" t="s">
        <v>254</v>
      </c>
      <c r="U801">
        <v>240</v>
      </c>
      <c r="W801" s="7">
        <v>1449</v>
      </c>
      <c r="AI801" t="s">
        <v>387</v>
      </c>
      <c r="AJ801" t="s">
        <v>258</v>
      </c>
      <c r="AK801">
        <v>16.418364389233954</v>
      </c>
    </row>
    <row r="802" spans="1:37" x14ac:dyDescent="0.35">
      <c r="A802">
        <v>7</v>
      </c>
      <c r="B802">
        <v>2024</v>
      </c>
      <c r="C802" t="s">
        <v>33</v>
      </c>
      <c r="D802" t="s">
        <v>34</v>
      </c>
      <c r="E802" t="s">
        <v>387</v>
      </c>
      <c r="F802" s="3" t="s">
        <v>36</v>
      </c>
      <c r="G802" s="2" t="s">
        <v>388</v>
      </c>
      <c r="H802" s="3">
        <v>53471</v>
      </c>
      <c r="I802" s="3">
        <v>2950</v>
      </c>
      <c r="J802" s="2" t="s">
        <v>412</v>
      </c>
      <c r="K802" t="s">
        <v>387</v>
      </c>
      <c r="L802" t="s">
        <v>39</v>
      </c>
      <c r="M802" t="s">
        <v>40</v>
      </c>
      <c r="O802" t="s">
        <v>34</v>
      </c>
      <c r="P802">
        <v>45491</v>
      </c>
      <c r="S802" s="6">
        <v>5951.58</v>
      </c>
      <c r="T802" t="s">
        <v>254</v>
      </c>
      <c r="U802">
        <v>180</v>
      </c>
      <c r="W802" s="7">
        <v>449</v>
      </c>
      <c r="AI802" t="s">
        <v>387</v>
      </c>
      <c r="AJ802" t="s">
        <v>258</v>
      </c>
      <c r="AK802">
        <v>13.255189309576837</v>
      </c>
    </row>
    <row r="803" spans="1:37" x14ac:dyDescent="0.35">
      <c r="A803">
        <v>7</v>
      </c>
      <c r="B803">
        <v>2024</v>
      </c>
      <c r="C803" t="s">
        <v>33</v>
      </c>
      <c r="D803" t="s">
        <v>34</v>
      </c>
      <c r="E803" t="s">
        <v>42</v>
      </c>
      <c r="F803" s="3" t="s">
        <v>36</v>
      </c>
      <c r="G803" s="2" t="s">
        <v>43</v>
      </c>
      <c r="H803" s="3">
        <v>53637</v>
      </c>
      <c r="I803" s="3">
        <v>1525</v>
      </c>
      <c r="J803" s="2" t="s">
        <v>283</v>
      </c>
      <c r="K803" t="s">
        <v>42</v>
      </c>
      <c r="L803" t="s">
        <v>39</v>
      </c>
      <c r="M803" t="s">
        <v>40</v>
      </c>
      <c r="O803" t="s">
        <v>297</v>
      </c>
      <c r="P803">
        <v>45502</v>
      </c>
      <c r="S803" s="6">
        <v>34059.69</v>
      </c>
      <c r="T803" t="s">
        <v>254</v>
      </c>
      <c r="U803">
        <v>320</v>
      </c>
      <c r="W803" s="7">
        <v>1600</v>
      </c>
      <c r="AI803" t="s">
        <v>255</v>
      </c>
      <c r="AJ803" t="s">
        <v>262</v>
      </c>
      <c r="AK803">
        <v>21.28730625</v>
      </c>
    </row>
    <row r="804" spans="1:37" x14ac:dyDescent="0.35">
      <c r="A804">
        <v>7</v>
      </c>
      <c r="B804">
        <v>2024</v>
      </c>
      <c r="C804" t="s">
        <v>33</v>
      </c>
      <c r="D804" t="s">
        <v>34</v>
      </c>
      <c r="E804" t="s">
        <v>42</v>
      </c>
      <c r="F804" s="3" t="s">
        <v>36</v>
      </c>
      <c r="G804" s="2" t="s">
        <v>43</v>
      </c>
      <c r="H804" s="3">
        <v>53637</v>
      </c>
      <c r="I804" s="3">
        <v>1506</v>
      </c>
      <c r="J804" s="2" t="s">
        <v>253</v>
      </c>
      <c r="K804" t="s">
        <v>42</v>
      </c>
      <c r="L804" t="s">
        <v>39</v>
      </c>
      <c r="M804" t="s">
        <v>40</v>
      </c>
      <c r="O804" t="s">
        <v>297</v>
      </c>
      <c r="P804">
        <v>45502</v>
      </c>
      <c r="S804" s="6">
        <v>25533.47</v>
      </c>
      <c r="T804" t="s">
        <v>254</v>
      </c>
      <c r="U804">
        <v>280</v>
      </c>
      <c r="W804" s="7">
        <v>1292</v>
      </c>
      <c r="AI804" t="s">
        <v>255</v>
      </c>
      <c r="AJ804" t="s">
        <v>262</v>
      </c>
      <c r="AK804">
        <v>19.762747678018577</v>
      </c>
    </row>
    <row r="805" spans="1:37" x14ac:dyDescent="0.35">
      <c r="A805">
        <v>7</v>
      </c>
      <c r="B805">
        <v>2024</v>
      </c>
      <c r="C805" t="s">
        <v>33</v>
      </c>
      <c r="D805" t="s">
        <v>34</v>
      </c>
      <c r="E805" t="s">
        <v>42</v>
      </c>
      <c r="F805" s="3" t="s">
        <v>36</v>
      </c>
      <c r="G805" s="2" t="s">
        <v>43</v>
      </c>
      <c r="H805" s="3">
        <v>53637</v>
      </c>
      <c r="I805" s="3">
        <v>3009</v>
      </c>
      <c r="J805" s="2" t="s">
        <v>424</v>
      </c>
      <c r="K805" t="s">
        <v>42</v>
      </c>
      <c r="L805" t="s">
        <v>39</v>
      </c>
      <c r="M805" t="s">
        <v>40</v>
      </c>
      <c r="O805" t="s">
        <v>297</v>
      </c>
      <c r="P805">
        <v>45502</v>
      </c>
      <c r="S805" s="6">
        <v>15539.17</v>
      </c>
      <c r="T805" t="s">
        <v>254</v>
      </c>
      <c r="U805">
        <v>300</v>
      </c>
      <c r="W805" s="7">
        <v>640</v>
      </c>
      <c r="AI805" t="s">
        <v>255</v>
      </c>
      <c r="AJ805" t="s">
        <v>262</v>
      </c>
      <c r="AK805">
        <v>24.279953124999999</v>
      </c>
    </row>
    <row r="806" spans="1:37" x14ac:dyDescent="0.35">
      <c r="A806">
        <v>7</v>
      </c>
      <c r="B806">
        <v>2024</v>
      </c>
      <c r="C806" t="s">
        <v>33</v>
      </c>
      <c r="D806" t="s">
        <v>34</v>
      </c>
      <c r="E806" t="s">
        <v>42</v>
      </c>
      <c r="F806" s="3" t="s">
        <v>36</v>
      </c>
      <c r="G806" s="2" t="s">
        <v>43</v>
      </c>
      <c r="H806" s="3">
        <v>53637</v>
      </c>
      <c r="I806" s="3">
        <v>3343</v>
      </c>
      <c r="J806" s="2" t="s">
        <v>455</v>
      </c>
      <c r="K806" t="s">
        <v>42</v>
      </c>
      <c r="L806" t="s">
        <v>39</v>
      </c>
      <c r="M806" t="s">
        <v>40</v>
      </c>
      <c r="O806" t="s">
        <v>297</v>
      </c>
      <c r="P806">
        <v>45502</v>
      </c>
      <c r="S806" s="6">
        <v>17250.060000000001</v>
      </c>
      <c r="T806" t="s">
        <v>254</v>
      </c>
      <c r="U806">
        <v>390</v>
      </c>
      <c r="W806" s="7">
        <v>611</v>
      </c>
      <c r="AI806" t="s">
        <v>255</v>
      </c>
      <c r="AJ806" t="s">
        <v>262</v>
      </c>
      <c r="AK806">
        <v>28.232504091653031</v>
      </c>
    </row>
    <row r="807" spans="1:37" x14ac:dyDescent="0.35">
      <c r="A807">
        <v>7</v>
      </c>
      <c r="B807">
        <v>2024</v>
      </c>
      <c r="C807" t="s">
        <v>33</v>
      </c>
      <c r="D807" t="s">
        <v>34</v>
      </c>
      <c r="E807" t="s">
        <v>42</v>
      </c>
      <c r="F807" s="3" t="s">
        <v>36</v>
      </c>
      <c r="G807" s="2" t="s">
        <v>43</v>
      </c>
      <c r="H807" s="3">
        <v>53637</v>
      </c>
      <c r="I807" s="3">
        <v>1236</v>
      </c>
      <c r="J807" s="2" t="s">
        <v>264</v>
      </c>
      <c r="K807" t="s">
        <v>42</v>
      </c>
      <c r="L807" t="s">
        <v>39</v>
      </c>
      <c r="M807" t="s">
        <v>40</v>
      </c>
      <c r="O807" t="s">
        <v>297</v>
      </c>
      <c r="P807">
        <v>45502</v>
      </c>
      <c r="S807" s="6">
        <v>7035.54</v>
      </c>
      <c r="T807" t="s">
        <v>254</v>
      </c>
      <c r="U807">
        <v>240</v>
      </c>
      <c r="W807" s="7">
        <v>356</v>
      </c>
      <c r="AI807" t="s">
        <v>255</v>
      </c>
      <c r="AJ807" t="s">
        <v>262</v>
      </c>
      <c r="AK807">
        <v>19.762752808988765</v>
      </c>
    </row>
    <row r="808" spans="1:37" x14ac:dyDescent="0.35">
      <c r="A808">
        <v>7</v>
      </c>
      <c r="B808">
        <v>2024</v>
      </c>
      <c r="C808" t="s">
        <v>33</v>
      </c>
      <c r="D808" t="s">
        <v>34</v>
      </c>
      <c r="E808" t="s">
        <v>42</v>
      </c>
      <c r="F808" s="3" t="s">
        <v>36</v>
      </c>
      <c r="G808" s="2" t="s">
        <v>43</v>
      </c>
      <c r="H808" s="3">
        <v>53637</v>
      </c>
      <c r="I808" s="3">
        <v>1504</v>
      </c>
      <c r="J808" s="2" t="s">
        <v>263</v>
      </c>
      <c r="K808" t="s">
        <v>42</v>
      </c>
      <c r="L808" t="s">
        <v>39</v>
      </c>
      <c r="M808" t="s">
        <v>40</v>
      </c>
      <c r="O808" t="s">
        <v>297</v>
      </c>
      <c r="P808">
        <v>45502</v>
      </c>
      <c r="S808" s="6">
        <v>51645.15</v>
      </c>
      <c r="T808" t="s">
        <v>254</v>
      </c>
      <c r="U808">
        <v>240</v>
      </c>
      <c r="W808" s="7">
        <v>3090</v>
      </c>
      <c r="AI808" t="s">
        <v>255</v>
      </c>
      <c r="AJ808" t="s">
        <v>262</v>
      </c>
      <c r="AK808">
        <v>16.71364077669903</v>
      </c>
    </row>
    <row r="809" spans="1:37" x14ac:dyDescent="0.35">
      <c r="A809">
        <v>7</v>
      </c>
      <c r="B809">
        <v>2024</v>
      </c>
      <c r="C809" t="s">
        <v>33</v>
      </c>
      <c r="D809" t="s">
        <v>34</v>
      </c>
      <c r="E809" t="s">
        <v>42</v>
      </c>
      <c r="F809" s="3" t="s">
        <v>36</v>
      </c>
      <c r="G809" s="2" t="s">
        <v>43</v>
      </c>
      <c r="H809" s="3">
        <v>53637</v>
      </c>
      <c r="I809" s="3">
        <v>1236</v>
      </c>
      <c r="J809" s="2" t="s">
        <v>264</v>
      </c>
      <c r="K809" t="s">
        <v>42</v>
      </c>
      <c r="L809" t="s">
        <v>39</v>
      </c>
      <c r="M809" t="s">
        <v>40</v>
      </c>
      <c r="O809" t="s">
        <v>297</v>
      </c>
      <c r="P809">
        <v>45502</v>
      </c>
      <c r="S809" s="6">
        <v>24327.95</v>
      </c>
      <c r="T809" t="s">
        <v>254</v>
      </c>
      <c r="U809">
        <v>240</v>
      </c>
      <c r="W809" s="7">
        <v>1231</v>
      </c>
      <c r="AI809" t="s">
        <v>255</v>
      </c>
      <c r="AJ809" t="s">
        <v>262</v>
      </c>
      <c r="AK809">
        <v>19.762753858651504</v>
      </c>
    </row>
    <row r="810" spans="1:37" x14ac:dyDescent="0.35">
      <c r="A810">
        <v>7</v>
      </c>
      <c r="B810">
        <v>2024</v>
      </c>
      <c r="C810" t="s">
        <v>33</v>
      </c>
      <c r="D810" t="s">
        <v>34</v>
      </c>
      <c r="E810" t="s">
        <v>42</v>
      </c>
      <c r="F810" s="3" t="s">
        <v>36</v>
      </c>
      <c r="G810" s="2" t="s">
        <v>43</v>
      </c>
      <c r="H810" s="3">
        <v>53637</v>
      </c>
      <c r="I810" s="3">
        <v>1236</v>
      </c>
      <c r="J810" s="2" t="s">
        <v>264</v>
      </c>
      <c r="K810" t="s">
        <v>42</v>
      </c>
      <c r="L810" t="s">
        <v>39</v>
      </c>
      <c r="M810" t="s">
        <v>40</v>
      </c>
      <c r="O810" t="s">
        <v>297</v>
      </c>
      <c r="P810">
        <v>45502</v>
      </c>
      <c r="S810" s="6">
        <v>3675.87</v>
      </c>
      <c r="T810" t="s">
        <v>254</v>
      </c>
      <c r="U810">
        <v>240</v>
      </c>
      <c r="W810" s="7">
        <v>186</v>
      </c>
      <c r="AI810" t="s">
        <v>255</v>
      </c>
      <c r="AJ810" t="s">
        <v>262</v>
      </c>
      <c r="AK810">
        <v>19.76274193548387</v>
      </c>
    </row>
    <row r="811" spans="1:37" x14ac:dyDescent="0.35">
      <c r="A811">
        <v>7</v>
      </c>
      <c r="B811">
        <v>2024</v>
      </c>
      <c r="C811" t="s">
        <v>33</v>
      </c>
      <c r="D811" t="s">
        <v>34</v>
      </c>
      <c r="E811" t="s">
        <v>42</v>
      </c>
      <c r="F811" s="3" t="s">
        <v>36</v>
      </c>
      <c r="G811" s="2" t="s">
        <v>43</v>
      </c>
      <c r="H811" s="3">
        <v>53637</v>
      </c>
      <c r="I811" s="3">
        <v>1225</v>
      </c>
      <c r="J811" s="2" t="s">
        <v>292</v>
      </c>
      <c r="K811" t="s">
        <v>42</v>
      </c>
      <c r="L811" t="s">
        <v>39</v>
      </c>
      <c r="M811" t="s">
        <v>40</v>
      </c>
      <c r="O811" t="s">
        <v>297</v>
      </c>
      <c r="P811">
        <v>45502</v>
      </c>
      <c r="S811" s="6">
        <v>25488.3</v>
      </c>
      <c r="T811" t="s">
        <v>254</v>
      </c>
      <c r="U811">
        <v>240</v>
      </c>
      <c r="W811" s="7">
        <v>1525</v>
      </c>
      <c r="AI811" t="s">
        <v>255</v>
      </c>
      <c r="AJ811" t="s">
        <v>262</v>
      </c>
      <c r="AK811">
        <v>16.713639344262294</v>
      </c>
    </row>
    <row r="812" spans="1:37" x14ac:dyDescent="0.35">
      <c r="A812">
        <v>7</v>
      </c>
      <c r="B812">
        <v>2024</v>
      </c>
      <c r="C812" t="s">
        <v>33</v>
      </c>
      <c r="D812" t="s">
        <v>34</v>
      </c>
      <c r="E812" t="s">
        <v>42</v>
      </c>
      <c r="F812" s="3" t="s">
        <v>36</v>
      </c>
      <c r="G812" s="2" t="s">
        <v>43</v>
      </c>
      <c r="H812" s="3">
        <v>53638</v>
      </c>
      <c r="I812" s="3">
        <v>1523</v>
      </c>
      <c r="J812" s="2" t="s">
        <v>282</v>
      </c>
      <c r="K812" t="s">
        <v>42</v>
      </c>
      <c r="L812" t="s">
        <v>39</v>
      </c>
      <c r="M812" t="s">
        <v>40</v>
      </c>
      <c r="O812" t="s">
        <v>297</v>
      </c>
      <c r="P812">
        <v>45502</v>
      </c>
      <c r="S812" s="6">
        <v>3836.8</v>
      </c>
      <c r="T812" t="s">
        <v>254</v>
      </c>
      <c r="W812" s="7">
        <v>450</v>
      </c>
      <c r="AI812" t="s">
        <v>255</v>
      </c>
      <c r="AJ812" t="s">
        <v>262</v>
      </c>
      <c r="AK812">
        <v>8.5262222222222235</v>
      </c>
    </row>
    <row r="813" spans="1:37" x14ac:dyDescent="0.35">
      <c r="A813">
        <v>7</v>
      </c>
      <c r="B813">
        <v>2024</v>
      </c>
      <c r="C813" t="s">
        <v>33</v>
      </c>
      <c r="D813" t="s">
        <v>34</v>
      </c>
      <c r="E813" t="s">
        <v>42</v>
      </c>
      <c r="F813" s="3" t="s">
        <v>36</v>
      </c>
      <c r="G813" s="2" t="s">
        <v>43</v>
      </c>
      <c r="H813" s="3">
        <v>53638</v>
      </c>
      <c r="I813" s="3">
        <v>1523</v>
      </c>
      <c r="J813" s="2" t="s">
        <v>282</v>
      </c>
      <c r="K813" t="s">
        <v>42</v>
      </c>
      <c r="L813" t="s">
        <v>39</v>
      </c>
      <c r="M813" t="s">
        <v>40</v>
      </c>
      <c r="O813" t="s">
        <v>297</v>
      </c>
      <c r="P813">
        <v>45502</v>
      </c>
      <c r="S813" s="6">
        <v>6053.61</v>
      </c>
      <c r="T813" t="s">
        <v>254</v>
      </c>
      <c r="W813" s="7">
        <v>710</v>
      </c>
      <c r="AI813" t="s">
        <v>255</v>
      </c>
      <c r="AJ813" t="s">
        <v>262</v>
      </c>
      <c r="AK813">
        <v>8.5262112676056336</v>
      </c>
    </row>
    <row r="814" spans="1:37" x14ac:dyDescent="0.35">
      <c r="A814">
        <v>7</v>
      </c>
      <c r="B814">
        <v>2024</v>
      </c>
      <c r="C814" t="s">
        <v>33</v>
      </c>
      <c r="D814" t="s">
        <v>34</v>
      </c>
      <c r="E814" t="s">
        <v>42</v>
      </c>
      <c r="F814" s="3" t="s">
        <v>36</v>
      </c>
      <c r="G814" s="2" t="s">
        <v>43</v>
      </c>
      <c r="H814" s="3">
        <v>53638</v>
      </c>
      <c r="I814" s="3">
        <v>1905</v>
      </c>
      <c r="J814" s="2" t="s">
        <v>291</v>
      </c>
      <c r="K814" t="s">
        <v>42</v>
      </c>
      <c r="L814" t="s">
        <v>39</v>
      </c>
      <c r="M814" t="s">
        <v>40</v>
      </c>
      <c r="O814" t="s">
        <v>297</v>
      </c>
      <c r="P814">
        <v>45502</v>
      </c>
      <c r="S814" s="6">
        <v>1174.47</v>
      </c>
      <c r="T814" t="s">
        <v>254</v>
      </c>
      <c r="W814" s="7">
        <v>130</v>
      </c>
      <c r="AI814" t="s">
        <v>255</v>
      </c>
      <c r="AJ814" t="s">
        <v>262</v>
      </c>
      <c r="AK814">
        <v>9.0343846153846155</v>
      </c>
    </row>
    <row r="815" spans="1:37" x14ac:dyDescent="0.35">
      <c r="A815">
        <v>7</v>
      </c>
      <c r="B815">
        <v>2024</v>
      </c>
      <c r="C815" t="s">
        <v>33</v>
      </c>
      <c r="D815" t="s">
        <v>34</v>
      </c>
      <c r="E815" t="s">
        <v>42</v>
      </c>
      <c r="F815" s="3" t="s">
        <v>36</v>
      </c>
      <c r="G815" s="2" t="s">
        <v>43</v>
      </c>
      <c r="H815" s="3">
        <v>53638</v>
      </c>
      <c r="I815" s="3">
        <v>1905</v>
      </c>
      <c r="J815" s="2" t="s">
        <v>291</v>
      </c>
      <c r="K815" t="s">
        <v>42</v>
      </c>
      <c r="L815" t="s">
        <v>39</v>
      </c>
      <c r="M815" t="s">
        <v>40</v>
      </c>
      <c r="O815" t="s">
        <v>297</v>
      </c>
      <c r="P815">
        <v>45502</v>
      </c>
      <c r="S815" s="6">
        <v>10389.56</v>
      </c>
      <c r="T815" t="s">
        <v>254</v>
      </c>
      <c r="W815" s="7">
        <v>1150</v>
      </c>
      <c r="AI815" t="s">
        <v>255</v>
      </c>
      <c r="AJ815" t="s">
        <v>262</v>
      </c>
      <c r="AK815">
        <v>9.0343999999999998</v>
      </c>
    </row>
    <row r="816" spans="1:37" x14ac:dyDescent="0.35">
      <c r="A816">
        <v>8</v>
      </c>
      <c r="B816">
        <v>2024</v>
      </c>
      <c r="C816" t="s">
        <v>33</v>
      </c>
      <c r="D816" t="s">
        <v>34</v>
      </c>
      <c r="E816" t="s">
        <v>456</v>
      </c>
      <c r="F816" s="3" t="s">
        <v>36</v>
      </c>
      <c r="G816" s="2" t="s">
        <v>457</v>
      </c>
      <c r="H816" s="3">
        <v>53841</v>
      </c>
      <c r="I816" s="3">
        <v>3334</v>
      </c>
      <c r="J816" s="2" t="s">
        <v>458</v>
      </c>
      <c r="K816" t="s">
        <v>456</v>
      </c>
      <c r="L816" t="s">
        <v>39</v>
      </c>
      <c r="M816" t="s">
        <v>459</v>
      </c>
      <c r="O816" t="s">
        <v>34</v>
      </c>
      <c r="P816">
        <v>45511</v>
      </c>
      <c r="S816" s="6">
        <v>32870.47</v>
      </c>
      <c r="T816" t="s">
        <v>254</v>
      </c>
      <c r="U816">
        <v>260</v>
      </c>
      <c r="W816" s="7">
        <v>2982</v>
      </c>
      <c r="AI816" t="s">
        <v>456</v>
      </c>
      <c r="AJ816" t="s">
        <v>258</v>
      </c>
      <c r="AK816">
        <v>11.022961099932932</v>
      </c>
    </row>
    <row r="817" spans="1:37" x14ac:dyDescent="0.35">
      <c r="A817">
        <v>8</v>
      </c>
      <c r="B817">
        <v>2024</v>
      </c>
      <c r="C817" t="s">
        <v>33</v>
      </c>
      <c r="D817" t="s">
        <v>34</v>
      </c>
      <c r="E817" t="s">
        <v>116</v>
      </c>
      <c r="F817" s="3" t="s">
        <v>36</v>
      </c>
      <c r="G817" s="2" t="s">
        <v>50</v>
      </c>
      <c r="H817" s="3">
        <v>54041</v>
      </c>
      <c r="I817" s="3">
        <v>1422</v>
      </c>
      <c r="J817" s="2" t="s">
        <v>339</v>
      </c>
      <c r="K817" t="s">
        <v>116</v>
      </c>
      <c r="L817" t="s">
        <v>39</v>
      </c>
      <c r="M817" t="s">
        <v>459</v>
      </c>
      <c r="O817" t="s">
        <v>34</v>
      </c>
      <c r="P817">
        <v>45524</v>
      </c>
      <c r="S817" s="6">
        <v>7935.47</v>
      </c>
      <c r="T817" t="s">
        <v>254</v>
      </c>
      <c r="U817">
        <v>240</v>
      </c>
      <c r="W817" s="7">
        <v>517</v>
      </c>
      <c r="AI817" t="s">
        <v>116</v>
      </c>
      <c r="AJ817" t="s">
        <v>258</v>
      </c>
      <c r="AK817">
        <v>15.349071566731142</v>
      </c>
    </row>
    <row r="818" spans="1:37" x14ac:dyDescent="0.35">
      <c r="A818">
        <v>8</v>
      </c>
      <c r="B818">
        <v>2024</v>
      </c>
      <c r="C818" t="s">
        <v>33</v>
      </c>
      <c r="D818" t="s">
        <v>34</v>
      </c>
      <c r="E818" t="s">
        <v>116</v>
      </c>
      <c r="F818" s="3" t="s">
        <v>36</v>
      </c>
      <c r="G818" s="2" t="s">
        <v>50</v>
      </c>
      <c r="H818" s="3">
        <v>54041</v>
      </c>
      <c r="I818" s="3">
        <v>3378</v>
      </c>
      <c r="J818" s="2" t="s">
        <v>460</v>
      </c>
      <c r="K818" t="s">
        <v>116</v>
      </c>
      <c r="L818" t="s">
        <v>39</v>
      </c>
      <c r="M818" t="s">
        <v>459</v>
      </c>
      <c r="O818" t="s">
        <v>34</v>
      </c>
      <c r="P818">
        <v>45524</v>
      </c>
      <c r="S818" s="6">
        <v>14336.2</v>
      </c>
      <c r="T818" t="s">
        <v>254</v>
      </c>
      <c r="U818">
        <v>370</v>
      </c>
      <c r="W818" s="7">
        <v>545</v>
      </c>
      <c r="AI818" t="s">
        <v>116</v>
      </c>
      <c r="AJ818" t="s">
        <v>258</v>
      </c>
      <c r="AK818">
        <v>26.304954128440368</v>
      </c>
    </row>
    <row r="819" spans="1:37" x14ac:dyDescent="0.35">
      <c r="A819">
        <v>8</v>
      </c>
      <c r="B819">
        <v>2024</v>
      </c>
      <c r="C819" t="s">
        <v>33</v>
      </c>
      <c r="D819" t="s">
        <v>34</v>
      </c>
      <c r="E819" t="s">
        <v>116</v>
      </c>
      <c r="F819" s="3" t="s">
        <v>36</v>
      </c>
      <c r="G819" s="2" t="s">
        <v>50</v>
      </c>
      <c r="H819" s="3">
        <v>54041</v>
      </c>
      <c r="I819" s="3">
        <v>3378</v>
      </c>
      <c r="J819" s="2" t="s">
        <v>460</v>
      </c>
      <c r="K819" t="s">
        <v>116</v>
      </c>
      <c r="L819" t="s">
        <v>39</v>
      </c>
      <c r="M819" t="s">
        <v>459</v>
      </c>
      <c r="O819" t="s">
        <v>34</v>
      </c>
      <c r="P819">
        <v>45524</v>
      </c>
      <c r="S819" s="6">
        <v>1157.42</v>
      </c>
      <c r="T819" t="s">
        <v>254</v>
      </c>
      <c r="U819">
        <v>370</v>
      </c>
      <c r="W819" s="7">
        <v>44</v>
      </c>
      <c r="AI819" t="s">
        <v>116</v>
      </c>
      <c r="AJ819" t="s">
        <v>258</v>
      </c>
      <c r="AK819">
        <v>26.305000000000003</v>
      </c>
    </row>
    <row r="820" spans="1:37" x14ac:dyDescent="0.35">
      <c r="A820">
        <v>8</v>
      </c>
      <c r="B820">
        <v>2024</v>
      </c>
      <c r="C820" t="s">
        <v>33</v>
      </c>
      <c r="D820" t="s">
        <v>34</v>
      </c>
      <c r="E820" t="s">
        <v>116</v>
      </c>
      <c r="F820" s="3" t="s">
        <v>36</v>
      </c>
      <c r="G820" s="2" t="s">
        <v>50</v>
      </c>
      <c r="H820" s="3">
        <v>54041</v>
      </c>
      <c r="I820" s="3">
        <v>1422</v>
      </c>
      <c r="J820" s="2" t="s">
        <v>339</v>
      </c>
      <c r="K820" t="s">
        <v>116</v>
      </c>
      <c r="L820" t="s">
        <v>39</v>
      </c>
      <c r="M820" t="s">
        <v>459</v>
      </c>
      <c r="O820" t="s">
        <v>34</v>
      </c>
      <c r="P820">
        <v>45524</v>
      </c>
      <c r="S820" s="6">
        <v>16960.72</v>
      </c>
      <c r="T820" t="s">
        <v>254</v>
      </c>
      <c r="U820">
        <v>240</v>
      </c>
      <c r="W820" s="7">
        <v>1105</v>
      </c>
      <c r="AI820" t="s">
        <v>116</v>
      </c>
      <c r="AJ820" t="s">
        <v>258</v>
      </c>
      <c r="AK820">
        <v>15.349067873303168</v>
      </c>
    </row>
    <row r="821" spans="1:37" x14ac:dyDescent="0.35">
      <c r="A821">
        <v>8</v>
      </c>
      <c r="B821">
        <v>2024</v>
      </c>
      <c r="C821" t="s">
        <v>33</v>
      </c>
      <c r="D821" t="s">
        <v>34</v>
      </c>
      <c r="E821" t="s">
        <v>116</v>
      </c>
      <c r="F821" s="3" t="s">
        <v>36</v>
      </c>
      <c r="G821" s="2" t="s">
        <v>50</v>
      </c>
      <c r="H821" s="3">
        <v>54041</v>
      </c>
      <c r="I821" s="3">
        <v>1419</v>
      </c>
      <c r="J821" s="2" t="s">
        <v>341</v>
      </c>
      <c r="K821" t="s">
        <v>116</v>
      </c>
      <c r="L821" t="s">
        <v>39</v>
      </c>
      <c r="M821" t="s">
        <v>459</v>
      </c>
      <c r="O821" t="s">
        <v>34</v>
      </c>
      <c r="P821">
        <v>45524</v>
      </c>
      <c r="S821" s="6">
        <v>30679.16</v>
      </c>
      <c r="T821" t="s">
        <v>254</v>
      </c>
      <c r="U821">
        <v>180</v>
      </c>
      <c r="W821" s="7">
        <v>2514</v>
      </c>
      <c r="AI821" t="s">
        <v>116</v>
      </c>
      <c r="AJ821" t="s">
        <v>258</v>
      </c>
      <c r="AK821">
        <v>12.20332537788385</v>
      </c>
    </row>
    <row r="822" spans="1:37" x14ac:dyDescent="0.35">
      <c r="A822">
        <v>8</v>
      </c>
      <c r="B822">
        <v>2024</v>
      </c>
      <c r="C822" t="s">
        <v>33</v>
      </c>
      <c r="D822" t="s">
        <v>34</v>
      </c>
      <c r="E822" t="s">
        <v>116</v>
      </c>
      <c r="F822" s="3" t="s">
        <v>36</v>
      </c>
      <c r="G822" s="2" t="s">
        <v>50</v>
      </c>
      <c r="H822" s="3">
        <v>54041</v>
      </c>
      <c r="I822" s="3">
        <v>1422</v>
      </c>
      <c r="J822" s="2" t="s">
        <v>339</v>
      </c>
      <c r="K822" t="s">
        <v>116</v>
      </c>
      <c r="L822" t="s">
        <v>39</v>
      </c>
      <c r="M822" t="s">
        <v>459</v>
      </c>
      <c r="O822" t="s">
        <v>34</v>
      </c>
      <c r="P822">
        <v>45524</v>
      </c>
      <c r="S822" s="6">
        <v>3254</v>
      </c>
      <c r="T822" t="s">
        <v>254</v>
      </c>
      <c r="U822">
        <v>240</v>
      </c>
      <c r="W822" s="7">
        <v>212</v>
      </c>
      <c r="AI822" t="s">
        <v>116</v>
      </c>
      <c r="AJ822" t="s">
        <v>258</v>
      </c>
      <c r="AK822">
        <v>15.349056603773585</v>
      </c>
    </row>
    <row r="823" spans="1:37" x14ac:dyDescent="0.35">
      <c r="A823">
        <v>8</v>
      </c>
      <c r="B823">
        <v>2024</v>
      </c>
      <c r="C823" t="s">
        <v>33</v>
      </c>
      <c r="D823" t="s">
        <v>34</v>
      </c>
      <c r="E823" t="s">
        <v>116</v>
      </c>
      <c r="F823" s="3" t="s">
        <v>36</v>
      </c>
      <c r="G823" s="2" t="s">
        <v>50</v>
      </c>
      <c r="H823" s="3">
        <v>54041</v>
      </c>
      <c r="I823" s="3">
        <v>1422</v>
      </c>
      <c r="J823" s="2" t="s">
        <v>339</v>
      </c>
      <c r="K823" t="s">
        <v>116</v>
      </c>
      <c r="L823" t="s">
        <v>39</v>
      </c>
      <c r="M823" t="s">
        <v>459</v>
      </c>
      <c r="O823" t="s">
        <v>34</v>
      </c>
      <c r="P823">
        <v>45524</v>
      </c>
      <c r="S823" s="6">
        <v>3161.91</v>
      </c>
      <c r="T823" t="s">
        <v>254</v>
      </c>
      <c r="U823">
        <v>240</v>
      </c>
      <c r="W823" s="7">
        <v>206</v>
      </c>
      <c r="AI823" t="s">
        <v>116</v>
      </c>
      <c r="AJ823" t="s">
        <v>258</v>
      </c>
      <c r="AK823">
        <v>15.349077669902911</v>
      </c>
    </row>
    <row r="824" spans="1:37" x14ac:dyDescent="0.35">
      <c r="A824">
        <v>8</v>
      </c>
      <c r="B824">
        <v>2024</v>
      </c>
      <c r="C824" t="s">
        <v>33</v>
      </c>
      <c r="D824" t="s">
        <v>34</v>
      </c>
      <c r="E824" t="s">
        <v>116</v>
      </c>
      <c r="F824" s="3" t="s">
        <v>36</v>
      </c>
      <c r="G824" s="2" t="s">
        <v>50</v>
      </c>
      <c r="H824" s="3">
        <v>54041</v>
      </c>
      <c r="I824" s="3">
        <v>1419</v>
      </c>
      <c r="J824" s="2" t="s">
        <v>341</v>
      </c>
      <c r="K824" t="s">
        <v>116</v>
      </c>
      <c r="L824" t="s">
        <v>39</v>
      </c>
      <c r="M824" t="s">
        <v>459</v>
      </c>
      <c r="O824" t="s">
        <v>34</v>
      </c>
      <c r="P824">
        <v>45524</v>
      </c>
      <c r="S824" s="6">
        <v>65434.23</v>
      </c>
      <c r="T824" t="s">
        <v>254</v>
      </c>
      <c r="U824">
        <v>180</v>
      </c>
      <c r="W824" s="7">
        <v>5362</v>
      </c>
      <c r="AI824" t="s">
        <v>116</v>
      </c>
      <c r="AJ824" t="s">
        <v>258</v>
      </c>
      <c r="AK824">
        <v>12.203325251771728</v>
      </c>
    </row>
    <row r="825" spans="1:37" x14ac:dyDescent="0.35">
      <c r="A825">
        <v>8</v>
      </c>
      <c r="B825">
        <v>2024</v>
      </c>
      <c r="C825" t="s">
        <v>33</v>
      </c>
      <c r="D825" t="s">
        <v>34</v>
      </c>
      <c r="E825" t="s">
        <v>453</v>
      </c>
      <c r="F825" s="3" t="s">
        <v>36</v>
      </c>
      <c r="G825" s="2" t="s">
        <v>50</v>
      </c>
      <c r="H825" s="3">
        <v>54121</v>
      </c>
      <c r="I825" s="3">
        <v>2000</v>
      </c>
      <c r="J825" s="2" t="s">
        <v>309</v>
      </c>
      <c r="K825" t="s">
        <v>453</v>
      </c>
      <c r="L825" t="s">
        <v>39</v>
      </c>
      <c r="M825" t="s">
        <v>459</v>
      </c>
      <c r="O825" t="s">
        <v>34</v>
      </c>
      <c r="P825">
        <v>45527</v>
      </c>
      <c r="S825" s="6">
        <v>29452.26</v>
      </c>
      <c r="T825" t="s">
        <v>254</v>
      </c>
      <c r="U825">
        <v>380</v>
      </c>
      <c r="W825" s="7">
        <v>1026</v>
      </c>
      <c r="AI825" t="s">
        <v>453</v>
      </c>
      <c r="AJ825" t="s">
        <v>258</v>
      </c>
      <c r="AK825">
        <v>28.705906432748538</v>
      </c>
    </row>
    <row r="826" spans="1:37" x14ac:dyDescent="0.35">
      <c r="A826">
        <v>8</v>
      </c>
      <c r="B826">
        <v>2024</v>
      </c>
      <c r="C826" t="s">
        <v>33</v>
      </c>
      <c r="D826" t="s">
        <v>34</v>
      </c>
      <c r="E826" t="s">
        <v>453</v>
      </c>
      <c r="F826" s="3" t="s">
        <v>36</v>
      </c>
      <c r="G826" s="2" t="s">
        <v>50</v>
      </c>
      <c r="H826" s="3">
        <v>54121</v>
      </c>
      <c r="I826" s="3">
        <v>2536</v>
      </c>
      <c r="J826" s="2" t="s">
        <v>393</v>
      </c>
      <c r="K826" t="s">
        <v>453</v>
      </c>
      <c r="L826" t="s">
        <v>39</v>
      </c>
      <c r="M826" t="s">
        <v>459</v>
      </c>
      <c r="O826" t="s">
        <v>34</v>
      </c>
      <c r="P826">
        <v>45527</v>
      </c>
      <c r="S826" s="6">
        <v>36431.46</v>
      </c>
      <c r="T826" t="s">
        <v>254</v>
      </c>
      <c r="U826">
        <v>440</v>
      </c>
      <c r="W826" s="7">
        <v>1011</v>
      </c>
      <c r="AI826" t="s">
        <v>453</v>
      </c>
      <c r="AJ826" t="s">
        <v>258</v>
      </c>
      <c r="AK826">
        <v>36.035074183976263</v>
      </c>
    </row>
    <row r="827" spans="1:37" x14ac:dyDescent="0.35">
      <c r="A827">
        <v>8</v>
      </c>
      <c r="B827">
        <v>2024</v>
      </c>
      <c r="C827" t="s">
        <v>33</v>
      </c>
      <c r="D827" t="s">
        <v>34</v>
      </c>
      <c r="E827" t="s">
        <v>453</v>
      </c>
      <c r="F827" s="3" t="s">
        <v>36</v>
      </c>
      <c r="G827" s="2" t="s">
        <v>50</v>
      </c>
      <c r="H827" s="3">
        <v>54121</v>
      </c>
      <c r="I827" s="3">
        <v>3275</v>
      </c>
      <c r="J827" s="2" t="s">
        <v>461</v>
      </c>
      <c r="K827" t="s">
        <v>453</v>
      </c>
      <c r="L827" t="s">
        <v>39</v>
      </c>
      <c r="M827" t="s">
        <v>459</v>
      </c>
      <c r="O827" t="s">
        <v>34</v>
      </c>
      <c r="P827">
        <v>45527</v>
      </c>
      <c r="S827" s="6">
        <v>13556.18</v>
      </c>
      <c r="T827" t="s">
        <v>254</v>
      </c>
      <c r="U827">
        <v>350</v>
      </c>
      <c r="W827" s="7">
        <v>514</v>
      </c>
      <c r="AI827" t="s">
        <v>453</v>
      </c>
      <c r="AJ827" t="s">
        <v>258</v>
      </c>
      <c r="AK827">
        <v>26.373891050583659</v>
      </c>
    </row>
    <row r="828" spans="1:37" x14ac:dyDescent="0.35">
      <c r="A828">
        <v>8</v>
      </c>
      <c r="B828">
        <v>2024</v>
      </c>
      <c r="C828" t="s">
        <v>33</v>
      </c>
      <c r="D828" t="s">
        <v>34</v>
      </c>
      <c r="E828" t="s">
        <v>453</v>
      </c>
      <c r="F828" s="3" t="s">
        <v>36</v>
      </c>
      <c r="G828" s="2" t="s">
        <v>50</v>
      </c>
      <c r="H828" s="3">
        <v>54121</v>
      </c>
      <c r="I828" s="3">
        <v>3276</v>
      </c>
      <c r="J828" s="2" t="s">
        <v>454</v>
      </c>
      <c r="K828" t="s">
        <v>453</v>
      </c>
      <c r="L828" t="s">
        <v>39</v>
      </c>
      <c r="M828" t="s">
        <v>459</v>
      </c>
      <c r="O828" t="s">
        <v>34</v>
      </c>
      <c r="P828">
        <v>45527</v>
      </c>
      <c r="S828" s="6">
        <v>30362.74</v>
      </c>
      <c r="T828" t="s">
        <v>254</v>
      </c>
      <c r="U828">
        <v>380</v>
      </c>
      <c r="W828" s="7">
        <v>882</v>
      </c>
      <c r="AI828" t="s">
        <v>453</v>
      </c>
      <c r="AJ828" t="s">
        <v>258</v>
      </c>
      <c r="AK828">
        <v>34.424875283446717</v>
      </c>
    </row>
    <row r="829" spans="1:37" x14ac:dyDescent="0.35">
      <c r="A829">
        <v>8</v>
      </c>
      <c r="B829">
        <v>2024</v>
      </c>
      <c r="C829" t="s">
        <v>33</v>
      </c>
      <c r="D829" t="s">
        <v>34</v>
      </c>
      <c r="E829" t="s">
        <v>453</v>
      </c>
      <c r="F829" s="3" t="s">
        <v>36</v>
      </c>
      <c r="G829" s="2" t="s">
        <v>50</v>
      </c>
      <c r="H829" s="3">
        <v>54121</v>
      </c>
      <c r="I829" s="3">
        <v>3397</v>
      </c>
      <c r="J829" s="2" t="s">
        <v>462</v>
      </c>
      <c r="K829" t="s">
        <v>453</v>
      </c>
      <c r="L829" t="s">
        <v>39</v>
      </c>
      <c r="M829" t="s">
        <v>459</v>
      </c>
      <c r="O829" t="s">
        <v>34</v>
      </c>
      <c r="P829">
        <v>45527</v>
      </c>
      <c r="S829" s="6">
        <v>14205.26</v>
      </c>
      <c r="T829" t="s">
        <v>254</v>
      </c>
      <c r="U829">
        <v>380</v>
      </c>
      <c r="W829" s="7">
        <v>492</v>
      </c>
      <c r="AI829" t="s">
        <v>453</v>
      </c>
      <c r="AJ829" t="s">
        <v>258</v>
      </c>
      <c r="AK829">
        <v>28.872479674796747</v>
      </c>
    </row>
    <row r="830" spans="1:37" x14ac:dyDescent="0.35">
      <c r="A830">
        <v>8</v>
      </c>
      <c r="B830">
        <v>2024</v>
      </c>
      <c r="C830" t="s">
        <v>33</v>
      </c>
      <c r="D830" t="s">
        <v>34</v>
      </c>
      <c r="E830" t="s">
        <v>453</v>
      </c>
      <c r="F830" s="3" t="s">
        <v>36</v>
      </c>
      <c r="G830" s="2" t="s">
        <v>50</v>
      </c>
      <c r="H830" s="3">
        <v>54121</v>
      </c>
      <c r="I830" s="3">
        <v>1904</v>
      </c>
      <c r="J830" s="2" t="s">
        <v>294</v>
      </c>
      <c r="K830" t="s">
        <v>453</v>
      </c>
      <c r="L830" t="s">
        <v>39</v>
      </c>
      <c r="M830" t="s">
        <v>459</v>
      </c>
      <c r="O830" t="s">
        <v>34</v>
      </c>
      <c r="P830">
        <v>45527</v>
      </c>
      <c r="S830" s="6">
        <v>11221.4</v>
      </c>
      <c r="T830" t="s">
        <v>254</v>
      </c>
      <c r="U830">
        <v>450</v>
      </c>
      <c r="W830" s="7">
        <v>470</v>
      </c>
      <c r="AI830" t="s">
        <v>453</v>
      </c>
      <c r="AJ830" t="s">
        <v>258</v>
      </c>
      <c r="AK830">
        <v>23.875319148936171</v>
      </c>
    </row>
    <row r="831" spans="1:37" x14ac:dyDescent="0.35">
      <c r="A831">
        <v>8</v>
      </c>
      <c r="B831">
        <v>2024</v>
      </c>
      <c r="C831" t="s">
        <v>33</v>
      </c>
      <c r="D831" t="s">
        <v>34</v>
      </c>
      <c r="E831" t="s">
        <v>463</v>
      </c>
      <c r="F831" s="3" t="s">
        <v>36</v>
      </c>
      <c r="G831" s="2" t="s">
        <v>464</v>
      </c>
      <c r="H831" s="3">
        <v>54252</v>
      </c>
      <c r="I831" s="3">
        <v>3384</v>
      </c>
      <c r="J831" s="2" t="s">
        <v>465</v>
      </c>
      <c r="K831" t="s">
        <v>463</v>
      </c>
      <c r="L831" t="s">
        <v>39</v>
      </c>
      <c r="M831" t="s">
        <v>459</v>
      </c>
      <c r="O831" t="s">
        <v>34</v>
      </c>
      <c r="P831">
        <v>45534</v>
      </c>
      <c r="S831" s="6">
        <v>19481.830000000002</v>
      </c>
      <c r="T831" t="s">
        <v>254</v>
      </c>
      <c r="U831">
        <v>280</v>
      </c>
      <c r="W831" s="7">
        <v>1192</v>
      </c>
      <c r="AI831" t="s">
        <v>463</v>
      </c>
      <c r="AJ831" t="s">
        <v>258</v>
      </c>
      <c r="AK831">
        <v>16.343817114093962</v>
      </c>
    </row>
    <row r="832" spans="1:37" x14ac:dyDescent="0.35">
      <c r="A832">
        <v>8</v>
      </c>
      <c r="B832">
        <v>2024</v>
      </c>
      <c r="C832" t="s">
        <v>33</v>
      </c>
      <c r="D832" t="s">
        <v>34</v>
      </c>
      <c r="E832" t="s">
        <v>463</v>
      </c>
      <c r="F832" s="3" t="s">
        <v>36</v>
      </c>
      <c r="G832" s="2" t="s">
        <v>464</v>
      </c>
      <c r="H832" s="3">
        <v>54252</v>
      </c>
      <c r="I832" s="3">
        <v>3402</v>
      </c>
      <c r="J832" s="2" t="s">
        <v>466</v>
      </c>
      <c r="K832" t="s">
        <v>463</v>
      </c>
      <c r="L832" t="s">
        <v>39</v>
      </c>
      <c r="M832" t="s">
        <v>459</v>
      </c>
      <c r="O832" t="s">
        <v>34</v>
      </c>
      <c r="P832">
        <v>45534</v>
      </c>
      <c r="S832" s="6">
        <v>8845.0499999999993</v>
      </c>
      <c r="T832" t="s">
        <v>254</v>
      </c>
      <c r="U832">
        <v>180</v>
      </c>
      <c r="W832" s="7">
        <v>1154</v>
      </c>
      <c r="AI832" t="s">
        <v>463</v>
      </c>
      <c r="AJ832" t="s">
        <v>258</v>
      </c>
      <c r="AK832">
        <v>7.6646880415944532</v>
      </c>
    </row>
    <row r="833" spans="1:37" x14ac:dyDescent="0.35">
      <c r="A833">
        <v>8</v>
      </c>
      <c r="B833">
        <v>2024</v>
      </c>
      <c r="C833" t="s">
        <v>33</v>
      </c>
      <c r="D833" t="s">
        <v>34</v>
      </c>
      <c r="E833" t="s">
        <v>463</v>
      </c>
      <c r="F833" s="3" t="s">
        <v>36</v>
      </c>
      <c r="G833" s="2" t="s">
        <v>464</v>
      </c>
      <c r="H833" s="3">
        <v>54252</v>
      </c>
      <c r="I833" s="3">
        <v>3401</v>
      </c>
      <c r="J833" s="2" t="s">
        <v>467</v>
      </c>
      <c r="K833" t="s">
        <v>463</v>
      </c>
      <c r="L833" t="s">
        <v>39</v>
      </c>
      <c r="M833" t="s">
        <v>459</v>
      </c>
      <c r="O833" t="s">
        <v>34</v>
      </c>
      <c r="P833">
        <v>45534</v>
      </c>
      <c r="S833" s="6">
        <v>7304.45</v>
      </c>
      <c r="T833" t="s">
        <v>254</v>
      </c>
      <c r="U833">
        <v>180</v>
      </c>
      <c r="W833" s="7">
        <v>953</v>
      </c>
      <c r="AI833" t="s">
        <v>463</v>
      </c>
      <c r="AJ833" t="s">
        <v>258</v>
      </c>
      <c r="AK833">
        <v>7.6646904512067158</v>
      </c>
    </row>
    <row r="834" spans="1:37" x14ac:dyDescent="0.35">
      <c r="A834">
        <v>8</v>
      </c>
      <c r="B834">
        <v>2024</v>
      </c>
      <c r="C834" t="s">
        <v>33</v>
      </c>
      <c r="D834" t="s">
        <v>34</v>
      </c>
      <c r="E834" t="s">
        <v>463</v>
      </c>
      <c r="F834" s="3" t="s">
        <v>36</v>
      </c>
      <c r="G834" s="2" t="s">
        <v>464</v>
      </c>
      <c r="H834" s="3">
        <v>54252</v>
      </c>
      <c r="I834" s="3">
        <v>3400</v>
      </c>
      <c r="J834" s="2" t="s">
        <v>468</v>
      </c>
      <c r="K834" t="s">
        <v>463</v>
      </c>
      <c r="L834" t="s">
        <v>39</v>
      </c>
      <c r="M834" t="s">
        <v>459</v>
      </c>
      <c r="O834" t="s">
        <v>34</v>
      </c>
      <c r="P834">
        <v>45534</v>
      </c>
      <c r="S834" s="6">
        <v>26685.29</v>
      </c>
      <c r="T834" t="s">
        <v>254</v>
      </c>
      <c r="U834">
        <v>300</v>
      </c>
      <c r="W834" s="7">
        <v>1308</v>
      </c>
      <c r="AI834" t="s">
        <v>463</v>
      </c>
      <c r="AJ834" t="s">
        <v>258</v>
      </c>
      <c r="AK834">
        <v>20.401597859327218</v>
      </c>
    </row>
    <row r="835" spans="1:37" x14ac:dyDescent="0.35">
      <c r="A835">
        <v>8</v>
      </c>
      <c r="B835">
        <v>2024</v>
      </c>
      <c r="C835" t="s">
        <v>33</v>
      </c>
      <c r="D835" t="s">
        <v>34</v>
      </c>
      <c r="E835" t="s">
        <v>463</v>
      </c>
      <c r="F835" s="3" t="s">
        <v>36</v>
      </c>
      <c r="G835" s="2" t="s">
        <v>464</v>
      </c>
      <c r="H835" s="3">
        <v>54252</v>
      </c>
      <c r="I835" s="3">
        <v>3386</v>
      </c>
      <c r="J835" s="2" t="s">
        <v>469</v>
      </c>
      <c r="K835" t="s">
        <v>463</v>
      </c>
      <c r="L835" t="s">
        <v>39</v>
      </c>
      <c r="M835" t="s">
        <v>459</v>
      </c>
      <c r="O835" t="s">
        <v>34</v>
      </c>
      <c r="P835">
        <v>45534</v>
      </c>
      <c r="S835" s="6">
        <v>10997.25</v>
      </c>
      <c r="T835" t="s">
        <v>254</v>
      </c>
      <c r="U835">
        <v>180</v>
      </c>
      <c r="W835" s="7">
        <v>2121</v>
      </c>
      <c r="AI835" t="s">
        <v>463</v>
      </c>
      <c r="AJ835" t="s">
        <v>258</v>
      </c>
      <c r="AK835">
        <v>5.1849363507779351</v>
      </c>
    </row>
    <row r="836" spans="1:37" x14ac:dyDescent="0.35">
      <c r="A836">
        <v>8</v>
      </c>
      <c r="B836">
        <v>2024</v>
      </c>
      <c r="C836" t="s">
        <v>33</v>
      </c>
      <c r="D836" t="s">
        <v>34</v>
      </c>
      <c r="E836" t="s">
        <v>463</v>
      </c>
      <c r="F836" s="3" t="s">
        <v>36</v>
      </c>
      <c r="G836" s="2" t="s">
        <v>464</v>
      </c>
      <c r="H836" s="3">
        <v>54252</v>
      </c>
      <c r="I836" s="3">
        <v>3385</v>
      </c>
      <c r="J836" s="2" t="s">
        <v>470</v>
      </c>
      <c r="K836" t="s">
        <v>463</v>
      </c>
      <c r="L836" t="s">
        <v>39</v>
      </c>
      <c r="M836" t="s">
        <v>459</v>
      </c>
      <c r="O836" t="s">
        <v>34</v>
      </c>
      <c r="P836">
        <v>45534</v>
      </c>
      <c r="S836" s="6">
        <v>12731.27</v>
      </c>
      <c r="T836" t="s">
        <v>254</v>
      </c>
      <c r="U836">
        <v>260</v>
      </c>
      <c r="W836" s="7">
        <v>1255</v>
      </c>
      <c r="AI836" t="s">
        <v>463</v>
      </c>
      <c r="AJ836" t="s">
        <v>258</v>
      </c>
      <c r="AK836">
        <v>10.144438247011953</v>
      </c>
    </row>
    <row r="837" spans="1:37" x14ac:dyDescent="0.35">
      <c r="A837">
        <v>8</v>
      </c>
      <c r="B837">
        <v>2024</v>
      </c>
      <c r="C837" t="s">
        <v>33</v>
      </c>
      <c r="D837" t="s">
        <v>34</v>
      </c>
      <c r="E837" t="s">
        <v>463</v>
      </c>
      <c r="F837" s="3" t="s">
        <v>36</v>
      </c>
      <c r="G837" s="2" t="s">
        <v>464</v>
      </c>
      <c r="H837" s="3">
        <v>54252</v>
      </c>
      <c r="I837" s="3">
        <v>3357</v>
      </c>
      <c r="J837" s="2" t="s">
        <v>471</v>
      </c>
      <c r="K837" t="s">
        <v>463</v>
      </c>
      <c r="L837" t="s">
        <v>39</v>
      </c>
      <c r="M837" t="s">
        <v>459</v>
      </c>
      <c r="O837" t="s">
        <v>34</v>
      </c>
      <c r="P837">
        <v>45534</v>
      </c>
      <c r="S837" s="6">
        <v>18823.57</v>
      </c>
      <c r="T837" t="s">
        <v>254</v>
      </c>
      <c r="U837">
        <v>180</v>
      </c>
      <c r="W837" s="7">
        <v>2672</v>
      </c>
      <c r="AI837" t="s">
        <v>463</v>
      </c>
      <c r="AJ837" t="s">
        <v>258</v>
      </c>
      <c r="AK837">
        <v>7.0447492514970058</v>
      </c>
    </row>
    <row r="838" spans="1:37" x14ac:dyDescent="0.35">
      <c r="A838">
        <v>8</v>
      </c>
      <c r="B838">
        <v>2024</v>
      </c>
      <c r="C838" t="s">
        <v>33</v>
      </c>
      <c r="D838" t="s">
        <v>34</v>
      </c>
      <c r="E838" t="s">
        <v>463</v>
      </c>
      <c r="F838" s="3" t="s">
        <v>36</v>
      </c>
      <c r="G838" s="2" t="s">
        <v>464</v>
      </c>
      <c r="H838" s="3">
        <v>54252</v>
      </c>
      <c r="I838" s="3">
        <v>3383</v>
      </c>
      <c r="J838" s="2" t="s">
        <v>472</v>
      </c>
      <c r="K838" t="s">
        <v>463</v>
      </c>
      <c r="L838" t="s">
        <v>39</v>
      </c>
      <c r="M838" t="s">
        <v>459</v>
      </c>
      <c r="O838" t="s">
        <v>34</v>
      </c>
      <c r="P838">
        <v>45534</v>
      </c>
      <c r="S838" s="6">
        <v>27175.15</v>
      </c>
      <c r="T838" t="s">
        <v>254</v>
      </c>
      <c r="U838">
        <v>260</v>
      </c>
      <c r="W838" s="7">
        <v>2026</v>
      </c>
      <c r="AI838" t="s">
        <v>463</v>
      </c>
      <c r="AJ838" t="s">
        <v>258</v>
      </c>
      <c r="AK838">
        <v>13.413203356367227</v>
      </c>
    </row>
    <row r="839" spans="1:37" x14ac:dyDescent="0.35">
      <c r="A839">
        <v>8</v>
      </c>
      <c r="B839">
        <v>2024</v>
      </c>
      <c r="C839" t="s">
        <v>33</v>
      </c>
      <c r="D839" t="s">
        <v>34</v>
      </c>
      <c r="E839" t="s">
        <v>463</v>
      </c>
      <c r="F839" s="3" t="s">
        <v>36</v>
      </c>
      <c r="G839" s="2" t="s">
        <v>464</v>
      </c>
      <c r="H839" s="3">
        <v>54252</v>
      </c>
      <c r="I839" s="3">
        <v>3382</v>
      </c>
      <c r="J839" s="2" t="s">
        <v>473</v>
      </c>
      <c r="K839" t="s">
        <v>463</v>
      </c>
      <c r="L839" t="s">
        <v>39</v>
      </c>
      <c r="M839" t="s">
        <v>459</v>
      </c>
      <c r="O839" t="s">
        <v>34</v>
      </c>
      <c r="P839">
        <v>45534</v>
      </c>
      <c r="S839" s="6">
        <v>25455.11</v>
      </c>
      <c r="T839" t="s">
        <v>254</v>
      </c>
      <c r="U839">
        <v>240</v>
      </c>
      <c r="W839" s="7">
        <v>1981</v>
      </c>
      <c r="AI839" t="s">
        <v>463</v>
      </c>
      <c r="AJ839" t="s">
        <v>258</v>
      </c>
      <c r="AK839">
        <v>12.849626451287229</v>
      </c>
    </row>
    <row r="840" spans="1:37" x14ac:dyDescent="0.35">
      <c r="A840">
        <v>8</v>
      </c>
      <c r="B840">
        <v>2024</v>
      </c>
      <c r="C840" t="s">
        <v>33</v>
      </c>
      <c r="D840" t="s">
        <v>34</v>
      </c>
      <c r="E840" t="s">
        <v>463</v>
      </c>
      <c r="F840" s="3" t="s">
        <v>36</v>
      </c>
      <c r="G840" s="2" t="s">
        <v>464</v>
      </c>
      <c r="H840" s="3">
        <v>54252</v>
      </c>
      <c r="I840" s="3">
        <v>3374</v>
      </c>
      <c r="J840" s="2" t="s">
        <v>474</v>
      </c>
      <c r="K840" t="s">
        <v>463</v>
      </c>
      <c r="L840" t="s">
        <v>39</v>
      </c>
      <c r="M840" t="s">
        <v>459</v>
      </c>
      <c r="O840" t="s">
        <v>34</v>
      </c>
      <c r="P840">
        <v>45534</v>
      </c>
      <c r="S840" s="6">
        <v>26714.37</v>
      </c>
      <c r="T840" t="s">
        <v>254</v>
      </c>
      <c r="U840">
        <v>240</v>
      </c>
      <c r="W840" s="7">
        <v>2079</v>
      </c>
      <c r="AI840" t="s">
        <v>463</v>
      </c>
      <c r="AJ840" t="s">
        <v>258</v>
      </c>
      <c r="AK840">
        <v>12.84962481962482</v>
      </c>
    </row>
    <row r="841" spans="1:37" x14ac:dyDescent="0.35">
      <c r="A841">
        <v>8</v>
      </c>
      <c r="B841">
        <v>2024</v>
      </c>
      <c r="C841" t="s">
        <v>33</v>
      </c>
      <c r="D841" t="s">
        <v>34</v>
      </c>
      <c r="E841" t="s">
        <v>463</v>
      </c>
      <c r="F841" s="3" t="s">
        <v>36</v>
      </c>
      <c r="G841" s="2" t="s">
        <v>464</v>
      </c>
      <c r="H841" s="3">
        <v>54252</v>
      </c>
      <c r="I841" s="3">
        <v>3360</v>
      </c>
      <c r="J841" s="2" t="s">
        <v>475</v>
      </c>
      <c r="K841" t="s">
        <v>463</v>
      </c>
      <c r="L841" t="s">
        <v>39</v>
      </c>
      <c r="M841" t="s">
        <v>459</v>
      </c>
      <c r="O841" t="s">
        <v>34</v>
      </c>
      <c r="P841">
        <v>45534</v>
      </c>
      <c r="S841" s="6">
        <v>20944.04</v>
      </c>
      <c r="T841" t="s">
        <v>254</v>
      </c>
      <c r="U841">
        <v>180</v>
      </c>
      <c r="W841" s="7">
        <v>2973</v>
      </c>
      <c r="AI841" t="s">
        <v>463</v>
      </c>
      <c r="AJ841" t="s">
        <v>258</v>
      </c>
      <c r="AK841">
        <v>7.0447494113689881</v>
      </c>
    </row>
    <row r="842" spans="1:37" x14ac:dyDescent="0.35">
      <c r="A842">
        <v>8</v>
      </c>
      <c r="B842">
        <v>2024</v>
      </c>
      <c r="C842" t="s">
        <v>33</v>
      </c>
      <c r="D842" t="s">
        <v>34</v>
      </c>
      <c r="E842" t="s">
        <v>463</v>
      </c>
      <c r="F842" s="3" t="s">
        <v>36</v>
      </c>
      <c r="G842" s="2" t="s">
        <v>464</v>
      </c>
      <c r="H842" s="3">
        <v>54252</v>
      </c>
      <c r="I842" s="3">
        <v>3358</v>
      </c>
      <c r="J842" s="2" t="s">
        <v>476</v>
      </c>
      <c r="K842" t="s">
        <v>463</v>
      </c>
      <c r="L842" t="s">
        <v>39</v>
      </c>
      <c r="M842" t="s">
        <v>459</v>
      </c>
      <c r="O842" t="s">
        <v>34</v>
      </c>
      <c r="P842">
        <v>45534</v>
      </c>
      <c r="S842" s="6">
        <v>23292.99</v>
      </c>
      <c r="T842" t="s">
        <v>254</v>
      </c>
      <c r="U842">
        <v>180</v>
      </c>
      <c r="W842" s="7">
        <v>3039</v>
      </c>
      <c r="AI842" t="s">
        <v>463</v>
      </c>
      <c r="AJ842" t="s">
        <v>258</v>
      </c>
      <c r="AK842">
        <v>7.664689042448174</v>
      </c>
    </row>
    <row r="843" spans="1:37" x14ac:dyDescent="0.35">
      <c r="A843">
        <v>8</v>
      </c>
      <c r="B843">
        <v>2024</v>
      </c>
      <c r="C843" t="s">
        <v>33</v>
      </c>
      <c r="D843" t="s">
        <v>34</v>
      </c>
      <c r="E843" t="s">
        <v>42</v>
      </c>
      <c r="F843" s="3" t="s">
        <v>36</v>
      </c>
      <c r="G843" s="2" t="s">
        <v>43</v>
      </c>
      <c r="H843" s="3">
        <v>54260</v>
      </c>
      <c r="I843" s="3">
        <v>2157</v>
      </c>
      <c r="J843" s="2" t="s">
        <v>337</v>
      </c>
      <c r="K843" t="s">
        <v>42</v>
      </c>
      <c r="L843" t="s">
        <v>39</v>
      </c>
      <c r="M843" t="s">
        <v>459</v>
      </c>
      <c r="O843" t="s">
        <v>297</v>
      </c>
      <c r="P843">
        <v>45534</v>
      </c>
      <c r="S843" s="6">
        <v>17967.04</v>
      </c>
      <c r="T843" t="s">
        <v>254</v>
      </c>
      <c r="U843">
        <v>300</v>
      </c>
      <c r="W843" s="7">
        <v>674</v>
      </c>
      <c r="AI843" t="s">
        <v>255</v>
      </c>
      <c r="AJ843" t="s">
        <v>262</v>
      </c>
      <c r="AK843">
        <v>26.657329376854602</v>
      </c>
    </row>
    <row r="844" spans="1:37" x14ac:dyDescent="0.35">
      <c r="A844">
        <v>8</v>
      </c>
      <c r="B844">
        <v>2024</v>
      </c>
      <c r="C844" t="s">
        <v>33</v>
      </c>
      <c r="D844" t="s">
        <v>34</v>
      </c>
      <c r="E844" t="s">
        <v>42</v>
      </c>
      <c r="F844" s="3" t="s">
        <v>36</v>
      </c>
      <c r="G844" s="2" t="s">
        <v>43</v>
      </c>
      <c r="H844" s="3">
        <v>54260</v>
      </c>
      <c r="I844" s="3">
        <v>2054</v>
      </c>
      <c r="J844" s="2" t="s">
        <v>330</v>
      </c>
      <c r="K844" t="s">
        <v>42</v>
      </c>
      <c r="L844" t="s">
        <v>39</v>
      </c>
      <c r="M844" t="s">
        <v>459</v>
      </c>
      <c r="O844" t="s">
        <v>297</v>
      </c>
      <c r="P844">
        <v>45534</v>
      </c>
      <c r="S844" s="6">
        <v>16500.11</v>
      </c>
      <c r="T844" t="s">
        <v>254</v>
      </c>
      <c r="U844">
        <v>280</v>
      </c>
      <c r="W844" s="7">
        <v>914.91600000000005</v>
      </c>
      <c r="AI844" t="s">
        <v>255</v>
      </c>
      <c r="AJ844" t="s">
        <v>262</v>
      </c>
      <c r="AK844">
        <v>18.034562735813999</v>
      </c>
    </row>
    <row r="845" spans="1:37" x14ac:dyDescent="0.35">
      <c r="A845">
        <v>8</v>
      </c>
      <c r="B845">
        <v>2024</v>
      </c>
      <c r="C845" t="s">
        <v>33</v>
      </c>
      <c r="D845" t="s">
        <v>34</v>
      </c>
      <c r="E845" t="s">
        <v>42</v>
      </c>
      <c r="F845" s="3" t="s">
        <v>36</v>
      </c>
      <c r="G845" s="2" t="s">
        <v>43</v>
      </c>
      <c r="H845" s="3">
        <v>54260</v>
      </c>
      <c r="I845" s="3">
        <v>1506</v>
      </c>
      <c r="J845" s="2" t="s">
        <v>253</v>
      </c>
      <c r="K845" t="s">
        <v>42</v>
      </c>
      <c r="L845" t="s">
        <v>39</v>
      </c>
      <c r="M845" t="s">
        <v>459</v>
      </c>
      <c r="O845" t="s">
        <v>297</v>
      </c>
      <c r="P845">
        <v>45534</v>
      </c>
      <c r="S845" s="6">
        <v>24321.29</v>
      </c>
      <c r="T845" t="s">
        <v>254</v>
      </c>
      <c r="U845">
        <v>280</v>
      </c>
      <c r="W845" s="7">
        <v>1233</v>
      </c>
      <c r="AI845" t="s">
        <v>255</v>
      </c>
      <c r="AJ845" t="s">
        <v>262</v>
      </c>
      <c r="AK845">
        <v>19.725296025952961</v>
      </c>
    </row>
    <row r="846" spans="1:37" x14ac:dyDescent="0.35">
      <c r="A846">
        <v>8</v>
      </c>
      <c r="B846">
        <v>2024</v>
      </c>
      <c r="C846" t="s">
        <v>33</v>
      </c>
      <c r="D846" t="s">
        <v>34</v>
      </c>
      <c r="E846" t="s">
        <v>42</v>
      </c>
      <c r="F846" s="3" t="s">
        <v>36</v>
      </c>
      <c r="G846" s="2" t="s">
        <v>43</v>
      </c>
      <c r="H846" s="3">
        <v>54260</v>
      </c>
      <c r="I846" s="3">
        <v>1525</v>
      </c>
      <c r="J846" s="2" t="s">
        <v>283</v>
      </c>
      <c r="K846" t="s">
        <v>42</v>
      </c>
      <c r="L846" t="s">
        <v>39</v>
      </c>
      <c r="M846" t="s">
        <v>459</v>
      </c>
      <c r="O846" t="s">
        <v>297</v>
      </c>
      <c r="P846">
        <v>45534</v>
      </c>
      <c r="S846" s="6">
        <v>29065.85</v>
      </c>
      <c r="T846" t="s">
        <v>254</v>
      </c>
      <c r="U846">
        <v>320</v>
      </c>
      <c r="W846" s="7">
        <v>1368</v>
      </c>
      <c r="AI846" t="s">
        <v>255</v>
      </c>
      <c r="AJ846" t="s">
        <v>262</v>
      </c>
      <c r="AK846">
        <v>21.246966374269004</v>
      </c>
    </row>
    <row r="847" spans="1:37" x14ac:dyDescent="0.35">
      <c r="A847">
        <v>8</v>
      </c>
      <c r="B847">
        <v>2024</v>
      </c>
      <c r="C847" t="s">
        <v>33</v>
      </c>
      <c r="D847" t="s">
        <v>34</v>
      </c>
      <c r="E847" t="s">
        <v>42</v>
      </c>
      <c r="F847" s="3" t="s">
        <v>36</v>
      </c>
      <c r="G847" s="2" t="s">
        <v>43</v>
      </c>
      <c r="H847" s="3">
        <v>54260</v>
      </c>
      <c r="I847" s="3">
        <v>1236</v>
      </c>
      <c r="J847" s="2" t="s">
        <v>264</v>
      </c>
      <c r="K847" t="s">
        <v>42</v>
      </c>
      <c r="L847" t="s">
        <v>39</v>
      </c>
      <c r="M847" t="s">
        <v>459</v>
      </c>
      <c r="O847" t="s">
        <v>297</v>
      </c>
      <c r="P847">
        <v>45534</v>
      </c>
      <c r="S847" s="6">
        <v>22269.86</v>
      </c>
      <c r="T847" t="s">
        <v>254</v>
      </c>
      <c r="U847">
        <v>240</v>
      </c>
      <c r="W847" s="7">
        <v>1129</v>
      </c>
      <c r="AI847" t="s">
        <v>255</v>
      </c>
      <c r="AJ847" t="s">
        <v>262</v>
      </c>
      <c r="AK847">
        <v>19.72529672276351</v>
      </c>
    </row>
    <row r="848" spans="1:37" x14ac:dyDescent="0.35">
      <c r="A848">
        <v>8</v>
      </c>
      <c r="B848">
        <v>2024</v>
      </c>
      <c r="C848" t="s">
        <v>33</v>
      </c>
      <c r="D848" t="s">
        <v>34</v>
      </c>
      <c r="E848" t="s">
        <v>42</v>
      </c>
      <c r="F848" s="3" t="s">
        <v>36</v>
      </c>
      <c r="G848" s="2" t="s">
        <v>43</v>
      </c>
      <c r="H848" s="3">
        <v>54260</v>
      </c>
      <c r="I848" s="3">
        <v>1225</v>
      </c>
      <c r="J848" s="2" t="s">
        <v>292</v>
      </c>
      <c r="K848" t="s">
        <v>42</v>
      </c>
      <c r="L848" t="s">
        <v>39</v>
      </c>
      <c r="M848" t="s">
        <v>459</v>
      </c>
      <c r="O848" t="s">
        <v>297</v>
      </c>
      <c r="P848">
        <v>45534</v>
      </c>
      <c r="S848" s="6">
        <v>47904.04</v>
      </c>
      <c r="T848" t="s">
        <v>254</v>
      </c>
      <c r="U848">
        <v>240</v>
      </c>
      <c r="W848" s="7">
        <v>2871.6060000000002</v>
      </c>
      <c r="AI848" t="s">
        <v>255</v>
      </c>
      <c r="AJ848" t="s">
        <v>262</v>
      </c>
      <c r="AK848">
        <v>16.681968208730584</v>
      </c>
    </row>
    <row r="849" spans="1:37" x14ac:dyDescent="0.35">
      <c r="A849">
        <v>8</v>
      </c>
      <c r="B849">
        <v>2024</v>
      </c>
      <c r="C849" t="s">
        <v>33</v>
      </c>
      <c r="D849" t="s">
        <v>34</v>
      </c>
      <c r="E849" t="s">
        <v>42</v>
      </c>
      <c r="F849" s="3" t="s">
        <v>36</v>
      </c>
      <c r="G849" s="2" t="s">
        <v>43</v>
      </c>
      <c r="H849" s="3">
        <v>54260</v>
      </c>
      <c r="I849" s="3">
        <v>1504</v>
      </c>
      <c r="J849" s="2" t="s">
        <v>263</v>
      </c>
      <c r="K849" t="s">
        <v>42</v>
      </c>
      <c r="L849" t="s">
        <v>39</v>
      </c>
      <c r="M849" t="s">
        <v>459</v>
      </c>
      <c r="O849" t="s">
        <v>297</v>
      </c>
      <c r="P849">
        <v>45534</v>
      </c>
      <c r="S849" s="6">
        <v>11860.88</v>
      </c>
      <c r="T849" t="s">
        <v>254</v>
      </c>
      <c r="U849">
        <v>240</v>
      </c>
      <c r="W849" s="7">
        <v>711</v>
      </c>
      <c r="AI849" t="s">
        <v>255</v>
      </c>
      <c r="AJ849" t="s">
        <v>262</v>
      </c>
      <c r="AK849">
        <v>16.68196905766526</v>
      </c>
    </row>
    <row r="850" spans="1:37" x14ac:dyDescent="0.35">
      <c r="A850">
        <v>8</v>
      </c>
      <c r="B850">
        <v>2024</v>
      </c>
      <c r="C850" t="s">
        <v>33</v>
      </c>
      <c r="D850" t="s">
        <v>34</v>
      </c>
      <c r="E850" t="s">
        <v>42</v>
      </c>
      <c r="F850" s="3" t="s">
        <v>36</v>
      </c>
      <c r="G850" s="2" t="s">
        <v>43</v>
      </c>
      <c r="H850" s="3">
        <v>54261</v>
      </c>
      <c r="I850" s="3">
        <v>1523</v>
      </c>
      <c r="J850" s="2" t="s">
        <v>282</v>
      </c>
      <c r="K850" t="s">
        <v>42</v>
      </c>
      <c r="L850" t="s">
        <v>39</v>
      </c>
      <c r="M850" t="s">
        <v>459</v>
      </c>
      <c r="O850" t="s">
        <v>297</v>
      </c>
      <c r="P850">
        <v>45534</v>
      </c>
      <c r="S850" s="6">
        <v>8833.44</v>
      </c>
      <c r="T850" t="s">
        <v>254</v>
      </c>
      <c r="W850" s="7">
        <v>1038</v>
      </c>
      <c r="AI850" t="s">
        <v>255</v>
      </c>
      <c r="AJ850" t="s">
        <v>262</v>
      </c>
      <c r="AK850">
        <v>8.5100578034682091</v>
      </c>
    </row>
    <row r="851" spans="1:37" x14ac:dyDescent="0.35">
      <c r="A851">
        <v>8</v>
      </c>
      <c r="B851">
        <v>2024</v>
      </c>
      <c r="C851" t="s">
        <v>33</v>
      </c>
      <c r="D851" t="s">
        <v>34</v>
      </c>
      <c r="E851" t="s">
        <v>42</v>
      </c>
      <c r="F851" s="3" t="s">
        <v>36</v>
      </c>
      <c r="G851" s="2" t="s">
        <v>43</v>
      </c>
      <c r="H851" s="3">
        <v>54261</v>
      </c>
      <c r="I851" s="3">
        <v>1905</v>
      </c>
      <c r="J851" s="2" t="s">
        <v>291</v>
      </c>
      <c r="K851" t="s">
        <v>42</v>
      </c>
      <c r="L851" t="s">
        <v>39</v>
      </c>
      <c r="M851" t="s">
        <v>459</v>
      </c>
      <c r="O851" t="s">
        <v>297</v>
      </c>
      <c r="P851">
        <v>45534</v>
      </c>
      <c r="S851" s="6">
        <v>10414.959999999999</v>
      </c>
      <c r="T851" t="s">
        <v>254</v>
      </c>
      <c r="W851" s="7">
        <v>1155</v>
      </c>
      <c r="AI851" t="s">
        <v>255</v>
      </c>
      <c r="AJ851" t="s">
        <v>262</v>
      </c>
      <c r="AK851">
        <v>9.0172813852813842</v>
      </c>
    </row>
    <row r="852" spans="1:37" x14ac:dyDescent="0.35">
      <c r="A852">
        <v>8</v>
      </c>
      <c r="B852">
        <v>2024</v>
      </c>
      <c r="C852" t="s">
        <v>33</v>
      </c>
      <c r="D852" t="s">
        <v>34</v>
      </c>
      <c r="E852" t="s">
        <v>42</v>
      </c>
      <c r="F852" s="3" t="s">
        <v>36</v>
      </c>
      <c r="G852" s="2" t="s">
        <v>43</v>
      </c>
      <c r="H852" s="3">
        <v>54261</v>
      </c>
      <c r="I852" s="3">
        <v>1523</v>
      </c>
      <c r="J852" s="2" t="s">
        <v>282</v>
      </c>
      <c r="K852" t="s">
        <v>42</v>
      </c>
      <c r="L852" t="s">
        <v>39</v>
      </c>
      <c r="M852" t="s">
        <v>459</v>
      </c>
      <c r="O852" t="s">
        <v>297</v>
      </c>
      <c r="P852">
        <v>45534</v>
      </c>
      <c r="S852" s="6">
        <v>2501.96</v>
      </c>
      <c r="T852" t="s">
        <v>254</v>
      </c>
      <c r="W852" s="7">
        <v>294</v>
      </c>
      <c r="AI852" t="s">
        <v>255</v>
      </c>
      <c r="AJ852" t="s">
        <v>262</v>
      </c>
      <c r="AK852">
        <v>8.5100680272108846</v>
      </c>
    </row>
    <row r="853" spans="1:37" x14ac:dyDescent="0.35">
      <c r="A853">
        <v>9</v>
      </c>
      <c r="B853">
        <v>2024</v>
      </c>
      <c r="C853" t="s">
        <v>33</v>
      </c>
      <c r="D853" t="s">
        <v>34</v>
      </c>
      <c r="E853" t="s">
        <v>42</v>
      </c>
      <c r="F853" s="3" t="s">
        <v>36</v>
      </c>
      <c r="G853" s="2" t="s">
        <v>43</v>
      </c>
      <c r="H853" s="3">
        <v>54306</v>
      </c>
      <c r="I853" s="3">
        <v>1504</v>
      </c>
      <c r="J853" s="2" t="s">
        <v>263</v>
      </c>
      <c r="K853" t="s">
        <v>42</v>
      </c>
      <c r="L853" t="s">
        <v>39</v>
      </c>
      <c r="M853" t="s">
        <v>459</v>
      </c>
      <c r="O853" t="s">
        <v>34</v>
      </c>
      <c r="P853">
        <v>45537</v>
      </c>
      <c r="S853" s="6">
        <v>14950.92</v>
      </c>
      <c r="T853" t="s">
        <v>254</v>
      </c>
      <c r="U853">
        <v>240</v>
      </c>
      <c r="W853" s="7">
        <v>893</v>
      </c>
      <c r="AI853" t="s">
        <v>255</v>
      </c>
      <c r="AJ853" t="s">
        <v>262</v>
      </c>
      <c r="AK853">
        <v>16.742351623740202</v>
      </c>
    </row>
    <row r="854" spans="1:37" x14ac:dyDescent="0.35">
      <c r="A854">
        <v>9</v>
      </c>
      <c r="B854">
        <v>2024</v>
      </c>
      <c r="C854" t="s">
        <v>33</v>
      </c>
      <c r="D854" t="s">
        <v>34</v>
      </c>
      <c r="E854" t="s">
        <v>387</v>
      </c>
      <c r="F854" s="3" t="s">
        <v>36</v>
      </c>
      <c r="G854" s="2" t="s">
        <v>388</v>
      </c>
      <c r="H854" s="3">
        <v>54419</v>
      </c>
      <c r="I854" s="3">
        <v>2582</v>
      </c>
      <c r="J854" s="2" t="s">
        <v>402</v>
      </c>
      <c r="K854" t="s">
        <v>387</v>
      </c>
      <c r="L854" t="s">
        <v>39</v>
      </c>
      <c r="M854" t="s">
        <v>459</v>
      </c>
      <c r="O854" t="s">
        <v>34</v>
      </c>
      <c r="P854">
        <v>45544</v>
      </c>
      <c r="S854" s="6">
        <v>7771.54</v>
      </c>
      <c r="T854" t="s">
        <v>254</v>
      </c>
      <c r="U854">
        <v>240</v>
      </c>
      <c r="W854" s="7">
        <v>640</v>
      </c>
      <c r="AI854" t="s">
        <v>387</v>
      </c>
      <c r="AJ854" t="s">
        <v>258</v>
      </c>
      <c r="AK854">
        <v>12.14303125</v>
      </c>
    </row>
    <row r="855" spans="1:37" x14ac:dyDescent="0.35">
      <c r="A855">
        <v>9</v>
      </c>
      <c r="B855">
        <v>2024</v>
      </c>
      <c r="C855" t="s">
        <v>33</v>
      </c>
      <c r="D855" t="s">
        <v>34</v>
      </c>
      <c r="E855" t="s">
        <v>387</v>
      </c>
      <c r="F855" s="3" t="s">
        <v>36</v>
      </c>
      <c r="G855" s="2" t="s">
        <v>388</v>
      </c>
      <c r="H855" s="3">
        <v>54419</v>
      </c>
      <c r="I855" s="3">
        <v>2941</v>
      </c>
      <c r="J855" s="2" t="s">
        <v>410</v>
      </c>
      <c r="K855" t="s">
        <v>387</v>
      </c>
      <c r="L855" t="s">
        <v>39</v>
      </c>
      <c r="M855" t="s">
        <v>459</v>
      </c>
      <c r="O855" t="s">
        <v>34</v>
      </c>
      <c r="P855">
        <v>45544</v>
      </c>
      <c r="S855" s="6">
        <v>6349.92</v>
      </c>
      <c r="T855" t="s">
        <v>254</v>
      </c>
      <c r="U855">
        <v>320</v>
      </c>
      <c r="W855" s="7">
        <v>202</v>
      </c>
      <c r="AI855" t="s">
        <v>387</v>
      </c>
      <c r="AJ855" t="s">
        <v>258</v>
      </c>
      <c r="AK855">
        <v>31.435247524752477</v>
      </c>
    </row>
    <row r="856" spans="1:37" x14ac:dyDescent="0.35">
      <c r="A856">
        <v>9</v>
      </c>
      <c r="B856">
        <v>2024</v>
      </c>
      <c r="C856" t="s">
        <v>33</v>
      </c>
      <c r="D856" t="s">
        <v>34</v>
      </c>
      <c r="E856" t="s">
        <v>456</v>
      </c>
      <c r="F856" s="3" t="s">
        <v>36</v>
      </c>
      <c r="G856" s="2" t="s">
        <v>457</v>
      </c>
      <c r="H856" s="3">
        <v>54429</v>
      </c>
      <c r="I856" s="3">
        <v>3334</v>
      </c>
      <c r="J856" s="2" t="s">
        <v>458</v>
      </c>
      <c r="K856" t="s">
        <v>456</v>
      </c>
      <c r="L856" t="s">
        <v>39</v>
      </c>
      <c r="M856" t="s">
        <v>459</v>
      </c>
      <c r="O856" t="s">
        <v>34</v>
      </c>
      <c r="P856">
        <v>45545</v>
      </c>
      <c r="S856" s="6">
        <v>113794.25</v>
      </c>
      <c r="T856" t="s">
        <v>254</v>
      </c>
      <c r="U856">
        <v>260</v>
      </c>
      <c r="W856" s="7">
        <v>10402.700000000001</v>
      </c>
      <c r="AI856" t="s">
        <v>456</v>
      </c>
      <c r="AJ856" t="s">
        <v>258</v>
      </c>
      <c r="AK856">
        <v>10.938914897094023</v>
      </c>
    </row>
    <row r="857" spans="1:37" x14ac:dyDescent="0.35">
      <c r="A857">
        <v>9</v>
      </c>
      <c r="B857">
        <v>2024</v>
      </c>
      <c r="C857" t="s">
        <v>33</v>
      </c>
      <c r="D857" t="s">
        <v>34</v>
      </c>
      <c r="E857" t="s">
        <v>387</v>
      </c>
      <c r="F857" s="3" t="s">
        <v>36</v>
      </c>
      <c r="G857" s="2" t="s">
        <v>388</v>
      </c>
      <c r="H857" s="3">
        <v>54542</v>
      </c>
      <c r="I857" s="3">
        <v>3516</v>
      </c>
      <c r="J857" s="2" t="s">
        <v>477</v>
      </c>
      <c r="K857" t="s">
        <v>387</v>
      </c>
      <c r="L857" t="s">
        <v>39</v>
      </c>
      <c r="M857" t="s">
        <v>459</v>
      </c>
      <c r="O857" t="s">
        <v>34</v>
      </c>
      <c r="P857">
        <v>45551</v>
      </c>
      <c r="S857" s="6">
        <v>170.49</v>
      </c>
      <c r="T857" t="s">
        <v>254</v>
      </c>
      <c r="U857">
        <v>240</v>
      </c>
      <c r="W857" s="7">
        <v>17</v>
      </c>
      <c r="AI857" t="s">
        <v>387</v>
      </c>
      <c r="AJ857" t="s">
        <v>258</v>
      </c>
      <c r="AK857">
        <v>10.028823529411765</v>
      </c>
    </row>
    <row r="858" spans="1:37" x14ac:dyDescent="0.35">
      <c r="A858">
        <v>9</v>
      </c>
      <c r="B858">
        <v>2024</v>
      </c>
      <c r="C858" t="s">
        <v>33</v>
      </c>
      <c r="D858" t="s">
        <v>34</v>
      </c>
      <c r="E858" t="s">
        <v>387</v>
      </c>
      <c r="F858" s="3" t="s">
        <v>36</v>
      </c>
      <c r="G858" s="2" t="s">
        <v>388</v>
      </c>
      <c r="H858" s="3">
        <v>54542</v>
      </c>
      <c r="I858" s="3">
        <v>3517</v>
      </c>
      <c r="J858" s="2" t="s">
        <v>478</v>
      </c>
      <c r="K858" t="s">
        <v>387</v>
      </c>
      <c r="L858" t="s">
        <v>39</v>
      </c>
      <c r="M858" t="s">
        <v>459</v>
      </c>
      <c r="O858" t="s">
        <v>34</v>
      </c>
      <c r="P858">
        <v>45551</v>
      </c>
      <c r="S858" s="6">
        <v>120.35</v>
      </c>
      <c r="T858" t="s">
        <v>254</v>
      </c>
      <c r="U858">
        <v>220</v>
      </c>
      <c r="W858" s="7">
        <v>12</v>
      </c>
      <c r="AI858" t="s">
        <v>387</v>
      </c>
      <c r="AJ858" t="s">
        <v>258</v>
      </c>
      <c r="AK858">
        <v>10.029166666666667</v>
      </c>
    </row>
    <row r="859" spans="1:37" x14ac:dyDescent="0.35">
      <c r="A859">
        <v>9</v>
      </c>
      <c r="B859">
        <v>2024</v>
      </c>
      <c r="C859" t="s">
        <v>33</v>
      </c>
      <c r="D859" t="s">
        <v>34</v>
      </c>
      <c r="E859" t="s">
        <v>387</v>
      </c>
      <c r="F859" s="3" t="s">
        <v>36</v>
      </c>
      <c r="G859" s="2" t="s">
        <v>388</v>
      </c>
      <c r="H859" s="3">
        <v>54542</v>
      </c>
      <c r="I859" s="3">
        <v>3522</v>
      </c>
      <c r="J859" s="2" t="s">
        <v>479</v>
      </c>
      <c r="K859" t="s">
        <v>387</v>
      </c>
      <c r="L859" t="s">
        <v>39</v>
      </c>
      <c r="M859" t="s">
        <v>459</v>
      </c>
      <c r="O859" t="s">
        <v>34</v>
      </c>
      <c r="P859">
        <v>45551</v>
      </c>
      <c r="S859" s="6">
        <v>100.29</v>
      </c>
      <c r="T859" t="s">
        <v>254</v>
      </c>
      <c r="U859">
        <v>160</v>
      </c>
      <c r="W859" s="7">
        <v>10</v>
      </c>
      <c r="AI859" t="s">
        <v>387</v>
      </c>
      <c r="AJ859" t="s">
        <v>258</v>
      </c>
      <c r="AK859">
        <v>10.029</v>
      </c>
    </row>
    <row r="860" spans="1:37" x14ac:dyDescent="0.35">
      <c r="A860">
        <v>9</v>
      </c>
      <c r="B860">
        <v>2024</v>
      </c>
      <c r="C860" t="s">
        <v>33</v>
      </c>
      <c r="D860" t="s">
        <v>34</v>
      </c>
      <c r="E860" t="s">
        <v>387</v>
      </c>
      <c r="F860" s="3" t="s">
        <v>36</v>
      </c>
      <c r="G860" s="2" t="s">
        <v>388</v>
      </c>
      <c r="H860" s="3">
        <v>54542</v>
      </c>
      <c r="I860" s="3">
        <v>3524</v>
      </c>
      <c r="J860" s="2" t="s">
        <v>480</v>
      </c>
      <c r="K860" t="s">
        <v>387</v>
      </c>
      <c r="L860" t="s">
        <v>39</v>
      </c>
      <c r="M860" t="s">
        <v>459</v>
      </c>
      <c r="O860" t="s">
        <v>34</v>
      </c>
      <c r="P860">
        <v>45551</v>
      </c>
      <c r="S860" s="6">
        <v>501.45</v>
      </c>
      <c r="T860" t="s">
        <v>254</v>
      </c>
      <c r="U860">
        <v>160</v>
      </c>
      <c r="W860" s="7">
        <v>10</v>
      </c>
      <c r="AI860" t="s">
        <v>387</v>
      </c>
      <c r="AJ860" t="s">
        <v>258</v>
      </c>
      <c r="AK860">
        <v>50.144999999999996</v>
      </c>
    </row>
    <row r="861" spans="1:37" x14ac:dyDescent="0.35">
      <c r="A861">
        <v>9</v>
      </c>
      <c r="B861">
        <v>2024</v>
      </c>
      <c r="C861" t="s">
        <v>33</v>
      </c>
      <c r="D861" t="s">
        <v>34</v>
      </c>
      <c r="E861" t="s">
        <v>387</v>
      </c>
      <c r="F861" s="3" t="s">
        <v>36</v>
      </c>
      <c r="G861" s="2" t="s">
        <v>388</v>
      </c>
      <c r="H861" s="3">
        <v>54709</v>
      </c>
      <c r="I861" s="3">
        <v>2950</v>
      </c>
      <c r="J861" s="2" t="s">
        <v>412</v>
      </c>
      <c r="K861" t="s">
        <v>387</v>
      </c>
      <c r="L861" t="s">
        <v>39</v>
      </c>
      <c r="M861" t="s">
        <v>459</v>
      </c>
      <c r="O861" t="s">
        <v>34</v>
      </c>
      <c r="P861">
        <v>45558</v>
      </c>
      <c r="S861" s="6">
        <v>4878.04</v>
      </c>
      <c r="T861" t="s">
        <v>254</v>
      </c>
      <c r="U861">
        <v>180</v>
      </c>
      <c r="W861" s="7">
        <v>506</v>
      </c>
      <c r="AI861" t="s">
        <v>387</v>
      </c>
      <c r="AJ861" t="s">
        <v>258</v>
      </c>
      <c r="AK861">
        <v>9.6403952569169959</v>
      </c>
    </row>
    <row r="862" spans="1:37" x14ac:dyDescent="0.35">
      <c r="A862">
        <v>9</v>
      </c>
      <c r="B862">
        <v>2024</v>
      </c>
      <c r="C862" t="s">
        <v>33</v>
      </c>
      <c r="D862" t="s">
        <v>34</v>
      </c>
      <c r="E862" t="s">
        <v>387</v>
      </c>
      <c r="F862" s="3" t="s">
        <v>36</v>
      </c>
      <c r="G862" s="2" t="s">
        <v>388</v>
      </c>
      <c r="H862" s="3">
        <v>54709</v>
      </c>
      <c r="I862" s="3">
        <v>3399</v>
      </c>
      <c r="J862" s="2" t="s">
        <v>481</v>
      </c>
      <c r="K862" t="s">
        <v>387</v>
      </c>
      <c r="L862" t="s">
        <v>39</v>
      </c>
      <c r="M862" t="s">
        <v>459</v>
      </c>
      <c r="O862" t="s">
        <v>34</v>
      </c>
      <c r="P862">
        <v>45558</v>
      </c>
      <c r="S862" s="6">
        <v>10543.91</v>
      </c>
      <c r="T862" t="s">
        <v>254</v>
      </c>
      <c r="U862">
        <v>200</v>
      </c>
      <c r="W862" s="7">
        <v>939</v>
      </c>
      <c r="AI862" t="s">
        <v>387</v>
      </c>
      <c r="AJ862" t="s">
        <v>258</v>
      </c>
      <c r="AK862">
        <v>11.228871139510117</v>
      </c>
    </row>
    <row r="863" spans="1:37" x14ac:dyDescent="0.35">
      <c r="A863">
        <v>9</v>
      </c>
      <c r="B863">
        <v>2024</v>
      </c>
      <c r="C863" t="s">
        <v>33</v>
      </c>
      <c r="D863" t="s">
        <v>34</v>
      </c>
      <c r="E863" t="s">
        <v>387</v>
      </c>
      <c r="F863" s="3" t="s">
        <v>36</v>
      </c>
      <c r="G863" s="2" t="s">
        <v>388</v>
      </c>
      <c r="H863" s="3">
        <v>54709</v>
      </c>
      <c r="I863" s="3">
        <v>3398</v>
      </c>
      <c r="J863" s="2" t="s">
        <v>482</v>
      </c>
      <c r="K863" t="s">
        <v>387</v>
      </c>
      <c r="L863" t="s">
        <v>39</v>
      </c>
      <c r="M863" t="s">
        <v>459</v>
      </c>
      <c r="O863" t="s">
        <v>34</v>
      </c>
      <c r="P863">
        <v>45558</v>
      </c>
      <c r="S863" s="6">
        <v>30564.45</v>
      </c>
      <c r="T863" t="s">
        <v>254</v>
      </c>
      <c r="U863">
        <v>240</v>
      </c>
      <c r="W863" s="7">
        <v>2232</v>
      </c>
      <c r="AI863" t="s">
        <v>387</v>
      </c>
      <c r="AJ863" t="s">
        <v>258</v>
      </c>
      <c r="AK863">
        <v>13.69375</v>
      </c>
    </row>
    <row r="864" spans="1:37" x14ac:dyDescent="0.35">
      <c r="A864">
        <v>9</v>
      </c>
      <c r="B864">
        <v>2024</v>
      </c>
      <c r="C864" t="s">
        <v>33</v>
      </c>
      <c r="D864" t="s">
        <v>34</v>
      </c>
      <c r="E864" t="s">
        <v>387</v>
      </c>
      <c r="F864" s="3" t="s">
        <v>36</v>
      </c>
      <c r="G864" s="2" t="s">
        <v>388</v>
      </c>
      <c r="H864" s="3">
        <v>54709</v>
      </c>
      <c r="I864" s="3">
        <v>3152</v>
      </c>
      <c r="J864" s="2" t="s">
        <v>436</v>
      </c>
      <c r="K864" t="s">
        <v>387</v>
      </c>
      <c r="L864" t="s">
        <v>39</v>
      </c>
      <c r="M864" t="s">
        <v>459</v>
      </c>
      <c r="O864" t="s">
        <v>34</v>
      </c>
      <c r="P864">
        <v>45558</v>
      </c>
      <c r="S864" s="6">
        <v>3295.81</v>
      </c>
      <c r="T864" t="s">
        <v>254</v>
      </c>
      <c r="U864">
        <v>160</v>
      </c>
      <c r="W864" s="7">
        <v>547</v>
      </c>
      <c r="AI864" t="s">
        <v>387</v>
      </c>
      <c r="AJ864" t="s">
        <v>258</v>
      </c>
      <c r="AK864">
        <v>6.025246800731261</v>
      </c>
    </row>
    <row r="865" spans="1:37" x14ac:dyDescent="0.35">
      <c r="A865">
        <v>9</v>
      </c>
      <c r="B865">
        <v>2024</v>
      </c>
      <c r="C865" t="s">
        <v>33</v>
      </c>
      <c r="D865" t="s">
        <v>34</v>
      </c>
      <c r="E865" t="s">
        <v>387</v>
      </c>
      <c r="F865" s="3" t="s">
        <v>36</v>
      </c>
      <c r="G865" s="2" t="s">
        <v>388</v>
      </c>
      <c r="H865" s="3">
        <v>54709</v>
      </c>
      <c r="I865" s="3">
        <v>3128</v>
      </c>
      <c r="J865" s="2" t="s">
        <v>430</v>
      </c>
      <c r="K865" t="s">
        <v>387</v>
      </c>
      <c r="L865" t="s">
        <v>39</v>
      </c>
      <c r="M865" t="s">
        <v>459</v>
      </c>
      <c r="O865" t="s">
        <v>34</v>
      </c>
      <c r="P865">
        <v>45558</v>
      </c>
      <c r="S865" s="6">
        <v>17270.560000000001</v>
      </c>
      <c r="T865" t="s">
        <v>254</v>
      </c>
      <c r="U865">
        <v>280</v>
      </c>
      <c r="W865" s="7">
        <v>1051</v>
      </c>
      <c r="AI865" t="s">
        <v>387</v>
      </c>
      <c r="AJ865" t="s">
        <v>258</v>
      </c>
      <c r="AK865">
        <v>16.432502378686966</v>
      </c>
    </row>
    <row r="866" spans="1:37" x14ac:dyDescent="0.35">
      <c r="A866">
        <v>9</v>
      </c>
      <c r="B866">
        <v>2024</v>
      </c>
      <c r="C866" t="s">
        <v>33</v>
      </c>
      <c r="D866" t="s">
        <v>34</v>
      </c>
      <c r="E866" t="s">
        <v>387</v>
      </c>
      <c r="F866" s="3" t="s">
        <v>36</v>
      </c>
      <c r="G866" s="2" t="s">
        <v>388</v>
      </c>
      <c r="H866" s="3">
        <v>54709</v>
      </c>
      <c r="I866" s="3">
        <v>2951</v>
      </c>
      <c r="J866" s="2" t="s">
        <v>413</v>
      </c>
      <c r="K866" t="s">
        <v>387</v>
      </c>
      <c r="L866" t="s">
        <v>39</v>
      </c>
      <c r="M866" t="s">
        <v>459</v>
      </c>
      <c r="O866" t="s">
        <v>34</v>
      </c>
      <c r="P866">
        <v>45558</v>
      </c>
      <c r="S866" s="6">
        <v>946.73</v>
      </c>
      <c r="T866" t="s">
        <v>254</v>
      </c>
      <c r="U866">
        <v>280</v>
      </c>
      <c r="W866" s="7">
        <v>58</v>
      </c>
      <c r="AI866" t="s">
        <v>387</v>
      </c>
      <c r="AJ866" t="s">
        <v>258</v>
      </c>
      <c r="AK866">
        <v>16.32293103448276</v>
      </c>
    </row>
    <row r="867" spans="1:37" x14ac:dyDescent="0.35">
      <c r="A867">
        <v>9</v>
      </c>
      <c r="B867">
        <v>2024</v>
      </c>
      <c r="C867" t="s">
        <v>33</v>
      </c>
      <c r="D867" t="s">
        <v>34</v>
      </c>
      <c r="E867" t="s">
        <v>387</v>
      </c>
      <c r="F867" s="3" t="s">
        <v>36</v>
      </c>
      <c r="G867" s="2" t="s">
        <v>388</v>
      </c>
      <c r="H867" s="3">
        <v>54709</v>
      </c>
      <c r="I867" s="3">
        <v>2582</v>
      </c>
      <c r="J867" s="2" t="s">
        <v>402</v>
      </c>
      <c r="K867" t="s">
        <v>387</v>
      </c>
      <c r="L867" t="s">
        <v>39</v>
      </c>
      <c r="M867" t="s">
        <v>459</v>
      </c>
      <c r="O867" t="s">
        <v>34</v>
      </c>
      <c r="P867">
        <v>45558</v>
      </c>
      <c r="S867" s="6">
        <v>7498.92</v>
      </c>
      <c r="T867" t="s">
        <v>254</v>
      </c>
      <c r="U867">
        <v>240</v>
      </c>
      <c r="W867" s="7">
        <v>628</v>
      </c>
      <c r="AI867" t="s">
        <v>387</v>
      </c>
      <c r="AJ867" t="s">
        <v>258</v>
      </c>
      <c r="AK867">
        <v>11.940955414012739</v>
      </c>
    </row>
    <row r="868" spans="1:37" x14ac:dyDescent="0.35">
      <c r="A868">
        <v>9</v>
      </c>
      <c r="B868">
        <v>2024</v>
      </c>
      <c r="C868" t="s">
        <v>33</v>
      </c>
      <c r="D868" t="s">
        <v>34</v>
      </c>
      <c r="E868" t="s">
        <v>387</v>
      </c>
      <c r="F868" s="3" t="s">
        <v>36</v>
      </c>
      <c r="G868" s="2" t="s">
        <v>388</v>
      </c>
      <c r="H868" s="3">
        <v>54709</v>
      </c>
      <c r="I868" s="3">
        <v>2950</v>
      </c>
      <c r="J868" s="2" t="s">
        <v>412</v>
      </c>
      <c r="K868" t="s">
        <v>387</v>
      </c>
      <c r="L868" t="s">
        <v>39</v>
      </c>
      <c r="M868" t="s">
        <v>459</v>
      </c>
      <c r="O868" t="s">
        <v>34</v>
      </c>
      <c r="P868">
        <v>45558</v>
      </c>
      <c r="S868" s="6">
        <v>443.46</v>
      </c>
      <c r="T868" t="s">
        <v>254</v>
      </c>
      <c r="U868">
        <v>180</v>
      </c>
      <c r="W868" s="7">
        <v>46</v>
      </c>
      <c r="AI868" t="s">
        <v>387</v>
      </c>
      <c r="AJ868" t="s">
        <v>258</v>
      </c>
      <c r="AK868">
        <v>9.6404347826086951</v>
      </c>
    </row>
    <row r="869" spans="1:37" x14ac:dyDescent="0.35">
      <c r="A869">
        <v>9</v>
      </c>
      <c r="B869">
        <v>2024</v>
      </c>
      <c r="C869" t="s">
        <v>33</v>
      </c>
      <c r="D869" t="s">
        <v>34</v>
      </c>
      <c r="E869" t="s">
        <v>387</v>
      </c>
      <c r="F869" s="3" t="s">
        <v>36</v>
      </c>
      <c r="G869" s="2" t="s">
        <v>388</v>
      </c>
      <c r="H869" s="3">
        <v>54709</v>
      </c>
      <c r="I869" s="3">
        <v>2942</v>
      </c>
      <c r="J869" s="2" t="s">
        <v>411</v>
      </c>
      <c r="K869" t="s">
        <v>387</v>
      </c>
      <c r="L869" t="s">
        <v>39</v>
      </c>
      <c r="M869" t="s">
        <v>459</v>
      </c>
      <c r="O869" t="s">
        <v>34</v>
      </c>
      <c r="P869">
        <v>45558</v>
      </c>
      <c r="S869" s="6">
        <v>18884.23</v>
      </c>
      <c r="T869" t="s">
        <v>254</v>
      </c>
      <c r="U869">
        <v>260</v>
      </c>
      <c r="W869" s="7">
        <v>1020</v>
      </c>
      <c r="AI869" t="s">
        <v>387</v>
      </c>
      <c r="AJ869" t="s">
        <v>258</v>
      </c>
      <c r="AK869">
        <v>18.513950980392156</v>
      </c>
    </row>
    <row r="870" spans="1:37" x14ac:dyDescent="0.35">
      <c r="A870">
        <v>9</v>
      </c>
      <c r="B870">
        <v>2024</v>
      </c>
      <c r="C870" t="s">
        <v>33</v>
      </c>
      <c r="D870" t="s">
        <v>34</v>
      </c>
      <c r="E870" t="s">
        <v>387</v>
      </c>
      <c r="F870" s="3" t="s">
        <v>36</v>
      </c>
      <c r="G870" s="2" t="s">
        <v>388</v>
      </c>
      <c r="H870" s="3">
        <v>54709</v>
      </c>
      <c r="I870" s="3">
        <v>2942</v>
      </c>
      <c r="J870" s="2" t="s">
        <v>411</v>
      </c>
      <c r="K870" t="s">
        <v>387</v>
      </c>
      <c r="L870" t="s">
        <v>39</v>
      </c>
      <c r="M870" t="s">
        <v>459</v>
      </c>
      <c r="O870" t="s">
        <v>34</v>
      </c>
      <c r="P870">
        <v>45558</v>
      </c>
      <c r="S870" s="6">
        <v>8553.44</v>
      </c>
      <c r="T870" t="s">
        <v>254</v>
      </c>
      <c r="U870">
        <v>260</v>
      </c>
      <c r="W870" s="7">
        <v>462</v>
      </c>
      <c r="AI870" t="s">
        <v>387</v>
      </c>
      <c r="AJ870" t="s">
        <v>258</v>
      </c>
      <c r="AK870">
        <v>18.513939393939395</v>
      </c>
    </row>
    <row r="871" spans="1:37" x14ac:dyDescent="0.35">
      <c r="A871">
        <v>9</v>
      </c>
      <c r="B871">
        <v>2024</v>
      </c>
      <c r="C871" t="s">
        <v>33</v>
      </c>
      <c r="D871" t="s">
        <v>34</v>
      </c>
      <c r="E871" t="s">
        <v>387</v>
      </c>
      <c r="F871" s="3" t="s">
        <v>36</v>
      </c>
      <c r="G871" s="2" t="s">
        <v>388</v>
      </c>
      <c r="H871" s="3">
        <v>54709</v>
      </c>
      <c r="I871" s="3">
        <v>2941</v>
      </c>
      <c r="J871" s="2" t="s">
        <v>410</v>
      </c>
      <c r="K871" t="s">
        <v>387</v>
      </c>
      <c r="L871" t="s">
        <v>39</v>
      </c>
      <c r="M871" t="s">
        <v>459</v>
      </c>
      <c r="O871" t="s">
        <v>34</v>
      </c>
      <c r="P871">
        <v>45558</v>
      </c>
      <c r="S871" s="6">
        <v>23786.04</v>
      </c>
      <c r="T871" t="s">
        <v>254</v>
      </c>
      <c r="U871">
        <v>320</v>
      </c>
      <c r="W871" s="7">
        <v>1737</v>
      </c>
      <c r="AI871" t="s">
        <v>387</v>
      </c>
      <c r="AJ871" t="s">
        <v>258</v>
      </c>
      <c r="AK871">
        <v>13.693747841105354</v>
      </c>
    </row>
    <row r="872" spans="1:37" x14ac:dyDescent="0.35">
      <c r="A872">
        <v>9</v>
      </c>
      <c r="B872">
        <v>2024</v>
      </c>
      <c r="C872" t="s">
        <v>33</v>
      </c>
      <c r="D872" t="s">
        <v>34</v>
      </c>
      <c r="E872" t="s">
        <v>387</v>
      </c>
      <c r="F872" s="3" t="s">
        <v>36</v>
      </c>
      <c r="G872" s="2" t="s">
        <v>388</v>
      </c>
      <c r="H872" s="3">
        <v>54709</v>
      </c>
      <c r="I872" s="3">
        <v>2582</v>
      </c>
      <c r="J872" s="2" t="s">
        <v>402</v>
      </c>
      <c r="K872" t="s">
        <v>387</v>
      </c>
      <c r="L872" t="s">
        <v>39</v>
      </c>
      <c r="M872" t="s">
        <v>459</v>
      </c>
      <c r="O872" t="s">
        <v>34</v>
      </c>
      <c r="P872">
        <v>45558</v>
      </c>
      <c r="S872" s="6">
        <v>45865.19</v>
      </c>
      <c r="T872" t="s">
        <v>254</v>
      </c>
      <c r="U872">
        <v>240</v>
      </c>
      <c r="W872" s="7">
        <v>3841</v>
      </c>
      <c r="AI872" t="s">
        <v>387</v>
      </c>
      <c r="AJ872" t="s">
        <v>258</v>
      </c>
      <c r="AK872">
        <v>11.940950273366312</v>
      </c>
    </row>
    <row r="873" spans="1:37" x14ac:dyDescent="0.35">
      <c r="A873">
        <v>9</v>
      </c>
      <c r="B873">
        <v>2024</v>
      </c>
      <c r="C873" t="s">
        <v>33</v>
      </c>
      <c r="D873" t="s">
        <v>34</v>
      </c>
      <c r="E873" t="s">
        <v>344</v>
      </c>
      <c r="F873" s="3" t="s">
        <v>36</v>
      </c>
      <c r="G873" s="2" t="s">
        <v>37</v>
      </c>
      <c r="H873" s="3">
        <v>54855</v>
      </c>
      <c r="I873" s="3">
        <v>2206</v>
      </c>
      <c r="J873" s="2" t="s">
        <v>351</v>
      </c>
      <c r="K873" t="s">
        <v>344</v>
      </c>
      <c r="L873" t="s">
        <v>39</v>
      </c>
      <c r="M873" t="s">
        <v>459</v>
      </c>
      <c r="O873" t="s">
        <v>34</v>
      </c>
      <c r="P873">
        <v>45565</v>
      </c>
      <c r="S873" s="6">
        <v>19192.91</v>
      </c>
      <c r="T873" t="s">
        <v>254</v>
      </c>
      <c r="U873">
        <v>180</v>
      </c>
      <c r="W873" s="7">
        <v>1906</v>
      </c>
      <c r="AI873" t="s">
        <v>344</v>
      </c>
      <c r="AJ873" t="s">
        <v>258</v>
      </c>
      <c r="AK873">
        <v>10.069732423924449</v>
      </c>
    </row>
    <row r="874" spans="1:37" x14ac:dyDescent="0.35">
      <c r="A874">
        <v>9</v>
      </c>
      <c r="B874">
        <v>2024</v>
      </c>
      <c r="C874" t="s">
        <v>33</v>
      </c>
      <c r="D874" t="s">
        <v>34</v>
      </c>
      <c r="E874" t="s">
        <v>344</v>
      </c>
      <c r="F874" s="3" t="s">
        <v>36</v>
      </c>
      <c r="G874" s="2" t="s">
        <v>37</v>
      </c>
      <c r="H874" s="3">
        <v>54855</v>
      </c>
      <c r="I874" s="3">
        <v>2210</v>
      </c>
      <c r="J874" s="2" t="s">
        <v>345</v>
      </c>
      <c r="K874" t="s">
        <v>344</v>
      </c>
      <c r="L874" t="s">
        <v>39</v>
      </c>
      <c r="M874" t="s">
        <v>459</v>
      </c>
      <c r="O874" t="s">
        <v>34</v>
      </c>
      <c r="P874">
        <v>45565</v>
      </c>
      <c r="S874" s="6">
        <v>15357.71</v>
      </c>
      <c r="T874" t="s">
        <v>254</v>
      </c>
      <c r="U874">
        <v>180</v>
      </c>
      <c r="W874" s="7">
        <v>1485</v>
      </c>
      <c r="AI874" t="s">
        <v>344</v>
      </c>
      <c r="AJ874" t="s">
        <v>258</v>
      </c>
      <c r="AK874">
        <v>10.341892255892255</v>
      </c>
    </row>
    <row r="875" spans="1:37" x14ac:dyDescent="0.35">
      <c r="A875">
        <v>9</v>
      </c>
      <c r="B875">
        <v>2024</v>
      </c>
      <c r="C875" t="s">
        <v>33</v>
      </c>
      <c r="D875" t="s">
        <v>34</v>
      </c>
      <c r="E875" t="s">
        <v>344</v>
      </c>
      <c r="F875" s="3" t="s">
        <v>36</v>
      </c>
      <c r="G875" s="2" t="s">
        <v>37</v>
      </c>
      <c r="H875" s="3">
        <v>54858</v>
      </c>
      <c r="I875" s="3">
        <v>3439</v>
      </c>
      <c r="J875" s="2" t="s">
        <v>483</v>
      </c>
      <c r="K875" t="s">
        <v>344</v>
      </c>
      <c r="L875" t="s">
        <v>39</v>
      </c>
      <c r="M875" t="s">
        <v>459</v>
      </c>
      <c r="O875" t="s">
        <v>34</v>
      </c>
      <c r="P875">
        <v>45565</v>
      </c>
      <c r="S875" s="6">
        <v>13771.04</v>
      </c>
      <c r="T875" t="s">
        <v>319</v>
      </c>
      <c r="W875" s="7">
        <v>1012</v>
      </c>
      <c r="AI875" t="s">
        <v>344</v>
      </c>
      <c r="AJ875" t="s">
        <v>258</v>
      </c>
      <c r="AK875">
        <v>13.607747035573123</v>
      </c>
    </row>
    <row r="876" spans="1:37" x14ac:dyDescent="0.35">
      <c r="A876">
        <v>9</v>
      </c>
      <c r="B876">
        <v>2024</v>
      </c>
      <c r="C876" t="s">
        <v>33</v>
      </c>
      <c r="D876" t="s">
        <v>34</v>
      </c>
      <c r="E876" t="s">
        <v>42</v>
      </c>
      <c r="F876" s="3" t="s">
        <v>36</v>
      </c>
      <c r="G876" s="2" t="s">
        <v>43</v>
      </c>
      <c r="H876" s="3">
        <v>54861</v>
      </c>
      <c r="I876" s="3">
        <v>1523</v>
      </c>
      <c r="J876" s="2" t="s">
        <v>282</v>
      </c>
      <c r="K876" t="s">
        <v>42</v>
      </c>
      <c r="L876" t="s">
        <v>39</v>
      </c>
      <c r="M876" t="s">
        <v>459</v>
      </c>
      <c r="O876" t="s">
        <v>297</v>
      </c>
      <c r="P876">
        <v>45565</v>
      </c>
      <c r="S876" s="6">
        <v>8671.1299999999992</v>
      </c>
      <c r="T876" t="s">
        <v>254</v>
      </c>
      <c r="W876" s="7">
        <v>1055</v>
      </c>
      <c r="AI876" t="s">
        <v>255</v>
      </c>
      <c r="AJ876" t="s">
        <v>262</v>
      </c>
      <c r="AK876">
        <v>8.2190805687203792</v>
      </c>
    </row>
    <row r="877" spans="1:37" x14ac:dyDescent="0.35">
      <c r="A877">
        <v>9</v>
      </c>
      <c r="B877">
        <v>2024</v>
      </c>
      <c r="C877" t="s">
        <v>33</v>
      </c>
      <c r="D877" t="s">
        <v>34</v>
      </c>
      <c r="E877" s="18" t="s">
        <v>390</v>
      </c>
      <c r="F877" s="3" t="s">
        <v>36</v>
      </c>
      <c r="G877" s="2" t="s">
        <v>43</v>
      </c>
      <c r="H877" s="3">
        <v>54859</v>
      </c>
      <c r="I877" s="3">
        <v>3511</v>
      </c>
      <c r="J877" s="2" t="s">
        <v>484</v>
      </c>
      <c r="K877" t="s">
        <v>390</v>
      </c>
      <c r="L877" t="s">
        <v>39</v>
      </c>
      <c r="M877" t="s">
        <v>459</v>
      </c>
      <c r="O877" t="s">
        <v>34</v>
      </c>
      <c r="P877">
        <v>45565</v>
      </c>
      <c r="S877" s="6">
        <v>11218.23</v>
      </c>
      <c r="T877" t="s">
        <v>254</v>
      </c>
      <c r="U877">
        <v>200</v>
      </c>
      <c r="W877" s="7">
        <v>1374</v>
      </c>
      <c r="AI877" t="s">
        <v>390</v>
      </c>
      <c r="AJ877" t="s">
        <v>258</v>
      </c>
      <c r="AK877">
        <v>8.1646506550218341</v>
      </c>
    </row>
    <row r="878" spans="1:37" x14ac:dyDescent="0.35">
      <c r="A878">
        <v>9</v>
      </c>
      <c r="B878">
        <v>2024</v>
      </c>
      <c r="C878" t="s">
        <v>33</v>
      </c>
      <c r="D878" t="s">
        <v>34</v>
      </c>
      <c r="E878" s="18" t="s">
        <v>390</v>
      </c>
      <c r="F878" s="3" t="s">
        <v>36</v>
      </c>
      <c r="G878" s="2" t="s">
        <v>43</v>
      </c>
      <c r="H878" s="3">
        <v>54859</v>
      </c>
      <c r="I878" s="3">
        <v>3506</v>
      </c>
      <c r="J878" s="2" t="s">
        <v>485</v>
      </c>
      <c r="K878" t="s">
        <v>390</v>
      </c>
      <c r="L878" t="s">
        <v>39</v>
      </c>
      <c r="M878" t="s">
        <v>459</v>
      </c>
      <c r="O878" t="s">
        <v>34</v>
      </c>
      <c r="P878">
        <v>45565</v>
      </c>
      <c r="S878" s="6">
        <v>5939.08</v>
      </c>
      <c r="T878" t="s">
        <v>254</v>
      </c>
      <c r="U878">
        <v>180</v>
      </c>
      <c r="W878" s="7">
        <v>593</v>
      </c>
      <c r="AI878" t="s">
        <v>390</v>
      </c>
      <c r="AJ878" t="s">
        <v>258</v>
      </c>
      <c r="AK878">
        <v>10.01531197301855</v>
      </c>
    </row>
    <row r="879" spans="1:37" x14ac:dyDescent="0.35">
      <c r="A879">
        <v>9</v>
      </c>
      <c r="B879">
        <v>2024</v>
      </c>
      <c r="C879" t="s">
        <v>33</v>
      </c>
      <c r="D879" t="s">
        <v>34</v>
      </c>
      <c r="E879" s="18" t="s">
        <v>390</v>
      </c>
      <c r="F879" s="3" t="s">
        <v>36</v>
      </c>
      <c r="G879" s="2" t="s">
        <v>43</v>
      </c>
      <c r="H879" s="3">
        <v>54859</v>
      </c>
      <c r="I879" s="3">
        <v>3505</v>
      </c>
      <c r="J879" s="2" t="s">
        <v>486</v>
      </c>
      <c r="K879" t="s">
        <v>390</v>
      </c>
      <c r="L879" t="s">
        <v>39</v>
      </c>
      <c r="M879" t="s">
        <v>459</v>
      </c>
      <c r="O879" t="s">
        <v>34</v>
      </c>
      <c r="P879">
        <v>45565</v>
      </c>
      <c r="S879" s="6">
        <v>5800.17</v>
      </c>
      <c r="T879" t="s">
        <v>254</v>
      </c>
      <c r="U879">
        <v>180</v>
      </c>
      <c r="W879" s="7">
        <v>888</v>
      </c>
      <c r="AI879" t="s">
        <v>390</v>
      </c>
      <c r="AJ879" t="s">
        <v>258</v>
      </c>
      <c r="AK879">
        <v>6.5317229729729727</v>
      </c>
    </row>
    <row r="880" spans="1:37" x14ac:dyDescent="0.35">
      <c r="A880">
        <v>9</v>
      </c>
      <c r="B880">
        <v>2024</v>
      </c>
      <c r="C880" t="s">
        <v>33</v>
      </c>
      <c r="D880" t="s">
        <v>34</v>
      </c>
      <c r="E880" s="18" t="s">
        <v>390</v>
      </c>
      <c r="F880" s="3" t="s">
        <v>36</v>
      </c>
      <c r="G880" s="2" t="s">
        <v>43</v>
      </c>
      <c r="H880" s="3">
        <v>54859</v>
      </c>
      <c r="I880" s="3">
        <v>3504</v>
      </c>
      <c r="J880" s="2" t="s">
        <v>487</v>
      </c>
      <c r="K880" t="s">
        <v>390</v>
      </c>
      <c r="L880" t="s">
        <v>39</v>
      </c>
      <c r="M880" t="s">
        <v>459</v>
      </c>
      <c r="O880" t="s">
        <v>34</v>
      </c>
      <c r="P880">
        <v>45565</v>
      </c>
      <c r="S880" s="6">
        <v>8262.6299999999992</v>
      </c>
      <c r="T880" t="s">
        <v>254</v>
      </c>
      <c r="U880">
        <v>180</v>
      </c>
      <c r="W880" s="7">
        <v>1012</v>
      </c>
      <c r="AI880" t="s">
        <v>390</v>
      </c>
      <c r="AJ880" t="s">
        <v>258</v>
      </c>
      <c r="AK880">
        <v>8.1646541501976273</v>
      </c>
    </row>
    <row r="881" spans="1:37" x14ac:dyDescent="0.35">
      <c r="A881">
        <v>9</v>
      </c>
      <c r="B881">
        <v>2024</v>
      </c>
      <c r="C881" t="s">
        <v>33</v>
      </c>
      <c r="D881" t="s">
        <v>34</v>
      </c>
      <c r="E881" s="18" t="s">
        <v>390</v>
      </c>
      <c r="F881" s="3" t="s">
        <v>36</v>
      </c>
      <c r="G881" s="2" t="s">
        <v>43</v>
      </c>
      <c r="H881" s="3">
        <v>54859</v>
      </c>
      <c r="I881" s="3">
        <v>3503</v>
      </c>
      <c r="J881" s="2" t="s">
        <v>488</v>
      </c>
      <c r="K881" t="s">
        <v>390</v>
      </c>
      <c r="L881" t="s">
        <v>39</v>
      </c>
      <c r="M881" t="s">
        <v>459</v>
      </c>
      <c r="O881" t="s">
        <v>34</v>
      </c>
      <c r="P881">
        <v>45565</v>
      </c>
      <c r="S881" s="6">
        <v>9464.4599999999991</v>
      </c>
      <c r="T881" t="s">
        <v>254</v>
      </c>
      <c r="U881">
        <v>200</v>
      </c>
      <c r="W881" s="7">
        <v>966</v>
      </c>
      <c r="AI881" t="s">
        <v>390</v>
      </c>
      <c r="AJ881" t="s">
        <v>258</v>
      </c>
      <c r="AK881">
        <v>9.7975776397515517</v>
      </c>
    </row>
    <row r="882" spans="1:37" x14ac:dyDescent="0.35">
      <c r="A882">
        <v>9</v>
      </c>
      <c r="B882">
        <v>2024</v>
      </c>
      <c r="C882" t="s">
        <v>33</v>
      </c>
      <c r="D882" t="s">
        <v>34</v>
      </c>
      <c r="E882" s="18" t="s">
        <v>390</v>
      </c>
      <c r="F882" s="3" t="s">
        <v>36</v>
      </c>
      <c r="G882" s="2" t="s">
        <v>43</v>
      </c>
      <c r="H882" s="3">
        <v>54859</v>
      </c>
      <c r="I882" s="3">
        <v>3501</v>
      </c>
      <c r="J882" s="2" t="s">
        <v>489</v>
      </c>
      <c r="K882" t="s">
        <v>390</v>
      </c>
      <c r="L882" t="s">
        <v>39</v>
      </c>
      <c r="M882" t="s">
        <v>459</v>
      </c>
      <c r="O882" t="s">
        <v>34</v>
      </c>
      <c r="P882">
        <v>45565</v>
      </c>
      <c r="S882" s="6">
        <v>5909.57</v>
      </c>
      <c r="T882" t="s">
        <v>254</v>
      </c>
      <c r="U882">
        <v>160</v>
      </c>
      <c r="W882" s="7">
        <v>517</v>
      </c>
      <c r="AI882" t="s">
        <v>390</v>
      </c>
      <c r="AJ882" t="s">
        <v>258</v>
      </c>
      <c r="AK882">
        <v>11.430502901353965</v>
      </c>
    </row>
    <row r="883" spans="1:37" x14ac:dyDescent="0.35">
      <c r="A883">
        <v>9</v>
      </c>
      <c r="B883">
        <v>2024</v>
      </c>
      <c r="C883" t="s">
        <v>33</v>
      </c>
      <c r="D883" t="s">
        <v>34</v>
      </c>
      <c r="E883" s="18" t="s">
        <v>390</v>
      </c>
      <c r="F883" s="3" t="s">
        <v>36</v>
      </c>
      <c r="G883" s="2" t="s">
        <v>43</v>
      </c>
      <c r="H883" s="3">
        <v>54859</v>
      </c>
      <c r="I883" s="3">
        <v>3148</v>
      </c>
      <c r="J883" s="2" t="s">
        <v>442</v>
      </c>
      <c r="K883" t="s">
        <v>390</v>
      </c>
      <c r="L883" t="s">
        <v>39</v>
      </c>
      <c r="M883" t="s">
        <v>459</v>
      </c>
      <c r="O883" t="s">
        <v>34</v>
      </c>
      <c r="P883">
        <v>45565</v>
      </c>
      <c r="S883" s="6">
        <v>27918.2</v>
      </c>
      <c r="T883" t="s">
        <v>254</v>
      </c>
      <c r="U883">
        <v>180</v>
      </c>
      <c r="W883" s="7">
        <v>2502</v>
      </c>
      <c r="AI883" t="s">
        <v>390</v>
      </c>
      <c r="AJ883" t="s">
        <v>258</v>
      </c>
      <c r="AK883">
        <v>11.158353317346123</v>
      </c>
    </row>
    <row r="884" spans="1:37" x14ac:dyDescent="0.35">
      <c r="A884">
        <v>9</v>
      </c>
      <c r="B884">
        <v>2024</v>
      </c>
      <c r="C884" t="s">
        <v>33</v>
      </c>
      <c r="D884" t="s">
        <v>34</v>
      </c>
      <c r="E884" s="18" t="s">
        <v>390</v>
      </c>
      <c r="F884" s="3" t="s">
        <v>36</v>
      </c>
      <c r="G884" s="2" t="s">
        <v>43</v>
      </c>
      <c r="H884" s="3">
        <v>54859</v>
      </c>
      <c r="I884" s="3">
        <v>3138</v>
      </c>
      <c r="J884" s="2" t="s">
        <v>439</v>
      </c>
      <c r="K884" t="s">
        <v>390</v>
      </c>
      <c r="L884" t="s">
        <v>39</v>
      </c>
      <c r="M884" t="s">
        <v>459</v>
      </c>
      <c r="O884" t="s">
        <v>34</v>
      </c>
      <c r="P884">
        <v>45565</v>
      </c>
      <c r="S884" s="6">
        <v>12689.5</v>
      </c>
      <c r="T884" t="s">
        <v>254</v>
      </c>
      <c r="U884">
        <v>180</v>
      </c>
      <c r="W884" s="7">
        <v>1227</v>
      </c>
      <c r="AI884" t="s">
        <v>390</v>
      </c>
      <c r="AJ884" t="s">
        <v>258</v>
      </c>
      <c r="AK884">
        <v>10.341890790546048</v>
      </c>
    </row>
    <row r="885" spans="1:37" x14ac:dyDescent="0.35">
      <c r="A885">
        <v>9</v>
      </c>
      <c r="B885">
        <v>2024</v>
      </c>
      <c r="C885" t="s">
        <v>33</v>
      </c>
      <c r="D885" t="s">
        <v>34</v>
      </c>
      <c r="E885" s="18" t="s">
        <v>390</v>
      </c>
      <c r="F885" s="3" t="s">
        <v>36</v>
      </c>
      <c r="G885" s="2" t="s">
        <v>43</v>
      </c>
      <c r="H885" s="3">
        <v>54859</v>
      </c>
      <c r="I885" s="3">
        <v>3136</v>
      </c>
      <c r="J885" s="2" t="s">
        <v>449</v>
      </c>
      <c r="K885" t="s">
        <v>390</v>
      </c>
      <c r="L885" t="s">
        <v>39</v>
      </c>
      <c r="M885" t="s">
        <v>459</v>
      </c>
      <c r="O885" t="s">
        <v>34</v>
      </c>
      <c r="P885">
        <v>45565</v>
      </c>
      <c r="S885" s="6">
        <v>3403.57</v>
      </c>
      <c r="T885" t="s">
        <v>254</v>
      </c>
      <c r="U885">
        <v>200</v>
      </c>
      <c r="W885" s="7">
        <v>481</v>
      </c>
      <c r="AI885" t="s">
        <v>390</v>
      </c>
      <c r="AJ885" t="s">
        <v>258</v>
      </c>
      <c r="AK885">
        <v>7.0760291060291065</v>
      </c>
    </row>
    <row r="886" spans="1:37" x14ac:dyDescent="0.35">
      <c r="A886">
        <v>9</v>
      </c>
      <c r="B886">
        <v>2024</v>
      </c>
      <c r="C886" t="s">
        <v>33</v>
      </c>
      <c r="D886" t="s">
        <v>34</v>
      </c>
      <c r="E886" s="18" t="s">
        <v>390</v>
      </c>
      <c r="F886" s="3" t="s">
        <v>36</v>
      </c>
      <c r="G886" s="2" t="s">
        <v>43</v>
      </c>
      <c r="H886" s="3">
        <v>54859</v>
      </c>
      <c r="I886" s="3">
        <v>2430</v>
      </c>
      <c r="J886" s="2" t="s">
        <v>359</v>
      </c>
      <c r="K886" t="s">
        <v>390</v>
      </c>
      <c r="L886" t="s">
        <v>39</v>
      </c>
      <c r="M886" t="s">
        <v>459</v>
      </c>
      <c r="O886" t="s">
        <v>34</v>
      </c>
      <c r="P886">
        <v>45565</v>
      </c>
      <c r="S886" s="6">
        <v>6205.13</v>
      </c>
      <c r="T886" t="s">
        <v>254</v>
      </c>
      <c r="U886">
        <v>160</v>
      </c>
      <c r="W886" s="7">
        <v>570</v>
      </c>
      <c r="AI886" t="s">
        <v>390</v>
      </c>
      <c r="AJ886" t="s">
        <v>258</v>
      </c>
      <c r="AK886">
        <v>10.886192982456141</v>
      </c>
    </row>
    <row r="887" spans="1:37" x14ac:dyDescent="0.35">
      <c r="A887">
        <v>9</v>
      </c>
      <c r="B887">
        <v>2024</v>
      </c>
      <c r="C887" t="s">
        <v>33</v>
      </c>
      <c r="D887" t="s">
        <v>34</v>
      </c>
      <c r="E887" s="18" t="s">
        <v>390</v>
      </c>
      <c r="F887" s="3" t="s">
        <v>36</v>
      </c>
      <c r="G887" s="2" t="s">
        <v>43</v>
      </c>
      <c r="H887" s="3">
        <v>54859</v>
      </c>
      <c r="I887" s="3">
        <v>2415</v>
      </c>
      <c r="J887" s="2" t="s">
        <v>490</v>
      </c>
      <c r="K887" t="s">
        <v>390</v>
      </c>
      <c r="L887" t="s">
        <v>39</v>
      </c>
      <c r="M887" t="s">
        <v>459</v>
      </c>
      <c r="O887" t="s">
        <v>34</v>
      </c>
      <c r="P887">
        <v>45565</v>
      </c>
      <c r="S887" s="6">
        <v>3354.04</v>
      </c>
      <c r="T887" t="s">
        <v>254</v>
      </c>
      <c r="U887">
        <v>200</v>
      </c>
      <c r="W887" s="7">
        <v>316</v>
      </c>
      <c r="AI887" t="s">
        <v>390</v>
      </c>
      <c r="AJ887" t="s">
        <v>258</v>
      </c>
      <c r="AK887">
        <v>10.614050632911392</v>
      </c>
    </row>
    <row r="888" spans="1:37" x14ac:dyDescent="0.35">
      <c r="A888">
        <v>9</v>
      </c>
      <c r="B888">
        <v>2024</v>
      </c>
      <c r="C888" t="s">
        <v>33</v>
      </c>
      <c r="D888" t="s">
        <v>34</v>
      </c>
      <c r="E888" s="18" t="s">
        <v>390</v>
      </c>
      <c r="F888" s="3" t="s">
        <v>36</v>
      </c>
      <c r="G888" s="2" t="s">
        <v>43</v>
      </c>
      <c r="H888" s="3">
        <v>54859</v>
      </c>
      <c r="I888" s="3">
        <v>3500</v>
      </c>
      <c r="J888" s="2" t="s">
        <v>491</v>
      </c>
      <c r="K888" t="s">
        <v>390</v>
      </c>
      <c r="L888" t="s">
        <v>39</v>
      </c>
      <c r="M888" t="s">
        <v>459</v>
      </c>
      <c r="O888" t="s">
        <v>34</v>
      </c>
      <c r="P888">
        <v>45565</v>
      </c>
      <c r="S888" s="6">
        <v>4682.1499999999996</v>
      </c>
      <c r="T888" t="s">
        <v>254</v>
      </c>
      <c r="U888">
        <v>160</v>
      </c>
      <c r="W888" s="7">
        <v>506</v>
      </c>
      <c r="AI888" t="s">
        <v>390</v>
      </c>
      <c r="AJ888" t="s">
        <v>258</v>
      </c>
      <c r="AK888">
        <v>9.2532608695652172</v>
      </c>
    </row>
    <row r="889" spans="1:37" x14ac:dyDescent="0.35">
      <c r="A889">
        <v>10</v>
      </c>
      <c r="B889">
        <v>2024</v>
      </c>
      <c r="C889" t="s">
        <v>33</v>
      </c>
      <c r="D889" t="s">
        <v>34</v>
      </c>
      <c r="E889" t="s">
        <v>42</v>
      </c>
      <c r="F889" s="3" t="s">
        <v>36</v>
      </c>
      <c r="G889" s="2" t="s">
        <v>43</v>
      </c>
      <c r="H889" s="3">
        <v>54881</v>
      </c>
      <c r="I889" s="3">
        <v>3343</v>
      </c>
      <c r="J889" s="2" t="s">
        <v>455</v>
      </c>
      <c r="K889" t="s">
        <v>42</v>
      </c>
      <c r="L889" t="s">
        <v>39</v>
      </c>
      <c r="M889" t="s">
        <v>459</v>
      </c>
      <c r="O889" t="s">
        <v>297</v>
      </c>
      <c r="P889">
        <v>45566</v>
      </c>
      <c r="S889" s="6">
        <v>14737.11</v>
      </c>
      <c r="T889" t="s">
        <v>254</v>
      </c>
      <c r="U889">
        <v>390</v>
      </c>
      <c r="W889" s="7">
        <v>541</v>
      </c>
      <c r="AI889" t="s">
        <v>255</v>
      </c>
      <c r="AJ889" t="s">
        <v>262</v>
      </c>
      <c r="AK889">
        <v>27.240499075785582</v>
      </c>
    </row>
    <row r="890" spans="1:37" x14ac:dyDescent="0.35">
      <c r="A890">
        <v>10</v>
      </c>
      <c r="B890">
        <v>2024</v>
      </c>
      <c r="C890" t="s">
        <v>33</v>
      </c>
      <c r="D890" t="s">
        <v>34</v>
      </c>
      <c r="E890" t="s">
        <v>42</v>
      </c>
      <c r="F890" s="3" t="s">
        <v>36</v>
      </c>
      <c r="G890" s="2" t="s">
        <v>43</v>
      </c>
      <c r="H890" s="3">
        <v>54885</v>
      </c>
      <c r="I890" s="3">
        <v>3009</v>
      </c>
      <c r="J890" s="2" t="s">
        <v>424</v>
      </c>
      <c r="K890" t="s">
        <v>42</v>
      </c>
      <c r="L890" t="s">
        <v>39</v>
      </c>
      <c r="M890" t="s">
        <v>459</v>
      </c>
      <c r="O890" t="s">
        <v>297</v>
      </c>
      <c r="P890">
        <v>45566</v>
      </c>
      <c r="S890" s="6">
        <v>12580.21</v>
      </c>
      <c r="T890" t="s">
        <v>254</v>
      </c>
      <c r="U890">
        <v>300</v>
      </c>
      <c r="W890" s="7">
        <v>537</v>
      </c>
      <c r="AI890" t="s">
        <v>255</v>
      </c>
      <c r="AJ890" t="s">
        <v>262</v>
      </c>
      <c r="AK890">
        <v>23.426834264432028</v>
      </c>
    </row>
    <row r="891" spans="1:37" x14ac:dyDescent="0.35">
      <c r="A891">
        <v>10</v>
      </c>
      <c r="B891">
        <v>2024</v>
      </c>
      <c r="C891" t="s">
        <v>33</v>
      </c>
      <c r="D891" t="s">
        <v>34</v>
      </c>
      <c r="E891" t="s">
        <v>42</v>
      </c>
      <c r="F891" s="3" t="s">
        <v>36</v>
      </c>
      <c r="G891" s="2" t="s">
        <v>43</v>
      </c>
      <c r="H891" s="3">
        <v>54885</v>
      </c>
      <c r="I891" s="3">
        <v>2497</v>
      </c>
      <c r="J891" s="2" t="s">
        <v>386</v>
      </c>
      <c r="K891" t="s">
        <v>42</v>
      </c>
      <c r="L891" t="s">
        <v>39</v>
      </c>
      <c r="M891" t="s">
        <v>459</v>
      </c>
      <c r="O891" t="s">
        <v>297</v>
      </c>
      <c r="P891">
        <v>45566</v>
      </c>
      <c r="S891" s="6">
        <v>9793.5</v>
      </c>
      <c r="T891" t="s">
        <v>254</v>
      </c>
      <c r="U891">
        <v>230</v>
      </c>
      <c r="W891" s="7">
        <v>749</v>
      </c>
      <c r="AI891" t="s">
        <v>255</v>
      </c>
      <c r="AJ891" t="s">
        <v>262</v>
      </c>
      <c r="AK891">
        <v>13.075433911882509</v>
      </c>
    </row>
    <row r="892" spans="1:37" x14ac:dyDescent="0.35">
      <c r="A892">
        <v>10</v>
      </c>
      <c r="B892">
        <v>2024</v>
      </c>
      <c r="C892" t="s">
        <v>33</v>
      </c>
      <c r="D892" t="s">
        <v>34</v>
      </c>
      <c r="E892" t="s">
        <v>42</v>
      </c>
      <c r="F892" s="3" t="s">
        <v>36</v>
      </c>
      <c r="G892" s="2" t="s">
        <v>43</v>
      </c>
      <c r="H892" s="3">
        <v>54885</v>
      </c>
      <c r="I892" s="3">
        <v>2496</v>
      </c>
      <c r="J892" s="2" t="s">
        <v>385</v>
      </c>
      <c r="K892" t="s">
        <v>42</v>
      </c>
      <c r="L892" t="s">
        <v>39</v>
      </c>
      <c r="M892" t="s">
        <v>459</v>
      </c>
      <c r="O892" t="s">
        <v>297</v>
      </c>
      <c r="P892">
        <v>45566</v>
      </c>
      <c r="S892" s="6">
        <v>11074.9</v>
      </c>
      <c r="T892" t="s">
        <v>254</v>
      </c>
      <c r="U892">
        <v>310</v>
      </c>
      <c r="W892" s="7">
        <v>484</v>
      </c>
      <c r="AI892" t="s">
        <v>255</v>
      </c>
      <c r="AJ892" t="s">
        <v>262</v>
      </c>
      <c r="AK892">
        <v>22.882024793388428</v>
      </c>
    </row>
    <row r="893" spans="1:37" x14ac:dyDescent="0.35">
      <c r="A893">
        <v>10</v>
      </c>
      <c r="B893">
        <v>2024</v>
      </c>
      <c r="C893" t="s">
        <v>33</v>
      </c>
      <c r="D893" t="s">
        <v>34</v>
      </c>
      <c r="E893" t="s">
        <v>42</v>
      </c>
      <c r="F893" s="3" t="s">
        <v>36</v>
      </c>
      <c r="G893" s="2" t="s">
        <v>43</v>
      </c>
      <c r="H893" s="3">
        <v>54885</v>
      </c>
      <c r="I893" s="3">
        <v>1525</v>
      </c>
      <c r="J893" s="2" t="s">
        <v>283</v>
      </c>
      <c r="K893" t="s">
        <v>42</v>
      </c>
      <c r="L893" t="s">
        <v>39</v>
      </c>
      <c r="M893" t="s">
        <v>459</v>
      </c>
      <c r="O893" t="s">
        <v>297</v>
      </c>
      <c r="P893">
        <v>45566</v>
      </c>
      <c r="S893" s="6">
        <v>43954.18</v>
      </c>
      <c r="T893" t="s">
        <v>254</v>
      </c>
      <c r="U893">
        <v>320</v>
      </c>
      <c r="W893" s="7">
        <v>2140</v>
      </c>
      <c r="AI893" t="s">
        <v>255</v>
      </c>
      <c r="AJ893" t="s">
        <v>262</v>
      </c>
      <c r="AK893">
        <v>20.539336448598132</v>
      </c>
    </row>
    <row r="894" spans="1:37" x14ac:dyDescent="0.35">
      <c r="A894">
        <v>10</v>
      </c>
      <c r="B894">
        <v>2024</v>
      </c>
      <c r="C894" t="s">
        <v>33</v>
      </c>
      <c r="D894" t="s">
        <v>34</v>
      </c>
      <c r="E894" t="s">
        <v>42</v>
      </c>
      <c r="F894" s="3" t="s">
        <v>36</v>
      </c>
      <c r="G894" s="2" t="s">
        <v>43</v>
      </c>
      <c r="H894" s="3">
        <v>54885</v>
      </c>
      <c r="I894" s="3">
        <v>2054</v>
      </c>
      <c r="J894" s="2" t="s">
        <v>330</v>
      </c>
      <c r="K894" t="s">
        <v>42</v>
      </c>
      <c r="L894" t="s">
        <v>39</v>
      </c>
      <c r="M894" t="s">
        <v>459</v>
      </c>
      <c r="O894" t="s">
        <v>297</v>
      </c>
      <c r="P894">
        <v>45566</v>
      </c>
      <c r="S894" s="6">
        <v>19386.52</v>
      </c>
      <c r="T894" t="s">
        <v>254</v>
      </c>
      <c r="U894">
        <v>280</v>
      </c>
      <c r="W894" s="7">
        <v>1112</v>
      </c>
      <c r="AI894" t="s">
        <v>255</v>
      </c>
      <c r="AJ894" t="s">
        <v>262</v>
      </c>
      <c r="AK894">
        <v>17.433920863309353</v>
      </c>
    </row>
    <row r="895" spans="1:37" x14ac:dyDescent="0.35">
      <c r="A895">
        <v>10</v>
      </c>
      <c r="B895">
        <v>2024</v>
      </c>
      <c r="C895" t="s">
        <v>33</v>
      </c>
      <c r="D895" t="s">
        <v>34</v>
      </c>
      <c r="E895" t="s">
        <v>42</v>
      </c>
      <c r="F895" s="3" t="s">
        <v>36</v>
      </c>
      <c r="G895" s="2" t="s">
        <v>43</v>
      </c>
      <c r="H895" s="3">
        <v>54885</v>
      </c>
      <c r="I895" s="3">
        <v>1506</v>
      </c>
      <c r="J895" s="2" t="s">
        <v>253</v>
      </c>
      <c r="K895" t="s">
        <v>42</v>
      </c>
      <c r="L895" t="s">
        <v>39</v>
      </c>
      <c r="M895" t="s">
        <v>459</v>
      </c>
      <c r="O895" t="s">
        <v>297</v>
      </c>
      <c r="P895">
        <v>45566</v>
      </c>
      <c r="S895" s="6">
        <v>40253.29</v>
      </c>
      <c r="T895" t="s">
        <v>254</v>
      </c>
      <c r="U895">
        <v>280</v>
      </c>
      <c r="W895" s="7">
        <v>2111</v>
      </c>
      <c r="AI895" t="s">
        <v>255</v>
      </c>
      <c r="AJ895" t="s">
        <v>262</v>
      </c>
      <c r="AK895">
        <v>19.068351492183801</v>
      </c>
    </row>
    <row r="896" spans="1:37" x14ac:dyDescent="0.35">
      <c r="A896">
        <v>10</v>
      </c>
      <c r="B896">
        <v>2024</v>
      </c>
      <c r="C896" t="s">
        <v>33</v>
      </c>
      <c r="D896" t="s">
        <v>34</v>
      </c>
      <c r="E896" t="s">
        <v>42</v>
      </c>
      <c r="F896" s="3" t="s">
        <v>36</v>
      </c>
      <c r="G896" s="2" t="s">
        <v>43</v>
      </c>
      <c r="H896" s="3">
        <v>54885</v>
      </c>
      <c r="I896" s="3">
        <v>1504</v>
      </c>
      <c r="J896" s="2" t="s">
        <v>263</v>
      </c>
      <c r="K896" t="s">
        <v>42</v>
      </c>
      <c r="L896" t="s">
        <v>39</v>
      </c>
      <c r="M896" t="s">
        <v>459</v>
      </c>
      <c r="O896" t="s">
        <v>297</v>
      </c>
      <c r="P896">
        <v>45566</v>
      </c>
      <c r="S896" s="6">
        <v>93162.07</v>
      </c>
      <c r="T896" t="s">
        <v>254</v>
      </c>
      <c r="U896">
        <v>240</v>
      </c>
      <c r="W896" s="7">
        <v>5777</v>
      </c>
      <c r="AI896" t="s">
        <v>255</v>
      </c>
      <c r="AJ896" t="s">
        <v>262</v>
      </c>
      <c r="AK896">
        <v>16.126375281287867</v>
      </c>
    </row>
    <row r="897" spans="1:37" x14ac:dyDescent="0.35">
      <c r="A897">
        <v>10</v>
      </c>
      <c r="B897">
        <v>2024</v>
      </c>
      <c r="C897" t="s">
        <v>33</v>
      </c>
      <c r="D897" t="s">
        <v>34</v>
      </c>
      <c r="E897" t="s">
        <v>42</v>
      </c>
      <c r="F897" s="3" t="s">
        <v>36</v>
      </c>
      <c r="G897" s="2" t="s">
        <v>43</v>
      </c>
      <c r="H897" s="3">
        <v>54885</v>
      </c>
      <c r="I897" s="3">
        <v>1236</v>
      </c>
      <c r="J897" s="2" t="s">
        <v>264</v>
      </c>
      <c r="K897" t="s">
        <v>42</v>
      </c>
      <c r="L897" t="s">
        <v>39</v>
      </c>
      <c r="M897" t="s">
        <v>459</v>
      </c>
      <c r="O897" t="s">
        <v>297</v>
      </c>
      <c r="P897">
        <v>45566</v>
      </c>
      <c r="S897" s="6">
        <v>50226.03</v>
      </c>
      <c r="T897" t="s">
        <v>254</v>
      </c>
      <c r="U897">
        <v>240</v>
      </c>
      <c r="W897" s="7">
        <v>2634</v>
      </c>
      <c r="AI897" t="s">
        <v>255</v>
      </c>
      <c r="AJ897" t="s">
        <v>262</v>
      </c>
      <c r="AK897">
        <v>19.068348519362186</v>
      </c>
    </row>
    <row r="898" spans="1:37" x14ac:dyDescent="0.35">
      <c r="A898">
        <v>10</v>
      </c>
      <c r="B898">
        <v>2024</v>
      </c>
      <c r="C898" t="s">
        <v>33</v>
      </c>
      <c r="D898" t="s">
        <v>34</v>
      </c>
      <c r="E898" t="s">
        <v>42</v>
      </c>
      <c r="F898" s="3" t="s">
        <v>36</v>
      </c>
      <c r="G898" s="2" t="s">
        <v>43</v>
      </c>
      <c r="H898" s="3">
        <v>54885</v>
      </c>
      <c r="I898" s="3">
        <v>1225</v>
      </c>
      <c r="J898" s="2" t="s">
        <v>292</v>
      </c>
      <c r="K898" t="s">
        <v>42</v>
      </c>
      <c r="L898" t="s">
        <v>39</v>
      </c>
      <c r="M898" t="s">
        <v>459</v>
      </c>
      <c r="O898" t="s">
        <v>297</v>
      </c>
      <c r="P898">
        <v>45566</v>
      </c>
      <c r="S898" s="6">
        <v>83437.87</v>
      </c>
      <c r="T898" t="s">
        <v>254</v>
      </c>
      <c r="U898">
        <v>240</v>
      </c>
      <c r="W898" s="7">
        <v>5174</v>
      </c>
      <c r="AI898" t="s">
        <v>255</v>
      </c>
      <c r="AJ898" t="s">
        <v>262</v>
      </c>
      <c r="AK898">
        <v>16.126376111325857</v>
      </c>
    </row>
    <row r="899" spans="1:37" x14ac:dyDescent="0.35">
      <c r="A899">
        <v>10</v>
      </c>
      <c r="B899">
        <v>2024</v>
      </c>
      <c r="C899" t="s">
        <v>33</v>
      </c>
      <c r="D899" t="s">
        <v>34</v>
      </c>
      <c r="E899" t="s">
        <v>42</v>
      </c>
      <c r="F899" s="3" t="s">
        <v>36</v>
      </c>
      <c r="G899" s="2" t="s">
        <v>43</v>
      </c>
      <c r="H899" s="3">
        <v>54972</v>
      </c>
      <c r="I899" s="3">
        <v>1504</v>
      </c>
      <c r="J899" s="2" t="s">
        <v>263</v>
      </c>
      <c r="K899" t="s">
        <v>42</v>
      </c>
      <c r="L899" t="s">
        <v>39</v>
      </c>
      <c r="M899" t="s">
        <v>459</v>
      </c>
      <c r="O899" t="s">
        <v>297</v>
      </c>
      <c r="P899">
        <v>45572</v>
      </c>
      <c r="S899" s="6">
        <v>11039.57</v>
      </c>
      <c r="T899" t="s">
        <v>254</v>
      </c>
      <c r="U899">
        <v>240</v>
      </c>
      <c r="W899" s="7">
        <v>682</v>
      </c>
      <c r="AI899" t="s">
        <v>255</v>
      </c>
      <c r="AJ899" t="s">
        <v>262</v>
      </c>
      <c r="AK899">
        <v>16.187052785923754</v>
      </c>
    </row>
    <row r="900" spans="1:37" x14ac:dyDescent="0.35">
      <c r="A900">
        <v>10</v>
      </c>
      <c r="B900">
        <v>2024</v>
      </c>
      <c r="C900" t="s">
        <v>33</v>
      </c>
      <c r="D900" t="s">
        <v>34</v>
      </c>
      <c r="E900" t="s">
        <v>42</v>
      </c>
      <c r="F900" s="3" t="s">
        <v>36</v>
      </c>
      <c r="G900" s="2" t="s">
        <v>43</v>
      </c>
      <c r="H900" s="3">
        <v>54972</v>
      </c>
      <c r="I900" s="3">
        <v>1506</v>
      </c>
      <c r="J900" s="2" t="s">
        <v>253</v>
      </c>
      <c r="K900" t="s">
        <v>42</v>
      </c>
      <c r="L900" t="s">
        <v>39</v>
      </c>
      <c r="M900" t="s">
        <v>459</v>
      </c>
      <c r="O900" t="s">
        <v>297</v>
      </c>
      <c r="P900">
        <v>45572</v>
      </c>
      <c r="S900" s="6">
        <v>64827.519999999997</v>
      </c>
      <c r="T900" t="s">
        <v>254</v>
      </c>
      <c r="U900">
        <v>280</v>
      </c>
      <c r="W900" s="7">
        <v>3387</v>
      </c>
      <c r="AI900" t="s">
        <v>255</v>
      </c>
      <c r="AJ900" t="s">
        <v>262</v>
      </c>
      <c r="AK900">
        <v>19.140100383820489</v>
      </c>
    </row>
    <row r="901" spans="1:37" x14ac:dyDescent="0.35">
      <c r="A901">
        <v>10</v>
      </c>
      <c r="B901">
        <v>2024</v>
      </c>
      <c r="C901" t="s">
        <v>33</v>
      </c>
      <c r="D901" t="s">
        <v>34</v>
      </c>
      <c r="E901" t="s">
        <v>492</v>
      </c>
      <c r="F901" s="3" t="s">
        <v>36</v>
      </c>
      <c r="G901" s="2" t="s">
        <v>82</v>
      </c>
      <c r="H901" s="3">
        <v>55127</v>
      </c>
      <c r="I901" s="3">
        <v>3467</v>
      </c>
      <c r="J901" s="2" t="s">
        <v>493</v>
      </c>
      <c r="K901" t="s">
        <v>492</v>
      </c>
      <c r="L901" t="s">
        <v>39</v>
      </c>
      <c r="M901" t="s">
        <v>459</v>
      </c>
      <c r="O901" t="s">
        <v>34</v>
      </c>
      <c r="P901">
        <v>45580</v>
      </c>
      <c r="S901" s="6">
        <v>6980.97</v>
      </c>
      <c r="T901" t="s">
        <v>254</v>
      </c>
      <c r="U901">
        <v>160</v>
      </c>
      <c r="W901" s="7">
        <v>1038</v>
      </c>
      <c r="AI901" t="s">
        <v>492</v>
      </c>
      <c r="AJ901" t="s">
        <v>258</v>
      </c>
      <c r="AK901">
        <v>6.7254046242774566</v>
      </c>
    </row>
    <row r="902" spans="1:37" x14ac:dyDescent="0.35">
      <c r="A902">
        <v>10</v>
      </c>
      <c r="B902">
        <v>2024</v>
      </c>
      <c r="C902" t="s">
        <v>33</v>
      </c>
      <c r="D902" t="s">
        <v>34</v>
      </c>
      <c r="E902" t="s">
        <v>492</v>
      </c>
      <c r="F902" s="3" t="s">
        <v>36</v>
      </c>
      <c r="G902" s="2" t="s">
        <v>82</v>
      </c>
      <c r="H902" s="3">
        <v>55202</v>
      </c>
      <c r="I902" s="3">
        <v>3467</v>
      </c>
      <c r="J902" s="2" t="s">
        <v>493</v>
      </c>
      <c r="K902" t="s">
        <v>492</v>
      </c>
      <c r="L902" t="s">
        <v>39</v>
      </c>
      <c r="M902" t="s">
        <v>494</v>
      </c>
      <c r="O902" t="s">
        <v>34</v>
      </c>
      <c r="P902">
        <v>45583</v>
      </c>
      <c r="S902" s="6">
        <v>9340.1</v>
      </c>
      <c r="T902" t="s">
        <v>254</v>
      </c>
      <c r="U902">
        <v>160</v>
      </c>
      <c r="W902" s="7">
        <v>1038</v>
      </c>
      <c r="AI902" t="s">
        <v>492</v>
      </c>
      <c r="AJ902" t="s">
        <v>258</v>
      </c>
      <c r="AK902">
        <v>8.998169556840077</v>
      </c>
    </row>
    <row r="903" spans="1:37" x14ac:dyDescent="0.35">
      <c r="A903">
        <v>10</v>
      </c>
      <c r="B903">
        <v>2024</v>
      </c>
      <c r="C903" t="s">
        <v>33</v>
      </c>
      <c r="D903" t="s">
        <v>34</v>
      </c>
      <c r="E903" t="s">
        <v>42</v>
      </c>
      <c r="F903" s="3" t="s">
        <v>36</v>
      </c>
      <c r="G903" s="2" t="s">
        <v>43</v>
      </c>
      <c r="H903" s="3">
        <v>55327</v>
      </c>
      <c r="I903" s="3">
        <v>2497</v>
      </c>
      <c r="J903" s="2" t="s">
        <v>386</v>
      </c>
      <c r="K903" t="s">
        <v>42</v>
      </c>
      <c r="L903" t="s">
        <v>39</v>
      </c>
      <c r="M903" t="s">
        <v>459</v>
      </c>
      <c r="O903" t="s">
        <v>297</v>
      </c>
      <c r="P903">
        <v>45590</v>
      </c>
      <c r="S903" s="6">
        <v>7631.39</v>
      </c>
      <c r="T903" t="s">
        <v>254</v>
      </c>
      <c r="U903">
        <v>230</v>
      </c>
      <c r="W903" s="7">
        <v>557</v>
      </c>
      <c r="AI903" t="s">
        <v>255</v>
      </c>
      <c r="AJ903" t="s">
        <v>262</v>
      </c>
      <c r="AK903">
        <v>13.700879712746859</v>
      </c>
    </row>
    <row r="904" spans="1:37" x14ac:dyDescent="0.35">
      <c r="A904">
        <v>10</v>
      </c>
      <c r="B904">
        <v>2024</v>
      </c>
      <c r="C904" t="s">
        <v>33</v>
      </c>
      <c r="D904" t="s">
        <v>34</v>
      </c>
      <c r="E904" t="s">
        <v>42</v>
      </c>
      <c r="F904" s="3" t="s">
        <v>36</v>
      </c>
      <c r="G904" s="2" t="s">
        <v>43</v>
      </c>
      <c r="H904" s="3">
        <v>55327</v>
      </c>
      <c r="I904" s="3">
        <v>1525</v>
      </c>
      <c r="J904" s="2" t="s">
        <v>283</v>
      </c>
      <c r="K904" t="s">
        <v>42</v>
      </c>
      <c r="L904" t="s">
        <v>39</v>
      </c>
      <c r="M904" t="s">
        <v>459</v>
      </c>
      <c r="O904" t="s">
        <v>297</v>
      </c>
      <c r="P904">
        <v>45590</v>
      </c>
      <c r="S904" s="6">
        <v>25266.59</v>
      </c>
      <c r="T904" t="s">
        <v>254</v>
      </c>
      <c r="U904">
        <v>320</v>
      </c>
      <c r="W904" s="7">
        <v>1174</v>
      </c>
      <c r="AI904" t="s">
        <v>255</v>
      </c>
      <c r="AJ904" t="s">
        <v>262</v>
      </c>
      <c r="AK904">
        <v>21.521797274275979</v>
      </c>
    </row>
    <row r="905" spans="1:37" x14ac:dyDescent="0.35">
      <c r="A905">
        <v>10</v>
      </c>
      <c r="B905">
        <v>2024</v>
      </c>
      <c r="C905" t="s">
        <v>33</v>
      </c>
      <c r="D905" t="s">
        <v>34</v>
      </c>
      <c r="E905" t="s">
        <v>42</v>
      </c>
      <c r="F905" s="3" t="s">
        <v>36</v>
      </c>
      <c r="G905" s="2" t="s">
        <v>43</v>
      </c>
      <c r="H905" s="3">
        <v>55327</v>
      </c>
      <c r="I905" s="3">
        <v>1506</v>
      </c>
      <c r="J905" s="2" t="s">
        <v>253</v>
      </c>
      <c r="K905" t="s">
        <v>42</v>
      </c>
      <c r="L905" t="s">
        <v>39</v>
      </c>
      <c r="M905" t="s">
        <v>459</v>
      </c>
      <c r="O905" t="s">
        <v>297</v>
      </c>
      <c r="P905">
        <v>45590</v>
      </c>
      <c r="S905" s="6">
        <v>20000.43</v>
      </c>
      <c r="T905" t="s">
        <v>254</v>
      </c>
      <c r="U905">
        <v>280</v>
      </c>
      <c r="W905" s="7">
        <v>1001</v>
      </c>
      <c r="AI905" t="s">
        <v>255</v>
      </c>
      <c r="AJ905" t="s">
        <v>262</v>
      </c>
      <c r="AK905">
        <v>19.980449550449549</v>
      </c>
    </row>
    <row r="906" spans="1:37" x14ac:dyDescent="0.35">
      <c r="A906">
        <v>10</v>
      </c>
      <c r="B906">
        <v>2024</v>
      </c>
      <c r="C906" t="s">
        <v>33</v>
      </c>
      <c r="D906" t="s">
        <v>34</v>
      </c>
      <c r="E906" t="s">
        <v>42</v>
      </c>
      <c r="F906" s="3" t="s">
        <v>36</v>
      </c>
      <c r="G906" s="2" t="s">
        <v>43</v>
      </c>
      <c r="H906" s="3">
        <v>55327</v>
      </c>
      <c r="I906" s="3">
        <v>1504</v>
      </c>
      <c r="J906" s="2" t="s">
        <v>263</v>
      </c>
      <c r="K906" t="s">
        <v>42</v>
      </c>
      <c r="L906" t="s">
        <v>39</v>
      </c>
      <c r="M906" t="s">
        <v>459</v>
      </c>
      <c r="O906" t="s">
        <v>297</v>
      </c>
      <c r="P906">
        <v>45590</v>
      </c>
      <c r="S906" s="6">
        <v>26563.27</v>
      </c>
      <c r="T906" t="s">
        <v>254</v>
      </c>
      <c r="U906">
        <v>240</v>
      </c>
      <c r="W906" s="7">
        <v>1572</v>
      </c>
      <c r="AI906" t="s">
        <v>255</v>
      </c>
      <c r="AJ906" t="s">
        <v>262</v>
      </c>
      <c r="AK906">
        <v>16.897754452926208</v>
      </c>
    </row>
    <row r="907" spans="1:37" x14ac:dyDescent="0.35">
      <c r="A907">
        <v>10</v>
      </c>
      <c r="B907">
        <v>2024</v>
      </c>
      <c r="C907" t="s">
        <v>33</v>
      </c>
      <c r="D907" t="s">
        <v>34</v>
      </c>
      <c r="E907" t="s">
        <v>42</v>
      </c>
      <c r="F907" s="3" t="s">
        <v>36</v>
      </c>
      <c r="G907" s="2" t="s">
        <v>43</v>
      </c>
      <c r="H907" s="3">
        <v>55327</v>
      </c>
      <c r="I907" s="3">
        <v>1236</v>
      </c>
      <c r="J907" s="2" t="s">
        <v>264</v>
      </c>
      <c r="K907" t="s">
        <v>42</v>
      </c>
      <c r="L907" t="s">
        <v>39</v>
      </c>
      <c r="M907" t="s">
        <v>459</v>
      </c>
      <c r="O907" t="s">
        <v>297</v>
      </c>
      <c r="P907">
        <v>45590</v>
      </c>
      <c r="S907" s="6">
        <v>31888.799999999999</v>
      </c>
      <c r="T907" t="s">
        <v>254</v>
      </c>
      <c r="U907">
        <v>240</v>
      </c>
      <c r="W907" s="7">
        <v>1596</v>
      </c>
      <c r="AI907" t="s">
        <v>255</v>
      </c>
      <c r="AJ907" t="s">
        <v>262</v>
      </c>
      <c r="AK907">
        <v>19.980451127819549</v>
      </c>
    </row>
    <row r="908" spans="1:37" x14ac:dyDescent="0.35">
      <c r="A908">
        <v>10</v>
      </c>
      <c r="B908">
        <v>2024</v>
      </c>
      <c r="C908" t="s">
        <v>33</v>
      </c>
      <c r="D908" t="s">
        <v>34</v>
      </c>
      <c r="E908" t="s">
        <v>42</v>
      </c>
      <c r="F908" s="3" t="s">
        <v>36</v>
      </c>
      <c r="G908" s="2" t="s">
        <v>43</v>
      </c>
      <c r="H908" s="3">
        <v>55327</v>
      </c>
      <c r="I908" s="3">
        <v>1225</v>
      </c>
      <c r="J908" s="2" t="s">
        <v>292</v>
      </c>
      <c r="K908" t="s">
        <v>42</v>
      </c>
      <c r="L908" t="s">
        <v>39</v>
      </c>
      <c r="M908" t="s">
        <v>459</v>
      </c>
      <c r="O908" t="s">
        <v>297</v>
      </c>
      <c r="P908">
        <v>45590</v>
      </c>
      <c r="S908" s="6">
        <v>46891.26</v>
      </c>
      <c r="T908" t="s">
        <v>254</v>
      </c>
      <c r="U908">
        <v>240</v>
      </c>
      <c r="W908" s="7">
        <v>2775</v>
      </c>
      <c r="AI908" t="s">
        <v>255</v>
      </c>
      <c r="AJ908" t="s">
        <v>262</v>
      </c>
      <c r="AK908">
        <v>16.897751351351353</v>
      </c>
    </row>
    <row r="909" spans="1:37" x14ac:dyDescent="0.35">
      <c r="A909">
        <v>10</v>
      </c>
      <c r="B909">
        <v>2024</v>
      </c>
      <c r="C909" t="s">
        <v>33</v>
      </c>
      <c r="D909" t="s">
        <v>34</v>
      </c>
      <c r="E909" t="s">
        <v>42</v>
      </c>
      <c r="F909" s="3" t="s">
        <v>36</v>
      </c>
      <c r="G909" s="2" t="s">
        <v>43</v>
      </c>
      <c r="H909" s="3">
        <v>55328</v>
      </c>
      <c r="I909" s="3">
        <v>1905</v>
      </c>
      <c r="J909" s="2" t="s">
        <v>291</v>
      </c>
      <c r="K909" t="s">
        <v>42</v>
      </c>
      <c r="L909" t="s">
        <v>39</v>
      </c>
      <c r="M909" t="s">
        <v>459</v>
      </c>
      <c r="O909" t="s">
        <v>297</v>
      </c>
      <c r="P909">
        <v>45590</v>
      </c>
      <c r="S909" s="6">
        <v>10522.28</v>
      </c>
      <c r="T909" t="s">
        <v>254</v>
      </c>
      <c r="W909" s="7">
        <v>1152</v>
      </c>
      <c r="AI909" t="s">
        <v>255</v>
      </c>
      <c r="AJ909" t="s">
        <v>262</v>
      </c>
      <c r="AK909">
        <v>9.1339236111111113</v>
      </c>
    </row>
    <row r="910" spans="1:37" x14ac:dyDescent="0.35">
      <c r="A910">
        <v>10</v>
      </c>
      <c r="B910">
        <v>2024</v>
      </c>
      <c r="C910" t="s">
        <v>33</v>
      </c>
      <c r="D910" t="s">
        <v>34</v>
      </c>
      <c r="E910" t="s">
        <v>42</v>
      </c>
      <c r="F910" s="3" t="s">
        <v>36</v>
      </c>
      <c r="G910" s="2" t="s">
        <v>43</v>
      </c>
      <c r="H910" s="3">
        <v>55329</v>
      </c>
      <c r="I910" s="3">
        <v>3547</v>
      </c>
      <c r="J910" s="2" t="s">
        <v>495</v>
      </c>
      <c r="K910" t="s">
        <v>42</v>
      </c>
      <c r="L910" t="s">
        <v>39</v>
      </c>
      <c r="M910" t="s">
        <v>459</v>
      </c>
      <c r="O910" t="s">
        <v>297</v>
      </c>
      <c r="P910">
        <v>45590</v>
      </c>
      <c r="S910" s="6">
        <v>38872.82</v>
      </c>
      <c r="T910" t="s">
        <v>254</v>
      </c>
      <c r="U910">
        <v>240</v>
      </c>
      <c r="W910" s="7">
        <v>1170</v>
      </c>
      <c r="AI910" t="s">
        <v>255</v>
      </c>
      <c r="AJ910" t="s">
        <v>262</v>
      </c>
      <c r="AK910">
        <v>33.224632478632479</v>
      </c>
    </row>
    <row r="911" spans="1:37" x14ac:dyDescent="0.35">
      <c r="A911">
        <v>10</v>
      </c>
      <c r="B911">
        <v>2024</v>
      </c>
      <c r="C911" t="s">
        <v>33</v>
      </c>
      <c r="D911" t="s">
        <v>34</v>
      </c>
      <c r="E911" t="s">
        <v>116</v>
      </c>
      <c r="F911" s="3" t="s">
        <v>36</v>
      </c>
      <c r="G911" s="2" t="s">
        <v>50</v>
      </c>
      <c r="H911" s="3">
        <v>55465</v>
      </c>
      <c r="I911" s="3">
        <v>3378</v>
      </c>
      <c r="J911" s="2" t="s">
        <v>460</v>
      </c>
      <c r="K911" t="s">
        <v>116</v>
      </c>
      <c r="L911" t="s">
        <v>39</v>
      </c>
      <c r="M911" t="s">
        <v>459</v>
      </c>
      <c r="O911" t="s">
        <v>34</v>
      </c>
      <c r="P911">
        <v>45596</v>
      </c>
      <c r="S911" s="6">
        <v>16427.62</v>
      </c>
      <c r="T911" t="s">
        <v>254</v>
      </c>
      <c r="U911">
        <v>370</v>
      </c>
      <c r="W911" s="7">
        <v>586</v>
      </c>
      <c r="AI911" t="s">
        <v>116</v>
      </c>
      <c r="AJ911" t="s">
        <v>258</v>
      </c>
      <c r="AK911">
        <v>28.03348122866894</v>
      </c>
    </row>
    <row r="912" spans="1:37" x14ac:dyDescent="0.35">
      <c r="A912">
        <v>10</v>
      </c>
      <c r="B912">
        <v>2024</v>
      </c>
      <c r="C912" t="s">
        <v>33</v>
      </c>
      <c r="D912" t="s">
        <v>34</v>
      </c>
      <c r="E912" t="s">
        <v>116</v>
      </c>
      <c r="F912" s="3" t="s">
        <v>36</v>
      </c>
      <c r="G912" s="2" t="s">
        <v>50</v>
      </c>
      <c r="H912" s="3">
        <v>55465</v>
      </c>
      <c r="I912" s="3">
        <v>1422</v>
      </c>
      <c r="J912" s="2" t="s">
        <v>339</v>
      </c>
      <c r="K912" t="s">
        <v>116</v>
      </c>
      <c r="L912" t="s">
        <v>39</v>
      </c>
      <c r="M912" t="s">
        <v>459</v>
      </c>
      <c r="O912" t="s">
        <v>34</v>
      </c>
      <c r="P912">
        <v>45596</v>
      </c>
      <c r="S912" s="6">
        <v>34498.35</v>
      </c>
      <c r="T912" t="s">
        <v>254</v>
      </c>
      <c r="U912">
        <v>240</v>
      </c>
      <c r="W912" s="7">
        <v>2109</v>
      </c>
      <c r="AI912" t="s">
        <v>116</v>
      </c>
      <c r="AJ912" t="s">
        <v>258</v>
      </c>
      <c r="AK912">
        <v>16.357681365576102</v>
      </c>
    </row>
    <row r="913" spans="1:37" x14ac:dyDescent="0.35">
      <c r="A913">
        <v>10</v>
      </c>
      <c r="B913">
        <v>2024</v>
      </c>
      <c r="C913" t="s">
        <v>33</v>
      </c>
      <c r="D913" t="s">
        <v>34</v>
      </c>
      <c r="E913" t="s">
        <v>116</v>
      </c>
      <c r="F913" s="3" t="s">
        <v>36</v>
      </c>
      <c r="G913" s="2" t="s">
        <v>50</v>
      </c>
      <c r="H913" s="3">
        <v>55465</v>
      </c>
      <c r="I913" s="3">
        <v>3512</v>
      </c>
      <c r="J913" s="2" t="s">
        <v>496</v>
      </c>
      <c r="K913" t="s">
        <v>116</v>
      </c>
      <c r="L913" t="s">
        <v>39</v>
      </c>
      <c r="M913" t="s">
        <v>459</v>
      </c>
      <c r="O913" t="s">
        <v>34</v>
      </c>
      <c r="P913">
        <v>45596</v>
      </c>
      <c r="S913" s="6">
        <v>12230.69</v>
      </c>
      <c r="T913" t="s">
        <v>254</v>
      </c>
      <c r="U913">
        <v>340</v>
      </c>
      <c r="W913" s="7">
        <v>575</v>
      </c>
      <c r="AI913" t="s">
        <v>116</v>
      </c>
      <c r="AJ913" t="s">
        <v>258</v>
      </c>
      <c r="AK913">
        <v>21.270765217391304</v>
      </c>
    </row>
    <row r="914" spans="1:37" x14ac:dyDescent="0.35">
      <c r="A914">
        <v>10</v>
      </c>
      <c r="B914">
        <v>2024</v>
      </c>
      <c r="C914" t="s">
        <v>33</v>
      </c>
      <c r="D914" t="s">
        <v>34</v>
      </c>
      <c r="E914" t="s">
        <v>116</v>
      </c>
      <c r="F914" s="3" t="s">
        <v>36</v>
      </c>
      <c r="G914" s="2" t="s">
        <v>50</v>
      </c>
      <c r="H914" s="3">
        <v>55465</v>
      </c>
      <c r="I914" s="3">
        <v>1419</v>
      </c>
      <c r="J914" s="2" t="s">
        <v>341</v>
      </c>
      <c r="K914" t="s">
        <v>116</v>
      </c>
      <c r="L914" t="s">
        <v>39</v>
      </c>
      <c r="M914" t="s">
        <v>459</v>
      </c>
      <c r="O914" t="s">
        <v>34</v>
      </c>
      <c r="P914">
        <v>45596</v>
      </c>
      <c r="S914" s="6">
        <v>8323.34</v>
      </c>
      <c r="T914" t="s">
        <v>254</v>
      </c>
      <c r="U914">
        <v>180</v>
      </c>
      <c r="W914" s="7">
        <v>640</v>
      </c>
      <c r="AI914" t="s">
        <v>116</v>
      </c>
      <c r="AJ914" t="s">
        <v>258</v>
      </c>
      <c r="AK914">
        <v>13.005218750000001</v>
      </c>
    </row>
    <row r="915" spans="1:37" x14ac:dyDescent="0.35">
      <c r="A915">
        <v>10</v>
      </c>
      <c r="B915">
        <v>2024</v>
      </c>
      <c r="C915" t="s">
        <v>33</v>
      </c>
      <c r="D915" t="s">
        <v>34</v>
      </c>
      <c r="E915" t="s">
        <v>116</v>
      </c>
      <c r="F915" s="3" t="s">
        <v>36</v>
      </c>
      <c r="G915" s="2" t="s">
        <v>50</v>
      </c>
      <c r="H915" s="3">
        <v>55465</v>
      </c>
      <c r="I915" s="3">
        <v>1422</v>
      </c>
      <c r="J915" s="2" t="s">
        <v>339</v>
      </c>
      <c r="K915" t="s">
        <v>116</v>
      </c>
      <c r="L915" t="s">
        <v>39</v>
      </c>
      <c r="M915" t="s">
        <v>459</v>
      </c>
      <c r="O915" t="s">
        <v>34</v>
      </c>
      <c r="P915">
        <v>45596</v>
      </c>
      <c r="S915" s="6">
        <v>19743.72</v>
      </c>
      <c r="T915" t="s">
        <v>254</v>
      </c>
      <c r="U915">
        <v>240</v>
      </c>
      <c r="W915" s="7">
        <v>1207</v>
      </c>
      <c r="AI915" t="s">
        <v>116</v>
      </c>
      <c r="AJ915" t="s">
        <v>258</v>
      </c>
      <c r="AK915">
        <v>16.3576801988401</v>
      </c>
    </row>
    <row r="916" spans="1:37" x14ac:dyDescent="0.35">
      <c r="A916">
        <v>10</v>
      </c>
      <c r="B916">
        <v>2024</v>
      </c>
      <c r="C916" t="s">
        <v>33</v>
      </c>
      <c r="D916" t="s">
        <v>34</v>
      </c>
      <c r="E916" t="s">
        <v>344</v>
      </c>
      <c r="F916" s="3" t="s">
        <v>36</v>
      </c>
      <c r="G916" s="2" t="s">
        <v>37</v>
      </c>
      <c r="H916" s="3">
        <v>55491</v>
      </c>
      <c r="I916" s="3">
        <v>3590</v>
      </c>
      <c r="J916" s="2" t="s">
        <v>497</v>
      </c>
      <c r="K916" t="s">
        <v>344</v>
      </c>
      <c r="L916" t="s">
        <v>39</v>
      </c>
      <c r="M916" t="s">
        <v>459</v>
      </c>
      <c r="O916" t="s">
        <v>34</v>
      </c>
      <c r="P916">
        <v>45596</v>
      </c>
      <c r="S916" s="6">
        <v>14473.37</v>
      </c>
      <c r="T916" t="s">
        <v>254</v>
      </c>
      <c r="U916">
        <v>280</v>
      </c>
      <c r="W916" s="7">
        <v>626</v>
      </c>
      <c r="AI916" t="s">
        <v>344</v>
      </c>
      <c r="AJ916" t="s">
        <v>258</v>
      </c>
      <c r="AK916">
        <v>23.120399361022365</v>
      </c>
    </row>
    <row r="917" spans="1:37" x14ac:dyDescent="0.35">
      <c r="A917">
        <v>10</v>
      </c>
      <c r="B917">
        <v>2024</v>
      </c>
      <c r="C917" t="s">
        <v>33</v>
      </c>
      <c r="D917" t="s">
        <v>34</v>
      </c>
      <c r="E917" t="s">
        <v>116</v>
      </c>
      <c r="F917" s="3" t="s">
        <v>36</v>
      </c>
      <c r="G917" s="2" t="s">
        <v>50</v>
      </c>
      <c r="H917" s="3">
        <v>55492</v>
      </c>
      <c r="I917" s="3">
        <v>1419</v>
      </c>
      <c r="J917" s="2" t="s">
        <v>341</v>
      </c>
      <c r="K917" t="s">
        <v>116</v>
      </c>
      <c r="L917" t="s">
        <v>39</v>
      </c>
      <c r="M917" t="s">
        <v>459</v>
      </c>
      <c r="O917" t="s">
        <v>34</v>
      </c>
      <c r="P917">
        <v>45596</v>
      </c>
      <c r="S917" s="6">
        <v>5397.17</v>
      </c>
      <c r="T917" t="s">
        <v>254</v>
      </c>
      <c r="U917">
        <v>180</v>
      </c>
      <c r="W917" s="7">
        <v>415</v>
      </c>
      <c r="AI917" t="s">
        <v>116</v>
      </c>
      <c r="AJ917" t="s">
        <v>258</v>
      </c>
      <c r="AK917">
        <v>13.00522891566265</v>
      </c>
    </row>
    <row r="918" spans="1:37" x14ac:dyDescent="0.35">
      <c r="A918">
        <v>10</v>
      </c>
      <c r="B918">
        <v>2024</v>
      </c>
      <c r="C918" t="s">
        <v>33</v>
      </c>
      <c r="D918" t="s">
        <v>34</v>
      </c>
      <c r="E918" t="s">
        <v>116</v>
      </c>
      <c r="F918" s="3" t="s">
        <v>36</v>
      </c>
      <c r="G918" s="2" t="s">
        <v>50</v>
      </c>
      <c r="H918" s="3">
        <v>55492</v>
      </c>
      <c r="I918" s="3">
        <v>1422</v>
      </c>
      <c r="J918" s="2" t="s">
        <v>339</v>
      </c>
      <c r="K918" t="s">
        <v>116</v>
      </c>
      <c r="L918" t="s">
        <v>39</v>
      </c>
      <c r="M918" t="s">
        <v>459</v>
      </c>
      <c r="O918" t="s">
        <v>34</v>
      </c>
      <c r="P918">
        <v>45596</v>
      </c>
      <c r="S918" s="6">
        <v>21929.11</v>
      </c>
      <c r="T918" t="s">
        <v>254</v>
      </c>
      <c r="U918">
        <v>240</v>
      </c>
      <c r="W918" s="7">
        <v>1340.6</v>
      </c>
      <c r="AI918" t="s">
        <v>116</v>
      </c>
      <c r="AJ918" t="s">
        <v>258</v>
      </c>
      <c r="AK918">
        <v>16.357683126958079</v>
      </c>
    </row>
    <row r="919" spans="1:37" x14ac:dyDescent="0.35">
      <c r="A919">
        <v>10</v>
      </c>
      <c r="B919">
        <v>2024</v>
      </c>
      <c r="C919" t="s">
        <v>33</v>
      </c>
      <c r="D919" t="s">
        <v>34</v>
      </c>
      <c r="E919" s="18" t="s">
        <v>390</v>
      </c>
      <c r="F919" s="3" t="s">
        <v>36</v>
      </c>
      <c r="G919" s="2" t="s">
        <v>43</v>
      </c>
      <c r="H919" s="3">
        <v>55503</v>
      </c>
      <c r="I919" s="3">
        <v>3502</v>
      </c>
      <c r="J919" s="2" t="s">
        <v>498</v>
      </c>
      <c r="K919" t="s">
        <v>390</v>
      </c>
      <c r="L919" t="s">
        <v>39</v>
      </c>
      <c r="M919" t="s">
        <v>459</v>
      </c>
      <c r="O919" t="s">
        <v>34</v>
      </c>
      <c r="P919">
        <v>45596</v>
      </c>
      <c r="S919" s="6">
        <v>7359.8</v>
      </c>
      <c r="T919" t="s">
        <v>254</v>
      </c>
      <c r="U919">
        <v>200</v>
      </c>
      <c r="W919" s="7">
        <v>749</v>
      </c>
      <c r="AI919" t="s">
        <v>390</v>
      </c>
      <c r="AJ919" t="s">
        <v>258</v>
      </c>
      <c r="AK919">
        <v>9.8261682242990656</v>
      </c>
    </row>
    <row r="920" spans="1:37" x14ac:dyDescent="0.35">
      <c r="A920">
        <v>10</v>
      </c>
      <c r="B920">
        <v>2024</v>
      </c>
      <c r="C920" t="s">
        <v>33</v>
      </c>
      <c r="D920" t="s">
        <v>34</v>
      </c>
      <c r="E920" s="18" t="s">
        <v>390</v>
      </c>
      <c r="F920" s="3" t="s">
        <v>36</v>
      </c>
      <c r="G920" s="2" t="s">
        <v>43</v>
      </c>
      <c r="H920" s="3">
        <v>55503</v>
      </c>
      <c r="I920" s="3">
        <v>3510</v>
      </c>
      <c r="J920" s="2" t="s">
        <v>499</v>
      </c>
      <c r="K920" t="s">
        <v>390</v>
      </c>
      <c r="L920" t="s">
        <v>39</v>
      </c>
      <c r="M920" t="s">
        <v>459</v>
      </c>
      <c r="O920" t="s">
        <v>34</v>
      </c>
      <c r="P920">
        <v>45596</v>
      </c>
      <c r="S920" s="6">
        <v>9315.2099999999991</v>
      </c>
      <c r="T920" t="s">
        <v>254</v>
      </c>
      <c r="U920">
        <v>200</v>
      </c>
      <c r="W920" s="7">
        <v>948</v>
      </c>
      <c r="AI920" t="s">
        <v>390</v>
      </c>
      <c r="AJ920" t="s">
        <v>258</v>
      </c>
      <c r="AK920">
        <v>9.826170886075948</v>
      </c>
    </row>
    <row r="921" spans="1:37" x14ac:dyDescent="0.35">
      <c r="A921">
        <v>10</v>
      </c>
      <c r="B921">
        <v>2024</v>
      </c>
      <c r="C921" t="s">
        <v>33</v>
      </c>
      <c r="D921" t="s">
        <v>34</v>
      </c>
      <c r="E921" s="18" t="s">
        <v>390</v>
      </c>
      <c r="F921" s="3" t="s">
        <v>36</v>
      </c>
      <c r="G921" s="2" t="s">
        <v>43</v>
      </c>
      <c r="H921" s="3">
        <v>55503</v>
      </c>
      <c r="I921" s="3">
        <v>3509</v>
      </c>
      <c r="J921" s="2" t="s">
        <v>500</v>
      </c>
      <c r="K921" t="s">
        <v>390</v>
      </c>
      <c r="L921" t="s">
        <v>39</v>
      </c>
      <c r="M921" t="s">
        <v>459</v>
      </c>
      <c r="O921" t="s">
        <v>34</v>
      </c>
      <c r="P921">
        <v>45596</v>
      </c>
      <c r="S921" s="6">
        <v>8800.2000000000007</v>
      </c>
      <c r="T921" t="s">
        <v>254</v>
      </c>
      <c r="U921">
        <v>200</v>
      </c>
      <c r="W921" s="7">
        <v>1015</v>
      </c>
      <c r="AI921" t="s">
        <v>390</v>
      </c>
      <c r="AJ921" t="s">
        <v>258</v>
      </c>
      <c r="AK921">
        <v>8.6701477832512328</v>
      </c>
    </row>
    <row r="922" spans="1:37" x14ac:dyDescent="0.35">
      <c r="A922">
        <v>10</v>
      </c>
      <c r="B922">
        <v>2024</v>
      </c>
      <c r="C922" t="s">
        <v>33</v>
      </c>
      <c r="D922" t="s">
        <v>34</v>
      </c>
      <c r="E922" s="18" t="s">
        <v>390</v>
      </c>
      <c r="F922" s="3" t="s">
        <v>36</v>
      </c>
      <c r="G922" s="2" t="s">
        <v>43</v>
      </c>
      <c r="H922" s="3">
        <v>55503</v>
      </c>
      <c r="I922" s="3">
        <v>3507</v>
      </c>
      <c r="J922" s="2" t="s">
        <v>501</v>
      </c>
      <c r="K922" t="s">
        <v>390</v>
      </c>
      <c r="L922" t="s">
        <v>39</v>
      </c>
      <c r="M922" t="s">
        <v>459</v>
      </c>
      <c r="O922" t="s">
        <v>34</v>
      </c>
      <c r="P922">
        <v>45596</v>
      </c>
      <c r="S922" s="6">
        <v>5067.99</v>
      </c>
      <c r="T922" t="s">
        <v>254</v>
      </c>
      <c r="U922">
        <v>200</v>
      </c>
      <c r="W922" s="7">
        <v>548</v>
      </c>
      <c r="AI922" t="s">
        <v>390</v>
      </c>
      <c r="AJ922" t="s">
        <v>258</v>
      </c>
      <c r="AK922">
        <v>9.2481569343065697</v>
      </c>
    </row>
    <row r="923" spans="1:37" x14ac:dyDescent="0.35">
      <c r="A923">
        <v>10</v>
      </c>
      <c r="B923">
        <v>2024</v>
      </c>
      <c r="C923" t="s">
        <v>33</v>
      </c>
      <c r="D923" t="s">
        <v>34</v>
      </c>
      <c r="E923" s="18" t="s">
        <v>390</v>
      </c>
      <c r="F923" s="3" t="s">
        <v>36</v>
      </c>
      <c r="G923" s="2" t="s">
        <v>43</v>
      </c>
      <c r="H923" s="3">
        <v>55503</v>
      </c>
      <c r="I923" s="3">
        <v>3499</v>
      </c>
      <c r="J923" s="2" t="s">
        <v>502</v>
      </c>
      <c r="K923" t="s">
        <v>390</v>
      </c>
      <c r="L923" t="s">
        <v>39</v>
      </c>
      <c r="M923" t="s">
        <v>459</v>
      </c>
      <c r="O923" t="s">
        <v>34</v>
      </c>
      <c r="P923">
        <v>45596</v>
      </c>
      <c r="S923" s="6">
        <v>6793.93</v>
      </c>
      <c r="T923" t="s">
        <v>254</v>
      </c>
      <c r="U923">
        <v>200</v>
      </c>
      <c r="W923" s="7">
        <v>653</v>
      </c>
      <c r="AI923" t="s">
        <v>390</v>
      </c>
      <c r="AJ923" t="s">
        <v>258</v>
      </c>
      <c r="AK923">
        <v>10.404180704441043</v>
      </c>
    </row>
    <row r="924" spans="1:37" x14ac:dyDescent="0.35">
      <c r="A924">
        <v>10</v>
      </c>
      <c r="B924">
        <v>2024</v>
      </c>
      <c r="C924" t="s">
        <v>33</v>
      </c>
      <c r="D924" t="s">
        <v>34</v>
      </c>
      <c r="E924" s="18" t="s">
        <v>390</v>
      </c>
      <c r="F924" s="3" t="s">
        <v>36</v>
      </c>
      <c r="G924" s="2" t="s">
        <v>43</v>
      </c>
      <c r="H924" s="3">
        <v>55503</v>
      </c>
      <c r="I924" s="3">
        <v>3132</v>
      </c>
      <c r="J924" s="2" t="s">
        <v>447</v>
      </c>
      <c r="K924" t="s">
        <v>390</v>
      </c>
      <c r="L924" t="s">
        <v>39</v>
      </c>
      <c r="M924" t="s">
        <v>459</v>
      </c>
      <c r="O924" t="s">
        <v>34</v>
      </c>
      <c r="P924">
        <v>45596</v>
      </c>
      <c r="S924" s="6">
        <v>6003.79</v>
      </c>
      <c r="T924" t="s">
        <v>254</v>
      </c>
      <c r="U924">
        <v>160</v>
      </c>
      <c r="W924" s="7">
        <v>799</v>
      </c>
      <c r="AI924" t="s">
        <v>390</v>
      </c>
      <c r="AJ924" t="s">
        <v>258</v>
      </c>
      <c r="AK924">
        <v>7.5141301627033794</v>
      </c>
    </row>
    <row r="925" spans="1:37" x14ac:dyDescent="0.35">
      <c r="A925">
        <v>10</v>
      </c>
      <c r="B925">
        <v>2024</v>
      </c>
      <c r="C925" t="s">
        <v>33</v>
      </c>
      <c r="D925" t="s">
        <v>34</v>
      </c>
      <c r="E925" s="18" t="s">
        <v>390</v>
      </c>
      <c r="F925" s="3" t="s">
        <v>36</v>
      </c>
      <c r="G925" s="2" t="s">
        <v>43</v>
      </c>
      <c r="H925" s="3">
        <v>55503</v>
      </c>
      <c r="I925" s="3">
        <v>2419</v>
      </c>
      <c r="J925" s="2" t="s">
        <v>380</v>
      </c>
      <c r="K925" t="s">
        <v>390</v>
      </c>
      <c r="L925" t="s">
        <v>39</v>
      </c>
      <c r="M925" t="s">
        <v>494</v>
      </c>
      <c r="O925" t="s">
        <v>34</v>
      </c>
      <c r="P925">
        <v>45596</v>
      </c>
      <c r="S925" s="6">
        <v>5317.69</v>
      </c>
      <c r="T925" t="s">
        <v>254</v>
      </c>
      <c r="U925">
        <v>180</v>
      </c>
      <c r="W925" s="7">
        <v>460</v>
      </c>
      <c r="AI925" t="s">
        <v>390</v>
      </c>
      <c r="AJ925" t="s">
        <v>258</v>
      </c>
      <c r="AK925">
        <v>11.560195652173912</v>
      </c>
    </row>
    <row r="926" spans="1:37" x14ac:dyDescent="0.35">
      <c r="A926">
        <v>10</v>
      </c>
      <c r="B926">
        <v>2024</v>
      </c>
      <c r="C926" t="s">
        <v>33</v>
      </c>
      <c r="D926" t="s">
        <v>34</v>
      </c>
      <c r="E926" t="s">
        <v>387</v>
      </c>
      <c r="F926" s="3" t="s">
        <v>36</v>
      </c>
      <c r="G926" s="2" t="s">
        <v>388</v>
      </c>
      <c r="H926" s="3">
        <v>55510</v>
      </c>
      <c r="I926" s="3">
        <v>3578</v>
      </c>
      <c r="J926" s="2" t="s">
        <v>503</v>
      </c>
      <c r="K926" t="s">
        <v>387</v>
      </c>
      <c r="L926" t="s">
        <v>39</v>
      </c>
      <c r="M926" t="s">
        <v>459</v>
      </c>
      <c r="O926" t="s">
        <v>34</v>
      </c>
      <c r="P926">
        <v>45596</v>
      </c>
      <c r="S926" s="6">
        <v>14201.71</v>
      </c>
      <c r="T926" t="s">
        <v>254</v>
      </c>
      <c r="U926">
        <v>300</v>
      </c>
      <c r="W926" s="7">
        <v>819</v>
      </c>
      <c r="AI926" t="s">
        <v>387</v>
      </c>
      <c r="AJ926" t="s">
        <v>258</v>
      </c>
      <c r="AK926">
        <v>17.340305250305249</v>
      </c>
    </row>
    <row r="927" spans="1:37" x14ac:dyDescent="0.35">
      <c r="A927">
        <v>10</v>
      </c>
      <c r="B927">
        <v>2024</v>
      </c>
      <c r="C927" t="s">
        <v>33</v>
      </c>
      <c r="D927" t="s">
        <v>34</v>
      </c>
      <c r="E927" t="s">
        <v>387</v>
      </c>
      <c r="F927" s="3" t="s">
        <v>36</v>
      </c>
      <c r="G927" s="2" t="s">
        <v>388</v>
      </c>
      <c r="H927" s="3">
        <v>55510</v>
      </c>
      <c r="I927" s="3">
        <v>3399</v>
      </c>
      <c r="J927" s="2" t="s">
        <v>481</v>
      </c>
      <c r="K927" t="s">
        <v>387</v>
      </c>
      <c r="L927" t="s">
        <v>39</v>
      </c>
      <c r="M927" t="s">
        <v>459</v>
      </c>
      <c r="O927" t="s">
        <v>34</v>
      </c>
      <c r="P927">
        <v>45596</v>
      </c>
      <c r="S927" s="6">
        <v>27667.89</v>
      </c>
      <c r="T927" t="s">
        <v>254</v>
      </c>
      <c r="U927">
        <v>200</v>
      </c>
      <c r="W927" s="7">
        <v>2335</v>
      </c>
      <c r="AI927" t="s">
        <v>387</v>
      </c>
      <c r="AJ927" t="s">
        <v>258</v>
      </c>
      <c r="AK927">
        <v>11.849203426124197</v>
      </c>
    </row>
    <row r="928" spans="1:37" x14ac:dyDescent="0.35">
      <c r="A928">
        <v>10</v>
      </c>
      <c r="B928">
        <v>2024</v>
      </c>
      <c r="C928" t="s">
        <v>33</v>
      </c>
      <c r="D928" t="s">
        <v>34</v>
      </c>
      <c r="E928" t="s">
        <v>387</v>
      </c>
      <c r="F928" s="3" t="s">
        <v>36</v>
      </c>
      <c r="G928" s="2" t="s">
        <v>388</v>
      </c>
      <c r="H928" s="3">
        <v>55510</v>
      </c>
      <c r="I928" s="3">
        <v>2950</v>
      </c>
      <c r="J928" s="2" t="s">
        <v>412</v>
      </c>
      <c r="K928" t="s">
        <v>387</v>
      </c>
      <c r="L928" t="s">
        <v>39</v>
      </c>
      <c r="M928" t="s">
        <v>459</v>
      </c>
      <c r="O928" t="s">
        <v>34</v>
      </c>
      <c r="P928">
        <v>45596</v>
      </c>
      <c r="S928" s="6">
        <v>5361.16</v>
      </c>
      <c r="T928" t="s">
        <v>254</v>
      </c>
      <c r="U928">
        <v>180</v>
      </c>
      <c r="W928" s="7">
        <v>527</v>
      </c>
      <c r="AI928" t="s">
        <v>387</v>
      </c>
      <c r="AJ928" t="s">
        <v>258</v>
      </c>
      <c r="AK928">
        <v>10.172979127134724</v>
      </c>
    </row>
    <row r="929" spans="1:37" x14ac:dyDescent="0.35">
      <c r="A929">
        <v>10</v>
      </c>
      <c r="B929">
        <v>2024</v>
      </c>
      <c r="C929" t="s">
        <v>33</v>
      </c>
      <c r="D929" t="s">
        <v>34</v>
      </c>
      <c r="E929" t="s">
        <v>387</v>
      </c>
      <c r="F929" s="3" t="s">
        <v>36</v>
      </c>
      <c r="G929" s="2" t="s">
        <v>388</v>
      </c>
      <c r="H929" s="3">
        <v>55510</v>
      </c>
      <c r="I929" s="3">
        <v>2942</v>
      </c>
      <c r="J929" s="2" t="s">
        <v>411</v>
      </c>
      <c r="K929" t="s">
        <v>387</v>
      </c>
      <c r="L929" t="s">
        <v>39</v>
      </c>
      <c r="M929" t="s">
        <v>459</v>
      </c>
      <c r="O929" t="s">
        <v>34</v>
      </c>
      <c r="P929">
        <v>45596</v>
      </c>
      <c r="S929" s="6">
        <v>25729.88</v>
      </c>
      <c r="T929" t="s">
        <v>254</v>
      </c>
      <c r="U929">
        <v>260</v>
      </c>
      <c r="W929" s="7">
        <v>1317</v>
      </c>
      <c r="AI929" t="s">
        <v>387</v>
      </c>
      <c r="AJ929" t="s">
        <v>258</v>
      </c>
      <c r="AK929">
        <v>19.536735003796508</v>
      </c>
    </row>
    <row r="930" spans="1:37" x14ac:dyDescent="0.35">
      <c r="A930">
        <v>10</v>
      </c>
      <c r="B930">
        <v>2024</v>
      </c>
      <c r="C930" t="s">
        <v>33</v>
      </c>
      <c r="D930" t="s">
        <v>34</v>
      </c>
      <c r="E930" t="s">
        <v>387</v>
      </c>
      <c r="F930" s="3" t="s">
        <v>36</v>
      </c>
      <c r="G930" s="2" t="s">
        <v>388</v>
      </c>
      <c r="H930" s="3">
        <v>55510</v>
      </c>
      <c r="I930" s="3">
        <v>2942</v>
      </c>
      <c r="J930" s="2" t="s">
        <v>411</v>
      </c>
      <c r="K930" t="s">
        <v>387</v>
      </c>
      <c r="L930" t="s">
        <v>39</v>
      </c>
      <c r="M930" t="s">
        <v>459</v>
      </c>
      <c r="O930" t="s">
        <v>34</v>
      </c>
      <c r="P930">
        <v>45596</v>
      </c>
      <c r="S930" s="6">
        <v>1504.33</v>
      </c>
      <c r="T930" t="s">
        <v>254</v>
      </c>
      <c r="U930">
        <v>260</v>
      </c>
      <c r="W930" s="7">
        <v>77</v>
      </c>
      <c r="AI930" t="s">
        <v>387</v>
      </c>
      <c r="AJ930" t="s">
        <v>258</v>
      </c>
      <c r="AK930">
        <v>19.536753246753246</v>
      </c>
    </row>
    <row r="931" spans="1:37" x14ac:dyDescent="0.35">
      <c r="A931">
        <v>10</v>
      </c>
      <c r="B931">
        <v>2024</v>
      </c>
      <c r="C931" t="s">
        <v>33</v>
      </c>
      <c r="D931" t="s">
        <v>34</v>
      </c>
      <c r="E931" t="s">
        <v>387</v>
      </c>
      <c r="F931" s="3" t="s">
        <v>36</v>
      </c>
      <c r="G931" s="2" t="s">
        <v>388</v>
      </c>
      <c r="H931" s="3">
        <v>55510</v>
      </c>
      <c r="I931" s="3">
        <v>2582</v>
      </c>
      <c r="J931" s="2" t="s">
        <v>402</v>
      </c>
      <c r="K931" t="s">
        <v>387</v>
      </c>
      <c r="L931" t="s">
        <v>39</v>
      </c>
      <c r="M931" t="s">
        <v>459</v>
      </c>
      <c r="O931" t="s">
        <v>34</v>
      </c>
      <c r="P931">
        <v>45596</v>
      </c>
      <c r="S931" s="6">
        <v>67325.100000000006</v>
      </c>
      <c r="T931" t="s">
        <v>254</v>
      </c>
      <c r="U931">
        <v>240</v>
      </c>
      <c r="W931" s="7">
        <v>5343</v>
      </c>
      <c r="AI931" t="s">
        <v>387</v>
      </c>
      <c r="AJ931" t="s">
        <v>258</v>
      </c>
      <c r="AK931">
        <v>12.600617630544638</v>
      </c>
    </row>
    <row r="932" spans="1:37" x14ac:dyDescent="0.35">
      <c r="A932">
        <v>11</v>
      </c>
      <c r="B932">
        <v>2024</v>
      </c>
      <c r="C932" t="s">
        <v>33</v>
      </c>
      <c r="D932" t="s">
        <v>34</v>
      </c>
      <c r="E932" t="s">
        <v>42</v>
      </c>
      <c r="F932" s="3" t="s">
        <v>36</v>
      </c>
      <c r="G932" s="2" t="s">
        <v>43</v>
      </c>
      <c r="H932" s="3">
        <v>55533</v>
      </c>
      <c r="I932" s="3">
        <v>1506</v>
      </c>
      <c r="J932" s="2" t="s">
        <v>253</v>
      </c>
      <c r="K932" t="s">
        <v>42</v>
      </c>
      <c r="L932" t="s">
        <v>39</v>
      </c>
      <c r="M932" t="s">
        <v>459</v>
      </c>
      <c r="O932" t="s">
        <v>297</v>
      </c>
      <c r="P932">
        <v>45597</v>
      </c>
      <c r="S932" s="6">
        <v>20242.87</v>
      </c>
      <c r="T932" t="s">
        <v>254</v>
      </c>
      <c r="U932">
        <v>280</v>
      </c>
      <c r="W932" s="7">
        <v>1001</v>
      </c>
      <c r="AI932" t="s">
        <v>255</v>
      </c>
      <c r="AJ932" t="s">
        <v>262</v>
      </c>
      <c r="AK932">
        <v>20.222647352647353</v>
      </c>
    </row>
    <row r="933" spans="1:37" x14ac:dyDescent="0.35">
      <c r="A933">
        <v>11</v>
      </c>
      <c r="B933">
        <v>2024</v>
      </c>
      <c r="C933" t="s">
        <v>33</v>
      </c>
      <c r="D933" t="s">
        <v>34</v>
      </c>
      <c r="E933" t="s">
        <v>42</v>
      </c>
      <c r="F933" s="3" t="s">
        <v>36</v>
      </c>
      <c r="G933" s="2" t="s">
        <v>43</v>
      </c>
      <c r="H933" s="3">
        <v>55533</v>
      </c>
      <c r="I933" s="3">
        <v>2497</v>
      </c>
      <c r="J933" s="2" t="s">
        <v>386</v>
      </c>
      <c r="K933" t="s">
        <v>42</v>
      </c>
      <c r="L933" t="s">
        <v>39</v>
      </c>
      <c r="M933" t="s">
        <v>459</v>
      </c>
      <c r="O933" t="s">
        <v>297</v>
      </c>
      <c r="P933">
        <v>45597</v>
      </c>
      <c r="S933" s="6">
        <v>7723.9</v>
      </c>
      <c r="T933" t="s">
        <v>254</v>
      </c>
      <c r="U933">
        <v>230</v>
      </c>
      <c r="W933" s="7">
        <v>557</v>
      </c>
      <c r="AI933" t="s">
        <v>255</v>
      </c>
      <c r="AJ933" t="s">
        <v>262</v>
      </c>
      <c r="AK933">
        <v>13.866965888689407</v>
      </c>
    </row>
    <row r="934" spans="1:37" x14ac:dyDescent="0.35">
      <c r="A934">
        <v>11</v>
      </c>
      <c r="B934">
        <v>2024</v>
      </c>
      <c r="C934" t="s">
        <v>33</v>
      </c>
      <c r="D934" t="s">
        <v>34</v>
      </c>
      <c r="E934" t="s">
        <v>42</v>
      </c>
      <c r="F934" s="3" t="s">
        <v>36</v>
      </c>
      <c r="G934" s="2" t="s">
        <v>43</v>
      </c>
      <c r="H934" s="3">
        <v>55533</v>
      </c>
      <c r="I934" s="3">
        <v>1525</v>
      </c>
      <c r="J934" s="2" t="s">
        <v>283</v>
      </c>
      <c r="K934" t="s">
        <v>42</v>
      </c>
      <c r="L934" t="s">
        <v>39</v>
      </c>
      <c r="M934" t="s">
        <v>459</v>
      </c>
      <c r="O934" t="s">
        <v>297</v>
      </c>
      <c r="P934">
        <v>45597</v>
      </c>
      <c r="S934" s="6">
        <v>25572.87</v>
      </c>
      <c r="T934" t="s">
        <v>254</v>
      </c>
      <c r="U934">
        <v>320</v>
      </c>
      <c r="W934" s="7">
        <v>1174</v>
      </c>
      <c r="AI934" t="s">
        <v>255</v>
      </c>
      <c r="AJ934" t="s">
        <v>262</v>
      </c>
      <c r="AK934">
        <v>21.782683134582623</v>
      </c>
    </row>
    <row r="935" spans="1:37" x14ac:dyDescent="0.35">
      <c r="A935">
        <v>11</v>
      </c>
      <c r="B935">
        <v>2024</v>
      </c>
      <c r="C935" t="s">
        <v>33</v>
      </c>
      <c r="D935" t="s">
        <v>34</v>
      </c>
      <c r="E935" t="s">
        <v>42</v>
      </c>
      <c r="F935" s="3" t="s">
        <v>36</v>
      </c>
      <c r="G935" s="2" t="s">
        <v>43</v>
      </c>
      <c r="H935" s="3">
        <v>55533</v>
      </c>
      <c r="I935" s="3">
        <v>1504</v>
      </c>
      <c r="J935" s="2" t="s">
        <v>263</v>
      </c>
      <c r="K935" t="s">
        <v>42</v>
      </c>
      <c r="L935" t="s">
        <v>39</v>
      </c>
      <c r="M935" t="s">
        <v>459</v>
      </c>
      <c r="O935" t="s">
        <v>297</v>
      </c>
      <c r="P935">
        <v>45597</v>
      </c>
      <c r="S935" s="6">
        <v>26885.26</v>
      </c>
      <c r="T935" t="s">
        <v>254</v>
      </c>
      <c r="U935">
        <v>240</v>
      </c>
      <c r="W935" s="7">
        <v>1572</v>
      </c>
      <c r="AI935" t="s">
        <v>255</v>
      </c>
      <c r="AJ935" t="s">
        <v>262</v>
      </c>
      <c r="AK935">
        <v>17.102582697201015</v>
      </c>
    </row>
    <row r="936" spans="1:37" x14ac:dyDescent="0.35">
      <c r="A936">
        <v>11</v>
      </c>
      <c r="B936">
        <v>2024</v>
      </c>
      <c r="C936" t="s">
        <v>33</v>
      </c>
      <c r="D936" t="s">
        <v>34</v>
      </c>
      <c r="E936" t="s">
        <v>42</v>
      </c>
      <c r="F936" s="3" t="s">
        <v>36</v>
      </c>
      <c r="G936" s="2" t="s">
        <v>43</v>
      </c>
      <c r="H936" s="3">
        <v>55533</v>
      </c>
      <c r="I936" s="3">
        <v>1236</v>
      </c>
      <c r="J936" s="2" t="s">
        <v>264</v>
      </c>
      <c r="K936" t="s">
        <v>42</v>
      </c>
      <c r="L936" t="s">
        <v>39</v>
      </c>
      <c r="M936" t="s">
        <v>459</v>
      </c>
      <c r="O936" t="s">
        <v>297</v>
      </c>
      <c r="P936">
        <v>45597</v>
      </c>
      <c r="S936" s="6">
        <v>32275.35</v>
      </c>
      <c r="T936" t="s">
        <v>254</v>
      </c>
      <c r="U936">
        <v>240</v>
      </c>
      <c r="W936" s="7">
        <v>1596</v>
      </c>
      <c r="AI936" t="s">
        <v>255</v>
      </c>
      <c r="AJ936" t="s">
        <v>262</v>
      </c>
      <c r="AK936">
        <v>20.22265037593985</v>
      </c>
    </row>
    <row r="937" spans="1:37" x14ac:dyDescent="0.35">
      <c r="A937">
        <v>11</v>
      </c>
      <c r="B937">
        <v>2024</v>
      </c>
      <c r="C937" t="s">
        <v>33</v>
      </c>
      <c r="D937" t="s">
        <v>34</v>
      </c>
      <c r="E937" t="s">
        <v>42</v>
      </c>
      <c r="F937" s="3" t="s">
        <v>36</v>
      </c>
      <c r="G937" s="2" t="s">
        <v>43</v>
      </c>
      <c r="H937" s="3">
        <v>55533</v>
      </c>
      <c r="I937" s="3">
        <v>1225</v>
      </c>
      <c r="J937" s="2" t="s">
        <v>292</v>
      </c>
      <c r="K937" t="s">
        <v>42</v>
      </c>
      <c r="L937" t="s">
        <v>39</v>
      </c>
      <c r="M937" t="s">
        <v>459</v>
      </c>
      <c r="O937" t="s">
        <v>297</v>
      </c>
      <c r="P937">
        <v>45597</v>
      </c>
      <c r="S937" s="6">
        <v>47459.67</v>
      </c>
      <c r="T937" t="s">
        <v>254</v>
      </c>
      <c r="U937">
        <v>240</v>
      </c>
      <c r="W937" s="7">
        <v>2775</v>
      </c>
      <c r="AI937" t="s">
        <v>255</v>
      </c>
      <c r="AJ937" t="s">
        <v>262</v>
      </c>
      <c r="AK937">
        <v>17.102583783783782</v>
      </c>
    </row>
    <row r="938" spans="1:37" x14ac:dyDescent="0.35">
      <c r="A938">
        <v>11</v>
      </c>
      <c r="B938">
        <v>2024</v>
      </c>
      <c r="C938" t="s">
        <v>33</v>
      </c>
      <c r="D938" t="s">
        <v>34</v>
      </c>
      <c r="E938" t="s">
        <v>453</v>
      </c>
      <c r="F938" s="3" t="s">
        <v>36</v>
      </c>
      <c r="G938" s="2" t="s">
        <v>50</v>
      </c>
      <c r="H938" s="3">
        <v>55874</v>
      </c>
      <c r="I938" s="3">
        <v>1904</v>
      </c>
      <c r="J938" s="2" t="s">
        <v>294</v>
      </c>
      <c r="K938" t="s">
        <v>453</v>
      </c>
      <c r="L938" t="s">
        <v>39</v>
      </c>
      <c r="M938" t="s">
        <v>459</v>
      </c>
      <c r="O938" t="s">
        <v>34</v>
      </c>
      <c r="P938">
        <v>45618</v>
      </c>
      <c r="S938" s="6">
        <v>21411.77</v>
      </c>
      <c r="T938" t="s">
        <v>254</v>
      </c>
      <c r="U938">
        <v>450</v>
      </c>
      <c r="W938" s="7">
        <v>554</v>
      </c>
      <c r="AI938" t="s">
        <v>453</v>
      </c>
      <c r="AJ938" t="s">
        <v>258</v>
      </c>
      <c r="AK938">
        <v>38.649404332129961</v>
      </c>
    </row>
    <row r="939" spans="1:37" x14ac:dyDescent="0.35">
      <c r="A939">
        <v>11</v>
      </c>
      <c r="B939">
        <v>2024</v>
      </c>
      <c r="C939" t="s">
        <v>33</v>
      </c>
      <c r="D939" t="s">
        <v>34</v>
      </c>
      <c r="E939" t="s">
        <v>453</v>
      </c>
      <c r="F939" s="3" t="s">
        <v>36</v>
      </c>
      <c r="G939" s="2" t="s">
        <v>50</v>
      </c>
      <c r="H939" s="3">
        <v>55874</v>
      </c>
      <c r="I939" s="3">
        <v>2032</v>
      </c>
      <c r="J939" s="2" t="s">
        <v>338</v>
      </c>
      <c r="K939" t="s">
        <v>453</v>
      </c>
      <c r="L939" t="s">
        <v>39</v>
      </c>
      <c r="M939" t="s">
        <v>459</v>
      </c>
      <c r="O939" t="s">
        <v>34</v>
      </c>
      <c r="P939">
        <v>45618</v>
      </c>
      <c r="S939" s="6">
        <v>29476.959999999999</v>
      </c>
      <c r="T939" t="s">
        <v>254</v>
      </c>
      <c r="U939">
        <v>360</v>
      </c>
      <c r="W939" s="7">
        <v>1032</v>
      </c>
      <c r="AI939" t="s">
        <v>453</v>
      </c>
      <c r="AJ939" t="s">
        <v>258</v>
      </c>
      <c r="AK939">
        <v>28.562945736434109</v>
      </c>
    </row>
    <row r="940" spans="1:37" x14ac:dyDescent="0.35">
      <c r="A940">
        <v>11</v>
      </c>
      <c r="B940">
        <v>2024</v>
      </c>
      <c r="C940" t="s">
        <v>33</v>
      </c>
      <c r="D940" t="s">
        <v>34</v>
      </c>
      <c r="E940" t="s">
        <v>387</v>
      </c>
      <c r="F940" s="3" t="s">
        <v>36</v>
      </c>
      <c r="G940" s="2" t="s">
        <v>388</v>
      </c>
      <c r="H940" s="3">
        <v>55971</v>
      </c>
      <c r="I940" s="3">
        <v>2941</v>
      </c>
      <c r="J940" s="2" t="s">
        <v>410</v>
      </c>
      <c r="K940" t="s">
        <v>387</v>
      </c>
      <c r="L940" t="s">
        <v>39</v>
      </c>
      <c r="M940" t="s">
        <v>459</v>
      </c>
      <c r="O940" t="s">
        <v>34</v>
      </c>
      <c r="P940">
        <v>45622</v>
      </c>
      <c r="S940" s="6">
        <v>35801.730000000003</v>
      </c>
      <c r="T940" t="s">
        <v>254</v>
      </c>
      <c r="U940">
        <v>320</v>
      </c>
      <c r="W940" s="7">
        <v>2469</v>
      </c>
      <c r="AI940" t="s">
        <v>387</v>
      </c>
      <c r="AJ940" t="s">
        <v>258</v>
      </c>
      <c r="AK940">
        <v>14.500498177399757</v>
      </c>
    </row>
    <row r="941" spans="1:37" x14ac:dyDescent="0.35">
      <c r="A941">
        <v>11</v>
      </c>
      <c r="B941">
        <v>2024</v>
      </c>
      <c r="C941" t="s">
        <v>33</v>
      </c>
      <c r="D941" t="s">
        <v>34</v>
      </c>
      <c r="E941" t="s">
        <v>387</v>
      </c>
      <c r="F941" s="3" t="s">
        <v>36</v>
      </c>
      <c r="G941" s="2" t="s">
        <v>388</v>
      </c>
      <c r="H941" s="3">
        <v>55971</v>
      </c>
      <c r="I941" s="3">
        <v>2950</v>
      </c>
      <c r="J941" s="2" t="s">
        <v>412</v>
      </c>
      <c r="K941" t="s">
        <v>387</v>
      </c>
      <c r="L941" t="s">
        <v>39</v>
      </c>
      <c r="M941" t="s">
        <v>459</v>
      </c>
      <c r="O941" t="s">
        <v>34</v>
      </c>
      <c r="P941">
        <v>45622</v>
      </c>
      <c r="S941" s="6">
        <v>4910.22</v>
      </c>
      <c r="T941" t="s">
        <v>254</v>
      </c>
      <c r="U941">
        <v>180</v>
      </c>
      <c r="W941" s="7">
        <v>481</v>
      </c>
      <c r="AI941" t="s">
        <v>387</v>
      </c>
      <c r="AJ941" t="s">
        <v>258</v>
      </c>
      <c r="AK941">
        <v>10.20835758835759</v>
      </c>
    </row>
    <row r="942" spans="1:37" x14ac:dyDescent="0.35">
      <c r="A942">
        <v>11</v>
      </c>
      <c r="B942">
        <v>2024</v>
      </c>
      <c r="C942" t="s">
        <v>33</v>
      </c>
      <c r="D942" t="s">
        <v>34</v>
      </c>
      <c r="E942" t="s">
        <v>387</v>
      </c>
      <c r="F942" s="3" t="s">
        <v>36</v>
      </c>
      <c r="G942" s="2" t="s">
        <v>388</v>
      </c>
      <c r="H942" s="3">
        <v>55971</v>
      </c>
      <c r="I942" s="3">
        <v>3398</v>
      </c>
      <c r="J942" s="2" t="s">
        <v>482</v>
      </c>
      <c r="K942" t="s">
        <v>387</v>
      </c>
      <c r="L942" t="s">
        <v>39</v>
      </c>
      <c r="M942" t="s">
        <v>459</v>
      </c>
      <c r="O942" t="s">
        <v>34</v>
      </c>
      <c r="P942">
        <v>45622</v>
      </c>
      <c r="S942" s="6">
        <v>16980.09</v>
      </c>
      <c r="T942" t="s">
        <v>254</v>
      </c>
      <c r="U942">
        <v>240</v>
      </c>
      <c r="W942" s="7">
        <v>1171</v>
      </c>
      <c r="AI942" t="s">
        <v>387</v>
      </c>
      <c r="AJ942" t="s">
        <v>258</v>
      </c>
      <c r="AK942">
        <v>14.500503842869342</v>
      </c>
    </row>
    <row r="943" spans="1:37" x14ac:dyDescent="0.35">
      <c r="A943">
        <v>11</v>
      </c>
      <c r="B943">
        <v>2024</v>
      </c>
      <c r="C943" t="s">
        <v>33</v>
      </c>
      <c r="D943" t="s">
        <v>34</v>
      </c>
      <c r="E943" s="18" t="s">
        <v>390</v>
      </c>
      <c r="F943" s="3" t="s">
        <v>36</v>
      </c>
      <c r="G943" s="2" t="s">
        <v>43</v>
      </c>
      <c r="H943" s="3">
        <v>55980</v>
      </c>
      <c r="I943" s="3">
        <v>2427</v>
      </c>
      <c r="J943" s="2" t="s">
        <v>358</v>
      </c>
      <c r="K943" t="s">
        <v>390</v>
      </c>
      <c r="L943" t="s">
        <v>39</v>
      </c>
      <c r="M943" t="s">
        <v>459</v>
      </c>
      <c r="O943" t="s">
        <v>34</v>
      </c>
      <c r="P943">
        <v>45623</v>
      </c>
      <c r="S943" s="6">
        <v>5427.86</v>
      </c>
      <c r="T943" t="s">
        <v>254</v>
      </c>
      <c r="U943">
        <v>160</v>
      </c>
      <c r="W943" s="7">
        <v>468</v>
      </c>
      <c r="AI943" t="s">
        <v>390</v>
      </c>
      <c r="AJ943" t="s">
        <v>258</v>
      </c>
      <c r="AK943">
        <v>11.597991452991453</v>
      </c>
    </row>
    <row r="944" spans="1:37" x14ac:dyDescent="0.35">
      <c r="A944">
        <v>11</v>
      </c>
      <c r="B944">
        <v>2024</v>
      </c>
      <c r="C944" t="s">
        <v>33</v>
      </c>
      <c r="D944" t="s">
        <v>34</v>
      </c>
      <c r="E944" s="18" t="s">
        <v>390</v>
      </c>
      <c r="F944" s="3" t="s">
        <v>36</v>
      </c>
      <c r="G944" s="2" t="s">
        <v>43</v>
      </c>
      <c r="H944" s="3">
        <v>55980</v>
      </c>
      <c r="I944" s="3">
        <v>3135</v>
      </c>
      <c r="J944" s="2" t="s">
        <v>444</v>
      </c>
      <c r="K944" t="s">
        <v>390</v>
      </c>
      <c r="L944" t="s">
        <v>39</v>
      </c>
      <c r="M944" t="s">
        <v>459</v>
      </c>
      <c r="O944" t="s">
        <v>34</v>
      </c>
      <c r="P944">
        <v>45623</v>
      </c>
      <c r="S944" s="6">
        <v>6497.78</v>
      </c>
      <c r="T944" t="s">
        <v>254</v>
      </c>
      <c r="U944">
        <v>160</v>
      </c>
      <c r="W944" s="7">
        <v>747</v>
      </c>
      <c r="AI944" t="s">
        <v>390</v>
      </c>
      <c r="AJ944" t="s">
        <v>258</v>
      </c>
      <c r="AK944">
        <v>8.6985006693440425</v>
      </c>
    </row>
    <row r="945" spans="1:37" x14ac:dyDescent="0.35">
      <c r="A945">
        <v>11</v>
      </c>
      <c r="B945">
        <v>2024</v>
      </c>
      <c r="C945" t="s">
        <v>33</v>
      </c>
      <c r="D945" t="s">
        <v>34</v>
      </c>
      <c r="E945" s="18" t="s">
        <v>390</v>
      </c>
      <c r="F945" s="3" t="s">
        <v>36</v>
      </c>
      <c r="G945" s="2" t="s">
        <v>43</v>
      </c>
      <c r="H945" s="3">
        <v>55980</v>
      </c>
      <c r="I945" s="3">
        <v>3511</v>
      </c>
      <c r="J945" s="2" t="s">
        <v>484</v>
      </c>
      <c r="K945" t="s">
        <v>390</v>
      </c>
      <c r="L945" t="s">
        <v>39</v>
      </c>
      <c r="M945" t="s">
        <v>459</v>
      </c>
      <c r="O945" t="s">
        <v>34</v>
      </c>
      <c r="P945">
        <v>45623</v>
      </c>
      <c r="S945" s="6">
        <v>452.32</v>
      </c>
      <c r="T945" t="s">
        <v>254</v>
      </c>
      <c r="U945">
        <v>200</v>
      </c>
      <c r="W945" s="7">
        <v>52</v>
      </c>
      <c r="AI945" t="s">
        <v>390</v>
      </c>
      <c r="AJ945" t="s">
        <v>258</v>
      </c>
      <c r="AK945">
        <v>8.6984615384615385</v>
      </c>
    </row>
    <row r="946" spans="1:37" x14ac:dyDescent="0.35">
      <c r="A946">
        <v>11</v>
      </c>
      <c r="B946">
        <v>2024</v>
      </c>
      <c r="C946" t="s">
        <v>33</v>
      </c>
      <c r="D946" t="s">
        <v>34</v>
      </c>
      <c r="E946" s="18" t="s">
        <v>390</v>
      </c>
      <c r="F946" s="3" t="s">
        <v>36</v>
      </c>
      <c r="G946" s="2" t="s">
        <v>43</v>
      </c>
      <c r="H946" s="3">
        <v>55980</v>
      </c>
      <c r="I946" s="3">
        <v>3652</v>
      </c>
      <c r="J946" s="2" t="s">
        <v>504</v>
      </c>
      <c r="K946" t="s">
        <v>390</v>
      </c>
      <c r="L946" t="s">
        <v>39</v>
      </c>
      <c r="M946" t="s">
        <v>459</v>
      </c>
      <c r="O946" t="s">
        <v>34</v>
      </c>
      <c r="P946">
        <v>45623</v>
      </c>
      <c r="S946" s="6">
        <v>2394.9899999999998</v>
      </c>
      <c r="T946" t="s">
        <v>254</v>
      </c>
      <c r="U946">
        <v>180</v>
      </c>
      <c r="W946" s="7">
        <v>295</v>
      </c>
      <c r="AI946" t="s">
        <v>390</v>
      </c>
      <c r="AJ946" t="s">
        <v>258</v>
      </c>
      <c r="AK946">
        <v>8.1186101694915251</v>
      </c>
    </row>
    <row r="947" spans="1:37" x14ac:dyDescent="0.35">
      <c r="A947">
        <v>11</v>
      </c>
      <c r="B947">
        <v>2024</v>
      </c>
      <c r="C947" t="s">
        <v>33</v>
      </c>
      <c r="D947" t="s">
        <v>34</v>
      </c>
      <c r="E947" t="s">
        <v>332</v>
      </c>
      <c r="F947" s="3" t="s">
        <v>36</v>
      </c>
      <c r="G947" s="2" t="s">
        <v>82</v>
      </c>
      <c r="H947" s="3">
        <v>56074</v>
      </c>
      <c r="I947" s="3">
        <v>3629</v>
      </c>
      <c r="J947" s="2" t="s">
        <v>505</v>
      </c>
      <c r="K947" t="s">
        <v>332</v>
      </c>
      <c r="L947" t="s">
        <v>39</v>
      </c>
      <c r="M947" t="s">
        <v>459</v>
      </c>
      <c r="O947" t="s">
        <v>34</v>
      </c>
      <c r="P947">
        <v>45626</v>
      </c>
      <c r="S947" s="6">
        <v>9330.09</v>
      </c>
      <c r="T947" t="s">
        <v>254</v>
      </c>
      <c r="U947">
        <v>280</v>
      </c>
      <c r="W947" s="7">
        <v>539</v>
      </c>
      <c r="AI947" t="s">
        <v>332</v>
      </c>
      <c r="AJ947" t="s">
        <v>258</v>
      </c>
      <c r="AK947">
        <v>17.309999999999999</v>
      </c>
    </row>
    <row r="948" spans="1:37" x14ac:dyDescent="0.35">
      <c r="A948">
        <v>11</v>
      </c>
      <c r="B948">
        <v>2024</v>
      </c>
      <c r="C948" t="s">
        <v>33</v>
      </c>
      <c r="D948" t="s">
        <v>34</v>
      </c>
      <c r="E948" t="s">
        <v>332</v>
      </c>
      <c r="F948" s="3" t="s">
        <v>36</v>
      </c>
      <c r="G948" s="2" t="s">
        <v>82</v>
      </c>
      <c r="H948" s="3">
        <v>56074</v>
      </c>
      <c r="I948" s="3">
        <v>3628</v>
      </c>
      <c r="J948" s="2" t="s">
        <v>506</v>
      </c>
      <c r="K948" t="s">
        <v>332</v>
      </c>
      <c r="L948" t="s">
        <v>39</v>
      </c>
      <c r="M948" t="s">
        <v>459</v>
      </c>
      <c r="O948" t="s">
        <v>34</v>
      </c>
      <c r="P948">
        <v>45626</v>
      </c>
      <c r="S948" s="6">
        <v>12200.49</v>
      </c>
      <c r="T948" t="s">
        <v>254</v>
      </c>
      <c r="U948">
        <v>300</v>
      </c>
      <c r="W948" s="7">
        <v>619</v>
      </c>
      <c r="AI948" t="s">
        <v>332</v>
      </c>
      <c r="AJ948" t="s">
        <v>258</v>
      </c>
      <c r="AK948">
        <v>19.71</v>
      </c>
    </row>
    <row r="949" spans="1:37" x14ac:dyDescent="0.35">
      <c r="A949">
        <v>12</v>
      </c>
      <c r="B949">
        <v>2024</v>
      </c>
      <c r="C949" t="s">
        <v>33</v>
      </c>
      <c r="D949" t="s">
        <v>34</v>
      </c>
      <c r="E949" t="s">
        <v>42</v>
      </c>
      <c r="F949" s="3" t="s">
        <v>34</v>
      </c>
      <c r="G949" s="2" t="s">
        <v>43</v>
      </c>
      <c r="H949" s="3">
        <v>56101</v>
      </c>
      <c r="I949" s="3">
        <v>1523</v>
      </c>
      <c r="J949" s="2" t="s">
        <v>282</v>
      </c>
      <c r="K949" t="s">
        <v>42</v>
      </c>
      <c r="L949" t="s">
        <v>39</v>
      </c>
      <c r="M949" t="s">
        <v>507</v>
      </c>
      <c r="O949" t="s">
        <v>297</v>
      </c>
      <c r="P949">
        <v>45629</v>
      </c>
      <c r="S949" s="6">
        <v>4632.8</v>
      </c>
      <c r="T949" t="s">
        <v>254</v>
      </c>
      <c r="W949" s="7">
        <v>506</v>
      </c>
      <c r="AI949" t="s">
        <v>255</v>
      </c>
      <c r="AJ949" t="s">
        <v>262</v>
      </c>
      <c r="AK949">
        <v>9.1557312252964422</v>
      </c>
    </row>
    <row r="950" spans="1:37" x14ac:dyDescent="0.35">
      <c r="A950">
        <v>12</v>
      </c>
      <c r="B950">
        <v>2024</v>
      </c>
      <c r="C950" t="s">
        <v>33</v>
      </c>
      <c r="D950" t="s">
        <v>34</v>
      </c>
      <c r="E950" t="s">
        <v>42</v>
      </c>
      <c r="F950" s="3" t="s">
        <v>34</v>
      </c>
      <c r="G950" s="2" t="s">
        <v>43</v>
      </c>
      <c r="H950" s="3">
        <v>56102</v>
      </c>
      <c r="I950" s="3">
        <v>2054</v>
      </c>
      <c r="J950" s="2" t="s">
        <v>330</v>
      </c>
      <c r="K950" t="s">
        <v>42</v>
      </c>
      <c r="L950" t="s">
        <v>39</v>
      </c>
      <c r="M950" t="s">
        <v>459</v>
      </c>
      <c r="O950" t="s">
        <v>297</v>
      </c>
      <c r="P950">
        <v>45629</v>
      </c>
      <c r="S950" s="6">
        <v>19441.689999999999</v>
      </c>
      <c r="T950" t="s">
        <v>254</v>
      </c>
      <c r="U950">
        <v>280</v>
      </c>
      <c r="W950" s="7">
        <v>1002</v>
      </c>
      <c r="AI950" t="s">
        <v>255</v>
      </c>
      <c r="AJ950" t="s">
        <v>262</v>
      </c>
      <c r="AK950">
        <v>19.402884231536923</v>
      </c>
    </row>
    <row r="951" spans="1:37" x14ac:dyDescent="0.35">
      <c r="A951">
        <v>12</v>
      </c>
      <c r="B951">
        <v>2024</v>
      </c>
      <c r="C951" t="s">
        <v>33</v>
      </c>
      <c r="D951" t="s">
        <v>34</v>
      </c>
      <c r="E951" t="s">
        <v>42</v>
      </c>
      <c r="F951" s="3" t="s">
        <v>34</v>
      </c>
      <c r="G951" s="2" t="s">
        <v>43</v>
      </c>
      <c r="H951" s="3">
        <v>56102</v>
      </c>
      <c r="I951" s="3">
        <v>1506</v>
      </c>
      <c r="J951" s="2" t="s">
        <v>253</v>
      </c>
      <c r="K951" t="s">
        <v>42</v>
      </c>
      <c r="L951" t="s">
        <v>39</v>
      </c>
      <c r="M951" t="s">
        <v>459</v>
      </c>
      <c r="O951" t="s">
        <v>297</v>
      </c>
      <c r="P951">
        <v>45629</v>
      </c>
      <c r="S951" s="6">
        <v>22940.87</v>
      </c>
      <c r="T951" t="s">
        <v>254</v>
      </c>
      <c r="U951">
        <v>280</v>
      </c>
      <c r="W951" s="7">
        <v>1081</v>
      </c>
      <c r="AI951" t="s">
        <v>255</v>
      </c>
      <c r="AJ951" t="s">
        <v>262</v>
      </c>
      <c r="AK951">
        <v>21.221896392229418</v>
      </c>
    </row>
    <row r="952" spans="1:37" x14ac:dyDescent="0.35">
      <c r="A952">
        <v>12</v>
      </c>
      <c r="B952">
        <v>2024</v>
      </c>
      <c r="C952" t="s">
        <v>33</v>
      </c>
      <c r="D952" t="s">
        <v>34</v>
      </c>
      <c r="E952" t="s">
        <v>42</v>
      </c>
      <c r="F952" s="3" t="s">
        <v>34</v>
      </c>
      <c r="G952" s="2" t="s">
        <v>43</v>
      </c>
      <c r="H952" s="3">
        <v>56102</v>
      </c>
      <c r="I952" s="3">
        <v>2497</v>
      </c>
      <c r="J952" s="2" t="s">
        <v>386</v>
      </c>
      <c r="K952" t="s">
        <v>42</v>
      </c>
      <c r="L952" t="s">
        <v>39</v>
      </c>
      <c r="M952" t="s">
        <v>459</v>
      </c>
      <c r="O952" t="s">
        <v>297</v>
      </c>
      <c r="P952">
        <v>45629</v>
      </c>
      <c r="S952" s="6">
        <v>7756.3</v>
      </c>
      <c r="T952" t="s">
        <v>254</v>
      </c>
      <c r="U952">
        <v>230</v>
      </c>
      <c r="W952" s="7">
        <v>533</v>
      </c>
      <c r="AI952" t="s">
        <v>255</v>
      </c>
      <c r="AJ952" t="s">
        <v>262</v>
      </c>
      <c r="AK952">
        <v>14.552157598499063</v>
      </c>
    </row>
    <row r="953" spans="1:37" x14ac:dyDescent="0.35">
      <c r="A953">
        <v>12</v>
      </c>
      <c r="B953">
        <v>2024</v>
      </c>
      <c r="C953" t="s">
        <v>33</v>
      </c>
      <c r="D953" t="s">
        <v>34</v>
      </c>
      <c r="E953" t="s">
        <v>42</v>
      </c>
      <c r="F953" s="3" t="s">
        <v>34</v>
      </c>
      <c r="G953" s="2" t="s">
        <v>43</v>
      </c>
      <c r="H953" s="3">
        <v>56102</v>
      </c>
      <c r="I953" s="3">
        <v>1225</v>
      </c>
      <c r="J953" s="2" t="s">
        <v>292</v>
      </c>
      <c r="K953" t="s">
        <v>42</v>
      </c>
      <c r="L953" t="s">
        <v>39</v>
      </c>
      <c r="M953" t="s">
        <v>459</v>
      </c>
      <c r="O953" t="s">
        <v>297</v>
      </c>
      <c r="P953">
        <v>45629</v>
      </c>
      <c r="S953" s="6">
        <v>4792.03</v>
      </c>
      <c r="T953" t="s">
        <v>254</v>
      </c>
      <c r="U953">
        <v>240</v>
      </c>
      <c r="W953" s="7">
        <v>267</v>
      </c>
      <c r="AI953" t="s">
        <v>255</v>
      </c>
      <c r="AJ953" t="s">
        <v>262</v>
      </c>
      <c r="AK953">
        <v>17.94767790262172</v>
      </c>
    </row>
    <row r="954" spans="1:37" x14ac:dyDescent="0.35">
      <c r="A954">
        <v>12</v>
      </c>
      <c r="B954">
        <v>2024</v>
      </c>
      <c r="C954" t="s">
        <v>33</v>
      </c>
      <c r="D954" t="s">
        <v>34</v>
      </c>
      <c r="E954" t="s">
        <v>42</v>
      </c>
      <c r="F954" s="3" t="s">
        <v>34</v>
      </c>
      <c r="G954" s="2" t="s">
        <v>43</v>
      </c>
      <c r="H954" s="3">
        <v>56102</v>
      </c>
      <c r="I954" s="3">
        <v>1504</v>
      </c>
      <c r="J954" s="2" t="s">
        <v>263</v>
      </c>
      <c r="K954" t="s">
        <v>42</v>
      </c>
      <c r="L954" t="s">
        <v>39</v>
      </c>
      <c r="M954" t="s">
        <v>459</v>
      </c>
      <c r="O954" t="s">
        <v>297</v>
      </c>
      <c r="P954">
        <v>45629</v>
      </c>
      <c r="S954" s="6">
        <v>28823.95</v>
      </c>
      <c r="T954" t="s">
        <v>254</v>
      </c>
      <c r="U954">
        <v>240</v>
      </c>
      <c r="W954" s="7">
        <v>1606</v>
      </c>
      <c r="AI954" t="s">
        <v>255</v>
      </c>
      <c r="AJ954" t="s">
        <v>262</v>
      </c>
      <c r="AK954">
        <v>17.94766500622665</v>
      </c>
    </row>
    <row r="955" spans="1:37" x14ac:dyDescent="0.35">
      <c r="A955">
        <v>12</v>
      </c>
      <c r="B955">
        <v>2024</v>
      </c>
      <c r="C955" t="s">
        <v>33</v>
      </c>
      <c r="D955" t="s">
        <v>34</v>
      </c>
      <c r="E955" t="s">
        <v>42</v>
      </c>
      <c r="F955" s="3" t="s">
        <v>34</v>
      </c>
      <c r="G955" s="2" t="s">
        <v>43</v>
      </c>
      <c r="H955" s="3">
        <v>56102</v>
      </c>
      <c r="I955" s="3">
        <v>1236</v>
      </c>
      <c r="J955" s="2" t="s">
        <v>264</v>
      </c>
      <c r="K955" t="s">
        <v>42</v>
      </c>
      <c r="L955" t="s">
        <v>39</v>
      </c>
      <c r="M955" t="s">
        <v>459</v>
      </c>
      <c r="O955" t="s">
        <v>297</v>
      </c>
      <c r="P955">
        <v>45629</v>
      </c>
      <c r="S955" s="6">
        <v>30517.09</v>
      </c>
      <c r="T955" t="s">
        <v>254</v>
      </c>
      <c r="U955">
        <v>240</v>
      </c>
      <c r="W955" s="7">
        <v>1438</v>
      </c>
      <c r="AI955" t="s">
        <v>255</v>
      </c>
      <c r="AJ955" t="s">
        <v>262</v>
      </c>
      <c r="AK955">
        <v>21.221898470097358</v>
      </c>
    </row>
    <row r="956" spans="1:37" x14ac:dyDescent="0.35">
      <c r="A956">
        <v>12</v>
      </c>
      <c r="B956">
        <v>2024</v>
      </c>
      <c r="C956" t="s">
        <v>33</v>
      </c>
      <c r="D956" t="s">
        <v>34</v>
      </c>
      <c r="E956" t="s">
        <v>42</v>
      </c>
      <c r="F956" s="3" t="s">
        <v>34</v>
      </c>
      <c r="G956" s="2" t="s">
        <v>43</v>
      </c>
      <c r="H956" s="3">
        <v>56102</v>
      </c>
      <c r="I956" s="3">
        <v>1225</v>
      </c>
      <c r="J956" s="2" t="s">
        <v>292</v>
      </c>
      <c r="K956" t="s">
        <v>42</v>
      </c>
      <c r="L956" t="s">
        <v>39</v>
      </c>
      <c r="M956" t="s">
        <v>459</v>
      </c>
      <c r="O956" t="s">
        <v>297</v>
      </c>
      <c r="P956">
        <v>45629</v>
      </c>
      <c r="S956" s="6">
        <v>11935.2</v>
      </c>
      <c r="T956" t="s">
        <v>254</v>
      </c>
      <c r="U956">
        <v>240</v>
      </c>
      <c r="W956" s="7">
        <v>665</v>
      </c>
      <c r="AI956" t="s">
        <v>255</v>
      </c>
      <c r="AJ956" t="s">
        <v>262</v>
      </c>
      <c r="AK956">
        <v>17.947669172932333</v>
      </c>
    </row>
    <row r="957" spans="1:37" x14ac:dyDescent="0.35">
      <c r="A957">
        <v>12</v>
      </c>
      <c r="B957">
        <v>2024</v>
      </c>
      <c r="C957" t="s">
        <v>33</v>
      </c>
      <c r="D957" t="s">
        <v>34</v>
      </c>
      <c r="E957" t="s">
        <v>116</v>
      </c>
      <c r="F957" s="3" t="s">
        <v>34</v>
      </c>
      <c r="G957" s="2" t="s">
        <v>50</v>
      </c>
      <c r="H957" s="3">
        <v>56222</v>
      </c>
      <c r="I957" s="3">
        <v>1422</v>
      </c>
      <c r="J957" s="2" t="s">
        <v>339</v>
      </c>
      <c r="K957" t="s">
        <v>116</v>
      </c>
      <c r="L957" t="s">
        <v>39</v>
      </c>
      <c r="M957" t="s">
        <v>459</v>
      </c>
      <c r="O957" t="s">
        <v>34</v>
      </c>
      <c r="P957">
        <v>45635</v>
      </c>
      <c r="S957" s="6">
        <v>7422.37</v>
      </c>
      <c r="T957" t="s">
        <v>254</v>
      </c>
      <c r="U957">
        <v>240</v>
      </c>
      <c r="W957" s="7">
        <v>435</v>
      </c>
      <c r="AI957" t="s">
        <v>116</v>
      </c>
      <c r="AJ957" t="s">
        <v>258</v>
      </c>
      <c r="AK957">
        <v>17.062919540229885</v>
      </c>
    </row>
    <row r="958" spans="1:37" x14ac:dyDescent="0.35">
      <c r="A958">
        <v>12</v>
      </c>
      <c r="B958">
        <v>2024</v>
      </c>
      <c r="C958" t="s">
        <v>33</v>
      </c>
      <c r="D958" t="s">
        <v>34</v>
      </c>
      <c r="E958" t="s">
        <v>42</v>
      </c>
      <c r="F958" s="3" t="s">
        <v>34</v>
      </c>
      <c r="G958" s="2" t="s">
        <v>43</v>
      </c>
      <c r="H958" s="3">
        <v>56509</v>
      </c>
      <c r="I958" s="3">
        <v>1226</v>
      </c>
      <c r="J958" s="2" t="s">
        <v>266</v>
      </c>
      <c r="K958" t="s">
        <v>42</v>
      </c>
      <c r="L958" t="s">
        <v>39</v>
      </c>
      <c r="M958" t="s">
        <v>459</v>
      </c>
      <c r="O958" t="s">
        <v>297</v>
      </c>
      <c r="P958">
        <v>45646</v>
      </c>
      <c r="S958" s="6">
        <v>13005.16</v>
      </c>
      <c r="T958" t="s">
        <v>254</v>
      </c>
      <c r="U958">
        <v>260</v>
      </c>
      <c r="W958" s="7">
        <v>701</v>
      </c>
      <c r="AI958" t="s">
        <v>255</v>
      </c>
      <c r="AJ958" t="s">
        <v>262</v>
      </c>
      <c r="AK958">
        <v>18.552296718972897</v>
      </c>
    </row>
    <row r="959" spans="1:37" x14ac:dyDescent="0.35">
      <c r="A959">
        <v>12</v>
      </c>
      <c r="B959">
        <v>2024</v>
      </c>
      <c r="C959" t="s">
        <v>33</v>
      </c>
      <c r="D959" t="s">
        <v>34</v>
      </c>
      <c r="E959" t="s">
        <v>42</v>
      </c>
      <c r="F959" s="3" t="s">
        <v>34</v>
      </c>
      <c r="G959" s="2" t="s">
        <v>43</v>
      </c>
      <c r="H959" s="3">
        <v>56509</v>
      </c>
      <c r="I959" s="3">
        <v>1236</v>
      </c>
      <c r="J959" s="2" t="s">
        <v>264</v>
      </c>
      <c r="K959" t="s">
        <v>42</v>
      </c>
      <c r="L959" t="s">
        <v>39</v>
      </c>
      <c r="M959" t="s">
        <v>459</v>
      </c>
      <c r="O959" t="s">
        <v>297</v>
      </c>
      <c r="P959">
        <v>45646</v>
      </c>
      <c r="S959" s="6">
        <v>26535.97</v>
      </c>
      <c r="T959" t="s">
        <v>254</v>
      </c>
      <c r="U959">
        <v>240</v>
      </c>
      <c r="W959" s="7">
        <v>1226</v>
      </c>
      <c r="AI959" t="s">
        <v>255</v>
      </c>
      <c r="AJ959" t="s">
        <v>262</v>
      </c>
      <c r="AK959">
        <v>21.644347471451876</v>
      </c>
    </row>
    <row r="960" spans="1:37" x14ac:dyDescent="0.35">
      <c r="A960">
        <v>12</v>
      </c>
      <c r="B960">
        <v>2024</v>
      </c>
      <c r="C960" t="s">
        <v>33</v>
      </c>
      <c r="D960" t="s">
        <v>34</v>
      </c>
      <c r="E960" t="s">
        <v>42</v>
      </c>
      <c r="F960" s="3" t="s">
        <v>34</v>
      </c>
      <c r="G960" s="2" t="s">
        <v>43</v>
      </c>
      <c r="H960" s="3">
        <v>56509</v>
      </c>
      <c r="I960" s="3">
        <v>1506</v>
      </c>
      <c r="J960" s="2" t="s">
        <v>253</v>
      </c>
      <c r="K960" t="s">
        <v>42</v>
      </c>
      <c r="L960" t="s">
        <v>39</v>
      </c>
      <c r="M960" t="s">
        <v>459</v>
      </c>
      <c r="O960" t="s">
        <v>297</v>
      </c>
      <c r="P960">
        <v>45646</v>
      </c>
      <c r="S960" s="6">
        <v>34890.69</v>
      </c>
      <c r="T960" t="s">
        <v>254</v>
      </c>
      <c r="U960">
        <v>280</v>
      </c>
      <c r="W960" s="7">
        <v>1612</v>
      </c>
      <c r="AI960" t="s">
        <v>255</v>
      </c>
      <c r="AJ960" t="s">
        <v>262</v>
      </c>
      <c r="AK960">
        <v>21.644348635235733</v>
      </c>
    </row>
    <row r="961" spans="1:37" x14ac:dyDescent="0.35">
      <c r="A961">
        <v>12</v>
      </c>
      <c r="B961">
        <v>2024</v>
      </c>
      <c r="C961" t="s">
        <v>33</v>
      </c>
      <c r="D961" t="s">
        <v>34</v>
      </c>
      <c r="E961" t="s">
        <v>508</v>
      </c>
      <c r="F961" s="3" t="s">
        <v>34</v>
      </c>
      <c r="G961" s="2" t="s">
        <v>388</v>
      </c>
      <c r="H961" s="3">
        <v>56510</v>
      </c>
      <c r="I961" s="3">
        <v>1523</v>
      </c>
      <c r="J961" s="2" t="s">
        <v>282</v>
      </c>
      <c r="K961" t="s">
        <v>508</v>
      </c>
      <c r="L961" t="s">
        <v>39</v>
      </c>
      <c r="M961" t="s">
        <v>459</v>
      </c>
      <c r="O961" t="s">
        <v>34</v>
      </c>
      <c r="P961">
        <v>45646</v>
      </c>
      <c r="S961" s="6">
        <v>4638.08</v>
      </c>
      <c r="T961" t="s">
        <v>254</v>
      </c>
      <c r="W961" s="7">
        <v>500</v>
      </c>
      <c r="AI961" t="s">
        <v>508</v>
      </c>
      <c r="AJ961" t="s">
        <v>258</v>
      </c>
      <c r="AK961">
        <v>9.2761599999999991</v>
      </c>
    </row>
    <row r="962" spans="1:37" x14ac:dyDescent="0.35">
      <c r="A962">
        <v>12</v>
      </c>
      <c r="B962">
        <v>2024</v>
      </c>
      <c r="C962" t="s">
        <v>33</v>
      </c>
      <c r="D962" t="s">
        <v>34</v>
      </c>
      <c r="E962" t="s">
        <v>508</v>
      </c>
      <c r="F962" s="3" t="s">
        <v>34</v>
      </c>
      <c r="G962" s="2" t="s">
        <v>388</v>
      </c>
      <c r="H962" s="3">
        <v>56511</v>
      </c>
      <c r="I962" s="3">
        <v>3692</v>
      </c>
      <c r="J962" s="2" t="s">
        <v>509</v>
      </c>
      <c r="K962" t="s">
        <v>508</v>
      </c>
      <c r="L962" t="s">
        <v>39</v>
      </c>
      <c r="M962" t="s">
        <v>459</v>
      </c>
      <c r="O962" t="s">
        <v>34</v>
      </c>
      <c r="P962">
        <v>45646</v>
      </c>
      <c r="S962" s="6">
        <v>15503.54</v>
      </c>
      <c r="T962" t="s">
        <v>254</v>
      </c>
      <c r="U962">
        <v>200</v>
      </c>
      <c r="W962" s="7">
        <v>502</v>
      </c>
      <c r="AI962" t="s">
        <v>508</v>
      </c>
      <c r="AJ962" t="s">
        <v>258</v>
      </c>
      <c r="AK962">
        <v>30.883545816733069</v>
      </c>
    </row>
    <row r="963" spans="1:37" x14ac:dyDescent="0.35">
      <c r="A963">
        <v>12</v>
      </c>
      <c r="B963">
        <v>2024</v>
      </c>
      <c r="C963" t="s">
        <v>33</v>
      </c>
      <c r="D963" t="s">
        <v>34</v>
      </c>
      <c r="E963" t="s">
        <v>508</v>
      </c>
      <c r="F963" s="3" t="s">
        <v>34</v>
      </c>
      <c r="G963" s="2" t="s">
        <v>388</v>
      </c>
      <c r="H963" s="3">
        <v>56511</v>
      </c>
      <c r="I963" s="3">
        <v>3693</v>
      </c>
      <c r="J963" s="2" t="s">
        <v>510</v>
      </c>
      <c r="K963" t="s">
        <v>508</v>
      </c>
      <c r="L963" t="s">
        <v>39</v>
      </c>
      <c r="M963" t="s">
        <v>459</v>
      </c>
      <c r="O963" t="s">
        <v>34</v>
      </c>
      <c r="P963">
        <v>45646</v>
      </c>
      <c r="S963" s="6">
        <v>5339.6</v>
      </c>
      <c r="T963" t="s">
        <v>254</v>
      </c>
      <c r="U963">
        <v>360</v>
      </c>
      <c r="W963" s="7">
        <v>575</v>
      </c>
      <c r="AI963" t="s">
        <v>508</v>
      </c>
      <c r="AJ963" t="s">
        <v>258</v>
      </c>
      <c r="AK963">
        <v>9.2862608695652185</v>
      </c>
    </row>
    <row r="964" spans="1:37" x14ac:dyDescent="0.35">
      <c r="A964">
        <v>12</v>
      </c>
      <c r="B964">
        <v>2024</v>
      </c>
      <c r="C964" t="s">
        <v>33</v>
      </c>
      <c r="D964" t="s">
        <v>34</v>
      </c>
      <c r="E964" t="s">
        <v>116</v>
      </c>
      <c r="F964" s="3" t="s">
        <v>34</v>
      </c>
      <c r="G964" s="2" t="s">
        <v>50</v>
      </c>
      <c r="H964" s="3">
        <v>56527</v>
      </c>
      <c r="I964" s="3">
        <v>1422</v>
      </c>
      <c r="J964" s="2" t="s">
        <v>339</v>
      </c>
      <c r="K964" t="s">
        <v>116</v>
      </c>
      <c r="L964" t="s">
        <v>39</v>
      </c>
      <c r="M964" t="s">
        <v>459</v>
      </c>
      <c r="O964" t="s">
        <v>34</v>
      </c>
      <c r="P964">
        <v>45652</v>
      </c>
      <c r="S964" s="6">
        <v>6966.44</v>
      </c>
      <c r="T964" t="s">
        <v>254</v>
      </c>
      <c r="U964">
        <v>240</v>
      </c>
      <c r="W964" s="7">
        <v>400</v>
      </c>
      <c r="AI964" t="s">
        <v>116</v>
      </c>
      <c r="AJ964" t="s">
        <v>258</v>
      </c>
      <c r="AK964">
        <v>17.4161</v>
      </c>
    </row>
    <row r="965" spans="1:37" x14ac:dyDescent="0.35">
      <c r="A965">
        <v>12</v>
      </c>
      <c r="B965">
        <v>2024</v>
      </c>
      <c r="C965" t="s">
        <v>33</v>
      </c>
      <c r="D965" t="s">
        <v>34</v>
      </c>
      <c r="E965" t="s">
        <v>116</v>
      </c>
      <c r="F965" s="3" t="s">
        <v>34</v>
      </c>
      <c r="G965" s="2" t="s">
        <v>50</v>
      </c>
      <c r="H965" s="3">
        <v>56527</v>
      </c>
      <c r="I965" s="3">
        <v>1419</v>
      </c>
      <c r="J965" s="2" t="s">
        <v>341</v>
      </c>
      <c r="K965" t="s">
        <v>116</v>
      </c>
      <c r="L965" t="s">
        <v>39</v>
      </c>
      <c r="M965" t="s">
        <v>459</v>
      </c>
      <c r="O965" t="s">
        <v>34</v>
      </c>
      <c r="P965">
        <v>45652</v>
      </c>
      <c r="S965" s="6">
        <v>66007.34</v>
      </c>
      <c r="T965" t="s">
        <v>254</v>
      </c>
      <c r="U965">
        <v>180</v>
      </c>
      <c r="W965" s="7">
        <v>4767</v>
      </c>
      <c r="AI965" t="s">
        <v>116</v>
      </c>
      <c r="AJ965" t="s">
        <v>258</v>
      </c>
      <c r="AK965">
        <v>13.846725403817914</v>
      </c>
    </row>
    <row r="966" spans="1:37" x14ac:dyDescent="0.35">
      <c r="A966">
        <v>12</v>
      </c>
      <c r="B966">
        <v>2024</v>
      </c>
      <c r="C966" t="s">
        <v>33</v>
      </c>
      <c r="D966" t="s">
        <v>34</v>
      </c>
      <c r="E966" t="s">
        <v>42</v>
      </c>
      <c r="F966" s="3" t="s">
        <v>34</v>
      </c>
      <c r="G966" s="2" t="s">
        <v>43</v>
      </c>
      <c r="H966" s="3">
        <v>56528</v>
      </c>
      <c r="I966" s="3">
        <v>1225</v>
      </c>
      <c r="J966" s="2" t="s">
        <v>292</v>
      </c>
      <c r="K966" t="s">
        <v>42</v>
      </c>
      <c r="L966" t="s">
        <v>39</v>
      </c>
      <c r="M966" t="s">
        <v>459</v>
      </c>
      <c r="O966" t="s">
        <v>297</v>
      </c>
      <c r="P966">
        <v>45652</v>
      </c>
      <c r="S966" s="6">
        <v>44192.35</v>
      </c>
      <c r="T966" t="s">
        <v>254</v>
      </c>
      <c r="U966">
        <v>240</v>
      </c>
      <c r="W966" s="7">
        <v>2426</v>
      </c>
      <c r="AI966" t="s">
        <v>255</v>
      </c>
      <c r="AJ966" t="s">
        <v>262</v>
      </c>
      <c r="AK966">
        <v>18.21613767518549</v>
      </c>
    </row>
    <row r="967" spans="1:37" x14ac:dyDescent="0.35">
      <c r="A967">
        <v>12</v>
      </c>
      <c r="B967">
        <v>2024</v>
      </c>
      <c r="C967" t="s">
        <v>33</v>
      </c>
      <c r="D967" t="s">
        <v>34</v>
      </c>
      <c r="E967" t="s">
        <v>42</v>
      </c>
      <c r="F967" s="3" t="s">
        <v>34</v>
      </c>
      <c r="G967" s="2" t="s">
        <v>43</v>
      </c>
      <c r="H967" s="3">
        <v>56528</v>
      </c>
      <c r="I967" s="3">
        <v>3589</v>
      </c>
      <c r="J967" s="2" t="s">
        <v>511</v>
      </c>
      <c r="K967" t="s">
        <v>42</v>
      </c>
      <c r="L967" t="s">
        <v>39</v>
      </c>
      <c r="M967" t="s">
        <v>459</v>
      </c>
      <c r="O967" t="s">
        <v>297</v>
      </c>
      <c r="P967">
        <v>45652</v>
      </c>
      <c r="S967" s="6">
        <v>12122.35</v>
      </c>
      <c r="T967" t="s">
        <v>254</v>
      </c>
      <c r="U967">
        <v>340</v>
      </c>
      <c r="W967" s="7">
        <v>469</v>
      </c>
      <c r="AI967" t="s">
        <v>255</v>
      </c>
      <c r="AJ967" t="s">
        <v>262</v>
      </c>
      <c r="AK967">
        <v>25.847228144989341</v>
      </c>
    </row>
    <row r="968" spans="1:37" x14ac:dyDescent="0.35">
      <c r="A968">
        <v>12</v>
      </c>
      <c r="B968">
        <v>2024</v>
      </c>
      <c r="C968" t="s">
        <v>33</v>
      </c>
      <c r="D968" t="s">
        <v>34</v>
      </c>
      <c r="E968" t="s">
        <v>512</v>
      </c>
      <c r="F968" s="3" t="s">
        <v>34</v>
      </c>
      <c r="G968" s="2" t="s">
        <v>513</v>
      </c>
      <c r="H968" s="3">
        <v>56529</v>
      </c>
      <c r="I968" s="3">
        <v>3698</v>
      </c>
      <c r="J968" s="2" t="s">
        <v>514</v>
      </c>
      <c r="K968" t="s">
        <v>512</v>
      </c>
      <c r="L968" t="s">
        <v>39</v>
      </c>
      <c r="M968" t="s">
        <v>459</v>
      </c>
      <c r="O968" t="s">
        <v>34</v>
      </c>
      <c r="P968">
        <v>45652</v>
      </c>
      <c r="S968" s="6">
        <v>80838</v>
      </c>
      <c r="T968" t="s">
        <v>254</v>
      </c>
      <c r="U968">
        <v>220</v>
      </c>
      <c r="W968" s="7">
        <v>6025.52</v>
      </c>
      <c r="AI968" t="s">
        <v>512</v>
      </c>
      <c r="AJ968" t="s">
        <v>258</v>
      </c>
      <c r="AK968">
        <v>13.415937545639213</v>
      </c>
    </row>
    <row r="969" spans="1:37" x14ac:dyDescent="0.35">
      <c r="A969">
        <v>12</v>
      </c>
      <c r="B969">
        <v>2024</v>
      </c>
      <c r="C969" t="s">
        <v>33</v>
      </c>
      <c r="D969" t="s">
        <v>34</v>
      </c>
      <c r="E969" t="s">
        <v>512</v>
      </c>
      <c r="F969" s="3" t="s">
        <v>34</v>
      </c>
      <c r="G969" s="2" t="s">
        <v>513</v>
      </c>
      <c r="H969" s="3">
        <v>56529</v>
      </c>
      <c r="I969" s="3">
        <v>3699</v>
      </c>
      <c r="J969" s="2" t="s">
        <v>515</v>
      </c>
      <c r="K969" t="s">
        <v>512</v>
      </c>
      <c r="L969" t="s">
        <v>39</v>
      </c>
      <c r="M969" t="s">
        <v>459</v>
      </c>
      <c r="O969" t="s">
        <v>34</v>
      </c>
      <c r="P969">
        <v>45652</v>
      </c>
      <c r="S969" s="6">
        <v>32524.66</v>
      </c>
      <c r="T969" t="s">
        <v>254</v>
      </c>
      <c r="U969">
        <v>260</v>
      </c>
      <c r="W969" s="7">
        <v>2888</v>
      </c>
      <c r="AI969" t="s">
        <v>512</v>
      </c>
      <c r="AJ969" t="s">
        <v>258</v>
      </c>
      <c r="AK969">
        <v>11.26200138504155</v>
      </c>
    </row>
    <row r="970" spans="1:37" x14ac:dyDescent="0.35">
      <c r="A970">
        <v>12</v>
      </c>
      <c r="B970">
        <v>2024</v>
      </c>
      <c r="C970" t="s">
        <v>33</v>
      </c>
      <c r="D970" t="s">
        <v>34</v>
      </c>
      <c r="E970" t="s">
        <v>512</v>
      </c>
      <c r="F970" s="3" t="s">
        <v>34</v>
      </c>
      <c r="G970" s="2" t="s">
        <v>513</v>
      </c>
      <c r="H970" s="3">
        <v>56529</v>
      </c>
      <c r="I970" s="3">
        <v>3697</v>
      </c>
      <c r="J970" s="2" t="s">
        <v>516</v>
      </c>
      <c r="K970" t="s">
        <v>512</v>
      </c>
      <c r="L970" t="s">
        <v>39</v>
      </c>
      <c r="M970" t="s">
        <v>459</v>
      </c>
      <c r="O970" t="s">
        <v>34</v>
      </c>
      <c r="P970">
        <v>45652</v>
      </c>
      <c r="S970" s="6">
        <v>40065.65</v>
      </c>
      <c r="T970" t="s">
        <v>254</v>
      </c>
      <c r="U970">
        <v>260</v>
      </c>
      <c r="W970" s="7">
        <v>2504</v>
      </c>
      <c r="AI970" t="s">
        <v>512</v>
      </c>
      <c r="AJ970" t="s">
        <v>258</v>
      </c>
      <c r="AK970">
        <v>16.000658945686901</v>
      </c>
    </row>
    <row r="971" spans="1:37" x14ac:dyDescent="0.35">
      <c r="A971">
        <v>12</v>
      </c>
      <c r="B971">
        <v>2024</v>
      </c>
      <c r="C971" t="s">
        <v>33</v>
      </c>
      <c r="D971" t="s">
        <v>34</v>
      </c>
      <c r="E971" t="s">
        <v>387</v>
      </c>
      <c r="F971" s="3" t="s">
        <v>34</v>
      </c>
      <c r="G971" s="2" t="s">
        <v>388</v>
      </c>
      <c r="H971" s="3">
        <v>56540</v>
      </c>
      <c r="I971" s="3">
        <v>2941</v>
      </c>
      <c r="J971" s="2" t="s">
        <v>410</v>
      </c>
      <c r="K971" t="s">
        <v>387</v>
      </c>
      <c r="L971" t="s">
        <v>39</v>
      </c>
      <c r="M971" t="s">
        <v>459</v>
      </c>
      <c r="O971" t="s">
        <v>34</v>
      </c>
      <c r="P971">
        <v>45652</v>
      </c>
      <c r="S971" s="6">
        <v>8017.81</v>
      </c>
      <c r="T971" t="s">
        <v>254</v>
      </c>
      <c r="U971">
        <v>320</v>
      </c>
      <c r="W971" s="7">
        <v>521.13599999999997</v>
      </c>
      <c r="AI971" t="s">
        <v>387</v>
      </c>
      <c r="AJ971" t="s">
        <v>258</v>
      </c>
      <c r="AK971">
        <v>15.38525452089282</v>
      </c>
    </row>
    <row r="972" spans="1:37" x14ac:dyDescent="0.35">
      <c r="A972">
        <v>12</v>
      </c>
      <c r="B972">
        <v>2024</v>
      </c>
      <c r="C972" t="s">
        <v>33</v>
      </c>
      <c r="D972" t="s">
        <v>34</v>
      </c>
      <c r="E972" t="s">
        <v>42</v>
      </c>
      <c r="F972" s="3" t="s">
        <v>34</v>
      </c>
      <c r="G972" s="2" t="s">
        <v>43</v>
      </c>
      <c r="H972" s="3">
        <v>56541</v>
      </c>
      <c r="I972" s="3">
        <v>1523</v>
      </c>
      <c r="J972" s="2" t="s">
        <v>282</v>
      </c>
      <c r="K972" t="s">
        <v>42</v>
      </c>
      <c r="L972" t="s">
        <v>39</v>
      </c>
      <c r="M972" t="s">
        <v>507</v>
      </c>
      <c r="O972" t="s">
        <v>297</v>
      </c>
      <c r="P972">
        <v>45652</v>
      </c>
      <c r="S972" s="6">
        <v>10017.52</v>
      </c>
      <c r="T972" t="s">
        <v>254</v>
      </c>
      <c r="W972" s="7">
        <v>1078</v>
      </c>
      <c r="AI972" t="s">
        <v>255</v>
      </c>
      <c r="AJ972" t="s">
        <v>262</v>
      </c>
      <c r="AK972">
        <v>9.2926901669758823</v>
      </c>
    </row>
    <row r="973" spans="1:37" x14ac:dyDescent="0.35">
      <c r="A973">
        <v>12</v>
      </c>
      <c r="B973">
        <v>2024</v>
      </c>
      <c r="C973" t="s">
        <v>33</v>
      </c>
      <c r="D973" t="s">
        <v>34</v>
      </c>
      <c r="E973" t="s">
        <v>453</v>
      </c>
      <c r="F973" s="3" t="s">
        <v>34</v>
      </c>
      <c r="G973" s="2" t="s">
        <v>50</v>
      </c>
      <c r="H973" s="3">
        <v>56543</v>
      </c>
      <c r="I973" s="3">
        <v>3397</v>
      </c>
      <c r="J973" s="2" t="s">
        <v>462</v>
      </c>
      <c r="K973" t="s">
        <v>453</v>
      </c>
      <c r="L973" t="s">
        <v>39</v>
      </c>
      <c r="M973" t="s">
        <v>459</v>
      </c>
      <c r="O973" t="s">
        <v>34</v>
      </c>
      <c r="P973">
        <v>45652</v>
      </c>
      <c r="S973" s="6">
        <v>17472.72</v>
      </c>
      <c r="T973" t="s">
        <v>254</v>
      </c>
      <c r="U973">
        <v>380</v>
      </c>
      <c r="W973" s="7">
        <v>546</v>
      </c>
      <c r="AI973" t="s">
        <v>453</v>
      </c>
      <c r="AJ973" t="s">
        <v>258</v>
      </c>
      <c r="AK973">
        <v>32.001318681318686</v>
      </c>
    </row>
    <row r="974" spans="1:37" x14ac:dyDescent="0.35">
      <c r="A974">
        <v>12</v>
      </c>
      <c r="B974">
        <v>2024</v>
      </c>
      <c r="C974" t="s">
        <v>33</v>
      </c>
      <c r="D974" t="s">
        <v>34</v>
      </c>
      <c r="E974" t="s">
        <v>295</v>
      </c>
      <c r="F974" s="3" t="s">
        <v>34</v>
      </c>
      <c r="G974" s="2" t="s">
        <v>82</v>
      </c>
      <c r="H974" s="3">
        <v>56544</v>
      </c>
      <c r="I974" s="3">
        <v>3700</v>
      </c>
      <c r="J974" s="2" t="s">
        <v>517</v>
      </c>
      <c r="K974" t="s">
        <v>295</v>
      </c>
      <c r="L974" t="s">
        <v>39</v>
      </c>
      <c r="M974" t="s">
        <v>459</v>
      </c>
      <c r="O974" t="s">
        <v>34</v>
      </c>
      <c r="P974">
        <v>45652</v>
      </c>
      <c r="S974" s="6">
        <v>3821.33</v>
      </c>
      <c r="T974" t="s">
        <v>254</v>
      </c>
      <c r="U974">
        <v>180</v>
      </c>
      <c r="W974" s="7">
        <v>474</v>
      </c>
      <c r="AI974" t="s">
        <v>298</v>
      </c>
      <c r="AJ974" t="s">
        <v>258</v>
      </c>
      <c r="AK974">
        <v>8.0618776371308023</v>
      </c>
    </row>
    <row r="975" spans="1:37" x14ac:dyDescent="0.35">
      <c r="A975">
        <v>12</v>
      </c>
      <c r="B975">
        <v>2024</v>
      </c>
      <c r="C975" t="s">
        <v>33</v>
      </c>
      <c r="D975" t="s">
        <v>34</v>
      </c>
      <c r="E975" t="s">
        <v>295</v>
      </c>
      <c r="F975" s="3" t="s">
        <v>34</v>
      </c>
      <c r="G975" s="2" t="s">
        <v>82</v>
      </c>
      <c r="H975" s="3">
        <v>56544</v>
      </c>
      <c r="I975" s="3">
        <v>3702</v>
      </c>
      <c r="J975" s="2" t="s">
        <v>518</v>
      </c>
      <c r="K975" t="s">
        <v>295</v>
      </c>
      <c r="L975" t="s">
        <v>39</v>
      </c>
      <c r="M975" t="s">
        <v>459</v>
      </c>
      <c r="O975" t="s">
        <v>34</v>
      </c>
      <c r="P975">
        <v>45652</v>
      </c>
      <c r="S975" s="6">
        <v>6572.58</v>
      </c>
      <c r="T975" t="s">
        <v>254</v>
      </c>
      <c r="U975">
        <v>180</v>
      </c>
      <c r="W975" s="7">
        <v>534</v>
      </c>
      <c r="AI975" t="s">
        <v>298</v>
      </c>
      <c r="AJ975" t="s">
        <v>258</v>
      </c>
      <c r="AK975">
        <v>12.30820224719101</v>
      </c>
    </row>
    <row r="976" spans="1:37" x14ac:dyDescent="0.35">
      <c r="A976">
        <v>12</v>
      </c>
      <c r="B976">
        <v>2024</v>
      </c>
      <c r="C976" t="s">
        <v>33</v>
      </c>
      <c r="D976" t="s">
        <v>34</v>
      </c>
      <c r="E976" t="s">
        <v>295</v>
      </c>
      <c r="F976" s="3" t="s">
        <v>34</v>
      </c>
      <c r="G976" s="2" t="s">
        <v>82</v>
      </c>
      <c r="H976" s="3">
        <v>56544</v>
      </c>
      <c r="I976" s="3">
        <v>3701</v>
      </c>
      <c r="J976" s="2" t="s">
        <v>519</v>
      </c>
      <c r="K976" t="s">
        <v>295</v>
      </c>
      <c r="L976" t="s">
        <v>39</v>
      </c>
      <c r="M976" t="s">
        <v>459</v>
      </c>
      <c r="O976" t="s">
        <v>34</v>
      </c>
      <c r="P976">
        <v>45652</v>
      </c>
      <c r="S976" s="6">
        <v>4315.1899999999996</v>
      </c>
      <c r="T976" t="s">
        <v>254</v>
      </c>
      <c r="U976">
        <v>180</v>
      </c>
      <c r="W976" s="7">
        <v>477</v>
      </c>
      <c r="AI976" t="s">
        <v>298</v>
      </c>
      <c r="AJ976" t="s">
        <v>258</v>
      </c>
      <c r="AK976">
        <v>9.0465199161425573</v>
      </c>
    </row>
    <row r="977" spans="1:37" x14ac:dyDescent="0.35">
      <c r="A977">
        <v>12</v>
      </c>
      <c r="B977">
        <v>2024</v>
      </c>
      <c r="C977" t="s">
        <v>33</v>
      </c>
      <c r="D977" t="s">
        <v>34</v>
      </c>
      <c r="E977" t="s">
        <v>295</v>
      </c>
      <c r="F977" s="3" t="s">
        <v>34</v>
      </c>
      <c r="G977" s="2" t="s">
        <v>82</v>
      </c>
      <c r="H977" s="3">
        <v>56544</v>
      </c>
      <c r="I977" s="3">
        <v>1761</v>
      </c>
      <c r="J977" s="2" t="s">
        <v>305</v>
      </c>
      <c r="K977" t="s">
        <v>295</v>
      </c>
      <c r="L977" t="s">
        <v>39</v>
      </c>
      <c r="M977" t="s">
        <v>459</v>
      </c>
      <c r="O977" t="s">
        <v>34</v>
      </c>
      <c r="P977">
        <v>45652</v>
      </c>
      <c r="S977" s="6">
        <v>14928.12</v>
      </c>
      <c r="T977" t="s">
        <v>254</v>
      </c>
      <c r="U977">
        <v>280</v>
      </c>
      <c r="W977" s="7">
        <v>814</v>
      </c>
      <c r="AI977" t="s">
        <v>298</v>
      </c>
      <c r="AJ977" t="s">
        <v>258</v>
      </c>
      <c r="AK977">
        <v>18.339213759213759</v>
      </c>
    </row>
    <row r="978" spans="1:37" x14ac:dyDescent="0.35">
      <c r="A978">
        <v>12</v>
      </c>
      <c r="B978">
        <v>2024</v>
      </c>
      <c r="C978" t="s">
        <v>33</v>
      </c>
      <c r="D978" t="s">
        <v>34</v>
      </c>
      <c r="E978" t="s">
        <v>295</v>
      </c>
      <c r="F978" s="3" t="s">
        <v>34</v>
      </c>
      <c r="G978" s="2" t="s">
        <v>82</v>
      </c>
      <c r="H978" s="3">
        <v>56544</v>
      </c>
      <c r="I978" s="3">
        <v>3274</v>
      </c>
      <c r="J978" s="2" t="s">
        <v>451</v>
      </c>
      <c r="K978" t="s">
        <v>295</v>
      </c>
      <c r="L978" t="s">
        <v>39</v>
      </c>
      <c r="M978" t="s">
        <v>459</v>
      </c>
      <c r="O978" t="s">
        <v>34</v>
      </c>
      <c r="P978">
        <v>45652</v>
      </c>
      <c r="S978" s="6">
        <v>4197.1000000000004</v>
      </c>
      <c r="T978" t="s">
        <v>254</v>
      </c>
      <c r="U978">
        <v>220</v>
      </c>
      <c r="W978" s="7">
        <v>310</v>
      </c>
      <c r="AI978" t="s">
        <v>298</v>
      </c>
      <c r="AJ978" t="s">
        <v>258</v>
      </c>
      <c r="AK978">
        <v>13.539032258064518</v>
      </c>
    </row>
    <row r="979" spans="1:37" x14ac:dyDescent="0.35">
      <c r="A979">
        <v>12</v>
      </c>
      <c r="B979">
        <v>2024</v>
      </c>
      <c r="C979" t="s">
        <v>33</v>
      </c>
      <c r="D979" t="s">
        <v>34</v>
      </c>
      <c r="E979" t="s">
        <v>295</v>
      </c>
      <c r="F979" s="3" t="s">
        <v>34</v>
      </c>
      <c r="G979" s="2" t="s">
        <v>82</v>
      </c>
      <c r="H979" s="3">
        <v>56544</v>
      </c>
      <c r="I979" s="3">
        <v>3270</v>
      </c>
      <c r="J979" s="2" t="s">
        <v>452</v>
      </c>
      <c r="K979" t="s">
        <v>295</v>
      </c>
      <c r="L979" t="s">
        <v>39</v>
      </c>
      <c r="M979" t="s">
        <v>459</v>
      </c>
      <c r="O979" t="s">
        <v>34</v>
      </c>
      <c r="P979">
        <v>45652</v>
      </c>
      <c r="S979" s="6">
        <v>5564.54</v>
      </c>
      <c r="T979" t="s">
        <v>254</v>
      </c>
      <c r="U979">
        <v>220</v>
      </c>
      <c r="W979" s="7">
        <v>411</v>
      </c>
      <c r="AI979" t="s">
        <v>298</v>
      </c>
      <c r="AJ979" t="s">
        <v>258</v>
      </c>
      <c r="AK979">
        <v>13.539026763990268</v>
      </c>
    </row>
    <row r="980" spans="1:37" x14ac:dyDescent="0.35">
      <c r="A980">
        <v>12</v>
      </c>
      <c r="B980">
        <v>2024</v>
      </c>
      <c r="C980" t="s">
        <v>33</v>
      </c>
      <c r="D980" t="s">
        <v>34</v>
      </c>
      <c r="E980" t="s">
        <v>295</v>
      </c>
      <c r="F980" s="3" t="s">
        <v>34</v>
      </c>
      <c r="G980" s="2" t="s">
        <v>82</v>
      </c>
      <c r="H980" s="3">
        <v>56544</v>
      </c>
      <c r="I980" s="3">
        <v>1761</v>
      </c>
      <c r="J980" s="2" t="s">
        <v>305</v>
      </c>
      <c r="K980" t="s">
        <v>295</v>
      </c>
      <c r="L980" t="s">
        <v>39</v>
      </c>
      <c r="M980" t="s">
        <v>459</v>
      </c>
      <c r="O980" t="s">
        <v>34</v>
      </c>
      <c r="P980">
        <v>45652</v>
      </c>
      <c r="S980" s="6">
        <v>9151.27</v>
      </c>
      <c r="T980" t="s">
        <v>254</v>
      </c>
      <c r="U980">
        <v>280</v>
      </c>
      <c r="W980" s="7">
        <v>499</v>
      </c>
      <c r="AI980" t="s">
        <v>298</v>
      </c>
      <c r="AJ980" t="s">
        <v>258</v>
      </c>
      <c r="AK980">
        <v>18.339218436873747</v>
      </c>
    </row>
    <row r="981" spans="1:37" x14ac:dyDescent="0.35">
      <c r="A981">
        <v>1</v>
      </c>
      <c r="B981">
        <v>2025</v>
      </c>
      <c r="C981" t="s">
        <v>33</v>
      </c>
      <c r="D981" t="s">
        <v>34</v>
      </c>
      <c r="E981" t="s">
        <v>116</v>
      </c>
      <c r="F981" s="3" t="s">
        <v>36</v>
      </c>
      <c r="G981" s="2" t="s">
        <v>50</v>
      </c>
      <c r="H981" s="3">
        <v>56569</v>
      </c>
      <c r="I981" s="3">
        <v>1419</v>
      </c>
      <c r="J981" s="2" t="s">
        <v>341</v>
      </c>
      <c r="K981" t="s">
        <v>116</v>
      </c>
      <c r="L981" t="s">
        <v>39</v>
      </c>
      <c r="M981" t="s">
        <v>459</v>
      </c>
      <c r="O981" t="s">
        <v>34</v>
      </c>
      <c r="P981">
        <v>45666</v>
      </c>
      <c r="S981" s="6">
        <v>5725.85</v>
      </c>
      <c r="T981" t="s">
        <v>254</v>
      </c>
      <c r="U981">
        <v>180</v>
      </c>
      <c r="W981" s="7">
        <v>415</v>
      </c>
      <c r="AI981" t="s">
        <v>116</v>
      </c>
      <c r="AJ981" t="s">
        <v>258</v>
      </c>
      <c r="AK981">
        <v>13.797228915662652</v>
      </c>
    </row>
    <row r="982" spans="1:37" x14ac:dyDescent="0.35">
      <c r="A982">
        <v>1</v>
      </c>
      <c r="B982">
        <v>2025</v>
      </c>
      <c r="C982" t="s">
        <v>33</v>
      </c>
      <c r="D982" t="s">
        <v>34</v>
      </c>
      <c r="E982" t="s">
        <v>116</v>
      </c>
      <c r="F982" s="3" t="s">
        <v>36</v>
      </c>
      <c r="G982" s="2" t="s">
        <v>50</v>
      </c>
      <c r="H982" s="3">
        <v>56569</v>
      </c>
      <c r="I982" s="3">
        <v>1422</v>
      </c>
      <c r="J982" s="2" t="s">
        <v>339</v>
      </c>
      <c r="K982" t="s">
        <v>116</v>
      </c>
      <c r="L982" t="s">
        <v>39</v>
      </c>
      <c r="M982" t="s">
        <v>459</v>
      </c>
      <c r="O982" t="s">
        <v>34</v>
      </c>
      <c r="P982">
        <v>45666</v>
      </c>
      <c r="S982" s="6">
        <v>23264.560000000001</v>
      </c>
      <c r="T982" t="s">
        <v>254</v>
      </c>
      <c r="U982">
        <v>240</v>
      </c>
      <c r="W982" s="7">
        <v>1340.6</v>
      </c>
      <c r="AI982" t="s">
        <v>116</v>
      </c>
      <c r="AJ982" t="s">
        <v>258</v>
      </c>
      <c r="AK982">
        <v>17.35384156347904</v>
      </c>
    </row>
    <row r="983" spans="1:37" x14ac:dyDescent="0.35">
      <c r="A983">
        <v>1</v>
      </c>
      <c r="B983">
        <v>2025</v>
      </c>
      <c r="C983" t="s">
        <v>33</v>
      </c>
      <c r="D983" t="s">
        <v>34</v>
      </c>
      <c r="E983" t="s">
        <v>116</v>
      </c>
      <c r="F983" s="3" t="s">
        <v>36</v>
      </c>
      <c r="G983" s="2" t="s">
        <v>50</v>
      </c>
      <c r="H983" s="3">
        <v>56569</v>
      </c>
      <c r="I983" s="3">
        <v>3512</v>
      </c>
      <c r="J983" s="2" t="s">
        <v>496</v>
      </c>
      <c r="K983" t="s">
        <v>116</v>
      </c>
      <c r="L983" t="s">
        <v>39</v>
      </c>
      <c r="M983" t="s">
        <v>459</v>
      </c>
      <c r="O983" t="s">
        <v>34</v>
      </c>
      <c r="P983">
        <v>45666</v>
      </c>
      <c r="S983" s="6">
        <v>12975.52</v>
      </c>
      <c r="T983" t="s">
        <v>254</v>
      </c>
      <c r="U983">
        <v>340</v>
      </c>
      <c r="W983" s="7">
        <v>575</v>
      </c>
      <c r="AI983" t="s">
        <v>116</v>
      </c>
      <c r="AJ983" t="s">
        <v>258</v>
      </c>
      <c r="AK983">
        <v>22.566121739130434</v>
      </c>
    </row>
    <row r="984" spans="1:37" x14ac:dyDescent="0.35">
      <c r="A984">
        <v>1</v>
      </c>
      <c r="B984">
        <v>2025</v>
      </c>
      <c r="C984" t="s">
        <v>33</v>
      </c>
      <c r="D984" t="s">
        <v>34</v>
      </c>
      <c r="E984" t="s">
        <v>42</v>
      </c>
      <c r="F984" s="3" t="s">
        <v>36</v>
      </c>
      <c r="G984" s="2" t="s">
        <v>43</v>
      </c>
      <c r="H984" s="3">
        <v>56691</v>
      </c>
      <c r="I984" s="3">
        <v>3712</v>
      </c>
      <c r="J984" s="2" t="s">
        <v>520</v>
      </c>
      <c r="K984" t="s">
        <v>42</v>
      </c>
      <c r="L984" t="s">
        <v>39</v>
      </c>
      <c r="M984" t="s">
        <v>459</v>
      </c>
      <c r="O984" t="s">
        <v>297</v>
      </c>
      <c r="P984">
        <v>45679</v>
      </c>
      <c r="S984" s="6">
        <v>9811.9500000000007</v>
      </c>
      <c r="T984" t="s">
        <v>254</v>
      </c>
      <c r="U984">
        <v>280</v>
      </c>
      <c r="W984" s="7">
        <v>522</v>
      </c>
      <c r="AI984" t="s">
        <v>255</v>
      </c>
      <c r="AJ984" t="s">
        <v>262</v>
      </c>
      <c r="AK984">
        <v>18.796839080459772</v>
      </c>
    </row>
    <row r="985" spans="1:37" x14ac:dyDescent="0.35">
      <c r="A985">
        <v>1</v>
      </c>
      <c r="B985">
        <v>2025</v>
      </c>
      <c r="C985" t="s">
        <v>33</v>
      </c>
      <c r="D985" t="s">
        <v>34</v>
      </c>
      <c r="E985" t="s">
        <v>456</v>
      </c>
      <c r="F985" s="3" t="s">
        <v>36</v>
      </c>
      <c r="G985" s="2" t="s">
        <v>457</v>
      </c>
      <c r="H985" s="3">
        <v>56707</v>
      </c>
      <c r="I985" s="3">
        <v>3334</v>
      </c>
      <c r="J985" s="2" t="s">
        <v>458</v>
      </c>
      <c r="K985" t="s">
        <v>456</v>
      </c>
      <c r="L985" t="s">
        <v>39</v>
      </c>
      <c r="M985" t="s">
        <v>459</v>
      </c>
      <c r="O985" t="s">
        <v>34</v>
      </c>
      <c r="P985">
        <v>45680</v>
      </c>
      <c r="S985" s="6">
        <v>60369.8</v>
      </c>
      <c r="T985" t="s">
        <v>254</v>
      </c>
      <c r="U985">
        <v>260</v>
      </c>
      <c r="W985" s="7">
        <v>5188</v>
      </c>
      <c r="AI985" t="s">
        <v>456</v>
      </c>
      <c r="AJ985" t="s">
        <v>258</v>
      </c>
      <c r="AK985">
        <v>11.636430223592907</v>
      </c>
    </row>
    <row r="986" spans="1:37" x14ac:dyDescent="0.35">
      <c r="A986">
        <v>1</v>
      </c>
      <c r="B986">
        <v>2025</v>
      </c>
      <c r="C986" t="s">
        <v>33</v>
      </c>
      <c r="D986" t="s">
        <v>34</v>
      </c>
      <c r="E986" t="s">
        <v>295</v>
      </c>
      <c r="F986" s="3" t="s">
        <v>36</v>
      </c>
      <c r="G986" s="2" t="s">
        <v>82</v>
      </c>
      <c r="H986" s="3">
        <v>56743</v>
      </c>
      <c r="I986" s="3">
        <v>3700</v>
      </c>
      <c r="J986" s="2" t="s">
        <v>517</v>
      </c>
      <c r="K986" t="s">
        <v>295</v>
      </c>
      <c r="L986" t="s">
        <v>39</v>
      </c>
      <c r="M986" t="s">
        <v>459</v>
      </c>
      <c r="O986" t="s">
        <v>34</v>
      </c>
      <c r="P986">
        <v>45684</v>
      </c>
      <c r="S986" s="6">
        <v>3658.89</v>
      </c>
      <c r="T986" t="s">
        <v>254</v>
      </c>
      <c r="U986">
        <v>180</v>
      </c>
      <c r="W986" s="7">
        <v>474</v>
      </c>
      <c r="AI986" t="s">
        <v>298</v>
      </c>
      <c r="AJ986" t="s">
        <v>258</v>
      </c>
      <c r="AK986">
        <v>7.7191772151898732</v>
      </c>
    </row>
    <row r="987" spans="1:37" x14ac:dyDescent="0.35">
      <c r="A987">
        <v>1</v>
      </c>
      <c r="B987">
        <v>2025</v>
      </c>
      <c r="C987" t="s">
        <v>33</v>
      </c>
      <c r="D987" t="s">
        <v>34</v>
      </c>
      <c r="E987" t="s">
        <v>295</v>
      </c>
      <c r="F987" s="3" t="s">
        <v>36</v>
      </c>
      <c r="G987" s="2" t="s">
        <v>82</v>
      </c>
      <c r="H987" s="3">
        <v>56743</v>
      </c>
      <c r="I987" s="3">
        <v>3702</v>
      </c>
      <c r="J987" s="2" t="s">
        <v>518</v>
      </c>
      <c r="K987" t="s">
        <v>295</v>
      </c>
      <c r="L987" t="s">
        <v>39</v>
      </c>
      <c r="M987" t="s">
        <v>459</v>
      </c>
      <c r="O987" t="s">
        <v>34</v>
      </c>
      <c r="P987">
        <v>45684</v>
      </c>
      <c r="S987" s="6">
        <v>6293.19</v>
      </c>
      <c r="T987" t="s">
        <v>254</v>
      </c>
      <c r="U987">
        <v>180</v>
      </c>
      <c r="W987" s="7">
        <v>534</v>
      </c>
      <c r="AI987" t="s">
        <v>298</v>
      </c>
      <c r="AJ987" t="s">
        <v>258</v>
      </c>
      <c r="AK987">
        <v>11.784999999999998</v>
      </c>
    </row>
    <row r="988" spans="1:37" x14ac:dyDescent="0.35">
      <c r="A988">
        <v>1</v>
      </c>
      <c r="B988">
        <v>2025</v>
      </c>
      <c r="C988" t="s">
        <v>33</v>
      </c>
      <c r="D988" t="s">
        <v>34</v>
      </c>
      <c r="E988" t="s">
        <v>295</v>
      </c>
      <c r="F988" s="3" t="s">
        <v>36</v>
      </c>
      <c r="G988" s="2" t="s">
        <v>82</v>
      </c>
      <c r="H988" s="3">
        <v>56743</v>
      </c>
      <c r="I988" s="3">
        <v>3701</v>
      </c>
      <c r="J988" s="2" t="s">
        <v>519</v>
      </c>
      <c r="K988" t="s">
        <v>295</v>
      </c>
      <c r="L988" t="s">
        <v>39</v>
      </c>
      <c r="M988" t="s">
        <v>459</v>
      </c>
      <c r="O988" t="s">
        <v>34</v>
      </c>
      <c r="P988">
        <v>45684</v>
      </c>
      <c r="S988" s="6">
        <v>4131.76</v>
      </c>
      <c r="T988" t="s">
        <v>254</v>
      </c>
      <c r="U988">
        <v>180</v>
      </c>
      <c r="W988" s="7">
        <v>477</v>
      </c>
      <c r="AI988" t="s">
        <v>298</v>
      </c>
      <c r="AJ988" t="s">
        <v>258</v>
      </c>
      <c r="AK988">
        <v>8.6619706498951778</v>
      </c>
    </row>
    <row r="989" spans="1:37" x14ac:dyDescent="0.35">
      <c r="A989">
        <v>1</v>
      </c>
      <c r="B989">
        <v>2025</v>
      </c>
      <c r="C989" t="s">
        <v>33</v>
      </c>
      <c r="D989" t="s">
        <v>34</v>
      </c>
      <c r="E989" t="s">
        <v>295</v>
      </c>
      <c r="F989" s="3" t="s">
        <v>36</v>
      </c>
      <c r="G989" s="2" t="s">
        <v>82</v>
      </c>
      <c r="H989" s="3">
        <v>56743</v>
      </c>
      <c r="I989" s="3">
        <v>3274</v>
      </c>
      <c r="J989" s="2" t="s">
        <v>521</v>
      </c>
      <c r="K989" t="s">
        <v>295</v>
      </c>
      <c r="L989" t="s">
        <v>39</v>
      </c>
      <c r="M989" t="s">
        <v>459</v>
      </c>
      <c r="O989" t="s">
        <v>34</v>
      </c>
      <c r="P989">
        <v>45684</v>
      </c>
      <c r="S989" s="6">
        <v>4018.69</v>
      </c>
      <c r="T989" t="s">
        <v>254</v>
      </c>
      <c r="U989">
        <v>220</v>
      </c>
      <c r="W989" s="7">
        <v>310</v>
      </c>
      <c r="AI989" t="s">
        <v>298</v>
      </c>
      <c r="AJ989" t="s">
        <v>258</v>
      </c>
      <c r="AK989">
        <v>12.963516129032259</v>
      </c>
    </row>
    <row r="990" spans="1:37" x14ac:dyDescent="0.35">
      <c r="A990">
        <v>1</v>
      </c>
      <c r="B990">
        <v>2025</v>
      </c>
      <c r="C990" t="s">
        <v>33</v>
      </c>
      <c r="D990" t="s">
        <v>34</v>
      </c>
      <c r="E990" t="s">
        <v>295</v>
      </c>
      <c r="F990" s="3" t="s">
        <v>36</v>
      </c>
      <c r="G990" s="2" t="s">
        <v>82</v>
      </c>
      <c r="H990" s="3">
        <v>56743</v>
      </c>
      <c r="I990" s="3">
        <v>3270</v>
      </c>
      <c r="J990" s="2" t="s">
        <v>452</v>
      </c>
      <c r="K990" t="s">
        <v>295</v>
      </c>
      <c r="L990" t="s">
        <v>39</v>
      </c>
      <c r="M990" t="s">
        <v>459</v>
      </c>
      <c r="O990" t="s">
        <v>34</v>
      </c>
      <c r="P990">
        <v>45684</v>
      </c>
      <c r="S990" s="6">
        <v>5328</v>
      </c>
      <c r="T990" t="s">
        <v>254</v>
      </c>
      <c r="U990">
        <v>220</v>
      </c>
      <c r="W990" s="7">
        <v>411</v>
      </c>
      <c r="AI990" t="s">
        <v>298</v>
      </c>
      <c r="AJ990" t="s">
        <v>258</v>
      </c>
      <c r="AK990">
        <v>12.963503649635037</v>
      </c>
    </row>
    <row r="991" spans="1:37" x14ac:dyDescent="0.35">
      <c r="A991">
        <v>1</v>
      </c>
      <c r="B991">
        <v>2025</v>
      </c>
      <c r="C991" t="s">
        <v>33</v>
      </c>
      <c r="D991" t="s">
        <v>34</v>
      </c>
      <c r="E991" t="s">
        <v>295</v>
      </c>
      <c r="F991" s="3" t="s">
        <v>36</v>
      </c>
      <c r="G991" s="2" t="s">
        <v>82</v>
      </c>
      <c r="H991" s="3">
        <v>56743</v>
      </c>
      <c r="I991" s="3">
        <v>1761</v>
      </c>
      <c r="J991" s="2" t="s">
        <v>305</v>
      </c>
      <c r="K991" t="s">
        <v>295</v>
      </c>
      <c r="L991" t="s">
        <v>39</v>
      </c>
      <c r="M991" t="s">
        <v>459</v>
      </c>
      <c r="O991" t="s">
        <v>34</v>
      </c>
      <c r="P991">
        <v>45684</v>
      </c>
      <c r="S991" s="6">
        <v>14276</v>
      </c>
      <c r="T991" t="s">
        <v>254</v>
      </c>
      <c r="U991">
        <v>280</v>
      </c>
      <c r="W991" s="7">
        <v>813</v>
      </c>
      <c r="AI991" t="s">
        <v>298</v>
      </c>
      <c r="AJ991" t="s">
        <v>258</v>
      </c>
      <c r="AK991">
        <v>17.559655596555967</v>
      </c>
    </row>
    <row r="992" spans="1:37" x14ac:dyDescent="0.35">
      <c r="A992">
        <v>1</v>
      </c>
      <c r="B992">
        <v>2025</v>
      </c>
      <c r="C992" t="s">
        <v>33</v>
      </c>
      <c r="D992" t="s">
        <v>34</v>
      </c>
      <c r="E992" t="s">
        <v>116</v>
      </c>
      <c r="F992" s="3" t="s">
        <v>36</v>
      </c>
      <c r="G992" s="2" t="s">
        <v>50</v>
      </c>
      <c r="H992" s="3">
        <v>56774</v>
      </c>
      <c r="I992" s="3">
        <v>1419</v>
      </c>
      <c r="J992" s="2" t="s">
        <v>341</v>
      </c>
      <c r="K992" t="s">
        <v>116</v>
      </c>
      <c r="L992" t="s">
        <v>39</v>
      </c>
      <c r="M992" t="s">
        <v>459</v>
      </c>
      <c r="O992" t="s">
        <v>34</v>
      </c>
      <c r="P992">
        <v>45686</v>
      </c>
      <c r="S992" s="6">
        <v>6881.55</v>
      </c>
      <c r="T992" t="s">
        <v>254</v>
      </c>
      <c r="U992">
        <v>180</v>
      </c>
      <c r="W992" s="7">
        <v>519</v>
      </c>
      <c r="AI992" t="s">
        <v>116</v>
      </c>
      <c r="AJ992" t="s">
        <v>258</v>
      </c>
      <c r="AK992">
        <v>13.259248554913295</v>
      </c>
    </row>
    <row r="993" spans="1:37" x14ac:dyDescent="0.35">
      <c r="A993">
        <v>1</v>
      </c>
      <c r="B993">
        <v>2025</v>
      </c>
      <c r="C993" t="s">
        <v>33</v>
      </c>
      <c r="D993" t="s">
        <v>34</v>
      </c>
      <c r="E993" t="s">
        <v>116</v>
      </c>
      <c r="F993" s="3" t="s">
        <v>36</v>
      </c>
      <c r="G993" s="2" t="s">
        <v>50</v>
      </c>
      <c r="H993" s="3">
        <v>56774</v>
      </c>
      <c r="I993" s="3">
        <v>1419</v>
      </c>
      <c r="J993" s="2" t="s">
        <v>341</v>
      </c>
      <c r="K993" t="s">
        <v>116</v>
      </c>
      <c r="L993" t="s">
        <v>39</v>
      </c>
      <c r="M993" t="s">
        <v>459</v>
      </c>
      <c r="O993" t="s">
        <v>34</v>
      </c>
      <c r="P993">
        <v>45686</v>
      </c>
      <c r="S993" s="6">
        <v>8485.92</v>
      </c>
      <c r="T993" t="s">
        <v>254</v>
      </c>
      <c r="U993">
        <v>180</v>
      </c>
      <c r="W993" s="7">
        <v>640</v>
      </c>
      <c r="AI993" t="s">
        <v>116</v>
      </c>
      <c r="AJ993" t="s">
        <v>258</v>
      </c>
      <c r="AK993">
        <v>13.25925</v>
      </c>
    </row>
    <row r="994" spans="1:37" x14ac:dyDescent="0.35">
      <c r="A994">
        <v>1</v>
      </c>
      <c r="B994">
        <v>2025</v>
      </c>
      <c r="C994" t="s">
        <v>33</v>
      </c>
      <c r="D994" t="s">
        <v>34</v>
      </c>
      <c r="E994" t="s">
        <v>116</v>
      </c>
      <c r="F994" s="3" t="s">
        <v>36</v>
      </c>
      <c r="G994" s="2" t="s">
        <v>50</v>
      </c>
      <c r="H994" s="3">
        <v>56774</v>
      </c>
      <c r="I994" s="3">
        <v>1419</v>
      </c>
      <c r="J994" s="2" t="s">
        <v>341</v>
      </c>
      <c r="K994" t="s">
        <v>116</v>
      </c>
      <c r="L994" t="s">
        <v>39</v>
      </c>
      <c r="M994" t="s">
        <v>459</v>
      </c>
      <c r="O994" t="s">
        <v>34</v>
      </c>
      <c r="P994">
        <v>45686</v>
      </c>
      <c r="S994" s="6">
        <v>38717.01</v>
      </c>
      <c r="T994" t="s">
        <v>254</v>
      </c>
      <c r="U994">
        <v>180</v>
      </c>
      <c r="W994" s="7">
        <v>2920</v>
      </c>
      <c r="AI994" t="s">
        <v>116</v>
      </c>
      <c r="AJ994" t="s">
        <v>258</v>
      </c>
      <c r="AK994">
        <v>13.259250000000002</v>
      </c>
    </row>
    <row r="995" spans="1:37" x14ac:dyDescent="0.35">
      <c r="A995">
        <v>1</v>
      </c>
      <c r="B995">
        <v>2025</v>
      </c>
      <c r="C995" t="s">
        <v>33</v>
      </c>
      <c r="D995" t="s">
        <v>34</v>
      </c>
      <c r="E995" t="s">
        <v>116</v>
      </c>
      <c r="F995" s="3" t="s">
        <v>36</v>
      </c>
      <c r="G995" s="2" t="s">
        <v>50</v>
      </c>
      <c r="H995" s="3">
        <v>56774</v>
      </c>
      <c r="I995" s="3">
        <v>1422</v>
      </c>
      <c r="J995" s="2" t="s">
        <v>339</v>
      </c>
      <c r="K995" t="s">
        <v>116</v>
      </c>
      <c r="L995" t="s">
        <v>39</v>
      </c>
      <c r="M995" t="s">
        <v>459</v>
      </c>
      <c r="O995" t="s">
        <v>34</v>
      </c>
      <c r="P995">
        <v>45686</v>
      </c>
      <c r="S995" s="6">
        <v>13842.07</v>
      </c>
      <c r="T995" t="s">
        <v>254</v>
      </c>
      <c r="U995">
        <v>240</v>
      </c>
      <c r="W995" s="7">
        <v>830</v>
      </c>
      <c r="AI995" t="s">
        <v>116</v>
      </c>
      <c r="AJ995" t="s">
        <v>258</v>
      </c>
      <c r="AK995">
        <v>16.677192771084336</v>
      </c>
    </row>
    <row r="996" spans="1:37" x14ac:dyDescent="0.35">
      <c r="A996">
        <v>1</v>
      </c>
      <c r="B996">
        <v>2025</v>
      </c>
      <c r="C996" t="s">
        <v>33</v>
      </c>
      <c r="D996" t="s">
        <v>34</v>
      </c>
      <c r="E996" t="s">
        <v>116</v>
      </c>
      <c r="F996" s="3" t="s">
        <v>36</v>
      </c>
      <c r="G996" s="2" t="s">
        <v>50</v>
      </c>
      <c r="H996" s="3">
        <v>56774</v>
      </c>
      <c r="I996" s="3">
        <v>1422</v>
      </c>
      <c r="J996" s="2" t="s">
        <v>339</v>
      </c>
      <c r="K996" t="s">
        <v>116</v>
      </c>
      <c r="L996" t="s">
        <v>39</v>
      </c>
      <c r="M996" t="s">
        <v>459</v>
      </c>
      <c r="O996" t="s">
        <v>34</v>
      </c>
      <c r="P996">
        <v>45686</v>
      </c>
      <c r="S996" s="6">
        <v>14459.12</v>
      </c>
      <c r="T996" t="s">
        <v>254</v>
      </c>
      <c r="U996">
        <v>240</v>
      </c>
      <c r="W996" s="7">
        <v>867</v>
      </c>
      <c r="AI996" t="s">
        <v>116</v>
      </c>
      <c r="AJ996" t="s">
        <v>258</v>
      </c>
      <c r="AK996">
        <v>16.677185697808536</v>
      </c>
    </row>
    <row r="997" spans="1:37" x14ac:dyDescent="0.35">
      <c r="A997">
        <v>1</v>
      </c>
      <c r="B997">
        <v>2025</v>
      </c>
      <c r="C997" t="s">
        <v>33</v>
      </c>
      <c r="D997" t="s">
        <v>34</v>
      </c>
      <c r="E997" t="s">
        <v>42</v>
      </c>
      <c r="F997" s="3" t="s">
        <v>36</v>
      </c>
      <c r="G997" s="2" t="s">
        <v>43</v>
      </c>
      <c r="H997" s="3">
        <v>56800</v>
      </c>
      <c r="I997" s="3">
        <v>3711</v>
      </c>
      <c r="J997" s="2" t="s">
        <v>522</v>
      </c>
      <c r="K997" t="s">
        <v>42</v>
      </c>
      <c r="L997" t="s">
        <v>39</v>
      </c>
      <c r="M997" t="s">
        <v>459</v>
      </c>
      <c r="O997" t="s">
        <v>297</v>
      </c>
      <c r="P997">
        <v>45687</v>
      </c>
      <c r="S997" s="6">
        <v>37311</v>
      </c>
      <c r="T997" t="s">
        <v>254</v>
      </c>
      <c r="U997">
        <v>260</v>
      </c>
      <c r="W997" s="7">
        <v>2547</v>
      </c>
      <c r="AI997" t="s">
        <v>255</v>
      </c>
      <c r="AJ997" t="s">
        <v>262</v>
      </c>
      <c r="AK997">
        <v>14.648998822143698</v>
      </c>
    </row>
    <row r="998" spans="1:37" x14ac:dyDescent="0.35">
      <c r="A998">
        <v>1</v>
      </c>
      <c r="B998">
        <v>2025</v>
      </c>
      <c r="C998" t="s">
        <v>33</v>
      </c>
      <c r="D998" t="s">
        <v>34</v>
      </c>
      <c r="E998" t="s">
        <v>42</v>
      </c>
      <c r="F998" s="3" t="s">
        <v>36</v>
      </c>
      <c r="G998" s="2" t="s">
        <v>43</v>
      </c>
      <c r="H998" s="3">
        <v>56800</v>
      </c>
      <c r="I998" s="3">
        <v>3009</v>
      </c>
      <c r="J998" s="2" t="s">
        <v>424</v>
      </c>
      <c r="K998" t="s">
        <v>42</v>
      </c>
      <c r="L998" t="s">
        <v>39</v>
      </c>
      <c r="M998" t="s">
        <v>459</v>
      </c>
      <c r="O998" t="s">
        <v>297</v>
      </c>
      <c r="P998">
        <v>45687</v>
      </c>
      <c r="S998" s="6">
        <v>13127.26</v>
      </c>
      <c r="T998" t="s">
        <v>254</v>
      </c>
      <c r="U998">
        <v>300</v>
      </c>
      <c r="W998" s="7">
        <v>521</v>
      </c>
      <c r="AI998" t="s">
        <v>255</v>
      </c>
      <c r="AJ998" t="s">
        <v>262</v>
      </c>
      <c r="AK998">
        <v>25.196276391554704</v>
      </c>
    </row>
    <row r="999" spans="1:37" x14ac:dyDescent="0.35">
      <c r="A999">
        <v>1</v>
      </c>
      <c r="B999">
        <v>2025</v>
      </c>
      <c r="C999" t="s">
        <v>33</v>
      </c>
      <c r="D999" t="s">
        <v>34</v>
      </c>
      <c r="E999" t="s">
        <v>42</v>
      </c>
      <c r="F999" s="3" t="s">
        <v>36</v>
      </c>
      <c r="G999" s="2" t="s">
        <v>43</v>
      </c>
      <c r="H999" s="3">
        <v>56800</v>
      </c>
      <c r="I999" s="3">
        <v>2054</v>
      </c>
      <c r="J999" s="2" t="s">
        <v>330</v>
      </c>
      <c r="K999" t="s">
        <v>42</v>
      </c>
      <c r="L999" t="s">
        <v>39</v>
      </c>
      <c r="M999" t="s">
        <v>459</v>
      </c>
      <c r="O999" t="s">
        <v>297</v>
      </c>
      <c r="P999">
        <v>45687</v>
      </c>
      <c r="S999" s="6">
        <v>8906.59</v>
      </c>
      <c r="T999" t="s">
        <v>254</v>
      </c>
      <c r="U999">
        <v>280</v>
      </c>
      <c r="W999" s="7">
        <v>475</v>
      </c>
      <c r="AI999" t="s">
        <v>255</v>
      </c>
      <c r="AJ999" t="s">
        <v>262</v>
      </c>
      <c r="AK999">
        <v>18.750715789473684</v>
      </c>
    </row>
    <row r="1000" spans="1:37" x14ac:dyDescent="0.35">
      <c r="A1000">
        <v>1</v>
      </c>
      <c r="B1000">
        <v>2025</v>
      </c>
      <c r="C1000" t="s">
        <v>33</v>
      </c>
      <c r="D1000" t="s">
        <v>34</v>
      </c>
      <c r="E1000" t="s">
        <v>42</v>
      </c>
      <c r="F1000" s="3" t="s">
        <v>36</v>
      </c>
      <c r="G1000" s="2" t="s">
        <v>43</v>
      </c>
      <c r="H1000" s="3">
        <v>56800</v>
      </c>
      <c r="I1000" s="3">
        <v>3712</v>
      </c>
      <c r="J1000" s="2" t="s">
        <v>520</v>
      </c>
      <c r="K1000" t="s">
        <v>42</v>
      </c>
      <c r="L1000" t="s">
        <v>39</v>
      </c>
      <c r="M1000" t="s">
        <v>459</v>
      </c>
      <c r="O1000" t="s">
        <v>297</v>
      </c>
      <c r="P1000">
        <v>45687</v>
      </c>
      <c r="S1000" s="6">
        <v>62105.2</v>
      </c>
      <c r="T1000" t="s">
        <v>254</v>
      </c>
      <c r="U1000">
        <v>280</v>
      </c>
      <c r="W1000" s="7">
        <v>3408</v>
      </c>
      <c r="AI1000" t="s">
        <v>255</v>
      </c>
      <c r="AJ1000" t="s">
        <v>262</v>
      </c>
      <c r="AK1000">
        <v>18.223356807511735</v>
      </c>
    </row>
    <row r="1001" spans="1:37" x14ac:dyDescent="0.35">
      <c r="A1001">
        <v>1</v>
      </c>
      <c r="B1001">
        <v>2025</v>
      </c>
      <c r="C1001" t="s">
        <v>33</v>
      </c>
      <c r="D1001" t="s">
        <v>34</v>
      </c>
      <c r="E1001" t="s">
        <v>42</v>
      </c>
      <c r="F1001" s="3" t="s">
        <v>36</v>
      </c>
      <c r="G1001" s="2" t="s">
        <v>43</v>
      </c>
      <c r="H1001" s="3">
        <v>56800</v>
      </c>
      <c r="I1001" s="3">
        <v>1226</v>
      </c>
      <c r="J1001" s="2" t="s">
        <v>266</v>
      </c>
      <c r="K1001" t="s">
        <v>42</v>
      </c>
      <c r="L1001" t="s">
        <v>39</v>
      </c>
      <c r="M1001" t="s">
        <v>459</v>
      </c>
      <c r="O1001" t="s">
        <v>297</v>
      </c>
      <c r="P1001">
        <v>45687</v>
      </c>
      <c r="S1001" s="6">
        <v>15100.19</v>
      </c>
      <c r="T1001" t="s">
        <v>254</v>
      </c>
      <c r="U1001">
        <v>260</v>
      </c>
      <c r="W1001" s="7">
        <v>859</v>
      </c>
      <c r="AI1001" t="s">
        <v>255</v>
      </c>
      <c r="AJ1001" t="s">
        <v>262</v>
      </c>
      <c r="AK1001">
        <v>17.578800931315484</v>
      </c>
    </row>
    <row r="1002" spans="1:37" x14ac:dyDescent="0.35">
      <c r="A1002">
        <v>1</v>
      </c>
      <c r="B1002">
        <v>2025</v>
      </c>
      <c r="C1002" t="s">
        <v>33</v>
      </c>
      <c r="D1002" t="s">
        <v>34</v>
      </c>
      <c r="E1002" t="s">
        <v>42</v>
      </c>
      <c r="F1002" s="3" t="s">
        <v>36</v>
      </c>
      <c r="G1002" s="2" t="s">
        <v>43</v>
      </c>
      <c r="H1002" s="3">
        <v>56800</v>
      </c>
      <c r="I1002" s="3">
        <v>1504</v>
      </c>
      <c r="J1002" s="2" t="s">
        <v>263</v>
      </c>
      <c r="K1002" t="s">
        <v>42</v>
      </c>
      <c r="L1002" t="s">
        <v>39</v>
      </c>
      <c r="M1002" t="s">
        <v>459</v>
      </c>
      <c r="O1002" t="s">
        <v>297</v>
      </c>
      <c r="P1002">
        <v>45687</v>
      </c>
      <c r="S1002" s="6">
        <v>17205.66</v>
      </c>
      <c r="T1002" t="s">
        <v>254</v>
      </c>
      <c r="U1002">
        <v>240</v>
      </c>
      <c r="W1002" s="7">
        <v>992</v>
      </c>
      <c r="AI1002" t="s">
        <v>255</v>
      </c>
      <c r="AJ1002" t="s">
        <v>262</v>
      </c>
      <c r="AK1002">
        <v>17.344415322580645</v>
      </c>
    </row>
    <row r="1003" spans="1:37" x14ac:dyDescent="0.35">
      <c r="A1003">
        <v>1</v>
      </c>
      <c r="B1003">
        <v>2025</v>
      </c>
      <c r="C1003" t="s">
        <v>33</v>
      </c>
      <c r="D1003" t="s">
        <v>34</v>
      </c>
      <c r="E1003" t="s">
        <v>42</v>
      </c>
      <c r="F1003" s="3" t="s">
        <v>36</v>
      </c>
      <c r="G1003" s="2" t="s">
        <v>43</v>
      </c>
      <c r="H1003" s="3">
        <v>56800</v>
      </c>
      <c r="I1003" s="3">
        <v>1236</v>
      </c>
      <c r="J1003" s="2" t="s">
        <v>264</v>
      </c>
      <c r="K1003" t="s">
        <v>42</v>
      </c>
      <c r="L1003" t="s">
        <v>39</v>
      </c>
      <c r="M1003" t="s">
        <v>459</v>
      </c>
      <c r="O1003" t="s">
        <v>297</v>
      </c>
      <c r="P1003">
        <v>45687</v>
      </c>
      <c r="S1003" s="6">
        <v>31808.84</v>
      </c>
      <c r="T1003" t="s">
        <v>254</v>
      </c>
      <c r="U1003">
        <v>240</v>
      </c>
      <c r="W1003" s="7">
        <v>1551</v>
      </c>
      <c r="AI1003" t="s">
        <v>255</v>
      </c>
      <c r="AJ1003" t="s">
        <v>262</v>
      </c>
      <c r="AK1003">
        <v>20.508600902643455</v>
      </c>
    </row>
    <row r="1004" spans="1:37" x14ac:dyDescent="0.35">
      <c r="A1004">
        <v>1</v>
      </c>
      <c r="B1004">
        <v>2025</v>
      </c>
      <c r="C1004" t="s">
        <v>33</v>
      </c>
      <c r="D1004" t="s">
        <v>34</v>
      </c>
      <c r="E1004" t="s">
        <v>42</v>
      </c>
      <c r="F1004" s="3" t="s">
        <v>36</v>
      </c>
      <c r="G1004" s="2" t="s">
        <v>43</v>
      </c>
      <c r="H1004" s="3">
        <v>56800</v>
      </c>
      <c r="I1004" s="3">
        <v>1225</v>
      </c>
      <c r="J1004" s="2" t="s">
        <v>292</v>
      </c>
      <c r="K1004" t="s">
        <v>42</v>
      </c>
      <c r="L1004" t="s">
        <v>39</v>
      </c>
      <c r="M1004" t="s">
        <v>459</v>
      </c>
      <c r="O1004" t="s">
        <v>297</v>
      </c>
      <c r="P1004">
        <v>45687</v>
      </c>
      <c r="S1004" s="6">
        <v>34966.339999999997</v>
      </c>
      <c r="T1004" t="s">
        <v>254</v>
      </c>
      <c r="U1004">
        <v>240</v>
      </c>
      <c r="W1004" s="7">
        <v>2016</v>
      </c>
      <c r="AI1004" t="s">
        <v>255</v>
      </c>
      <c r="AJ1004" t="s">
        <v>262</v>
      </c>
      <c r="AK1004">
        <v>17.344414682539682</v>
      </c>
    </row>
    <row r="1005" spans="1:37" x14ac:dyDescent="0.35">
      <c r="A1005">
        <v>1</v>
      </c>
      <c r="B1005">
        <v>2025</v>
      </c>
      <c r="C1005" t="s">
        <v>33</v>
      </c>
      <c r="D1005" t="s">
        <v>34</v>
      </c>
      <c r="E1005" t="s">
        <v>344</v>
      </c>
      <c r="F1005" s="3" t="s">
        <v>36</v>
      </c>
      <c r="G1005" s="2" t="s">
        <v>37</v>
      </c>
      <c r="H1005" s="3">
        <v>56802</v>
      </c>
      <c r="I1005" s="3">
        <v>3760</v>
      </c>
      <c r="J1005" s="2" t="s">
        <v>523</v>
      </c>
      <c r="K1005" t="s">
        <v>344</v>
      </c>
      <c r="L1005" t="s">
        <v>39</v>
      </c>
      <c r="M1005" t="s">
        <v>459</v>
      </c>
      <c r="O1005" t="s">
        <v>34</v>
      </c>
      <c r="P1005">
        <v>45687</v>
      </c>
      <c r="S1005" s="6">
        <v>26858.94</v>
      </c>
      <c r="T1005" t="s">
        <v>254</v>
      </c>
      <c r="U1005">
        <v>180</v>
      </c>
      <c r="W1005" s="7">
        <v>2375</v>
      </c>
      <c r="AI1005" t="s">
        <v>344</v>
      </c>
      <c r="AJ1005" t="s">
        <v>258</v>
      </c>
      <c r="AK1005">
        <v>11.309027368421052</v>
      </c>
    </row>
    <row r="1006" spans="1:37" x14ac:dyDescent="0.35">
      <c r="A1006">
        <v>2</v>
      </c>
      <c r="B1006">
        <v>2025</v>
      </c>
      <c r="C1006" t="s">
        <v>33</v>
      </c>
      <c r="D1006" t="s">
        <v>34</v>
      </c>
      <c r="E1006" t="s">
        <v>524</v>
      </c>
      <c r="F1006" s="3" t="s">
        <v>36</v>
      </c>
      <c r="G1006" s="2" t="s">
        <v>525</v>
      </c>
      <c r="H1006" s="3">
        <v>56976</v>
      </c>
      <c r="I1006" s="3">
        <v>3873</v>
      </c>
      <c r="J1006" s="2" t="s">
        <v>526</v>
      </c>
      <c r="K1006" t="s">
        <v>524</v>
      </c>
      <c r="L1006" t="s">
        <v>39</v>
      </c>
      <c r="M1006" t="s">
        <v>459</v>
      </c>
      <c r="O1006" t="s">
        <v>34</v>
      </c>
      <c r="P1006">
        <v>45702</v>
      </c>
      <c r="S1006" s="6">
        <v>104.02</v>
      </c>
      <c r="T1006" t="s">
        <v>254</v>
      </c>
      <c r="U1006">
        <v>240</v>
      </c>
      <c r="W1006" s="7">
        <v>10</v>
      </c>
      <c r="AI1006" t="s">
        <v>524</v>
      </c>
      <c r="AJ1006" t="s">
        <v>258</v>
      </c>
      <c r="AK1006">
        <v>10.401999999999999</v>
      </c>
    </row>
    <row r="1007" spans="1:37" x14ac:dyDescent="0.35">
      <c r="A1007">
        <v>2</v>
      </c>
      <c r="B1007">
        <v>2025</v>
      </c>
      <c r="C1007" t="s">
        <v>33</v>
      </c>
      <c r="D1007" t="s">
        <v>34</v>
      </c>
      <c r="E1007" t="s">
        <v>116</v>
      </c>
      <c r="F1007" s="3" t="s">
        <v>36</v>
      </c>
      <c r="G1007" s="2" t="s">
        <v>50</v>
      </c>
      <c r="H1007" s="3">
        <v>57134</v>
      </c>
      <c r="I1007" s="3">
        <v>3378</v>
      </c>
      <c r="J1007" s="2" t="s">
        <v>460</v>
      </c>
      <c r="K1007" t="s">
        <v>116</v>
      </c>
      <c r="L1007" t="s">
        <v>39</v>
      </c>
      <c r="M1007" t="s">
        <v>459</v>
      </c>
      <c r="O1007" t="s">
        <v>34</v>
      </c>
      <c r="P1007">
        <v>45716</v>
      </c>
      <c r="S1007" s="6">
        <v>16548.98</v>
      </c>
      <c r="T1007" t="s">
        <v>254</v>
      </c>
      <c r="U1007">
        <v>370</v>
      </c>
      <c r="W1007" s="7">
        <v>586</v>
      </c>
      <c r="AI1007" t="s">
        <v>116</v>
      </c>
      <c r="AJ1007" t="s">
        <v>258</v>
      </c>
      <c r="AK1007">
        <v>28.240580204778155</v>
      </c>
    </row>
    <row r="1008" spans="1:37" x14ac:dyDescent="0.35">
      <c r="A1008">
        <v>2</v>
      </c>
      <c r="B1008">
        <v>2025</v>
      </c>
      <c r="C1008" t="s">
        <v>33</v>
      </c>
      <c r="D1008" t="s">
        <v>34</v>
      </c>
      <c r="E1008" t="s">
        <v>116</v>
      </c>
      <c r="F1008" s="3" t="s">
        <v>36</v>
      </c>
      <c r="G1008" s="2" t="s">
        <v>50</v>
      </c>
      <c r="H1008" s="3">
        <v>57134</v>
      </c>
      <c r="I1008" s="3">
        <v>1422</v>
      </c>
      <c r="J1008" s="2" t="s">
        <v>339</v>
      </c>
      <c r="K1008" t="s">
        <v>116</v>
      </c>
      <c r="L1008" t="s">
        <v>39</v>
      </c>
      <c r="M1008" t="s">
        <v>459</v>
      </c>
      <c r="O1008" t="s">
        <v>34</v>
      </c>
      <c r="P1008">
        <v>45716</v>
      </c>
      <c r="S1008" s="6">
        <v>30831.32</v>
      </c>
      <c r="T1008" t="s">
        <v>254</v>
      </c>
      <c r="U1008">
        <v>240</v>
      </c>
      <c r="W1008" s="7">
        <v>1871</v>
      </c>
      <c r="AI1008" t="s">
        <v>116</v>
      </c>
      <c r="AJ1008" t="s">
        <v>258</v>
      </c>
      <c r="AK1008">
        <v>16.478524853019774</v>
      </c>
    </row>
    <row r="1009" spans="1:37" x14ac:dyDescent="0.35">
      <c r="A1009">
        <v>2</v>
      </c>
      <c r="B1009">
        <v>2025</v>
      </c>
      <c r="C1009" t="s">
        <v>33</v>
      </c>
      <c r="D1009" t="s">
        <v>34</v>
      </c>
      <c r="E1009" t="s">
        <v>344</v>
      </c>
      <c r="F1009" s="3" t="s">
        <v>36</v>
      </c>
      <c r="G1009" s="2" t="s">
        <v>37</v>
      </c>
      <c r="H1009" s="3">
        <v>57144</v>
      </c>
      <c r="I1009" s="3">
        <v>2210</v>
      </c>
      <c r="J1009" s="2" t="s">
        <v>345</v>
      </c>
      <c r="K1009" t="s">
        <v>344</v>
      </c>
      <c r="L1009" t="s">
        <v>39</v>
      </c>
      <c r="M1009" t="s">
        <v>459</v>
      </c>
      <c r="O1009" t="s">
        <v>34</v>
      </c>
      <c r="P1009">
        <v>45716</v>
      </c>
      <c r="S1009" s="6">
        <v>10532.28</v>
      </c>
      <c r="T1009" t="s">
        <v>254</v>
      </c>
      <c r="U1009">
        <v>180</v>
      </c>
      <c r="W1009" s="7">
        <v>952</v>
      </c>
      <c r="AI1009" t="s">
        <v>344</v>
      </c>
      <c r="AJ1009" t="s">
        <v>258</v>
      </c>
      <c r="AK1009">
        <v>11.063319327731094</v>
      </c>
    </row>
    <row r="1010" spans="1:37" x14ac:dyDescent="0.35">
      <c r="A1010">
        <v>2</v>
      </c>
      <c r="B1010">
        <v>2025</v>
      </c>
      <c r="C1010" t="s">
        <v>33</v>
      </c>
      <c r="D1010" t="s">
        <v>34</v>
      </c>
      <c r="E1010" t="s">
        <v>344</v>
      </c>
      <c r="F1010" s="3" t="s">
        <v>36</v>
      </c>
      <c r="G1010" s="2" t="s">
        <v>37</v>
      </c>
      <c r="H1010" s="3">
        <v>57144</v>
      </c>
      <c r="I1010" s="3">
        <v>3590</v>
      </c>
      <c r="J1010" s="2" t="s">
        <v>497</v>
      </c>
      <c r="K1010" t="s">
        <v>344</v>
      </c>
      <c r="L1010" t="s">
        <v>39</v>
      </c>
      <c r="M1010" t="s">
        <v>459</v>
      </c>
      <c r="O1010" t="s">
        <v>34</v>
      </c>
      <c r="P1010">
        <v>45716</v>
      </c>
      <c r="S1010" s="6">
        <v>17328.650000000001</v>
      </c>
      <c r="T1010" t="s">
        <v>254</v>
      </c>
      <c r="U1010">
        <v>280</v>
      </c>
      <c r="W1010" s="7">
        <v>744</v>
      </c>
      <c r="AI1010" t="s">
        <v>344</v>
      </c>
      <c r="AJ1010" t="s">
        <v>258</v>
      </c>
      <c r="AK1010">
        <v>23.291196236559141</v>
      </c>
    </row>
    <row r="1011" spans="1:37" x14ac:dyDescent="0.35">
      <c r="A1011">
        <v>2</v>
      </c>
      <c r="B1011">
        <v>2025</v>
      </c>
      <c r="C1011" t="s">
        <v>33</v>
      </c>
      <c r="D1011" t="s">
        <v>34</v>
      </c>
      <c r="E1011" t="s">
        <v>42</v>
      </c>
      <c r="F1011" s="3" t="s">
        <v>36</v>
      </c>
      <c r="G1011" s="2" t="s">
        <v>43</v>
      </c>
      <c r="H1011" s="3">
        <v>57145</v>
      </c>
      <c r="I1011" s="3">
        <v>1506</v>
      </c>
      <c r="J1011" s="2" t="s">
        <v>253</v>
      </c>
      <c r="K1011" t="s">
        <v>42</v>
      </c>
      <c r="L1011" t="s">
        <v>39</v>
      </c>
      <c r="M1011" t="s">
        <v>459</v>
      </c>
      <c r="O1011" t="s">
        <v>297</v>
      </c>
      <c r="P1011">
        <v>45716</v>
      </c>
      <c r="S1011" s="6">
        <v>23229.13</v>
      </c>
      <c r="T1011" t="s">
        <v>254</v>
      </c>
      <c r="U1011">
        <v>280</v>
      </c>
      <c r="W1011" s="7">
        <v>1198</v>
      </c>
      <c r="AI1011" t="s">
        <v>255</v>
      </c>
      <c r="AJ1011" t="s">
        <v>262</v>
      </c>
      <c r="AK1011">
        <v>19.389924874791319</v>
      </c>
    </row>
    <row r="1012" spans="1:37" x14ac:dyDescent="0.35">
      <c r="A1012">
        <v>2</v>
      </c>
      <c r="B1012">
        <v>2025</v>
      </c>
      <c r="C1012" t="s">
        <v>33</v>
      </c>
      <c r="D1012" t="s">
        <v>34</v>
      </c>
      <c r="E1012" t="s">
        <v>42</v>
      </c>
      <c r="F1012" s="3" t="s">
        <v>36</v>
      </c>
      <c r="G1012" s="2" t="s">
        <v>43</v>
      </c>
      <c r="H1012" s="3">
        <v>57145</v>
      </c>
      <c r="I1012" s="3">
        <v>3712</v>
      </c>
      <c r="J1012" s="2" t="s">
        <v>520</v>
      </c>
      <c r="K1012" t="s">
        <v>42</v>
      </c>
      <c r="L1012" t="s">
        <v>39</v>
      </c>
      <c r="M1012" t="s">
        <v>459</v>
      </c>
      <c r="O1012" t="s">
        <v>297</v>
      </c>
      <c r="P1012">
        <v>45716</v>
      </c>
      <c r="S1012" s="6">
        <v>62330.86</v>
      </c>
      <c r="T1012" t="s">
        <v>254</v>
      </c>
      <c r="U1012">
        <v>280</v>
      </c>
      <c r="W1012" s="7">
        <v>3442</v>
      </c>
      <c r="AI1012" t="s">
        <v>255</v>
      </c>
      <c r="AJ1012" t="s">
        <v>262</v>
      </c>
      <c r="AK1012">
        <v>18.108907611853574</v>
      </c>
    </row>
    <row r="1013" spans="1:37" x14ac:dyDescent="0.35">
      <c r="A1013">
        <v>2</v>
      </c>
      <c r="B1013">
        <v>2025</v>
      </c>
      <c r="C1013" t="s">
        <v>33</v>
      </c>
      <c r="D1013" t="s">
        <v>34</v>
      </c>
      <c r="E1013" t="s">
        <v>42</v>
      </c>
      <c r="F1013" s="3" t="s">
        <v>36</v>
      </c>
      <c r="G1013" s="2" t="s">
        <v>43</v>
      </c>
      <c r="H1013" s="3">
        <v>57145</v>
      </c>
      <c r="I1013" s="3">
        <v>1525</v>
      </c>
      <c r="J1013" s="2" t="s">
        <v>283</v>
      </c>
      <c r="K1013" t="s">
        <v>42</v>
      </c>
      <c r="L1013" t="s">
        <v>39</v>
      </c>
      <c r="M1013" t="s">
        <v>459</v>
      </c>
      <c r="O1013" t="s">
        <v>297</v>
      </c>
      <c r="P1013">
        <v>45716</v>
      </c>
      <c r="S1013" s="6">
        <v>21305.57</v>
      </c>
      <c r="T1013" t="s">
        <v>254</v>
      </c>
      <c r="U1013">
        <v>320</v>
      </c>
      <c r="W1013" s="7">
        <v>997</v>
      </c>
      <c r="AI1013" t="s">
        <v>255</v>
      </c>
      <c r="AJ1013" t="s">
        <v>262</v>
      </c>
      <c r="AK1013">
        <v>21.369679037111332</v>
      </c>
    </row>
    <row r="1014" spans="1:37" x14ac:dyDescent="0.35">
      <c r="A1014">
        <v>2</v>
      </c>
      <c r="B1014">
        <v>2025</v>
      </c>
      <c r="C1014" t="s">
        <v>33</v>
      </c>
      <c r="D1014" t="s">
        <v>34</v>
      </c>
      <c r="E1014" t="s">
        <v>42</v>
      </c>
      <c r="F1014" s="3" t="s">
        <v>36</v>
      </c>
      <c r="G1014" s="2" t="s">
        <v>43</v>
      </c>
      <c r="H1014" s="3">
        <v>57145</v>
      </c>
      <c r="I1014" s="3">
        <v>2054</v>
      </c>
      <c r="J1014" s="2" t="s">
        <v>330</v>
      </c>
      <c r="K1014" t="s">
        <v>42</v>
      </c>
      <c r="L1014" t="s">
        <v>39</v>
      </c>
      <c r="M1014" t="s">
        <v>459</v>
      </c>
      <c r="O1014" t="s">
        <v>297</v>
      </c>
      <c r="P1014">
        <v>45716</v>
      </c>
      <c r="S1014" s="6">
        <v>20046.560000000001</v>
      </c>
      <c r="T1014" t="s">
        <v>254</v>
      </c>
      <c r="U1014">
        <v>280</v>
      </c>
      <c r="W1014" s="7">
        <v>1107</v>
      </c>
      <c r="AI1014" t="s">
        <v>255</v>
      </c>
      <c r="AJ1014" t="s">
        <v>262</v>
      </c>
      <c r="AK1014">
        <v>18.108906955736224</v>
      </c>
    </row>
    <row r="1015" spans="1:37" x14ac:dyDescent="0.35">
      <c r="A1015">
        <v>2</v>
      </c>
      <c r="B1015">
        <v>2025</v>
      </c>
      <c r="C1015" t="s">
        <v>33</v>
      </c>
      <c r="D1015" t="s">
        <v>34</v>
      </c>
      <c r="E1015" t="s">
        <v>42</v>
      </c>
      <c r="F1015" s="3" t="s">
        <v>36</v>
      </c>
      <c r="G1015" s="2" t="s">
        <v>43</v>
      </c>
      <c r="H1015" s="3">
        <v>57145</v>
      </c>
      <c r="I1015" s="3">
        <v>1504</v>
      </c>
      <c r="J1015" s="2" t="s">
        <v>263</v>
      </c>
      <c r="K1015" t="s">
        <v>42</v>
      </c>
      <c r="L1015" t="s">
        <v>39</v>
      </c>
      <c r="M1015" t="s">
        <v>459</v>
      </c>
      <c r="O1015" t="s">
        <v>297</v>
      </c>
      <c r="P1015">
        <v>45716</v>
      </c>
      <c r="S1015" s="6">
        <v>30589.54</v>
      </c>
      <c r="T1015" t="s">
        <v>254</v>
      </c>
      <c r="U1015">
        <v>240</v>
      </c>
      <c r="W1015" s="7">
        <v>1869.54</v>
      </c>
      <c r="AI1015" t="s">
        <v>255</v>
      </c>
      <c r="AJ1015" t="s">
        <v>262</v>
      </c>
      <c r="AK1015">
        <v>16.362067674401189</v>
      </c>
    </row>
    <row r="1016" spans="1:37" x14ac:dyDescent="0.35">
      <c r="A1016">
        <v>2</v>
      </c>
      <c r="B1016">
        <v>2025</v>
      </c>
      <c r="C1016" t="s">
        <v>33</v>
      </c>
      <c r="D1016" t="s">
        <v>34</v>
      </c>
      <c r="E1016" t="s">
        <v>42</v>
      </c>
      <c r="F1016" s="3" t="s">
        <v>36</v>
      </c>
      <c r="G1016" s="2" t="s">
        <v>43</v>
      </c>
      <c r="H1016" s="3">
        <v>57145</v>
      </c>
      <c r="I1016" s="3">
        <v>1226</v>
      </c>
      <c r="J1016" s="2" t="s">
        <v>266</v>
      </c>
      <c r="K1016" t="s">
        <v>42</v>
      </c>
      <c r="L1016" t="s">
        <v>39</v>
      </c>
      <c r="M1016" t="s">
        <v>459</v>
      </c>
      <c r="O1016" t="s">
        <v>297</v>
      </c>
      <c r="P1016">
        <v>45716</v>
      </c>
      <c r="S1016" s="6">
        <v>40532.28</v>
      </c>
      <c r="T1016" t="s">
        <v>254</v>
      </c>
      <c r="U1016">
        <v>260</v>
      </c>
      <c r="W1016" s="7">
        <v>2417</v>
      </c>
      <c r="AI1016" t="s">
        <v>255</v>
      </c>
      <c r="AJ1016" t="s">
        <v>262</v>
      </c>
      <c r="AK1016">
        <v>16.769664873810509</v>
      </c>
    </row>
    <row r="1017" spans="1:37" x14ac:dyDescent="0.35">
      <c r="A1017">
        <v>2</v>
      </c>
      <c r="B1017">
        <v>2025</v>
      </c>
      <c r="C1017" t="s">
        <v>33</v>
      </c>
      <c r="D1017" t="s">
        <v>34</v>
      </c>
      <c r="E1017" t="s">
        <v>42</v>
      </c>
      <c r="F1017" s="3" t="s">
        <v>36</v>
      </c>
      <c r="G1017" s="2" t="s">
        <v>43</v>
      </c>
      <c r="H1017" s="3">
        <v>57145</v>
      </c>
      <c r="I1017" s="3">
        <v>1225</v>
      </c>
      <c r="J1017" s="2" t="s">
        <v>292</v>
      </c>
      <c r="K1017" t="s">
        <v>42</v>
      </c>
      <c r="L1017" t="s">
        <v>39</v>
      </c>
      <c r="M1017" t="s">
        <v>459</v>
      </c>
      <c r="O1017" t="s">
        <v>297</v>
      </c>
      <c r="P1017">
        <v>45716</v>
      </c>
      <c r="S1017" s="6">
        <v>48684.2</v>
      </c>
      <c r="T1017" t="s">
        <v>254</v>
      </c>
      <c r="U1017">
        <v>240</v>
      </c>
      <c r="W1017" s="7">
        <v>2944</v>
      </c>
      <c r="AI1017" t="s">
        <v>255</v>
      </c>
      <c r="AJ1017" t="s">
        <v>262</v>
      </c>
      <c r="AK1017">
        <v>16.536752717391302</v>
      </c>
    </row>
    <row r="1018" spans="1:37" x14ac:dyDescent="0.35">
      <c r="A1018">
        <v>3</v>
      </c>
      <c r="B1018">
        <v>2025</v>
      </c>
      <c r="C1018" t="s">
        <v>33</v>
      </c>
      <c r="D1018" t="s">
        <v>34</v>
      </c>
      <c r="E1018" t="s">
        <v>42</v>
      </c>
      <c r="F1018" s="3" t="s">
        <v>36</v>
      </c>
      <c r="G1018" s="2" t="s">
        <v>43</v>
      </c>
      <c r="H1018" s="3">
        <v>57297</v>
      </c>
      <c r="I1018" s="3">
        <v>2054</v>
      </c>
      <c r="J1018" s="2" t="s">
        <v>330</v>
      </c>
      <c r="K1018" t="s">
        <v>42</v>
      </c>
      <c r="L1018" t="s">
        <v>39</v>
      </c>
      <c r="M1018" t="s">
        <v>459</v>
      </c>
      <c r="O1018" t="s">
        <v>297</v>
      </c>
      <c r="P1018">
        <v>45734</v>
      </c>
      <c r="S1018" s="6">
        <v>1526.72</v>
      </c>
      <c r="T1018" t="s">
        <v>254</v>
      </c>
      <c r="U1018">
        <v>280</v>
      </c>
      <c r="W1018" s="7">
        <v>86</v>
      </c>
      <c r="AI1018" t="s">
        <v>255</v>
      </c>
      <c r="AJ1018" t="s">
        <v>262</v>
      </c>
      <c r="AK1018">
        <v>17.752558139534884</v>
      </c>
    </row>
    <row r="1019" spans="1:37" x14ac:dyDescent="0.35">
      <c r="A1019">
        <v>3</v>
      </c>
      <c r="B1019">
        <v>2025</v>
      </c>
      <c r="C1019" t="s">
        <v>33</v>
      </c>
      <c r="D1019" t="s">
        <v>34</v>
      </c>
      <c r="E1019" t="s">
        <v>42</v>
      </c>
      <c r="F1019" s="3" t="s">
        <v>36</v>
      </c>
      <c r="G1019" s="2" t="s">
        <v>43</v>
      </c>
      <c r="H1019" s="3">
        <v>57297</v>
      </c>
      <c r="I1019" s="3">
        <v>3712</v>
      </c>
      <c r="J1019" s="2" t="s">
        <v>520</v>
      </c>
      <c r="K1019" t="s">
        <v>42</v>
      </c>
      <c r="L1019" t="s">
        <v>39</v>
      </c>
      <c r="M1019" t="s">
        <v>459</v>
      </c>
      <c r="O1019" t="s">
        <v>297</v>
      </c>
      <c r="P1019">
        <v>45734</v>
      </c>
      <c r="S1019" s="6">
        <v>15000.86</v>
      </c>
      <c r="T1019" t="s">
        <v>254</v>
      </c>
      <c r="U1019">
        <v>280</v>
      </c>
      <c r="W1019" s="7">
        <v>845</v>
      </c>
      <c r="AI1019" t="s">
        <v>255</v>
      </c>
      <c r="AJ1019" t="s">
        <v>262</v>
      </c>
      <c r="AK1019">
        <v>17.752497041420121</v>
      </c>
    </row>
    <row r="1020" spans="1:37" x14ac:dyDescent="0.35">
      <c r="A1020">
        <v>3</v>
      </c>
      <c r="B1020">
        <v>2025</v>
      </c>
      <c r="C1020" t="s">
        <v>33</v>
      </c>
      <c r="D1020" t="s">
        <v>34</v>
      </c>
      <c r="E1020" t="s">
        <v>42</v>
      </c>
      <c r="F1020" s="3" t="s">
        <v>36</v>
      </c>
      <c r="G1020" s="2" t="s">
        <v>43</v>
      </c>
      <c r="H1020" s="3">
        <v>57297</v>
      </c>
      <c r="I1020" s="3">
        <v>1225</v>
      </c>
      <c r="J1020" s="2" t="s">
        <v>292</v>
      </c>
      <c r="K1020" t="s">
        <v>42</v>
      </c>
      <c r="L1020" t="s">
        <v>39</v>
      </c>
      <c r="M1020" t="s">
        <v>459</v>
      </c>
      <c r="O1020" t="s">
        <v>297</v>
      </c>
      <c r="P1020">
        <v>45734</v>
      </c>
      <c r="S1020" s="6">
        <v>25127.5</v>
      </c>
      <c r="T1020" t="s">
        <v>254</v>
      </c>
      <c r="U1020">
        <v>260</v>
      </c>
      <c r="W1020" s="7">
        <v>1550</v>
      </c>
      <c r="AI1020" t="s">
        <v>255</v>
      </c>
      <c r="AJ1020" t="s">
        <v>262</v>
      </c>
      <c r="AK1020">
        <v>16.211290322580645</v>
      </c>
    </row>
    <row r="1021" spans="1:37" x14ac:dyDescent="0.35">
      <c r="A1021">
        <v>3</v>
      </c>
      <c r="B1021">
        <v>2025</v>
      </c>
      <c r="C1021" t="s">
        <v>33</v>
      </c>
      <c r="D1021" t="s">
        <v>34</v>
      </c>
      <c r="E1021" t="s">
        <v>42</v>
      </c>
      <c r="F1021" s="3" t="s">
        <v>36</v>
      </c>
      <c r="G1021" s="2" t="s">
        <v>43</v>
      </c>
      <c r="H1021" s="3">
        <v>57297</v>
      </c>
      <c r="I1021" s="3">
        <v>1506</v>
      </c>
      <c r="J1021" s="2" t="s">
        <v>253</v>
      </c>
      <c r="K1021" t="s">
        <v>42</v>
      </c>
      <c r="L1021" t="s">
        <v>39</v>
      </c>
      <c r="M1021" t="s">
        <v>459</v>
      </c>
      <c r="O1021" t="s">
        <v>297</v>
      </c>
      <c r="P1021">
        <v>45734</v>
      </c>
      <c r="S1021" s="6">
        <v>2984.3</v>
      </c>
      <c r="T1021" t="s">
        <v>254</v>
      </c>
      <c r="U1021">
        <v>280</v>
      </c>
      <c r="W1021" s="7">
        <v>157</v>
      </c>
      <c r="AI1021" t="s">
        <v>255</v>
      </c>
      <c r="AJ1021" t="s">
        <v>262</v>
      </c>
      <c r="AK1021">
        <v>19.00828025477707</v>
      </c>
    </row>
    <row r="1022" spans="1:37" x14ac:dyDescent="0.35">
      <c r="A1022">
        <v>3</v>
      </c>
      <c r="B1022">
        <v>2025</v>
      </c>
      <c r="C1022" t="s">
        <v>33</v>
      </c>
      <c r="D1022" t="s">
        <v>34</v>
      </c>
      <c r="E1022" t="s">
        <v>42</v>
      </c>
      <c r="F1022" s="3" t="s">
        <v>36</v>
      </c>
      <c r="G1022" s="2" t="s">
        <v>43</v>
      </c>
      <c r="H1022" s="3">
        <v>57297</v>
      </c>
      <c r="I1022" s="3">
        <v>1226</v>
      </c>
      <c r="J1022" s="2" t="s">
        <v>266</v>
      </c>
      <c r="K1022" t="s">
        <v>42</v>
      </c>
      <c r="L1022" t="s">
        <v>39</v>
      </c>
      <c r="M1022" t="s">
        <v>459</v>
      </c>
      <c r="O1022" t="s">
        <v>297</v>
      </c>
      <c r="P1022">
        <v>45734</v>
      </c>
      <c r="S1022" s="6">
        <v>854.86</v>
      </c>
      <c r="T1022" t="s">
        <v>254</v>
      </c>
      <c r="U1022">
        <v>240</v>
      </c>
      <c r="W1022" s="7">
        <v>52</v>
      </c>
      <c r="AI1022" t="s">
        <v>255</v>
      </c>
      <c r="AJ1022" t="s">
        <v>262</v>
      </c>
      <c r="AK1022">
        <v>16.439615384615387</v>
      </c>
    </row>
    <row r="1023" spans="1:37" x14ac:dyDescent="0.35">
      <c r="A1023">
        <v>3</v>
      </c>
      <c r="B1023">
        <v>2025</v>
      </c>
      <c r="C1023" t="s">
        <v>33</v>
      </c>
      <c r="D1023" t="s">
        <v>34</v>
      </c>
      <c r="E1023" t="s">
        <v>42</v>
      </c>
      <c r="F1023" s="3" t="s">
        <v>36</v>
      </c>
      <c r="G1023" s="2" t="s">
        <v>43</v>
      </c>
      <c r="H1023" s="3">
        <v>57298</v>
      </c>
      <c r="I1023" s="3">
        <v>1236</v>
      </c>
      <c r="J1023" s="2" t="s">
        <v>264</v>
      </c>
      <c r="K1023" t="s">
        <v>42</v>
      </c>
      <c r="L1023" t="s">
        <v>39</v>
      </c>
      <c r="M1023" t="s">
        <v>459</v>
      </c>
      <c r="O1023" t="s">
        <v>297</v>
      </c>
      <c r="P1023">
        <v>45734</v>
      </c>
      <c r="S1023" s="6">
        <v>17146.12</v>
      </c>
      <c r="T1023" t="s">
        <v>254</v>
      </c>
      <c r="U1023">
        <v>240</v>
      </c>
      <c r="W1023" s="7">
        <v>913</v>
      </c>
      <c r="AI1023" t="s">
        <v>255</v>
      </c>
      <c r="AJ1023" t="s">
        <v>262</v>
      </c>
      <c r="AK1023">
        <v>18.779978094194959</v>
      </c>
    </row>
    <row r="1024" spans="1:37" x14ac:dyDescent="0.35">
      <c r="A1024">
        <v>3</v>
      </c>
      <c r="B1024">
        <v>2025</v>
      </c>
      <c r="C1024" t="s">
        <v>33</v>
      </c>
      <c r="D1024" t="s">
        <v>34</v>
      </c>
      <c r="E1024" t="s">
        <v>295</v>
      </c>
      <c r="F1024" s="3" t="s">
        <v>36</v>
      </c>
      <c r="G1024" s="2" t="s">
        <v>82</v>
      </c>
      <c r="H1024" s="3">
        <v>57396</v>
      </c>
      <c r="I1024" s="3">
        <v>1757</v>
      </c>
      <c r="J1024" s="2" t="s">
        <v>296</v>
      </c>
      <c r="K1024" t="s">
        <v>295</v>
      </c>
      <c r="L1024" t="s">
        <v>39</v>
      </c>
      <c r="M1024" t="s">
        <v>459</v>
      </c>
      <c r="O1024" t="s">
        <v>34</v>
      </c>
      <c r="P1024">
        <v>45741</v>
      </c>
      <c r="S1024" s="6">
        <v>19993.72</v>
      </c>
      <c r="T1024" t="s">
        <v>254</v>
      </c>
      <c r="U1024">
        <v>350</v>
      </c>
      <c r="W1024" s="7">
        <v>1006.66</v>
      </c>
      <c r="AI1024" t="s">
        <v>298</v>
      </c>
      <c r="AJ1024" t="s">
        <v>258</v>
      </c>
      <c r="AK1024">
        <v>19.861442791011864</v>
      </c>
    </row>
    <row r="1025" spans="1:37" s="14" customFormat="1" x14ac:dyDescent="0.35">
      <c r="A1025" s="14">
        <v>3</v>
      </c>
      <c r="B1025" s="14">
        <v>2025</v>
      </c>
      <c r="C1025" s="14" t="s">
        <v>33</v>
      </c>
      <c r="D1025" s="14" t="s">
        <v>34</v>
      </c>
      <c r="E1025" s="14" t="s">
        <v>453</v>
      </c>
      <c r="F1025" s="31" t="s">
        <v>36</v>
      </c>
      <c r="G1025" s="49" t="s">
        <v>50</v>
      </c>
      <c r="H1025" s="31">
        <v>57401</v>
      </c>
      <c r="I1025" s="31">
        <v>1904</v>
      </c>
      <c r="J1025" s="49" t="s">
        <v>294</v>
      </c>
      <c r="K1025" s="14" t="s">
        <v>453</v>
      </c>
      <c r="L1025" s="14" t="s">
        <v>39</v>
      </c>
      <c r="M1025" s="14" t="s">
        <v>459</v>
      </c>
      <c r="O1025" s="14" t="s">
        <v>34</v>
      </c>
      <c r="P1025" s="14">
        <v>45741</v>
      </c>
      <c r="S1025" s="120">
        <v>24559.87</v>
      </c>
      <c r="T1025" s="14" t="s">
        <v>254</v>
      </c>
      <c r="U1025" s="14">
        <v>450</v>
      </c>
      <c r="W1025" s="127">
        <v>995</v>
      </c>
      <c r="AI1025" s="14" t="s">
        <v>453</v>
      </c>
      <c r="AJ1025" s="14" t="s">
        <v>258</v>
      </c>
      <c r="AK1025" s="14">
        <v>24.683286432160802</v>
      </c>
    </row>
    <row r="1026" spans="1:37" x14ac:dyDescent="0.35">
      <c r="A1026">
        <v>4</v>
      </c>
      <c r="B1026">
        <v>2025</v>
      </c>
      <c r="C1026" t="s">
        <v>33</v>
      </c>
      <c r="D1026" t="s">
        <v>36</v>
      </c>
      <c r="E1026" t="s">
        <v>42</v>
      </c>
      <c r="G1026" s="2" t="s">
        <v>43</v>
      </c>
      <c r="H1026" s="3">
        <v>57558</v>
      </c>
      <c r="J1026" s="2" t="s">
        <v>330</v>
      </c>
      <c r="L1026" t="s">
        <v>43</v>
      </c>
      <c r="M1026" t="s">
        <v>459</v>
      </c>
      <c r="O1026" t="s">
        <v>258</v>
      </c>
      <c r="P1026">
        <v>57558</v>
      </c>
      <c r="Q1026">
        <v>0</v>
      </c>
      <c r="R1026">
        <v>17.968647000000001</v>
      </c>
      <c r="S1026" s="6">
        <v>15668.66</v>
      </c>
      <c r="T1026" t="s">
        <v>254</v>
      </c>
      <c r="U1026">
        <v>280</v>
      </c>
      <c r="W1026" s="7">
        <v>872</v>
      </c>
    </row>
    <row r="1027" spans="1:37" x14ac:dyDescent="0.35">
      <c r="A1027">
        <v>4</v>
      </c>
      <c r="B1027">
        <v>2025</v>
      </c>
      <c r="C1027" t="s">
        <v>33</v>
      </c>
      <c r="D1027" t="s">
        <v>36</v>
      </c>
      <c r="E1027" t="s">
        <v>42</v>
      </c>
      <c r="G1027" s="2" t="s">
        <v>43</v>
      </c>
      <c r="H1027" s="3">
        <v>57558</v>
      </c>
      <c r="J1027" s="2" t="s">
        <v>520</v>
      </c>
      <c r="L1027" t="s">
        <v>43</v>
      </c>
      <c r="M1027" t="s">
        <v>459</v>
      </c>
      <c r="O1027" t="s">
        <v>258</v>
      </c>
      <c r="P1027">
        <v>57558</v>
      </c>
      <c r="Q1027">
        <v>0</v>
      </c>
      <c r="R1027">
        <v>18.488652999999999</v>
      </c>
      <c r="S1027" s="6">
        <v>4529.72</v>
      </c>
      <c r="T1027" t="s">
        <v>254</v>
      </c>
      <c r="U1027">
        <v>280</v>
      </c>
      <c r="W1027" s="7">
        <v>245</v>
      </c>
    </row>
    <row r="1028" spans="1:37" x14ac:dyDescent="0.35">
      <c r="A1028">
        <v>4</v>
      </c>
      <c r="B1028">
        <v>2025</v>
      </c>
      <c r="C1028" t="s">
        <v>33</v>
      </c>
      <c r="D1028" t="s">
        <v>36</v>
      </c>
      <c r="E1028" t="s">
        <v>42</v>
      </c>
      <c r="G1028" s="2" t="s">
        <v>43</v>
      </c>
      <c r="H1028" s="3">
        <v>57558</v>
      </c>
      <c r="J1028" s="2" t="s">
        <v>266</v>
      </c>
      <c r="L1028" t="s">
        <v>43</v>
      </c>
      <c r="M1028" t="s">
        <v>459</v>
      </c>
      <c r="O1028" t="s">
        <v>258</v>
      </c>
      <c r="P1028">
        <v>57558</v>
      </c>
      <c r="Q1028">
        <v>0</v>
      </c>
      <c r="R1028">
        <v>16.639786999999998</v>
      </c>
      <c r="S1028" s="6">
        <v>1564.14</v>
      </c>
      <c r="T1028" t="s">
        <v>254</v>
      </c>
      <c r="U1028">
        <v>260</v>
      </c>
      <c r="W1028" s="7">
        <v>94</v>
      </c>
    </row>
    <row r="1029" spans="1:37" x14ac:dyDescent="0.35">
      <c r="A1029">
        <v>4</v>
      </c>
      <c r="B1029">
        <v>2025</v>
      </c>
      <c r="C1029" t="s">
        <v>33</v>
      </c>
      <c r="D1029" t="s">
        <v>36</v>
      </c>
      <c r="E1029" t="s">
        <v>42</v>
      </c>
      <c r="G1029" s="2" t="s">
        <v>43</v>
      </c>
      <c r="H1029" s="3">
        <v>57558</v>
      </c>
      <c r="J1029" s="2" t="s">
        <v>263</v>
      </c>
      <c r="L1029" t="s">
        <v>43</v>
      </c>
      <c r="M1029" t="s">
        <v>459</v>
      </c>
      <c r="O1029" t="s">
        <v>258</v>
      </c>
      <c r="P1029">
        <v>57558</v>
      </c>
      <c r="Q1029">
        <v>0</v>
      </c>
      <c r="R1029">
        <v>16.235340999999998</v>
      </c>
      <c r="S1029" s="6">
        <v>13345.45</v>
      </c>
      <c r="T1029" t="s">
        <v>254</v>
      </c>
      <c r="U1029">
        <v>240</v>
      </c>
      <c r="W1029" s="7">
        <v>822</v>
      </c>
    </row>
    <row r="1030" spans="1:37" x14ac:dyDescent="0.35">
      <c r="A1030">
        <v>4</v>
      </c>
      <c r="B1030">
        <v>2025</v>
      </c>
      <c r="C1030" t="s">
        <v>33</v>
      </c>
      <c r="D1030" t="s">
        <v>36</v>
      </c>
      <c r="E1030" t="s">
        <v>42</v>
      </c>
      <c r="G1030" s="2" t="s">
        <v>43</v>
      </c>
      <c r="H1030" s="3">
        <v>57558</v>
      </c>
      <c r="J1030" s="2" t="s">
        <v>292</v>
      </c>
      <c r="L1030" t="s">
        <v>43</v>
      </c>
      <c r="M1030" t="s">
        <v>459</v>
      </c>
      <c r="O1030" t="s">
        <v>258</v>
      </c>
      <c r="P1030">
        <v>57558</v>
      </c>
      <c r="Q1030">
        <v>0</v>
      </c>
      <c r="R1030">
        <v>16.408570999999998</v>
      </c>
      <c r="S1030" s="6">
        <v>804.02</v>
      </c>
      <c r="T1030" t="s">
        <v>254</v>
      </c>
      <c r="U1030">
        <v>240</v>
      </c>
      <c r="W1030" s="7">
        <v>49</v>
      </c>
    </row>
    <row r="1031" spans="1:37" x14ac:dyDescent="0.35">
      <c r="A1031" s="13">
        <v>4</v>
      </c>
      <c r="B1031" s="13">
        <v>2025</v>
      </c>
      <c r="C1031" s="13" t="s">
        <v>530</v>
      </c>
      <c r="D1031" s="13" t="s">
        <v>34</v>
      </c>
      <c r="E1031" s="13" t="s">
        <v>531</v>
      </c>
      <c r="G1031" s="2" t="s">
        <v>542</v>
      </c>
      <c r="H1031" s="3">
        <v>57561</v>
      </c>
      <c r="J1031" s="2" t="s">
        <v>532</v>
      </c>
      <c r="L1031" t="s">
        <v>542</v>
      </c>
      <c r="M1031" t="s">
        <v>494</v>
      </c>
      <c r="O1031" t="s">
        <v>262</v>
      </c>
      <c r="P1031">
        <v>57561</v>
      </c>
      <c r="Q1031">
        <v>2772.44</v>
      </c>
      <c r="R1031">
        <v>23.55</v>
      </c>
      <c r="S1031" s="6">
        <v>23102.55</v>
      </c>
      <c r="T1031" t="s">
        <v>254</v>
      </c>
      <c r="U1031">
        <v>240</v>
      </c>
      <c r="W1031" s="7">
        <v>981</v>
      </c>
    </row>
    <row r="1032" spans="1:37" x14ac:dyDescent="0.35">
      <c r="A1032">
        <v>4</v>
      </c>
      <c r="B1032">
        <v>2025</v>
      </c>
      <c r="C1032" t="s">
        <v>33</v>
      </c>
      <c r="D1032" t="s">
        <v>36</v>
      </c>
      <c r="E1032" t="s">
        <v>344</v>
      </c>
      <c r="F1032" s="3" t="s">
        <v>36</v>
      </c>
      <c r="G1032" s="2" t="s">
        <v>37</v>
      </c>
      <c r="H1032" s="3">
        <v>57600</v>
      </c>
      <c r="J1032" s="2" t="s">
        <v>497</v>
      </c>
      <c r="K1032" t="s">
        <v>344</v>
      </c>
      <c r="L1032" t="s">
        <v>37</v>
      </c>
      <c r="M1032" t="s">
        <v>459</v>
      </c>
      <c r="O1032" t="s">
        <v>258</v>
      </c>
      <c r="P1032">
        <v>57600</v>
      </c>
      <c r="Q1032">
        <v>0</v>
      </c>
      <c r="R1032">
        <v>23.747198000000001</v>
      </c>
      <c r="S1032" s="6">
        <v>32462.42</v>
      </c>
      <c r="T1032" t="s">
        <v>254</v>
      </c>
      <c r="U1032">
        <v>280</v>
      </c>
      <c r="W1032" s="7">
        <v>1367</v>
      </c>
    </row>
    <row r="1033" spans="1:37" x14ac:dyDescent="0.35">
      <c r="A1033">
        <v>4</v>
      </c>
      <c r="B1033">
        <v>2025</v>
      </c>
      <c r="C1033" t="s">
        <v>33</v>
      </c>
      <c r="D1033" t="s">
        <v>36</v>
      </c>
      <c r="E1033" t="s">
        <v>81</v>
      </c>
      <c r="G1033" s="2" t="s">
        <v>82</v>
      </c>
      <c r="H1033" s="3">
        <v>57658</v>
      </c>
      <c r="J1033" s="2" t="s">
        <v>391</v>
      </c>
      <c r="L1033" t="s">
        <v>82</v>
      </c>
      <c r="M1033" t="s">
        <v>459</v>
      </c>
      <c r="O1033" t="s">
        <v>258</v>
      </c>
      <c r="P1033">
        <v>57658</v>
      </c>
      <c r="Q1033">
        <v>0</v>
      </c>
      <c r="R1033">
        <v>12.414147</v>
      </c>
      <c r="S1033" s="6">
        <v>10477.540000000001</v>
      </c>
      <c r="T1033" t="s">
        <v>254</v>
      </c>
      <c r="U1033">
        <v>220</v>
      </c>
      <c r="W1033" s="7">
        <v>844</v>
      </c>
    </row>
    <row r="1034" spans="1:37" x14ac:dyDescent="0.35">
      <c r="A1034">
        <v>4</v>
      </c>
      <c r="B1034">
        <v>2025</v>
      </c>
      <c r="C1034" t="s">
        <v>33</v>
      </c>
      <c r="D1034" t="s">
        <v>36</v>
      </c>
      <c r="E1034" t="s">
        <v>81</v>
      </c>
      <c r="G1034" s="2" t="s">
        <v>82</v>
      </c>
      <c r="H1034" s="3">
        <v>57658</v>
      </c>
      <c r="J1034" s="2" t="s">
        <v>533</v>
      </c>
      <c r="L1034" t="s">
        <v>82</v>
      </c>
      <c r="M1034" t="s">
        <v>459</v>
      </c>
      <c r="O1034" t="s">
        <v>258</v>
      </c>
      <c r="P1034">
        <v>57658</v>
      </c>
      <c r="Q1034">
        <v>0</v>
      </c>
      <c r="R1034">
        <v>20.099093</v>
      </c>
      <c r="S1034" s="6">
        <v>8863.7000000000007</v>
      </c>
      <c r="T1034" t="s">
        <v>254</v>
      </c>
      <c r="U1034">
        <v>280</v>
      </c>
      <c r="W1034" s="7">
        <v>441</v>
      </c>
    </row>
    <row r="1035" spans="1:37" x14ac:dyDescent="0.35">
      <c r="A1035">
        <v>4</v>
      </c>
      <c r="B1035">
        <v>2025</v>
      </c>
      <c r="C1035" t="s">
        <v>33</v>
      </c>
      <c r="D1035" t="s">
        <v>36</v>
      </c>
      <c r="E1035" t="s">
        <v>81</v>
      </c>
      <c r="G1035" s="2" t="s">
        <v>82</v>
      </c>
      <c r="H1035" s="3">
        <v>57658</v>
      </c>
      <c r="J1035" s="2" t="s">
        <v>534</v>
      </c>
      <c r="L1035" t="s">
        <v>82</v>
      </c>
      <c r="M1035" t="s">
        <v>459</v>
      </c>
      <c r="O1035" t="s">
        <v>258</v>
      </c>
      <c r="P1035">
        <v>57658</v>
      </c>
      <c r="Q1035">
        <v>0</v>
      </c>
      <c r="R1035">
        <v>21.87255</v>
      </c>
      <c r="S1035" s="6">
        <v>8836.51</v>
      </c>
      <c r="T1035" t="s">
        <v>254</v>
      </c>
      <c r="U1035">
        <v>300</v>
      </c>
      <c r="W1035" s="7">
        <v>404</v>
      </c>
    </row>
    <row r="1036" spans="1:37" x14ac:dyDescent="0.35">
      <c r="A1036">
        <v>4</v>
      </c>
      <c r="B1036">
        <v>2025</v>
      </c>
      <c r="C1036" t="s">
        <v>33</v>
      </c>
      <c r="D1036" t="s">
        <v>36</v>
      </c>
      <c r="E1036" t="s">
        <v>81</v>
      </c>
      <c r="G1036" s="2" t="s">
        <v>82</v>
      </c>
      <c r="H1036" s="3">
        <v>57658</v>
      </c>
      <c r="J1036" s="2" t="s">
        <v>535</v>
      </c>
      <c r="L1036" t="s">
        <v>82</v>
      </c>
      <c r="M1036" t="s">
        <v>459</v>
      </c>
      <c r="O1036" t="s">
        <v>258</v>
      </c>
      <c r="P1036">
        <v>57658</v>
      </c>
      <c r="Q1036">
        <v>0</v>
      </c>
      <c r="R1036">
        <v>23.586874000000002</v>
      </c>
      <c r="S1036" s="6">
        <v>9882.9</v>
      </c>
      <c r="T1036" t="s">
        <v>254</v>
      </c>
      <c r="U1036">
        <v>300</v>
      </c>
      <c r="W1036" s="7">
        <v>419</v>
      </c>
    </row>
    <row r="1037" spans="1:37" x14ac:dyDescent="0.35">
      <c r="A1037">
        <v>4</v>
      </c>
      <c r="B1037">
        <v>2025</v>
      </c>
      <c r="C1037" t="s">
        <v>33</v>
      </c>
      <c r="D1037" t="s">
        <v>36</v>
      </c>
      <c r="E1037" t="s">
        <v>387</v>
      </c>
      <c r="G1037" s="2" t="s">
        <v>388</v>
      </c>
      <c r="H1037" s="3">
        <v>57673</v>
      </c>
      <c r="J1037" s="2" t="s">
        <v>412</v>
      </c>
      <c r="L1037" t="s">
        <v>388</v>
      </c>
      <c r="M1037" t="s">
        <v>459</v>
      </c>
      <c r="O1037" t="s">
        <v>258</v>
      </c>
      <c r="P1037">
        <v>57673</v>
      </c>
      <c r="Q1037">
        <v>0</v>
      </c>
      <c r="R1037">
        <v>10.925079</v>
      </c>
      <c r="S1037" s="6">
        <v>6948.35</v>
      </c>
      <c r="T1037" t="s">
        <v>254</v>
      </c>
      <c r="U1037">
        <v>180</v>
      </c>
      <c r="W1037" s="7">
        <v>636</v>
      </c>
    </row>
    <row r="1038" spans="1:37" x14ac:dyDescent="0.35">
      <c r="A1038">
        <v>4</v>
      </c>
      <c r="B1038">
        <v>2025</v>
      </c>
      <c r="C1038" t="s">
        <v>33</v>
      </c>
      <c r="D1038" t="s">
        <v>36</v>
      </c>
      <c r="E1038" t="s">
        <v>387</v>
      </c>
      <c r="G1038" s="2" t="s">
        <v>388</v>
      </c>
      <c r="H1038" s="3">
        <v>57673</v>
      </c>
      <c r="J1038" s="2" t="s">
        <v>411</v>
      </c>
      <c r="L1038" t="s">
        <v>388</v>
      </c>
      <c r="M1038" t="s">
        <v>459</v>
      </c>
      <c r="O1038" t="s">
        <v>258</v>
      </c>
      <c r="P1038">
        <v>57673</v>
      </c>
      <c r="Q1038">
        <v>0</v>
      </c>
      <c r="R1038">
        <v>19.265750000000001</v>
      </c>
      <c r="S1038" s="6">
        <v>4623.78</v>
      </c>
      <c r="T1038" t="s">
        <v>254</v>
      </c>
      <c r="U1038">
        <v>260</v>
      </c>
      <c r="W1038" s="7">
        <v>240</v>
      </c>
    </row>
    <row r="1039" spans="1:37" x14ac:dyDescent="0.35">
      <c r="A1039">
        <v>4</v>
      </c>
      <c r="B1039">
        <v>2025</v>
      </c>
      <c r="C1039" t="s">
        <v>33</v>
      </c>
      <c r="D1039" t="s">
        <v>36</v>
      </c>
      <c r="E1039" t="s">
        <v>387</v>
      </c>
      <c r="G1039" s="2" t="s">
        <v>388</v>
      </c>
      <c r="H1039" s="3">
        <v>57673</v>
      </c>
      <c r="J1039" s="2" t="s">
        <v>482</v>
      </c>
      <c r="L1039" t="s">
        <v>388</v>
      </c>
      <c r="M1039" t="s">
        <v>459</v>
      </c>
      <c r="O1039" t="s">
        <v>258</v>
      </c>
      <c r="P1039">
        <v>57673</v>
      </c>
      <c r="Q1039">
        <v>0</v>
      </c>
      <c r="R1039">
        <v>14.096878</v>
      </c>
      <c r="S1039" s="6">
        <v>29391.99</v>
      </c>
      <c r="T1039" t="s">
        <v>254</v>
      </c>
      <c r="U1039">
        <v>240</v>
      </c>
      <c r="W1039" s="7">
        <v>2085</v>
      </c>
    </row>
    <row r="1040" spans="1:37" x14ac:dyDescent="0.35">
      <c r="A1040">
        <v>4</v>
      </c>
      <c r="B1040">
        <v>2025</v>
      </c>
      <c r="C1040" t="s">
        <v>33</v>
      </c>
      <c r="D1040" t="s">
        <v>36</v>
      </c>
      <c r="E1040" t="s">
        <v>387</v>
      </c>
      <c r="G1040" s="2" t="s">
        <v>388</v>
      </c>
      <c r="H1040" s="3">
        <v>57673</v>
      </c>
      <c r="J1040" s="2" t="s">
        <v>402</v>
      </c>
      <c r="L1040" t="s">
        <v>388</v>
      </c>
      <c r="M1040" t="s">
        <v>459</v>
      </c>
      <c r="O1040" t="s">
        <v>258</v>
      </c>
      <c r="P1040">
        <v>57673</v>
      </c>
      <c r="Q1040">
        <v>0</v>
      </c>
      <c r="R1040">
        <v>12.569718999999999</v>
      </c>
      <c r="S1040" s="6">
        <v>27301.43</v>
      </c>
      <c r="T1040" t="s">
        <v>254</v>
      </c>
      <c r="U1040">
        <v>240</v>
      </c>
      <c r="W1040" s="7">
        <v>2172</v>
      </c>
    </row>
    <row r="1041" spans="1:23" x14ac:dyDescent="0.35">
      <c r="A1041">
        <v>4</v>
      </c>
      <c r="B1041">
        <v>2025</v>
      </c>
      <c r="C1041" t="s">
        <v>33</v>
      </c>
      <c r="D1041" t="s">
        <v>36</v>
      </c>
      <c r="E1041" t="s">
        <v>387</v>
      </c>
      <c r="G1041" s="2" t="s">
        <v>388</v>
      </c>
      <c r="H1041" s="3">
        <v>57673</v>
      </c>
      <c r="J1041" s="2" t="s">
        <v>410</v>
      </c>
      <c r="L1041" t="s">
        <v>388</v>
      </c>
      <c r="M1041" t="s">
        <v>459</v>
      </c>
      <c r="O1041" t="s">
        <v>258</v>
      </c>
      <c r="P1041">
        <v>57673</v>
      </c>
      <c r="Q1041">
        <v>0</v>
      </c>
      <c r="R1041">
        <v>15.154147</v>
      </c>
      <c r="S1041" s="6">
        <v>29274.19</v>
      </c>
      <c r="T1041" t="s">
        <v>254</v>
      </c>
      <c r="U1041">
        <v>320</v>
      </c>
      <c r="W1041" s="7">
        <v>1931.761</v>
      </c>
    </row>
    <row r="1042" spans="1:23" x14ac:dyDescent="0.35">
      <c r="A1042">
        <v>4</v>
      </c>
      <c r="B1042">
        <v>2025</v>
      </c>
      <c r="C1042" t="s">
        <v>33</v>
      </c>
      <c r="D1042" t="s">
        <v>36</v>
      </c>
      <c r="E1042" t="s">
        <v>387</v>
      </c>
      <c r="G1042" s="2" t="s">
        <v>388</v>
      </c>
      <c r="H1042" s="3">
        <v>57673</v>
      </c>
      <c r="J1042" s="2" t="s">
        <v>410</v>
      </c>
      <c r="L1042" t="s">
        <v>388</v>
      </c>
      <c r="M1042" t="s">
        <v>459</v>
      </c>
      <c r="O1042" t="s">
        <v>258</v>
      </c>
      <c r="P1042">
        <v>57673</v>
      </c>
      <c r="Q1042">
        <v>0</v>
      </c>
      <c r="R1042">
        <v>15.154138</v>
      </c>
      <c r="S1042" s="6">
        <v>8458.07</v>
      </c>
      <c r="T1042" t="s">
        <v>254</v>
      </c>
      <c r="U1042">
        <v>320</v>
      </c>
      <c r="W1042" s="7">
        <v>558.13599999999997</v>
      </c>
    </row>
    <row r="1043" spans="1:23" x14ac:dyDescent="0.35">
      <c r="A1043">
        <v>4</v>
      </c>
      <c r="B1043">
        <v>2025</v>
      </c>
      <c r="C1043" t="s">
        <v>33</v>
      </c>
      <c r="D1043" t="s">
        <v>36</v>
      </c>
      <c r="E1043" t="s">
        <v>42</v>
      </c>
      <c r="G1043" s="2" t="s">
        <v>43</v>
      </c>
      <c r="H1043" s="3">
        <v>57746</v>
      </c>
      <c r="J1043" s="2" t="s">
        <v>283</v>
      </c>
      <c r="L1043" t="s">
        <v>43</v>
      </c>
      <c r="M1043" t="s">
        <v>459</v>
      </c>
      <c r="O1043" t="s">
        <v>258</v>
      </c>
      <c r="P1043">
        <v>57746</v>
      </c>
      <c r="Q1043">
        <v>0</v>
      </c>
      <c r="R1043">
        <v>21.491143000000001</v>
      </c>
      <c r="S1043" s="6">
        <v>3008.76</v>
      </c>
      <c r="T1043" t="s">
        <v>254</v>
      </c>
      <c r="U1043">
        <v>320</v>
      </c>
      <c r="W1043" s="7">
        <v>140</v>
      </c>
    </row>
    <row r="1044" spans="1:23" x14ac:dyDescent="0.35">
      <c r="A1044">
        <v>4</v>
      </c>
      <c r="B1044">
        <v>2025</v>
      </c>
      <c r="C1044" t="s">
        <v>33</v>
      </c>
      <c r="D1044" t="s">
        <v>36</v>
      </c>
      <c r="E1044" t="s">
        <v>42</v>
      </c>
      <c r="G1044" s="2" t="s">
        <v>43</v>
      </c>
      <c r="H1044" s="3">
        <v>57746</v>
      </c>
      <c r="J1044" s="2" t="s">
        <v>520</v>
      </c>
      <c r="L1044" t="s">
        <v>43</v>
      </c>
      <c r="M1044" t="s">
        <v>459</v>
      </c>
      <c r="O1044" t="s">
        <v>258</v>
      </c>
      <c r="P1044">
        <v>57746</v>
      </c>
      <c r="Q1044">
        <v>0</v>
      </c>
      <c r="R1044">
        <v>18.738880999999999</v>
      </c>
      <c r="S1044" s="6">
        <v>60451.63</v>
      </c>
      <c r="T1044" t="s">
        <v>254</v>
      </c>
      <c r="U1044">
        <v>280</v>
      </c>
      <c r="W1044" s="7">
        <v>3226</v>
      </c>
    </row>
    <row r="1045" spans="1:23" x14ac:dyDescent="0.35">
      <c r="A1045">
        <v>4</v>
      </c>
      <c r="B1045">
        <v>2025</v>
      </c>
      <c r="C1045" t="s">
        <v>33</v>
      </c>
      <c r="D1045" t="s">
        <v>36</v>
      </c>
      <c r="E1045" t="s">
        <v>42</v>
      </c>
      <c r="G1045" s="2" t="s">
        <v>43</v>
      </c>
      <c r="H1045" s="3">
        <v>57746</v>
      </c>
      <c r="J1045" s="2" t="s">
        <v>520</v>
      </c>
      <c r="L1045" t="s">
        <v>43</v>
      </c>
      <c r="M1045" t="s">
        <v>459</v>
      </c>
      <c r="O1045" t="s">
        <v>258</v>
      </c>
      <c r="P1045">
        <v>57746</v>
      </c>
      <c r="Q1045">
        <v>0</v>
      </c>
      <c r="R1045">
        <v>18.738878</v>
      </c>
      <c r="S1045" s="6">
        <v>17876.89</v>
      </c>
      <c r="T1045" t="s">
        <v>254</v>
      </c>
      <c r="U1045">
        <v>280</v>
      </c>
      <c r="W1045" s="7">
        <v>954</v>
      </c>
    </row>
    <row r="1046" spans="1:23" x14ac:dyDescent="0.35">
      <c r="A1046">
        <v>4</v>
      </c>
      <c r="B1046">
        <v>2025</v>
      </c>
      <c r="C1046" t="s">
        <v>33</v>
      </c>
      <c r="D1046" t="s">
        <v>36</v>
      </c>
      <c r="E1046" t="s">
        <v>42</v>
      </c>
      <c r="G1046" s="2" t="s">
        <v>43</v>
      </c>
      <c r="H1046" s="3">
        <v>57746</v>
      </c>
      <c r="J1046" s="2" t="s">
        <v>424</v>
      </c>
      <c r="L1046" t="s">
        <v>43</v>
      </c>
      <c r="M1046" t="s">
        <v>459</v>
      </c>
      <c r="O1046" t="s">
        <v>258</v>
      </c>
      <c r="P1046">
        <v>57746</v>
      </c>
      <c r="Q1046">
        <v>0</v>
      </c>
      <c r="R1046">
        <v>25.180347000000001</v>
      </c>
      <c r="S1046" s="6">
        <v>5086.43</v>
      </c>
      <c r="T1046" t="s">
        <v>254</v>
      </c>
      <c r="U1046">
        <v>300</v>
      </c>
      <c r="W1046" s="7">
        <v>202</v>
      </c>
    </row>
    <row r="1047" spans="1:23" x14ac:dyDescent="0.35">
      <c r="A1047">
        <v>4</v>
      </c>
      <c r="B1047">
        <v>2025</v>
      </c>
      <c r="C1047" t="s">
        <v>33</v>
      </c>
      <c r="D1047" t="s">
        <v>36</v>
      </c>
      <c r="E1047" t="s">
        <v>42</v>
      </c>
      <c r="G1047" s="2" t="s">
        <v>43</v>
      </c>
      <c r="H1047" s="3">
        <v>57746</v>
      </c>
      <c r="J1047" s="2" t="s">
        <v>330</v>
      </c>
      <c r="L1047" t="s">
        <v>43</v>
      </c>
      <c r="M1047" t="s">
        <v>459</v>
      </c>
      <c r="O1047" t="s">
        <v>258</v>
      </c>
      <c r="P1047">
        <v>57746</v>
      </c>
      <c r="Q1047">
        <v>0</v>
      </c>
      <c r="R1047">
        <v>18.211849000000001</v>
      </c>
      <c r="S1047" s="6">
        <v>15662.19</v>
      </c>
      <c r="T1047" t="s">
        <v>254</v>
      </c>
      <c r="U1047">
        <v>280</v>
      </c>
      <c r="W1047" s="7">
        <v>860</v>
      </c>
    </row>
    <row r="1048" spans="1:23" x14ac:dyDescent="0.35">
      <c r="A1048">
        <v>4</v>
      </c>
      <c r="B1048">
        <v>2025</v>
      </c>
      <c r="C1048" t="s">
        <v>33</v>
      </c>
      <c r="D1048" t="s">
        <v>36</v>
      </c>
      <c r="E1048" t="s">
        <v>42</v>
      </c>
      <c r="G1048" s="2" t="s">
        <v>43</v>
      </c>
      <c r="H1048" s="3">
        <v>57746</v>
      </c>
      <c r="J1048" s="2" t="s">
        <v>331</v>
      </c>
      <c r="L1048" t="s">
        <v>43</v>
      </c>
      <c r="M1048" t="s">
        <v>459</v>
      </c>
      <c r="O1048" t="s">
        <v>258</v>
      </c>
      <c r="P1048">
        <v>57746</v>
      </c>
      <c r="Q1048">
        <v>0</v>
      </c>
      <c r="R1048">
        <v>19.910052</v>
      </c>
      <c r="S1048" s="6">
        <v>11508.01</v>
      </c>
      <c r="T1048" t="s">
        <v>254</v>
      </c>
      <c r="U1048">
        <v>300</v>
      </c>
      <c r="W1048" s="7">
        <v>578</v>
      </c>
    </row>
    <row r="1049" spans="1:23" x14ac:dyDescent="0.35">
      <c r="A1049">
        <v>4</v>
      </c>
      <c r="B1049">
        <v>2025</v>
      </c>
      <c r="C1049" t="s">
        <v>33</v>
      </c>
      <c r="D1049" t="s">
        <v>36</v>
      </c>
      <c r="E1049" t="s">
        <v>42</v>
      </c>
      <c r="G1049" s="2" t="s">
        <v>43</v>
      </c>
      <c r="H1049" s="3">
        <v>57746</v>
      </c>
      <c r="J1049" s="2" t="s">
        <v>283</v>
      </c>
      <c r="L1049" t="s">
        <v>43</v>
      </c>
      <c r="M1049" t="s">
        <v>459</v>
      </c>
      <c r="O1049" t="s">
        <v>258</v>
      </c>
      <c r="P1049">
        <v>57746</v>
      </c>
      <c r="Q1049">
        <v>0</v>
      </c>
      <c r="R1049">
        <v>21.491154000000002</v>
      </c>
      <c r="S1049" s="6">
        <v>17128.45</v>
      </c>
      <c r="T1049" t="s">
        <v>254</v>
      </c>
      <c r="U1049">
        <v>320</v>
      </c>
      <c r="W1049" s="7">
        <v>797</v>
      </c>
    </row>
    <row r="1050" spans="1:23" x14ac:dyDescent="0.35">
      <c r="A1050">
        <v>4</v>
      </c>
      <c r="B1050">
        <v>2025</v>
      </c>
      <c r="C1050" t="s">
        <v>33</v>
      </c>
      <c r="D1050" t="s">
        <v>36</v>
      </c>
      <c r="E1050" t="s">
        <v>42</v>
      </c>
      <c r="G1050" s="2" t="s">
        <v>43</v>
      </c>
      <c r="H1050" s="3">
        <v>57746</v>
      </c>
      <c r="J1050" s="2" t="s">
        <v>292</v>
      </c>
      <c r="L1050" t="s">
        <v>43</v>
      </c>
      <c r="M1050" t="s">
        <v>459</v>
      </c>
      <c r="O1050" t="s">
        <v>258</v>
      </c>
      <c r="P1050">
        <v>57746</v>
      </c>
      <c r="Q1050">
        <v>0</v>
      </c>
      <c r="R1050">
        <v>16.630832999999999</v>
      </c>
      <c r="S1050" s="6">
        <v>798.28</v>
      </c>
      <c r="T1050" t="s">
        <v>254</v>
      </c>
      <c r="U1050">
        <v>240</v>
      </c>
      <c r="W1050" s="7">
        <v>48</v>
      </c>
    </row>
    <row r="1051" spans="1:23" x14ac:dyDescent="0.35">
      <c r="A1051">
        <v>4</v>
      </c>
      <c r="B1051">
        <v>2025</v>
      </c>
      <c r="C1051" t="s">
        <v>33</v>
      </c>
      <c r="D1051" t="s">
        <v>36</v>
      </c>
      <c r="E1051" t="s">
        <v>42</v>
      </c>
      <c r="G1051" s="2" t="s">
        <v>43</v>
      </c>
      <c r="H1051" s="3">
        <v>57746</v>
      </c>
      <c r="J1051" s="2" t="s">
        <v>253</v>
      </c>
      <c r="L1051" t="s">
        <v>43</v>
      </c>
      <c r="M1051" t="s">
        <v>459</v>
      </c>
      <c r="O1051" t="s">
        <v>258</v>
      </c>
      <c r="P1051">
        <v>57746</v>
      </c>
      <c r="Q1051">
        <v>0</v>
      </c>
      <c r="R1051">
        <v>19.500143000000001</v>
      </c>
      <c r="S1051" s="6">
        <v>19110.14</v>
      </c>
      <c r="T1051" t="s">
        <v>254</v>
      </c>
      <c r="U1051">
        <v>280</v>
      </c>
      <c r="W1051" s="7">
        <v>980</v>
      </c>
    </row>
    <row r="1052" spans="1:23" x14ac:dyDescent="0.35">
      <c r="A1052">
        <v>4</v>
      </c>
      <c r="B1052">
        <v>2025</v>
      </c>
      <c r="C1052" t="s">
        <v>33</v>
      </c>
      <c r="D1052" t="s">
        <v>36</v>
      </c>
      <c r="E1052" t="s">
        <v>42</v>
      </c>
      <c r="G1052" s="2" t="s">
        <v>43</v>
      </c>
      <c r="H1052" s="3">
        <v>57746</v>
      </c>
      <c r="J1052" s="2" t="s">
        <v>253</v>
      </c>
      <c r="L1052" t="s">
        <v>43</v>
      </c>
      <c r="M1052" t="s">
        <v>459</v>
      </c>
      <c r="O1052" t="s">
        <v>258</v>
      </c>
      <c r="P1052">
        <v>57746</v>
      </c>
      <c r="Q1052">
        <v>0</v>
      </c>
      <c r="R1052">
        <v>19.500142</v>
      </c>
      <c r="S1052" s="6">
        <v>15054.11</v>
      </c>
      <c r="T1052" t="s">
        <v>254</v>
      </c>
      <c r="U1052">
        <v>280</v>
      </c>
      <c r="W1052" s="7">
        <v>772</v>
      </c>
    </row>
    <row r="1053" spans="1:23" x14ac:dyDescent="0.35">
      <c r="A1053">
        <v>4</v>
      </c>
      <c r="B1053">
        <v>2025</v>
      </c>
      <c r="C1053" t="s">
        <v>33</v>
      </c>
      <c r="D1053" t="s">
        <v>36</v>
      </c>
      <c r="E1053" t="s">
        <v>42</v>
      </c>
      <c r="G1053" s="2" t="s">
        <v>43</v>
      </c>
      <c r="H1053" s="3">
        <v>57746</v>
      </c>
      <c r="J1053" s="2" t="s">
        <v>263</v>
      </c>
      <c r="L1053" t="s">
        <v>43</v>
      </c>
      <c r="M1053" t="s">
        <v>459</v>
      </c>
      <c r="O1053" t="s">
        <v>258</v>
      </c>
      <c r="P1053">
        <v>57746</v>
      </c>
      <c r="Q1053">
        <v>0</v>
      </c>
      <c r="R1053">
        <v>16.455076999999999</v>
      </c>
      <c r="S1053" s="6">
        <v>27841.99</v>
      </c>
      <c r="T1053" t="s">
        <v>254</v>
      </c>
      <c r="U1053">
        <v>240</v>
      </c>
      <c r="W1053" s="7">
        <v>1692</v>
      </c>
    </row>
    <row r="1054" spans="1:23" x14ac:dyDescent="0.35">
      <c r="A1054">
        <v>4</v>
      </c>
      <c r="B1054">
        <v>2025</v>
      </c>
      <c r="C1054" t="s">
        <v>33</v>
      </c>
      <c r="D1054" t="s">
        <v>36</v>
      </c>
      <c r="E1054" t="s">
        <v>42</v>
      </c>
      <c r="G1054" s="2" t="s">
        <v>43</v>
      </c>
      <c r="H1054" s="3">
        <v>57746</v>
      </c>
      <c r="J1054" s="2" t="s">
        <v>263</v>
      </c>
      <c r="L1054" t="s">
        <v>43</v>
      </c>
      <c r="M1054" t="s">
        <v>459</v>
      </c>
      <c r="O1054" t="s">
        <v>258</v>
      </c>
      <c r="P1054">
        <v>57746</v>
      </c>
      <c r="Q1054">
        <v>0</v>
      </c>
      <c r="R1054">
        <v>16.455071</v>
      </c>
      <c r="S1054" s="6">
        <v>3472.02</v>
      </c>
      <c r="T1054" t="s">
        <v>254</v>
      </c>
      <c r="U1054">
        <v>240</v>
      </c>
      <c r="W1054" s="7">
        <v>211</v>
      </c>
    </row>
    <row r="1055" spans="1:23" x14ac:dyDescent="0.35">
      <c r="A1055">
        <v>4</v>
      </c>
      <c r="B1055">
        <v>2025</v>
      </c>
      <c r="C1055" t="s">
        <v>33</v>
      </c>
      <c r="D1055" t="s">
        <v>36</v>
      </c>
      <c r="E1055" t="s">
        <v>42</v>
      </c>
      <c r="G1055" s="2" t="s">
        <v>43</v>
      </c>
      <c r="H1055" s="3">
        <v>57746</v>
      </c>
      <c r="J1055" s="2" t="s">
        <v>264</v>
      </c>
      <c r="L1055" t="s">
        <v>43</v>
      </c>
      <c r="M1055" t="s">
        <v>459</v>
      </c>
      <c r="O1055" t="s">
        <v>258</v>
      </c>
      <c r="P1055">
        <v>57746</v>
      </c>
      <c r="Q1055">
        <v>0</v>
      </c>
      <c r="R1055">
        <v>19.265909000000001</v>
      </c>
      <c r="S1055" s="6">
        <v>44696.91</v>
      </c>
      <c r="T1055" t="s">
        <v>254</v>
      </c>
      <c r="U1055">
        <v>240</v>
      </c>
      <c r="W1055" s="7">
        <v>2320</v>
      </c>
    </row>
    <row r="1056" spans="1:23" x14ac:dyDescent="0.35">
      <c r="A1056">
        <v>4</v>
      </c>
      <c r="B1056">
        <v>2025</v>
      </c>
      <c r="C1056" t="s">
        <v>33</v>
      </c>
      <c r="D1056" t="s">
        <v>36</v>
      </c>
      <c r="E1056" t="s">
        <v>42</v>
      </c>
      <c r="G1056" s="2" t="s">
        <v>43</v>
      </c>
      <c r="H1056" s="3">
        <v>57746</v>
      </c>
      <c r="J1056" s="2" t="s">
        <v>266</v>
      </c>
      <c r="L1056" t="s">
        <v>43</v>
      </c>
      <c r="M1056" t="s">
        <v>459</v>
      </c>
      <c r="O1056" t="s">
        <v>258</v>
      </c>
      <c r="P1056">
        <v>57746</v>
      </c>
      <c r="Q1056">
        <v>0</v>
      </c>
      <c r="R1056">
        <v>16.864992000000001</v>
      </c>
      <c r="S1056" s="6">
        <v>21688.38</v>
      </c>
      <c r="T1056" t="s">
        <v>254</v>
      </c>
      <c r="U1056">
        <v>260</v>
      </c>
      <c r="W1056" s="7">
        <v>1286</v>
      </c>
    </row>
    <row r="1057" spans="1:23" x14ac:dyDescent="0.35">
      <c r="A1057">
        <v>4</v>
      </c>
      <c r="B1057">
        <v>2025</v>
      </c>
      <c r="C1057" t="s">
        <v>33</v>
      </c>
      <c r="D1057" t="s">
        <v>36</v>
      </c>
      <c r="E1057" t="s">
        <v>42</v>
      </c>
      <c r="G1057" s="2" t="s">
        <v>43</v>
      </c>
      <c r="H1057" s="3">
        <v>57746</v>
      </c>
      <c r="J1057" s="2" t="s">
        <v>292</v>
      </c>
      <c r="L1057" t="s">
        <v>43</v>
      </c>
      <c r="M1057" t="s">
        <v>459</v>
      </c>
      <c r="O1057" t="s">
        <v>258</v>
      </c>
      <c r="P1057">
        <v>57746</v>
      </c>
      <c r="Q1057">
        <v>0</v>
      </c>
      <c r="R1057">
        <v>16.630755000000001</v>
      </c>
      <c r="S1057" s="6">
        <v>31931.05</v>
      </c>
      <c r="T1057" t="s">
        <v>254</v>
      </c>
      <c r="U1057">
        <v>240</v>
      </c>
      <c r="W1057" s="7">
        <v>1920</v>
      </c>
    </row>
    <row r="1058" spans="1:23" x14ac:dyDescent="0.35">
      <c r="A1058">
        <v>4</v>
      </c>
      <c r="B1058">
        <v>2025</v>
      </c>
      <c r="C1058" t="s">
        <v>33</v>
      </c>
      <c r="D1058" t="s">
        <v>36</v>
      </c>
      <c r="E1058" t="s">
        <v>116</v>
      </c>
      <c r="G1058" s="2" t="s">
        <v>50</v>
      </c>
      <c r="H1058" s="3">
        <v>57775</v>
      </c>
      <c r="J1058" s="2" t="s">
        <v>536</v>
      </c>
      <c r="L1058" t="s">
        <v>50</v>
      </c>
      <c r="M1058" t="s">
        <v>459</v>
      </c>
      <c r="O1058" t="s">
        <v>258</v>
      </c>
      <c r="P1058">
        <v>57775</v>
      </c>
      <c r="Q1058">
        <v>0</v>
      </c>
      <c r="R1058">
        <v>20.931837999999999</v>
      </c>
      <c r="S1058" s="6">
        <v>12642.83</v>
      </c>
      <c r="T1058" t="s">
        <v>254</v>
      </c>
      <c r="U1058">
        <v>310</v>
      </c>
      <c r="W1058" s="7">
        <v>604</v>
      </c>
    </row>
    <row r="1059" spans="1:23" x14ac:dyDescent="0.35">
      <c r="A1059">
        <v>4</v>
      </c>
      <c r="B1059">
        <v>2025</v>
      </c>
      <c r="C1059" t="s">
        <v>33</v>
      </c>
      <c r="D1059" t="s">
        <v>36</v>
      </c>
      <c r="E1059" t="s">
        <v>116</v>
      </c>
      <c r="G1059" s="2" t="s">
        <v>50</v>
      </c>
      <c r="H1059" s="3">
        <v>57898</v>
      </c>
      <c r="J1059" s="2" t="s">
        <v>341</v>
      </c>
      <c r="L1059" t="s">
        <v>50</v>
      </c>
      <c r="M1059" t="s">
        <v>459</v>
      </c>
      <c r="O1059" t="s">
        <v>258</v>
      </c>
      <c r="P1059">
        <v>57898</v>
      </c>
      <c r="Q1059">
        <v>0</v>
      </c>
      <c r="R1059">
        <v>12.705074</v>
      </c>
      <c r="S1059" s="6">
        <v>18854.330000000002</v>
      </c>
      <c r="T1059" t="s">
        <v>254</v>
      </c>
      <c r="U1059">
        <v>180</v>
      </c>
      <c r="W1059" s="7">
        <v>1484</v>
      </c>
    </row>
    <row r="1060" spans="1:23" x14ac:dyDescent="0.35">
      <c r="A1060">
        <v>4</v>
      </c>
      <c r="B1060">
        <v>2025</v>
      </c>
      <c r="C1060" t="s">
        <v>33</v>
      </c>
      <c r="D1060" t="s">
        <v>36</v>
      </c>
      <c r="E1060" t="s">
        <v>116</v>
      </c>
      <c r="G1060" s="2" t="s">
        <v>50</v>
      </c>
      <c r="H1060" s="3">
        <v>57898</v>
      </c>
      <c r="J1060" s="2" t="s">
        <v>339</v>
      </c>
      <c r="L1060" t="s">
        <v>50</v>
      </c>
      <c r="M1060" t="s">
        <v>459</v>
      </c>
      <c r="O1060" t="s">
        <v>258</v>
      </c>
      <c r="P1060">
        <v>57898</v>
      </c>
      <c r="Q1060">
        <v>0</v>
      </c>
      <c r="R1060">
        <v>15.980159</v>
      </c>
      <c r="S1060" s="6">
        <v>8038.02</v>
      </c>
      <c r="T1060" t="s">
        <v>254</v>
      </c>
      <c r="U1060">
        <v>240</v>
      </c>
      <c r="W1060" s="7">
        <v>503</v>
      </c>
    </row>
    <row r="1061" spans="1:23" x14ac:dyDescent="0.35">
      <c r="A1061">
        <v>4</v>
      </c>
      <c r="B1061">
        <v>2025</v>
      </c>
      <c r="C1061" t="s">
        <v>33</v>
      </c>
      <c r="D1061" t="s">
        <v>36</v>
      </c>
      <c r="E1061" t="s">
        <v>453</v>
      </c>
      <c r="G1061" s="2" t="s">
        <v>50</v>
      </c>
      <c r="H1061" s="3">
        <v>57899</v>
      </c>
      <c r="J1061" s="2" t="s">
        <v>537</v>
      </c>
      <c r="L1061" t="s">
        <v>50</v>
      </c>
      <c r="M1061" t="s">
        <v>459</v>
      </c>
      <c r="O1061" t="s">
        <v>258</v>
      </c>
      <c r="P1061">
        <v>57899</v>
      </c>
      <c r="Q1061">
        <v>0</v>
      </c>
      <c r="R1061">
        <v>13.777944</v>
      </c>
      <c r="S1061" s="6">
        <v>15748.19</v>
      </c>
      <c r="T1061" t="s">
        <v>254</v>
      </c>
      <c r="U1061">
        <v>260</v>
      </c>
      <c r="W1061" s="7">
        <v>1143</v>
      </c>
    </row>
    <row r="1062" spans="1:23" x14ac:dyDescent="0.35">
      <c r="A1062">
        <v>4</v>
      </c>
      <c r="B1062">
        <v>2025</v>
      </c>
      <c r="C1062" t="s">
        <v>33</v>
      </c>
      <c r="D1062" t="s">
        <v>36</v>
      </c>
      <c r="E1062" t="s">
        <v>223</v>
      </c>
      <c r="G1062" s="2" t="s">
        <v>37</v>
      </c>
      <c r="H1062" s="3">
        <v>57900</v>
      </c>
      <c r="J1062" s="2" t="s">
        <v>538</v>
      </c>
      <c r="L1062" t="s">
        <v>37</v>
      </c>
      <c r="M1062" t="s">
        <v>459</v>
      </c>
      <c r="O1062" t="s">
        <v>258</v>
      </c>
      <c r="P1062">
        <v>57900</v>
      </c>
      <c r="Q1062">
        <v>0</v>
      </c>
      <c r="R1062">
        <v>8.1877130000000005</v>
      </c>
      <c r="S1062" s="6">
        <v>13386.91</v>
      </c>
      <c r="T1062" t="s">
        <v>254</v>
      </c>
      <c r="U1062">
        <v>160</v>
      </c>
      <c r="W1062" s="7">
        <v>1635</v>
      </c>
    </row>
    <row r="1063" spans="1:23" x14ac:dyDescent="0.35">
      <c r="A1063">
        <v>4</v>
      </c>
      <c r="B1063">
        <v>2025</v>
      </c>
      <c r="C1063" t="s">
        <v>33</v>
      </c>
      <c r="D1063" t="s">
        <v>36</v>
      </c>
      <c r="E1063" t="s">
        <v>223</v>
      </c>
      <c r="G1063" s="2" t="s">
        <v>37</v>
      </c>
      <c r="H1063" s="3">
        <v>57900</v>
      </c>
      <c r="J1063" s="2" t="s">
        <v>539</v>
      </c>
      <c r="L1063" t="s">
        <v>37</v>
      </c>
      <c r="M1063" t="s">
        <v>459</v>
      </c>
      <c r="O1063" t="s">
        <v>258</v>
      </c>
      <c r="P1063">
        <v>57900</v>
      </c>
      <c r="Q1063">
        <v>0</v>
      </c>
      <c r="R1063">
        <v>8.582986</v>
      </c>
      <c r="S1063" s="6">
        <v>23946.53</v>
      </c>
      <c r="T1063" t="s">
        <v>254</v>
      </c>
      <c r="U1063">
        <v>160</v>
      </c>
      <c r="W1063" s="7">
        <v>2790</v>
      </c>
    </row>
    <row r="1064" spans="1:23" x14ac:dyDescent="0.35">
      <c r="A1064">
        <v>4</v>
      </c>
      <c r="B1064">
        <v>2025</v>
      </c>
      <c r="C1064" t="s">
        <v>33</v>
      </c>
      <c r="D1064" t="s">
        <v>36</v>
      </c>
      <c r="E1064" t="s">
        <v>223</v>
      </c>
      <c r="G1064" s="2" t="s">
        <v>37</v>
      </c>
      <c r="H1064" s="3">
        <v>57900</v>
      </c>
      <c r="J1064" s="2" t="s">
        <v>540</v>
      </c>
      <c r="L1064" t="s">
        <v>37</v>
      </c>
      <c r="M1064" t="s">
        <v>459</v>
      </c>
      <c r="O1064" t="s">
        <v>258</v>
      </c>
      <c r="P1064">
        <v>57900</v>
      </c>
      <c r="Q1064">
        <v>0</v>
      </c>
      <c r="R1064">
        <v>8.4136170000000003</v>
      </c>
      <c r="S1064" s="6">
        <v>395.44</v>
      </c>
      <c r="T1064" t="s">
        <v>254</v>
      </c>
      <c r="U1064">
        <v>160</v>
      </c>
      <c r="W1064" s="7">
        <v>47</v>
      </c>
    </row>
    <row r="1065" spans="1:23" x14ac:dyDescent="0.35">
      <c r="A1065">
        <v>4</v>
      </c>
      <c r="B1065">
        <v>2025</v>
      </c>
      <c r="C1065" t="s">
        <v>33</v>
      </c>
      <c r="D1065" t="s">
        <v>36</v>
      </c>
      <c r="E1065" t="s">
        <v>223</v>
      </c>
      <c r="G1065" s="2" t="s">
        <v>37</v>
      </c>
      <c r="H1065" s="3">
        <v>57900</v>
      </c>
      <c r="J1065" s="2" t="s">
        <v>541</v>
      </c>
      <c r="L1065" t="s">
        <v>37</v>
      </c>
      <c r="M1065" t="s">
        <v>459</v>
      </c>
      <c r="O1065" t="s">
        <v>258</v>
      </c>
      <c r="P1065">
        <v>57900</v>
      </c>
      <c r="Q1065">
        <v>0</v>
      </c>
      <c r="R1065">
        <v>9.4299879999999998</v>
      </c>
      <c r="S1065" s="6">
        <v>16389.32</v>
      </c>
      <c r="T1065" t="s">
        <v>254</v>
      </c>
      <c r="U1065">
        <v>160</v>
      </c>
      <c r="W1065" s="7">
        <v>1738</v>
      </c>
    </row>
    <row r="1066" spans="1:23" s="16" customFormat="1" x14ac:dyDescent="0.35">
      <c r="A1066" s="16">
        <v>4</v>
      </c>
      <c r="B1066" s="16">
        <v>2025</v>
      </c>
      <c r="C1066" s="16" t="s">
        <v>33</v>
      </c>
      <c r="D1066" s="16" t="s">
        <v>36</v>
      </c>
      <c r="E1066" s="16" t="s">
        <v>223</v>
      </c>
      <c r="F1066" s="32"/>
      <c r="G1066" s="50" t="s">
        <v>37</v>
      </c>
      <c r="H1066" s="32">
        <v>57900</v>
      </c>
      <c r="I1066" s="32"/>
      <c r="J1066" s="50" t="s">
        <v>428</v>
      </c>
      <c r="L1066" s="16" t="s">
        <v>37</v>
      </c>
      <c r="M1066" s="16" t="s">
        <v>459</v>
      </c>
      <c r="O1066" s="16" t="s">
        <v>258</v>
      </c>
      <c r="P1066" s="16">
        <v>57900</v>
      </c>
      <c r="Q1066" s="16">
        <v>0</v>
      </c>
      <c r="R1066" s="16">
        <v>10.051125000000001</v>
      </c>
      <c r="S1066" s="17">
        <v>21167.67</v>
      </c>
      <c r="T1066" s="16" t="s">
        <v>254</v>
      </c>
      <c r="U1066" s="16">
        <v>200</v>
      </c>
      <c r="W1066" s="128">
        <v>2106</v>
      </c>
    </row>
    <row r="1067" spans="1:23" x14ac:dyDescent="0.35">
      <c r="A1067" s="18">
        <v>5</v>
      </c>
      <c r="B1067" s="18">
        <v>2025</v>
      </c>
      <c r="C1067" s="18" t="s">
        <v>33</v>
      </c>
      <c r="D1067" s="18" t="s">
        <v>36</v>
      </c>
      <c r="E1067" s="18" t="s">
        <v>42</v>
      </c>
      <c r="G1067" s="51" t="s">
        <v>43</v>
      </c>
      <c r="H1067" s="3">
        <v>57984</v>
      </c>
      <c r="I1067" s="3">
        <v>2540026</v>
      </c>
      <c r="J1067" s="2" t="s">
        <v>551</v>
      </c>
      <c r="O1067" t="s">
        <v>262</v>
      </c>
      <c r="P1067">
        <v>57984</v>
      </c>
      <c r="R1067">
        <v>17.683467</v>
      </c>
      <c r="S1067" s="6">
        <v>2652.52</v>
      </c>
      <c r="W1067" s="7">
        <v>150</v>
      </c>
    </row>
    <row r="1068" spans="1:23" x14ac:dyDescent="0.35">
      <c r="A1068" s="18">
        <v>5</v>
      </c>
      <c r="B1068" s="18">
        <v>2025</v>
      </c>
      <c r="C1068" s="18" t="s">
        <v>33</v>
      </c>
      <c r="D1068" s="18" t="s">
        <v>36</v>
      </c>
      <c r="E1068" s="18" t="s">
        <v>42</v>
      </c>
      <c r="G1068" s="51" t="s">
        <v>43</v>
      </c>
      <c r="H1068" s="3">
        <v>57984</v>
      </c>
      <c r="I1068" s="3">
        <v>2540014</v>
      </c>
      <c r="J1068" s="2" t="s">
        <v>552</v>
      </c>
      <c r="O1068" t="s">
        <v>262</v>
      </c>
      <c r="P1068">
        <v>57984</v>
      </c>
      <c r="R1068">
        <v>24.449791999999999</v>
      </c>
      <c r="S1068" s="6">
        <v>7065.99</v>
      </c>
      <c r="W1068" s="7">
        <v>289</v>
      </c>
    </row>
    <row r="1069" spans="1:23" x14ac:dyDescent="0.35">
      <c r="A1069" s="18">
        <v>5</v>
      </c>
      <c r="B1069" s="18">
        <v>2025</v>
      </c>
      <c r="C1069" s="18" t="s">
        <v>33</v>
      </c>
      <c r="D1069" s="18" t="s">
        <v>36</v>
      </c>
      <c r="E1069" s="18" t="s">
        <v>42</v>
      </c>
      <c r="G1069" s="51" t="s">
        <v>43</v>
      </c>
      <c r="H1069" s="3">
        <v>57984</v>
      </c>
      <c r="I1069" s="3">
        <v>2540022</v>
      </c>
      <c r="J1069" s="2" t="s">
        <v>553</v>
      </c>
      <c r="O1069" t="s">
        <v>262</v>
      </c>
      <c r="P1069">
        <v>57984</v>
      </c>
      <c r="R1069">
        <v>20.867618</v>
      </c>
      <c r="S1069" s="6">
        <v>20763.28</v>
      </c>
      <c r="W1069" s="7">
        <v>995</v>
      </c>
    </row>
    <row r="1070" spans="1:23" x14ac:dyDescent="0.35">
      <c r="A1070" s="18">
        <v>5</v>
      </c>
      <c r="B1070" s="18">
        <v>2025</v>
      </c>
      <c r="C1070" s="18" t="s">
        <v>33</v>
      </c>
      <c r="D1070" s="18" t="s">
        <v>36</v>
      </c>
      <c r="E1070" s="18" t="s">
        <v>42</v>
      </c>
      <c r="G1070" s="51" t="s">
        <v>43</v>
      </c>
      <c r="H1070" s="3">
        <v>57984</v>
      </c>
      <c r="I1070" s="3">
        <v>2540033</v>
      </c>
      <c r="J1070" s="2" t="s">
        <v>554</v>
      </c>
      <c r="O1070" t="s">
        <v>262</v>
      </c>
      <c r="P1070">
        <v>57984</v>
      </c>
      <c r="R1070">
        <v>23.881197</v>
      </c>
      <c r="S1070" s="6">
        <v>33911.300000000003</v>
      </c>
      <c r="W1070" s="7">
        <v>1420</v>
      </c>
    </row>
    <row r="1071" spans="1:23" x14ac:dyDescent="0.35">
      <c r="A1071" s="18">
        <v>5</v>
      </c>
      <c r="B1071" s="18">
        <v>2025</v>
      </c>
      <c r="C1071" s="18" t="s">
        <v>33</v>
      </c>
      <c r="D1071" s="18" t="s">
        <v>36</v>
      </c>
      <c r="E1071" s="18" t="s">
        <v>42</v>
      </c>
      <c r="G1071" s="51" t="s">
        <v>43</v>
      </c>
      <c r="H1071" s="3">
        <v>57984</v>
      </c>
      <c r="I1071" s="3">
        <v>2540035</v>
      </c>
      <c r="J1071" s="2" t="s">
        <v>555</v>
      </c>
      <c r="O1071" t="s">
        <v>262</v>
      </c>
      <c r="P1071">
        <v>57984</v>
      </c>
      <c r="R1071">
        <v>18.195198999999999</v>
      </c>
      <c r="S1071" s="6">
        <v>13264.3</v>
      </c>
      <c r="W1071" s="7">
        <v>729</v>
      </c>
    </row>
    <row r="1072" spans="1:23" x14ac:dyDescent="0.35">
      <c r="A1072" s="18">
        <v>5</v>
      </c>
      <c r="B1072" s="18">
        <v>2025</v>
      </c>
      <c r="C1072" s="18" t="s">
        <v>33</v>
      </c>
      <c r="D1072" s="18" t="s">
        <v>36</v>
      </c>
      <c r="E1072" s="18" t="s">
        <v>42</v>
      </c>
      <c r="G1072" s="51" t="s">
        <v>43</v>
      </c>
      <c r="H1072" s="3">
        <v>57984</v>
      </c>
      <c r="I1072" s="3">
        <v>2540036</v>
      </c>
      <c r="J1072" s="2" t="s">
        <v>556</v>
      </c>
      <c r="O1072" t="s">
        <v>262</v>
      </c>
      <c r="P1072">
        <v>57984</v>
      </c>
      <c r="R1072">
        <v>20.924482000000001</v>
      </c>
      <c r="S1072" s="6">
        <v>19606.240000000002</v>
      </c>
      <c r="W1072" s="7">
        <v>937</v>
      </c>
    </row>
    <row r="1073" spans="1:23" x14ac:dyDescent="0.35">
      <c r="A1073" s="18">
        <v>5</v>
      </c>
      <c r="B1073" s="18">
        <v>2025</v>
      </c>
      <c r="C1073" s="18" t="s">
        <v>33</v>
      </c>
      <c r="D1073" s="18" t="s">
        <v>36</v>
      </c>
      <c r="E1073" s="18" t="s">
        <v>42</v>
      </c>
      <c r="G1073" s="51" t="s">
        <v>43</v>
      </c>
      <c r="H1073" s="3">
        <v>57984</v>
      </c>
      <c r="I1073" s="3">
        <v>2540018</v>
      </c>
      <c r="J1073" s="2" t="s">
        <v>557</v>
      </c>
      <c r="O1073" t="s">
        <v>262</v>
      </c>
      <c r="P1073">
        <v>57984</v>
      </c>
      <c r="R1073">
        <v>15.977658999999999</v>
      </c>
      <c r="S1073" s="6">
        <v>63750.86</v>
      </c>
      <c r="W1073" s="7">
        <v>3990</v>
      </c>
    </row>
    <row r="1074" spans="1:23" x14ac:dyDescent="0.35">
      <c r="A1074" s="18">
        <v>5</v>
      </c>
      <c r="B1074" s="18">
        <v>2025</v>
      </c>
      <c r="C1074" s="18" t="s">
        <v>33</v>
      </c>
      <c r="D1074" s="18" t="s">
        <v>36</v>
      </c>
      <c r="E1074" s="18" t="s">
        <v>42</v>
      </c>
      <c r="G1074" s="51" t="s">
        <v>43</v>
      </c>
      <c r="H1074" s="3">
        <v>57984</v>
      </c>
      <c r="I1074" s="3">
        <v>2540018</v>
      </c>
      <c r="J1074" s="2" t="s">
        <v>557</v>
      </c>
      <c r="O1074" t="s">
        <v>262</v>
      </c>
      <c r="P1074">
        <v>57984</v>
      </c>
      <c r="R1074">
        <v>15.977636</v>
      </c>
      <c r="S1074" s="6">
        <v>2636.31</v>
      </c>
      <c r="W1074" s="7">
        <v>165</v>
      </c>
    </row>
    <row r="1075" spans="1:23" x14ac:dyDescent="0.35">
      <c r="A1075" s="18">
        <v>5</v>
      </c>
      <c r="B1075" s="18">
        <v>2025</v>
      </c>
      <c r="C1075" s="18" t="s">
        <v>33</v>
      </c>
      <c r="D1075" s="18" t="s">
        <v>36</v>
      </c>
      <c r="E1075" s="18" t="s">
        <v>42</v>
      </c>
      <c r="G1075" s="51" t="s">
        <v>43</v>
      </c>
      <c r="H1075" s="3">
        <v>57984</v>
      </c>
      <c r="I1075" s="3">
        <v>2540005</v>
      </c>
      <c r="J1075" s="2" t="s">
        <v>558</v>
      </c>
      <c r="O1075" t="s">
        <v>262</v>
      </c>
      <c r="P1075">
        <v>57984</v>
      </c>
      <c r="R1075">
        <v>18.706939999999999</v>
      </c>
      <c r="S1075" s="6">
        <v>66147.740000000005</v>
      </c>
      <c r="W1075" s="7">
        <v>3536</v>
      </c>
    </row>
    <row r="1076" spans="1:23" x14ac:dyDescent="0.35">
      <c r="A1076" s="18">
        <v>5</v>
      </c>
      <c r="B1076" s="18">
        <v>2025</v>
      </c>
      <c r="C1076" s="18" t="s">
        <v>33</v>
      </c>
      <c r="D1076" s="18" t="s">
        <v>36</v>
      </c>
      <c r="E1076" s="18" t="s">
        <v>42</v>
      </c>
      <c r="G1076" s="51" t="s">
        <v>43</v>
      </c>
      <c r="H1076" s="3">
        <v>57984</v>
      </c>
      <c r="I1076" s="3">
        <v>2540005</v>
      </c>
      <c r="J1076" s="2" t="s">
        <v>558</v>
      </c>
      <c r="O1076" t="s">
        <v>262</v>
      </c>
      <c r="P1076">
        <v>57984</v>
      </c>
      <c r="R1076">
        <v>18.70693</v>
      </c>
      <c r="S1076" s="6">
        <v>4021.99</v>
      </c>
      <c r="W1076" s="7">
        <v>215</v>
      </c>
    </row>
    <row r="1077" spans="1:23" x14ac:dyDescent="0.35">
      <c r="A1077" s="18">
        <v>5</v>
      </c>
      <c r="B1077" s="18">
        <v>2025</v>
      </c>
      <c r="C1077" s="18" t="s">
        <v>33</v>
      </c>
      <c r="D1077" s="18" t="s">
        <v>36</v>
      </c>
      <c r="E1077" s="18" t="s">
        <v>42</v>
      </c>
      <c r="G1077" s="51" t="s">
        <v>43</v>
      </c>
      <c r="H1077" s="3">
        <v>57984</v>
      </c>
      <c r="I1077" s="3">
        <v>2540015</v>
      </c>
      <c r="J1077" s="2" t="s">
        <v>559</v>
      </c>
      <c r="O1077" t="s">
        <v>262</v>
      </c>
      <c r="P1077">
        <v>57984</v>
      </c>
      <c r="R1077">
        <v>16.375678000000001</v>
      </c>
      <c r="S1077" s="6">
        <v>33193.5</v>
      </c>
      <c r="W1077" s="7">
        <v>2027</v>
      </c>
    </row>
    <row r="1078" spans="1:23" x14ac:dyDescent="0.35">
      <c r="A1078" s="18">
        <v>5</v>
      </c>
      <c r="B1078" s="18">
        <v>2025</v>
      </c>
      <c r="C1078" s="18" t="s">
        <v>33</v>
      </c>
      <c r="D1078" s="18" t="s">
        <v>36</v>
      </c>
      <c r="E1078" s="18" t="s">
        <v>42</v>
      </c>
      <c r="G1078" s="51" t="s">
        <v>43</v>
      </c>
      <c r="H1078" s="3">
        <v>57984</v>
      </c>
      <c r="I1078" s="3">
        <v>2540017</v>
      </c>
      <c r="J1078" s="2" t="s">
        <v>560</v>
      </c>
      <c r="O1078" t="s">
        <v>262</v>
      </c>
      <c r="P1078">
        <v>57984</v>
      </c>
      <c r="R1078">
        <v>18.934380000000001</v>
      </c>
      <c r="S1078" s="6">
        <v>61858.62</v>
      </c>
      <c r="W1078" s="7">
        <v>3267</v>
      </c>
    </row>
    <row r="1079" spans="1:23" x14ac:dyDescent="0.35">
      <c r="A1079" s="18">
        <v>5</v>
      </c>
      <c r="B1079" s="18">
        <v>2025</v>
      </c>
      <c r="C1079" s="18" t="s">
        <v>33</v>
      </c>
      <c r="D1079" s="18" t="s">
        <v>36</v>
      </c>
      <c r="E1079" s="18" t="s">
        <v>116</v>
      </c>
      <c r="G1079" s="51" t="s">
        <v>50</v>
      </c>
      <c r="H1079" s="3">
        <v>58048</v>
      </c>
      <c r="I1079" s="3">
        <v>2810009</v>
      </c>
      <c r="J1079" s="2" t="s">
        <v>561</v>
      </c>
      <c r="O1079" t="s">
        <v>258</v>
      </c>
      <c r="P1079">
        <v>58048</v>
      </c>
      <c r="R1079">
        <v>12.658958</v>
      </c>
      <c r="S1079" s="6">
        <v>3278.67</v>
      </c>
      <c r="W1079" s="7">
        <v>259</v>
      </c>
    </row>
    <row r="1080" spans="1:23" x14ac:dyDescent="0.35">
      <c r="A1080" s="18">
        <v>5</v>
      </c>
      <c r="B1080" s="18">
        <v>2025</v>
      </c>
      <c r="C1080" s="18" t="s">
        <v>33</v>
      </c>
      <c r="D1080" s="18" t="s">
        <v>36</v>
      </c>
      <c r="E1080" s="18" t="s">
        <v>116</v>
      </c>
      <c r="G1080" s="51" t="s">
        <v>50</v>
      </c>
      <c r="H1080" s="3">
        <v>58048</v>
      </c>
      <c r="I1080" s="3">
        <v>2810011</v>
      </c>
      <c r="J1080" s="2" t="s">
        <v>562</v>
      </c>
      <c r="O1080" t="s">
        <v>258</v>
      </c>
      <c r="P1080">
        <v>58048</v>
      </c>
      <c r="R1080">
        <v>27.287068999999999</v>
      </c>
      <c r="S1080" s="6">
        <v>11542.43</v>
      </c>
      <c r="W1080" s="7">
        <v>423</v>
      </c>
    </row>
    <row r="1081" spans="1:23" x14ac:dyDescent="0.35">
      <c r="A1081" s="18">
        <v>5</v>
      </c>
      <c r="B1081" s="18">
        <v>2025</v>
      </c>
      <c r="C1081" s="18" t="s">
        <v>33</v>
      </c>
      <c r="D1081" s="18" t="s">
        <v>36</v>
      </c>
      <c r="E1081" s="18" t="s">
        <v>116</v>
      </c>
      <c r="G1081" s="51" t="s">
        <v>50</v>
      </c>
      <c r="H1081" s="3">
        <v>58048</v>
      </c>
      <c r="I1081" s="3">
        <v>2810013</v>
      </c>
      <c r="J1081" s="2" t="s">
        <v>563</v>
      </c>
      <c r="O1081" t="s">
        <v>258</v>
      </c>
      <c r="P1081">
        <v>58048</v>
      </c>
      <c r="R1081">
        <v>20.704421</v>
      </c>
      <c r="S1081" s="6">
        <v>8757.9699999999993</v>
      </c>
      <c r="W1081" s="7">
        <v>423</v>
      </c>
    </row>
    <row r="1082" spans="1:23" x14ac:dyDescent="0.35">
      <c r="A1082" s="18">
        <v>5</v>
      </c>
      <c r="B1082" s="18">
        <v>2025</v>
      </c>
      <c r="C1082" s="18" t="s">
        <v>33</v>
      </c>
      <c r="D1082" s="18" t="s">
        <v>36</v>
      </c>
      <c r="E1082" s="18" t="s">
        <v>223</v>
      </c>
      <c r="G1082" s="51" t="s">
        <v>37</v>
      </c>
      <c r="H1082" s="3">
        <v>58050</v>
      </c>
      <c r="I1082" s="3">
        <v>3020017</v>
      </c>
      <c r="J1082" s="2" t="s">
        <v>564</v>
      </c>
      <c r="O1082" t="s">
        <v>258</v>
      </c>
      <c r="P1082">
        <v>58050</v>
      </c>
      <c r="R1082">
        <v>8.3830390000000001</v>
      </c>
      <c r="S1082" s="6">
        <v>14427.21</v>
      </c>
      <c r="W1082" s="7">
        <v>1721</v>
      </c>
    </row>
    <row r="1083" spans="1:23" x14ac:dyDescent="0.35">
      <c r="A1083" s="18">
        <v>5</v>
      </c>
      <c r="B1083" s="18">
        <v>2025</v>
      </c>
      <c r="C1083" s="18" t="s">
        <v>33</v>
      </c>
      <c r="D1083" s="18" t="s">
        <v>36</v>
      </c>
      <c r="E1083" s="18" t="s">
        <v>223</v>
      </c>
      <c r="G1083" s="51" t="s">
        <v>37</v>
      </c>
      <c r="H1083" s="3">
        <v>58050</v>
      </c>
      <c r="I1083" s="3">
        <v>3020016</v>
      </c>
      <c r="J1083" s="2" t="s">
        <v>565</v>
      </c>
      <c r="O1083" t="s">
        <v>258</v>
      </c>
      <c r="P1083">
        <v>58050</v>
      </c>
      <c r="R1083">
        <v>9.3957510000000006</v>
      </c>
      <c r="S1083" s="6">
        <v>12693.66</v>
      </c>
      <c r="W1083" s="7">
        <v>1351</v>
      </c>
    </row>
    <row r="1084" spans="1:23" x14ac:dyDescent="0.35">
      <c r="A1084" s="18">
        <v>5</v>
      </c>
      <c r="B1084" s="18">
        <v>2025</v>
      </c>
      <c r="C1084" s="18" t="s">
        <v>33</v>
      </c>
      <c r="D1084" s="18" t="s">
        <v>36</v>
      </c>
      <c r="E1084" s="18" t="s">
        <v>223</v>
      </c>
      <c r="G1084" s="51" t="s">
        <v>37</v>
      </c>
      <c r="H1084" s="3">
        <v>58050</v>
      </c>
      <c r="I1084" s="3">
        <v>3020015</v>
      </c>
      <c r="J1084" s="2" t="s">
        <v>566</v>
      </c>
      <c r="O1084" t="s">
        <v>258</v>
      </c>
      <c r="P1084">
        <v>58050</v>
      </c>
      <c r="R1084">
        <v>8.6080850000000009</v>
      </c>
      <c r="S1084" s="6">
        <v>25841.47</v>
      </c>
      <c r="W1084" s="7">
        <v>3002</v>
      </c>
    </row>
    <row r="1085" spans="1:23" x14ac:dyDescent="0.35">
      <c r="A1085" s="18">
        <v>5</v>
      </c>
      <c r="B1085" s="18">
        <v>2025</v>
      </c>
      <c r="C1085" s="18" t="s">
        <v>33</v>
      </c>
      <c r="D1085" s="18" t="s">
        <v>36</v>
      </c>
      <c r="E1085" s="18" t="s">
        <v>223</v>
      </c>
      <c r="G1085" s="51" t="s">
        <v>37</v>
      </c>
      <c r="H1085" s="3">
        <v>58050</v>
      </c>
      <c r="I1085" s="3">
        <v>3020014</v>
      </c>
      <c r="J1085" s="2" t="s">
        <v>567</v>
      </c>
      <c r="O1085" t="s">
        <v>258</v>
      </c>
      <c r="P1085">
        <v>58050</v>
      </c>
      <c r="R1085">
        <v>8.1579879999999996</v>
      </c>
      <c r="S1085" s="6">
        <v>11111.18</v>
      </c>
      <c r="W1085" s="7">
        <v>1362</v>
      </c>
    </row>
    <row r="1086" spans="1:23" x14ac:dyDescent="0.35">
      <c r="A1086" s="18">
        <v>5</v>
      </c>
      <c r="B1086" s="18">
        <v>2025</v>
      </c>
      <c r="C1086" s="18" t="s">
        <v>33</v>
      </c>
      <c r="D1086" s="18" t="s">
        <v>36</v>
      </c>
      <c r="E1086" s="18" t="s">
        <v>548</v>
      </c>
      <c r="G1086" s="51" t="s">
        <v>513</v>
      </c>
      <c r="H1086" s="3">
        <v>58275</v>
      </c>
      <c r="I1086" s="3">
        <v>3530002</v>
      </c>
      <c r="J1086" s="2" t="s">
        <v>568</v>
      </c>
      <c r="O1086" t="s">
        <v>258</v>
      </c>
      <c r="P1086">
        <v>58275</v>
      </c>
      <c r="R1086">
        <v>8.9383250000000007</v>
      </c>
      <c r="S1086" s="6">
        <v>63703.44</v>
      </c>
      <c r="W1086" s="7">
        <v>7127</v>
      </c>
    </row>
    <row r="1087" spans="1:23" x14ac:dyDescent="0.35">
      <c r="A1087" s="18">
        <v>5</v>
      </c>
      <c r="B1087" s="18">
        <v>2025</v>
      </c>
      <c r="C1087" s="18" t="s">
        <v>33</v>
      </c>
      <c r="D1087" s="18" t="s">
        <v>36</v>
      </c>
      <c r="E1087" s="18" t="s">
        <v>548</v>
      </c>
      <c r="G1087" s="51" t="s">
        <v>513</v>
      </c>
      <c r="H1087" s="3">
        <v>58275</v>
      </c>
      <c r="I1087" s="3">
        <v>3530001</v>
      </c>
      <c r="J1087" s="2" t="s">
        <v>569</v>
      </c>
      <c r="O1087" t="s">
        <v>258</v>
      </c>
      <c r="P1087">
        <v>58275</v>
      </c>
      <c r="R1087">
        <v>11.3864</v>
      </c>
      <c r="S1087" s="6">
        <v>151632.69</v>
      </c>
      <c r="W1087" s="7">
        <v>13317</v>
      </c>
    </row>
    <row r="1088" spans="1:23" x14ac:dyDescent="0.35">
      <c r="A1088" s="18">
        <v>5</v>
      </c>
      <c r="B1088" s="18">
        <v>2025</v>
      </c>
      <c r="C1088" s="18" t="s">
        <v>33</v>
      </c>
      <c r="D1088" s="18" t="s">
        <v>36</v>
      </c>
      <c r="E1088" t="s">
        <v>344</v>
      </c>
      <c r="F1088" s="3" t="s">
        <v>36</v>
      </c>
      <c r="G1088" s="2" t="s">
        <v>37</v>
      </c>
      <c r="H1088" s="3">
        <v>58293</v>
      </c>
      <c r="I1088" s="3">
        <v>3370001</v>
      </c>
      <c r="J1088" s="2" t="s">
        <v>570</v>
      </c>
      <c r="K1088" t="s">
        <v>344</v>
      </c>
      <c r="O1088" t="s">
        <v>258</v>
      </c>
      <c r="P1088">
        <v>58293</v>
      </c>
      <c r="R1088">
        <v>19.250463</v>
      </c>
      <c r="S1088" s="6">
        <v>20809.75</v>
      </c>
      <c r="T1088" t="s">
        <v>254</v>
      </c>
      <c r="U1088">
        <v>300</v>
      </c>
      <c r="W1088" s="7">
        <v>1081</v>
      </c>
    </row>
    <row r="1089" spans="1:37" x14ac:dyDescent="0.35">
      <c r="A1089" s="18">
        <v>5</v>
      </c>
      <c r="B1089" s="18">
        <v>2025</v>
      </c>
      <c r="C1089" s="18" t="s">
        <v>33</v>
      </c>
      <c r="D1089" s="18" t="s">
        <v>36</v>
      </c>
      <c r="E1089" t="s">
        <v>344</v>
      </c>
      <c r="F1089" s="3" t="s">
        <v>36</v>
      </c>
      <c r="G1089" s="2" t="s">
        <v>37</v>
      </c>
      <c r="H1089" s="3">
        <v>58293</v>
      </c>
      <c r="I1089" s="3">
        <v>3370005</v>
      </c>
      <c r="J1089" s="2" t="s">
        <v>571</v>
      </c>
      <c r="K1089" t="s">
        <v>344</v>
      </c>
      <c r="O1089" t="s">
        <v>258</v>
      </c>
      <c r="P1089">
        <v>58293</v>
      </c>
      <c r="R1089">
        <v>10.474515</v>
      </c>
      <c r="S1089" s="6">
        <v>10579.26</v>
      </c>
      <c r="T1089" t="s">
        <v>254</v>
      </c>
      <c r="U1089">
        <v>180</v>
      </c>
      <c r="W1089" s="7">
        <v>1010</v>
      </c>
    </row>
    <row r="1090" spans="1:37" x14ac:dyDescent="0.35">
      <c r="A1090" s="18">
        <v>5</v>
      </c>
      <c r="B1090" s="18">
        <v>2025</v>
      </c>
      <c r="C1090" s="18" t="s">
        <v>33</v>
      </c>
      <c r="D1090" s="18" t="s">
        <v>36</v>
      </c>
      <c r="E1090" s="18" t="s">
        <v>549</v>
      </c>
      <c r="G1090" s="51" t="s">
        <v>513</v>
      </c>
      <c r="H1090" s="3">
        <v>58340</v>
      </c>
      <c r="I1090" s="3">
        <v>3520003</v>
      </c>
      <c r="J1090" s="2" t="s">
        <v>572</v>
      </c>
      <c r="O1090" t="s">
        <v>258</v>
      </c>
      <c r="P1090">
        <v>58340</v>
      </c>
      <c r="R1090">
        <v>8.9389540000000007</v>
      </c>
      <c r="S1090" s="121">
        <v>22110.46</v>
      </c>
      <c r="W1090" s="7">
        <v>2026</v>
      </c>
    </row>
    <row r="1091" spans="1:37" x14ac:dyDescent="0.35">
      <c r="A1091" s="18">
        <v>5</v>
      </c>
      <c r="B1091" s="18">
        <v>2025</v>
      </c>
      <c r="C1091" s="18" t="s">
        <v>33</v>
      </c>
      <c r="D1091" s="18" t="s">
        <v>36</v>
      </c>
      <c r="E1091" s="18" t="s">
        <v>549</v>
      </c>
      <c r="G1091" s="51" t="s">
        <v>513</v>
      </c>
      <c r="H1091" s="3">
        <v>58340</v>
      </c>
      <c r="I1091" s="3">
        <v>3520002</v>
      </c>
      <c r="J1091" s="2" t="s">
        <v>573</v>
      </c>
      <c r="O1091" t="s">
        <v>258</v>
      </c>
      <c r="P1091">
        <v>58340</v>
      </c>
      <c r="R1091">
        <v>8.9389470000000006</v>
      </c>
      <c r="S1091" s="121">
        <v>11091.05</v>
      </c>
      <c r="W1091" s="7">
        <v>1016.283</v>
      </c>
    </row>
    <row r="1092" spans="1:37" x14ac:dyDescent="0.35">
      <c r="A1092" s="18">
        <v>5</v>
      </c>
      <c r="B1092" s="18">
        <v>2025</v>
      </c>
      <c r="C1092" s="18" t="s">
        <v>33</v>
      </c>
      <c r="D1092" s="18" t="s">
        <v>36</v>
      </c>
      <c r="E1092" s="18" t="s">
        <v>549</v>
      </c>
      <c r="G1092" s="51" t="s">
        <v>513</v>
      </c>
      <c r="H1092" s="3">
        <v>58340</v>
      </c>
      <c r="I1092" s="3">
        <v>3520001</v>
      </c>
      <c r="J1092" s="2" t="s">
        <v>574</v>
      </c>
      <c r="O1092" t="s">
        <v>258</v>
      </c>
      <c r="P1092">
        <v>58340</v>
      </c>
      <c r="R1092">
        <v>8.9389489999999991</v>
      </c>
      <c r="S1092" s="121">
        <v>11524.5</v>
      </c>
      <c r="W1092" s="7">
        <v>1056</v>
      </c>
    </row>
    <row r="1093" spans="1:37" x14ac:dyDescent="0.35">
      <c r="A1093" s="18">
        <v>5</v>
      </c>
      <c r="B1093" s="18">
        <v>2025</v>
      </c>
      <c r="C1093" s="18" t="s">
        <v>33</v>
      </c>
      <c r="D1093" s="18" t="s">
        <v>36</v>
      </c>
      <c r="E1093" s="18" t="s">
        <v>549</v>
      </c>
      <c r="G1093" s="51" t="s">
        <v>513</v>
      </c>
      <c r="H1093" s="3">
        <v>58340</v>
      </c>
      <c r="I1093" s="3">
        <v>3520004</v>
      </c>
      <c r="J1093" s="2" t="s">
        <v>575</v>
      </c>
      <c r="O1093" t="s">
        <v>258</v>
      </c>
      <c r="P1093">
        <v>58340</v>
      </c>
      <c r="R1093">
        <v>6.8323200000000002</v>
      </c>
      <c r="S1093" s="121">
        <v>32639.96</v>
      </c>
      <c r="W1093" s="7">
        <v>3913</v>
      </c>
    </row>
    <row r="1094" spans="1:37" x14ac:dyDescent="0.35">
      <c r="A1094" s="18">
        <v>5</v>
      </c>
      <c r="B1094" s="18">
        <v>2025</v>
      </c>
      <c r="C1094" s="18" t="s">
        <v>33</v>
      </c>
      <c r="D1094" s="18" t="s">
        <v>36</v>
      </c>
      <c r="E1094" s="18" t="s">
        <v>550</v>
      </c>
      <c r="G1094" s="51" t="s">
        <v>50</v>
      </c>
      <c r="H1094" s="3">
        <v>58356</v>
      </c>
      <c r="I1094" s="3">
        <v>2860004</v>
      </c>
      <c r="J1094" s="2" t="s">
        <v>576</v>
      </c>
      <c r="O1094" t="s">
        <v>258</v>
      </c>
      <c r="P1094">
        <v>58356</v>
      </c>
      <c r="R1094">
        <v>24.320366</v>
      </c>
      <c r="S1094" s="6">
        <v>23906.92</v>
      </c>
      <c r="W1094" s="7">
        <v>983</v>
      </c>
    </row>
    <row r="1095" spans="1:37" x14ac:dyDescent="0.35">
      <c r="A1095" s="18">
        <v>5</v>
      </c>
      <c r="B1095" s="18">
        <v>2025</v>
      </c>
      <c r="C1095" s="18" t="s">
        <v>33</v>
      </c>
      <c r="D1095" s="18" t="s">
        <v>36</v>
      </c>
      <c r="E1095" s="18" t="s">
        <v>550</v>
      </c>
      <c r="G1095" s="51" t="s">
        <v>50</v>
      </c>
      <c r="H1095" s="3">
        <v>58356</v>
      </c>
      <c r="I1095" s="3">
        <v>2860013</v>
      </c>
      <c r="J1095" s="2" t="s">
        <v>577</v>
      </c>
      <c r="O1095" t="s">
        <v>258</v>
      </c>
      <c r="P1095">
        <v>58356</v>
      </c>
      <c r="R1095">
        <v>26.865532000000002</v>
      </c>
      <c r="S1095" s="6">
        <v>14131.27</v>
      </c>
      <c r="W1095" s="7">
        <v>526</v>
      </c>
    </row>
    <row r="1096" spans="1:37" x14ac:dyDescent="0.35">
      <c r="A1096" s="18">
        <v>5</v>
      </c>
      <c r="B1096" s="18">
        <v>2025</v>
      </c>
      <c r="C1096" s="18" t="s">
        <v>33</v>
      </c>
      <c r="D1096" s="18" t="s">
        <v>36</v>
      </c>
      <c r="E1096" s="18" t="s">
        <v>550</v>
      </c>
      <c r="G1096" s="51" t="s">
        <v>50</v>
      </c>
      <c r="H1096" s="3">
        <v>58356</v>
      </c>
      <c r="I1096" s="3">
        <v>2860015</v>
      </c>
      <c r="J1096" s="2" t="s">
        <v>578</v>
      </c>
      <c r="O1096" t="s">
        <v>258</v>
      </c>
      <c r="P1096">
        <v>58356</v>
      </c>
      <c r="R1096">
        <v>29.410677</v>
      </c>
      <c r="S1096" s="6">
        <v>29528.32</v>
      </c>
      <c r="W1096" s="7">
        <v>1004</v>
      </c>
    </row>
    <row r="1097" spans="1:37" x14ac:dyDescent="0.35">
      <c r="A1097" s="18">
        <v>5</v>
      </c>
      <c r="B1097" s="18">
        <v>2025</v>
      </c>
      <c r="C1097" s="18" t="s">
        <v>33</v>
      </c>
      <c r="D1097" s="18" t="s">
        <v>36</v>
      </c>
      <c r="E1097" s="18" t="s">
        <v>116</v>
      </c>
      <c r="G1097" s="51" t="s">
        <v>50</v>
      </c>
      <c r="H1097" s="3">
        <v>58358</v>
      </c>
      <c r="I1097" s="3">
        <v>2810005</v>
      </c>
      <c r="J1097" s="2" t="s">
        <v>579</v>
      </c>
      <c r="O1097" t="s">
        <v>258</v>
      </c>
      <c r="P1097">
        <v>58358</v>
      </c>
      <c r="R1097">
        <v>16.006198999999999</v>
      </c>
      <c r="S1097" s="6">
        <v>23833.23</v>
      </c>
      <c r="W1097" s="7">
        <v>1489</v>
      </c>
    </row>
    <row r="1098" spans="1:37" x14ac:dyDescent="0.35">
      <c r="A1098" s="18">
        <v>5</v>
      </c>
      <c r="B1098" s="18">
        <v>2025</v>
      </c>
      <c r="C1098" s="18" t="s">
        <v>33</v>
      </c>
      <c r="D1098" s="18" t="s">
        <v>36</v>
      </c>
      <c r="E1098" s="18" t="s">
        <v>116</v>
      </c>
      <c r="G1098" s="51" t="s">
        <v>50</v>
      </c>
      <c r="H1098" s="3">
        <v>58358</v>
      </c>
      <c r="I1098" s="3">
        <v>2810009</v>
      </c>
      <c r="J1098" s="2" t="s">
        <v>561</v>
      </c>
      <c r="O1098" t="s">
        <v>258</v>
      </c>
      <c r="P1098">
        <v>58358</v>
      </c>
      <c r="R1098">
        <v>12.725776</v>
      </c>
      <c r="S1098" s="6">
        <v>19190.47</v>
      </c>
      <c r="W1098" s="7">
        <v>1508</v>
      </c>
    </row>
    <row r="1099" spans="1:37" x14ac:dyDescent="0.35">
      <c r="A1099" s="18">
        <v>5</v>
      </c>
      <c r="B1099" s="18">
        <v>2025</v>
      </c>
      <c r="C1099" s="18" t="s">
        <v>33</v>
      </c>
      <c r="D1099" s="18" t="s">
        <v>36</v>
      </c>
      <c r="E1099" s="18" t="s">
        <v>116</v>
      </c>
      <c r="G1099" s="51" t="s">
        <v>50</v>
      </c>
      <c r="H1099" s="3">
        <v>58358</v>
      </c>
      <c r="I1099" s="3">
        <v>2810009</v>
      </c>
      <c r="J1099" s="2" t="s">
        <v>561</v>
      </c>
      <c r="O1099" t="s">
        <v>258</v>
      </c>
      <c r="P1099">
        <v>58358</v>
      </c>
      <c r="R1099">
        <v>12.725775000000001</v>
      </c>
      <c r="S1099" s="6">
        <v>18223.310000000001</v>
      </c>
      <c r="W1099" s="7">
        <v>1432</v>
      </c>
    </row>
    <row r="1100" spans="1:37" x14ac:dyDescent="0.35">
      <c r="A1100" s="14">
        <v>6</v>
      </c>
      <c r="B1100" s="14">
        <v>2025</v>
      </c>
      <c r="C1100" s="14" t="s">
        <v>33</v>
      </c>
      <c r="D1100" s="14" t="s">
        <v>36</v>
      </c>
      <c r="E1100" s="14" t="s">
        <v>116</v>
      </c>
      <c r="F1100" s="31" t="b">
        <v>0</v>
      </c>
      <c r="G1100" s="49" t="s">
        <v>50</v>
      </c>
      <c r="H1100" s="31">
        <v>58433</v>
      </c>
      <c r="I1100" s="31">
        <v>4041</v>
      </c>
      <c r="J1100" s="49" t="s">
        <v>536</v>
      </c>
      <c r="K1100" s="14"/>
      <c r="L1100" s="14"/>
      <c r="M1100" s="14"/>
      <c r="N1100" s="14"/>
      <c r="O1100" s="14"/>
      <c r="P1100" s="14">
        <v>58433</v>
      </c>
      <c r="Q1100" s="14"/>
      <c r="R1100" s="14">
        <v>20.863386999999999</v>
      </c>
      <c r="S1100" s="120">
        <v>10410.83</v>
      </c>
      <c r="T1100" s="14"/>
      <c r="U1100" s="14"/>
      <c r="V1100" s="14"/>
      <c r="W1100" s="127">
        <v>499</v>
      </c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</row>
    <row r="1101" spans="1:37" x14ac:dyDescent="0.35">
      <c r="A1101">
        <v>6</v>
      </c>
      <c r="B1101">
        <v>2025</v>
      </c>
      <c r="C1101" t="s">
        <v>33</v>
      </c>
      <c r="D1101" t="s">
        <v>36</v>
      </c>
      <c r="E1101" t="s">
        <v>585</v>
      </c>
      <c r="F1101" s="3" t="b">
        <v>0</v>
      </c>
      <c r="G1101" s="2" t="s">
        <v>82</v>
      </c>
      <c r="H1101" s="3">
        <v>58555</v>
      </c>
      <c r="I1101" s="3">
        <v>4160</v>
      </c>
      <c r="J1101" s="2" t="s">
        <v>586</v>
      </c>
      <c r="P1101">
        <v>58555</v>
      </c>
      <c r="R1101">
        <v>12.322952000000001</v>
      </c>
      <c r="S1101" s="6">
        <v>6888.53</v>
      </c>
      <c r="W1101" s="7">
        <v>559</v>
      </c>
    </row>
    <row r="1102" spans="1:37" x14ac:dyDescent="0.35">
      <c r="A1102">
        <v>6</v>
      </c>
      <c r="B1102">
        <v>2025</v>
      </c>
      <c r="C1102" t="s">
        <v>33</v>
      </c>
      <c r="D1102" t="s">
        <v>36</v>
      </c>
      <c r="E1102" t="s">
        <v>295</v>
      </c>
      <c r="F1102" s="3" t="b">
        <v>0</v>
      </c>
      <c r="G1102" s="2" t="s">
        <v>82</v>
      </c>
      <c r="H1102" s="3">
        <v>58807</v>
      </c>
      <c r="I1102" s="3">
        <v>1979</v>
      </c>
      <c r="J1102" s="2" t="s">
        <v>299</v>
      </c>
      <c r="P1102">
        <v>58807</v>
      </c>
      <c r="R1102">
        <v>26.104572999999998</v>
      </c>
      <c r="S1102" s="6">
        <v>15297.28</v>
      </c>
      <c r="W1102" s="7">
        <v>586</v>
      </c>
    </row>
    <row r="1103" spans="1:37" x14ac:dyDescent="0.35">
      <c r="A1103">
        <v>6</v>
      </c>
      <c r="B1103">
        <v>2025</v>
      </c>
      <c r="C1103" t="s">
        <v>33</v>
      </c>
      <c r="D1103" t="s">
        <v>36</v>
      </c>
      <c r="E1103" t="s">
        <v>295</v>
      </c>
      <c r="F1103" s="3" t="b">
        <v>0</v>
      </c>
      <c r="G1103" s="2" t="s">
        <v>82</v>
      </c>
      <c r="H1103" s="3">
        <v>58807</v>
      </c>
      <c r="I1103" s="3">
        <v>3274</v>
      </c>
      <c r="J1103" s="2" t="s">
        <v>521</v>
      </c>
      <c r="P1103">
        <v>58807</v>
      </c>
      <c r="R1103">
        <v>12.090540000000001</v>
      </c>
      <c r="S1103" s="6">
        <v>6492.62</v>
      </c>
      <c r="W1103" s="7">
        <v>537</v>
      </c>
    </row>
    <row r="1104" spans="1:37" x14ac:dyDescent="0.35">
      <c r="A1104">
        <v>6</v>
      </c>
      <c r="B1104">
        <v>2025</v>
      </c>
      <c r="C1104" t="s">
        <v>33</v>
      </c>
      <c r="D1104" t="s">
        <v>36</v>
      </c>
      <c r="E1104" t="s">
        <v>295</v>
      </c>
      <c r="F1104" s="3" t="b">
        <v>0</v>
      </c>
      <c r="G1104" s="2" t="s">
        <v>82</v>
      </c>
      <c r="H1104" s="3">
        <v>58807</v>
      </c>
      <c r="I1104" s="3">
        <v>3700</v>
      </c>
      <c r="J1104" s="2" t="s">
        <v>587</v>
      </c>
      <c r="P1104">
        <v>58807</v>
      </c>
      <c r="R1104">
        <v>7.5291059999999996</v>
      </c>
      <c r="S1104" s="6">
        <v>12212.21</v>
      </c>
      <c r="W1104" s="7">
        <v>1622</v>
      </c>
    </row>
    <row r="1105" spans="1:23" x14ac:dyDescent="0.35">
      <c r="A1105">
        <v>6</v>
      </c>
      <c r="B1105">
        <v>2025</v>
      </c>
      <c r="C1105" t="s">
        <v>33</v>
      </c>
      <c r="D1105" t="s">
        <v>36</v>
      </c>
      <c r="E1105" t="s">
        <v>295</v>
      </c>
      <c r="F1105" s="3" t="b">
        <v>0</v>
      </c>
      <c r="G1105" s="2" t="s">
        <v>82</v>
      </c>
      <c r="H1105" s="3">
        <v>58807</v>
      </c>
      <c r="I1105" s="3">
        <v>3701</v>
      </c>
      <c r="J1105" s="2" t="s">
        <v>588</v>
      </c>
      <c r="P1105">
        <v>58807</v>
      </c>
      <c r="R1105">
        <v>7.913805</v>
      </c>
      <c r="S1105" s="6">
        <v>9963.48</v>
      </c>
      <c r="W1105" s="7">
        <v>1259</v>
      </c>
    </row>
    <row r="1106" spans="1:23" x14ac:dyDescent="0.35">
      <c r="A1106">
        <v>6</v>
      </c>
      <c r="B1106">
        <v>2025</v>
      </c>
      <c r="C1106" t="s">
        <v>33</v>
      </c>
      <c r="D1106" t="s">
        <v>36</v>
      </c>
      <c r="E1106" t="s">
        <v>295</v>
      </c>
      <c r="F1106" s="3" t="b">
        <v>0</v>
      </c>
      <c r="G1106" s="2" t="s">
        <v>82</v>
      </c>
      <c r="H1106" s="3">
        <v>58807</v>
      </c>
      <c r="I1106" s="3">
        <v>3702</v>
      </c>
      <c r="J1106" s="2" t="s">
        <v>518</v>
      </c>
      <c r="P1106">
        <v>58807</v>
      </c>
      <c r="R1106">
        <v>12.530193000000001</v>
      </c>
      <c r="S1106" s="6">
        <v>17384.39</v>
      </c>
      <c r="W1106" s="7">
        <v>1387.4</v>
      </c>
    </row>
    <row r="1107" spans="1:23" x14ac:dyDescent="0.35">
      <c r="A1107">
        <v>6</v>
      </c>
      <c r="B1107">
        <v>2025</v>
      </c>
      <c r="C1107" t="s">
        <v>33</v>
      </c>
      <c r="D1107" t="s">
        <v>36</v>
      </c>
      <c r="E1107" t="s">
        <v>42</v>
      </c>
      <c r="F1107" s="3" t="b">
        <v>0</v>
      </c>
      <c r="G1107" s="2" t="s">
        <v>43</v>
      </c>
      <c r="H1107" s="3">
        <v>58963</v>
      </c>
      <c r="I1107" s="3">
        <v>1225</v>
      </c>
      <c r="J1107" s="2" t="s">
        <v>292</v>
      </c>
      <c r="P1107">
        <v>58963</v>
      </c>
      <c r="R1107">
        <v>15.551558999999999</v>
      </c>
      <c r="S1107" s="6">
        <v>22238.73</v>
      </c>
      <c r="W1107" s="7">
        <v>1430</v>
      </c>
    </row>
    <row r="1108" spans="1:23" x14ac:dyDescent="0.35">
      <c r="A1108">
        <v>6</v>
      </c>
      <c r="B1108">
        <v>2025</v>
      </c>
      <c r="C1108" t="s">
        <v>33</v>
      </c>
      <c r="D1108" t="s">
        <v>36</v>
      </c>
      <c r="E1108" t="s">
        <v>42</v>
      </c>
      <c r="F1108" s="3" t="b">
        <v>0</v>
      </c>
      <c r="G1108" s="2" t="s">
        <v>43</v>
      </c>
      <c r="H1108" s="3">
        <v>58963</v>
      </c>
      <c r="I1108" s="3">
        <v>1225</v>
      </c>
      <c r="J1108" s="2" t="s">
        <v>292</v>
      </c>
      <c r="P1108">
        <v>58963</v>
      </c>
      <c r="R1108">
        <v>15.551556</v>
      </c>
      <c r="S1108" s="6">
        <v>62486.15</v>
      </c>
      <c r="W1108" s="7">
        <v>4018</v>
      </c>
    </row>
    <row r="1109" spans="1:23" x14ac:dyDescent="0.35">
      <c r="A1109">
        <v>6</v>
      </c>
      <c r="B1109">
        <v>2025</v>
      </c>
      <c r="C1109" t="s">
        <v>33</v>
      </c>
      <c r="D1109" t="s">
        <v>36</v>
      </c>
      <c r="E1109" t="s">
        <v>42</v>
      </c>
      <c r="F1109" s="3" t="b">
        <v>0</v>
      </c>
      <c r="G1109" s="2" t="s">
        <v>43</v>
      </c>
      <c r="H1109" s="3">
        <v>58963</v>
      </c>
      <c r="I1109" s="3">
        <v>1506</v>
      </c>
      <c r="J1109" s="2" t="s">
        <v>253</v>
      </c>
      <c r="P1109">
        <v>58963</v>
      </c>
      <c r="R1109">
        <v>18.234745</v>
      </c>
      <c r="S1109" s="6">
        <v>45459.22</v>
      </c>
      <c r="W1109" s="7">
        <v>2493</v>
      </c>
    </row>
    <row r="1110" spans="1:23" x14ac:dyDescent="0.35">
      <c r="A1110">
        <v>6</v>
      </c>
      <c r="B1110">
        <v>2025</v>
      </c>
      <c r="C1110" t="s">
        <v>33</v>
      </c>
      <c r="D1110" t="s">
        <v>36</v>
      </c>
      <c r="E1110" t="s">
        <v>42</v>
      </c>
      <c r="F1110" s="3" t="b">
        <v>0</v>
      </c>
      <c r="G1110" s="2" t="s">
        <v>43</v>
      </c>
      <c r="H1110" s="3">
        <v>58963</v>
      </c>
      <c r="I1110" s="3">
        <v>3343</v>
      </c>
      <c r="J1110" s="2" t="s">
        <v>455</v>
      </c>
      <c r="P1110">
        <v>58963</v>
      </c>
      <c r="R1110">
        <v>27.379503</v>
      </c>
      <c r="S1110" s="6">
        <v>13771.89</v>
      </c>
      <c r="W1110" s="7">
        <v>503</v>
      </c>
    </row>
    <row r="1111" spans="1:23" x14ac:dyDescent="0.35">
      <c r="A1111">
        <v>6</v>
      </c>
      <c r="B1111">
        <v>2025</v>
      </c>
      <c r="C1111" t="s">
        <v>33</v>
      </c>
      <c r="D1111" t="s">
        <v>36</v>
      </c>
      <c r="E1111" t="s">
        <v>42</v>
      </c>
      <c r="F1111" s="3" t="b">
        <v>0</v>
      </c>
      <c r="G1111" s="2" t="s">
        <v>43</v>
      </c>
      <c r="H1111" s="3">
        <v>58963</v>
      </c>
      <c r="I1111" s="3">
        <v>3589</v>
      </c>
      <c r="J1111" s="2" t="s">
        <v>511</v>
      </c>
      <c r="P1111">
        <v>58963</v>
      </c>
      <c r="R1111">
        <v>22.998781000000001</v>
      </c>
      <c r="S1111" s="6">
        <v>21135.88</v>
      </c>
      <c r="W1111" s="7">
        <v>919</v>
      </c>
    </row>
    <row r="1112" spans="1:23" x14ac:dyDescent="0.35">
      <c r="A1112">
        <v>6</v>
      </c>
      <c r="B1112">
        <v>2025</v>
      </c>
      <c r="C1112" t="s">
        <v>33</v>
      </c>
      <c r="D1112" t="s">
        <v>36</v>
      </c>
      <c r="E1112" t="s">
        <v>550</v>
      </c>
      <c r="F1112" s="3" t="b">
        <v>0</v>
      </c>
      <c r="G1112" s="2" t="s">
        <v>50</v>
      </c>
      <c r="H1112" s="3">
        <v>58964</v>
      </c>
      <c r="I1112" s="3">
        <v>2535</v>
      </c>
      <c r="J1112" s="2" t="s">
        <v>392</v>
      </c>
      <c r="P1112">
        <v>58964</v>
      </c>
      <c r="R1112">
        <v>35.538598</v>
      </c>
      <c r="S1112" s="6">
        <v>22640.93</v>
      </c>
      <c r="W1112" s="7">
        <v>637.08000000000004</v>
      </c>
    </row>
    <row r="1113" spans="1:23" x14ac:dyDescent="0.35">
      <c r="A1113">
        <v>6</v>
      </c>
      <c r="B1113">
        <v>2025</v>
      </c>
      <c r="C1113" t="s">
        <v>33</v>
      </c>
      <c r="D1113" t="s">
        <v>36</v>
      </c>
      <c r="E1113" t="s">
        <v>116</v>
      </c>
      <c r="F1113" s="3" t="b">
        <v>0</v>
      </c>
      <c r="G1113" s="2" t="s">
        <v>50</v>
      </c>
      <c r="H1113" s="3">
        <v>58965</v>
      </c>
      <c r="I1113" s="3">
        <v>1419</v>
      </c>
      <c r="J1113" s="2" t="s">
        <v>341</v>
      </c>
      <c r="P1113">
        <v>58965</v>
      </c>
      <c r="R1113">
        <v>12.320772</v>
      </c>
      <c r="S1113" s="6">
        <v>13565.17</v>
      </c>
      <c r="W1113" s="7">
        <v>1101</v>
      </c>
    </row>
    <row r="1114" spans="1:23" x14ac:dyDescent="0.35">
      <c r="A1114">
        <v>6</v>
      </c>
      <c r="B1114">
        <v>2025</v>
      </c>
      <c r="C1114" t="s">
        <v>33</v>
      </c>
      <c r="D1114" t="s">
        <v>36</v>
      </c>
      <c r="E1114" t="s">
        <v>116</v>
      </c>
      <c r="F1114" s="3" t="b">
        <v>0</v>
      </c>
      <c r="G1114" s="2" t="s">
        <v>50</v>
      </c>
      <c r="H1114" s="3">
        <v>58965</v>
      </c>
      <c r="I1114" s="3">
        <v>4041</v>
      </c>
      <c r="J1114" s="2" t="s">
        <v>536</v>
      </c>
      <c r="P1114">
        <v>58965</v>
      </c>
      <c r="R1114">
        <v>20.151312000000001</v>
      </c>
      <c r="S1114" s="6">
        <v>28111.08</v>
      </c>
      <c r="W1114" s="7">
        <v>1395</v>
      </c>
    </row>
    <row r="1115" spans="1:23" s="47" customFormat="1" x14ac:dyDescent="0.35">
      <c r="A1115" s="18">
        <v>7</v>
      </c>
      <c r="B1115" s="18">
        <v>2025</v>
      </c>
      <c r="C1115" s="18" t="s">
        <v>33</v>
      </c>
      <c r="D1115" s="18" t="s">
        <v>36</v>
      </c>
      <c r="E1115" s="18" t="s">
        <v>116</v>
      </c>
      <c r="F1115" s="48"/>
      <c r="G1115" s="51" t="s">
        <v>50</v>
      </c>
      <c r="H1115" s="3">
        <v>59373</v>
      </c>
      <c r="I1115" s="3">
        <v>1422</v>
      </c>
      <c r="J1115" s="2" t="s">
        <v>339</v>
      </c>
      <c r="R1115" s="47">
        <v>15.632635000000001</v>
      </c>
      <c r="S1115" s="122">
        <v>23495.85</v>
      </c>
      <c r="W1115" s="129">
        <v>1503</v>
      </c>
    </row>
    <row r="1116" spans="1:23" x14ac:dyDescent="0.35">
      <c r="A1116" s="18">
        <v>7</v>
      </c>
      <c r="B1116" s="18">
        <v>2025</v>
      </c>
      <c r="C1116" s="18" t="s">
        <v>33</v>
      </c>
      <c r="D1116" s="18" t="s">
        <v>36</v>
      </c>
      <c r="E1116" s="18" t="s">
        <v>116</v>
      </c>
      <c r="F1116" s="48"/>
      <c r="G1116" s="51" t="s">
        <v>50</v>
      </c>
      <c r="H1116" s="3">
        <v>59373</v>
      </c>
      <c r="I1116" s="3">
        <v>3378</v>
      </c>
      <c r="J1116" s="2" t="s">
        <v>460</v>
      </c>
      <c r="R1116">
        <v>26.790908999999999</v>
      </c>
      <c r="S1116" s="6">
        <v>11198.6</v>
      </c>
      <c r="W1116" s="7">
        <v>418</v>
      </c>
    </row>
    <row r="1117" spans="1:23" x14ac:dyDescent="0.35">
      <c r="A1117" s="18">
        <v>7</v>
      </c>
      <c r="B1117" s="18">
        <v>2025</v>
      </c>
      <c r="C1117" s="18" t="s">
        <v>33</v>
      </c>
      <c r="D1117" s="18" t="s">
        <v>36</v>
      </c>
      <c r="E1117" s="18" t="s">
        <v>116</v>
      </c>
      <c r="F1117" s="48"/>
      <c r="G1117" s="51" t="s">
        <v>50</v>
      </c>
      <c r="H1117" s="3">
        <v>59373</v>
      </c>
      <c r="I1117" s="3">
        <v>4041</v>
      </c>
      <c r="J1117" s="2" t="s">
        <v>536</v>
      </c>
      <c r="R1117">
        <v>20.327950000000001</v>
      </c>
      <c r="S1117" s="6">
        <v>28357.49</v>
      </c>
      <c r="W1117" s="7">
        <v>1395</v>
      </c>
    </row>
    <row r="1118" spans="1:23" x14ac:dyDescent="0.35">
      <c r="A1118" s="18">
        <v>7</v>
      </c>
      <c r="B1118" s="18">
        <v>2025</v>
      </c>
      <c r="C1118" s="18" t="s">
        <v>33</v>
      </c>
      <c r="D1118" s="18" t="s">
        <v>36</v>
      </c>
      <c r="E1118" s="18" t="s">
        <v>589</v>
      </c>
      <c r="F1118" s="48"/>
      <c r="G1118" s="51" t="s">
        <v>513</v>
      </c>
      <c r="H1118" s="3">
        <v>59537</v>
      </c>
      <c r="I1118" s="3">
        <v>4350</v>
      </c>
      <c r="J1118" s="2" t="s">
        <v>590</v>
      </c>
      <c r="R1118">
        <v>11.038697000000001</v>
      </c>
      <c r="S1118" s="6">
        <v>37222.300000000003</v>
      </c>
      <c r="W1118" s="7">
        <v>3371.9830000000002</v>
      </c>
    </row>
    <row r="1119" spans="1:23" x14ac:dyDescent="0.35">
      <c r="A1119" s="18">
        <v>7</v>
      </c>
      <c r="B1119" s="18">
        <v>2025</v>
      </c>
      <c r="C1119" s="18" t="s">
        <v>33</v>
      </c>
      <c r="D1119" s="18" t="s">
        <v>36</v>
      </c>
      <c r="E1119" s="18" t="s">
        <v>589</v>
      </c>
      <c r="F1119" s="48"/>
      <c r="G1119" s="51" t="s">
        <v>513</v>
      </c>
      <c r="H1119" s="3">
        <v>59537</v>
      </c>
      <c r="I1119" s="3">
        <v>4350</v>
      </c>
      <c r="J1119" s="2" t="s">
        <v>590</v>
      </c>
      <c r="R1119">
        <v>11.038698</v>
      </c>
      <c r="S1119" s="6">
        <v>66475.039999999994</v>
      </c>
      <c r="W1119" s="7">
        <v>6022</v>
      </c>
    </row>
    <row r="1120" spans="1:23" x14ac:dyDescent="0.35">
      <c r="A1120" s="18">
        <v>7</v>
      </c>
      <c r="B1120" s="18">
        <v>2025</v>
      </c>
      <c r="C1120" s="18" t="s">
        <v>33</v>
      </c>
      <c r="D1120" s="18" t="s">
        <v>36</v>
      </c>
      <c r="E1120" s="18" t="s">
        <v>42</v>
      </c>
      <c r="F1120" s="48"/>
      <c r="G1120" s="51" t="s">
        <v>43</v>
      </c>
      <c r="H1120" s="3">
        <v>59540</v>
      </c>
      <c r="I1120" s="3">
        <v>3009</v>
      </c>
      <c r="J1120" s="2" t="s">
        <v>424</v>
      </c>
      <c r="R1120">
        <v>24.094622000000001</v>
      </c>
      <c r="S1120" s="6">
        <v>11469.04</v>
      </c>
      <c r="W1120" s="7">
        <v>476</v>
      </c>
    </row>
    <row r="1121" spans="1:23" x14ac:dyDescent="0.35">
      <c r="A1121" s="18">
        <v>7</v>
      </c>
      <c r="B1121" s="18">
        <v>2025</v>
      </c>
      <c r="C1121" s="18" t="s">
        <v>33</v>
      </c>
      <c r="D1121" s="18" t="s">
        <v>36</v>
      </c>
      <c r="E1121" s="18" t="s">
        <v>42</v>
      </c>
      <c r="F1121" s="48"/>
      <c r="G1121" s="51" t="s">
        <v>43</v>
      </c>
      <c r="H1121" s="3">
        <v>59540</v>
      </c>
      <c r="I1121" s="3">
        <v>3712</v>
      </c>
      <c r="J1121" s="2" t="s">
        <v>520</v>
      </c>
      <c r="R1121">
        <v>17.930879000000001</v>
      </c>
      <c r="S1121" s="6">
        <v>53828.5</v>
      </c>
      <c r="W1121" s="7">
        <v>3002</v>
      </c>
    </row>
    <row r="1122" spans="1:23" x14ac:dyDescent="0.35">
      <c r="A1122" s="18">
        <v>7</v>
      </c>
      <c r="B1122" s="18">
        <v>2025</v>
      </c>
      <c r="C1122" s="18" t="s">
        <v>33</v>
      </c>
      <c r="D1122" s="18" t="s">
        <v>36</v>
      </c>
      <c r="E1122" s="18" t="s">
        <v>42</v>
      </c>
      <c r="F1122" s="48"/>
      <c r="G1122" s="51" t="s">
        <v>43</v>
      </c>
      <c r="H1122" s="3">
        <v>59540</v>
      </c>
      <c r="I1122" s="3">
        <v>3589</v>
      </c>
      <c r="J1122" s="2" t="s">
        <v>511</v>
      </c>
      <c r="R1122">
        <v>23.534282999999999</v>
      </c>
      <c r="S1122" s="6">
        <v>23298.94</v>
      </c>
      <c r="W1122" s="7">
        <v>990</v>
      </c>
    </row>
    <row r="1123" spans="1:23" x14ac:dyDescent="0.35">
      <c r="A1123" s="18">
        <v>7</v>
      </c>
      <c r="B1123" s="18">
        <v>2025</v>
      </c>
      <c r="C1123" s="18" t="s">
        <v>33</v>
      </c>
      <c r="D1123" s="18" t="s">
        <v>36</v>
      </c>
      <c r="E1123" s="18" t="s">
        <v>42</v>
      </c>
      <c r="F1123" s="48"/>
      <c r="G1123" s="51" t="s">
        <v>43</v>
      </c>
      <c r="H1123" s="3">
        <v>59540</v>
      </c>
      <c r="I1123" s="3">
        <v>3547</v>
      </c>
      <c r="J1123" s="2" t="s">
        <v>495</v>
      </c>
      <c r="R1123">
        <v>32.611773999999997</v>
      </c>
      <c r="S1123" s="6">
        <v>10664.05</v>
      </c>
      <c r="W1123" s="7">
        <v>327</v>
      </c>
    </row>
    <row r="1124" spans="1:23" x14ac:dyDescent="0.35">
      <c r="A1124" s="18">
        <v>7</v>
      </c>
      <c r="B1124" s="18">
        <v>2025</v>
      </c>
      <c r="C1124" s="18" t="s">
        <v>33</v>
      </c>
      <c r="D1124" s="18" t="s">
        <v>36</v>
      </c>
      <c r="E1124" s="18" t="s">
        <v>42</v>
      </c>
      <c r="F1124" s="48"/>
      <c r="G1124" s="51" t="s">
        <v>43</v>
      </c>
      <c r="H1124" s="3">
        <v>59540</v>
      </c>
      <c r="I1124" s="3">
        <v>3547</v>
      </c>
      <c r="J1124" s="2" t="s">
        <v>495</v>
      </c>
      <c r="R1124">
        <v>32.611781000000001</v>
      </c>
      <c r="S1124" s="6">
        <v>10435.77</v>
      </c>
      <c r="W1124" s="7">
        <v>320</v>
      </c>
    </row>
    <row r="1125" spans="1:23" x14ac:dyDescent="0.35">
      <c r="A1125" s="18">
        <v>7</v>
      </c>
      <c r="B1125" s="18">
        <v>2025</v>
      </c>
      <c r="C1125" s="18" t="s">
        <v>33</v>
      </c>
      <c r="D1125" s="18" t="s">
        <v>36</v>
      </c>
      <c r="E1125" s="18" t="s">
        <v>42</v>
      </c>
      <c r="F1125" s="48"/>
      <c r="G1125" s="51" t="s">
        <v>43</v>
      </c>
      <c r="H1125" s="3">
        <v>59540</v>
      </c>
      <c r="I1125" s="3">
        <v>1225</v>
      </c>
      <c r="J1125" s="2" t="s">
        <v>292</v>
      </c>
      <c r="R1125">
        <v>15.913656</v>
      </c>
      <c r="S1125" s="6">
        <v>69383.539999999994</v>
      </c>
      <c r="W1125" s="7">
        <v>4360</v>
      </c>
    </row>
    <row r="1126" spans="1:23" x14ac:dyDescent="0.35">
      <c r="A1126" s="18">
        <v>7</v>
      </c>
      <c r="B1126" s="18">
        <v>2025</v>
      </c>
      <c r="C1126" s="18" t="s">
        <v>33</v>
      </c>
      <c r="D1126" s="18" t="s">
        <v>36</v>
      </c>
      <c r="E1126" s="18" t="s">
        <v>42</v>
      </c>
      <c r="F1126" s="48"/>
      <c r="G1126" s="51" t="s">
        <v>43</v>
      </c>
      <c r="H1126" s="3">
        <v>59540</v>
      </c>
      <c r="I1126" s="3">
        <v>2054</v>
      </c>
      <c r="J1126" s="2" t="s">
        <v>330</v>
      </c>
      <c r="R1126">
        <v>17.426573000000001</v>
      </c>
      <c r="S1126" s="6">
        <v>18053.93</v>
      </c>
      <c r="W1126" s="7">
        <v>1036</v>
      </c>
    </row>
    <row r="1127" spans="1:23" x14ac:dyDescent="0.35">
      <c r="A1127" s="18">
        <v>7</v>
      </c>
      <c r="B1127" s="18">
        <v>2025</v>
      </c>
      <c r="C1127" s="18" t="s">
        <v>33</v>
      </c>
      <c r="D1127" s="18" t="s">
        <v>36</v>
      </c>
      <c r="E1127" s="18" t="s">
        <v>42</v>
      </c>
      <c r="F1127" s="48"/>
      <c r="G1127" s="51" t="s">
        <v>43</v>
      </c>
      <c r="H1127" s="3">
        <v>59540</v>
      </c>
      <c r="I1127" s="3">
        <v>1506</v>
      </c>
      <c r="J1127" s="2" t="s">
        <v>253</v>
      </c>
      <c r="R1127">
        <v>18.659322</v>
      </c>
      <c r="S1127" s="6">
        <v>62264.29</v>
      </c>
      <c r="W1127" s="7">
        <v>3336.9</v>
      </c>
    </row>
    <row r="1128" spans="1:23" x14ac:dyDescent="0.35">
      <c r="A1128" s="18">
        <v>7</v>
      </c>
      <c r="B1128" s="18">
        <v>2025</v>
      </c>
      <c r="C1128" s="18" t="s">
        <v>33</v>
      </c>
      <c r="D1128" s="18" t="s">
        <v>36</v>
      </c>
      <c r="E1128" s="18" t="s">
        <v>42</v>
      </c>
      <c r="F1128" s="48"/>
      <c r="G1128" s="51" t="s">
        <v>43</v>
      </c>
      <c r="H1128" s="3">
        <v>59540</v>
      </c>
      <c r="I1128" s="3">
        <v>1504</v>
      </c>
      <c r="J1128" s="2" t="s">
        <v>263</v>
      </c>
      <c r="R1128">
        <v>15.745552999999999</v>
      </c>
      <c r="S1128" s="6">
        <v>25208.63</v>
      </c>
      <c r="W1128" s="7">
        <v>1601</v>
      </c>
    </row>
    <row r="1129" spans="1:23" x14ac:dyDescent="0.35">
      <c r="A1129" s="18">
        <v>7</v>
      </c>
      <c r="B1129" s="18">
        <v>2025</v>
      </c>
      <c r="C1129" s="18" t="s">
        <v>33</v>
      </c>
      <c r="D1129" s="18" t="s">
        <v>36</v>
      </c>
      <c r="E1129" s="18" t="s">
        <v>42</v>
      </c>
      <c r="F1129" s="48"/>
      <c r="G1129" s="51" t="s">
        <v>43</v>
      </c>
      <c r="H1129" s="3">
        <v>59540</v>
      </c>
      <c r="I1129" s="3">
        <v>1236</v>
      </c>
      <c r="J1129" s="2" t="s">
        <v>264</v>
      </c>
      <c r="R1129">
        <v>18.435184</v>
      </c>
      <c r="S1129" s="6">
        <v>30583.97</v>
      </c>
      <c r="W1129" s="7">
        <v>1659</v>
      </c>
    </row>
    <row r="1130" spans="1:23" x14ac:dyDescent="0.35">
      <c r="A1130" s="18">
        <v>7</v>
      </c>
      <c r="B1130" s="18">
        <v>2025</v>
      </c>
      <c r="C1130" s="18" t="s">
        <v>33</v>
      </c>
      <c r="D1130" s="18" t="s">
        <v>36</v>
      </c>
      <c r="E1130" s="18" t="s">
        <v>548</v>
      </c>
      <c r="F1130" s="48"/>
      <c r="G1130" s="51" t="s">
        <v>513</v>
      </c>
      <c r="H1130" s="3">
        <v>59541</v>
      </c>
      <c r="I1130" s="3">
        <v>4332</v>
      </c>
      <c r="J1130" s="2" t="s">
        <v>591</v>
      </c>
      <c r="R1130">
        <v>9.9180159999999997</v>
      </c>
      <c r="S1130" s="6">
        <v>10999.08</v>
      </c>
      <c r="W1130" s="7">
        <v>1109</v>
      </c>
    </row>
    <row r="1131" spans="1:23" x14ac:dyDescent="0.35">
      <c r="A1131" s="18">
        <v>7</v>
      </c>
      <c r="B1131" s="18">
        <v>2025</v>
      </c>
      <c r="C1131" s="18" t="s">
        <v>33</v>
      </c>
      <c r="D1131" s="18" t="s">
        <v>36</v>
      </c>
      <c r="E1131" s="18" t="s">
        <v>548</v>
      </c>
      <c r="F1131" s="48"/>
      <c r="G1131" s="51" t="s">
        <v>513</v>
      </c>
      <c r="H1131" s="3">
        <v>59541</v>
      </c>
      <c r="I1131" s="3">
        <v>4333</v>
      </c>
      <c r="J1131" s="2" t="s">
        <v>592</v>
      </c>
      <c r="R1131">
        <v>9.918018</v>
      </c>
      <c r="S1131" s="6">
        <v>25370.29</v>
      </c>
      <c r="W1131" s="7">
        <v>2558</v>
      </c>
    </row>
    <row r="1132" spans="1:23" x14ac:dyDescent="0.35">
      <c r="A1132" s="18">
        <v>7</v>
      </c>
      <c r="B1132" s="18">
        <v>2025</v>
      </c>
      <c r="C1132" s="18" t="s">
        <v>33</v>
      </c>
      <c r="D1132" s="18" t="s">
        <v>36</v>
      </c>
      <c r="E1132" s="18" t="s">
        <v>548</v>
      </c>
      <c r="F1132" s="48"/>
      <c r="G1132" s="51" t="s">
        <v>513</v>
      </c>
      <c r="H1132" s="3">
        <v>59541</v>
      </c>
      <c r="I1132" s="3">
        <v>4114</v>
      </c>
      <c r="J1132" s="2" t="s">
        <v>593</v>
      </c>
      <c r="R1132">
        <v>11.206797999999999</v>
      </c>
      <c r="S1132" s="6">
        <v>17325.71</v>
      </c>
      <c r="W1132" s="7">
        <v>1546</v>
      </c>
    </row>
    <row r="1133" spans="1:23" x14ac:dyDescent="0.35">
      <c r="A1133" s="18">
        <v>7</v>
      </c>
      <c r="B1133" s="18">
        <v>2025</v>
      </c>
      <c r="C1133" s="18" t="s">
        <v>33</v>
      </c>
      <c r="D1133" s="18" t="s">
        <v>36</v>
      </c>
      <c r="E1133" s="18" t="s">
        <v>548</v>
      </c>
      <c r="F1133" s="48"/>
      <c r="G1133" s="51" t="s">
        <v>513</v>
      </c>
      <c r="H1133" s="3">
        <v>59541</v>
      </c>
      <c r="I1133" s="3">
        <v>4331</v>
      </c>
      <c r="J1133" s="2" t="s">
        <v>594</v>
      </c>
      <c r="R1133">
        <v>10.198188</v>
      </c>
      <c r="S1133" s="6">
        <v>71825.84</v>
      </c>
      <c r="W1133" s="7">
        <v>7043</v>
      </c>
    </row>
    <row r="1134" spans="1:23" x14ac:dyDescent="0.35">
      <c r="A1134" s="18">
        <v>7</v>
      </c>
      <c r="B1134" s="18">
        <v>2025</v>
      </c>
      <c r="C1134" s="18" t="s">
        <v>33</v>
      </c>
      <c r="D1134" s="18" t="s">
        <v>36</v>
      </c>
      <c r="E1134" s="18" t="s">
        <v>151</v>
      </c>
      <c r="F1134" s="48"/>
      <c r="G1134" s="51" t="s">
        <v>37</v>
      </c>
      <c r="H1134" s="3">
        <v>59544</v>
      </c>
      <c r="I1134" s="3">
        <v>4256</v>
      </c>
      <c r="J1134" s="2" t="s">
        <v>595</v>
      </c>
      <c r="R1134">
        <v>9.1895699999999998</v>
      </c>
      <c r="S1134" s="6">
        <v>5982.41</v>
      </c>
      <c r="W1134" s="7">
        <v>651</v>
      </c>
    </row>
    <row r="1135" spans="1:23" x14ac:dyDescent="0.35">
      <c r="A1135" s="18">
        <v>7</v>
      </c>
      <c r="B1135" s="18">
        <v>2025</v>
      </c>
      <c r="C1135" s="18" t="s">
        <v>33</v>
      </c>
      <c r="D1135" s="18" t="s">
        <v>36</v>
      </c>
      <c r="E1135" s="18" t="s">
        <v>151</v>
      </c>
      <c r="F1135" s="48"/>
      <c r="G1135" s="51" t="s">
        <v>37</v>
      </c>
      <c r="H1135" s="3">
        <v>59544</v>
      </c>
      <c r="I1135" s="3">
        <v>4251</v>
      </c>
      <c r="J1135" s="2" t="s">
        <v>596</v>
      </c>
      <c r="R1135">
        <v>9.3016400000000008</v>
      </c>
      <c r="S1135" s="6">
        <v>6464.64</v>
      </c>
      <c r="W1135" s="7">
        <v>695</v>
      </c>
    </row>
    <row r="1136" spans="1:23" x14ac:dyDescent="0.35">
      <c r="A1136" s="18">
        <v>7</v>
      </c>
      <c r="B1136" s="18">
        <v>2025</v>
      </c>
      <c r="C1136" s="18" t="s">
        <v>33</v>
      </c>
      <c r="D1136" s="18" t="s">
        <v>36</v>
      </c>
      <c r="E1136" s="18" t="s">
        <v>151</v>
      </c>
      <c r="F1136" s="48"/>
      <c r="G1136" s="51" t="s">
        <v>37</v>
      </c>
      <c r="H1136" s="3">
        <v>59544</v>
      </c>
      <c r="I1136" s="3">
        <v>4252</v>
      </c>
      <c r="J1136" s="2" t="s">
        <v>597</v>
      </c>
      <c r="R1136">
        <v>9.3016489999999994</v>
      </c>
      <c r="S1136" s="6">
        <v>6204.2</v>
      </c>
      <c r="W1136" s="7">
        <v>667</v>
      </c>
    </row>
    <row r="1137" spans="1:23" x14ac:dyDescent="0.35">
      <c r="A1137" s="18">
        <v>7</v>
      </c>
      <c r="B1137" s="18">
        <v>2025</v>
      </c>
      <c r="C1137" s="18" t="s">
        <v>33</v>
      </c>
      <c r="D1137" s="18" t="s">
        <v>36</v>
      </c>
      <c r="E1137" s="18" t="s">
        <v>151</v>
      </c>
      <c r="F1137" s="48"/>
      <c r="G1137" s="51" t="s">
        <v>37</v>
      </c>
      <c r="H1137" s="3">
        <v>59544</v>
      </c>
      <c r="I1137" s="3">
        <v>4253</v>
      </c>
      <c r="J1137" s="2" t="s">
        <v>598</v>
      </c>
      <c r="R1137">
        <v>9.1335370000000005</v>
      </c>
      <c r="S1137" s="6">
        <v>6713.15</v>
      </c>
      <c r="W1137" s="7">
        <v>735</v>
      </c>
    </row>
    <row r="1138" spans="1:23" x14ac:dyDescent="0.35">
      <c r="A1138" s="18">
        <v>7</v>
      </c>
      <c r="B1138" s="18">
        <v>2025</v>
      </c>
      <c r="C1138" s="18" t="s">
        <v>33</v>
      </c>
      <c r="D1138" s="18" t="s">
        <v>36</v>
      </c>
      <c r="E1138" s="18" t="s">
        <v>151</v>
      </c>
      <c r="F1138" s="48"/>
      <c r="G1138" s="51" t="s">
        <v>37</v>
      </c>
      <c r="H1138" s="3">
        <v>59544</v>
      </c>
      <c r="I1138" s="3">
        <v>4254</v>
      </c>
      <c r="J1138" s="2" t="s">
        <v>599</v>
      </c>
      <c r="R1138">
        <v>9.1335429999999995</v>
      </c>
      <c r="S1138" s="6">
        <v>6548.75</v>
      </c>
      <c r="W1138" s="7">
        <v>717</v>
      </c>
    </row>
    <row r="1139" spans="1:23" x14ac:dyDescent="0.35">
      <c r="A1139" s="18">
        <v>7</v>
      </c>
      <c r="B1139" s="18">
        <v>2025</v>
      </c>
      <c r="C1139" s="18" t="s">
        <v>33</v>
      </c>
      <c r="D1139" s="18" t="s">
        <v>36</v>
      </c>
      <c r="E1139" s="18" t="s">
        <v>151</v>
      </c>
      <c r="F1139" s="48"/>
      <c r="G1139" s="51" t="s">
        <v>37</v>
      </c>
      <c r="H1139" s="3">
        <v>59544</v>
      </c>
      <c r="I1139" s="3">
        <v>4255</v>
      </c>
      <c r="J1139" s="2" t="s">
        <v>600</v>
      </c>
      <c r="R1139">
        <v>9.1335359999999994</v>
      </c>
      <c r="S1139" s="6">
        <v>6019</v>
      </c>
      <c r="W1139" s="7">
        <v>659</v>
      </c>
    </row>
    <row r="1140" spans="1:23" x14ac:dyDescent="0.35">
      <c r="A1140" s="18">
        <v>7</v>
      </c>
      <c r="B1140" s="18">
        <v>2025</v>
      </c>
      <c r="C1140" s="18" t="s">
        <v>33</v>
      </c>
      <c r="D1140" s="18" t="s">
        <v>36</v>
      </c>
      <c r="E1140" s="18" t="s">
        <v>151</v>
      </c>
      <c r="F1140" s="48"/>
      <c r="G1140" s="51" t="s">
        <v>37</v>
      </c>
      <c r="H1140" s="3">
        <v>59544</v>
      </c>
      <c r="I1140" s="3">
        <v>4259</v>
      </c>
      <c r="J1140" s="2" t="s">
        <v>601</v>
      </c>
      <c r="R1140">
        <v>9.1335390000000007</v>
      </c>
      <c r="S1140" s="6">
        <v>6503.08</v>
      </c>
      <c r="W1140" s="7">
        <v>712</v>
      </c>
    </row>
    <row r="1141" spans="1:23" x14ac:dyDescent="0.35">
      <c r="A1141" s="18">
        <v>7</v>
      </c>
      <c r="B1141" s="18">
        <v>2025</v>
      </c>
      <c r="C1141" s="18" t="s">
        <v>33</v>
      </c>
      <c r="D1141" s="18" t="s">
        <v>36</v>
      </c>
      <c r="E1141" s="18" t="s">
        <v>151</v>
      </c>
      <c r="F1141" s="48"/>
      <c r="G1141" s="51" t="s">
        <v>37</v>
      </c>
      <c r="H1141" s="3">
        <v>59544</v>
      </c>
      <c r="I1141" s="3">
        <v>4257</v>
      </c>
      <c r="J1141" s="2" t="s">
        <v>602</v>
      </c>
      <c r="R1141">
        <v>9.1335359999999994</v>
      </c>
      <c r="S1141" s="6">
        <v>6302.14</v>
      </c>
      <c r="W1141" s="7">
        <v>690</v>
      </c>
    </row>
    <row r="1142" spans="1:23" x14ac:dyDescent="0.35">
      <c r="A1142" s="18">
        <v>7</v>
      </c>
      <c r="B1142" s="18">
        <v>2025</v>
      </c>
      <c r="C1142" s="18" t="s">
        <v>33</v>
      </c>
      <c r="D1142" s="18" t="s">
        <v>36</v>
      </c>
      <c r="E1142" s="18" t="s">
        <v>151</v>
      </c>
      <c r="F1142" s="48"/>
      <c r="G1142" s="51" t="s">
        <v>37</v>
      </c>
      <c r="H1142" s="3">
        <v>59544</v>
      </c>
      <c r="I1142" s="3">
        <v>4258</v>
      </c>
      <c r="J1142" s="2" t="s">
        <v>603</v>
      </c>
      <c r="R1142">
        <v>9.1335350000000002</v>
      </c>
      <c r="S1142" s="6">
        <v>6329.54</v>
      </c>
      <c r="W1142" s="7">
        <v>693</v>
      </c>
    </row>
    <row r="1143" spans="1:23" x14ac:dyDescent="0.35">
      <c r="A1143" s="18">
        <v>7</v>
      </c>
      <c r="B1143" s="18">
        <v>2025</v>
      </c>
      <c r="C1143" s="18" t="s">
        <v>33</v>
      </c>
      <c r="D1143" s="18" t="s">
        <v>36</v>
      </c>
      <c r="E1143" s="18" t="s">
        <v>151</v>
      </c>
      <c r="F1143" s="48"/>
      <c r="G1143" s="51" t="s">
        <v>37</v>
      </c>
      <c r="H1143" s="3">
        <v>59544</v>
      </c>
      <c r="I1143" s="3">
        <v>4265</v>
      </c>
      <c r="J1143" s="2" t="s">
        <v>604</v>
      </c>
      <c r="R1143">
        <v>9.5257860000000001</v>
      </c>
      <c r="S1143" s="6">
        <v>5696.42</v>
      </c>
      <c r="W1143" s="7">
        <v>598</v>
      </c>
    </row>
    <row r="1144" spans="1:23" x14ac:dyDescent="0.35">
      <c r="A1144" s="18">
        <v>7</v>
      </c>
      <c r="B1144" s="18">
        <v>2025</v>
      </c>
      <c r="C1144" s="18" t="s">
        <v>33</v>
      </c>
      <c r="D1144" s="18" t="s">
        <v>36</v>
      </c>
      <c r="E1144" s="18" t="s">
        <v>151</v>
      </c>
      <c r="F1144" s="48"/>
      <c r="G1144" s="51" t="s">
        <v>37</v>
      </c>
      <c r="H1144" s="3">
        <v>59544</v>
      </c>
      <c r="I1144" s="3">
        <v>4266</v>
      </c>
      <c r="J1144" s="2" t="s">
        <v>605</v>
      </c>
      <c r="R1144">
        <v>9.5257830000000006</v>
      </c>
      <c r="S1144" s="6">
        <v>6325.12</v>
      </c>
      <c r="W1144" s="7">
        <v>664</v>
      </c>
    </row>
    <row r="1145" spans="1:23" x14ac:dyDescent="0.35">
      <c r="A1145" s="18">
        <v>7</v>
      </c>
      <c r="B1145" s="18">
        <v>2025</v>
      </c>
      <c r="C1145" s="18" t="s">
        <v>33</v>
      </c>
      <c r="D1145" s="18" t="s">
        <v>36</v>
      </c>
      <c r="E1145" s="18" t="s">
        <v>151</v>
      </c>
      <c r="F1145" s="48"/>
      <c r="G1145" s="51" t="s">
        <v>37</v>
      </c>
      <c r="H1145" s="3">
        <v>59544</v>
      </c>
      <c r="I1145" s="3">
        <v>4267</v>
      </c>
      <c r="J1145" s="2" t="s">
        <v>606</v>
      </c>
      <c r="R1145">
        <v>9.5257850000000008</v>
      </c>
      <c r="S1145" s="6">
        <v>6553.74</v>
      </c>
      <c r="W1145" s="7">
        <v>688</v>
      </c>
    </row>
    <row r="1146" spans="1:23" x14ac:dyDescent="0.35">
      <c r="A1146" s="18">
        <v>7</v>
      </c>
      <c r="B1146" s="18">
        <v>2025</v>
      </c>
      <c r="C1146" s="18" t="s">
        <v>33</v>
      </c>
      <c r="D1146" s="18" t="s">
        <v>36</v>
      </c>
      <c r="E1146" s="18" t="s">
        <v>151</v>
      </c>
      <c r="F1146" s="48"/>
      <c r="G1146" s="51" t="s">
        <v>37</v>
      </c>
      <c r="H1146" s="3">
        <v>59544</v>
      </c>
      <c r="I1146" s="3">
        <v>4249</v>
      </c>
      <c r="J1146" s="2" t="s">
        <v>607</v>
      </c>
      <c r="R1146">
        <v>9.3016369999999995</v>
      </c>
      <c r="S1146" s="6">
        <v>6362.32</v>
      </c>
      <c r="W1146" s="7">
        <v>684</v>
      </c>
    </row>
    <row r="1147" spans="1:23" x14ac:dyDescent="0.35">
      <c r="A1147" s="18">
        <v>7</v>
      </c>
      <c r="B1147" s="18">
        <v>2025</v>
      </c>
      <c r="C1147" s="18" t="s">
        <v>33</v>
      </c>
      <c r="D1147" s="18" t="s">
        <v>36</v>
      </c>
      <c r="E1147" s="18" t="s">
        <v>151</v>
      </c>
      <c r="F1147" s="48"/>
      <c r="G1147" s="51" t="s">
        <v>37</v>
      </c>
      <c r="H1147" s="3">
        <v>59544</v>
      </c>
      <c r="I1147" s="3">
        <v>4243</v>
      </c>
      <c r="J1147" s="2" t="s">
        <v>608</v>
      </c>
      <c r="R1147">
        <v>9.8059460000000005</v>
      </c>
      <c r="S1147" s="6">
        <v>6216.97</v>
      </c>
      <c r="W1147" s="7">
        <v>634</v>
      </c>
    </row>
    <row r="1148" spans="1:23" x14ac:dyDescent="0.35">
      <c r="A1148" s="18">
        <v>7</v>
      </c>
      <c r="B1148" s="18">
        <v>2025</v>
      </c>
      <c r="C1148" s="18" t="s">
        <v>33</v>
      </c>
      <c r="D1148" s="18" t="s">
        <v>36</v>
      </c>
      <c r="E1148" s="18" t="s">
        <v>151</v>
      </c>
      <c r="F1148" s="48"/>
      <c r="G1148" s="51" t="s">
        <v>37</v>
      </c>
      <c r="H1148" s="3">
        <v>59544</v>
      </c>
      <c r="I1148" s="3">
        <v>4237</v>
      </c>
      <c r="J1148" s="2" t="s">
        <v>609</v>
      </c>
      <c r="R1148">
        <v>9.1335420000000003</v>
      </c>
      <c r="S1148" s="6">
        <v>6704.02</v>
      </c>
      <c r="W1148" s="7">
        <v>734</v>
      </c>
    </row>
    <row r="1149" spans="1:23" x14ac:dyDescent="0.35">
      <c r="A1149" s="18">
        <v>7</v>
      </c>
      <c r="B1149" s="18">
        <v>2025</v>
      </c>
      <c r="C1149" s="18" t="s">
        <v>33</v>
      </c>
      <c r="D1149" s="18" t="s">
        <v>36</v>
      </c>
      <c r="E1149" s="18" t="s">
        <v>151</v>
      </c>
      <c r="F1149" s="48"/>
      <c r="G1149" s="51" t="s">
        <v>37</v>
      </c>
      <c r="H1149" s="3">
        <v>59544</v>
      </c>
      <c r="I1149" s="3">
        <v>4238</v>
      </c>
      <c r="J1149" s="2" t="s">
        <v>610</v>
      </c>
      <c r="R1149">
        <v>9.3576750000000004</v>
      </c>
      <c r="S1149" s="6">
        <v>7364.49</v>
      </c>
      <c r="W1149" s="7">
        <v>787</v>
      </c>
    </row>
    <row r="1150" spans="1:23" x14ac:dyDescent="0.35">
      <c r="A1150" s="18">
        <v>7</v>
      </c>
      <c r="B1150" s="18">
        <v>2025</v>
      </c>
      <c r="C1150" s="18" t="s">
        <v>33</v>
      </c>
      <c r="D1150" s="18" t="s">
        <v>36</v>
      </c>
      <c r="E1150" s="18" t="s">
        <v>151</v>
      </c>
      <c r="F1150" s="48"/>
      <c r="G1150" s="51" t="s">
        <v>37</v>
      </c>
      <c r="H1150" s="3">
        <v>59544</v>
      </c>
      <c r="I1150" s="3">
        <v>4239</v>
      </c>
      <c r="J1150" s="2" t="s">
        <v>611</v>
      </c>
      <c r="R1150">
        <v>9.1335329999999999</v>
      </c>
      <c r="S1150" s="6">
        <v>3954.82</v>
      </c>
      <c r="W1150" s="7">
        <v>433</v>
      </c>
    </row>
    <row r="1151" spans="1:23" x14ac:dyDescent="0.35">
      <c r="A1151" s="18">
        <v>7</v>
      </c>
      <c r="B1151" s="18">
        <v>2025</v>
      </c>
      <c r="C1151" s="18" t="s">
        <v>33</v>
      </c>
      <c r="D1151" s="18" t="s">
        <v>36</v>
      </c>
      <c r="E1151" s="18" t="s">
        <v>151</v>
      </c>
      <c r="F1151" s="48"/>
      <c r="G1151" s="51" t="s">
        <v>37</v>
      </c>
      <c r="H1151" s="3">
        <v>59544</v>
      </c>
      <c r="I1151" s="3">
        <v>4241</v>
      </c>
      <c r="J1151" s="2" t="s">
        <v>612</v>
      </c>
      <c r="R1151">
        <v>9.5818119999999993</v>
      </c>
      <c r="S1151" s="6">
        <v>5816.16</v>
      </c>
      <c r="W1151" s="7">
        <v>607</v>
      </c>
    </row>
    <row r="1152" spans="1:23" x14ac:dyDescent="0.35">
      <c r="A1152" s="18">
        <v>7</v>
      </c>
      <c r="B1152" s="18">
        <v>2025</v>
      </c>
      <c r="C1152" s="18" t="s">
        <v>33</v>
      </c>
      <c r="D1152" s="18" t="s">
        <v>36</v>
      </c>
      <c r="E1152" s="18" t="s">
        <v>151</v>
      </c>
      <c r="F1152" s="48"/>
      <c r="G1152" s="51" t="s">
        <v>37</v>
      </c>
      <c r="H1152" s="3">
        <v>59544</v>
      </c>
      <c r="I1152" s="3">
        <v>4242</v>
      </c>
      <c r="J1152" s="2" t="s">
        <v>613</v>
      </c>
      <c r="R1152">
        <v>9.3576739999999994</v>
      </c>
      <c r="S1152" s="6">
        <v>6597.16</v>
      </c>
      <c r="W1152" s="7">
        <v>705</v>
      </c>
    </row>
    <row r="1153" spans="1:23" x14ac:dyDescent="0.35">
      <c r="A1153" s="18">
        <v>7</v>
      </c>
      <c r="B1153" s="18">
        <v>2025</v>
      </c>
      <c r="C1153" s="18" t="s">
        <v>33</v>
      </c>
      <c r="D1153" s="18" t="s">
        <v>36</v>
      </c>
      <c r="E1153" s="18" t="s">
        <v>151</v>
      </c>
      <c r="F1153" s="48"/>
      <c r="G1153" s="51" t="s">
        <v>37</v>
      </c>
      <c r="H1153" s="3">
        <v>59544</v>
      </c>
      <c r="I1153" s="3">
        <v>4250</v>
      </c>
      <c r="J1153" s="2" t="s">
        <v>614</v>
      </c>
      <c r="R1153">
        <v>9.1335379999999997</v>
      </c>
      <c r="S1153" s="6">
        <v>6530.48</v>
      </c>
      <c r="W1153" s="7">
        <v>715</v>
      </c>
    </row>
    <row r="1154" spans="1:23" x14ac:dyDescent="0.35">
      <c r="A1154" s="18">
        <v>7</v>
      </c>
      <c r="B1154" s="18">
        <v>2025</v>
      </c>
      <c r="C1154" s="18" t="s">
        <v>33</v>
      </c>
      <c r="D1154" s="18" t="s">
        <v>36</v>
      </c>
      <c r="E1154" s="18" t="s">
        <v>151</v>
      </c>
      <c r="F1154" s="48"/>
      <c r="G1154" s="51" t="s">
        <v>37</v>
      </c>
      <c r="H1154" s="3">
        <v>59544</v>
      </c>
      <c r="I1154" s="3">
        <v>4244</v>
      </c>
      <c r="J1154" s="2" t="s">
        <v>615</v>
      </c>
      <c r="R1154">
        <v>9.1335409999999992</v>
      </c>
      <c r="S1154" s="6">
        <v>6758.82</v>
      </c>
      <c r="W1154" s="7">
        <v>740</v>
      </c>
    </row>
    <row r="1155" spans="1:23" x14ac:dyDescent="0.35">
      <c r="A1155" s="18">
        <v>7</v>
      </c>
      <c r="B1155" s="18">
        <v>2025</v>
      </c>
      <c r="C1155" s="18" t="s">
        <v>33</v>
      </c>
      <c r="D1155" s="18" t="s">
        <v>36</v>
      </c>
      <c r="E1155" s="18" t="s">
        <v>151</v>
      </c>
      <c r="F1155" s="48"/>
      <c r="G1155" s="51" t="s">
        <v>37</v>
      </c>
      <c r="H1155" s="3">
        <v>59544</v>
      </c>
      <c r="I1155" s="3">
        <v>4245</v>
      </c>
      <c r="J1155" s="2" t="s">
        <v>616</v>
      </c>
      <c r="R1155">
        <v>9.3576730000000001</v>
      </c>
      <c r="S1155" s="6">
        <v>6756.24</v>
      </c>
      <c r="W1155" s="7">
        <v>722</v>
      </c>
    </row>
    <row r="1156" spans="1:23" x14ac:dyDescent="0.35">
      <c r="A1156" s="18">
        <v>7</v>
      </c>
      <c r="B1156" s="18">
        <v>2025</v>
      </c>
      <c r="C1156" s="18" t="s">
        <v>33</v>
      </c>
      <c r="D1156" s="18" t="s">
        <v>36</v>
      </c>
      <c r="E1156" s="18" t="s">
        <v>151</v>
      </c>
      <c r="F1156" s="48"/>
      <c r="G1156" s="51" t="s">
        <v>37</v>
      </c>
      <c r="H1156" s="3">
        <v>59544</v>
      </c>
      <c r="I1156" s="3">
        <v>4246</v>
      </c>
      <c r="J1156" s="2" t="s">
        <v>617</v>
      </c>
      <c r="R1156">
        <v>9.3576759999999997</v>
      </c>
      <c r="S1156" s="6">
        <v>6363.22</v>
      </c>
      <c r="W1156" s="7">
        <v>680</v>
      </c>
    </row>
    <row r="1157" spans="1:23" x14ac:dyDescent="0.35">
      <c r="A1157" s="18">
        <v>7</v>
      </c>
      <c r="B1157" s="18">
        <v>2025</v>
      </c>
      <c r="C1157" s="18" t="s">
        <v>33</v>
      </c>
      <c r="D1157" s="18" t="s">
        <v>36</v>
      </c>
      <c r="E1157" s="18" t="s">
        <v>151</v>
      </c>
      <c r="F1157" s="48"/>
      <c r="G1157" s="51" t="s">
        <v>37</v>
      </c>
      <c r="H1157" s="3">
        <v>59544</v>
      </c>
      <c r="I1157" s="3">
        <v>4247</v>
      </c>
      <c r="J1157" s="2" t="s">
        <v>618</v>
      </c>
      <c r="R1157">
        <v>9.3576709999999999</v>
      </c>
      <c r="S1157" s="6">
        <v>6026.34</v>
      </c>
      <c r="W1157" s="7">
        <v>644</v>
      </c>
    </row>
    <row r="1158" spans="1:23" x14ac:dyDescent="0.35">
      <c r="A1158" s="18">
        <v>7</v>
      </c>
      <c r="B1158" s="18">
        <v>2025</v>
      </c>
      <c r="C1158" s="18" t="s">
        <v>33</v>
      </c>
      <c r="D1158" s="18" t="s">
        <v>36</v>
      </c>
      <c r="E1158" s="18" t="s">
        <v>151</v>
      </c>
      <c r="F1158" s="48"/>
      <c r="G1158" s="51" t="s">
        <v>37</v>
      </c>
      <c r="H1158" s="3">
        <v>59544</v>
      </c>
      <c r="I1158" s="3">
        <v>4248</v>
      </c>
      <c r="J1158" s="2" t="s">
        <v>619</v>
      </c>
      <c r="R1158">
        <v>9.5818180000000002</v>
      </c>
      <c r="S1158" s="6">
        <v>6534.8</v>
      </c>
      <c r="W1158" s="7">
        <v>682</v>
      </c>
    </row>
    <row r="1159" spans="1:23" x14ac:dyDescent="0.35">
      <c r="A1159" s="18">
        <v>7</v>
      </c>
      <c r="B1159" s="18">
        <v>2025</v>
      </c>
      <c r="C1159" s="18" t="s">
        <v>33</v>
      </c>
      <c r="D1159" s="18" t="s">
        <v>36</v>
      </c>
      <c r="E1159" s="18" t="s">
        <v>390</v>
      </c>
      <c r="F1159" s="48"/>
      <c r="G1159" s="51" t="s">
        <v>43</v>
      </c>
      <c r="H1159" s="3">
        <v>59546</v>
      </c>
      <c r="I1159" s="3">
        <v>3511</v>
      </c>
      <c r="J1159" s="2" t="s">
        <v>620</v>
      </c>
      <c r="R1159">
        <v>10.198187000000001</v>
      </c>
      <c r="S1159" s="6">
        <v>13165.86</v>
      </c>
      <c r="W1159" s="7">
        <v>1291</v>
      </c>
    </row>
    <row r="1160" spans="1:23" x14ac:dyDescent="0.35">
      <c r="A1160" s="18">
        <v>7</v>
      </c>
      <c r="B1160" s="18">
        <v>2025</v>
      </c>
      <c r="C1160" s="18" t="s">
        <v>33</v>
      </c>
      <c r="D1160" s="18" t="s">
        <v>36</v>
      </c>
      <c r="E1160" s="18" t="s">
        <v>390</v>
      </c>
      <c r="F1160" s="48"/>
      <c r="G1160" s="51" t="s">
        <v>43</v>
      </c>
      <c r="H1160" s="3">
        <v>59546</v>
      </c>
      <c r="I1160" s="3">
        <v>3652</v>
      </c>
      <c r="J1160" s="2" t="s">
        <v>504</v>
      </c>
      <c r="R1160">
        <v>8.7412500000000009</v>
      </c>
      <c r="S1160" s="6">
        <v>489.51</v>
      </c>
      <c r="W1160" s="7">
        <v>56</v>
      </c>
    </row>
    <row r="1161" spans="1:23" x14ac:dyDescent="0.35">
      <c r="A1161" s="18">
        <v>7</v>
      </c>
      <c r="B1161" s="18">
        <v>2025</v>
      </c>
      <c r="C1161" s="18" t="s">
        <v>33</v>
      </c>
      <c r="D1161" s="18" t="s">
        <v>36</v>
      </c>
      <c r="E1161" s="18" t="s">
        <v>390</v>
      </c>
      <c r="F1161" s="48"/>
      <c r="G1161" s="51" t="s">
        <v>43</v>
      </c>
      <c r="H1161" s="3">
        <v>59546</v>
      </c>
      <c r="I1161" s="3">
        <v>3505</v>
      </c>
      <c r="J1161" s="2" t="s">
        <v>621</v>
      </c>
      <c r="R1161">
        <v>10.422326</v>
      </c>
      <c r="S1161" s="6">
        <v>11204</v>
      </c>
      <c r="W1161" s="7">
        <v>1075</v>
      </c>
    </row>
    <row r="1162" spans="1:23" x14ac:dyDescent="0.35">
      <c r="A1162" s="18">
        <v>7</v>
      </c>
      <c r="B1162" s="18">
        <v>2025</v>
      </c>
      <c r="C1162" s="18" t="s">
        <v>33</v>
      </c>
      <c r="D1162" s="18" t="s">
        <v>36</v>
      </c>
      <c r="E1162" s="18" t="s">
        <v>390</v>
      </c>
      <c r="F1162" s="48"/>
      <c r="G1162" s="51" t="s">
        <v>43</v>
      </c>
      <c r="H1162" s="3">
        <v>59546</v>
      </c>
      <c r="I1162" s="3">
        <v>3500</v>
      </c>
      <c r="J1162" s="2" t="s">
        <v>622</v>
      </c>
      <c r="R1162">
        <v>9.5257819999999995</v>
      </c>
      <c r="S1162" s="6">
        <v>5601.16</v>
      </c>
      <c r="W1162" s="7">
        <v>588</v>
      </c>
    </row>
    <row r="1163" spans="1:23" x14ac:dyDescent="0.35">
      <c r="A1163" s="18">
        <v>7</v>
      </c>
      <c r="B1163" s="18">
        <v>2025</v>
      </c>
      <c r="C1163" s="18" t="s">
        <v>33</v>
      </c>
      <c r="D1163" s="18" t="s">
        <v>36</v>
      </c>
      <c r="E1163" s="18" t="s">
        <v>390</v>
      </c>
      <c r="F1163" s="48"/>
      <c r="G1163" s="51" t="s">
        <v>43</v>
      </c>
      <c r="H1163" s="3">
        <v>59546</v>
      </c>
      <c r="I1163" s="3">
        <v>4323</v>
      </c>
      <c r="J1163" s="2" t="s">
        <v>623</v>
      </c>
      <c r="R1163">
        <v>11.935245</v>
      </c>
      <c r="S1163" s="6">
        <v>6325.68</v>
      </c>
      <c r="W1163" s="7">
        <v>530</v>
      </c>
    </row>
    <row r="1164" spans="1:23" x14ac:dyDescent="0.35">
      <c r="A1164" s="18">
        <v>7</v>
      </c>
      <c r="B1164" s="18">
        <v>2025</v>
      </c>
      <c r="C1164" s="18" t="s">
        <v>33</v>
      </c>
      <c r="D1164" s="18" t="s">
        <v>36</v>
      </c>
      <c r="E1164" s="18" t="s">
        <v>390</v>
      </c>
      <c r="F1164" s="48"/>
      <c r="G1164" s="51" t="s">
        <v>43</v>
      </c>
      <c r="H1164" s="3">
        <v>59546</v>
      </c>
      <c r="I1164" s="3">
        <v>4324</v>
      </c>
      <c r="J1164" s="2" t="s">
        <v>624</v>
      </c>
      <c r="R1164">
        <v>12.27145</v>
      </c>
      <c r="S1164" s="6">
        <v>7276.97</v>
      </c>
      <c r="W1164" s="7">
        <v>593</v>
      </c>
    </row>
    <row r="1165" spans="1:23" x14ac:dyDescent="0.35">
      <c r="A1165" s="18">
        <v>7</v>
      </c>
      <c r="B1165" s="18">
        <v>2025</v>
      </c>
      <c r="C1165" s="18" t="s">
        <v>33</v>
      </c>
      <c r="D1165" s="18" t="s">
        <v>36</v>
      </c>
      <c r="E1165" s="18" t="s">
        <v>390</v>
      </c>
      <c r="F1165" s="48"/>
      <c r="G1165" s="51" t="s">
        <v>43</v>
      </c>
      <c r="H1165" s="3">
        <v>59546</v>
      </c>
      <c r="I1165" s="3">
        <v>4328</v>
      </c>
      <c r="J1165" s="2" t="s">
        <v>625</v>
      </c>
      <c r="R1165">
        <v>10.422326</v>
      </c>
      <c r="S1165" s="6">
        <v>11245.69</v>
      </c>
      <c r="W1165" s="7">
        <v>1079</v>
      </c>
    </row>
    <row r="1166" spans="1:23" x14ac:dyDescent="0.35">
      <c r="A1166" s="18">
        <v>7</v>
      </c>
      <c r="B1166" s="18">
        <v>2025</v>
      </c>
      <c r="C1166" s="18" t="s">
        <v>33</v>
      </c>
      <c r="D1166" s="18" t="s">
        <v>36</v>
      </c>
      <c r="E1166" s="18" t="s">
        <v>390</v>
      </c>
      <c r="F1166" s="48"/>
      <c r="G1166" s="51" t="s">
        <v>43</v>
      </c>
      <c r="H1166" s="3">
        <v>59546</v>
      </c>
      <c r="I1166" s="3">
        <v>3132</v>
      </c>
      <c r="J1166" s="2" t="s">
        <v>626</v>
      </c>
      <c r="R1166">
        <v>8.0688940000000002</v>
      </c>
      <c r="S1166" s="6">
        <v>6568.08</v>
      </c>
      <c r="W1166" s="7">
        <v>814</v>
      </c>
    </row>
    <row r="1167" spans="1:23" x14ac:dyDescent="0.35">
      <c r="A1167" s="18">
        <v>7</v>
      </c>
      <c r="B1167" s="18">
        <v>2025</v>
      </c>
      <c r="C1167" s="18" t="s">
        <v>33</v>
      </c>
      <c r="D1167" s="18" t="s">
        <v>36</v>
      </c>
      <c r="E1167" s="18" t="s">
        <v>390</v>
      </c>
      <c r="F1167" s="48"/>
      <c r="G1167" s="51" t="s">
        <v>43</v>
      </c>
      <c r="H1167" s="3">
        <v>59546</v>
      </c>
      <c r="I1167" s="3">
        <v>3146</v>
      </c>
      <c r="J1167" s="2" t="s">
        <v>627</v>
      </c>
      <c r="R1167">
        <v>10.366289999999999</v>
      </c>
      <c r="S1167" s="6">
        <v>6510.03</v>
      </c>
      <c r="W1167" s="7">
        <v>628</v>
      </c>
    </row>
    <row r="1168" spans="1:23" x14ac:dyDescent="0.35">
      <c r="A1168" s="18">
        <v>7</v>
      </c>
      <c r="B1168" s="18">
        <v>2025</v>
      </c>
      <c r="C1168" s="18" t="s">
        <v>33</v>
      </c>
      <c r="D1168" s="18" t="s">
        <v>36</v>
      </c>
      <c r="E1168" s="18" t="s">
        <v>390</v>
      </c>
      <c r="F1168" s="48"/>
      <c r="G1168" s="51" t="s">
        <v>43</v>
      </c>
      <c r="H1168" s="3">
        <v>59546</v>
      </c>
      <c r="I1168" s="3">
        <v>3144</v>
      </c>
      <c r="J1168" s="2" t="s">
        <v>628</v>
      </c>
      <c r="R1168">
        <v>10.198188999999999</v>
      </c>
      <c r="S1168" s="6">
        <v>6588.03</v>
      </c>
      <c r="W1168" s="7">
        <v>646</v>
      </c>
    </row>
    <row r="1169" spans="1:23" x14ac:dyDescent="0.35">
      <c r="A1169" s="18">
        <v>7</v>
      </c>
      <c r="B1169" s="18">
        <v>2025</v>
      </c>
      <c r="C1169" s="18" t="s">
        <v>33</v>
      </c>
      <c r="D1169" s="18" t="s">
        <v>36</v>
      </c>
      <c r="E1169" s="18" t="s">
        <v>390</v>
      </c>
      <c r="F1169" s="48"/>
      <c r="G1169" s="51" t="s">
        <v>43</v>
      </c>
      <c r="H1169" s="3">
        <v>59546</v>
      </c>
      <c r="I1169" s="3">
        <v>3138</v>
      </c>
      <c r="J1169" s="2" t="s">
        <v>629</v>
      </c>
      <c r="R1169">
        <v>10.142156</v>
      </c>
      <c r="S1169" s="6">
        <v>4279.99</v>
      </c>
      <c r="W1169" s="7">
        <v>422</v>
      </c>
    </row>
    <row r="1170" spans="1:23" x14ac:dyDescent="0.35">
      <c r="A1170" s="18">
        <v>7</v>
      </c>
      <c r="B1170" s="18">
        <v>2025</v>
      </c>
      <c r="C1170" s="18" t="s">
        <v>33</v>
      </c>
      <c r="D1170" s="18" t="s">
        <v>36</v>
      </c>
      <c r="E1170" s="18" t="s">
        <v>390</v>
      </c>
      <c r="F1170" s="48"/>
      <c r="G1170" s="51" t="s">
        <v>43</v>
      </c>
      <c r="H1170" s="3">
        <v>59546</v>
      </c>
      <c r="I1170" s="3">
        <v>3136</v>
      </c>
      <c r="J1170" s="2" t="s">
        <v>630</v>
      </c>
      <c r="R1170">
        <v>9.1895760000000006</v>
      </c>
      <c r="S1170" s="6">
        <v>3905.57</v>
      </c>
      <c r="W1170" s="7">
        <v>425</v>
      </c>
    </row>
    <row r="1171" spans="1:23" x14ac:dyDescent="0.35">
      <c r="A1171" s="18">
        <v>7</v>
      </c>
      <c r="B1171" s="18">
        <v>2025</v>
      </c>
      <c r="C1171" s="18" t="s">
        <v>33</v>
      </c>
      <c r="D1171" s="18" t="s">
        <v>36</v>
      </c>
      <c r="E1171" s="18" t="s">
        <v>390</v>
      </c>
      <c r="F1171" s="48"/>
      <c r="G1171" s="51" t="s">
        <v>43</v>
      </c>
      <c r="H1171" s="3">
        <v>59546</v>
      </c>
      <c r="I1171" s="3">
        <v>3135</v>
      </c>
      <c r="J1171" s="2" t="s">
        <v>631</v>
      </c>
      <c r="R1171">
        <v>8.9654640000000008</v>
      </c>
      <c r="S1171" s="6">
        <v>869.65</v>
      </c>
      <c r="W1171" s="7">
        <v>97</v>
      </c>
    </row>
    <row r="1172" spans="1:23" x14ac:dyDescent="0.35">
      <c r="A1172" s="18">
        <v>7</v>
      </c>
      <c r="B1172" s="18">
        <v>2025</v>
      </c>
      <c r="C1172" s="18" t="s">
        <v>33</v>
      </c>
      <c r="D1172" s="18" t="s">
        <v>36</v>
      </c>
      <c r="E1172" s="18" t="s">
        <v>390</v>
      </c>
      <c r="F1172" s="48"/>
      <c r="G1172" s="51" t="s">
        <v>43</v>
      </c>
      <c r="H1172" s="3">
        <v>59546</v>
      </c>
      <c r="I1172" s="3">
        <v>3133</v>
      </c>
      <c r="J1172" s="2" t="s">
        <v>632</v>
      </c>
      <c r="R1172">
        <v>9.8059440000000002</v>
      </c>
      <c r="S1172" s="6">
        <v>4206.75</v>
      </c>
      <c r="W1172" s="7">
        <v>429</v>
      </c>
    </row>
    <row r="1173" spans="1:23" s="56" customFormat="1" x14ac:dyDescent="0.35">
      <c r="A1173" s="56">
        <v>8</v>
      </c>
      <c r="B1173" s="56">
        <v>2025</v>
      </c>
      <c r="C1173" s="56" t="s">
        <v>33</v>
      </c>
      <c r="D1173" s="56" t="s">
        <v>36</v>
      </c>
      <c r="E1173" s="56" t="s">
        <v>589</v>
      </c>
      <c r="F1173" s="57"/>
      <c r="G1173" s="58" t="s">
        <v>513</v>
      </c>
      <c r="H1173" s="57">
        <v>59640</v>
      </c>
      <c r="I1173" s="57">
        <v>4350</v>
      </c>
      <c r="J1173" s="58" t="s">
        <v>590</v>
      </c>
      <c r="R1173" s="56">
        <v>10.9604</v>
      </c>
      <c r="S1173" s="123">
        <v>133278.46</v>
      </c>
      <c r="W1173" s="130">
        <v>12160</v>
      </c>
    </row>
    <row r="1174" spans="1:23" x14ac:dyDescent="0.35">
      <c r="A1174" s="18">
        <v>8</v>
      </c>
      <c r="B1174" s="18">
        <v>2025</v>
      </c>
      <c r="C1174" s="18" t="s">
        <v>33</v>
      </c>
      <c r="D1174" s="18" t="s">
        <v>36</v>
      </c>
      <c r="E1174" s="18" t="s">
        <v>42</v>
      </c>
      <c r="G1174" s="51" t="s">
        <v>43</v>
      </c>
      <c r="H1174" s="3">
        <v>59677</v>
      </c>
      <c r="I1174" s="3">
        <v>2496</v>
      </c>
      <c r="J1174" s="2" t="s">
        <v>385</v>
      </c>
      <c r="R1174">
        <v>22.947969000000001</v>
      </c>
      <c r="S1174" s="6">
        <v>10510.17</v>
      </c>
      <c r="W1174" s="7">
        <v>458</v>
      </c>
    </row>
    <row r="1175" spans="1:23" x14ac:dyDescent="0.35">
      <c r="A1175">
        <v>8</v>
      </c>
      <c r="B1175" s="18">
        <v>2025</v>
      </c>
      <c r="C1175" s="18" t="s">
        <v>33</v>
      </c>
      <c r="D1175" s="18" t="s">
        <v>36</v>
      </c>
      <c r="E1175" s="18" t="s">
        <v>42</v>
      </c>
      <c r="G1175" s="51" t="s">
        <v>43</v>
      </c>
      <c r="H1175" s="3">
        <v>59696</v>
      </c>
      <c r="I1175" s="3">
        <v>3343</v>
      </c>
      <c r="J1175" s="2" t="s">
        <v>455</v>
      </c>
      <c r="R1175">
        <v>27.126998</v>
      </c>
      <c r="S1175" s="6">
        <v>14187.42</v>
      </c>
      <c r="W1175" s="7">
        <v>523</v>
      </c>
    </row>
    <row r="1176" spans="1:23" x14ac:dyDescent="0.35">
      <c r="A1176">
        <v>8</v>
      </c>
      <c r="B1176" s="18">
        <v>2025</v>
      </c>
      <c r="C1176" s="18" t="s">
        <v>33</v>
      </c>
      <c r="D1176" s="18" t="s">
        <v>36</v>
      </c>
      <c r="E1176" s="18" t="s">
        <v>390</v>
      </c>
      <c r="G1176" s="51" t="s">
        <v>43</v>
      </c>
      <c r="H1176" s="3">
        <v>59814</v>
      </c>
      <c r="I1176" s="3">
        <v>4325</v>
      </c>
      <c r="J1176" s="2" t="s">
        <v>633</v>
      </c>
      <c r="R1176">
        <v>10.246320000000001</v>
      </c>
      <c r="S1176" s="6">
        <v>4928.4799999999996</v>
      </c>
      <c r="W1176" s="7">
        <v>481</v>
      </c>
    </row>
    <row r="1177" spans="1:23" x14ac:dyDescent="0.35">
      <c r="A1177">
        <v>8</v>
      </c>
      <c r="B1177" s="18">
        <v>2025</v>
      </c>
      <c r="C1177" s="18" t="s">
        <v>33</v>
      </c>
      <c r="D1177" s="18" t="s">
        <v>36</v>
      </c>
      <c r="E1177" s="18" t="s">
        <v>390</v>
      </c>
      <c r="G1177" s="51" t="s">
        <v>43</v>
      </c>
      <c r="H1177" s="3">
        <v>59814</v>
      </c>
      <c r="I1177" s="3">
        <v>4326</v>
      </c>
      <c r="J1177" s="2" t="s">
        <v>634</v>
      </c>
      <c r="R1177">
        <v>11.594519</v>
      </c>
      <c r="S1177" s="6">
        <v>8800.24</v>
      </c>
      <c r="W1177" s="7">
        <v>759</v>
      </c>
    </row>
    <row r="1178" spans="1:23" x14ac:dyDescent="0.35">
      <c r="A1178">
        <v>8</v>
      </c>
      <c r="B1178" s="18">
        <v>2025</v>
      </c>
      <c r="C1178" s="18" t="s">
        <v>33</v>
      </c>
      <c r="D1178" s="18" t="s">
        <v>36</v>
      </c>
      <c r="E1178" s="18" t="s">
        <v>390</v>
      </c>
      <c r="G1178" s="51" t="s">
        <v>43</v>
      </c>
      <c r="H1178" s="3">
        <v>59814</v>
      </c>
      <c r="I1178" s="3">
        <v>4322</v>
      </c>
      <c r="J1178" s="2" t="s">
        <v>635</v>
      </c>
      <c r="R1178">
        <v>9.6531070000000003</v>
      </c>
      <c r="S1178" s="6">
        <v>5125.8</v>
      </c>
      <c r="W1178" s="7">
        <v>531</v>
      </c>
    </row>
    <row r="1179" spans="1:23" x14ac:dyDescent="0.35">
      <c r="A1179">
        <v>8</v>
      </c>
      <c r="B1179" s="18">
        <v>2025</v>
      </c>
      <c r="C1179" s="18" t="s">
        <v>33</v>
      </c>
      <c r="D1179" s="18" t="s">
        <v>36</v>
      </c>
      <c r="E1179" s="18" t="s">
        <v>390</v>
      </c>
      <c r="G1179" s="51" t="s">
        <v>43</v>
      </c>
      <c r="H1179" s="3">
        <v>59814</v>
      </c>
      <c r="I1179" s="3">
        <v>4327</v>
      </c>
      <c r="J1179" s="2" t="s">
        <v>636</v>
      </c>
      <c r="R1179">
        <v>11.163102</v>
      </c>
      <c r="S1179" s="6">
        <v>6909.96</v>
      </c>
      <c r="W1179" s="7">
        <v>619</v>
      </c>
    </row>
    <row r="1180" spans="1:23" x14ac:dyDescent="0.35">
      <c r="A1180">
        <v>8</v>
      </c>
      <c r="B1180" s="18">
        <v>2025</v>
      </c>
      <c r="C1180" s="18" t="s">
        <v>33</v>
      </c>
      <c r="D1180" s="18" t="s">
        <v>36</v>
      </c>
      <c r="E1180" s="18" t="s">
        <v>390</v>
      </c>
      <c r="G1180" s="51" t="s">
        <v>43</v>
      </c>
      <c r="H1180" s="3">
        <v>59814</v>
      </c>
      <c r="I1180" s="3">
        <v>4329</v>
      </c>
      <c r="J1180" s="2" t="s">
        <v>637</v>
      </c>
      <c r="R1180">
        <v>10.62382</v>
      </c>
      <c r="S1180" s="6">
        <v>11569.34</v>
      </c>
      <c r="W1180" s="7">
        <v>1089</v>
      </c>
    </row>
    <row r="1181" spans="1:23" x14ac:dyDescent="0.35">
      <c r="A1181">
        <v>8</v>
      </c>
      <c r="B1181" s="18">
        <v>2025</v>
      </c>
      <c r="C1181" s="18" t="s">
        <v>33</v>
      </c>
      <c r="D1181" s="18" t="s">
        <v>36</v>
      </c>
      <c r="E1181" s="18" t="s">
        <v>390</v>
      </c>
      <c r="G1181" s="51" t="s">
        <v>43</v>
      </c>
      <c r="H1181" s="3">
        <v>59814</v>
      </c>
      <c r="I1181" s="3">
        <v>3147</v>
      </c>
      <c r="J1181" s="2" t="s">
        <v>638</v>
      </c>
      <c r="R1181">
        <v>10.569884999999999</v>
      </c>
      <c r="S1181" s="6">
        <v>5538.62</v>
      </c>
      <c r="W1181" s="7">
        <v>524</v>
      </c>
    </row>
    <row r="1182" spans="1:23" x14ac:dyDescent="0.35">
      <c r="A1182">
        <v>8</v>
      </c>
      <c r="B1182" s="18">
        <v>2025</v>
      </c>
      <c r="C1182" s="18" t="s">
        <v>33</v>
      </c>
      <c r="D1182" s="18" t="s">
        <v>36</v>
      </c>
      <c r="E1182" s="18" t="s">
        <v>390</v>
      </c>
      <c r="G1182" s="51" t="s">
        <v>43</v>
      </c>
      <c r="H1182" s="3">
        <v>59814</v>
      </c>
      <c r="I1182" s="3">
        <v>3148</v>
      </c>
      <c r="J1182" s="2" t="s">
        <v>639</v>
      </c>
      <c r="R1182">
        <v>11.109169</v>
      </c>
      <c r="S1182" s="6">
        <v>19107.77</v>
      </c>
      <c r="W1182" s="7">
        <v>1720</v>
      </c>
    </row>
    <row r="1183" spans="1:23" x14ac:dyDescent="0.35">
      <c r="A1183">
        <v>8</v>
      </c>
      <c r="B1183" s="18">
        <v>2025</v>
      </c>
      <c r="C1183" s="18" t="s">
        <v>33</v>
      </c>
      <c r="D1183" s="18" t="s">
        <v>36</v>
      </c>
      <c r="E1183" s="18" t="s">
        <v>390</v>
      </c>
      <c r="G1183" s="51" t="s">
        <v>43</v>
      </c>
      <c r="H1183" s="3">
        <v>59814</v>
      </c>
      <c r="I1183" s="3">
        <v>3138</v>
      </c>
      <c r="J1183" s="2" t="s">
        <v>629</v>
      </c>
      <c r="R1183">
        <v>9.7609659999999998</v>
      </c>
      <c r="S1183" s="6">
        <v>8892.24</v>
      </c>
      <c r="W1183" s="7">
        <v>911</v>
      </c>
    </row>
    <row r="1184" spans="1:23" x14ac:dyDescent="0.35">
      <c r="A1184">
        <v>8</v>
      </c>
      <c r="B1184" s="18">
        <v>2025</v>
      </c>
      <c r="C1184" s="18" t="s">
        <v>33</v>
      </c>
      <c r="D1184" s="18" t="s">
        <v>36</v>
      </c>
      <c r="E1184" s="18" t="s">
        <v>390</v>
      </c>
      <c r="G1184" s="51" t="s">
        <v>43</v>
      </c>
      <c r="H1184" s="3">
        <v>59814</v>
      </c>
      <c r="I1184" s="3">
        <v>3135</v>
      </c>
      <c r="J1184" s="2" t="s">
        <v>631</v>
      </c>
      <c r="R1184">
        <v>8.6284759999999991</v>
      </c>
      <c r="S1184" s="6">
        <v>6454.1</v>
      </c>
      <c r="W1184" s="7">
        <v>748</v>
      </c>
    </row>
    <row r="1185" spans="1:23" x14ac:dyDescent="0.35">
      <c r="A1185">
        <v>8</v>
      </c>
      <c r="B1185" s="18">
        <v>2025</v>
      </c>
      <c r="C1185" s="18" t="s">
        <v>33</v>
      </c>
      <c r="D1185" s="18" t="s">
        <v>36</v>
      </c>
      <c r="E1185" s="18" t="s">
        <v>390</v>
      </c>
      <c r="G1185" s="51" t="s">
        <v>43</v>
      </c>
      <c r="H1185" s="3">
        <v>59814</v>
      </c>
      <c r="I1185" s="3">
        <v>3131</v>
      </c>
      <c r="J1185" s="2" t="s">
        <v>640</v>
      </c>
      <c r="R1185">
        <v>9.7609659999999998</v>
      </c>
      <c r="S1185" s="6">
        <v>2830.68</v>
      </c>
      <c r="W1185" s="7">
        <v>290</v>
      </c>
    </row>
    <row r="1186" spans="1:23" x14ac:dyDescent="0.35">
      <c r="A1186">
        <v>8</v>
      </c>
      <c r="B1186" s="18">
        <v>2025</v>
      </c>
      <c r="C1186" s="18" t="s">
        <v>33</v>
      </c>
      <c r="D1186" s="18" t="s">
        <v>36</v>
      </c>
      <c r="E1186" s="18" t="s">
        <v>390</v>
      </c>
      <c r="G1186" s="51" t="s">
        <v>43</v>
      </c>
      <c r="H1186" s="3">
        <v>59814</v>
      </c>
      <c r="I1186" s="3">
        <v>3652</v>
      </c>
      <c r="J1186" s="2" t="s">
        <v>504</v>
      </c>
      <c r="R1186">
        <v>8.4127650000000003</v>
      </c>
      <c r="S1186" s="6">
        <v>4290.51</v>
      </c>
      <c r="W1186" s="7">
        <v>510</v>
      </c>
    </row>
    <row r="1187" spans="1:23" x14ac:dyDescent="0.35">
      <c r="A1187">
        <v>8</v>
      </c>
      <c r="B1187" s="18">
        <v>2025</v>
      </c>
      <c r="C1187" s="18" t="s">
        <v>33</v>
      </c>
      <c r="D1187" s="18" t="s">
        <v>36</v>
      </c>
      <c r="E1187" s="18" t="s">
        <v>151</v>
      </c>
      <c r="G1187" s="51" t="s">
        <v>37</v>
      </c>
      <c r="H1187" s="3">
        <v>59818</v>
      </c>
      <c r="I1187" s="3">
        <v>4370</v>
      </c>
      <c r="J1187" s="2" t="s">
        <v>641</v>
      </c>
      <c r="R1187">
        <v>21.583897</v>
      </c>
      <c r="S1187" s="6">
        <v>10856.7</v>
      </c>
      <c r="W1187" s="7">
        <v>503</v>
      </c>
    </row>
    <row r="1188" spans="1:23" x14ac:dyDescent="0.35">
      <c r="A1188">
        <v>8</v>
      </c>
      <c r="B1188" s="18">
        <v>2025</v>
      </c>
      <c r="C1188" s="18" t="s">
        <v>33</v>
      </c>
      <c r="D1188" s="18" t="s">
        <v>36</v>
      </c>
      <c r="E1188" s="18" t="s">
        <v>151</v>
      </c>
      <c r="G1188" s="51" t="s">
        <v>37</v>
      </c>
      <c r="H1188" s="3">
        <v>59818</v>
      </c>
      <c r="I1188" s="3">
        <v>4368</v>
      </c>
      <c r="J1188" s="2" t="s">
        <v>642</v>
      </c>
      <c r="R1188">
        <v>21.583901999999998</v>
      </c>
      <c r="S1188" s="6">
        <v>14051.12</v>
      </c>
      <c r="W1188" s="7">
        <v>651</v>
      </c>
    </row>
    <row r="1189" spans="1:23" x14ac:dyDescent="0.35">
      <c r="A1189">
        <v>8</v>
      </c>
      <c r="B1189" s="18">
        <v>2025</v>
      </c>
      <c r="C1189" s="18" t="s">
        <v>33</v>
      </c>
      <c r="D1189" s="18" t="s">
        <v>36</v>
      </c>
      <c r="E1189" s="18" t="s">
        <v>151</v>
      </c>
      <c r="G1189" s="51" t="s">
        <v>37</v>
      </c>
      <c r="H1189" s="3">
        <v>59818</v>
      </c>
      <c r="I1189" s="3">
        <v>4363</v>
      </c>
      <c r="J1189" s="2" t="s">
        <v>643</v>
      </c>
      <c r="R1189">
        <v>16.985831999999998</v>
      </c>
      <c r="S1189" s="6">
        <v>8272.1</v>
      </c>
      <c r="W1189" s="7">
        <v>487</v>
      </c>
    </row>
    <row r="1190" spans="1:23" x14ac:dyDescent="0.35">
      <c r="A1190">
        <v>8</v>
      </c>
      <c r="B1190" s="18">
        <v>2025</v>
      </c>
      <c r="C1190" s="18" t="s">
        <v>33</v>
      </c>
      <c r="D1190" s="18" t="s">
        <v>36</v>
      </c>
      <c r="E1190" s="18" t="s">
        <v>151</v>
      </c>
      <c r="G1190" s="51" t="s">
        <v>37</v>
      </c>
      <c r="H1190" s="3">
        <v>59818</v>
      </c>
      <c r="I1190" s="3">
        <v>4371</v>
      </c>
      <c r="J1190" s="2" t="s">
        <v>644</v>
      </c>
      <c r="R1190">
        <v>16.012128000000001</v>
      </c>
      <c r="S1190" s="6">
        <v>7749.87</v>
      </c>
      <c r="W1190" s="7">
        <v>484</v>
      </c>
    </row>
    <row r="1191" spans="1:23" x14ac:dyDescent="0.35">
      <c r="A1191">
        <v>8</v>
      </c>
      <c r="B1191" s="18">
        <v>2025</v>
      </c>
      <c r="C1191" s="18" t="s">
        <v>33</v>
      </c>
      <c r="D1191" s="18" t="s">
        <v>36</v>
      </c>
      <c r="E1191" s="18" t="s">
        <v>151</v>
      </c>
      <c r="G1191" s="51" t="s">
        <v>37</v>
      </c>
      <c r="H1191" s="3">
        <v>59818</v>
      </c>
      <c r="I1191" s="3">
        <v>4372</v>
      </c>
      <c r="J1191" s="2" t="s">
        <v>645</v>
      </c>
      <c r="R1191">
        <v>16.174405</v>
      </c>
      <c r="S1191" s="6">
        <v>5030.24</v>
      </c>
      <c r="W1191" s="7">
        <v>311</v>
      </c>
    </row>
    <row r="1192" spans="1:23" x14ac:dyDescent="0.35">
      <c r="A1192">
        <v>8</v>
      </c>
      <c r="B1192" s="18">
        <v>2025</v>
      </c>
      <c r="C1192" s="18" t="s">
        <v>33</v>
      </c>
      <c r="D1192" s="18" t="s">
        <v>36</v>
      </c>
      <c r="E1192" s="18" t="s">
        <v>151</v>
      </c>
      <c r="G1192" s="51" t="s">
        <v>37</v>
      </c>
      <c r="H1192" s="3">
        <v>59818</v>
      </c>
      <c r="I1192" s="3">
        <v>4358</v>
      </c>
      <c r="J1192" s="2" t="s">
        <v>646</v>
      </c>
      <c r="R1192">
        <v>16.715354999999999</v>
      </c>
      <c r="S1192" s="6">
        <v>9176.73</v>
      </c>
      <c r="W1192" s="7">
        <v>549</v>
      </c>
    </row>
    <row r="1193" spans="1:23" x14ac:dyDescent="0.35">
      <c r="A1193">
        <v>8</v>
      </c>
      <c r="B1193" s="18">
        <v>2025</v>
      </c>
      <c r="C1193" s="18" t="s">
        <v>33</v>
      </c>
      <c r="D1193" s="18" t="s">
        <v>36</v>
      </c>
      <c r="E1193" s="18" t="s">
        <v>151</v>
      </c>
      <c r="G1193" s="51" t="s">
        <v>37</v>
      </c>
      <c r="H1193" s="3">
        <v>59818</v>
      </c>
      <c r="I1193" s="3">
        <v>4362</v>
      </c>
      <c r="J1193" s="2" t="s">
        <v>647</v>
      </c>
      <c r="R1193">
        <v>16.228494999999999</v>
      </c>
      <c r="S1193" s="6">
        <v>6361.57</v>
      </c>
      <c r="W1193" s="7">
        <v>392</v>
      </c>
    </row>
    <row r="1194" spans="1:23" x14ac:dyDescent="0.35">
      <c r="A1194">
        <v>8</v>
      </c>
      <c r="B1194" s="18">
        <v>2025</v>
      </c>
      <c r="C1194" s="18" t="s">
        <v>33</v>
      </c>
      <c r="D1194" s="18" t="s">
        <v>36</v>
      </c>
      <c r="E1194" s="18" t="s">
        <v>151</v>
      </c>
      <c r="G1194" s="51" t="s">
        <v>37</v>
      </c>
      <c r="H1194" s="3">
        <v>59818</v>
      </c>
      <c r="I1194" s="3">
        <v>4360</v>
      </c>
      <c r="J1194" s="2" t="s">
        <v>648</v>
      </c>
      <c r="R1194">
        <v>16.174403999999999</v>
      </c>
      <c r="S1194" s="6">
        <v>9219.41</v>
      </c>
      <c r="W1194" s="7">
        <v>570</v>
      </c>
    </row>
    <row r="1195" spans="1:23" x14ac:dyDescent="0.35">
      <c r="A1195">
        <v>8</v>
      </c>
      <c r="B1195" s="18">
        <v>2025</v>
      </c>
      <c r="C1195" s="18" t="s">
        <v>33</v>
      </c>
      <c r="D1195" s="18" t="s">
        <v>36</v>
      </c>
      <c r="E1195" s="18" t="s">
        <v>151</v>
      </c>
      <c r="G1195" s="51" t="s">
        <v>37</v>
      </c>
      <c r="H1195" s="3">
        <v>59818</v>
      </c>
      <c r="I1195" s="3">
        <v>4359</v>
      </c>
      <c r="J1195" s="2" t="s">
        <v>649</v>
      </c>
      <c r="R1195">
        <v>17.202200999999999</v>
      </c>
      <c r="S1195" s="6">
        <v>8205.4500000000007</v>
      </c>
      <c r="W1195" s="7">
        <v>477</v>
      </c>
    </row>
    <row r="1196" spans="1:23" x14ac:dyDescent="0.35">
      <c r="A1196">
        <v>8</v>
      </c>
      <c r="B1196" s="18">
        <v>2025</v>
      </c>
      <c r="C1196" s="18" t="s">
        <v>33</v>
      </c>
      <c r="D1196" s="18" t="s">
        <v>36</v>
      </c>
      <c r="E1196" s="18" t="s">
        <v>151</v>
      </c>
      <c r="G1196" s="51" t="s">
        <v>37</v>
      </c>
      <c r="H1196" s="3">
        <v>59818</v>
      </c>
      <c r="I1196" s="3">
        <v>4247</v>
      </c>
      <c r="J1196" s="2" t="s">
        <v>618</v>
      </c>
      <c r="R1196">
        <v>9.0337999999999994</v>
      </c>
      <c r="S1196" s="6">
        <v>451.69</v>
      </c>
      <c r="W1196" s="7">
        <v>50</v>
      </c>
    </row>
    <row r="1197" spans="1:23" x14ac:dyDescent="0.35">
      <c r="A1197">
        <v>8</v>
      </c>
      <c r="B1197" s="18">
        <v>2025</v>
      </c>
      <c r="C1197" s="18" t="s">
        <v>33</v>
      </c>
      <c r="D1197" s="18" t="s">
        <v>36</v>
      </c>
      <c r="E1197" s="18" t="s">
        <v>151</v>
      </c>
      <c r="G1197" s="51" t="s">
        <v>37</v>
      </c>
      <c r="H1197" s="3">
        <v>59929</v>
      </c>
      <c r="I1197" s="3">
        <v>4259</v>
      </c>
      <c r="J1197" s="2" t="s">
        <v>601</v>
      </c>
      <c r="R1197">
        <v>8.827261</v>
      </c>
      <c r="S1197" s="6">
        <v>6964.6100000000006</v>
      </c>
      <c r="W1197" s="7">
        <v>712</v>
      </c>
    </row>
    <row r="1198" spans="1:23" x14ac:dyDescent="0.35">
      <c r="A1198">
        <v>8</v>
      </c>
      <c r="B1198" s="18">
        <v>2025</v>
      </c>
      <c r="C1198" s="18" t="s">
        <v>33</v>
      </c>
      <c r="D1198" s="18" t="s">
        <v>36</v>
      </c>
      <c r="E1198" s="18" t="s">
        <v>151</v>
      </c>
      <c r="G1198" s="51" t="s">
        <v>37</v>
      </c>
      <c r="H1198" s="3">
        <v>59929</v>
      </c>
      <c r="I1198" s="3">
        <v>4267</v>
      </c>
      <c r="J1198" s="2" t="s">
        <v>606</v>
      </c>
      <c r="R1198">
        <v>9.2063520000000008</v>
      </c>
      <c r="S1198" s="6">
        <v>7018.8600000000006</v>
      </c>
      <c r="W1198" s="7">
        <v>688</v>
      </c>
    </row>
    <row r="1199" spans="1:23" x14ac:dyDescent="0.35">
      <c r="A1199">
        <v>8</v>
      </c>
      <c r="B1199" s="18">
        <v>2025</v>
      </c>
      <c r="C1199" s="18" t="s">
        <v>33</v>
      </c>
      <c r="D1199" s="18" t="s">
        <v>36</v>
      </c>
      <c r="E1199" s="18" t="s">
        <v>151</v>
      </c>
      <c r="G1199" s="51" t="s">
        <v>37</v>
      </c>
      <c r="H1199" s="3">
        <v>59929</v>
      </c>
      <c r="I1199" s="3">
        <v>4266</v>
      </c>
      <c r="J1199" s="2" t="s">
        <v>605</v>
      </c>
      <c r="R1199">
        <v>9.2063550000000003</v>
      </c>
      <c r="S1199" s="6">
        <v>6774.02</v>
      </c>
      <c r="W1199" s="7">
        <v>664</v>
      </c>
    </row>
    <row r="1200" spans="1:23" x14ac:dyDescent="0.35">
      <c r="A1200">
        <v>8</v>
      </c>
      <c r="B1200" s="18">
        <v>2025</v>
      </c>
      <c r="C1200" s="18" t="s">
        <v>33</v>
      </c>
      <c r="D1200" s="18" t="s">
        <v>36</v>
      </c>
      <c r="E1200" s="18" t="s">
        <v>151</v>
      </c>
      <c r="G1200" s="51" t="s">
        <v>37</v>
      </c>
      <c r="H1200" s="3">
        <v>59929</v>
      </c>
      <c r="I1200" s="3">
        <v>4358</v>
      </c>
      <c r="J1200" s="2" t="s">
        <v>646</v>
      </c>
      <c r="R1200">
        <v>16.733898</v>
      </c>
      <c r="S1200" s="6">
        <v>10180.289999999999</v>
      </c>
      <c r="W1200" s="7">
        <v>549</v>
      </c>
    </row>
    <row r="1201" spans="1:23" x14ac:dyDescent="0.35">
      <c r="A1201">
        <v>8</v>
      </c>
      <c r="B1201" s="18">
        <v>2025</v>
      </c>
      <c r="C1201" s="18" t="s">
        <v>33</v>
      </c>
      <c r="D1201" s="18" t="s">
        <v>36</v>
      </c>
      <c r="E1201" s="18" t="s">
        <v>151</v>
      </c>
      <c r="G1201" s="51" t="s">
        <v>37</v>
      </c>
      <c r="H1201" s="3">
        <v>59929</v>
      </c>
      <c r="I1201" s="3">
        <v>4258</v>
      </c>
      <c r="J1201" s="2" t="s">
        <v>603</v>
      </c>
      <c r="R1201">
        <v>8.8272580000000005</v>
      </c>
      <c r="S1201" s="6">
        <v>6778.75</v>
      </c>
      <c r="W1201" s="7">
        <v>693</v>
      </c>
    </row>
    <row r="1202" spans="1:23" x14ac:dyDescent="0.35">
      <c r="A1202">
        <v>8</v>
      </c>
      <c r="B1202" s="18">
        <v>2025</v>
      </c>
      <c r="C1202" s="18" t="s">
        <v>33</v>
      </c>
      <c r="D1202" s="18" t="s">
        <v>36</v>
      </c>
      <c r="E1202" s="18" t="s">
        <v>151</v>
      </c>
      <c r="G1202" s="51" t="s">
        <v>37</v>
      </c>
      <c r="H1202" s="3">
        <v>59929</v>
      </c>
      <c r="I1202" s="3">
        <v>4257</v>
      </c>
      <c r="J1202" s="2" t="s">
        <v>602</v>
      </c>
      <c r="R1202">
        <v>8.827261</v>
      </c>
      <c r="S1202" s="6">
        <v>6749.4100000000008</v>
      </c>
      <c r="W1202" s="7">
        <v>690</v>
      </c>
    </row>
    <row r="1203" spans="1:23" x14ac:dyDescent="0.35">
      <c r="A1203">
        <v>8</v>
      </c>
      <c r="B1203" s="18">
        <v>2025</v>
      </c>
      <c r="C1203" s="18" t="s">
        <v>33</v>
      </c>
      <c r="D1203" s="18" t="s">
        <v>36</v>
      </c>
      <c r="E1203" s="18" t="s">
        <v>151</v>
      </c>
      <c r="G1203" s="51" t="s">
        <v>37</v>
      </c>
      <c r="H1203" s="3">
        <v>59929</v>
      </c>
      <c r="I1203" s="3">
        <v>4256</v>
      </c>
      <c r="J1203" s="2" t="s">
        <v>595</v>
      </c>
      <c r="R1203">
        <v>8.8814130000000002</v>
      </c>
      <c r="S1203" s="6">
        <v>6406.99</v>
      </c>
      <c r="W1203" s="7">
        <v>651</v>
      </c>
    </row>
    <row r="1204" spans="1:23" x14ac:dyDescent="0.35">
      <c r="A1204">
        <v>8</v>
      </c>
      <c r="B1204" s="18">
        <v>2025</v>
      </c>
      <c r="C1204" s="18" t="s">
        <v>33</v>
      </c>
      <c r="D1204" s="18" t="s">
        <v>36</v>
      </c>
      <c r="E1204" s="18" t="s">
        <v>151</v>
      </c>
      <c r="G1204" s="51" t="s">
        <v>37</v>
      </c>
      <c r="H1204" s="3">
        <v>59929</v>
      </c>
      <c r="I1204" s="3">
        <v>4255</v>
      </c>
      <c r="J1204" s="2" t="s">
        <v>600</v>
      </c>
      <c r="R1204">
        <v>8.8272689999999994</v>
      </c>
      <c r="S1204" s="6">
        <v>6446.18</v>
      </c>
      <c r="W1204" s="7">
        <v>659</v>
      </c>
    </row>
    <row r="1205" spans="1:23" x14ac:dyDescent="0.35">
      <c r="A1205">
        <v>8</v>
      </c>
      <c r="B1205" s="18">
        <v>2025</v>
      </c>
      <c r="C1205" s="18" t="s">
        <v>33</v>
      </c>
      <c r="D1205" s="18" t="s">
        <v>36</v>
      </c>
      <c r="E1205" s="18" t="s">
        <v>151</v>
      </c>
      <c r="G1205" s="51" t="s">
        <v>37</v>
      </c>
      <c r="H1205" s="3">
        <v>59929</v>
      </c>
      <c r="I1205" s="3">
        <v>4359</v>
      </c>
      <c r="J1205" s="2" t="s">
        <v>649</v>
      </c>
      <c r="R1205">
        <v>17.221299999999999</v>
      </c>
      <c r="S1205" s="6">
        <v>9102.7999999999993</v>
      </c>
      <c r="W1205" s="7">
        <v>477</v>
      </c>
    </row>
    <row r="1206" spans="1:23" x14ac:dyDescent="0.35">
      <c r="A1206">
        <v>8</v>
      </c>
      <c r="B1206" s="18">
        <v>2025</v>
      </c>
      <c r="C1206" s="18" t="s">
        <v>33</v>
      </c>
      <c r="D1206" s="18" t="s">
        <v>36</v>
      </c>
      <c r="E1206" s="18" t="s">
        <v>151</v>
      </c>
      <c r="G1206" s="51" t="s">
        <v>37</v>
      </c>
      <c r="H1206" s="3">
        <v>59929</v>
      </c>
      <c r="I1206" s="3">
        <v>4360</v>
      </c>
      <c r="J1206" s="2" t="s">
        <v>648</v>
      </c>
      <c r="R1206">
        <v>16.192350999999999</v>
      </c>
      <c r="S1206" s="6">
        <v>10227.64</v>
      </c>
      <c r="W1206" s="7">
        <v>570</v>
      </c>
    </row>
    <row r="1207" spans="1:23" x14ac:dyDescent="0.35">
      <c r="A1207">
        <v>8</v>
      </c>
      <c r="B1207" s="18">
        <v>2025</v>
      </c>
      <c r="C1207" s="18" t="s">
        <v>33</v>
      </c>
      <c r="D1207" s="18" t="s">
        <v>36</v>
      </c>
      <c r="E1207" s="18" t="s">
        <v>151</v>
      </c>
      <c r="G1207" s="51" t="s">
        <v>37</v>
      </c>
      <c r="H1207" s="3">
        <v>59929</v>
      </c>
      <c r="I1207" s="3">
        <v>4362</v>
      </c>
      <c r="J1207" s="2" t="s">
        <v>647</v>
      </c>
      <c r="R1207">
        <v>16.246504999999999</v>
      </c>
      <c r="S1207" s="6">
        <v>7057.27</v>
      </c>
      <c r="W1207" s="7">
        <v>392</v>
      </c>
    </row>
    <row r="1208" spans="1:23" x14ac:dyDescent="0.35">
      <c r="A1208">
        <v>8</v>
      </c>
      <c r="B1208" s="18">
        <v>2025</v>
      </c>
      <c r="C1208" s="18" t="s">
        <v>33</v>
      </c>
      <c r="D1208" s="18" t="s">
        <v>36</v>
      </c>
      <c r="E1208" s="18" t="s">
        <v>151</v>
      </c>
      <c r="G1208" s="51" t="s">
        <v>37</v>
      </c>
      <c r="H1208" s="3">
        <v>59929</v>
      </c>
      <c r="I1208" s="3">
        <v>4363</v>
      </c>
      <c r="J1208" s="2" t="s">
        <v>643</v>
      </c>
      <c r="R1208">
        <v>17.004660999999999</v>
      </c>
      <c r="S1208" s="6">
        <v>9176.73</v>
      </c>
      <c r="W1208" s="7">
        <v>487</v>
      </c>
    </row>
    <row r="1209" spans="1:23" x14ac:dyDescent="0.35">
      <c r="A1209">
        <v>8</v>
      </c>
      <c r="B1209" s="18">
        <v>2025</v>
      </c>
      <c r="C1209" s="18" t="s">
        <v>33</v>
      </c>
      <c r="D1209" s="18" t="s">
        <v>36</v>
      </c>
      <c r="E1209" s="18" t="s">
        <v>151</v>
      </c>
      <c r="G1209" s="51" t="s">
        <v>37</v>
      </c>
      <c r="H1209" s="3">
        <v>59929</v>
      </c>
      <c r="I1209" s="3">
        <v>4368</v>
      </c>
      <c r="J1209" s="2" t="s">
        <v>642</v>
      </c>
      <c r="R1209">
        <v>21.607849000000002</v>
      </c>
      <c r="S1209" s="6">
        <v>15587.75</v>
      </c>
      <c r="W1209" s="7">
        <v>651</v>
      </c>
    </row>
    <row r="1210" spans="1:23" x14ac:dyDescent="0.35">
      <c r="A1210">
        <v>8</v>
      </c>
      <c r="B1210" s="18">
        <v>2025</v>
      </c>
      <c r="C1210" s="18" t="s">
        <v>33</v>
      </c>
      <c r="D1210" s="18" t="s">
        <v>36</v>
      </c>
      <c r="E1210" s="18" t="s">
        <v>151</v>
      </c>
      <c r="G1210" s="51" t="s">
        <v>37</v>
      </c>
      <c r="H1210" s="3">
        <v>59929</v>
      </c>
      <c r="I1210" s="3">
        <v>4370</v>
      </c>
      <c r="J1210" s="2" t="s">
        <v>641</v>
      </c>
      <c r="R1210">
        <v>21.607852999999999</v>
      </c>
      <c r="S1210" s="6">
        <v>12043.99</v>
      </c>
      <c r="W1210" s="7">
        <v>503</v>
      </c>
    </row>
    <row r="1211" spans="1:23" x14ac:dyDescent="0.35">
      <c r="A1211">
        <v>8</v>
      </c>
      <c r="B1211" s="18">
        <v>2025</v>
      </c>
      <c r="C1211" s="18" t="s">
        <v>33</v>
      </c>
      <c r="D1211" s="18" t="s">
        <v>36</v>
      </c>
      <c r="E1211" s="18" t="s">
        <v>151</v>
      </c>
      <c r="G1211" s="51" t="s">
        <v>37</v>
      </c>
      <c r="H1211" s="3">
        <v>59929</v>
      </c>
      <c r="I1211" s="3">
        <v>4371</v>
      </c>
      <c r="J1211" s="2" t="s">
        <v>644</v>
      </c>
      <c r="R1211">
        <v>16.029876000000002</v>
      </c>
      <c r="S1211" s="6">
        <v>8597.3799999999992</v>
      </c>
      <c r="W1211" s="7">
        <v>484</v>
      </c>
    </row>
    <row r="1212" spans="1:23" x14ac:dyDescent="0.35">
      <c r="A1212">
        <v>8</v>
      </c>
      <c r="B1212" s="18">
        <v>2025</v>
      </c>
      <c r="C1212" s="18" t="s">
        <v>33</v>
      </c>
      <c r="D1212" s="18" t="s">
        <v>36</v>
      </c>
      <c r="E1212" s="18" t="s">
        <v>151</v>
      </c>
      <c r="G1212" s="51" t="s">
        <v>37</v>
      </c>
      <c r="H1212" s="3">
        <v>59929</v>
      </c>
      <c r="I1212" s="3">
        <v>4372</v>
      </c>
      <c r="J1212" s="2" t="s">
        <v>645</v>
      </c>
      <c r="R1212">
        <v>16.192347000000002</v>
      </c>
      <c r="S1212" s="6">
        <v>5580.34</v>
      </c>
      <c r="W1212" s="7">
        <v>311</v>
      </c>
    </row>
    <row r="1213" spans="1:23" x14ac:dyDescent="0.35">
      <c r="A1213">
        <v>8</v>
      </c>
      <c r="B1213" s="18">
        <v>2025</v>
      </c>
      <c r="C1213" s="18" t="s">
        <v>33</v>
      </c>
      <c r="D1213" s="18" t="s">
        <v>36</v>
      </c>
      <c r="E1213" s="18" t="s">
        <v>151</v>
      </c>
      <c r="G1213" s="51" t="s">
        <v>37</v>
      </c>
      <c r="H1213" s="3">
        <v>59929</v>
      </c>
      <c r="I1213" s="3">
        <v>4265</v>
      </c>
      <c r="J1213" s="2" t="s">
        <v>604</v>
      </c>
      <c r="R1213">
        <v>9.2063550000000003</v>
      </c>
      <c r="S1213" s="6">
        <v>6100.7</v>
      </c>
      <c r="W1213" s="7">
        <v>598</v>
      </c>
    </row>
    <row r="1214" spans="1:23" x14ac:dyDescent="0.35">
      <c r="A1214">
        <v>8</v>
      </c>
      <c r="B1214" s="18">
        <v>2025</v>
      </c>
      <c r="C1214" s="18" t="s">
        <v>33</v>
      </c>
      <c r="D1214" s="18" t="s">
        <v>36</v>
      </c>
      <c r="E1214" s="18" t="s">
        <v>151</v>
      </c>
      <c r="G1214" s="51" t="s">
        <v>37</v>
      </c>
      <c r="H1214" s="3">
        <v>59929</v>
      </c>
      <c r="I1214" s="3">
        <v>4245</v>
      </c>
      <c r="J1214" s="2" t="s">
        <v>616</v>
      </c>
      <c r="R1214">
        <v>9.0438779999999994</v>
      </c>
      <c r="S1214" s="6">
        <v>7235.74</v>
      </c>
      <c r="W1214" s="7">
        <v>722</v>
      </c>
    </row>
    <row r="1215" spans="1:23" x14ac:dyDescent="0.35">
      <c r="A1215">
        <v>8</v>
      </c>
      <c r="B1215" s="18">
        <v>2025</v>
      </c>
      <c r="C1215" s="18" t="s">
        <v>33</v>
      </c>
      <c r="D1215" s="18" t="s">
        <v>36</v>
      </c>
      <c r="E1215" s="18" t="s">
        <v>151</v>
      </c>
      <c r="G1215" s="51" t="s">
        <v>37</v>
      </c>
      <c r="H1215" s="3">
        <v>59929</v>
      </c>
      <c r="I1215" s="3">
        <v>4237</v>
      </c>
      <c r="J1215" s="2" t="s">
        <v>609</v>
      </c>
      <c r="R1215">
        <v>8.8272619999999993</v>
      </c>
      <c r="S1215" s="6">
        <v>7179.81</v>
      </c>
      <c r="W1215" s="7">
        <v>734</v>
      </c>
    </row>
    <row r="1216" spans="1:23" x14ac:dyDescent="0.35">
      <c r="A1216">
        <v>8</v>
      </c>
      <c r="B1216" s="18">
        <v>2025</v>
      </c>
      <c r="C1216" s="18" t="s">
        <v>33</v>
      </c>
      <c r="D1216" s="18" t="s">
        <v>36</v>
      </c>
      <c r="E1216" s="18" t="s">
        <v>151</v>
      </c>
      <c r="G1216" s="51" t="s">
        <v>37</v>
      </c>
      <c r="H1216" s="3">
        <v>59929</v>
      </c>
      <c r="I1216" s="3">
        <v>4238</v>
      </c>
      <c r="J1216" s="2" t="s">
        <v>610</v>
      </c>
      <c r="R1216">
        <v>9.0438880000000008</v>
      </c>
      <c r="S1216" s="6">
        <v>7887.16</v>
      </c>
      <c r="W1216" s="7">
        <v>787</v>
      </c>
    </row>
    <row r="1217" spans="1:23" x14ac:dyDescent="0.35">
      <c r="A1217">
        <v>8</v>
      </c>
      <c r="B1217" s="18">
        <v>2025</v>
      </c>
      <c r="C1217" s="18" t="s">
        <v>33</v>
      </c>
      <c r="D1217" s="18" t="s">
        <v>36</v>
      </c>
      <c r="E1217" s="18" t="s">
        <v>151</v>
      </c>
      <c r="G1217" s="51" t="s">
        <v>37</v>
      </c>
      <c r="H1217" s="3">
        <v>59929</v>
      </c>
      <c r="I1217" s="3">
        <v>4239</v>
      </c>
      <c r="J1217" s="2" t="s">
        <v>611</v>
      </c>
      <c r="R1217">
        <v>8.8272750000000002</v>
      </c>
      <c r="S1217" s="6">
        <v>4235.51</v>
      </c>
      <c r="W1217" s="7">
        <v>433</v>
      </c>
    </row>
    <row r="1218" spans="1:23" x14ac:dyDescent="0.35">
      <c r="A1218">
        <v>8</v>
      </c>
      <c r="B1218" s="18">
        <v>2025</v>
      </c>
      <c r="C1218" s="18" t="s">
        <v>33</v>
      </c>
      <c r="D1218" s="18" t="s">
        <v>36</v>
      </c>
      <c r="E1218" s="18" t="s">
        <v>151</v>
      </c>
      <c r="G1218" s="51" t="s">
        <v>37</v>
      </c>
      <c r="H1218" s="3">
        <v>59929</v>
      </c>
      <c r="I1218" s="3">
        <v>4241</v>
      </c>
      <c r="J1218" s="2" t="s">
        <v>612</v>
      </c>
      <c r="R1218">
        <v>9.2605109999999993</v>
      </c>
      <c r="S1218" s="6">
        <v>6228.9400000000005</v>
      </c>
      <c r="W1218" s="7">
        <v>607</v>
      </c>
    </row>
    <row r="1219" spans="1:23" x14ac:dyDescent="0.35">
      <c r="A1219">
        <v>8</v>
      </c>
      <c r="B1219" s="18">
        <v>2025</v>
      </c>
      <c r="C1219" s="18" t="s">
        <v>33</v>
      </c>
      <c r="D1219" s="18" t="s">
        <v>36</v>
      </c>
      <c r="E1219" s="18" t="s">
        <v>151</v>
      </c>
      <c r="G1219" s="51" t="s">
        <v>37</v>
      </c>
      <c r="H1219" s="3">
        <v>59929</v>
      </c>
      <c r="I1219" s="3">
        <v>4242</v>
      </c>
      <c r="J1219" s="2" t="s">
        <v>613</v>
      </c>
      <c r="R1219">
        <v>9.0438869999999998</v>
      </c>
      <c r="S1219" s="6">
        <v>7065.37</v>
      </c>
      <c r="W1219" s="7">
        <v>705</v>
      </c>
    </row>
    <row r="1220" spans="1:23" x14ac:dyDescent="0.35">
      <c r="A1220">
        <v>8</v>
      </c>
      <c r="B1220" s="18">
        <v>2025</v>
      </c>
      <c r="C1220" s="18" t="s">
        <v>33</v>
      </c>
      <c r="D1220" s="18" t="s">
        <v>36</v>
      </c>
      <c r="E1220" s="18" t="s">
        <v>151</v>
      </c>
      <c r="G1220" s="51" t="s">
        <v>37</v>
      </c>
      <c r="H1220" s="3">
        <v>59929</v>
      </c>
      <c r="I1220" s="3">
        <v>4243</v>
      </c>
      <c r="J1220" s="2" t="s">
        <v>608</v>
      </c>
      <c r="R1220">
        <v>9.4771289999999997</v>
      </c>
      <c r="S1220" s="6">
        <v>6658.2</v>
      </c>
      <c r="W1220" s="7">
        <v>634</v>
      </c>
    </row>
    <row r="1221" spans="1:23" x14ac:dyDescent="0.35">
      <c r="A1221">
        <v>8</v>
      </c>
      <c r="B1221" s="18">
        <v>2025</v>
      </c>
      <c r="C1221" s="18" t="s">
        <v>33</v>
      </c>
      <c r="D1221" s="18" t="s">
        <v>36</v>
      </c>
      <c r="E1221" s="18" t="s">
        <v>151</v>
      </c>
      <c r="G1221" s="51" t="s">
        <v>37</v>
      </c>
      <c r="H1221" s="3">
        <v>59929</v>
      </c>
      <c r="I1221" s="3">
        <v>4244</v>
      </c>
      <c r="J1221" s="2" t="s">
        <v>615</v>
      </c>
      <c r="R1221">
        <v>8.8272700000000004</v>
      </c>
      <c r="S1221" s="6">
        <v>7238.51</v>
      </c>
      <c r="W1221" s="7">
        <v>740</v>
      </c>
    </row>
    <row r="1222" spans="1:23" x14ac:dyDescent="0.35">
      <c r="A1222">
        <v>8</v>
      </c>
      <c r="B1222" s="18">
        <v>2025</v>
      </c>
      <c r="C1222" s="18" t="s">
        <v>33</v>
      </c>
      <c r="D1222" s="18" t="s">
        <v>36</v>
      </c>
      <c r="E1222" s="18" t="s">
        <v>151</v>
      </c>
      <c r="G1222" s="51" t="s">
        <v>37</v>
      </c>
      <c r="H1222" s="3">
        <v>59929</v>
      </c>
      <c r="I1222" s="3">
        <v>4254</v>
      </c>
      <c r="J1222" s="2" t="s">
        <v>599</v>
      </c>
      <c r="R1222">
        <v>8.8272659999999998</v>
      </c>
      <c r="S1222" s="6">
        <v>7013.5199999999995</v>
      </c>
      <c r="W1222" s="7">
        <v>717</v>
      </c>
    </row>
    <row r="1223" spans="1:23" x14ac:dyDescent="0.35">
      <c r="A1223">
        <v>8</v>
      </c>
      <c r="B1223" s="18">
        <v>2025</v>
      </c>
      <c r="C1223" s="18" t="s">
        <v>33</v>
      </c>
      <c r="D1223" s="18" t="s">
        <v>36</v>
      </c>
      <c r="E1223" s="18" t="s">
        <v>151</v>
      </c>
      <c r="G1223" s="51" t="s">
        <v>37</v>
      </c>
      <c r="H1223" s="3">
        <v>59929</v>
      </c>
      <c r="I1223" s="3">
        <v>4246</v>
      </c>
      <c r="J1223" s="2" t="s">
        <v>617</v>
      </c>
      <c r="R1223">
        <v>9.043882</v>
      </c>
      <c r="S1223" s="6">
        <v>6814.82</v>
      </c>
      <c r="W1223" s="7">
        <v>680</v>
      </c>
    </row>
    <row r="1224" spans="1:23" x14ac:dyDescent="0.35">
      <c r="A1224">
        <v>8</v>
      </c>
      <c r="B1224" s="18">
        <v>2025</v>
      </c>
      <c r="C1224" s="18" t="s">
        <v>33</v>
      </c>
      <c r="D1224" s="18" t="s">
        <v>36</v>
      </c>
      <c r="E1224" s="18" t="s">
        <v>151</v>
      </c>
      <c r="G1224" s="51" t="s">
        <v>37</v>
      </c>
      <c r="H1224" s="3">
        <v>59929</v>
      </c>
      <c r="I1224" s="3">
        <v>4247</v>
      </c>
      <c r="J1224" s="2" t="s">
        <v>618</v>
      </c>
      <c r="R1224">
        <v>9.0438899999999993</v>
      </c>
      <c r="S1224" s="6">
        <v>6955.13</v>
      </c>
      <c r="W1224" s="7">
        <v>694</v>
      </c>
    </row>
    <row r="1225" spans="1:23" x14ac:dyDescent="0.35">
      <c r="A1225">
        <v>8</v>
      </c>
      <c r="B1225" s="18">
        <v>2025</v>
      </c>
      <c r="C1225" s="18" t="s">
        <v>33</v>
      </c>
      <c r="D1225" s="18" t="s">
        <v>36</v>
      </c>
      <c r="E1225" s="18" t="s">
        <v>151</v>
      </c>
      <c r="G1225" s="51" t="s">
        <v>37</v>
      </c>
      <c r="H1225" s="3">
        <v>59929</v>
      </c>
      <c r="I1225" s="3">
        <v>4248</v>
      </c>
      <c r="J1225" s="2" t="s">
        <v>619</v>
      </c>
      <c r="R1225">
        <v>9.2604989999999994</v>
      </c>
      <c r="S1225" s="6">
        <v>6998.57</v>
      </c>
      <c r="W1225" s="7">
        <v>682</v>
      </c>
    </row>
    <row r="1226" spans="1:23" x14ac:dyDescent="0.35">
      <c r="A1226">
        <v>8</v>
      </c>
      <c r="B1226" s="18">
        <v>2025</v>
      </c>
      <c r="C1226" s="18" t="s">
        <v>33</v>
      </c>
      <c r="D1226" s="18" t="s">
        <v>36</v>
      </c>
      <c r="E1226" s="18" t="s">
        <v>151</v>
      </c>
      <c r="G1226" s="51" t="s">
        <v>37</v>
      </c>
      <c r="H1226" s="3">
        <v>59929</v>
      </c>
      <c r="I1226" s="3">
        <v>4249</v>
      </c>
      <c r="J1226" s="2" t="s">
        <v>607</v>
      </c>
      <c r="R1226">
        <v>8.9897369999999999</v>
      </c>
      <c r="S1226" s="6">
        <v>6813.87</v>
      </c>
      <c r="W1226" s="7">
        <v>684</v>
      </c>
    </row>
    <row r="1227" spans="1:23" x14ac:dyDescent="0.35">
      <c r="A1227">
        <v>8</v>
      </c>
      <c r="B1227" s="18">
        <v>2025</v>
      </c>
      <c r="C1227" s="18" t="s">
        <v>33</v>
      </c>
      <c r="D1227" s="18" t="s">
        <v>36</v>
      </c>
      <c r="E1227" s="18" t="s">
        <v>151</v>
      </c>
      <c r="G1227" s="51" t="s">
        <v>37</v>
      </c>
      <c r="H1227" s="3">
        <v>59929</v>
      </c>
      <c r="I1227" s="3">
        <v>4250</v>
      </c>
      <c r="J1227" s="2" t="s">
        <v>614</v>
      </c>
      <c r="R1227">
        <v>8.8272589999999997</v>
      </c>
      <c r="S1227" s="6">
        <v>6993.95</v>
      </c>
      <c r="W1227" s="7">
        <v>715</v>
      </c>
    </row>
    <row r="1228" spans="1:23" x14ac:dyDescent="0.35">
      <c r="A1228">
        <v>8</v>
      </c>
      <c r="B1228" s="18">
        <v>2025</v>
      </c>
      <c r="C1228" s="18" t="s">
        <v>33</v>
      </c>
      <c r="D1228" s="18" t="s">
        <v>36</v>
      </c>
      <c r="E1228" s="18" t="s">
        <v>151</v>
      </c>
      <c r="G1228" s="51" t="s">
        <v>37</v>
      </c>
      <c r="H1228" s="3">
        <v>59929</v>
      </c>
      <c r="I1228" s="3">
        <v>4251</v>
      </c>
      <c r="J1228" s="2" t="s">
        <v>596</v>
      </c>
      <c r="R1228">
        <v>8.9897270000000002</v>
      </c>
      <c r="S1228" s="6">
        <v>6923.44</v>
      </c>
      <c r="W1228" s="7">
        <v>695</v>
      </c>
    </row>
    <row r="1229" spans="1:23" x14ac:dyDescent="0.35">
      <c r="A1229">
        <v>8</v>
      </c>
      <c r="B1229" s="18">
        <v>2025</v>
      </c>
      <c r="C1229" s="18" t="s">
        <v>33</v>
      </c>
      <c r="D1229" s="18" t="s">
        <v>36</v>
      </c>
      <c r="E1229" s="18" t="s">
        <v>151</v>
      </c>
      <c r="G1229" s="51" t="s">
        <v>37</v>
      </c>
      <c r="H1229" s="3">
        <v>59929</v>
      </c>
      <c r="I1229" s="3">
        <v>4252</v>
      </c>
      <c r="J1229" s="2" t="s">
        <v>597</v>
      </c>
      <c r="R1229">
        <v>8.9897299999999998</v>
      </c>
      <c r="S1229" s="6">
        <v>6644.5099999999993</v>
      </c>
      <c r="W1229" s="7">
        <v>667</v>
      </c>
    </row>
    <row r="1230" spans="1:23" x14ac:dyDescent="0.35">
      <c r="A1230">
        <v>8</v>
      </c>
      <c r="B1230" s="18">
        <v>2025</v>
      </c>
      <c r="C1230" s="18" t="s">
        <v>33</v>
      </c>
      <c r="D1230" s="18" t="s">
        <v>36</v>
      </c>
      <c r="E1230" s="18" t="s">
        <v>151</v>
      </c>
      <c r="G1230" s="51" t="s">
        <v>37</v>
      </c>
      <c r="H1230" s="3">
        <v>59929</v>
      </c>
      <c r="I1230" s="3">
        <v>4253</v>
      </c>
      <c r="J1230" s="2" t="s">
        <v>598</v>
      </c>
      <c r="R1230">
        <v>8.8272650000000006</v>
      </c>
      <c r="S1230" s="6">
        <v>7189.59</v>
      </c>
      <c r="W1230" s="7">
        <v>735</v>
      </c>
    </row>
    <row r="1231" spans="1:23" x14ac:dyDescent="0.35">
      <c r="A1231">
        <v>8</v>
      </c>
      <c r="B1231" s="18">
        <v>2025</v>
      </c>
      <c r="C1231" s="18" t="s">
        <v>33</v>
      </c>
      <c r="D1231" s="18" t="s">
        <v>36</v>
      </c>
      <c r="E1231" s="18" t="s">
        <v>548</v>
      </c>
      <c r="G1231" s="51" t="s">
        <v>513</v>
      </c>
      <c r="H1231" s="3">
        <v>60101</v>
      </c>
      <c r="I1231" s="3">
        <v>4333</v>
      </c>
      <c r="J1231" s="2" t="s">
        <v>592</v>
      </c>
      <c r="R1231">
        <v>9.790559</v>
      </c>
      <c r="S1231" s="6">
        <v>25572.94</v>
      </c>
      <c r="W1231" s="7">
        <v>2612</v>
      </c>
    </row>
    <row r="1232" spans="1:23" x14ac:dyDescent="0.35">
      <c r="A1232">
        <v>8</v>
      </c>
      <c r="B1232" s="18">
        <v>2025</v>
      </c>
      <c r="C1232" s="18" t="s">
        <v>33</v>
      </c>
      <c r="D1232" s="18" t="s">
        <v>36</v>
      </c>
      <c r="E1232" s="18" t="s">
        <v>548</v>
      </c>
      <c r="G1232" s="51" t="s">
        <v>513</v>
      </c>
      <c r="H1232" s="3">
        <v>60101</v>
      </c>
      <c r="I1232" s="3">
        <v>4332</v>
      </c>
      <c r="J1232" s="2" t="s">
        <v>591</v>
      </c>
      <c r="R1232">
        <v>9.7905599999999993</v>
      </c>
      <c r="S1232" s="6">
        <v>38790.199999999997</v>
      </c>
      <c r="W1232" s="7">
        <v>3962</v>
      </c>
    </row>
    <row r="1233" spans="1:23" x14ac:dyDescent="0.35">
      <c r="A1233">
        <v>8</v>
      </c>
      <c r="B1233" s="18">
        <v>2025</v>
      </c>
      <c r="C1233" s="18" t="s">
        <v>33</v>
      </c>
      <c r="D1233" s="18" t="s">
        <v>36</v>
      </c>
      <c r="E1233" s="18" t="s">
        <v>548</v>
      </c>
      <c r="G1233" s="51" t="s">
        <v>513</v>
      </c>
      <c r="H1233" s="3">
        <v>60101</v>
      </c>
      <c r="I1233" s="3">
        <v>4331</v>
      </c>
      <c r="J1233" s="2" t="s">
        <v>594</v>
      </c>
      <c r="R1233">
        <v>10.062519999999999</v>
      </c>
      <c r="S1233" s="6">
        <v>70870.33</v>
      </c>
      <c r="W1233" s="7">
        <v>7043</v>
      </c>
    </row>
    <row r="1234" spans="1:23" x14ac:dyDescent="0.35">
      <c r="A1234">
        <v>8</v>
      </c>
      <c r="B1234" s="18">
        <v>2025</v>
      </c>
      <c r="C1234" s="18" t="s">
        <v>33</v>
      </c>
      <c r="D1234" s="18" t="s">
        <v>36</v>
      </c>
      <c r="E1234" s="18" t="s">
        <v>548</v>
      </c>
      <c r="G1234" s="51" t="s">
        <v>513</v>
      </c>
      <c r="H1234" s="3">
        <v>60101</v>
      </c>
      <c r="I1234" s="3">
        <v>4114</v>
      </c>
      <c r="J1234" s="2" t="s">
        <v>593</v>
      </c>
      <c r="R1234">
        <v>11.041575999999999</v>
      </c>
      <c r="S1234" s="6">
        <v>101593.54</v>
      </c>
      <c r="W1234" s="7">
        <v>9201</v>
      </c>
    </row>
    <row r="1235" spans="1:23" x14ac:dyDescent="0.35">
      <c r="A1235">
        <v>8</v>
      </c>
      <c r="B1235" s="18">
        <v>2025</v>
      </c>
      <c r="C1235" s="18" t="s">
        <v>33</v>
      </c>
      <c r="D1235" s="18" t="s">
        <v>36</v>
      </c>
      <c r="E1235" s="18" t="s">
        <v>116</v>
      </c>
      <c r="G1235" s="51" t="s">
        <v>50</v>
      </c>
      <c r="H1235" s="3">
        <v>60119</v>
      </c>
      <c r="I1235" s="3">
        <v>1419</v>
      </c>
      <c r="J1235" s="2" t="s">
        <v>341</v>
      </c>
      <c r="R1235">
        <v>12.238199</v>
      </c>
      <c r="S1235" s="6">
        <v>21269.99</v>
      </c>
      <c r="W1235" s="7">
        <v>1738</v>
      </c>
    </row>
    <row r="1236" spans="1:23" x14ac:dyDescent="0.35">
      <c r="A1236">
        <v>8</v>
      </c>
      <c r="B1236" s="18">
        <v>2025</v>
      </c>
      <c r="C1236" s="18" t="s">
        <v>33</v>
      </c>
      <c r="D1236" s="18" t="s">
        <v>36</v>
      </c>
      <c r="E1236" s="18" t="s">
        <v>116</v>
      </c>
      <c r="G1236" s="51" t="s">
        <v>50</v>
      </c>
      <c r="H1236" s="3">
        <v>60119</v>
      </c>
      <c r="I1236" s="3">
        <v>1422</v>
      </c>
      <c r="J1236" s="2" t="s">
        <v>339</v>
      </c>
      <c r="R1236">
        <v>15.392943000000001</v>
      </c>
      <c r="S1236" s="6">
        <v>8681.6200000000008</v>
      </c>
      <c r="W1236" s="7">
        <v>564</v>
      </c>
    </row>
    <row r="1237" spans="1:23" x14ac:dyDescent="0.35">
      <c r="A1237">
        <v>8</v>
      </c>
      <c r="B1237" s="18">
        <v>2025</v>
      </c>
      <c r="C1237" s="18" t="s">
        <v>33</v>
      </c>
      <c r="D1237" s="18" t="s">
        <v>36</v>
      </c>
      <c r="E1237" s="18" t="s">
        <v>387</v>
      </c>
      <c r="G1237" s="51" t="s">
        <v>388</v>
      </c>
      <c r="H1237" s="3">
        <v>60186</v>
      </c>
      <c r="I1237" s="3">
        <v>4357</v>
      </c>
      <c r="J1237" s="2" t="s">
        <v>650</v>
      </c>
      <c r="R1237">
        <v>12.199</v>
      </c>
      <c r="S1237" s="6">
        <v>121.99</v>
      </c>
      <c r="W1237" s="7">
        <v>10</v>
      </c>
    </row>
    <row r="1238" spans="1:23" x14ac:dyDescent="0.35">
      <c r="A1238">
        <v>8</v>
      </c>
      <c r="B1238" s="18">
        <v>2025</v>
      </c>
      <c r="C1238" s="18" t="s">
        <v>33</v>
      </c>
      <c r="D1238" s="18" t="s">
        <v>36</v>
      </c>
      <c r="E1238" s="18" t="s">
        <v>387</v>
      </c>
      <c r="G1238" s="51" t="s">
        <v>388</v>
      </c>
      <c r="H1238" s="3">
        <v>60186</v>
      </c>
      <c r="I1238" s="3">
        <v>4356</v>
      </c>
      <c r="J1238" s="2" t="s">
        <v>651</v>
      </c>
      <c r="R1238">
        <v>15.289479</v>
      </c>
      <c r="S1238" s="6">
        <v>9387.74</v>
      </c>
      <c r="W1238" s="7">
        <v>614</v>
      </c>
    </row>
    <row r="1239" spans="1:23" x14ac:dyDescent="0.35">
      <c r="A1239">
        <v>8</v>
      </c>
      <c r="B1239" s="18">
        <v>2025</v>
      </c>
      <c r="C1239" s="18" t="s">
        <v>33</v>
      </c>
      <c r="D1239" s="18" t="s">
        <v>36</v>
      </c>
      <c r="E1239" s="18" t="s">
        <v>387</v>
      </c>
      <c r="G1239" s="51" t="s">
        <v>388</v>
      </c>
      <c r="H1239" s="3">
        <v>60186</v>
      </c>
      <c r="I1239" s="3">
        <v>4355</v>
      </c>
      <c r="J1239" s="2" t="s">
        <v>652</v>
      </c>
      <c r="R1239">
        <v>14.909948</v>
      </c>
      <c r="S1239" s="6">
        <v>19904.78</v>
      </c>
      <c r="W1239" s="7">
        <v>1335</v>
      </c>
    </row>
    <row r="1240" spans="1:23" x14ac:dyDescent="0.35">
      <c r="A1240">
        <v>8</v>
      </c>
      <c r="B1240" s="18">
        <v>2025</v>
      </c>
      <c r="C1240" s="18" t="s">
        <v>33</v>
      </c>
      <c r="D1240" s="18" t="s">
        <v>36</v>
      </c>
      <c r="E1240" s="18" t="s">
        <v>387</v>
      </c>
      <c r="G1240" s="51" t="s">
        <v>388</v>
      </c>
      <c r="H1240" s="3">
        <v>60186</v>
      </c>
      <c r="I1240" s="3">
        <v>4354</v>
      </c>
      <c r="J1240" s="2" t="s">
        <v>653</v>
      </c>
      <c r="R1240">
        <v>15.018393</v>
      </c>
      <c r="S1240" s="6">
        <v>6728.24</v>
      </c>
      <c r="W1240" s="7">
        <v>448</v>
      </c>
    </row>
    <row r="1241" spans="1:23" x14ac:dyDescent="0.35">
      <c r="A1241">
        <v>8</v>
      </c>
      <c r="B1241" s="18">
        <v>2025</v>
      </c>
      <c r="C1241" s="18" t="s">
        <v>33</v>
      </c>
      <c r="D1241" s="18" t="s">
        <v>36</v>
      </c>
      <c r="E1241" s="18" t="s">
        <v>387</v>
      </c>
      <c r="G1241" s="51" t="s">
        <v>388</v>
      </c>
      <c r="H1241" s="3">
        <v>60186</v>
      </c>
      <c r="I1241" s="3">
        <v>4352</v>
      </c>
      <c r="J1241" s="2" t="s">
        <v>654</v>
      </c>
      <c r="R1241">
        <v>12.632792999999999</v>
      </c>
      <c r="S1241" s="6">
        <v>10447.32</v>
      </c>
      <c r="W1241" s="7">
        <v>827</v>
      </c>
    </row>
    <row r="1242" spans="1:23" x14ac:dyDescent="0.35">
      <c r="A1242">
        <v>8</v>
      </c>
      <c r="B1242" s="18">
        <v>2025</v>
      </c>
      <c r="C1242" s="18" t="s">
        <v>33</v>
      </c>
      <c r="D1242" s="18" t="s">
        <v>36</v>
      </c>
      <c r="E1242" s="18" t="s">
        <v>387</v>
      </c>
      <c r="G1242" s="51" t="s">
        <v>388</v>
      </c>
      <c r="H1242" s="3">
        <v>60186</v>
      </c>
      <c r="I1242" s="3">
        <v>4351</v>
      </c>
      <c r="J1242" s="2" t="s">
        <v>655</v>
      </c>
      <c r="R1242">
        <v>10.952038999999999</v>
      </c>
      <c r="S1242" s="6">
        <v>5585.54</v>
      </c>
      <c r="W1242" s="7">
        <v>510</v>
      </c>
    </row>
    <row r="1243" spans="1:23" x14ac:dyDescent="0.35">
      <c r="A1243">
        <v>8</v>
      </c>
      <c r="B1243" s="18">
        <v>2025</v>
      </c>
      <c r="C1243" s="18" t="s">
        <v>33</v>
      </c>
      <c r="D1243" s="18" t="s">
        <v>36</v>
      </c>
      <c r="E1243" s="18" t="s">
        <v>387</v>
      </c>
      <c r="G1243" s="51" t="s">
        <v>388</v>
      </c>
      <c r="H1243" s="3">
        <v>60186</v>
      </c>
      <c r="I1243" s="3">
        <v>3578</v>
      </c>
      <c r="J1243" s="2" t="s">
        <v>503</v>
      </c>
      <c r="R1243">
        <v>16.265395999999999</v>
      </c>
      <c r="S1243" s="6">
        <v>15403.33</v>
      </c>
      <c r="W1243" s="7">
        <v>947</v>
      </c>
    </row>
    <row r="1244" spans="1:23" x14ac:dyDescent="0.35">
      <c r="A1244">
        <v>8</v>
      </c>
      <c r="B1244" s="18">
        <v>2025</v>
      </c>
      <c r="C1244" s="18" t="s">
        <v>33</v>
      </c>
      <c r="D1244" s="18" t="s">
        <v>36</v>
      </c>
      <c r="E1244" s="18" t="s">
        <v>390</v>
      </c>
      <c r="G1244" s="51" t="s">
        <v>43</v>
      </c>
      <c r="H1244" s="3">
        <v>60215</v>
      </c>
      <c r="I1244" s="3">
        <v>3131</v>
      </c>
      <c r="J1244" s="2" t="s">
        <v>640</v>
      </c>
      <c r="R1244">
        <v>9.8514660000000003</v>
      </c>
      <c r="S1244" s="6">
        <v>3428.31</v>
      </c>
      <c r="W1244" s="7">
        <v>348</v>
      </c>
    </row>
    <row r="1245" spans="1:23" s="60" customFormat="1" x14ac:dyDescent="0.35">
      <c r="A1245" s="60">
        <v>9</v>
      </c>
      <c r="B1245" s="60">
        <v>2025</v>
      </c>
      <c r="C1245" s="60" t="s">
        <v>33</v>
      </c>
      <c r="D1245" s="60" t="s">
        <v>36</v>
      </c>
      <c r="E1245" s="60" t="s">
        <v>390</v>
      </c>
      <c r="F1245" s="61"/>
      <c r="G1245" s="62" t="s">
        <v>43</v>
      </c>
      <c r="H1245" s="61">
        <v>60627</v>
      </c>
      <c r="I1245" s="61">
        <v>3135</v>
      </c>
      <c r="J1245" s="62" t="s">
        <v>631</v>
      </c>
      <c r="R1245" s="60">
        <v>8.5883219999999998</v>
      </c>
      <c r="S1245" s="124">
        <v>6140.65</v>
      </c>
      <c r="U1245" s="60">
        <v>160</v>
      </c>
      <c r="W1245" s="131">
        <v>715</v>
      </c>
    </row>
    <row r="1246" spans="1:23" x14ac:dyDescent="0.35">
      <c r="A1246" s="18">
        <v>9</v>
      </c>
      <c r="B1246" s="18">
        <v>2025</v>
      </c>
      <c r="C1246" s="18" t="s">
        <v>657</v>
      </c>
      <c r="D1246" s="18" t="s">
        <v>36</v>
      </c>
      <c r="E1246" s="18" t="s">
        <v>550</v>
      </c>
      <c r="G1246" s="51" t="s">
        <v>36</v>
      </c>
      <c r="H1246" s="3">
        <v>60628</v>
      </c>
      <c r="I1246" s="3">
        <v>1912</v>
      </c>
      <c r="J1246" s="2" t="s">
        <v>658</v>
      </c>
      <c r="R1246">
        <v>3366.68</v>
      </c>
      <c r="S1246" s="6">
        <v>3366.68</v>
      </c>
      <c r="W1246" s="7">
        <v>1</v>
      </c>
    </row>
    <row r="1247" spans="1:23" x14ac:dyDescent="0.35">
      <c r="A1247" s="18">
        <v>9</v>
      </c>
      <c r="B1247" s="18">
        <v>2025</v>
      </c>
      <c r="C1247" s="18" t="s">
        <v>657</v>
      </c>
      <c r="D1247" s="18" t="s">
        <v>36</v>
      </c>
      <c r="E1247" s="18" t="s">
        <v>550</v>
      </c>
      <c r="G1247" s="51" t="s">
        <v>36</v>
      </c>
      <c r="H1247" s="3">
        <v>60634</v>
      </c>
      <c r="I1247" s="3">
        <v>1912</v>
      </c>
      <c r="J1247" s="2" t="s">
        <v>658</v>
      </c>
      <c r="R1247">
        <v>5702.76</v>
      </c>
      <c r="S1247" s="6">
        <v>5702.76</v>
      </c>
      <c r="W1247" s="7">
        <v>1</v>
      </c>
    </row>
    <row r="1248" spans="1:23" x14ac:dyDescent="0.35">
      <c r="A1248" s="18">
        <v>9</v>
      </c>
      <c r="B1248" s="18">
        <v>2025</v>
      </c>
      <c r="C1248" s="18" t="s">
        <v>33</v>
      </c>
      <c r="D1248" s="18" t="s">
        <v>36</v>
      </c>
      <c r="E1248" s="18" t="s">
        <v>387</v>
      </c>
      <c r="G1248" s="51" t="s">
        <v>388</v>
      </c>
      <c r="H1248" s="3">
        <v>60777</v>
      </c>
      <c r="I1248" s="3">
        <v>4351</v>
      </c>
      <c r="J1248" s="2" t="s">
        <v>655</v>
      </c>
      <c r="R1248">
        <v>10.708102999999999</v>
      </c>
      <c r="S1248" s="6">
        <v>621.07000000000005</v>
      </c>
      <c r="U1248">
        <v>220</v>
      </c>
      <c r="W1248" s="7">
        <v>58</v>
      </c>
    </row>
    <row r="1249" spans="1:23" x14ac:dyDescent="0.35">
      <c r="A1249" s="18">
        <v>9</v>
      </c>
      <c r="B1249" s="18">
        <v>2025</v>
      </c>
      <c r="C1249" s="18" t="s">
        <v>33</v>
      </c>
      <c r="D1249" s="18" t="s">
        <v>36</v>
      </c>
      <c r="E1249" s="18" t="s">
        <v>387</v>
      </c>
      <c r="G1249" s="51" t="s">
        <v>388</v>
      </c>
      <c r="H1249" s="3">
        <v>60777</v>
      </c>
      <c r="I1249" s="3">
        <v>4352</v>
      </c>
      <c r="J1249" s="2" t="s">
        <v>654</v>
      </c>
      <c r="R1249">
        <v>12.351338999999999</v>
      </c>
      <c r="S1249" s="6">
        <v>1383.35</v>
      </c>
      <c r="U1249">
        <v>220</v>
      </c>
      <c r="W1249" s="7">
        <v>112</v>
      </c>
    </row>
    <row r="1250" spans="1:23" x14ac:dyDescent="0.35">
      <c r="A1250" s="18">
        <v>9</v>
      </c>
      <c r="B1250" s="18">
        <v>2025</v>
      </c>
      <c r="C1250" s="18" t="s">
        <v>33</v>
      </c>
      <c r="D1250" s="18" t="s">
        <v>36</v>
      </c>
      <c r="E1250" s="18" t="s">
        <v>42</v>
      </c>
      <c r="G1250" s="51" t="s">
        <v>43</v>
      </c>
      <c r="H1250" s="3">
        <v>60876</v>
      </c>
      <c r="I1250" s="3">
        <v>1523</v>
      </c>
      <c r="J1250" s="2" t="s">
        <v>282</v>
      </c>
      <c r="R1250">
        <v>8.0720100000000006</v>
      </c>
      <c r="S1250" s="6">
        <v>4617.1899999999996</v>
      </c>
      <c r="W1250" s="7">
        <v>572</v>
      </c>
    </row>
    <row r="1251" spans="1:23" x14ac:dyDescent="0.35">
      <c r="A1251" s="18">
        <v>9</v>
      </c>
      <c r="B1251" s="18">
        <v>2025</v>
      </c>
      <c r="C1251" s="18" t="s">
        <v>33</v>
      </c>
      <c r="D1251" s="18" t="s">
        <v>36</v>
      </c>
      <c r="E1251" s="18" t="s">
        <v>42</v>
      </c>
      <c r="G1251" s="51" t="s">
        <v>43</v>
      </c>
      <c r="H1251" s="3">
        <v>60876</v>
      </c>
      <c r="I1251" s="3">
        <v>1523</v>
      </c>
      <c r="J1251" s="2" t="s">
        <v>282</v>
      </c>
      <c r="R1251">
        <v>8.0720100000000006</v>
      </c>
      <c r="S1251" s="6">
        <v>15264.17</v>
      </c>
      <c r="W1251" s="7">
        <v>1891</v>
      </c>
    </row>
    <row r="1252" spans="1:23" x14ac:dyDescent="0.35">
      <c r="A1252" s="18">
        <v>9</v>
      </c>
      <c r="B1252" s="18">
        <v>2025</v>
      </c>
      <c r="C1252" s="18" t="s">
        <v>33</v>
      </c>
      <c r="D1252" s="18" t="s">
        <v>36</v>
      </c>
      <c r="E1252" s="18" t="s">
        <v>42</v>
      </c>
      <c r="G1252" s="51" t="s">
        <v>43</v>
      </c>
      <c r="H1252" s="3">
        <v>60877</v>
      </c>
      <c r="I1252" s="3">
        <v>1226</v>
      </c>
      <c r="J1252" s="2" t="s">
        <v>266</v>
      </c>
      <c r="R1252">
        <v>15.395617</v>
      </c>
      <c r="S1252" s="6">
        <v>32176.84</v>
      </c>
      <c r="U1252">
        <v>260</v>
      </c>
      <c r="W1252" s="7">
        <v>2090</v>
      </c>
    </row>
    <row r="1253" spans="1:23" x14ac:dyDescent="0.35">
      <c r="A1253" s="18">
        <v>9</v>
      </c>
      <c r="B1253" s="18">
        <v>2025</v>
      </c>
      <c r="C1253" s="18" t="s">
        <v>33</v>
      </c>
      <c r="D1253" s="18" t="s">
        <v>36</v>
      </c>
      <c r="E1253" s="18" t="s">
        <v>42</v>
      </c>
      <c r="G1253" s="51" t="s">
        <v>43</v>
      </c>
      <c r="H1253" s="3">
        <v>60877</v>
      </c>
      <c r="I1253" s="3">
        <v>2053</v>
      </c>
      <c r="J1253" s="2" t="s">
        <v>331</v>
      </c>
      <c r="R1253">
        <v>18.175374000000001</v>
      </c>
      <c r="S1253" s="6">
        <v>9469.3700000000008</v>
      </c>
      <c r="U1253">
        <v>300</v>
      </c>
      <c r="W1253" s="7">
        <v>521</v>
      </c>
    </row>
    <row r="1254" spans="1:23" x14ac:dyDescent="0.35">
      <c r="A1254" s="18">
        <v>9</v>
      </c>
      <c r="B1254" s="18">
        <v>2025</v>
      </c>
      <c r="C1254" s="18" t="s">
        <v>33</v>
      </c>
      <c r="D1254" s="18" t="s">
        <v>36</v>
      </c>
      <c r="E1254" s="18" t="s">
        <v>42</v>
      </c>
      <c r="G1254" s="51" t="s">
        <v>43</v>
      </c>
      <c r="H1254" s="3">
        <v>60877</v>
      </c>
      <c r="I1254" s="3">
        <v>3009</v>
      </c>
      <c r="J1254" s="2" t="s">
        <v>424</v>
      </c>
      <c r="R1254">
        <v>22.986509000000002</v>
      </c>
      <c r="S1254" s="6">
        <v>10665.74</v>
      </c>
      <c r="U1254">
        <v>300</v>
      </c>
      <c r="W1254" s="7">
        <v>464</v>
      </c>
    </row>
    <row r="1255" spans="1:23" x14ac:dyDescent="0.35">
      <c r="A1255" s="18">
        <v>9</v>
      </c>
      <c r="B1255" s="18">
        <v>2025</v>
      </c>
      <c r="C1255" s="18" t="s">
        <v>33</v>
      </c>
      <c r="D1255" s="18" t="s">
        <v>36</v>
      </c>
      <c r="E1255" s="18" t="s">
        <v>42</v>
      </c>
      <c r="G1255" s="51" t="s">
        <v>43</v>
      </c>
      <c r="H1255" s="3">
        <v>60877</v>
      </c>
      <c r="I1255" s="3">
        <v>3712</v>
      </c>
      <c r="J1255" s="2" t="s">
        <v>520</v>
      </c>
      <c r="R1255">
        <v>17.106238999999999</v>
      </c>
      <c r="S1255" s="6">
        <v>32108.41</v>
      </c>
      <c r="U1255">
        <v>280</v>
      </c>
      <c r="W1255" s="7">
        <v>1877</v>
      </c>
    </row>
    <row r="1256" spans="1:23" x14ac:dyDescent="0.35">
      <c r="A1256" s="18">
        <v>9</v>
      </c>
      <c r="B1256" s="18">
        <v>2025</v>
      </c>
      <c r="C1256" s="18" t="s">
        <v>33</v>
      </c>
      <c r="D1256" s="18" t="s">
        <v>36</v>
      </c>
      <c r="E1256" s="18" t="s">
        <v>116</v>
      </c>
      <c r="G1256" s="51" t="s">
        <v>50</v>
      </c>
      <c r="H1256" s="3">
        <v>60927</v>
      </c>
      <c r="I1256" s="3">
        <v>3378</v>
      </c>
      <c r="J1256" s="2" t="s">
        <v>460</v>
      </c>
      <c r="R1256">
        <v>25.759307</v>
      </c>
      <c r="S1256" s="6">
        <v>9299.11</v>
      </c>
      <c r="U1256">
        <v>370</v>
      </c>
      <c r="W1256" s="7">
        <v>361</v>
      </c>
    </row>
    <row r="1257" spans="1:23" x14ac:dyDescent="0.35">
      <c r="A1257" s="18">
        <v>9</v>
      </c>
      <c r="B1257" s="18">
        <v>2025</v>
      </c>
      <c r="C1257" s="18" t="s">
        <v>33</v>
      </c>
      <c r="D1257" s="18" t="s">
        <v>36</v>
      </c>
      <c r="E1257" s="18" t="s">
        <v>116</v>
      </c>
      <c r="G1257" s="51" t="s">
        <v>50</v>
      </c>
      <c r="H1257" s="3">
        <v>60927</v>
      </c>
      <c r="I1257" s="3">
        <v>1419</v>
      </c>
      <c r="J1257" s="2" t="s">
        <v>341</v>
      </c>
      <c r="R1257">
        <v>11.950198</v>
      </c>
      <c r="S1257" s="6">
        <v>6022.9</v>
      </c>
      <c r="U1257">
        <v>180</v>
      </c>
      <c r="W1257" s="7">
        <v>504</v>
      </c>
    </row>
    <row r="1258" spans="1:23" x14ac:dyDescent="0.35">
      <c r="A1258" s="18">
        <v>9</v>
      </c>
      <c r="B1258" s="18">
        <v>2025</v>
      </c>
      <c r="C1258" s="18" t="s">
        <v>33</v>
      </c>
      <c r="D1258" s="18" t="s">
        <v>36</v>
      </c>
      <c r="E1258" s="18" t="s">
        <v>116</v>
      </c>
      <c r="G1258" s="51" t="s">
        <v>50</v>
      </c>
      <c r="H1258" s="3">
        <v>60927</v>
      </c>
      <c r="I1258" s="3">
        <v>1422</v>
      </c>
      <c r="J1258" s="2" t="s">
        <v>339</v>
      </c>
      <c r="R1258">
        <v>15.030706</v>
      </c>
      <c r="S1258" s="6">
        <v>7455.23</v>
      </c>
      <c r="U1258">
        <v>240</v>
      </c>
      <c r="W1258" s="7">
        <v>496</v>
      </c>
    </row>
    <row r="1259" spans="1:23" x14ac:dyDescent="0.35">
      <c r="A1259" s="18">
        <v>9</v>
      </c>
      <c r="B1259" s="18">
        <v>2025</v>
      </c>
      <c r="C1259" s="18" t="s">
        <v>33</v>
      </c>
      <c r="D1259" s="18" t="s">
        <v>36</v>
      </c>
      <c r="E1259" s="18" t="s">
        <v>512</v>
      </c>
      <c r="G1259" s="51" t="s">
        <v>513</v>
      </c>
      <c r="H1259" s="3">
        <v>61049</v>
      </c>
      <c r="I1259" s="3">
        <v>4401</v>
      </c>
      <c r="J1259" s="2" t="s">
        <v>659</v>
      </c>
      <c r="R1259">
        <v>15.542868</v>
      </c>
      <c r="S1259" s="6">
        <v>89628.26</v>
      </c>
      <c r="U1259">
        <v>240</v>
      </c>
      <c r="W1259" s="7">
        <v>5766.52</v>
      </c>
    </row>
    <row r="1260" spans="1:23" x14ac:dyDescent="0.35">
      <c r="A1260" s="18">
        <v>9</v>
      </c>
      <c r="B1260" s="18">
        <v>2025</v>
      </c>
      <c r="C1260" s="18" t="s">
        <v>33</v>
      </c>
      <c r="D1260" s="18" t="s">
        <v>36</v>
      </c>
      <c r="E1260" s="18" t="s">
        <v>512</v>
      </c>
      <c r="G1260" s="51" t="s">
        <v>513</v>
      </c>
      <c r="H1260" s="3">
        <v>61049</v>
      </c>
      <c r="I1260" s="3">
        <v>4402</v>
      </c>
      <c r="J1260" s="2" t="s">
        <v>660</v>
      </c>
      <c r="R1260">
        <v>14.850891000000001</v>
      </c>
      <c r="S1260" s="6">
        <v>90501.33</v>
      </c>
      <c r="U1260">
        <v>240</v>
      </c>
      <c r="W1260" s="7">
        <v>6094</v>
      </c>
    </row>
    <row r="1261" spans="1:23" x14ac:dyDescent="0.35">
      <c r="A1261" s="18">
        <v>9</v>
      </c>
      <c r="B1261" s="18">
        <v>2025</v>
      </c>
      <c r="C1261" s="18" t="s">
        <v>33</v>
      </c>
      <c r="D1261" s="18" t="s">
        <v>36</v>
      </c>
      <c r="E1261" s="18" t="s">
        <v>295</v>
      </c>
      <c r="G1261" s="51" t="s">
        <v>82</v>
      </c>
      <c r="H1261" s="3">
        <v>61050</v>
      </c>
      <c r="I1261" s="3">
        <v>3702</v>
      </c>
      <c r="J1261" s="2" t="s">
        <v>518</v>
      </c>
      <c r="R1261">
        <v>12.136214000000001</v>
      </c>
      <c r="S1261" s="6">
        <v>25546.73</v>
      </c>
      <c r="U1261">
        <v>180</v>
      </c>
      <c r="W1261" s="7">
        <v>2105</v>
      </c>
    </row>
    <row r="1262" spans="1:23" x14ac:dyDescent="0.35">
      <c r="A1262" s="18">
        <v>9</v>
      </c>
      <c r="B1262" s="18">
        <v>2025</v>
      </c>
      <c r="C1262" s="18" t="s">
        <v>33</v>
      </c>
      <c r="D1262" s="18" t="s">
        <v>36</v>
      </c>
      <c r="E1262" s="18" t="s">
        <v>295</v>
      </c>
      <c r="G1262" s="51" t="s">
        <v>82</v>
      </c>
      <c r="H1262" s="3">
        <v>61050</v>
      </c>
      <c r="I1262" s="3">
        <v>3701</v>
      </c>
      <c r="J1262" s="2" t="s">
        <v>588</v>
      </c>
      <c r="R1262">
        <v>7.6649789999999998</v>
      </c>
      <c r="S1262" s="6">
        <v>10868.94</v>
      </c>
      <c r="U1262">
        <v>180</v>
      </c>
      <c r="W1262" s="7">
        <v>1418</v>
      </c>
    </row>
    <row r="1263" spans="1:23" x14ac:dyDescent="0.35">
      <c r="A1263" s="18">
        <v>9</v>
      </c>
      <c r="B1263" s="18">
        <v>2025</v>
      </c>
      <c r="C1263" s="18" t="s">
        <v>33</v>
      </c>
      <c r="D1263" s="18" t="s">
        <v>36</v>
      </c>
      <c r="E1263" s="18" t="s">
        <v>295</v>
      </c>
      <c r="G1263" s="51" t="s">
        <v>82</v>
      </c>
      <c r="H1263" s="3">
        <v>61050</v>
      </c>
      <c r="I1263" s="3">
        <v>3700</v>
      </c>
      <c r="J1263" s="2" t="s">
        <v>587</v>
      </c>
      <c r="R1263">
        <v>7.2923660000000003</v>
      </c>
      <c r="S1263" s="6">
        <v>2989.87</v>
      </c>
      <c r="U1263">
        <v>180</v>
      </c>
      <c r="W1263" s="7">
        <v>410</v>
      </c>
    </row>
    <row r="1264" spans="1:23" x14ac:dyDescent="0.35">
      <c r="A1264" s="18">
        <v>9</v>
      </c>
      <c r="B1264" s="18">
        <v>2025</v>
      </c>
      <c r="C1264" s="18" t="s">
        <v>33</v>
      </c>
      <c r="D1264" s="18" t="s">
        <v>36</v>
      </c>
      <c r="E1264" s="18" t="s">
        <v>295</v>
      </c>
      <c r="G1264" s="51" t="s">
        <v>82</v>
      </c>
      <c r="H1264" s="3">
        <v>61050</v>
      </c>
      <c r="I1264" s="3">
        <v>3270</v>
      </c>
      <c r="J1264" s="2" t="s">
        <v>452</v>
      </c>
      <c r="R1264">
        <v>11.710379</v>
      </c>
      <c r="S1264" s="6">
        <v>5246.25</v>
      </c>
      <c r="U1264">
        <v>220</v>
      </c>
      <c r="W1264" s="7">
        <v>448</v>
      </c>
    </row>
    <row r="1265" spans="1:23" x14ac:dyDescent="0.35">
      <c r="A1265" s="18">
        <v>9</v>
      </c>
      <c r="B1265" s="18">
        <v>2025</v>
      </c>
      <c r="C1265" s="18" t="s">
        <v>33</v>
      </c>
      <c r="D1265" s="18" t="s">
        <v>36</v>
      </c>
      <c r="E1265" s="18" t="s">
        <v>295</v>
      </c>
      <c r="G1265" s="51" t="s">
        <v>82</v>
      </c>
      <c r="H1265" s="3">
        <v>61050</v>
      </c>
      <c r="I1265" s="3">
        <v>1979</v>
      </c>
      <c r="J1265" s="2" t="s">
        <v>299</v>
      </c>
      <c r="R1265">
        <v>25.283774000000001</v>
      </c>
      <c r="S1265" s="6">
        <v>16080.48</v>
      </c>
      <c r="U1265">
        <v>320</v>
      </c>
      <c r="W1265" s="7">
        <v>636</v>
      </c>
    </row>
    <row r="1266" spans="1:23" x14ac:dyDescent="0.35">
      <c r="A1266" s="18">
        <v>9</v>
      </c>
      <c r="B1266" s="18">
        <v>2025</v>
      </c>
      <c r="C1266" s="18" t="s">
        <v>33</v>
      </c>
      <c r="D1266" s="18" t="s">
        <v>36</v>
      </c>
      <c r="E1266" s="18" t="s">
        <v>295</v>
      </c>
      <c r="G1266" s="51" t="s">
        <v>82</v>
      </c>
      <c r="H1266" s="3">
        <v>61050</v>
      </c>
      <c r="I1266" s="3">
        <v>1757</v>
      </c>
      <c r="J1266" s="2" t="s">
        <v>296</v>
      </c>
      <c r="R1266">
        <v>18.41724</v>
      </c>
      <c r="S1266" s="6">
        <v>13812.93</v>
      </c>
      <c r="U1266">
        <v>350</v>
      </c>
      <c r="W1266" s="7">
        <v>750</v>
      </c>
    </row>
    <row r="1267" spans="1:23" x14ac:dyDescent="0.35">
      <c r="A1267" s="18">
        <v>9</v>
      </c>
      <c r="B1267" s="18">
        <v>2025</v>
      </c>
      <c r="C1267" s="18" t="s">
        <v>33</v>
      </c>
      <c r="D1267" s="18" t="s">
        <v>36</v>
      </c>
      <c r="E1267" s="18" t="s">
        <v>548</v>
      </c>
      <c r="G1267" s="51" t="s">
        <v>513</v>
      </c>
      <c r="H1267" s="3">
        <v>61051</v>
      </c>
      <c r="I1267" s="3">
        <v>4114</v>
      </c>
      <c r="J1267" s="2" t="s">
        <v>593</v>
      </c>
      <c r="R1267">
        <v>10.805486999999999</v>
      </c>
      <c r="S1267" s="6">
        <v>98038.18</v>
      </c>
      <c r="U1267">
        <v>240</v>
      </c>
      <c r="W1267" s="7">
        <v>9073</v>
      </c>
    </row>
    <row r="1268" spans="1:23" x14ac:dyDescent="0.35">
      <c r="A1268" s="18">
        <v>9</v>
      </c>
      <c r="B1268" s="18">
        <v>2025</v>
      </c>
      <c r="C1268" s="18" t="s">
        <v>33</v>
      </c>
      <c r="D1268" s="18" t="s">
        <v>36</v>
      </c>
      <c r="E1268" s="18" t="s">
        <v>548</v>
      </c>
      <c r="G1268" s="51" t="s">
        <v>513</v>
      </c>
      <c r="H1268" s="3">
        <v>61051</v>
      </c>
      <c r="I1268" s="3">
        <v>4331</v>
      </c>
      <c r="J1268" s="2" t="s">
        <v>594</v>
      </c>
      <c r="R1268">
        <v>9.8473640000000007</v>
      </c>
      <c r="S1268" s="6">
        <v>60640.07</v>
      </c>
      <c r="U1268">
        <v>200</v>
      </c>
      <c r="W1268" s="7">
        <v>6158</v>
      </c>
    </row>
    <row r="1269" spans="1:23" x14ac:dyDescent="0.35">
      <c r="A1269" s="18">
        <v>9</v>
      </c>
      <c r="B1269" s="18">
        <v>2025</v>
      </c>
      <c r="C1269" s="18" t="s">
        <v>33</v>
      </c>
      <c r="D1269" s="18" t="s">
        <v>36</v>
      </c>
      <c r="E1269" s="18" t="s">
        <v>548</v>
      </c>
      <c r="G1269" s="51" t="s">
        <v>513</v>
      </c>
      <c r="H1269" s="3">
        <v>61051</v>
      </c>
      <c r="I1269" s="3">
        <v>4332</v>
      </c>
      <c r="J1269" s="2" t="s">
        <v>591</v>
      </c>
      <c r="R1269">
        <v>9.5812190000000008</v>
      </c>
      <c r="S1269" s="6">
        <v>46909.65</v>
      </c>
      <c r="U1269">
        <v>200</v>
      </c>
      <c r="W1269" s="7">
        <v>4896</v>
      </c>
    </row>
    <row r="1270" spans="1:23" x14ac:dyDescent="0.35">
      <c r="A1270" s="18">
        <v>9</v>
      </c>
      <c r="B1270" s="18">
        <v>2025</v>
      </c>
      <c r="C1270" s="18" t="s">
        <v>33</v>
      </c>
      <c r="D1270" s="18" t="s">
        <v>36</v>
      </c>
      <c r="E1270" s="18" t="s">
        <v>548</v>
      </c>
      <c r="G1270" s="51" t="s">
        <v>513</v>
      </c>
      <c r="H1270" s="3">
        <v>61051</v>
      </c>
      <c r="I1270" s="3">
        <v>4333</v>
      </c>
      <c r="J1270" s="2" t="s">
        <v>592</v>
      </c>
      <c r="R1270">
        <v>9.5812209999999993</v>
      </c>
      <c r="S1270" s="6">
        <v>25495.63</v>
      </c>
      <c r="U1270">
        <v>200</v>
      </c>
      <c r="W1270" s="7">
        <v>2661</v>
      </c>
    </row>
    <row r="1271" spans="1:23" x14ac:dyDescent="0.35">
      <c r="A1271" s="18">
        <v>9</v>
      </c>
      <c r="B1271" s="18">
        <v>2025</v>
      </c>
      <c r="C1271" s="18" t="s">
        <v>33</v>
      </c>
      <c r="D1271" s="18" t="s">
        <v>36</v>
      </c>
      <c r="E1271" s="18" t="s">
        <v>81</v>
      </c>
      <c r="G1271" s="51" t="s">
        <v>82</v>
      </c>
      <c r="H1271" s="3">
        <v>61063</v>
      </c>
      <c r="I1271" s="3">
        <v>2566</v>
      </c>
      <c r="J1271" s="2" t="s">
        <v>391</v>
      </c>
      <c r="R1271">
        <v>11.178091</v>
      </c>
      <c r="S1271" s="6">
        <v>36954.769999999997</v>
      </c>
      <c r="U1271">
        <v>220</v>
      </c>
      <c r="W1271" s="7">
        <v>3306</v>
      </c>
    </row>
    <row r="1272" spans="1:23" s="69" customFormat="1" x14ac:dyDescent="0.35">
      <c r="A1272" s="69">
        <v>10</v>
      </c>
      <c r="B1272" s="69">
        <v>2025</v>
      </c>
      <c r="C1272" s="69" t="s">
        <v>33</v>
      </c>
      <c r="D1272" s="69" t="s">
        <v>36</v>
      </c>
      <c r="E1272" s="69" t="s">
        <v>664</v>
      </c>
      <c r="F1272" s="70"/>
      <c r="G1272" s="71" t="s">
        <v>82</v>
      </c>
      <c r="H1272" s="70">
        <v>61146</v>
      </c>
      <c r="I1272" s="70">
        <v>4447</v>
      </c>
      <c r="J1272" s="71" t="s">
        <v>665</v>
      </c>
      <c r="R1272" s="69">
        <v>17.82</v>
      </c>
      <c r="S1272" s="125">
        <v>9872.2800000000007</v>
      </c>
      <c r="U1272" s="69">
        <v>280</v>
      </c>
      <c r="W1272" s="132">
        <v>554</v>
      </c>
    </row>
    <row r="1273" spans="1:23" x14ac:dyDescent="0.35">
      <c r="A1273" s="18">
        <v>10</v>
      </c>
      <c r="B1273" s="18">
        <v>2025</v>
      </c>
      <c r="C1273" s="18" t="s">
        <v>33</v>
      </c>
      <c r="D1273" s="18" t="s">
        <v>36</v>
      </c>
      <c r="E1273" s="18" t="s">
        <v>664</v>
      </c>
      <c r="G1273" s="51" t="s">
        <v>82</v>
      </c>
      <c r="H1273" s="3">
        <v>61146</v>
      </c>
      <c r="I1273" s="3">
        <v>4448</v>
      </c>
      <c r="J1273" s="2" t="s">
        <v>666</v>
      </c>
      <c r="R1273">
        <v>15.9</v>
      </c>
      <c r="S1273" s="6">
        <v>8919.9</v>
      </c>
      <c r="U1273">
        <v>280</v>
      </c>
      <c r="W1273" s="7">
        <v>561</v>
      </c>
    </row>
    <row r="1274" spans="1:23" x14ac:dyDescent="0.35">
      <c r="A1274" s="18">
        <v>10</v>
      </c>
      <c r="B1274" s="18">
        <v>2025</v>
      </c>
      <c r="C1274" s="18" t="s">
        <v>33</v>
      </c>
      <c r="D1274" s="18" t="s">
        <v>36</v>
      </c>
      <c r="E1274" s="18" t="s">
        <v>664</v>
      </c>
      <c r="G1274" s="51" t="s">
        <v>82</v>
      </c>
      <c r="H1274" s="3">
        <v>61146</v>
      </c>
      <c r="I1274" s="3">
        <v>4449</v>
      </c>
      <c r="J1274" s="2" t="s">
        <v>667</v>
      </c>
      <c r="R1274">
        <v>15.9</v>
      </c>
      <c r="S1274" s="6">
        <v>8617.7999999999993</v>
      </c>
      <c r="U1274">
        <v>280</v>
      </c>
      <c r="W1274" s="7">
        <v>542</v>
      </c>
    </row>
    <row r="1275" spans="1:23" x14ac:dyDescent="0.35">
      <c r="A1275" s="18">
        <v>10</v>
      </c>
      <c r="B1275" s="18">
        <v>2025</v>
      </c>
      <c r="C1275" s="18" t="s">
        <v>33</v>
      </c>
      <c r="D1275" s="18" t="s">
        <v>36</v>
      </c>
      <c r="E1275" s="18" t="s">
        <v>42</v>
      </c>
      <c r="G1275" s="51" t="s">
        <v>43</v>
      </c>
      <c r="H1275" s="3">
        <v>61537</v>
      </c>
      <c r="I1275" s="3">
        <v>1225</v>
      </c>
      <c r="J1275" s="2" t="s">
        <v>292</v>
      </c>
      <c r="R1275">
        <v>15.436536</v>
      </c>
      <c r="S1275" s="6">
        <v>33775.14</v>
      </c>
      <c r="U1275">
        <v>240</v>
      </c>
      <c r="W1275" s="7">
        <v>2188</v>
      </c>
    </row>
    <row r="1276" spans="1:23" x14ac:dyDescent="0.35">
      <c r="A1276" s="18">
        <v>10</v>
      </c>
      <c r="B1276" s="18">
        <v>2025</v>
      </c>
      <c r="C1276" s="18" t="s">
        <v>33</v>
      </c>
      <c r="D1276" s="18" t="s">
        <v>36</v>
      </c>
      <c r="E1276" s="18" t="s">
        <v>42</v>
      </c>
      <c r="G1276" s="51" t="s">
        <v>43</v>
      </c>
      <c r="H1276" s="3">
        <v>61537</v>
      </c>
      <c r="I1276" s="3">
        <v>3589</v>
      </c>
      <c r="J1276" s="2" t="s">
        <v>511</v>
      </c>
      <c r="R1276">
        <v>22.828685</v>
      </c>
      <c r="S1276" s="6">
        <v>17874.86</v>
      </c>
      <c r="U1276">
        <v>340</v>
      </c>
      <c r="W1276" s="7">
        <v>783</v>
      </c>
    </row>
    <row r="1277" spans="1:23" x14ac:dyDescent="0.35">
      <c r="A1277" s="18">
        <v>10</v>
      </c>
      <c r="B1277" s="18">
        <v>2025</v>
      </c>
      <c r="C1277" s="18" t="s">
        <v>33</v>
      </c>
      <c r="D1277" s="18" t="s">
        <v>36</v>
      </c>
      <c r="E1277" s="18" t="s">
        <v>42</v>
      </c>
      <c r="G1277" s="51" t="s">
        <v>43</v>
      </c>
      <c r="H1277" s="3">
        <v>61538</v>
      </c>
      <c r="I1277" s="3">
        <v>1523</v>
      </c>
      <c r="J1277" s="2" t="s">
        <v>282</v>
      </c>
      <c r="R1277">
        <v>8.2074569999999998</v>
      </c>
      <c r="S1277" s="6">
        <v>8617.83</v>
      </c>
      <c r="W1277" s="7">
        <v>1050</v>
      </c>
    </row>
    <row r="1278" spans="1:23" x14ac:dyDescent="0.35">
      <c r="A1278" s="18">
        <v>10</v>
      </c>
      <c r="B1278" s="18">
        <v>2025</v>
      </c>
      <c r="C1278" s="18" t="s">
        <v>33</v>
      </c>
      <c r="D1278" s="18" t="s">
        <v>36</v>
      </c>
      <c r="E1278" s="18" t="s">
        <v>669</v>
      </c>
      <c r="G1278" s="51" t="s">
        <v>37</v>
      </c>
      <c r="H1278" s="3">
        <v>61539</v>
      </c>
      <c r="I1278" s="3">
        <v>2206</v>
      </c>
      <c r="J1278" s="2" t="s">
        <v>351</v>
      </c>
      <c r="R1278">
        <v>10.055490000000001</v>
      </c>
      <c r="S1278" s="6">
        <v>27401.21</v>
      </c>
      <c r="U1278">
        <v>180</v>
      </c>
      <c r="W1278" s="7">
        <v>2725</v>
      </c>
    </row>
    <row r="1279" spans="1:23" x14ac:dyDescent="0.35">
      <c r="A1279" s="18">
        <v>10</v>
      </c>
      <c r="B1279" s="18">
        <v>2025</v>
      </c>
      <c r="C1279" s="18" t="s">
        <v>33</v>
      </c>
      <c r="D1279" s="18" t="s">
        <v>36</v>
      </c>
      <c r="E1279" s="18" t="s">
        <v>669</v>
      </c>
      <c r="G1279" s="51" t="s">
        <v>37</v>
      </c>
      <c r="H1279" s="3">
        <v>61539</v>
      </c>
      <c r="I1279" s="3">
        <v>2209</v>
      </c>
      <c r="J1279" s="2" t="s">
        <v>348</v>
      </c>
      <c r="R1279">
        <v>10.327259</v>
      </c>
      <c r="S1279" s="6">
        <v>19890.3</v>
      </c>
      <c r="U1279">
        <v>200</v>
      </c>
      <c r="W1279" s="7">
        <v>1926</v>
      </c>
    </row>
    <row r="1280" spans="1:23" x14ac:dyDescent="0.35">
      <c r="A1280" s="18">
        <v>10</v>
      </c>
      <c r="B1280" s="18">
        <v>2025</v>
      </c>
      <c r="C1280" s="18" t="s">
        <v>33</v>
      </c>
      <c r="D1280" s="18" t="s">
        <v>36</v>
      </c>
      <c r="E1280" s="18" t="s">
        <v>669</v>
      </c>
      <c r="G1280" s="51" t="s">
        <v>37</v>
      </c>
      <c r="H1280" s="3">
        <v>61540</v>
      </c>
      <c r="I1280" s="3">
        <v>2208</v>
      </c>
      <c r="J1280" s="2" t="s">
        <v>343</v>
      </c>
      <c r="R1280">
        <v>6.2507109999999999</v>
      </c>
      <c r="S1280" s="6">
        <v>13795.32</v>
      </c>
      <c r="W1280" s="7">
        <v>2207</v>
      </c>
    </row>
    <row r="1281" spans="1:23" x14ac:dyDescent="0.35">
      <c r="A1281" s="18">
        <v>10</v>
      </c>
      <c r="B1281" s="18">
        <v>2025</v>
      </c>
      <c r="C1281" s="18" t="s">
        <v>33</v>
      </c>
      <c r="D1281" s="18" t="s">
        <v>36</v>
      </c>
      <c r="E1281" s="18" t="s">
        <v>669</v>
      </c>
      <c r="G1281" s="51" t="s">
        <v>37</v>
      </c>
      <c r="H1281" s="3">
        <v>61540</v>
      </c>
      <c r="I1281" s="3">
        <v>4454</v>
      </c>
      <c r="J1281" s="2" t="s">
        <v>668</v>
      </c>
      <c r="R1281">
        <v>5.9789399999999997</v>
      </c>
      <c r="S1281" s="6">
        <v>29272.89</v>
      </c>
      <c r="W1281" s="7">
        <v>4896</v>
      </c>
    </row>
    <row r="1282" spans="1:23" x14ac:dyDescent="0.35">
      <c r="A1282" s="18">
        <v>10</v>
      </c>
      <c r="B1282" s="18">
        <v>2025</v>
      </c>
      <c r="C1282" s="18" t="s">
        <v>33</v>
      </c>
      <c r="D1282" s="18" t="s">
        <v>36</v>
      </c>
      <c r="E1282" s="18" t="s">
        <v>116</v>
      </c>
      <c r="G1282" s="51" t="s">
        <v>50</v>
      </c>
      <c r="H1282" s="3">
        <v>61771</v>
      </c>
      <c r="I1282" s="3">
        <v>1419</v>
      </c>
      <c r="J1282" s="2" t="s">
        <v>341</v>
      </c>
      <c r="R1282">
        <v>12.113996999999999</v>
      </c>
      <c r="S1282" s="6">
        <v>15215.18</v>
      </c>
      <c r="U1282">
        <v>180</v>
      </c>
      <c r="W1282" s="7">
        <v>1256</v>
      </c>
    </row>
    <row r="1283" spans="1:23" s="60" customFormat="1" x14ac:dyDescent="0.35">
      <c r="A1283" s="60">
        <v>11</v>
      </c>
      <c r="B1283" s="60">
        <v>2025</v>
      </c>
      <c r="C1283" s="60" t="s">
        <v>33</v>
      </c>
      <c r="D1283" s="60" t="s">
        <v>36</v>
      </c>
      <c r="E1283" s="60" t="s">
        <v>550</v>
      </c>
      <c r="F1283" s="61"/>
      <c r="G1283" s="62" t="s">
        <v>50</v>
      </c>
      <c r="H1283" s="61">
        <v>62206</v>
      </c>
      <c r="I1283" s="61">
        <v>4600</v>
      </c>
      <c r="J1283" s="62" t="s">
        <v>672</v>
      </c>
      <c r="R1283" s="73">
        <v>24.144183999999999</v>
      </c>
      <c r="S1283" s="124">
        <v>10212.99</v>
      </c>
      <c r="U1283" s="60">
        <v>260</v>
      </c>
      <c r="W1283" s="131">
        <v>423</v>
      </c>
    </row>
    <row r="1284" spans="1:23" x14ac:dyDescent="0.35">
      <c r="A1284" s="18">
        <v>11</v>
      </c>
      <c r="B1284" s="18">
        <v>2025</v>
      </c>
      <c r="C1284" s="18" t="s">
        <v>33</v>
      </c>
      <c r="D1284" s="18" t="s">
        <v>36</v>
      </c>
      <c r="E1284" s="18" t="s">
        <v>550</v>
      </c>
      <c r="G1284" s="51" t="s">
        <v>50</v>
      </c>
      <c r="H1284" s="3">
        <v>62206</v>
      </c>
      <c r="I1284" s="3">
        <v>4594</v>
      </c>
      <c r="J1284" s="2" t="s">
        <v>673</v>
      </c>
      <c r="R1284" s="63">
        <v>16.007482</v>
      </c>
      <c r="S1284" s="6">
        <v>6675.12</v>
      </c>
      <c r="U1284">
        <v>280</v>
      </c>
      <c r="W1284" s="7">
        <v>417</v>
      </c>
    </row>
    <row r="1285" spans="1:23" x14ac:dyDescent="0.35">
      <c r="A1285" s="18">
        <v>11</v>
      </c>
      <c r="B1285" s="18">
        <v>2025</v>
      </c>
      <c r="C1285" s="18" t="s">
        <v>33</v>
      </c>
      <c r="D1285" s="18" t="s">
        <v>36</v>
      </c>
      <c r="E1285" s="18" t="s">
        <v>550</v>
      </c>
      <c r="G1285" s="51" t="s">
        <v>50</v>
      </c>
      <c r="H1285" s="3">
        <v>62206</v>
      </c>
      <c r="I1285" s="3">
        <v>4703</v>
      </c>
      <c r="J1285" s="2" t="s">
        <v>674</v>
      </c>
      <c r="R1285" s="63">
        <v>15.847937999999999</v>
      </c>
      <c r="S1285" s="6">
        <v>8145.84</v>
      </c>
      <c r="U1285">
        <v>300</v>
      </c>
      <c r="W1285" s="7">
        <v>514</v>
      </c>
    </row>
    <row r="1286" spans="1:23" x14ac:dyDescent="0.35">
      <c r="A1286" s="18">
        <v>11</v>
      </c>
      <c r="B1286" s="18">
        <v>2025</v>
      </c>
      <c r="C1286" s="18" t="s">
        <v>33</v>
      </c>
      <c r="D1286" s="18" t="s">
        <v>36</v>
      </c>
      <c r="E1286" s="18" t="s">
        <v>550</v>
      </c>
      <c r="G1286" s="51" t="s">
        <v>50</v>
      </c>
      <c r="H1286" s="3">
        <v>62206</v>
      </c>
      <c r="I1286" s="3">
        <v>2000</v>
      </c>
      <c r="J1286" s="2" t="s">
        <v>309</v>
      </c>
      <c r="R1286" s="63">
        <v>27.494568000000001</v>
      </c>
      <c r="S1286" s="6">
        <v>13059.92</v>
      </c>
      <c r="U1286">
        <v>380</v>
      </c>
      <c r="W1286" s="7">
        <v>475</v>
      </c>
    </row>
    <row r="1287" spans="1:23" x14ac:dyDescent="0.35">
      <c r="A1287" s="18">
        <v>11</v>
      </c>
      <c r="B1287" s="18">
        <v>2025</v>
      </c>
      <c r="C1287" s="18" t="s">
        <v>33</v>
      </c>
      <c r="D1287" s="18" t="s">
        <v>36</v>
      </c>
      <c r="E1287" s="18" t="s">
        <v>550</v>
      </c>
      <c r="G1287" s="51" t="s">
        <v>50</v>
      </c>
      <c r="H1287" s="3">
        <v>62206</v>
      </c>
      <c r="I1287" s="3">
        <v>3276</v>
      </c>
      <c r="J1287" s="2" t="s">
        <v>454</v>
      </c>
      <c r="R1287" s="63">
        <v>32.972209999999997</v>
      </c>
      <c r="S1287" s="6">
        <v>14771.55</v>
      </c>
      <c r="U1287">
        <v>380</v>
      </c>
      <c r="W1287" s="7">
        <v>448</v>
      </c>
    </row>
    <row r="1288" spans="1:23" x14ac:dyDescent="0.35">
      <c r="A1288" s="18">
        <v>11</v>
      </c>
      <c r="B1288" s="18">
        <v>2025</v>
      </c>
      <c r="C1288" s="18" t="s">
        <v>33</v>
      </c>
      <c r="D1288" s="18" t="s">
        <v>36</v>
      </c>
      <c r="E1288" s="18" t="s">
        <v>550</v>
      </c>
      <c r="G1288" s="51" t="s">
        <v>50</v>
      </c>
      <c r="H1288" s="3">
        <v>62206</v>
      </c>
      <c r="I1288" s="3">
        <v>3275</v>
      </c>
      <c r="J1288" s="2" t="s">
        <v>461</v>
      </c>
      <c r="R1288" s="63">
        <v>25.260985000000002</v>
      </c>
      <c r="S1288" s="6">
        <v>11796.88</v>
      </c>
      <c r="U1288">
        <v>350</v>
      </c>
      <c r="W1288" s="7">
        <v>467</v>
      </c>
    </row>
    <row r="1289" spans="1:23" x14ac:dyDescent="0.35">
      <c r="A1289" s="18">
        <v>11</v>
      </c>
      <c r="B1289" s="18">
        <v>2025</v>
      </c>
      <c r="C1289" s="18" t="s">
        <v>33</v>
      </c>
      <c r="D1289" s="18" t="s">
        <v>36</v>
      </c>
      <c r="E1289" s="18" t="s">
        <v>85</v>
      </c>
      <c r="G1289" s="51" t="s">
        <v>82</v>
      </c>
      <c r="H1289" s="3">
        <v>62395</v>
      </c>
      <c r="I1289" s="3">
        <v>4613</v>
      </c>
      <c r="J1289" s="2" t="s">
        <v>675</v>
      </c>
      <c r="R1289" s="63">
        <v>10.32564</v>
      </c>
      <c r="S1289" s="6">
        <v>4997.6099999999997</v>
      </c>
      <c r="U1289">
        <v>180</v>
      </c>
      <c r="W1289" s="7">
        <v>484</v>
      </c>
    </row>
    <row r="1290" spans="1:23" x14ac:dyDescent="0.35">
      <c r="A1290" s="18">
        <v>11</v>
      </c>
      <c r="B1290" s="18">
        <v>2025</v>
      </c>
      <c r="C1290" s="18" t="s">
        <v>33</v>
      </c>
      <c r="D1290" s="18" t="s">
        <v>36</v>
      </c>
      <c r="E1290" s="18" t="s">
        <v>85</v>
      </c>
      <c r="G1290" s="51" t="s">
        <v>82</v>
      </c>
      <c r="H1290" s="3">
        <v>62395</v>
      </c>
      <c r="I1290" s="3">
        <v>4614</v>
      </c>
      <c r="J1290" s="2" t="s">
        <v>676</v>
      </c>
      <c r="R1290" s="63">
        <v>9.8490800000000007</v>
      </c>
      <c r="S1290" s="6">
        <v>4067.67</v>
      </c>
      <c r="U1290">
        <v>180</v>
      </c>
      <c r="W1290" s="7">
        <v>413</v>
      </c>
    </row>
    <row r="1291" spans="1:23" x14ac:dyDescent="0.35">
      <c r="A1291" s="18">
        <v>11</v>
      </c>
      <c r="B1291" s="18">
        <v>2025</v>
      </c>
      <c r="C1291" s="18" t="s">
        <v>33</v>
      </c>
      <c r="D1291" s="18" t="s">
        <v>36</v>
      </c>
      <c r="E1291" s="18" t="s">
        <v>85</v>
      </c>
      <c r="G1291" s="51" t="s">
        <v>82</v>
      </c>
      <c r="H1291" s="3">
        <v>62395</v>
      </c>
      <c r="I1291" s="3">
        <v>4616</v>
      </c>
      <c r="J1291" s="2" t="s">
        <v>677</v>
      </c>
      <c r="R1291" s="63">
        <v>9.9020279999999996</v>
      </c>
      <c r="S1291" s="6">
        <v>5614.45</v>
      </c>
      <c r="U1291">
        <v>180</v>
      </c>
      <c r="W1291" s="7">
        <v>567</v>
      </c>
    </row>
    <row r="1292" spans="1:23" x14ac:dyDescent="0.35">
      <c r="A1292" s="18">
        <v>11</v>
      </c>
      <c r="B1292" s="18">
        <v>2025</v>
      </c>
      <c r="C1292" s="18" t="s">
        <v>33</v>
      </c>
      <c r="D1292" s="18" t="s">
        <v>36</v>
      </c>
      <c r="E1292" s="18" t="s">
        <v>85</v>
      </c>
      <c r="G1292" s="51" t="s">
        <v>82</v>
      </c>
      <c r="H1292" s="3">
        <v>62395</v>
      </c>
      <c r="I1292" s="3">
        <v>4617</v>
      </c>
      <c r="J1292" s="2" t="s">
        <v>678</v>
      </c>
      <c r="R1292" s="63">
        <v>9.9020229999999998</v>
      </c>
      <c r="S1292" s="6">
        <v>5188.66</v>
      </c>
      <c r="U1292">
        <v>180</v>
      </c>
      <c r="W1292" s="7">
        <v>524</v>
      </c>
    </row>
    <row r="1293" spans="1:23" x14ac:dyDescent="0.35">
      <c r="A1293" s="18">
        <v>11</v>
      </c>
      <c r="B1293" s="18">
        <v>2025</v>
      </c>
      <c r="C1293" s="18" t="s">
        <v>33</v>
      </c>
      <c r="D1293" s="18" t="s">
        <v>36</v>
      </c>
      <c r="E1293" s="18" t="s">
        <v>85</v>
      </c>
      <c r="G1293" s="51" t="s">
        <v>82</v>
      </c>
      <c r="H1293" s="3">
        <v>62468</v>
      </c>
      <c r="I1293" s="3">
        <v>1422</v>
      </c>
      <c r="J1293" s="2" t="s">
        <v>339</v>
      </c>
      <c r="R1293" s="63">
        <v>10.138597000000001</v>
      </c>
      <c r="S1293" s="6">
        <v>5637.06</v>
      </c>
      <c r="U1293">
        <v>240</v>
      </c>
      <c r="W1293" s="7">
        <v>556</v>
      </c>
    </row>
    <row r="1294" spans="1:23" x14ac:dyDescent="0.35">
      <c r="A1294" s="18">
        <v>11</v>
      </c>
      <c r="B1294" s="18">
        <v>2025</v>
      </c>
      <c r="C1294" s="18" t="s">
        <v>33</v>
      </c>
      <c r="D1294" s="18" t="s">
        <v>36</v>
      </c>
      <c r="E1294" s="18" t="s">
        <v>85</v>
      </c>
      <c r="G1294" s="51" t="s">
        <v>82</v>
      </c>
      <c r="H1294" s="3">
        <v>62468</v>
      </c>
      <c r="I1294" s="3">
        <v>3549</v>
      </c>
      <c r="J1294" s="2" t="s">
        <v>679</v>
      </c>
      <c r="R1294" s="63">
        <v>10.138597000000001</v>
      </c>
      <c r="S1294" s="6">
        <v>5637.06</v>
      </c>
      <c r="U1294">
        <v>220</v>
      </c>
      <c r="W1294" s="7">
        <v>556</v>
      </c>
    </row>
    <row r="1295" spans="1:23" x14ac:dyDescent="0.35">
      <c r="A1295" s="18">
        <v>11</v>
      </c>
      <c r="B1295" s="18">
        <v>2025</v>
      </c>
      <c r="C1295" s="18" t="s">
        <v>33</v>
      </c>
      <c r="D1295" s="18" t="s">
        <v>36</v>
      </c>
      <c r="E1295" s="18" t="s">
        <v>512</v>
      </c>
      <c r="G1295" s="51" t="s">
        <v>513</v>
      </c>
      <c r="H1295" s="3">
        <v>62567</v>
      </c>
      <c r="I1295" s="3">
        <v>3699</v>
      </c>
      <c r="J1295" s="2" t="s">
        <v>515</v>
      </c>
      <c r="R1295" s="63">
        <v>9.8640659999999993</v>
      </c>
      <c r="S1295" s="6">
        <v>95819.54</v>
      </c>
      <c r="U1295">
        <v>260</v>
      </c>
      <c r="W1295" s="7">
        <v>9714</v>
      </c>
    </row>
    <row r="1296" spans="1:23" x14ac:dyDescent="0.35">
      <c r="A1296" s="18">
        <v>11</v>
      </c>
      <c r="B1296" s="18">
        <v>2025</v>
      </c>
      <c r="C1296" s="18" t="s">
        <v>33</v>
      </c>
      <c r="D1296" s="18" t="s">
        <v>36</v>
      </c>
      <c r="E1296" s="18" t="s">
        <v>42</v>
      </c>
      <c r="G1296" s="51" t="s">
        <v>43</v>
      </c>
      <c r="H1296" s="3">
        <v>62679</v>
      </c>
      <c r="I1296" s="3">
        <v>3589</v>
      </c>
      <c r="J1296" s="2" t="s">
        <v>511</v>
      </c>
      <c r="R1296" s="63">
        <v>22.551480000000002</v>
      </c>
      <c r="S1296" s="6">
        <v>33985.08</v>
      </c>
      <c r="U1296">
        <v>340</v>
      </c>
      <c r="W1296" s="7">
        <v>1507</v>
      </c>
    </row>
    <row r="1297" spans="1:23" x14ac:dyDescent="0.35">
      <c r="A1297" s="18">
        <v>11</v>
      </c>
      <c r="B1297" s="18">
        <v>2025</v>
      </c>
      <c r="C1297" s="18" t="s">
        <v>33</v>
      </c>
      <c r="D1297" s="18" t="s">
        <v>36</v>
      </c>
      <c r="E1297" s="18" t="s">
        <v>42</v>
      </c>
      <c r="G1297" s="51" t="s">
        <v>43</v>
      </c>
      <c r="H1297" s="3">
        <v>62679</v>
      </c>
      <c r="I1297" s="3">
        <v>3589</v>
      </c>
      <c r="J1297" s="2" t="s">
        <v>511</v>
      </c>
      <c r="R1297" s="63">
        <v>22.551487000000002</v>
      </c>
      <c r="S1297" s="6">
        <v>11072.78</v>
      </c>
      <c r="U1297">
        <v>340</v>
      </c>
      <c r="W1297" s="7">
        <v>491</v>
      </c>
    </row>
    <row r="1298" spans="1:23" x14ac:dyDescent="0.35">
      <c r="A1298" s="18">
        <v>11</v>
      </c>
      <c r="B1298" s="18">
        <v>2025</v>
      </c>
      <c r="C1298" s="18" t="s">
        <v>33</v>
      </c>
      <c r="D1298" s="18" t="s">
        <v>36</v>
      </c>
      <c r="E1298" s="18" t="s">
        <v>42</v>
      </c>
      <c r="G1298" s="51" t="s">
        <v>43</v>
      </c>
      <c r="H1298" s="3">
        <v>62679</v>
      </c>
      <c r="I1298" s="3">
        <v>3009</v>
      </c>
      <c r="J1298" s="2" t="s">
        <v>424</v>
      </c>
      <c r="R1298" s="63">
        <v>23.088418999999998</v>
      </c>
      <c r="S1298" s="6">
        <v>23226.95</v>
      </c>
      <c r="U1298">
        <v>300</v>
      </c>
      <c r="W1298" s="7">
        <v>1006</v>
      </c>
    </row>
    <row r="1299" spans="1:23" x14ac:dyDescent="0.35">
      <c r="A1299" s="18">
        <v>11</v>
      </c>
      <c r="B1299" s="18">
        <v>2025</v>
      </c>
      <c r="C1299" s="18" t="s">
        <v>33</v>
      </c>
      <c r="D1299" s="18" t="s">
        <v>36</v>
      </c>
      <c r="E1299" s="18" t="s">
        <v>42</v>
      </c>
      <c r="G1299" s="51" t="s">
        <v>43</v>
      </c>
      <c r="H1299" s="3">
        <v>62679</v>
      </c>
      <c r="I1299" s="3">
        <v>3711</v>
      </c>
      <c r="J1299" s="2" t="s">
        <v>522</v>
      </c>
      <c r="R1299" s="63">
        <v>13.423499</v>
      </c>
      <c r="S1299" s="6">
        <v>49908.57</v>
      </c>
      <c r="U1299">
        <v>260</v>
      </c>
      <c r="W1299" s="7">
        <v>3718</v>
      </c>
    </row>
    <row r="1300" spans="1:23" x14ac:dyDescent="0.35">
      <c r="A1300" s="18">
        <v>11</v>
      </c>
      <c r="B1300" s="18">
        <v>2025</v>
      </c>
      <c r="C1300" s="18" t="s">
        <v>33</v>
      </c>
      <c r="D1300" s="18" t="s">
        <v>36</v>
      </c>
      <c r="E1300" s="18" t="s">
        <v>42</v>
      </c>
      <c r="G1300" s="51" t="s">
        <v>43</v>
      </c>
      <c r="H1300" s="3">
        <v>62679</v>
      </c>
      <c r="I1300" s="3">
        <v>2054</v>
      </c>
      <c r="J1300" s="2" t="s">
        <v>330</v>
      </c>
      <c r="R1300" s="63">
        <v>16.698836</v>
      </c>
      <c r="S1300" s="6">
        <v>24397</v>
      </c>
      <c r="U1300">
        <v>280</v>
      </c>
      <c r="W1300" s="7">
        <v>1461</v>
      </c>
    </row>
    <row r="1301" spans="1:23" x14ac:dyDescent="0.35">
      <c r="A1301" s="18">
        <v>11</v>
      </c>
      <c r="B1301" s="18">
        <v>2025</v>
      </c>
      <c r="C1301" s="18" t="s">
        <v>33</v>
      </c>
      <c r="D1301" s="18" t="s">
        <v>36</v>
      </c>
      <c r="E1301" s="18" t="s">
        <v>42</v>
      </c>
      <c r="G1301" s="51" t="s">
        <v>43</v>
      </c>
      <c r="H1301" s="3">
        <v>62679</v>
      </c>
      <c r="I1301" s="3">
        <v>3009</v>
      </c>
      <c r="J1301" s="2" t="s">
        <v>424</v>
      </c>
      <c r="R1301" s="63">
        <v>23.088415999999999</v>
      </c>
      <c r="S1301" s="6">
        <v>10205.08</v>
      </c>
      <c r="U1301">
        <v>300</v>
      </c>
      <c r="W1301" s="7">
        <v>442</v>
      </c>
    </row>
    <row r="1302" spans="1:23" x14ac:dyDescent="0.35">
      <c r="A1302" s="18">
        <v>11</v>
      </c>
      <c r="B1302" s="18">
        <v>2025</v>
      </c>
      <c r="C1302" s="18" t="s">
        <v>33</v>
      </c>
      <c r="D1302" s="18" t="s">
        <v>36</v>
      </c>
      <c r="E1302" s="18" t="s">
        <v>42</v>
      </c>
      <c r="G1302" s="51" t="s">
        <v>43</v>
      </c>
      <c r="H1302" s="3">
        <v>62679</v>
      </c>
      <c r="I1302" s="3">
        <v>2497</v>
      </c>
      <c r="J1302" s="2" t="s">
        <v>386</v>
      </c>
      <c r="R1302" s="63">
        <v>12.886556000000001</v>
      </c>
      <c r="S1302" s="6">
        <v>9316.98</v>
      </c>
      <c r="U1302">
        <v>230</v>
      </c>
      <c r="W1302" s="7">
        <v>723</v>
      </c>
    </row>
    <row r="1303" spans="1:23" x14ac:dyDescent="0.35">
      <c r="A1303" s="18">
        <v>11</v>
      </c>
      <c r="B1303" s="18">
        <v>2025</v>
      </c>
      <c r="C1303" s="18" t="s">
        <v>33</v>
      </c>
      <c r="D1303" s="18" t="s">
        <v>36</v>
      </c>
      <c r="E1303" s="18" t="s">
        <v>42</v>
      </c>
      <c r="G1303" s="51" t="s">
        <v>43</v>
      </c>
      <c r="H1303" s="3">
        <v>62679</v>
      </c>
      <c r="I1303" s="3">
        <v>2053</v>
      </c>
      <c r="J1303" s="2" t="s">
        <v>331</v>
      </c>
      <c r="R1303" s="63">
        <v>18.255959000000001</v>
      </c>
      <c r="S1303" s="6">
        <v>8945.42</v>
      </c>
      <c r="U1303">
        <v>300</v>
      </c>
      <c r="W1303" s="7">
        <v>490</v>
      </c>
    </row>
    <row r="1304" spans="1:23" x14ac:dyDescent="0.35">
      <c r="A1304" s="18">
        <v>11</v>
      </c>
      <c r="B1304" s="18">
        <v>2025</v>
      </c>
      <c r="C1304" s="18" t="s">
        <v>33</v>
      </c>
      <c r="D1304" s="18" t="s">
        <v>36</v>
      </c>
      <c r="E1304" s="18" t="s">
        <v>42</v>
      </c>
      <c r="G1304" s="51" t="s">
        <v>43</v>
      </c>
      <c r="H1304" s="3">
        <v>62680</v>
      </c>
      <c r="I1304" s="3">
        <v>1523</v>
      </c>
      <c r="J1304" s="2" t="s">
        <v>282</v>
      </c>
      <c r="R1304" s="63">
        <v>8.1077940000000002</v>
      </c>
      <c r="S1304" s="6">
        <v>34620.28</v>
      </c>
      <c r="U1304" s="13">
        <v>200</v>
      </c>
      <c r="W1304" s="7">
        <v>4270</v>
      </c>
    </row>
    <row r="1305" spans="1:23" x14ac:dyDescent="0.35">
      <c r="A1305" s="18">
        <v>11</v>
      </c>
      <c r="B1305" s="18">
        <v>2025</v>
      </c>
      <c r="C1305" s="18" t="s">
        <v>33</v>
      </c>
      <c r="D1305" s="18" t="s">
        <v>36</v>
      </c>
      <c r="E1305" s="18" t="s">
        <v>670</v>
      </c>
      <c r="G1305" s="51" t="s">
        <v>671</v>
      </c>
      <c r="H1305" s="3">
        <v>62736</v>
      </c>
      <c r="I1305" s="3">
        <v>4690</v>
      </c>
      <c r="J1305" s="2" t="s">
        <v>680</v>
      </c>
      <c r="R1305" s="63">
        <v>11.040965</v>
      </c>
      <c r="S1305" s="6">
        <v>12354.84</v>
      </c>
      <c r="U1305">
        <v>200</v>
      </c>
      <c r="W1305" s="7">
        <v>1119</v>
      </c>
    </row>
    <row r="1306" spans="1:23" x14ac:dyDescent="0.35">
      <c r="A1306" s="18">
        <v>11</v>
      </c>
      <c r="B1306" s="18">
        <v>2025</v>
      </c>
      <c r="C1306" s="18" t="s">
        <v>33</v>
      </c>
      <c r="D1306" s="18" t="s">
        <v>36</v>
      </c>
      <c r="E1306" s="18" t="s">
        <v>670</v>
      </c>
      <c r="G1306" s="51" t="s">
        <v>671</v>
      </c>
      <c r="H1306" s="3">
        <v>62736</v>
      </c>
      <c r="I1306" s="3">
        <v>4698</v>
      </c>
      <c r="J1306" s="2" t="s">
        <v>681</v>
      </c>
      <c r="R1306" s="63">
        <v>9.7075169999999993</v>
      </c>
      <c r="S1306" s="6">
        <v>10086.11</v>
      </c>
      <c r="U1306">
        <v>200</v>
      </c>
      <c r="W1306" s="7">
        <v>1039</v>
      </c>
    </row>
    <row r="1307" spans="1:23" x14ac:dyDescent="0.35">
      <c r="A1307" s="18">
        <v>11</v>
      </c>
      <c r="B1307" s="18">
        <v>2025</v>
      </c>
      <c r="C1307" s="18" t="s">
        <v>33</v>
      </c>
      <c r="D1307" s="18" t="s">
        <v>36</v>
      </c>
      <c r="E1307" s="18" t="s">
        <v>670</v>
      </c>
      <c r="G1307" s="51" t="s">
        <v>671</v>
      </c>
      <c r="H1307" s="3">
        <v>62736</v>
      </c>
      <c r="I1307" s="3">
        <v>4697</v>
      </c>
      <c r="J1307" s="2" t="s">
        <v>682</v>
      </c>
      <c r="R1307" s="63">
        <v>9.707516</v>
      </c>
      <c r="S1307" s="6">
        <v>8872.67</v>
      </c>
      <c r="U1307">
        <v>200</v>
      </c>
      <c r="W1307" s="7">
        <v>914</v>
      </c>
    </row>
    <row r="1308" spans="1:23" x14ac:dyDescent="0.35">
      <c r="A1308" s="18">
        <v>11</v>
      </c>
      <c r="B1308" s="18">
        <v>2025</v>
      </c>
      <c r="C1308" s="18" t="s">
        <v>33</v>
      </c>
      <c r="D1308" s="18" t="s">
        <v>36</v>
      </c>
      <c r="E1308" s="18" t="s">
        <v>670</v>
      </c>
      <c r="G1308" s="51" t="s">
        <v>671</v>
      </c>
      <c r="H1308" s="3">
        <v>62736</v>
      </c>
      <c r="I1308" s="3">
        <v>4696</v>
      </c>
      <c r="J1308" s="2" t="s">
        <v>683</v>
      </c>
      <c r="R1308" s="63">
        <v>9.7075130000000005</v>
      </c>
      <c r="S1308" s="6">
        <v>11357.79</v>
      </c>
      <c r="U1308">
        <v>200</v>
      </c>
      <c r="W1308" s="7">
        <v>1170</v>
      </c>
    </row>
    <row r="1309" spans="1:23" x14ac:dyDescent="0.35">
      <c r="A1309" s="18">
        <v>11</v>
      </c>
      <c r="B1309" s="18">
        <v>2025</v>
      </c>
      <c r="C1309" s="18" t="s">
        <v>33</v>
      </c>
      <c r="D1309" s="18" t="s">
        <v>36</v>
      </c>
      <c r="E1309" s="18" t="s">
        <v>670</v>
      </c>
      <c r="G1309" s="51" t="s">
        <v>671</v>
      </c>
      <c r="H1309" s="3">
        <v>62736</v>
      </c>
      <c r="I1309" s="3">
        <v>4693</v>
      </c>
      <c r="J1309" s="2" t="s">
        <v>684</v>
      </c>
      <c r="R1309" s="63">
        <v>9.0142220000000002</v>
      </c>
      <c r="S1309" s="6">
        <v>405.64</v>
      </c>
      <c r="U1309">
        <v>180</v>
      </c>
      <c r="W1309" s="7">
        <v>45</v>
      </c>
    </row>
    <row r="1310" spans="1:23" x14ac:dyDescent="0.35">
      <c r="A1310" s="18">
        <v>11</v>
      </c>
      <c r="B1310" s="18">
        <v>2025</v>
      </c>
      <c r="C1310" s="18" t="s">
        <v>33</v>
      </c>
      <c r="D1310" s="18" t="s">
        <v>36</v>
      </c>
      <c r="E1310" s="18" t="s">
        <v>670</v>
      </c>
      <c r="G1310" s="51" t="s">
        <v>671</v>
      </c>
      <c r="H1310" s="3">
        <v>62736</v>
      </c>
      <c r="I1310" s="3">
        <v>4692</v>
      </c>
      <c r="J1310" s="2" t="s">
        <v>685</v>
      </c>
      <c r="R1310" s="63">
        <v>10.027547999999999</v>
      </c>
      <c r="S1310" s="6">
        <v>11982.92</v>
      </c>
      <c r="U1310">
        <v>200</v>
      </c>
      <c r="W1310" s="7">
        <v>1195</v>
      </c>
    </row>
    <row r="1311" spans="1:23" x14ac:dyDescent="0.35">
      <c r="A1311" s="18">
        <v>11</v>
      </c>
      <c r="B1311" s="18">
        <v>2025</v>
      </c>
      <c r="C1311" s="18" t="s">
        <v>33</v>
      </c>
      <c r="D1311" s="18" t="s">
        <v>36</v>
      </c>
      <c r="E1311" s="18" t="s">
        <v>670</v>
      </c>
      <c r="G1311" s="51" t="s">
        <v>671</v>
      </c>
      <c r="H1311" s="3">
        <v>62736</v>
      </c>
      <c r="I1311" s="3">
        <v>4684</v>
      </c>
      <c r="J1311" s="2" t="s">
        <v>686</v>
      </c>
      <c r="R1311" s="63">
        <v>11.040969</v>
      </c>
      <c r="S1311" s="6">
        <v>10477.879999999999</v>
      </c>
      <c r="U1311">
        <v>200</v>
      </c>
      <c r="W1311" s="7">
        <v>949</v>
      </c>
    </row>
    <row r="1312" spans="1:23" x14ac:dyDescent="0.35">
      <c r="A1312" s="18">
        <v>11</v>
      </c>
      <c r="B1312" s="18">
        <v>2025</v>
      </c>
      <c r="C1312" s="18" t="s">
        <v>33</v>
      </c>
      <c r="D1312" s="18" t="s">
        <v>36</v>
      </c>
      <c r="E1312" s="18" t="s">
        <v>670</v>
      </c>
      <c r="G1312" s="51" t="s">
        <v>671</v>
      </c>
      <c r="H1312" s="3">
        <v>62736</v>
      </c>
      <c r="I1312" s="3">
        <v>4689</v>
      </c>
      <c r="J1312" s="2" t="s">
        <v>687</v>
      </c>
      <c r="R1312" s="63">
        <v>11.040975</v>
      </c>
      <c r="S1312" s="6">
        <v>4416.3900000000003</v>
      </c>
      <c r="U1312">
        <v>200</v>
      </c>
      <c r="W1312" s="7">
        <v>400</v>
      </c>
    </row>
    <row r="1313" spans="1:23" x14ac:dyDescent="0.35">
      <c r="A1313" s="18">
        <v>11</v>
      </c>
      <c r="B1313" s="18">
        <v>2025</v>
      </c>
      <c r="C1313" s="18" t="s">
        <v>33</v>
      </c>
      <c r="D1313" s="18" t="s">
        <v>36</v>
      </c>
      <c r="E1313" s="18" t="s">
        <v>670</v>
      </c>
      <c r="G1313" s="51" t="s">
        <v>671</v>
      </c>
      <c r="H1313" s="3">
        <v>62736</v>
      </c>
      <c r="I1313" s="3">
        <v>4688</v>
      </c>
      <c r="J1313" s="2" t="s">
        <v>688</v>
      </c>
      <c r="R1313" s="63">
        <v>11.040967</v>
      </c>
      <c r="S1313" s="6">
        <v>14264.93</v>
      </c>
      <c r="U1313">
        <v>200</v>
      </c>
      <c r="W1313" s="7">
        <v>1292</v>
      </c>
    </row>
    <row r="1314" spans="1:23" x14ac:dyDescent="0.35">
      <c r="A1314" s="18">
        <v>11</v>
      </c>
      <c r="B1314" s="18">
        <v>2025</v>
      </c>
      <c r="C1314" s="18" t="s">
        <v>33</v>
      </c>
      <c r="D1314" s="18" t="s">
        <v>36</v>
      </c>
      <c r="E1314" s="18" t="s">
        <v>670</v>
      </c>
      <c r="G1314" s="51" t="s">
        <v>671</v>
      </c>
      <c r="H1314" s="3">
        <v>62736</v>
      </c>
      <c r="I1314" s="3">
        <v>4687</v>
      </c>
      <c r="J1314" s="2" t="s">
        <v>689</v>
      </c>
      <c r="R1314" s="63">
        <v>11.040967</v>
      </c>
      <c r="S1314" s="6">
        <v>14044.11</v>
      </c>
      <c r="U1314">
        <v>200</v>
      </c>
      <c r="W1314" s="7">
        <v>1272</v>
      </c>
    </row>
    <row r="1315" spans="1:23" x14ac:dyDescent="0.35">
      <c r="A1315" s="18">
        <v>11</v>
      </c>
      <c r="B1315" s="18">
        <v>2025</v>
      </c>
      <c r="C1315" s="18" t="s">
        <v>33</v>
      </c>
      <c r="D1315" s="18" t="s">
        <v>36</v>
      </c>
      <c r="E1315" s="18" t="s">
        <v>670</v>
      </c>
      <c r="G1315" s="51" t="s">
        <v>671</v>
      </c>
      <c r="H1315" s="3">
        <v>62736</v>
      </c>
      <c r="I1315" s="3">
        <v>4686</v>
      </c>
      <c r="J1315" s="2" t="s">
        <v>690</v>
      </c>
      <c r="R1315" s="63">
        <v>11.040969</v>
      </c>
      <c r="S1315" s="6">
        <v>15893.21</v>
      </c>
      <c r="U1315">
        <v>200</v>
      </c>
      <c r="W1315" s="7">
        <v>1439.4760000000001</v>
      </c>
    </row>
    <row r="1316" spans="1:23" x14ac:dyDescent="0.35">
      <c r="A1316" s="18">
        <v>11</v>
      </c>
      <c r="B1316" s="18">
        <v>2025</v>
      </c>
      <c r="C1316" s="18" t="s">
        <v>33</v>
      </c>
      <c r="D1316" s="18" t="s">
        <v>36</v>
      </c>
      <c r="E1316" s="18" t="s">
        <v>670</v>
      </c>
      <c r="G1316" s="51" t="s">
        <v>671</v>
      </c>
      <c r="H1316" s="3">
        <v>62736</v>
      </c>
      <c r="I1316" s="3">
        <v>4685</v>
      </c>
      <c r="J1316" s="2" t="s">
        <v>691</v>
      </c>
      <c r="R1316" s="63">
        <v>11.040965</v>
      </c>
      <c r="S1316" s="6">
        <v>12354.84</v>
      </c>
      <c r="U1316">
        <v>200</v>
      </c>
      <c r="W1316" s="7">
        <v>1119</v>
      </c>
    </row>
    <row r="1317" spans="1:23" x14ac:dyDescent="0.35">
      <c r="A1317" s="18">
        <v>11</v>
      </c>
      <c r="B1317" s="18">
        <v>2025</v>
      </c>
      <c r="C1317" s="18" t="s">
        <v>33</v>
      </c>
      <c r="D1317" s="18" t="s">
        <v>36</v>
      </c>
      <c r="E1317" s="18" t="s">
        <v>295</v>
      </c>
      <c r="G1317" s="51" t="s">
        <v>82</v>
      </c>
      <c r="H1317" s="3">
        <v>62739</v>
      </c>
      <c r="I1317" s="3">
        <v>1757</v>
      </c>
      <c r="J1317" s="2" t="s">
        <v>296</v>
      </c>
      <c r="R1317" s="63">
        <v>18.454946</v>
      </c>
      <c r="S1317" s="6">
        <v>37758.82</v>
      </c>
      <c r="U1317">
        <v>350</v>
      </c>
      <c r="W1317" s="7">
        <v>2046</v>
      </c>
    </row>
    <row r="1318" spans="1:23" x14ac:dyDescent="0.35">
      <c r="A1318" s="18">
        <v>11</v>
      </c>
      <c r="B1318" s="18">
        <v>2025</v>
      </c>
      <c r="C1318" s="18" t="s">
        <v>33</v>
      </c>
      <c r="D1318" s="18" t="s">
        <v>36</v>
      </c>
      <c r="E1318" s="18" t="s">
        <v>295</v>
      </c>
      <c r="G1318" s="51" t="s">
        <v>82</v>
      </c>
      <c r="H1318" s="3">
        <v>62739</v>
      </c>
      <c r="I1318" s="3">
        <v>1761</v>
      </c>
      <c r="J1318" s="2" t="s">
        <v>305</v>
      </c>
      <c r="R1318" s="63">
        <v>15.308002</v>
      </c>
      <c r="S1318" s="6">
        <v>13027.11</v>
      </c>
      <c r="U1318">
        <v>280</v>
      </c>
      <c r="W1318" s="7">
        <v>851</v>
      </c>
    </row>
    <row r="1319" spans="1:23" x14ac:dyDescent="0.35">
      <c r="A1319" s="18">
        <v>11</v>
      </c>
      <c r="B1319" s="18">
        <v>2025</v>
      </c>
      <c r="C1319" s="18" t="s">
        <v>33</v>
      </c>
      <c r="D1319" s="18" t="s">
        <v>36</v>
      </c>
      <c r="E1319" s="18" t="s">
        <v>295</v>
      </c>
      <c r="G1319" s="51" t="s">
        <v>82</v>
      </c>
      <c r="H1319" s="3">
        <v>62739</v>
      </c>
      <c r="I1319" s="3">
        <v>1979</v>
      </c>
      <c r="J1319" s="2" t="s">
        <v>299</v>
      </c>
      <c r="R1319" s="63">
        <v>25.335549</v>
      </c>
      <c r="S1319" s="6">
        <v>48948.28</v>
      </c>
      <c r="U1319">
        <v>320</v>
      </c>
      <c r="W1319" s="7">
        <v>1932</v>
      </c>
    </row>
    <row r="1320" spans="1:23" x14ac:dyDescent="0.35">
      <c r="A1320" s="18">
        <v>11</v>
      </c>
      <c r="B1320" s="18">
        <v>2025</v>
      </c>
      <c r="C1320" s="18" t="s">
        <v>33</v>
      </c>
      <c r="D1320" s="18" t="s">
        <v>36</v>
      </c>
      <c r="E1320" s="18" t="s">
        <v>295</v>
      </c>
      <c r="G1320" s="51" t="s">
        <v>82</v>
      </c>
      <c r="H1320" s="3">
        <v>62739</v>
      </c>
      <c r="I1320" s="3">
        <v>3701</v>
      </c>
      <c r="J1320" s="2" t="s">
        <v>588</v>
      </c>
      <c r="R1320" s="63">
        <v>7.6806789999999996</v>
      </c>
      <c r="S1320" s="6">
        <v>4301.18</v>
      </c>
      <c r="U1320">
        <v>180</v>
      </c>
      <c r="W1320" s="7">
        <v>560</v>
      </c>
    </row>
    <row r="1321" spans="1:23" s="14" customFormat="1" x14ac:dyDescent="0.35">
      <c r="A1321" s="14">
        <v>12</v>
      </c>
      <c r="B1321" s="14">
        <v>2025</v>
      </c>
      <c r="C1321" s="14" t="s">
        <v>33</v>
      </c>
      <c r="D1321" s="14" t="s">
        <v>262</v>
      </c>
      <c r="E1321" s="14" t="s">
        <v>42</v>
      </c>
      <c r="F1321" s="31"/>
      <c r="G1321" s="49" t="s">
        <v>43</v>
      </c>
      <c r="H1321" s="31">
        <v>62743</v>
      </c>
      <c r="I1321" s="31">
        <v>2497</v>
      </c>
      <c r="J1321" s="49" t="s">
        <v>386</v>
      </c>
      <c r="R1321" s="80">
        <v>12.801119999999999</v>
      </c>
      <c r="S1321" s="120">
        <v>9255.2099999999991</v>
      </c>
      <c r="U1321" s="14">
        <v>230</v>
      </c>
      <c r="W1321" s="127">
        <v>723</v>
      </c>
    </row>
    <row r="1322" spans="1:23" x14ac:dyDescent="0.35">
      <c r="A1322" s="18">
        <v>12</v>
      </c>
      <c r="B1322" s="18">
        <v>2025</v>
      </c>
      <c r="C1322" s="18" t="s">
        <v>33</v>
      </c>
      <c r="D1322" s="18" t="s">
        <v>262</v>
      </c>
      <c r="E1322" s="18" t="s">
        <v>42</v>
      </c>
      <c r="G1322" s="51" t="s">
        <v>43</v>
      </c>
      <c r="H1322" s="3">
        <v>62743</v>
      </c>
      <c r="I1322" s="3">
        <v>3009</v>
      </c>
      <c r="J1322" s="2" t="s">
        <v>424</v>
      </c>
      <c r="R1322" s="63">
        <v>22.935344000000001</v>
      </c>
      <c r="S1322" s="6">
        <v>13990.56</v>
      </c>
      <c r="U1322">
        <v>300</v>
      </c>
      <c r="W1322" s="7">
        <v>610</v>
      </c>
    </row>
    <row r="1323" spans="1:23" x14ac:dyDescent="0.35">
      <c r="A1323" s="18">
        <v>12</v>
      </c>
      <c r="B1323" s="18">
        <v>2025</v>
      </c>
      <c r="C1323" s="18" t="s">
        <v>33</v>
      </c>
      <c r="D1323" s="18" t="s">
        <v>262</v>
      </c>
      <c r="E1323" s="18" t="s">
        <v>42</v>
      </c>
      <c r="G1323" s="51" t="s">
        <v>43</v>
      </c>
      <c r="H1323" s="3">
        <v>62743</v>
      </c>
      <c r="I1323" s="3">
        <v>3589</v>
      </c>
      <c r="J1323" s="2" t="s">
        <v>511</v>
      </c>
      <c r="R1323" s="63">
        <v>22.401956999999999</v>
      </c>
      <c r="S1323" s="6">
        <v>24149.31</v>
      </c>
      <c r="U1323">
        <v>340</v>
      </c>
      <c r="W1323" s="7">
        <v>1078</v>
      </c>
    </row>
    <row r="1324" spans="1:23" x14ac:dyDescent="0.35">
      <c r="A1324" s="18">
        <v>12</v>
      </c>
      <c r="B1324" s="18">
        <v>2025</v>
      </c>
      <c r="C1324" s="18" t="s">
        <v>33</v>
      </c>
      <c r="D1324" s="18" t="s">
        <v>262</v>
      </c>
      <c r="E1324" s="18" t="s">
        <v>42</v>
      </c>
      <c r="G1324" s="51" t="s">
        <v>43</v>
      </c>
      <c r="H1324" s="3">
        <v>62743</v>
      </c>
      <c r="I1324" s="3">
        <v>3711</v>
      </c>
      <c r="J1324" s="2" t="s">
        <v>522</v>
      </c>
      <c r="R1324" s="63">
        <v>13.3345</v>
      </c>
      <c r="S1324" s="6">
        <v>49577.67</v>
      </c>
      <c r="U1324">
        <v>260</v>
      </c>
      <c r="W1324" s="7">
        <v>3718</v>
      </c>
    </row>
    <row r="1325" spans="1:23" x14ac:dyDescent="0.35">
      <c r="A1325" s="18">
        <v>12</v>
      </c>
      <c r="B1325" s="18">
        <v>2025</v>
      </c>
      <c r="C1325" s="18" t="s">
        <v>33</v>
      </c>
      <c r="D1325" s="18" t="s">
        <v>262</v>
      </c>
      <c r="E1325" s="18" t="s">
        <v>42</v>
      </c>
      <c r="G1325" s="51" t="s">
        <v>43</v>
      </c>
      <c r="H1325" s="3">
        <v>62891</v>
      </c>
      <c r="I1325" s="3">
        <v>2053</v>
      </c>
      <c r="J1325" s="2" t="s">
        <v>331</v>
      </c>
      <c r="R1325" s="63">
        <v>18.444652999999999</v>
      </c>
      <c r="S1325" s="6">
        <v>9037.8799999999992</v>
      </c>
      <c r="U1325">
        <v>300</v>
      </c>
      <c r="W1325" s="7">
        <v>490</v>
      </c>
    </row>
    <row r="1326" spans="1:23" x14ac:dyDescent="0.35">
      <c r="A1326" s="18">
        <v>12</v>
      </c>
      <c r="B1326" s="18">
        <v>2025</v>
      </c>
      <c r="C1326" s="18" t="s">
        <v>33</v>
      </c>
      <c r="D1326" s="18" t="s">
        <v>262</v>
      </c>
      <c r="E1326" s="18" t="s">
        <v>42</v>
      </c>
      <c r="G1326" s="51" t="s">
        <v>43</v>
      </c>
      <c r="H1326" s="3">
        <v>62891</v>
      </c>
      <c r="I1326" s="3">
        <v>2054</v>
      </c>
      <c r="J1326" s="2" t="s">
        <v>330</v>
      </c>
      <c r="R1326" s="63">
        <v>16.871437</v>
      </c>
      <c r="S1326" s="6">
        <v>24649.17</v>
      </c>
      <c r="U1326">
        <v>280</v>
      </c>
      <c r="W1326" s="7">
        <v>1461</v>
      </c>
    </row>
    <row r="1327" spans="1:23" x14ac:dyDescent="0.35">
      <c r="A1327" s="18">
        <v>12</v>
      </c>
      <c r="B1327" s="18">
        <v>2025</v>
      </c>
      <c r="C1327" s="18" t="s">
        <v>33</v>
      </c>
      <c r="D1327" s="18" t="s">
        <v>262</v>
      </c>
      <c r="E1327" s="18" t="s">
        <v>42</v>
      </c>
      <c r="G1327" s="51" t="s">
        <v>43</v>
      </c>
      <c r="H1327" s="3">
        <v>62891</v>
      </c>
      <c r="I1327" s="3">
        <v>3009</v>
      </c>
      <c r="J1327" s="2" t="s">
        <v>424</v>
      </c>
      <c r="R1327" s="63">
        <v>23.327064</v>
      </c>
      <c r="S1327" s="6">
        <v>19548.080000000002</v>
      </c>
      <c r="U1327">
        <v>300</v>
      </c>
      <c r="W1327" s="7">
        <v>838</v>
      </c>
    </row>
    <row r="1328" spans="1:23" x14ac:dyDescent="0.35">
      <c r="A1328" s="18">
        <v>12</v>
      </c>
      <c r="B1328" s="18">
        <v>2025</v>
      </c>
      <c r="C1328" s="18" t="s">
        <v>33</v>
      </c>
      <c r="D1328" s="18" t="s">
        <v>262</v>
      </c>
      <c r="E1328" s="18" t="s">
        <v>42</v>
      </c>
      <c r="G1328" s="51" t="s">
        <v>43</v>
      </c>
      <c r="H1328" s="3">
        <v>62891</v>
      </c>
      <c r="I1328" s="3">
        <v>3589</v>
      </c>
      <c r="J1328" s="2" t="s">
        <v>511</v>
      </c>
      <c r="R1328" s="63">
        <v>22.784576000000001</v>
      </c>
      <c r="S1328" s="6">
        <v>20961.810000000001</v>
      </c>
      <c r="U1328">
        <v>340</v>
      </c>
      <c r="W1328" s="7">
        <v>920</v>
      </c>
    </row>
    <row r="1329" spans="1:23" x14ac:dyDescent="0.35">
      <c r="A1329" s="18">
        <v>12</v>
      </c>
      <c r="B1329" s="18">
        <v>2025</v>
      </c>
      <c r="C1329" s="18" t="s">
        <v>33</v>
      </c>
      <c r="D1329" s="18" t="s">
        <v>258</v>
      </c>
      <c r="E1329" s="18" t="s">
        <v>390</v>
      </c>
      <c r="G1329" s="51" t="s">
        <v>43</v>
      </c>
      <c r="H1329" s="3">
        <v>62892</v>
      </c>
      <c r="I1329" s="3">
        <v>4707</v>
      </c>
      <c r="J1329" s="2" t="s">
        <v>694</v>
      </c>
      <c r="R1329" s="63">
        <v>9.2223299999999995</v>
      </c>
      <c r="S1329" s="6">
        <v>33890.31</v>
      </c>
      <c r="U1329">
        <v>180</v>
      </c>
      <c r="W1329" s="7">
        <v>3674.81</v>
      </c>
    </row>
    <row r="1330" spans="1:23" x14ac:dyDescent="0.35">
      <c r="A1330" s="18">
        <v>12</v>
      </c>
      <c r="B1330" s="18">
        <v>2025</v>
      </c>
      <c r="C1330" s="18" t="s">
        <v>33</v>
      </c>
      <c r="D1330" s="18" t="s">
        <v>258</v>
      </c>
      <c r="E1330" s="18" t="s">
        <v>390</v>
      </c>
      <c r="G1330" s="51" t="s">
        <v>43</v>
      </c>
      <c r="H1330" s="3">
        <v>62892</v>
      </c>
      <c r="I1330" s="3">
        <v>3135</v>
      </c>
      <c r="J1330" s="2" t="s">
        <v>631</v>
      </c>
      <c r="R1330" s="63">
        <v>8.6798450000000003</v>
      </c>
      <c r="S1330" s="6">
        <v>3914.61</v>
      </c>
      <c r="U1330">
        <v>160</v>
      </c>
      <c r="W1330" s="7">
        <v>451</v>
      </c>
    </row>
    <row r="1331" spans="1:23" x14ac:dyDescent="0.35">
      <c r="A1331" s="18">
        <v>12</v>
      </c>
      <c r="B1331" s="18">
        <v>2025</v>
      </c>
      <c r="C1331" s="18" t="s">
        <v>33</v>
      </c>
      <c r="D1331" s="18" t="s">
        <v>258</v>
      </c>
      <c r="E1331" t="s">
        <v>390</v>
      </c>
      <c r="G1331" s="51" t="s">
        <v>43</v>
      </c>
      <c r="H1331" s="3">
        <v>62892</v>
      </c>
      <c r="I1331" s="3">
        <v>4325</v>
      </c>
      <c r="J1331" s="2" t="s">
        <v>633</v>
      </c>
      <c r="R1331" s="63">
        <v>10.307313000000001</v>
      </c>
      <c r="S1331" s="6">
        <v>4947.51</v>
      </c>
      <c r="U1331">
        <v>160</v>
      </c>
      <c r="W1331" s="7">
        <v>480</v>
      </c>
    </row>
    <row r="1332" spans="1:23" x14ac:dyDescent="0.35">
      <c r="A1332" s="18">
        <v>12</v>
      </c>
      <c r="B1332" s="18">
        <v>2025</v>
      </c>
      <c r="C1332" s="18" t="s">
        <v>33</v>
      </c>
      <c r="D1332" s="18" t="s">
        <v>258</v>
      </c>
      <c r="E1332" t="s">
        <v>670</v>
      </c>
      <c r="G1332" s="51" t="s">
        <v>693</v>
      </c>
      <c r="H1332" s="3">
        <v>63097</v>
      </c>
      <c r="I1332" s="3">
        <v>4695</v>
      </c>
      <c r="J1332" s="2" t="s">
        <v>695</v>
      </c>
      <c r="R1332" s="63">
        <v>8.5207999999999995</v>
      </c>
      <c r="S1332" s="6">
        <v>1704.16</v>
      </c>
      <c r="U1332">
        <v>180</v>
      </c>
      <c r="W1332" s="7">
        <v>200</v>
      </c>
    </row>
    <row r="1333" spans="1:23" x14ac:dyDescent="0.35">
      <c r="A1333" s="18">
        <v>12</v>
      </c>
      <c r="B1333" s="18">
        <v>2025</v>
      </c>
      <c r="C1333" s="18" t="s">
        <v>33</v>
      </c>
      <c r="D1333" s="18" t="s">
        <v>258</v>
      </c>
      <c r="E1333" t="s">
        <v>670</v>
      </c>
      <c r="G1333" s="51" t="s">
        <v>693</v>
      </c>
      <c r="H1333" s="3">
        <v>63097</v>
      </c>
      <c r="I1333" s="3">
        <v>4694</v>
      </c>
      <c r="J1333" s="2" t="s">
        <v>696</v>
      </c>
      <c r="R1333" s="63">
        <v>9.1140000000000008</v>
      </c>
      <c r="S1333" s="6">
        <v>12850.74</v>
      </c>
      <c r="U1333">
        <v>180</v>
      </c>
      <c r="W1333" s="7">
        <v>1410</v>
      </c>
    </row>
    <row r="1334" spans="1:23" x14ac:dyDescent="0.35">
      <c r="A1334" s="18">
        <v>12</v>
      </c>
      <c r="B1334" s="18">
        <v>2025</v>
      </c>
      <c r="C1334" s="18" t="s">
        <v>33</v>
      </c>
      <c r="D1334" s="18" t="s">
        <v>258</v>
      </c>
      <c r="E1334" t="s">
        <v>670</v>
      </c>
      <c r="G1334" s="51" t="s">
        <v>693</v>
      </c>
      <c r="H1334" s="3">
        <v>63097</v>
      </c>
      <c r="I1334" s="3">
        <v>4695</v>
      </c>
      <c r="J1334" s="2" t="s">
        <v>695</v>
      </c>
      <c r="R1334" s="63">
        <v>8.5207789999999992</v>
      </c>
      <c r="S1334" s="6">
        <v>11153.7</v>
      </c>
      <c r="U1334">
        <v>180</v>
      </c>
      <c r="W1334" s="7">
        <v>1309</v>
      </c>
    </row>
    <row r="1335" spans="1:23" x14ac:dyDescent="0.35">
      <c r="A1335" s="18">
        <v>12</v>
      </c>
      <c r="B1335" s="18">
        <v>2025</v>
      </c>
      <c r="C1335" s="18" t="s">
        <v>33</v>
      </c>
      <c r="D1335" s="18" t="s">
        <v>258</v>
      </c>
      <c r="E1335" t="s">
        <v>670</v>
      </c>
      <c r="G1335" s="51" t="s">
        <v>693</v>
      </c>
      <c r="H1335" s="3">
        <v>63097</v>
      </c>
      <c r="I1335" s="3">
        <v>4693</v>
      </c>
      <c r="J1335" s="2" t="s">
        <v>684</v>
      </c>
      <c r="R1335" s="63">
        <v>9.1139989999999997</v>
      </c>
      <c r="S1335" s="6">
        <v>13607.2</v>
      </c>
      <c r="U1335">
        <v>180</v>
      </c>
      <c r="W1335" s="7">
        <v>1493</v>
      </c>
    </row>
    <row r="1336" spans="1:23" x14ac:dyDescent="0.35">
      <c r="A1336" s="18">
        <v>12</v>
      </c>
      <c r="B1336" s="18">
        <v>2025</v>
      </c>
      <c r="C1336" s="18" t="s">
        <v>33</v>
      </c>
      <c r="D1336" s="18" t="s">
        <v>258</v>
      </c>
      <c r="E1336" t="s">
        <v>670</v>
      </c>
      <c r="G1336" s="51" t="s">
        <v>693</v>
      </c>
      <c r="H1336" s="3">
        <v>63097</v>
      </c>
      <c r="I1336" s="3">
        <v>4692</v>
      </c>
      <c r="J1336" s="2" t="s">
        <v>685</v>
      </c>
      <c r="R1336" s="63">
        <v>10.138648</v>
      </c>
      <c r="S1336" s="6">
        <v>3224.09</v>
      </c>
      <c r="U1336">
        <v>200</v>
      </c>
      <c r="W1336" s="7">
        <v>318</v>
      </c>
    </row>
    <row r="1337" spans="1:23" x14ac:dyDescent="0.35">
      <c r="A1337" s="18">
        <v>12</v>
      </c>
      <c r="B1337" s="18">
        <v>2025</v>
      </c>
      <c r="C1337" s="18" t="s">
        <v>33</v>
      </c>
      <c r="D1337" s="18" t="s">
        <v>258</v>
      </c>
      <c r="E1337" t="s">
        <v>670</v>
      </c>
      <c r="G1337" s="51" t="s">
        <v>693</v>
      </c>
      <c r="H1337" s="3">
        <v>63097</v>
      </c>
      <c r="I1337" s="3">
        <v>4692</v>
      </c>
      <c r="J1337" s="2" t="s">
        <v>685</v>
      </c>
      <c r="R1337" s="63">
        <v>10.13875</v>
      </c>
      <c r="S1337" s="6">
        <v>405.55</v>
      </c>
      <c r="U1337">
        <v>200</v>
      </c>
      <c r="W1337" s="7">
        <v>40</v>
      </c>
    </row>
    <row r="1338" spans="1:23" x14ac:dyDescent="0.35">
      <c r="A1338" s="18">
        <v>12</v>
      </c>
      <c r="B1338" s="18">
        <v>2025</v>
      </c>
      <c r="C1338" s="18" t="s">
        <v>33</v>
      </c>
      <c r="D1338" s="18" t="s">
        <v>258</v>
      </c>
      <c r="E1338" t="s">
        <v>670</v>
      </c>
      <c r="G1338" s="51" t="s">
        <v>693</v>
      </c>
      <c r="H1338" s="3">
        <v>63097</v>
      </c>
      <c r="I1338" s="3">
        <v>4696</v>
      </c>
      <c r="J1338" s="2" t="s">
        <v>683</v>
      </c>
      <c r="R1338" s="63">
        <v>9.8150879999999994</v>
      </c>
      <c r="S1338" s="6">
        <v>559.46</v>
      </c>
      <c r="U1338">
        <v>200</v>
      </c>
      <c r="W1338" s="7">
        <v>57</v>
      </c>
    </row>
    <row r="1339" spans="1:23" x14ac:dyDescent="0.35">
      <c r="A1339" s="18">
        <v>12</v>
      </c>
      <c r="B1339" s="18">
        <v>2025</v>
      </c>
      <c r="C1339" s="18" t="s">
        <v>33</v>
      </c>
      <c r="D1339" s="18" t="s">
        <v>258</v>
      </c>
      <c r="E1339" t="s">
        <v>670</v>
      </c>
      <c r="G1339" s="51" t="s">
        <v>693</v>
      </c>
      <c r="H1339" s="3">
        <v>63097</v>
      </c>
      <c r="I1339" s="3">
        <v>4696</v>
      </c>
      <c r="J1339" s="2" t="s">
        <v>683</v>
      </c>
      <c r="R1339" s="63">
        <v>9.8150870000000001</v>
      </c>
      <c r="S1339" s="6">
        <v>2816.93</v>
      </c>
      <c r="U1339">
        <v>200</v>
      </c>
      <c r="W1339" s="7">
        <v>287</v>
      </c>
    </row>
    <row r="1340" spans="1:23" x14ac:dyDescent="0.35">
      <c r="A1340" s="18">
        <v>12</v>
      </c>
      <c r="B1340" s="18">
        <v>2025</v>
      </c>
      <c r="C1340" s="18" t="s">
        <v>33</v>
      </c>
      <c r="D1340" s="18" t="s">
        <v>258</v>
      </c>
      <c r="E1340" t="s">
        <v>670</v>
      </c>
      <c r="G1340" s="51" t="s">
        <v>693</v>
      </c>
      <c r="H1340" s="3">
        <v>63097</v>
      </c>
      <c r="I1340" s="3">
        <v>4697</v>
      </c>
      <c r="J1340" s="2" t="s">
        <v>682</v>
      </c>
      <c r="R1340" s="63">
        <v>9.8150619999999993</v>
      </c>
      <c r="S1340" s="6">
        <v>2365.4299999999998</v>
      </c>
      <c r="U1340">
        <v>200</v>
      </c>
      <c r="W1340" s="7">
        <v>241</v>
      </c>
    </row>
    <row r="1341" spans="1:23" x14ac:dyDescent="0.35">
      <c r="A1341" s="18">
        <v>12</v>
      </c>
      <c r="B1341" s="18">
        <v>2025</v>
      </c>
      <c r="C1341" s="18" t="s">
        <v>33</v>
      </c>
      <c r="D1341" s="18" t="s">
        <v>258</v>
      </c>
      <c r="E1341" t="s">
        <v>670</v>
      </c>
      <c r="G1341" s="51" t="s">
        <v>693</v>
      </c>
      <c r="H1341" s="3">
        <v>63097</v>
      </c>
      <c r="I1341" s="3">
        <v>4697</v>
      </c>
      <c r="J1341" s="2" t="s">
        <v>682</v>
      </c>
      <c r="R1341" s="63">
        <v>9.8150700000000004</v>
      </c>
      <c r="S1341" s="6">
        <v>4200.8500000000004</v>
      </c>
      <c r="U1341">
        <v>200</v>
      </c>
      <c r="W1341" s="7">
        <v>428</v>
      </c>
    </row>
    <row r="1342" spans="1:23" x14ac:dyDescent="0.35">
      <c r="A1342" s="18">
        <v>12</v>
      </c>
      <c r="B1342" s="18">
        <v>2025</v>
      </c>
      <c r="C1342" s="18" t="s">
        <v>33</v>
      </c>
      <c r="D1342" s="18" t="s">
        <v>258</v>
      </c>
      <c r="E1342" t="s">
        <v>670</v>
      </c>
      <c r="G1342" s="51" t="s">
        <v>693</v>
      </c>
      <c r="H1342" s="3">
        <v>63097</v>
      </c>
      <c r="I1342" s="3">
        <v>4698</v>
      </c>
      <c r="J1342" s="2" t="s">
        <v>681</v>
      </c>
      <c r="R1342" s="63">
        <v>9.8150879999999994</v>
      </c>
      <c r="S1342" s="6">
        <v>1118.92</v>
      </c>
      <c r="U1342">
        <v>200</v>
      </c>
      <c r="W1342" s="7">
        <v>114</v>
      </c>
    </row>
    <row r="1343" spans="1:23" x14ac:dyDescent="0.35">
      <c r="A1343" s="18">
        <v>12</v>
      </c>
      <c r="B1343" s="18">
        <v>2025</v>
      </c>
      <c r="C1343" s="18" t="s">
        <v>33</v>
      </c>
      <c r="D1343" s="18" t="s">
        <v>258</v>
      </c>
      <c r="E1343" t="s">
        <v>670</v>
      </c>
      <c r="G1343" s="51" t="s">
        <v>693</v>
      </c>
      <c r="H1343" s="3">
        <v>63097</v>
      </c>
      <c r="I1343" s="3">
        <v>4698</v>
      </c>
      <c r="J1343" s="2" t="s">
        <v>681</v>
      </c>
      <c r="R1343" s="63">
        <v>9.8150820000000003</v>
      </c>
      <c r="S1343" s="6">
        <v>3572.69</v>
      </c>
      <c r="U1343">
        <v>200</v>
      </c>
      <c r="W1343" s="7">
        <v>364</v>
      </c>
    </row>
    <row r="1344" spans="1:23" x14ac:dyDescent="0.35">
      <c r="A1344" s="18">
        <v>12</v>
      </c>
      <c r="B1344" s="18">
        <v>2025</v>
      </c>
      <c r="C1344" s="18" t="s">
        <v>33</v>
      </c>
      <c r="D1344" s="18" t="s">
        <v>258</v>
      </c>
      <c r="E1344" t="s">
        <v>670</v>
      </c>
      <c r="G1344" s="51" t="s">
        <v>693</v>
      </c>
      <c r="H1344" s="3">
        <v>63097</v>
      </c>
      <c r="I1344" s="3">
        <v>4690</v>
      </c>
      <c r="J1344" s="2" t="s">
        <v>680</v>
      </c>
      <c r="R1344" s="63">
        <v>11.163304</v>
      </c>
      <c r="S1344" s="6">
        <v>3750.87</v>
      </c>
      <c r="U1344">
        <v>200</v>
      </c>
      <c r="W1344" s="7">
        <v>336</v>
      </c>
    </row>
    <row r="1345" spans="1:23" x14ac:dyDescent="0.35">
      <c r="A1345" s="18">
        <v>12</v>
      </c>
      <c r="B1345" s="18">
        <v>2025</v>
      </c>
      <c r="C1345" s="18" t="s">
        <v>33</v>
      </c>
      <c r="D1345" s="18" t="s">
        <v>258</v>
      </c>
      <c r="E1345" t="s">
        <v>670</v>
      </c>
      <c r="G1345" s="51" t="s">
        <v>693</v>
      </c>
      <c r="H1345" s="3">
        <v>63097</v>
      </c>
      <c r="I1345" s="3">
        <v>4688</v>
      </c>
      <c r="J1345" s="2" t="s">
        <v>688</v>
      </c>
      <c r="R1345" s="63">
        <v>11.163409</v>
      </c>
      <c r="S1345" s="6">
        <v>491.19</v>
      </c>
      <c r="U1345">
        <v>200</v>
      </c>
      <c r="W1345" s="7">
        <v>44</v>
      </c>
    </row>
    <row r="1346" spans="1:23" x14ac:dyDescent="0.35">
      <c r="A1346" s="18">
        <v>12</v>
      </c>
      <c r="B1346" s="18">
        <v>2025</v>
      </c>
      <c r="C1346" s="18" t="s">
        <v>33</v>
      </c>
      <c r="D1346" s="18" t="s">
        <v>258</v>
      </c>
      <c r="E1346" t="s">
        <v>670</v>
      </c>
      <c r="G1346" s="51" t="s">
        <v>693</v>
      </c>
      <c r="H1346" s="3">
        <v>63097</v>
      </c>
      <c r="I1346" s="3">
        <v>4684</v>
      </c>
      <c r="J1346" s="2" t="s">
        <v>686</v>
      </c>
      <c r="R1346" s="63">
        <v>11.163299</v>
      </c>
      <c r="S1346" s="6">
        <v>1082.8399999999999</v>
      </c>
      <c r="U1346">
        <v>200</v>
      </c>
      <c r="W1346" s="7">
        <v>97</v>
      </c>
    </row>
    <row r="1347" spans="1:23" x14ac:dyDescent="0.35">
      <c r="A1347" s="18">
        <v>12</v>
      </c>
      <c r="B1347" s="18">
        <v>2025</v>
      </c>
      <c r="C1347" s="18" t="s">
        <v>33</v>
      </c>
      <c r="D1347" s="18" t="s">
        <v>258</v>
      </c>
      <c r="E1347" t="s">
        <v>670</v>
      </c>
      <c r="G1347" s="51" t="s">
        <v>693</v>
      </c>
      <c r="H1347" s="3">
        <v>63097</v>
      </c>
      <c r="I1347" s="3">
        <v>4684</v>
      </c>
      <c r="J1347" s="2" t="s">
        <v>686</v>
      </c>
      <c r="R1347" s="63">
        <v>11.163299</v>
      </c>
      <c r="S1347" s="6">
        <v>4364.8500000000004</v>
      </c>
      <c r="U1347">
        <v>200</v>
      </c>
      <c r="W1347" s="7">
        <v>391</v>
      </c>
    </row>
    <row r="1348" spans="1:23" x14ac:dyDescent="0.35">
      <c r="A1348" s="18">
        <v>12</v>
      </c>
      <c r="B1348" s="18">
        <v>2025</v>
      </c>
      <c r="C1348" s="18" t="s">
        <v>33</v>
      </c>
      <c r="D1348" s="18" t="s">
        <v>258</v>
      </c>
      <c r="E1348" t="s">
        <v>670</v>
      </c>
      <c r="G1348" s="51" t="s">
        <v>693</v>
      </c>
      <c r="H1348" s="3">
        <v>63097</v>
      </c>
      <c r="I1348" s="3">
        <v>4685</v>
      </c>
      <c r="J1348" s="2" t="s">
        <v>691</v>
      </c>
      <c r="R1348" s="63">
        <v>11.163304999999999</v>
      </c>
      <c r="S1348" s="6">
        <v>5202.1000000000004</v>
      </c>
      <c r="U1348">
        <v>200</v>
      </c>
      <c r="W1348" s="7">
        <v>466</v>
      </c>
    </row>
    <row r="1349" spans="1:23" x14ac:dyDescent="0.35">
      <c r="A1349" s="18">
        <v>12</v>
      </c>
      <c r="B1349" s="18">
        <v>2025</v>
      </c>
      <c r="C1349" s="18" t="s">
        <v>33</v>
      </c>
      <c r="D1349" s="18" t="s">
        <v>258</v>
      </c>
      <c r="E1349" t="s">
        <v>670</v>
      </c>
      <c r="G1349" s="51" t="s">
        <v>693</v>
      </c>
      <c r="H1349" s="3">
        <v>63097</v>
      </c>
      <c r="I1349" s="3">
        <v>4686</v>
      </c>
      <c r="J1349" s="2" t="s">
        <v>690</v>
      </c>
      <c r="R1349" s="63">
        <v>11.163333</v>
      </c>
      <c r="S1349" s="6">
        <v>602.82000000000005</v>
      </c>
      <c r="U1349">
        <v>200</v>
      </c>
      <c r="W1349" s="7">
        <v>54</v>
      </c>
    </row>
    <row r="1350" spans="1:23" x14ac:dyDescent="0.35">
      <c r="A1350" s="18">
        <v>12</v>
      </c>
      <c r="B1350" s="18">
        <v>2025</v>
      </c>
      <c r="C1350" s="18" t="s">
        <v>33</v>
      </c>
      <c r="D1350" s="18" t="s">
        <v>258</v>
      </c>
      <c r="E1350" t="s">
        <v>670</v>
      </c>
      <c r="G1350" s="51" t="s">
        <v>693</v>
      </c>
      <c r="H1350" s="3">
        <v>63097</v>
      </c>
      <c r="I1350" s="3">
        <v>4687</v>
      </c>
      <c r="J1350" s="2" t="s">
        <v>689</v>
      </c>
      <c r="R1350" s="63">
        <v>11.163285999999999</v>
      </c>
      <c r="S1350" s="6">
        <v>2344.29</v>
      </c>
      <c r="U1350">
        <v>200</v>
      </c>
      <c r="W1350" s="7">
        <v>210</v>
      </c>
    </row>
    <row r="1351" spans="1:23" x14ac:dyDescent="0.35">
      <c r="A1351" s="18">
        <v>12</v>
      </c>
      <c r="B1351" s="18">
        <v>2025</v>
      </c>
      <c r="C1351" s="18" t="s">
        <v>33</v>
      </c>
      <c r="D1351" s="18" t="s">
        <v>258</v>
      </c>
      <c r="E1351" t="s">
        <v>670</v>
      </c>
      <c r="G1351" s="51" t="s">
        <v>693</v>
      </c>
      <c r="H1351" s="3">
        <v>63097</v>
      </c>
      <c r="I1351" s="3">
        <v>4691</v>
      </c>
      <c r="J1351" s="2" t="s">
        <v>697</v>
      </c>
      <c r="R1351" s="63">
        <v>11.163304999999999</v>
      </c>
      <c r="S1351" s="6">
        <v>14289.03</v>
      </c>
      <c r="U1351">
        <v>200</v>
      </c>
      <c r="W1351" s="7">
        <v>1280</v>
      </c>
    </row>
    <row r="1352" spans="1:23" x14ac:dyDescent="0.35">
      <c r="A1352" s="18">
        <v>12</v>
      </c>
      <c r="B1352" s="18">
        <v>2025</v>
      </c>
      <c r="C1352" s="18" t="s">
        <v>33</v>
      </c>
      <c r="D1352" s="18" t="s">
        <v>258</v>
      </c>
      <c r="E1352" t="s">
        <v>670</v>
      </c>
      <c r="G1352" s="51" t="s">
        <v>693</v>
      </c>
      <c r="H1352" s="3">
        <v>63097</v>
      </c>
      <c r="I1352" s="3">
        <v>4688</v>
      </c>
      <c r="J1352" s="2" t="s">
        <v>688</v>
      </c>
      <c r="R1352" s="63">
        <v>11.163321</v>
      </c>
      <c r="S1352" s="6">
        <v>2924.79</v>
      </c>
      <c r="U1352">
        <v>200</v>
      </c>
      <c r="W1352" s="7">
        <v>262</v>
      </c>
    </row>
    <row r="1353" spans="1:23" x14ac:dyDescent="0.35">
      <c r="A1353" s="18">
        <v>12</v>
      </c>
      <c r="B1353" s="18">
        <v>2025</v>
      </c>
      <c r="C1353" s="18" t="s">
        <v>33</v>
      </c>
      <c r="D1353" s="18" t="s">
        <v>258</v>
      </c>
      <c r="E1353" t="s">
        <v>670</v>
      </c>
      <c r="G1353" s="51" t="s">
        <v>693</v>
      </c>
      <c r="H1353" s="3">
        <v>63097</v>
      </c>
      <c r="I1353" s="3">
        <v>4689</v>
      </c>
      <c r="J1353" s="2" t="s">
        <v>687</v>
      </c>
      <c r="R1353" s="63">
        <v>11.163290999999999</v>
      </c>
      <c r="S1353" s="6">
        <v>2612.21</v>
      </c>
      <c r="U1353">
        <v>200</v>
      </c>
      <c r="W1353" s="7">
        <v>234</v>
      </c>
    </row>
    <row r="1354" spans="1:23" x14ac:dyDescent="0.35">
      <c r="A1354" s="18">
        <v>12</v>
      </c>
      <c r="B1354" s="18">
        <v>2025</v>
      </c>
      <c r="C1354" s="18" t="s">
        <v>33</v>
      </c>
      <c r="D1354" s="18" t="s">
        <v>258</v>
      </c>
      <c r="E1354" t="s">
        <v>670</v>
      </c>
      <c r="G1354" s="51" t="s">
        <v>693</v>
      </c>
      <c r="H1354" s="3">
        <v>63097</v>
      </c>
      <c r="I1354" s="3">
        <v>4689</v>
      </c>
      <c r="J1354" s="2" t="s">
        <v>687</v>
      </c>
      <c r="R1354" s="63">
        <v>11.163302</v>
      </c>
      <c r="S1354" s="6">
        <v>10616.3</v>
      </c>
      <c r="U1354">
        <v>200</v>
      </c>
      <c r="W1354" s="7">
        <v>951</v>
      </c>
    </row>
    <row r="1355" spans="1:23" x14ac:dyDescent="0.35">
      <c r="A1355" s="18">
        <v>12</v>
      </c>
      <c r="B1355" s="18">
        <v>2025</v>
      </c>
      <c r="C1355" s="18" t="s">
        <v>33</v>
      </c>
      <c r="D1355" s="18" t="s">
        <v>258</v>
      </c>
      <c r="E1355" t="s">
        <v>670</v>
      </c>
      <c r="G1355" s="51" t="s">
        <v>693</v>
      </c>
      <c r="H1355" s="3">
        <v>63097</v>
      </c>
      <c r="I1355" s="3">
        <v>4690</v>
      </c>
      <c r="J1355" s="2" t="s">
        <v>680</v>
      </c>
      <c r="R1355" s="63">
        <v>11.163304999999999</v>
      </c>
      <c r="S1355" s="6">
        <v>1317.27</v>
      </c>
      <c r="U1355">
        <v>200</v>
      </c>
      <c r="W1355" s="7">
        <v>118</v>
      </c>
    </row>
    <row r="1356" spans="1:23" x14ac:dyDescent="0.35">
      <c r="A1356" s="18">
        <v>12</v>
      </c>
      <c r="B1356" s="18">
        <v>2025</v>
      </c>
      <c r="C1356" s="18" t="s">
        <v>33</v>
      </c>
      <c r="D1356" s="18" t="s">
        <v>258</v>
      </c>
      <c r="E1356" t="s">
        <v>670</v>
      </c>
      <c r="G1356" s="51" t="s">
        <v>693</v>
      </c>
      <c r="H1356" s="3">
        <v>63097</v>
      </c>
      <c r="I1356" s="3">
        <v>4691</v>
      </c>
      <c r="J1356" s="2" t="s">
        <v>697</v>
      </c>
      <c r="R1356" s="63">
        <v>11.16329</v>
      </c>
      <c r="S1356" s="6">
        <v>3427.13</v>
      </c>
      <c r="U1356">
        <v>200</v>
      </c>
      <c r="W1356" s="7">
        <v>307</v>
      </c>
    </row>
    <row r="1357" spans="1:23" x14ac:dyDescent="0.35">
      <c r="A1357" s="18">
        <v>12</v>
      </c>
      <c r="B1357" s="18">
        <v>2025</v>
      </c>
      <c r="C1357" s="18" t="s">
        <v>33</v>
      </c>
      <c r="D1357" s="18" t="s">
        <v>258</v>
      </c>
      <c r="E1357" t="s">
        <v>550</v>
      </c>
      <c r="G1357" s="51" t="s">
        <v>50</v>
      </c>
      <c r="H1357" s="3">
        <v>63139</v>
      </c>
      <c r="I1357" s="3">
        <v>1912</v>
      </c>
      <c r="J1357" s="2" t="s">
        <v>658</v>
      </c>
      <c r="R1357" s="63">
        <v>3287.13</v>
      </c>
      <c r="S1357" s="6">
        <v>3287.13</v>
      </c>
      <c r="U1357" s="13">
        <v>280</v>
      </c>
      <c r="W1357" s="7">
        <v>1</v>
      </c>
    </row>
    <row r="1358" spans="1:23" x14ac:dyDescent="0.35">
      <c r="A1358" s="18">
        <v>12</v>
      </c>
      <c r="B1358" s="18">
        <v>2025</v>
      </c>
      <c r="C1358" s="18" t="s">
        <v>33</v>
      </c>
      <c r="D1358" s="18" t="s">
        <v>258</v>
      </c>
      <c r="E1358" t="s">
        <v>670</v>
      </c>
      <c r="G1358" s="51" t="s">
        <v>693</v>
      </c>
      <c r="H1358" s="3">
        <v>63143</v>
      </c>
      <c r="I1358" s="3">
        <v>4693</v>
      </c>
      <c r="J1358" s="2" t="s">
        <v>684</v>
      </c>
      <c r="R1358" s="63">
        <v>9.2113460000000007</v>
      </c>
      <c r="S1358" s="6">
        <v>14167.05</v>
      </c>
      <c r="U1358">
        <v>180</v>
      </c>
      <c r="W1358" s="7">
        <v>1538</v>
      </c>
    </row>
    <row r="1359" spans="1:23" x14ac:dyDescent="0.35">
      <c r="A1359" s="18">
        <v>12</v>
      </c>
      <c r="B1359" s="18">
        <v>2025</v>
      </c>
      <c r="C1359" s="18" t="s">
        <v>33</v>
      </c>
      <c r="D1359" s="18" t="s">
        <v>258</v>
      </c>
      <c r="E1359" t="s">
        <v>670</v>
      </c>
      <c r="G1359" s="51" t="s">
        <v>693</v>
      </c>
      <c r="H1359" s="3">
        <v>63143</v>
      </c>
      <c r="I1359" s="3">
        <v>4694</v>
      </c>
      <c r="J1359" s="2" t="s">
        <v>696</v>
      </c>
      <c r="R1359" s="63">
        <v>9.2113479999999992</v>
      </c>
      <c r="S1359" s="6">
        <v>12988</v>
      </c>
      <c r="U1359">
        <v>180</v>
      </c>
      <c r="W1359" s="7">
        <v>1410</v>
      </c>
    </row>
    <row r="1360" spans="1:23" x14ac:dyDescent="0.35">
      <c r="A1360" s="18">
        <v>12</v>
      </c>
      <c r="B1360" s="18">
        <v>2025</v>
      </c>
      <c r="C1360" s="18" t="s">
        <v>33</v>
      </c>
      <c r="D1360" s="18" t="s">
        <v>258</v>
      </c>
      <c r="E1360" t="s">
        <v>670</v>
      </c>
      <c r="G1360" s="51" t="s">
        <v>693</v>
      </c>
      <c r="H1360" s="3">
        <v>63143</v>
      </c>
      <c r="I1360" s="3">
        <v>4695</v>
      </c>
      <c r="J1360" s="2" t="s">
        <v>695</v>
      </c>
      <c r="R1360" s="63">
        <v>8.6117889999999999</v>
      </c>
      <c r="S1360" s="6">
        <v>12995.19</v>
      </c>
      <c r="U1360">
        <v>180</v>
      </c>
      <c r="W1360" s="7">
        <v>1509</v>
      </c>
    </row>
    <row r="1361" spans="1:23" x14ac:dyDescent="0.35">
      <c r="A1361" s="18">
        <v>12</v>
      </c>
      <c r="B1361" s="18">
        <v>2025</v>
      </c>
      <c r="C1361" s="18" t="s">
        <v>33</v>
      </c>
      <c r="D1361" s="18" t="s">
        <v>258</v>
      </c>
      <c r="E1361" t="s">
        <v>670</v>
      </c>
      <c r="G1361" s="51" t="s">
        <v>693</v>
      </c>
      <c r="H1361" s="3">
        <v>63143</v>
      </c>
      <c r="I1361" s="3">
        <v>4692</v>
      </c>
      <c r="J1361" s="2" t="s">
        <v>685</v>
      </c>
      <c r="R1361" s="63">
        <v>10.246941</v>
      </c>
      <c r="S1361" s="6">
        <v>15913.5</v>
      </c>
      <c r="U1361">
        <v>200</v>
      </c>
      <c r="W1361" s="7">
        <v>1553</v>
      </c>
    </row>
    <row r="1362" spans="1:23" x14ac:dyDescent="0.35">
      <c r="A1362" s="18">
        <v>12</v>
      </c>
      <c r="B1362" s="18">
        <v>2025</v>
      </c>
      <c r="C1362" s="18" t="s">
        <v>33</v>
      </c>
      <c r="D1362" s="18" t="s">
        <v>258</v>
      </c>
      <c r="E1362" t="s">
        <v>670</v>
      </c>
      <c r="G1362" s="51" t="s">
        <v>693</v>
      </c>
      <c r="H1362" s="3">
        <v>63143</v>
      </c>
      <c r="I1362" s="3">
        <v>4696</v>
      </c>
      <c r="J1362" s="2" t="s">
        <v>683</v>
      </c>
      <c r="R1362" s="63">
        <v>9.9199079999999995</v>
      </c>
      <c r="S1362" s="6">
        <v>15018.74</v>
      </c>
      <c r="U1362">
        <v>200</v>
      </c>
      <c r="W1362" s="7">
        <v>1514</v>
      </c>
    </row>
    <row r="1363" spans="1:23" x14ac:dyDescent="0.35">
      <c r="A1363" s="18">
        <v>12</v>
      </c>
      <c r="B1363" s="18">
        <v>2025</v>
      </c>
      <c r="C1363" s="18" t="s">
        <v>33</v>
      </c>
      <c r="D1363" s="18" t="s">
        <v>258</v>
      </c>
      <c r="E1363" t="s">
        <v>670</v>
      </c>
      <c r="G1363" s="51" t="s">
        <v>693</v>
      </c>
      <c r="H1363" s="3">
        <v>63143</v>
      </c>
      <c r="I1363" s="3">
        <v>4697</v>
      </c>
      <c r="J1363" s="2" t="s">
        <v>682</v>
      </c>
      <c r="R1363" s="63">
        <v>9.9199120000000001</v>
      </c>
      <c r="S1363" s="6">
        <v>15703.22</v>
      </c>
      <c r="U1363">
        <v>200</v>
      </c>
      <c r="W1363" s="7">
        <v>1583</v>
      </c>
    </row>
    <row r="1364" spans="1:23" x14ac:dyDescent="0.35">
      <c r="A1364" s="18">
        <v>12</v>
      </c>
      <c r="B1364" s="18">
        <v>2025</v>
      </c>
      <c r="C1364" s="18" t="s">
        <v>33</v>
      </c>
      <c r="D1364" s="18" t="s">
        <v>258</v>
      </c>
      <c r="E1364" t="s">
        <v>670</v>
      </c>
      <c r="G1364" s="51" t="s">
        <v>693</v>
      </c>
      <c r="H1364" s="3">
        <v>63143</v>
      </c>
      <c r="I1364" s="3">
        <v>4698</v>
      </c>
      <c r="J1364" s="2" t="s">
        <v>681</v>
      </c>
      <c r="R1364" s="63">
        <v>9.9199079999999995</v>
      </c>
      <c r="S1364" s="6">
        <v>15048.5</v>
      </c>
      <c r="U1364">
        <v>200</v>
      </c>
      <c r="W1364" s="7">
        <v>1517</v>
      </c>
    </row>
    <row r="1365" spans="1:23" x14ac:dyDescent="0.35">
      <c r="A1365" s="18">
        <v>12</v>
      </c>
      <c r="B1365" s="18">
        <v>2025</v>
      </c>
      <c r="C1365" s="18" t="s">
        <v>33</v>
      </c>
      <c r="D1365" s="18" t="s">
        <v>258</v>
      </c>
      <c r="E1365" t="s">
        <v>670</v>
      </c>
      <c r="G1365" s="51" t="s">
        <v>693</v>
      </c>
      <c r="H1365" s="3">
        <v>63143</v>
      </c>
      <c r="I1365" s="3">
        <v>4687</v>
      </c>
      <c r="J1365" s="2" t="s">
        <v>689</v>
      </c>
      <c r="R1365" s="63">
        <v>11.282537</v>
      </c>
      <c r="S1365" s="6">
        <v>16720.72</v>
      </c>
      <c r="U1365">
        <v>200</v>
      </c>
      <c r="W1365" s="7">
        <v>1482</v>
      </c>
    </row>
    <row r="1366" spans="1:23" x14ac:dyDescent="0.35">
      <c r="A1366" s="18">
        <v>12</v>
      </c>
      <c r="B1366" s="18">
        <v>2025</v>
      </c>
      <c r="C1366" s="18" t="s">
        <v>33</v>
      </c>
      <c r="D1366" s="18" t="s">
        <v>258</v>
      </c>
      <c r="E1366" t="s">
        <v>670</v>
      </c>
      <c r="G1366" s="51" t="s">
        <v>693</v>
      </c>
      <c r="H1366" s="3">
        <v>63143</v>
      </c>
      <c r="I1366" s="3">
        <v>4691</v>
      </c>
      <c r="J1366" s="2" t="s">
        <v>697</v>
      </c>
      <c r="R1366" s="63">
        <v>11.282533000000001</v>
      </c>
      <c r="S1366" s="6">
        <v>17905.38</v>
      </c>
      <c r="U1366">
        <v>200</v>
      </c>
      <c r="W1366" s="7">
        <v>1587</v>
      </c>
    </row>
    <row r="1367" spans="1:23" x14ac:dyDescent="0.35">
      <c r="A1367" s="18">
        <v>12</v>
      </c>
      <c r="B1367" s="18">
        <v>2025</v>
      </c>
      <c r="C1367" s="18" t="s">
        <v>33</v>
      </c>
      <c r="D1367" s="18" t="s">
        <v>258</v>
      </c>
      <c r="E1367" t="s">
        <v>670</v>
      </c>
      <c r="G1367" s="51" t="s">
        <v>693</v>
      </c>
      <c r="H1367" s="3">
        <v>63143</v>
      </c>
      <c r="I1367" s="3">
        <v>4690</v>
      </c>
      <c r="J1367" s="2" t="s">
        <v>680</v>
      </c>
      <c r="R1367" s="63">
        <v>11.282537</v>
      </c>
      <c r="S1367" s="6">
        <v>17747.43</v>
      </c>
      <c r="U1367">
        <v>200</v>
      </c>
      <c r="W1367" s="7">
        <v>1573</v>
      </c>
    </row>
    <row r="1368" spans="1:23" x14ac:dyDescent="0.35">
      <c r="A1368" s="18">
        <v>12</v>
      </c>
      <c r="B1368" s="18">
        <v>2025</v>
      </c>
      <c r="C1368" s="18" t="s">
        <v>33</v>
      </c>
      <c r="D1368" s="18" t="s">
        <v>258</v>
      </c>
      <c r="E1368" t="s">
        <v>670</v>
      </c>
      <c r="G1368" s="51" t="s">
        <v>693</v>
      </c>
      <c r="H1368" s="3">
        <v>63143</v>
      </c>
      <c r="I1368" s="3">
        <v>4689</v>
      </c>
      <c r="J1368" s="2" t="s">
        <v>687</v>
      </c>
      <c r="R1368" s="63">
        <v>11.282536</v>
      </c>
      <c r="S1368" s="6">
        <v>17882.82</v>
      </c>
      <c r="U1368">
        <v>200</v>
      </c>
      <c r="W1368" s="7">
        <v>1585</v>
      </c>
    </row>
    <row r="1369" spans="1:23" x14ac:dyDescent="0.35">
      <c r="A1369" s="18">
        <v>12</v>
      </c>
      <c r="B1369" s="18">
        <v>2025</v>
      </c>
      <c r="C1369" s="18" t="s">
        <v>33</v>
      </c>
      <c r="D1369" s="18" t="s">
        <v>258</v>
      </c>
      <c r="E1369" t="s">
        <v>670</v>
      </c>
      <c r="G1369" s="51" t="s">
        <v>693</v>
      </c>
      <c r="H1369" s="3">
        <v>63143</v>
      </c>
      <c r="I1369" s="3">
        <v>4688</v>
      </c>
      <c r="J1369" s="2" t="s">
        <v>688</v>
      </c>
      <c r="R1369" s="63">
        <v>11.282534</v>
      </c>
      <c r="S1369" s="6">
        <v>18029.490000000002</v>
      </c>
      <c r="U1369">
        <v>200</v>
      </c>
      <c r="W1369" s="7">
        <v>1598</v>
      </c>
    </row>
    <row r="1370" spans="1:23" x14ac:dyDescent="0.35">
      <c r="A1370" s="18">
        <v>12</v>
      </c>
      <c r="B1370" s="18">
        <v>2025</v>
      </c>
      <c r="C1370" s="18" t="s">
        <v>33</v>
      </c>
      <c r="D1370" s="18" t="s">
        <v>258</v>
      </c>
      <c r="E1370" t="s">
        <v>670</v>
      </c>
      <c r="G1370" s="51" t="s">
        <v>693</v>
      </c>
      <c r="H1370" s="3">
        <v>63143</v>
      </c>
      <c r="I1370" s="3">
        <v>4686</v>
      </c>
      <c r="J1370" s="2" t="s">
        <v>690</v>
      </c>
      <c r="R1370" s="63">
        <v>11.282534999999999</v>
      </c>
      <c r="S1370" s="6">
        <v>16850.240000000002</v>
      </c>
      <c r="U1370">
        <v>200</v>
      </c>
      <c r="W1370" s="7">
        <v>1493.48</v>
      </c>
    </row>
    <row r="1371" spans="1:23" x14ac:dyDescent="0.35">
      <c r="A1371" s="18">
        <v>12</v>
      </c>
      <c r="B1371" s="18">
        <v>2025</v>
      </c>
      <c r="C1371" s="18" t="s">
        <v>33</v>
      </c>
      <c r="D1371" s="18" t="s">
        <v>258</v>
      </c>
      <c r="E1371" t="s">
        <v>670</v>
      </c>
      <c r="G1371" s="51" t="s">
        <v>693</v>
      </c>
      <c r="H1371" s="3">
        <v>63143</v>
      </c>
      <c r="I1371" s="3">
        <v>4685</v>
      </c>
      <c r="J1371" s="2" t="s">
        <v>691</v>
      </c>
      <c r="R1371" s="63">
        <v>11.282536</v>
      </c>
      <c r="S1371" s="6">
        <v>17882.82</v>
      </c>
      <c r="U1371">
        <v>200</v>
      </c>
      <c r="W1371" s="7">
        <v>1585</v>
      </c>
    </row>
    <row r="1372" spans="1:23" x14ac:dyDescent="0.35">
      <c r="A1372" s="18">
        <v>12</v>
      </c>
      <c r="B1372" s="18">
        <v>2025</v>
      </c>
      <c r="C1372" s="18" t="s">
        <v>33</v>
      </c>
      <c r="D1372" s="18" t="s">
        <v>258</v>
      </c>
      <c r="E1372" t="s">
        <v>670</v>
      </c>
      <c r="G1372" s="51" t="s">
        <v>693</v>
      </c>
      <c r="H1372" s="3">
        <v>63143</v>
      </c>
      <c r="I1372" s="3">
        <v>4684</v>
      </c>
      <c r="J1372" s="2" t="s">
        <v>686</v>
      </c>
      <c r="R1372" s="63">
        <v>11.282533000000001</v>
      </c>
      <c r="S1372" s="6">
        <v>16213</v>
      </c>
      <c r="U1372">
        <v>200</v>
      </c>
      <c r="W1372" s="7">
        <v>1437</v>
      </c>
    </row>
    <row r="1373" spans="1:23" x14ac:dyDescent="0.35">
      <c r="A1373" s="18">
        <v>12</v>
      </c>
      <c r="B1373" s="18">
        <v>2025</v>
      </c>
      <c r="C1373" s="18" t="s">
        <v>33</v>
      </c>
      <c r="D1373" s="18" t="s">
        <v>258</v>
      </c>
      <c r="E1373" t="s">
        <v>390</v>
      </c>
      <c r="G1373" s="51" t="s">
        <v>43</v>
      </c>
      <c r="H1373" s="3">
        <v>63209</v>
      </c>
      <c r="I1373" s="3">
        <v>3504</v>
      </c>
      <c r="J1373" s="2" t="s">
        <v>487</v>
      </c>
      <c r="R1373">
        <v>8.2924419999999994</v>
      </c>
      <c r="S1373" s="6">
        <v>4992.05</v>
      </c>
      <c r="U1373">
        <v>180</v>
      </c>
      <c r="W1373" s="7">
        <v>602</v>
      </c>
    </row>
    <row r="1374" spans="1:23" x14ac:dyDescent="0.35">
      <c r="A1374" s="18">
        <v>12</v>
      </c>
      <c r="B1374" s="18">
        <v>2025</v>
      </c>
      <c r="C1374" s="18" t="s">
        <v>33</v>
      </c>
      <c r="D1374" s="18" t="s">
        <v>258</v>
      </c>
      <c r="E1374" t="s">
        <v>390</v>
      </c>
      <c r="G1374" s="51" t="s">
        <v>43</v>
      </c>
      <c r="H1374" s="3">
        <v>63209</v>
      </c>
      <c r="I1374" s="3">
        <v>4705</v>
      </c>
      <c r="J1374" s="2" t="s">
        <v>698</v>
      </c>
      <c r="R1374">
        <v>9.3428290000000001</v>
      </c>
      <c r="S1374" s="6">
        <v>12351.22</v>
      </c>
      <c r="U1374">
        <v>180</v>
      </c>
      <c r="W1374" s="7">
        <v>1322</v>
      </c>
    </row>
    <row r="1375" spans="1:23" x14ac:dyDescent="0.35">
      <c r="A1375" s="18">
        <v>12</v>
      </c>
      <c r="B1375" s="18">
        <v>2025</v>
      </c>
      <c r="C1375" s="18" t="s">
        <v>33</v>
      </c>
      <c r="D1375" s="18" t="s">
        <v>258</v>
      </c>
      <c r="E1375" t="s">
        <v>390</v>
      </c>
      <c r="G1375" s="51" t="s">
        <v>43</v>
      </c>
      <c r="H1375" s="3">
        <v>63209</v>
      </c>
      <c r="I1375" s="3">
        <v>4706</v>
      </c>
      <c r="J1375" s="2" t="s">
        <v>699</v>
      </c>
      <c r="R1375">
        <v>9.3981089999999998</v>
      </c>
      <c r="S1375" s="6">
        <v>14708.04</v>
      </c>
      <c r="U1375">
        <v>180</v>
      </c>
      <c r="W1375" s="7">
        <v>1565</v>
      </c>
    </row>
    <row r="1376" spans="1:23" x14ac:dyDescent="0.35">
      <c r="A1376" s="18">
        <v>12</v>
      </c>
      <c r="B1376" s="18">
        <v>2025</v>
      </c>
      <c r="C1376" s="18" t="s">
        <v>33</v>
      </c>
      <c r="D1376" s="18" t="s">
        <v>258</v>
      </c>
      <c r="E1376" t="s">
        <v>692</v>
      </c>
      <c r="G1376" s="51" t="s">
        <v>37</v>
      </c>
      <c r="H1376" s="3">
        <v>63243</v>
      </c>
      <c r="I1376" s="3">
        <v>4745</v>
      </c>
      <c r="J1376" s="2" t="s">
        <v>700</v>
      </c>
      <c r="R1376">
        <v>16.548006999999998</v>
      </c>
      <c r="S1376" s="6">
        <v>8969.02</v>
      </c>
      <c r="U1376">
        <v>260</v>
      </c>
      <c r="W1376" s="7">
        <v>542</v>
      </c>
    </row>
    <row r="1377" spans="1:23" x14ac:dyDescent="0.35">
      <c r="A1377" s="18">
        <v>12</v>
      </c>
      <c r="B1377" s="18">
        <v>2025</v>
      </c>
      <c r="C1377" s="18" t="s">
        <v>33</v>
      </c>
      <c r="D1377" s="18" t="s">
        <v>258</v>
      </c>
      <c r="E1377" t="s">
        <v>692</v>
      </c>
      <c r="G1377" s="51" t="s">
        <v>37</v>
      </c>
      <c r="H1377" s="3">
        <v>63243</v>
      </c>
      <c r="I1377" s="3">
        <v>4746</v>
      </c>
      <c r="J1377" s="2" t="s">
        <v>701</v>
      </c>
      <c r="R1377">
        <v>40.652915</v>
      </c>
      <c r="S1377" s="6">
        <v>12408.53</v>
      </c>
      <c r="U1377">
        <v>440</v>
      </c>
      <c r="W1377" s="7">
        <v>305.23099999999999</v>
      </c>
    </row>
    <row r="1378" spans="1:23" x14ac:dyDescent="0.35">
      <c r="A1378" s="18">
        <v>12</v>
      </c>
      <c r="B1378" s="18">
        <v>2025</v>
      </c>
      <c r="C1378" s="18" t="s">
        <v>33</v>
      </c>
      <c r="D1378" s="18" t="s">
        <v>258</v>
      </c>
      <c r="E1378" t="s">
        <v>692</v>
      </c>
      <c r="G1378" s="51" t="s">
        <v>37</v>
      </c>
      <c r="H1378" s="3">
        <v>63243</v>
      </c>
      <c r="I1378" s="3">
        <v>4744</v>
      </c>
      <c r="J1378" s="2" t="s">
        <v>702</v>
      </c>
      <c r="R1378">
        <v>12.300684</v>
      </c>
      <c r="S1378" s="6">
        <v>11870.16</v>
      </c>
      <c r="U1378">
        <v>240</v>
      </c>
      <c r="W1378" s="7">
        <v>965</v>
      </c>
    </row>
    <row r="1379" spans="1:23" x14ac:dyDescent="0.35">
      <c r="A1379" s="18">
        <v>12</v>
      </c>
      <c r="B1379" s="18">
        <v>2025</v>
      </c>
      <c r="C1379" s="18" t="s">
        <v>33</v>
      </c>
      <c r="D1379" s="18" t="s">
        <v>258</v>
      </c>
      <c r="E1379" t="s">
        <v>692</v>
      </c>
      <c r="G1379" s="51" t="s">
        <v>37</v>
      </c>
      <c r="H1379" s="3">
        <v>63243</v>
      </c>
      <c r="I1379" s="3">
        <v>4743</v>
      </c>
      <c r="J1379" s="2" t="s">
        <v>703</v>
      </c>
      <c r="R1379">
        <v>10.701036999999999</v>
      </c>
      <c r="S1379" s="6">
        <v>11450.11</v>
      </c>
      <c r="U1379">
        <v>220</v>
      </c>
      <c r="W1379" s="7">
        <v>1070</v>
      </c>
    </row>
    <row r="1380" spans="1:23" x14ac:dyDescent="0.35">
      <c r="A1380" s="18">
        <v>12</v>
      </c>
      <c r="B1380" s="18">
        <v>2025</v>
      </c>
      <c r="C1380" s="18" t="s">
        <v>33</v>
      </c>
      <c r="D1380" s="18" t="s">
        <v>258</v>
      </c>
      <c r="E1380" t="s">
        <v>550</v>
      </c>
      <c r="G1380" s="51" t="s">
        <v>50</v>
      </c>
      <c r="H1380" s="3">
        <v>63248</v>
      </c>
      <c r="I1380" s="3">
        <v>1904</v>
      </c>
      <c r="J1380" s="2" t="s">
        <v>294</v>
      </c>
      <c r="R1380">
        <v>23.718800999999999</v>
      </c>
      <c r="S1380" s="6">
        <v>13448.56</v>
      </c>
      <c r="U1380">
        <v>450</v>
      </c>
      <c r="W1380" s="7">
        <v>567</v>
      </c>
    </row>
    <row r="1381" spans="1:23" x14ac:dyDescent="0.35">
      <c r="A1381" s="18">
        <v>12</v>
      </c>
      <c r="B1381" s="18">
        <v>2025</v>
      </c>
      <c r="C1381" s="18" t="s">
        <v>33</v>
      </c>
      <c r="D1381" s="18" t="s">
        <v>258</v>
      </c>
      <c r="E1381" t="s">
        <v>550</v>
      </c>
      <c r="G1381" s="51" t="s">
        <v>50</v>
      </c>
      <c r="H1381" s="3">
        <v>63248</v>
      </c>
      <c r="I1381" s="3">
        <v>2536</v>
      </c>
      <c r="J1381" s="2" t="s">
        <v>393</v>
      </c>
      <c r="R1381">
        <v>35.798836000000001</v>
      </c>
      <c r="S1381" s="6">
        <v>16610.66</v>
      </c>
      <c r="U1381">
        <v>440</v>
      </c>
      <c r="W1381" s="7">
        <v>464</v>
      </c>
    </row>
    <row r="1382" spans="1:23" x14ac:dyDescent="0.35">
      <c r="A1382" s="18">
        <v>12</v>
      </c>
      <c r="B1382" s="18">
        <v>2025</v>
      </c>
      <c r="C1382" s="18" t="s">
        <v>33</v>
      </c>
      <c r="D1382" s="18" t="s">
        <v>258</v>
      </c>
      <c r="E1382" t="s">
        <v>550</v>
      </c>
      <c r="G1382" s="51" t="s">
        <v>50</v>
      </c>
      <c r="H1382" s="3">
        <v>63248</v>
      </c>
      <c r="I1382" s="3">
        <v>4740</v>
      </c>
      <c r="J1382" s="2" t="s">
        <v>704</v>
      </c>
      <c r="R1382">
        <v>31.827311999999999</v>
      </c>
      <c r="S1382" s="6">
        <v>16932.13</v>
      </c>
      <c r="U1382">
        <v>400</v>
      </c>
      <c r="W1382" s="7">
        <v>532</v>
      </c>
    </row>
    <row r="1383" spans="1:23" x14ac:dyDescent="0.35">
      <c r="A1383" s="18">
        <v>12</v>
      </c>
      <c r="B1383" s="18">
        <v>2025</v>
      </c>
      <c r="C1383" s="18" t="s">
        <v>33</v>
      </c>
      <c r="D1383" s="18" t="s">
        <v>258</v>
      </c>
      <c r="E1383" t="s">
        <v>550</v>
      </c>
      <c r="G1383" s="51" t="s">
        <v>50</v>
      </c>
      <c r="H1383" s="3">
        <v>63248</v>
      </c>
      <c r="I1383" s="3">
        <v>4741</v>
      </c>
      <c r="J1383" s="2" t="s">
        <v>705</v>
      </c>
      <c r="R1383">
        <v>27.249030999999999</v>
      </c>
      <c r="S1383" s="6">
        <v>12371.06</v>
      </c>
      <c r="U1383">
        <v>380</v>
      </c>
      <c r="W1383" s="7">
        <v>454</v>
      </c>
    </row>
    <row r="1384" spans="1:23" x14ac:dyDescent="0.35">
      <c r="A1384" s="18">
        <v>12</v>
      </c>
      <c r="B1384" s="18">
        <v>2025</v>
      </c>
      <c r="C1384" s="18" t="s">
        <v>33</v>
      </c>
      <c r="D1384" s="18" t="s">
        <v>258</v>
      </c>
      <c r="E1384" t="s">
        <v>550</v>
      </c>
      <c r="G1384" s="51" t="s">
        <v>50</v>
      </c>
      <c r="H1384" s="3">
        <v>63248</v>
      </c>
      <c r="I1384" s="3">
        <v>4742</v>
      </c>
      <c r="J1384" s="2" t="s">
        <v>706</v>
      </c>
      <c r="R1384">
        <v>38.99812</v>
      </c>
      <c r="S1384" s="6">
        <v>18875.09</v>
      </c>
      <c r="U1384">
        <v>380</v>
      </c>
      <c r="W1384" s="7">
        <v>484</v>
      </c>
    </row>
    <row r="1385" spans="1:23" x14ac:dyDescent="0.35">
      <c r="A1385" s="18">
        <v>1</v>
      </c>
      <c r="B1385" s="18">
        <v>2026</v>
      </c>
      <c r="C1385" s="18" t="s">
        <v>33</v>
      </c>
      <c r="D1385" s="18" t="s">
        <v>258</v>
      </c>
      <c r="E1385" s="18" t="s">
        <v>116</v>
      </c>
      <c r="G1385" s="18" t="s">
        <v>50</v>
      </c>
      <c r="H1385" s="3">
        <v>63251</v>
      </c>
      <c r="I1385" s="3">
        <v>1419</v>
      </c>
      <c r="J1385" t="s">
        <v>341</v>
      </c>
      <c r="R1385" s="19">
        <v>12.228977</v>
      </c>
      <c r="S1385" s="121">
        <v>21156.13</v>
      </c>
      <c r="U1385">
        <v>180</v>
      </c>
      <c r="W1385" s="133">
        <v>1730</v>
      </c>
    </row>
    <row r="1386" spans="1:23" x14ac:dyDescent="0.35">
      <c r="A1386" s="18">
        <v>1</v>
      </c>
      <c r="B1386" s="18">
        <v>2026</v>
      </c>
      <c r="C1386" s="18" t="s">
        <v>33</v>
      </c>
      <c r="D1386" s="18" t="s">
        <v>258</v>
      </c>
      <c r="E1386" s="18" t="s">
        <v>116</v>
      </c>
      <c r="G1386" s="18" t="s">
        <v>50</v>
      </c>
      <c r="H1386" s="3">
        <v>63251</v>
      </c>
      <c r="I1386" s="3">
        <v>3378</v>
      </c>
      <c r="J1386" t="s">
        <v>460</v>
      </c>
      <c r="R1386" s="19">
        <v>26.360243000000001</v>
      </c>
      <c r="S1386" s="121">
        <v>14076.37</v>
      </c>
      <c r="U1386">
        <v>370</v>
      </c>
      <c r="W1386" s="133">
        <v>534</v>
      </c>
    </row>
    <row r="1387" spans="1:23" x14ac:dyDescent="0.35">
      <c r="A1387" s="18">
        <v>1</v>
      </c>
      <c r="B1387" s="18">
        <v>2026</v>
      </c>
      <c r="C1387" s="18" t="s">
        <v>33</v>
      </c>
      <c r="D1387" s="18" t="s">
        <v>258</v>
      </c>
      <c r="E1387" s="18" t="s">
        <v>116</v>
      </c>
      <c r="G1387" s="18" t="s">
        <v>50</v>
      </c>
      <c r="H1387" s="3">
        <v>63662</v>
      </c>
      <c r="I1387" s="3">
        <v>1419</v>
      </c>
      <c r="J1387" t="s">
        <v>341</v>
      </c>
      <c r="R1387">
        <v>11.788199000000001</v>
      </c>
      <c r="S1387" s="6">
        <v>14593.79</v>
      </c>
      <c r="U1387">
        <v>180</v>
      </c>
      <c r="W1387" s="7">
        <v>1238</v>
      </c>
    </row>
    <row r="1388" spans="1:23" s="14" customFormat="1" x14ac:dyDescent="0.35">
      <c r="A1388" s="14">
        <v>2</v>
      </c>
      <c r="B1388" s="14">
        <v>2026</v>
      </c>
      <c r="C1388" s="14" t="s">
        <v>33</v>
      </c>
      <c r="D1388" s="18" t="s">
        <v>258</v>
      </c>
      <c r="E1388" s="14" t="s">
        <v>711</v>
      </c>
      <c r="F1388" s="31"/>
      <c r="G1388" s="49" t="s">
        <v>43</v>
      </c>
      <c r="H1388" s="31">
        <v>63819</v>
      </c>
      <c r="I1388" s="31">
        <v>4777</v>
      </c>
      <c r="J1388" s="49" t="s">
        <v>713</v>
      </c>
      <c r="R1388" s="14">
        <v>18.455577999999999</v>
      </c>
      <c r="S1388" s="120">
        <v>11017.98</v>
      </c>
      <c r="U1388" s="14">
        <v>340</v>
      </c>
      <c r="W1388" s="127">
        <v>597</v>
      </c>
    </row>
    <row r="1389" spans="1:23" x14ac:dyDescent="0.35">
      <c r="A1389" s="18">
        <v>2</v>
      </c>
      <c r="B1389" s="18">
        <v>2026</v>
      </c>
      <c r="C1389" s="18" t="s">
        <v>33</v>
      </c>
      <c r="D1389" s="18" t="s">
        <v>258</v>
      </c>
      <c r="E1389" s="18" t="s">
        <v>711</v>
      </c>
      <c r="G1389" s="51" t="s">
        <v>43</v>
      </c>
      <c r="H1389" s="3">
        <v>63819</v>
      </c>
      <c r="I1389" s="3">
        <v>4781</v>
      </c>
      <c r="J1389" s="2" t="s">
        <v>714</v>
      </c>
      <c r="R1389">
        <v>7.8869930000000004</v>
      </c>
      <c r="S1389" s="6">
        <v>3462.39</v>
      </c>
      <c r="U1389">
        <v>180</v>
      </c>
      <c r="W1389" s="7">
        <v>439</v>
      </c>
    </row>
    <row r="1390" spans="1:23" x14ac:dyDescent="0.35">
      <c r="A1390" s="18">
        <v>2</v>
      </c>
      <c r="B1390" s="18">
        <v>2026</v>
      </c>
      <c r="C1390" s="18" t="s">
        <v>33</v>
      </c>
      <c r="D1390" s="18" t="s">
        <v>258</v>
      </c>
      <c r="E1390" s="18" t="s">
        <v>711</v>
      </c>
      <c r="G1390" s="51" t="s">
        <v>43</v>
      </c>
      <c r="H1390" s="3">
        <v>63819</v>
      </c>
      <c r="I1390" s="3">
        <v>4780</v>
      </c>
      <c r="J1390" s="2" t="s">
        <v>715</v>
      </c>
      <c r="R1390">
        <v>9.9902040000000003</v>
      </c>
      <c r="S1390" s="6">
        <v>4905.1899999999996</v>
      </c>
      <c r="U1390">
        <v>200</v>
      </c>
      <c r="W1390" s="7">
        <v>491</v>
      </c>
    </row>
    <row r="1391" spans="1:23" x14ac:dyDescent="0.35">
      <c r="A1391" s="18">
        <v>2</v>
      </c>
      <c r="B1391" s="18">
        <v>2026</v>
      </c>
      <c r="C1391" s="18" t="s">
        <v>33</v>
      </c>
      <c r="D1391" s="18" t="s">
        <v>258</v>
      </c>
      <c r="E1391" s="18" t="s">
        <v>711</v>
      </c>
      <c r="G1391" s="51" t="s">
        <v>43</v>
      </c>
      <c r="H1391" s="3">
        <v>63819</v>
      </c>
      <c r="I1391" s="3">
        <v>4779</v>
      </c>
      <c r="J1391" s="2" t="s">
        <v>716</v>
      </c>
      <c r="R1391">
        <v>10.358257999999999</v>
      </c>
      <c r="S1391" s="6">
        <v>6183.88</v>
      </c>
      <c r="U1391">
        <v>220</v>
      </c>
      <c r="W1391" s="7">
        <v>597</v>
      </c>
    </row>
    <row r="1392" spans="1:23" x14ac:dyDescent="0.35">
      <c r="A1392" s="18">
        <v>2</v>
      </c>
      <c r="B1392" s="18">
        <v>2026</v>
      </c>
      <c r="C1392" s="18" t="s">
        <v>33</v>
      </c>
      <c r="D1392" s="18" t="s">
        <v>258</v>
      </c>
      <c r="E1392" s="18" t="s">
        <v>711</v>
      </c>
      <c r="G1392" s="51" t="s">
        <v>43</v>
      </c>
      <c r="H1392" s="3">
        <v>63819</v>
      </c>
      <c r="I1392" s="3">
        <v>4778</v>
      </c>
      <c r="J1392" s="2" t="s">
        <v>717</v>
      </c>
      <c r="R1392">
        <v>11.672765</v>
      </c>
      <c r="S1392" s="6">
        <v>6501.73</v>
      </c>
      <c r="U1392">
        <v>240</v>
      </c>
      <c r="W1392" s="7">
        <v>557</v>
      </c>
    </row>
    <row r="1393" spans="1:23" x14ac:dyDescent="0.35">
      <c r="A1393" s="18">
        <v>2</v>
      </c>
      <c r="B1393" s="18">
        <v>2026</v>
      </c>
      <c r="C1393" s="18" t="s">
        <v>33</v>
      </c>
      <c r="D1393" s="18" t="s">
        <v>258</v>
      </c>
      <c r="E1393" s="18" t="s">
        <v>711</v>
      </c>
      <c r="G1393" s="51" t="s">
        <v>43</v>
      </c>
      <c r="H1393" s="3">
        <v>63819</v>
      </c>
      <c r="I1393" s="3">
        <v>4776</v>
      </c>
      <c r="J1393" s="2" t="s">
        <v>718</v>
      </c>
      <c r="R1393">
        <v>18.508158999999999</v>
      </c>
      <c r="S1393" s="6">
        <v>11660.14</v>
      </c>
      <c r="U1393">
        <v>340</v>
      </c>
      <c r="W1393" s="7">
        <v>630</v>
      </c>
    </row>
    <row r="1394" spans="1:23" x14ac:dyDescent="0.35">
      <c r="A1394" s="18">
        <v>2</v>
      </c>
      <c r="B1394" s="18">
        <v>2026</v>
      </c>
      <c r="C1394" s="18" t="s">
        <v>33</v>
      </c>
      <c r="D1394" s="18" t="s">
        <v>258</v>
      </c>
      <c r="E1394" s="18" t="s">
        <v>711</v>
      </c>
      <c r="G1394" s="51" t="s">
        <v>43</v>
      </c>
      <c r="H1394" s="3">
        <v>63819</v>
      </c>
      <c r="I1394" s="3">
        <v>4775</v>
      </c>
      <c r="J1394" s="2" t="s">
        <v>719</v>
      </c>
      <c r="R1394">
        <v>24.975494000000001</v>
      </c>
      <c r="S1394" s="6">
        <v>13911.35</v>
      </c>
      <c r="U1394">
        <v>340</v>
      </c>
      <c r="W1394" s="7">
        <v>557</v>
      </c>
    </row>
    <row r="1395" spans="1:23" x14ac:dyDescent="0.35">
      <c r="A1395" s="18">
        <v>2</v>
      </c>
      <c r="B1395" s="18">
        <v>2026</v>
      </c>
      <c r="C1395" s="18" t="s">
        <v>33</v>
      </c>
      <c r="D1395" s="18" t="s">
        <v>258</v>
      </c>
      <c r="E1395" s="18" t="s">
        <v>711</v>
      </c>
      <c r="G1395" s="51" t="s">
        <v>43</v>
      </c>
      <c r="H1395" s="3">
        <v>63819</v>
      </c>
      <c r="I1395" s="3">
        <v>4773</v>
      </c>
      <c r="J1395" s="2" t="s">
        <v>720</v>
      </c>
      <c r="R1395">
        <v>26.184839</v>
      </c>
      <c r="S1395" s="6">
        <v>50379.63</v>
      </c>
      <c r="U1395">
        <v>200</v>
      </c>
      <c r="W1395" s="7">
        <v>1924</v>
      </c>
    </row>
    <row r="1396" spans="1:23" x14ac:dyDescent="0.35">
      <c r="A1396" s="18">
        <v>2</v>
      </c>
      <c r="B1396" s="18">
        <v>2026</v>
      </c>
      <c r="C1396" s="18" t="s">
        <v>33</v>
      </c>
      <c r="D1396" s="18" t="s">
        <v>258</v>
      </c>
      <c r="E1396" s="18" t="s">
        <v>711</v>
      </c>
      <c r="G1396" s="51" t="s">
        <v>43</v>
      </c>
      <c r="H1396" s="3">
        <v>63819</v>
      </c>
      <c r="I1396" s="3">
        <v>4772</v>
      </c>
      <c r="J1396" s="2" t="s">
        <v>721</v>
      </c>
      <c r="R1396">
        <v>26.027106</v>
      </c>
      <c r="S1396" s="6">
        <v>14210.8</v>
      </c>
      <c r="U1396">
        <v>440</v>
      </c>
      <c r="W1396" s="7">
        <v>546</v>
      </c>
    </row>
    <row r="1397" spans="1:23" x14ac:dyDescent="0.35">
      <c r="A1397" s="18">
        <v>2</v>
      </c>
      <c r="B1397" s="18">
        <v>2026</v>
      </c>
      <c r="C1397" s="18" t="s">
        <v>33</v>
      </c>
      <c r="D1397" s="18" t="s">
        <v>258</v>
      </c>
      <c r="E1397" s="18" t="s">
        <v>550</v>
      </c>
      <c r="G1397" s="51" t="s">
        <v>50</v>
      </c>
      <c r="H1397" s="3">
        <v>64026</v>
      </c>
      <c r="I1397" s="3">
        <v>2000</v>
      </c>
      <c r="J1397" s="2" t="s">
        <v>309</v>
      </c>
      <c r="R1397">
        <v>27.061330000000002</v>
      </c>
      <c r="S1397" s="6">
        <v>27467.25</v>
      </c>
      <c r="U1397">
        <v>380</v>
      </c>
      <c r="W1397" s="7">
        <v>1015</v>
      </c>
    </row>
    <row r="1398" spans="1:23" x14ac:dyDescent="0.35">
      <c r="A1398" s="18">
        <v>2</v>
      </c>
      <c r="B1398" s="18">
        <v>2026</v>
      </c>
      <c r="C1398" s="18" t="s">
        <v>33</v>
      </c>
      <c r="D1398" s="18" t="s">
        <v>258</v>
      </c>
      <c r="E1398" s="18" t="s">
        <v>550</v>
      </c>
      <c r="G1398" s="51" t="s">
        <v>50</v>
      </c>
      <c r="H1398" s="3">
        <v>64026</v>
      </c>
      <c r="I1398" s="3">
        <v>2536</v>
      </c>
      <c r="J1398" s="2" t="s">
        <v>393</v>
      </c>
      <c r="R1398">
        <v>33.970605999999997</v>
      </c>
      <c r="S1398" s="6">
        <v>30845.31</v>
      </c>
      <c r="U1398">
        <v>440</v>
      </c>
      <c r="W1398" s="7">
        <v>908</v>
      </c>
    </row>
    <row r="1399" spans="1:23" x14ac:dyDescent="0.35">
      <c r="A1399" s="18">
        <v>2</v>
      </c>
      <c r="B1399" s="18">
        <v>2026</v>
      </c>
      <c r="C1399" s="18" t="s">
        <v>33</v>
      </c>
      <c r="D1399" s="18" t="s">
        <v>258</v>
      </c>
      <c r="E1399" s="18" t="s">
        <v>550</v>
      </c>
      <c r="G1399" s="51" t="s">
        <v>50</v>
      </c>
      <c r="H1399" s="3">
        <v>64026</v>
      </c>
      <c r="I1399" s="3">
        <v>4703</v>
      </c>
      <c r="J1399" s="2" t="s">
        <v>674</v>
      </c>
      <c r="R1399">
        <v>15.598216000000001</v>
      </c>
      <c r="S1399" s="6">
        <v>21681.52</v>
      </c>
      <c r="U1399">
        <v>300</v>
      </c>
      <c r="W1399" s="7">
        <v>1390</v>
      </c>
    </row>
    <row r="1400" spans="1:23" x14ac:dyDescent="0.35">
      <c r="A1400" s="18">
        <v>2</v>
      </c>
      <c r="B1400" s="18">
        <v>2026</v>
      </c>
      <c r="C1400" s="18" t="s">
        <v>33</v>
      </c>
      <c r="D1400" s="18" t="s">
        <v>258</v>
      </c>
      <c r="E1400" s="18" t="s">
        <v>712</v>
      </c>
      <c r="G1400" s="51" t="s">
        <v>82</v>
      </c>
      <c r="H1400" s="3">
        <v>64034</v>
      </c>
      <c r="I1400" s="3">
        <v>3801</v>
      </c>
      <c r="J1400" s="2" t="s">
        <v>722</v>
      </c>
      <c r="R1400">
        <v>7.8514650000000001</v>
      </c>
      <c r="S1400" s="6">
        <v>2143.4499999999998</v>
      </c>
      <c r="U1400">
        <v>160</v>
      </c>
      <c r="W1400" s="7">
        <v>273</v>
      </c>
    </row>
    <row r="1401" spans="1:23" x14ac:dyDescent="0.35">
      <c r="A1401" s="18">
        <v>2</v>
      </c>
      <c r="B1401" s="18">
        <v>2026</v>
      </c>
      <c r="C1401" s="18" t="s">
        <v>33</v>
      </c>
      <c r="D1401" s="18" t="s">
        <v>258</v>
      </c>
      <c r="E1401" s="18" t="s">
        <v>712</v>
      </c>
      <c r="G1401" s="51" t="s">
        <v>82</v>
      </c>
      <c r="H1401" s="3">
        <v>64034</v>
      </c>
      <c r="I1401" s="3">
        <v>4240</v>
      </c>
      <c r="J1401" s="2" t="s">
        <v>723</v>
      </c>
      <c r="R1401">
        <v>7.8514619999999997</v>
      </c>
      <c r="S1401" s="6">
        <v>2041.38</v>
      </c>
      <c r="U1401">
        <v>180</v>
      </c>
      <c r="W1401" s="7">
        <v>260</v>
      </c>
    </row>
    <row r="1402" spans="1:23" x14ac:dyDescent="0.35">
      <c r="A1402" s="18">
        <v>2</v>
      </c>
      <c r="B1402" s="18">
        <v>2026</v>
      </c>
      <c r="C1402" s="18" t="s">
        <v>33</v>
      </c>
      <c r="D1402" s="18" t="s">
        <v>258</v>
      </c>
      <c r="E1402" s="18" t="s">
        <v>712</v>
      </c>
      <c r="G1402" s="51" t="s">
        <v>82</v>
      </c>
      <c r="H1402" s="3">
        <v>64034</v>
      </c>
      <c r="I1402" s="3">
        <v>3815</v>
      </c>
      <c r="J1402" s="2" t="s">
        <v>724</v>
      </c>
      <c r="R1402">
        <v>7.8514609999999996</v>
      </c>
      <c r="S1402" s="6">
        <v>2418.25</v>
      </c>
      <c r="U1402">
        <v>280</v>
      </c>
      <c r="W1402" s="7">
        <v>308</v>
      </c>
    </row>
    <row r="1403" spans="1:23" x14ac:dyDescent="0.35">
      <c r="A1403" s="18">
        <v>2</v>
      </c>
      <c r="B1403" s="18">
        <v>2026</v>
      </c>
      <c r="C1403" s="18" t="s">
        <v>33</v>
      </c>
      <c r="D1403" s="18" t="s">
        <v>258</v>
      </c>
      <c r="E1403" s="18" t="s">
        <v>712</v>
      </c>
      <c r="G1403" s="51" t="s">
        <v>82</v>
      </c>
      <c r="H1403" s="3">
        <v>64034</v>
      </c>
      <c r="I1403" s="3">
        <v>3814</v>
      </c>
      <c r="J1403" s="2" t="s">
        <v>725</v>
      </c>
      <c r="R1403">
        <v>7.851445</v>
      </c>
      <c r="S1403" s="6">
        <v>1358.3</v>
      </c>
      <c r="U1403">
        <v>280</v>
      </c>
      <c r="W1403" s="7">
        <v>173</v>
      </c>
    </row>
    <row r="1404" spans="1:23" x14ac:dyDescent="0.35">
      <c r="A1404" s="18">
        <v>2</v>
      </c>
      <c r="B1404" s="18">
        <v>2026</v>
      </c>
      <c r="C1404" s="18" t="s">
        <v>33</v>
      </c>
      <c r="D1404" s="18" t="s">
        <v>258</v>
      </c>
      <c r="E1404" s="18" t="s">
        <v>712</v>
      </c>
      <c r="G1404" s="51" t="s">
        <v>82</v>
      </c>
      <c r="H1404" s="3">
        <v>64034</v>
      </c>
      <c r="I1404" s="3">
        <v>3813</v>
      </c>
      <c r="J1404" s="2" t="s">
        <v>726</v>
      </c>
      <c r="R1404">
        <v>7.8514390000000001</v>
      </c>
      <c r="S1404" s="6">
        <v>2127.7399999999998</v>
      </c>
      <c r="U1404">
        <v>280</v>
      </c>
      <c r="W1404" s="7">
        <v>271</v>
      </c>
    </row>
    <row r="1405" spans="1:23" x14ac:dyDescent="0.35">
      <c r="A1405" s="18">
        <v>2</v>
      </c>
      <c r="B1405" s="18">
        <v>2026</v>
      </c>
      <c r="C1405" s="18" t="s">
        <v>33</v>
      </c>
      <c r="D1405" s="18" t="s">
        <v>258</v>
      </c>
      <c r="E1405" s="18" t="s">
        <v>712</v>
      </c>
      <c r="G1405" s="51" t="s">
        <v>82</v>
      </c>
      <c r="H1405" s="3">
        <v>64034</v>
      </c>
      <c r="I1405" s="3">
        <v>3811</v>
      </c>
      <c r="J1405" s="2" t="s">
        <v>727</v>
      </c>
      <c r="R1405">
        <v>7.8514189999999999</v>
      </c>
      <c r="S1405" s="6">
        <v>1162.01</v>
      </c>
      <c r="U1405">
        <v>280</v>
      </c>
      <c r="W1405" s="7">
        <v>148</v>
      </c>
    </row>
    <row r="1406" spans="1:23" x14ac:dyDescent="0.35">
      <c r="A1406" s="18">
        <v>2</v>
      </c>
      <c r="B1406" s="18">
        <v>2026</v>
      </c>
      <c r="C1406" s="18" t="s">
        <v>33</v>
      </c>
      <c r="D1406" s="18" t="s">
        <v>258</v>
      </c>
      <c r="E1406" s="18" t="s">
        <v>712</v>
      </c>
      <c r="G1406" s="51" t="s">
        <v>82</v>
      </c>
      <c r="H1406" s="3">
        <v>64034</v>
      </c>
      <c r="I1406" s="3">
        <v>650</v>
      </c>
      <c r="J1406" s="2" t="s">
        <v>728</v>
      </c>
      <c r="R1406">
        <v>7.8514489999999997</v>
      </c>
      <c r="S1406" s="6">
        <v>6987.79</v>
      </c>
      <c r="U1406">
        <v>220</v>
      </c>
      <c r="W1406" s="7">
        <v>890</v>
      </c>
    </row>
    <row r="1407" spans="1:23" x14ac:dyDescent="0.35">
      <c r="A1407" s="18">
        <v>2</v>
      </c>
      <c r="B1407" s="18">
        <v>2026</v>
      </c>
      <c r="C1407" s="18" t="s">
        <v>33</v>
      </c>
      <c r="D1407" s="18" t="s">
        <v>258</v>
      </c>
      <c r="E1407" s="18" t="s">
        <v>712</v>
      </c>
      <c r="G1407" s="51" t="s">
        <v>82</v>
      </c>
      <c r="H1407" s="3">
        <v>64034</v>
      </c>
      <c r="I1407" s="3">
        <v>3699</v>
      </c>
      <c r="J1407" s="2" t="s">
        <v>515</v>
      </c>
      <c r="R1407">
        <v>7.851413</v>
      </c>
      <c r="S1407" s="6">
        <v>722.33</v>
      </c>
      <c r="U1407">
        <v>260</v>
      </c>
      <c r="W1407" s="7">
        <v>92</v>
      </c>
    </row>
    <row r="1408" spans="1:23" x14ac:dyDescent="0.35">
      <c r="A1408" s="18">
        <v>2</v>
      </c>
      <c r="B1408" s="18">
        <v>2026</v>
      </c>
      <c r="C1408" s="18" t="s">
        <v>33</v>
      </c>
      <c r="D1408" s="18" t="s">
        <v>258</v>
      </c>
      <c r="E1408" s="18" t="s">
        <v>712</v>
      </c>
      <c r="G1408" s="51" t="s">
        <v>82</v>
      </c>
      <c r="H1408" s="3">
        <v>64034</v>
      </c>
      <c r="I1408" s="3">
        <v>1852</v>
      </c>
      <c r="J1408" s="2" t="s">
        <v>729</v>
      </c>
      <c r="R1408">
        <v>7.8514480000000004</v>
      </c>
      <c r="S1408" s="6">
        <v>1138.46</v>
      </c>
      <c r="U1408">
        <v>300</v>
      </c>
      <c r="W1408" s="7">
        <v>145</v>
      </c>
    </row>
    <row r="1409" spans="1:23" x14ac:dyDescent="0.35">
      <c r="A1409" s="18">
        <v>2</v>
      </c>
      <c r="B1409" s="18">
        <v>2026</v>
      </c>
      <c r="C1409" s="18" t="s">
        <v>33</v>
      </c>
      <c r="D1409" s="18" t="s">
        <v>258</v>
      </c>
      <c r="E1409" s="18" t="s">
        <v>712</v>
      </c>
      <c r="G1409" s="51" t="s">
        <v>82</v>
      </c>
      <c r="H1409" s="3">
        <v>64034</v>
      </c>
      <c r="I1409" s="3">
        <v>1504</v>
      </c>
      <c r="J1409" s="2" t="s">
        <v>263</v>
      </c>
      <c r="R1409">
        <v>7.8514559999999998</v>
      </c>
      <c r="S1409" s="6">
        <v>1617.4</v>
      </c>
      <c r="U1409">
        <v>240</v>
      </c>
      <c r="W1409" s="7">
        <v>206</v>
      </c>
    </row>
    <row r="1410" spans="1:23" x14ac:dyDescent="0.35">
      <c r="A1410" s="18">
        <v>2</v>
      </c>
      <c r="B1410" s="18">
        <v>2026</v>
      </c>
      <c r="C1410" s="18" t="s">
        <v>33</v>
      </c>
      <c r="D1410" s="18" t="s">
        <v>258</v>
      </c>
      <c r="E1410" s="18" t="s">
        <v>712</v>
      </c>
      <c r="G1410" s="51" t="s">
        <v>82</v>
      </c>
      <c r="H1410" s="3">
        <v>64034</v>
      </c>
      <c r="I1410" s="3">
        <v>1236</v>
      </c>
      <c r="J1410" s="2" t="s">
        <v>264</v>
      </c>
      <c r="R1410">
        <v>7.8514629999999999</v>
      </c>
      <c r="S1410" s="6">
        <v>965.73</v>
      </c>
      <c r="U1410">
        <v>240</v>
      </c>
      <c r="W1410" s="7">
        <v>123</v>
      </c>
    </row>
    <row r="1411" spans="1:23" x14ac:dyDescent="0.35">
      <c r="A1411" s="18">
        <v>2</v>
      </c>
      <c r="B1411" s="18">
        <v>2026</v>
      </c>
      <c r="C1411" s="18" t="s">
        <v>33</v>
      </c>
      <c r="D1411" s="18" t="s">
        <v>258</v>
      </c>
      <c r="E1411" s="18" t="s">
        <v>712</v>
      </c>
      <c r="G1411" s="51" t="s">
        <v>82</v>
      </c>
      <c r="H1411" s="3">
        <v>64034</v>
      </c>
      <c r="I1411" s="3">
        <v>1095</v>
      </c>
      <c r="J1411" s="2" t="s">
        <v>730</v>
      </c>
      <c r="R1411">
        <v>7.8514160000000004</v>
      </c>
      <c r="S1411" s="6">
        <v>887.21</v>
      </c>
      <c r="U1411">
        <v>280</v>
      </c>
      <c r="W1411" s="7">
        <v>113</v>
      </c>
    </row>
    <row r="1412" spans="1:23" x14ac:dyDescent="0.35">
      <c r="A1412" s="18">
        <v>2</v>
      </c>
      <c r="B1412" s="18">
        <v>2026</v>
      </c>
      <c r="C1412" s="18" t="s">
        <v>33</v>
      </c>
      <c r="D1412" s="18" t="s">
        <v>258</v>
      </c>
      <c r="E1412" s="18" t="s">
        <v>512</v>
      </c>
      <c r="G1412" s="51" t="s">
        <v>513</v>
      </c>
      <c r="H1412" s="3">
        <v>64130</v>
      </c>
      <c r="I1412" s="3">
        <v>3699</v>
      </c>
      <c r="J1412" s="2" t="s">
        <v>515</v>
      </c>
      <c r="R1412">
        <v>9.4481070000000003</v>
      </c>
      <c r="S1412" s="6">
        <v>114700.02</v>
      </c>
      <c r="U1412">
        <v>260</v>
      </c>
      <c r="W1412" s="7">
        <v>12140</v>
      </c>
    </row>
    <row r="1413" spans="1:23" x14ac:dyDescent="0.35">
      <c r="A1413" s="18">
        <v>2</v>
      </c>
      <c r="B1413" s="18">
        <v>2026</v>
      </c>
      <c r="C1413" s="18" t="s">
        <v>33</v>
      </c>
      <c r="D1413" s="18" t="s">
        <v>258</v>
      </c>
      <c r="E1413" s="18" t="s">
        <v>116</v>
      </c>
      <c r="G1413" s="51" t="s">
        <v>50</v>
      </c>
      <c r="H1413" s="3">
        <v>64173</v>
      </c>
      <c r="I1413" s="3">
        <v>1419</v>
      </c>
      <c r="J1413" s="2" t="s">
        <v>341</v>
      </c>
      <c r="R1413">
        <v>11.616529999999999</v>
      </c>
      <c r="S1413" s="6">
        <v>10780.14</v>
      </c>
      <c r="U1413">
        <v>180</v>
      </c>
      <c r="W1413" s="7">
        <v>928</v>
      </c>
    </row>
    <row r="1414" spans="1:23" x14ac:dyDescent="0.35">
      <c r="A1414" s="18">
        <v>2</v>
      </c>
      <c r="B1414" s="18">
        <v>2026</v>
      </c>
      <c r="C1414" s="18" t="s">
        <v>33</v>
      </c>
      <c r="D1414" s="18" t="s">
        <v>258</v>
      </c>
      <c r="E1414" s="18" t="s">
        <v>116</v>
      </c>
      <c r="G1414" s="51" t="s">
        <v>50</v>
      </c>
      <c r="H1414" s="3">
        <v>64173</v>
      </c>
      <c r="I1414" s="3">
        <v>4848</v>
      </c>
      <c r="J1414" s="2" t="s">
        <v>731</v>
      </c>
      <c r="R1414">
        <v>20.341819999999998</v>
      </c>
      <c r="S1414" s="6">
        <v>8380.83</v>
      </c>
      <c r="U1414">
        <v>320</v>
      </c>
      <c r="W1414" s="7">
        <v>412</v>
      </c>
    </row>
    <row r="1415" spans="1:23" x14ac:dyDescent="0.35">
      <c r="A1415" s="18">
        <v>2</v>
      </c>
      <c r="B1415" s="18">
        <v>2026</v>
      </c>
      <c r="C1415" s="18" t="s">
        <v>33</v>
      </c>
      <c r="D1415" s="18" t="s">
        <v>258</v>
      </c>
      <c r="E1415" s="18" t="s">
        <v>42</v>
      </c>
      <c r="G1415" s="51" t="s">
        <v>43</v>
      </c>
      <c r="H1415" s="3">
        <v>64233</v>
      </c>
      <c r="I1415" s="3">
        <v>1523</v>
      </c>
      <c r="J1415" s="2" t="s">
        <v>282</v>
      </c>
      <c r="R1415">
        <v>7.766534</v>
      </c>
      <c r="S1415" s="6">
        <v>63701.11</v>
      </c>
      <c r="U1415" s="92">
        <v>180</v>
      </c>
      <c r="W1415" s="7">
        <v>8202</v>
      </c>
    </row>
    <row r="1416" spans="1:23" x14ac:dyDescent="0.35">
      <c r="A1416" s="18">
        <v>3</v>
      </c>
      <c r="B1416" s="18">
        <v>2026</v>
      </c>
      <c r="C1416" s="18" t="s">
        <v>33</v>
      </c>
      <c r="D1416" s="18" t="s">
        <v>258</v>
      </c>
      <c r="E1416" s="18" t="s">
        <v>669</v>
      </c>
      <c r="G1416" s="51" t="s">
        <v>37</v>
      </c>
      <c r="H1416" s="3">
        <v>65010</v>
      </c>
      <c r="I1416" s="3">
        <v>4454</v>
      </c>
      <c r="J1416" s="2" t="s">
        <v>668</v>
      </c>
      <c r="R1416">
        <v>6.80511</v>
      </c>
      <c r="S1416" s="6">
        <v>33242.959999999999</v>
      </c>
      <c r="U1416" s="92">
        <v>180</v>
      </c>
      <c r="W1416" s="7">
        <v>4885</v>
      </c>
    </row>
    <row r="1417" spans="1:23" x14ac:dyDescent="0.35">
      <c r="A1417" s="18">
        <v>3</v>
      </c>
      <c r="B1417" s="18">
        <v>2026</v>
      </c>
      <c r="C1417" s="18" t="s">
        <v>33</v>
      </c>
      <c r="D1417" s="18" t="s">
        <v>258</v>
      </c>
      <c r="E1417" s="18" t="s">
        <v>295</v>
      </c>
      <c r="G1417" s="51" t="s">
        <v>82</v>
      </c>
      <c r="H1417" s="3">
        <v>65022</v>
      </c>
      <c r="I1417" s="3">
        <v>1759</v>
      </c>
      <c r="J1417" s="2" t="s">
        <v>301</v>
      </c>
      <c r="R1417">
        <v>16.018196</v>
      </c>
      <c r="S1417" s="6">
        <v>5237.95</v>
      </c>
      <c r="U1417">
        <v>280</v>
      </c>
      <c r="W1417" s="7">
        <v>327</v>
      </c>
    </row>
    <row r="1418" spans="1:23" x14ac:dyDescent="0.35">
      <c r="A1418" s="18">
        <v>3</v>
      </c>
      <c r="B1418" s="18">
        <v>2026</v>
      </c>
      <c r="C1418" s="18" t="s">
        <v>33</v>
      </c>
      <c r="D1418" s="18" t="s">
        <v>258</v>
      </c>
      <c r="E1418" s="18" t="s">
        <v>295</v>
      </c>
      <c r="G1418" s="51" t="s">
        <v>82</v>
      </c>
      <c r="H1418" s="3">
        <v>65022</v>
      </c>
      <c r="I1418" s="3">
        <v>1761</v>
      </c>
      <c r="J1418" s="2" t="s">
        <v>305</v>
      </c>
      <c r="R1418">
        <v>15.0236</v>
      </c>
      <c r="S1418" s="6">
        <v>5258.26</v>
      </c>
      <c r="U1418">
        <v>280</v>
      </c>
      <c r="W1418" s="7">
        <v>350</v>
      </c>
    </row>
    <row r="1419" spans="1:23" x14ac:dyDescent="0.35">
      <c r="A1419" s="18">
        <v>3</v>
      </c>
      <c r="B1419" s="18">
        <v>2026</v>
      </c>
      <c r="C1419" s="18" t="s">
        <v>33</v>
      </c>
      <c r="D1419" s="18" t="s">
        <v>258</v>
      </c>
      <c r="E1419" s="18" t="s">
        <v>295</v>
      </c>
      <c r="G1419" s="51" t="s">
        <v>82</v>
      </c>
      <c r="H1419" s="3">
        <v>65022</v>
      </c>
      <c r="I1419" s="3">
        <v>3274</v>
      </c>
      <c r="J1419" s="2" t="s">
        <v>521</v>
      </c>
      <c r="R1419">
        <v>11.516343000000001</v>
      </c>
      <c r="S1419" s="6">
        <v>7243.78</v>
      </c>
      <c r="U1419">
        <v>220</v>
      </c>
      <c r="W1419" s="7">
        <v>629</v>
      </c>
    </row>
    <row r="1420" spans="1:23" x14ac:dyDescent="0.35">
      <c r="A1420" s="18">
        <v>3</v>
      </c>
      <c r="B1420" s="18">
        <v>2026</v>
      </c>
      <c r="C1420" s="18" t="s">
        <v>33</v>
      </c>
      <c r="D1420" s="18" t="s">
        <v>258</v>
      </c>
      <c r="E1420" s="18" t="s">
        <v>295</v>
      </c>
      <c r="G1420" s="51" t="s">
        <v>82</v>
      </c>
      <c r="H1420" s="3">
        <v>65022</v>
      </c>
      <c r="I1420" s="3">
        <v>3700</v>
      </c>
      <c r="J1420" s="2" t="s">
        <v>587</v>
      </c>
      <c r="R1420">
        <v>7.171538</v>
      </c>
      <c r="S1420" s="6">
        <v>6110.15</v>
      </c>
      <c r="U1420">
        <v>160</v>
      </c>
      <c r="W1420" s="7">
        <v>852</v>
      </c>
    </row>
    <row r="1421" spans="1:23" x14ac:dyDescent="0.35">
      <c r="A1421" s="18">
        <v>3</v>
      </c>
      <c r="B1421" s="18">
        <v>2026</v>
      </c>
      <c r="C1421" s="18" t="s">
        <v>33</v>
      </c>
      <c r="D1421" s="18" t="s">
        <v>258</v>
      </c>
      <c r="E1421" s="18" t="s">
        <v>295</v>
      </c>
      <c r="G1421" s="51" t="s">
        <v>82</v>
      </c>
      <c r="H1421" s="3">
        <v>65022</v>
      </c>
      <c r="I1421" s="3">
        <v>3701</v>
      </c>
      <c r="J1421" s="2" t="s">
        <v>588</v>
      </c>
      <c r="R1421">
        <v>7.537973</v>
      </c>
      <c r="S1421" s="6">
        <v>6135.91</v>
      </c>
      <c r="U1421">
        <v>160</v>
      </c>
      <c r="W1421" s="7">
        <v>814</v>
      </c>
    </row>
    <row r="1422" spans="1:23" x14ac:dyDescent="0.35">
      <c r="A1422" s="18">
        <v>3</v>
      </c>
      <c r="B1422" s="18">
        <v>2026</v>
      </c>
      <c r="C1422" s="18" t="s">
        <v>33</v>
      </c>
      <c r="D1422" s="18" t="s">
        <v>258</v>
      </c>
      <c r="E1422" s="18" t="s">
        <v>295</v>
      </c>
      <c r="G1422" s="51" t="s">
        <v>82</v>
      </c>
      <c r="H1422" s="3">
        <v>65022</v>
      </c>
      <c r="I1422" s="3">
        <v>3702</v>
      </c>
      <c r="J1422" s="2" t="s">
        <v>518</v>
      </c>
      <c r="R1422">
        <v>11.935119</v>
      </c>
      <c r="S1422" s="6">
        <v>9488.42</v>
      </c>
      <c r="U1422">
        <v>180</v>
      </c>
      <c r="W1422" s="7">
        <v>795</v>
      </c>
    </row>
    <row r="1423" spans="1:23" s="60" customFormat="1" x14ac:dyDescent="0.35">
      <c r="A1423" s="60">
        <v>4</v>
      </c>
      <c r="B1423" s="60">
        <v>2026</v>
      </c>
      <c r="C1423" s="60" t="s">
        <v>33</v>
      </c>
      <c r="E1423" s="60" t="s">
        <v>548</v>
      </c>
      <c r="F1423" s="61"/>
      <c r="G1423" s="62" t="s">
        <v>513</v>
      </c>
      <c r="H1423" s="61">
        <v>65382</v>
      </c>
      <c r="I1423" s="61">
        <v>4114</v>
      </c>
      <c r="J1423" s="62" t="s">
        <v>593</v>
      </c>
      <c r="R1423" s="60">
        <v>10.0002</v>
      </c>
      <c r="S1423" s="124">
        <v>170393.41</v>
      </c>
      <c r="U1423" s="60">
        <v>240</v>
      </c>
      <c r="W1423" s="131">
        <v>17039</v>
      </c>
    </row>
    <row r="1424" spans="1:23" x14ac:dyDescent="0.35">
      <c r="A1424" s="18">
        <v>4</v>
      </c>
      <c r="B1424" s="18">
        <v>2026</v>
      </c>
      <c r="C1424" s="18" t="s">
        <v>33</v>
      </c>
      <c r="D1424" s="18"/>
      <c r="E1424" s="18" t="s">
        <v>548</v>
      </c>
      <c r="G1424" s="51" t="s">
        <v>513</v>
      </c>
      <c r="H1424" s="3">
        <v>65382</v>
      </c>
      <c r="I1424" s="3">
        <v>4332</v>
      </c>
      <c r="J1424" s="2" t="s">
        <v>591</v>
      </c>
      <c r="R1424">
        <v>8.8501770000000004</v>
      </c>
      <c r="S1424" s="6">
        <v>70367.759999999995</v>
      </c>
      <c r="U1424">
        <v>200</v>
      </c>
      <c r="W1424" s="7">
        <v>7951</v>
      </c>
    </row>
    <row r="1425" spans="1:23" x14ac:dyDescent="0.35">
      <c r="A1425" s="18">
        <v>4</v>
      </c>
      <c r="B1425" s="18">
        <v>2026</v>
      </c>
      <c r="C1425" s="18" t="s">
        <v>33</v>
      </c>
      <c r="D1425" s="18"/>
      <c r="E1425" s="18" t="s">
        <v>548</v>
      </c>
      <c r="G1425" s="51" t="s">
        <v>513</v>
      </c>
      <c r="H1425" s="3">
        <v>65383</v>
      </c>
      <c r="I1425" s="3">
        <v>4114</v>
      </c>
      <c r="J1425" s="2" t="s">
        <v>593</v>
      </c>
      <c r="R1425">
        <v>10.000202</v>
      </c>
      <c r="S1425" s="6">
        <v>30760.62</v>
      </c>
      <c r="U1425">
        <v>240</v>
      </c>
      <c r="W1425" s="7">
        <v>3076</v>
      </c>
    </row>
    <row r="1426" spans="1:23" x14ac:dyDescent="0.35">
      <c r="A1426" s="18">
        <v>4</v>
      </c>
      <c r="B1426" s="18">
        <v>2026</v>
      </c>
      <c r="C1426" s="18" t="s">
        <v>33</v>
      </c>
      <c r="D1426" s="18"/>
      <c r="E1426" s="18" t="s">
        <v>116</v>
      </c>
      <c r="G1426" s="51" t="s">
        <v>50</v>
      </c>
      <c r="H1426" s="3">
        <v>65456</v>
      </c>
      <c r="I1426" s="3">
        <v>1419</v>
      </c>
      <c r="J1426" s="2" t="s">
        <v>341</v>
      </c>
      <c r="R1426">
        <v>11.213547</v>
      </c>
      <c r="S1426" s="6">
        <v>13624.46</v>
      </c>
      <c r="U1426">
        <v>180</v>
      </c>
      <c r="W1426" s="7">
        <v>1215</v>
      </c>
    </row>
    <row r="1427" spans="1:23" x14ac:dyDescent="0.35">
      <c r="A1427" s="18">
        <v>4</v>
      </c>
      <c r="B1427" s="18">
        <v>2026</v>
      </c>
      <c r="C1427" s="18" t="s">
        <v>33</v>
      </c>
      <c r="D1427" s="18"/>
      <c r="E1427" s="18" t="s">
        <v>116</v>
      </c>
      <c r="G1427" s="51" t="s">
        <v>50</v>
      </c>
      <c r="H1427" s="3">
        <v>65456</v>
      </c>
      <c r="I1427" s="3">
        <v>1422</v>
      </c>
      <c r="J1427" s="2" t="s">
        <v>339</v>
      </c>
      <c r="R1427">
        <v>14.10416</v>
      </c>
      <c r="S1427" s="6">
        <v>9322.85</v>
      </c>
      <c r="U1427">
        <v>240</v>
      </c>
      <c r="W1427" s="7">
        <v>661</v>
      </c>
    </row>
    <row r="1428" spans="1:23" x14ac:dyDescent="0.35">
      <c r="A1428" s="18">
        <v>4</v>
      </c>
      <c r="B1428" s="18">
        <v>2026</v>
      </c>
      <c r="C1428" s="18" t="s">
        <v>33</v>
      </c>
      <c r="D1428" s="18"/>
      <c r="E1428" s="18" t="s">
        <v>116</v>
      </c>
      <c r="G1428" s="51" t="s">
        <v>50</v>
      </c>
      <c r="H1428" s="3">
        <v>65456</v>
      </c>
      <c r="I1428" s="3">
        <v>3378</v>
      </c>
      <c r="J1428" s="2" t="s">
        <v>460</v>
      </c>
      <c r="R1428">
        <v>24.171437000000001</v>
      </c>
      <c r="S1428" s="6">
        <v>12279.09</v>
      </c>
      <c r="U1428">
        <v>370</v>
      </c>
      <c r="W1428" s="7">
        <v>508</v>
      </c>
    </row>
    <row r="1429" spans="1:23" x14ac:dyDescent="0.35">
      <c r="A1429" s="18">
        <v>4</v>
      </c>
      <c r="B1429" s="18">
        <v>2026</v>
      </c>
      <c r="C1429" s="18" t="s">
        <v>33</v>
      </c>
      <c r="D1429" s="18"/>
      <c r="E1429" s="18" t="s">
        <v>116</v>
      </c>
      <c r="G1429" s="51" t="s">
        <v>50</v>
      </c>
      <c r="H1429" s="3">
        <v>65456</v>
      </c>
      <c r="I1429" s="3">
        <v>4848</v>
      </c>
      <c r="J1429" s="2" t="s">
        <v>731</v>
      </c>
      <c r="R1429">
        <v>19.636175000000001</v>
      </c>
      <c r="S1429" s="6">
        <v>14373.68</v>
      </c>
      <c r="U1429">
        <v>320</v>
      </c>
      <c r="W1429" s="7">
        <v>732</v>
      </c>
    </row>
    <row r="1430" spans="1:23" x14ac:dyDescent="0.35">
      <c r="A1430" s="18">
        <v>4</v>
      </c>
      <c r="B1430" s="18">
        <v>2026</v>
      </c>
      <c r="C1430" s="18" t="s">
        <v>33</v>
      </c>
      <c r="D1430" s="18"/>
      <c r="E1430" s="18" t="s">
        <v>390</v>
      </c>
      <c r="G1430" s="51" t="s">
        <v>43</v>
      </c>
      <c r="H1430" s="3">
        <v>65581</v>
      </c>
      <c r="I1430" s="3">
        <v>3148</v>
      </c>
      <c r="J1430" s="2" t="s">
        <v>639</v>
      </c>
      <c r="R1430">
        <v>10.273631999999999</v>
      </c>
      <c r="S1430" s="6">
        <v>13972.14</v>
      </c>
      <c r="U1430">
        <v>180</v>
      </c>
      <c r="W1430" s="7">
        <v>1360</v>
      </c>
    </row>
    <row r="1431" spans="1:23" x14ac:dyDescent="0.35">
      <c r="A1431" s="18">
        <v>4</v>
      </c>
      <c r="B1431" s="18">
        <v>2026</v>
      </c>
      <c r="C1431" s="18" t="s">
        <v>33</v>
      </c>
      <c r="D1431" s="18"/>
      <c r="E1431" s="18" t="s">
        <v>390</v>
      </c>
      <c r="G1431" s="51" t="s">
        <v>43</v>
      </c>
      <c r="H1431" s="3">
        <v>65581</v>
      </c>
      <c r="I1431" s="3">
        <v>4707</v>
      </c>
      <c r="J1431" s="2" t="s">
        <v>694</v>
      </c>
      <c r="R1431">
        <v>8.4782399999999996</v>
      </c>
      <c r="S1431" s="6">
        <v>27851.02</v>
      </c>
      <c r="U1431">
        <v>180</v>
      </c>
      <c r="W1431" s="7">
        <v>3285</v>
      </c>
    </row>
    <row r="1432" spans="1:23" x14ac:dyDescent="0.35">
      <c r="A1432" s="18">
        <v>4</v>
      </c>
      <c r="B1432" s="18">
        <v>2026</v>
      </c>
      <c r="C1432" s="18" t="s">
        <v>33</v>
      </c>
      <c r="D1432" s="18"/>
      <c r="E1432" s="18" t="s">
        <v>390</v>
      </c>
      <c r="G1432" s="51" t="s">
        <v>43</v>
      </c>
      <c r="H1432" s="3">
        <v>65581</v>
      </c>
      <c r="I1432" s="3">
        <v>4706</v>
      </c>
      <c r="J1432" s="2" t="s">
        <v>699</v>
      </c>
      <c r="R1432">
        <v>8.478237</v>
      </c>
      <c r="S1432" s="6">
        <v>13946.7</v>
      </c>
      <c r="U1432">
        <v>180</v>
      </c>
      <c r="W1432" s="7">
        <v>1645</v>
      </c>
    </row>
    <row r="1433" spans="1:23" x14ac:dyDescent="0.35">
      <c r="A1433" s="18">
        <v>4</v>
      </c>
      <c r="B1433" s="18">
        <v>2026</v>
      </c>
      <c r="C1433" s="18" t="s">
        <v>33</v>
      </c>
      <c r="D1433" s="18"/>
      <c r="E1433" s="18" t="s">
        <v>390</v>
      </c>
      <c r="G1433" s="51" t="s">
        <v>43</v>
      </c>
      <c r="H1433" s="3">
        <v>65581</v>
      </c>
      <c r="I1433" s="3">
        <v>4323</v>
      </c>
      <c r="J1433" s="2" t="s">
        <v>623</v>
      </c>
      <c r="R1433">
        <v>10.62274</v>
      </c>
      <c r="S1433" s="6">
        <v>6979.14</v>
      </c>
      <c r="U1433">
        <v>180</v>
      </c>
      <c r="W1433" s="7">
        <v>657</v>
      </c>
    </row>
    <row r="1434" spans="1:23" x14ac:dyDescent="0.35">
      <c r="A1434" s="18">
        <v>4</v>
      </c>
      <c r="B1434" s="18">
        <v>2026</v>
      </c>
      <c r="C1434" s="18" t="s">
        <v>33</v>
      </c>
      <c r="D1434" s="18"/>
      <c r="E1434" s="18" t="s">
        <v>390</v>
      </c>
      <c r="G1434" s="51" t="s">
        <v>43</v>
      </c>
      <c r="H1434" s="3">
        <v>65581</v>
      </c>
      <c r="I1434" s="3">
        <v>3500</v>
      </c>
      <c r="J1434" s="2" t="s">
        <v>622</v>
      </c>
      <c r="R1434">
        <v>8.4782360000000008</v>
      </c>
      <c r="S1434" s="6">
        <v>8842.7999999999993</v>
      </c>
      <c r="U1434">
        <v>160</v>
      </c>
      <c r="W1434" s="7">
        <v>1043</v>
      </c>
    </row>
    <row r="1435" spans="1:23" x14ac:dyDescent="0.35">
      <c r="A1435" s="18">
        <v>4</v>
      </c>
      <c r="B1435" s="18">
        <v>2026</v>
      </c>
      <c r="C1435" s="18" t="s">
        <v>33</v>
      </c>
      <c r="D1435" s="18"/>
      <c r="E1435" s="18" t="s">
        <v>390</v>
      </c>
      <c r="G1435" s="51" t="s">
        <v>43</v>
      </c>
      <c r="H1435" s="3">
        <v>65581</v>
      </c>
      <c r="I1435" s="3">
        <v>3504</v>
      </c>
      <c r="J1435" s="2" t="s">
        <v>487</v>
      </c>
      <c r="R1435">
        <v>7.4807940000000004</v>
      </c>
      <c r="S1435" s="6">
        <v>4144.3599999999997</v>
      </c>
      <c r="U1435">
        <v>180</v>
      </c>
      <c r="W1435" s="7">
        <v>554</v>
      </c>
    </row>
    <row r="1436" spans="1:23" x14ac:dyDescent="0.35">
      <c r="A1436">
        <v>4</v>
      </c>
      <c r="B1436">
        <v>2026</v>
      </c>
      <c r="C1436" t="s">
        <v>33</v>
      </c>
      <c r="D1436" s="18"/>
      <c r="E1436" s="18" t="s">
        <v>390</v>
      </c>
      <c r="G1436" s="51" t="s">
        <v>43</v>
      </c>
      <c r="H1436" s="3">
        <v>65581</v>
      </c>
      <c r="I1436" s="3">
        <v>2433</v>
      </c>
      <c r="J1436" s="2" t="s">
        <v>366</v>
      </c>
      <c r="R1436">
        <v>10.971849000000001</v>
      </c>
      <c r="S1436" s="6">
        <v>4213.1899999999996</v>
      </c>
      <c r="U1436">
        <v>160</v>
      </c>
      <c r="W1436" s="7">
        <v>384</v>
      </c>
    </row>
    <row r="1437" spans="1:23" x14ac:dyDescent="0.35">
      <c r="A1437">
        <v>4</v>
      </c>
      <c r="B1437">
        <v>2026</v>
      </c>
      <c r="C1437" t="s">
        <v>33</v>
      </c>
      <c r="D1437" s="18"/>
      <c r="E1437" s="18" t="s">
        <v>390</v>
      </c>
      <c r="G1437" s="51" t="s">
        <v>43</v>
      </c>
      <c r="H1437" s="3">
        <v>65581</v>
      </c>
      <c r="I1437" s="3">
        <v>3135</v>
      </c>
      <c r="J1437" s="2" t="s">
        <v>631</v>
      </c>
      <c r="R1437">
        <v>7.9795230000000004</v>
      </c>
      <c r="S1437" s="6">
        <v>4181.2700000000004</v>
      </c>
      <c r="U1437">
        <v>160</v>
      </c>
      <c r="W1437" s="7">
        <v>524</v>
      </c>
    </row>
    <row r="1438" spans="1:23" x14ac:dyDescent="0.35">
      <c r="A1438">
        <v>4</v>
      </c>
      <c r="B1438">
        <v>2026</v>
      </c>
      <c r="C1438" t="s">
        <v>33</v>
      </c>
      <c r="D1438" s="18"/>
      <c r="E1438" s="18" t="s">
        <v>390</v>
      </c>
      <c r="G1438" s="51" t="s">
        <v>43</v>
      </c>
      <c r="H1438" s="3">
        <v>65581</v>
      </c>
      <c r="I1438" s="3">
        <v>3131</v>
      </c>
      <c r="J1438" s="2" t="s">
        <v>640</v>
      </c>
      <c r="R1438">
        <v>9.0268359999999994</v>
      </c>
      <c r="S1438" s="6">
        <v>4793.25</v>
      </c>
      <c r="U1438">
        <v>200</v>
      </c>
      <c r="W1438" s="7">
        <v>531</v>
      </c>
    </row>
    <row r="1439" spans="1:23" x14ac:dyDescent="0.35">
      <c r="A1439">
        <v>4</v>
      </c>
      <c r="B1439">
        <v>2026</v>
      </c>
      <c r="C1439" t="s">
        <v>33</v>
      </c>
      <c r="D1439" s="18"/>
      <c r="E1439" s="18" t="s">
        <v>390</v>
      </c>
      <c r="G1439" s="51" t="s">
        <v>43</v>
      </c>
      <c r="H1439" s="3">
        <v>65581</v>
      </c>
      <c r="I1439" s="3">
        <v>3132</v>
      </c>
      <c r="J1439" s="2" t="s">
        <v>626</v>
      </c>
      <c r="R1439">
        <v>7.1815689999999996</v>
      </c>
      <c r="S1439" s="6">
        <v>8330.6200000000008</v>
      </c>
      <c r="U1439">
        <v>160</v>
      </c>
      <c r="W1439" s="7">
        <v>1160</v>
      </c>
    </row>
    <row r="1440" spans="1:23" x14ac:dyDescent="0.35">
      <c r="A1440">
        <v>4</v>
      </c>
      <c r="B1440">
        <v>2026</v>
      </c>
      <c r="C1440" t="s">
        <v>33</v>
      </c>
      <c r="D1440" s="18"/>
      <c r="E1440" s="18" t="s">
        <v>738</v>
      </c>
      <c r="G1440" s="51" t="s">
        <v>513</v>
      </c>
      <c r="H1440" s="3">
        <v>65619</v>
      </c>
      <c r="I1440" s="3">
        <v>4919</v>
      </c>
      <c r="J1440" s="2" t="s">
        <v>739</v>
      </c>
      <c r="R1440" s="63">
        <v>16.692986000000001</v>
      </c>
      <c r="S1440" s="6">
        <v>37175.279999999999</v>
      </c>
      <c r="U1440">
        <v>240</v>
      </c>
      <c r="W1440" s="7">
        <v>2227</v>
      </c>
    </row>
    <row r="1441" spans="1:23" x14ac:dyDescent="0.35">
      <c r="A1441">
        <v>4</v>
      </c>
      <c r="B1441">
        <v>2026</v>
      </c>
      <c r="C1441" t="s">
        <v>33</v>
      </c>
      <c r="D1441" s="18"/>
      <c r="E1441" s="18" t="s">
        <v>738</v>
      </c>
      <c r="G1441" s="51" t="s">
        <v>513</v>
      </c>
      <c r="H1441" s="3">
        <v>65619</v>
      </c>
      <c r="I1441" s="3">
        <v>4922</v>
      </c>
      <c r="J1441" s="2" t="s">
        <v>740</v>
      </c>
      <c r="R1441" s="63">
        <v>33.985722000000003</v>
      </c>
      <c r="S1441" s="6">
        <v>60222.7</v>
      </c>
      <c r="U1441">
        <v>380</v>
      </c>
      <c r="W1441" s="7">
        <v>1772</v>
      </c>
    </row>
    <row r="1442" spans="1:23" x14ac:dyDescent="0.35">
      <c r="A1442">
        <v>4</v>
      </c>
      <c r="B1442">
        <v>2026</v>
      </c>
      <c r="C1442" t="s">
        <v>33</v>
      </c>
      <c r="D1442" s="18"/>
      <c r="E1442" s="18" t="s">
        <v>738</v>
      </c>
      <c r="G1442" s="51" t="s">
        <v>513</v>
      </c>
      <c r="H1442" s="3">
        <v>65619</v>
      </c>
      <c r="I1442" s="3">
        <v>4921</v>
      </c>
      <c r="J1442" s="2" t="s">
        <v>741</v>
      </c>
      <c r="R1442" s="63">
        <v>8.8962610000000009</v>
      </c>
      <c r="S1442" s="6">
        <v>44018.7</v>
      </c>
      <c r="U1442">
        <v>180</v>
      </c>
      <c r="W1442" s="7">
        <v>4948</v>
      </c>
    </row>
    <row r="1443" spans="1:23" x14ac:dyDescent="0.35">
      <c r="A1443">
        <v>4</v>
      </c>
      <c r="B1443">
        <v>2026</v>
      </c>
      <c r="C1443" t="s">
        <v>33</v>
      </c>
      <c r="D1443" s="18"/>
      <c r="E1443" s="18" t="s">
        <v>738</v>
      </c>
      <c r="G1443" s="51" t="s">
        <v>513</v>
      </c>
      <c r="H1443" s="3">
        <v>65619</v>
      </c>
      <c r="I1443" s="3">
        <v>4920</v>
      </c>
      <c r="J1443" s="2" t="s">
        <v>742</v>
      </c>
      <c r="R1443" s="63">
        <v>10.745486</v>
      </c>
      <c r="S1443" s="6">
        <v>91186.19</v>
      </c>
      <c r="U1443">
        <v>220</v>
      </c>
      <c r="W1443" s="7">
        <v>8486</v>
      </c>
    </row>
    <row r="1444" spans="1:23" x14ac:dyDescent="0.35">
      <c r="A1444">
        <v>4</v>
      </c>
      <c r="B1444">
        <v>2026</v>
      </c>
      <c r="C1444" t="s">
        <v>33</v>
      </c>
      <c r="D1444" s="18"/>
      <c r="E1444" s="18" t="s">
        <v>738</v>
      </c>
      <c r="G1444" s="51" t="s">
        <v>513</v>
      </c>
      <c r="H1444" s="3">
        <v>65619</v>
      </c>
      <c r="I1444" s="3">
        <v>4918</v>
      </c>
      <c r="J1444" s="2" t="s">
        <v>743</v>
      </c>
      <c r="R1444" s="63">
        <v>23.390173999999998</v>
      </c>
      <c r="S1444" s="6">
        <v>51177.7</v>
      </c>
      <c r="U1444">
        <v>360</v>
      </c>
      <c r="W1444" s="7">
        <v>2188</v>
      </c>
    </row>
    <row r="1445" spans="1:23" x14ac:dyDescent="0.35">
      <c r="A1445">
        <v>4</v>
      </c>
      <c r="B1445">
        <v>2026</v>
      </c>
      <c r="C1445" t="s">
        <v>33</v>
      </c>
      <c r="D1445" s="18"/>
      <c r="E1445" s="18" t="s">
        <v>738</v>
      </c>
      <c r="G1445" s="51" t="s">
        <v>513</v>
      </c>
      <c r="H1445" s="3">
        <v>65619</v>
      </c>
      <c r="I1445" s="3">
        <v>4917</v>
      </c>
      <c r="J1445" s="2" t="s">
        <v>744</v>
      </c>
      <c r="R1445" s="63">
        <v>16.093239000000001</v>
      </c>
      <c r="S1445" s="6">
        <v>30013.89</v>
      </c>
      <c r="U1445">
        <v>280</v>
      </c>
      <c r="W1445" s="7">
        <v>1865</v>
      </c>
    </row>
    <row r="1446" spans="1:23" x14ac:dyDescent="0.35">
      <c r="A1446">
        <v>4</v>
      </c>
      <c r="B1446">
        <v>2026</v>
      </c>
      <c r="C1446" t="s">
        <v>33</v>
      </c>
      <c r="D1446" s="18"/>
      <c r="E1446" s="18" t="s">
        <v>738</v>
      </c>
      <c r="G1446" s="51" t="s">
        <v>513</v>
      </c>
      <c r="H1446" s="3">
        <v>65619</v>
      </c>
      <c r="I1446" s="3">
        <v>4916</v>
      </c>
      <c r="J1446" s="2" t="s">
        <v>745</v>
      </c>
      <c r="R1446" s="63">
        <v>15.243596</v>
      </c>
      <c r="S1446" s="6">
        <v>41919.89</v>
      </c>
      <c r="U1446">
        <v>280</v>
      </c>
      <c r="W1446" s="7">
        <v>2750</v>
      </c>
    </row>
    <row r="1447" spans="1:23" x14ac:dyDescent="0.35">
      <c r="A1447">
        <v>4</v>
      </c>
      <c r="B1447">
        <v>2026</v>
      </c>
      <c r="C1447" t="s">
        <v>33</v>
      </c>
      <c r="D1447" s="18"/>
      <c r="E1447" s="18" t="s">
        <v>151</v>
      </c>
      <c r="G1447" s="51" t="s">
        <v>37</v>
      </c>
      <c r="H1447" s="3">
        <v>65649</v>
      </c>
      <c r="I1447" s="3">
        <v>4945</v>
      </c>
      <c r="J1447" s="2" t="s">
        <v>746</v>
      </c>
      <c r="R1447" s="63">
        <v>9.5959760000000003</v>
      </c>
      <c r="S1447" s="6">
        <v>4817.18</v>
      </c>
      <c r="U1447">
        <v>180</v>
      </c>
      <c r="W1447" s="7">
        <v>502</v>
      </c>
    </row>
    <row r="1448" spans="1:23" x14ac:dyDescent="0.35">
      <c r="A1448">
        <v>4</v>
      </c>
      <c r="B1448">
        <v>2026</v>
      </c>
      <c r="C1448" t="s">
        <v>33</v>
      </c>
      <c r="D1448" s="18"/>
      <c r="E1448" s="18" t="s">
        <v>151</v>
      </c>
      <c r="G1448" s="51" t="s">
        <v>37</v>
      </c>
      <c r="H1448" s="3">
        <v>65649</v>
      </c>
      <c r="I1448" s="3">
        <v>4947</v>
      </c>
      <c r="J1448" s="2" t="s">
        <v>747</v>
      </c>
      <c r="R1448" s="63">
        <v>10.045785</v>
      </c>
      <c r="S1448" s="6">
        <v>4862.16</v>
      </c>
      <c r="U1448">
        <v>180</v>
      </c>
      <c r="W1448" s="7">
        <v>484</v>
      </c>
    </row>
    <row r="1449" spans="1:23" x14ac:dyDescent="0.35">
      <c r="A1449">
        <v>4</v>
      </c>
      <c r="B1449">
        <v>2026</v>
      </c>
      <c r="C1449" t="s">
        <v>33</v>
      </c>
      <c r="D1449" s="18"/>
      <c r="E1449" s="18" t="s">
        <v>151</v>
      </c>
      <c r="G1449" s="51" t="s">
        <v>37</v>
      </c>
      <c r="H1449" s="3">
        <v>65649</v>
      </c>
      <c r="I1449" s="3">
        <v>4946</v>
      </c>
      <c r="J1449" s="2" t="s">
        <v>748</v>
      </c>
      <c r="R1449" s="63">
        <v>9.5959669999999999</v>
      </c>
      <c r="S1449" s="6">
        <v>5258.59</v>
      </c>
      <c r="U1449">
        <v>180</v>
      </c>
      <c r="W1449" s="7">
        <v>548</v>
      </c>
    </row>
    <row r="1450" spans="1:23" x14ac:dyDescent="0.35">
      <c r="A1450">
        <v>4</v>
      </c>
      <c r="B1450">
        <v>2026</v>
      </c>
      <c r="C1450" t="s">
        <v>33</v>
      </c>
      <c r="D1450" s="18"/>
      <c r="E1450" s="18" t="s">
        <v>151</v>
      </c>
      <c r="G1450" s="51" t="s">
        <v>37</v>
      </c>
      <c r="H1450" s="3">
        <v>65649</v>
      </c>
      <c r="I1450" s="3">
        <v>4942</v>
      </c>
      <c r="J1450" s="2" t="s">
        <v>749</v>
      </c>
      <c r="R1450" s="63">
        <v>9.5959660000000007</v>
      </c>
      <c r="S1450" s="6">
        <v>5613.64</v>
      </c>
      <c r="U1450">
        <v>180</v>
      </c>
      <c r="W1450" s="7">
        <v>585</v>
      </c>
    </row>
    <row r="1451" spans="1:23" x14ac:dyDescent="0.35">
      <c r="A1451">
        <v>4</v>
      </c>
      <c r="B1451">
        <v>2026</v>
      </c>
      <c r="C1451" t="s">
        <v>33</v>
      </c>
      <c r="D1451" s="18"/>
      <c r="E1451" s="18" t="s">
        <v>151</v>
      </c>
      <c r="G1451" s="51" t="s">
        <v>37</v>
      </c>
      <c r="H1451" s="3">
        <v>65649</v>
      </c>
      <c r="I1451" s="3">
        <v>4944</v>
      </c>
      <c r="J1451" s="2" t="s">
        <v>750</v>
      </c>
      <c r="R1451" s="63">
        <v>10.195722999999999</v>
      </c>
      <c r="S1451" s="6">
        <v>4791.99</v>
      </c>
      <c r="U1451">
        <v>180</v>
      </c>
      <c r="W1451" s="7">
        <v>470</v>
      </c>
    </row>
    <row r="1452" spans="1:23" x14ac:dyDescent="0.35">
      <c r="A1452">
        <v>4</v>
      </c>
      <c r="B1452">
        <v>2026</v>
      </c>
      <c r="C1452" t="s">
        <v>33</v>
      </c>
      <c r="D1452" s="18"/>
      <c r="E1452" s="18" t="s">
        <v>151</v>
      </c>
      <c r="G1452" s="51" t="s">
        <v>37</v>
      </c>
      <c r="H1452" s="3">
        <v>65649</v>
      </c>
      <c r="I1452" s="3">
        <v>4943</v>
      </c>
      <c r="J1452" s="2" t="s">
        <v>751</v>
      </c>
      <c r="R1452" s="63">
        <v>9.5959649999999996</v>
      </c>
      <c r="S1452" s="6">
        <v>4375.76</v>
      </c>
      <c r="U1452">
        <v>180</v>
      </c>
      <c r="W1452" s="7">
        <v>456</v>
      </c>
    </row>
    <row r="1453" spans="1:23" x14ac:dyDescent="0.35">
      <c r="A1453">
        <v>4</v>
      </c>
      <c r="B1453">
        <v>2026</v>
      </c>
      <c r="C1453" t="s">
        <v>33</v>
      </c>
      <c r="D1453" s="18"/>
      <c r="E1453" s="18" t="s">
        <v>151</v>
      </c>
      <c r="G1453" s="51" t="s">
        <v>37</v>
      </c>
      <c r="H1453" s="3">
        <v>65649</v>
      </c>
      <c r="I1453" s="3">
        <v>4941</v>
      </c>
      <c r="J1453" s="2" t="s">
        <v>752</v>
      </c>
      <c r="R1453" s="63">
        <v>9.3960480000000004</v>
      </c>
      <c r="S1453" s="6">
        <v>4707.42</v>
      </c>
      <c r="U1453">
        <v>180</v>
      </c>
      <c r="W1453" s="7">
        <v>501</v>
      </c>
    </row>
    <row r="1454" spans="1:23" x14ac:dyDescent="0.35">
      <c r="A1454">
        <v>4</v>
      </c>
      <c r="B1454">
        <v>2026</v>
      </c>
      <c r="C1454" t="s">
        <v>33</v>
      </c>
      <c r="D1454" s="18"/>
      <c r="E1454" s="18" t="s">
        <v>151</v>
      </c>
      <c r="G1454" s="51" t="s">
        <v>37</v>
      </c>
      <c r="H1454" s="3">
        <v>65649</v>
      </c>
      <c r="I1454" s="3">
        <v>4948</v>
      </c>
      <c r="J1454" s="2" t="s">
        <v>753</v>
      </c>
      <c r="R1454" s="63">
        <v>9.7459039999999995</v>
      </c>
      <c r="S1454" s="6">
        <v>5067.87</v>
      </c>
      <c r="U1454">
        <v>180</v>
      </c>
      <c r="W1454" s="7">
        <v>520</v>
      </c>
    </row>
    <row r="1455" spans="1:23" x14ac:dyDescent="0.35">
      <c r="A1455">
        <v>4</v>
      </c>
      <c r="B1455">
        <v>2026</v>
      </c>
      <c r="C1455" t="s">
        <v>33</v>
      </c>
      <c r="D1455" s="18"/>
      <c r="E1455" s="18" t="s">
        <v>151</v>
      </c>
      <c r="G1455" s="51" t="s">
        <v>37</v>
      </c>
      <c r="H1455" s="3">
        <v>65649</v>
      </c>
      <c r="I1455" s="3">
        <v>4949</v>
      </c>
      <c r="J1455" s="2" t="s">
        <v>754</v>
      </c>
      <c r="R1455" s="63">
        <v>9.5459960000000006</v>
      </c>
      <c r="S1455" s="6">
        <v>4696.63</v>
      </c>
      <c r="U1455">
        <v>180</v>
      </c>
      <c r="W1455" s="7">
        <v>492</v>
      </c>
    </row>
    <row r="1456" spans="1:23" x14ac:dyDescent="0.35">
      <c r="A1456">
        <v>4</v>
      </c>
      <c r="B1456">
        <v>2026</v>
      </c>
      <c r="C1456" t="s">
        <v>33</v>
      </c>
      <c r="D1456" s="18"/>
      <c r="E1456" s="18" t="s">
        <v>151</v>
      </c>
      <c r="G1456" s="51" t="s">
        <v>37</v>
      </c>
      <c r="H1456" s="3">
        <v>65649</v>
      </c>
      <c r="I1456" s="3">
        <v>4950</v>
      </c>
      <c r="J1456" s="2" t="s">
        <v>755</v>
      </c>
      <c r="R1456" s="63">
        <v>9.5459790000000009</v>
      </c>
      <c r="S1456" s="6">
        <v>4534.34</v>
      </c>
      <c r="U1456">
        <v>180</v>
      </c>
      <c r="W1456" s="7">
        <v>475</v>
      </c>
    </row>
    <row r="1457" spans="1:23" x14ac:dyDescent="0.35">
      <c r="A1457">
        <v>4</v>
      </c>
      <c r="B1457">
        <v>2026</v>
      </c>
      <c r="C1457" t="s">
        <v>33</v>
      </c>
      <c r="D1457" s="18"/>
      <c r="E1457" s="18" t="s">
        <v>151</v>
      </c>
      <c r="G1457" s="51" t="s">
        <v>37</v>
      </c>
      <c r="H1457" s="3">
        <v>65649</v>
      </c>
      <c r="I1457" s="3">
        <v>4951</v>
      </c>
      <c r="J1457" s="2" t="s">
        <v>756</v>
      </c>
      <c r="R1457" s="63">
        <v>9.5959640000000004</v>
      </c>
      <c r="S1457" s="6">
        <v>3780.81</v>
      </c>
      <c r="U1457">
        <v>180</v>
      </c>
      <c r="W1457" s="7">
        <v>394</v>
      </c>
    </row>
    <row r="1458" spans="1:23" x14ac:dyDescent="0.35">
      <c r="A1458">
        <v>4</v>
      </c>
      <c r="B1458">
        <v>2026</v>
      </c>
      <c r="C1458" t="s">
        <v>33</v>
      </c>
      <c r="D1458" s="18"/>
      <c r="E1458" s="18" t="s">
        <v>151</v>
      </c>
      <c r="G1458" s="51" t="s">
        <v>37</v>
      </c>
      <c r="H1458" s="3">
        <v>65649</v>
      </c>
      <c r="I1458" s="3">
        <v>4952</v>
      </c>
      <c r="J1458" s="2" t="s">
        <v>757</v>
      </c>
      <c r="R1458" s="63">
        <v>9.7958929999999995</v>
      </c>
      <c r="S1458" s="6">
        <v>4770.6000000000004</v>
      </c>
      <c r="U1458">
        <v>180</v>
      </c>
      <c r="W1458" s="7">
        <v>487</v>
      </c>
    </row>
    <row r="1459" spans="1:23" x14ac:dyDescent="0.35">
      <c r="A1459">
        <v>4</v>
      </c>
      <c r="B1459">
        <v>2026</v>
      </c>
      <c r="C1459" t="s">
        <v>33</v>
      </c>
      <c r="D1459" s="18"/>
      <c r="E1459" s="18" t="s">
        <v>151</v>
      </c>
      <c r="G1459" s="51" t="s">
        <v>37</v>
      </c>
      <c r="H1459" s="3">
        <v>65649</v>
      </c>
      <c r="I1459" s="3">
        <v>4956</v>
      </c>
      <c r="J1459" s="2" t="s">
        <v>758</v>
      </c>
      <c r="R1459" s="63">
        <v>9.5959690000000002</v>
      </c>
      <c r="S1459" s="6">
        <v>4308.59</v>
      </c>
      <c r="U1459">
        <v>180</v>
      </c>
      <c r="W1459" s="7">
        <v>449</v>
      </c>
    </row>
    <row r="1460" spans="1:23" x14ac:dyDescent="0.35">
      <c r="A1460">
        <v>4</v>
      </c>
      <c r="B1460">
        <v>2026</v>
      </c>
      <c r="C1460" t="s">
        <v>33</v>
      </c>
      <c r="D1460" s="18"/>
      <c r="E1460" s="18" t="s">
        <v>151</v>
      </c>
      <c r="G1460" s="51" t="s">
        <v>37</v>
      </c>
      <c r="H1460" s="3">
        <v>65649</v>
      </c>
      <c r="I1460" s="3">
        <v>4932</v>
      </c>
      <c r="J1460" s="2" t="s">
        <v>759</v>
      </c>
      <c r="R1460" s="63">
        <v>9.5959669999999999</v>
      </c>
      <c r="S1460" s="6">
        <v>5853.54</v>
      </c>
      <c r="U1460">
        <v>180</v>
      </c>
      <c r="W1460" s="7">
        <v>610</v>
      </c>
    </row>
    <row r="1461" spans="1:23" x14ac:dyDescent="0.35">
      <c r="A1461">
        <v>4</v>
      </c>
      <c r="B1461">
        <v>2026</v>
      </c>
      <c r="C1461" t="s">
        <v>33</v>
      </c>
      <c r="D1461" s="18"/>
      <c r="E1461" s="18" t="s">
        <v>151</v>
      </c>
      <c r="G1461" s="51" t="s">
        <v>37</v>
      </c>
      <c r="H1461" s="3">
        <v>65649</v>
      </c>
      <c r="I1461" s="3">
        <v>4930</v>
      </c>
      <c r="J1461" s="2" t="s">
        <v>760</v>
      </c>
      <c r="R1461" s="63">
        <v>9.6959269999999993</v>
      </c>
      <c r="S1461" s="6">
        <v>4809.18</v>
      </c>
      <c r="U1461">
        <v>180</v>
      </c>
      <c r="W1461" s="7">
        <v>496</v>
      </c>
    </row>
    <row r="1462" spans="1:23" x14ac:dyDescent="0.35">
      <c r="A1462">
        <v>4</v>
      </c>
      <c r="B1462">
        <v>2026</v>
      </c>
      <c r="C1462" t="s">
        <v>33</v>
      </c>
      <c r="D1462" s="18"/>
      <c r="E1462" s="18" t="s">
        <v>151</v>
      </c>
      <c r="G1462" s="51" t="s">
        <v>37</v>
      </c>
      <c r="H1462" s="3">
        <v>65649</v>
      </c>
      <c r="I1462" s="3">
        <v>4256</v>
      </c>
      <c r="J1462" s="2" t="s">
        <v>595</v>
      </c>
      <c r="R1462" s="63">
        <v>8.93431</v>
      </c>
      <c r="S1462" s="6">
        <v>518.19000000000005</v>
      </c>
      <c r="U1462">
        <v>180</v>
      </c>
      <c r="W1462" s="7">
        <v>58</v>
      </c>
    </row>
    <row r="1463" spans="1:23" x14ac:dyDescent="0.35">
      <c r="A1463">
        <v>4</v>
      </c>
      <c r="B1463">
        <v>2026</v>
      </c>
      <c r="C1463" t="s">
        <v>33</v>
      </c>
      <c r="D1463" s="18"/>
      <c r="E1463" s="18" t="s">
        <v>151</v>
      </c>
      <c r="G1463" s="51" t="s">
        <v>37</v>
      </c>
      <c r="H1463" s="3">
        <v>65649</v>
      </c>
      <c r="I1463" s="3">
        <v>4372</v>
      </c>
      <c r="J1463" s="2" t="s">
        <v>645</v>
      </c>
      <c r="R1463" s="63">
        <v>16.288681</v>
      </c>
      <c r="S1463" s="6">
        <v>2345.5700000000002</v>
      </c>
      <c r="U1463">
        <v>300</v>
      </c>
      <c r="W1463" s="7">
        <v>144</v>
      </c>
    </row>
    <row r="1464" spans="1:23" x14ac:dyDescent="0.35">
      <c r="A1464">
        <v>4</v>
      </c>
      <c r="B1464">
        <v>2026</v>
      </c>
      <c r="C1464" t="s">
        <v>33</v>
      </c>
      <c r="D1464" s="18"/>
      <c r="E1464" s="18" t="s">
        <v>151</v>
      </c>
      <c r="G1464" s="51" t="s">
        <v>37</v>
      </c>
      <c r="H1464" s="3">
        <v>65649</v>
      </c>
      <c r="I1464" s="3">
        <v>4927</v>
      </c>
      <c r="J1464" s="2" t="s">
        <v>761</v>
      </c>
      <c r="R1464" s="63">
        <v>9.6459419999999998</v>
      </c>
      <c r="S1464" s="6">
        <v>4658.99</v>
      </c>
      <c r="U1464">
        <v>180</v>
      </c>
      <c r="W1464" s="7">
        <v>483</v>
      </c>
    </row>
    <row r="1465" spans="1:23" x14ac:dyDescent="0.35">
      <c r="A1465">
        <v>4</v>
      </c>
      <c r="B1465">
        <v>2026</v>
      </c>
      <c r="C1465" t="s">
        <v>33</v>
      </c>
      <c r="D1465" s="18"/>
      <c r="E1465" s="18" t="s">
        <v>151</v>
      </c>
      <c r="G1465" s="51" t="s">
        <v>37</v>
      </c>
      <c r="H1465" s="3">
        <v>65649</v>
      </c>
      <c r="I1465" s="3">
        <v>4928</v>
      </c>
      <c r="J1465" s="2" t="s">
        <v>762</v>
      </c>
      <c r="R1465" s="63">
        <v>9.5959649999999996</v>
      </c>
      <c r="S1465" s="6">
        <v>4970.71</v>
      </c>
      <c r="U1465">
        <v>180</v>
      </c>
      <c r="W1465" s="7">
        <v>518</v>
      </c>
    </row>
    <row r="1466" spans="1:23" x14ac:dyDescent="0.35">
      <c r="A1466">
        <v>4</v>
      </c>
      <c r="B1466">
        <v>2026</v>
      </c>
      <c r="C1466" t="s">
        <v>33</v>
      </c>
      <c r="D1466" s="18"/>
      <c r="E1466" s="18" t="s">
        <v>151</v>
      </c>
      <c r="G1466" s="51" t="s">
        <v>37</v>
      </c>
      <c r="H1466" s="3">
        <v>65649</v>
      </c>
      <c r="I1466" s="3">
        <v>4929</v>
      </c>
      <c r="J1466" s="2" t="s">
        <v>763</v>
      </c>
      <c r="R1466" s="63">
        <v>9.6459440000000001</v>
      </c>
      <c r="S1466" s="6">
        <v>5469.25</v>
      </c>
      <c r="U1466">
        <v>180</v>
      </c>
      <c r="W1466" s="7">
        <v>567</v>
      </c>
    </row>
    <row r="1467" spans="1:23" x14ac:dyDescent="0.35">
      <c r="A1467">
        <v>4</v>
      </c>
      <c r="B1467">
        <v>2026</v>
      </c>
      <c r="C1467" t="s">
        <v>33</v>
      </c>
      <c r="D1467" s="18"/>
      <c r="E1467" s="18" t="s">
        <v>151</v>
      </c>
      <c r="G1467" s="51" t="s">
        <v>37</v>
      </c>
      <c r="H1467" s="3">
        <v>65649</v>
      </c>
      <c r="I1467" s="3">
        <v>4940</v>
      </c>
      <c r="J1467" s="2" t="s">
        <v>764</v>
      </c>
      <c r="R1467" s="63">
        <v>10.045785</v>
      </c>
      <c r="S1467" s="6">
        <v>6268.57</v>
      </c>
      <c r="U1467">
        <v>180</v>
      </c>
      <c r="W1467" s="7">
        <v>624</v>
      </c>
    </row>
    <row r="1468" spans="1:23" x14ac:dyDescent="0.35">
      <c r="A1468">
        <v>4</v>
      </c>
      <c r="B1468">
        <v>2026</v>
      </c>
      <c r="C1468" t="s">
        <v>33</v>
      </c>
      <c r="D1468" s="18"/>
      <c r="E1468" s="18" t="s">
        <v>151</v>
      </c>
      <c r="G1468" s="51" t="s">
        <v>37</v>
      </c>
      <c r="H1468" s="3">
        <v>65649</v>
      </c>
      <c r="I1468" s="3">
        <v>4931</v>
      </c>
      <c r="J1468" s="2" t="s">
        <v>765</v>
      </c>
      <c r="R1468" s="63">
        <v>9.7459000000000007</v>
      </c>
      <c r="S1468" s="6">
        <v>5087.3599999999997</v>
      </c>
      <c r="U1468">
        <v>180</v>
      </c>
      <c r="W1468" s="7">
        <v>522</v>
      </c>
    </row>
    <row r="1469" spans="1:23" x14ac:dyDescent="0.35">
      <c r="A1469">
        <v>4</v>
      </c>
      <c r="B1469">
        <v>2026</v>
      </c>
      <c r="C1469" t="s">
        <v>33</v>
      </c>
      <c r="D1469" s="18"/>
      <c r="E1469" s="18" t="s">
        <v>151</v>
      </c>
      <c r="G1469" s="51" t="s">
        <v>37</v>
      </c>
      <c r="H1469" s="3">
        <v>65649</v>
      </c>
      <c r="I1469" s="3">
        <v>4936</v>
      </c>
      <c r="J1469" s="2" t="s">
        <v>766</v>
      </c>
      <c r="R1469" s="63">
        <v>9.3960489999999997</v>
      </c>
      <c r="S1469" s="6">
        <v>3805.4</v>
      </c>
      <c r="U1469">
        <v>180</v>
      </c>
      <c r="W1469" s="7">
        <v>405</v>
      </c>
    </row>
    <row r="1470" spans="1:23" x14ac:dyDescent="0.35">
      <c r="A1470">
        <v>4</v>
      </c>
      <c r="B1470">
        <v>2026</v>
      </c>
      <c r="C1470" t="s">
        <v>33</v>
      </c>
      <c r="D1470" s="18"/>
      <c r="E1470" s="18" t="s">
        <v>151</v>
      </c>
      <c r="G1470" s="51" t="s">
        <v>37</v>
      </c>
      <c r="H1470" s="3">
        <v>65649</v>
      </c>
      <c r="I1470" s="3">
        <v>4937</v>
      </c>
      <c r="J1470" s="2" t="s">
        <v>767</v>
      </c>
      <c r="R1470" s="63">
        <v>9.5459809999999994</v>
      </c>
      <c r="S1470" s="6">
        <v>4037.95</v>
      </c>
      <c r="U1470">
        <v>180</v>
      </c>
      <c r="W1470" s="7">
        <v>423</v>
      </c>
    </row>
    <row r="1471" spans="1:23" x14ac:dyDescent="0.35">
      <c r="A1471">
        <v>4</v>
      </c>
      <c r="B1471">
        <v>2026</v>
      </c>
      <c r="C1471" t="s">
        <v>33</v>
      </c>
      <c r="D1471" s="18"/>
      <c r="E1471" s="18" t="s">
        <v>151</v>
      </c>
      <c r="G1471" s="51" t="s">
        <v>37</v>
      </c>
      <c r="H1471" s="3">
        <v>65649</v>
      </c>
      <c r="I1471" s="3">
        <v>4938</v>
      </c>
      <c r="J1471" s="2" t="s">
        <v>768</v>
      </c>
      <c r="R1471" s="63">
        <v>9.5959610000000009</v>
      </c>
      <c r="S1471" s="6">
        <v>5392.93</v>
      </c>
      <c r="U1471">
        <v>180</v>
      </c>
      <c r="W1471" s="7">
        <v>562</v>
      </c>
    </row>
    <row r="1472" spans="1:23" x14ac:dyDescent="0.35">
      <c r="A1472">
        <v>4</v>
      </c>
      <c r="B1472">
        <v>2026</v>
      </c>
      <c r="C1472" t="s">
        <v>33</v>
      </c>
      <c r="D1472" s="18"/>
      <c r="E1472" s="18" t="s">
        <v>151</v>
      </c>
      <c r="G1472" s="51" t="s">
        <v>37</v>
      </c>
      <c r="H1472" s="3">
        <v>65649</v>
      </c>
      <c r="I1472" s="3">
        <v>4939</v>
      </c>
      <c r="J1472" s="2" t="s">
        <v>769</v>
      </c>
      <c r="R1472" s="63">
        <v>9.5959749999999993</v>
      </c>
      <c r="S1472" s="6">
        <v>4529.3</v>
      </c>
      <c r="U1472">
        <v>180</v>
      </c>
      <c r="W1472" s="7">
        <v>472</v>
      </c>
    </row>
    <row r="1473" spans="1:23" s="16" customFormat="1" x14ac:dyDescent="0.35">
      <c r="A1473" s="16">
        <v>5</v>
      </c>
      <c r="B1473" s="16">
        <v>2026</v>
      </c>
      <c r="C1473" s="16" t="s">
        <v>33</v>
      </c>
      <c r="E1473" s="16" t="s">
        <v>550</v>
      </c>
      <c r="F1473" s="32"/>
      <c r="G1473" s="50" t="s">
        <v>50</v>
      </c>
      <c r="H1473" s="32">
        <v>65751</v>
      </c>
      <c r="I1473" s="32">
        <v>3275</v>
      </c>
      <c r="J1473" s="50" t="s">
        <v>461</v>
      </c>
      <c r="R1473" s="106">
        <v>23.387091999999999</v>
      </c>
      <c r="S1473" s="17">
        <v>13026.61</v>
      </c>
      <c r="U1473" s="16">
        <v>350</v>
      </c>
      <c r="W1473" s="128">
        <v>557</v>
      </c>
    </row>
    <row r="1474" spans="1:23" x14ac:dyDescent="0.35">
      <c r="A1474" s="18">
        <v>5</v>
      </c>
      <c r="B1474" s="18">
        <v>2026</v>
      </c>
      <c r="C1474" s="18" t="s">
        <v>33</v>
      </c>
      <c r="D1474" s="18"/>
      <c r="E1474" s="18" t="s">
        <v>550</v>
      </c>
      <c r="G1474" s="51" t="s">
        <v>50</v>
      </c>
      <c r="H1474" s="3">
        <v>65751</v>
      </c>
      <c r="I1474" s="3">
        <v>2535</v>
      </c>
      <c r="J1474" s="2" t="s">
        <v>392</v>
      </c>
      <c r="R1474" s="107">
        <v>31.954160000000002</v>
      </c>
      <c r="S1474" s="6">
        <v>28726.79</v>
      </c>
      <c r="U1474">
        <v>430</v>
      </c>
      <c r="W1474" s="7">
        <v>899</v>
      </c>
    </row>
    <row r="1475" spans="1:23" x14ac:dyDescent="0.35">
      <c r="A1475" s="18">
        <v>5</v>
      </c>
      <c r="B1475" s="18">
        <v>2026</v>
      </c>
      <c r="C1475" s="18" t="s">
        <v>33</v>
      </c>
      <c r="D1475" s="18"/>
      <c r="E1475" s="18" t="s">
        <v>550</v>
      </c>
      <c r="G1475" s="51" t="s">
        <v>50</v>
      </c>
      <c r="H1475" s="3">
        <v>65751</v>
      </c>
      <c r="I1475" s="3">
        <v>1903</v>
      </c>
      <c r="J1475" s="2" t="s">
        <v>293</v>
      </c>
      <c r="R1475" s="107">
        <v>33.283532999999998</v>
      </c>
      <c r="S1475" s="6">
        <v>37310.839999999997</v>
      </c>
      <c r="U1475">
        <v>420</v>
      </c>
      <c r="W1475" s="7">
        <v>1121</v>
      </c>
    </row>
    <row r="1476" spans="1:23" x14ac:dyDescent="0.35">
      <c r="A1476" s="18">
        <v>5</v>
      </c>
      <c r="B1476" s="18">
        <v>2026</v>
      </c>
      <c r="C1476" s="18" t="s">
        <v>33</v>
      </c>
      <c r="D1476" s="18"/>
      <c r="E1476" s="18" t="s">
        <v>550</v>
      </c>
      <c r="G1476" s="51" t="s">
        <v>50</v>
      </c>
      <c r="H1476" s="3">
        <v>65751</v>
      </c>
      <c r="I1476" s="3">
        <v>1904</v>
      </c>
      <c r="J1476" s="2" t="s">
        <v>294</v>
      </c>
      <c r="R1476" s="107">
        <v>21.171482999999998</v>
      </c>
      <c r="S1476" s="6">
        <v>24410.720000000001</v>
      </c>
      <c r="U1476">
        <v>450</v>
      </c>
      <c r="W1476" s="7">
        <v>1153</v>
      </c>
    </row>
    <row r="1477" spans="1:23" x14ac:dyDescent="0.35">
      <c r="A1477" s="18">
        <v>5</v>
      </c>
      <c r="B1477" s="18">
        <v>2026</v>
      </c>
      <c r="C1477" s="18" t="s">
        <v>33</v>
      </c>
      <c r="D1477" s="18"/>
      <c r="E1477" s="18" t="s">
        <v>774</v>
      </c>
      <c r="G1477" s="51" t="s">
        <v>513</v>
      </c>
      <c r="H1477" s="3">
        <v>65824</v>
      </c>
      <c r="I1477" s="3">
        <v>4957</v>
      </c>
      <c r="J1477" s="2" t="s">
        <v>775</v>
      </c>
      <c r="R1477" s="107">
        <v>11.317380999999999</v>
      </c>
      <c r="S1477" s="6">
        <v>18322.84</v>
      </c>
      <c r="U1477">
        <v>200</v>
      </c>
      <c r="W1477" s="7">
        <v>1619</v>
      </c>
    </row>
    <row r="1478" spans="1:23" x14ac:dyDescent="0.35">
      <c r="A1478" s="18">
        <v>5</v>
      </c>
      <c r="B1478" s="18">
        <v>2026</v>
      </c>
      <c r="C1478" s="18" t="s">
        <v>33</v>
      </c>
      <c r="D1478" s="18"/>
      <c r="E1478" s="18" t="s">
        <v>774</v>
      </c>
      <c r="G1478" s="51" t="s">
        <v>513</v>
      </c>
      <c r="H1478" s="3">
        <v>65824</v>
      </c>
      <c r="I1478" s="3">
        <v>4958</v>
      </c>
      <c r="J1478" s="2" t="s">
        <v>776</v>
      </c>
      <c r="R1478" s="107">
        <v>10.484501</v>
      </c>
      <c r="S1478" s="6">
        <v>17865.59</v>
      </c>
      <c r="U1478">
        <v>180</v>
      </c>
      <c r="W1478" s="7">
        <v>1704</v>
      </c>
    </row>
    <row r="1479" spans="1:23" x14ac:dyDescent="0.35">
      <c r="A1479" s="18">
        <v>5</v>
      </c>
      <c r="B1479" s="18">
        <v>2026</v>
      </c>
      <c r="C1479" s="18" t="s">
        <v>33</v>
      </c>
      <c r="D1479" s="18"/>
      <c r="E1479" s="18" t="s">
        <v>774</v>
      </c>
      <c r="G1479" s="51" t="s">
        <v>513</v>
      </c>
      <c r="H1479" s="3">
        <v>65824</v>
      </c>
      <c r="I1479" s="3">
        <v>4959</v>
      </c>
      <c r="J1479" s="2" t="s">
        <v>777</v>
      </c>
      <c r="R1479" s="107">
        <v>37.234679999999997</v>
      </c>
      <c r="S1479" s="6">
        <v>51160.45</v>
      </c>
      <c r="U1479">
        <v>400</v>
      </c>
      <c r="W1479" s="7">
        <v>1374</v>
      </c>
    </row>
    <row r="1480" spans="1:23" x14ac:dyDescent="0.35">
      <c r="A1480" s="18">
        <v>5</v>
      </c>
      <c r="B1480" s="18">
        <v>2026</v>
      </c>
      <c r="C1480" s="18" t="s">
        <v>33</v>
      </c>
      <c r="D1480" s="18"/>
      <c r="E1480" s="18" t="s">
        <v>387</v>
      </c>
      <c r="G1480" s="51" t="s">
        <v>388</v>
      </c>
      <c r="H1480" s="3">
        <v>65857</v>
      </c>
      <c r="I1480" s="3">
        <v>4352</v>
      </c>
      <c r="J1480" s="2" t="s">
        <v>654</v>
      </c>
      <c r="R1480" s="107">
        <v>11.409309</v>
      </c>
      <c r="S1480" s="6">
        <v>9903.2800000000007</v>
      </c>
      <c r="U1480">
        <v>220</v>
      </c>
      <c r="W1480" s="7">
        <v>868</v>
      </c>
    </row>
    <row r="1481" spans="1:23" x14ac:dyDescent="0.35">
      <c r="A1481" s="18">
        <v>5</v>
      </c>
      <c r="B1481" s="18">
        <v>2026</v>
      </c>
      <c r="C1481" s="18" t="s">
        <v>33</v>
      </c>
      <c r="D1481" s="18"/>
      <c r="E1481" s="18" t="s">
        <v>387</v>
      </c>
      <c r="G1481" s="51" t="s">
        <v>388</v>
      </c>
      <c r="H1481" s="3">
        <v>65857</v>
      </c>
      <c r="I1481" s="3">
        <v>4351</v>
      </c>
      <c r="J1481" s="2" t="s">
        <v>655</v>
      </c>
      <c r="R1481" s="107">
        <v>9.8913290000000007</v>
      </c>
      <c r="S1481" s="6">
        <v>6399.69</v>
      </c>
      <c r="U1481">
        <v>220</v>
      </c>
      <c r="W1481" s="7">
        <v>647</v>
      </c>
    </row>
    <row r="1482" spans="1:23" x14ac:dyDescent="0.35">
      <c r="A1482" s="18">
        <v>5</v>
      </c>
      <c r="B1482" s="18">
        <v>2026</v>
      </c>
      <c r="C1482" s="18" t="s">
        <v>33</v>
      </c>
      <c r="D1482" s="18"/>
      <c r="E1482" s="18" t="s">
        <v>387</v>
      </c>
      <c r="G1482" s="51" t="s">
        <v>388</v>
      </c>
      <c r="H1482" s="3">
        <v>65857</v>
      </c>
      <c r="I1482" s="3">
        <v>2584</v>
      </c>
      <c r="J1482" s="2" t="s">
        <v>401</v>
      </c>
      <c r="R1482" s="107">
        <v>10.674804999999999</v>
      </c>
      <c r="S1482" s="6">
        <v>4376.67</v>
      </c>
      <c r="U1482">
        <v>160</v>
      </c>
      <c r="W1482" s="7">
        <v>410</v>
      </c>
    </row>
    <row r="1483" spans="1:23" x14ac:dyDescent="0.35">
      <c r="A1483" s="18">
        <v>5</v>
      </c>
      <c r="B1483" s="18">
        <v>2026</v>
      </c>
      <c r="C1483" s="18" t="s">
        <v>33</v>
      </c>
      <c r="D1483" s="18"/>
      <c r="E1483" s="18" t="s">
        <v>387</v>
      </c>
      <c r="G1483" s="51" t="s">
        <v>388</v>
      </c>
      <c r="H1483" s="3">
        <v>65857</v>
      </c>
      <c r="I1483" s="3">
        <v>3578</v>
      </c>
      <c r="J1483" s="2" t="s">
        <v>503</v>
      </c>
      <c r="R1483" s="107">
        <v>14.690104</v>
      </c>
      <c r="S1483" s="6">
        <v>7080.63</v>
      </c>
      <c r="U1483">
        <v>300</v>
      </c>
      <c r="W1483" s="7">
        <v>482</v>
      </c>
    </row>
    <row r="1484" spans="1:23" x14ac:dyDescent="0.35">
      <c r="A1484" s="18">
        <v>5</v>
      </c>
      <c r="B1484" s="18">
        <v>2026</v>
      </c>
      <c r="C1484" s="18" t="s">
        <v>33</v>
      </c>
      <c r="D1484" s="18"/>
      <c r="E1484" s="18" t="s">
        <v>387</v>
      </c>
      <c r="G1484" s="51" t="s">
        <v>388</v>
      </c>
      <c r="H1484" s="3">
        <v>65857</v>
      </c>
      <c r="I1484" s="3">
        <v>3398</v>
      </c>
      <c r="J1484" s="2" t="s">
        <v>482</v>
      </c>
      <c r="R1484" s="107">
        <v>11.752082</v>
      </c>
      <c r="S1484" s="6">
        <v>16029.84</v>
      </c>
      <c r="U1484">
        <v>240</v>
      </c>
      <c r="W1484" s="7">
        <v>1364</v>
      </c>
    </row>
    <row r="1485" spans="1:23" x14ac:dyDescent="0.35">
      <c r="A1485" s="18">
        <v>5</v>
      </c>
      <c r="B1485" s="18">
        <v>2026</v>
      </c>
      <c r="C1485" s="18" t="s">
        <v>33</v>
      </c>
      <c r="D1485" s="18"/>
      <c r="E1485" s="18" t="s">
        <v>116</v>
      </c>
      <c r="G1485" s="51" t="s">
        <v>50</v>
      </c>
      <c r="H1485" s="3">
        <v>66014</v>
      </c>
      <c r="I1485" s="3">
        <v>4848</v>
      </c>
      <c r="J1485" s="2" t="s">
        <v>731</v>
      </c>
      <c r="R1485" s="107">
        <v>19.846557000000001</v>
      </c>
      <c r="S1485" s="6">
        <v>8474.48</v>
      </c>
      <c r="U1485">
        <v>320</v>
      </c>
      <c r="W1485" s="7">
        <v>427</v>
      </c>
    </row>
    <row r="1486" spans="1:23" x14ac:dyDescent="0.35">
      <c r="A1486" s="18">
        <v>5</v>
      </c>
      <c r="B1486" s="18">
        <v>2026</v>
      </c>
      <c r="C1486" s="18" t="s">
        <v>33</v>
      </c>
      <c r="D1486" s="18"/>
      <c r="E1486" s="18" t="s">
        <v>116</v>
      </c>
      <c r="G1486" s="51" t="s">
        <v>50</v>
      </c>
      <c r="H1486" s="3">
        <v>66014</v>
      </c>
      <c r="I1486" s="3">
        <v>1422</v>
      </c>
      <c r="J1486" s="2" t="s">
        <v>339</v>
      </c>
      <c r="R1486" s="107">
        <v>14.255280000000001</v>
      </c>
      <c r="S1486" s="6">
        <v>10691.46</v>
      </c>
      <c r="U1486">
        <v>240</v>
      </c>
      <c r="W1486" s="7">
        <v>750</v>
      </c>
    </row>
    <row r="1487" spans="1:23" x14ac:dyDescent="0.35">
      <c r="A1487" s="18">
        <v>5</v>
      </c>
      <c r="B1487" s="18">
        <v>2026</v>
      </c>
      <c r="C1487" s="18" t="s">
        <v>33</v>
      </c>
      <c r="D1487" s="18"/>
      <c r="E1487" s="18" t="s">
        <v>116</v>
      </c>
      <c r="G1487" s="51" t="s">
        <v>50</v>
      </c>
      <c r="H1487" s="3">
        <v>66014</v>
      </c>
      <c r="I1487" s="3">
        <v>1419</v>
      </c>
      <c r="J1487" s="2" t="s">
        <v>341</v>
      </c>
      <c r="R1487" s="107">
        <v>11.333701</v>
      </c>
      <c r="S1487" s="6">
        <v>24900.14</v>
      </c>
      <c r="U1487">
        <v>180</v>
      </c>
      <c r="W1487" s="7">
        <v>2197</v>
      </c>
    </row>
    <row r="1488" spans="1:23" x14ac:dyDescent="0.35">
      <c r="A1488" s="18">
        <v>5</v>
      </c>
      <c r="B1488" s="18">
        <v>2026</v>
      </c>
      <c r="C1488" s="18" t="s">
        <v>33</v>
      </c>
      <c r="D1488" s="18"/>
      <c r="E1488" s="18" t="s">
        <v>549</v>
      </c>
      <c r="G1488" s="51" t="s">
        <v>513</v>
      </c>
      <c r="H1488" s="3">
        <v>66068</v>
      </c>
      <c r="I1488" s="3">
        <v>4955</v>
      </c>
      <c r="J1488" s="2" t="s">
        <v>778</v>
      </c>
      <c r="R1488" s="107">
        <v>13.22758</v>
      </c>
      <c r="S1488" s="6">
        <v>12791.07</v>
      </c>
      <c r="U1488">
        <v>220</v>
      </c>
      <c r="W1488" s="7">
        <v>967</v>
      </c>
    </row>
    <row r="1489" spans="1:23" x14ac:dyDescent="0.35">
      <c r="A1489" s="18">
        <v>5</v>
      </c>
      <c r="B1489" s="18">
        <v>2026</v>
      </c>
      <c r="C1489" s="18" t="s">
        <v>33</v>
      </c>
      <c r="D1489" s="18"/>
      <c r="E1489" s="18" t="s">
        <v>549</v>
      </c>
      <c r="G1489" s="51" t="s">
        <v>513</v>
      </c>
      <c r="H1489" s="3">
        <v>66068</v>
      </c>
      <c r="I1489" s="3">
        <v>4954</v>
      </c>
      <c r="J1489" s="2" t="s">
        <v>779</v>
      </c>
      <c r="R1489" s="107">
        <v>19.564757</v>
      </c>
      <c r="S1489" s="6">
        <v>20151.7</v>
      </c>
      <c r="U1489">
        <v>280</v>
      </c>
      <c r="W1489" s="7">
        <v>1030</v>
      </c>
    </row>
    <row r="1490" spans="1:23" x14ac:dyDescent="0.35">
      <c r="A1490" s="18">
        <v>5</v>
      </c>
      <c r="B1490" s="18">
        <v>2026</v>
      </c>
      <c r="C1490" s="18" t="s">
        <v>33</v>
      </c>
      <c r="D1490" s="18"/>
      <c r="E1490" s="18" t="s">
        <v>549</v>
      </c>
      <c r="G1490" s="51" t="s">
        <v>513</v>
      </c>
      <c r="H1490" s="3">
        <v>66068</v>
      </c>
      <c r="I1490" s="3">
        <v>4094</v>
      </c>
      <c r="J1490" s="2" t="s">
        <v>780</v>
      </c>
      <c r="R1490" s="107">
        <v>8.9022129999999997</v>
      </c>
      <c r="S1490" s="6">
        <v>9009.0400000000009</v>
      </c>
      <c r="U1490">
        <v>180</v>
      </c>
      <c r="W1490" s="7">
        <v>1012</v>
      </c>
    </row>
    <row r="1491" spans="1:23" x14ac:dyDescent="0.35">
      <c r="A1491" s="18">
        <v>5</v>
      </c>
      <c r="B1491" s="18">
        <v>2026</v>
      </c>
      <c r="C1491" s="18" t="s">
        <v>33</v>
      </c>
      <c r="D1491" s="18"/>
      <c r="E1491" s="18" t="s">
        <v>549</v>
      </c>
      <c r="G1491" s="51" t="s">
        <v>513</v>
      </c>
      <c r="H1491" s="3">
        <v>66068</v>
      </c>
      <c r="I1491" s="3">
        <v>4159</v>
      </c>
      <c r="J1491" s="2" t="s">
        <v>781</v>
      </c>
      <c r="R1491" s="107">
        <v>8.9022170000000003</v>
      </c>
      <c r="S1491" s="6">
        <v>18071.5</v>
      </c>
      <c r="U1491">
        <v>160</v>
      </c>
      <c r="W1491" s="7">
        <v>2030</v>
      </c>
    </row>
    <row r="1492" spans="1:23" x14ac:dyDescent="0.35">
      <c r="A1492" s="18">
        <v>5</v>
      </c>
      <c r="B1492" s="18">
        <v>2026</v>
      </c>
      <c r="C1492" s="18" t="s">
        <v>33</v>
      </c>
      <c r="D1492" s="18"/>
      <c r="E1492" s="18" t="s">
        <v>549</v>
      </c>
      <c r="G1492" s="51" t="s">
        <v>513</v>
      </c>
      <c r="H1492" s="3">
        <v>66068</v>
      </c>
      <c r="I1492" s="3">
        <v>4092</v>
      </c>
      <c r="J1492" s="2" t="s">
        <v>782</v>
      </c>
      <c r="R1492" s="107">
        <v>8.902215</v>
      </c>
      <c r="S1492" s="6">
        <v>21062.639999999999</v>
      </c>
      <c r="U1492">
        <v>180</v>
      </c>
      <c r="W1492" s="7">
        <v>2366</v>
      </c>
    </row>
    <row r="1493" spans="1:23" s="14" customFormat="1" x14ac:dyDescent="0.35">
      <c r="A1493" s="14">
        <v>6</v>
      </c>
      <c r="B1493" s="14">
        <v>2026</v>
      </c>
      <c r="C1493" s="14" t="s">
        <v>33</v>
      </c>
      <c r="E1493" s="14" t="s">
        <v>669</v>
      </c>
      <c r="F1493" s="31"/>
      <c r="G1493" s="49" t="s">
        <v>37</v>
      </c>
      <c r="H1493" s="31">
        <v>66480</v>
      </c>
      <c r="I1493" s="31">
        <v>5045</v>
      </c>
      <c r="J1493" s="49" t="s">
        <v>786</v>
      </c>
      <c r="R1493" s="118">
        <v>9.4074010000000001</v>
      </c>
      <c r="S1493" s="120">
        <v>10461.030000000001</v>
      </c>
      <c r="U1493" s="14">
        <v>180</v>
      </c>
      <c r="W1493" s="127">
        <v>1112</v>
      </c>
    </row>
    <row r="1494" spans="1:23" x14ac:dyDescent="0.35">
      <c r="A1494" s="18">
        <v>6</v>
      </c>
      <c r="B1494" s="18">
        <v>2026</v>
      </c>
      <c r="C1494" s="18" t="s">
        <v>33</v>
      </c>
      <c r="D1494" s="18"/>
      <c r="E1494" s="18" t="s">
        <v>669</v>
      </c>
      <c r="G1494" s="51" t="s">
        <v>37</v>
      </c>
      <c r="H1494" s="3">
        <v>66480</v>
      </c>
      <c r="I1494" s="3">
        <v>3760</v>
      </c>
      <c r="J1494" s="2" t="s">
        <v>523</v>
      </c>
      <c r="R1494" s="107">
        <v>10.131045</v>
      </c>
      <c r="S1494" s="6">
        <v>24829.47</v>
      </c>
      <c r="U1494">
        <v>180</v>
      </c>
      <c r="W1494" s="7">
        <v>2450.83</v>
      </c>
    </row>
    <row r="1495" spans="1:23" x14ac:dyDescent="0.35">
      <c r="A1495" s="18">
        <v>6</v>
      </c>
      <c r="B1495" s="18">
        <v>2026</v>
      </c>
      <c r="C1495" s="18" t="s">
        <v>33</v>
      </c>
      <c r="D1495" s="18"/>
      <c r="E1495" s="18" t="s">
        <v>669</v>
      </c>
      <c r="G1495" s="51" t="s">
        <v>37</v>
      </c>
      <c r="H1495" s="3">
        <v>66480</v>
      </c>
      <c r="I1495" s="3">
        <v>2206</v>
      </c>
      <c r="J1495" s="2" t="s">
        <v>351</v>
      </c>
      <c r="R1495" s="107">
        <v>10.234419000000001</v>
      </c>
      <c r="S1495" s="6">
        <v>14891.08</v>
      </c>
      <c r="U1495">
        <v>180</v>
      </c>
      <c r="W1495" s="7">
        <v>1455</v>
      </c>
    </row>
    <row r="1496" spans="1:23" x14ac:dyDescent="0.35">
      <c r="A1496">
        <v>6</v>
      </c>
      <c r="B1496">
        <v>2026</v>
      </c>
      <c r="C1496" s="18" t="s">
        <v>33</v>
      </c>
      <c r="D1496" s="18"/>
      <c r="E1496" s="18" t="s">
        <v>738</v>
      </c>
      <c r="G1496" s="51" t="s">
        <v>513</v>
      </c>
      <c r="H1496" s="3">
        <v>66685</v>
      </c>
      <c r="I1496" s="3">
        <v>5168</v>
      </c>
      <c r="J1496" s="2" t="s">
        <v>787</v>
      </c>
      <c r="R1496" s="107">
        <v>29.824013000000001</v>
      </c>
      <c r="S1496" s="6">
        <v>18133</v>
      </c>
      <c r="U1496">
        <v>400</v>
      </c>
      <c r="W1496" s="7">
        <v>608</v>
      </c>
    </row>
    <row r="1497" spans="1:23" x14ac:dyDescent="0.35">
      <c r="A1497">
        <v>6</v>
      </c>
      <c r="B1497">
        <v>2026</v>
      </c>
      <c r="C1497" s="18" t="s">
        <v>33</v>
      </c>
      <c r="D1497" s="18"/>
      <c r="E1497" t="s">
        <v>42</v>
      </c>
      <c r="G1497" s="51" t="s">
        <v>43</v>
      </c>
      <c r="H1497" s="3">
        <v>66930</v>
      </c>
      <c r="I1497" s="3">
        <v>1523</v>
      </c>
      <c r="J1497" s="2" t="s">
        <v>282</v>
      </c>
      <c r="R1497" s="107">
        <v>9.0230490000000003</v>
      </c>
      <c r="S1497" s="6">
        <v>72861.119999999995</v>
      </c>
      <c r="U1497" s="92">
        <v>180</v>
      </c>
      <c r="W1497" s="7">
        <v>8075</v>
      </c>
    </row>
    <row r="1498" spans="1:23" x14ac:dyDescent="0.35">
      <c r="A1498">
        <v>6</v>
      </c>
      <c r="B1498">
        <v>2026</v>
      </c>
      <c r="C1498" s="18" t="s">
        <v>33</v>
      </c>
      <c r="D1498" s="18"/>
      <c r="E1498" t="s">
        <v>42</v>
      </c>
      <c r="G1498" s="51" t="s">
        <v>43</v>
      </c>
      <c r="H1498" s="3">
        <v>66931</v>
      </c>
      <c r="I1498" s="3">
        <v>5176</v>
      </c>
      <c r="J1498" s="2" t="s">
        <v>788</v>
      </c>
      <c r="R1498" s="107">
        <v>40.886001999999998</v>
      </c>
      <c r="S1498" s="6">
        <v>43461.82</v>
      </c>
      <c r="U1498">
        <v>460</v>
      </c>
      <c r="W1498" s="7">
        <v>1063</v>
      </c>
    </row>
    <row r="1499" spans="1:23" x14ac:dyDescent="0.35">
      <c r="A1499">
        <v>6</v>
      </c>
      <c r="B1499">
        <v>2026</v>
      </c>
      <c r="C1499" s="18" t="s">
        <v>33</v>
      </c>
      <c r="D1499" s="18"/>
      <c r="E1499" s="18" t="s">
        <v>116</v>
      </c>
      <c r="G1499" s="51" t="s">
        <v>50</v>
      </c>
      <c r="H1499" s="3">
        <v>66960</v>
      </c>
      <c r="I1499" s="3">
        <v>4848</v>
      </c>
      <c r="J1499" s="2" t="s">
        <v>731</v>
      </c>
      <c r="R1499" s="107">
        <v>23.185168999999998</v>
      </c>
      <c r="S1499" s="6">
        <v>11662.14</v>
      </c>
      <c r="U1499">
        <v>320</v>
      </c>
      <c r="W1499" s="7">
        <v>503</v>
      </c>
    </row>
    <row r="1500" spans="1:23" x14ac:dyDescent="0.35">
      <c r="A1500">
        <v>6</v>
      </c>
      <c r="B1500">
        <v>2026</v>
      </c>
      <c r="C1500" s="18" t="s">
        <v>33</v>
      </c>
      <c r="D1500" s="18"/>
      <c r="E1500" s="18" t="s">
        <v>116</v>
      </c>
      <c r="G1500" s="51" t="s">
        <v>50</v>
      </c>
      <c r="H1500" s="3">
        <v>66960</v>
      </c>
      <c r="I1500" s="3">
        <v>1419</v>
      </c>
      <c r="J1500" s="2" t="s">
        <v>341</v>
      </c>
      <c r="R1500" s="107">
        <v>13.240259999999999</v>
      </c>
      <c r="S1500" s="6">
        <v>37152.17</v>
      </c>
      <c r="U1500">
        <v>180</v>
      </c>
      <c r="W1500" s="7">
        <v>2806</v>
      </c>
    </row>
    <row r="1501" spans="1:23" x14ac:dyDescent="0.35">
      <c r="A1501">
        <v>6</v>
      </c>
      <c r="B1501">
        <v>2026</v>
      </c>
      <c r="C1501" s="18" t="s">
        <v>33</v>
      </c>
      <c r="D1501" s="18"/>
      <c r="E1501" s="18" t="s">
        <v>116</v>
      </c>
      <c r="G1501" s="51" t="s">
        <v>50</v>
      </c>
      <c r="H1501" s="3">
        <v>66960</v>
      </c>
      <c r="I1501" s="3">
        <v>3378</v>
      </c>
      <c r="J1501" s="2" t="s">
        <v>460</v>
      </c>
      <c r="R1501" s="107">
        <v>28.540119000000001</v>
      </c>
      <c r="S1501" s="6">
        <v>14355.68</v>
      </c>
      <c r="U1501">
        <v>370</v>
      </c>
      <c r="W1501" s="7">
        <v>503</v>
      </c>
    </row>
    <row r="1502" spans="1:23" s="14" customFormat="1" x14ac:dyDescent="0.35">
      <c r="A1502" s="14">
        <v>7</v>
      </c>
      <c r="B1502" s="14">
        <v>2026</v>
      </c>
      <c r="C1502" s="14" t="s">
        <v>33</v>
      </c>
      <c r="E1502" s="14" t="s">
        <v>711</v>
      </c>
      <c r="F1502" s="31"/>
      <c r="G1502" s="49" t="s">
        <v>43</v>
      </c>
      <c r="H1502" s="31">
        <v>67052</v>
      </c>
      <c r="I1502" s="31">
        <v>4773</v>
      </c>
      <c r="J1502" s="49" t="s">
        <v>720</v>
      </c>
      <c r="R1502" s="118">
        <v>25.742778999999999</v>
      </c>
      <c r="S1502" s="120">
        <v>63352.98</v>
      </c>
      <c r="U1502" s="14">
        <v>200</v>
      </c>
      <c r="W1502" s="127">
        <v>2461</v>
      </c>
    </row>
    <row r="1503" spans="1:23" x14ac:dyDescent="0.35">
      <c r="A1503" s="18">
        <v>7</v>
      </c>
      <c r="B1503" s="18">
        <v>2026</v>
      </c>
      <c r="C1503" s="18" t="s">
        <v>33</v>
      </c>
      <c r="D1503" s="18"/>
      <c r="E1503" s="18" t="s">
        <v>789</v>
      </c>
      <c r="G1503" s="51" t="s">
        <v>693</v>
      </c>
      <c r="H1503" s="3">
        <v>67488</v>
      </c>
      <c r="I1503" s="3">
        <v>5282</v>
      </c>
      <c r="J1503" s="2" t="s">
        <v>790</v>
      </c>
      <c r="R1503" s="107">
        <v>27.844895999999999</v>
      </c>
      <c r="S1503" s="6">
        <v>5346.22</v>
      </c>
      <c r="U1503">
        <v>320</v>
      </c>
      <c r="W1503" s="7">
        <v>192</v>
      </c>
    </row>
    <row r="1504" spans="1:23" x14ac:dyDescent="0.35">
      <c r="A1504" s="18">
        <v>7</v>
      </c>
      <c r="B1504" s="18">
        <v>2026</v>
      </c>
      <c r="C1504" s="18" t="s">
        <v>33</v>
      </c>
      <c r="D1504" s="18"/>
      <c r="E1504" s="18" t="s">
        <v>295</v>
      </c>
      <c r="G1504" s="51" t="s">
        <v>82</v>
      </c>
      <c r="H1504" s="3">
        <v>67490</v>
      </c>
      <c r="I1504" s="3">
        <v>1759</v>
      </c>
      <c r="J1504" s="2" t="s">
        <v>301</v>
      </c>
      <c r="R1504" s="107">
        <v>15.350398999999999</v>
      </c>
      <c r="S1504" s="6">
        <v>11911.91</v>
      </c>
      <c r="U1504">
        <v>280</v>
      </c>
      <c r="W1504" s="7">
        <v>776</v>
      </c>
    </row>
    <row r="1505" spans="1:23" x14ac:dyDescent="0.35">
      <c r="A1505" s="18">
        <v>7</v>
      </c>
      <c r="B1505" s="18">
        <v>2026</v>
      </c>
      <c r="C1505" s="18" t="s">
        <v>33</v>
      </c>
      <c r="D1505" s="18"/>
      <c r="E1505" s="18" t="s">
        <v>295</v>
      </c>
      <c r="G1505" s="51" t="s">
        <v>82</v>
      </c>
      <c r="H1505" s="3">
        <v>67490</v>
      </c>
      <c r="I1505" s="3">
        <v>3700</v>
      </c>
      <c r="J1505" s="2" t="s">
        <v>587</v>
      </c>
      <c r="R1505" s="107">
        <v>7.649699</v>
      </c>
      <c r="S1505" s="6">
        <v>15001.06</v>
      </c>
      <c r="U1505">
        <v>160</v>
      </c>
      <c r="W1505" s="7">
        <v>1961</v>
      </c>
    </row>
    <row r="1506" spans="1:23" x14ac:dyDescent="0.35">
      <c r="A1506" s="18">
        <v>7</v>
      </c>
      <c r="B1506" s="18">
        <v>2026</v>
      </c>
      <c r="C1506" s="18" t="s">
        <v>33</v>
      </c>
      <c r="D1506" s="18"/>
      <c r="E1506" s="18" t="s">
        <v>295</v>
      </c>
      <c r="G1506" s="51" t="s">
        <v>82</v>
      </c>
      <c r="H1506" s="3">
        <v>67490</v>
      </c>
      <c r="I1506" s="3">
        <v>3701</v>
      </c>
      <c r="J1506" s="2" t="s">
        <v>588</v>
      </c>
      <c r="R1506" s="107">
        <v>7.9556849999999999</v>
      </c>
      <c r="S1506" s="6">
        <v>6507.75</v>
      </c>
      <c r="U1506">
        <v>160</v>
      </c>
      <c r="W1506" s="7">
        <v>818</v>
      </c>
    </row>
    <row r="1507" spans="1:23" x14ac:dyDescent="0.35">
      <c r="A1507" s="18">
        <v>7</v>
      </c>
      <c r="B1507" s="18">
        <v>2026</v>
      </c>
      <c r="C1507" s="18" t="s">
        <v>33</v>
      </c>
      <c r="D1507" s="18"/>
      <c r="E1507" s="18" t="s">
        <v>295</v>
      </c>
      <c r="G1507" s="51" t="s">
        <v>82</v>
      </c>
      <c r="H1507" s="3">
        <v>67490</v>
      </c>
      <c r="I1507" s="3">
        <v>3702</v>
      </c>
      <c r="J1507" s="2" t="s">
        <v>518</v>
      </c>
      <c r="R1507" s="107">
        <v>13.157482</v>
      </c>
      <c r="S1507" s="6">
        <v>7420.82</v>
      </c>
      <c r="U1507">
        <v>180</v>
      </c>
      <c r="W1507" s="7">
        <v>564</v>
      </c>
    </row>
    <row r="1508" spans="1:23" x14ac:dyDescent="0.35">
      <c r="A1508" s="18">
        <v>7</v>
      </c>
      <c r="B1508" s="18">
        <v>2026</v>
      </c>
      <c r="C1508" s="18" t="s">
        <v>33</v>
      </c>
      <c r="D1508" s="18"/>
      <c r="E1508" s="18" t="s">
        <v>669</v>
      </c>
      <c r="G1508" s="51" t="s">
        <v>37</v>
      </c>
      <c r="H1508" s="3">
        <v>67598</v>
      </c>
      <c r="I1508" s="3">
        <v>2209</v>
      </c>
      <c r="J1508" s="2" t="s">
        <v>348</v>
      </c>
      <c r="R1508" s="107">
        <v>9.8064359999999997</v>
      </c>
      <c r="S1508" s="6">
        <v>12022.69</v>
      </c>
      <c r="U1508">
        <v>200</v>
      </c>
      <c r="W1508" s="7">
        <v>1226</v>
      </c>
    </row>
    <row r="1509" spans="1:23" x14ac:dyDescent="0.35">
      <c r="A1509" s="18">
        <v>7</v>
      </c>
      <c r="B1509" s="18">
        <v>2026</v>
      </c>
      <c r="C1509" s="18" t="s">
        <v>33</v>
      </c>
      <c r="D1509" s="18"/>
      <c r="E1509" s="18" t="s">
        <v>669</v>
      </c>
      <c r="G1509" s="51" t="s">
        <v>37</v>
      </c>
      <c r="H1509" s="3">
        <v>67598</v>
      </c>
      <c r="I1509" s="3">
        <v>5057</v>
      </c>
      <c r="J1509" s="2" t="s">
        <v>791</v>
      </c>
      <c r="R1509" s="107">
        <v>8.3405190000000005</v>
      </c>
      <c r="S1509" s="6">
        <v>8348.86</v>
      </c>
      <c r="U1509">
        <v>180</v>
      </c>
      <c r="W1509" s="7">
        <v>1001</v>
      </c>
    </row>
    <row r="1510" spans="1:23" x14ac:dyDescent="0.35">
      <c r="A1510" s="18">
        <v>7</v>
      </c>
      <c r="B1510" s="18">
        <v>2026</v>
      </c>
      <c r="C1510" s="18" t="s">
        <v>33</v>
      </c>
      <c r="D1510" s="18"/>
      <c r="E1510" s="18" t="s">
        <v>669</v>
      </c>
      <c r="G1510" s="51" t="s">
        <v>37</v>
      </c>
      <c r="H1510" s="3">
        <v>67598</v>
      </c>
      <c r="I1510" s="3">
        <v>5218</v>
      </c>
      <c r="J1510" s="2" t="s">
        <v>792</v>
      </c>
      <c r="R1510" s="107">
        <v>8.6438170000000003</v>
      </c>
      <c r="S1510" s="6">
        <v>9171.09</v>
      </c>
      <c r="U1510">
        <v>180</v>
      </c>
      <c r="W1510" s="7">
        <v>1061</v>
      </c>
    </row>
    <row r="1511" spans="1:23" s="16" customFormat="1" x14ac:dyDescent="0.35">
      <c r="A1511" s="16">
        <v>8</v>
      </c>
      <c r="B1511" s="16">
        <v>2026</v>
      </c>
      <c r="C1511" s="16" t="s">
        <v>33</v>
      </c>
      <c r="E1511" s="16" t="s">
        <v>116</v>
      </c>
      <c r="F1511" s="32"/>
      <c r="G1511" s="50" t="s">
        <v>50</v>
      </c>
      <c r="H1511" s="32">
        <v>67743</v>
      </c>
      <c r="I1511" s="32">
        <v>4848</v>
      </c>
      <c r="J1511" s="50" t="s">
        <v>731</v>
      </c>
      <c r="R1511" s="106">
        <v>22.847096000000001</v>
      </c>
      <c r="S1511" s="17">
        <v>20219.68</v>
      </c>
      <c r="U1511" s="16">
        <v>320</v>
      </c>
      <c r="W1511" s="128">
        <v>885</v>
      </c>
    </row>
    <row r="1512" spans="1:23" x14ac:dyDescent="0.35">
      <c r="A1512" s="18">
        <v>8</v>
      </c>
      <c r="B1512" s="18">
        <v>2026</v>
      </c>
      <c r="C1512" s="18" t="s">
        <v>33</v>
      </c>
      <c r="D1512" s="18"/>
      <c r="E1512" s="18" t="s">
        <v>738</v>
      </c>
      <c r="G1512" s="51" t="s">
        <v>513</v>
      </c>
      <c r="H1512" s="3">
        <v>67766</v>
      </c>
      <c r="I1512" s="3">
        <v>5168</v>
      </c>
      <c r="J1512" s="2" t="s">
        <v>787</v>
      </c>
      <c r="R1512" s="107">
        <v>30.411254</v>
      </c>
      <c r="S1512" s="6">
        <v>17942.64</v>
      </c>
      <c r="U1512">
        <v>400</v>
      </c>
      <c r="W1512" s="7">
        <v>590</v>
      </c>
    </row>
    <row r="1513" spans="1:23" x14ac:dyDescent="0.35">
      <c r="A1513" s="18">
        <v>8</v>
      </c>
      <c r="B1513" s="18">
        <v>2026</v>
      </c>
      <c r="C1513" s="18" t="s">
        <v>33</v>
      </c>
      <c r="D1513" s="18"/>
      <c r="E1513" s="18" t="s">
        <v>794</v>
      </c>
      <c r="G1513" s="51" t="s">
        <v>82</v>
      </c>
      <c r="H1513" s="3">
        <v>67801</v>
      </c>
      <c r="I1513" s="3">
        <v>5227</v>
      </c>
      <c r="J1513" s="2" t="s">
        <v>798</v>
      </c>
      <c r="R1513" s="107">
        <v>16.034604999999999</v>
      </c>
      <c r="S1513" s="6">
        <v>9749.0400000000009</v>
      </c>
      <c r="U1513">
        <v>280</v>
      </c>
      <c r="W1513" s="7">
        <v>608</v>
      </c>
    </row>
    <row r="1514" spans="1:23" x14ac:dyDescent="0.35">
      <c r="A1514" s="18">
        <v>8</v>
      </c>
      <c r="B1514" s="18">
        <v>2026</v>
      </c>
      <c r="C1514" s="18" t="s">
        <v>33</v>
      </c>
      <c r="D1514" s="18"/>
      <c r="E1514" s="18" t="s">
        <v>794</v>
      </c>
      <c r="G1514" s="51" t="s">
        <v>82</v>
      </c>
      <c r="H1514" s="3">
        <v>67801</v>
      </c>
      <c r="I1514" s="3">
        <v>5264</v>
      </c>
      <c r="J1514" s="2" t="s">
        <v>799</v>
      </c>
      <c r="R1514" s="107">
        <v>7.9911969999999997</v>
      </c>
      <c r="S1514" s="6">
        <v>4139.4399999999996</v>
      </c>
      <c r="U1514">
        <v>180</v>
      </c>
      <c r="W1514" s="7">
        <v>518</v>
      </c>
    </row>
    <row r="1515" spans="1:23" x14ac:dyDescent="0.35">
      <c r="A1515" s="18">
        <v>8</v>
      </c>
      <c r="B1515" s="18">
        <v>2026</v>
      </c>
      <c r="C1515" s="18" t="s">
        <v>33</v>
      </c>
      <c r="D1515" s="18"/>
      <c r="E1515" s="18" t="s">
        <v>794</v>
      </c>
      <c r="G1515" s="51" t="s">
        <v>82</v>
      </c>
      <c r="H1515" s="3">
        <v>67801</v>
      </c>
      <c r="I1515" s="3">
        <v>5262</v>
      </c>
      <c r="J1515" s="2" t="s">
        <v>800</v>
      </c>
      <c r="R1515" s="107">
        <v>7.9911830000000004</v>
      </c>
      <c r="S1515" s="6">
        <v>3851.75</v>
      </c>
      <c r="U1515">
        <v>180</v>
      </c>
      <c r="W1515" s="7">
        <v>482</v>
      </c>
    </row>
    <row r="1516" spans="1:23" x14ac:dyDescent="0.35">
      <c r="A1516" s="18">
        <v>8</v>
      </c>
      <c r="B1516" s="18">
        <v>2026</v>
      </c>
      <c r="C1516" s="18" t="s">
        <v>33</v>
      </c>
      <c r="D1516" s="18"/>
      <c r="E1516" s="18" t="s">
        <v>794</v>
      </c>
      <c r="G1516" s="51" t="s">
        <v>82</v>
      </c>
      <c r="H1516" s="3">
        <v>67801</v>
      </c>
      <c r="I1516" s="3">
        <v>5263</v>
      </c>
      <c r="J1516" s="2" t="s">
        <v>801</v>
      </c>
      <c r="R1516" s="107">
        <v>7.9911950000000003</v>
      </c>
      <c r="S1516" s="6">
        <v>4347.21</v>
      </c>
      <c r="U1516">
        <v>180</v>
      </c>
      <c r="W1516" s="7">
        <v>544</v>
      </c>
    </row>
    <row r="1517" spans="1:23" x14ac:dyDescent="0.35">
      <c r="A1517" s="18">
        <v>8</v>
      </c>
      <c r="B1517" s="18">
        <v>2026</v>
      </c>
      <c r="C1517" s="18" t="s">
        <v>33</v>
      </c>
      <c r="D1517" s="18"/>
      <c r="E1517" s="18" t="s">
        <v>794</v>
      </c>
      <c r="G1517" s="51" t="s">
        <v>82</v>
      </c>
      <c r="H1517" s="3">
        <v>67801</v>
      </c>
      <c r="I1517" s="3">
        <v>5226</v>
      </c>
      <c r="J1517" s="2" t="s">
        <v>802</v>
      </c>
      <c r="R1517" s="107">
        <v>38.336818999999998</v>
      </c>
      <c r="S1517" s="6">
        <v>21813.65</v>
      </c>
      <c r="U1517">
        <v>380</v>
      </c>
      <c r="W1517" s="7">
        <v>569</v>
      </c>
    </row>
    <row r="1518" spans="1:23" x14ac:dyDescent="0.35">
      <c r="A1518" s="18">
        <v>8</v>
      </c>
      <c r="B1518" s="18">
        <v>2026</v>
      </c>
      <c r="C1518" s="18" t="s">
        <v>33</v>
      </c>
      <c r="D1518" s="18"/>
      <c r="E1518" s="18" t="s">
        <v>794</v>
      </c>
      <c r="G1518" s="51" t="s">
        <v>82</v>
      </c>
      <c r="H1518" s="3">
        <v>67801</v>
      </c>
      <c r="I1518" s="3">
        <v>5225</v>
      </c>
      <c r="J1518" s="2" t="s">
        <v>803</v>
      </c>
      <c r="R1518" s="107">
        <v>16.974748999999999</v>
      </c>
      <c r="S1518" s="6">
        <v>10150.9</v>
      </c>
      <c r="U1518">
        <v>280</v>
      </c>
      <c r="W1518" s="7">
        <v>598</v>
      </c>
    </row>
    <row r="1519" spans="1:23" x14ac:dyDescent="0.35">
      <c r="A1519" s="18">
        <v>8</v>
      </c>
      <c r="B1519" s="18">
        <v>2026</v>
      </c>
      <c r="C1519" s="18" t="s">
        <v>33</v>
      </c>
      <c r="D1519" s="18"/>
      <c r="E1519" s="18" t="s">
        <v>794</v>
      </c>
      <c r="G1519" s="51" t="s">
        <v>82</v>
      </c>
      <c r="H1519" s="3">
        <v>67801</v>
      </c>
      <c r="I1519" s="3">
        <v>5221</v>
      </c>
      <c r="J1519" s="2" t="s">
        <v>804</v>
      </c>
      <c r="R1519" s="107">
        <v>24.809256000000001</v>
      </c>
      <c r="S1519" s="6">
        <v>12677.53</v>
      </c>
      <c r="U1519">
        <v>360</v>
      </c>
      <c r="W1519" s="7">
        <v>511</v>
      </c>
    </row>
    <row r="1520" spans="1:23" x14ac:dyDescent="0.35">
      <c r="A1520" s="18">
        <v>8</v>
      </c>
      <c r="B1520" s="18">
        <v>2026</v>
      </c>
      <c r="C1520" s="18" t="s">
        <v>33</v>
      </c>
      <c r="D1520" s="18"/>
      <c r="E1520" s="18" t="s">
        <v>794</v>
      </c>
      <c r="G1520" s="51" t="s">
        <v>82</v>
      </c>
      <c r="H1520" s="3">
        <v>67801</v>
      </c>
      <c r="I1520" s="3">
        <v>5219</v>
      </c>
      <c r="J1520" s="2" t="s">
        <v>805</v>
      </c>
      <c r="R1520" s="107">
        <v>15.721234000000001</v>
      </c>
      <c r="S1520" s="6">
        <v>8536.6299999999992</v>
      </c>
      <c r="U1520">
        <v>340</v>
      </c>
      <c r="W1520" s="7">
        <v>543</v>
      </c>
    </row>
    <row r="1521" spans="1:23" x14ac:dyDescent="0.35">
      <c r="A1521" s="18">
        <v>8</v>
      </c>
      <c r="B1521" s="18">
        <v>2026</v>
      </c>
      <c r="C1521" s="18" t="s">
        <v>33</v>
      </c>
      <c r="D1521" s="18"/>
      <c r="E1521" s="18" t="s">
        <v>795</v>
      </c>
      <c r="G1521" s="51" t="s">
        <v>464</v>
      </c>
      <c r="H1521" s="3">
        <v>67814</v>
      </c>
      <c r="I1521" s="3">
        <v>5055</v>
      </c>
      <c r="J1521" s="2" t="s">
        <v>806</v>
      </c>
      <c r="R1521" s="107">
        <v>10.453609</v>
      </c>
      <c r="S1521" s="6">
        <v>22213.919999999998</v>
      </c>
      <c r="U1521">
        <v>220</v>
      </c>
      <c r="W1521" s="7">
        <v>2125</v>
      </c>
    </row>
    <row r="1522" spans="1:23" x14ac:dyDescent="0.35">
      <c r="A1522" s="18">
        <v>8</v>
      </c>
      <c r="B1522" s="18">
        <v>2026</v>
      </c>
      <c r="C1522" s="18" t="s">
        <v>33</v>
      </c>
      <c r="D1522" s="18"/>
      <c r="E1522" s="18" t="s">
        <v>795</v>
      </c>
      <c r="G1522" s="51" t="s">
        <v>464</v>
      </c>
      <c r="H1522" s="3">
        <v>67814</v>
      </c>
      <c r="I1522" s="3">
        <v>5055</v>
      </c>
      <c r="J1522" s="2" t="s">
        <v>806</v>
      </c>
      <c r="R1522" s="107">
        <v>10.453607999999999</v>
      </c>
      <c r="S1522" s="6">
        <v>42128.04</v>
      </c>
      <c r="U1522">
        <v>220</v>
      </c>
      <c r="W1522" s="7">
        <v>4030</v>
      </c>
    </row>
    <row r="1523" spans="1:23" x14ac:dyDescent="0.35">
      <c r="A1523" s="18">
        <v>8</v>
      </c>
      <c r="B1523" s="18">
        <v>2026</v>
      </c>
      <c r="C1523" s="18" t="s">
        <v>33</v>
      </c>
      <c r="D1523" s="18"/>
      <c r="E1523" s="18" t="s">
        <v>795</v>
      </c>
      <c r="G1523" s="51" t="s">
        <v>464</v>
      </c>
      <c r="H1523" s="3">
        <v>67814</v>
      </c>
      <c r="I1523" s="3">
        <v>5056</v>
      </c>
      <c r="J1523" s="2" t="s">
        <v>807</v>
      </c>
      <c r="R1523" s="107">
        <v>10.453613000000001</v>
      </c>
      <c r="S1523" s="6">
        <v>9606.8700000000008</v>
      </c>
      <c r="U1523">
        <v>220</v>
      </c>
      <c r="W1523" s="7">
        <v>919</v>
      </c>
    </row>
    <row r="1524" spans="1:23" x14ac:dyDescent="0.35">
      <c r="A1524" s="18">
        <v>8</v>
      </c>
      <c r="B1524" s="18">
        <v>2026</v>
      </c>
      <c r="C1524" s="18" t="s">
        <v>33</v>
      </c>
      <c r="D1524" s="18"/>
      <c r="E1524" s="18" t="s">
        <v>795</v>
      </c>
      <c r="G1524" s="51" t="s">
        <v>464</v>
      </c>
      <c r="H1524" s="3">
        <v>67814</v>
      </c>
      <c r="I1524" s="3">
        <v>5056</v>
      </c>
      <c r="J1524" s="2" t="s">
        <v>807</v>
      </c>
      <c r="R1524" s="107">
        <v>10.453609</v>
      </c>
      <c r="S1524" s="6">
        <v>55069.61</v>
      </c>
      <c r="U1524">
        <v>220</v>
      </c>
      <c r="W1524" s="7">
        <v>5268</v>
      </c>
    </row>
    <row r="1525" spans="1:23" x14ac:dyDescent="0.35">
      <c r="A1525" s="18">
        <v>8</v>
      </c>
      <c r="B1525" s="18">
        <v>2026</v>
      </c>
      <c r="C1525" s="18" t="s">
        <v>33</v>
      </c>
      <c r="D1525" s="18"/>
      <c r="E1525" s="18" t="s">
        <v>795</v>
      </c>
      <c r="G1525" s="51" t="s">
        <v>464</v>
      </c>
      <c r="H1525" s="3">
        <v>67814</v>
      </c>
      <c r="I1525" s="3">
        <v>5058</v>
      </c>
      <c r="J1525" s="2" t="s">
        <v>808</v>
      </c>
      <c r="R1525" s="107">
        <v>20.387136999999999</v>
      </c>
      <c r="S1525" s="6">
        <v>51905.65</v>
      </c>
      <c r="U1525">
        <v>260</v>
      </c>
      <c r="W1525" s="7">
        <v>2546</v>
      </c>
    </row>
    <row r="1526" spans="1:23" x14ac:dyDescent="0.35">
      <c r="A1526" s="18">
        <v>8</v>
      </c>
      <c r="B1526" s="18">
        <v>2026</v>
      </c>
      <c r="C1526" s="18" t="s">
        <v>33</v>
      </c>
      <c r="D1526" s="18"/>
      <c r="E1526" s="18" t="s">
        <v>795</v>
      </c>
      <c r="G1526" s="51" t="s">
        <v>464</v>
      </c>
      <c r="H1526" s="3">
        <v>67814</v>
      </c>
      <c r="I1526" s="3">
        <v>5058</v>
      </c>
      <c r="J1526" s="2" t="s">
        <v>808</v>
      </c>
      <c r="R1526" s="107">
        <v>20.387136999999999</v>
      </c>
      <c r="S1526" s="6">
        <v>61813.8</v>
      </c>
      <c r="U1526">
        <v>260</v>
      </c>
      <c r="W1526" s="7">
        <v>3032</v>
      </c>
    </row>
    <row r="1527" spans="1:23" x14ac:dyDescent="0.35">
      <c r="A1527" s="18">
        <v>8</v>
      </c>
      <c r="B1527" s="18">
        <v>2026</v>
      </c>
      <c r="C1527" s="18" t="s">
        <v>33</v>
      </c>
      <c r="D1527" s="18"/>
      <c r="E1527" s="18" t="s">
        <v>116</v>
      </c>
      <c r="G1527" s="51" t="s">
        <v>50</v>
      </c>
      <c r="H1527" s="3">
        <v>67938</v>
      </c>
      <c r="I1527" s="3">
        <v>1419</v>
      </c>
      <c r="J1527" s="2" t="s">
        <v>341</v>
      </c>
      <c r="R1527" s="107">
        <v>13.221309</v>
      </c>
      <c r="S1527" s="6">
        <v>13234.53</v>
      </c>
      <c r="U1527">
        <v>180</v>
      </c>
      <c r="W1527" s="7">
        <v>1001</v>
      </c>
    </row>
    <row r="1528" spans="1:23" x14ac:dyDescent="0.35">
      <c r="A1528" s="18">
        <v>8</v>
      </c>
      <c r="B1528" s="18">
        <v>2026</v>
      </c>
      <c r="C1528" s="18" t="s">
        <v>33</v>
      </c>
      <c r="D1528" s="18"/>
      <c r="E1528" s="18" t="s">
        <v>116</v>
      </c>
      <c r="G1528" s="51" t="s">
        <v>50</v>
      </c>
      <c r="H1528" s="3">
        <v>67938</v>
      </c>
      <c r="I1528" s="3">
        <v>3378</v>
      </c>
      <c r="J1528" s="2" t="s">
        <v>460</v>
      </c>
      <c r="R1528" s="107">
        <v>28.499276999999999</v>
      </c>
      <c r="S1528" s="6">
        <v>14192.64</v>
      </c>
      <c r="U1528">
        <v>370</v>
      </c>
      <c r="W1528" s="7">
        <v>498</v>
      </c>
    </row>
    <row r="1529" spans="1:23" x14ac:dyDescent="0.35">
      <c r="A1529" s="18">
        <v>8</v>
      </c>
      <c r="B1529" s="18">
        <v>2026</v>
      </c>
      <c r="C1529" s="18" t="s">
        <v>33</v>
      </c>
      <c r="D1529" s="18"/>
      <c r="E1529" s="18" t="s">
        <v>796</v>
      </c>
      <c r="G1529" s="51" t="s">
        <v>37</v>
      </c>
      <c r="H1529" s="3">
        <v>67968</v>
      </c>
      <c r="I1529" s="3">
        <v>4454</v>
      </c>
      <c r="J1529" s="2" t="s">
        <v>668</v>
      </c>
      <c r="R1529" s="107">
        <v>6.7483779999999998</v>
      </c>
      <c r="S1529" s="6">
        <v>34106.300000000003</v>
      </c>
      <c r="U1529">
        <v>180</v>
      </c>
      <c r="W1529" s="7">
        <v>5054</v>
      </c>
    </row>
    <row r="1530" spans="1:23" x14ac:dyDescent="0.35">
      <c r="A1530" s="18">
        <v>8</v>
      </c>
      <c r="B1530" s="18">
        <v>2026</v>
      </c>
      <c r="C1530" s="18" t="s">
        <v>33</v>
      </c>
      <c r="D1530" s="18"/>
      <c r="E1530" s="18" t="s">
        <v>116</v>
      </c>
      <c r="G1530" s="51" t="s">
        <v>50</v>
      </c>
      <c r="H1530" s="3">
        <v>67969</v>
      </c>
      <c r="I1530" s="3">
        <v>4041</v>
      </c>
      <c r="J1530" s="2" t="s">
        <v>536</v>
      </c>
      <c r="R1530" s="107">
        <v>21.775784000000002</v>
      </c>
      <c r="S1530" s="6">
        <v>11519.39</v>
      </c>
      <c r="U1530">
        <v>310</v>
      </c>
      <c r="W1530" s="7">
        <v>529</v>
      </c>
    </row>
    <row r="1531" spans="1:23" x14ac:dyDescent="0.35">
      <c r="A1531" s="18">
        <v>8</v>
      </c>
      <c r="B1531" s="18">
        <v>2026</v>
      </c>
      <c r="C1531" s="18" t="s">
        <v>33</v>
      </c>
      <c r="D1531" s="18"/>
      <c r="E1531" s="18" t="s">
        <v>797</v>
      </c>
      <c r="G1531" s="51" t="s">
        <v>50</v>
      </c>
      <c r="H1531" s="3">
        <v>67970</v>
      </c>
      <c r="I1531" s="3">
        <v>5306</v>
      </c>
      <c r="J1531" s="2" t="s">
        <v>809</v>
      </c>
      <c r="R1531" s="107">
        <v>9.0998230000000007</v>
      </c>
      <c r="S1531" s="6">
        <v>23705.040000000001</v>
      </c>
      <c r="U1531">
        <v>180</v>
      </c>
      <c r="W1531" s="7">
        <v>2605</v>
      </c>
    </row>
    <row r="1532" spans="1:23" x14ac:dyDescent="0.35">
      <c r="A1532" s="18">
        <v>8</v>
      </c>
      <c r="B1532" s="18">
        <v>2026</v>
      </c>
      <c r="C1532" s="18" t="s">
        <v>33</v>
      </c>
      <c r="D1532" s="18"/>
      <c r="E1532" s="18" t="s">
        <v>797</v>
      </c>
      <c r="G1532" s="51" t="s">
        <v>50</v>
      </c>
      <c r="H1532" s="3">
        <v>67970</v>
      </c>
      <c r="I1532" s="3">
        <v>5305</v>
      </c>
      <c r="J1532" s="2" t="s">
        <v>810</v>
      </c>
      <c r="R1532" s="107">
        <v>9.0998269999999994</v>
      </c>
      <c r="S1532" s="6">
        <v>25716.11</v>
      </c>
      <c r="U1532">
        <v>180</v>
      </c>
      <c r="W1532" s="7">
        <v>2826</v>
      </c>
    </row>
    <row r="1533" spans="1:23" x14ac:dyDescent="0.35">
      <c r="A1533" s="18">
        <v>8</v>
      </c>
      <c r="B1533" s="18">
        <v>2026</v>
      </c>
      <c r="C1533" s="18" t="s">
        <v>33</v>
      </c>
      <c r="D1533" s="18"/>
      <c r="E1533" s="18" t="s">
        <v>670</v>
      </c>
      <c r="G1533" s="51" t="s">
        <v>693</v>
      </c>
      <c r="H1533" s="3">
        <v>67971</v>
      </c>
      <c r="I1533" s="3">
        <v>5240</v>
      </c>
      <c r="J1533" s="2" t="s">
        <v>811</v>
      </c>
      <c r="R1533" s="107">
        <v>9.1518280000000001</v>
      </c>
      <c r="S1533" s="6">
        <v>5106.72</v>
      </c>
      <c r="U1533">
        <v>180</v>
      </c>
      <c r="W1533" s="7">
        <v>558</v>
      </c>
    </row>
    <row r="1534" spans="1:23" x14ac:dyDescent="0.35">
      <c r="A1534" s="18">
        <v>8</v>
      </c>
      <c r="B1534" s="18">
        <v>2026</v>
      </c>
      <c r="C1534" s="18" t="s">
        <v>33</v>
      </c>
      <c r="D1534" s="18"/>
      <c r="E1534" s="18" t="s">
        <v>670</v>
      </c>
      <c r="G1534" s="51" t="s">
        <v>693</v>
      </c>
      <c r="H1534" s="3">
        <v>67971</v>
      </c>
      <c r="I1534" s="3">
        <v>5242</v>
      </c>
      <c r="J1534" s="2" t="s">
        <v>812</v>
      </c>
      <c r="R1534" s="107">
        <v>8.6318300000000008</v>
      </c>
      <c r="S1534" s="6">
        <v>4764.7700000000004</v>
      </c>
      <c r="U1534">
        <v>180</v>
      </c>
      <c r="W1534" s="7">
        <v>552</v>
      </c>
    </row>
    <row r="1535" spans="1:23" x14ac:dyDescent="0.35">
      <c r="A1535" s="18">
        <v>8</v>
      </c>
      <c r="B1535" s="18">
        <v>2026</v>
      </c>
      <c r="C1535" s="18" t="s">
        <v>33</v>
      </c>
      <c r="D1535" s="18"/>
      <c r="E1535" s="18" t="s">
        <v>670</v>
      </c>
      <c r="G1535" s="51" t="s">
        <v>693</v>
      </c>
      <c r="H1535" s="3">
        <v>67971</v>
      </c>
      <c r="I1535" s="3">
        <v>5243</v>
      </c>
      <c r="J1535" s="2" t="s">
        <v>813</v>
      </c>
      <c r="R1535" s="107">
        <v>9.5678249999999991</v>
      </c>
      <c r="S1535" s="6">
        <v>5147.49</v>
      </c>
      <c r="U1535">
        <v>180</v>
      </c>
      <c r="W1535" s="7">
        <v>538</v>
      </c>
    </row>
    <row r="1536" spans="1:23" x14ac:dyDescent="0.35">
      <c r="A1536" s="18">
        <v>8</v>
      </c>
      <c r="B1536" s="18">
        <v>2026</v>
      </c>
      <c r="C1536" s="18" t="s">
        <v>33</v>
      </c>
      <c r="D1536" s="18"/>
      <c r="E1536" s="18" t="s">
        <v>670</v>
      </c>
      <c r="G1536" s="51" t="s">
        <v>693</v>
      </c>
      <c r="H1536" s="3">
        <v>67971</v>
      </c>
      <c r="I1536" s="3">
        <v>5244</v>
      </c>
      <c r="J1536" s="2" t="s">
        <v>814</v>
      </c>
      <c r="R1536" s="107">
        <v>9.5678190000000001</v>
      </c>
      <c r="S1536" s="6">
        <v>5616.31</v>
      </c>
      <c r="U1536">
        <v>180</v>
      </c>
      <c r="W1536" s="7">
        <v>587</v>
      </c>
    </row>
    <row r="1537" spans="1:23" x14ac:dyDescent="0.35">
      <c r="A1537" s="18">
        <v>8</v>
      </c>
      <c r="B1537" s="18">
        <v>2026</v>
      </c>
      <c r="C1537" s="18" t="s">
        <v>33</v>
      </c>
      <c r="D1537" s="18"/>
      <c r="E1537" s="18" t="s">
        <v>670</v>
      </c>
      <c r="G1537" s="51" t="s">
        <v>693</v>
      </c>
      <c r="H1537" s="3">
        <v>67971</v>
      </c>
      <c r="I1537" s="3">
        <v>5245</v>
      </c>
      <c r="J1537" s="2" t="s">
        <v>815</v>
      </c>
      <c r="R1537" s="107">
        <v>8.6318370000000009</v>
      </c>
      <c r="S1537" s="6">
        <v>5498.48</v>
      </c>
      <c r="U1537">
        <v>180</v>
      </c>
      <c r="W1537" s="7">
        <v>637</v>
      </c>
    </row>
    <row r="1538" spans="1:23" x14ac:dyDescent="0.35">
      <c r="A1538" s="18">
        <v>8</v>
      </c>
      <c r="B1538" s="18">
        <v>2026</v>
      </c>
      <c r="C1538" s="18" t="s">
        <v>33</v>
      </c>
      <c r="D1538" s="18"/>
      <c r="E1538" s="18" t="s">
        <v>670</v>
      </c>
      <c r="G1538" s="51" t="s">
        <v>693</v>
      </c>
      <c r="H1538" s="3">
        <v>67971</v>
      </c>
      <c r="I1538" s="3">
        <v>5247</v>
      </c>
      <c r="J1538" s="2" t="s">
        <v>816</v>
      </c>
      <c r="R1538" s="107">
        <v>9.1518259999999998</v>
      </c>
      <c r="S1538" s="6">
        <v>5362.97</v>
      </c>
      <c r="U1538">
        <v>180</v>
      </c>
      <c r="W1538" s="7">
        <v>586</v>
      </c>
    </row>
    <row r="1539" spans="1:23" x14ac:dyDescent="0.35">
      <c r="A1539" s="18">
        <v>8</v>
      </c>
      <c r="B1539" s="18">
        <v>2026</v>
      </c>
      <c r="C1539" s="18" t="s">
        <v>33</v>
      </c>
      <c r="D1539" s="18"/>
      <c r="E1539" s="18" t="s">
        <v>670</v>
      </c>
      <c r="G1539" s="51" t="s">
        <v>693</v>
      </c>
      <c r="H1539" s="3">
        <v>67971</v>
      </c>
      <c r="I1539" s="3">
        <v>5249</v>
      </c>
      <c r="J1539" s="2" t="s">
        <v>817</v>
      </c>
      <c r="R1539" s="107">
        <v>8.6318330000000003</v>
      </c>
      <c r="S1539" s="6">
        <v>4333.18</v>
      </c>
      <c r="U1539">
        <v>180</v>
      </c>
      <c r="W1539" s="7">
        <v>502</v>
      </c>
    </row>
    <row r="1540" spans="1:23" x14ac:dyDescent="0.35">
      <c r="A1540" s="18">
        <v>8</v>
      </c>
      <c r="B1540" s="18">
        <v>2026</v>
      </c>
      <c r="C1540" s="18" t="s">
        <v>33</v>
      </c>
      <c r="D1540" s="18"/>
      <c r="E1540" s="18" t="s">
        <v>670</v>
      </c>
      <c r="G1540" s="51" t="s">
        <v>693</v>
      </c>
      <c r="H1540" s="3">
        <v>67971</v>
      </c>
      <c r="I1540" s="3">
        <v>5239</v>
      </c>
      <c r="J1540" s="2" t="s">
        <v>818</v>
      </c>
      <c r="R1540" s="107">
        <v>9.1518289999999993</v>
      </c>
      <c r="S1540" s="6">
        <v>5152.4799999999996</v>
      </c>
      <c r="U1540">
        <v>180</v>
      </c>
      <c r="W1540" s="7">
        <v>563</v>
      </c>
    </row>
    <row r="1541" spans="1:23" x14ac:dyDescent="0.35">
      <c r="A1541" s="18">
        <v>8</v>
      </c>
      <c r="B1541" s="18">
        <v>2026</v>
      </c>
      <c r="C1541" s="18" t="s">
        <v>33</v>
      </c>
      <c r="D1541" s="18"/>
      <c r="E1541" s="18" t="s">
        <v>670</v>
      </c>
      <c r="G1541" s="51" t="s">
        <v>693</v>
      </c>
      <c r="H1541" s="3">
        <v>67971</v>
      </c>
      <c r="I1541" s="3">
        <v>5252</v>
      </c>
      <c r="J1541" s="2" t="s">
        <v>819</v>
      </c>
      <c r="R1541" s="107">
        <v>9.5678110000000007</v>
      </c>
      <c r="S1541" s="6">
        <v>5377.11</v>
      </c>
      <c r="U1541">
        <v>180</v>
      </c>
      <c r="W1541" s="7">
        <v>562</v>
      </c>
    </row>
    <row r="1542" spans="1:23" x14ac:dyDescent="0.35">
      <c r="A1542" s="18">
        <v>8</v>
      </c>
      <c r="B1542" s="18">
        <v>2026</v>
      </c>
      <c r="C1542" s="18" t="s">
        <v>33</v>
      </c>
      <c r="D1542" s="18"/>
      <c r="E1542" s="18" t="s">
        <v>670</v>
      </c>
      <c r="G1542" s="51" t="s">
        <v>693</v>
      </c>
      <c r="H1542" s="3">
        <v>67971</v>
      </c>
      <c r="I1542" s="3">
        <v>5253</v>
      </c>
      <c r="J1542" s="2" t="s">
        <v>820</v>
      </c>
      <c r="R1542" s="107">
        <v>8.6318400000000004</v>
      </c>
      <c r="S1542" s="6">
        <v>4643.93</v>
      </c>
      <c r="U1542">
        <v>180</v>
      </c>
      <c r="W1542" s="7">
        <v>538</v>
      </c>
    </row>
    <row r="1543" spans="1:23" x14ac:dyDescent="0.35">
      <c r="A1543" s="18">
        <v>8</v>
      </c>
      <c r="B1543" s="18">
        <v>2026</v>
      </c>
      <c r="C1543" s="18" t="s">
        <v>33</v>
      </c>
      <c r="D1543" s="18"/>
      <c r="E1543" s="18" t="s">
        <v>670</v>
      </c>
      <c r="G1543" s="51" t="s">
        <v>693</v>
      </c>
      <c r="H1543" s="3">
        <v>67971</v>
      </c>
      <c r="I1543" s="3">
        <v>5254</v>
      </c>
      <c r="J1543" s="2" t="s">
        <v>821</v>
      </c>
      <c r="R1543" s="107">
        <v>8.9958320000000001</v>
      </c>
      <c r="S1543" s="6">
        <v>4920.72</v>
      </c>
      <c r="U1543">
        <v>180</v>
      </c>
      <c r="W1543" s="7">
        <v>547</v>
      </c>
    </row>
    <row r="1544" spans="1:23" x14ac:dyDescent="0.35">
      <c r="A1544" s="18">
        <v>8</v>
      </c>
      <c r="B1544" s="18">
        <v>2026</v>
      </c>
      <c r="C1544" s="18" t="s">
        <v>33</v>
      </c>
      <c r="D1544" s="18"/>
      <c r="E1544" s="18" t="s">
        <v>670</v>
      </c>
      <c r="G1544" s="51" t="s">
        <v>693</v>
      </c>
      <c r="H1544" s="3">
        <v>67971</v>
      </c>
      <c r="I1544" s="3">
        <v>5258</v>
      </c>
      <c r="J1544" s="2" t="s">
        <v>822</v>
      </c>
      <c r="R1544" s="107">
        <v>8.6318350000000006</v>
      </c>
      <c r="S1544" s="6">
        <v>4704.3500000000004</v>
      </c>
      <c r="U1544">
        <v>180</v>
      </c>
      <c r="W1544" s="7">
        <v>545</v>
      </c>
    </row>
    <row r="1545" spans="1:23" x14ac:dyDescent="0.35">
      <c r="A1545" s="18">
        <v>8</v>
      </c>
      <c r="B1545" s="18">
        <v>2026</v>
      </c>
      <c r="C1545" s="18" t="s">
        <v>33</v>
      </c>
      <c r="D1545" s="18"/>
      <c r="E1545" s="18" t="s">
        <v>670</v>
      </c>
      <c r="G1545" s="51" t="s">
        <v>693</v>
      </c>
      <c r="H1545" s="3">
        <v>67971</v>
      </c>
      <c r="I1545" s="3">
        <v>5259</v>
      </c>
      <c r="J1545" s="2" t="s">
        <v>823</v>
      </c>
      <c r="R1545" s="107">
        <v>9.5678239999999999</v>
      </c>
      <c r="S1545" s="6">
        <v>5099.6499999999996</v>
      </c>
      <c r="U1545">
        <v>180</v>
      </c>
      <c r="W1545" s="7">
        <v>533</v>
      </c>
    </row>
    <row r="1546" spans="1:23" x14ac:dyDescent="0.35">
      <c r="A1546" s="18">
        <v>8</v>
      </c>
      <c r="B1546" s="18">
        <v>2026</v>
      </c>
      <c r="C1546" s="18" t="s">
        <v>33</v>
      </c>
      <c r="D1546" s="18"/>
      <c r="E1546" s="18" t="s">
        <v>670</v>
      </c>
      <c r="G1546" s="51" t="s">
        <v>693</v>
      </c>
      <c r="H1546" s="3">
        <v>67971</v>
      </c>
      <c r="I1546" s="3">
        <v>5260</v>
      </c>
      <c r="J1546" s="2" t="s">
        <v>824</v>
      </c>
      <c r="R1546" s="107">
        <v>8.21584</v>
      </c>
      <c r="S1546" s="6">
        <v>16275.58</v>
      </c>
      <c r="U1546">
        <v>180</v>
      </c>
      <c r="W1546" s="7">
        <v>1981</v>
      </c>
    </row>
    <row r="1547" spans="1:23" x14ac:dyDescent="0.35">
      <c r="A1547" s="18">
        <v>8</v>
      </c>
      <c r="B1547" s="18">
        <v>2026</v>
      </c>
      <c r="C1547" s="18" t="s">
        <v>33</v>
      </c>
      <c r="D1547" s="18"/>
      <c r="E1547" s="18" t="s">
        <v>670</v>
      </c>
      <c r="G1547" s="51" t="s">
        <v>693</v>
      </c>
      <c r="H1547" s="3">
        <v>67971</v>
      </c>
      <c r="I1547" s="3">
        <v>5261</v>
      </c>
      <c r="J1547" s="2" t="s">
        <v>825</v>
      </c>
      <c r="R1547" s="107">
        <v>9.0998260000000002</v>
      </c>
      <c r="S1547" s="6">
        <v>15715.4</v>
      </c>
      <c r="U1547">
        <v>180</v>
      </c>
      <c r="W1547" s="7">
        <v>1727</v>
      </c>
    </row>
    <row r="1548" spans="1:23" x14ac:dyDescent="0.35">
      <c r="A1548" s="18">
        <v>8</v>
      </c>
      <c r="B1548" s="18">
        <v>2026</v>
      </c>
      <c r="C1548" s="18" t="s">
        <v>33</v>
      </c>
      <c r="D1548" s="18"/>
      <c r="E1548" s="18" t="s">
        <v>670</v>
      </c>
      <c r="G1548" s="51" t="s">
        <v>693</v>
      </c>
      <c r="H1548" s="3">
        <v>67971</v>
      </c>
      <c r="I1548" s="3">
        <v>5250</v>
      </c>
      <c r="J1548" s="2" t="s">
        <v>826</v>
      </c>
      <c r="R1548" s="107">
        <v>8.9958320000000001</v>
      </c>
      <c r="S1548" s="6">
        <v>5352.52</v>
      </c>
      <c r="U1548">
        <v>180</v>
      </c>
      <c r="W1548" s="7">
        <v>595</v>
      </c>
    </row>
    <row r="1549" spans="1:23" x14ac:dyDescent="0.35">
      <c r="A1549" s="18">
        <v>8</v>
      </c>
      <c r="B1549" s="18">
        <v>2026</v>
      </c>
      <c r="C1549" s="18" t="s">
        <v>33</v>
      </c>
      <c r="D1549" s="18"/>
      <c r="E1549" s="18" t="s">
        <v>670</v>
      </c>
      <c r="G1549" s="51" t="s">
        <v>693</v>
      </c>
      <c r="H1549" s="3">
        <v>67971</v>
      </c>
      <c r="I1549" s="3">
        <v>4692</v>
      </c>
      <c r="J1549" s="2" t="s">
        <v>685</v>
      </c>
      <c r="R1549" s="107">
        <v>10.035805999999999</v>
      </c>
      <c r="S1549" s="6">
        <v>21105.3</v>
      </c>
      <c r="U1549">
        <v>200</v>
      </c>
      <c r="W1549" s="7">
        <v>2103</v>
      </c>
    </row>
    <row r="1550" spans="1:23" x14ac:dyDescent="0.35">
      <c r="A1550" s="18">
        <v>8</v>
      </c>
      <c r="B1550" s="18">
        <v>2026</v>
      </c>
      <c r="C1550" s="18" t="s">
        <v>33</v>
      </c>
      <c r="D1550" s="18"/>
      <c r="E1550" s="18" t="s">
        <v>670</v>
      </c>
      <c r="G1550" s="51" t="s">
        <v>693</v>
      </c>
      <c r="H1550" s="3">
        <v>67971</v>
      </c>
      <c r="I1550" s="3">
        <v>697</v>
      </c>
      <c r="J1550" s="2" t="s">
        <v>827</v>
      </c>
      <c r="R1550" s="107">
        <v>9.5678190000000001</v>
      </c>
      <c r="S1550" s="6">
        <v>4870.0200000000004</v>
      </c>
      <c r="U1550">
        <v>380</v>
      </c>
      <c r="W1550" s="7">
        <v>509</v>
      </c>
    </row>
    <row r="1551" spans="1:23" x14ac:dyDescent="0.35">
      <c r="A1551" s="18">
        <v>8</v>
      </c>
      <c r="B1551" s="18">
        <v>2026</v>
      </c>
      <c r="C1551" s="18" t="s">
        <v>33</v>
      </c>
      <c r="D1551" s="18"/>
      <c r="E1551" s="18" t="s">
        <v>670</v>
      </c>
      <c r="G1551" s="51" t="s">
        <v>693</v>
      </c>
      <c r="H1551" s="3">
        <v>67971</v>
      </c>
      <c r="I1551" s="3">
        <v>1077</v>
      </c>
      <c r="J1551" s="2" t="s">
        <v>828</v>
      </c>
      <c r="R1551" s="107">
        <v>8.9958349999999996</v>
      </c>
      <c r="S1551" s="6">
        <v>5118.63</v>
      </c>
      <c r="U1551">
        <v>260</v>
      </c>
      <c r="W1551" s="7">
        <v>569</v>
      </c>
    </row>
    <row r="1552" spans="1:23" x14ac:dyDescent="0.35">
      <c r="A1552" s="18">
        <v>8</v>
      </c>
      <c r="B1552" s="18">
        <v>2026</v>
      </c>
      <c r="C1552" s="18" t="s">
        <v>33</v>
      </c>
      <c r="D1552" s="18"/>
      <c r="E1552" s="18" t="s">
        <v>670</v>
      </c>
      <c r="G1552" s="51" t="s">
        <v>693</v>
      </c>
      <c r="H1552" s="3">
        <v>67971</v>
      </c>
      <c r="I1552" s="3">
        <v>1757</v>
      </c>
      <c r="J1552" s="2" t="s">
        <v>296</v>
      </c>
      <c r="R1552" s="107">
        <v>8.9958189999999991</v>
      </c>
      <c r="S1552" s="6">
        <v>4560.88</v>
      </c>
      <c r="U1552">
        <v>350</v>
      </c>
      <c r="W1552" s="7">
        <v>507</v>
      </c>
    </row>
    <row r="1553" spans="1:23" x14ac:dyDescent="0.35">
      <c r="A1553" s="18">
        <v>8</v>
      </c>
      <c r="B1553" s="18">
        <v>2026</v>
      </c>
      <c r="C1553" s="18" t="s">
        <v>33</v>
      </c>
      <c r="D1553" s="18"/>
      <c r="E1553" s="18" t="s">
        <v>670</v>
      </c>
      <c r="G1553" s="51" t="s">
        <v>693</v>
      </c>
      <c r="H1553" s="3">
        <v>67971</v>
      </c>
      <c r="I1553" s="3">
        <v>1759</v>
      </c>
      <c r="J1553" s="2" t="s">
        <v>301</v>
      </c>
      <c r="R1553" s="107">
        <v>9.1518200000000007</v>
      </c>
      <c r="S1553" s="6">
        <v>4173.2299999999996</v>
      </c>
      <c r="U1553">
        <v>280</v>
      </c>
      <c r="W1553" s="7">
        <v>456</v>
      </c>
    </row>
    <row r="1554" spans="1:23" x14ac:dyDescent="0.35">
      <c r="A1554" s="18">
        <v>8</v>
      </c>
      <c r="B1554" s="18">
        <v>2026</v>
      </c>
      <c r="C1554" s="18" t="s">
        <v>33</v>
      </c>
      <c r="D1554" s="18"/>
      <c r="E1554" s="18" t="s">
        <v>670</v>
      </c>
      <c r="G1554" s="51" t="s">
        <v>693</v>
      </c>
      <c r="H1554" s="3">
        <v>67971</v>
      </c>
      <c r="I1554" s="3">
        <v>1761</v>
      </c>
      <c r="J1554" s="2" t="s">
        <v>305</v>
      </c>
      <c r="R1554" s="107">
        <v>9.1518180000000005</v>
      </c>
      <c r="S1554" s="6">
        <v>4932.83</v>
      </c>
      <c r="U1554">
        <v>280</v>
      </c>
      <c r="W1554" s="7">
        <v>539</v>
      </c>
    </row>
    <row r="1555" spans="1:23" x14ac:dyDescent="0.35">
      <c r="A1555" s="18">
        <v>8</v>
      </c>
      <c r="B1555" s="18">
        <v>2026</v>
      </c>
      <c r="C1555" s="18" t="s">
        <v>33</v>
      </c>
      <c r="D1555" s="18"/>
      <c r="E1555" s="18" t="s">
        <v>670</v>
      </c>
      <c r="G1555" s="51" t="s">
        <v>693</v>
      </c>
      <c r="H1555" s="3">
        <v>67971</v>
      </c>
      <c r="I1555" s="3">
        <v>1920</v>
      </c>
      <c r="J1555" s="2" t="s">
        <v>829</v>
      </c>
      <c r="R1555" s="107">
        <v>8.9958369999999999</v>
      </c>
      <c r="S1555" s="6">
        <v>4515.91</v>
      </c>
      <c r="U1555">
        <v>230</v>
      </c>
      <c r="W1555" s="7">
        <v>502</v>
      </c>
    </row>
    <row r="1556" spans="1:23" x14ac:dyDescent="0.35">
      <c r="A1556" s="18">
        <v>8</v>
      </c>
      <c r="B1556" s="18">
        <v>2026</v>
      </c>
      <c r="C1556" s="18" t="s">
        <v>33</v>
      </c>
      <c r="D1556" s="18"/>
      <c r="E1556" s="18" t="s">
        <v>670</v>
      </c>
      <c r="G1556" s="51" t="s">
        <v>693</v>
      </c>
      <c r="H1556" s="3">
        <v>67971</v>
      </c>
      <c r="I1556" s="3">
        <v>3542</v>
      </c>
      <c r="J1556" s="2" t="s">
        <v>830</v>
      </c>
      <c r="R1556" s="107">
        <v>9.1518200000000007</v>
      </c>
      <c r="S1556" s="6">
        <v>4575.91</v>
      </c>
      <c r="U1556">
        <v>220</v>
      </c>
      <c r="W1556" s="7">
        <v>500</v>
      </c>
    </row>
    <row r="1557" spans="1:23" x14ac:dyDescent="0.35">
      <c r="A1557" s="18">
        <v>8</v>
      </c>
      <c r="B1557" s="18">
        <v>2026</v>
      </c>
      <c r="C1557" s="18" t="s">
        <v>33</v>
      </c>
      <c r="D1557" s="18"/>
      <c r="E1557" s="18" t="s">
        <v>670</v>
      </c>
      <c r="G1557" s="51" t="s">
        <v>693</v>
      </c>
      <c r="H1557" s="3">
        <v>67971</v>
      </c>
      <c r="I1557" s="3">
        <v>5238</v>
      </c>
      <c r="J1557" s="2" t="s">
        <v>831</v>
      </c>
      <c r="R1557" s="107">
        <v>8.9958229999999997</v>
      </c>
      <c r="S1557" s="6">
        <v>4974.6899999999996</v>
      </c>
      <c r="U1557">
        <v>180</v>
      </c>
      <c r="W1557" s="7">
        <v>553</v>
      </c>
    </row>
    <row r="1558" spans="1:23" x14ac:dyDescent="0.35">
      <c r="A1558" s="18">
        <v>8</v>
      </c>
      <c r="B1558" s="18">
        <v>2026</v>
      </c>
      <c r="C1558" s="18" t="s">
        <v>33</v>
      </c>
      <c r="D1558" s="18"/>
      <c r="E1558" s="18" t="s">
        <v>670</v>
      </c>
      <c r="G1558" s="51" t="s">
        <v>693</v>
      </c>
      <c r="H1558" s="3">
        <v>67971</v>
      </c>
      <c r="I1558" s="3">
        <v>4695</v>
      </c>
      <c r="J1558" s="2" t="s">
        <v>695</v>
      </c>
      <c r="R1558" s="107">
        <v>8.8918300000000006</v>
      </c>
      <c r="S1558" s="6">
        <v>15205.03</v>
      </c>
      <c r="U1558">
        <v>180</v>
      </c>
      <c r="W1558" s="7">
        <v>1710</v>
      </c>
    </row>
    <row r="1559" spans="1:23" x14ac:dyDescent="0.35">
      <c r="A1559" s="18">
        <v>8</v>
      </c>
      <c r="B1559" s="18">
        <v>2026</v>
      </c>
      <c r="C1559" s="18" t="s">
        <v>33</v>
      </c>
      <c r="D1559" s="18"/>
      <c r="E1559" s="18" t="s">
        <v>670</v>
      </c>
      <c r="G1559" s="51" t="s">
        <v>693</v>
      </c>
      <c r="H1559" s="3">
        <v>67971</v>
      </c>
      <c r="I1559" s="3">
        <v>5232</v>
      </c>
      <c r="J1559" s="2" t="s">
        <v>832</v>
      </c>
      <c r="R1559" s="107">
        <v>9.5678160000000005</v>
      </c>
      <c r="S1559" s="6">
        <v>5826.8</v>
      </c>
      <c r="U1559">
        <v>180</v>
      </c>
      <c r="W1559" s="7">
        <v>609</v>
      </c>
    </row>
    <row r="1560" spans="1:23" x14ac:dyDescent="0.35">
      <c r="A1560" s="18">
        <v>8</v>
      </c>
      <c r="B1560" s="18">
        <v>2026</v>
      </c>
      <c r="C1560" s="18" t="s">
        <v>33</v>
      </c>
      <c r="D1560" s="18"/>
      <c r="E1560" s="18" t="s">
        <v>670</v>
      </c>
      <c r="G1560" s="51" t="s">
        <v>693</v>
      </c>
      <c r="H1560" s="3">
        <v>67971</v>
      </c>
      <c r="I1560" s="3">
        <v>5233</v>
      </c>
      <c r="J1560" s="2" t="s">
        <v>833</v>
      </c>
      <c r="R1560" s="107">
        <v>8.6318389999999994</v>
      </c>
      <c r="S1560" s="6">
        <v>5161.84</v>
      </c>
      <c r="U1560">
        <v>180</v>
      </c>
      <c r="W1560" s="7">
        <v>598</v>
      </c>
    </row>
    <row r="1561" spans="1:23" x14ac:dyDescent="0.35">
      <c r="A1561" s="18">
        <v>8</v>
      </c>
      <c r="B1561" s="18">
        <v>2026</v>
      </c>
      <c r="C1561" s="18" t="s">
        <v>33</v>
      </c>
      <c r="D1561" s="18"/>
      <c r="E1561" s="18" t="s">
        <v>670</v>
      </c>
      <c r="G1561" s="51" t="s">
        <v>693</v>
      </c>
      <c r="H1561" s="3">
        <v>67971</v>
      </c>
      <c r="I1561" s="3">
        <v>5234</v>
      </c>
      <c r="J1561" s="2" t="s">
        <v>834</v>
      </c>
      <c r="R1561" s="107">
        <v>8.9958170000000006</v>
      </c>
      <c r="S1561" s="6">
        <v>4237.03</v>
      </c>
      <c r="U1561">
        <v>180</v>
      </c>
      <c r="W1561" s="7">
        <v>471</v>
      </c>
    </row>
    <row r="1562" spans="1:23" x14ac:dyDescent="0.35">
      <c r="A1562" s="18">
        <v>8</v>
      </c>
      <c r="B1562" s="18">
        <v>2026</v>
      </c>
      <c r="C1562" s="18" t="s">
        <v>33</v>
      </c>
      <c r="D1562" s="18"/>
      <c r="E1562" s="18" t="s">
        <v>670</v>
      </c>
      <c r="G1562" s="51" t="s">
        <v>693</v>
      </c>
      <c r="H1562" s="3">
        <v>67971</v>
      </c>
      <c r="I1562" s="3">
        <v>5235</v>
      </c>
      <c r="J1562" s="2" t="s">
        <v>835</v>
      </c>
      <c r="R1562" s="107">
        <v>9.1518239999999995</v>
      </c>
      <c r="S1562" s="6">
        <v>4264.75</v>
      </c>
      <c r="U1562">
        <v>180</v>
      </c>
      <c r="W1562" s="7">
        <v>466</v>
      </c>
    </row>
    <row r="1563" spans="1:23" x14ac:dyDescent="0.35">
      <c r="A1563" s="18">
        <v>8</v>
      </c>
      <c r="B1563" s="18">
        <v>2026</v>
      </c>
      <c r="C1563" s="18" t="s">
        <v>33</v>
      </c>
      <c r="D1563" s="18"/>
      <c r="E1563" s="18" t="s">
        <v>670</v>
      </c>
      <c r="G1563" s="51" t="s">
        <v>693</v>
      </c>
      <c r="H1563" s="3">
        <v>67971</v>
      </c>
      <c r="I1563" s="3">
        <v>5236</v>
      </c>
      <c r="J1563" s="2" t="s">
        <v>836</v>
      </c>
      <c r="R1563" s="107">
        <v>9.5678070000000002</v>
      </c>
      <c r="S1563" s="6">
        <v>5367.54</v>
      </c>
      <c r="U1563">
        <v>180</v>
      </c>
      <c r="W1563" s="7">
        <v>561</v>
      </c>
    </row>
    <row r="1564" spans="1:23" x14ac:dyDescent="0.35">
      <c r="A1564" s="18">
        <v>8</v>
      </c>
      <c r="B1564" s="18">
        <v>2026</v>
      </c>
      <c r="C1564" s="18" t="s">
        <v>33</v>
      </c>
      <c r="D1564" s="18"/>
      <c r="E1564" s="18" t="s">
        <v>670</v>
      </c>
      <c r="G1564" s="51" t="s">
        <v>693</v>
      </c>
      <c r="H1564" s="3">
        <v>67971</v>
      </c>
      <c r="I1564" s="3">
        <v>5237</v>
      </c>
      <c r="J1564" s="2" t="s">
        <v>837</v>
      </c>
      <c r="R1564" s="107">
        <v>8.6318289999999998</v>
      </c>
      <c r="S1564" s="6">
        <v>4954.67</v>
      </c>
      <c r="U1564">
        <v>180</v>
      </c>
      <c r="W1564" s="7">
        <v>574</v>
      </c>
    </row>
    <row r="1565" spans="1:23" x14ac:dyDescent="0.35">
      <c r="A1565" s="18">
        <v>8</v>
      </c>
      <c r="B1565" s="18">
        <v>2026</v>
      </c>
      <c r="C1565" s="18" t="s">
        <v>33</v>
      </c>
      <c r="D1565" s="18"/>
      <c r="E1565" s="18" t="s">
        <v>492</v>
      </c>
      <c r="G1565" s="51" t="s">
        <v>82</v>
      </c>
      <c r="H1565" s="3">
        <v>67972</v>
      </c>
      <c r="I1565" s="3">
        <v>5328</v>
      </c>
      <c r="J1565" s="2" t="s">
        <v>838</v>
      </c>
      <c r="R1565" s="107">
        <v>12.895762</v>
      </c>
      <c r="S1565" s="6">
        <v>4990.66</v>
      </c>
      <c r="U1565">
        <v>300</v>
      </c>
      <c r="W1565" s="7">
        <v>387</v>
      </c>
    </row>
    <row r="1566" spans="1:23" x14ac:dyDescent="0.35">
      <c r="A1566" s="18">
        <v>8</v>
      </c>
      <c r="B1566" s="18">
        <v>2026</v>
      </c>
      <c r="C1566" s="18" t="s">
        <v>33</v>
      </c>
      <c r="D1566" s="18"/>
      <c r="E1566" s="18" t="s">
        <v>492</v>
      </c>
      <c r="G1566" s="51" t="s">
        <v>82</v>
      </c>
      <c r="H1566" s="3">
        <v>67972</v>
      </c>
      <c r="I1566" s="3">
        <v>5300</v>
      </c>
      <c r="J1566" s="2" t="s">
        <v>839</v>
      </c>
      <c r="R1566" s="107">
        <v>23.347577999999999</v>
      </c>
      <c r="S1566" s="6">
        <v>2988.49</v>
      </c>
      <c r="U1566">
        <v>420</v>
      </c>
      <c r="W1566" s="7">
        <v>128</v>
      </c>
    </row>
    <row r="1567" spans="1:23" x14ac:dyDescent="0.35">
      <c r="A1567" s="18">
        <v>8</v>
      </c>
      <c r="B1567" s="18">
        <v>2026</v>
      </c>
      <c r="C1567" s="18" t="s">
        <v>33</v>
      </c>
      <c r="D1567" s="18"/>
      <c r="E1567" s="18" t="s">
        <v>492</v>
      </c>
      <c r="G1567" s="51" t="s">
        <v>82</v>
      </c>
      <c r="H1567" s="3">
        <v>67972</v>
      </c>
      <c r="I1567" s="3">
        <v>5299</v>
      </c>
      <c r="J1567" s="2" t="s">
        <v>840</v>
      </c>
      <c r="R1567" s="107">
        <v>23.971537999999999</v>
      </c>
      <c r="S1567" s="6">
        <v>3116.3</v>
      </c>
      <c r="U1567">
        <v>420</v>
      </c>
      <c r="W1567" s="7">
        <v>130</v>
      </c>
    </row>
    <row r="1568" spans="1:23" x14ac:dyDescent="0.35">
      <c r="A1568" s="18">
        <v>8</v>
      </c>
      <c r="B1568" s="18">
        <v>2026</v>
      </c>
      <c r="C1568" s="18" t="s">
        <v>33</v>
      </c>
      <c r="D1568" s="18"/>
      <c r="E1568" s="18" t="s">
        <v>492</v>
      </c>
      <c r="G1568" s="51" t="s">
        <v>82</v>
      </c>
      <c r="H1568" s="3">
        <v>67972</v>
      </c>
      <c r="I1568" s="3">
        <v>5298</v>
      </c>
      <c r="J1568" s="2" t="s">
        <v>841</v>
      </c>
      <c r="R1568" s="107">
        <v>23.659528000000002</v>
      </c>
      <c r="S1568" s="6">
        <v>3004.76</v>
      </c>
      <c r="U1568">
        <v>420</v>
      </c>
      <c r="W1568" s="7">
        <v>127</v>
      </c>
    </row>
    <row r="1569" spans="1:23" x14ac:dyDescent="0.35">
      <c r="A1569" s="18">
        <v>8</v>
      </c>
      <c r="B1569" s="18">
        <v>2026</v>
      </c>
      <c r="C1569" s="18" t="s">
        <v>33</v>
      </c>
      <c r="D1569" s="18"/>
      <c r="E1569" s="18" t="s">
        <v>492</v>
      </c>
      <c r="G1569" s="51" t="s">
        <v>82</v>
      </c>
      <c r="H1569" s="3">
        <v>67972</v>
      </c>
      <c r="I1569" s="3">
        <v>3467</v>
      </c>
      <c r="J1569" s="2" t="s">
        <v>493</v>
      </c>
      <c r="R1569" s="107">
        <v>8.8918320000000008</v>
      </c>
      <c r="S1569" s="6">
        <v>5290.64</v>
      </c>
      <c r="U1569">
        <v>160</v>
      </c>
      <c r="W1569" s="7">
        <v>595</v>
      </c>
    </row>
    <row r="1570" spans="1:23" s="16" customFormat="1" x14ac:dyDescent="0.35">
      <c r="A1570" s="16">
        <v>9</v>
      </c>
      <c r="B1570" s="16">
        <v>2026</v>
      </c>
      <c r="C1570" s="16" t="s">
        <v>33</v>
      </c>
      <c r="E1570" s="16" t="s">
        <v>854</v>
      </c>
      <c r="F1570" s="32"/>
      <c r="G1570" s="50" t="s">
        <v>50</v>
      </c>
      <c r="H1570" s="32">
        <v>68022</v>
      </c>
      <c r="I1570" s="145">
        <v>5305</v>
      </c>
      <c r="J1570" s="50" t="s">
        <v>810</v>
      </c>
      <c r="R1570" s="17">
        <v>9.0237010000000009</v>
      </c>
      <c r="S1570" s="17">
        <v>25500.98</v>
      </c>
      <c r="U1570" s="16">
        <v>180</v>
      </c>
      <c r="W1570" s="16">
        <v>2826</v>
      </c>
    </row>
    <row r="1571" spans="1:23" x14ac:dyDescent="0.35">
      <c r="A1571" s="18">
        <v>9</v>
      </c>
      <c r="B1571" s="18">
        <v>2026</v>
      </c>
      <c r="C1571" s="18" t="s">
        <v>33</v>
      </c>
      <c r="D1571" s="18"/>
      <c r="E1571" s="18" t="s">
        <v>854</v>
      </c>
      <c r="G1571" s="51" t="s">
        <v>50</v>
      </c>
      <c r="H1571" s="3">
        <v>68022</v>
      </c>
      <c r="I1571" s="145">
        <v>5306</v>
      </c>
      <c r="J1571" s="2" t="s">
        <v>809</v>
      </c>
      <c r="R1571" s="6">
        <v>9.0237010000000009</v>
      </c>
      <c r="S1571" s="6">
        <v>23506.74</v>
      </c>
      <c r="U1571">
        <v>180</v>
      </c>
      <c r="W1571">
        <v>2605</v>
      </c>
    </row>
    <row r="1572" spans="1:23" x14ac:dyDescent="0.35">
      <c r="A1572" s="18">
        <v>9</v>
      </c>
      <c r="B1572" s="18">
        <v>2026</v>
      </c>
      <c r="C1572" s="18" t="s">
        <v>33</v>
      </c>
      <c r="D1572" s="18"/>
      <c r="E1572" t="s">
        <v>862</v>
      </c>
      <c r="G1572" s="51" t="s">
        <v>37</v>
      </c>
      <c r="H1572" s="3">
        <v>68032</v>
      </c>
      <c r="I1572" s="145">
        <v>2209</v>
      </c>
      <c r="J1572" s="2" t="s">
        <v>348</v>
      </c>
      <c r="R1572" s="6">
        <v>9.990653</v>
      </c>
      <c r="S1572" s="6">
        <v>12248.54</v>
      </c>
      <c r="U1572">
        <v>200</v>
      </c>
      <c r="W1572">
        <v>1226</v>
      </c>
    </row>
    <row r="1573" spans="1:23" x14ac:dyDescent="0.35">
      <c r="A1573">
        <v>9</v>
      </c>
      <c r="B1573">
        <v>2026</v>
      </c>
      <c r="C1573" t="s">
        <v>33</v>
      </c>
      <c r="D1573" s="18"/>
      <c r="E1573" t="s">
        <v>862</v>
      </c>
      <c r="G1573" s="51" t="s">
        <v>37</v>
      </c>
      <c r="H1573" s="3">
        <v>68032</v>
      </c>
      <c r="I1573" s="145">
        <v>5057</v>
      </c>
      <c r="J1573" s="2" t="s">
        <v>791</v>
      </c>
      <c r="R1573" s="6">
        <v>8.5080620000000007</v>
      </c>
      <c r="S1573" s="6">
        <v>8516.57</v>
      </c>
      <c r="U1573">
        <v>180</v>
      </c>
      <c r="W1573">
        <v>1001</v>
      </c>
    </row>
    <row r="1574" spans="1:23" x14ac:dyDescent="0.35">
      <c r="A1574">
        <v>9</v>
      </c>
      <c r="B1574">
        <v>2026</v>
      </c>
      <c r="C1574" t="s">
        <v>33</v>
      </c>
      <c r="D1574" s="18"/>
      <c r="E1574" t="s">
        <v>862</v>
      </c>
      <c r="G1574" s="51" t="s">
        <v>37</v>
      </c>
      <c r="H1574" s="3">
        <v>68032</v>
      </c>
      <c r="I1574" s="145">
        <v>5218</v>
      </c>
      <c r="J1574" s="2" t="s">
        <v>792</v>
      </c>
      <c r="R1574" s="6">
        <v>8.8174460000000003</v>
      </c>
      <c r="S1574" s="6">
        <v>9355.31</v>
      </c>
      <c r="U1574">
        <v>180</v>
      </c>
      <c r="W1574">
        <v>1061</v>
      </c>
    </row>
    <row r="1575" spans="1:23" x14ac:dyDescent="0.35">
      <c r="A1575">
        <v>9</v>
      </c>
      <c r="B1575">
        <v>2026</v>
      </c>
      <c r="C1575" t="s">
        <v>33</v>
      </c>
      <c r="D1575" s="18"/>
      <c r="E1575" t="s">
        <v>862</v>
      </c>
      <c r="G1575" s="51" t="s">
        <v>37</v>
      </c>
      <c r="H1575" s="3">
        <v>68023</v>
      </c>
      <c r="I1575" s="145">
        <v>2209</v>
      </c>
      <c r="J1575" s="2" t="s">
        <v>348</v>
      </c>
      <c r="R1575" s="6">
        <v>9.8064359999999997</v>
      </c>
      <c r="S1575" s="6">
        <v>12022.69</v>
      </c>
      <c r="U1575">
        <v>200</v>
      </c>
      <c r="W1575">
        <v>1226</v>
      </c>
    </row>
    <row r="1576" spans="1:23" x14ac:dyDescent="0.35">
      <c r="A1576">
        <v>9</v>
      </c>
      <c r="B1576">
        <v>2026</v>
      </c>
      <c r="C1576" t="s">
        <v>33</v>
      </c>
      <c r="D1576" s="18"/>
      <c r="E1576" t="s">
        <v>862</v>
      </c>
      <c r="G1576" s="51" t="s">
        <v>37</v>
      </c>
      <c r="H1576" s="3">
        <v>68023</v>
      </c>
      <c r="I1576" s="145">
        <v>5057</v>
      </c>
      <c r="J1576" s="2" t="s">
        <v>791</v>
      </c>
      <c r="R1576" s="6">
        <v>8.3405190000000005</v>
      </c>
      <c r="S1576" s="6">
        <v>8348.86</v>
      </c>
      <c r="U1576">
        <v>180</v>
      </c>
      <c r="W1576">
        <v>1001</v>
      </c>
    </row>
    <row r="1577" spans="1:23" x14ac:dyDescent="0.35">
      <c r="A1577">
        <v>9</v>
      </c>
      <c r="B1577">
        <v>2026</v>
      </c>
      <c r="C1577" t="s">
        <v>33</v>
      </c>
      <c r="D1577" s="18"/>
      <c r="E1577" t="s">
        <v>862</v>
      </c>
      <c r="G1577" s="51" t="s">
        <v>37</v>
      </c>
      <c r="H1577" s="3">
        <v>68023</v>
      </c>
      <c r="I1577" s="145">
        <v>5218</v>
      </c>
      <c r="J1577" s="2" t="s">
        <v>792</v>
      </c>
      <c r="R1577" s="6">
        <v>8.6438170000000003</v>
      </c>
      <c r="S1577" s="6">
        <v>9171.09</v>
      </c>
      <c r="U1577">
        <v>180</v>
      </c>
      <c r="W1577">
        <v>1061</v>
      </c>
    </row>
    <row r="1578" spans="1:23" x14ac:dyDescent="0.35">
      <c r="A1578">
        <v>9</v>
      </c>
      <c r="B1578">
        <v>2026</v>
      </c>
      <c r="C1578" t="s">
        <v>33</v>
      </c>
      <c r="D1578" s="18"/>
      <c r="E1578" s="18" t="s">
        <v>738</v>
      </c>
      <c r="G1578" s="51" t="s">
        <v>513</v>
      </c>
      <c r="H1578" s="3">
        <v>68036</v>
      </c>
      <c r="I1578" s="145">
        <v>5168</v>
      </c>
      <c r="J1578" s="2" t="s">
        <v>787</v>
      </c>
      <c r="R1578" s="6">
        <v>30.196262999999998</v>
      </c>
      <c r="S1578" s="6">
        <v>46381.46</v>
      </c>
      <c r="U1578">
        <v>400</v>
      </c>
      <c r="W1578">
        <v>1536</v>
      </c>
    </row>
    <row r="1579" spans="1:23" x14ac:dyDescent="0.35">
      <c r="A1579">
        <v>9</v>
      </c>
      <c r="B1579">
        <v>2026</v>
      </c>
      <c r="C1579" t="s">
        <v>33</v>
      </c>
      <c r="D1579" s="18"/>
      <c r="E1579" s="18" t="s">
        <v>738</v>
      </c>
      <c r="G1579" s="51" t="s">
        <v>513</v>
      </c>
      <c r="H1579" s="3">
        <v>68057</v>
      </c>
      <c r="I1579" s="145">
        <v>4921</v>
      </c>
      <c r="J1579" s="2" t="s">
        <v>741</v>
      </c>
      <c r="R1579" s="6">
        <v>7.0056520000000004</v>
      </c>
      <c r="S1579" s="6">
        <v>34621.93</v>
      </c>
      <c r="U1579">
        <v>180</v>
      </c>
      <c r="W1579">
        <v>4942</v>
      </c>
    </row>
    <row r="1580" spans="1:23" x14ac:dyDescent="0.35">
      <c r="A1580">
        <v>9</v>
      </c>
      <c r="B1580">
        <v>2026</v>
      </c>
      <c r="C1580" t="s">
        <v>33</v>
      </c>
      <c r="D1580" s="18"/>
      <c r="E1580" s="18" t="s">
        <v>738</v>
      </c>
      <c r="G1580" s="51" t="s">
        <v>513</v>
      </c>
      <c r="H1580" s="3">
        <v>68057</v>
      </c>
      <c r="I1580" s="145">
        <v>5168</v>
      </c>
      <c r="J1580" s="2" t="s">
        <v>787</v>
      </c>
      <c r="R1580" s="6">
        <v>28.076388000000001</v>
      </c>
      <c r="S1580" s="6">
        <v>88300.24</v>
      </c>
      <c r="U1580">
        <v>400</v>
      </c>
      <c r="W1580">
        <v>3145</v>
      </c>
    </row>
    <row r="1581" spans="1:23" x14ac:dyDescent="0.35">
      <c r="A1581">
        <v>9</v>
      </c>
      <c r="B1581">
        <v>2026</v>
      </c>
      <c r="C1581" t="s">
        <v>33</v>
      </c>
      <c r="D1581" s="18"/>
      <c r="E1581" s="18" t="s">
        <v>738</v>
      </c>
      <c r="G1581" s="51" t="s">
        <v>513</v>
      </c>
      <c r="H1581" s="3">
        <v>68057</v>
      </c>
      <c r="I1581" s="145">
        <v>4922</v>
      </c>
      <c r="J1581" s="2" t="s">
        <v>740</v>
      </c>
      <c r="R1581" s="6">
        <v>32.741684999999997</v>
      </c>
      <c r="S1581" s="6">
        <v>72097.19</v>
      </c>
      <c r="U1581">
        <v>380</v>
      </c>
      <c r="W1581">
        <v>2202</v>
      </c>
    </row>
    <row r="1582" spans="1:23" x14ac:dyDescent="0.35">
      <c r="A1582">
        <v>9</v>
      </c>
      <c r="B1582">
        <v>2026</v>
      </c>
      <c r="C1582" t="s">
        <v>33</v>
      </c>
      <c r="D1582" s="18"/>
      <c r="E1582" s="18" t="s">
        <v>738</v>
      </c>
      <c r="G1582" s="51" t="s">
        <v>513</v>
      </c>
      <c r="H1582" s="3">
        <v>68057</v>
      </c>
      <c r="I1582" s="145">
        <v>4919</v>
      </c>
      <c r="J1582" s="2" t="s">
        <v>739</v>
      </c>
      <c r="R1582" s="6">
        <v>15.003302</v>
      </c>
      <c r="S1582" s="6">
        <v>25400.59</v>
      </c>
      <c r="U1582">
        <v>240</v>
      </c>
      <c r="W1582">
        <v>1693</v>
      </c>
    </row>
    <row r="1583" spans="1:23" x14ac:dyDescent="0.35">
      <c r="A1583">
        <v>9</v>
      </c>
      <c r="B1583">
        <v>2026</v>
      </c>
      <c r="C1583" t="s">
        <v>33</v>
      </c>
      <c r="D1583" s="18"/>
      <c r="E1583" s="18" t="s">
        <v>738</v>
      </c>
      <c r="G1583" s="51" t="s">
        <v>513</v>
      </c>
      <c r="H1583" s="3">
        <v>68057</v>
      </c>
      <c r="I1583" s="145">
        <v>4920</v>
      </c>
      <c r="J1583" s="2" t="s">
        <v>742</v>
      </c>
      <c r="R1583" s="6">
        <v>8.9025300000000005</v>
      </c>
      <c r="S1583" s="6">
        <v>68763.14</v>
      </c>
      <c r="U1583">
        <v>220</v>
      </c>
      <c r="W1583">
        <v>7724</v>
      </c>
    </row>
    <row r="1584" spans="1:23" x14ac:dyDescent="0.35">
      <c r="A1584">
        <v>9</v>
      </c>
      <c r="B1584">
        <v>2026</v>
      </c>
      <c r="C1584" t="s">
        <v>33</v>
      </c>
      <c r="D1584" s="18"/>
      <c r="E1584" s="18" t="s">
        <v>738</v>
      </c>
      <c r="G1584" s="51" t="s">
        <v>513</v>
      </c>
      <c r="H1584" s="3">
        <v>68057</v>
      </c>
      <c r="I1584" s="145">
        <v>4917</v>
      </c>
      <c r="J1584" s="2" t="s">
        <v>744</v>
      </c>
      <c r="R1584" s="6">
        <v>14.3881</v>
      </c>
      <c r="S1584" s="6">
        <v>28545.99</v>
      </c>
      <c r="U1584">
        <v>280</v>
      </c>
      <c r="W1584">
        <v>1984</v>
      </c>
    </row>
    <row r="1585" spans="1:23" x14ac:dyDescent="0.35">
      <c r="A1585">
        <v>9</v>
      </c>
      <c r="B1585">
        <v>2026</v>
      </c>
      <c r="C1585" t="s">
        <v>33</v>
      </c>
      <c r="D1585" s="18"/>
      <c r="E1585" s="18" t="s">
        <v>738</v>
      </c>
      <c r="G1585" s="51" t="s">
        <v>513</v>
      </c>
      <c r="H1585" s="3">
        <v>68057</v>
      </c>
      <c r="I1585" s="145">
        <v>4916</v>
      </c>
      <c r="J1585" s="2" t="s">
        <v>745</v>
      </c>
      <c r="R1585" s="6">
        <v>13.516560999999999</v>
      </c>
      <c r="S1585" s="6">
        <v>41549.910000000003</v>
      </c>
      <c r="U1585">
        <v>280</v>
      </c>
      <c r="W1585">
        <v>3074</v>
      </c>
    </row>
    <row r="1586" spans="1:23" x14ac:dyDescent="0.35">
      <c r="A1586">
        <v>9</v>
      </c>
      <c r="B1586">
        <v>2026</v>
      </c>
      <c r="C1586" t="s">
        <v>33</v>
      </c>
      <c r="D1586" s="18"/>
      <c r="E1586" s="18" t="s">
        <v>492</v>
      </c>
      <c r="G1586" s="51" t="s">
        <v>82</v>
      </c>
      <c r="H1586" s="3">
        <v>68064</v>
      </c>
      <c r="I1586" s="145">
        <v>3467</v>
      </c>
      <c r="J1586" s="2" t="s">
        <v>493</v>
      </c>
      <c r="R1586" s="6">
        <v>8.8918320000000008</v>
      </c>
      <c r="S1586" s="6">
        <v>5290.64</v>
      </c>
      <c r="U1586">
        <v>160</v>
      </c>
      <c r="W1586">
        <v>595</v>
      </c>
    </row>
    <row r="1587" spans="1:23" x14ac:dyDescent="0.35">
      <c r="A1587">
        <v>9</v>
      </c>
      <c r="B1587">
        <v>2026</v>
      </c>
      <c r="C1587" t="s">
        <v>33</v>
      </c>
      <c r="D1587" s="18"/>
      <c r="E1587" s="18" t="s">
        <v>492</v>
      </c>
      <c r="G1587" s="51" t="s">
        <v>82</v>
      </c>
      <c r="H1587" s="3">
        <v>68064</v>
      </c>
      <c r="I1587" s="145">
        <v>5298</v>
      </c>
      <c r="J1587" s="2" t="s">
        <v>841</v>
      </c>
      <c r="R1587" s="6">
        <v>23.659528000000002</v>
      </c>
      <c r="S1587" s="6">
        <v>3004.76</v>
      </c>
      <c r="U1587">
        <v>420</v>
      </c>
      <c r="W1587">
        <v>127</v>
      </c>
    </row>
    <row r="1588" spans="1:23" x14ac:dyDescent="0.35">
      <c r="A1588">
        <v>9</v>
      </c>
      <c r="B1588">
        <v>2026</v>
      </c>
      <c r="C1588" t="s">
        <v>33</v>
      </c>
      <c r="D1588" s="18"/>
      <c r="E1588" s="18" t="s">
        <v>492</v>
      </c>
      <c r="G1588" s="51" t="s">
        <v>82</v>
      </c>
      <c r="H1588" s="3">
        <v>68064</v>
      </c>
      <c r="I1588" s="145">
        <v>5299</v>
      </c>
      <c r="J1588" s="2" t="s">
        <v>840</v>
      </c>
      <c r="R1588" s="6">
        <v>23.971537999999999</v>
      </c>
      <c r="S1588" s="6">
        <v>3116.3</v>
      </c>
      <c r="U1588">
        <v>420</v>
      </c>
      <c r="W1588">
        <v>130</v>
      </c>
    </row>
    <row r="1589" spans="1:23" x14ac:dyDescent="0.35">
      <c r="A1589">
        <v>9</v>
      </c>
      <c r="B1589">
        <v>2026</v>
      </c>
      <c r="C1589" t="s">
        <v>33</v>
      </c>
      <c r="D1589" s="18"/>
      <c r="E1589" s="18" t="s">
        <v>492</v>
      </c>
      <c r="G1589" s="51" t="s">
        <v>82</v>
      </c>
      <c r="H1589" s="3">
        <v>68064</v>
      </c>
      <c r="I1589" s="145">
        <v>5300</v>
      </c>
      <c r="J1589" s="2" t="s">
        <v>839</v>
      </c>
      <c r="R1589" s="6">
        <v>23.347577999999999</v>
      </c>
      <c r="S1589" s="6">
        <v>2988.49</v>
      </c>
      <c r="U1589">
        <v>420</v>
      </c>
      <c r="W1589">
        <v>128</v>
      </c>
    </row>
    <row r="1590" spans="1:23" x14ac:dyDescent="0.35">
      <c r="A1590">
        <v>9</v>
      </c>
      <c r="B1590">
        <v>2026</v>
      </c>
      <c r="C1590" t="s">
        <v>33</v>
      </c>
      <c r="D1590" s="18"/>
      <c r="E1590" s="18" t="s">
        <v>492</v>
      </c>
      <c r="G1590" s="51" t="s">
        <v>82</v>
      </c>
      <c r="H1590" s="3">
        <v>68064</v>
      </c>
      <c r="I1590" s="145">
        <v>5328</v>
      </c>
      <c r="J1590" s="2" t="s">
        <v>838</v>
      </c>
      <c r="R1590" s="6">
        <v>12.895762</v>
      </c>
      <c r="S1590" s="6">
        <v>4990.66</v>
      </c>
      <c r="U1590">
        <v>300</v>
      </c>
      <c r="W1590">
        <v>387</v>
      </c>
    </row>
    <row r="1591" spans="1:23" x14ac:dyDescent="0.35">
      <c r="A1591">
        <v>9</v>
      </c>
      <c r="B1591">
        <v>2026</v>
      </c>
      <c r="C1591" t="s">
        <v>33</v>
      </c>
      <c r="D1591" s="18"/>
      <c r="E1591" s="18" t="s">
        <v>492</v>
      </c>
      <c r="G1591" s="51" t="s">
        <v>82</v>
      </c>
      <c r="H1591" s="3">
        <v>68072</v>
      </c>
      <c r="I1591" s="145">
        <v>3467</v>
      </c>
      <c r="J1591" s="2" t="s">
        <v>493</v>
      </c>
      <c r="R1591" s="6">
        <v>8.7632440000000003</v>
      </c>
      <c r="S1591" s="6">
        <v>5214.13</v>
      </c>
      <c r="U1591">
        <v>160</v>
      </c>
      <c r="W1591">
        <v>595</v>
      </c>
    </row>
    <row r="1592" spans="1:23" x14ac:dyDescent="0.35">
      <c r="A1592">
        <v>9</v>
      </c>
      <c r="B1592">
        <v>2026</v>
      </c>
      <c r="C1592" t="s">
        <v>33</v>
      </c>
      <c r="D1592" s="18"/>
      <c r="E1592" s="18" t="s">
        <v>492</v>
      </c>
      <c r="G1592" s="51" t="s">
        <v>82</v>
      </c>
      <c r="H1592" s="3">
        <v>68072</v>
      </c>
      <c r="I1592" s="145">
        <v>5298</v>
      </c>
      <c r="J1592" s="2" t="s">
        <v>841</v>
      </c>
      <c r="R1592" s="6">
        <v>23.317402000000001</v>
      </c>
      <c r="S1592" s="6">
        <v>2961.31</v>
      </c>
      <c r="U1592">
        <v>420</v>
      </c>
      <c r="W1592">
        <v>127</v>
      </c>
    </row>
    <row r="1593" spans="1:23" x14ac:dyDescent="0.35">
      <c r="A1593">
        <v>9</v>
      </c>
      <c r="B1593">
        <v>2026</v>
      </c>
      <c r="C1593" t="s">
        <v>33</v>
      </c>
      <c r="D1593" s="18"/>
      <c r="E1593" s="18" t="s">
        <v>492</v>
      </c>
      <c r="G1593" s="51" t="s">
        <v>82</v>
      </c>
      <c r="H1593" s="3">
        <v>68072</v>
      </c>
      <c r="I1593" s="145">
        <v>5299</v>
      </c>
      <c r="J1593" s="2" t="s">
        <v>840</v>
      </c>
      <c r="R1593" s="6">
        <v>23.624846000000002</v>
      </c>
      <c r="S1593" s="6">
        <v>3071.23</v>
      </c>
      <c r="U1593">
        <v>420</v>
      </c>
      <c r="W1593">
        <v>130</v>
      </c>
    </row>
    <row r="1594" spans="1:23" x14ac:dyDescent="0.35">
      <c r="A1594">
        <v>9</v>
      </c>
      <c r="B1594">
        <v>2026</v>
      </c>
      <c r="C1594" t="s">
        <v>33</v>
      </c>
      <c r="D1594" s="18"/>
      <c r="E1594" s="18" t="s">
        <v>492</v>
      </c>
      <c r="G1594" s="51" t="s">
        <v>82</v>
      </c>
      <c r="H1594" s="3">
        <v>68072</v>
      </c>
      <c r="I1594" s="145">
        <v>5300</v>
      </c>
      <c r="J1594" s="2" t="s">
        <v>839</v>
      </c>
      <c r="R1594" s="6">
        <v>23.009922</v>
      </c>
      <c r="S1594" s="6">
        <v>2945.27</v>
      </c>
      <c r="U1594">
        <v>420</v>
      </c>
      <c r="W1594">
        <v>128</v>
      </c>
    </row>
    <row r="1595" spans="1:23" x14ac:dyDescent="0.35">
      <c r="A1595">
        <v>9</v>
      </c>
      <c r="B1595">
        <v>2026</v>
      </c>
      <c r="C1595" t="s">
        <v>33</v>
      </c>
      <c r="D1595" s="18"/>
      <c r="E1595" s="18" t="s">
        <v>492</v>
      </c>
      <c r="G1595" s="51" t="s">
        <v>82</v>
      </c>
      <c r="H1595" s="3">
        <v>68072</v>
      </c>
      <c r="I1595" s="145">
        <v>5328</v>
      </c>
      <c r="J1595" s="2" t="s">
        <v>838</v>
      </c>
      <c r="R1595" s="6">
        <v>12.709251</v>
      </c>
      <c r="S1595" s="6">
        <v>4918.4799999999996</v>
      </c>
      <c r="U1595">
        <v>300</v>
      </c>
      <c r="W1595">
        <v>387</v>
      </c>
    </row>
    <row r="1596" spans="1:23" x14ac:dyDescent="0.35">
      <c r="A1596">
        <v>9</v>
      </c>
      <c r="B1596">
        <v>2026</v>
      </c>
      <c r="C1596" t="s">
        <v>33</v>
      </c>
      <c r="D1596" s="18"/>
      <c r="E1596" s="18" t="s">
        <v>852</v>
      </c>
      <c r="G1596" s="51" t="s">
        <v>82</v>
      </c>
      <c r="H1596" s="3">
        <v>68085</v>
      </c>
      <c r="I1596" s="145">
        <v>4160</v>
      </c>
      <c r="J1596" s="2" t="s">
        <v>586</v>
      </c>
      <c r="R1596" s="6">
        <v>12.299284999999999</v>
      </c>
      <c r="S1596" s="6">
        <v>12041</v>
      </c>
      <c r="U1596">
        <v>240</v>
      </c>
      <c r="W1596">
        <v>979</v>
      </c>
    </row>
    <row r="1597" spans="1:23" x14ac:dyDescent="0.35">
      <c r="A1597">
        <v>9</v>
      </c>
      <c r="B1597">
        <v>2026</v>
      </c>
      <c r="C1597" t="s">
        <v>33</v>
      </c>
      <c r="D1597" s="18"/>
      <c r="E1597" s="18" t="s">
        <v>42</v>
      </c>
      <c r="G1597" s="51" t="s">
        <v>43</v>
      </c>
      <c r="H1597" s="3">
        <v>68171</v>
      </c>
      <c r="I1597" s="145">
        <v>1523</v>
      </c>
      <c r="J1597" s="2" t="s">
        <v>282</v>
      </c>
      <c r="R1597" s="6">
        <v>8.9500250000000001</v>
      </c>
      <c r="S1597" s="6">
        <v>45806.23</v>
      </c>
      <c r="U1597">
        <v>180</v>
      </c>
      <c r="W1597">
        <v>5118</v>
      </c>
    </row>
    <row r="1598" spans="1:23" x14ac:dyDescent="0.35">
      <c r="A1598">
        <v>9</v>
      </c>
      <c r="B1598">
        <v>2026</v>
      </c>
      <c r="C1598" t="s">
        <v>33</v>
      </c>
      <c r="D1598" s="18"/>
      <c r="E1598" s="18" t="s">
        <v>550</v>
      </c>
      <c r="G1598" s="51" t="s">
        <v>50</v>
      </c>
      <c r="H1598" s="3">
        <v>68348</v>
      </c>
      <c r="I1598" s="145">
        <v>2536</v>
      </c>
      <c r="J1598" s="2" t="s">
        <v>393</v>
      </c>
      <c r="R1598" s="6">
        <v>37.964247</v>
      </c>
      <c r="S1598" s="6">
        <v>18146.91</v>
      </c>
      <c r="U1598">
        <v>440</v>
      </c>
      <c r="W1598">
        <v>478</v>
      </c>
    </row>
    <row r="1599" spans="1:23" x14ac:dyDescent="0.35">
      <c r="A1599">
        <v>9</v>
      </c>
      <c r="B1599">
        <v>2026</v>
      </c>
      <c r="C1599" t="s">
        <v>33</v>
      </c>
      <c r="D1599" s="18"/>
      <c r="E1599" s="18" t="s">
        <v>550</v>
      </c>
      <c r="G1599" s="51" t="s">
        <v>50</v>
      </c>
      <c r="H1599" s="3">
        <v>68348</v>
      </c>
      <c r="I1599" s="145">
        <v>3276</v>
      </c>
      <c r="J1599" s="2" t="s">
        <v>454</v>
      </c>
      <c r="R1599" s="6">
        <v>36.267845999999999</v>
      </c>
      <c r="S1599" s="6">
        <v>16501.87</v>
      </c>
      <c r="U1599">
        <v>380</v>
      </c>
      <c r="W1599">
        <v>455</v>
      </c>
    </row>
    <row r="1600" spans="1:23" x14ac:dyDescent="0.35">
      <c r="A1600">
        <v>9</v>
      </c>
      <c r="B1600">
        <v>2026</v>
      </c>
      <c r="C1600" t="s">
        <v>33</v>
      </c>
      <c r="D1600" s="18"/>
      <c r="E1600" s="18" t="s">
        <v>550</v>
      </c>
      <c r="G1600" s="51" t="s">
        <v>50</v>
      </c>
      <c r="H1600" s="3">
        <v>68348</v>
      </c>
      <c r="I1600" s="145">
        <v>4600</v>
      </c>
      <c r="J1600" s="2" t="s">
        <v>861</v>
      </c>
      <c r="R1600" s="6">
        <v>26.557427000000001</v>
      </c>
      <c r="S1600" s="6">
        <v>40154.83</v>
      </c>
      <c r="U1600">
        <v>260</v>
      </c>
      <c r="W1600">
        <v>1512</v>
      </c>
    </row>
    <row r="1601" spans="1:23" x14ac:dyDescent="0.35">
      <c r="A1601">
        <v>9</v>
      </c>
      <c r="B1601">
        <v>2026</v>
      </c>
      <c r="C1601" t="s">
        <v>33</v>
      </c>
      <c r="D1601" s="18"/>
      <c r="E1601" s="18" t="s">
        <v>738</v>
      </c>
      <c r="G1601" s="51" t="s">
        <v>513</v>
      </c>
      <c r="H1601" s="3">
        <v>68349</v>
      </c>
      <c r="I1601" s="145">
        <v>5168</v>
      </c>
      <c r="J1601" s="2" t="s">
        <v>787</v>
      </c>
      <c r="R1601" s="6">
        <v>29.824013000000001</v>
      </c>
      <c r="S1601" s="6">
        <v>18133</v>
      </c>
      <c r="U1601">
        <v>400</v>
      </c>
      <c r="W1601">
        <v>608</v>
      </c>
    </row>
    <row r="1602" spans="1:23" x14ac:dyDescent="0.35">
      <c r="A1602">
        <v>9</v>
      </c>
      <c r="B1602">
        <v>2026</v>
      </c>
      <c r="C1602" t="s">
        <v>33</v>
      </c>
      <c r="D1602" s="18"/>
      <c r="E1602" s="18" t="s">
        <v>853</v>
      </c>
      <c r="G1602" s="51" t="s">
        <v>37</v>
      </c>
      <c r="H1602" s="3">
        <v>68356</v>
      </c>
      <c r="I1602" s="145">
        <v>4745</v>
      </c>
      <c r="J1602" s="2" t="s">
        <v>700</v>
      </c>
      <c r="R1602" s="6">
        <v>14.886107000000001</v>
      </c>
      <c r="S1602" s="6">
        <v>13382.61</v>
      </c>
      <c r="U1602">
        <v>260</v>
      </c>
      <c r="W1602">
        <v>899</v>
      </c>
    </row>
    <row r="1603" spans="1:23" x14ac:dyDescent="0.35">
      <c r="A1603">
        <v>9</v>
      </c>
      <c r="B1603">
        <v>2026</v>
      </c>
      <c r="C1603" t="s">
        <v>33</v>
      </c>
      <c r="D1603" s="18"/>
      <c r="E1603" s="18" t="s">
        <v>853</v>
      </c>
      <c r="G1603" s="51" t="s">
        <v>37</v>
      </c>
      <c r="H1603" s="3">
        <v>68356</v>
      </c>
      <c r="I1603" s="145">
        <v>4746</v>
      </c>
      <c r="J1603" s="2" t="s">
        <v>701</v>
      </c>
      <c r="R1603" s="6">
        <v>39.900902000000002</v>
      </c>
      <c r="S1603" s="6">
        <v>94684.84</v>
      </c>
      <c r="U1603">
        <v>440</v>
      </c>
      <c r="W1603">
        <v>2373</v>
      </c>
    </row>
    <row r="1604" spans="1:23" x14ac:dyDescent="0.35">
      <c r="A1604">
        <v>9</v>
      </c>
      <c r="B1604">
        <v>2026</v>
      </c>
      <c r="C1604" t="s">
        <v>33</v>
      </c>
      <c r="D1604" s="18"/>
      <c r="E1604" s="18" t="s">
        <v>390</v>
      </c>
      <c r="G1604" s="51" t="s">
        <v>43</v>
      </c>
      <c r="H1604" s="3">
        <v>68453</v>
      </c>
      <c r="I1604" s="145">
        <v>4325</v>
      </c>
      <c r="J1604" s="2" t="s">
        <v>633</v>
      </c>
      <c r="R1604" s="6">
        <v>9.9176140000000004</v>
      </c>
      <c r="S1604" s="6">
        <v>6109.25</v>
      </c>
      <c r="U1604">
        <v>160</v>
      </c>
      <c r="W1604">
        <v>616</v>
      </c>
    </row>
    <row r="1605" spans="1:23" x14ac:dyDescent="0.35">
      <c r="A1605">
        <v>9</v>
      </c>
      <c r="B1605">
        <v>2026</v>
      </c>
      <c r="C1605" t="s">
        <v>33</v>
      </c>
      <c r="D1605" s="18"/>
      <c r="E1605" s="18" t="s">
        <v>390</v>
      </c>
      <c r="G1605" s="51" t="s">
        <v>43</v>
      </c>
      <c r="H1605" s="3">
        <v>68453</v>
      </c>
      <c r="I1605" s="145">
        <v>5404</v>
      </c>
      <c r="J1605" s="2" t="s">
        <v>855</v>
      </c>
      <c r="R1605" s="6">
        <v>9.1346480000000003</v>
      </c>
      <c r="S1605" s="6">
        <v>13245.24</v>
      </c>
      <c r="U1605">
        <v>180</v>
      </c>
      <c r="W1605">
        <v>1450</v>
      </c>
    </row>
    <row r="1606" spans="1:23" x14ac:dyDescent="0.35">
      <c r="A1606">
        <v>9</v>
      </c>
      <c r="B1606">
        <v>2026</v>
      </c>
      <c r="C1606" t="s">
        <v>33</v>
      </c>
      <c r="D1606" s="18"/>
      <c r="E1606" s="18" t="s">
        <v>390</v>
      </c>
      <c r="G1606" s="51" t="s">
        <v>43</v>
      </c>
      <c r="H1606" s="3">
        <v>68453</v>
      </c>
      <c r="I1606" s="145">
        <v>5403</v>
      </c>
      <c r="J1606" s="2" t="s">
        <v>856</v>
      </c>
      <c r="R1606" s="6">
        <v>8.6126710000000006</v>
      </c>
      <c r="S1606" s="6">
        <v>17544.009999999998</v>
      </c>
      <c r="U1606">
        <v>180</v>
      </c>
      <c r="W1606">
        <v>2037</v>
      </c>
    </row>
    <row r="1607" spans="1:23" x14ac:dyDescent="0.35">
      <c r="A1607">
        <v>9</v>
      </c>
      <c r="B1607">
        <v>2026</v>
      </c>
      <c r="C1607" t="s">
        <v>33</v>
      </c>
      <c r="D1607" s="18"/>
      <c r="E1607" s="18" t="s">
        <v>390</v>
      </c>
      <c r="G1607" s="51" t="s">
        <v>43</v>
      </c>
      <c r="H1607" s="3">
        <v>68453</v>
      </c>
      <c r="I1607" s="145">
        <v>4707</v>
      </c>
      <c r="J1607" s="2" t="s">
        <v>694</v>
      </c>
      <c r="R1607" s="6">
        <v>10.074215000000001</v>
      </c>
      <c r="S1607" s="6">
        <v>15463.92</v>
      </c>
      <c r="U1607">
        <v>180</v>
      </c>
      <c r="W1607">
        <v>1535</v>
      </c>
    </row>
    <row r="1608" spans="1:23" x14ac:dyDescent="0.35">
      <c r="A1608">
        <v>9</v>
      </c>
      <c r="B1608">
        <v>2026</v>
      </c>
      <c r="C1608" t="s">
        <v>33</v>
      </c>
      <c r="D1608" s="18"/>
      <c r="E1608" s="18" t="s">
        <v>390</v>
      </c>
      <c r="G1608" s="51" t="s">
        <v>43</v>
      </c>
      <c r="H1608" s="3">
        <v>68453</v>
      </c>
      <c r="I1608" s="145">
        <v>4706</v>
      </c>
      <c r="J1608" s="2" t="s">
        <v>699</v>
      </c>
      <c r="R1608" s="6">
        <v>10.074211</v>
      </c>
      <c r="S1608" s="6">
        <v>15453.84</v>
      </c>
      <c r="U1608">
        <v>180</v>
      </c>
      <c r="W1608">
        <v>1534</v>
      </c>
    </row>
    <row r="1609" spans="1:23" x14ac:dyDescent="0.35">
      <c r="A1609">
        <v>9</v>
      </c>
      <c r="B1609">
        <v>2026</v>
      </c>
      <c r="C1609" t="s">
        <v>33</v>
      </c>
      <c r="D1609" s="18"/>
      <c r="E1609" s="18" t="s">
        <v>390</v>
      </c>
      <c r="G1609" s="51" t="s">
        <v>43</v>
      </c>
      <c r="H1609" s="3">
        <v>68453</v>
      </c>
      <c r="I1609" s="145">
        <v>3500</v>
      </c>
      <c r="J1609" s="2" t="s">
        <v>622</v>
      </c>
      <c r="R1609" s="6">
        <v>10.074211999999999</v>
      </c>
      <c r="S1609" s="6">
        <v>10285.77</v>
      </c>
      <c r="U1609">
        <v>160</v>
      </c>
      <c r="W1609">
        <v>1021</v>
      </c>
    </row>
    <row r="1610" spans="1:23" x14ac:dyDescent="0.35">
      <c r="A1610">
        <v>9</v>
      </c>
      <c r="B1610">
        <v>2026</v>
      </c>
      <c r="C1610" t="s">
        <v>33</v>
      </c>
      <c r="D1610" s="18"/>
      <c r="E1610" s="18" t="s">
        <v>390</v>
      </c>
      <c r="G1610" s="51" t="s">
        <v>43</v>
      </c>
      <c r="H1610" s="3">
        <v>68453</v>
      </c>
      <c r="I1610" s="145">
        <v>3146</v>
      </c>
      <c r="J1610" s="2" t="s">
        <v>627</v>
      </c>
      <c r="R1610" s="6">
        <v>10.804983999999999</v>
      </c>
      <c r="S1610" s="6">
        <v>13441.4</v>
      </c>
      <c r="U1610">
        <v>180</v>
      </c>
      <c r="W1610">
        <v>1244</v>
      </c>
    </row>
    <row r="1611" spans="1:23" x14ac:dyDescent="0.35">
      <c r="A1611">
        <v>9</v>
      </c>
      <c r="B1611">
        <v>2026</v>
      </c>
      <c r="C1611" t="s">
        <v>33</v>
      </c>
      <c r="D1611" s="18"/>
      <c r="E1611" s="18" t="s">
        <v>390</v>
      </c>
      <c r="G1611" s="51" t="s">
        <v>43</v>
      </c>
      <c r="H1611" s="3">
        <v>68453</v>
      </c>
      <c r="I1611" s="145">
        <v>3135</v>
      </c>
      <c r="J1611" s="2" t="s">
        <v>631</v>
      </c>
      <c r="R1611" s="6">
        <v>9.5000339999999994</v>
      </c>
      <c r="S1611" s="6">
        <v>8350.5300000000007</v>
      </c>
      <c r="U1611">
        <v>160</v>
      </c>
      <c r="W1611">
        <v>879</v>
      </c>
    </row>
    <row r="1612" spans="1:23" x14ac:dyDescent="0.35">
      <c r="A1612">
        <v>9</v>
      </c>
      <c r="B1612">
        <v>2026</v>
      </c>
      <c r="C1612" t="s">
        <v>33</v>
      </c>
      <c r="D1612" s="18"/>
      <c r="E1612" s="18" t="s">
        <v>390</v>
      </c>
      <c r="G1612" s="51" t="s">
        <v>43</v>
      </c>
      <c r="H1612" s="3">
        <v>68453</v>
      </c>
      <c r="I1612" s="145">
        <v>2430</v>
      </c>
      <c r="J1612" s="2" t="s">
        <v>359</v>
      </c>
      <c r="R1612" s="6">
        <v>10.074206</v>
      </c>
      <c r="S1612" s="6">
        <v>4694.58</v>
      </c>
      <c r="U1612">
        <v>160</v>
      </c>
      <c r="W1612">
        <v>466</v>
      </c>
    </row>
    <row r="1613" spans="1:23" x14ac:dyDescent="0.35">
      <c r="A1613">
        <v>9</v>
      </c>
      <c r="B1613">
        <v>2026</v>
      </c>
      <c r="C1613" t="s">
        <v>33</v>
      </c>
      <c r="D1613" s="18"/>
      <c r="E1613" s="18" t="s">
        <v>863</v>
      </c>
      <c r="G1613" s="51" t="s">
        <v>513</v>
      </c>
      <c r="H1613" s="3">
        <v>68475</v>
      </c>
      <c r="I1613" s="145">
        <v>5301</v>
      </c>
      <c r="J1613" s="2" t="s">
        <v>857</v>
      </c>
      <c r="R1613" s="6">
        <v>23.697892</v>
      </c>
      <c r="S1613" s="6">
        <v>94341.31</v>
      </c>
      <c r="U1613">
        <v>260</v>
      </c>
      <c r="W1613">
        <v>3981</v>
      </c>
    </row>
    <row r="1614" spans="1:23" x14ac:dyDescent="0.35">
      <c r="A1614">
        <v>9</v>
      </c>
      <c r="B1614">
        <v>2026</v>
      </c>
      <c r="C1614" t="s">
        <v>33</v>
      </c>
      <c r="D1614" s="18"/>
      <c r="E1614" s="18" t="s">
        <v>863</v>
      </c>
      <c r="G1614" s="51" t="s">
        <v>513</v>
      </c>
      <c r="H1614" s="3">
        <v>68475</v>
      </c>
      <c r="I1614" s="145">
        <v>5302</v>
      </c>
      <c r="J1614" s="2" t="s">
        <v>858</v>
      </c>
      <c r="R1614" s="6">
        <v>18.425892999999999</v>
      </c>
      <c r="S1614" s="6">
        <v>94893.35</v>
      </c>
      <c r="U1614">
        <v>280</v>
      </c>
      <c r="W1614">
        <v>5150</v>
      </c>
    </row>
    <row r="1615" spans="1:23" x14ac:dyDescent="0.35">
      <c r="A1615">
        <v>9</v>
      </c>
      <c r="B1615">
        <v>2026</v>
      </c>
      <c r="C1615" t="s">
        <v>33</v>
      </c>
      <c r="D1615" s="18"/>
      <c r="E1615" s="18" t="s">
        <v>863</v>
      </c>
      <c r="G1615" s="51" t="s">
        <v>513</v>
      </c>
      <c r="H1615" s="3">
        <v>68475</v>
      </c>
      <c r="I1615" s="145">
        <v>5304</v>
      </c>
      <c r="J1615" s="2" t="s">
        <v>859</v>
      </c>
      <c r="R1615" s="6">
        <v>10.700589000000001</v>
      </c>
      <c r="S1615" s="6">
        <v>55225.74</v>
      </c>
      <c r="U1615">
        <v>220</v>
      </c>
      <c r="W1615">
        <v>5161</v>
      </c>
    </row>
    <row r="1616" spans="1:23" x14ac:dyDescent="0.35">
      <c r="A1616">
        <v>9</v>
      </c>
      <c r="B1616">
        <v>2026</v>
      </c>
      <c r="C1616" t="s">
        <v>33</v>
      </c>
      <c r="D1616" s="18"/>
      <c r="E1616" s="18" t="s">
        <v>863</v>
      </c>
      <c r="G1616" s="51" t="s">
        <v>513</v>
      </c>
      <c r="H1616" s="3">
        <v>68475</v>
      </c>
      <c r="I1616" s="145">
        <v>5325</v>
      </c>
      <c r="J1616" s="2" t="s">
        <v>860</v>
      </c>
      <c r="R1616" s="6">
        <v>16.651157999999999</v>
      </c>
      <c r="S1616" s="6">
        <v>15668.74</v>
      </c>
      <c r="U1616">
        <v>280</v>
      </c>
      <c r="W1616">
        <v>941</v>
      </c>
    </row>
    <row r="1617" spans="1:23" x14ac:dyDescent="0.35">
      <c r="A1617">
        <v>9</v>
      </c>
      <c r="B1617">
        <v>2026</v>
      </c>
      <c r="C1617" t="s">
        <v>33</v>
      </c>
      <c r="D1617" s="18"/>
      <c r="E1617" s="18" t="s">
        <v>863</v>
      </c>
      <c r="G1617" s="51" t="s">
        <v>513</v>
      </c>
      <c r="H1617" s="3">
        <v>68475</v>
      </c>
      <c r="I1617" s="145">
        <v>5325</v>
      </c>
      <c r="J1617" s="2" t="s">
        <v>860</v>
      </c>
      <c r="R1617" s="6">
        <v>16.651163</v>
      </c>
      <c r="S1617" s="6">
        <v>83205.86</v>
      </c>
      <c r="U1617">
        <v>280</v>
      </c>
      <c r="W1617">
        <v>4997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4B0C-3BB5-4134-8433-B14871888ED2}">
  <dimension ref="A1"/>
  <sheetViews>
    <sheetView workbookViewId="0">
      <selection activeCell="B4" sqref="B4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E9E97-A1B7-4D5D-9AA2-13B7D4472354}">
  <sheetPr>
    <tabColor rgb="FF7030A0"/>
    <pageSetUpPr fitToPage="1"/>
  </sheetPr>
  <dimension ref="A1:AG93"/>
  <sheetViews>
    <sheetView showGridLines="0" tabSelected="1" zoomScaleNormal="100" workbookViewId="0">
      <selection activeCell="F18" sqref="F18"/>
    </sheetView>
  </sheetViews>
  <sheetFormatPr baseColWidth="10" defaultColWidth="10.90625" defaultRowHeight="14.5" x14ac:dyDescent="0.35"/>
  <cols>
    <col min="1" max="1" width="41.81640625" bestFit="1" customWidth="1"/>
    <col min="2" max="4" width="11.453125" style="3" bestFit="1" customWidth="1"/>
    <col min="5" max="5" width="12.453125" style="3" bestFit="1" customWidth="1"/>
    <col min="6" max="6" width="15.26953125" style="3" bestFit="1" customWidth="1"/>
    <col min="7" max="7" width="4.54296875" style="3" customWidth="1"/>
    <col min="8" max="8" width="1" style="3" customWidth="1"/>
    <col min="9" max="17" width="0.453125" style="3" customWidth="1"/>
    <col min="18" max="18" width="7.453125" style="3" customWidth="1"/>
    <col min="19" max="23" width="0.90625" style="3" customWidth="1"/>
    <col min="24" max="24" width="0.90625" customWidth="1"/>
    <col min="25" max="25" width="41.81640625" bestFit="1" customWidth="1"/>
    <col min="26" max="26" width="10.08984375" bestFit="1" customWidth="1"/>
    <col min="27" max="28" width="7.36328125" bestFit="1" customWidth="1"/>
    <col min="29" max="29" width="11.7265625" bestFit="1" customWidth="1"/>
    <col min="30" max="30" width="12.7265625" bestFit="1" customWidth="1"/>
    <col min="31" max="31" width="5.54296875" bestFit="1" customWidth="1"/>
    <col min="32" max="32" width="9.1796875" customWidth="1"/>
  </cols>
  <sheetData>
    <row r="1" spans="1:33" ht="15.5" x14ac:dyDescent="0.35">
      <c r="A1" s="135" t="s">
        <v>864</v>
      </c>
      <c r="F1" s="87"/>
      <c r="R1" s="87" t="s">
        <v>710</v>
      </c>
    </row>
    <row r="2" spans="1:33" ht="15.5" x14ac:dyDescent="0.35">
      <c r="A2" s="88"/>
      <c r="R2" s="87"/>
    </row>
    <row r="3" spans="1:33" ht="16.5" customHeight="1" x14ac:dyDescent="0.35">
      <c r="A3" s="15" t="s">
        <v>733</v>
      </c>
      <c r="B3" s="21" t="s">
        <v>661</v>
      </c>
      <c r="F3" s="141" t="s">
        <v>842</v>
      </c>
      <c r="G3" s="141"/>
      <c r="H3"/>
      <c r="Y3" s="15" t="s">
        <v>582</v>
      </c>
      <c r="Z3" s="21" t="s">
        <v>661</v>
      </c>
      <c r="AA3" s="3"/>
      <c r="AB3" s="3"/>
      <c r="AC3" s="3"/>
      <c r="AD3" s="141" t="s">
        <v>842</v>
      </c>
      <c r="AE3" s="141"/>
    </row>
    <row r="4" spans="1:33" x14ac:dyDescent="0.35">
      <c r="A4" s="1" t="s">
        <v>581</v>
      </c>
      <c r="B4" s="3">
        <v>2024</v>
      </c>
      <c r="C4" s="3">
        <v>2025</v>
      </c>
      <c r="D4" s="3">
        <v>2026</v>
      </c>
      <c r="E4" s="3" t="s">
        <v>771</v>
      </c>
      <c r="F4" s="141" t="s">
        <v>732</v>
      </c>
      <c r="G4" s="141"/>
      <c r="H4"/>
      <c r="Y4" s="1" t="s">
        <v>581</v>
      </c>
      <c r="Z4" s="3">
        <v>2024</v>
      </c>
      <c r="AA4" s="3">
        <v>2025</v>
      </c>
      <c r="AB4" s="3">
        <v>2026</v>
      </c>
      <c r="AC4" s="3" t="s">
        <v>771</v>
      </c>
      <c r="AD4" s="136" t="s">
        <v>732</v>
      </c>
      <c r="AE4" s="136"/>
    </row>
    <row r="5" spans="1:33" x14ac:dyDescent="0.35">
      <c r="A5" s="45" t="s">
        <v>42</v>
      </c>
      <c r="B5" s="22">
        <v>3421452.2499999995</v>
      </c>
      <c r="C5" s="22">
        <v>2246198.91</v>
      </c>
      <c r="D5" s="22">
        <v>225830.27999999997</v>
      </c>
      <c r="E5" s="24">
        <v>5893481.4400000004</v>
      </c>
      <c r="F5" s="72">
        <f>D5/C5</f>
        <v>0.1005388610040773</v>
      </c>
      <c r="G5" s="86" t="s">
        <v>707</v>
      </c>
      <c r="H5" s="91"/>
      <c r="I5" s="93"/>
      <c r="J5" s="24"/>
      <c r="K5" s="24"/>
      <c r="L5" s="24"/>
      <c r="M5" s="24"/>
      <c r="N5" s="24"/>
      <c r="O5" s="24"/>
      <c r="P5" s="24"/>
      <c r="Q5" s="24"/>
      <c r="R5" s="53"/>
      <c r="S5" s="24"/>
      <c r="T5" s="24"/>
      <c r="U5" s="24"/>
      <c r="V5" s="24"/>
      <c r="W5" s="46"/>
      <c r="Y5" s="45" t="s">
        <v>42</v>
      </c>
      <c r="Z5" s="23">
        <v>207246.55799999999</v>
      </c>
      <c r="AA5" s="23">
        <v>129090.43999999999</v>
      </c>
      <c r="AB5" s="146">
        <v>22458</v>
      </c>
      <c r="AC5" s="25">
        <v>358794.99799999996</v>
      </c>
      <c r="AD5" s="72">
        <f>AB5/AA5</f>
        <v>0.17397105471171995</v>
      </c>
      <c r="AE5" s="90" t="s">
        <v>708</v>
      </c>
      <c r="AG5" s="54"/>
    </row>
    <row r="6" spans="1:33" x14ac:dyDescent="0.35">
      <c r="A6" s="45" t="s">
        <v>116</v>
      </c>
      <c r="B6" s="22">
        <v>701469.6799999997</v>
      </c>
      <c r="C6" s="22">
        <v>479176.21</v>
      </c>
      <c r="D6" s="22">
        <v>284989.65000000002</v>
      </c>
      <c r="E6" s="24">
        <v>1465635.5399999996</v>
      </c>
      <c r="F6" s="72">
        <f t="shared" ref="F6:F14" si="0">D6/C6</f>
        <v>0.5947491633610108</v>
      </c>
      <c r="G6" s="86" t="s">
        <v>707</v>
      </c>
      <c r="H6" s="90"/>
      <c r="I6" s="93"/>
      <c r="J6" s="24"/>
      <c r="K6" s="24"/>
      <c r="L6" s="24"/>
      <c r="M6" s="24"/>
      <c r="N6" s="24"/>
      <c r="O6" s="24"/>
      <c r="P6" s="24"/>
      <c r="Q6" s="24"/>
      <c r="R6" s="53"/>
      <c r="S6" s="24"/>
      <c r="T6" s="24"/>
      <c r="U6" s="24"/>
      <c r="V6" s="24"/>
      <c r="W6" s="46"/>
      <c r="Y6" s="45" t="s">
        <v>548</v>
      </c>
      <c r="Z6" s="23"/>
      <c r="AA6" s="23">
        <v>78306</v>
      </c>
      <c r="AB6" s="146">
        <v>28066</v>
      </c>
      <c r="AC6" s="25">
        <v>106372</v>
      </c>
      <c r="AD6" s="72">
        <f t="shared" ref="AD6:AD13" si="1">AB6/AA6</f>
        <v>0.35841442545909635</v>
      </c>
      <c r="AE6" s="90" t="s">
        <v>708</v>
      </c>
      <c r="AG6" s="54"/>
    </row>
    <row r="7" spans="1:33" x14ac:dyDescent="0.35">
      <c r="A7" s="45" t="s">
        <v>548</v>
      </c>
      <c r="B7" s="22"/>
      <c r="C7" s="22">
        <v>808767.58999999985</v>
      </c>
      <c r="D7" s="147">
        <v>271521.78999999998</v>
      </c>
      <c r="E7" s="24">
        <v>1080289.3799999999</v>
      </c>
      <c r="F7" s="72">
        <f t="shared" si="0"/>
        <v>0.33572288671953338</v>
      </c>
      <c r="G7" s="86" t="s">
        <v>707</v>
      </c>
      <c r="H7" s="90"/>
      <c r="I7" s="93"/>
      <c r="J7" s="24"/>
      <c r="K7" s="24"/>
      <c r="L7" s="76"/>
      <c r="M7" s="24"/>
      <c r="N7" s="24"/>
      <c r="O7" s="24"/>
      <c r="P7" s="24"/>
      <c r="Q7" s="24"/>
      <c r="R7" s="53"/>
      <c r="S7" s="24"/>
      <c r="T7" s="24"/>
      <c r="U7" s="24"/>
      <c r="V7" s="24"/>
      <c r="W7" s="46"/>
      <c r="Y7" s="45" t="s">
        <v>116</v>
      </c>
      <c r="Z7" s="23">
        <v>50139.6</v>
      </c>
      <c r="AA7" s="23">
        <v>29918.6</v>
      </c>
      <c r="AB7" s="146">
        <v>18057</v>
      </c>
      <c r="AC7" s="25">
        <v>98115.199999999997</v>
      </c>
      <c r="AD7" s="72">
        <f t="shared" si="1"/>
        <v>0.60353759868443047</v>
      </c>
      <c r="AE7" s="90" t="s">
        <v>708</v>
      </c>
      <c r="AG7" s="54"/>
    </row>
    <row r="8" spans="1:33" x14ac:dyDescent="0.35">
      <c r="A8" s="45" t="s">
        <v>738</v>
      </c>
      <c r="B8" s="105"/>
      <c r="C8" s="105"/>
      <c r="D8" s="144">
        <v>815583.44</v>
      </c>
      <c r="E8" s="142">
        <v>815583.44</v>
      </c>
      <c r="F8" s="72" t="s">
        <v>770</v>
      </c>
      <c r="G8" s="86"/>
      <c r="H8" s="90"/>
      <c r="I8" s="93"/>
      <c r="J8" s="24"/>
      <c r="K8" s="24"/>
      <c r="L8" s="24"/>
      <c r="M8" s="24"/>
      <c r="N8" s="24"/>
      <c r="O8" s="24"/>
      <c r="P8" s="24"/>
      <c r="Q8" s="24"/>
      <c r="R8" s="53"/>
      <c r="S8" s="24"/>
      <c r="T8" s="24"/>
      <c r="U8" s="24"/>
      <c r="V8" s="24"/>
      <c r="W8" s="46"/>
      <c r="Y8" s="45" t="s">
        <v>390</v>
      </c>
      <c r="Z8" s="146">
        <v>28252</v>
      </c>
      <c r="AA8" s="146">
        <v>26012.809999999998</v>
      </c>
      <c r="AB8" s="146">
        <v>21925</v>
      </c>
      <c r="AC8" s="25">
        <v>76189.81</v>
      </c>
      <c r="AD8" s="72">
        <f t="shared" si="1"/>
        <v>0.84285396310510097</v>
      </c>
      <c r="AE8" s="90" t="s">
        <v>708</v>
      </c>
      <c r="AG8" s="54"/>
    </row>
    <row r="9" spans="1:33" x14ac:dyDescent="0.35">
      <c r="A9" s="45" t="s">
        <v>387</v>
      </c>
      <c r="B9" s="22">
        <v>543208.35000000009</v>
      </c>
      <c r="C9" s="22">
        <v>175581.16999999998</v>
      </c>
      <c r="D9" s="147">
        <v>43790.11</v>
      </c>
      <c r="E9" s="24">
        <v>762579.63</v>
      </c>
      <c r="F9" s="72">
        <f t="shared" si="0"/>
        <v>0.24940094658214207</v>
      </c>
      <c r="G9" s="86" t="s">
        <v>707</v>
      </c>
      <c r="H9" s="90"/>
      <c r="I9" s="93"/>
      <c r="J9" s="24"/>
      <c r="K9" s="24"/>
      <c r="L9" s="24"/>
      <c r="M9" s="24"/>
      <c r="N9" s="24"/>
      <c r="O9" s="24"/>
      <c r="P9" s="24"/>
      <c r="Q9" s="24"/>
      <c r="R9" s="53"/>
      <c r="S9" s="24"/>
      <c r="T9" s="24"/>
      <c r="U9" s="24"/>
      <c r="V9" s="24"/>
      <c r="W9" s="46"/>
      <c r="Y9" s="45" t="s">
        <v>670</v>
      </c>
      <c r="Z9" s="23"/>
      <c r="AA9" s="23">
        <v>45928.955999999998</v>
      </c>
      <c r="AB9" s="146">
        <v>22778</v>
      </c>
      <c r="AC9" s="25">
        <v>68706.956000000006</v>
      </c>
      <c r="AD9" s="72">
        <f t="shared" si="1"/>
        <v>0.49593985981305566</v>
      </c>
      <c r="AE9" s="90" t="s">
        <v>708</v>
      </c>
      <c r="AG9" s="54"/>
    </row>
    <row r="10" spans="1:33" x14ac:dyDescent="0.35">
      <c r="A10" s="45" t="s">
        <v>390</v>
      </c>
      <c r="B10" s="22">
        <v>256078.81</v>
      </c>
      <c r="C10" s="22">
        <v>257057.40999999997</v>
      </c>
      <c r="D10" s="147">
        <v>201843.03000000003</v>
      </c>
      <c r="E10" s="24">
        <v>714979.25</v>
      </c>
      <c r="F10" s="72">
        <f t="shared" si="0"/>
        <v>0.78520603627026375</v>
      </c>
      <c r="G10" s="94" t="s">
        <v>708</v>
      </c>
      <c r="H10" s="90"/>
      <c r="I10" s="93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Y10" s="45" t="s">
        <v>151</v>
      </c>
      <c r="Z10" s="43"/>
      <c r="AA10" s="146">
        <v>42820</v>
      </c>
      <c r="AB10" s="146">
        <v>12247</v>
      </c>
      <c r="AC10" s="25">
        <v>55067</v>
      </c>
      <c r="AD10" s="72">
        <f t="shared" si="1"/>
        <v>0.28601120971508642</v>
      </c>
      <c r="AE10" s="90" t="s">
        <v>708</v>
      </c>
      <c r="AG10" s="54"/>
    </row>
    <row r="11" spans="1:33" x14ac:dyDescent="0.35">
      <c r="A11" s="45" t="s">
        <v>670</v>
      </c>
      <c r="B11" s="22"/>
      <c r="C11" s="22">
        <v>478182.83999999991</v>
      </c>
      <c r="D11" s="147">
        <v>206916.71999999997</v>
      </c>
      <c r="E11" s="24">
        <v>685099.55999999982</v>
      </c>
      <c r="F11" s="72">
        <f t="shared" si="0"/>
        <v>0.43271464948428517</v>
      </c>
      <c r="G11" s="94" t="s">
        <v>708</v>
      </c>
      <c r="H11" s="90"/>
      <c r="I11" s="93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Y11" s="45" t="s">
        <v>387</v>
      </c>
      <c r="Z11" s="23">
        <v>38458.135999999999</v>
      </c>
      <c r="AA11" s="23">
        <v>12483.897000000001</v>
      </c>
      <c r="AB11" s="146">
        <v>3771</v>
      </c>
      <c r="AC11" s="25">
        <v>54713.032999999996</v>
      </c>
      <c r="AD11" s="72">
        <f t="shared" si="1"/>
        <v>0.30206913754575193</v>
      </c>
      <c r="AE11" s="90" t="s">
        <v>708</v>
      </c>
      <c r="AG11" s="54"/>
    </row>
    <row r="12" spans="1:33" x14ac:dyDescent="0.35">
      <c r="A12" s="148" t="s">
        <v>151</v>
      </c>
      <c r="B12" s="147"/>
      <c r="C12" s="147">
        <v>493873.25999999978</v>
      </c>
      <c r="D12" s="147">
        <v>119332.51999999999</v>
      </c>
      <c r="E12" s="24">
        <v>613205.7799999998</v>
      </c>
      <c r="F12" s="72">
        <f t="shared" si="0"/>
        <v>0.24162579686942362</v>
      </c>
      <c r="G12" s="86" t="s">
        <v>707</v>
      </c>
      <c r="H12" s="90"/>
      <c r="I12" s="93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Y12" s="45" t="s">
        <v>738</v>
      </c>
      <c r="Z12" s="23"/>
      <c r="AA12" s="23"/>
      <c r="AB12" s="23">
        <v>52342</v>
      </c>
      <c r="AC12" s="25">
        <v>52342</v>
      </c>
      <c r="AD12" s="72" t="s">
        <v>770</v>
      </c>
      <c r="AE12" s="90"/>
      <c r="AG12" s="54"/>
    </row>
    <row r="13" spans="1:33" x14ac:dyDescent="0.35">
      <c r="A13" s="148" t="s">
        <v>512</v>
      </c>
      <c r="B13" s="22">
        <v>153428.31</v>
      </c>
      <c r="C13" s="147">
        <v>275949.13</v>
      </c>
      <c r="D13" s="22">
        <v>114700.02</v>
      </c>
      <c r="E13" s="24">
        <v>544077.46</v>
      </c>
      <c r="F13" s="72">
        <f t="shared" si="0"/>
        <v>0.41565639290111189</v>
      </c>
      <c r="G13" s="86" t="s">
        <v>707</v>
      </c>
      <c r="H13" s="90"/>
      <c r="I13" s="93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Y13" s="45" t="s">
        <v>512</v>
      </c>
      <c r="Z13" s="23">
        <v>11417.52</v>
      </c>
      <c r="AA13" s="146">
        <v>21574.52</v>
      </c>
      <c r="AB13" s="23">
        <v>12140</v>
      </c>
      <c r="AC13" s="25">
        <v>45132.04</v>
      </c>
      <c r="AD13" s="72">
        <f t="shared" si="1"/>
        <v>0.5627008155917258</v>
      </c>
      <c r="AE13" s="90" t="s">
        <v>708</v>
      </c>
      <c r="AG13" s="54"/>
    </row>
    <row r="14" spans="1:33" x14ac:dyDescent="0.35">
      <c r="A14" s="45" t="s">
        <v>550</v>
      </c>
      <c r="B14" s="22"/>
      <c r="C14" s="22">
        <v>245463.81</v>
      </c>
      <c r="D14" s="22">
        <v>258272.65</v>
      </c>
      <c r="E14" s="24">
        <v>503736.45999999996</v>
      </c>
      <c r="F14" s="72">
        <f t="shared" si="0"/>
        <v>1.0521821933750641</v>
      </c>
      <c r="G14" s="86" t="s">
        <v>707</v>
      </c>
      <c r="H14" s="90"/>
      <c r="I14" s="9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Y14" s="45" t="s">
        <v>295</v>
      </c>
      <c r="Z14" s="23">
        <v>5332</v>
      </c>
      <c r="AA14" s="23">
        <v>20573.060000000001</v>
      </c>
      <c r="AB14" s="146">
        <v>7886</v>
      </c>
      <c r="AC14" s="25">
        <v>33791.06</v>
      </c>
      <c r="AD14" s="102"/>
      <c r="AE14" s="90"/>
    </row>
    <row r="15" spans="1:33" x14ac:dyDescent="0.35">
      <c r="A15" s="26" t="s">
        <v>295</v>
      </c>
      <c r="B15" s="22">
        <v>72618.650000000009</v>
      </c>
      <c r="C15" s="22">
        <v>297630.82000000007</v>
      </c>
      <c r="D15" s="147">
        <v>80316.009999999995</v>
      </c>
      <c r="E15" s="24">
        <v>450565.4800000001</v>
      </c>
      <c r="F15" s="72"/>
      <c r="G15" s="86"/>
      <c r="H15" s="90"/>
      <c r="I15" s="40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Y15" s="26" t="s">
        <v>223</v>
      </c>
      <c r="Z15" s="23">
        <v>12608</v>
      </c>
      <c r="AA15" s="23">
        <v>15752</v>
      </c>
      <c r="AB15" s="43"/>
      <c r="AC15" s="25">
        <v>28360</v>
      </c>
      <c r="AD15" s="102"/>
    </row>
    <row r="16" spans="1:33" x14ac:dyDescent="0.35">
      <c r="A16" s="26" t="s">
        <v>453</v>
      </c>
      <c r="B16" s="22">
        <v>285252.40000000002</v>
      </c>
      <c r="C16" s="22">
        <v>40308.06</v>
      </c>
      <c r="D16" s="44"/>
      <c r="E16" s="24">
        <v>325560.46000000002</v>
      </c>
      <c r="F16" s="72"/>
      <c r="G16" s="86"/>
      <c r="H16"/>
      <c r="I16" s="74"/>
      <c r="J16" s="74"/>
      <c r="K16" s="74"/>
      <c r="L16" s="75"/>
      <c r="M16" s="76"/>
      <c r="N16" s="76"/>
      <c r="O16" s="24"/>
      <c r="P16" s="24"/>
      <c r="Q16" s="24"/>
      <c r="R16" s="24"/>
      <c r="S16" s="24"/>
      <c r="T16" s="24"/>
      <c r="U16" s="24"/>
      <c r="V16" s="24"/>
      <c r="W16" s="24"/>
      <c r="Y16" s="26" t="s">
        <v>669</v>
      </c>
      <c r="Z16" s="23"/>
      <c r="AA16" s="23">
        <v>11754</v>
      </c>
      <c r="AB16" s="146">
        <v>13190.83</v>
      </c>
      <c r="AC16" s="25">
        <v>24944.83</v>
      </c>
      <c r="AD16" s="85"/>
    </row>
    <row r="17" spans="1:31" x14ac:dyDescent="0.35">
      <c r="A17" s="26" t="s">
        <v>223</v>
      </c>
      <c r="B17" s="144">
        <v>171451.28999999998</v>
      </c>
      <c r="C17" s="144">
        <v>139359.39000000001</v>
      </c>
      <c r="D17" s="151"/>
      <c r="E17" s="142">
        <v>310810.68</v>
      </c>
      <c r="F17" s="72"/>
      <c r="G17" s="83"/>
      <c r="H17"/>
      <c r="I17" s="74"/>
      <c r="J17" s="74"/>
      <c r="K17" s="74"/>
      <c r="L17" s="75"/>
      <c r="M17" s="74"/>
      <c r="N17" s="74"/>
      <c r="O17" s="65"/>
      <c r="P17" s="24"/>
      <c r="Q17" s="24"/>
      <c r="R17" s="24"/>
      <c r="S17" s="24"/>
      <c r="T17" s="24"/>
      <c r="U17" s="24"/>
      <c r="V17" s="24"/>
      <c r="W17" s="24"/>
      <c r="Y17" s="26" t="s">
        <v>463</v>
      </c>
      <c r="Z17" s="23">
        <v>22753</v>
      </c>
      <c r="AA17" s="43"/>
      <c r="AB17" s="43"/>
      <c r="AC17" s="25">
        <v>22753</v>
      </c>
      <c r="AD17" s="85"/>
    </row>
    <row r="18" spans="1:31" x14ac:dyDescent="0.35">
      <c r="A18" s="134" t="s">
        <v>795</v>
      </c>
      <c r="B18" s="22"/>
      <c r="C18" s="22"/>
      <c r="D18" s="22">
        <v>242737.89</v>
      </c>
      <c r="E18" s="24">
        <v>242737.89</v>
      </c>
      <c r="F18" s="72" t="s">
        <v>770</v>
      </c>
      <c r="G18" s="81"/>
      <c r="H18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Y18" s="26" t="s">
        <v>589</v>
      </c>
      <c r="Z18" s="23"/>
      <c r="AA18" s="23">
        <v>21553.983</v>
      </c>
      <c r="AB18" s="43"/>
      <c r="AC18" s="25">
        <v>21553.983</v>
      </c>
    </row>
    <row r="19" spans="1:31" x14ac:dyDescent="0.35">
      <c r="A19" s="26" t="s">
        <v>589</v>
      </c>
      <c r="B19" s="22"/>
      <c r="C19" s="22">
        <v>236975.8</v>
      </c>
      <c r="D19" s="44"/>
      <c r="E19" s="24">
        <v>236975.8</v>
      </c>
      <c r="F19" s="72"/>
      <c r="G19" s="83"/>
      <c r="H19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Y19" s="26" t="s">
        <v>456</v>
      </c>
      <c r="Z19" s="23">
        <v>13384.7</v>
      </c>
      <c r="AA19" s="23">
        <v>5188</v>
      </c>
      <c r="AB19" s="43"/>
      <c r="AC19" s="25">
        <v>18572.7</v>
      </c>
      <c r="AD19" s="95"/>
    </row>
    <row r="20" spans="1:31" x14ac:dyDescent="0.35">
      <c r="A20" s="26" t="s">
        <v>463</v>
      </c>
      <c r="B20" s="22">
        <v>228450.36999999997</v>
      </c>
      <c r="C20" s="44"/>
      <c r="D20" s="44"/>
      <c r="E20" s="24">
        <v>228450.36999999997</v>
      </c>
      <c r="F20" s="84"/>
      <c r="G20" s="83"/>
      <c r="H20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Y20" s="26" t="s">
        <v>394</v>
      </c>
      <c r="Z20" s="23">
        <v>18124</v>
      </c>
      <c r="AA20" s="43"/>
      <c r="AB20" s="43"/>
      <c r="AC20" s="25">
        <v>18124</v>
      </c>
      <c r="AD20" s="96"/>
    </row>
    <row r="21" spans="1:31" x14ac:dyDescent="0.35">
      <c r="A21" s="26" t="s">
        <v>456</v>
      </c>
      <c r="B21" s="22">
        <v>146664.72</v>
      </c>
      <c r="C21" s="22">
        <v>60369.8</v>
      </c>
      <c r="D21" s="44"/>
      <c r="E21" s="24">
        <v>207034.52000000002</v>
      </c>
      <c r="F21" s="97"/>
      <c r="G21" s="83"/>
      <c r="H21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Y21" s="134" t="s">
        <v>795</v>
      </c>
      <c r="Z21" s="23"/>
      <c r="AA21" s="23"/>
      <c r="AB21" s="23">
        <v>17920</v>
      </c>
      <c r="AC21" s="25">
        <v>17920</v>
      </c>
      <c r="AD21" s="72" t="s">
        <v>770</v>
      </c>
      <c r="AE21" s="90"/>
    </row>
    <row r="22" spans="1:31" x14ac:dyDescent="0.35">
      <c r="A22" s="26" t="s">
        <v>669</v>
      </c>
      <c r="B22" s="22"/>
      <c r="C22" s="22">
        <v>90359.72</v>
      </c>
      <c r="D22" s="147">
        <v>112967.18</v>
      </c>
      <c r="E22" s="24">
        <v>203326.9</v>
      </c>
      <c r="F22" s="108"/>
      <c r="G22" s="86"/>
      <c r="H22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Y22" s="26" t="s">
        <v>550</v>
      </c>
      <c r="Z22" s="23"/>
      <c r="AA22" s="23">
        <v>8398.08</v>
      </c>
      <c r="AB22" s="23">
        <v>9488</v>
      </c>
      <c r="AC22" s="25">
        <v>17886.080000000002</v>
      </c>
    </row>
    <row r="23" spans="1:31" x14ac:dyDescent="0.35">
      <c r="A23" s="26" t="s">
        <v>711</v>
      </c>
      <c r="B23" s="22"/>
      <c r="C23" s="22"/>
      <c r="D23" s="22">
        <v>185586.07000000007</v>
      </c>
      <c r="E23" s="24">
        <v>185586.07000000007</v>
      </c>
      <c r="G23" s="83"/>
      <c r="H23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Y23" s="26" t="s">
        <v>549</v>
      </c>
      <c r="Z23" s="23"/>
      <c r="AA23" s="23">
        <v>8011.2830000000004</v>
      </c>
      <c r="AB23" s="146">
        <v>7405</v>
      </c>
      <c r="AC23" s="25">
        <v>15416.282999999999</v>
      </c>
    </row>
    <row r="24" spans="1:31" x14ac:dyDescent="0.35">
      <c r="A24" s="26" t="s">
        <v>344</v>
      </c>
      <c r="B24" s="22">
        <v>62795.03</v>
      </c>
      <c r="C24" s="22">
        <v>118571.29999999999</v>
      </c>
      <c r="D24" s="44"/>
      <c r="E24" s="24">
        <v>181366.33</v>
      </c>
      <c r="F24" s="109"/>
      <c r="H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Y24" s="26" t="s">
        <v>344</v>
      </c>
      <c r="Z24" s="23">
        <v>5029</v>
      </c>
      <c r="AA24" s="23">
        <v>7529</v>
      </c>
      <c r="AB24" s="43"/>
      <c r="AC24" s="25">
        <v>12558</v>
      </c>
      <c r="AD24" s="86"/>
    </row>
    <row r="25" spans="1:31" x14ac:dyDescent="0.35">
      <c r="A25" s="26" t="s">
        <v>549</v>
      </c>
      <c r="B25" s="22"/>
      <c r="C25" s="22">
        <v>77365.97</v>
      </c>
      <c r="D25" s="147">
        <v>81085.950000000012</v>
      </c>
      <c r="E25" s="24">
        <v>158451.92000000001</v>
      </c>
      <c r="F25" s="108"/>
      <c r="G25" s="83"/>
      <c r="H25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Y25" s="26" t="s">
        <v>453</v>
      </c>
      <c r="Z25" s="23">
        <v>9035</v>
      </c>
      <c r="AA25" s="23">
        <v>2138</v>
      </c>
      <c r="AB25" s="43"/>
      <c r="AC25" s="25">
        <v>11173</v>
      </c>
    </row>
    <row r="26" spans="1:31" x14ac:dyDescent="0.35">
      <c r="A26" s="26" t="s">
        <v>394</v>
      </c>
      <c r="B26" s="22">
        <v>127041.12</v>
      </c>
      <c r="C26" s="44"/>
      <c r="D26" s="44"/>
      <c r="E26" s="24">
        <v>127041.12</v>
      </c>
      <c r="F26" s="86"/>
      <c r="G26" s="83"/>
      <c r="H26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Y26" s="26" t="s">
        <v>711</v>
      </c>
      <c r="Z26" s="23"/>
      <c r="AA26" s="23"/>
      <c r="AB26" s="23">
        <v>8799</v>
      </c>
      <c r="AC26" s="25">
        <v>8799</v>
      </c>
      <c r="AD26" s="85"/>
    </row>
    <row r="27" spans="1:31" x14ac:dyDescent="0.35">
      <c r="A27" s="26" t="s">
        <v>774</v>
      </c>
      <c r="B27" s="22"/>
      <c r="C27" s="22"/>
      <c r="D27" s="22">
        <v>87348.87999999999</v>
      </c>
      <c r="E27" s="24">
        <v>87348.87999999999</v>
      </c>
      <c r="G27" s="83"/>
      <c r="H27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Y27" s="26" t="s">
        <v>492</v>
      </c>
      <c r="Z27" s="23">
        <v>2076</v>
      </c>
      <c r="AA27" s="43"/>
      <c r="AB27" s="43">
        <v>4101</v>
      </c>
      <c r="AC27" s="25">
        <v>6177</v>
      </c>
      <c r="AD27" s="85"/>
    </row>
    <row r="28" spans="1:31" x14ac:dyDescent="0.35">
      <c r="A28" s="26" t="s">
        <v>794</v>
      </c>
      <c r="B28" s="22"/>
      <c r="C28" s="22"/>
      <c r="D28" s="22">
        <v>75266.149999999994</v>
      </c>
      <c r="E28" s="24">
        <v>75266.149999999994</v>
      </c>
      <c r="F28" s="84"/>
      <c r="G28" s="83"/>
      <c r="H28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Y28" s="26" t="s">
        <v>797</v>
      </c>
      <c r="Z28" s="23"/>
      <c r="AA28" s="23"/>
      <c r="AB28" s="23">
        <v>5431</v>
      </c>
      <c r="AC28" s="25">
        <v>5431</v>
      </c>
      <c r="AD28" s="85"/>
    </row>
    <row r="29" spans="1:31" x14ac:dyDescent="0.35">
      <c r="A29" s="26" t="s">
        <v>492</v>
      </c>
      <c r="B29" s="22">
        <v>16321.07</v>
      </c>
      <c r="C29" s="44"/>
      <c r="D29" s="44">
        <v>57892.119999999995</v>
      </c>
      <c r="E29" s="24">
        <v>74213.19</v>
      </c>
      <c r="F29" s="84"/>
      <c r="G29" s="83"/>
      <c r="H29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Y29" s="26" t="s">
        <v>796</v>
      </c>
      <c r="Z29" s="23"/>
      <c r="AA29" s="23"/>
      <c r="AB29" s="23">
        <v>5054</v>
      </c>
      <c r="AC29" s="25">
        <v>5054</v>
      </c>
      <c r="AD29" s="85"/>
    </row>
    <row r="30" spans="1:31" x14ac:dyDescent="0.35">
      <c r="A30" s="149" t="s">
        <v>236</v>
      </c>
      <c r="B30" s="147">
        <v>61386.400000000001</v>
      </c>
      <c r="C30" s="44"/>
      <c r="D30" s="44"/>
      <c r="E30" s="150">
        <v>61386.400000000001</v>
      </c>
      <c r="F30" s="84"/>
      <c r="G30" s="83"/>
      <c r="H30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Y30" s="26" t="s">
        <v>774</v>
      </c>
      <c r="Z30" s="23"/>
      <c r="AA30" s="23"/>
      <c r="AB30" s="23">
        <v>4697</v>
      </c>
      <c r="AC30" s="25">
        <v>4697</v>
      </c>
      <c r="AD30" s="85"/>
    </row>
    <row r="31" spans="1:31" x14ac:dyDescent="0.35">
      <c r="A31" s="26" t="s">
        <v>81</v>
      </c>
      <c r="B31" s="22">
        <v>-16796.36</v>
      </c>
      <c r="C31" s="22">
        <v>75015.420000000013</v>
      </c>
      <c r="D31" s="44"/>
      <c r="E31" s="24">
        <v>58219.060000000012</v>
      </c>
      <c r="F31" s="84"/>
      <c r="G31" s="83"/>
      <c r="H31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Y31" s="26" t="s">
        <v>794</v>
      </c>
      <c r="Z31" s="23"/>
      <c r="AA31" s="23"/>
      <c r="AB31" s="23">
        <v>4373</v>
      </c>
      <c r="AC31" s="25">
        <v>4373</v>
      </c>
      <c r="AD31" s="85"/>
    </row>
    <row r="32" spans="1:31" x14ac:dyDescent="0.35">
      <c r="A32" s="26" t="s">
        <v>797</v>
      </c>
      <c r="B32" s="22"/>
      <c r="C32" s="22"/>
      <c r="D32" s="22">
        <v>49421.15</v>
      </c>
      <c r="E32" s="24">
        <v>49421.15</v>
      </c>
      <c r="F32" s="97"/>
      <c r="G32" s="83"/>
      <c r="H3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Y32" s="26" t="s">
        <v>81</v>
      </c>
      <c r="Z32" s="23">
        <v>-1634</v>
      </c>
      <c r="AA32" s="23">
        <v>5414</v>
      </c>
      <c r="AB32" s="43"/>
      <c r="AC32" s="25">
        <v>3780</v>
      </c>
      <c r="AD32" s="97"/>
    </row>
    <row r="33" spans="1:33" x14ac:dyDescent="0.35">
      <c r="A33" s="149" t="s">
        <v>332</v>
      </c>
      <c r="B33" s="22">
        <v>49277.950000000004</v>
      </c>
      <c r="C33" s="44"/>
      <c r="D33" s="44"/>
      <c r="E33" s="24">
        <v>49277.950000000004</v>
      </c>
      <c r="G33" s="83"/>
      <c r="H33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Y33" s="26" t="s">
        <v>85</v>
      </c>
      <c r="Z33" s="43"/>
      <c r="AA33" s="146">
        <v>3100</v>
      </c>
      <c r="AB33" s="43"/>
      <c r="AC33" s="25">
        <v>3100</v>
      </c>
    </row>
    <row r="34" spans="1:33" x14ac:dyDescent="0.35">
      <c r="A34" s="26" t="s">
        <v>692</v>
      </c>
      <c r="B34" s="22"/>
      <c r="C34" s="22">
        <v>44697.820000000007</v>
      </c>
      <c r="D34" s="44"/>
      <c r="E34" s="24">
        <v>44697.820000000007</v>
      </c>
      <c r="G34"/>
      <c r="H3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Y34" s="26" t="s">
        <v>332</v>
      </c>
      <c r="Z34" s="23">
        <v>3084</v>
      </c>
      <c r="AA34" s="43"/>
      <c r="AB34" s="43"/>
      <c r="AC34" s="25">
        <v>3084</v>
      </c>
    </row>
    <row r="35" spans="1:33" x14ac:dyDescent="0.35">
      <c r="A35" s="26" t="s">
        <v>796</v>
      </c>
      <c r="B35" s="22"/>
      <c r="C35" s="22"/>
      <c r="D35" s="22">
        <v>34106.300000000003</v>
      </c>
      <c r="E35" s="24">
        <v>34106.300000000003</v>
      </c>
      <c r="G35"/>
      <c r="H35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Y35" s="26" t="s">
        <v>712</v>
      </c>
      <c r="Z35" s="23"/>
      <c r="AA35" s="23"/>
      <c r="AB35" s="23">
        <v>3002</v>
      </c>
      <c r="AC35" s="25">
        <v>3002</v>
      </c>
    </row>
    <row r="36" spans="1:33" x14ac:dyDescent="0.35">
      <c r="A36" s="149" t="s">
        <v>85</v>
      </c>
      <c r="B36" s="147"/>
      <c r="C36" s="147">
        <v>31142.510000000002</v>
      </c>
      <c r="D36" s="44"/>
      <c r="E36" s="24">
        <v>31142.510000000002</v>
      </c>
      <c r="G36"/>
      <c r="H36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Y36" s="26" t="s">
        <v>692</v>
      </c>
      <c r="Z36" s="23"/>
      <c r="AA36" s="23">
        <v>2882.2309999999998</v>
      </c>
      <c r="AB36" s="43"/>
      <c r="AC36" s="25">
        <v>2882.2309999999998</v>
      </c>
    </row>
    <row r="37" spans="1:33" x14ac:dyDescent="0.35">
      <c r="A37" s="26" t="s">
        <v>664</v>
      </c>
      <c r="B37" s="22"/>
      <c r="C37" s="22">
        <v>27409.979999999996</v>
      </c>
      <c r="D37" s="44"/>
      <c r="E37" s="24">
        <v>27409.979999999996</v>
      </c>
      <c r="G37"/>
      <c r="H37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Y37" s="26" t="s">
        <v>664</v>
      </c>
      <c r="Z37" s="43"/>
      <c r="AA37" s="23">
        <v>1657</v>
      </c>
      <c r="AB37" s="43"/>
      <c r="AC37" s="25">
        <v>1657</v>
      </c>
    </row>
    <row r="38" spans="1:33" x14ac:dyDescent="0.35">
      <c r="A38" s="26" t="s">
        <v>508</v>
      </c>
      <c r="B38" s="22">
        <v>25481.22</v>
      </c>
      <c r="C38" s="44"/>
      <c r="D38" s="44"/>
      <c r="E38" s="24">
        <v>25481.22</v>
      </c>
      <c r="G38"/>
      <c r="H38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Y38" s="26" t="s">
        <v>508</v>
      </c>
      <c r="Z38" s="23">
        <v>1577</v>
      </c>
      <c r="AA38" s="43"/>
      <c r="AB38" s="43"/>
      <c r="AC38" s="25">
        <v>1577</v>
      </c>
    </row>
    <row r="39" spans="1:33" x14ac:dyDescent="0.35">
      <c r="A39" s="26" t="s">
        <v>712</v>
      </c>
      <c r="B39" s="22"/>
      <c r="C39" s="22"/>
      <c r="D39" s="22">
        <v>23570.050000000003</v>
      </c>
      <c r="E39" s="24">
        <v>23570.050000000003</v>
      </c>
      <c r="G39"/>
      <c r="H39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Y39" s="26" t="s">
        <v>403</v>
      </c>
      <c r="Z39" s="23">
        <v>839</v>
      </c>
      <c r="AA39" s="43"/>
      <c r="AB39" s="43"/>
      <c r="AC39" s="25">
        <v>839</v>
      </c>
    </row>
    <row r="40" spans="1:33" x14ac:dyDescent="0.35">
      <c r="A40" s="149" t="s">
        <v>403</v>
      </c>
      <c r="B40" s="22">
        <v>13860</v>
      </c>
      <c r="C40" s="44"/>
      <c r="D40" s="44"/>
      <c r="E40" s="24">
        <v>13860</v>
      </c>
      <c r="G40"/>
      <c r="H40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Y40" s="26" t="s">
        <v>585</v>
      </c>
      <c r="Z40" s="43"/>
      <c r="AA40" s="23">
        <v>559</v>
      </c>
      <c r="AB40" s="43"/>
      <c r="AC40" s="25">
        <v>559</v>
      </c>
    </row>
    <row r="41" spans="1:33" x14ac:dyDescent="0.35">
      <c r="A41" s="26" t="s">
        <v>585</v>
      </c>
      <c r="B41" s="22"/>
      <c r="C41" s="22">
        <v>6888.53</v>
      </c>
      <c r="D41" s="44"/>
      <c r="E41" s="24">
        <v>6888.53</v>
      </c>
      <c r="G41"/>
      <c r="H41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Y41" s="26" t="s">
        <v>236</v>
      </c>
      <c r="Z41" s="23">
        <v>223</v>
      </c>
      <c r="AA41" s="43"/>
      <c r="AB41" s="43"/>
      <c r="AC41" s="25">
        <v>223</v>
      </c>
    </row>
    <row r="42" spans="1:33" x14ac:dyDescent="0.35">
      <c r="A42" s="26" t="s">
        <v>789</v>
      </c>
      <c r="B42" s="22"/>
      <c r="C42" s="22"/>
      <c r="D42" s="22">
        <v>5346.22</v>
      </c>
      <c r="E42" s="24">
        <v>5346.22</v>
      </c>
      <c r="G42"/>
      <c r="H42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Y42" s="26" t="s">
        <v>789</v>
      </c>
      <c r="Z42" s="23"/>
      <c r="AA42" s="23"/>
      <c r="AB42" s="23">
        <v>192</v>
      </c>
      <c r="AC42" s="25">
        <v>192</v>
      </c>
    </row>
    <row r="43" spans="1:33" x14ac:dyDescent="0.35">
      <c r="A43" s="26" t="s">
        <v>524</v>
      </c>
      <c r="B43" s="22"/>
      <c r="C43" s="22">
        <v>104.02</v>
      </c>
      <c r="D43" s="44"/>
      <c r="E43" s="24">
        <v>104.02</v>
      </c>
      <c r="G43"/>
      <c r="H43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Y43" s="26" t="s">
        <v>524</v>
      </c>
      <c r="Z43" s="23"/>
      <c r="AA43" s="23">
        <v>10</v>
      </c>
      <c r="AB43" s="43"/>
      <c r="AC43" s="25">
        <v>10</v>
      </c>
    </row>
    <row r="44" spans="1:33" x14ac:dyDescent="0.35">
      <c r="A44" s="2" t="s">
        <v>771</v>
      </c>
      <c r="B44" s="22">
        <v>6319441.2599999988</v>
      </c>
      <c r="C44" s="22">
        <v>6706449.4699999988</v>
      </c>
      <c r="D44" s="22">
        <v>3578424.18</v>
      </c>
      <c r="E44" s="24">
        <v>16604314.910000004</v>
      </c>
      <c r="G44"/>
      <c r="H4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39"/>
      <c r="Y44" s="2" t="s">
        <v>771</v>
      </c>
      <c r="Z44" s="23">
        <v>427944.51399999997</v>
      </c>
      <c r="AA44" s="23">
        <v>500654.86</v>
      </c>
      <c r="AB44" s="23">
        <v>285322.82999999996</v>
      </c>
      <c r="AC44" s="25">
        <v>1213922.2039999997</v>
      </c>
      <c r="AG44" s="64"/>
    </row>
    <row r="45" spans="1:33" x14ac:dyDescent="0.35">
      <c r="B45"/>
      <c r="C45"/>
      <c r="D45"/>
      <c r="E45"/>
      <c r="G45"/>
      <c r="H45"/>
      <c r="J45" s="24"/>
      <c r="K45" s="24"/>
      <c r="L45" s="24"/>
      <c r="M45" s="24"/>
      <c r="N45" s="24"/>
      <c r="O45" s="24"/>
      <c r="P45" s="24"/>
      <c r="Q45" s="24"/>
      <c r="W45" s="24"/>
      <c r="AG45" s="64"/>
    </row>
    <row r="46" spans="1:33" x14ac:dyDescent="0.35">
      <c r="B46"/>
      <c r="C46"/>
      <c r="D46"/>
      <c r="E46"/>
      <c r="G46"/>
      <c r="H46"/>
      <c r="W46" s="24"/>
    </row>
    <row r="48" spans="1:33" x14ac:dyDescent="0.35">
      <c r="B48"/>
      <c r="C48"/>
      <c r="D48"/>
      <c r="E48"/>
      <c r="G48"/>
      <c r="H48"/>
      <c r="W48" s="24"/>
    </row>
    <row r="49" spans="1:31" x14ac:dyDescent="0.35">
      <c r="A49" s="2"/>
      <c r="B49" s="22"/>
      <c r="C49" s="22"/>
      <c r="D49" s="22"/>
      <c r="E49" s="77"/>
      <c r="F49" s="78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39"/>
      <c r="Y49" s="2"/>
      <c r="Z49" s="23"/>
      <c r="AA49" s="37"/>
      <c r="AB49" s="37"/>
      <c r="AC49" s="79"/>
      <c r="AD49" s="79"/>
      <c r="AE49" s="25"/>
    </row>
    <row r="50" spans="1:31" ht="4.5" customHeight="1" x14ac:dyDescent="0.35">
      <c r="B50"/>
      <c r="C50" s="9"/>
      <c r="D50" s="9"/>
      <c r="E50" s="9"/>
      <c r="F50" s="9"/>
      <c r="W50" s="24"/>
      <c r="Z50" s="37"/>
      <c r="AA50" s="37"/>
      <c r="AB50" s="37"/>
      <c r="AC50" s="37"/>
      <c r="AD50" s="37"/>
    </row>
    <row r="51" spans="1:31" ht="4.5" customHeight="1" x14ac:dyDescent="0.35"/>
    <row r="52" spans="1:31" ht="4.5" customHeight="1" x14ac:dyDescent="0.35"/>
    <row r="53" spans="1:31" ht="4.5" customHeight="1" x14ac:dyDescent="0.35"/>
    <row r="54" spans="1:31" ht="4.5" customHeight="1" x14ac:dyDescent="0.35"/>
    <row r="55" spans="1:31" x14ac:dyDescent="0.35">
      <c r="B55"/>
      <c r="C55"/>
      <c r="D55" s="103" t="s">
        <v>737</v>
      </c>
      <c r="E55"/>
      <c r="G55"/>
      <c r="H55"/>
      <c r="I55" s="64"/>
      <c r="W55" s="24"/>
      <c r="AB55" s="103" t="s">
        <v>529</v>
      </c>
    </row>
    <row r="75" spans="18:18" ht="3" customHeight="1" x14ac:dyDescent="0.35"/>
    <row r="76" spans="18:18" ht="3" customHeight="1" x14ac:dyDescent="0.35"/>
    <row r="77" spans="18:18" ht="3" customHeight="1" x14ac:dyDescent="0.35"/>
    <row r="78" spans="18:18" x14ac:dyDescent="0.35">
      <c r="R78" s="87" t="s">
        <v>709</v>
      </c>
    </row>
    <row r="93" spans="18:18" x14ac:dyDescent="0.35">
      <c r="R93" s="87" t="s">
        <v>709</v>
      </c>
    </row>
  </sheetData>
  <mergeCells count="3">
    <mergeCell ref="F4:G4"/>
    <mergeCell ref="F3:G3"/>
    <mergeCell ref="AD3:AE3"/>
  </mergeCells>
  <hyperlinks>
    <hyperlink ref="R1" location="'2024-2026 up to SEP 26'!R93" display="GRAPHS" xr:uid="{42BF1639-B3E9-4E3C-BE2E-97FDA86083F2}"/>
    <hyperlink ref="R78" location="'Historic-2024-2026 up to JUL 26'!R1" display="TOP" xr:uid="{77C21CC1-E4C3-445F-9C02-CAD71BA448BA}"/>
    <hyperlink ref="R93" location="'2024-2026 up to SEP 26'!R1" display="TOP" xr:uid="{E4DD242D-1CF5-466A-837A-C10226109586}"/>
  </hyperlinks>
  <pageMargins left="0.70866141732283472" right="0.70866141732283472" top="0.74803149606299213" bottom="0.74803149606299213" header="0.31496062992125984" footer="0.31496062992125984"/>
  <pageSetup paperSize="9" fitToWidth="3" fitToHeight="3" orientation="landscape" verticalDpi="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5F2F-6131-46F8-850A-AC64D8C55682}">
  <sheetPr>
    <tabColor rgb="FF7030A0"/>
  </sheetPr>
  <dimension ref="A1:BA68"/>
  <sheetViews>
    <sheetView showGridLines="0" zoomScale="90" zoomScaleNormal="90" workbookViewId="0">
      <selection activeCell="Q3" sqref="Q3"/>
    </sheetView>
  </sheetViews>
  <sheetFormatPr baseColWidth="10" defaultColWidth="10.90625" defaultRowHeight="14.5" x14ac:dyDescent="0.35"/>
  <cols>
    <col min="1" max="1" width="38.81640625" bestFit="1" customWidth="1"/>
    <col min="2" max="2" width="11.54296875" style="3" bestFit="1" customWidth="1"/>
    <col min="3" max="3" width="9.36328125" style="3" customWidth="1"/>
    <col min="4" max="4" width="10" style="3" bestFit="1" customWidth="1"/>
    <col min="5" max="5" width="9.36328125" style="3" customWidth="1"/>
    <col min="6" max="8" width="10" style="3" bestFit="1" customWidth="1"/>
    <col min="9" max="9" width="9.36328125" style="3" customWidth="1"/>
    <col min="10" max="11" width="10" style="3" bestFit="1" customWidth="1"/>
    <col min="12" max="12" width="11.54296875" style="3" bestFit="1" customWidth="1"/>
    <col min="13" max="13" width="12" style="3" bestFit="1" customWidth="1"/>
    <col min="14" max="14" width="2.54296875" style="3" customWidth="1"/>
    <col min="15" max="15" width="2.54296875" style="2" customWidth="1"/>
    <col min="16" max="17" width="2.54296875" customWidth="1"/>
    <col min="18" max="18" width="8.1796875" customWidth="1"/>
    <col min="19" max="20" width="2.6328125" customWidth="1"/>
    <col min="21" max="31" width="0.81640625" customWidth="1"/>
    <col min="32" max="32" width="35.36328125" bestFit="1" customWidth="1"/>
    <col min="33" max="33" width="10.81640625" bestFit="1" customWidth="1"/>
    <col min="34" max="34" width="6.6328125" bestFit="1" customWidth="1"/>
    <col min="35" max="35" width="6.453125" bestFit="1" customWidth="1"/>
    <col min="36" max="36" width="5.453125" style="3" bestFit="1" customWidth="1"/>
    <col min="37" max="39" width="6.453125" bestFit="1" customWidth="1"/>
    <col min="40" max="40" width="5.453125" bestFit="1" customWidth="1"/>
    <col min="41" max="42" width="6.453125" bestFit="1" customWidth="1"/>
    <col min="43" max="43" width="9.81640625" bestFit="1" customWidth="1"/>
    <col min="44" max="44" width="12" style="3" bestFit="1" customWidth="1"/>
    <col min="45" max="46" width="6.453125" bestFit="1" customWidth="1"/>
    <col min="47" max="47" width="5.453125" bestFit="1" customWidth="1"/>
    <col min="48" max="48" width="9.81640625" bestFit="1" customWidth="1"/>
    <col min="49" max="49" width="12" bestFit="1" customWidth="1"/>
    <col min="50" max="52" width="6.54296875" bestFit="1" customWidth="1"/>
    <col min="53" max="53" width="6.54296875" style="3" bestFit="1" customWidth="1"/>
    <col min="54" max="54" width="9.81640625" bestFit="1" customWidth="1"/>
    <col min="55" max="55" width="12.54296875" bestFit="1" customWidth="1"/>
  </cols>
  <sheetData>
    <row r="1" spans="1:53" ht="15.5" x14ac:dyDescent="0.35">
      <c r="A1" s="88" t="s">
        <v>865</v>
      </c>
      <c r="D1" s="42" t="s">
        <v>866</v>
      </c>
      <c r="R1" s="89" t="s">
        <v>710</v>
      </c>
    </row>
    <row r="2" spans="1:53" ht="15.5" x14ac:dyDescent="0.35">
      <c r="A2" s="88"/>
      <c r="R2" s="89"/>
    </row>
    <row r="3" spans="1:53" x14ac:dyDescent="0.35">
      <c r="A3" s="15" t="s">
        <v>584</v>
      </c>
      <c r="B3" s="21" t="s">
        <v>580</v>
      </c>
      <c r="N3"/>
      <c r="O3"/>
      <c r="U3" s="3"/>
      <c r="V3" s="3"/>
      <c r="W3" s="3"/>
      <c r="X3" s="3"/>
      <c r="Y3" s="3"/>
      <c r="Z3" s="3"/>
      <c r="AA3" s="3"/>
      <c r="AB3" s="3"/>
      <c r="AC3" s="3"/>
      <c r="AD3" s="3"/>
      <c r="AF3" s="15" t="s">
        <v>583</v>
      </c>
      <c r="AG3" s="21" t="s">
        <v>580</v>
      </c>
      <c r="AH3" s="3"/>
      <c r="AI3" s="3"/>
      <c r="AK3" s="3"/>
      <c r="AL3" s="3"/>
      <c r="AM3" s="3"/>
      <c r="AN3" s="3"/>
      <c r="AO3" s="3"/>
      <c r="AP3" s="3"/>
      <c r="AQ3" s="3"/>
      <c r="BA3"/>
    </row>
    <row r="4" spans="1:53" x14ac:dyDescent="0.35">
      <c r="B4" s="3">
        <v>2025</v>
      </c>
      <c r="C4" s="3">
        <v>2026</v>
      </c>
      <c r="L4" t="s">
        <v>772</v>
      </c>
      <c r="M4" s="3" t="s">
        <v>771</v>
      </c>
      <c r="N4"/>
      <c r="O4"/>
      <c r="U4" s="3"/>
      <c r="V4" s="3"/>
      <c r="W4" s="3"/>
      <c r="X4" s="3"/>
      <c r="Y4" s="3"/>
      <c r="Z4" s="3"/>
      <c r="AA4" s="3"/>
      <c r="AB4" s="3"/>
      <c r="AC4" s="3"/>
      <c r="AD4" s="3"/>
      <c r="AG4" s="3">
        <v>2025</v>
      </c>
      <c r="AH4" s="3">
        <v>2026</v>
      </c>
      <c r="AI4" s="3"/>
      <c r="AK4" s="3"/>
      <c r="AL4" s="3"/>
      <c r="AM4" s="3"/>
      <c r="AN4" s="3"/>
      <c r="AO4" s="3"/>
      <c r="AP4" s="3"/>
      <c r="AQ4" s="153" t="s">
        <v>772</v>
      </c>
      <c r="AR4" s="3" t="s">
        <v>771</v>
      </c>
      <c r="BA4"/>
    </row>
    <row r="5" spans="1:53" x14ac:dyDescent="0.35">
      <c r="A5" s="1" t="s">
        <v>734</v>
      </c>
      <c r="B5"/>
      <c r="C5" s="67">
        <v>1</v>
      </c>
      <c r="D5" s="67">
        <v>2</v>
      </c>
      <c r="E5" s="67">
        <v>3</v>
      </c>
      <c r="F5" s="67">
        <v>4</v>
      </c>
      <c r="G5" s="67">
        <v>5</v>
      </c>
      <c r="H5" s="3">
        <v>6</v>
      </c>
      <c r="I5" s="3">
        <v>7</v>
      </c>
      <c r="J5" s="3">
        <v>8</v>
      </c>
      <c r="K5" s="3">
        <v>9</v>
      </c>
      <c r="L5"/>
      <c r="N5"/>
      <c r="O5"/>
      <c r="U5" s="3"/>
      <c r="V5" s="3"/>
      <c r="W5" s="3"/>
      <c r="X5" s="3"/>
      <c r="Y5" s="3"/>
      <c r="Z5" s="3"/>
      <c r="AA5" s="3"/>
      <c r="AB5" s="3"/>
      <c r="AC5" s="3"/>
      <c r="AD5" s="3"/>
      <c r="AF5" s="1" t="s">
        <v>735</v>
      </c>
      <c r="AH5" s="3">
        <v>1</v>
      </c>
      <c r="AI5" s="3">
        <v>2</v>
      </c>
      <c r="AJ5" s="3">
        <v>3</v>
      </c>
      <c r="AK5" s="3">
        <v>4</v>
      </c>
      <c r="AL5" s="3">
        <v>5</v>
      </c>
      <c r="AM5" s="3">
        <v>6</v>
      </c>
      <c r="AN5">
        <v>7</v>
      </c>
      <c r="AO5">
        <v>8</v>
      </c>
      <c r="AP5">
        <v>9</v>
      </c>
      <c r="AQ5" s="153"/>
      <c r="BA5"/>
    </row>
    <row r="6" spans="1:53" x14ac:dyDescent="0.35">
      <c r="A6" s="45" t="s">
        <v>42</v>
      </c>
      <c r="B6" s="22">
        <v>1809083.2500000002</v>
      </c>
      <c r="C6" s="22"/>
      <c r="D6" s="22">
        <v>63701.11</v>
      </c>
      <c r="E6" s="22"/>
      <c r="F6" s="22"/>
      <c r="G6" s="22"/>
      <c r="H6" s="22">
        <v>116322.94</v>
      </c>
      <c r="I6" s="22"/>
      <c r="J6" s="22"/>
      <c r="K6" s="22">
        <v>45806.23</v>
      </c>
      <c r="L6" s="22">
        <v>225830.28</v>
      </c>
      <c r="M6" s="36">
        <v>2034913.5300000003</v>
      </c>
      <c r="N6"/>
      <c r="O6"/>
      <c r="S6" s="68"/>
      <c r="W6" s="36"/>
      <c r="X6" s="36"/>
      <c r="Y6" s="36"/>
      <c r="Z6" s="36"/>
      <c r="AA6" s="36"/>
      <c r="AB6" s="36"/>
      <c r="AC6" s="36"/>
      <c r="AD6" s="36"/>
      <c r="AE6" s="41"/>
      <c r="AF6" s="45" t="s">
        <v>42</v>
      </c>
      <c r="AG6" s="156">
        <v>101123.43999999999</v>
      </c>
      <c r="AH6" s="146"/>
      <c r="AI6" s="146">
        <v>8202</v>
      </c>
      <c r="AJ6" s="158"/>
      <c r="AK6" s="146"/>
      <c r="AL6" s="146"/>
      <c r="AM6" s="146">
        <v>9138</v>
      </c>
      <c r="AN6" s="146"/>
      <c r="AO6" s="146"/>
      <c r="AP6" s="146">
        <v>5118</v>
      </c>
      <c r="AQ6" s="152">
        <v>22458</v>
      </c>
      <c r="AR6" s="38">
        <v>123581.43999999999</v>
      </c>
      <c r="BA6"/>
    </row>
    <row r="7" spans="1:53" x14ac:dyDescent="0.35">
      <c r="A7" s="45" t="s">
        <v>548</v>
      </c>
      <c r="B7" s="147">
        <v>808767.58999999985</v>
      </c>
      <c r="C7" s="147"/>
      <c r="D7" s="147"/>
      <c r="E7" s="147"/>
      <c r="F7" s="147">
        <v>271521.78999999998</v>
      </c>
      <c r="G7" s="147"/>
      <c r="H7" s="147"/>
      <c r="I7" s="147"/>
      <c r="J7" s="147"/>
      <c r="K7" s="147"/>
      <c r="L7" s="22">
        <v>271521.78999999998</v>
      </c>
      <c r="M7" s="36">
        <v>1080289.3799999999</v>
      </c>
      <c r="N7"/>
      <c r="O7"/>
      <c r="S7" s="55"/>
      <c r="U7" s="36"/>
      <c r="V7" s="36"/>
      <c r="W7" s="36"/>
      <c r="X7" s="36"/>
      <c r="Y7" s="36"/>
      <c r="Z7" s="36"/>
      <c r="AA7" s="36"/>
      <c r="AB7" s="36"/>
      <c r="AC7" s="36"/>
      <c r="AD7" s="36"/>
      <c r="AE7" s="41"/>
      <c r="AF7" s="45" t="s">
        <v>548</v>
      </c>
      <c r="AG7" s="156">
        <v>78306</v>
      </c>
      <c r="AH7" s="146"/>
      <c r="AI7" s="146"/>
      <c r="AJ7" s="146"/>
      <c r="AK7" s="146">
        <v>28066</v>
      </c>
      <c r="AL7" s="146"/>
      <c r="AM7" s="146"/>
      <c r="AN7" s="146"/>
      <c r="AO7" s="146"/>
      <c r="AP7" s="146"/>
      <c r="AQ7" s="152">
        <v>28066</v>
      </c>
      <c r="AR7" s="38">
        <v>106372</v>
      </c>
      <c r="BA7"/>
    </row>
    <row r="8" spans="1:53" x14ac:dyDescent="0.35">
      <c r="A8" s="8" t="s">
        <v>738</v>
      </c>
      <c r="B8" s="147"/>
      <c r="C8" s="147"/>
      <c r="D8" s="147"/>
      <c r="E8" s="147"/>
      <c r="F8" s="147">
        <v>355714.35</v>
      </c>
      <c r="G8" s="147"/>
      <c r="H8" s="147">
        <v>18133</v>
      </c>
      <c r="I8" s="147"/>
      <c r="J8" s="147">
        <v>17942.64</v>
      </c>
      <c r="K8" s="147">
        <v>423793.45</v>
      </c>
      <c r="L8" s="22">
        <v>815583.44</v>
      </c>
      <c r="M8" s="36">
        <v>815583.44</v>
      </c>
      <c r="N8"/>
      <c r="O8"/>
      <c r="S8" s="55"/>
      <c r="U8" s="36"/>
      <c r="V8" s="36"/>
      <c r="W8" s="36"/>
      <c r="X8" s="36"/>
      <c r="Y8" s="36"/>
      <c r="Z8" s="36"/>
      <c r="AA8" s="36"/>
      <c r="AB8" s="36"/>
      <c r="AC8" s="36"/>
      <c r="AD8" s="36"/>
      <c r="AE8" s="52"/>
      <c r="AF8" s="45" t="s">
        <v>151</v>
      </c>
      <c r="AG8" s="156">
        <v>42820</v>
      </c>
      <c r="AH8" s="146"/>
      <c r="AI8" s="146"/>
      <c r="AJ8" s="146"/>
      <c r="AK8" s="146">
        <v>12247</v>
      </c>
      <c r="AL8" s="146"/>
      <c r="AM8" s="146"/>
      <c r="AN8" s="146"/>
      <c r="AO8" s="146"/>
      <c r="AP8" s="146"/>
      <c r="AQ8" s="152">
        <v>12247</v>
      </c>
      <c r="AR8" s="38">
        <v>55067</v>
      </c>
      <c r="BA8"/>
    </row>
    <row r="9" spans="1:53" x14ac:dyDescent="0.35">
      <c r="A9" s="45" t="s">
        <v>116</v>
      </c>
      <c r="B9" s="147">
        <v>463961.02999999997</v>
      </c>
      <c r="C9" s="147">
        <v>49826.290000000008</v>
      </c>
      <c r="D9" s="147">
        <v>19160.97</v>
      </c>
      <c r="E9" s="147"/>
      <c r="F9" s="147">
        <v>49600.08</v>
      </c>
      <c r="G9" s="147">
        <v>44066.080000000002</v>
      </c>
      <c r="H9" s="147">
        <v>63169.99</v>
      </c>
      <c r="I9" s="147"/>
      <c r="J9" s="147">
        <v>59166.239999999998</v>
      </c>
      <c r="K9" s="147"/>
      <c r="L9" s="22">
        <v>284989.65000000002</v>
      </c>
      <c r="M9" s="36">
        <v>748950.67999999982</v>
      </c>
      <c r="N9"/>
      <c r="O9"/>
      <c r="S9" s="55"/>
      <c r="U9" s="36"/>
      <c r="V9" s="36"/>
      <c r="W9" s="36"/>
      <c r="X9" s="36"/>
      <c r="Y9" s="36"/>
      <c r="Z9" s="36"/>
      <c r="AA9" s="36"/>
      <c r="AB9" s="36"/>
      <c r="AC9" s="36"/>
      <c r="AD9" s="36"/>
      <c r="AE9" s="41"/>
      <c r="AF9" s="8" t="s">
        <v>738</v>
      </c>
      <c r="AG9" s="156"/>
      <c r="AH9" s="146"/>
      <c r="AI9" s="146"/>
      <c r="AJ9" s="146"/>
      <c r="AK9" s="146">
        <v>24236</v>
      </c>
      <c r="AL9" s="146"/>
      <c r="AM9" s="146">
        <v>608</v>
      </c>
      <c r="AN9" s="146"/>
      <c r="AO9" s="146">
        <v>590</v>
      </c>
      <c r="AP9" s="146">
        <v>26908</v>
      </c>
      <c r="AQ9" s="152">
        <v>52342</v>
      </c>
      <c r="AR9" s="38">
        <v>52342</v>
      </c>
      <c r="BA9"/>
    </row>
    <row r="10" spans="1:53" x14ac:dyDescent="0.35">
      <c r="A10" s="45" t="s">
        <v>151</v>
      </c>
      <c r="B10" s="147">
        <v>493873.25999999978</v>
      </c>
      <c r="C10" s="147"/>
      <c r="D10" s="147"/>
      <c r="E10" s="147"/>
      <c r="F10" s="147">
        <v>119332.51999999999</v>
      </c>
      <c r="G10" s="147"/>
      <c r="H10" s="147"/>
      <c r="I10" s="147"/>
      <c r="J10" s="147"/>
      <c r="K10" s="147"/>
      <c r="L10" s="22">
        <v>119332.51999999999</v>
      </c>
      <c r="M10" s="36">
        <v>613205.7799999998</v>
      </c>
      <c r="N10"/>
      <c r="O10"/>
      <c r="S10" s="5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41"/>
      <c r="AF10" s="45" t="s">
        <v>116</v>
      </c>
      <c r="AG10" s="156">
        <v>28662.6</v>
      </c>
      <c r="AH10" s="146">
        <v>3502</v>
      </c>
      <c r="AI10" s="146">
        <v>1340</v>
      </c>
      <c r="AJ10" s="146"/>
      <c r="AK10" s="146">
        <v>3116</v>
      </c>
      <c r="AL10" s="146">
        <v>3374</v>
      </c>
      <c r="AM10" s="146">
        <v>3812</v>
      </c>
      <c r="AN10" s="146"/>
      <c r="AO10" s="146">
        <v>2913</v>
      </c>
      <c r="AP10" s="146"/>
      <c r="AQ10" s="152">
        <v>18057</v>
      </c>
      <c r="AR10" s="38">
        <v>46719.6</v>
      </c>
      <c r="BA10"/>
    </row>
    <row r="11" spans="1:53" x14ac:dyDescent="0.35">
      <c r="A11" s="45" t="s">
        <v>390</v>
      </c>
      <c r="B11" s="147">
        <v>182253.67000000004</v>
      </c>
      <c r="C11" s="147"/>
      <c r="D11" s="147"/>
      <c r="E11" s="147"/>
      <c r="F11" s="147">
        <v>97254.49</v>
      </c>
      <c r="G11" s="147"/>
      <c r="H11" s="147"/>
      <c r="I11" s="147"/>
      <c r="J11" s="147"/>
      <c r="K11" s="147">
        <v>104588.54</v>
      </c>
      <c r="L11" s="22">
        <v>201843.03</v>
      </c>
      <c r="M11" s="36">
        <v>384096.7</v>
      </c>
      <c r="N11"/>
      <c r="O11"/>
      <c r="S11" s="5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F11" s="45" t="s">
        <v>390</v>
      </c>
      <c r="AG11" s="156">
        <v>17918</v>
      </c>
      <c r="AH11" s="146"/>
      <c r="AI11" s="146"/>
      <c r="AJ11" s="146"/>
      <c r="AK11" s="146">
        <v>11143</v>
      </c>
      <c r="AL11" s="146"/>
      <c r="AM11" s="146"/>
      <c r="AN11" s="146"/>
      <c r="AO11" s="146"/>
      <c r="AP11" s="146">
        <v>10782</v>
      </c>
      <c r="AQ11" s="152">
        <v>21925</v>
      </c>
      <c r="AR11" s="155">
        <v>39843</v>
      </c>
      <c r="BA11"/>
    </row>
    <row r="12" spans="1:53" x14ac:dyDescent="0.35">
      <c r="A12" s="45" t="s">
        <v>550</v>
      </c>
      <c r="B12" s="147">
        <v>99276.88</v>
      </c>
      <c r="C12" s="147"/>
      <c r="D12" s="147">
        <v>79994.080000000002</v>
      </c>
      <c r="E12" s="147"/>
      <c r="F12" s="147"/>
      <c r="G12" s="147">
        <v>103474.96</v>
      </c>
      <c r="H12" s="147"/>
      <c r="I12" s="147"/>
      <c r="J12" s="147"/>
      <c r="K12" s="147">
        <v>74803.61</v>
      </c>
      <c r="L12" s="22">
        <v>258272.65000000002</v>
      </c>
      <c r="M12" s="36">
        <v>357549.53</v>
      </c>
      <c r="N12" s="137"/>
      <c r="O12"/>
      <c r="S12" s="5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F12" s="8" t="s">
        <v>512</v>
      </c>
      <c r="AG12" s="157">
        <v>11860.52</v>
      </c>
      <c r="AH12" s="158"/>
      <c r="AI12" s="158">
        <v>12140</v>
      </c>
      <c r="AJ12" s="158"/>
      <c r="AK12" s="158"/>
      <c r="AL12" s="158"/>
      <c r="AM12" s="158"/>
      <c r="AN12" s="158"/>
      <c r="AO12" s="158"/>
      <c r="AP12" s="158"/>
      <c r="AQ12" s="154">
        <v>12140</v>
      </c>
      <c r="AR12" s="38">
        <v>24000.52</v>
      </c>
      <c r="BA12"/>
    </row>
    <row r="13" spans="1:53" x14ac:dyDescent="0.35">
      <c r="A13" s="8" t="s">
        <v>512</v>
      </c>
      <c r="B13" s="147">
        <v>180129.59</v>
      </c>
      <c r="C13" s="147"/>
      <c r="D13" s="147">
        <v>114700.02</v>
      </c>
      <c r="E13" s="147"/>
      <c r="F13" s="147"/>
      <c r="G13" s="147"/>
      <c r="H13" s="147"/>
      <c r="I13" s="147"/>
      <c r="J13" s="147"/>
      <c r="K13" s="147"/>
      <c r="L13" s="22">
        <v>114700.02</v>
      </c>
      <c r="M13" s="24">
        <v>294829.61</v>
      </c>
      <c r="N13"/>
      <c r="O13"/>
      <c r="S13" s="5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F13" s="45" t="s">
        <v>295</v>
      </c>
      <c r="AG13" s="157">
        <v>15184.06</v>
      </c>
      <c r="AH13" s="158"/>
      <c r="AI13" s="158"/>
      <c r="AJ13" s="158">
        <v>3767</v>
      </c>
      <c r="AK13" s="158"/>
      <c r="AL13" s="158"/>
      <c r="AM13" s="158"/>
      <c r="AN13" s="158">
        <v>4119</v>
      </c>
      <c r="AO13" s="158"/>
      <c r="AP13" s="158"/>
      <c r="AQ13" s="154">
        <v>7886</v>
      </c>
      <c r="AR13" s="155">
        <v>23070.059999999998</v>
      </c>
      <c r="BA13"/>
    </row>
    <row r="14" spans="1:53" x14ac:dyDescent="0.35">
      <c r="A14" s="45" t="s">
        <v>295</v>
      </c>
      <c r="B14" s="147">
        <v>193595.43000000002</v>
      </c>
      <c r="C14" s="147"/>
      <c r="D14" s="147"/>
      <c r="E14" s="147">
        <v>39474.469999999994</v>
      </c>
      <c r="F14" s="147"/>
      <c r="G14" s="147"/>
      <c r="H14" s="147"/>
      <c r="I14" s="147">
        <v>40841.539999999994</v>
      </c>
      <c r="J14" s="147"/>
      <c r="K14" s="147"/>
      <c r="L14" s="22">
        <v>80316.00999999998</v>
      </c>
      <c r="M14" s="36">
        <v>273911.44</v>
      </c>
      <c r="N14"/>
      <c r="O14"/>
      <c r="S14" s="5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F14" s="8" t="s">
        <v>670</v>
      </c>
      <c r="AG14" s="162"/>
      <c r="AH14" s="163"/>
      <c r="AI14" s="163"/>
      <c r="AJ14" s="163"/>
      <c r="AK14" s="163"/>
      <c r="AL14" s="163"/>
      <c r="AM14" s="163"/>
      <c r="AN14" s="163"/>
      <c r="AO14" s="158">
        <v>22778</v>
      </c>
      <c r="AP14" s="163"/>
      <c r="AQ14" s="154">
        <v>22778</v>
      </c>
      <c r="AR14" s="38">
        <v>22778</v>
      </c>
      <c r="BA14"/>
    </row>
    <row r="15" spans="1:53" x14ac:dyDescent="0.35">
      <c r="A15" s="8" t="s">
        <v>795</v>
      </c>
      <c r="B15" s="147"/>
      <c r="C15" s="147"/>
      <c r="D15" s="147"/>
      <c r="E15" s="147"/>
      <c r="F15" s="147"/>
      <c r="G15" s="147"/>
      <c r="H15" s="147"/>
      <c r="I15" s="147"/>
      <c r="J15" s="147">
        <v>242737.89</v>
      </c>
      <c r="K15" s="147"/>
      <c r="L15" s="22">
        <v>242737.89</v>
      </c>
      <c r="M15" s="24">
        <v>242737.89</v>
      </c>
      <c r="N15" s="137"/>
      <c r="O15"/>
      <c r="S15" s="5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F15" s="45" t="s">
        <v>589</v>
      </c>
      <c r="AG15" s="157">
        <v>21553.983</v>
      </c>
      <c r="AH15" s="158"/>
      <c r="AI15" s="158"/>
      <c r="AJ15" s="158"/>
      <c r="AK15" s="158"/>
      <c r="AL15" s="158"/>
      <c r="AM15" s="158"/>
      <c r="AN15" s="158"/>
      <c r="AO15" s="158"/>
      <c r="AP15" s="158"/>
      <c r="AQ15" s="154"/>
      <c r="AR15" s="155">
        <v>21553.983</v>
      </c>
      <c r="BA15"/>
    </row>
    <row r="16" spans="1:53" x14ac:dyDescent="0.35">
      <c r="A16" s="26" t="s">
        <v>589</v>
      </c>
      <c r="B16" s="147">
        <v>236975.8</v>
      </c>
      <c r="C16" s="147"/>
      <c r="D16" s="147"/>
      <c r="E16" s="147"/>
      <c r="F16" s="147"/>
      <c r="G16" s="147"/>
      <c r="H16" s="147"/>
      <c r="I16" s="147"/>
      <c r="J16" s="147"/>
      <c r="K16" s="147"/>
      <c r="L16" s="22"/>
      <c r="M16" s="36">
        <v>236975.8</v>
      </c>
      <c r="N16"/>
      <c r="O16"/>
      <c r="S16" s="5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F16" s="26" t="s">
        <v>387</v>
      </c>
      <c r="AG16" s="156">
        <v>12483.897000000001</v>
      </c>
      <c r="AH16" s="146"/>
      <c r="AI16" s="146"/>
      <c r="AJ16" s="146"/>
      <c r="AK16" s="146"/>
      <c r="AL16" s="146">
        <v>3771</v>
      </c>
      <c r="AM16" s="146"/>
      <c r="AN16" s="146"/>
      <c r="AO16" s="146"/>
      <c r="AP16" s="146"/>
      <c r="AQ16" s="152">
        <v>3771</v>
      </c>
      <c r="AR16" s="38">
        <v>16254.897000000001</v>
      </c>
      <c r="BA16"/>
    </row>
    <row r="17" spans="1:53" x14ac:dyDescent="0.35">
      <c r="A17" s="26" t="s">
        <v>387</v>
      </c>
      <c r="B17" s="159">
        <v>175581.16999999998</v>
      </c>
      <c r="C17" s="159"/>
      <c r="D17" s="159"/>
      <c r="E17" s="159"/>
      <c r="F17" s="159"/>
      <c r="G17" s="159">
        <v>43790.11</v>
      </c>
      <c r="H17" s="159"/>
      <c r="I17" s="159"/>
      <c r="J17" s="159"/>
      <c r="K17" s="159"/>
      <c r="L17" s="144">
        <v>43790.11</v>
      </c>
      <c r="M17" s="142">
        <v>219371.27999999997</v>
      </c>
      <c r="N17"/>
      <c r="O17"/>
      <c r="S17" s="5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F17" s="26" t="s">
        <v>223</v>
      </c>
      <c r="AG17" s="157">
        <v>15752</v>
      </c>
      <c r="AH17" s="158"/>
      <c r="AI17" s="158"/>
      <c r="AJ17" s="158"/>
      <c r="AK17" s="158"/>
      <c r="AL17" s="158"/>
      <c r="AM17" s="158"/>
      <c r="AN17" s="158"/>
      <c r="AO17" s="158"/>
      <c r="AP17" s="158"/>
      <c r="AQ17" s="154"/>
      <c r="AR17" s="38">
        <v>15752</v>
      </c>
      <c r="BA17"/>
    </row>
    <row r="18" spans="1:53" x14ac:dyDescent="0.35">
      <c r="A18" s="143" t="s">
        <v>670</v>
      </c>
      <c r="B18" s="147"/>
      <c r="C18" s="147"/>
      <c r="D18" s="147"/>
      <c r="E18" s="147"/>
      <c r="F18" s="147"/>
      <c r="G18" s="147"/>
      <c r="H18" s="147"/>
      <c r="I18" s="147"/>
      <c r="J18" s="147">
        <v>206916.71999999997</v>
      </c>
      <c r="K18" s="147"/>
      <c r="L18" s="22">
        <v>206916.71999999997</v>
      </c>
      <c r="M18" s="24">
        <v>206916.71999999997</v>
      </c>
      <c r="N18"/>
      <c r="O18"/>
      <c r="S18" s="5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F18" s="26" t="s">
        <v>549</v>
      </c>
      <c r="AG18" s="156">
        <v>8011.2830000000004</v>
      </c>
      <c r="AH18" s="146"/>
      <c r="AI18" s="146"/>
      <c r="AJ18" s="146"/>
      <c r="AK18" s="146"/>
      <c r="AL18" s="146">
        <v>7405</v>
      </c>
      <c r="AM18" s="146"/>
      <c r="AN18" s="146"/>
      <c r="AO18" s="146"/>
      <c r="AP18" s="146"/>
      <c r="AQ18" s="152">
        <v>7405</v>
      </c>
      <c r="AR18" s="38">
        <v>15416.282999999999</v>
      </c>
      <c r="BA18"/>
    </row>
    <row r="19" spans="1:53" x14ac:dyDescent="0.35">
      <c r="A19" s="143" t="s">
        <v>711</v>
      </c>
      <c r="B19" s="147"/>
      <c r="C19" s="147"/>
      <c r="D19" s="147">
        <v>122233.09</v>
      </c>
      <c r="E19" s="147"/>
      <c r="F19" s="147"/>
      <c r="G19" s="147"/>
      <c r="H19" s="147"/>
      <c r="I19" s="147">
        <v>63352.98</v>
      </c>
      <c r="J19" s="147"/>
      <c r="K19" s="147"/>
      <c r="L19" s="22">
        <v>185586.07</v>
      </c>
      <c r="M19" s="36">
        <v>185586.07</v>
      </c>
      <c r="N19"/>
      <c r="O19"/>
      <c r="S19" s="5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F19" s="143" t="s">
        <v>669</v>
      </c>
      <c r="AG19" s="156"/>
      <c r="AH19" s="146"/>
      <c r="AI19" s="146"/>
      <c r="AJ19" s="146">
        <v>4885</v>
      </c>
      <c r="AK19" s="146"/>
      <c r="AL19" s="146"/>
      <c r="AM19" s="146">
        <v>5017.83</v>
      </c>
      <c r="AN19" s="146">
        <v>3288</v>
      </c>
      <c r="AO19" s="146"/>
      <c r="AP19" s="146"/>
      <c r="AQ19" s="152">
        <v>13190.83</v>
      </c>
      <c r="AR19" s="25">
        <v>13190.83</v>
      </c>
      <c r="BA19"/>
    </row>
    <row r="20" spans="1:53" x14ac:dyDescent="0.35">
      <c r="A20" s="26" t="s">
        <v>549</v>
      </c>
      <c r="B20" s="147">
        <v>77365.97</v>
      </c>
      <c r="C20" s="147"/>
      <c r="D20" s="147"/>
      <c r="E20" s="147"/>
      <c r="F20" s="147"/>
      <c r="G20" s="147">
        <v>81085.950000000012</v>
      </c>
      <c r="H20" s="147"/>
      <c r="I20" s="147"/>
      <c r="J20" s="147"/>
      <c r="K20" s="147"/>
      <c r="L20" s="22">
        <v>81085.950000000012</v>
      </c>
      <c r="M20" s="36">
        <v>158451.92000000001</v>
      </c>
      <c r="N20"/>
      <c r="O20"/>
      <c r="S20" s="5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F20" s="26" t="s">
        <v>550</v>
      </c>
      <c r="AG20" s="156">
        <v>3152.08</v>
      </c>
      <c r="AH20" s="146"/>
      <c r="AI20" s="146">
        <v>3313</v>
      </c>
      <c r="AJ20" s="146"/>
      <c r="AK20" s="146"/>
      <c r="AL20" s="146">
        <v>3730</v>
      </c>
      <c r="AM20" s="146"/>
      <c r="AN20" s="146"/>
      <c r="AO20" s="146"/>
      <c r="AP20" s="146">
        <v>2445</v>
      </c>
      <c r="AQ20" s="152">
        <v>9488</v>
      </c>
      <c r="AR20" s="25">
        <v>12640.08</v>
      </c>
      <c r="BA20"/>
    </row>
    <row r="21" spans="1:53" x14ac:dyDescent="0.35">
      <c r="A21" s="26" t="s">
        <v>223</v>
      </c>
      <c r="B21" s="159">
        <v>139359.39000000001</v>
      </c>
      <c r="C21" s="159"/>
      <c r="D21" s="159"/>
      <c r="E21" s="159"/>
      <c r="F21" s="159"/>
      <c r="G21" s="159"/>
      <c r="H21" s="159"/>
      <c r="I21" s="159"/>
      <c r="J21" s="159"/>
      <c r="K21" s="159"/>
      <c r="L21" s="144"/>
      <c r="M21" s="142">
        <v>139359.39000000001</v>
      </c>
      <c r="N21"/>
      <c r="O21"/>
      <c r="S21" s="5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F21" s="143" t="s">
        <v>711</v>
      </c>
      <c r="AG21" s="156"/>
      <c r="AH21" s="146"/>
      <c r="AI21" s="146">
        <v>6338</v>
      </c>
      <c r="AJ21" s="146"/>
      <c r="AK21" s="146"/>
      <c r="AL21" s="146"/>
      <c r="AM21" s="146"/>
      <c r="AN21" s="146">
        <v>2461</v>
      </c>
      <c r="AO21" s="146"/>
      <c r="AP21" s="146"/>
      <c r="AQ21" s="152">
        <v>8799</v>
      </c>
      <c r="AR21" s="25">
        <v>8799</v>
      </c>
      <c r="BA21"/>
    </row>
    <row r="22" spans="1:53" x14ac:dyDescent="0.35">
      <c r="A22" s="26" t="s">
        <v>344</v>
      </c>
      <c r="B22" s="147">
        <v>118571.3</v>
      </c>
      <c r="C22" s="147"/>
      <c r="D22" s="147"/>
      <c r="E22" s="147"/>
      <c r="F22" s="147"/>
      <c r="G22" s="147"/>
      <c r="H22" s="147"/>
      <c r="I22" s="147"/>
      <c r="J22" s="147"/>
      <c r="K22" s="147"/>
      <c r="L22" s="22"/>
      <c r="M22" s="142">
        <v>118571.3</v>
      </c>
      <c r="N22"/>
      <c r="O22"/>
      <c r="S22" s="5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F22" s="26" t="s">
        <v>344</v>
      </c>
      <c r="AG22" s="156">
        <v>7529</v>
      </c>
      <c r="AH22" s="146"/>
      <c r="AI22" s="146"/>
      <c r="AJ22" s="146"/>
      <c r="AK22" s="146"/>
      <c r="AL22" s="146"/>
      <c r="AM22" s="146"/>
      <c r="AN22" s="146"/>
      <c r="AO22" s="146"/>
      <c r="AP22" s="146"/>
      <c r="AQ22" s="152"/>
      <c r="AR22" s="25">
        <v>7529</v>
      </c>
      <c r="BA22"/>
    </row>
    <row r="23" spans="1:53" x14ac:dyDescent="0.35">
      <c r="A23" s="143" t="s">
        <v>669</v>
      </c>
      <c r="B23" s="147"/>
      <c r="C23" s="147"/>
      <c r="D23" s="147"/>
      <c r="E23" s="147">
        <v>33242.959999999999</v>
      </c>
      <c r="F23" s="147"/>
      <c r="G23" s="147"/>
      <c r="H23" s="147">
        <v>50181.58</v>
      </c>
      <c r="I23" s="147">
        <v>29542.639999999999</v>
      </c>
      <c r="J23" s="147"/>
      <c r="K23" s="147"/>
      <c r="L23" s="22">
        <v>112967.18000000001</v>
      </c>
      <c r="M23" s="24">
        <v>112967.18000000001</v>
      </c>
      <c r="N23"/>
      <c r="O23"/>
      <c r="S23" s="5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F23" s="2" t="s">
        <v>81</v>
      </c>
      <c r="AG23" s="156">
        <v>5414</v>
      </c>
      <c r="AH23" s="146"/>
      <c r="AI23" s="146"/>
      <c r="AJ23" s="146"/>
      <c r="AK23" s="146"/>
      <c r="AL23" s="146"/>
      <c r="AM23" s="146"/>
      <c r="AN23" s="146"/>
      <c r="AO23" s="146"/>
      <c r="AP23" s="146"/>
      <c r="AQ23" s="152"/>
      <c r="AR23" s="25">
        <v>5414</v>
      </c>
      <c r="BA23"/>
    </row>
    <row r="24" spans="1:53" x14ac:dyDescent="0.35">
      <c r="A24" s="143" t="s">
        <v>774</v>
      </c>
      <c r="B24" s="147"/>
      <c r="C24" s="147"/>
      <c r="D24" s="147"/>
      <c r="E24" s="147"/>
      <c r="F24" s="147"/>
      <c r="G24" s="147">
        <v>87348.87999999999</v>
      </c>
      <c r="H24" s="147"/>
      <c r="I24" s="147"/>
      <c r="J24" s="147"/>
      <c r="K24" s="147"/>
      <c r="L24" s="22">
        <v>87348.87999999999</v>
      </c>
      <c r="M24" s="24">
        <v>87348.87999999999</v>
      </c>
      <c r="N24"/>
      <c r="O24"/>
      <c r="S24" s="5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F24" s="26" t="s">
        <v>456</v>
      </c>
      <c r="AG24" s="157">
        <v>5188</v>
      </c>
      <c r="AH24" s="158"/>
      <c r="AI24" s="158"/>
      <c r="AJ24" s="158"/>
      <c r="AK24" s="158"/>
      <c r="AL24" s="158"/>
      <c r="AM24" s="158"/>
      <c r="AN24" s="158"/>
      <c r="AO24" s="158"/>
      <c r="AP24" s="158"/>
      <c r="AQ24" s="154"/>
      <c r="AR24" s="155">
        <v>5188</v>
      </c>
      <c r="BA24"/>
    </row>
    <row r="25" spans="1:53" x14ac:dyDescent="0.35">
      <c r="A25" s="143" t="s">
        <v>794</v>
      </c>
      <c r="B25" s="147"/>
      <c r="C25" s="147"/>
      <c r="D25" s="147"/>
      <c r="E25" s="147"/>
      <c r="F25" s="147"/>
      <c r="G25" s="147"/>
      <c r="H25" s="147"/>
      <c r="I25" s="147"/>
      <c r="J25" s="147">
        <v>75266.149999999994</v>
      </c>
      <c r="K25" s="147"/>
      <c r="L25" s="22">
        <v>75266.149999999994</v>
      </c>
      <c r="M25" s="24">
        <v>75266.149999999994</v>
      </c>
      <c r="N25"/>
      <c r="O25"/>
      <c r="S25" s="5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F25" s="2" t="s">
        <v>796</v>
      </c>
      <c r="AG25" s="152"/>
      <c r="AH25" s="146"/>
      <c r="AI25" s="146"/>
      <c r="AJ25" s="146"/>
      <c r="AK25" s="146"/>
      <c r="AL25" s="146"/>
      <c r="AM25" s="146"/>
      <c r="AN25" s="146"/>
      <c r="AO25" s="146">
        <v>5054</v>
      </c>
      <c r="AP25" s="146"/>
      <c r="AQ25" s="152">
        <v>5054</v>
      </c>
      <c r="AR25" s="25">
        <v>5054</v>
      </c>
      <c r="BA25"/>
    </row>
    <row r="26" spans="1:53" x14ac:dyDescent="0.35">
      <c r="A26" s="26" t="s">
        <v>81</v>
      </c>
      <c r="B26" s="147">
        <v>75015.420000000013</v>
      </c>
      <c r="C26" s="147"/>
      <c r="D26" s="147"/>
      <c r="E26" s="147"/>
      <c r="F26" s="147"/>
      <c r="G26" s="147"/>
      <c r="H26" s="147"/>
      <c r="I26" s="147"/>
      <c r="J26" s="147"/>
      <c r="K26" s="147"/>
      <c r="L26" s="22"/>
      <c r="M26" s="24">
        <v>75015.420000000013</v>
      </c>
      <c r="N26"/>
      <c r="O26"/>
      <c r="S26" s="5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F26" s="2" t="s">
        <v>774</v>
      </c>
      <c r="AG26" s="156"/>
      <c r="AH26" s="146"/>
      <c r="AI26" s="146"/>
      <c r="AJ26" s="146"/>
      <c r="AK26" s="146"/>
      <c r="AL26" s="146">
        <v>4697</v>
      </c>
      <c r="AM26" s="146"/>
      <c r="AN26" s="146"/>
      <c r="AO26" s="146"/>
      <c r="AP26" s="146"/>
      <c r="AQ26" s="152">
        <v>4697</v>
      </c>
      <c r="AR26" s="25">
        <v>4697</v>
      </c>
      <c r="BA26"/>
    </row>
    <row r="27" spans="1:53" x14ac:dyDescent="0.35">
      <c r="A27" s="26" t="s">
        <v>456</v>
      </c>
      <c r="B27" s="147">
        <v>60369.8</v>
      </c>
      <c r="C27" s="147"/>
      <c r="D27" s="147"/>
      <c r="E27" s="147"/>
      <c r="F27" s="147"/>
      <c r="G27" s="147"/>
      <c r="H27" s="147"/>
      <c r="I27" s="147"/>
      <c r="J27" s="147"/>
      <c r="K27" s="147"/>
      <c r="L27" s="22"/>
      <c r="M27" s="24">
        <v>60369.8</v>
      </c>
      <c r="N27"/>
      <c r="O27"/>
      <c r="S27" s="5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F27" s="2" t="s">
        <v>492</v>
      </c>
      <c r="AG27" s="152"/>
      <c r="AH27" s="146"/>
      <c r="AI27" s="146"/>
      <c r="AJ27" s="146"/>
      <c r="AK27" s="146"/>
      <c r="AL27" s="146"/>
      <c r="AM27" s="146"/>
      <c r="AN27" s="146"/>
      <c r="AO27" s="146">
        <v>1367</v>
      </c>
      <c r="AP27" s="146">
        <v>2734</v>
      </c>
      <c r="AQ27" s="152">
        <v>4101</v>
      </c>
      <c r="AR27" s="25">
        <v>4101</v>
      </c>
      <c r="BA27"/>
    </row>
    <row r="28" spans="1:53" x14ac:dyDescent="0.35">
      <c r="A28" s="143" t="s">
        <v>492</v>
      </c>
      <c r="B28" s="147"/>
      <c r="C28" s="147"/>
      <c r="D28" s="147"/>
      <c r="E28" s="147"/>
      <c r="F28" s="147"/>
      <c r="G28" s="147"/>
      <c r="H28" s="147"/>
      <c r="I28" s="147"/>
      <c r="J28" s="147">
        <v>19390.849999999999</v>
      </c>
      <c r="K28" s="147">
        <v>38501.269999999997</v>
      </c>
      <c r="L28" s="22">
        <v>57892.119999999995</v>
      </c>
      <c r="M28" s="24">
        <v>57892.119999999995</v>
      </c>
      <c r="N28"/>
      <c r="O28"/>
      <c r="S28" s="5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F28" s="143" t="s">
        <v>712</v>
      </c>
      <c r="AG28" s="156"/>
      <c r="AH28" s="146"/>
      <c r="AI28" s="146">
        <v>3002</v>
      </c>
      <c r="AJ28" s="146"/>
      <c r="AK28" s="146"/>
      <c r="AL28" s="146"/>
      <c r="AM28" s="146"/>
      <c r="AN28" s="146"/>
      <c r="AO28" s="146"/>
      <c r="AP28" s="146"/>
      <c r="AQ28" s="152">
        <v>3002</v>
      </c>
      <c r="AR28" s="25">
        <v>3002</v>
      </c>
      <c r="BA28"/>
    </row>
    <row r="29" spans="1:53" x14ac:dyDescent="0.35">
      <c r="A29" s="143" t="s">
        <v>797</v>
      </c>
      <c r="B29" s="147"/>
      <c r="C29" s="147"/>
      <c r="D29" s="147"/>
      <c r="E29" s="147"/>
      <c r="F29" s="147"/>
      <c r="G29" s="147"/>
      <c r="H29" s="147"/>
      <c r="I29" s="147"/>
      <c r="J29" s="147">
        <v>49421.15</v>
      </c>
      <c r="K29" s="147"/>
      <c r="L29" s="22">
        <v>49421.15</v>
      </c>
      <c r="M29" s="24">
        <v>49421.15</v>
      </c>
      <c r="N29"/>
      <c r="O29"/>
      <c r="S29" s="5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F29" s="26" t="s">
        <v>453</v>
      </c>
      <c r="AG29" s="156">
        <v>2138</v>
      </c>
      <c r="AH29" s="146"/>
      <c r="AI29" s="146"/>
      <c r="AJ29" s="146"/>
      <c r="AK29" s="146"/>
      <c r="AL29" s="146"/>
      <c r="AM29" s="146"/>
      <c r="AN29" s="146"/>
      <c r="AO29" s="146"/>
      <c r="AP29" s="146"/>
      <c r="AQ29" s="152"/>
      <c r="AR29" s="25">
        <v>2138</v>
      </c>
      <c r="BA29"/>
    </row>
    <row r="30" spans="1:53" x14ac:dyDescent="0.35">
      <c r="A30" s="26" t="s">
        <v>453</v>
      </c>
      <c r="B30" s="147">
        <v>40308.06</v>
      </c>
      <c r="C30" s="147"/>
      <c r="D30" s="147"/>
      <c r="E30" s="147"/>
      <c r="F30" s="147"/>
      <c r="G30" s="147"/>
      <c r="H30" s="147"/>
      <c r="I30" s="147"/>
      <c r="J30" s="147"/>
      <c r="K30" s="147"/>
      <c r="L30" s="22"/>
      <c r="M30" s="142">
        <v>40308.06</v>
      </c>
      <c r="R30" s="66"/>
      <c r="S30" s="5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F30" s="26" t="s">
        <v>585</v>
      </c>
      <c r="AG30" s="152">
        <v>559</v>
      </c>
      <c r="AH30" s="146"/>
      <c r="AI30" s="146"/>
      <c r="AJ30" s="146"/>
      <c r="AK30" s="146"/>
      <c r="AL30" s="146"/>
      <c r="AM30" s="146"/>
      <c r="AN30" s="146"/>
      <c r="AO30" s="146"/>
      <c r="AP30" s="146"/>
      <c r="AQ30" s="152"/>
      <c r="AR30" s="25">
        <v>559</v>
      </c>
      <c r="BA30"/>
    </row>
    <row r="31" spans="1:53" x14ac:dyDescent="0.35">
      <c r="A31" s="143" t="s">
        <v>796</v>
      </c>
      <c r="B31" s="147"/>
      <c r="C31" s="147"/>
      <c r="D31" s="147"/>
      <c r="E31" s="147"/>
      <c r="F31" s="147"/>
      <c r="G31" s="147"/>
      <c r="H31" s="147"/>
      <c r="I31" s="147"/>
      <c r="J31" s="147">
        <v>34106.300000000003</v>
      </c>
      <c r="K31" s="147"/>
      <c r="L31" s="22">
        <v>34106.300000000003</v>
      </c>
      <c r="M31" s="24">
        <v>34106.300000000003</v>
      </c>
      <c r="R31" s="66"/>
      <c r="S31" s="5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F31" s="2" t="s">
        <v>524</v>
      </c>
      <c r="AG31" s="156">
        <v>10</v>
      </c>
      <c r="AH31" s="146"/>
      <c r="AI31" s="146"/>
      <c r="AJ31" s="146"/>
      <c r="AK31" s="146"/>
      <c r="AL31" s="146"/>
      <c r="AM31" s="146"/>
      <c r="AN31" s="146"/>
      <c r="AO31" s="146"/>
      <c r="AP31" s="146"/>
      <c r="AQ31" s="152"/>
      <c r="AR31" s="25">
        <v>10</v>
      </c>
      <c r="BA31"/>
    </row>
    <row r="32" spans="1:53" x14ac:dyDescent="0.35">
      <c r="A32" s="143" t="s">
        <v>712</v>
      </c>
      <c r="B32" s="147"/>
      <c r="C32" s="147"/>
      <c r="D32" s="147">
        <v>23570.050000000003</v>
      </c>
      <c r="E32" s="147"/>
      <c r="F32" s="147"/>
      <c r="G32" s="147"/>
      <c r="H32" s="147"/>
      <c r="I32" s="147"/>
      <c r="J32" s="147"/>
      <c r="K32" s="147"/>
      <c r="L32" s="22">
        <v>23570.050000000003</v>
      </c>
      <c r="M32" s="24">
        <v>23570.050000000003</v>
      </c>
      <c r="AF32" s="2" t="s">
        <v>771</v>
      </c>
      <c r="AG32" s="152">
        <v>377665.86300000001</v>
      </c>
      <c r="AH32" s="23">
        <v>3502</v>
      </c>
      <c r="AI32" s="23">
        <v>34335</v>
      </c>
      <c r="AJ32" s="23">
        <v>8652</v>
      </c>
      <c r="AK32" s="23">
        <v>78808</v>
      </c>
      <c r="AL32" s="23">
        <v>22977</v>
      </c>
      <c r="AM32" s="23">
        <v>18575.830000000002</v>
      </c>
      <c r="AN32" s="23">
        <v>9868</v>
      </c>
      <c r="AO32" s="23">
        <v>32702</v>
      </c>
      <c r="AP32" s="23">
        <v>47987</v>
      </c>
      <c r="AQ32" s="152">
        <v>257406.83</v>
      </c>
      <c r="AR32" s="25">
        <v>635072.69299999997</v>
      </c>
      <c r="BA32"/>
    </row>
    <row r="33" spans="1:36" x14ac:dyDescent="0.35">
      <c r="A33" s="26" t="s">
        <v>585</v>
      </c>
      <c r="B33" s="147">
        <v>6888.53</v>
      </c>
      <c r="C33" s="147"/>
      <c r="D33" s="147"/>
      <c r="E33" s="147"/>
      <c r="F33" s="147"/>
      <c r="G33" s="147"/>
      <c r="H33" s="147"/>
      <c r="I33" s="147"/>
      <c r="J33" s="147"/>
      <c r="K33" s="147"/>
      <c r="L33" s="22"/>
      <c r="M33" s="24">
        <v>6888.53</v>
      </c>
      <c r="AJ33"/>
    </row>
    <row r="34" spans="1:36" x14ac:dyDescent="0.35">
      <c r="A34" s="143" t="s">
        <v>789</v>
      </c>
      <c r="B34" s="147"/>
      <c r="C34" s="147"/>
      <c r="D34" s="147"/>
      <c r="E34" s="147"/>
      <c r="F34" s="147"/>
      <c r="G34" s="147"/>
      <c r="H34" s="147"/>
      <c r="I34" s="147">
        <v>5346.22</v>
      </c>
      <c r="J34" s="147"/>
      <c r="K34" s="147"/>
      <c r="L34" s="22">
        <v>5346.22</v>
      </c>
      <c r="M34" s="24">
        <v>5346.22</v>
      </c>
      <c r="AJ34"/>
    </row>
    <row r="35" spans="1:36" x14ac:dyDescent="0.35">
      <c r="A35" s="26" t="s">
        <v>524</v>
      </c>
      <c r="B35" s="147">
        <v>104.02</v>
      </c>
      <c r="C35" s="147"/>
      <c r="D35" s="147"/>
      <c r="E35" s="147"/>
      <c r="F35" s="147"/>
      <c r="G35" s="147"/>
      <c r="H35" s="147"/>
      <c r="I35" s="147"/>
      <c r="J35" s="147"/>
      <c r="K35" s="147"/>
      <c r="L35" s="22"/>
      <c r="M35" s="24">
        <v>104.02</v>
      </c>
      <c r="AJ35"/>
    </row>
    <row r="36" spans="1:36" x14ac:dyDescent="0.35">
      <c r="A36" s="2" t="s">
        <v>771</v>
      </c>
      <c r="B36" s="22">
        <v>5161480.1599999983</v>
      </c>
      <c r="C36" s="22">
        <v>49826.290000000008</v>
      </c>
      <c r="D36" s="22">
        <v>423359.32</v>
      </c>
      <c r="E36" s="22">
        <v>72717.429999999993</v>
      </c>
      <c r="F36" s="22">
        <v>893423.23</v>
      </c>
      <c r="G36" s="22">
        <v>359765.98000000004</v>
      </c>
      <c r="H36" s="22">
        <v>247807.51</v>
      </c>
      <c r="I36" s="22">
        <v>139083.38</v>
      </c>
      <c r="J36" s="22">
        <v>704947.94000000006</v>
      </c>
      <c r="K36" s="22">
        <v>687493.1</v>
      </c>
      <c r="L36" s="22">
        <v>3578424.1799999997</v>
      </c>
      <c r="M36" s="24">
        <v>8739904.3400000017</v>
      </c>
    </row>
    <row r="37" spans="1:36" x14ac:dyDescent="0.35">
      <c r="B37"/>
      <c r="L37"/>
    </row>
    <row r="68" spans="18:18" x14ac:dyDescent="0.35">
      <c r="R68" s="89" t="s">
        <v>709</v>
      </c>
    </row>
  </sheetData>
  <hyperlinks>
    <hyperlink ref="R1" location="' 2026 CY vs SPYA'!R68" display="GRAPHS" xr:uid="{522A81ED-7A0A-4096-8BFB-AA56E52AD339}"/>
    <hyperlink ref="R68" location="' 2026 CY vs SPYA'!R1" display="TOP" xr:uid="{E8B80FA3-8D88-4846-9F68-9CF2F72ED81C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097D-BC1E-4EAC-A404-536A787AB24D}">
  <sheetPr>
    <tabColor rgb="FF92D050"/>
  </sheetPr>
  <dimension ref="A1:Z60"/>
  <sheetViews>
    <sheetView showGridLines="0" zoomScale="110" zoomScaleNormal="110" workbookViewId="0">
      <selection activeCell="K1" sqref="K1"/>
    </sheetView>
  </sheetViews>
  <sheetFormatPr baseColWidth="10" defaultColWidth="10.90625" defaultRowHeight="14.5" x14ac:dyDescent="0.35"/>
  <cols>
    <col min="1" max="1" width="51.7265625" bestFit="1" customWidth="1"/>
    <col min="2" max="2" width="20" style="3" bestFit="1" customWidth="1"/>
    <col min="3" max="3" width="6.7265625" style="3" bestFit="1" customWidth="1"/>
    <col min="4" max="5" width="5.36328125" style="3" bestFit="1" customWidth="1"/>
    <col min="6" max="6" width="9.54296875" bestFit="1" customWidth="1"/>
    <col min="7" max="7" width="11.7265625" bestFit="1" customWidth="1"/>
    <col min="8" max="10" width="1.54296875" customWidth="1"/>
    <col min="11" max="11" width="8.1796875" customWidth="1"/>
    <col min="12" max="15" width="1" customWidth="1"/>
    <col min="16" max="16" width="1.08984375" customWidth="1"/>
    <col min="17" max="19" width="1.1796875" customWidth="1"/>
    <col min="20" max="20" width="51.7265625" bestFit="1" customWidth="1"/>
    <col min="21" max="21" width="20" bestFit="1" customWidth="1"/>
    <col min="22" max="22" width="8.90625" bestFit="1" customWidth="1"/>
    <col min="23" max="23" width="9.90625" style="3" bestFit="1" customWidth="1"/>
    <col min="24" max="24" width="8.90625" bestFit="1" customWidth="1"/>
    <col min="25" max="25" width="9.90625" bestFit="1" customWidth="1"/>
    <col min="26" max="26" width="11.7265625" bestFit="1" customWidth="1"/>
    <col min="27" max="27" width="8.90625" bestFit="1" customWidth="1"/>
    <col min="28" max="28" width="9.90625" bestFit="1" customWidth="1"/>
    <col min="29" max="29" width="11.7265625" bestFit="1" customWidth="1"/>
    <col min="30" max="30" width="10.1796875" bestFit="1" customWidth="1"/>
    <col min="31" max="32" width="9.1796875" bestFit="1" customWidth="1"/>
    <col min="33" max="33" width="9.81640625" bestFit="1" customWidth="1"/>
    <col min="34" max="34" width="12.54296875" bestFit="1" customWidth="1"/>
  </cols>
  <sheetData>
    <row r="1" spans="1:26" x14ac:dyDescent="0.35">
      <c r="B1"/>
      <c r="C1" s="42"/>
      <c r="D1" s="42"/>
      <c r="E1" s="42"/>
      <c r="F1" s="4"/>
      <c r="G1" s="4"/>
      <c r="H1" s="4"/>
      <c r="I1" s="4"/>
      <c r="J1" s="4"/>
      <c r="K1" s="87" t="s">
        <v>710</v>
      </c>
      <c r="L1" s="4"/>
      <c r="M1" s="4"/>
      <c r="O1" s="4"/>
      <c r="P1" s="4"/>
      <c r="Q1" s="4"/>
      <c r="R1" s="4"/>
      <c r="S1" s="4"/>
    </row>
    <row r="2" spans="1:26" x14ac:dyDescent="0.35">
      <c r="A2" s="1" t="s">
        <v>4</v>
      </c>
      <c r="B2" s="5" t="s">
        <v>42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 t="s">
        <v>4</v>
      </c>
      <c r="U2" s="5" t="s">
        <v>42</v>
      </c>
    </row>
    <row r="3" spans="1:26" x14ac:dyDescent="0.35">
      <c r="A3" s="139" t="s">
        <v>529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39" t="s">
        <v>528</v>
      </c>
    </row>
    <row r="4" spans="1:26" x14ac:dyDescent="0.35">
      <c r="A4" s="1" t="s">
        <v>527</v>
      </c>
      <c r="B4" s="1" t="s">
        <v>662</v>
      </c>
      <c r="F4" s="3"/>
      <c r="G4" s="3"/>
      <c r="R4" s="3"/>
      <c r="S4" s="3"/>
      <c r="T4" s="1" t="s">
        <v>850</v>
      </c>
      <c r="U4" s="1" t="s">
        <v>662</v>
      </c>
      <c r="X4" s="3"/>
      <c r="Y4" s="3"/>
      <c r="Z4" s="3"/>
    </row>
    <row r="5" spans="1:26" x14ac:dyDescent="0.35">
      <c r="B5" s="3">
        <v>2025</v>
      </c>
      <c r="C5">
        <v>2026</v>
      </c>
      <c r="D5"/>
      <c r="E5"/>
      <c r="F5" t="s">
        <v>772</v>
      </c>
      <c r="G5" s="3" t="s">
        <v>771</v>
      </c>
      <c r="R5" s="3"/>
      <c r="S5" s="3"/>
      <c r="U5" s="3">
        <v>2025</v>
      </c>
      <c r="V5" s="3">
        <v>2026</v>
      </c>
      <c r="X5" s="3"/>
      <c r="Y5" t="s">
        <v>772</v>
      </c>
      <c r="Z5" s="3" t="s">
        <v>771</v>
      </c>
    </row>
    <row r="6" spans="1:26" x14ac:dyDescent="0.35">
      <c r="A6" s="1" t="s">
        <v>4</v>
      </c>
      <c r="B6"/>
      <c r="C6" s="3">
        <v>2</v>
      </c>
      <c r="D6" s="3">
        <v>6</v>
      </c>
      <c r="E6" s="3">
        <v>9</v>
      </c>
      <c r="G6" s="3"/>
      <c r="R6" s="7"/>
      <c r="S6" s="7"/>
      <c r="T6" s="1" t="s">
        <v>4</v>
      </c>
      <c r="V6" s="3">
        <v>2</v>
      </c>
      <c r="W6" s="3">
        <v>6</v>
      </c>
      <c r="X6">
        <v>9</v>
      </c>
      <c r="Z6" s="3"/>
    </row>
    <row r="7" spans="1:26" x14ac:dyDescent="0.35">
      <c r="A7" s="8" t="s">
        <v>282</v>
      </c>
      <c r="B7" s="111">
        <v>7783</v>
      </c>
      <c r="C7" s="82">
        <v>8202</v>
      </c>
      <c r="D7" s="111">
        <v>8075</v>
      </c>
      <c r="E7" s="111">
        <v>5118</v>
      </c>
      <c r="F7" s="111">
        <v>21395</v>
      </c>
      <c r="G7" s="111">
        <v>29178</v>
      </c>
      <c r="R7" s="7"/>
      <c r="S7" s="7"/>
      <c r="T7" s="8" t="s">
        <v>292</v>
      </c>
      <c r="U7" s="28">
        <v>330194.94999999995</v>
      </c>
      <c r="V7" s="140"/>
      <c r="W7" s="28"/>
      <c r="X7" s="28"/>
      <c r="Y7" s="28"/>
      <c r="Z7" s="28">
        <v>330194.94999999995</v>
      </c>
    </row>
    <row r="8" spans="1:26" x14ac:dyDescent="0.35">
      <c r="A8" s="8" t="s">
        <v>292</v>
      </c>
      <c r="B8" s="111">
        <v>20523</v>
      </c>
      <c r="C8" s="82"/>
      <c r="D8" s="111"/>
      <c r="E8" s="111"/>
      <c r="F8" s="111"/>
      <c r="G8" s="111">
        <v>20523</v>
      </c>
      <c r="R8" s="7"/>
      <c r="S8" s="7"/>
      <c r="T8" s="143" t="s">
        <v>520</v>
      </c>
      <c r="U8" s="27">
        <v>318044.02</v>
      </c>
      <c r="V8" s="34"/>
      <c r="W8" s="27"/>
      <c r="X8" s="27"/>
      <c r="Y8" s="27"/>
      <c r="Z8" s="27">
        <v>318044.02</v>
      </c>
    </row>
    <row r="9" spans="1:26" x14ac:dyDescent="0.35">
      <c r="A9" s="8" t="s">
        <v>520</v>
      </c>
      <c r="B9" s="111">
        <v>17521</v>
      </c>
      <c r="C9" s="82"/>
      <c r="D9" s="111"/>
      <c r="E9" s="111"/>
      <c r="F9" s="111"/>
      <c r="G9" s="111">
        <v>17521</v>
      </c>
      <c r="R9" s="7"/>
      <c r="S9" s="7"/>
      <c r="T9" s="8" t="s">
        <v>282</v>
      </c>
      <c r="U9" s="28">
        <v>63119.47</v>
      </c>
      <c r="V9" s="140">
        <v>63701.11</v>
      </c>
      <c r="W9" s="28">
        <v>72861.119999999995</v>
      </c>
      <c r="X9" s="28">
        <v>45806.23</v>
      </c>
      <c r="Y9" s="28">
        <v>182368.46</v>
      </c>
      <c r="Z9" s="28">
        <v>245487.93000000002</v>
      </c>
    </row>
    <row r="10" spans="1:26" x14ac:dyDescent="0.35">
      <c r="A10" s="2" t="s">
        <v>522</v>
      </c>
      <c r="B10" s="7">
        <v>9983</v>
      </c>
      <c r="C10" s="23"/>
      <c r="D10" s="7"/>
      <c r="E10" s="7"/>
      <c r="F10" s="7"/>
      <c r="G10" s="7">
        <v>9983</v>
      </c>
      <c r="R10" s="7"/>
      <c r="S10" s="7"/>
      <c r="T10" s="114" t="s">
        <v>253</v>
      </c>
      <c r="U10" s="28">
        <v>168101.19</v>
      </c>
      <c r="V10" s="140"/>
      <c r="W10" s="28"/>
      <c r="X10" s="28"/>
      <c r="Y10" s="28"/>
      <c r="Z10" s="28">
        <v>168101.19</v>
      </c>
    </row>
    <row r="11" spans="1:26" x14ac:dyDescent="0.35">
      <c r="A11" s="143" t="s">
        <v>253</v>
      </c>
      <c r="B11" s="111">
        <v>8936.9</v>
      </c>
      <c r="C11" s="82"/>
      <c r="D11" s="111"/>
      <c r="E11" s="111"/>
      <c r="F11" s="111"/>
      <c r="G11" s="111">
        <v>8936.9</v>
      </c>
      <c r="R11" s="7"/>
      <c r="S11" s="7"/>
      <c r="T11" s="2" t="s">
        <v>511</v>
      </c>
      <c r="U11" s="27">
        <v>152478.66</v>
      </c>
      <c r="V11" s="34"/>
      <c r="W11" s="27"/>
      <c r="X11" s="27"/>
      <c r="Y11" s="27"/>
      <c r="Z11" s="27">
        <v>152478.66</v>
      </c>
    </row>
    <row r="12" spans="1:26" x14ac:dyDescent="0.35">
      <c r="A12" s="2" t="s">
        <v>330</v>
      </c>
      <c r="B12" s="111">
        <v>7358</v>
      </c>
      <c r="C12" s="82"/>
      <c r="D12" s="111"/>
      <c r="E12" s="111"/>
      <c r="F12" s="111"/>
      <c r="G12" s="111">
        <v>7358</v>
      </c>
      <c r="R12" s="7"/>
      <c r="S12" s="7"/>
      <c r="T12" s="2" t="s">
        <v>522</v>
      </c>
      <c r="U12" s="27">
        <v>136797.24</v>
      </c>
      <c r="V12" s="34"/>
      <c r="W12" s="27"/>
      <c r="X12" s="27"/>
      <c r="Y12" s="27"/>
      <c r="Z12" s="27">
        <v>136797.24</v>
      </c>
    </row>
    <row r="13" spans="1:26" x14ac:dyDescent="0.35">
      <c r="A13" s="8" t="s">
        <v>263</v>
      </c>
      <c r="B13" s="112">
        <v>7187.54</v>
      </c>
      <c r="C13" s="113"/>
      <c r="D13" s="112"/>
      <c r="E13" s="112"/>
      <c r="F13" s="112"/>
      <c r="G13" s="112">
        <v>7187.54</v>
      </c>
      <c r="R13" s="7"/>
      <c r="S13" s="7"/>
      <c r="T13" s="143" t="s">
        <v>330</v>
      </c>
      <c r="U13" s="27">
        <v>128910.82</v>
      </c>
      <c r="V13" s="34"/>
      <c r="W13" s="27"/>
      <c r="X13" s="27"/>
      <c r="Y13" s="27"/>
      <c r="Z13" s="27">
        <v>128910.82</v>
      </c>
    </row>
    <row r="14" spans="1:26" x14ac:dyDescent="0.35">
      <c r="A14" s="143" t="s">
        <v>266</v>
      </c>
      <c r="B14" s="111">
        <v>6798</v>
      </c>
      <c r="C14" s="82"/>
      <c r="D14" s="111"/>
      <c r="E14" s="111"/>
      <c r="F14" s="111"/>
      <c r="G14" s="111">
        <v>6798</v>
      </c>
      <c r="R14" s="7"/>
      <c r="S14" s="7"/>
      <c r="T14" s="143" t="s">
        <v>264</v>
      </c>
      <c r="U14" s="27">
        <v>124235.84</v>
      </c>
      <c r="V14" s="34"/>
      <c r="W14" s="27"/>
      <c r="X14" s="27"/>
      <c r="Y14" s="27"/>
      <c r="Z14" s="27">
        <v>124235.84</v>
      </c>
    </row>
    <row r="15" spans="1:26" x14ac:dyDescent="0.35">
      <c r="A15" s="2" t="s">
        <v>511</v>
      </c>
      <c r="B15" s="7">
        <v>6688</v>
      </c>
      <c r="C15" s="23"/>
      <c r="D15" s="7"/>
      <c r="E15" s="7"/>
      <c r="F15" s="7"/>
      <c r="G15" s="7">
        <v>6688</v>
      </c>
      <c r="R15" s="7"/>
      <c r="S15" s="7"/>
      <c r="T15" s="143" t="s">
        <v>263</v>
      </c>
      <c r="U15" s="27">
        <v>117663.29000000001</v>
      </c>
      <c r="V15" s="34"/>
      <c r="W15" s="27"/>
      <c r="X15" s="27"/>
      <c r="Y15" s="27"/>
      <c r="Z15" s="27">
        <v>117663.29000000001</v>
      </c>
    </row>
    <row r="16" spans="1:26" x14ac:dyDescent="0.35">
      <c r="A16" s="8" t="s">
        <v>264</v>
      </c>
      <c r="B16" s="111">
        <v>6443</v>
      </c>
      <c r="C16" s="82"/>
      <c r="D16" s="111"/>
      <c r="E16" s="111"/>
      <c r="F16" s="111"/>
      <c r="G16" s="111">
        <v>6443</v>
      </c>
      <c r="T16" s="143" t="s">
        <v>266</v>
      </c>
      <c r="U16" s="27">
        <v>111916.69</v>
      </c>
      <c r="V16" s="34"/>
      <c r="W16" s="27"/>
      <c r="X16" s="27"/>
      <c r="Y16" s="27"/>
      <c r="Z16" s="27">
        <v>111916.69</v>
      </c>
    </row>
    <row r="17" spans="1:26" x14ac:dyDescent="0.35">
      <c r="A17" s="2" t="s">
        <v>424</v>
      </c>
      <c r="B17" s="7">
        <v>4559</v>
      </c>
      <c r="C17" s="23"/>
      <c r="D17" s="7"/>
      <c r="E17" s="7"/>
      <c r="F17" s="7"/>
      <c r="G17" s="7">
        <v>4559</v>
      </c>
      <c r="T17" s="2" t="s">
        <v>424</v>
      </c>
      <c r="U17" s="27">
        <v>107319.14</v>
      </c>
      <c r="V17" s="34"/>
      <c r="W17" s="27"/>
      <c r="X17" s="27"/>
      <c r="Y17" s="27"/>
      <c r="Z17" s="27">
        <v>107319.14</v>
      </c>
    </row>
    <row r="18" spans="1:26" x14ac:dyDescent="0.35">
      <c r="A18" s="2" t="s">
        <v>557</v>
      </c>
      <c r="B18" s="7">
        <v>4155</v>
      </c>
      <c r="C18" s="23"/>
      <c r="D18" s="7"/>
      <c r="E18" s="7"/>
      <c r="F18" s="7"/>
      <c r="G18" s="7">
        <v>4155</v>
      </c>
      <c r="T18" s="2" t="s">
        <v>558</v>
      </c>
      <c r="U18" s="27">
        <v>70169.73000000001</v>
      </c>
      <c r="V18" s="34"/>
      <c r="W18" s="27"/>
      <c r="X18" s="27"/>
      <c r="Y18" s="27"/>
      <c r="Z18" s="27">
        <v>70169.73000000001</v>
      </c>
    </row>
    <row r="19" spans="1:26" x14ac:dyDescent="0.35">
      <c r="A19" s="2" t="s">
        <v>558</v>
      </c>
      <c r="B19" s="7">
        <v>3751</v>
      </c>
      <c r="C19" s="23"/>
      <c r="D19" s="7"/>
      <c r="E19" s="7"/>
      <c r="F19" s="7"/>
      <c r="G19" s="7">
        <v>3751</v>
      </c>
      <c r="T19" s="2" t="s">
        <v>557</v>
      </c>
      <c r="U19" s="27">
        <v>66387.17</v>
      </c>
      <c r="V19" s="34"/>
      <c r="W19" s="27"/>
      <c r="X19" s="27"/>
      <c r="Y19" s="27"/>
      <c r="Z19" s="27">
        <v>66387.17</v>
      </c>
    </row>
    <row r="20" spans="1:26" x14ac:dyDescent="0.35">
      <c r="A20" s="2" t="s">
        <v>560</v>
      </c>
      <c r="B20" s="7">
        <v>3267</v>
      </c>
      <c r="C20" s="23"/>
      <c r="D20" s="7"/>
      <c r="E20" s="7"/>
      <c r="F20" s="7"/>
      <c r="G20" s="7">
        <v>3267</v>
      </c>
      <c r="T20" s="2" t="s">
        <v>560</v>
      </c>
      <c r="U20" s="27">
        <v>61858.62</v>
      </c>
      <c r="V20" s="34"/>
      <c r="W20" s="27"/>
      <c r="X20" s="27"/>
      <c r="Y20" s="27"/>
      <c r="Z20" s="27">
        <v>61858.62</v>
      </c>
    </row>
    <row r="21" spans="1:26" x14ac:dyDescent="0.35">
      <c r="A21" s="2" t="s">
        <v>331</v>
      </c>
      <c r="B21" s="7">
        <v>2079</v>
      </c>
      <c r="C21" s="23"/>
      <c r="D21" s="7"/>
      <c r="E21" s="7"/>
      <c r="F21" s="7"/>
      <c r="G21" s="7">
        <v>2079</v>
      </c>
      <c r="T21" s="8" t="s">
        <v>788</v>
      </c>
      <c r="U21" s="27"/>
      <c r="V21" s="34"/>
      <c r="W21" s="27">
        <v>43461.82</v>
      </c>
      <c r="X21" s="27"/>
      <c r="Y21" s="27">
        <v>43461.82</v>
      </c>
      <c r="Z21" s="27">
        <v>43461.82</v>
      </c>
    </row>
    <row r="22" spans="1:26" x14ac:dyDescent="0.35">
      <c r="A22" s="2" t="s">
        <v>559</v>
      </c>
      <c r="B22" s="7">
        <v>2027</v>
      </c>
      <c r="C22" s="23"/>
      <c r="D22" s="7"/>
      <c r="E22" s="7"/>
      <c r="F22" s="7"/>
      <c r="G22" s="7">
        <v>2027</v>
      </c>
      <c r="T22" s="143" t="s">
        <v>283</v>
      </c>
      <c r="U22" s="27">
        <v>41442.78</v>
      </c>
      <c r="V22" s="34"/>
      <c r="W22" s="27"/>
      <c r="X22" s="27"/>
      <c r="Y22" s="27"/>
      <c r="Z22" s="27">
        <v>41442.78</v>
      </c>
    </row>
    <row r="23" spans="1:26" x14ac:dyDescent="0.35">
      <c r="A23" s="143" t="s">
        <v>283</v>
      </c>
      <c r="B23" s="111">
        <v>1934</v>
      </c>
      <c r="C23" s="82"/>
      <c r="D23" s="111"/>
      <c r="E23" s="111"/>
      <c r="F23" s="111"/>
      <c r="G23" s="111">
        <v>1934</v>
      </c>
      <c r="T23" s="2" t="s">
        <v>331</v>
      </c>
      <c r="U23" s="27">
        <v>38960.68</v>
      </c>
      <c r="V23" s="34"/>
      <c r="W23" s="27"/>
      <c r="X23" s="27"/>
      <c r="Y23" s="27"/>
      <c r="Z23" s="27">
        <v>38960.68</v>
      </c>
    </row>
    <row r="24" spans="1:26" x14ac:dyDescent="0.35">
      <c r="A24" s="2" t="s">
        <v>386</v>
      </c>
      <c r="B24" s="7">
        <v>1446</v>
      </c>
      <c r="C24" s="23"/>
      <c r="D24" s="7"/>
      <c r="E24" s="7"/>
      <c r="F24" s="7"/>
      <c r="G24" s="7">
        <v>1446</v>
      </c>
      <c r="T24" s="2" t="s">
        <v>554</v>
      </c>
      <c r="U24" s="27">
        <v>33911.300000000003</v>
      </c>
      <c r="V24" s="34"/>
      <c r="W24" s="27"/>
      <c r="X24" s="27"/>
      <c r="Y24" s="27"/>
      <c r="Z24" s="27">
        <v>33911.300000000003</v>
      </c>
    </row>
    <row r="25" spans="1:26" x14ac:dyDescent="0.35">
      <c r="A25" s="2" t="s">
        <v>554</v>
      </c>
      <c r="B25" s="7">
        <v>1420</v>
      </c>
      <c r="C25" s="23"/>
      <c r="D25" s="7"/>
      <c r="E25" s="7"/>
      <c r="F25" s="7"/>
      <c r="G25" s="7">
        <v>1420</v>
      </c>
      <c r="T25" s="2" t="s">
        <v>559</v>
      </c>
      <c r="U25" s="27">
        <v>33193.5</v>
      </c>
      <c r="V25" s="34"/>
      <c r="W25" s="27"/>
      <c r="X25" s="27"/>
      <c r="Y25" s="27"/>
      <c r="Z25" s="27">
        <v>33193.5</v>
      </c>
    </row>
    <row r="26" spans="1:26" x14ac:dyDescent="0.35">
      <c r="A26" s="2" t="s">
        <v>788</v>
      </c>
      <c r="B26" s="7"/>
      <c r="C26" s="23"/>
      <c r="D26" s="7">
        <v>1063</v>
      </c>
      <c r="E26" s="7"/>
      <c r="F26" s="7">
        <v>1063</v>
      </c>
      <c r="G26" s="7">
        <v>1063</v>
      </c>
      <c r="T26" s="2" t="s">
        <v>455</v>
      </c>
      <c r="U26" s="27">
        <v>27959.309999999998</v>
      </c>
      <c r="V26" s="34"/>
      <c r="W26" s="27"/>
      <c r="X26" s="27"/>
      <c r="Y26" s="27"/>
      <c r="Z26" s="27">
        <v>27959.309999999998</v>
      </c>
    </row>
    <row r="27" spans="1:26" x14ac:dyDescent="0.35">
      <c r="A27" s="2" t="s">
        <v>455</v>
      </c>
      <c r="B27" s="7">
        <v>1026</v>
      </c>
      <c r="C27" s="23"/>
      <c r="D27" s="7"/>
      <c r="E27" s="7"/>
      <c r="F27" s="7"/>
      <c r="G27" s="7">
        <v>1026</v>
      </c>
      <c r="T27" s="2" t="s">
        <v>495</v>
      </c>
      <c r="U27" s="27">
        <v>21099.82</v>
      </c>
      <c r="V27" s="34"/>
      <c r="W27" s="27"/>
      <c r="X27" s="27"/>
      <c r="Y27" s="27"/>
      <c r="Z27" s="27">
        <v>21099.82</v>
      </c>
    </row>
    <row r="28" spans="1:26" x14ac:dyDescent="0.35">
      <c r="A28" s="2" t="s">
        <v>553</v>
      </c>
      <c r="B28" s="7">
        <v>995</v>
      </c>
      <c r="C28" s="23"/>
      <c r="D28" s="7"/>
      <c r="E28" s="7"/>
      <c r="F28" s="7"/>
      <c r="G28" s="7">
        <v>995</v>
      </c>
      <c r="T28" s="2" t="s">
        <v>553</v>
      </c>
      <c r="U28" s="27">
        <v>20763.28</v>
      </c>
      <c r="V28" s="34"/>
      <c r="W28" s="27"/>
      <c r="X28" s="27"/>
      <c r="Y28" s="27"/>
      <c r="Z28" s="27">
        <v>20763.28</v>
      </c>
    </row>
    <row r="29" spans="1:26" x14ac:dyDescent="0.35">
      <c r="A29" s="2" t="s">
        <v>556</v>
      </c>
      <c r="B29" s="7">
        <v>937</v>
      </c>
      <c r="C29" s="23"/>
      <c r="D29" s="7"/>
      <c r="E29" s="7"/>
      <c r="F29" s="7"/>
      <c r="G29" s="7">
        <v>937</v>
      </c>
      <c r="T29" s="2" t="s">
        <v>556</v>
      </c>
      <c r="U29" s="27">
        <v>19606.240000000002</v>
      </c>
      <c r="V29" s="34"/>
      <c r="W29" s="27"/>
      <c r="X29" s="27"/>
      <c r="Y29" s="27"/>
      <c r="Z29" s="27">
        <v>19606.240000000002</v>
      </c>
    </row>
    <row r="30" spans="1:26" x14ac:dyDescent="0.35">
      <c r="A30" s="2" t="s">
        <v>555</v>
      </c>
      <c r="B30" s="7">
        <v>729</v>
      </c>
      <c r="C30" s="23"/>
      <c r="D30" s="7"/>
      <c r="E30" s="7"/>
      <c r="F30" s="7"/>
      <c r="G30" s="7">
        <v>729</v>
      </c>
      <c r="T30" s="2" t="s">
        <v>386</v>
      </c>
      <c r="U30" s="27">
        <v>18572.189999999999</v>
      </c>
      <c r="V30" s="34"/>
      <c r="W30" s="27"/>
      <c r="X30" s="27"/>
      <c r="Y30" s="27"/>
      <c r="Z30" s="27">
        <v>18572.189999999999</v>
      </c>
    </row>
    <row r="31" spans="1:26" x14ac:dyDescent="0.35">
      <c r="A31" s="2" t="s">
        <v>495</v>
      </c>
      <c r="B31" s="7">
        <v>647</v>
      </c>
      <c r="C31" s="23"/>
      <c r="D31" s="7"/>
      <c r="E31" s="7"/>
      <c r="F31" s="7"/>
      <c r="G31" s="7">
        <v>647</v>
      </c>
      <c r="T31" s="2" t="s">
        <v>555</v>
      </c>
      <c r="U31" s="27">
        <v>13264.3</v>
      </c>
      <c r="V31" s="34"/>
      <c r="W31" s="27"/>
      <c r="X31" s="27"/>
      <c r="Y31" s="27"/>
      <c r="Z31" s="27">
        <v>13264.3</v>
      </c>
    </row>
    <row r="32" spans="1:26" x14ac:dyDescent="0.35">
      <c r="A32" s="2" t="s">
        <v>385</v>
      </c>
      <c r="B32" s="7">
        <v>458</v>
      </c>
      <c r="C32" s="23"/>
      <c r="D32" s="7"/>
      <c r="E32" s="7"/>
      <c r="F32" s="7"/>
      <c r="G32" s="7">
        <v>458</v>
      </c>
      <c r="T32" s="2" t="s">
        <v>385</v>
      </c>
      <c r="U32" s="27">
        <v>10510.17</v>
      </c>
      <c r="V32" s="34"/>
      <c r="W32" s="27"/>
      <c r="X32" s="27"/>
      <c r="Y32" s="27"/>
      <c r="Z32" s="27">
        <v>10510.17</v>
      </c>
    </row>
    <row r="33" spans="1:26" x14ac:dyDescent="0.35">
      <c r="A33" s="2" t="s">
        <v>552</v>
      </c>
      <c r="B33" s="7">
        <v>289</v>
      </c>
      <c r="C33" s="23"/>
      <c r="D33" s="7"/>
      <c r="E33" s="7"/>
      <c r="F33" s="7"/>
      <c r="G33" s="7">
        <v>289</v>
      </c>
      <c r="T33" s="2" t="s">
        <v>552</v>
      </c>
      <c r="U33" s="27">
        <v>7065.99</v>
      </c>
      <c r="V33" s="34"/>
      <c r="W33" s="27"/>
      <c r="X33" s="27"/>
      <c r="Y33" s="27"/>
      <c r="Z33" s="27">
        <v>7065.99</v>
      </c>
    </row>
    <row r="34" spans="1:26" x14ac:dyDescent="0.35">
      <c r="A34" s="2" t="s">
        <v>551</v>
      </c>
      <c r="B34" s="7">
        <v>150</v>
      </c>
      <c r="C34" s="23"/>
      <c r="D34" s="7"/>
      <c r="E34" s="7"/>
      <c r="F34" s="7"/>
      <c r="G34" s="7">
        <v>150</v>
      </c>
      <c r="T34" s="2" t="s">
        <v>551</v>
      </c>
      <c r="U34" s="27">
        <v>2652.52</v>
      </c>
      <c r="V34" s="34"/>
      <c r="W34" s="27"/>
      <c r="X34" s="27"/>
      <c r="Y34" s="27"/>
      <c r="Z34" s="27">
        <v>2652.52</v>
      </c>
    </row>
    <row r="35" spans="1:26" x14ac:dyDescent="0.35">
      <c r="A35" s="2" t="s">
        <v>771</v>
      </c>
      <c r="B35" s="7">
        <v>129090.44</v>
      </c>
      <c r="C35" s="23">
        <v>8202</v>
      </c>
      <c r="D35" s="7">
        <v>9138</v>
      </c>
      <c r="E35" s="7">
        <v>5118</v>
      </c>
      <c r="F35" s="7">
        <v>22458</v>
      </c>
      <c r="G35" s="7">
        <v>151548.44</v>
      </c>
      <c r="T35" s="2" t="s">
        <v>771</v>
      </c>
      <c r="U35" s="6">
        <v>2246198.91</v>
      </c>
      <c r="V35" s="22">
        <v>63701.11</v>
      </c>
      <c r="W35" s="6">
        <v>116322.94</v>
      </c>
      <c r="X35" s="6">
        <v>45806.23</v>
      </c>
      <c r="Y35" s="6">
        <v>225830.28</v>
      </c>
      <c r="Z35" s="6">
        <v>2472029.1899999995</v>
      </c>
    </row>
    <row r="60" spans="11:11" x14ac:dyDescent="0.35">
      <c r="K60" s="87" t="s">
        <v>709</v>
      </c>
    </row>
  </sheetData>
  <hyperlinks>
    <hyperlink ref="K1" location="'DIVINO-UY'!K68" display="GRAPHS" xr:uid="{C76D7330-F0AF-44B5-8963-184F234DCC65}"/>
    <hyperlink ref="K60" location="'DIVINO-UY'!K1" display="TOP" xr:uid="{493003D0-AE0C-48C3-9F3F-03AE73327830}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6A86-0405-4B2F-92B5-8C135B1DAD6D}">
  <sheetPr>
    <tabColor rgb="FF92D050"/>
  </sheetPr>
  <dimension ref="A1:X34"/>
  <sheetViews>
    <sheetView showGridLines="0" zoomScale="110" zoomScaleNormal="110" workbookViewId="0">
      <selection activeCell="G1" sqref="G1"/>
    </sheetView>
  </sheetViews>
  <sheetFormatPr baseColWidth="10" defaultColWidth="10.90625" defaultRowHeight="14.5" x14ac:dyDescent="0.35"/>
  <cols>
    <col min="1" max="1" width="36.08984375" bestFit="1" customWidth="1"/>
    <col min="2" max="2" width="14.81640625" style="3" bestFit="1" customWidth="1"/>
    <col min="3" max="3" width="6.7265625" style="3" bestFit="1" customWidth="1"/>
    <col min="4" max="4" width="9.54296875" style="3" bestFit="1" customWidth="1"/>
    <col min="5" max="5" width="11.7265625" style="3" bestFit="1" customWidth="1"/>
    <col min="6" max="6" width="4.54296875" customWidth="1"/>
    <col min="7" max="7" width="6.7265625" bestFit="1" customWidth="1"/>
    <col min="8" max="9" width="2" customWidth="1"/>
    <col min="10" max="13" width="1.1796875" customWidth="1"/>
    <col min="14" max="14" width="2.81640625" customWidth="1"/>
    <col min="15" max="15" width="2.1796875" customWidth="1"/>
    <col min="16" max="16" width="36.08984375" bestFit="1" customWidth="1"/>
    <col min="17" max="17" width="14.81640625" bestFit="1" customWidth="1"/>
    <col min="18" max="23" width="9.90625" bestFit="1" customWidth="1"/>
    <col min="24" max="24" width="11.7265625" bestFit="1" customWidth="1"/>
  </cols>
  <sheetData>
    <row r="1" spans="1:24" x14ac:dyDescent="0.35">
      <c r="B1"/>
      <c r="C1" s="42"/>
      <c r="D1" s="42"/>
      <c r="E1" s="42"/>
      <c r="F1" s="4"/>
      <c r="G1" s="87" t="s">
        <v>710</v>
      </c>
      <c r="H1" s="4"/>
      <c r="I1" s="4"/>
      <c r="J1" s="4"/>
      <c r="K1" s="4"/>
      <c r="L1" s="4"/>
      <c r="M1" s="4"/>
      <c r="N1" s="4"/>
      <c r="O1" s="4"/>
    </row>
    <row r="2" spans="1:24" x14ac:dyDescent="0.35">
      <c r="A2" s="1" t="s">
        <v>4</v>
      </c>
      <c r="B2" s="5" t="s">
        <v>548</v>
      </c>
      <c r="F2" s="2"/>
      <c r="G2" s="2"/>
      <c r="H2" s="2"/>
      <c r="I2" s="2"/>
      <c r="J2" s="2"/>
      <c r="K2" s="2"/>
      <c r="L2" s="2"/>
      <c r="M2" s="2"/>
      <c r="N2" s="2"/>
      <c r="O2" s="2"/>
      <c r="P2" s="1" t="s">
        <v>4</v>
      </c>
      <c r="Q2" s="5" t="s">
        <v>548</v>
      </c>
    </row>
    <row r="3" spans="1:24" x14ac:dyDescent="0.35">
      <c r="A3" s="139" t="s">
        <v>529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39" t="s">
        <v>528</v>
      </c>
    </row>
    <row r="4" spans="1:24" x14ac:dyDescent="0.35">
      <c r="A4" s="1" t="s">
        <v>527</v>
      </c>
      <c r="B4" s="21" t="s">
        <v>662</v>
      </c>
      <c r="J4" s="3"/>
      <c r="K4" s="3"/>
      <c r="L4" s="3"/>
      <c r="M4" s="3"/>
      <c r="N4" s="3"/>
      <c r="O4" s="3"/>
      <c r="P4" s="1" t="s">
        <v>850</v>
      </c>
      <c r="Q4" s="21" t="s">
        <v>662</v>
      </c>
    </row>
    <row r="5" spans="1:24" x14ac:dyDescent="0.35">
      <c r="B5" s="3">
        <v>2025</v>
      </c>
      <c r="C5">
        <v>2026</v>
      </c>
      <c r="D5" t="s">
        <v>772</v>
      </c>
      <c r="E5" s="3" t="s">
        <v>771</v>
      </c>
      <c r="J5" s="3"/>
      <c r="K5" s="3"/>
      <c r="L5" s="3"/>
      <c r="M5" s="3"/>
      <c r="N5" s="3"/>
      <c r="O5" s="3"/>
      <c r="Q5" s="3">
        <v>2025</v>
      </c>
      <c r="R5" s="3"/>
      <c r="S5" s="3"/>
      <c r="T5" s="3"/>
      <c r="U5" t="s">
        <v>773</v>
      </c>
      <c r="V5">
        <v>2026</v>
      </c>
      <c r="W5" t="s">
        <v>772</v>
      </c>
      <c r="X5" s="3" t="s">
        <v>771</v>
      </c>
    </row>
    <row r="6" spans="1:24" x14ac:dyDescent="0.35">
      <c r="A6" s="1" t="s">
        <v>843</v>
      </c>
      <c r="B6"/>
      <c r="C6" s="3">
        <v>4</v>
      </c>
      <c r="D6"/>
      <c r="J6" s="7"/>
      <c r="K6" s="7"/>
      <c r="L6" s="7"/>
      <c r="M6" s="7"/>
      <c r="N6" s="7"/>
      <c r="O6" s="7"/>
      <c r="P6" s="1" t="s">
        <v>843</v>
      </c>
      <c r="Q6" s="3">
        <v>5</v>
      </c>
      <c r="R6" s="3">
        <v>7</v>
      </c>
      <c r="S6" s="3">
        <v>8</v>
      </c>
      <c r="T6">
        <v>9</v>
      </c>
      <c r="V6">
        <v>4</v>
      </c>
      <c r="X6" s="3"/>
    </row>
    <row r="7" spans="1:24" x14ac:dyDescent="0.35">
      <c r="A7" s="2" t="s">
        <v>593</v>
      </c>
      <c r="B7" s="7">
        <v>19820</v>
      </c>
      <c r="C7" s="23">
        <v>20115</v>
      </c>
      <c r="D7" s="7">
        <v>20115</v>
      </c>
      <c r="E7" s="7">
        <v>39935</v>
      </c>
      <c r="J7" s="7"/>
      <c r="K7" s="7"/>
      <c r="L7" s="7"/>
      <c r="M7" s="7"/>
      <c r="N7" s="7"/>
      <c r="O7" s="7"/>
      <c r="P7" s="2" t="s">
        <v>593</v>
      </c>
      <c r="Q7" s="6"/>
      <c r="R7" s="6">
        <v>17325.71</v>
      </c>
      <c r="S7" s="6">
        <v>101593.54</v>
      </c>
      <c r="T7" s="6">
        <v>98038.18</v>
      </c>
      <c r="U7" s="6">
        <v>216957.43</v>
      </c>
      <c r="V7" s="6">
        <v>201154.03</v>
      </c>
      <c r="W7" s="6">
        <v>201154.03</v>
      </c>
      <c r="X7" s="6">
        <v>418111.45999999996</v>
      </c>
    </row>
    <row r="8" spans="1:24" x14ac:dyDescent="0.35">
      <c r="A8" s="2" t="s">
        <v>594</v>
      </c>
      <c r="B8" s="7">
        <v>20244</v>
      </c>
      <c r="C8" s="23"/>
      <c r="D8" s="7"/>
      <c r="E8" s="7">
        <v>20244</v>
      </c>
      <c r="J8" s="7"/>
      <c r="K8" s="7"/>
      <c r="L8" s="7"/>
      <c r="M8" s="7"/>
      <c r="N8" s="7"/>
      <c r="O8" s="7"/>
      <c r="P8" s="2" t="s">
        <v>594</v>
      </c>
      <c r="Q8" s="6"/>
      <c r="R8" s="6">
        <v>71825.84</v>
      </c>
      <c r="S8" s="6">
        <v>70870.33</v>
      </c>
      <c r="T8" s="6">
        <v>60640.07</v>
      </c>
      <c r="U8" s="6">
        <v>203336.24</v>
      </c>
      <c r="V8" s="6"/>
      <c r="W8" s="6"/>
      <c r="X8" s="6">
        <v>203336.24</v>
      </c>
    </row>
    <row r="9" spans="1:24" x14ac:dyDescent="0.35">
      <c r="A9" s="2" t="s">
        <v>591</v>
      </c>
      <c r="B9" s="7">
        <v>9967</v>
      </c>
      <c r="C9" s="23">
        <v>7951</v>
      </c>
      <c r="D9" s="7">
        <v>7951</v>
      </c>
      <c r="E9" s="7">
        <v>17918</v>
      </c>
      <c r="J9" s="7"/>
      <c r="K9" s="7"/>
      <c r="L9" s="7"/>
      <c r="M9" s="7"/>
      <c r="N9" s="7"/>
      <c r="O9" s="7"/>
      <c r="P9" s="2" t="s">
        <v>591</v>
      </c>
      <c r="Q9" s="6"/>
      <c r="R9" s="6">
        <v>10999.08</v>
      </c>
      <c r="S9" s="6">
        <v>38790.199999999997</v>
      </c>
      <c r="T9" s="6">
        <v>46909.65</v>
      </c>
      <c r="U9" s="6">
        <v>96698.93</v>
      </c>
      <c r="V9" s="6">
        <v>70367.759999999995</v>
      </c>
      <c r="W9" s="6">
        <v>70367.759999999995</v>
      </c>
      <c r="X9" s="6">
        <v>167066.69</v>
      </c>
    </row>
    <row r="10" spans="1:24" x14ac:dyDescent="0.35">
      <c r="A10" s="2" t="s">
        <v>569</v>
      </c>
      <c r="B10" s="7">
        <v>13317</v>
      </c>
      <c r="C10" s="23"/>
      <c r="D10" s="7"/>
      <c r="E10" s="7">
        <v>13317</v>
      </c>
      <c r="J10" s="7"/>
      <c r="K10" s="7"/>
      <c r="L10" s="7"/>
      <c r="M10" s="7"/>
      <c r="N10" s="7"/>
      <c r="O10" s="7"/>
      <c r="P10" s="2" t="s">
        <v>569</v>
      </c>
      <c r="Q10" s="6">
        <v>151632.69</v>
      </c>
      <c r="R10" s="6"/>
      <c r="S10" s="6"/>
      <c r="T10" s="6"/>
      <c r="U10" s="6">
        <v>151632.69</v>
      </c>
      <c r="V10" s="6"/>
      <c r="W10" s="6"/>
      <c r="X10" s="6">
        <v>151632.69</v>
      </c>
    </row>
    <row r="11" spans="1:24" x14ac:dyDescent="0.35">
      <c r="A11" s="2" t="s">
        <v>592</v>
      </c>
      <c r="B11" s="7">
        <v>7831</v>
      </c>
      <c r="C11" s="23"/>
      <c r="D11" s="7"/>
      <c r="E11" s="7">
        <v>7831</v>
      </c>
      <c r="J11" s="7"/>
      <c r="K11" s="7"/>
      <c r="L11" s="7"/>
      <c r="M11" s="7"/>
      <c r="N11" s="7"/>
      <c r="O11" s="7"/>
      <c r="P11" s="2" t="s">
        <v>592</v>
      </c>
      <c r="Q11" s="6"/>
      <c r="R11" s="6">
        <v>25370.29</v>
      </c>
      <c r="S11" s="6">
        <v>25572.94</v>
      </c>
      <c r="T11" s="6">
        <v>25495.63</v>
      </c>
      <c r="U11" s="6">
        <v>76438.86</v>
      </c>
      <c r="V11" s="6"/>
      <c r="W11" s="6"/>
      <c r="X11" s="6">
        <v>76438.86</v>
      </c>
    </row>
    <row r="12" spans="1:24" x14ac:dyDescent="0.35">
      <c r="A12" s="2" t="s">
        <v>568</v>
      </c>
      <c r="B12" s="7">
        <v>7127</v>
      </c>
      <c r="C12" s="23"/>
      <c r="D12" s="7"/>
      <c r="E12" s="7">
        <v>7127</v>
      </c>
      <c r="J12" s="7"/>
      <c r="K12" s="7"/>
      <c r="L12" s="7"/>
      <c r="M12" s="7"/>
      <c r="N12" s="7"/>
      <c r="O12" s="7"/>
      <c r="P12" s="2" t="s">
        <v>568</v>
      </c>
      <c r="Q12" s="6">
        <v>63703.44</v>
      </c>
      <c r="R12" s="6"/>
      <c r="S12" s="6"/>
      <c r="T12" s="6"/>
      <c r="U12" s="6">
        <v>63703.44</v>
      </c>
      <c r="V12" s="6"/>
      <c r="W12" s="6"/>
      <c r="X12" s="6">
        <v>63703.44</v>
      </c>
    </row>
    <row r="13" spans="1:24" x14ac:dyDescent="0.35">
      <c r="A13" s="2" t="s">
        <v>771</v>
      </c>
      <c r="B13" s="7">
        <v>78306</v>
      </c>
      <c r="C13" s="23">
        <v>28066</v>
      </c>
      <c r="D13" s="7">
        <v>28066</v>
      </c>
      <c r="E13" s="7">
        <v>106372</v>
      </c>
      <c r="J13" s="7"/>
      <c r="K13" s="7"/>
      <c r="L13" s="7"/>
      <c r="M13" s="7"/>
      <c r="N13" s="7"/>
      <c r="O13" s="7"/>
      <c r="P13" s="2" t="s">
        <v>771</v>
      </c>
      <c r="Q13" s="6">
        <v>215336.13</v>
      </c>
      <c r="R13" s="6">
        <v>125520.92</v>
      </c>
      <c r="S13" s="6">
        <v>236827.01</v>
      </c>
      <c r="T13" s="6">
        <v>231083.53</v>
      </c>
      <c r="U13" s="6">
        <v>808767.59</v>
      </c>
      <c r="V13" s="6">
        <v>271521.78999999998</v>
      </c>
      <c r="W13" s="6">
        <v>271521.78999999998</v>
      </c>
      <c r="X13" s="6">
        <v>1080289.3799999999</v>
      </c>
    </row>
    <row r="14" spans="1:24" x14ac:dyDescent="0.35">
      <c r="B14"/>
      <c r="C14"/>
      <c r="D14"/>
      <c r="E14"/>
      <c r="J14" s="7"/>
      <c r="K14" s="7"/>
      <c r="L14" s="7"/>
      <c r="M14" s="7"/>
      <c r="N14" s="7"/>
      <c r="O14" s="7"/>
    </row>
    <row r="15" spans="1:24" x14ac:dyDescent="0.35">
      <c r="B15"/>
      <c r="C15"/>
      <c r="D15"/>
      <c r="E15"/>
      <c r="J15" s="7"/>
      <c r="K15" s="7"/>
      <c r="L15" s="7"/>
      <c r="M15" s="7"/>
      <c r="N15" s="7"/>
      <c r="O15" s="7"/>
    </row>
    <row r="34" spans="7:7" x14ac:dyDescent="0.35">
      <c r="G34" s="87" t="s">
        <v>709</v>
      </c>
    </row>
  </sheetData>
  <hyperlinks>
    <hyperlink ref="G1" location="'BED TIME-ARG'!G40" display="GRAPHS" xr:uid="{4455EA31-506D-4D5F-970D-EBE3A62C4672}"/>
    <hyperlink ref="G34" location="'BED TIME-ARG'!G1" display="TOP" xr:uid="{B40630B4-0A1F-4B1C-B989-BEFFD457BA9C}"/>
  </hyperlink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6029-5EE9-4EB3-A395-E0CD63FE3928}">
  <sheetPr>
    <tabColor rgb="FF92D050"/>
  </sheetPr>
  <dimension ref="A1:AC50"/>
  <sheetViews>
    <sheetView showGridLines="0" zoomScale="110" zoomScaleNormal="110" workbookViewId="0">
      <selection activeCell="K1" sqref="K1"/>
    </sheetView>
  </sheetViews>
  <sheetFormatPr baseColWidth="10" defaultColWidth="10.90625" defaultRowHeight="14.5" x14ac:dyDescent="0.35"/>
  <cols>
    <col min="1" max="1" width="46.453125" bestFit="1" customWidth="1"/>
    <col min="2" max="2" width="12.08984375" style="3" bestFit="1" customWidth="1"/>
    <col min="3" max="3" width="6.7265625" style="3" bestFit="1" customWidth="1"/>
    <col min="4" max="5" width="5.36328125" style="3" bestFit="1" customWidth="1"/>
    <col min="6" max="6" width="5.36328125" bestFit="1" customWidth="1"/>
    <col min="7" max="7" width="9.54296875" bestFit="1" customWidth="1"/>
    <col min="8" max="8" width="11.7265625" bestFit="1" customWidth="1"/>
    <col min="9" max="10" width="1.08984375" customWidth="1"/>
    <col min="11" max="11" width="9.54296875" bestFit="1" customWidth="1"/>
    <col min="12" max="20" width="1.1796875" customWidth="1"/>
    <col min="21" max="21" width="2.81640625" customWidth="1"/>
    <col min="22" max="22" width="46.453125" bestFit="1" customWidth="1"/>
    <col min="23" max="23" width="12.08984375" bestFit="1" customWidth="1"/>
    <col min="24" max="24" width="8.90625" bestFit="1" customWidth="1"/>
    <col min="25" max="25" width="8.90625" style="3" bestFit="1" customWidth="1"/>
    <col min="26" max="27" width="8.90625" bestFit="1" customWidth="1"/>
    <col min="28" max="28" width="9.90625" bestFit="1" customWidth="1"/>
    <col min="29" max="29" width="11.7265625" bestFit="1" customWidth="1"/>
    <col min="30" max="31" width="9.1796875" bestFit="1" customWidth="1"/>
    <col min="32" max="32" width="10.1796875" bestFit="1" customWidth="1"/>
    <col min="33" max="34" width="9.1796875" bestFit="1" customWidth="1"/>
    <col min="35" max="35" width="9.81640625" bestFit="1" customWidth="1"/>
    <col min="36" max="36" width="12.54296875" bestFit="1" customWidth="1"/>
  </cols>
  <sheetData>
    <row r="1" spans="1:29" x14ac:dyDescent="0.35">
      <c r="B1"/>
      <c r="C1" s="42"/>
      <c r="D1" s="42"/>
      <c r="E1" s="42"/>
      <c r="F1" s="4"/>
      <c r="G1" s="4"/>
      <c r="H1" s="4"/>
      <c r="I1" s="4"/>
      <c r="J1" s="4"/>
      <c r="K1" s="87" t="s">
        <v>710</v>
      </c>
      <c r="L1" s="4"/>
      <c r="M1" s="4"/>
      <c r="N1" s="4"/>
      <c r="O1" s="4"/>
      <c r="P1" s="4"/>
      <c r="Q1" s="4"/>
      <c r="R1" s="4"/>
      <c r="S1" s="4"/>
      <c r="T1" s="4"/>
      <c r="U1" s="4"/>
    </row>
    <row r="2" spans="1:29" x14ac:dyDescent="0.35">
      <c r="A2" s="1" t="s">
        <v>4</v>
      </c>
      <c r="B2" s="5" t="s">
        <v>116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 t="s">
        <v>4</v>
      </c>
      <c r="W2" s="5" t="s">
        <v>116</v>
      </c>
    </row>
    <row r="3" spans="1:29" x14ac:dyDescent="0.35">
      <c r="A3" s="139" t="s">
        <v>529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39" t="s">
        <v>528</v>
      </c>
    </row>
    <row r="4" spans="1:29" x14ac:dyDescent="0.35">
      <c r="A4" s="1" t="s">
        <v>527</v>
      </c>
      <c r="B4" s="1" t="s">
        <v>662</v>
      </c>
      <c r="F4" s="3"/>
      <c r="G4" s="3"/>
      <c r="H4" s="3"/>
      <c r="S4" s="3"/>
      <c r="T4" s="3"/>
      <c r="U4" s="3"/>
      <c r="V4" s="1" t="s">
        <v>850</v>
      </c>
      <c r="W4" s="1" t="s">
        <v>662</v>
      </c>
      <c r="Z4" s="3"/>
      <c r="AA4" s="3"/>
      <c r="AB4" s="3"/>
      <c r="AC4" s="3"/>
    </row>
    <row r="5" spans="1:29" x14ac:dyDescent="0.35">
      <c r="B5" s="3">
        <v>2025</v>
      </c>
      <c r="C5">
        <v>2026</v>
      </c>
      <c r="D5"/>
      <c r="E5"/>
      <c r="G5" t="s">
        <v>772</v>
      </c>
      <c r="H5" s="3" t="s">
        <v>771</v>
      </c>
      <c r="S5" s="3"/>
      <c r="T5" s="3"/>
      <c r="U5" s="3"/>
      <c r="W5" s="3">
        <v>2025</v>
      </c>
      <c r="X5" s="3">
        <v>2026</v>
      </c>
      <c r="Z5" s="3"/>
      <c r="AA5" s="3"/>
      <c r="AB5" t="s">
        <v>772</v>
      </c>
      <c r="AC5" s="3" t="s">
        <v>771</v>
      </c>
    </row>
    <row r="6" spans="1:29" x14ac:dyDescent="0.35">
      <c r="A6" s="1" t="s">
        <v>843</v>
      </c>
      <c r="B6"/>
      <c r="C6" s="3">
        <v>1</v>
      </c>
      <c r="D6" s="3">
        <v>2</v>
      </c>
      <c r="E6" s="3">
        <v>4</v>
      </c>
      <c r="F6" s="3">
        <v>5</v>
      </c>
      <c r="H6" s="3"/>
      <c r="S6" s="7"/>
      <c r="T6" s="7"/>
      <c r="U6" s="7"/>
      <c r="V6" s="1" t="s">
        <v>4</v>
      </c>
      <c r="X6" s="3">
        <v>1</v>
      </c>
      <c r="Y6" s="3">
        <v>2</v>
      </c>
      <c r="Z6">
        <v>4</v>
      </c>
      <c r="AA6">
        <v>5</v>
      </c>
      <c r="AC6" s="3"/>
    </row>
    <row r="7" spans="1:29" x14ac:dyDescent="0.35">
      <c r="A7" s="2" t="s">
        <v>341</v>
      </c>
      <c r="B7" s="7">
        <v>5978</v>
      </c>
      <c r="C7" s="23">
        <v>2968</v>
      </c>
      <c r="D7" s="23">
        <v>928</v>
      </c>
      <c r="E7" s="23">
        <v>1215</v>
      </c>
      <c r="F7" s="23">
        <v>2197</v>
      </c>
      <c r="G7" s="7">
        <v>7308</v>
      </c>
      <c r="H7" s="7">
        <v>13286</v>
      </c>
      <c r="S7" s="7"/>
      <c r="T7" s="7"/>
      <c r="U7" s="7"/>
      <c r="V7" s="2" t="s">
        <v>341</v>
      </c>
      <c r="W7" s="6">
        <v>78664.660000000018</v>
      </c>
      <c r="X7" s="6">
        <v>35749.919999999998</v>
      </c>
      <c r="Y7" s="22">
        <v>10780.14</v>
      </c>
      <c r="Z7" s="6">
        <v>13624.46</v>
      </c>
      <c r="AA7" s="6">
        <v>24900.14</v>
      </c>
      <c r="AB7" s="6">
        <v>85054.66</v>
      </c>
      <c r="AC7" s="6">
        <v>163719.32</v>
      </c>
    </row>
    <row r="8" spans="1:29" x14ac:dyDescent="0.35">
      <c r="A8" s="2" t="s">
        <v>339</v>
      </c>
      <c r="B8" s="7">
        <v>5411.6</v>
      </c>
      <c r="C8" s="23"/>
      <c r="D8" s="23"/>
      <c r="E8" s="23">
        <v>661</v>
      </c>
      <c r="F8" s="23">
        <v>750</v>
      </c>
      <c r="G8" s="7">
        <v>1411</v>
      </c>
      <c r="H8" s="7">
        <v>6822.6</v>
      </c>
      <c r="S8" s="7"/>
      <c r="T8" s="7"/>
      <c r="U8" s="7"/>
      <c r="V8" s="2" t="s">
        <v>339</v>
      </c>
      <c r="W8" s="6">
        <v>90435.09</v>
      </c>
      <c r="X8" s="6"/>
      <c r="Y8" s="22"/>
      <c r="Z8" s="6">
        <v>9322.85</v>
      </c>
      <c r="AA8" s="6">
        <v>10691.46</v>
      </c>
      <c r="AB8" s="6">
        <v>20014.309999999998</v>
      </c>
      <c r="AC8" s="6">
        <v>110449.4</v>
      </c>
    </row>
    <row r="9" spans="1:29" x14ac:dyDescent="0.35">
      <c r="A9" s="2" t="s">
        <v>561</v>
      </c>
      <c r="B9" s="7">
        <v>3199</v>
      </c>
      <c r="C9" s="23"/>
      <c r="D9" s="23"/>
      <c r="E9" s="23"/>
      <c r="F9" s="23"/>
      <c r="G9" s="7"/>
      <c r="H9" s="7">
        <v>3199</v>
      </c>
      <c r="S9" s="7"/>
      <c r="T9" s="7"/>
      <c r="U9" s="7"/>
      <c r="V9" s="2" t="s">
        <v>460</v>
      </c>
      <c r="W9" s="6">
        <v>16548.98</v>
      </c>
      <c r="X9" s="6">
        <v>14076.37</v>
      </c>
      <c r="Y9" s="22"/>
      <c r="Z9" s="6">
        <v>12279.09</v>
      </c>
      <c r="AA9" s="6"/>
      <c r="AB9" s="6">
        <v>26355.46</v>
      </c>
      <c r="AC9" s="6">
        <v>42904.44</v>
      </c>
    </row>
    <row r="10" spans="1:29" x14ac:dyDescent="0.35">
      <c r="A10" s="2" t="s">
        <v>460</v>
      </c>
      <c r="B10" s="7">
        <v>586</v>
      </c>
      <c r="C10" s="23">
        <v>534</v>
      </c>
      <c r="D10" s="23"/>
      <c r="E10" s="23">
        <v>508</v>
      </c>
      <c r="F10" s="23"/>
      <c r="G10" s="7">
        <v>1042</v>
      </c>
      <c r="H10" s="7">
        <v>1628</v>
      </c>
      <c r="S10" s="7"/>
      <c r="T10" s="7"/>
      <c r="U10" s="7"/>
      <c r="V10" s="2" t="s">
        <v>561</v>
      </c>
      <c r="W10" s="6">
        <v>40692.449999999997</v>
      </c>
      <c r="X10" s="6"/>
      <c r="Y10" s="22"/>
      <c r="Z10" s="6"/>
      <c r="AA10" s="6"/>
      <c r="AB10" s="6"/>
      <c r="AC10" s="6">
        <v>40692.449999999997</v>
      </c>
    </row>
    <row r="11" spans="1:29" x14ac:dyDescent="0.35">
      <c r="A11" s="2" t="s">
        <v>731</v>
      </c>
      <c r="B11" s="7"/>
      <c r="C11" s="23"/>
      <c r="D11" s="23">
        <v>412</v>
      </c>
      <c r="E11" s="23">
        <v>732</v>
      </c>
      <c r="F11" s="23">
        <v>427</v>
      </c>
      <c r="G11" s="7">
        <v>1571</v>
      </c>
      <c r="H11" s="7">
        <v>1571</v>
      </c>
      <c r="S11" s="7"/>
      <c r="T11" s="7"/>
      <c r="U11" s="7"/>
      <c r="V11" s="2" t="s">
        <v>731</v>
      </c>
      <c r="W11" s="6"/>
      <c r="X11" s="6"/>
      <c r="Y11" s="22">
        <v>8380.83</v>
      </c>
      <c r="Z11" s="6">
        <v>14373.68</v>
      </c>
      <c r="AA11" s="6">
        <v>8474.48</v>
      </c>
      <c r="AB11" s="6">
        <v>31228.99</v>
      </c>
      <c r="AC11" s="6">
        <v>31228.99</v>
      </c>
    </row>
    <row r="12" spans="1:29" x14ac:dyDescent="0.35">
      <c r="A12" s="2" t="s">
        <v>579</v>
      </c>
      <c r="B12" s="7">
        <v>1489</v>
      </c>
      <c r="C12" s="23"/>
      <c r="D12" s="23"/>
      <c r="E12" s="23"/>
      <c r="F12" s="23"/>
      <c r="G12" s="7"/>
      <c r="H12" s="7">
        <v>1489</v>
      </c>
      <c r="S12" s="7"/>
      <c r="T12" s="7"/>
      <c r="U12" s="7"/>
      <c r="V12" s="2" t="s">
        <v>579</v>
      </c>
      <c r="W12" s="6">
        <v>23833.23</v>
      </c>
      <c r="X12" s="6"/>
      <c r="Y12" s="22"/>
      <c r="Z12" s="6"/>
      <c r="AA12" s="6"/>
      <c r="AB12" s="6"/>
      <c r="AC12" s="6">
        <v>23833.23</v>
      </c>
    </row>
    <row r="13" spans="1:29" x14ac:dyDescent="0.35">
      <c r="A13" s="2" t="s">
        <v>536</v>
      </c>
      <c r="B13" s="7">
        <v>604</v>
      </c>
      <c r="C13" s="23"/>
      <c r="D13" s="23"/>
      <c r="E13" s="23"/>
      <c r="F13" s="23"/>
      <c r="G13" s="7"/>
      <c r="H13" s="7">
        <v>604</v>
      </c>
      <c r="S13" s="7"/>
      <c r="T13" s="7"/>
      <c r="U13" s="7"/>
      <c r="V13" s="2" t="s">
        <v>496</v>
      </c>
      <c r="W13" s="6">
        <v>12975.52</v>
      </c>
      <c r="X13" s="6"/>
      <c r="Y13" s="22"/>
      <c r="Z13" s="6"/>
      <c r="AA13" s="6"/>
      <c r="AB13" s="6"/>
      <c r="AC13" s="6">
        <v>12975.52</v>
      </c>
    </row>
    <row r="14" spans="1:29" x14ac:dyDescent="0.35">
      <c r="A14" s="2" t="s">
        <v>496</v>
      </c>
      <c r="B14" s="7">
        <v>575</v>
      </c>
      <c r="C14" s="23"/>
      <c r="D14" s="23"/>
      <c r="E14" s="23"/>
      <c r="F14" s="23"/>
      <c r="G14" s="7"/>
      <c r="H14" s="7">
        <v>575</v>
      </c>
      <c r="S14" s="7"/>
      <c r="T14" s="7"/>
      <c r="U14" s="7"/>
      <c r="V14" s="2" t="s">
        <v>536</v>
      </c>
      <c r="W14" s="6">
        <v>12642.83</v>
      </c>
      <c r="X14" s="6"/>
      <c r="Y14" s="22"/>
      <c r="Z14" s="6"/>
      <c r="AA14" s="6"/>
      <c r="AB14" s="6"/>
      <c r="AC14" s="6">
        <v>12642.83</v>
      </c>
    </row>
    <row r="15" spans="1:29" x14ac:dyDescent="0.35">
      <c r="A15" s="2" t="s">
        <v>563</v>
      </c>
      <c r="B15" s="7">
        <v>423</v>
      </c>
      <c r="C15" s="23"/>
      <c r="D15" s="23"/>
      <c r="E15" s="23"/>
      <c r="F15" s="23"/>
      <c r="G15" s="7"/>
      <c r="H15" s="7">
        <v>423</v>
      </c>
      <c r="S15" s="7"/>
      <c r="T15" s="7"/>
      <c r="U15" s="7"/>
      <c r="V15" s="2" t="s">
        <v>562</v>
      </c>
      <c r="W15" s="6">
        <v>11542.43</v>
      </c>
      <c r="X15" s="6"/>
      <c r="Y15" s="22"/>
      <c r="Z15" s="6"/>
      <c r="AA15" s="6"/>
      <c r="AB15" s="6"/>
      <c r="AC15" s="6">
        <v>11542.43</v>
      </c>
    </row>
    <row r="16" spans="1:29" x14ac:dyDescent="0.35">
      <c r="A16" s="2" t="s">
        <v>562</v>
      </c>
      <c r="B16" s="7">
        <v>423</v>
      </c>
      <c r="C16" s="23"/>
      <c r="D16" s="23"/>
      <c r="E16" s="23"/>
      <c r="F16" s="23"/>
      <c r="G16" s="7"/>
      <c r="H16" s="7">
        <v>423</v>
      </c>
      <c r="V16" s="2" t="s">
        <v>563</v>
      </c>
      <c r="W16" s="6">
        <v>8757.9699999999993</v>
      </c>
      <c r="X16" s="6"/>
      <c r="Y16" s="22"/>
      <c r="Z16" s="6"/>
      <c r="AA16" s="6"/>
      <c r="AB16" s="6"/>
      <c r="AC16" s="6">
        <v>8757.9699999999993</v>
      </c>
    </row>
    <row r="17" spans="1:29" x14ac:dyDescent="0.35">
      <c r="A17" s="2" t="s">
        <v>771</v>
      </c>
      <c r="B17" s="7">
        <v>18688.599999999999</v>
      </c>
      <c r="C17" s="23">
        <v>3502</v>
      </c>
      <c r="D17" s="23">
        <v>1340</v>
      </c>
      <c r="E17" s="23">
        <v>3116</v>
      </c>
      <c r="F17" s="23">
        <v>3374</v>
      </c>
      <c r="G17" s="7">
        <v>11332</v>
      </c>
      <c r="H17" s="7">
        <v>30020.6</v>
      </c>
      <c r="V17" s="2" t="s">
        <v>771</v>
      </c>
      <c r="W17" s="6">
        <v>296093.15999999992</v>
      </c>
      <c r="X17" s="6">
        <v>49826.29</v>
      </c>
      <c r="Y17" s="22">
        <v>19160.97</v>
      </c>
      <c r="Z17" s="6">
        <v>49600.079999999994</v>
      </c>
      <c r="AA17" s="6">
        <v>44066.080000000002</v>
      </c>
      <c r="AB17" s="6">
        <v>162653.41999999998</v>
      </c>
      <c r="AC17" s="6">
        <v>458746.57999999996</v>
      </c>
    </row>
    <row r="18" spans="1:29" x14ac:dyDescent="0.35">
      <c r="B18"/>
      <c r="C18"/>
      <c r="D18"/>
      <c r="E18"/>
      <c r="Y18"/>
    </row>
    <row r="19" spans="1:29" x14ac:dyDescent="0.35">
      <c r="B19"/>
      <c r="C19"/>
      <c r="D19"/>
      <c r="E19"/>
      <c r="Y19"/>
    </row>
    <row r="20" spans="1:29" x14ac:dyDescent="0.35">
      <c r="B20"/>
      <c r="C20"/>
      <c r="D20"/>
      <c r="E20"/>
      <c r="Y20"/>
    </row>
    <row r="21" spans="1:29" x14ac:dyDescent="0.35">
      <c r="B21"/>
      <c r="C21"/>
      <c r="D21"/>
      <c r="E21"/>
      <c r="Y21"/>
    </row>
    <row r="22" spans="1:29" x14ac:dyDescent="0.35">
      <c r="B22"/>
      <c r="C22"/>
      <c r="D22"/>
      <c r="E22"/>
      <c r="Y22"/>
    </row>
    <row r="23" spans="1:29" x14ac:dyDescent="0.35">
      <c r="B23"/>
      <c r="C23"/>
      <c r="D23"/>
      <c r="E23"/>
      <c r="Y23"/>
    </row>
    <row r="50" spans="11:11" x14ac:dyDescent="0.35">
      <c r="K50" s="87" t="s">
        <v>709</v>
      </c>
    </row>
  </sheetData>
  <hyperlinks>
    <hyperlink ref="K1" location="'FLEX-CH'!K51" display="GRAPHS" xr:uid="{D56989C7-A766-4491-B8FA-03FA83657A55}"/>
    <hyperlink ref="K50" location="'FLEX-CH'!K1" display="TOP" xr:uid="{11106A97-EFD3-4F00-BA77-2AC5EEC9C850}"/>
  </hyperlinks>
  <pageMargins left="0.511811024" right="0.511811024" top="0.78740157499999996" bottom="0.78740157499999996" header="0.31496062000000002" footer="0.3149606200000000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8644-88B4-4815-B32D-11948DF2AA06}">
  <sheetPr>
    <tabColor theme="9" tint="0.39997558519241921"/>
  </sheetPr>
  <dimension ref="A1:X69"/>
  <sheetViews>
    <sheetView showGridLines="0" zoomScale="110" zoomScaleNormal="110" workbookViewId="0">
      <selection activeCell="K9" sqref="K9"/>
    </sheetView>
  </sheetViews>
  <sheetFormatPr baseColWidth="10" defaultColWidth="10.90625" defaultRowHeight="14.5" x14ac:dyDescent="0.35"/>
  <cols>
    <col min="1" max="1" width="53.08984375" bestFit="1" customWidth="1"/>
    <col min="2" max="2" width="16.81640625" style="3" bestFit="1" customWidth="1"/>
    <col min="3" max="3" width="6.7265625" style="3" bestFit="1" customWidth="1"/>
    <col min="4" max="5" width="5.36328125" bestFit="1" customWidth="1"/>
    <col min="6" max="6" width="9.54296875" bestFit="1" customWidth="1"/>
    <col min="7" max="7" width="11.7265625" bestFit="1" customWidth="1"/>
    <col min="8" max="8" width="4" customWidth="1"/>
    <col min="9" max="9" width="1.1796875" customWidth="1"/>
    <col min="10" max="10" width="0.81640625" customWidth="1"/>
    <col min="11" max="15" width="1.54296875" customWidth="1"/>
    <col min="16" max="16" width="2.453125" customWidth="1"/>
    <col min="17" max="17" width="53.08984375" bestFit="1" customWidth="1"/>
    <col min="18" max="18" width="14.54296875" bestFit="1" customWidth="1"/>
    <col min="19" max="19" width="8.90625" bestFit="1" customWidth="1"/>
    <col min="20" max="20" width="9.90625" bestFit="1" customWidth="1"/>
    <col min="21" max="21" width="8.90625" bestFit="1" customWidth="1"/>
    <col min="22" max="22" width="9.90625" bestFit="1" customWidth="1"/>
    <col min="23" max="24" width="11.7265625" bestFit="1" customWidth="1"/>
    <col min="25" max="25" width="9.81640625" bestFit="1" customWidth="1"/>
    <col min="26" max="26" width="12.54296875" bestFit="1" customWidth="1"/>
  </cols>
  <sheetData>
    <row r="1" spans="1:23" x14ac:dyDescent="0.35">
      <c r="C1" s="42"/>
      <c r="D1" s="42"/>
      <c r="E1" s="42"/>
      <c r="F1" s="4"/>
      <c r="G1" s="4"/>
      <c r="H1" s="87" t="s">
        <v>710</v>
      </c>
      <c r="I1" s="4"/>
      <c r="J1" s="4"/>
      <c r="K1" s="4"/>
      <c r="L1" s="4"/>
      <c r="M1" s="4"/>
      <c r="N1" s="4"/>
      <c r="O1" s="4"/>
      <c r="P1" s="4"/>
    </row>
    <row r="2" spans="1:23" x14ac:dyDescent="0.35">
      <c r="A2" s="1" t="s">
        <v>4</v>
      </c>
      <c r="B2" s="30" t="s">
        <v>550</v>
      </c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 t="s">
        <v>4</v>
      </c>
      <c r="R2" s="5" t="s">
        <v>550</v>
      </c>
    </row>
    <row r="3" spans="1:23" x14ac:dyDescent="0.35">
      <c r="A3" s="139" t="s">
        <v>529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39" t="s">
        <v>528</v>
      </c>
    </row>
    <row r="4" spans="1:23" x14ac:dyDescent="0.35">
      <c r="A4" s="1" t="s">
        <v>527</v>
      </c>
      <c r="B4" s="21" t="s">
        <v>662</v>
      </c>
      <c r="D4" s="3"/>
      <c r="E4" s="3"/>
      <c r="F4" s="3"/>
      <c r="G4" s="3"/>
      <c r="K4" s="3"/>
      <c r="L4" s="3"/>
      <c r="M4" s="3"/>
      <c r="N4" s="3"/>
      <c r="O4" s="3"/>
      <c r="P4" s="3"/>
      <c r="Q4" s="1" t="s">
        <v>850</v>
      </c>
      <c r="R4" s="1" t="s">
        <v>662</v>
      </c>
    </row>
    <row r="5" spans="1:23" x14ac:dyDescent="0.35">
      <c r="B5" s="3">
        <v>2025</v>
      </c>
      <c r="C5" s="3">
        <v>2026</v>
      </c>
      <c r="D5" s="3"/>
      <c r="E5" s="3"/>
      <c r="F5" t="s">
        <v>772</v>
      </c>
      <c r="G5" s="3" t="s">
        <v>771</v>
      </c>
      <c r="K5" s="3"/>
      <c r="L5" s="3"/>
      <c r="M5" s="3"/>
      <c r="N5" s="3"/>
      <c r="O5" s="3"/>
      <c r="P5" s="3"/>
      <c r="R5" s="3">
        <v>2025</v>
      </c>
      <c r="S5">
        <v>2026</v>
      </c>
      <c r="V5" t="s">
        <v>772</v>
      </c>
      <c r="W5" s="3" t="s">
        <v>771</v>
      </c>
    </row>
    <row r="6" spans="1:23" x14ac:dyDescent="0.35">
      <c r="A6" s="1" t="s">
        <v>4</v>
      </c>
      <c r="B6"/>
      <c r="C6" s="3">
        <v>2</v>
      </c>
      <c r="D6" s="3">
        <v>5</v>
      </c>
      <c r="E6" s="3">
        <v>9</v>
      </c>
      <c r="G6" s="3"/>
      <c r="K6" s="7"/>
      <c r="L6" s="7"/>
      <c r="M6" s="7"/>
      <c r="N6" s="7"/>
      <c r="O6" s="7"/>
      <c r="P6" s="7"/>
      <c r="Q6" s="1" t="s">
        <v>4</v>
      </c>
      <c r="S6">
        <v>2</v>
      </c>
      <c r="T6" s="3">
        <v>5</v>
      </c>
      <c r="U6" s="3">
        <v>9</v>
      </c>
      <c r="W6" s="3"/>
    </row>
    <row r="7" spans="1:23" x14ac:dyDescent="0.35">
      <c r="A7" s="26" t="s">
        <v>674</v>
      </c>
      <c r="B7" s="23">
        <v>514</v>
      </c>
      <c r="C7" s="23">
        <v>1390</v>
      </c>
      <c r="D7" s="82"/>
      <c r="E7" s="7"/>
      <c r="F7" s="7">
        <v>1390</v>
      </c>
      <c r="G7" s="7">
        <v>1904</v>
      </c>
      <c r="K7" s="7"/>
      <c r="L7" s="7"/>
      <c r="M7" s="7"/>
      <c r="N7" s="7"/>
      <c r="O7" s="7"/>
      <c r="P7" s="7"/>
      <c r="Q7" s="26" t="s">
        <v>393</v>
      </c>
      <c r="R7" s="6">
        <v>16610.66</v>
      </c>
      <c r="S7" s="6">
        <v>30845.31</v>
      </c>
      <c r="T7" s="27"/>
      <c r="U7" s="27">
        <v>18146.91</v>
      </c>
      <c r="V7" s="6">
        <v>48992.22</v>
      </c>
      <c r="W7" s="6">
        <v>65602.880000000005</v>
      </c>
    </row>
    <row r="8" spans="1:23" x14ac:dyDescent="0.35">
      <c r="A8" s="2" t="s">
        <v>393</v>
      </c>
      <c r="B8" s="23">
        <v>464</v>
      </c>
      <c r="C8" s="23">
        <v>908</v>
      </c>
      <c r="D8" s="23"/>
      <c r="E8" s="7">
        <v>478</v>
      </c>
      <c r="F8" s="7">
        <v>1386</v>
      </c>
      <c r="G8" s="7">
        <v>1850</v>
      </c>
      <c r="K8" s="7"/>
      <c r="L8" s="7"/>
      <c r="M8" s="7"/>
      <c r="N8" s="7"/>
      <c r="O8" s="7"/>
      <c r="P8" s="7"/>
      <c r="Q8" s="26" t="s">
        <v>392</v>
      </c>
      <c r="R8" s="6">
        <v>22640.93</v>
      </c>
      <c r="S8" s="6"/>
      <c r="T8" s="34">
        <v>28726.79</v>
      </c>
      <c r="U8" s="34"/>
      <c r="V8" s="6">
        <v>28726.79</v>
      </c>
      <c r="W8" s="6">
        <v>51367.72</v>
      </c>
    </row>
    <row r="9" spans="1:23" x14ac:dyDescent="0.35">
      <c r="A9" s="26" t="s">
        <v>294</v>
      </c>
      <c r="B9" s="23">
        <v>567</v>
      </c>
      <c r="C9" s="23"/>
      <c r="D9" s="82">
        <v>1153</v>
      </c>
      <c r="E9" s="7"/>
      <c r="F9" s="7">
        <v>1153</v>
      </c>
      <c r="G9" s="7">
        <v>1720</v>
      </c>
      <c r="K9" s="7"/>
      <c r="L9" s="7"/>
      <c r="M9" s="7"/>
      <c r="N9" s="7"/>
      <c r="O9" s="7"/>
      <c r="P9" s="7"/>
      <c r="Q9" s="26" t="s">
        <v>309</v>
      </c>
      <c r="R9" s="6">
        <v>13059.92</v>
      </c>
      <c r="S9" s="6">
        <v>27467.25</v>
      </c>
      <c r="T9" s="27"/>
      <c r="U9" s="27"/>
      <c r="V9" s="6">
        <v>27467.25</v>
      </c>
      <c r="W9" s="6">
        <v>40527.17</v>
      </c>
    </row>
    <row r="10" spans="1:23" x14ac:dyDescent="0.35">
      <c r="A10" s="26" t="s">
        <v>392</v>
      </c>
      <c r="B10" s="23">
        <v>637.08000000000004</v>
      </c>
      <c r="C10" s="23"/>
      <c r="D10" s="82">
        <v>899</v>
      </c>
      <c r="E10" s="7"/>
      <c r="F10" s="7">
        <v>899</v>
      </c>
      <c r="G10" s="7">
        <v>1536.08</v>
      </c>
      <c r="K10" s="7"/>
      <c r="L10" s="7"/>
      <c r="M10" s="7"/>
      <c r="N10" s="7"/>
      <c r="O10" s="7"/>
      <c r="P10" s="7"/>
      <c r="Q10" s="2" t="s">
        <v>861</v>
      </c>
      <c r="R10" s="6"/>
      <c r="S10" s="6"/>
      <c r="T10" s="6"/>
      <c r="U10" s="6">
        <v>40154.83</v>
      </c>
      <c r="V10" s="6">
        <v>40154.83</v>
      </c>
      <c r="W10" s="6">
        <v>40154.83</v>
      </c>
    </row>
    <row r="11" spans="1:23" x14ac:dyDescent="0.35">
      <c r="A11" s="2" t="s">
        <v>861</v>
      </c>
      <c r="B11" s="23"/>
      <c r="C11" s="23"/>
      <c r="D11" s="23"/>
      <c r="E11" s="7">
        <v>1512</v>
      </c>
      <c r="F11" s="7">
        <v>1512</v>
      </c>
      <c r="G11" s="7">
        <v>1512</v>
      </c>
      <c r="K11" s="7"/>
      <c r="L11" s="7"/>
      <c r="M11" s="7"/>
      <c r="N11" s="7"/>
      <c r="O11" s="7"/>
      <c r="P11" s="7"/>
      <c r="Q11" s="26" t="s">
        <v>294</v>
      </c>
      <c r="R11" s="6">
        <v>13448.56</v>
      </c>
      <c r="S11" s="6"/>
      <c r="T11" s="27">
        <v>24410.720000000001</v>
      </c>
      <c r="U11" s="27"/>
      <c r="V11" s="6">
        <v>24410.720000000001</v>
      </c>
      <c r="W11" s="6">
        <v>37859.279999999999</v>
      </c>
    </row>
    <row r="12" spans="1:23" x14ac:dyDescent="0.35">
      <c r="A12" s="2" t="s">
        <v>309</v>
      </c>
      <c r="B12" s="23">
        <v>475</v>
      </c>
      <c r="C12" s="23">
        <v>1015</v>
      </c>
      <c r="D12" s="23"/>
      <c r="E12" s="7"/>
      <c r="F12" s="7">
        <v>1015</v>
      </c>
      <c r="G12" s="7">
        <v>1490</v>
      </c>
      <c r="K12" s="7"/>
      <c r="L12" s="7"/>
      <c r="M12" s="7"/>
      <c r="N12" s="7"/>
      <c r="O12" s="7"/>
      <c r="P12" s="7"/>
      <c r="Q12" s="2" t="s">
        <v>293</v>
      </c>
      <c r="R12" s="6"/>
      <c r="S12" s="6"/>
      <c r="T12" s="6">
        <v>37310.839999999997</v>
      </c>
      <c r="U12" s="6"/>
      <c r="V12" s="6">
        <v>37310.839999999997</v>
      </c>
      <c r="W12" s="6">
        <v>37310.839999999997</v>
      </c>
    </row>
    <row r="13" spans="1:23" x14ac:dyDescent="0.35">
      <c r="A13" s="2" t="s">
        <v>293</v>
      </c>
      <c r="B13" s="23"/>
      <c r="C13" s="23"/>
      <c r="D13" s="23">
        <v>1121</v>
      </c>
      <c r="E13" s="7"/>
      <c r="F13" s="7">
        <v>1121</v>
      </c>
      <c r="G13" s="7">
        <v>1121</v>
      </c>
      <c r="K13" s="7"/>
      <c r="L13" s="7"/>
      <c r="M13" s="7"/>
      <c r="N13" s="7"/>
      <c r="O13" s="7"/>
      <c r="P13" s="7"/>
      <c r="Q13" s="26" t="s">
        <v>454</v>
      </c>
      <c r="R13" s="6">
        <v>14771.55</v>
      </c>
      <c r="S13" s="6"/>
      <c r="T13" s="27"/>
      <c r="U13" s="27">
        <v>16501.87</v>
      </c>
      <c r="V13" s="6">
        <v>16501.87</v>
      </c>
      <c r="W13" s="6">
        <v>31273.42</v>
      </c>
    </row>
    <row r="14" spans="1:23" x14ac:dyDescent="0.35">
      <c r="A14" s="2" t="s">
        <v>461</v>
      </c>
      <c r="B14" s="23">
        <v>467</v>
      </c>
      <c r="C14" s="23"/>
      <c r="D14" s="23">
        <v>557</v>
      </c>
      <c r="E14" s="7"/>
      <c r="F14" s="7">
        <v>557</v>
      </c>
      <c r="G14" s="7">
        <v>1024</v>
      </c>
      <c r="K14" s="7"/>
      <c r="L14" s="7"/>
      <c r="M14" s="7"/>
      <c r="N14" s="7"/>
      <c r="O14" s="7"/>
      <c r="P14" s="7"/>
      <c r="Q14" s="26" t="s">
        <v>674</v>
      </c>
      <c r="R14" s="6">
        <v>8145.84</v>
      </c>
      <c r="S14" s="6">
        <v>21681.52</v>
      </c>
      <c r="T14" s="27"/>
      <c r="U14" s="27"/>
      <c r="V14" s="6">
        <v>21681.52</v>
      </c>
      <c r="W14" s="6">
        <v>29827.360000000001</v>
      </c>
    </row>
    <row r="15" spans="1:23" x14ac:dyDescent="0.35">
      <c r="A15" s="26" t="s">
        <v>578</v>
      </c>
      <c r="B15" s="23">
        <v>1004</v>
      </c>
      <c r="C15" s="23"/>
      <c r="D15" s="82"/>
      <c r="E15" s="7"/>
      <c r="F15" s="7"/>
      <c r="G15" s="7">
        <v>1004</v>
      </c>
      <c r="K15" s="7"/>
      <c r="L15" s="7"/>
      <c r="M15" s="7"/>
      <c r="N15" s="7"/>
      <c r="O15" s="7"/>
      <c r="P15" s="7"/>
      <c r="Q15" s="26" t="s">
        <v>578</v>
      </c>
      <c r="R15" s="6">
        <v>29528.32</v>
      </c>
      <c r="S15" s="6"/>
      <c r="T15" s="34"/>
      <c r="U15" s="34"/>
      <c r="V15" s="6"/>
      <c r="W15" s="6">
        <v>29528.32</v>
      </c>
    </row>
    <row r="16" spans="1:23" x14ac:dyDescent="0.35">
      <c r="A16" s="26" t="s">
        <v>576</v>
      </c>
      <c r="B16" s="23">
        <v>983</v>
      </c>
      <c r="C16" s="23"/>
      <c r="D16" s="82"/>
      <c r="E16" s="7"/>
      <c r="F16" s="7"/>
      <c r="G16" s="7">
        <v>983</v>
      </c>
      <c r="Q16" s="26" t="s">
        <v>461</v>
      </c>
      <c r="R16" s="6">
        <v>11796.88</v>
      </c>
      <c r="S16" s="6"/>
      <c r="T16" s="27">
        <v>13026.61</v>
      </c>
      <c r="U16" s="27"/>
      <c r="V16" s="6">
        <v>13026.61</v>
      </c>
      <c r="W16" s="6">
        <v>24823.489999999998</v>
      </c>
    </row>
    <row r="17" spans="1:23" x14ac:dyDescent="0.35">
      <c r="A17" s="2" t="s">
        <v>454</v>
      </c>
      <c r="B17" s="23">
        <v>448</v>
      </c>
      <c r="C17" s="23"/>
      <c r="D17" s="23"/>
      <c r="E17" s="7">
        <v>455</v>
      </c>
      <c r="F17" s="7">
        <v>455</v>
      </c>
      <c r="G17" s="7">
        <v>903</v>
      </c>
      <c r="Q17" s="26" t="s">
        <v>576</v>
      </c>
      <c r="R17" s="6">
        <v>23906.92</v>
      </c>
      <c r="S17" s="6"/>
      <c r="T17" s="34"/>
      <c r="U17" s="34"/>
      <c r="V17" s="6"/>
      <c r="W17" s="6">
        <v>23906.92</v>
      </c>
    </row>
    <row r="18" spans="1:23" x14ac:dyDescent="0.35">
      <c r="A18" s="26" t="s">
        <v>704</v>
      </c>
      <c r="B18" s="23">
        <v>532</v>
      </c>
      <c r="C18" s="23"/>
      <c r="D18" s="82"/>
      <c r="E18" s="7"/>
      <c r="F18" s="7"/>
      <c r="G18" s="7">
        <v>532</v>
      </c>
      <c r="Q18" s="26" t="s">
        <v>706</v>
      </c>
      <c r="R18" s="6">
        <v>18875.09</v>
      </c>
      <c r="S18" s="6"/>
      <c r="T18" s="27"/>
      <c r="U18" s="27"/>
      <c r="V18" s="6"/>
      <c r="W18" s="6">
        <v>18875.09</v>
      </c>
    </row>
    <row r="19" spans="1:23" x14ac:dyDescent="0.35">
      <c r="A19" s="26" t="s">
        <v>577</v>
      </c>
      <c r="B19" s="23">
        <v>526</v>
      </c>
      <c r="C19" s="23"/>
      <c r="D19" s="82"/>
      <c r="E19" s="7"/>
      <c r="F19" s="7"/>
      <c r="G19" s="7">
        <v>526</v>
      </c>
      <c r="Q19" s="26" t="s">
        <v>704</v>
      </c>
      <c r="R19" s="6">
        <v>16932.13</v>
      </c>
      <c r="S19" s="6"/>
      <c r="T19" s="27"/>
      <c r="U19" s="27"/>
      <c r="V19" s="6"/>
      <c r="W19" s="6">
        <v>16932.13</v>
      </c>
    </row>
    <row r="20" spans="1:23" x14ac:dyDescent="0.35">
      <c r="A20" s="2" t="s">
        <v>706</v>
      </c>
      <c r="B20" s="23">
        <v>484</v>
      </c>
      <c r="C20" s="23"/>
      <c r="D20" s="23"/>
      <c r="E20" s="7"/>
      <c r="F20" s="7"/>
      <c r="G20" s="7">
        <v>484</v>
      </c>
      <c r="Q20" s="26" t="s">
        <v>577</v>
      </c>
      <c r="R20" s="6">
        <v>14131.27</v>
      </c>
      <c r="S20" s="6"/>
      <c r="T20" s="34"/>
      <c r="U20" s="34"/>
      <c r="V20" s="6"/>
      <c r="W20" s="6">
        <v>14131.27</v>
      </c>
    </row>
    <row r="21" spans="1:23" x14ac:dyDescent="0.35">
      <c r="A21" s="2" t="s">
        <v>705</v>
      </c>
      <c r="B21" s="23">
        <v>454</v>
      </c>
      <c r="C21" s="23"/>
      <c r="D21" s="23"/>
      <c r="E21" s="7"/>
      <c r="F21" s="7"/>
      <c r="G21" s="7">
        <v>454</v>
      </c>
      <c r="Q21" s="26" t="s">
        <v>705</v>
      </c>
      <c r="R21" s="6">
        <v>12371.06</v>
      </c>
      <c r="S21" s="6"/>
      <c r="T21" s="27"/>
      <c r="U21" s="27"/>
      <c r="V21" s="6"/>
      <c r="W21" s="6">
        <v>12371.06</v>
      </c>
    </row>
    <row r="22" spans="1:23" x14ac:dyDescent="0.35">
      <c r="A22" s="2" t="s">
        <v>672</v>
      </c>
      <c r="B22" s="23">
        <v>423</v>
      </c>
      <c r="C22" s="23"/>
      <c r="D22" s="23"/>
      <c r="E22" s="7"/>
      <c r="F22" s="7"/>
      <c r="G22" s="7">
        <v>423</v>
      </c>
      <c r="Q22" s="26" t="s">
        <v>658</v>
      </c>
      <c r="R22" s="6">
        <v>12356.57</v>
      </c>
      <c r="S22" s="6"/>
      <c r="T22" s="34"/>
      <c r="U22" s="34"/>
      <c r="V22" s="6"/>
      <c r="W22" s="6">
        <v>12356.57</v>
      </c>
    </row>
    <row r="23" spans="1:23" x14ac:dyDescent="0.35">
      <c r="A23" s="2" t="s">
        <v>673</v>
      </c>
      <c r="B23" s="23">
        <v>417</v>
      </c>
      <c r="C23" s="23"/>
      <c r="D23" s="23"/>
      <c r="E23" s="7"/>
      <c r="F23" s="7"/>
      <c r="G23" s="7">
        <v>417</v>
      </c>
      <c r="Q23" s="26" t="s">
        <v>672</v>
      </c>
      <c r="R23" s="6">
        <v>10212.99</v>
      </c>
      <c r="S23" s="6"/>
      <c r="T23" s="27"/>
      <c r="U23" s="27"/>
      <c r="V23" s="6"/>
      <c r="W23" s="6">
        <v>10212.99</v>
      </c>
    </row>
    <row r="24" spans="1:23" x14ac:dyDescent="0.35">
      <c r="A24" s="2" t="s">
        <v>658</v>
      </c>
      <c r="B24" s="23">
        <v>3</v>
      </c>
      <c r="C24" s="23"/>
      <c r="D24" s="23"/>
      <c r="E24" s="7"/>
      <c r="F24" s="7"/>
      <c r="G24" s="7">
        <v>3</v>
      </c>
      <c r="Q24" s="2" t="s">
        <v>673</v>
      </c>
      <c r="R24" s="6">
        <v>6675.12</v>
      </c>
      <c r="S24" s="6"/>
      <c r="T24" s="6"/>
      <c r="U24" s="6"/>
      <c r="V24" s="6"/>
      <c r="W24" s="6">
        <v>6675.12</v>
      </c>
    </row>
    <row r="25" spans="1:23" x14ac:dyDescent="0.35">
      <c r="A25" s="2" t="s">
        <v>771</v>
      </c>
      <c r="B25" s="23">
        <v>8398.08</v>
      </c>
      <c r="C25" s="23">
        <v>3313</v>
      </c>
      <c r="D25" s="23">
        <v>3730</v>
      </c>
      <c r="E25" s="7">
        <v>2445</v>
      </c>
      <c r="F25" s="7">
        <v>9488</v>
      </c>
      <c r="G25" s="7">
        <v>17886.080000000002</v>
      </c>
      <c r="Q25" s="2" t="s">
        <v>771</v>
      </c>
      <c r="R25" s="6">
        <v>245463.81</v>
      </c>
      <c r="S25" s="6">
        <v>79994.080000000002</v>
      </c>
      <c r="T25" s="6">
        <v>103474.96</v>
      </c>
      <c r="U25" s="6">
        <v>74803.61</v>
      </c>
      <c r="V25" s="6">
        <v>258272.64999999997</v>
      </c>
      <c r="W25" s="6">
        <v>503736.46</v>
      </c>
    </row>
    <row r="26" spans="1:23" x14ac:dyDescent="0.35">
      <c r="A26" s="2"/>
      <c r="B26" s="23"/>
      <c r="C26" s="23"/>
      <c r="D26" s="23"/>
      <c r="E26" s="7"/>
      <c r="F26" s="7"/>
      <c r="Q26" s="2"/>
      <c r="R26" s="6"/>
      <c r="S26" s="6"/>
      <c r="T26" s="6"/>
      <c r="U26" s="6"/>
      <c r="V26" s="6"/>
    </row>
    <row r="27" spans="1:23" x14ac:dyDescent="0.35">
      <c r="A27" s="2"/>
      <c r="B27" s="23"/>
      <c r="C27" s="23"/>
      <c r="D27" s="23"/>
      <c r="E27" s="7"/>
      <c r="F27" s="7"/>
      <c r="Q27" s="2"/>
      <c r="R27" s="6"/>
      <c r="S27" s="6"/>
      <c r="T27" s="6"/>
      <c r="U27" s="6"/>
      <c r="V27" s="6"/>
    </row>
    <row r="38" spans="1:24" ht="21.75" customHeight="1" x14ac:dyDescent="0.35"/>
    <row r="39" spans="1:24" ht="21.75" customHeight="1" x14ac:dyDescent="0.35"/>
    <row r="40" spans="1:24" ht="21.75" customHeight="1" x14ac:dyDescent="0.35"/>
    <row r="41" spans="1:24" ht="21.75" customHeight="1" x14ac:dyDescent="0.35"/>
    <row r="42" spans="1:24" ht="8.25" customHeight="1" x14ac:dyDescent="0.35"/>
    <row r="43" spans="1:24" hidden="1" x14ac:dyDescent="0.35">
      <c r="B43" s="3" t="s">
        <v>663</v>
      </c>
    </row>
    <row r="44" spans="1:24" hidden="1" x14ac:dyDescent="0.35">
      <c r="A44" s="1" t="s">
        <v>4</v>
      </c>
      <c r="B44" s="5" t="s">
        <v>122</v>
      </c>
      <c r="C44" s="42"/>
      <c r="D44" s="42"/>
      <c r="E44" s="4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1" t="s">
        <v>4</v>
      </c>
      <c r="R44" s="5" t="s">
        <v>122</v>
      </c>
    </row>
    <row r="45" spans="1:24" hidden="1" x14ac:dyDescent="0.35">
      <c r="A45" s="1" t="s">
        <v>1</v>
      </c>
      <c r="B45" t="s">
        <v>783</v>
      </c>
      <c r="D45" s="3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" t="s">
        <v>1</v>
      </c>
      <c r="R45" t="s">
        <v>783</v>
      </c>
    </row>
    <row r="46" spans="1:24" hidden="1" x14ac:dyDescent="0.35">
      <c r="B46" s="10" t="s">
        <v>529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R46" s="10" t="s">
        <v>528</v>
      </c>
    </row>
    <row r="47" spans="1:24" hidden="1" x14ac:dyDescent="0.35">
      <c r="A47" s="1" t="s">
        <v>527</v>
      </c>
      <c r="B47" s="21" t="s">
        <v>662</v>
      </c>
      <c r="D47" s="3"/>
      <c r="E47" s="3"/>
      <c r="F47" s="3"/>
      <c r="G47" s="3"/>
      <c r="K47" s="3"/>
      <c r="L47" s="3"/>
      <c r="M47" s="3"/>
      <c r="N47" s="3"/>
      <c r="O47" s="3"/>
      <c r="P47" s="3"/>
      <c r="Q47" s="1" t="s">
        <v>546</v>
      </c>
      <c r="R47" s="1" t="s">
        <v>662</v>
      </c>
    </row>
    <row r="48" spans="1:24" hidden="1" x14ac:dyDescent="0.35">
      <c r="A48" s="1" t="s">
        <v>4</v>
      </c>
      <c r="B48" s="3">
        <v>3</v>
      </c>
      <c r="C48" s="3">
        <v>5</v>
      </c>
      <c r="D48" s="3">
        <v>6</v>
      </c>
      <c r="E48" s="3">
        <v>7</v>
      </c>
      <c r="F48" s="3">
        <v>10</v>
      </c>
      <c r="G48" s="3" t="s">
        <v>771</v>
      </c>
      <c r="K48" s="3"/>
      <c r="L48" s="3"/>
      <c r="M48" s="3"/>
      <c r="N48" s="3"/>
      <c r="O48" s="3"/>
      <c r="P48" s="3"/>
      <c r="Q48" s="1" t="s">
        <v>4</v>
      </c>
      <c r="R48" s="3">
        <v>3</v>
      </c>
      <c r="S48" s="3">
        <v>5</v>
      </c>
      <c r="T48" s="3">
        <v>6</v>
      </c>
      <c r="U48" s="3">
        <v>7</v>
      </c>
      <c r="V48" s="3">
        <v>10</v>
      </c>
      <c r="W48" s="3">
        <v>12</v>
      </c>
      <c r="X48" s="3" t="s">
        <v>771</v>
      </c>
    </row>
    <row r="49" spans="1:24" hidden="1" x14ac:dyDescent="0.35">
      <c r="A49" s="2" t="s">
        <v>293</v>
      </c>
      <c r="B49" s="23"/>
      <c r="C49" s="23">
        <v>672</v>
      </c>
      <c r="D49" s="7"/>
      <c r="E49" s="7">
        <v>1656</v>
      </c>
      <c r="F49" s="7"/>
      <c r="G49" s="7">
        <v>2328</v>
      </c>
      <c r="K49" s="7"/>
      <c r="L49" s="7"/>
      <c r="M49" s="7"/>
      <c r="N49" s="7"/>
      <c r="O49" s="7"/>
      <c r="P49" s="7"/>
      <c r="Q49" s="2" t="s">
        <v>293</v>
      </c>
      <c r="R49" s="6"/>
      <c r="S49" s="6">
        <v>29465.399999999998</v>
      </c>
      <c r="T49" s="6"/>
      <c r="U49" s="6">
        <v>59398.9</v>
      </c>
      <c r="V49" s="6"/>
      <c r="W49" s="6"/>
      <c r="X49" s="6">
        <v>88864.3</v>
      </c>
    </row>
    <row r="50" spans="1:24" hidden="1" x14ac:dyDescent="0.35">
      <c r="A50" s="2" t="s">
        <v>294</v>
      </c>
      <c r="B50" s="23"/>
      <c r="C50" s="23">
        <v>622</v>
      </c>
      <c r="D50" s="7"/>
      <c r="E50" s="7">
        <v>1075</v>
      </c>
      <c r="F50" s="7"/>
      <c r="G50" s="7">
        <v>1697</v>
      </c>
      <c r="K50" s="7"/>
      <c r="L50" s="7"/>
      <c r="M50" s="7"/>
      <c r="N50" s="7"/>
      <c r="O50" s="7"/>
      <c r="P50" s="7"/>
      <c r="Q50" s="2" t="s">
        <v>294</v>
      </c>
      <c r="R50" s="6"/>
      <c r="S50" s="6">
        <v>24009.200000000001</v>
      </c>
      <c r="T50" s="6"/>
      <c r="U50" s="6">
        <v>49418.36</v>
      </c>
      <c r="V50" s="6"/>
      <c r="W50" s="6"/>
      <c r="X50" s="6">
        <v>73427.56</v>
      </c>
    </row>
    <row r="51" spans="1:24" hidden="1" x14ac:dyDescent="0.35">
      <c r="A51" s="2" t="s">
        <v>140</v>
      </c>
      <c r="B51" s="23"/>
      <c r="C51" s="23">
        <v>616</v>
      </c>
      <c r="D51" s="7"/>
      <c r="E51" s="7"/>
      <c r="F51" s="7">
        <v>689</v>
      </c>
      <c r="G51" s="7">
        <v>1305</v>
      </c>
      <c r="K51" s="7"/>
      <c r="L51" s="7"/>
      <c r="M51" s="7"/>
      <c r="N51" s="7"/>
      <c r="O51" s="7"/>
      <c r="P51" s="7"/>
      <c r="Q51" s="2" t="s">
        <v>140</v>
      </c>
      <c r="R51" s="6"/>
      <c r="S51" s="6">
        <v>21131.41</v>
      </c>
      <c r="T51" s="6"/>
      <c r="U51" s="6"/>
      <c r="V51" s="6">
        <v>24563.46</v>
      </c>
      <c r="W51" s="6"/>
      <c r="X51" s="6">
        <v>45694.869999999995</v>
      </c>
    </row>
    <row r="52" spans="1:24" hidden="1" x14ac:dyDescent="0.35">
      <c r="A52" s="2" t="s">
        <v>124</v>
      </c>
      <c r="B52" s="23">
        <v>1128</v>
      </c>
      <c r="C52" s="23"/>
      <c r="D52" s="7"/>
      <c r="E52" s="7"/>
      <c r="F52" s="7"/>
      <c r="G52" s="7">
        <v>1128</v>
      </c>
      <c r="K52" s="7"/>
      <c r="L52" s="7"/>
      <c r="M52" s="7"/>
      <c r="N52" s="7"/>
      <c r="O52" s="7"/>
      <c r="P52" s="7"/>
      <c r="Q52" s="2" t="s">
        <v>145</v>
      </c>
      <c r="R52" s="6"/>
      <c r="S52" s="6"/>
      <c r="T52" s="6">
        <v>21344.560000000001</v>
      </c>
      <c r="U52" s="6"/>
      <c r="V52" s="6">
        <v>21323.03</v>
      </c>
      <c r="W52" s="6"/>
      <c r="X52" s="6">
        <v>42667.59</v>
      </c>
    </row>
    <row r="53" spans="1:24" hidden="1" x14ac:dyDescent="0.35">
      <c r="A53" s="2" t="s">
        <v>145</v>
      </c>
      <c r="B53" s="23"/>
      <c r="C53" s="23"/>
      <c r="D53" s="7">
        <v>553</v>
      </c>
      <c r="E53" s="7"/>
      <c r="F53" s="7">
        <v>532</v>
      </c>
      <c r="G53" s="7">
        <v>1085</v>
      </c>
      <c r="K53" s="7"/>
      <c r="L53" s="7"/>
      <c r="M53" s="7"/>
      <c r="N53" s="7"/>
      <c r="O53" s="7"/>
      <c r="P53" s="7"/>
      <c r="Q53" s="2" t="s">
        <v>309</v>
      </c>
      <c r="R53" s="6"/>
      <c r="S53" s="6"/>
      <c r="T53" s="6">
        <v>13466.88</v>
      </c>
      <c r="U53" s="6"/>
      <c r="V53" s="6"/>
      <c r="W53" s="6">
        <v>16686.990000000002</v>
      </c>
      <c r="X53" s="6">
        <v>30153.870000000003</v>
      </c>
    </row>
    <row r="54" spans="1:24" hidden="1" x14ac:dyDescent="0.35">
      <c r="A54" s="2" t="s">
        <v>126</v>
      </c>
      <c r="B54" s="23">
        <v>1029</v>
      </c>
      <c r="C54" s="23"/>
      <c r="D54" s="7"/>
      <c r="E54" s="7"/>
      <c r="F54" s="7"/>
      <c r="G54" s="7">
        <v>1029</v>
      </c>
      <c r="K54" s="7"/>
      <c r="L54" s="7"/>
      <c r="M54" s="7"/>
      <c r="N54" s="7"/>
      <c r="O54" s="7"/>
      <c r="P54" s="7"/>
      <c r="Q54" s="2" t="s">
        <v>310</v>
      </c>
      <c r="R54" s="6"/>
      <c r="S54" s="6"/>
      <c r="T54" s="6">
        <v>15486.66</v>
      </c>
      <c r="U54" s="6">
        <v>14583.55</v>
      </c>
      <c r="V54" s="6"/>
      <c r="W54" s="6"/>
      <c r="X54" s="6">
        <v>30070.21</v>
      </c>
    </row>
    <row r="55" spans="1:24" hidden="1" x14ac:dyDescent="0.35">
      <c r="A55" s="2" t="s">
        <v>310</v>
      </c>
      <c r="B55" s="23"/>
      <c r="C55" s="23"/>
      <c r="D55" s="7">
        <v>482</v>
      </c>
      <c r="E55" s="7">
        <v>500</v>
      </c>
      <c r="F55" s="7"/>
      <c r="G55" s="7">
        <v>982</v>
      </c>
      <c r="Q55" s="2" t="s">
        <v>126</v>
      </c>
      <c r="R55" s="6">
        <v>29260.18</v>
      </c>
      <c r="S55" s="6"/>
      <c r="T55" s="6"/>
      <c r="U55" s="6"/>
      <c r="V55" s="6"/>
      <c r="W55" s="6"/>
      <c r="X55" s="6">
        <v>29260.18</v>
      </c>
    </row>
    <row r="56" spans="1:24" hidden="1" x14ac:dyDescent="0.35">
      <c r="A56" s="2" t="s">
        <v>222</v>
      </c>
      <c r="B56" s="23"/>
      <c r="C56" s="23"/>
      <c r="D56" s="7"/>
      <c r="E56" s="7"/>
      <c r="F56" s="7">
        <v>940</v>
      </c>
      <c r="G56" s="7">
        <v>940</v>
      </c>
      <c r="Q56" s="2" t="s">
        <v>311</v>
      </c>
      <c r="R56" s="6"/>
      <c r="S56" s="6"/>
      <c r="T56" s="6">
        <v>28575.690000000013</v>
      </c>
      <c r="U56" s="6"/>
      <c r="V56" s="6"/>
      <c r="W56" s="6"/>
      <c r="X56" s="6">
        <v>28575.690000000013</v>
      </c>
    </row>
    <row r="57" spans="1:24" hidden="1" x14ac:dyDescent="0.35">
      <c r="A57" s="2" t="s">
        <v>144</v>
      </c>
      <c r="B57" s="23"/>
      <c r="C57" s="23"/>
      <c r="D57" s="7">
        <v>625</v>
      </c>
      <c r="E57" s="7"/>
      <c r="F57" s="7"/>
      <c r="G57" s="7">
        <v>625</v>
      </c>
      <c r="Q57" s="2" t="s">
        <v>338</v>
      </c>
      <c r="R57" s="6"/>
      <c r="S57" s="6"/>
      <c r="T57" s="6"/>
      <c r="U57" s="6">
        <v>12606.22</v>
      </c>
      <c r="V57" s="6"/>
      <c r="W57" s="6">
        <v>14898.39</v>
      </c>
      <c r="X57" s="6">
        <v>27504.61</v>
      </c>
    </row>
    <row r="58" spans="1:24" hidden="1" x14ac:dyDescent="0.35">
      <c r="A58" s="2" t="s">
        <v>146</v>
      </c>
      <c r="B58" s="23"/>
      <c r="C58" s="23"/>
      <c r="D58" s="7">
        <v>616</v>
      </c>
      <c r="E58" s="7"/>
      <c r="F58" s="7"/>
      <c r="G58" s="7">
        <v>616</v>
      </c>
      <c r="Q58" s="2" t="s">
        <v>124</v>
      </c>
      <c r="R58" s="6">
        <v>26289.49</v>
      </c>
      <c r="S58" s="6"/>
      <c r="T58" s="6"/>
      <c r="U58" s="6"/>
      <c r="V58" s="6"/>
      <c r="W58" s="6"/>
      <c r="X58" s="6">
        <v>26289.49</v>
      </c>
    </row>
    <row r="59" spans="1:24" hidden="1" x14ac:dyDescent="0.35">
      <c r="A59" s="2" t="s">
        <v>311</v>
      </c>
      <c r="B59" s="23"/>
      <c r="C59" s="23"/>
      <c r="D59" s="7">
        <v>564</v>
      </c>
      <c r="E59" s="7"/>
      <c r="F59" s="7"/>
      <c r="G59" s="7">
        <v>564</v>
      </c>
      <c r="Q59" s="2" t="s">
        <v>222</v>
      </c>
      <c r="R59" s="6"/>
      <c r="S59" s="6"/>
      <c r="T59" s="6"/>
      <c r="U59" s="6"/>
      <c r="V59" s="6">
        <v>24588.57</v>
      </c>
      <c r="W59" s="6"/>
      <c r="X59" s="6">
        <v>24588.57</v>
      </c>
    </row>
    <row r="60" spans="1:24" hidden="1" x14ac:dyDescent="0.35">
      <c r="A60" s="2" t="s">
        <v>338</v>
      </c>
      <c r="B60" s="23"/>
      <c r="C60" s="23"/>
      <c r="D60" s="7"/>
      <c r="E60" s="7">
        <v>544</v>
      </c>
      <c r="F60" s="7"/>
      <c r="G60" s="7">
        <v>544</v>
      </c>
      <c r="Q60" s="2" t="s">
        <v>146</v>
      </c>
      <c r="R60" s="6"/>
      <c r="S60" s="6"/>
      <c r="T60" s="6">
        <v>21131.41</v>
      </c>
      <c r="U60" s="6"/>
      <c r="V60" s="6"/>
      <c r="W60" s="6"/>
      <c r="X60" s="6">
        <v>21131.41</v>
      </c>
    </row>
    <row r="61" spans="1:24" hidden="1" x14ac:dyDescent="0.35">
      <c r="A61" s="2" t="s">
        <v>309</v>
      </c>
      <c r="B61" s="23"/>
      <c r="C61" s="23"/>
      <c r="D61" s="7">
        <v>501</v>
      </c>
      <c r="E61" s="7"/>
      <c r="F61" s="7"/>
      <c r="G61" s="7">
        <v>501</v>
      </c>
      <c r="Q61" s="2" t="s">
        <v>393</v>
      </c>
      <c r="R61" s="6"/>
      <c r="S61" s="6"/>
      <c r="T61" s="6"/>
      <c r="U61" s="6"/>
      <c r="V61" s="6"/>
      <c r="W61" s="6">
        <v>19885.650000000001</v>
      </c>
      <c r="X61" s="6">
        <v>19885.650000000001</v>
      </c>
    </row>
    <row r="62" spans="1:24" hidden="1" x14ac:dyDescent="0.35">
      <c r="A62" s="2" t="s">
        <v>307</v>
      </c>
      <c r="B62" s="23"/>
      <c r="C62" s="23"/>
      <c r="D62" s="7">
        <v>466</v>
      </c>
      <c r="E62" s="7"/>
      <c r="F62" s="7"/>
      <c r="G62" s="7">
        <v>466</v>
      </c>
      <c r="Q62" s="2" t="s">
        <v>144</v>
      </c>
      <c r="R62" s="6"/>
      <c r="S62" s="6"/>
      <c r="T62" s="6">
        <v>18750.349999999999</v>
      </c>
      <c r="U62" s="6"/>
      <c r="V62" s="6"/>
      <c r="W62" s="6"/>
      <c r="X62" s="6">
        <v>18750.349999999999</v>
      </c>
    </row>
    <row r="63" spans="1:24" hidden="1" x14ac:dyDescent="0.35">
      <c r="A63" s="2" t="s">
        <v>771</v>
      </c>
      <c r="B63" s="23">
        <v>2157</v>
      </c>
      <c r="C63" s="23">
        <v>1910</v>
      </c>
      <c r="D63" s="7">
        <v>3807</v>
      </c>
      <c r="E63" s="7">
        <v>3775</v>
      </c>
      <c r="F63" s="7">
        <v>2161</v>
      </c>
      <c r="G63" s="7">
        <v>13810</v>
      </c>
      <c r="Q63" s="2" t="s">
        <v>392</v>
      </c>
      <c r="R63" s="6"/>
      <c r="S63" s="6"/>
      <c r="T63" s="6"/>
      <c r="U63" s="6"/>
      <c r="V63" s="6"/>
      <c r="W63" s="6">
        <v>17472.34</v>
      </c>
      <c r="X63" s="6">
        <v>17472.34</v>
      </c>
    </row>
    <row r="64" spans="1:24" hidden="1" x14ac:dyDescent="0.35">
      <c r="Q64" s="2" t="s">
        <v>307</v>
      </c>
      <c r="R64" s="6"/>
      <c r="S64" s="6"/>
      <c r="T64" s="6">
        <v>14925.98</v>
      </c>
      <c r="U64" s="6"/>
      <c r="V64" s="6"/>
      <c r="W64" s="6"/>
      <c r="X64" s="6">
        <v>14925.98</v>
      </c>
    </row>
    <row r="65" spans="8:24" hidden="1" x14ac:dyDescent="0.35">
      <c r="Q65" s="2" t="s">
        <v>771</v>
      </c>
      <c r="R65" s="6">
        <v>55549.67</v>
      </c>
      <c r="S65" s="6">
        <v>74606.009999999995</v>
      </c>
      <c r="T65" s="6">
        <v>133681.53000000003</v>
      </c>
      <c r="U65" s="6">
        <v>136007.03</v>
      </c>
      <c r="V65" s="6">
        <v>70475.06</v>
      </c>
      <c r="W65" s="6">
        <v>68943.37</v>
      </c>
      <c r="X65" s="6">
        <v>539262.67000000004</v>
      </c>
    </row>
    <row r="69" spans="8:24" x14ac:dyDescent="0.35">
      <c r="H69" s="87" t="s">
        <v>709</v>
      </c>
    </row>
  </sheetData>
  <hyperlinks>
    <hyperlink ref="H1" location="'SUNLOCK SPA-CH'!H69" display="GRAPHS" xr:uid="{0F551FFD-959D-43C1-A574-6FF21D33CE75}"/>
    <hyperlink ref="H69" location="'SUNLOCK SPA-CH'!H1" display="TOP" xr:uid="{35941004-9A0E-4AA7-B566-9B081E15DC6A}"/>
  </hyperlinks>
  <pageMargins left="0.7" right="0.7" top="0.75" bottom="0.75" header="0.3" footer="0.3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D263-BA40-46BB-95D8-96195AD3AE52}">
  <sheetPr>
    <tabColor rgb="FF92D050"/>
  </sheetPr>
  <dimension ref="A1:Q39"/>
  <sheetViews>
    <sheetView showGridLines="0" workbookViewId="0">
      <selection activeCell="K15" sqref="K15"/>
    </sheetView>
  </sheetViews>
  <sheetFormatPr baseColWidth="10" defaultColWidth="10.90625" defaultRowHeight="14.5" x14ac:dyDescent="0.35"/>
  <cols>
    <col min="1" max="1" width="34.26953125" bestFit="1" customWidth="1"/>
    <col min="2" max="2" width="29" style="3" bestFit="1" customWidth="1"/>
    <col min="3" max="3" width="6.6328125" style="3" bestFit="1" customWidth="1"/>
    <col min="4" max="4" width="9.54296875" bestFit="1" customWidth="1"/>
    <col min="5" max="5" width="11.7265625" bestFit="1" customWidth="1"/>
    <col min="6" max="6" width="8.1796875" customWidth="1"/>
    <col min="7" max="7" width="1.81640625" customWidth="1"/>
    <col min="8" max="10" width="1.453125" customWidth="1"/>
    <col min="11" max="11" width="2.1796875" customWidth="1"/>
    <col min="12" max="12" width="34.26953125" bestFit="1" customWidth="1"/>
    <col min="13" max="13" width="29" bestFit="1" customWidth="1"/>
    <col min="14" max="14" width="9.90625" style="3" bestFit="1" customWidth="1"/>
    <col min="15" max="15" width="9.90625" bestFit="1" customWidth="1"/>
    <col min="16" max="16" width="11.7265625" bestFit="1" customWidth="1"/>
    <col min="17" max="17" width="10.1796875" bestFit="1" customWidth="1"/>
    <col min="18" max="18" width="12.54296875" bestFit="1" customWidth="1"/>
  </cols>
  <sheetData>
    <row r="1" spans="1:17" x14ac:dyDescent="0.35">
      <c r="F1" s="87" t="s">
        <v>710</v>
      </c>
    </row>
    <row r="2" spans="1:17" x14ac:dyDescent="0.35">
      <c r="B2"/>
      <c r="C2" s="42"/>
      <c r="D2" s="4"/>
    </row>
    <row r="3" spans="1:17" x14ac:dyDescent="0.35">
      <c r="A3" s="1" t="s">
        <v>4</v>
      </c>
      <c r="B3" s="5" t="s">
        <v>512</v>
      </c>
      <c r="D3" s="2"/>
      <c r="L3" s="1" t="s">
        <v>4</v>
      </c>
      <c r="M3" s="5" t="s">
        <v>512</v>
      </c>
    </row>
    <row r="4" spans="1:17" x14ac:dyDescent="0.35">
      <c r="A4" s="139" t="s">
        <v>529</v>
      </c>
      <c r="C4" s="10"/>
      <c r="D4" s="10"/>
      <c r="L4" s="139" t="s">
        <v>528</v>
      </c>
    </row>
    <row r="5" spans="1:17" x14ac:dyDescent="0.35">
      <c r="A5" s="1" t="s">
        <v>527</v>
      </c>
      <c r="B5" s="1" t="s">
        <v>662</v>
      </c>
      <c r="D5" s="3"/>
      <c r="E5" s="3"/>
      <c r="H5" s="3"/>
      <c r="I5" s="3"/>
      <c r="J5" s="3"/>
      <c r="L5" s="1" t="s">
        <v>850</v>
      </c>
      <c r="M5" s="21" t="s">
        <v>662</v>
      </c>
      <c r="O5" s="3"/>
      <c r="P5" s="3"/>
    </row>
    <row r="6" spans="1:17" x14ac:dyDescent="0.35">
      <c r="B6" s="3">
        <v>2025</v>
      </c>
      <c r="C6" s="3">
        <v>2026</v>
      </c>
      <c r="D6" t="s">
        <v>772</v>
      </c>
      <c r="E6" s="3" t="s">
        <v>771</v>
      </c>
      <c r="H6" s="3"/>
      <c r="I6" s="3"/>
      <c r="J6" s="3"/>
      <c r="M6" s="3">
        <v>2025</v>
      </c>
      <c r="N6">
        <v>2026</v>
      </c>
      <c r="O6" t="s">
        <v>772</v>
      </c>
      <c r="P6" s="3" t="s">
        <v>771</v>
      </c>
    </row>
    <row r="7" spans="1:17" x14ac:dyDescent="0.35">
      <c r="A7" s="1" t="s">
        <v>4</v>
      </c>
      <c r="B7"/>
      <c r="C7" s="3">
        <v>2</v>
      </c>
      <c r="E7" s="3"/>
      <c r="H7" s="3"/>
      <c r="I7" s="3"/>
      <c r="J7" s="3"/>
      <c r="L7" s="1" t="s">
        <v>4</v>
      </c>
      <c r="N7" s="3">
        <v>2</v>
      </c>
      <c r="P7" s="3"/>
    </row>
    <row r="8" spans="1:17" x14ac:dyDescent="0.35">
      <c r="A8" s="2" t="s">
        <v>515</v>
      </c>
      <c r="B8" s="160">
        <v>9714</v>
      </c>
      <c r="C8" s="161">
        <v>12140</v>
      </c>
      <c r="D8" s="160">
        <v>12140</v>
      </c>
      <c r="E8" s="160">
        <v>21854</v>
      </c>
      <c r="F8" s="98"/>
      <c r="L8" s="2" t="s">
        <v>515</v>
      </c>
      <c r="M8" s="6">
        <v>95819.54</v>
      </c>
      <c r="N8" s="22">
        <v>114700.02</v>
      </c>
      <c r="O8" s="6">
        <v>114700.02</v>
      </c>
      <c r="P8" s="6">
        <v>210519.56</v>
      </c>
      <c r="Q8" s="98"/>
    </row>
    <row r="9" spans="1:17" x14ac:dyDescent="0.35">
      <c r="A9" s="2" t="s">
        <v>660</v>
      </c>
      <c r="B9" s="160">
        <v>6094</v>
      </c>
      <c r="C9" s="161"/>
      <c r="D9" s="160"/>
      <c r="E9" s="160">
        <v>6094</v>
      </c>
      <c r="F9" s="37"/>
      <c r="L9" s="2" t="s">
        <v>660</v>
      </c>
      <c r="M9" s="6">
        <v>90501.33</v>
      </c>
      <c r="N9" s="22"/>
      <c r="O9" s="6"/>
      <c r="P9" s="6">
        <v>90501.33</v>
      </c>
    </row>
    <row r="10" spans="1:17" x14ac:dyDescent="0.35">
      <c r="A10" s="2" t="s">
        <v>659</v>
      </c>
      <c r="B10" s="160">
        <v>5766.52</v>
      </c>
      <c r="C10" s="161"/>
      <c r="D10" s="160"/>
      <c r="E10" s="160">
        <v>5766.52</v>
      </c>
      <c r="F10" s="37"/>
      <c r="L10" s="2" t="s">
        <v>659</v>
      </c>
      <c r="M10" s="6">
        <v>89628.26</v>
      </c>
      <c r="N10" s="22"/>
      <c r="O10" s="6"/>
      <c r="P10" s="6">
        <v>89628.26</v>
      </c>
    </row>
    <row r="11" spans="1:17" x14ac:dyDescent="0.35">
      <c r="A11" s="2" t="s">
        <v>771</v>
      </c>
      <c r="B11" s="7">
        <v>21574.52</v>
      </c>
      <c r="C11" s="23">
        <v>12140</v>
      </c>
      <c r="D11" s="7">
        <v>12140</v>
      </c>
      <c r="E11" s="7">
        <v>33714.520000000004</v>
      </c>
      <c r="L11" s="2" t="s">
        <v>771</v>
      </c>
      <c r="M11" s="6">
        <v>275949.13</v>
      </c>
      <c r="N11" s="22">
        <v>114700.02</v>
      </c>
      <c r="O11" s="6">
        <v>114700.02</v>
      </c>
      <c r="P11" s="6">
        <v>390649.15</v>
      </c>
    </row>
    <row r="12" spans="1:17" x14ac:dyDescent="0.35">
      <c r="B12"/>
      <c r="C12"/>
      <c r="N12"/>
    </row>
    <row r="13" spans="1:17" x14ac:dyDescent="0.35">
      <c r="B13"/>
      <c r="C13"/>
      <c r="N13"/>
    </row>
    <row r="14" spans="1:17" x14ac:dyDescent="0.35">
      <c r="B14"/>
      <c r="C14"/>
      <c r="N14"/>
    </row>
    <row r="15" spans="1:17" x14ac:dyDescent="0.35">
      <c r="B15"/>
      <c r="C15"/>
      <c r="N15"/>
    </row>
    <row r="16" spans="1:17" x14ac:dyDescent="0.35">
      <c r="B16"/>
      <c r="C16"/>
      <c r="N16"/>
    </row>
    <row r="17" spans="2:14" x14ac:dyDescent="0.35">
      <c r="B17"/>
      <c r="C17"/>
      <c r="F17" s="7"/>
      <c r="G17" s="7"/>
      <c r="H17" s="7"/>
      <c r="I17" s="7"/>
      <c r="J17" s="7"/>
      <c r="N17"/>
    </row>
    <row r="39" spans="6:6" x14ac:dyDescent="0.35">
      <c r="F39" s="87" t="s">
        <v>709</v>
      </c>
    </row>
  </sheetData>
  <hyperlinks>
    <hyperlink ref="F1" location="'SIMMONS-ARG'!F40" display="GRAPHS" xr:uid="{D79D6FC5-C7E6-44E1-BC59-F7AE7A39BA84}"/>
    <hyperlink ref="F39" location="'SIMMONS-ARG'!F1" display="TOP" xr:uid="{CA72B3DA-B1A0-40D1-8DE2-0B1507AA7E55}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0500-F9D5-411A-8B53-F279E72B1080}">
  <sheetPr>
    <tabColor theme="8" tint="0.59999389629810485"/>
  </sheetPr>
  <dimension ref="A1:BB54"/>
  <sheetViews>
    <sheetView showGridLines="0" workbookViewId="0">
      <selection activeCell="E1" sqref="E1"/>
    </sheetView>
  </sheetViews>
  <sheetFormatPr baseColWidth="10" defaultColWidth="9.1796875" defaultRowHeight="14.5" x14ac:dyDescent="0.35"/>
  <cols>
    <col min="1" max="1" width="35.08984375" bestFit="1" customWidth="1"/>
    <col min="2" max="2" width="26.7265625" style="3" bestFit="1" customWidth="1"/>
    <col min="3" max="3" width="9.90625" style="3" bestFit="1" customWidth="1"/>
    <col min="4" max="4" width="6.6328125" style="3" bestFit="1" customWidth="1"/>
    <col min="5" max="5" width="9.90625" bestFit="1" customWidth="1"/>
    <col min="6" max="6" width="11.7265625" style="3" bestFit="1" customWidth="1"/>
    <col min="7" max="7" width="2.90625" style="3" customWidth="1"/>
    <col min="8" max="10" width="1.1796875" style="3" customWidth="1"/>
    <col min="11" max="11" width="2.81640625" customWidth="1"/>
    <col min="12" max="15" width="0.81640625" customWidth="1"/>
    <col min="16" max="16" width="2.1796875" customWidth="1"/>
    <col min="17" max="17" width="2" customWidth="1"/>
    <col min="18" max="18" width="43" bestFit="1" customWidth="1"/>
    <col min="19" max="19" width="22.08984375" bestFit="1" customWidth="1"/>
    <col min="20" max="20" width="9.90625" bestFit="1" customWidth="1"/>
    <col min="21" max="22" width="8.90625" bestFit="1" customWidth="1"/>
    <col min="23" max="23" width="9.90625" bestFit="1" customWidth="1"/>
    <col min="24" max="24" width="11.7265625" bestFit="1" customWidth="1"/>
    <col min="25" max="27" width="10.1796875" bestFit="1" customWidth="1"/>
    <col min="29" max="29" width="10.1796875" bestFit="1" customWidth="1"/>
    <col min="30" max="30" width="11.81640625" bestFit="1" customWidth="1"/>
    <col min="31" max="31" width="12.54296875" bestFit="1" customWidth="1"/>
    <col min="32" max="32" width="11.81640625" bestFit="1" customWidth="1"/>
    <col min="33" max="33" width="12.54296875" bestFit="1" customWidth="1"/>
    <col min="35" max="38" width="10.1796875" bestFit="1" customWidth="1"/>
    <col min="40" max="40" width="11.81640625" bestFit="1" customWidth="1"/>
    <col min="41" max="53" width="12.54296875" customWidth="1"/>
    <col min="54" max="54" width="2.81640625" customWidth="1"/>
  </cols>
  <sheetData>
    <row r="1" spans="1:54" x14ac:dyDescent="0.35">
      <c r="A1" s="116" t="s">
        <v>785</v>
      </c>
      <c r="B1" s="117"/>
    </row>
    <row r="2" spans="1:54" x14ac:dyDescent="0.35">
      <c r="A2" s="13"/>
      <c r="C2" s="42"/>
      <c r="D2" s="42"/>
      <c r="E2" s="4"/>
      <c r="F2" s="42"/>
      <c r="G2" s="42"/>
      <c r="H2" s="42"/>
      <c r="I2" s="42"/>
      <c r="J2" s="42"/>
    </row>
    <row r="3" spans="1:54" x14ac:dyDescent="0.35">
      <c r="A3" s="1" t="s">
        <v>4</v>
      </c>
      <c r="B3" s="30" t="s">
        <v>549</v>
      </c>
      <c r="E3" s="87" t="s">
        <v>710</v>
      </c>
      <c r="R3" s="1" t="s">
        <v>4</v>
      </c>
      <c r="S3" s="5" t="s">
        <v>390</v>
      </c>
    </row>
    <row r="4" spans="1:54" x14ac:dyDescent="0.35">
      <c r="B4" s="10" t="s">
        <v>529</v>
      </c>
      <c r="C4" s="10"/>
      <c r="D4" s="10"/>
      <c r="E4" s="35"/>
      <c r="F4" s="10"/>
      <c r="G4" s="10"/>
      <c r="H4" s="10"/>
      <c r="I4" s="10"/>
      <c r="J4" s="10"/>
      <c r="S4" s="10" t="s">
        <v>528</v>
      </c>
    </row>
    <row r="5" spans="1:54" x14ac:dyDescent="0.35">
      <c r="A5" s="1" t="s">
        <v>527</v>
      </c>
      <c r="B5" s="21" t="s">
        <v>656</v>
      </c>
      <c r="E5" s="3"/>
      <c r="G5"/>
      <c r="H5"/>
      <c r="I5"/>
      <c r="J5"/>
      <c r="R5" s="1" t="s">
        <v>546</v>
      </c>
      <c r="S5" s="1" t="s">
        <v>656</v>
      </c>
    </row>
    <row r="6" spans="1:54" x14ac:dyDescent="0.35">
      <c r="B6" s="3">
        <v>2025</v>
      </c>
      <c r="C6" t="s">
        <v>851</v>
      </c>
      <c r="D6" s="3">
        <v>2026</v>
      </c>
      <c r="E6" s="3" t="s">
        <v>793</v>
      </c>
      <c r="F6" s="3" t="s">
        <v>771</v>
      </c>
      <c r="G6"/>
      <c r="H6"/>
      <c r="I6"/>
      <c r="J6"/>
      <c r="S6" s="3">
        <v>2024</v>
      </c>
      <c r="T6" s="3">
        <v>2025</v>
      </c>
      <c r="U6">
        <v>2026</v>
      </c>
      <c r="W6" t="s">
        <v>772</v>
      </c>
      <c r="X6" s="3" t="s">
        <v>771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 spans="1:54" x14ac:dyDescent="0.35">
      <c r="A7" s="1" t="s">
        <v>845</v>
      </c>
      <c r="B7">
        <v>5</v>
      </c>
      <c r="C7"/>
      <c r="D7">
        <v>5</v>
      </c>
      <c r="E7" s="3"/>
      <c r="G7"/>
      <c r="H7"/>
      <c r="I7"/>
      <c r="J7"/>
      <c r="R7" s="1" t="s">
        <v>844</v>
      </c>
      <c r="U7" s="3">
        <v>4</v>
      </c>
      <c r="V7">
        <v>9</v>
      </c>
      <c r="X7" s="3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7"/>
    </row>
    <row r="8" spans="1:54" x14ac:dyDescent="0.35">
      <c r="A8" s="2" t="s">
        <v>575</v>
      </c>
      <c r="B8" s="7">
        <v>3913</v>
      </c>
      <c r="C8" s="7">
        <v>3913</v>
      </c>
      <c r="D8" s="7"/>
      <c r="E8" s="23"/>
      <c r="F8" s="7">
        <v>3913</v>
      </c>
      <c r="G8"/>
      <c r="H8"/>
      <c r="I8"/>
      <c r="J8"/>
      <c r="R8" s="143" t="s">
        <v>694</v>
      </c>
      <c r="S8" s="6"/>
      <c r="T8" s="6">
        <v>33890.31</v>
      </c>
      <c r="U8" s="6">
        <v>27851.02</v>
      </c>
      <c r="V8" s="6">
        <v>15463.92</v>
      </c>
      <c r="W8" s="6">
        <v>43314.94</v>
      </c>
      <c r="X8" s="6">
        <v>77205.25</v>
      </c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</row>
    <row r="9" spans="1:54" x14ac:dyDescent="0.35">
      <c r="A9" s="2" t="s">
        <v>782</v>
      </c>
      <c r="B9" s="7"/>
      <c r="C9" s="7"/>
      <c r="D9" s="7">
        <v>2366</v>
      </c>
      <c r="E9" s="23">
        <v>2366</v>
      </c>
      <c r="F9" s="7">
        <v>2366</v>
      </c>
      <c r="G9"/>
      <c r="H9"/>
      <c r="I9"/>
      <c r="J9"/>
      <c r="R9" s="143" t="s">
        <v>699</v>
      </c>
      <c r="S9" s="6"/>
      <c r="T9" s="6">
        <v>14708.04</v>
      </c>
      <c r="U9" s="6">
        <v>13946.7</v>
      </c>
      <c r="V9" s="6">
        <v>15453.84</v>
      </c>
      <c r="W9" s="6">
        <v>29400.54</v>
      </c>
      <c r="X9" s="6">
        <v>44108.58</v>
      </c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</row>
    <row r="10" spans="1:54" x14ac:dyDescent="0.35">
      <c r="A10" s="2" t="s">
        <v>781</v>
      </c>
      <c r="B10" s="7"/>
      <c r="C10" s="7"/>
      <c r="D10" s="7">
        <v>2030</v>
      </c>
      <c r="E10" s="23">
        <v>2030</v>
      </c>
      <c r="F10" s="7">
        <v>2030</v>
      </c>
      <c r="G10"/>
      <c r="H10"/>
      <c r="I10"/>
      <c r="J10"/>
      <c r="R10" s="143" t="s">
        <v>442</v>
      </c>
      <c r="S10" s="6">
        <v>34119.61</v>
      </c>
      <c r="T10" s="6"/>
      <c r="U10" s="6"/>
      <c r="V10" s="6"/>
      <c r="W10" s="6"/>
      <c r="X10" s="6">
        <v>34119.61</v>
      </c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</row>
    <row r="11" spans="1:54" x14ac:dyDescent="0.35">
      <c r="A11" s="2" t="s">
        <v>572</v>
      </c>
      <c r="B11" s="7">
        <v>2026</v>
      </c>
      <c r="C11" s="7">
        <v>2026</v>
      </c>
      <c r="D11" s="7"/>
      <c r="E11" s="23"/>
      <c r="F11" s="7">
        <v>2026</v>
      </c>
      <c r="G11"/>
      <c r="H11"/>
      <c r="I11"/>
      <c r="J11"/>
      <c r="R11" s="143" t="s">
        <v>639</v>
      </c>
      <c r="S11" s="6"/>
      <c r="T11" s="6">
        <v>19107.77</v>
      </c>
      <c r="U11" s="6">
        <v>13972.14</v>
      </c>
      <c r="V11" s="6"/>
      <c r="W11" s="6">
        <v>13972.14</v>
      </c>
      <c r="X11" s="6">
        <v>33079.910000000003</v>
      </c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</row>
    <row r="12" spans="1:54" x14ac:dyDescent="0.35">
      <c r="A12" s="2" t="s">
        <v>574</v>
      </c>
      <c r="B12" s="7">
        <v>1056</v>
      </c>
      <c r="C12" s="7">
        <v>1056</v>
      </c>
      <c r="D12" s="7"/>
      <c r="E12" s="23"/>
      <c r="F12" s="7">
        <v>1056</v>
      </c>
      <c r="G12"/>
      <c r="H12"/>
      <c r="I12"/>
      <c r="J12"/>
      <c r="R12" s="143" t="s">
        <v>631</v>
      </c>
      <c r="S12" s="6"/>
      <c r="T12" s="6">
        <v>17379.010000000002</v>
      </c>
      <c r="U12" s="6">
        <v>4181.2700000000004</v>
      </c>
      <c r="V12" s="6">
        <v>8350.5300000000007</v>
      </c>
      <c r="W12" s="6">
        <v>12531.800000000001</v>
      </c>
      <c r="X12" s="6">
        <v>29910.810000000005</v>
      </c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</row>
    <row r="13" spans="1:54" x14ac:dyDescent="0.35">
      <c r="A13" s="2" t="s">
        <v>779</v>
      </c>
      <c r="B13" s="7"/>
      <c r="C13" s="7"/>
      <c r="D13" s="7">
        <v>1030</v>
      </c>
      <c r="E13" s="23">
        <v>1030</v>
      </c>
      <c r="F13" s="7">
        <v>1030</v>
      </c>
      <c r="G13"/>
      <c r="H13"/>
      <c r="I13"/>
      <c r="J13"/>
      <c r="R13" s="143" t="s">
        <v>622</v>
      </c>
      <c r="S13" s="6"/>
      <c r="T13" s="6">
        <v>5601.16</v>
      </c>
      <c r="U13" s="6">
        <v>8842.7999999999993</v>
      </c>
      <c r="V13" s="6">
        <v>10285.77</v>
      </c>
      <c r="W13" s="6">
        <v>19128.57</v>
      </c>
      <c r="X13" s="6">
        <v>24729.73</v>
      </c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7"/>
    </row>
    <row r="14" spans="1:54" x14ac:dyDescent="0.35">
      <c r="A14" s="2" t="s">
        <v>573</v>
      </c>
      <c r="B14" s="7">
        <v>1016.283</v>
      </c>
      <c r="C14" s="7">
        <v>1016.283</v>
      </c>
      <c r="D14" s="7"/>
      <c r="E14" s="23"/>
      <c r="F14" s="7">
        <v>1016.283</v>
      </c>
      <c r="G14"/>
      <c r="H14"/>
      <c r="I14"/>
      <c r="J14"/>
      <c r="R14" s="143" t="s">
        <v>627</v>
      </c>
      <c r="S14" s="6"/>
      <c r="T14" s="6">
        <v>6510.03</v>
      </c>
      <c r="U14" s="6"/>
      <c r="V14" s="6">
        <v>13441.4</v>
      </c>
      <c r="W14" s="6">
        <v>13441.4</v>
      </c>
      <c r="X14" s="6">
        <v>19951.43</v>
      </c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7"/>
    </row>
    <row r="15" spans="1:54" x14ac:dyDescent="0.35">
      <c r="A15" s="2" t="s">
        <v>780</v>
      </c>
      <c r="B15" s="7"/>
      <c r="C15" s="7"/>
      <c r="D15" s="7">
        <v>1012</v>
      </c>
      <c r="E15" s="23">
        <v>1012</v>
      </c>
      <c r="F15" s="7">
        <v>1012</v>
      </c>
      <c r="G15"/>
      <c r="H15"/>
      <c r="I15"/>
      <c r="J15"/>
      <c r="R15" s="143" t="s">
        <v>856</v>
      </c>
      <c r="S15" s="6"/>
      <c r="T15" s="6"/>
      <c r="U15" s="6"/>
      <c r="V15" s="6">
        <v>17544.009999999998</v>
      </c>
      <c r="W15" s="6">
        <v>17544.009999999998</v>
      </c>
      <c r="X15" s="6">
        <v>17544.009999999998</v>
      </c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7"/>
    </row>
    <row r="16" spans="1:54" x14ac:dyDescent="0.35">
      <c r="A16" s="2" t="s">
        <v>778</v>
      </c>
      <c r="B16" s="7"/>
      <c r="C16" s="7"/>
      <c r="D16" s="7">
        <v>967</v>
      </c>
      <c r="E16" s="23">
        <v>967</v>
      </c>
      <c r="F16" s="7">
        <v>967</v>
      </c>
      <c r="G16"/>
      <c r="H16"/>
      <c r="I16"/>
      <c r="J16"/>
      <c r="R16" s="143" t="s">
        <v>487</v>
      </c>
      <c r="S16" s="6">
        <v>8262.6299999999992</v>
      </c>
      <c r="T16" s="6">
        <v>4992.05</v>
      </c>
      <c r="U16" s="6">
        <v>4144.3599999999997</v>
      </c>
      <c r="V16" s="6"/>
      <c r="W16" s="6">
        <v>4144.3599999999997</v>
      </c>
      <c r="X16" s="6">
        <v>17399.04</v>
      </c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8"/>
    </row>
    <row r="17" spans="1:54" x14ac:dyDescent="0.35">
      <c r="A17" s="2" t="s">
        <v>771</v>
      </c>
      <c r="B17" s="7">
        <v>8011.2829999999994</v>
      </c>
      <c r="C17" s="7">
        <v>8011.2829999999994</v>
      </c>
      <c r="D17" s="7">
        <v>7405</v>
      </c>
      <c r="E17" s="23">
        <v>7405</v>
      </c>
      <c r="F17" s="7">
        <v>15416.282999999999</v>
      </c>
      <c r="G17"/>
      <c r="H17"/>
      <c r="I17"/>
      <c r="J17"/>
      <c r="R17" s="143" t="s">
        <v>439</v>
      </c>
      <c r="S17" s="6">
        <v>17105.8</v>
      </c>
      <c r="T17" s="6"/>
      <c r="U17" s="6"/>
      <c r="V17" s="6"/>
      <c r="W17" s="6"/>
      <c r="X17" s="6">
        <v>17105.8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</row>
    <row r="18" spans="1:54" x14ac:dyDescent="0.35">
      <c r="B18"/>
      <c r="C18"/>
      <c r="D18"/>
      <c r="F18"/>
      <c r="G18"/>
      <c r="H18"/>
      <c r="I18"/>
      <c r="J18"/>
      <c r="R18" s="143" t="s">
        <v>633</v>
      </c>
      <c r="S18" s="6"/>
      <c r="T18" s="6">
        <v>9875.99</v>
      </c>
      <c r="U18" s="6"/>
      <c r="V18" s="6">
        <v>6109.25</v>
      </c>
      <c r="W18" s="6">
        <v>6109.25</v>
      </c>
      <c r="X18" s="6">
        <v>15985.24</v>
      </c>
    </row>
    <row r="19" spans="1:54" x14ac:dyDescent="0.35">
      <c r="B19"/>
      <c r="C19"/>
      <c r="D19"/>
      <c r="F19"/>
      <c r="G19"/>
      <c r="H19"/>
      <c r="I19"/>
      <c r="J19"/>
      <c r="R19" s="143" t="s">
        <v>447</v>
      </c>
      <c r="S19" s="6">
        <v>15115.310000000001</v>
      </c>
      <c r="T19" s="6"/>
      <c r="U19" s="6"/>
      <c r="V19" s="6"/>
      <c r="W19" s="6"/>
      <c r="X19" s="6">
        <v>15115.310000000001</v>
      </c>
    </row>
    <row r="20" spans="1:54" x14ac:dyDescent="0.35">
      <c r="B20"/>
      <c r="C20"/>
      <c r="D20"/>
      <c r="F20"/>
      <c r="G20"/>
      <c r="H20"/>
      <c r="I20"/>
      <c r="J20"/>
      <c r="R20" s="143" t="s">
        <v>626</v>
      </c>
      <c r="S20" s="6"/>
      <c r="T20" s="6">
        <v>6568.08</v>
      </c>
      <c r="U20" s="6">
        <v>8330.6200000000008</v>
      </c>
      <c r="V20" s="6"/>
      <c r="W20" s="6">
        <v>8330.6200000000008</v>
      </c>
      <c r="X20" s="6">
        <v>14898.7</v>
      </c>
    </row>
    <row r="21" spans="1:54" x14ac:dyDescent="0.35">
      <c r="B21"/>
      <c r="C21"/>
      <c r="D21"/>
      <c r="F21"/>
      <c r="G21"/>
      <c r="H21"/>
      <c r="I21"/>
      <c r="J21"/>
      <c r="R21" s="143" t="s">
        <v>449</v>
      </c>
      <c r="S21" s="6">
        <v>13773.83</v>
      </c>
      <c r="T21" s="6"/>
      <c r="U21" s="6"/>
      <c r="V21" s="6"/>
      <c r="W21" s="6"/>
      <c r="X21" s="6">
        <v>13773.83</v>
      </c>
    </row>
    <row r="22" spans="1:54" x14ac:dyDescent="0.35">
      <c r="B22"/>
      <c r="C22"/>
      <c r="D22"/>
      <c r="F22"/>
      <c r="G22"/>
      <c r="H22"/>
      <c r="I22"/>
      <c r="J22"/>
      <c r="R22" s="143" t="s">
        <v>623</v>
      </c>
      <c r="S22" s="6"/>
      <c r="T22" s="6">
        <v>6325.68</v>
      </c>
      <c r="U22" s="6">
        <v>6979.14</v>
      </c>
      <c r="V22" s="6"/>
      <c r="W22" s="6">
        <v>6979.14</v>
      </c>
      <c r="X22" s="6">
        <v>13304.82</v>
      </c>
    </row>
    <row r="23" spans="1:54" x14ac:dyDescent="0.35">
      <c r="B23"/>
      <c r="C23"/>
      <c r="D23"/>
      <c r="F23"/>
      <c r="G23"/>
      <c r="H23"/>
      <c r="I23"/>
      <c r="J23"/>
      <c r="R23" s="143" t="s">
        <v>855</v>
      </c>
      <c r="S23" s="6"/>
      <c r="T23" s="6"/>
      <c r="U23" s="6"/>
      <c r="V23" s="6">
        <v>13245.24</v>
      </c>
      <c r="W23" s="6">
        <v>13245.24</v>
      </c>
      <c r="X23" s="6">
        <v>13245.24</v>
      </c>
    </row>
    <row r="24" spans="1:54" x14ac:dyDescent="0.35">
      <c r="B24"/>
      <c r="C24"/>
      <c r="D24"/>
      <c r="F24"/>
      <c r="G24"/>
      <c r="H24"/>
      <c r="I24"/>
      <c r="J24"/>
      <c r="R24" s="143" t="s">
        <v>629</v>
      </c>
      <c r="S24" s="6"/>
      <c r="T24" s="6">
        <v>13172.23</v>
      </c>
      <c r="U24" s="6"/>
      <c r="V24" s="6"/>
      <c r="W24" s="6"/>
      <c r="X24" s="6">
        <v>13172.23</v>
      </c>
    </row>
    <row r="25" spans="1:54" x14ac:dyDescent="0.35">
      <c r="B25"/>
      <c r="C25"/>
      <c r="D25"/>
      <c r="F25"/>
      <c r="G25"/>
      <c r="H25"/>
      <c r="I25"/>
      <c r="J25"/>
      <c r="R25" s="143" t="s">
        <v>620</v>
      </c>
      <c r="S25" s="6"/>
      <c r="T25" s="6">
        <v>13165.86</v>
      </c>
      <c r="U25" s="6"/>
      <c r="V25" s="6"/>
      <c r="W25" s="6"/>
      <c r="X25" s="6">
        <v>13165.86</v>
      </c>
    </row>
    <row r="26" spans="1:54" x14ac:dyDescent="0.35">
      <c r="B26"/>
      <c r="C26"/>
      <c r="D26"/>
      <c r="F26"/>
      <c r="G26"/>
      <c r="H26"/>
      <c r="I26"/>
      <c r="J26"/>
      <c r="R26" s="143" t="s">
        <v>444</v>
      </c>
      <c r="S26" s="6">
        <v>12806.779999999999</v>
      </c>
      <c r="T26" s="6"/>
      <c r="U26" s="6"/>
      <c r="V26" s="6"/>
      <c r="W26" s="6"/>
      <c r="X26" s="6">
        <v>12806.779999999999</v>
      </c>
    </row>
    <row r="27" spans="1:54" x14ac:dyDescent="0.35">
      <c r="B27"/>
      <c r="C27"/>
      <c r="D27"/>
      <c r="F27"/>
      <c r="G27"/>
      <c r="H27"/>
      <c r="I27"/>
      <c r="J27"/>
      <c r="R27" s="143" t="s">
        <v>698</v>
      </c>
      <c r="S27" s="6"/>
      <c r="T27" s="6">
        <v>12351.22</v>
      </c>
      <c r="U27" s="6"/>
      <c r="V27" s="6"/>
      <c r="W27" s="6"/>
      <c r="X27" s="6">
        <v>12351.22</v>
      </c>
    </row>
    <row r="28" spans="1:54" x14ac:dyDescent="0.35">
      <c r="B28"/>
      <c r="C28"/>
      <c r="D28"/>
      <c r="F28"/>
      <c r="G28"/>
      <c r="H28"/>
      <c r="I28"/>
      <c r="J28"/>
      <c r="R28" s="143" t="s">
        <v>484</v>
      </c>
      <c r="S28" s="6">
        <v>11670.55</v>
      </c>
      <c r="T28" s="6"/>
      <c r="U28" s="6"/>
      <c r="V28" s="6"/>
      <c r="W28" s="6"/>
      <c r="X28" s="6">
        <v>11670.55</v>
      </c>
    </row>
    <row r="29" spans="1:54" x14ac:dyDescent="0.35">
      <c r="B29"/>
      <c r="C29"/>
      <c r="D29"/>
      <c r="F29"/>
      <c r="G29"/>
      <c r="H29"/>
      <c r="I29"/>
      <c r="J29"/>
      <c r="R29" s="143" t="s">
        <v>637</v>
      </c>
      <c r="S29" s="6"/>
      <c r="T29" s="6">
        <v>11569.34</v>
      </c>
      <c r="U29" s="6"/>
      <c r="V29" s="6"/>
      <c r="W29" s="6"/>
      <c r="X29" s="6">
        <v>11569.34</v>
      </c>
    </row>
    <row r="30" spans="1:54" x14ac:dyDescent="0.35">
      <c r="B30"/>
      <c r="C30"/>
      <c r="D30"/>
      <c r="F30"/>
      <c r="G30"/>
      <c r="H30"/>
      <c r="I30"/>
      <c r="J30"/>
      <c r="R30" s="143" t="s">
        <v>625</v>
      </c>
      <c r="S30" s="6"/>
      <c r="T30" s="6">
        <v>11245.69</v>
      </c>
      <c r="U30" s="6"/>
      <c r="V30" s="6"/>
      <c r="W30" s="6"/>
      <c r="X30" s="6">
        <v>11245.69</v>
      </c>
    </row>
    <row r="31" spans="1:54" x14ac:dyDescent="0.35">
      <c r="B31"/>
      <c r="C31"/>
      <c r="D31"/>
      <c r="F31"/>
      <c r="G31"/>
      <c r="H31"/>
      <c r="I31"/>
      <c r="J31"/>
      <c r="R31" s="143" t="s">
        <v>621</v>
      </c>
      <c r="S31" s="6"/>
      <c r="T31" s="6">
        <v>11204</v>
      </c>
      <c r="U31" s="6"/>
      <c r="V31" s="6"/>
      <c r="W31" s="6"/>
      <c r="X31" s="6">
        <v>11204</v>
      </c>
    </row>
    <row r="32" spans="1:54" x14ac:dyDescent="0.35">
      <c r="B32"/>
      <c r="C32"/>
      <c r="D32"/>
      <c r="F32"/>
      <c r="G32"/>
      <c r="H32"/>
      <c r="I32"/>
      <c r="J32"/>
      <c r="R32" s="143" t="s">
        <v>640</v>
      </c>
      <c r="S32" s="6"/>
      <c r="T32" s="6">
        <v>6258.99</v>
      </c>
      <c r="U32" s="6">
        <v>4793.25</v>
      </c>
      <c r="V32" s="6"/>
      <c r="W32" s="6">
        <v>4793.25</v>
      </c>
      <c r="X32" s="6">
        <v>11052.24</v>
      </c>
    </row>
    <row r="33" spans="2:24" x14ac:dyDescent="0.35">
      <c r="B33"/>
      <c r="C33"/>
      <c r="D33"/>
      <c r="F33"/>
      <c r="G33"/>
      <c r="H33"/>
      <c r="I33"/>
      <c r="J33"/>
      <c r="R33" s="2" t="s">
        <v>771</v>
      </c>
      <c r="S33" s="6">
        <v>112854.51000000001</v>
      </c>
      <c r="T33" s="6">
        <v>203925.45</v>
      </c>
      <c r="U33" s="6">
        <v>93041.3</v>
      </c>
      <c r="V33" s="6">
        <v>99893.959999999992</v>
      </c>
      <c r="W33" s="6">
        <v>192935.26000000004</v>
      </c>
      <c r="X33" s="6">
        <v>509715.22000000003</v>
      </c>
    </row>
    <row r="34" spans="2:24" x14ac:dyDescent="0.35">
      <c r="F34"/>
      <c r="G34"/>
      <c r="H34"/>
      <c r="I34"/>
      <c r="J34"/>
    </row>
    <row r="35" spans="2:24" x14ac:dyDescent="0.35">
      <c r="F35"/>
      <c r="G35"/>
      <c r="H35"/>
      <c r="I35"/>
      <c r="J35"/>
    </row>
    <row r="36" spans="2:24" x14ac:dyDescent="0.35">
      <c r="F36"/>
      <c r="G36"/>
      <c r="H36"/>
      <c r="I36"/>
      <c r="J36"/>
    </row>
    <row r="37" spans="2:24" x14ac:dyDescent="0.35">
      <c r="F37"/>
      <c r="G37"/>
      <c r="H37"/>
      <c r="I37"/>
      <c r="J37"/>
    </row>
    <row r="38" spans="2:24" x14ac:dyDescent="0.35">
      <c r="F38"/>
      <c r="G38"/>
      <c r="H38"/>
      <c r="I38"/>
      <c r="J38"/>
    </row>
    <row r="39" spans="2:24" x14ac:dyDescent="0.35">
      <c r="F39"/>
      <c r="G39"/>
      <c r="H39"/>
      <c r="I39"/>
      <c r="J39"/>
    </row>
    <row r="40" spans="2:24" x14ac:dyDescent="0.35">
      <c r="F40"/>
      <c r="G40"/>
      <c r="H40"/>
      <c r="I40"/>
      <c r="J40"/>
    </row>
    <row r="41" spans="2:24" x14ac:dyDescent="0.35">
      <c r="F41"/>
      <c r="G41"/>
      <c r="H41"/>
      <c r="I41"/>
      <c r="J41"/>
    </row>
    <row r="42" spans="2:24" x14ac:dyDescent="0.35">
      <c r="F42"/>
      <c r="G42"/>
      <c r="H42"/>
      <c r="I42"/>
      <c r="J42"/>
    </row>
    <row r="43" spans="2:24" x14ac:dyDescent="0.35">
      <c r="F43"/>
      <c r="G43"/>
      <c r="H43"/>
      <c r="I43"/>
      <c r="J43"/>
    </row>
    <row r="44" spans="2:24" x14ac:dyDescent="0.35">
      <c r="F44"/>
      <c r="G44"/>
      <c r="H44"/>
      <c r="I44"/>
      <c r="J44"/>
    </row>
    <row r="45" spans="2:24" x14ac:dyDescent="0.35">
      <c r="F45"/>
      <c r="G45"/>
      <c r="H45"/>
      <c r="I45"/>
      <c r="J45"/>
    </row>
    <row r="51" spans="5:20" x14ac:dyDescent="0.35">
      <c r="T51" s="11"/>
    </row>
    <row r="52" spans="5:20" x14ac:dyDescent="0.35">
      <c r="K52" s="11"/>
      <c r="L52" s="11"/>
      <c r="M52" s="11"/>
      <c r="N52" s="11"/>
      <c r="O52" s="11"/>
      <c r="T52" s="12"/>
    </row>
    <row r="54" spans="5:20" x14ac:dyDescent="0.35">
      <c r="E54" s="89" t="s">
        <v>709</v>
      </c>
    </row>
  </sheetData>
  <hyperlinks>
    <hyperlink ref="E54" location="'Flexible Clientes div. '!E1" display="TOP" xr:uid="{7300528B-770D-48E3-B996-6A5CEA9A35D4}"/>
    <hyperlink ref="E3" location="'Flexible Clientes div. '!E54" display="GRAPHS" xr:uid="{6AFE7F55-CF92-442B-9D16-B37F36598A02}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9874-A6B9-47AD-88CB-F5A20D7FC07E}">
  <sheetPr>
    <tabColor theme="8" tint="0.59999389629810485"/>
  </sheetPr>
  <dimension ref="A1:AT72"/>
  <sheetViews>
    <sheetView showGridLines="0" workbookViewId="0">
      <selection activeCell="AT7" sqref="AT7:AU9"/>
    </sheetView>
  </sheetViews>
  <sheetFormatPr baseColWidth="10" defaultColWidth="10.90625" defaultRowHeight="14.5" x14ac:dyDescent="0.35"/>
  <cols>
    <col min="1" max="1" width="28.54296875" bestFit="1" customWidth="1"/>
    <col min="2" max="2" width="15.1796875" style="23" bestFit="1" customWidth="1"/>
    <col min="3" max="3" width="7.36328125" style="23" bestFit="1" customWidth="1"/>
    <col min="4" max="4" width="11.7265625" style="23" bestFit="1" customWidth="1"/>
    <col min="5" max="5" width="9.08984375" style="23" customWidth="1"/>
    <col min="6" max="6" width="4.1796875" style="23" customWidth="1"/>
    <col min="7" max="7" width="3.54296875" style="23" customWidth="1"/>
    <col min="8" max="8" width="3.90625" style="23" customWidth="1"/>
    <col min="9" max="15" width="1.453125" style="23" customWidth="1"/>
    <col min="16" max="36" width="8.984375E-2" style="23" customWidth="1"/>
    <col min="37" max="38" width="1.453125" style="23" customWidth="1"/>
    <col min="39" max="40" width="3.1796875" customWidth="1"/>
    <col min="41" max="41" width="28.54296875" bestFit="1" customWidth="1"/>
    <col min="42" max="42" width="15.1796875" bestFit="1" customWidth="1"/>
    <col min="43" max="43" width="8.90625" bestFit="1" customWidth="1"/>
    <col min="44" max="45" width="11.7265625" bestFit="1" customWidth="1"/>
    <col min="46" max="47" width="7.36328125" bestFit="1" customWidth="1"/>
    <col min="48" max="48" width="10" bestFit="1" customWidth="1"/>
  </cols>
  <sheetData>
    <row r="1" spans="1:46" x14ac:dyDescent="0.35">
      <c r="A1" s="115" t="s">
        <v>784</v>
      </c>
      <c r="B1" s="110"/>
      <c r="C1" s="110"/>
      <c r="D1" s="110"/>
      <c r="E1" s="101" t="s">
        <v>710</v>
      </c>
    </row>
    <row r="3" spans="1:46" x14ac:dyDescent="0.35">
      <c r="A3" s="138" t="s">
        <v>848</v>
      </c>
      <c r="B3" s="100" t="s">
        <v>513</v>
      </c>
      <c r="AO3" s="138" t="s">
        <v>849</v>
      </c>
      <c r="AP3" s="100" t="s">
        <v>513</v>
      </c>
      <c r="AQ3" s="23"/>
      <c r="AR3" s="23"/>
      <c r="AS3" s="23"/>
    </row>
    <row r="4" spans="1:46" x14ac:dyDescent="0.35">
      <c r="AP4" s="23"/>
      <c r="AQ4" s="23"/>
      <c r="AR4" s="23"/>
      <c r="AS4" s="23"/>
    </row>
    <row r="5" spans="1:46" x14ac:dyDescent="0.35">
      <c r="A5" s="104" t="s">
        <v>736</v>
      </c>
      <c r="B5" s="99" t="s">
        <v>661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O5" s="104" t="s">
        <v>584</v>
      </c>
      <c r="AP5" s="99" t="s">
        <v>661</v>
      </c>
      <c r="AQ5" s="23"/>
      <c r="AR5" s="23"/>
    </row>
    <row r="6" spans="1:46" x14ac:dyDescent="0.35">
      <c r="A6" s="21" t="s">
        <v>846</v>
      </c>
      <c r="B6" s="23">
        <v>2025</v>
      </c>
      <c r="C6" s="23">
        <v>2026</v>
      </c>
      <c r="D6" s="23" t="s">
        <v>771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O6" s="21" t="s">
        <v>847</v>
      </c>
      <c r="AP6" s="23">
        <v>2025</v>
      </c>
      <c r="AQ6" s="23">
        <v>2026</v>
      </c>
      <c r="AR6" s="7" t="s">
        <v>771</v>
      </c>
    </row>
    <row r="7" spans="1:46" x14ac:dyDescent="0.35">
      <c r="A7" s="2" t="s">
        <v>548</v>
      </c>
      <c r="B7" s="23">
        <v>78306</v>
      </c>
      <c r="C7" s="23">
        <v>28066</v>
      </c>
      <c r="D7" s="23">
        <v>106372</v>
      </c>
      <c r="E7"/>
      <c r="F7" s="3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O7" s="2" t="s">
        <v>548</v>
      </c>
      <c r="AP7" s="23">
        <v>808767.58999999985</v>
      </c>
      <c r="AQ7" s="23">
        <v>271521.78999999998</v>
      </c>
      <c r="AR7" s="7">
        <v>1080289.3799999999</v>
      </c>
      <c r="AT7" s="37"/>
    </row>
    <row r="8" spans="1:46" x14ac:dyDescent="0.35">
      <c r="A8" s="2" t="s">
        <v>738</v>
      </c>
      <c r="C8" s="23">
        <v>52342</v>
      </c>
      <c r="D8" s="23">
        <v>52342</v>
      </c>
      <c r="E8"/>
      <c r="F8" s="37"/>
      <c r="G8"/>
      <c r="H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O8" s="2" t="s">
        <v>738</v>
      </c>
      <c r="AP8" s="23"/>
      <c r="AQ8" s="23">
        <v>815583.44</v>
      </c>
      <c r="AR8" s="7">
        <v>815583.44</v>
      </c>
      <c r="AT8" s="37"/>
    </row>
    <row r="9" spans="1:46" x14ac:dyDescent="0.35">
      <c r="A9" s="2" t="s">
        <v>512</v>
      </c>
      <c r="B9" s="23">
        <v>21574.52</v>
      </c>
      <c r="C9" s="23">
        <v>12140</v>
      </c>
      <c r="D9" s="23">
        <v>33714.520000000004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O9" s="2" t="s">
        <v>512</v>
      </c>
      <c r="AP9" s="23">
        <v>275949.13</v>
      </c>
      <c r="AQ9" s="23">
        <v>114700.02</v>
      </c>
      <c r="AR9" s="7">
        <v>390649.15</v>
      </c>
    </row>
    <row r="10" spans="1:46" x14ac:dyDescent="0.35">
      <c r="A10" s="2" t="s">
        <v>589</v>
      </c>
      <c r="B10" s="23">
        <v>21553.983</v>
      </c>
      <c r="D10" s="23">
        <v>21553.983</v>
      </c>
      <c r="E10"/>
      <c r="F10"/>
      <c r="G10"/>
      <c r="H1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O10" s="2" t="s">
        <v>863</v>
      </c>
      <c r="AP10" s="23"/>
      <c r="AQ10" s="23">
        <v>343335</v>
      </c>
      <c r="AR10" s="7">
        <v>343335</v>
      </c>
    </row>
    <row r="11" spans="1:46" x14ac:dyDescent="0.35">
      <c r="A11" s="2" t="s">
        <v>863</v>
      </c>
      <c r="C11" s="23">
        <v>20230</v>
      </c>
      <c r="D11" s="23">
        <v>20230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O11" s="2" t="s">
        <v>589</v>
      </c>
      <c r="AP11" s="23">
        <v>236975.8</v>
      </c>
      <c r="AQ11" s="23"/>
      <c r="AR11" s="7">
        <v>236975.8</v>
      </c>
    </row>
    <row r="12" spans="1:46" x14ac:dyDescent="0.35">
      <c r="A12" s="2" t="s">
        <v>549</v>
      </c>
      <c r="B12" s="23">
        <v>8011.2830000000004</v>
      </c>
      <c r="C12" s="23">
        <v>7405</v>
      </c>
      <c r="D12" s="23">
        <v>15416.282999999999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O12" s="2" t="s">
        <v>549</v>
      </c>
      <c r="AP12" s="23">
        <v>77365.97</v>
      </c>
      <c r="AQ12" s="23">
        <v>81085.950000000012</v>
      </c>
      <c r="AR12" s="7">
        <v>158451.92000000001</v>
      </c>
    </row>
    <row r="13" spans="1:46" ht="14.25" customHeight="1" x14ac:dyDescent="0.35">
      <c r="A13" s="2" t="s">
        <v>774</v>
      </c>
      <c r="C13" s="23">
        <v>4697</v>
      </c>
      <c r="D13" s="23">
        <v>4697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O13" s="2" t="s">
        <v>774</v>
      </c>
      <c r="AP13" s="23"/>
      <c r="AQ13" s="23">
        <v>87348.87999999999</v>
      </c>
      <c r="AR13" s="7">
        <v>87348.87999999999</v>
      </c>
    </row>
    <row r="14" spans="1:46" x14ac:dyDescent="0.35">
      <c r="A14" s="2" t="s">
        <v>771</v>
      </c>
      <c r="B14" s="23">
        <v>129445.78599999999</v>
      </c>
      <c r="C14" s="23">
        <v>124880</v>
      </c>
      <c r="D14" s="23">
        <v>254325.78600000002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O14" s="2" t="s">
        <v>771</v>
      </c>
      <c r="AP14" s="23">
        <v>1399058.49</v>
      </c>
      <c r="AQ14" s="23">
        <v>1713575.0799999998</v>
      </c>
      <c r="AR14" s="7">
        <v>3112633.5699999994</v>
      </c>
    </row>
    <row r="15" spans="1:46" x14ac:dyDescent="0.35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46" x14ac:dyDescent="0.35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</row>
    <row r="17" spans="6:8" customFormat="1" x14ac:dyDescent="0.35"/>
    <row r="18" spans="6:8" customFormat="1" x14ac:dyDescent="0.35"/>
    <row r="19" spans="6:8" customFormat="1" x14ac:dyDescent="0.35"/>
    <row r="20" spans="6:8" customFormat="1" ht="5.25" customHeight="1" x14ac:dyDescent="0.35">
      <c r="F20" s="23"/>
      <c r="G20" s="23"/>
      <c r="H20" s="23"/>
    </row>
    <row r="21" spans="6:8" customFormat="1" ht="5.25" customHeight="1" x14ac:dyDescent="0.35">
      <c r="F21" s="23"/>
      <c r="G21" s="23"/>
      <c r="H21" s="23"/>
    </row>
    <row r="22" spans="6:8" customFormat="1" ht="5.25" customHeight="1" x14ac:dyDescent="0.35">
      <c r="F22" s="23"/>
      <c r="G22" s="23"/>
      <c r="H22" s="23"/>
    </row>
    <row r="23" spans="6:8" customFormat="1" ht="5.25" customHeight="1" x14ac:dyDescent="0.35">
      <c r="F23" s="23"/>
      <c r="G23" s="23"/>
      <c r="H23" s="23"/>
    </row>
    <row r="24" spans="6:8" customFormat="1" ht="5.25" customHeight="1" x14ac:dyDescent="0.35">
      <c r="F24" s="23"/>
      <c r="G24" s="23"/>
      <c r="H24" s="23"/>
    </row>
    <row r="25" spans="6:8" customFormat="1" ht="5.25" customHeight="1" x14ac:dyDescent="0.35">
      <c r="F25" s="23"/>
      <c r="G25" s="23"/>
      <c r="H25" s="23"/>
    </row>
    <row r="26" spans="6:8" customFormat="1" ht="5.25" customHeight="1" x14ac:dyDescent="0.35">
      <c r="F26" s="23"/>
      <c r="G26" s="23"/>
      <c r="H26" s="23"/>
    </row>
    <row r="27" spans="6:8" customFormat="1" ht="5.25" customHeight="1" x14ac:dyDescent="0.35">
      <c r="F27" s="23"/>
      <c r="G27" s="23"/>
      <c r="H27" s="23"/>
    </row>
    <row r="28" spans="6:8" customFormat="1" ht="5.25" customHeight="1" x14ac:dyDescent="0.35">
      <c r="F28" s="23"/>
      <c r="G28" s="23"/>
      <c r="H28" s="23"/>
    </row>
    <row r="29" spans="6:8" customFormat="1" ht="5.25" customHeight="1" x14ac:dyDescent="0.35"/>
    <row r="30" spans="6:8" customFormat="1" x14ac:dyDescent="0.35"/>
    <row r="31" spans="6:8" customFormat="1" x14ac:dyDescent="0.35"/>
    <row r="32" spans="6:8" customFormat="1" x14ac:dyDescent="0.35"/>
    <row r="33" spans="5:5" customFormat="1" x14ac:dyDescent="0.35"/>
    <row r="34" spans="5:5" customFormat="1" x14ac:dyDescent="0.35"/>
    <row r="35" spans="5:5" customFormat="1" x14ac:dyDescent="0.35"/>
    <row r="36" spans="5:5" customFormat="1" x14ac:dyDescent="0.35"/>
    <row r="37" spans="5:5" customFormat="1" x14ac:dyDescent="0.35"/>
    <row r="38" spans="5:5" customFormat="1" x14ac:dyDescent="0.35"/>
    <row r="39" spans="5:5" customFormat="1" x14ac:dyDescent="0.35"/>
    <row r="40" spans="5:5" customFormat="1" x14ac:dyDescent="0.35"/>
    <row r="41" spans="5:5" customFormat="1" x14ac:dyDescent="0.35"/>
    <row r="42" spans="5:5" customFormat="1" x14ac:dyDescent="0.35"/>
    <row r="43" spans="5:5" customFormat="1" x14ac:dyDescent="0.35"/>
    <row r="44" spans="5:5" customFormat="1" x14ac:dyDescent="0.35"/>
    <row r="45" spans="5:5" customFormat="1" x14ac:dyDescent="0.35"/>
    <row r="46" spans="5:5" customFormat="1" x14ac:dyDescent="0.35"/>
    <row r="47" spans="5:5" customFormat="1" x14ac:dyDescent="0.35"/>
    <row r="48" spans="5:5" customFormat="1" x14ac:dyDescent="0.35">
      <c r="E48" s="89" t="s">
        <v>709</v>
      </c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spans="2:38" x14ac:dyDescent="0.3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2:38" x14ac:dyDescent="0.3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2:38" x14ac:dyDescent="0.3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2:38" x14ac:dyDescent="0.3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2:38" x14ac:dyDescent="0.3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2:38" x14ac:dyDescent="0.3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2:38" x14ac:dyDescent="0.3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2" spans="2:38" x14ac:dyDescent="0.3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</sheetData>
  <hyperlinks>
    <hyperlink ref="E1" location="'Flex-Hist-Pais'!E50" display="GRAPHS" xr:uid="{953183E3-2D56-439B-A65E-D3FBC997A7CB}"/>
    <hyperlink ref="E48" location="'Flex-Hist-Pais'!E1" display="TOP" xr:uid="{7E8A2F78-FFBA-4CED-BEF9-DD7FE4B90476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Dados de origem</vt:lpstr>
      <vt:lpstr>Hoja1</vt:lpstr>
      <vt:lpstr>2024-2026 up to SEP 26</vt:lpstr>
      <vt:lpstr> 2026 CY vs SPYA</vt:lpstr>
      <vt:lpstr>DIVINO-UY</vt:lpstr>
      <vt:lpstr>BED TIME-ARG</vt:lpstr>
      <vt:lpstr>FLEX-CH</vt:lpstr>
      <vt:lpstr>SUNLOCK SPA-CH</vt:lpstr>
      <vt:lpstr>SIMMONS-ARG</vt:lpstr>
      <vt:lpstr>Flexible Clientes div. </vt:lpstr>
      <vt:lpstr>Flex-Hist-Pais</vt:lpstr>
      <vt:lpstr>'2024-2026 up to SEP 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mary.martinez@conexaomalhas.com.br</dc:creator>
  <cp:lastModifiedBy>Mary Martinez</cp:lastModifiedBy>
  <cp:lastPrinted>2026-09-01T12:47:59Z</cp:lastPrinted>
  <dcterms:created xsi:type="dcterms:W3CDTF">2025-04-10T12:07:57Z</dcterms:created>
  <dcterms:modified xsi:type="dcterms:W3CDTF">2026-10-01T15:52:10Z</dcterms:modified>
</cp:coreProperties>
</file>