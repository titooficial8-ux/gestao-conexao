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pivotTables/pivotTable1.xml" ContentType="application/vnd.openxmlformats-officedocument.spreadsheetml.pivotTable+xml"/>
  <Override PartName="/xl/tables/table3.xml" ContentType="application/vnd.openxmlformats-officedocument.spreadsheetml.table+xml"/>
  <Override PartName="/xl/comments3.xml" ContentType="application/vnd.openxmlformats-officedocument.spreadsheetml.comment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pivotTables/pivotTable8.xml" ContentType="application/vnd.openxmlformats-officedocument.spreadsheetml.pivotTable+xml"/>
  <Override PartName="/xl/tables/table4.xml" ContentType="application/vnd.openxmlformats-officedocument.spreadsheetml.table+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Z:\Rede-PCP\06- PCP - COLCHÃO\EXPORTAÇÃO\FOLLOW-UP PEDIDOS GUATEMALA-2025 -2026\"/>
    </mc:Choice>
  </mc:AlternateContent>
  <xr:revisionPtr revIDLastSave="0" documentId="13_ncr:1_{A6C7F191-6D39-4B85-A84B-EDD2CF679B71}" xr6:coauthVersionLast="47" xr6:coauthVersionMax="47" xr10:uidLastSave="{00000000-0000-0000-0000-000000000000}"/>
  <bookViews>
    <workbookView xWindow="-110" yWindow="-110" windowWidth="19420" windowHeight="10300" tabRatio="879" xr2:uid="{B1AB8001-39D2-4099-BBB5-E346FEC8B801}"/>
  </bookViews>
  <sheets>
    <sheet name="FOLLOW-UP DIÁRIO PEDIDOS" sheetId="2" r:id="rId1"/>
    <sheet name="Detalhes  pedidos" sheetId="1" r:id="rId2"/>
    <sheet name="GR Trend" sheetId="6" state="hidden" r:id="rId3"/>
    <sheet name="Hoja1" sheetId="7" state="hidden" r:id="rId4"/>
    <sheet name="VOL-VALOR - AVRG PRICE" sheetId="5" r:id="rId5"/>
    <sheet name="SOP" sheetId="11" state="hidden" r:id="rId6"/>
    <sheet name="Consumo x Sku " sheetId="9" r:id="rId7"/>
    <sheet name="Sequência interna invoicing" sheetId="3" r:id="rId8"/>
    <sheet name="Ajustar precios Sistema 07may" sheetId="12" state="hidden" r:id="rId9"/>
    <sheet name="Levanta datos historicos 2024 " sheetId="8" r:id="rId10"/>
    <sheet name="ULTRA-Sep26" sheetId="14" r:id="rId11"/>
    <sheet name="cálculos varios" sheetId="13" r:id="rId12"/>
  </sheets>
  <definedNames>
    <definedName name="_xlnm._FilterDatabase" localSheetId="6" hidden="1">'Consumo x Sku '!$C$7:$D$7</definedName>
    <definedName name="_xlnm._FilterDatabase" localSheetId="0" hidden="1">'FOLLOW-UP DIÁRIO PEDIDOS'!$A$1:$B$2</definedName>
    <definedName name="_xlnm._FilterDatabase" localSheetId="9" hidden="1">'Levanta datos historicos 2024 '!$A$2:$F$91</definedName>
  </definedNames>
  <calcPr calcId="181029"/>
  <pivotCaches>
    <pivotCache cacheId="8" r:id="rId13"/>
    <pivotCache cacheId="9" r:id="rId14"/>
    <pivotCache cacheId="10" r:id="rId1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2" i="9" l="1"/>
  <c r="D12" i="9" s="1"/>
  <c r="C15" i="9"/>
  <c r="D15" i="9" s="1"/>
  <c r="C19" i="9"/>
  <c r="D19" i="9" s="1"/>
  <c r="C21" i="9"/>
  <c r="D21" i="9" s="1"/>
  <c r="C23" i="9"/>
  <c r="D23" i="9" s="1"/>
  <c r="C25" i="9"/>
  <c r="D25" i="9" s="1"/>
  <c r="C27" i="9"/>
  <c r="D27" i="9" s="1"/>
  <c r="C29" i="9"/>
  <c r="D29" i="9" s="1"/>
  <c r="C31" i="9"/>
  <c r="D31" i="9" s="1"/>
  <c r="D32" i="9"/>
  <c r="C33" i="9"/>
  <c r="D33" i="9" s="1"/>
  <c r="C35" i="9"/>
  <c r="D35" i="9" s="1"/>
  <c r="C38" i="9"/>
  <c r="D38" i="9" s="1"/>
  <c r="C41" i="9"/>
  <c r="D41" i="9" s="1"/>
  <c r="C43" i="9"/>
  <c r="D43" i="9" s="1"/>
  <c r="C46" i="9"/>
  <c r="D46" i="9" s="1"/>
  <c r="C48" i="9"/>
  <c r="D48" i="9" s="1"/>
  <c r="C51" i="9"/>
  <c r="D51" i="9" s="1"/>
  <c r="C54" i="9"/>
  <c r="D54" i="9" s="1"/>
  <c r="C58" i="9"/>
  <c r="D58" i="9" s="1"/>
  <c r="C60" i="9"/>
  <c r="D60" i="9" s="1"/>
  <c r="C62" i="9"/>
  <c r="D62" i="9" s="1"/>
  <c r="C67" i="9"/>
  <c r="D67" i="9" s="1"/>
  <c r="C72" i="9"/>
  <c r="D72" i="9" s="1"/>
  <c r="C76" i="9"/>
  <c r="D76" i="9" s="1"/>
  <c r="C81" i="9"/>
  <c r="D81" i="9" s="1"/>
  <c r="C84" i="9"/>
  <c r="D84" i="9" s="1"/>
  <c r="C86" i="9"/>
  <c r="D86" i="9" s="1"/>
  <c r="C88" i="9"/>
  <c r="D88" i="9" s="1"/>
  <c r="C92" i="9"/>
  <c r="D92" i="9" s="1"/>
  <c r="C95" i="9"/>
  <c r="D95" i="9" s="1"/>
  <c r="C99" i="9"/>
  <c r="D99" i="9" s="1"/>
  <c r="C101" i="9"/>
  <c r="D101" i="9" s="1"/>
  <c r="C104" i="9"/>
  <c r="D104" i="9" s="1"/>
  <c r="C109" i="9"/>
  <c r="D109" i="9" s="1"/>
  <c r="C111" i="9"/>
  <c r="D111" i="9" s="1"/>
  <c r="C113" i="9"/>
  <c r="D113" i="9" s="1"/>
  <c r="C115" i="9"/>
  <c r="D115" i="9" s="1"/>
  <c r="C117" i="9"/>
  <c r="D117" i="9" s="1"/>
  <c r="C119" i="9"/>
  <c r="D119" i="9" s="1"/>
  <c r="C121" i="9"/>
  <c r="D121" i="9" s="1"/>
  <c r="C123" i="9"/>
  <c r="D123" i="9" s="1"/>
  <c r="C126" i="9"/>
  <c r="D126" i="9" s="1"/>
  <c r="C129" i="9"/>
  <c r="D129" i="9" s="1"/>
  <c r="C134" i="9"/>
  <c r="D134" i="9" s="1"/>
  <c r="C138" i="9"/>
  <c r="D138" i="9" s="1"/>
  <c r="C140" i="9"/>
  <c r="D140" i="9" s="1"/>
  <c r="C142" i="9"/>
  <c r="D142" i="9" s="1"/>
  <c r="C145" i="9"/>
  <c r="D145" i="9" s="1"/>
  <c r="C147" i="9"/>
  <c r="D147" i="9" s="1"/>
  <c r="C149" i="9"/>
  <c r="D149" i="9" s="1"/>
  <c r="C151" i="9"/>
  <c r="D151" i="9" s="1"/>
  <c r="C154" i="9"/>
  <c r="D154" i="9" s="1"/>
  <c r="C158" i="9"/>
  <c r="D158" i="9" s="1"/>
  <c r="C162" i="9"/>
  <c r="D162" i="9" s="1"/>
  <c r="C165" i="9"/>
  <c r="D165" i="9" s="1"/>
  <c r="C167" i="9"/>
  <c r="D167" i="9" s="1"/>
  <c r="C169" i="9"/>
  <c r="D169" i="9" s="1"/>
  <c r="C172" i="9"/>
  <c r="D172" i="9" s="1"/>
  <c r="C174" i="9"/>
  <c r="D174" i="9" s="1"/>
  <c r="C176" i="9"/>
  <c r="D176" i="9" s="1"/>
  <c r="C178" i="9"/>
  <c r="D178" i="9" s="1"/>
  <c r="C180" i="9"/>
  <c r="D180" i="9" s="1"/>
  <c r="C183" i="9"/>
  <c r="D183" i="9" s="1"/>
  <c r="C185" i="9"/>
  <c r="D185" i="9" s="1"/>
  <c r="C187" i="9"/>
  <c r="D187" i="9" s="1"/>
  <c r="C189" i="9"/>
  <c r="D189" i="9" s="1"/>
  <c r="C191" i="9"/>
  <c r="D191" i="9" s="1"/>
  <c r="C193" i="9"/>
  <c r="D193" i="9" s="1"/>
  <c r="C195" i="9"/>
  <c r="D195" i="9" s="1"/>
  <c r="C197" i="9"/>
  <c r="D197" i="9" s="1"/>
  <c r="C199" i="9"/>
  <c r="D199" i="9" s="1"/>
  <c r="C201" i="9"/>
  <c r="D201" i="9" s="1"/>
  <c r="C203" i="9"/>
  <c r="D203" i="9" s="1"/>
  <c r="C205" i="9"/>
  <c r="D205" i="9" s="1"/>
  <c r="C207" i="9"/>
  <c r="D207" i="9" s="1"/>
  <c r="C209" i="9"/>
  <c r="D209" i="9" s="1"/>
  <c r="C211" i="9"/>
  <c r="D211" i="9" s="1"/>
  <c r="C213" i="9"/>
  <c r="D213" i="9" s="1"/>
  <c r="C215" i="9"/>
  <c r="D215" i="9" s="1"/>
  <c r="C217" i="9"/>
  <c r="D217" i="9" s="1"/>
  <c r="C219" i="9"/>
  <c r="D219" i="9" s="1"/>
  <c r="C221" i="9"/>
  <c r="D221" i="9" s="1"/>
  <c r="C223" i="9"/>
  <c r="D223" i="9" s="1"/>
  <c r="C225" i="9"/>
  <c r="D225" i="9" s="1"/>
  <c r="C227" i="9"/>
  <c r="D227" i="9" s="1"/>
  <c r="C229" i="9"/>
  <c r="D229" i="9" s="1"/>
  <c r="C231" i="9"/>
  <c r="D231" i="9" s="1"/>
  <c r="C233" i="9"/>
  <c r="D233" i="9" s="1"/>
  <c r="C236" i="9"/>
  <c r="D236" i="9" s="1"/>
  <c r="C238" i="9"/>
  <c r="D238" i="9" s="1"/>
  <c r="C240" i="9"/>
  <c r="D240" i="9" s="1"/>
  <c r="C242" i="9"/>
  <c r="D242" i="9" s="1"/>
  <c r="C244" i="9"/>
  <c r="D244" i="9" s="1"/>
  <c r="C246" i="9"/>
  <c r="D246" i="9" s="1"/>
  <c r="C248" i="9"/>
  <c r="D248" i="9" s="1"/>
  <c r="C250" i="9"/>
  <c r="D250" i="9" s="1"/>
  <c r="C252" i="9"/>
  <c r="D252" i="9" s="1"/>
  <c r="C254" i="9"/>
  <c r="D254" i="9" s="1"/>
  <c r="C256" i="9"/>
  <c r="D256" i="9" s="1"/>
  <c r="C258" i="9"/>
  <c r="D258" i="9" s="1"/>
  <c r="C260" i="9"/>
  <c r="D260" i="9" s="1"/>
  <c r="C262" i="9"/>
  <c r="D262" i="9" s="1"/>
  <c r="C264" i="9"/>
  <c r="D264" i="9" s="1"/>
  <c r="C266" i="9"/>
  <c r="D266" i="9" s="1"/>
  <c r="C269" i="9"/>
  <c r="D269" i="9" s="1"/>
  <c r="C271" i="9"/>
  <c r="D271" i="9" s="1"/>
  <c r="C273" i="9"/>
  <c r="D273" i="9" s="1"/>
  <c r="C275" i="9"/>
  <c r="D275" i="9" s="1"/>
  <c r="C277" i="9"/>
  <c r="D277" i="9" s="1"/>
  <c r="C280" i="9"/>
  <c r="D280" i="9" s="1"/>
  <c r="C283" i="9"/>
  <c r="D283" i="9" s="1"/>
  <c r="C285" i="9"/>
  <c r="D285" i="9" s="1"/>
  <c r="C287" i="9"/>
  <c r="D287" i="9" s="1"/>
  <c r="C289" i="9"/>
  <c r="D289" i="9" s="1"/>
  <c r="C291" i="9"/>
  <c r="D291" i="9" s="1"/>
  <c r="C293" i="9"/>
  <c r="D293" i="9" s="1"/>
  <c r="C295" i="9"/>
  <c r="D295" i="9" s="1"/>
  <c r="C297" i="9"/>
  <c r="D297" i="9" s="1"/>
  <c r="C299" i="9"/>
  <c r="D299" i="9" s="1"/>
  <c r="C301" i="9"/>
  <c r="D301" i="9" s="1"/>
  <c r="C303" i="9"/>
  <c r="D303" i="9" s="1"/>
  <c r="C306" i="9"/>
  <c r="D306" i="9" s="1"/>
  <c r="C309" i="9"/>
  <c r="D309" i="9" s="1"/>
  <c r="C311" i="9"/>
  <c r="D311" i="9" s="1"/>
  <c r="C314" i="9"/>
  <c r="D314" i="9" s="1"/>
  <c r="C316" i="9"/>
  <c r="D316" i="9" s="1"/>
  <c r="C318" i="9"/>
  <c r="D318" i="9" s="1"/>
  <c r="C320" i="9"/>
  <c r="D320" i="9" s="1"/>
  <c r="C322" i="9"/>
  <c r="D322" i="9" s="1"/>
  <c r="C324" i="9"/>
  <c r="D324" i="9" s="1"/>
  <c r="C327" i="9"/>
  <c r="D327" i="9" s="1"/>
  <c r="C329" i="9"/>
  <c r="D329" i="9" s="1"/>
  <c r="C332" i="9"/>
  <c r="D332" i="9" s="1"/>
  <c r="C334" i="9"/>
  <c r="D334" i="9" s="1"/>
  <c r="C336" i="9"/>
  <c r="D336" i="9" s="1"/>
  <c r="C338" i="9"/>
  <c r="D338" i="9" s="1"/>
  <c r="C340" i="9"/>
  <c r="D340" i="9" s="1"/>
  <c r="C343" i="9"/>
  <c r="D343" i="9" s="1"/>
  <c r="C345" i="9"/>
  <c r="D345" i="9" s="1"/>
  <c r="C347" i="9"/>
  <c r="D347" i="9" s="1"/>
  <c r="C350" i="9"/>
  <c r="D350" i="9" s="1"/>
  <c r="C352" i="9"/>
  <c r="D352" i="9" s="1"/>
  <c r="C354" i="9"/>
  <c r="D354" i="9" s="1"/>
  <c r="C357" i="9"/>
  <c r="D357" i="9" s="1"/>
  <c r="C361" i="9"/>
  <c r="D361" i="9" s="1"/>
  <c r="C365" i="9"/>
  <c r="D365" i="9" s="1"/>
  <c r="C369" i="9"/>
  <c r="D369" i="9" s="1"/>
  <c r="C373" i="9"/>
  <c r="D373" i="9" s="1"/>
  <c r="C375" i="9"/>
  <c r="D375" i="9" s="1"/>
  <c r="C379" i="9"/>
  <c r="D379" i="9" s="1"/>
  <c r="C383" i="9"/>
  <c r="D383" i="9" s="1"/>
  <c r="C387" i="9"/>
  <c r="D387" i="9" s="1"/>
  <c r="C391" i="9"/>
  <c r="D391" i="9" s="1"/>
  <c r="C395" i="9"/>
  <c r="D395" i="9" s="1"/>
  <c r="C399" i="9"/>
  <c r="D399" i="9" s="1"/>
  <c r="C403" i="9"/>
  <c r="D403" i="9" s="1"/>
  <c r="C406" i="9"/>
  <c r="D406" i="9" s="1"/>
  <c r="C409" i="9"/>
  <c r="D409" i="9" s="1"/>
  <c r="C412" i="9"/>
  <c r="D412" i="9" s="1"/>
  <c r="C414" i="9"/>
  <c r="D414" i="9" s="1"/>
  <c r="C416" i="9"/>
  <c r="D416" i="9" s="1"/>
  <c r="C418" i="9"/>
  <c r="D418" i="9" s="1"/>
  <c r="C420" i="9"/>
  <c r="D420" i="9" s="1"/>
  <c r="C422" i="9"/>
  <c r="D422" i="9" s="1"/>
  <c r="C424" i="9"/>
  <c r="D424" i="9" s="1"/>
  <c r="C426" i="9"/>
  <c r="D426" i="9" s="1"/>
  <c r="C428" i="9"/>
  <c r="D428" i="9" s="1"/>
  <c r="C432" i="9"/>
  <c r="D432" i="9" s="1"/>
  <c r="C434" i="9"/>
  <c r="D434" i="9" s="1"/>
  <c r="C436" i="9"/>
  <c r="D436" i="9" s="1"/>
  <c r="C438" i="9"/>
  <c r="D438" i="9" s="1"/>
  <c r="C441" i="9"/>
  <c r="D441" i="9" s="1"/>
  <c r="C443" i="9"/>
  <c r="D443" i="9" s="1"/>
  <c r="C445" i="9"/>
  <c r="D445" i="9" s="1"/>
  <c r="C447" i="9"/>
  <c r="D447" i="9" s="1"/>
  <c r="C449" i="9"/>
  <c r="D449" i="9" s="1"/>
  <c r="C451" i="9"/>
  <c r="D451" i="9" s="1"/>
  <c r="C454" i="9"/>
  <c r="D454" i="9" s="1"/>
  <c r="C456" i="9"/>
  <c r="D456" i="9" s="1"/>
  <c r="C458" i="9"/>
  <c r="D458" i="9" s="1"/>
  <c r="C460" i="9"/>
  <c r="D460" i="9" s="1"/>
  <c r="C462" i="9"/>
  <c r="D462" i="9" s="1"/>
  <c r="C465" i="9"/>
  <c r="D465" i="9" s="1"/>
  <c r="C467" i="9"/>
  <c r="D467" i="9" s="1"/>
  <c r="C469" i="9"/>
  <c r="D469" i="9" s="1"/>
  <c r="C471" i="9"/>
  <c r="D471" i="9" s="1"/>
  <c r="C473" i="9"/>
  <c r="D473" i="9" s="1"/>
  <c r="C476" i="9"/>
  <c r="D476" i="9" s="1"/>
  <c r="C10" i="9"/>
  <c r="D10" i="9" s="1"/>
  <c r="C8" i="9"/>
  <c r="D8" i="9" s="1"/>
  <c r="N324" i="1"/>
  <c r="N323" i="1"/>
  <c r="N322" i="1"/>
  <c r="D478" i="9" l="1"/>
  <c r="C478" i="9"/>
  <c r="D135" i="2" l="1"/>
  <c r="E135" i="2"/>
  <c r="B1" i="5" l="1"/>
  <c r="B1" i="9"/>
  <c r="D134" i="2" l="1"/>
  <c r="E134" i="2"/>
  <c r="G134" i="2"/>
  <c r="N321" i="1"/>
  <c r="D133" i="2" l="1"/>
  <c r="E133" i="2"/>
  <c r="N316" i="1"/>
  <c r="N320" i="1" l="1"/>
  <c r="N319" i="1"/>
  <c r="N318" i="1" l="1"/>
  <c r="N317" i="1"/>
  <c r="N315" i="1"/>
  <c r="N314" i="1"/>
  <c r="N313" i="1"/>
  <c r="N312" i="1"/>
  <c r="N311" i="1"/>
  <c r="E131" i="2" l="1"/>
  <c r="N310" i="1"/>
  <c r="D129" i="2" l="1"/>
  <c r="E129" i="2"/>
  <c r="G129" i="2"/>
  <c r="N309" i="1"/>
  <c r="H129" i="2" s="1"/>
  <c r="D128" i="2" l="1"/>
  <c r="E128" i="2"/>
  <c r="N308" i="1" l="1"/>
  <c r="N307" i="1"/>
  <c r="N144" i="1" l="1"/>
  <c r="N284" i="1" l="1"/>
  <c r="D116" i="2"/>
  <c r="E116" i="2"/>
  <c r="D127" i="2" l="1"/>
  <c r="E127" i="2"/>
  <c r="G127" i="2"/>
  <c r="D126" i="2"/>
  <c r="E126" i="2"/>
  <c r="N306" i="1" l="1"/>
  <c r="N305" i="1"/>
  <c r="N304" i="1"/>
  <c r="N303" i="1"/>
  <c r="N302" i="1"/>
  <c r="N301" i="1"/>
  <c r="N300" i="1"/>
  <c r="D125" i="2" l="1"/>
  <c r="E125" i="2"/>
  <c r="G125" i="2"/>
  <c r="N299" i="1"/>
  <c r="N298" i="1" l="1"/>
  <c r="D123" i="2"/>
  <c r="E123" i="2"/>
  <c r="G123" i="2"/>
  <c r="N297" i="1"/>
  <c r="D122" i="2"/>
  <c r="E122" i="2"/>
  <c r="D121" i="2"/>
  <c r="E121" i="2"/>
  <c r="N296" i="1" l="1"/>
  <c r="N295" i="1"/>
  <c r="N294" i="1"/>
  <c r="N293" i="1"/>
  <c r="N292" i="1"/>
  <c r="N291" i="1"/>
  <c r="N290" i="1"/>
  <c r="N289" i="1"/>
  <c r="D120" i="2"/>
  <c r="E120" i="2"/>
  <c r="G120" i="2"/>
  <c r="N288" i="1"/>
  <c r="D119" i="2"/>
  <c r="E119" i="2"/>
  <c r="G119" i="2"/>
  <c r="D118" i="2"/>
  <c r="E118" i="2"/>
  <c r="N287" i="1"/>
  <c r="N286" i="1"/>
  <c r="N285" i="1"/>
  <c r="N283" i="1" l="1"/>
  <c r="D115" i="2" l="1"/>
  <c r="D117" i="2" l="1"/>
  <c r="E117" i="2"/>
  <c r="G117" i="2"/>
  <c r="N282" i="1"/>
  <c r="N281" i="1" l="1"/>
  <c r="N280" i="1" l="1"/>
  <c r="N279" i="1"/>
  <c r="N278" i="1"/>
  <c r="N277" i="1"/>
  <c r="N276" i="1"/>
  <c r="D114" i="2"/>
  <c r="E114" i="2"/>
  <c r="D113" i="2"/>
  <c r="E113" i="2"/>
  <c r="G113" i="2"/>
  <c r="D112" i="2"/>
  <c r="E112" i="2"/>
  <c r="G112" i="2"/>
  <c r="N275" i="1"/>
  <c r="D111" i="2"/>
  <c r="E111" i="2"/>
  <c r="G111" i="2"/>
  <c r="N274" i="1" l="1"/>
  <c r="N273" i="1"/>
  <c r="N272" i="1"/>
  <c r="N271" i="1"/>
  <c r="N270" i="1"/>
  <c r="N269" i="1"/>
  <c r="D110" i="2" l="1"/>
  <c r="E110" i="2"/>
  <c r="N268" i="1"/>
  <c r="N267" i="1" l="1"/>
  <c r="N266" i="1" l="1"/>
  <c r="N265" i="1"/>
  <c r="N264" i="1"/>
  <c r="N263" i="1"/>
  <c r="N262" i="1"/>
  <c r="N261" i="1"/>
  <c r="N260" i="1"/>
  <c r="N259" i="1"/>
  <c r="N258" i="1"/>
  <c r="N257" i="1"/>
  <c r="N256" i="1"/>
  <c r="N255" i="1"/>
  <c r="N254" i="1"/>
  <c r="N253" i="1"/>
  <c r="N252" i="1"/>
  <c r="N251" i="1"/>
  <c r="N250" i="1"/>
  <c r="N249" i="1"/>
  <c r="N248" i="1"/>
  <c r="N247" i="1"/>
  <c r="N246" i="1"/>
  <c r="E107" i="2" l="1"/>
  <c r="E106" i="2"/>
  <c r="D109" i="2"/>
  <c r="E109" i="2"/>
  <c r="G109" i="2"/>
  <c r="D108" i="2"/>
  <c r="E108" i="2"/>
  <c r="G108" i="2"/>
  <c r="D107" i="2" l="1"/>
  <c r="G107" i="2"/>
  <c r="D106" i="2"/>
  <c r="D105" i="2"/>
  <c r="E105" i="2"/>
  <c r="N245" i="1" l="1"/>
  <c r="N244" i="1"/>
  <c r="D104" i="2" l="1"/>
  <c r="E104" i="2"/>
  <c r="G104" i="2"/>
  <c r="D103" i="2"/>
  <c r="E103" i="2"/>
  <c r="G103" i="2"/>
  <c r="D102" i="2"/>
  <c r="E102" i="2"/>
  <c r="G102" i="2"/>
  <c r="D101" i="2"/>
  <c r="E101" i="2"/>
  <c r="N243" i="1"/>
  <c r="N242" i="1"/>
  <c r="N239" i="1"/>
  <c r="N238" i="1"/>
  <c r="N237" i="1"/>
  <c r="N241" i="1" l="1"/>
  <c r="N240" i="1"/>
  <c r="N236" i="1" l="1"/>
  <c r="N235" i="1"/>
  <c r="N234" i="1"/>
  <c r="N233" i="1"/>
  <c r="N232" i="1"/>
  <c r="N231" i="1"/>
  <c r="N230" i="1"/>
  <c r="N229" i="1"/>
  <c r="N228" i="1"/>
  <c r="N227" i="1"/>
  <c r="N226" i="1"/>
  <c r="N225" i="1"/>
  <c r="N224" i="1"/>
  <c r="N223" i="1"/>
  <c r="N222" i="1"/>
  <c r="N221" i="1"/>
  <c r="N220" i="1"/>
  <c r="N219" i="1" l="1"/>
  <c r="N218" i="1"/>
  <c r="N217" i="1"/>
  <c r="N216" i="1"/>
  <c r="D98" i="2"/>
  <c r="E98" i="2"/>
  <c r="D97" i="2"/>
  <c r="E97" i="2"/>
  <c r="D96" i="2"/>
  <c r="E96" i="2"/>
  <c r="G96" i="2"/>
  <c r="D95" i="2"/>
  <c r="E95" i="2"/>
  <c r="D94" i="2"/>
  <c r="E94" i="2"/>
  <c r="G94" i="2"/>
  <c r="D93" i="2"/>
  <c r="E93" i="2"/>
  <c r="G93" i="2"/>
  <c r="N215" i="1" l="1"/>
  <c r="N214" i="1"/>
  <c r="N213" i="1"/>
  <c r="N212" i="1"/>
  <c r="N211" i="1"/>
  <c r="N210" i="1"/>
  <c r="N209" i="1"/>
  <c r="N208" i="1"/>
  <c r="N207" i="1" l="1"/>
  <c r="N206" i="1"/>
  <c r="N205" i="1"/>
  <c r="N204" i="1"/>
  <c r="N203" i="1"/>
  <c r="N202" i="1"/>
  <c r="D92" i="2" l="1"/>
  <c r="E92" i="2"/>
  <c r="G92" i="2"/>
  <c r="N201" i="1"/>
  <c r="D91" i="2" l="1"/>
  <c r="E91" i="2"/>
  <c r="G91" i="2"/>
  <c r="N200" i="1"/>
  <c r="D87" i="2" l="1"/>
  <c r="D90" i="2"/>
  <c r="E90" i="2"/>
  <c r="D89" i="2"/>
  <c r="E89" i="2"/>
  <c r="N199" i="1" l="1"/>
  <c r="N198" i="1"/>
  <c r="N197" i="1"/>
  <c r="N196" i="1"/>
  <c r="N195" i="1"/>
  <c r="N194" i="1"/>
  <c r="N193" i="1"/>
  <c r="D88" i="2" l="1"/>
  <c r="E88" i="2"/>
  <c r="N192" i="1" l="1"/>
  <c r="N191" i="1"/>
  <c r="N190" i="1"/>
  <c r="N189" i="1"/>
  <c r="N187" i="1" l="1"/>
  <c r="N186" i="1"/>
  <c r="N185" i="1"/>
  <c r="N184" i="1"/>
  <c r="E83" i="2"/>
  <c r="N188" i="1"/>
  <c r="N183" i="1"/>
  <c r="E81" i="2" l="1"/>
  <c r="D81" i="2"/>
  <c r="F81" i="2" s="1"/>
  <c r="F80" i="2"/>
  <c r="N182" i="1"/>
  <c r="N181" i="1"/>
  <c r="L7" i="8"/>
  <c r="E1" i="3"/>
  <c r="N180" i="1" l="1"/>
  <c r="F78" i="2" l="1"/>
  <c r="N179" i="1"/>
  <c r="N178" i="1"/>
  <c r="F77" i="2" l="1"/>
  <c r="F76" i="2"/>
  <c r="E77" i="2"/>
  <c r="E76" i="2"/>
  <c r="N177" i="1" l="1"/>
  <c r="N176" i="1"/>
  <c r="N175" i="1"/>
  <c r="N174" i="1"/>
  <c r="N173" i="1"/>
  <c r="N172" i="1"/>
  <c r="N171" i="1"/>
  <c r="N170" i="1"/>
  <c r="N169" i="1"/>
  <c r="N168" i="1"/>
  <c r="N167" i="1"/>
  <c r="N166" i="1"/>
  <c r="N165" i="1"/>
  <c r="N163" i="1"/>
  <c r="N162" i="1"/>
  <c r="N161" i="1"/>
  <c r="N160" i="1"/>
  <c r="N159" i="1"/>
  <c r="N164" i="1"/>
  <c r="N158" i="1" l="1"/>
  <c r="D79" i="2" l="1"/>
  <c r="F79" i="2" s="1"/>
  <c r="E79" i="2"/>
  <c r="G79" i="2"/>
  <c r="N157" i="1" l="1"/>
  <c r="D75" i="2"/>
  <c r="F75" i="2" s="1"/>
  <c r="E75" i="2"/>
  <c r="G75" i="2"/>
  <c r="D74" i="2"/>
  <c r="F74" i="2" s="1"/>
  <c r="E74" i="2"/>
  <c r="G74" i="2"/>
  <c r="D73" i="2"/>
  <c r="F73" i="2" s="1"/>
  <c r="E73" i="2"/>
  <c r="N156" i="1"/>
  <c r="N155" i="1"/>
  <c r="N154" i="1"/>
  <c r="N153" i="1"/>
  <c r="N152" i="1"/>
  <c r="D72" i="2" l="1"/>
  <c r="F72" i="2" s="1"/>
  <c r="E72" i="2"/>
  <c r="N151" i="1" l="1"/>
  <c r="N150" i="1"/>
  <c r="N149" i="1" l="1"/>
  <c r="N148" i="1"/>
  <c r="N147" i="1"/>
  <c r="N146" i="1"/>
  <c r="N145" i="1"/>
  <c r="N143" i="1"/>
  <c r="N142" i="1"/>
  <c r="N141" i="1"/>
  <c r="N140" i="1"/>
  <c r="N139" i="1"/>
  <c r="N138" i="1"/>
  <c r="N137" i="1"/>
  <c r="N136" i="1"/>
  <c r="J1" i="1" l="1"/>
  <c r="D71" i="2"/>
  <c r="F71" i="2" s="1"/>
  <c r="E71" i="2"/>
  <c r="D70" i="2" l="1"/>
  <c r="F70" i="2" s="1"/>
  <c r="E70" i="2"/>
  <c r="G70" i="2"/>
  <c r="N135" i="1"/>
  <c r="D69" i="2" l="1"/>
  <c r="F69" i="2" s="1"/>
  <c r="E69" i="2"/>
  <c r="G69" i="2"/>
  <c r="N134" i="1" l="1"/>
  <c r="D68" i="2"/>
  <c r="F68" i="2" s="1"/>
  <c r="E68" i="2"/>
  <c r="N133" i="1"/>
  <c r="N132" i="1"/>
  <c r="N131" i="1"/>
  <c r="N130" i="1"/>
  <c r="N129" i="1"/>
  <c r="N128" i="1"/>
  <c r="N127" i="1"/>
  <c r="N126" i="1"/>
  <c r="N125" i="1"/>
  <c r="N124" i="1"/>
  <c r="N123" i="1"/>
  <c r="N122" i="1"/>
  <c r="N121" i="1"/>
  <c r="N120" i="1"/>
  <c r="N119" i="1"/>
  <c r="N118" i="1"/>
  <c r="N117" i="1"/>
  <c r="N116" i="1" l="1"/>
  <c r="N115" i="1"/>
  <c r="N114" i="1"/>
  <c r="N113" i="1"/>
  <c r="N112" i="1"/>
  <c r="N111" i="1"/>
  <c r="N110" i="1"/>
  <c r="N109" i="1"/>
  <c r="N108" i="1"/>
  <c r="N107" i="1"/>
  <c r="N106" i="1"/>
  <c r="D67" i="2" l="1"/>
  <c r="F67" i="2" s="1"/>
  <c r="E67" i="2"/>
  <c r="D66" i="2"/>
  <c r="E66" i="2"/>
  <c r="G66" i="2"/>
  <c r="N105" i="1"/>
  <c r="D65" i="2"/>
  <c r="F65" i="2" s="1"/>
  <c r="E65" i="2"/>
  <c r="G65" i="2"/>
  <c r="N104" i="1"/>
  <c r="N103" i="1"/>
  <c r="N102" i="1"/>
  <c r="D64" i="2" l="1"/>
  <c r="F64" i="2" s="1"/>
  <c r="E64" i="2"/>
  <c r="G64" i="2"/>
  <c r="N101" i="1"/>
  <c r="B62" i="2"/>
  <c r="D63" i="2"/>
  <c r="F63" i="2" s="1"/>
  <c r="E63" i="2"/>
  <c r="N100" i="1"/>
  <c r="N99" i="1"/>
  <c r="D62" i="2" l="1"/>
  <c r="F62" i="2" s="1"/>
  <c r="E62" i="2"/>
  <c r="G62" i="2"/>
  <c r="N98" i="1"/>
  <c r="D61" i="2"/>
  <c r="F61" i="2" s="1"/>
  <c r="E61" i="2"/>
  <c r="G61" i="2"/>
  <c r="N97" i="1"/>
  <c r="N96" i="1"/>
  <c r="D60" i="2" l="1"/>
  <c r="F60" i="2" s="1"/>
  <c r="E60" i="2"/>
  <c r="G60" i="2"/>
  <c r="D59" i="2"/>
  <c r="F59" i="2" s="1"/>
  <c r="E59" i="2"/>
  <c r="G59" i="2"/>
  <c r="N95" i="1" l="1"/>
  <c r="D58" i="2" l="1"/>
  <c r="F58" i="2" s="1"/>
  <c r="E58" i="2"/>
  <c r="N94" i="1"/>
  <c r="N93" i="1"/>
  <c r="N92" i="1"/>
  <c r="N91" i="1"/>
  <c r="N90" i="1"/>
  <c r="N89" i="1"/>
  <c r="N88" i="1"/>
  <c r="N87" i="1"/>
  <c r="N86" i="1"/>
  <c r="N85" i="1"/>
  <c r="N84" i="1"/>
  <c r="N83" i="1"/>
  <c r="N82" i="1"/>
  <c r="N81" i="1"/>
  <c r="N80" i="1"/>
  <c r="N79" i="1"/>
  <c r="N78" i="1"/>
  <c r="N77" i="1"/>
  <c r="N76" i="1"/>
  <c r="N75" i="1"/>
  <c r="N74" i="1"/>
  <c r="E56" i="2" l="1"/>
  <c r="E54" i="2"/>
  <c r="D56" i="2"/>
  <c r="G56" i="2"/>
  <c r="H54" i="2"/>
  <c r="D57" i="2"/>
  <c r="F57" i="2" s="1"/>
  <c r="E57" i="2"/>
  <c r="G57" i="2"/>
  <c r="D55" i="2"/>
  <c r="F55" i="2" s="1"/>
  <c r="E55" i="2"/>
  <c r="G55" i="2"/>
  <c r="N73" i="1"/>
  <c r="N72" i="1"/>
  <c r="N71" i="1"/>
  <c r="N70" i="1" l="1"/>
  <c r="N69" i="1"/>
  <c r="N68" i="1"/>
  <c r="D54" i="2" l="1"/>
  <c r="F54" i="2" s="1"/>
  <c r="G54" i="2"/>
  <c r="N67" i="1"/>
  <c r="D53" i="2"/>
  <c r="F53" i="2" s="1"/>
  <c r="E53" i="2"/>
  <c r="G53" i="2"/>
  <c r="D52" i="2"/>
  <c r="F52" i="2" s="1"/>
  <c r="E52" i="2"/>
  <c r="G52" i="2"/>
  <c r="N66" i="1"/>
  <c r="D49" i="2"/>
  <c r="F49" i="2" s="1"/>
  <c r="E49" i="2"/>
  <c r="G49" i="2"/>
  <c r="N65" i="1" l="1"/>
  <c r="D51" i="2"/>
  <c r="F51" i="2" s="1"/>
  <c r="E51" i="2"/>
  <c r="G51" i="2"/>
  <c r="D50" i="2"/>
  <c r="F50" i="2" s="1"/>
  <c r="E50" i="2"/>
  <c r="N64" i="1"/>
  <c r="N63" i="1"/>
  <c r="N62" i="1"/>
  <c r="D48" i="2" l="1"/>
  <c r="F48" i="2" s="1"/>
  <c r="E48" i="2"/>
  <c r="G48" i="2"/>
  <c r="N61" i="1"/>
  <c r="D47" i="2" l="1"/>
  <c r="F47" i="2" s="1"/>
  <c r="E47" i="2"/>
  <c r="G47" i="2"/>
  <c r="N60" i="1" l="1"/>
  <c r="N59" i="1"/>
  <c r="D46" i="2"/>
  <c r="F46" i="2" s="1"/>
  <c r="E46" i="2"/>
  <c r="G46" i="2"/>
  <c r="N58" i="1"/>
  <c r="H45" i="2" l="1"/>
  <c r="D45" i="2"/>
  <c r="F45" i="2" s="1"/>
  <c r="E45" i="2"/>
  <c r="G45" i="2"/>
  <c r="N57" i="1"/>
  <c r="D44" i="2"/>
  <c r="F44" i="2" s="1"/>
  <c r="E44" i="2"/>
  <c r="G44" i="2"/>
  <c r="N56" i="1" l="1"/>
  <c r="N55" i="1" l="1"/>
  <c r="N54" i="1"/>
  <c r="D43" i="2"/>
  <c r="F43" i="2" s="1"/>
  <c r="E43" i="2"/>
  <c r="D42" i="2" l="1"/>
  <c r="F42" i="2" s="1"/>
  <c r="E42" i="2"/>
  <c r="G42" i="2"/>
  <c r="N53" i="1" l="1"/>
  <c r="D41" i="2"/>
  <c r="F41" i="2" s="1"/>
  <c r="E41" i="2"/>
  <c r="N52" i="1"/>
  <c r="N51" i="1"/>
  <c r="D40" i="2" l="1"/>
  <c r="F40" i="2" s="1"/>
  <c r="E40" i="2"/>
  <c r="G40" i="2"/>
  <c r="N50" i="1"/>
  <c r="D39" i="2"/>
  <c r="F39" i="2" s="1"/>
  <c r="E39" i="2"/>
  <c r="N49" i="1"/>
  <c r="N48" i="1"/>
  <c r="N47" i="1"/>
  <c r="N46" i="1"/>
  <c r="D38" i="2"/>
  <c r="F38" i="2" s="1"/>
  <c r="E38" i="2"/>
  <c r="N45" i="1"/>
  <c r="N44" i="1"/>
  <c r="D37" i="2" l="1"/>
  <c r="F37" i="2" s="1"/>
  <c r="E37" i="2"/>
  <c r="G37" i="2"/>
  <c r="N43" i="1" l="1"/>
  <c r="D36" i="2"/>
  <c r="F36" i="2" s="1"/>
  <c r="E36" i="2"/>
  <c r="G36" i="2"/>
  <c r="N42" i="1"/>
  <c r="D1" i="7"/>
  <c r="H35" i="2"/>
  <c r="H34" i="2"/>
  <c r="D35" i="2"/>
  <c r="F35" i="2" s="1"/>
  <c r="E35" i="2"/>
  <c r="G35" i="2"/>
  <c r="D34" i="2"/>
  <c r="F34" i="2" s="1"/>
  <c r="E34" i="2"/>
  <c r="G34" i="2"/>
  <c r="N41" i="1" l="1"/>
  <c r="N40" i="1"/>
  <c r="D33" i="2"/>
  <c r="F33" i="2" s="1"/>
  <c r="E33" i="2"/>
  <c r="G33" i="2"/>
  <c r="N39" i="1"/>
  <c r="H33" i="2" s="1"/>
  <c r="D32" i="2" l="1"/>
  <c r="F32" i="2" s="1"/>
  <c r="E32" i="2"/>
  <c r="N38" i="1"/>
  <c r="N37" i="1"/>
  <c r="N36" i="1"/>
  <c r="D30" i="2"/>
  <c r="F30" i="2" s="1"/>
  <c r="D31" i="2"/>
  <c r="F31" i="2" s="1"/>
  <c r="E30" i="2"/>
  <c r="E31" i="2"/>
  <c r="G30" i="2"/>
  <c r="G31" i="2"/>
  <c r="N35" i="1"/>
  <c r="N34" i="1"/>
  <c r="N33" i="1"/>
  <c r="D29" i="2"/>
  <c r="F29" i="2" s="1"/>
  <c r="E29" i="2"/>
  <c r="G29" i="2"/>
  <c r="C28" i="2"/>
  <c r="D28" i="2"/>
  <c r="F28" i="2" s="1"/>
  <c r="E28" i="2"/>
  <c r="N32" i="1"/>
  <c r="N31" i="1"/>
  <c r="N30" i="1" l="1"/>
  <c r="H27" i="2" s="1"/>
  <c r="C27" i="2"/>
  <c r="D27" i="2"/>
  <c r="F27" i="2" s="1"/>
  <c r="E27" i="2"/>
  <c r="G27" i="2"/>
  <c r="G6" i="2"/>
  <c r="G7" i="2"/>
  <c r="G8" i="2"/>
  <c r="G9" i="2"/>
  <c r="G10" i="2"/>
  <c r="G11" i="2"/>
  <c r="G12" i="2"/>
  <c r="G13" i="2"/>
  <c r="G14" i="2"/>
  <c r="G15" i="2"/>
  <c r="G16" i="2"/>
  <c r="G17" i="2"/>
  <c r="G18" i="2"/>
  <c r="G19" i="2"/>
  <c r="G20" i="2"/>
  <c r="G21" i="2"/>
  <c r="G22" i="2"/>
  <c r="G23" i="2"/>
  <c r="G24" i="2"/>
  <c r="G25" i="2"/>
  <c r="G26" i="2"/>
  <c r="K21" i="6"/>
  <c r="I19" i="6"/>
  <c r="I18" i="6"/>
  <c r="I20" i="6"/>
  <c r="I17" i="6"/>
  <c r="C26" i="2" l="1"/>
  <c r="C25" i="2"/>
  <c r="D26" i="2"/>
  <c r="F26" i="2" s="1"/>
  <c r="E26" i="2"/>
  <c r="D25" i="2"/>
  <c r="F25" i="2" s="1"/>
  <c r="E25" i="2"/>
  <c r="N29" i="1"/>
  <c r="N28" i="1"/>
  <c r="N27" i="1"/>
  <c r="H25" i="2" s="1"/>
  <c r="E6" i="2"/>
  <c r="E7" i="2"/>
  <c r="E8" i="2"/>
  <c r="E9" i="2"/>
  <c r="E10" i="2"/>
  <c r="E11" i="2"/>
  <c r="E12" i="2"/>
  <c r="E13" i="2"/>
  <c r="E14" i="2"/>
  <c r="E15" i="2"/>
  <c r="E16" i="2"/>
  <c r="E17" i="2"/>
  <c r="E18" i="2"/>
  <c r="E19" i="2"/>
  <c r="E20" i="2"/>
  <c r="E21" i="2"/>
  <c r="E22" i="2"/>
  <c r="E23" i="2"/>
  <c r="E24" i="2"/>
  <c r="V1" i="5"/>
  <c r="C24" i="2"/>
  <c r="B24" i="2"/>
  <c r="D24" i="2"/>
  <c r="F24" i="2" s="1"/>
  <c r="N26" i="1"/>
  <c r="H24" i="2" s="1"/>
  <c r="N25" i="1"/>
  <c r="H23" i="2" s="1"/>
  <c r="C23" i="2"/>
  <c r="B23" i="2"/>
  <c r="D23" i="2"/>
  <c r="F23" i="2" s="1"/>
  <c r="C22" i="2"/>
  <c r="B22" i="2"/>
  <c r="C21" i="2"/>
  <c r="B21" i="2"/>
  <c r="C20" i="2"/>
  <c r="B20" i="2"/>
  <c r="C19" i="2"/>
  <c r="B19" i="2"/>
  <c r="C18" i="2"/>
  <c r="B18" i="2"/>
  <c r="C17" i="2"/>
  <c r="B17" i="2"/>
  <c r="C16" i="2"/>
  <c r="B16" i="2"/>
  <c r="C15" i="2"/>
  <c r="B15" i="2"/>
  <c r="D18" i="2"/>
  <c r="F18" i="2" s="1"/>
  <c r="D19" i="2"/>
  <c r="F19" i="2" s="1"/>
  <c r="D20" i="2"/>
  <c r="F20" i="2" s="1"/>
  <c r="D21" i="2"/>
  <c r="F21" i="2" s="1"/>
  <c r="D22" i="2"/>
  <c r="F22" i="2" s="1"/>
  <c r="D17" i="2"/>
  <c r="F17" i="2" s="1"/>
  <c r="D16" i="2"/>
  <c r="F16" i="2" s="1"/>
  <c r="C14" i="2"/>
  <c r="B14" i="2"/>
  <c r="C13" i="2"/>
  <c r="B13" i="2"/>
  <c r="C12" i="2"/>
  <c r="B12" i="2"/>
  <c r="C11" i="2"/>
  <c r="B11" i="2"/>
  <c r="C10" i="2"/>
  <c r="B10" i="2"/>
  <c r="D15" i="2"/>
  <c r="F15" i="2" s="1"/>
  <c r="C9" i="2"/>
  <c r="B9" i="2"/>
  <c r="D14" i="2"/>
  <c r="F14" i="2" s="1"/>
  <c r="D13" i="2"/>
  <c r="F13" i="2" s="1"/>
  <c r="D12" i="2"/>
  <c r="F12" i="2" s="1"/>
  <c r="D11" i="2"/>
  <c r="F11" i="2" s="1"/>
  <c r="D10" i="2"/>
  <c r="F10" i="2" s="1"/>
  <c r="N24" i="1"/>
  <c r="H22" i="2" s="1"/>
  <c r="N18" i="1"/>
  <c r="H16" i="2" s="1"/>
  <c r="N23" i="1"/>
  <c r="H21" i="2" s="1"/>
  <c r="N22" i="1"/>
  <c r="H20" i="2" s="1"/>
  <c r="N21" i="1"/>
  <c r="H19" i="2" s="1"/>
  <c r="N20" i="1"/>
  <c r="H18" i="2" s="1"/>
  <c r="N19" i="1"/>
  <c r="H17" i="2" s="1"/>
  <c r="N17" i="1" l="1"/>
  <c r="H15" i="2" s="1"/>
  <c r="N16" i="1"/>
  <c r="N15" i="1"/>
  <c r="N14" i="1"/>
  <c r="H14" i="2" s="1"/>
  <c r="N13" i="1"/>
  <c r="H13" i="2" s="1"/>
  <c r="N12" i="1"/>
  <c r="H12" i="2" s="1"/>
  <c r="N11" i="1"/>
  <c r="H11" i="2" s="1"/>
  <c r="N10" i="1"/>
  <c r="H10" i="2" s="1"/>
  <c r="D9" i="2"/>
  <c r="F9" i="2" s="1"/>
  <c r="D8" i="2"/>
  <c r="F8" i="2" s="1"/>
  <c r="D7" i="2"/>
  <c r="F7" i="2" s="1"/>
  <c r="D6" i="2"/>
  <c r="F6" i="2" s="1"/>
  <c r="C8" i="2"/>
  <c r="C7" i="2"/>
  <c r="C6" i="2"/>
  <c r="N9" i="1"/>
  <c r="H9" i="2" s="1"/>
  <c r="N8" i="1"/>
  <c r="N7" i="1"/>
  <c r="H8" i="2" s="1"/>
  <c r="N6" i="1"/>
  <c r="H7" i="2" s="1"/>
  <c r="N5" i="1"/>
  <c r="H6" i="2" s="1"/>
  <c r="B8" i="2"/>
  <c r="B7" i="2"/>
  <c r="D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Mary Martinez</author>
  </authors>
  <commentList>
    <comment ref="A5" authorId="0" shapeId="0" xr:uid="{C40CAF4E-19BB-4DBB-B126-A933D46C82E2}">
      <text>
        <r>
          <rPr>
            <b/>
            <sz val="9"/>
            <color indexed="81"/>
            <rFont val="Tahoma"/>
            <family val="2"/>
          </rPr>
          <t>Mary Martinez:</t>
        </r>
        <r>
          <rPr>
            <sz val="9"/>
            <color indexed="81"/>
            <rFont val="Tahoma"/>
            <family val="2"/>
          </rPr>
          <t xml:space="preserve">
Campo contém fórmula.  Favor não alterar
</t>
        </r>
      </text>
    </comment>
    <comment ref="B5" authorId="0" shapeId="0" xr:uid="{6C15B329-1B9C-41F6-8075-04A956B8D34D}">
      <text>
        <r>
          <rPr>
            <b/>
            <sz val="9"/>
            <color indexed="81"/>
            <rFont val="Tahoma"/>
            <family val="2"/>
          </rPr>
          <t>Mary Martinez:</t>
        </r>
        <r>
          <rPr>
            <sz val="9"/>
            <color indexed="81"/>
            <rFont val="Tahoma"/>
            <family val="2"/>
          </rPr>
          <t xml:space="preserve">
Campo contém fórmula.  Favor não alterar
</t>
        </r>
      </text>
    </comment>
    <comment ref="F5" authorId="0" shapeId="0" xr:uid="{DCA96D57-4052-4D65-932C-F0974BB4A5A8}">
      <text>
        <r>
          <rPr>
            <b/>
            <sz val="9"/>
            <color indexed="81"/>
            <rFont val="Tahoma"/>
            <family val="2"/>
          </rPr>
          <t>Mary Martinez:</t>
        </r>
        <r>
          <rPr>
            <sz val="9"/>
            <color indexed="81"/>
            <rFont val="Tahoma"/>
            <family val="2"/>
          </rPr>
          <t xml:space="preserve">
Campo contém fórmula. Favor não alterar
</t>
        </r>
      </text>
    </comment>
    <comment ref="A77" authorId="0" shapeId="0" xr:uid="{D8C004BA-042A-439D-9C44-2C4FA887C704}">
      <text>
        <r>
          <rPr>
            <b/>
            <sz val="9"/>
            <color indexed="81"/>
            <rFont val="Tahoma"/>
            <family val="2"/>
          </rPr>
          <t>Mary Martinez:</t>
        </r>
        <r>
          <rPr>
            <sz val="9"/>
            <color indexed="81"/>
            <rFont val="Tahoma"/>
            <family val="2"/>
          </rPr>
          <t xml:space="preserve">
pedido OC 2004274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Mary Martinez</author>
  </authors>
  <commentList>
    <comment ref="T4" authorId="0" shapeId="0" xr:uid="{00D664B0-32C6-4648-9FDB-00BCC54BA316}">
      <text>
        <r>
          <rPr>
            <b/>
            <sz val="9"/>
            <color indexed="81"/>
            <rFont val="Tahoma"/>
            <family val="2"/>
          </rPr>
          <t>Mary Martinez:</t>
        </r>
        <r>
          <rPr>
            <sz val="9"/>
            <color indexed="81"/>
            <rFont val="Tahoma"/>
            <family val="2"/>
          </rPr>
          <t xml:space="preserve">
Fluxo de acompanhamenro novo- a partir de agosto26 - 
GT utiliza minhs documentação de históricos e preços para suportar a contabilidade/ passei a ser copiada nos emails de solicitação de Sales Order (justo após auditoria interna realizada pela Controldoria BR</t>
        </r>
      </text>
    </comment>
    <comment ref="B19" authorId="0" shapeId="0" xr:uid="{C2636D17-183B-4103-9C76-2C744576D657}">
      <text>
        <r>
          <rPr>
            <b/>
            <sz val="9"/>
            <color indexed="81"/>
            <rFont val="Tahoma"/>
            <family val="2"/>
          </rPr>
          <t>Mary Martinez:</t>
        </r>
        <r>
          <rPr>
            <sz val="9"/>
            <color indexed="81"/>
            <rFont val="Tahoma"/>
            <family val="2"/>
          </rPr>
          <t xml:space="preserve">
Facenco Honduras- razón social correcta</t>
        </r>
      </text>
    </comment>
    <comment ref="M21" authorId="0" shapeId="0" xr:uid="{A3D0965D-393C-4B42-BEAA-BA4833ED0ABE}">
      <text>
        <r>
          <rPr>
            <b/>
            <sz val="9"/>
            <color indexed="81"/>
            <rFont val="Tahoma"/>
            <family val="2"/>
          </rPr>
          <t>Mary Martinez:</t>
        </r>
        <r>
          <rPr>
            <sz val="9"/>
            <color indexed="81"/>
            <rFont val="Tahoma"/>
            <family val="2"/>
          </rPr>
          <t xml:space="preserve">
16.10 Quetzales-
Alinhado em USD 2,00</t>
        </r>
      </text>
    </comment>
    <comment ref="M36" authorId="0" shapeId="0" xr:uid="{F200C47E-D168-43BF-AC94-2B069F8DC681}">
      <text>
        <r>
          <rPr>
            <b/>
            <sz val="9"/>
            <color indexed="81"/>
            <rFont val="Tahoma"/>
            <family val="2"/>
          </rPr>
          <t>Mary Martinez:</t>
        </r>
        <r>
          <rPr>
            <sz val="9"/>
            <color indexed="81"/>
            <rFont val="Tahoma"/>
            <family val="2"/>
          </rPr>
          <t xml:space="preserve">
preços alinhados - foram negociados com o cliente na época- ver email documentando (1408)</t>
        </r>
      </text>
    </comment>
    <comment ref="K42" authorId="0" shapeId="0" xr:uid="{84B9C80D-F0E1-43B7-88E8-EB7EA1D454A3}">
      <text>
        <r>
          <rPr>
            <b/>
            <sz val="9"/>
            <color indexed="81"/>
            <rFont val="Tahoma"/>
            <family val="2"/>
          </rPr>
          <t>Mary Martinez:</t>
        </r>
        <r>
          <rPr>
            <sz val="9"/>
            <color indexed="81"/>
            <rFont val="Tahoma"/>
            <family val="2"/>
          </rPr>
          <t xml:space="preserve">
Amostra para venda
Tabla de precios creada (25082025) x César</t>
        </r>
      </text>
    </comment>
    <comment ref="F70" authorId="0" shapeId="0" xr:uid="{C573D417-9EF5-4184-9562-6CEB1E00452E}">
      <text>
        <r>
          <rPr>
            <b/>
            <sz val="9"/>
            <color indexed="81"/>
            <rFont val="Tahoma"/>
            <family val="2"/>
          </rPr>
          <t>Mary Martinez:</t>
        </r>
        <r>
          <rPr>
            <sz val="9"/>
            <color indexed="81"/>
            <rFont val="Tahoma"/>
            <family val="2"/>
          </rPr>
          <t xml:space="preserve">
Id=4639
$2,05</t>
        </r>
      </text>
    </comment>
    <comment ref="K101" authorId="0" shapeId="0" xr:uid="{0C7F1C8E-027D-403C-8DC4-83078B5CFE67}">
      <text>
        <r>
          <rPr>
            <b/>
            <sz val="9"/>
            <color indexed="81"/>
            <rFont val="Tahoma"/>
            <family val="2"/>
          </rPr>
          <t>Mary Martinez:</t>
        </r>
        <r>
          <rPr>
            <sz val="9"/>
            <color indexed="81"/>
            <rFont val="Tahoma"/>
            <family val="2"/>
          </rPr>
          <t xml:space="preserve">
Yardas 
(~13716 Mts)</t>
        </r>
      </text>
    </comment>
    <comment ref="T106" authorId="0" shapeId="0" xr:uid="{439A86EE-2D0B-4450-8FBF-448ECBC02773}">
      <text>
        <r>
          <rPr>
            <b/>
            <sz val="9"/>
            <color indexed="81"/>
            <rFont val="Tahoma"/>
            <family val="2"/>
          </rPr>
          <t>Mary Martinez:</t>
        </r>
        <r>
          <rPr>
            <sz val="9"/>
            <color indexed="81"/>
            <rFont val="Tahoma"/>
            <family val="2"/>
          </rPr>
          <t xml:space="preserve">
SO (Sales Order)
Flujo donde fui incluida a partir de Agosto 19, 2026- </t>
        </r>
      </text>
    </comment>
    <comment ref="T107" authorId="0" shapeId="0" xr:uid="{F2BCB3DB-9C23-465B-9430-1398D0DA1E79}">
      <text>
        <r>
          <rPr>
            <b/>
            <sz val="9"/>
            <color indexed="81"/>
            <rFont val="Tahoma"/>
            <family val="2"/>
          </rPr>
          <t>Mary Martinez:</t>
        </r>
        <r>
          <rPr>
            <sz val="9"/>
            <color indexed="81"/>
            <rFont val="Tahoma"/>
            <family val="2"/>
          </rPr>
          <t xml:space="preserve">
SO (Sales Order)
Flujo donde fui incluida a partir de Agosto 19, 2026- </t>
        </r>
      </text>
    </comment>
    <comment ref="T108" authorId="0" shapeId="0" xr:uid="{FDD319D1-1AB6-463B-BC0E-DCE084D23617}">
      <text>
        <r>
          <rPr>
            <b/>
            <sz val="9"/>
            <color indexed="81"/>
            <rFont val="Tahoma"/>
            <family val="2"/>
          </rPr>
          <t>Mary Martinez:</t>
        </r>
        <r>
          <rPr>
            <sz val="9"/>
            <color indexed="81"/>
            <rFont val="Tahoma"/>
            <family val="2"/>
          </rPr>
          <t xml:space="preserve">
SO (Sales Order)
Flujo donde fui incluida a partir de Agosto 19, 2026- </t>
        </r>
      </text>
    </comment>
    <comment ref="T109" authorId="0" shapeId="0" xr:uid="{8BD0F8AE-0651-4319-BD34-EBDA36567D1F}">
      <text>
        <r>
          <rPr>
            <b/>
            <sz val="9"/>
            <color indexed="81"/>
            <rFont val="Tahoma"/>
            <family val="2"/>
          </rPr>
          <t>Mary Martinez:</t>
        </r>
        <r>
          <rPr>
            <sz val="9"/>
            <color indexed="81"/>
            <rFont val="Tahoma"/>
            <family val="2"/>
          </rPr>
          <t xml:space="preserve">
SO (Sales Order)
Flujo donde fui incluida a partir de Agosto 19, 2026- </t>
        </r>
      </text>
    </comment>
    <comment ref="T110" authorId="0" shapeId="0" xr:uid="{8816AD22-9959-487B-AC64-05F19EF421DD}">
      <text>
        <r>
          <rPr>
            <b/>
            <sz val="9"/>
            <color indexed="81"/>
            <rFont val="Tahoma"/>
            <family val="2"/>
          </rPr>
          <t>Mary Martinez:</t>
        </r>
        <r>
          <rPr>
            <sz val="9"/>
            <color indexed="81"/>
            <rFont val="Tahoma"/>
            <family val="2"/>
          </rPr>
          <t xml:space="preserve">
SO (Sales Order)
Flujo donde fui incluida a partir de Agosto 19, 2026- </t>
        </r>
      </text>
    </comment>
    <comment ref="T111" authorId="0" shapeId="0" xr:uid="{952C6DC0-6A3F-4B1C-BE00-63A058362499}">
      <text>
        <r>
          <rPr>
            <b/>
            <sz val="9"/>
            <color indexed="81"/>
            <rFont val="Tahoma"/>
            <family val="2"/>
          </rPr>
          <t>Mary Martinez:</t>
        </r>
        <r>
          <rPr>
            <sz val="9"/>
            <color indexed="81"/>
            <rFont val="Tahoma"/>
            <family val="2"/>
          </rPr>
          <t xml:space="preserve">
SO (Sales Order)
Flujo donde fui incluida a partir de Agosto 19, 2026- </t>
        </r>
      </text>
    </comment>
    <comment ref="T112" authorId="0" shapeId="0" xr:uid="{956CB3FF-C30A-41CF-B19E-7591BF57FC62}">
      <text>
        <r>
          <rPr>
            <b/>
            <sz val="9"/>
            <color indexed="81"/>
            <rFont val="Tahoma"/>
            <family val="2"/>
          </rPr>
          <t>Mary Martinez:</t>
        </r>
        <r>
          <rPr>
            <sz val="9"/>
            <color indexed="81"/>
            <rFont val="Tahoma"/>
            <family val="2"/>
          </rPr>
          <t xml:space="preserve">
SO (Sales Order)
Flujo donde fui incluida a partir de Agosto 19, 2026- </t>
        </r>
      </text>
    </comment>
    <comment ref="T113" authorId="0" shapeId="0" xr:uid="{3EF4B7CC-EE4D-4C6F-8BE9-449E3CC06DA2}">
      <text>
        <r>
          <rPr>
            <b/>
            <sz val="9"/>
            <color indexed="81"/>
            <rFont val="Tahoma"/>
            <family val="2"/>
          </rPr>
          <t>Mary Martinez:</t>
        </r>
        <r>
          <rPr>
            <sz val="9"/>
            <color indexed="81"/>
            <rFont val="Tahoma"/>
            <family val="2"/>
          </rPr>
          <t xml:space="preserve">
SO (Sales Order)
Flujo donde fui incluida a partir de Agosto 19, 2026- </t>
        </r>
      </text>
    </comment>
    <comment ref="T114" authorId="0" shapeId="0" xr:uid="{94D8A63C-E360-4A6E-BDEA-DE35389E6BE3}">
      <text>
        <r>
          <rPr>
            <b/>
            <sz val="9"/>
            <color indexed="81"/>
            <rFont val="Tahoma"/>
            <family val="2"/>
          </rPr>
          <t>Mary Martinez:</t>
        </r>
        <r>
          <rPr>
            <sz val="9"/>
            <color indexed="81"/>
            <rFont val="Tahoma"/>
            <family val="2"/>
          </rPr>
          <t xml:space="preserve">
SO (Sales Order)
Flujo donde fui incluida a partir de Agosto 19, 2026- </t>
        </r>
      </text>
    </comment>
    <comment ref="T115" authorId="0" shapeId="0" xr:uid="{68416973-DBD8-48D6-9385-EB0A3875A006}">
      <text>
        <r>
          <rPr>
            <b/>
            <sz val="9"/>
            <color indexed="81"/>
            <rFont val="Tahoma"/>
            <family val="2"/>
          </rPr>
          <t>Mary Martinez:</t>
        </r>
        <r>
          <rPr>
            <sz val="9"/>
            <color indexed="81"/>
            <rFont val="Tahoma"/>
            <family val="2"/>
          </rPr>
          <t xml:space="preserve">
SO (Sales Order)
Flujo donde fui incluida a partir de Agosto 19, 2026- </t>
        </r>
      </text>
    </comment>
    <comment ref="T116" authorId="0" shapeId="0" xr:uid="{F1FF5784-72C1-4853-B3D1-FF8CD1EAA922}">
      <text>
        <r>
          <rPr>
            <b/>
            <sz val="9"/>
            <color indexed="81"/>
            <rFont val="Tahoma"/>
            <family val="2"/>
          </rPr>
          <t>Mary Martinez:</t>
        </r>
        <r>
          <rPr>
            <sz val="9"/>
            <color indexed="81"/>
            <rFont val="Tahoma"/>
            <family val="2"/>
          </rPr>
          <t xml:space="preserve">
SO (Sales Order)
Flujo donde fui incluida a partir de Agosto 19, 2026- </t>
        </r>
      </text>
    </comment>
    <comment ref="J152" authorId="0" shapeId="0" xr:uid="{C227EA93-5F03-43CB-8A8E-975602CBC69B}">
      <text>
        <r>
          <rPr>
            <b/>
            <sz val="9"/>
            <color indexed="81"/>
            <rFont val="Tahoma"/>
            <family val="2"/>
          </rPr>
          <t>Mary Martinez:</t>
        </r>
        <r>
          <rPr>
            <sz val="9"/>
            <color indexed="81"/>
            <rFont val="Tahoma"/>
            <family val="2"/>
          </rPr>
          <t xml:space="preserve">
18/02 - documentado email Carlos--&gt;
El cliente Ultra nos informó que el comprador realizó el pedido sin indicar que todos los productos (5 artículos) deben ser 100% blancos. La parte de la producción que ya se hizo, por ser un error de ellos, la asumirán. Sin embargo, el resto debe actualizarse en la ficha técnica para que se produzca en color blanco.
Como es urgente, necesitamos gestionarlo de inmediato: mantendremos los mismos precios que los de dos colores; solo hace falta generar un nuevo código y emitir una nueva proforma con la actualización para producción.</t>
        </r>
      </text>
    </comment>
    <comment ref="J153" authorId="0" shapeId="0" xr:uid="{1DF6362C-132C-4149-B69A-5049FC69891C}">
      <text>
        <r>
          <rPr>
            <b/>
            <sz val="9"/>
            <color indexed="81"/>
            <rFont val="Tahoma"/>
            <family val="2"/>
          </rPr>
          <t>Mary Martinez:</t>
        </r>
        <r>
          <rPr>
            <sz val="9"/>
            <color indexed="81"/>
            <rFont val="Tahoma"/>
            <family val="2"/>
          </rPr>
          <t xml:space="preserve">
18/02 - documentado email Carlos--&gt;
El cliente Ultra nos informó que el comprador realizó el pedido sin indicar que todos los productos (5 artículos) deben ser 100% blancos. La parte de la producción que ya se hizo, por ser un error de ellos, la asumirán. Sin embargo, el resto debe actualizarse en la ficha técnica para que se produzca en color blanco.
Como es urgente, necesitamos gestionarlo de inmediato: mantendremos los mismos precios que los de dos colores; solo hace falta generar un nuevo código y emitir una nueva proforma con la actualización para producción.</t>
        </r>
      </text>
    </comment>
    <comment ref="J154" authorId="0" shapeId="0" xr:uid="{8650908B-67DD-4535-BB08-BA0C709F15CC}">
      <text>
        <r>
          <rPr>
            <b/>
            <sz val="9"/>
            <color indexed="81"/>
            <rFont val="Tahoma"/>
            <family val="2"/>
          </rPr>
          <t>Mary Martinez:</t>
        </r>
        <r>
          <rPr>
            <sz val="9"/>
            <color indexed="81"/>
            <rFont val="Tahoma"/>
            <family val="2"/>
          </rPr>
          <t xml:space="preserve">
18/02 - documentado email Carlos--&gt;
El cliente Ultra nos informó que el comprador realizó el pedido sin indicar que todos los productos (5 artículos) deben ser 100% blancos. La parte de la producción que ya se hizo, por ser un error de ellos, la asumirán. Sin embargo, el resto debe actualizarse en la ficha técnica para que se produzca en color blanco.
Como es urgente, necesitamos gestionarlo de inmediato: mantendremos los mismos precios que los de dos colores; solo hace falta generar un nuevo código y emitir una nueva proforma con la actualización para producción.</t>
        </r>
      </text>
    </comment>
    <comment ref="J155" authorId="0" shapeId="0" xr:uid="{77EF49B1-39BF-4F80-885F-86DA076DAC30}">
      <text>
        <r>
          <rPr>
            <b/>
            <sz val="9"/>
            <color indexed="81"/>
            <rFont val="Tahoma"/>
            <family val="2"/>
          </rPr>
          <t>Mary Martinez:</t>
        </r>
        <r>
          <rPr>
            <sz val="9"/>
            <color indexed="81"/>
            <rFont val="Tahoma"/>
            <family val="2"/>
          </rPr>
          <t xml:space="preserve">
18/02 - documentado email Carlos--&gt;
El cliente Ultra nos informó que el comprador realizó el pedido sin indicar que todos los productos (5 artículos) deben ser 100% blancos. La parte de la producción que ya se hizo, por ser un error de ellos, la asumirán. Sin embargo, el resto debe actualizarse en la ficha técnica para que se produzca en color blanco.
Como es urgente, necesitamos gestionarlo de inmediato: mantendremos los mismos precios que los de dos colores; solo hace falta generar un nuevo código y emitir una nueva proforma con la actualización para producción.</t>
        </r>
      </text>
    </comment>
    <comment ref="J156" authorId="0" shapeId="0" xr:uid="{738AE997-674A-42A8-9C2A-1F0360537BE4}">
      <text>
        <r>
          <rPr>
            <b/>
            <sz val="9"/>
            <color indexed="81"/>
            <rFont val="Tahoma"/>
            <family val="2"/>
          </rPr>
          <t>Mary Martinez:</t>
        </r>
        <r>
          <rPr>
            <sz val="9"/>
            <color indexed="81"/>
            <rFont val="Tahoma"/>
            <family val="2"/>
          </rPr>
          <t xml:space="preserve">
18/02 - documentado email Carlos--&gt;
El cliente Ultra nos informó que el comprador realizó el pedido sin indicar que todos los productos (5 artículos) deben ser 100% blancos. La parte de la producción que ya se hizo, por ser un error de ellos, la asumirán. Sin embargo, el resto debe actualizarse en la ficha técnica para que se produzca en color blanco.
Como es urgente, necesitamos gestionarlo de inmediato: mantendremos los mismos precios que los de dos colores; solo hace falta generar un nuevo código y emitir una nueva proforma con la actualización para producción.</t>
        </r>
      </text>
    </comment>
    <comment ref="M158" authorId="0" shapeId="0" xr:uid="{7A281E08-B048-435D-BD10-BD7BB458FC89}">
      <text>
        <r>
          <rPr>
            <b/>
            <sz val="9"/>
            <color indexed="81"/>
            <rFont val="Tahoma"/>
            <family val="2"/>
          </rPr>
          <t>Mary Martinez:</t>
        </r>
        <r>
          <rPr>
            <sz val="9"/>
            <color indexed="81"/>
            <rFont val="Tahoma"/>
            <family val="2"/>
          </rPr>
          <t xml:space="preserve">
precio vino documentado em $2,20 en la OC del cliente -- PRECIO PARA YARDAS  / METROS $2,41
Código debe ser reactivado
DATOS DEL CLIENTE PENDIENTES (20/02)</t>
        </r>
      </text>
    </comment>
    <comment ref="A164" authorId="0" shapeId="0" xr:uid="{6A1D9F7F-129E-41D8-9C18-49740FD03CED}">
      <text>
        <r>
          <rPr>
            <b/>
            <sz val="9"/>
            <color indexed="81"/>
            <rFont val="Tahoma"/>
            <family val="2"/>
          </rPr>
          <t>Mary Martinez:</t>
        </r>
        <r>
          <rPr>
            <sz val="9"/>
            <color indexed="81"/>
            <rFont val="Tahoma"/>
            <family val="2"/>
          </rPr>
          <t xml:space="preserve">
pedido OC 2004274
</t>
        </r>
      </text>
    </comment>
    <comment ref="A165" authorId="0" shapeId="0" xr:uid="{D869DA32-456C-48DB-983C-B7719ABA6FB5}">
      <text>
        <r>
          <rPr>
            <b/>
            <sz val="9"/>
            <color indexed="81"/>
            <rFont val="Tahoma"/>
            <family val="2"/>
          </rPr>
          <t>Mary Martinez:</t>
        </r>
        <r>
          <rPr>
            <sz val="9"/>
            <color indexed="81"/>
            <rFont val="Tahoma"/>
            <family val="2"/>
          </rPr>
          <t xml:space="preserve">
pedido OC 2004274
</t>
        </r>
      </text>
    </comment>
    <comment ref="A166" authorId="0" shapeId="0" xr:uid="{CF1E9D6C-6165-4D46-A9CA-95888BF26EA3}">
      <text>
        <r>
          <rPr>
            <b/>
            <sz val="9"/>
            <color indexed="81"/>
            <rFont val="Tahoma"/>
            <family val="2"/>
          </rPr>
          <t>Mary Martinez:</t>
        </r>
        <r>
          <rPr>
            <sz val="9"/>
            <color indexed="81"/>
            <rFont val="Tahoma"/>
            <family val="2"/>
          </rPr>
          <t xml:space="preserve">
pedido OC 2004274
</t>
        </r>
      </text>
    </comment>
    <comment ref="A167" authorId="0" shapeId="0" xr:uid="{8205C958-9041-496E-91E3-C67D516292D1}">
      <text>
        <r>
          <rPr>
            <b/>
            <sz val="9"/>
            <color indexed="81"/>
            <rFont val="Tahoma"/>
            <family val="2"/>
          </rPr>
          <t>Mary Martinez:</t>
        </r>
        <r>
          <rPr>
            <sz val="9"/>
            <color indexed="81"/>
            <rFont val="Tahoma"/>
            <family val="2"/>
          </rPr>
          <t xml:space="preserve">
pedido OC 2004274
</t>
        </r>
      </text>
    </comment>
    <comment ref="A168" authorId="0" shapeId="0" xr:uid="{0D17C477-514B-4046-925A-DA3CB77533D5}">
      <text>
        <r>
          <rPr>
            <b/>
            <sz val="9"/>
            <color indexed="81"/>
            <rFont val="Tahoma"/>
            <family val="2"/>
          </rPr>
          <t>Mary Martinez:</t>
        </r>
        <r>
          <rPr>
            <sz val="9"/>
            <color indexed="81"/>
            <rFont val="Tahoma"/>
            <family val="2"/>
          </rPr>
          <t xml:space="preserve">
pedido OC 2004274
</t>
        </r>
      </text>
    </comment>
    <comment ref="A169" authorId="0" shapeId="0" xr:uid="{BC40E271-EC7F-4E61-95D5-30A27545A3B2}">
      <text>
        <r>
          <rPr>
            <b/>
            <sz val="9"/>
            <color indexed="81"/>
            <rFont val="Tahoma"/>
            <family val="2"/>
          </rPr>
          <t>Mary Martinez:</t>
        </r>
        <r>
          <rPr>
            <sz val="9"/>
            <color indexed="81"/>
            <rFont val="Tahoma"/>
            <family val="2"/>
          </rPr>
          <t xml:space="preserve">
pedido OC 2004274
</t>
        </r>
      </text>
    </comment>
    <comment ref="A170" authorId="0" shapeId="0" xr:uid="{6B3B23DD-A598-4669-9FAB-EA76A698FA39}">
      <text>
        <r>
          <rPr>
            <b/>
            <sz val="9"/>
            <color indexed="81"/>
            <rFont val="Tahoma"/>
            <family val="2"/>
          </rPr>
          <t>Mary Martinez:</t>
        </r>
        <r>
          <rPr>
            <sz val="9"/>
            <color indexed="81"/>
            <rFont val="Tahoma"/>
            <family val="2"/>
          </rPr>
          <t xml:space="preserve">
pedido OC 2004274
</t>
        </r>
      </text>
    </comment>
    <comment ref="A171" authorId="0" shapeId="0" xr:uid="{0A5B11EF-CD80-4A3E-B177-6448C1B2C543}">
      <text>
        <r>
          <rPr>
            <b/>
            <sz val="9"/>
            <color indexed="81"/>
            <rFont val="Tahoma"/>
            <family val="2"/>
          </rPr>
          <t>Mary Martinez:</t>
        </r>
        <r>
          <rPr>
            <sz val="9"/>
            <color indexed="81"/>
            <rFont val="Tahoma"/>
            <family val="2"/>
          </rPr>
          <t xml:space="preserve">
pedido OC 2004274
</t>
        </r>
      </text>
    </comment>
    <comment ref="A172" authorId="0" shapeId="0" xr:uid="{D280C235-0398-4DD1-AA23-010DA93F8372}">
      <text>
        <r>
          <rPr>
            <b/>
            <sz val="9"/>
            <color indexed="81"/>
            <rFont val="Tahoma"/>
            <family val="2"/>
          </rPr>
          <t>Mary Martinez:</t>
        </r>
        <r>
          <rPr>
            <sz val="9"/>
            <color indexed="81"/>
            <rFont val="Tahoma"/>
            <family val="2"/>
          </rPr>
          <t xml:space="preserve">
pedido OC 2004274
</t>
        </r>
      </text>
    </comment>
    <comment ref="A173" authorId="0" shapeId="0" xr:uid="{74290A02-1590-4DDA-AA8E-C634763923AE}">
      <text>
        <r>
          <rPr>
            <b/>
            <sz val="9"/>
            <color indexed="81"/>
            <rFont val="Tahoma"/>
            <family val="2"/>
          </rPr>
          <t>Mary Martinez:</t>
        </r>
        <r>
          <rPr>
            <sz val="9"/>
            <color indexed="81"/>
            <rFont val="Tahoma"/>
            <family val="2"/>
          </rPr>
          <t xml:space="preserve">
pedido OC 2004274
</t>
        </r>
      </text>
    </comment>
    <comment ref="A174" authorId="0" shapeId="0" xr:uid="{9E799629-A3B6-42A9-8122-A36503462027}">
      <text>
        <r>
          <rPr>
            <b/>
            <sz val="9"/>
            <color indexed="81"/>
            <rFont val="Tahoma"/>
            <family val="2"/>
          </rPr>
          <t>Mary Martinez:</t>
        </r>
        <r>
          <rPr>
            <sz val="9"/>
            <color indexed="81"/>
            <rFont val="Tahoma"/>
            <family val="2"/>
          </rPr>
          <t xml:space="preserve">
pedido OC 2004274
</t>
        </r>
      </text>
    </comment>
    <comment ref="A175" authorId="0" shapeId="0" xr:uid="{31F2CD3F-9D16-473C-A756-0B2A440FF394}">
      <text>
        <r>
          <rPr>
            <b/>
            <sz val="9"/>
            <color indexed="81"/>
            <rFont val="Tahoma"/>
            <family val="2"/>
          </rPr>
          <t>Mary Martinez:</t>
        </r>
        <r>
          <rPr>
            <sz val="9"/>
            <color indexed="81"/>
            <rFont val="Tahoma"/>
            <family val="2"/>
          </rPr>
          <t xml:space="preserve">
pedido OC 2004274
</t>
        </r>
      </text>
    </comment>
    <comment ref="J175" authorId="0" shapeId="0" xr:uid="{0971A6C3-73B3-490B-903A-6F4D2680D8E9}">
      <text>
        <r>
          <rPr>
            <b/>
            <sz val="9"/>
            <color indexed="81"/>
            <rFont val="Tahoma"/>
            <family val="2"/>
          </rPr>
          <t>Mary Martinez:</t>
        </r>
        <r>
          <rPr>
            <sz val="9"/>
            <color indexed="81"/>
            <rFont val="Tahoma"/>
            <family val="2"/>
          </rPr>
          <t xml:space="preserve">
Tela NO tiene tratamiento Citrus, de acuerdo a lo informado por Desarrollo</t>
        </r>
      </text>
    </comment>
    <comment ref="A176" authorId="0" shapeId="0" xr:uid="{C91FE922-AA5C-4B40-B52F-BAF90FD854B9}">
      <text>
        <r>
          <rPr>
            <b/>
            <sz val="9"/>
            <color indexed="81"/>
            <rFont val="Tahoma"/>
            <family val="2"/>
          </rPr>
          <t>Mary Martinez:</t>
        </r>
        <r>
          <rPr>
            <sz val="9"/>
            <color indexed="81"/>
            <rFont val="Tahoma"/>
            <family val="2"/>
          </rPr>
          <t xml:space="preserve">
pedido OC 2004274
</t>
        </r>
      </text>
    </comment>
    <comment ref="A177" authorId="0" shapeId="0" xr:uid="{88D68879-5711-483A-A505-1C133E366E3B}">
      <text>
        <r>
          <rPr>
            <b/>
            <sz val="9"/>
            <color indexed="81"/>
            <rFont val="Tahoma"/>
            <family val="2"/>
          </rPr>
          <t>Mary Martinez:</t>
        </r>
        <r>
          <rPr>
            <sz val="9"/>
            <color indexed="81"/>
            <rFont val="Tahoma"/>
            <family val="2"/>
          </rPr>
          <t xml:space="preserve">
pedido OC 2004274
</t>
        </r>
      </text>
    </comment>
    <comment ref="G180" authorId="0" shapeId="0" xr:uid="{DFE62C91-700D-49A4-9113-8053CE153F7C}">
      <text>
        <r>
          <rPr>
            <b/>
            <sz val="9"/>
            <color indexed="81"/>
            <rFont val="Tahoma"/>
            <family val="2"/>
          </rPr>
          <t>Mary Martinez:
Informado pelo Mauricio 19/02-</t>
        </r>
        <r>
          <rPr>
            <sz val="9"/>
            <color indexed="81"/>
            <rFont val="Tahoma"/>
            <family val="2"/>
          </rPr>
          <t xml:space="preserve">
 os códigos de produção de exportação sempre serão os mesmos das amostras. isso diminui risco de erro, e comparações. na guatemala será assim.</t>
        </r>
      </text>
    </comment>
    <comment ref="F193" authorId="0" shapeId="0" xr:uid="{91D824D7-E7E5-4591-BE74-6CC27A2E04C2}">
      <text>
        <r>
          <rPr>
            <b/>
            <sz val="9"/>
            <color indexed="81"/>
            <rFont val="Tahoma"/>
            <family val="2"/>
          </rPr>
          <t>Mary Martinez:</t>
        </r>
        <r>
          <rPr>
            <sz val="9"/>
            <color indexed="81"/>
            <rFont val="Tahoma"/>
            <family val="2"/>
          </rPr>
          <t xml:space="preserve">
CAMBIO CÓDIGO PARA 
a A10476 PARA USAR HILO GRIS OSCURO
(10/04)</t>
        </r>
      </text>
    </comment>
    <comment ref="F194" authorId="0" shapeId="0" xr:uid="{D373227F-AD04-47B7-826E-07F55CC3ED17}">
      <text>
        <r>
          <rPr>
            <b/>
            <sz val="9"/>
            <color indexed="81"/>
            <rFont val="Tahoma"/>
            <family val="2"/>
          </rPr>
          <t>Mary Martinez:</t>
        </r>
        <r>
          <rPr>
            <sz val="9"/>
            <color indexed="81"/>
            <rFont val="Tahoma"/>
            <family val="2"/>
          </rPr>
          <t xml:space="preserve">
MPTL0531- FADESSA (4725)
MPTL0012- FACENCO</t>
        </r>
      </text>
    </comment>
    <comment ref="I194" authorId="0" shapeId="0" xr:uid="{904CE2FC-C9F1-4EFA-B96C-9119611294F5}">
      <text>
        <r>
          <rPr>
            <b/>
            <sz val="9"/>
            <color indexed="81"/>
            <rFont val="Tahoma"/>
            <family val="2"/>
          </rPr>
          <t>Mary Martinez:
FACENCO GT--&gt;</t>
        </r>
        <r>
          <rPr>
            <sz val="9"/>
            <color indexed="81"/>
            <rFont val="Tahoma"/>
            <family val="2"/>
          </rPr>
          <t xml:space="preserve">
A10375 MPTL0012
A10308 MPTL0010
</t>
        </r>
      </text>
    </comment>
    <comment ref="M194" authorId="0" shapeId="0" xr:uid="{F21EF953-DA8A-4741-A1DB-A912F6EE06D8}">
      <text>
        <r>
          <rPr>
            <b/>
            <sz val="9"/>
            <color indexed="81"/>
            <rFont val="Tahoma"/>
            <family val="2"/>
          </rPr>
          <t>Mary Martinez:</t>
        </r>
        <r>
          <rPr>
            <sz val="9"/>
            <color indexed="81"/>
            <rFont val="Tahoma"/>
            <family val="2"/>
          </rPr>
          <t xml:space="preserve">
precios em sistema revisados com el ajuste de códigos</t>
        </r>
      </text>
    </comment>
    <comment ref="F195" authorId="0" shapeId="0" xr:uid="{29467873-EF51-49D8-8384-B704A88948D0}">
      <text>
        <r>
          <rPr>
            <b/>
            <sz val="9"/>
            <color indexed="81"/>
            <rFont val="Tahoma"/>
            <family val="2"/>
          </rPr>
          <t>Mary Martinez:</t>
        </r>
        <r>
          <rPr>
            <sz val="9"/>
            <color indexed="81"/>
            <rFont val="Tahoma"/>
            <family val="2"/>
          </rPr>
          <t xml:space="preserve">
 (MPTL0010 ) FACENCO
(MPTL0526) FADESSA
</t>
        </r>
      </text>
    </comment>
    <comment ref="J197" authorId="0" shapeId="0" xr:uid="{D2A5D287-1072-4EF4-8808-CA61BF857BA9}">
      <text>
        <r>
          <rPr>
            <b/>
            <sz val="9"/>
            <color indexed="81"/>
            <rFont val="Tahoma"/>
            <family val="2"/>
          </rPr>
          <t>Mary Martinez:</t>
        </r>
        <r>
          <rPr>
            <sz val="9"/>
            <color indexed="81"/>
            <rFont val="Tahoma"/>
            <family val="2"/>
          </rPr>
          <t xml:space="preserve">
18/02 - documentado email Carlos--&gt;
El cliente Ultra nos informó que el comprador realizó el pedido sin indicar que todos los productos (5 artículos) deben ser 100% blancos. La parte de la producción que ya se hizo, por ser un error de ellos, la asumirán. Sin embargo, el resto debe actualizarse en la ficha técnica para que se produzca en color blanco.
Como es urgente, necesitamos gestionarlo de inmediato: mantendremos los mismos precios que los de dos colores; solo hace falta generar un nuevo código y emitir una nueva proforma con la actualización para producción.</t>
        </r>
      </text>
    </comment>
    <comment ref="J199" authorId="0" shapeId="0" xr:uid="{EA1BF899-1C1F-4D00-8A95-EB7FCE1E14FB}">
      <text>
        <r>
          <rPr>
            <b/>
            <sz val="9"/>
            <color indexed="81"/>
            <rFont val="Tahoma"/>
            <family val="2"/>
          </rPr>
          <t>Mary Martinez:</t>
        </r>
        <r>
          <rPr>
            <sz val="9"/>
            <color indexed="81"/>
            <rFont val="Tahoma"/>
            <family val="2"/>
          </rPr>
          <t xml:space="preserve">
SALDO PRODUCCIÓN ZONKD EM BODEGA</t>
        </r>
      </text>
    </comment>
    <comment ref="M199" authorId="0" shapeId="0" xr:uid="{9BCCFD93-1D92-4487-ABE2-6D293FEF11BF}">
      <text>
        <r>
          <rPr>
            <b/>
            <sz val="9"/>
            <color indexed="81"/>
            <rFont val="Tahoma"/>
            <family val="2"/>
          </rPr>
          <t>Mary Martinez:</t>
        </r>
        <r>
          <rPr>
            <sz val="9"/>
            <color indexed="81"/>
            <rFont val="Tahoma"/>
            <family val="2"/>
          </rPr>
          <t xml:space="preserve">
saldo em bodega de Zonkd negociado com Ultra em $1,95</t>
        </r>
      </text>
    </comment>
    <comment ref="J204" authorId="0" shapeId="0" xr:uid="{F3F0F51B-C70D-4D0D-9576-9116D5226AB4}">
      <text>
        <r>
          <rPr>
            <b/>
            <sz val="9"/>
            <color indexed="81"/>
            <rFont val="Tahoma"/>
            <family val="2"/>
          </rPr>
          <t>Mary Martinez:</t>
        </r>
        <r>
          <rPr>
            <sz val="9"/>
            <color indexed="81"/>
            <rFont val="Tahoma"/>
            <family val="2"/>
          </rPr>
          <t xml:space="preserve">
código 10174 es com GRIS OSCURO (no negro) - Ojo códigos de diseño diferente 
Confirmado por Igor 15/04/26</t>
        </r>
      </text>
    </comment>
    <comment ref="F216" authorId="0" shapeId="0" xr:uid="{743E9A80-D565-4FD0-B104-3A7225AC016E}">
      <text>
        <r>
          <rPr>
            <b/>
            <sz val="9"/>
            <color indexed="81"/>
            <rFont val="Tahoma"/>
            <family val="2"/>
          </rPr>
          <t>Mary Martinez:</t>
        </r>
        <r>
          <rPr>
            <sz val="9"/>
            <color indexed="81"/>
            <rFont val="Tahoma"/>
            <family val="2"/>
          </rPr>
          <t xml:space="preserve">
Versión para HND
A10294
$2,18 (Abr 23-2026)</t>
        </r>
      </text>
    </comment>
    <comment ref="R216" authorId="0" shapeId="0" xr:uid="{85E7740D-6DF9-413A-B1C1-714297CBC083}">
      <text>
        <r>
          <rPr>
            <b/>
            <sz val="9"/>
            <color indexed="81"/>
            <rFont val="Tahoma"/>
            <family val="2"/>
          </rPr>
          <t>Mary Martinez:</t>
        </r>
        <r>
          <rPr>
            <sz val="9"/>
            <color indexed="81"/>
            <rFont val="Tahoma"/>
            <family val="2"/>
          </rPr>
          <t xml:space="preserve">
DATOS VALIDADOS X MAURICIO 23/04/26</t>
        </r>
      </text>
    </comment>
    <comment ref="F217" authorId="0" shapeId="0" xr:uid="{C76EA4D0-3444-4F1A-9950-772F435A9DED}">
      <text>
        <r>
          <rPr>
            <b/>
            <sz val="9"/>
            <color indexed="81"/>
            <rFont val="Tahoma"/>
            <family val="2"/>
          </rPr>
          <t>Mary Martinez:</t>
        </r>
        <r>
          <rPr>
            <sz val="9"/>
            <color indexed="81"/>
            <rFont val="Tahoma"/>
            <family val="2"/>
          </rPr>
          <t xml:space="preserve">
Versión HND
0567001
$1,71 Abr 232026</t>
        </r>
      </text>
    </comment>
    <comment ref="R217" authorId="0" shapeId="0" xr:uid="{72489C08-9FD9-4431-AD70-2B5DDAA2C449}">
      <text>
        <r>
          <rPr>
            <b/>
            <sz val="9"/>
            <color indexed="81"/>
            <rFont val="Tahoma"/>
            <family val="2"/>
          </rPr>
          <t>Mary Martinez:</t>
        </r>
        <r>
          <rPr>
            <sz val="9"/>
            <color indexed="81"/>
            <rFont val="Tahoma"/>
            <family val="2"/>
          </rPr>
          <t xml:space="preserve">
DATOS VALIDADOS X MAURICIO 23/04/26</t>
        </r>
      </text>
    </comment>
    <comment ref="F218" authorId="0" shapeId="0" xr:uid="{4D0F43E2-CD95-492E-99A2-8BD92D938DA4}">
      <text>
        <r>
          <rPr>
            <b/>
            <sz val="9"/>
            <color indexed="81"/>
            <rFont val="Tahoma"/>
            <family val="2"/>
          </rPr>
          <t>Mary Martinez:</t>
        </r>
        <r>
          <rPr>
            <sz val="9"/>
            <color indexed="81"/>
            <rFont val="Tahoma"/>
            <family val="2"/>
          </rPr>
          <t xml:space="preserve">
Versión HND
A10445 MPTL0532</t>
        </r>
      </text>
    </comment>
    <comment ref="R218" authorId="0" shapeId="0" xr:uid="{07EDC5D6-EBD1-4983-AABB-B52585AF05F7}">
      <text>
        <r>
          <rPr>
            <b/>
            <sz val="9"/>
            <color indexed="81"/>
            <rFont val="Tahoma"/>
            <family val="2"/>
          </rPr>
          <t>Mary Martinez:</t>
        </r>
        <r>
          <rPr>
            <sz val="9"/>
            <color indexed="81"/>
            <rFont val="Tahoma"/>
            <family val="2"/>
          </rPr>
          <t xml:space="preserve">
DATOS VALIDADOS X MAURICIO 23/04/26</t>
        </r>
      </text>
    </comment>
    <comment ref="F219" authorId="0" shapeId="0" xr:uid="{8EC96C27-E016-4E6D-A1DF-5033D78A9445}">
      <text>
        <r>
          <rPr>
            <b/>
            <sz val="9"/>
            <color indexed="81"/>
            <rFont val="Tahoma"/>
            <family val="2"/>
          </rPr>
          <t>Mary Martinez:</t>
        </r>
        <r>
          <rPr>
            <sz val="9"/>
            <color indexed="81"/>
            <rFont val="Tahoma"/>
            <family val="2"/>
          </rPr>
          <t xml:space="preserve">
Versión HND
A10474 MPTL??
</t>
        </r>
      </text>
    </comment>
    <comment ref="R219" authorId="0" shapeId="0" xr:uid="{59DCE385-6FD2-429E-B00C-C93C6764EE23}">
      <text>
        <r>
          <rPr>
            <b/>
            <sz val="9"/>
            <color indexed="81"/>
            <rFont val="Tahoma"/>
            <family val="2"/>
          </rPr>
          <t>Mary Martinez:</t>
        </r>
        <r>
          <rPr>
            <sz val="9"/>
            <color indexed="81"/>
            <rFont val="Tahoma"/>
            <family val="2"/>
          </rPr>
          <t xml:space="preserve">
DATOS VALIDADOS X MAURICIO 23/04/26</t>
        </r>
      </text>
    </comment>
    <comment ref="M239" authorId="0" shapeId="0" xr:uid="{D3277766-ED32-4320-BAAE-3B37024E1C5B}">
      <text>
        <r>
          <rPr>
            <b/>
            <sz val="9"/>
            <color indexed="81"/>
            <rFont val="Tahoma"/>
            <family val="2"/>
          </rPr>
          <t>Mary Martinez:</t>
        </r>
        <r>
          <rPr>
            <sz val="9"/>
            <color indexed="81"/>
            <rFont val="Tahoma"/>
            <family val="2"/>
          </rPr>
          <t xml:space="preserve">
revisado 22/06/26</t>
        </r>
      </text>
    </comment>
    <comment ref="F247" authorId="0" shapeId="0" xr:uid="{C1F6ECC9-D96E-433E-B54E-912BB6B790DF}">
      <text>
        <r>
          <rPr>
            <b/>
            <sz val="9"/>
            <color indexed="81"/>
            <rFont val="Segoe UI"/>
            <family val="2"/>
          </rPr>
          <t>Mary Martinez:</t>
        </r>
        <r>
          <rPr>
            <sz val="9"/>
            <color indexed="81"/>
            <rFont val="Segoe UI"/>
            <family val="2"/>
          </rPr>
          <t xml:space="preserve">
cambio a color azul claro
</t>
        </r>
      </text>
    </comment>
    <comment ref="F258" authorId="0" shapeId="0" xr:uid="{8F6D77ED-8B64-44F7-B3F2-804A49447A78}">
      <text>
        <r>
          <rPr>
            <b/>
            <sz val="9"/>
            <color indexed="81"/>
            <rFont val="Segoe UI"/>
            <family val="2"/>
          </rPr>
          <t>Mary Martinez:</t>
        </r>
        <r>
          <rPr>
            <sz val="9"/>
            <color indexed="81"/>
            <rFont val="Segoe UI"/>
            <family val="2"/>
          </rPr>
          <t xml:space="preserve">
Fadessa -10445 y Facenco A10321</t>
        </r>
      </text>
    </comment>
    <comment ref="F261" authorId="0" shapeId="0" xr:uid="{2C419189-D032-4475-94A7-71C92AC3ADBA}">
      <text>
        <r>
          <rPr>
            <b/>
            <sz val="9"/>
            <color indexed="81"/>
            <rFont val="Segoe UI"/>
            <family val="2"/>
          </rPr>
          <t>Mary Martinez:</t>
        </r>
        <r>
          <rPr>
            <sz val="9"/>
            <color indexed="81"/>
            <rFont val="Segoe UI"/>
            <family val="2"/>
          </rPr>
          <t xml:space="preserve">
A10324 era blanco el cliente cambió para marrón (nuevo código A10386)
</t>
        </r>
      </text>
    </comment>
    <comment ref="F268" authorId="0" shapeId="0" xr:uid="{3B5506D6-FDFF-4260-BED3-157FB4F5E474}">
      <text>
        <r>
          <rPr>
            <b/>
            <sz val="9"/>
            <color indexed="81"/>
            <rFont val="Tahoma"/>
            <family val="2"/>
          </rPr>
          <t>Mary Martinez:</t>
        </r>
        <r>
          <rPr>
            <sz val="9"/>
            <color indexed="81"/>
            <rFont val="Tahoma"/>
            <family val="2"/>
          </rPr>
          <t xml:space="preserve">
pdto producido por error - divergencia vs pedido del cliente 
Nuevo pedido codigo correcto lanzado el 03/07/2026</t>
        </r>
      </text>
    </comment>
    <comment ref="G278" authorId="0" shapeId="0" xr:uid="{EAE64546-F4D5-4827-BA68-2A2C5C9E5599}">
      <text>
        <r>
          <rPr>
            <b/>
            <sz val="9"/>
            <color indexed="81"/>
            <rFont val="Tahoma"/>
            <family val="2"/>
          </rPr>
          <t>Mary Martinez:</t>
        </r>
        <r>
          <rPr>
            <sz val="9"/>
            <color indexed="81"/>
            <rFont val="Tahoma"/>
            <family val="2"/>
          </rPr>
          <t xml:space="preserve">
cambio hilo
75/36
ajuste de totvs
antes 4849/4852/4871
ahora 5217/5215/5216</t>
        </r>
      </text>
    </comment>
    <comment ref="G281" authorId="0" shapeId="0" xr:uid="{D089E48F-652B-4D17-AE3E-DE931F8055F1}">
      <text>
        <r>
          <rPr>
            <b/>
            <sz val="9"/>
            <color indexed="81"/>
            <rFont val="Tahoma"/>
            <family val="2"/>
          </rPr>
          <t>Mary Martinez:</t>
        </r>
        <r>
          <rPr>
            <sz val="9"/>
            <color indexed="81"/>
            <rFont val="Tahoma"/>
            <family val="2"/>
          </rPr>
          <t xml:space="preserve">
antes  4193 - cambio debido uso hilo 75/36.  notificado por Igor 19/08 pm - ajuste 20/08
cod 5277 - azul marino**</t>
        </r>
      </text>
    </comment>
    <comment ref="K281" authorId="0" shapeId="0" xr:uid="{9EB67233-DC26-40E3-8B61-C1B78AA8259F}">
      <text>
        <r>
          <rPr>
            <b/>
            <sz val="9"/>
            <color indexed="81"/>
            <rFont val="Tahoma"/>
            <family val="2"/>
          </rPr>
          <t>Mary Martinez:</t>
        </r>
        <r>
          <rPr>
            <sz val="9"/>
            <color indexed="81"/>
            <rFont val="Tahoma"/>
            <family val="2"/>
          </rPr>
          <t xml:space="preserve">
METROS- ajuste de 5000 a 5260 solicitado por Igor el 19/08 via WA</t>
        </r>
      </text>
    </comment>
    <comment ref="G283" authorId="0" shapeId="0" xr:uid="{F202B158-DFC5-4272-8663-2097C4267C85}">
      <text>
        <r>
          <rPr>
            <b/>
            <sz val="9"/>
            <color indexed="81"/>
            <rFont val="Tahoma"/>
            <family val="2"/>
          </rPr>
          <t>Mary Martinez:</t>
        </r>
        <r>
          <rPr>
            <sz val="9"/>
            <color indexed="81"/>
            <rFont val="Tahoma"/>
            <family val="2"/>
          </rPr>
          <t xml:space="preserve">
Antes 4192
Ajuste solicitado por Igor:
149/ colocar código totvs  5278 com azul marinho 3841 metros.
149/ colocar código totvs 5278 com azul merano 1589 metros.</t>
        </r>
      </text>
    </comment>
    <comment ref="K283" authorId="0" shapeId="0" xr:uid="{88192A43-80FB-4320-A041-2DE6EBED5872}">
      <text>
        <r>
          <rPr>
            <b/>
            <sz val="9"/>
            <color indexed="81"/>
            <rFont val="Tahoma"/>
            <family val="2"/>
          </rPr>
          <t>Mary Martinez:</t>
        </r>
        <r>
          <rPr>
            <sz val="9"/>
            <color indexed="81"/>
            <rFont val="Tahoma"/>
            <family val="2"/>
          </rPr>
          <t xml:space="preserve">
YARDAS-&gt; AJUSTADAS EM METROS EM SISTEMA COM CAMBIO DE CODIGOS  (19082026)
Igor necesita producir:
149/ colocar código totvs  5278 com azul marinho 3841 metros.
149/ colocar código totvs 5348 com azul merano 1589 metros.</t>
        </r>
      </text>
    </comment>
    <comment ref="G284" authorId="0" shapeId="0" xr:uid="{48783009-001F-49CC-AA56-81CD1385F47C}">
      <text>
        <r>
          <rPr>
            <b/>
            <sz val="9"/>
            <color indexed="81"/>
            <rFont val="Tahoma"/>
            <family val="2"/>
          </rPr>
          <t>Mary Martinez:</t>
        </r>
        <r>
          <rPr>
            <sz val="9"/>
            <color indexed="81"/>
            <rFont val="Tahoma"/>
            <family val="2"/>
          </rPr>
          <t xml:space="preserve">
Antes 4192**&gt; 
Ajuste solicitado por Igor:
149/ colocar código totvs  5348 com azul merano 1.589 metros.
Totalizando 5.430 vs 5.000 originalmente solicitado por efectos de producción</t>
        </r>
      </text>
    </comment>
    <comment ref="M288" authorId="0" shapeId="0" xr:uid="{21E3AE94-55E1-408A-B50B-60EA361B3AF7}">
      <text>
        <r>
          <rPr>
            <b/>
            <sz val="9"/>
            <color indexed="81"/>
            <rFont val="Tahoma"/>
            <family val="2"/>
          </rPr>
          <t>Mary Martinez:</t>
        </r>
        <r>
          <rPr>
            <sz val="9"/>
            <color indexed="81"/>
            <rFont val="Tahoma"/>
            <family val="2"/>
          </rPr>
          <t xml:space="preserve">
vendido em Q.16,75
Aprox 2,17 USD</t>
        </r>
      </text>
    </comment>
    <comment ref="M294" authorId="0" shapeId="0" xr:uid="{4A841E2C-BDFC-49CC-81F9-D1FF5E77990B}">
      <text>
        <r>
          <rPr>
            <b/>
            <sz val="9"/>
            <color indexed="81"/>
            <rFont val="Tahoma"/>
            <family val="2"/>
          </rPr>
          <t>Mary Martinez:</t>
        </r>
        <r>
          <rPr>
            <sz val="9"/>
            <color indexed="81"/>
            <rFont val="Tahoma"/>
            <family val="2"/>
          </rPr>
          <t xml:space="preserve">
cotado 230726</t>
        </r>
      </text>
    </comment>
    <comment ref="R300" authorId="0" shapeId="0" xr:uid="{7A5BEEDC-4B9A-4C3C-A3CB-E203B68738D1}">
      <text>
        <r>
          <rPr>
            <b/>
            <sz val="9"/>
            <color indexed="81"/>
            <rFont val="Tahoma"/>
            <family val="2"/>
          </rPr>
          <t>Mary Martinez:</t>
        </r>
        <r>
          <rPr>
            <sz val="9"/>
            <color indexed="81"/>
            <rFont val="Tahoma"/>
            <family val="2"/>
          </rPr>
          <t xml:space="preserve">
não impacta, pois é uma questão de falta de fio , ou economia de fio</t>
        </r>
      </text>
    </comment>
    <comment ref="F301" authorId="0" shapeId="0" xr:uid="{62C2D446-9460-4F80-A2B7-FFAEF389D030}">
      <text>
        <r>
          <rPr>
            <b/>
            <sz val="9"/>
            <color indexed="81"/>
            <rFont val="Tahoma"/>
            <family val="2"/>
          </rPr>
          <t>Mary Martinez:</t>
        </r>
        <r>
          <rPr>
            <sz val="9"/>
            <color indexed="81"/>
            <rFont val="Tahoma"/>
            <family val="2"/>
          </rPr>
          <t xml:space="preserve">
ajuste de código por estructura común - este cliente no recibe estructura CF ni PL (14/08) informado x Igor</t>
        </r>
      </text>
    </comment>
    <comment ref="R301" authorId="0" shapeId="0" xr:uid="{5DA97F95-35D3-4E31-8017-9BB27E066A6B}">
      <text>
        <r>
          <rPr>
            <b/>
            <sz val="9"/>
            <color indexed="81"/>
            <rFont val="Tahoma"/>
            <family val="2"/>
          </rPr>
          <t>Mary Martinez:</t>
        </r>
        <r>
          <rPr>
            <sz val="9"/>
            <color indexed="81"/>
            <rFont val="Tahoma"/>
            <family val="2"/>
          </rPr>
          <t xml:space="preserve">
não impacta, pois é uma questão de falta de fio , ou economia de fio</t>
        </r>
      </text>
    </comment>
    <comment ref="R302" authorId="0" shapeId="0" xr:uid="{D2FE72EB-45F5-441C-AD86-6CD5B2530E46}">
      <text>
        <r>
          <rPr>
            <b/>
            <sz val="9"/>
            <color indexed="81"/>
            <rFont val="Tahoma"/>
            <family val="2"/>
          </rPr>
          <t>Mary Martinez:</t>
        </r>
        <r>
          <rPr>
            <sz val="9"/>
            <color indexed="81"/>
            <rFont val="Tahoma"/>
            <family val="2"/>
          </rPr>
          <t xml:space="preserve">
não impacta, pois é uma questão de falta de fio , ou economia de fio</t>
        </r>
      </text>
    </comment>
    <comment ref="R303" authorId="0" shapeId="0" xr:uid="{8DB6CEDD-6E08-46F8-A48A-6B681B5BAA1D}">
      <text>
        <r>
          <rPr>
            <b/>
            <sz val="9"/>
            <color indexed="81"/>
            <rFont val="Tahoma"/>
            <family val="2"/>
          </rPr>
          <t>Mary Martinez:</t>
        </r>
        <r>
          <rPr>
            <sz val="9"/>
            <color indexed="81"/>
            <rFont val="Tahoma"/>
            <family val="2"/>
          </rPr>
          <t xml:space="preserve">
não impacta, pois é uma questão de falta de fio , ou economia de fio</t>
        </r>
      </text>
    </comment>
    <comment ref="R304" authorId="0" shapeId="0" xr:uid="{184ED137-5259-4787-AB74-F658EC0F9D12}">
      <text>
        <r>
          <rPr>
            <b/>
            <sz val="9"/>
            <color indexed="81"/>
            <rFont val="Tahoma"/>
            <family val="2"/>
          </rPr>
          <t>Mary Martinez:</t>
        </r>
        <r>
          <rPr>
            <sz val="9"/>
            <color indexed="81"/>
            <rFont val="Tahoma"/>
            <family val="2"/>
          </rPr>
          <t xml:space="preserve">
não impacta, pois é uma questão de falta de fio , ou economia de fio</t>
        </r>
      </text>
    </comment>
    <comment ref="R305" authorId="0" shapeId="0" xr:uid="{A3034E13-7A18-4F15-AA85-2EC01C4CB185}">
      <text>
        <r>
          <rPr>
            <b/>
            <sz val="9"/>
            <color indexed="81"/>
            <rFont val="Tahoma"/>
            <family val="2"/>
          </rPr>
          <t>Mary Martinez:</t>
        </r>
        <r>
          <rPr>
            <sz val="9"/>
            <color indexed="81"/>
            <rFont val="Tahoma"/>
            <family val="2"/>
          </rPr>
          <t xml:space="preserve">
não impacta, pois é uma questão de falta de fio , ou economia de fio</t>
        </r>
      </text>
    </comment>
    <comment ref="F306" authorId="0" shapeId="0" xr:uid="{82EF17D4-0DF8-4C73-A539-2FD49D1666E7}">
      <text>
        <r>
          <rPr>
            <b/>
            <sz val="9"/>
            <color indexed="81"/>
            <rFont val="Tahoma"/>
            <family val="2"/>
          </rPr>
          <t>Mary Martinez:</t>
        </r>
        <r>
          <rPr>
            <sz val="9"/>
            <color indexed="81"/>
            <rFont val="Tahoma"/>
            <family val="2"/>
          </rPr>
          <t xml:space="preserve">
ajuste de código por estructura común - este cliente no recibe estructura CF ni PL (14/08) informado x Igor</t>
        </r>
      </text>
    </comment>
    <comment ref="G309" authorId="0" shapeId="0" xr:uid="{BE2AFD8E-2904-4B18-B464-D846DEC0AB49}">
      <text>
        <r>
          <rPr>
            <b/>
            <sz val="9"/>
            <color indexed="81"/>
            <rFont val="Tahoma"/>
            <family val="2"/>
          </rPr>
          <t>Mary Martinez:</t>
        </r>
        <r>
          <rPr>
            <sz val="9"/>
            <color indexed="81"/>
            <rFont val="Tahoma"/>
            <family val="2"/>
          </rPr>
          <t xml:space="preserve">
habrá actualización de código totvs cuando finalicen los tests com la muestra</t>
        </r>
      </text>
    </comment>
    <comment ref="G318" authorId="0" shapeId="0" xr:uid="{0F80D07D-3111-442D-8A53-5F43FD5193E3}">
      <text>
        <r>
          <rPr>
            <b/>
            <sz val="9"/>
            <color indexed="81"/>
            <rFont val="Tahoma"/>
            <family val="2"/>
          </rPr>
          <t>Mary Martinez:</t>
        </r>
        <r>
          <rPr>
            <sz val="9"/>
            <color indexed="81"/>
            <rFont val="Tahoma"/>
            <family val="2"/>
          </rPr>
          <t xml:space="preserve">
Igor informa ajuste de Totvs.
4660 alterado para 4656 
Diseño x34-43
23/09/26
----
</t>
        </r>
      </text>
    </comment>
    <comment ref="M318" authorId="0" shapeId="0" xr:uid="{E2B7A4F9-966F-4EF0-AD16-104D9D723E38}">
      <text>
        <r>
          <rPr>
            <b/>
            <sz val="9"/>
            <color indexed="81"/>
            <rFont val="Tahoma"/>
            <family val="2"/>
          </rPr>
          <t>Mary Martinez:</t>
        </r>
        <r>
          <rPr>
            <sz val="9"/>
            <color indexed="81"/>
            <rFont val="Tahoma"/>
            <family val="2"/>
          </rPr>
          <t xml:space="preserve">
Após conferencia dos preços dos fios pode seguir com o target $1,97.  (MS via teams 22/09)</t>
        </r>
      </text>
    </comment>
    <comment ref="A321" authorId="0" shapeId="0" xr:uid="{64D30DDA-5F85-4854-82F8-D697F0F054EA}">
      <text>
        <r>
          <rPr>
            <b/>
            <sz val="9"/>
            <color indexed="81"/>
            <rFont val="Tahoma"/>
            <family val="2"/>
          </rPr>
          <t>Mary Martinez:</t>
        </r>
        <r>
          <rPr>
            <sz val="9"/>
            <color indexed="81"/>
            <rFont val="Tahoma"/>
            <family val="2"/>
          </rPr>
          <t xml:space="preserve">
OC revisada por el cliente y altera producto</t>
        </r>
      </text>
    </comment>
    <comment ref="G321" authorId="0" shapeId="0" xr:uid="{7E59BBE8-991E-4A8C-A39E-E066F2F1E268}">
      <text>
        <r>
          <rPr>
            <b/>
            <sz val="9"/>
            <color indexed="81"/>
            <rFont val="Tahoma"/>
            <family val="2"/>
          </rPr>
          <t>Mary Martinez:</t>
        </r>
        <r>
          <rPr>
            <sz val="9"/>
            <color indexed="81"/>
            <rFont val="Tahoma"/>
            <family val="2"/>
          </rPr>
          <t xml:space="preserve">
ACTUALIZADO
A10474D 
TOTVS 5457
INFORMADO POR IGOR 29/09
(ANTES 5333)</t>
        </r>
      </text>
    </comment>
    <comment ref="G322" authorId="0" shapeId="0" xr:uid="{6A002A44-BCBC-4589-B0BE-692F2C5D60F4}">
      <text>
        <r>
          <rPr>
            <b/>
            <sz val="9"/>
            <color indexed="81"/>
            <rFont val="Tahoma"/>
            <family val="2"/>
          </rPr>
          <t>Mary Martinez:</t>
        </r>
        <r>
          <rPr>
            <sz val="9"/>
            <color indexed="81"/>
            <rFont val="Tahoma"/>
            <family val="2"/>
          </rPr>
          <t xml:space="preserve">
altera códigos Totvs por uso de hilo 150/144 notificado por Igor (29/09)</t>
        </r>
      </text>
    </comment>
    <comment ref="G323" authorId="0" shapeId="0" xr:uid="{5545A2D9-ACBF-47E5-9649-F9EF5F7B3A6C}">
      <text>
        <r>
          <rPr>
            <b/>
            <sz val="9"/>
            <color indexed="81"/>
            <rFont val="Tahoma"/>
            <family val="2"/>
          </rPr>
          <t>Mary Martinez:</t>
        </r>
        <r>
          <rPr>
            <sz val="9"/>
            <color indexed="81"/>
            <rFont val="Tahoma"/>
            <family val="2"/>
          </rPr>
          <t xml:space="preserve">
altera códigos Totvs por uso de hilo 150/144 notificado por Igor (29/09)</t>
        </r>
      </text>
    </comment>
    <comment ref="G324" authorId="0" shapeId="0" xr:uid="{AF733D78-5F5F-4A11-9A78-0544B69C37B3}">
      <text>
        <r>
          <rPr>
            <b/>
            <sz val="9"/>
            <color indexed="81"/>
            <rFont val="Tahoma"/>
            <family val="2"/>
          </rPr>
          <t>Mary Martinez:</t>
        </r>
        <r>
          <rPr>
            <sz val="9"/>
            <color indexed="81"/>
            <rFont val="Tahoma"/>
            <family val="2"/>
          </rPr>
          <t xml:space="preserve">
altera códigos Totvs por uso de hilo 150/144 notificado por Igor (29/09)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Mary Martinez</author>
  </authors>
  <commentList>
    <comment ref="A17" authorId="0" shapeId="0" xr:uid="{04FE0230-31FF-4465-80D7-EF12C34A0973}">
      <text>
        <r>
          <rPr>
            <b/>
            <sz val="9"/>
            <color indexed="81"/>
            <rFont val="Tahoma"/>
            <family val="2"/>
          </rPr>
          <t>Mary Martinez:</t>
        </r>
        <r>
          <rPr>
            <sz val="9"/>
            <color indexed="81"/>
            <rFont val="Tahoma"/>
            <family val="2"/>
          </rPr>
          <t xml:space="preserve">
Facenco Honduras- razón social correcta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Mary Martinez</author>
  </authors>
  <commentList>
    <comment ref="C22" authorId="0" shapeId="0" xr:uid="{DC099B88-5CE3-44FD-8681-6E8B1A3B054F}">
      <text>
        <r>
          <rPr>
            <b/>
            <sz val="9"/>
            <color indexed="81"/>
            <rFont val="Segoe UI"/>
            <family val="2"/>
          </rPr>
          <t>Mary Martinez:</t>
        </r>
        <r>
          <rPr>
            <sz val="9"/>
            <color indexed="81"/>
            <rFont val="Segoe UI"/>
            <family val="2"/>
          </rPr>
          <t xml:space="preserve">
Fadessa -10445 y Facenco A10321</t>
        </r>
      </text>
    </comment>
    <comment ref="C25" authorId="0" shapeId="0" xr:uid="{69765867-62B3-4B51-9B40-C22ED7F53AB4}">
      <text>
        <r>
          <rPr>
            <b/>
            <sz val="9"/>
            <color indexed="81"/>
            <rFont val="Segoe UI"/>
            <family val="2"/>
          </rPr>
          <t>Mary Martinez:</t>
        </r>
        <r>
          <rPr>
            <sz val="9"/>
            <color indexed="81"/>
            <rFont val="Segoe UI"/>
            <family val="2"/>
          </rPr>
          <t xml:space="preserve">
A10324 era blanco el cliente cambió para marrón (nuevo código A10386)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Mary Martinez</author>
  </authors>
  <commentList>
    <comment ref="C89" authorId="0" shapeId="0" xr:uid="{8EF0477E-10EA-45C2-976C-7719368C0C87}">
      <text>
        <r>
          <rPr>
            <b/>
            <sz val="9"/>
            <color indexed="81"/>
            <rFont val="Tahoma"/>
            <family val="2"/>
          </rPr>
          <t>Mary Martinez:</t>
        </r>
        <r>
          <rPr>
            <sz val="9"/>
            <color indexed="81"/>
            <rFont val="Tahoma"/>
            <family val="2"/>
          </rPr>
          <t xml:space="preserve">
pedido OC 2004274
</t>
        </r>
      </text>
    </comment>
  </commentList>
</comments>
</file>

<file path=xl/sharedStrings.xml><?xml version="1.0" encoding="utf-8"?>
<sst xmlns="http://schemas.openxmlformats.org/spreadsheetml/2006/main" count="4712" uniqueCount="1304">
  <si>
    <t>PRO-FORM
 INVOICE NBR.</t>
  </si>
  <si>
    <t>CLIENTE</t>
  </si>
  <si>
    <t>PAIS</t>
  </si>
  <si>
    <t>NÚM. PEDIDO
TOTVS</t>
  </si>
  <si>
    <t>KGS</t>
  </si>
  <si>
    <t>PRO-FORM /EXPORT INVOICE
NBR</t>
  </si>
  <si>
    <t>DATA 
PRO-FORMA</t>
  </si>
  <si>
    <t>TOTAL US$ 
PRO-FORM</t>
  </si>
  <si>
    <t>NA</t>
  </si>
  <si>
    <t>EXPORT - INTERNAL INVOICING SEQUENCE (PRO-FORM)</t>
  </si>
  <si>
    <t>INVOIC. SEQ INTERN</t>
  </si>
  <si>
    <t>OBSERV.</t>
  </si>
  <si>
    <t>180.25</t>
  </si>
  <si>
    <t xml:space="preserve">fx = &lt;= 2 dias </t>
  </si>
  <si>
    <t xml:space="preserve">FX = &lt;10 dias </t>
  </si>
  <si>
    <t/>
  </si>
  <si>
    <t>PEDIDOS  - FOLLOW UP - CLIENTES GUATEMALA</t>
  </si>
  <si>
    <t>Relaxtech Internacional</t>
  </si>
  <si>
    <t>022.25</t>
  </si>
  <si>
    <t>cliente de Guatemala Documentando em Totvs</t>
  </si>
  <si>
    <t>POLY FIBRAS</t>
  </si>
  <si>
    <t>Guatemala</t>
  </si>
  <si>
    <t>MP004528</t>
  </si>
  <si>
    <t>Rodolfo Gerónimo</t>
  </si>
  <si>
    <t>rgeronimo@gp.com.pt</t>
  </si>
  <si>
    <t>RELAXTECH INTERNACIONAL</t>
  </si>
  <si>
    <t>Costa Rica</t>
  </si>
  <si>
    <t>A08191</t>
  </si>
  <si>
    <t xml:space="preserve">Lisseth Ramirez </t>
  </si>
  <si>
    <t>lramirez@relaxtechcr.com</t>
  </si>
  <si>
    <t>PEDIDOS - CLIENTES GUATEMALA</t>
  </si>
  <si>
    <t>Poly Fibras</t>
  </si>
  <si>
    <t>A10196 (4189)</t>
  </si>
  <si>
    <t>INDUSTRIAS CAPRI</t>
  </si>
  <si>
    <t>149.25</t>
  </si>
  <si>
    <t>Capri</t>
  </si>
  <si>
    <t>cliente de Costa Rica- subir pedido nuevo  en Totvs</t>
  </si>
  <si>
    <t>cliente de Guatemala - Pedido nuevo- subir Totvs</t>
  </si>
  <si>
    <t>El Salvador</t>
  </si>
  <si>
    <t>compras@industriascapri.com</t>
  </si>
  <si>
    <t>Ana Delmy Rodríguez</t>
  </si>
  <si>
    <t>+5032242-11</t>
  </si>
  <si>
    <t>Total general</t>
  </si>
  <si>
    <t>(*documento criado em Junho'25)</t>
  </si>
  <si>
    <t>0413001 (4191)</t>
  </si>
  <si>
    <t>0147091 (4193)</t>
  </si>
  <si>
    <t>0282011 (4192)</t>
  </si>
  <si>
    <t>PEDIDO TOTVS</t>
  </si>
  <si>
    <t>186.25</t>
  </si>
  <si>
    <t>PO-16345</t>
  </si>
  <si>
    <t>Zonkd</t>
  </si>
  <si>
    <t>OC 4714</t>
  </si>
  <si>
    <t>Camas Florida</t>
  </si>
  <si>
    <t>OC 943</t>
  </si>
  <si>
    <t>Camas Primiun</t>
  </si>
  <si>
    <t>OC 952</t>
  </si>
  <si>
    <t>Igor (Conex GUA)</t>
  </si>
  <si>
    <t>CM  A10093 (3975)</t>
  </si>
  <si>
    <t>MP26699</t>
  </si>
  <si>
    <t>Ok pedido</t>
  </si>
  <si>
    <t xml:space="preserve">Cliente de Costa Rica - novo pedido/Fup Ajuste de precio ToTvs/Liberar diseño/test / </t>
  </si>
  <si>
    <t>A10092 (4199)</t>
  </si>
  <si>
    <t>OC952</t>
  </si>
  <si>
    <t>A149091 (4199)</t>
  </si>
  <si>
    <t>OP 
NBR</t>
  </si>
  <si>
    <t>COD. 
TOTVS</t>
  </si>
  <si>
    <t xml:space="preserve"> OK  código cadastrado 13/6</t>
  </si>
  <si>
    <t xml:space="preserve"> OK  código cadastrado e vinculado a tabela preço 13/6</t>
  </si>
  <si>
    <t>aprovado-não precisa de test de pH.  Código artigo cadastrado 13/6</t>
  </si>
  <si>
    <t>ZONKD</t>
  </si>
  <si>
    <t>A10125-A (4218)</t>
  </si>
  <si>
    <t>TOTAL 
US$</t>
  </si>
  <si>
    <t>CLIENTE/OC/PEDIDO TOTVS</t>
  </si>
  <si>
    <t>OC 4797</t>
  </si>
  <si>
    <t>-</t>
  </si>
  <si>
    <t>Rodrigo (Conex Gua)</t>
  </si>
  <si>
    <t>OC 2003876</t>
  </si>
  <si>
    <t>Facenco</t>
  </si>
  <si>
    <t>MPTL0281</t>
  </si>
  <si>
    <t>MPTL0364</t>
  </si>
  <si>
    <t>MPTL0516</t>
  </si>
  <si>
    <t>0149081 (4165)</t>
  </si>
  <si>
    <t>A10022 (3722)</t>
  </si>
  <si>
    <t>A10204 (4220)</t>
  </si>
  <si>
    <t>Camas Century (\inversiones Hogar Futura S.A.)</t>
  </si>
  <si>
    <t>Camas Century</t>
  </si>
  <si>
    <t>CC001</t>
  </si>
  <si>
    <t>SN -  '001</t>
  </si>
  <si>
    <t>A10215 (4273)</t>
  </si>
  <si>
    <t>OC 2003264</t>
  </si>
  <si>
    <t>Fadessa (Facenco Honduras)</t>
  </si>
  <si>
    <t>OC 2003995</t>
  </si>
  <si>
    <t>Honduras</t>
  </si>
  <si>
    <t>MPTL0024</t>
  </si>
  <si>
    <t>MPTL0002</t>
  </si>
  <si>
    <t>OC 001018</t>
  </si>
  <si>
    <t>0149091</t>
  </si>
  <si>
    <t>A10213 (4264)</t>
  </si>
  <si>
    <t>OC OL25-0065</t>
  </si>
  <si>
    <t>FACOMSA (Fábrica de Colchones y Muebles S.A.)</t>
  </si>
  <si>
    <t>Ok codigo y precio</t>
  </si>
  <si>
    <t>Facomsa</t>
  </si>
  <si>
    <t>FAC001</t>
  </si>
  <si>
    <t>0347011</t>
  </si>
  <si>
    <t>ok - REVISADO C/Mauricio</t>
  </si>
  <si>
    <t>Crear cadastro cliente y ver código interno/ OK</t>
  </si>
  <si>
    <r>
      <t>cliente cadastrado (1820);</t>
    </r>
    <r>
      <rPr>
        <strike/>
        <sz val="11"/>
        <color theme="1"/>
        <rFont val="Calibri"/>
        <family val="2"/>
        <scheme val="minor"/>
      </rPr>
      <t xml:space="preserve"> aguardo cadastro código </t>
    </r>
    <r>
      <rPr>
        <sz val="11"/>
        <color theme="1"/>
        <rFont val="Calibri"/>
        <family val="2"/>
        <scheme val="minor"/>
      </rPr>
      <t>e</t>
    </r>
    <r>
      <rPr>
        <strike/>
        <sz val="11"/>
        <color theme="1"/>
        <rFont val="Calibri"/>
        <family val="2"/>
        <scheme val="minor"/>
      </rPr>
      <t xml:space="preserve"> criação tabela preços</t>
    </r>
    <r>
      <rPr>
        <sz val="11"/>
        <color theme="1"/>
        <rFont val="Calibri"/>
        <family val="2"/>
        <scheme val="minor"/>
      </rPr>
      <t>/TAB PREÇO 306</t>
    </r>
  </si>
  <si>
    <r>
      <t xml:space="preserve">aguardo  cadastro código (A10213 Ok) - </t>
    </r>
    <r>
      <rPr>
        <b/>
        <strike/>
        <sz val="11"/>
        <color theme="1"/>
        <rFont val="Calibri"/>
        <family val="2"/>
        <scheme val="minor"/>
      </rPr>
      <t>pendiente</t>
    </r>
    <r>
      <rPr>
        <b/>
        <sz val="11"/>
        <color theme="1"/>
        <rFont val="Calibri"/>
        <family val="2"/>
        <scheme val="minor"/>
      </rPr>
      <t xml:space="preserve"> lista de precios em sistema OK</t>
    </r>
  </si>
  <si>
    <r>
      <t>A10068&gt; (</t>
    </r>
    <r>
      <rPr>
        <b/>
        <sz val="11"/>
        <color rgb="FFC00000"/>
        <rFont val="Calibri"/>
        <family val="2"/>
        <scheme val="minor"/>
      </rPr>
      <t>A10191 - 4163</t>
    </r>
    <r>
      <rPr>
        <sz val="11"/>
        <color theme="1"/>
        <rFont val="Calibri"/>
        <family val="2"/>
        <scheme val="minor"/>
      </rPr>
      <t>)</t>
    </r>
  </si>
  <si>
    <t>Fadessa</t>
  </si>
  <si>
    <t>OC 4905</t>
  </si>
  <si>
    <t>pedido nuevo 11/7 - código revisado  c/ajuste de precio US$ 2,28</t>
  </si>
  <si>
    <t>MP26027</t>
  </si>
  <si>
    <t>A10174 (4321)</t>
  </si>
  <si>
    <t>Jiron Relaxtech</t>
  </si>
  <si>
    <t>JIR001</t>
  </si>
  <si>
    <t>A10212 (4260)</t>
  </si>
  <si>
    <t>Carlos Ruiz</t>
  </si>
  <si>
    <t>cód rev ID 5808- pend, incluir tab precio</t>
  </si>
  <si>
    <t>Espero revis. Código Y ok tab precio</t>
  </si>
  <si>
    <t>OC 001041</t>
  </si>
  <si>
    <t>pedido nuevo 15/7 - código a10092 revisado</t>
  </si>
  <si>
    <t>RM001</t>
  </si>
  <si>
    <t xml:space="preserve">cód rev.a10092 </t>
  </si>
  <si>
    <t>SN -  '002</t>
  </si>
  <si>
    <t>0396006</t>
  </si>
  <si>
    <t>OC 4947</t>
  </si>
  <si>
    <t>pedido nuevo 17/7</t>
  </si>
  <si>
    <t>pedido nuevo 16/7 - ok 21/7</t>
  </si>
  <si>
    <t>jun</t>
  </si>
  <si>
    <t>jul</t>
  </si>
  <si>
    <t>DESCRIPCIÓN</t>
  </si>
  <si>
    <t>PRECIO
USD</t>
  </si>
  <si>
    <t>CONTACTO</t>
  </si>
  <si>
    <t>EMAIL</t>
  </si>
  <si>
    <t>TELF.</t>
  </si>
  <si>
    <t>FOLLOW-UP PEDIDOS CLIENTES - GUATEMALA</t>
  </si>
  <si>
    <t>cód nuevo ok</t>
  </si>
  <si>
    <t>OC 2004215</t>
  </si>
  <si>
    <t>pedido nuevo 28/7</t>
  </si>
  <si>
    <t>MPTL0506 (id5872)</t>
  </si>
  <si>
    <t>MPTL0002 (id5640)</t>
  </si>
  <si>
    <t>A10012 (4343)</t>
  </si>
  <si>
    <t>OC 5011</t>
  </si>
  <si>
    <t>pedido nuevo 30/7</t>
  </si>
  <si>
    <t>MP26667</t>
  </si>
  <si>
    <t>OK Cadastro em tab preço</t>
  </si>
  <si>
    <r>
      <t xml:space="preserve">300 GR- TELA POLYFIBRAS PES 210 ANCHO </t>
    </r>
    <r>
      <rPr>
        <b/>
        <sz val="9"/>
        <color rgb="FFFF0000"/>
        <rFont val="Helvetica"/>
      </rPr>
      <t>300</t>
    </r>
    <r>
      <rPr>
        <b/>
        <sz val="9"/>
        <color theme="1"/>
        <rFont val="Helvetica"/>
      </rPr>
      <t xml:space="preserve"> GR ICE</t>
    </r>
  </si>
  <si>
    <t>220GR- TELA RELAXTECH MPTEL7531 220G 2,20L</t>
  </si>
  <si>
    <t>220GR- TELA P/COLCHON 220GR ,CODIGO 0282004</t>
  </si>
  <si>
    <t>220GR- TELA P/COLCHON 220GR, CODIGO 0147025</t>
  </si>
  <si>
    <r>
      <t>220GR-TELA PIQUE CUADROS AZULES Y PLATEADOS (</t>
    </r>
    <r>
      <rPr>
        <sz val="9"/>
        <color rgb="FFFF0000"/>
        <rFont val="Helvetica"/>
      </rPr>
      <t>A10093</t>
    </r>
    <r>
      <rPr>
        <sz val="9"/>
        <color theme="1"/>
        <rFont val="Helvetica"/>
      </rPr>
      <t>) 220GR</t>
    </r>
  </si>
  <si>
    <r>
      <t>200GR- TELA EST TIPO PIQUE 200GR- GRIS -</t>
    </r>
    <r>
      <rPr>
        <sz val="9"/>
        <color rgb="FFC00000"/>
        <rFont val="Helvetica"/>
      </rPr>
      <t>A10092 CE AMOSTR DV U</t>
    </r>
  </si>
  <si>
    <r>
      <t xml:space="preserve">180GR-TELA PIQUE NEGRO LISO- </t>
    </r>
    <r>
      <rPr>
        <sz val="9"/>
        <color rgb="FFFF0000"/>
        <rFont val="Helvetica"/>
      </rPr>
      <t>C.E. CM 0149091 -</t>
    </r>
  </si>
  <si>
    <t>220GR -TP ML AMOSTRA DIV 100% PES CM BRANCO 220GR</t>
  </si>
  <si>
    <t>180GR -TELA PIQUE FONDO GRIS C/DISEÑO 180GR</t>
  </si>
  <si>
    <t>180GR -TELA PIQUE T1-9033 180GR</t>
  </si>
  <si>
    <t>275GR- TELA PIQUE 40199367 275GR 2,25A</t>
  </si>
  <si>
    <t>200GR -TELA RELAXTECH MPTEL7553 RAYAS AZUL 200GR</t>
  </si>
  <si>
    <t>180GR -TELA PIQUE 40132439 180GR</t>
  </si>
  <si>
    <t>190GR -  A10213 TP ML AMOSTRA DV U  190GR</t>
  </si>
  <si>
    <t>180GR -TELA PIQUE NEGRO LISO- C.E. CM 0149091 / MESCLA PRETO  180GR</t>
  </si>
  <si>
    <t>300GR -TELA COOLING ALOE - 300GR 2,29 ARTIC FREEZE S/LOGO</t>
  </si>
  <si>
    <t>210GR -TELA PIQUE RAYAS ONDULADAS NEGRAS TL602507 210GR - A10174 TP MP26027 DV U</t>
  </si>
  <si>
    <r>
      <t>200GR -TELA EST TIPO PIQUE 200GR- GRIS -</t>
    </r>
    <r>
      <rPr>
        <sz val="9"/>
        <color rgb="FFC00000"/>
        <rFont val="Helvetica"/>
      </rPr>
      <t xml:space="preserve">A10092 </t>
    </r>
  </si>
  <si>
    <t>200GR -TELA PIQUE 200GR 100% PES BRANCO E PERLA</t>
  </si>
  <si>
    <r>
      <t>300GR -TELA POLYFIBRAS PES</t>
    </r>
    <r>
      <rPr>
        <b/>
        <sz val="9"/>
        <color rgb="FFFF0000"/>
        <rFont val="Helvetica"/>
      </rPr>
      <t xml:space="preserve"> 210</t>
    </r>
    <r>
      <rPr>
        <b/>
        <sz val="9"/>
        <color theme="1"/>
        <rFont val="Helvetica"/>
      </rPr>
      <t xml:space="preserve"> ANCHO </t>
    </r>
    <r>
      <rPr>
        <b/>
        <sz val="9"/>
        <color rgb="FFFF0000"/>
        <rFont val="Helvetica"/>
      </rPr>
      <t>300</t>
    </r>
    <r>
      <rPr>
        <b/>
        <sz val="9"/>
        <color theme="1"/>
        <rFont val="Helvetica"/>
      </rPr>
      <t xml:space="preserve"> GR ICE- POLYFRIBRAS G 300, A 2,10</t>
    </r>
  </si>
  <si>
    <t>190GR -A10213 TP  MPTL0002  190GR</t>
  </si>
  <si>
    <t>240GR -TELA PIQUE NEGRO  - A10012 TP MPTL0506  240GR</t>
  </si>
  <si>
    <t xml:space="preserve">TOTAL US$ </t>
  </si>
  <si>
    <t>CY 2025</t>
  </si>
  <si>
    <t>TELA PIQUE CUADROS AZULES Y PLATEADOS (A10093) 220GR</t>
  </si>
  <si>
    <t>TELA EST TIPO PIQUE 200GR- GRIS -A10092 CE AMOSTR DV U</t>
  </si>
  <si>
    <t>TELA PIQUE NEGRO LISO- C.E. CM 0149091 -</t>
  </si>
  <si>
    <t>220GR</t>
  </si>
  <si>
    <t>-TP ML AMOSTRA DIV 100% PES CM BRANCO 220GR</t>
  </si>
  <si>
    <t>180GR</t>
  </si>
  <si>
    <t>-TELA PIQUE FONDO GRIS C/DISEÑO 180GR</t>
  </si>
  <si>
    <t>-TELA PIQUE T1-9033 180GR</t>
  </si>
  <si>
    <t>TELA PIQUE 40199367 275GR 2,25A</t>
  </si>
  <si>
    <t>TELA PIQUE CC001C/ LOGO CENTURY 250GR</t>
  </si>
  <si>
    <t>200GR</t>
  </si>
  <si>
    <t>-TELA RELAXTECH MPTEL7553 RAYAS AZUL 200GR</t>
  </si>
  <si>
    <t>-TELA PIQUE 40132439 180GR</t>
  </si>
  <si>
    <t>190GR</t>
  </si>
  <si>
    <t>-  A10213 TP ML AMOSTRA DV U  190GR</t>
  </si>
  <si>
    <t>300GR</t>
  </si>
  <si>
    <t>-TELA COOLING ALOE - 300GR 2,29 ARTIC FREEZE S/LOGO</t>
  </si>
  <si>
    <t>210GR</t>
  </si>
  <si>
    <t>-TELA EST TIPO PIQUE 200GR- GRIS -A10092</t>
  </si>
  <si>
    <t>-TELA PIQUE 200GR 100% PES BRANCO E PERLA</t>
  </si>
  <si>
    <t>-A10213 TP  MPTL0002  190GR</t>
  </si>
  <si>
    <t>240GR</t>
  </si>
  <si>
    <t>-TELA PIQUE NEGRO  - A10012 TP MPTL0506  240GR</t>
  </si>
  <si>
    <t>- TELA PIQUE DISEÑO DM548-14 OLAS AZUL</t>
  </si>
  <si>
    <t>- TELA POLYFIBRAS PES 210 ANCHO 300 GR ICE</t>
  </si>
  <si>
    <t>TELA RELAXTECH MPTEL7531 220G 2,20L</t>
  </si>
  <si>
    <t>TELA P/COLCHON 220GR ,CODIGO 0282004</t>
  </si>
  <si>
    <t>TELA P/COLCHON 220GR, CODIGO 0147025</t>
  </si>
  <si>
    <t>-TELA PIQUE NEGRO LISO- C.E. CM 0149091 / MESCLA PRETO</t>
  </si>
  <si>
    <t>275GR</t>
  </si>
  <si>
    <t>250GR</t>
  </si>
  <si>
    <t>GRAMATURA</t>
  </si>
  <si>
    <t>DESCRIÇ</t>
  </si>
  <si>
    <t>Cuenta de GRAMATURA</t>
  </si>
  <si>
    <t>GR</t>
  </si>
  <si>
    <t>CLIENTS</t>
  </si>
  <si>
    <t>TELA PIQUE RAYAS ONDULADAS NEGRAS TL602507 210GR - A10174TP MP26027 DV U</t>
  </si>
  <si>
    <t>-TELA POLYFIBRAS PES 210 ANCHO 300 GR ICE- POLYFRIBRAS G300 2,10</t>
  </si>
  <si>
    <t>GR Mais compradas --&gt;</t>
  </si>
  <si>
    <t>Alta gramatura (300) apenas 2 clientes nos últimos meses</t>
  </si>
  <si>
    <t>OC 001094</t>
  </si>
  <si>
    <t>Pedido nuevo 07/08</t>
  </si>
  <si>
    <t>RM001 (id 4797)</t>
  </si>
  <si>
    <t>0149091 (id 5580)</t>
  </si>
  <si>
    <t>0149091 (4217)</t>
  </si>
  <si>
    <t>200GR - TELA PIQUE GRIS  220GR 2,20</t>
  </si>
  <si>
    <t>180GR - TELA PIQUE LISO NEGRO  180GR 2,20</t>
  </si>
  <si>
    <t>OK 0808</t>
  </si>
  <si>
    <t>A10245 MP 26667 (4383)</t>
  </si>
  <si>
    <t>OC 562</t>
  </si>
  <si>
    <t>Camas Florida Honduras</t>
  </si>
  <si>
    <t>OC 560</t>
  </si>
  <si>
    <t>TELA PIQUE DISEÑO A10197 TP x40-405-180</t>
  </si>
  <si>
    <t>280213T41</t>
  </si>
  <si>
    <t>0602140001</t>
  </si>
  <si>
    <t>0357011 (4388)</t>
  </si>
  <si>
    <t>180GR - TELA PIQUE DISEÑO DM548-14 OLAS AZUL MARINO MP26667</t>
  </si>
  <si>
    <t>OC 564</t>
  </si>
  <si>
    <t>0302140001</t>
  </si>
  <si>
    <t>0242001 (4391)</t>
  </si>
  <si>
    <t>300GR - TELA PIQUE 0357001 BREEZE/STELARIS - A10176 TP ML 0357001 DV U</t>
  </si>
  <si>
    <t>A10197 (4174)</t>
  </si>
  <si>
    <t>OC 14073</t>
  </si>
  <si>
    <t>Ultra Industrias</t>
  </si>
  <si>
    <t>OC 561</t>
  </si>
  <si>
    <t>OC 563</t>
  </si>
  <si>
    <t>0074151 (4045)</t>
  </si>
  <si>
    <t xml:space="preserve">180GR - TP ELEGANCE </t>
  </si>
  <si>
    <t>0399021</t>
  </si>
  <si>
    <t>0399021 (4162)</t>
  </si>
  <si>
    <t>180GR - TP SPECTRA PLUS</t>
  </si>
  <si>
    <t>0072081 (4044)</t>
  </si>
  <si>
    <t xml:space="preserve">180 GR - TP ULTRA PRIMIUM PLUS </t>
  </si>
  <si>
    <t>ago</t>
  </si>
  <si>
    <t>OC 2004370</t>
  </si>
  <si>
    <t>Facenco Guatemala</t>
  </si>
  <si>
    <t xml:space="preserve">Ok- códigos identificados - Divergencia de precios </t>
  </si>
  <si>
    <t>Pedido nuevo 13/08</t>
  </si>
  <si>
    <r>
      <t>- Fup</t>
    </r>
    <r>
      <rPr>
        <strike/>
        <sz val="11"/>
        <rFont val="Calibri"/>
        <family val="2"/>
        <scheme val="minor"/>
      </rPr>
      <t xml:space="preserve"> liberar cód producción</t>
    </r>
    <r>
      <rPr>
        <sz val="11"/>
        <rFont val="Calibri"/>
        <family val="2"/>
        <scheme val="minor"/>
      </rPr>
      <t xml:space="preserve"> - OK</t>
    </r>
  </si>
  <si>
    <t>Ok-liberado</t>
  </si>
  <si>
    <t>ok 13/08</t>
  </si>
  <si>
    <t>pedidos ajustados diverg precios - liberado</t>
  </si>
  <si>
    <r>
      <rPr>
        <b/>
        <sz val="9"/>
        <color theme="1"/>
        <rFont val="Helvetica"/>
      </rPr>
      <t>240GR</t>
    </r>
    <r>
      <rPr>
        <sz val="9"/>
        <color theme="1"/>
        <rFont val="Helvetica"/>
      </rPr>
      <t xml:space="preserve"> - TELA PIQUE DISEÑO 0242001 CE DV U</t>
    </r>
  </si>
  <si>
    <r>
      <rPr>
        <strike/>
        <sz val="11"/>
        <rFont val="Calibri"/>
        <family val="2"/>
        <scheme val="minor"/>
      </rPr>
      <t>On hold  - espera de cadastro de códigos -</t>
    </r>
    <r>
      <rPr>
        <sz val="11"/>
        <rFont val="Calibri"/>
        <family val="2"/>
        <scheme val="minor"/>
      </rPr>
      <t xml:space="preserve"> conflicto con diseños, gramaje, precio final/Ok Diseño final Id 6016 (14/08)</t>
    </r>
  </si>
  <si>
    <t>pedidos bloquedos  - discrepancia de precios-  OK ALINEADO. PED LIBERADO 14/08</t>
  </si>
  <si>
    <t>229647&gt;A10257 (Id: 6016)</t>
  </si>
  <si>
    <t>A10257 (4404)</t>
  </si>
  <si>
    <t>180 GR - TELA PIQUE AZUL MARINO 2,20 -  A10257 TP 229647</t>
  </si>
  <si>
    <r>
      <rPr>
        <strike/>
        <sz val="10"/>
        <color theme="1"/>
        <rFont val="Calibri"/>
        <family val="2"/>
        <scheme val="minor"/>
      </rPr>
      <t>Divergencia de precios</t>
    </r>
    <r>
      <rPr>
        <sz val="10"/>
        <color theme="1"/>
        <rFont val="Calibri"/>
        <family val="2"/>
        <scheme val="minor"/>
      </rPr>
      <t xml:space="preserve"> Ok</t>
    </r>
  </si>
  <si>
    <t>ok 19/08 diseño y códigos ok</t>
  </si>
  <si>
    <t>Suma de TOTAL MTS</t>
  </si>
  <si>
    <t>abr</t>
  </si>
  <si>
    <t>set</t>
  </si>
  <si>
    <t>CLIENTES</t>
  </si>
  <si>
    <t>PROG.  MÊS</t>
  </si>
  <si>
    <t>RELAXTECH INTERNACIONAL-JIRON</t>
  </si>
  <si>
    <t>Suma de TOTAL US$ 
PRO-FORM</t>
  </si>
  <si>
    <t>OC-7-00001100</t>
  </si>
  <si>
    <t>Camas Fusión</t>
  </si>
  <si>
    <t>pedido nuevo 21/08</t>
  </si>
  <si>
    <t>00</t>
  </si>
  <si>
    <r>
      <t xml:space="preserve">200 GR - TELA PIQUE QUETZALTENAGO MONUMENTOS </t>
    </r>
    <r>
      <rPr>
        <b/>
        <sz val="9"/>
        <color theme="1"/>
        <rFont val="Helvetica"/>
      </rPr>
      <t xml:space="preserve">BRANCO COM BEGE AREIA </t>
    </r>
  </si>
  <si>
    <t>Fup Crear lista de precios</t>
  </si>
  <si>
    <t>OC 5124</t>
  </si>
  <si>
    <t xml:space="preserve">Camas Florida </t>
  </si>
  <si>
    <t>pedido nuevo 25/08</t>
  </si>
  <si>
    <t>SN -  '003</t>
  </si>
  <si>
    <t>0400001&gt;0400021</t>
  </si>
  <si>
    <t>180GR - TELA PIQUE 100% PES BLANCO 0400001/0400021 TP ML 180G 2,20A</t>
  </si>
  <si>
    <t>0400021 (4164)</t>
  </si>
  <si>
    <t>0501001 (4285)</t>
  </si>
  <si>
    <t>MP26697</t>
  </si>
  <si>
    <t>240GR - TELA PIQUE TL80918/L152-1647)</t>
  </si>
  <si>
    <t>SN 003</t>
  </si>
  <si>
    <t>SN 002</t>
  </si>
  <si>
    <t>SN 001</t>
  </si>
  <si>
    <t>OC 2004479</t>
  </si>
  <si>
    <t>pedido nuevo 26/08</t>
  </si>
  <si>
    <t>MPTL0069 (Id 6084)</t>
  </si>
  <si>
    <t>180GR - TELA PIQUE FONDO GRIS Y LINEAS INCLINADAS</t>
  </si>
  <si>
    <t>MPTL0062 (Id 5540)</t>
  </si>
  <si>
    <t xml:space="preserve">180GR - TELA PIQUE FONDO NEGRO Y LINEAS CORTAS </t>
  </si>
  <si>
    <t>Alinear código y precio/Ok</t>
  </si>
  <si>
    <t>ok</t>
  </si>
  <si>
    <t xml:space="preserve">1 cod pediente </t>
  </si>
  <si>
    <t>0269041 (4424)</t>
  </si>
  <si>
    <t>A10199 (4177)</t>
  </si>
  <si>
    <t>OC 3074</t>
  </si>
  <si>
    <t>pedido nuevo 28/08</t>
  </si>
  <si>
    <r>
      <rPr>
        <strike/>
        <sz val="11"/>
        <color rgb="FFFF0000"/>
        <rFont val="Calibri"/>
        <family val="2"/>
        <scheme val="minor"/>
      </rPr>
      <t xml:space="preserve">cadastrar códido em tabla precios cliente/ </t>
    </r>
    <r>
      <rPr>
        <sz val="11"/>
        <color rgb="FFFF0000"/>
        <rFont val="Calibri"/>
        <family val="2"/>
        <scheme val="minor"/>
      </rPr>
      <t>OK</t>
    </r>
  </si>
  <si>
    <t>OK</t>
  </si>
  <si>
    <t>A10246 (4417)</t>
  </si>
  <si>
    <t>0387001 (3650)</t>
  </si>
  <si>
    <t>DATA /
PRO-FORMA</t>
  </si>
  <si>
    <t xml:space="preserve">220GR-TELA PIQUE CUADROS AZULES Y PLATEADOS </t>
  </si>
  <si>
    <t>210GR -TELA PIQUE RAYAS ONDULADAS NEGRAS TL602507 - A10174 TP MP26027 DV U</t>
  </si>
  <si>
    <t>OC 2003672</t>
  </si>
  <si>
    <t>MPTL0201</t>
  </si>
  <si>
    <t>0401021 (1923)</t>
  </si>
  <si>
    <t>MPTL0281&gt;MPTL0824</t>
  </si>
  <si>
    <r>
      <t xml:space="preserve">210GR -TELA PIQUE HEALTHY BED </t>
    </r>
    <r>
      <rPr>
        <sz val="9"/>
        <color rgb="FFED0000"/>
        <rFont val="Helvetica"/>
      </rPr>
      <t>210</t>
    </r>
    <r>
      <rPr>
        <sz val="9"/>
        <color theme="1"/>
        <rFont val="Helvetica"/>
      </rPr>
      <t>GR</t>
    </r>
  </si>
  <si>
    <t>180GR - TELA PIQUÉ FONDO GRIS CON DISEÑO 180GR</t>
  </si>
  <si>
    <t>Data max envio /fact.</t>
  </si>
  <si>
    <t>OC 570</t>
  </si>
  <si>
    <t xml:space="preserve">Camas Florida Honduras </t>
  </si>
  <si>
    <t>1era proforma test com GT</t>
  </si>
  <si>
    <t>220GR - TELA PIQUÉ DISEÑO OLAS 220GR</t>
  </si>
  <si>
    <t>--</t>
  </si>
  <si>
    <t>189/190</t>
  </si>
  <si>
    <t>OC 2004582</t>
  </si>
  <si>
    <t>Revisión códigos</t>
  </si>
  <si>
    <r>
      <rPr>
        <sz val="9"/>
        <color rgb="FFED0000"/>
        <rFont val="Helvetica"/>
      </rPr>
      <t>280GR</t>
    </r>
    <r>
      <rPr>
        <sz val="9"/>
        <color theme="1"/>
        <rFont val="Helvetica"/>
      </rPr>
      <t>- TELA PIQUE 40199367 280GR 2,25A</t>
    </r>
  </si>
  <si>
    <r>
      <rPr>
        <strike/>
        <sz val="11"/>
        <color theme="1"/>
        <rFont val="Calibri"/>
        <family val="2"/>
        <scheme val="minor"/>
      </rPr>
      <t>alinear códigos</t>
    </r>
    <r>
      <rPr>
        <sz val="11"/>
        <color theme="1"/>
        <rFont val="Calibri"/>
        <family val="2"/>
        <scheme val="minor"/>
      </rPr>
      <t>-cadastrar Totvs</t>
    </r>
  </si>
  <si>
    <t>OC 2004592</t>
  </si>
  <si>
    <r>
      <t>0149081 (</t>
    </r>
    <r>
      <rPr>
        <b/>
        <sz val="10"/>
        <color rgb="FFED0000"/>
        <rFont val="Helvetica"/>
      </rPr>
      <t>4165</t>
    </r>
    <r>
      <rPr>
        <b/>
        <sz val="10"/>
        <color indexed="8"/>
        <rFont val="Helvetica"/>
      </rPr>
      <t>)</t>
    </r>
  </si>
  <si>
    <t>MPTL0514  (id 5702) &gt; A10019</t>
  </si>
  <si>
    <r>
      <t xml:space="preserve">180GR - TELA PIQUÉ FONDO BLANCO </t>
    </r>
    <r>
      <rPr>
        <sz val="9"/>
        <color rgb="FFFF0000"/>
        <rFont val="Helvetica"/>
      </rPr>
      <t xml:space="preserve">DISEÑO CAFÉ </t>
    </r>
    <r>
      <rPr>
        <sz val="9"/>
        <color theme="1"/>
        <rFont val="Helvetica"/>
      </rPr>
      <t>0149011&gt;0149121</t>
    </r>
  </si>
  <si>
    <t>202.25</t>
  </si>
  <si>
    <t>ALTO CONFORT</t>
  </si>
  <si>
    <t>Agrd cód de prod em Totvs - precio alineado</t>
  </si>
  <si>
    <t>OC 2003719</t>
  </si>
  <si>
    <t>MPTL0824</t>
  </si>
  <si>
    <r>
      <t>0149081 (</t>
    </r>
    <r>
      <rPr>
        <sz val="10"/>
        <color rgb="FFED0000"/>
        <rFont val="Helvetica"/>
      </rPr>
      <t>4165</t>
    </r>
    <r>
      <rPr>
        <sz val="10"/>
        <color indexed="8"/>
        <rFont val="Helvetica"/>
      </rPr>
      <t>)</t>
    </r>
  </si>
  <si>
    <t>OC - 7- 00001106</t>
  </si>
  <si>
    <t>OK- mantendrá mismo código original</t>
  </si>
  <si>
    <t>OC 7-00001106</t>
  </si>
  <si>
    <t>Revisión códigos OOK</t>
  </si>
  <si>
    <t>A10019 (4225)</t>
  </si>
  <si>
    <t>MPTL0392 (Id 6215) - 0149011 &gt;</t>
  </si>
  <si>
    <t>0302140002 (4502)</t>
  </si>
  <si>
    <t>0149121 (4501)</t>
  </si>
  <si>
    <r>
      <t>DM548-L4HN /</t>
    </r>
    <r>
      <rPr>
        <b/>
        <sz val="8"/>
        <color rgb="FFC00000"/>
        <rFont val="Helvetica"/>
      </rPr>
      <t>A10274 (Id:6170)</t>
    </r>
  </si>
  <si>
    <t>alteración de código por ajuste diseño (Logo)</t>
  </si>
  <si>
    <r>
      <t xml:space="preserve">200 GR - TELA PIQUE QUETZALTENAGO MONUMENTOS c/LOGO - </t>
    </r>
    <r>
      <rPr>
        <b/>
        <sz val="9"/>
        <color theme="1"/>
        <rFont val="Helvetica"/>
      </rPr>
      <t xml:space="preserve">BLANCO &amp; BEIGE ARENA </t>
    </r>
  </si>
  <si>
    <t>0501006 (4521)</t>
  </si>
  <si>
    <t>OC 2004644</t>
  </si>
  <si>
    <t>PEDIDO NUEVO 12/09</t>
  </si>
  <si>
    <t>MPTL0407 (ID 5796)</t>
  </si>
  <si>
    <t>180GR - TELA PIQUE MATERIAL A10233 180 GR 2,20</t>
  </si>
  <si>
    <t>A10233 (4375)</t>
  </si>
  <si>
    <t>Proforma hecha x CR - Cliente nuevo- Agrd diseño (art.  Novo) y creación de cód de prodn/ ok 1509</t>
  </si>
  <si>
    <r>
      <t>pedido nuevo 02/09 - 1er test de proform-</t>
    </r>
    <r>
      <rPr>
        <strike/>
        <sz val="11"/>
        <rFont val="Calibri"/>
        <family val="2"/>
        <scheme val="minor"/>
      </rPr>
      <t>divergencia precio comentada x CR.</t>
    </r>
    <r>
      <rPr>
        <sz val="11"/>
        <rFont val="Calibri"/>
        <family val="2"/>
        <scheme val="minor"/>
      </rPr>
      <t xml:space="preserve"> OK - Agrd Cod Prodn</t>
    </r>
  </si>
  <si>
    <r>
      <t xml:space="preserve">pedido nuevo 01/09 - </t>
    </r>
    <r>
      <rPr>
        <strike/>
        <sz val="11"/>
        <rFont val="Calibri"/>
        <family val="2"/>
        <scheme val="minor"/>
      </rPr>
      <t>Art com combinaçoes diferentes agrd confirmação de preço</t>
    </r>
    <r>
      <rPr>
        <sz val="11"/>
        <rFont val="Calibri"/>
        <family val="2"/>
        <scheme val="minor"/>
      </rPr>
      <t>. OK</t>
    </r>
  </si>
  <si>
    <t>Alto Confort</t>
  </si>
  <si>
    <t>340GR - TELA COOLING BLANCO Y AZUL - AMOSTRA</t>
  </si>
  <si>
    <t>1ra proforma-agd cod em tab preço/Ok</t>
  </si>
  <si>
    <t>Sep-25</t>
  </si>
  <si>
    <t>PO-ES-16985</t>
  </si>
  <si>
    <t>OC 607</t>
  </si>
  <si>
    <t>OC 608</t>
  </si>
  <si>
    <t>Oct-25</t>
  </si>
  <si>
    <t>F-Karen-230</t>
  </si>
  <si>
    <t>Liberado código amostra (1509)- Cadastro Tab precios(OK)</t>
  </si>
  <si>
    <t xml:space="preserve">TELA PIQUÉ DISEÑO FARAN </t>
  </si>
  <si>
    <t>Gráficos</t>
  </si>
  <si>
    <r>
      <t>280213T44 (</t>
    </r>
    <r>
      <rPr>
        <sz val="8"/>
        <color rgb="FFFF0000"/>
        <rFont val="Helvetica"/>
      </rPr>
      <t>Id 6321)</t>
    </r>
  </si>
  <si>
    <r>
      <t>16020010 (</t>
    </r>
    <r>
      <rPr>
        <sz val="8"/>
        <color rgb="FFFF0000"/>
        <rFont val="Helvetica"/>
      </rPr>
      <t>Id 6016)</t>
    </r>
  </si>
  <si>
    <r>
      <t xml:space="preserve">180GR - TELA PIQUÉ DISEÑO </t>
    </r>
    <r>
      <rPr>
        <sz val="9"/>
        <color rgb="FFFF0000"/>
        <rFont val="Helvetica"/>
      </rPr>
      <t>AZUL MARINO</t>
    </r>
    <r>
      <rPr>
        <sz val="9"/>
        <color theme="1"/>
        <rFont val="Helvetica"/>
      </rPr>
      <t xml:space="preserve"> 180GR 2,20</t>
    </r>
  </si>
  <si>
    <t>AJUSTE LARGURA/ NÃO MUDA CÓDIGO</t>
  </si>
  <si>
    <t>A10125 (4218)</t>
  </si>
  <si>
    <r>
      <t xml:space="preserve">220GR - FABRIC DOUBLE KNIT KAREN 100% PES </t>
    </r>
    <r>
      <rPr>
        <b/>
        <sz val="9"/>
        <color theme="1"/>
        <rFont val="Helvetica"/>
      </rPr>
      <t>220GR 2,30A</t>
    </r>
  </si>
  <si>
    <t>OC 2003799</t>
  </si>
  <si>
    <r>
      <t xml:space="preserve">180GR - TELA PIQUÉ </t>
    </r>
    <r>
      <rPr>
        <sz val="9"/>
        <color rgb="FFFF0000"/>
        <rFont val="Helvetica"/>
      </rPr>
      <t>180 GR</t>
    </r>
    <r>
      <rPr>
        <sz val="9"/>
        <color theme="1"/>
        <rFont val="Helvetica"/>
      </rPr>
      <t xml:space="preserve"> 2,20 BLANCO </t>
    </r>
  </si>
  <si>
    <r>
      <t>40131462&gt;</t>
    </r>
    <r>
      <rPr>
        <b/>
        <sz val="8"/>
        <color rgb="FFFF0000"/>
        <rFont val="Helvetica"/>
      </rPr>
      <t>MPTL 0408 (id 6353)</t>
    </r>
  </si>
  <si>
    <t>A10301 (4587)</t>
  </si>
  <si>
    <r>
      <t xml:space="preserve">180GR - TELA PIQUÉ DISEÑO FARAN/ </t>
    </r>
    <r>
      <rPr>
        <sz val="9"/>
        <color rgb="FFFF0000"/>
        <rFont val="Helvetica"/>
      </rPr>
      <t>SALMON Y GRIS PERLA</t>
    </r>
    <r>
      <rPr>
        <sz val="9"/>
        <color theme="1"/>
        <rFont val="Helvetica"/>
      </rPr>
      <t xml:space="preserve"> 180GR 2,20</t>
    </r>
  </si>
  <si>
    <t>GT002.25</t>
  </si>
  <si>
    <t>CORPORACION ESPUMAS LA CORUÑA</t>
  </si>
  <si>
    <t>GT003.25</t>
  </si>
  <si>
    <t>Meir Bellilty</t>
  </si>
  <si>
    <t>A10304 (4627)</t>
  </si>
  <si>
    <t>260 GR TP LISO BRILLANTE 100% PES S/TRATAMIENTO</t>
  </si>
  <si>
    <t>A10312 (4633)</t>
  </si>
  <si>
    <t>CORPORACIÓN ESPUMAS LA CORUÑA</t>
  </si>
  <si>
    <r>
      <t xml:space="preserve">TPBL &gt; </t>
    </r>
    <r>
      <rPr>
        <b/>
        <sz val="8"/>
        <color rgb="FFC00000"/>
        <rFont val="Helvetica"/>
      </rPr>
      <t>LA002 (Id: 6454)</t>
    </r>
  </si>
  <si>
    <t>La Coruña</t>
  </si>
  <si>
    <t>Agrd amostras + App+ Preço-&gt; Proforma/ ok</t>
  </si>
  <si>
    <r>
      <t>proforma nueva - Agrd telas para cotizar em App y crear elementos claves (13/10)/</t>
    </r>
    <r>
      <rPr>
        <sz val="11"/>
        <color rgb="FFFF0000"/>
        <rFont val="Calibri"/>
        <family val="2"/>
        <scheme val="minor"/>
      </rPr>
      <t xml:space="preserve"> OK</t>
    </r>
  </si>
  <si>
    <r>
      <t xml:space="preserve">pedido nuevo - agrd cód de prod em totvs/ </t>
    </r>
    <r>
      <rPr>
        <sz val="11"/>
        <color rgb="FFFF0000"/>
        <rFont val="Calibri"/>
        <family val="2"/>
        <scheme val="minor"/>
      </rPr>
      <t>OK</t>
    </r>
  </si>
  <si>
    <t>OC 5377</t>
  </si>
  <si>
    <t>CAMAS FLORIDA GUATEMALA</t>
  </si>
  <si>
    <t>pedido nuevo 20/10</t>
  </si>
  <si>
    <t>200 GR - TP RAYAS ONDULADAS NEGRAS TL 602507</t>
  </si>
  <si>
    <t>OC 621</t>
  </si>
  <si>
    <t>CAMAS FLORIDA HONDURAS</t>
  </si>
  <si>
    <t>X34-43 - 7428630040 &gt;CM003 (id 6457)</t>
  </si>
  <si>
    <t>pedido nuevo 20/10- Agrd diseño</t>
  </si>
  <si>
    <t>348/25</t>
  </si>
  <si>
    <t>pedido nuevo 22/10</t>
  </si>
  <si>
    <t xml:space="preserve">Ok - </t>
  </si>
  <si>
    <t>OC 14244</t>
  </si>
  <si>
    <t>OC 348/25</t>
  </si>
  <si>
    <t>PROHFOAM</t>
  </si>
  <si>
    <t>Tela Prohfoam 1 (Blanco)</t>
  </si>
  <si>
    <t>Tela Prohfoam 2 (Blanco)</t>
  </si>
  <si>
    <t>Tela Prohfoam 3 (Blanco)</t>
  </si>
  <si>
    <t>Tela Prohfoam 4 (Blanco)</t>
  </si>
  <si>
    <t>Tela Prohfoam 5 (Blanco &amp; Negro)</t>
  </si>
  <si>
    <t>Tela Prohfoam 6 (Blanco &amp;Negro)</t>
  </si>
  <si>
    <t>Tela Prohfoam 7 (Blanco)</t>
  </si>
  <si>
    <t>Tela Prohfoam 8 (Blanco &amp; Beige)</t>
  </si>
  <si>
    <t>Tela Prohfoam 9  (Blanco &amp; Beige)</t>
  </si>
  <si>
    <t>Tela Prohfoam 10 (Blanco &amp; Beige)</t>
  </si>
  <si>
    <t>Tela Prohfoam 11 (Blanco &amp; Beige)</t>
  </si>
  <si>
    <t>Tela Prohfoam 12 (Blanco &amp; Gris)</t>
  </si>
  <si>
    <t>Tela Prohfoam 13 (Blanco &amp; Gris)</t>
  </si>
  <si>
    <t>Tela Prohfoam 14 (Blanco &amp; Gris)</t>
  </si>
  <si>
    <t>Tela Prohfoam 15 (Blanco &amp; Negro)</t>
  </si>
  <si>
    <t>Tela Prohfoam 16 (Blanco &amp; Beige)</t>
  </si>
  <si>
    <t>Tela Prohfoam 17 (Blanco &amp; Beige)</t>
  </si>
  <si>
    <t>Tela Prohfoam Beige Arena</t>
  </si>
  <si>
    <t>Tela Prohfoam Azul Marino</t>
  </si>
  <si>
    <t xml:space="preserve">Arturo Castillo </t>
  </si>
  <si>
    <t>acastillo@prohfoam.com</t>
  </si>
  <si>
    <t>504 9990 8010</t>
  </si>
  <si>
    <t>3933</t>
  </si>
  <si>
    <t>3932</t>
  </si>
  <si>
    <t>3931</t>
  </si>
  <si>
    <t>3930</t>
  </si>
  <si>
    <t>3922</t>
  </si>
  <si>
    <t>3923</t>
  </si>
  <si>
    <t>3925</t>
  </si>
  <si>
    <t>3921</t>
  </si>
  <si>
    <t>3920</t>
  </si>
  <si>
    <t>3919</t>
  </si>
  <si>
    <t>3924</t>
  </si>
  <si>
    <t>3929</t>
  </si>
  <si>
    <t>3928</t>
  </si>
  <si>
    <t>3926</t>
  </si>
  <si>
    <t>3918</t>
  </si>
  <si>
    <t>3917</t>
  </si>
  <si>
    <t>411001&gt;'0441011</t>
  </si>
  <si>
    <t>449001&gt;'0449011</t>
  </si>
  <si>
    <t>441001&gt;'0411011</t>
  </si>
  <si>
    <t>427001&gt;0427011</t>
  </si>
  <si>
    <t>391001&gt;'0391011</t>
  </si>
  <si>
    <t>451006&gt;'0451001</t>
  </si>
  <si>
    <t>414001&gt;'0414011</t>
  </si>
  <si>
    <t>453001&gt;'0453011</t>
  </si>
  <si>
    <t>416001&gt;'0416011</t>
  </si>
  <si>
    <t>422004&gt;'0422001</t>
  </si>
  <si>
    <t>426004&gt;'0426001</t>
  </si>
  <si>
    <t>425001&gt;'0425011</t>
  </si>
  <si>
    <t>399001&gt;0399011</t>
  </si>
  <si>
    <t>403004&gt;'0403001</t>
  </si>
  <si>
    <t>419001&gt;'0419011</t>
  </si>
  <si>
    <t>407001&gt;'0407011</t>
  </si>
  <si>
    <t>408001&gt;'0408011</t>
  </si>
  <si>
    <t>pedido nuevo 22/10-  OK PRECIOS REVISADOS</t>
  </si>
  <si>
    <r>
      <rPr>
        <strike/>
        <sz val="11"/>
        <color theme="1"/>
        <rFont val="Calibri"/>
        <family val="2"/>
        <scheme val="minor"/>
      </rPr>
      <t>Divergencia em precios - agrd revisión y confirmación</t>
    </r>
    <r>
      <rPr>
        <sz val="11"/>
        <color theme="1"/>
        <rFont val="Calibri"/>
        <family val="2"/>
        <scheme val="minor"/>
      </rPr>
      <t>/OK</t>
    </r>
  </si>
  <si>
    <r>
      <t xml:space="preserve">180 GR - TP DISEÑO X34-43 180 2,20 100% PES BLANCO Y </t>
    </r>
    <r>
      <rPr>
        <sz val="9"/>
        <color rgb="FFED0000"/>
        <rFont val="Helvetica"/>
      </rPr>
      <t>ARENA</t>
    </r>
  </si>
  <si>
    <t>CM003&gt;A10322 (4656)</t>
  </si>
  <si>
    <t>Agrd confirmación de pdto y precio/ precio confirmado versión Blanco y Arena</t>
  </si>
  <si>
    <t>espera diseño - Fup- OK done</t>
  </si>
  <si>
    <t>Tela Prohfoam 1 (Blanco y negro)</t>
  </si>
  <si>
    <t>PR001&gt;A10345</t>
  </si>
  <si>
    <t>PR002&gt;A10343</t>
  </si>
  <si>
    <t>A10249 - AR&gt;A10348</t>
  </si>
  <si>
    <t>A10249 - AZ&gt;A10346</t>
  </si>
  <si>
    <r>
      <t xml:space="preserve">Proforma nueva -  </t>
    </r>
    <r>
      <rPr>
        <strike/>
        <sz val="11"/>
        <color theme="1"/>
        <rFont val="Calibri"/>
        <family val="2"/>
        <scheme val="minor"/>
      </rPr>
      <t>Agrd aprova (20/10)</t>
    </r>
    <r>
      <rPr>
        <sz val="11"/>
        <color theme="1"/>
        <rFont val="Calibri"/>
        <family val="2"/>
        <scheme val="minor"/>
      </rPr>
      <t>-  OK APROVADO (22/10)-cod cadastrados 03/11</t>
    </r>
  </si>
  <si>
    <t>Ok- cod prodn 0311</t>
  </si>
  <si>
    <t>GT004.25</t>
  </si>
  <si>
    <t>AT002&gt;A10277</t>
  </si>
  <si>
    <t>Agrd ok do cliente</t>
  </si>
  <si>
    <t>pedido nuevo 04/11 ok</t>
  </si>
  <si>
    <t>Pedido Totvs</t>
  </si>
  <si>
    <t>Cliente</t>
  </si>
  <si>
    <t>Invoice</t>
  </si>
  <si>
    <t>Mts</t>
  </si>
  <si>
    <t>Valor R$</t>
  </si>
  <si>
    <t>No existe</t>
  </si>
  <si>
    <t>Comodisimo</t>
  </si>
  <si>
    <t>Ind Florida</t>
  </si>
  <si>
    <t>bloqueado</t>
  </si>
  <si>
    <t>Status</t>
  </si>
  <si>
    <t>004.24</t>
  </si>
  <si>
    <t>005.24</t>
  </si>
  <si>
    <t>006.24</t>
  </si>
  <si>
    <t>CONEXAO GUATEMALA SOCIEDAD ANONIMA (RR INDUSTRIA DE COLCHONES LTDA)</t>
  </si>
  <si>
    <t>Histórico rescatado de Totvs GT  2024 - Inicio Noviembre 2025</t>
  </si>
  <si>
    <t>A partir de aqui - Pedidos documentados por MEC-Valores en USD/ Numeración existente/Ver tabla con detalles</t>
  </si>
  <si>
    <t>F-Karen-230 GRY (A10318)</t>
  </si>
  <si>
    <t>GT005.25</t>
  </si>
  <si>
    <t>180 2,20 100% PES CM NEGRO</t>
  </si>
  <si>
    <t>Codigo Grey-ok</t>
  </si>
  <si>
    <t>OC 638</t>
  </si>
  <si>
    <t>pedido nuevo 19/11 ok- AGD CÓD PROD</t>
  </si>
  <si>
    <t>pedido nuevo 19/11</t>
  </si>
  <si>
    <t>220GR - TELA PIQUÉ DISEÑO OLAS 220GR 2,20</t>
  </si>
  <si>
    <t>0071041 (4731)</t>
  </si>
  <si>
    <t>GT006.25</t>
  </si>
  <si>
    <t>pedido nuevo 26/11  ok</t>
  </si>
  <si>
    <t>300 2,20 100% PES XP Gris</t>
  </si>
  <si>
    <t>250 2,20 100% PES CM Negro</t>
  </si>
  <si>
    <t>cód prod</t>
  </si>
  <si>
    <t>230 2,30 100% PES CM BLANCO Y GRIS PERLA  - DE024a Grey</t>
  </si>
  <si>
    <t>PO-ES-17368</t>
  </si>
  <si>
    <t>Pedido nuevo 05/12/2025</t>
  </si>
  <si>
    <t>230 2,30 100% PES CM BLANCO Y GRIS PERLA  - DE024a Grey 100% Poly</t>
  </si>
  <si>
    <t>CLIENTE / OC / PEDIDO TOTVS</t>
  </si>
  <si>
    <t>pedido 15/12</t>
  </si>
  <si>
    <t>OC 14373</t>
  </si>
  <si>
    <t>OC 2004106</t>
  </si>
  <si>
    <t>Jan-26</t>
  </si>
  <si>
    <t>PERIODO</t>
  </si>
  <si>
    <t>OC 664</t>
  </si>
  <si>
    <t>pedido recibido 22/12</t>
  </si>
  <si>
    <t>MPTL0521&gt;A10340 (id6786)</t>
  </si>
  <si>
    <t>MPTL0541&gt;0392011 (id6787)</t>
  </si>
  <si>
    <t>MPTL0533&gt;A10305  (id6800)</t>
  </si>
  <si>
    <t>MPTL0534&gt;A10326 (id6801)</t>
  </si>
  <si>
    <t>MPTL0535&gt;A10324 (id6351)</t>
  </si>
  <si>
    <t xml:space="preserve">PROHFOAM </t>
  </si>
  <si>
    <t>GT004.26</t>
  </si>
  <si>
    <t>0441011</t>
  </si>
  <si>
    <t>0449011</t>
  </si>
  <si>
    <t>0411011</t>
  </si>
  <si>
    <t>0427011</t>
  </si>
  <si>
    <t>0391011</t>
  </si>
  <si>
    <t>0453011</t>
  </si>
  <si>
    <t>0416011</t>
  </si>
  <si>
    <t>0425011</t>
  </si>
  <si>
    <t>0399011</t>
  </si>
  <si>
    <t>0419011</t>
  </si>
  <si>
    <t>0407011</t>
  </si>
  <si>
    <t>0408011</t>
  </si>
  <si>
    <t>OC 6005</t>
  </si>
  <si>
    <t>pedido recibido 15/01</t>
  </si>
  <si>
    <t>MP26667&gt;A10245</t>
  </si>
  <si>
    <t>Camas Florida Guatemala</t>
  </si>
  <si>
    <t>OC 2005667</t>
  </si>
  <si>
    <t>pedido recibido 19/01</t>
  </si>
  <si>
    <t>Tela piqué 0073091, diseño circulos con líneas oscilatorias, 180 gsm</t>
  </si>
  <si>
    <t>OC 2004146</t>
  </si>
  <si>
    <t>pedido 19/01/26 - codigos por revisar-aprobar y generar cód de pdn</t>
  </si>
  <si>
    <t>MPTL0537&gt;0402001 (Id6631)</t>
  </si>
  <si>
    <t>MPTL0307&gt;A10378 (id6790)</t>
  </si>
  <si>
    <t>MPTL0538&gt;242011 (A10278) (id6791)</t>
  </si>
  <si>
    <t>MPTL0152&gt;A10330 (id6800)</t>
  </si>
  <si>
    <t>Tela pique A10340 180 gramos</t>
  </si>
  <si>
    <t>Tela Pique blanca H-2760 195 gsm, 2.20 mts</t>
  </si>
  <si>
    <t>Tela pique A10326 180 gramos</t>
  </si>
  <si>
    <t xml:space="preserve">Tela pique A10324 180 gramos </t>
  </si>
  <si>
    <t xml:space="preserve">Tela pique 4020014 180 gramos </t>
  </si>
  <si>
    <t xml:space="preserve">Tela pique 242011 180 gramos </t>
  </si>
  <si>
    <t>Tela pique 0392011 180 gramos</t>
  </si>
  <si>
    <t>Tela Pique tratamiento Ice Cool</t>
  </si>
  <si>
    <t>TELA PIQUE MATERIAL 40132435 195 GRAMOS</t>
  </si>
  <si>
    <t>Tela Pique material 40131357 195 gramos</t>
  </si>
  <si>
    <t>Tela pique A10327 180 gramos</t>
  </si>
  <si>
    <t>Tela pique A10309 180 gramos</t>
  </si>
  <si>
    <t>Tela pique 0257055 180 gramos</t>
  </si>
  <si>
    <t>Tela pique A10278 180 gramos</t>
  </si>
  <si>
    <t>.</t>
  </si>
  <si>
    <t>incluir em tabla de precios</t>
  </si>
  <si>
    <t>cadastrar em sistema - diseño liberado</t>
  </si>
  <si>
    <t>fev-26</t>
  </si>
  <si>
    <t>GT007.26</t>
  </si>
  <si>
    <t>pedido nuevo 23/01</t>
  </si>
  <si>
    <t>OC 686</t>
  </si>
  <si>
    <t>OC 14432</t>
  </si>
  <si>
    <t>180 2,20 TELA PIQUE VENECIA (CARA)  - PERLA GRIS</t>
  </si>
  <si>
    <t>180 2,20 TELA PIQUE AURORA (CARA ) - NEGRO</t>
  </si>
  <si>
    <t>180 2,20 TELA PIQUE GOLDEN (CARA) - ARENA</t>
  </si>
  <si>
    <t>Tela Prohfoam 1 (Blanco) con logo cliente</t>
  </si>
  <si>
    <t>Tela Prohfoam 2 (Blanco) con logo cliente</t>
  </si>
  <si>
    <t>Tela Prohfoam 3 (Blanco) con logo cliente</t>
  </si>
  <si>
    <t>Tela Prohfoam 4 (Blanco) con logo cliente</t>
  </si>
  <si>
    <t>Tela Prohfoam 5 (Blanco &amp; Negro) con logo</t>
  </si>
  <si>
    <t>Tela Prohfoam 6 (Blanco &amp;Negro) con logo</t>
  </si>
  <si>
    <t>Tela Prohfoam 7 (Blanco) con logo</t>
  </si>
  <si>
    <t>Tela Prohfoam 8 (Blanco &amp; Beige) con logo</t>
  </si>
  <si>
    <t>Tela Prohfoam 9  (Blanco &amp; Beige) con logo</t>
  </si>
  <si>
    <t>Tela Prohfoam 10 (Blanco &amp; Beige) con logo</t>
  </si>
  <si>
    <t>Tela Prohfoam 11 (Blanco &amp; Beige) con logo</t>
  </si>
  <si>
    <t>Tela Prohfoam 12 (Blanco &amp; Gris) con logo</t>
  </si>
  <si>
    <t>Tela Prohfoam 13 (Blanco &amp; Gris) con logo</t>
  </si>
  <si>
    <t>Tela Prohfoam 14 (Blanco &amp; Gris) con logo</t>
  </si>
  <si>
    <t>Tela Prohfoam 15 (Blanco &amp; Negro) con logo</t>
  </si>
  <si>
    <t>Tela Prohfoam 16 (Blanco &amp; Beige) con logo</t>
  </si>
  <si>
    <t>Tela Prohfoam 17 (Blanco &amp; Beige) con logo</t>
  </si>
  <si>
    <t>0451001 &gt;0451051</t>
  </si>
  <si>
    <t>0414011 &gt;0414041</t>
  </si>
  <si>
    <t>0422001 &gt; 0422011</t>
  </si>
  <si>
    <t>0426001 &gt; 0426011</t>
  </si>
  <si>
    <t>0403001 &gt; 0403011</t>
  </si>
  <si>
    <t>Ok cliente - Incluir Logo -alteración código</t>
  </si>
  <si>
    <t>MPTL0419&gt;0080001 &gt;A10416  (id6799)</t>
  </si>
  <si>
    <t>GT008.26</t>
  </si>
  <si>
    <t>LA CORUÑA COSTA RICA</t>
  </si>
  <si>
    <t>proforma prodtos nuevos</t>
  </si>
  <si>
    <t>pedido nuevo 23/01 - 2 códigos por cotizaciones nuevas (28/01)</t>
  </si>
  <si>
    <t>Ajuste Desenvol.  - revisar cód</t>
  </si>
  <si>
    <t>código revisado c/cliente - nueva cotizac. / cód pdn</t>
  </si>
  <si>
    <t>OC 2005763</t>
  </si>
  <si>
    <t>Top</t>
  </si>
  <si>
    <t>OC recibida 29/01- validar código debido a divergencias em App y tracker/  OK com Rodrigo Mena-email 30/01</t>
  </si>
  <si>
    <r>
      <rPr>
        <strike/>
        <sz val="10"/>
        <color theme="1"/>
        <rFont val="Calibri"/>
        <family val="2"/>
        <scheme val="minor"/>
      </rPr>
      <t xml:space="preserve">revalidar cód </t>
    </r>
    <r>
      <rPr>
        <sz val="10"/>
        <color theme="1"/>
        <rFont val="Calibri"/>
        <family val="2"/>
        <scheme val="minor"/>
      </rPr>
      <t xml:space="preserve"> &gt; ok validado por Rodrigo/ incluir em lista de precios</t>
    </r>
  </si>
  <si>
    <t>Cód de prod em processo- incluir precio y nuev o cadastro/finalizado 30/01/26</t>
  </si>
  <si>
    <t>180 2,20 TELA PIQUE ULTRAPEDIC  DELUXE (cara) - PERLA GRIS</t>
  </si>
  <si>
    <t>American Textile Company</t>
  </si>
  <si>
    <t>PO 10095120</t>
  </si>
  <si>
    <t>American Textile Co</t>
  </si>
  <si>
    <t>R100611-IN-81ATCIRC KNIT W/TPU 81" ALLER TECH  - FB00350- BLANCO</t>
  </si>
  <si>
    <t>ok- A10321 /MPTL0532 (ORTOPRE) 180 2,20 NEGRO Y BLANCO (ID 6299/Totvs 4642)-$1,82</t>
  </si>
  <si>
    <t>American Textile</t>
  </si>
  <si>
    <t>Pedido negociado x Carlos - producto antiguo - cod identificado A10298 (ID6322)</t>
  </si>
  <si>
    <t>logo de Royal Excell a este pedido y los próximos.-Inclusión nuevos códigos/pendinte c.prdn</t>
  </si>
  <si>
    <t>em andamento 2025</t>
  </si>
  <si>
    <t>GT009.26</t>
  </si>
  <si>
    <t>Dreams Costa Rica</t>
  </si>
  <si>
    <t>CO2603-03</t>
  </si>
  <si>
    <t>Dreams</t>
  </si>
  <si>
    <t>mar-26</t>
  </si>
  <si>
    <t>proforma - agrd aprov cliente  - produtos recem cotados/f-up desenvolvimento</t>
  </si>
  <si>
    <t>proforma - oc por email -articulos revalidados y proforma enviada (10/02)</t>
  </si>
  <si>
    <r>
      <t>pedido recibido 13/01 - OK - el logo de Royal Excell a este pedido y los próximos.(19/01)</t>
    </r>
    <r>
      <rPr>
        <sz val="11"/>
        <color rgb="FFC00000"/>
        <rFont val="Calibri"/>
        <family val="2"/>
        <scheme val="minor"/>
      </rPr>
      <t>/pendientes algunos cod. Pdn (27/1)</t>
    </r>
  </si>
  <si>
    <t>pedido 18/12 - codigos por aprobar y generar cód de pdn- ok finalizado em jan'26</t>
  </si>
  <si>
    <r>
      <rPr>
        <sz val="11"/>
        <rFont val="Calibri"/>
        <family val="2"/>
        <scheme val="minor"/>
      </rPr>
      <t>pedido 23/01 - tela no localizad</t>
    </r>
    <r>
      <rPr>
        <sz val="11"/>
        <color theme="1"/>
        <rFont val="Calibri"/>
        <family val="2"/>
        <scheme val="minor"/>
      </rPr>
      <t>a (Alineado c/Rodrigo que conversará c/cliente e iniciar flujo de desarrollo si posible)</t>
    </r>
  </si>
  <si>
    <t>MPTL0549&gt;0073091 (ID 6841)</t>
  </si>
  <si>
    <t>Tela Pique A10379</t>
  </si>
  <si>
    <t xml:space="preserve">Tela pique A10313 180 gramos </t>
  </si>
  <si>
    <t xml:space="preserve">Tela pique A10308 180 gramos </t>
  </si>
  <si>
    <t xml:space="preserve">Tela pique A10374 180 gramos </t>
  </si>
  <si>
    <t xml:space="preserve">Tela pique 396001 180 gramos </t>
  </si>
  <si>
    <t>Tela pique A10375 180 gramos</t>
  </si>
  <si>
    <t xml:space="preserve">Tela pique A10373 180 gramos </t>
  </si>
  <si>
    <t>ID 7012 / 0066031</t>
  </si>
  <si>
    <t>ID 7014 / 0292031</t>
  </si>
  <si>
    <t>ID 7016 / 0292031 &gt; 0292041</t>
  </si>
  <si>
    <t>ID 7015 / A10380</t>
  </si>
  <si>
    <t>MPTL0020&gt; MPTL0532/A10321&gt;A10383</t>
  </si>
  <si>
    <t>OC 2004274/CO2603-03</t>
  </si>
  <si>
    <t>Ok- proforma aprobada x cliente (11/02)</t>
  </si>
  <si>
    <t>200 2,20 100% PES AZUL MARINO</t>
  </si>
  <si>
    <t>200 2,20 100% PES NEGRO</t>
  </si>
  <si>
    <t>180 2,20 100% PES NEGRO</t>
  </si>
  <si>
    <t>A10068&gt; (A10191 - 4163)</t>
  </si>
  <si>
    <t>COD. SKU</t>
  </si>
  <si>
    <t>ver detalles</t>
  </si>
  <si>
    <t>MPTL0225 &gt; A10379</t>
  </si>
  <si>
    <t>MPTL0525 &gt; A10313</t>
  </si>
  <si>
    <t>MPTL0527 &gt; A10327</t>
  </si>
  <si>
    <t>MPTL0528 &gt; A10374</t>
  </si>
  <si>
    <t>MPTL0529 &gt; A10309</t>
  </si>
  <si>
    <t>MPTL0530 &gt; 0396001</t>
  </si>
  <si>
    <t>MPTL0531  &gt;  A10375</t>
  </si>
  <si>
    <t>MPTL0540 &gt; 0257055</t>
  </si>
  <si>
    <r>
      <t xml:space="preserve">MPTL0543&gt;MPTL0538 &gt; </t>
    </r>
    <r>
      <rPr>
        <b/>
        <sz val="8"/>
        <rFont val="Helvetica"/>
      </rPr>
      <t>A10278</t>
    </r>
  </si>
  <si>
    <t>MPTL0408 &gt; A10304</t>
  </si>
  <si>
    <t>MPTL0307 &gt; A10378</t>
  </si>
  <si>
    <t>MPTL0537 &gt; 0073091</t>
  </si>
  <si>
    <r>
      <t xml:space="preserve">MPTL0532 &gt; </t>
    </r>
    <r>
      <rPr>
        <b/>
        <sz val="8"/>
        <color rgb="FFFF0000"/>
        <rFont val="Helvetica"/>
      </rPr>
      <t>A10373</t>
    </r>
  </si>
  <si>
    <r>
      <t xml:space="preserve">MPTL0544&gt; </t>
    </r>
    <r>
      <rPr>
        <b/>
        <sz val="8"/>
        <rFont val="Helvetica"/>
      </rPr>
      <t>MPTL0539 &gt; A10332</t>
    </r>
  </si>
  <si>
    <t>OC 6172</t>
  </si>
  <si>
    <t xml:space="preserve">OC recibida 13/02- </t>
  </si>
  <si>
    <t>OC 6174</t>
  </si>
  <si>
    <t>OC recibida 13/02- TELA MUNDIAL</t>
  </si>
  <si>
    <t>MP26027 &gt; A10174</t>
  </si>
  <si>
    <t xml:space="preserve">180- Tela pique A10309 180 gramos  </t>
  </si>
  <si>
    <t>180- Tela pique A10375 180 gramos</t>
  </si>
  <si>
    <t xml:space="preserve">180-Tela pique 396001 180 gramos </t>
  </si>
  <si>
    <t xml:space="preserve">180-Tela pique 0257055 180 gramos </t>
  </si>
  <si>
    <t xml:space="preserve">180-Tela pique A10313 180 gramos </t>
  </si>
  <si>
    <t xml:space="preserve">180-Tela pique A10308 180 gramos </t>
  </si>
  <si>
    <t>200 GR - TP RAYAS ONDULADAS NEGRAS TL 602507 / LI 52-64</t>
  </si>
  <si>
    <t xml:space="preserve">ok- </t>
  </si>
  <si>
    <t>A10417 (ID6887)</t>
  </si>
  <si>
    <t>Ok</t>
  </si>
  <si>
    <t>GT010.26</t>
  </si>
  <si>
    <t>Camas Florida GT</t>
  </si>
  <si>
    <t>STATUS</t>
  </si>
  <si>
    <t>Motivo</t>
  </si>
  <si>
    <t>Ajuste de estrutura PL a CM - revisar cód-Ok</t>
  </si>
  <si>
    <t>Proforma  nova 17/02 - código revisado cotação 13/02</t>
  </si>
  <si>
    <t>Cód de prod em processo- incluir pending em cadadtro - ok</t>
  </si>
  <si>
    <t>GT011.26</t>
  </si>
  <si>
    <t>COLCHONES DE GUATEMALA .S.A</t>
  </si>
  <si>
    <t>Cliente Novo (18/02)- proforma por artigo recusado por C. Florida GT</t>
  </si>
  <si>
    <t>A10093</t>
  </si>
  <si>
    <t xml:space="preserve">180-Tela pique A10374 180 gramos </t>
  </si>
  <si>
    <t xml:space="preserve">180-Tela pique A10327 180 gramos </t>
  </si>
  <si>
    <r>
      <t>180-Tela pique</t>
    </r>
    <r>
      <rPr>
        <b/>
        <sz val="9"/>
        <color theme="1"/>
        <rFont val="Helvetica"/>
      </rPr>
      <t xml:space="preserve"> A10373</t>
    </r>
    <r>
      <rPr>
        <sz val="9"/>
        <color theme="1"/>
        <rFont val="Helvetica"/>
      </rPr>
      <t xml:space="preserve"> 180 gramos </t>
    </r>
  </si>
  <si>
    <t>180-Tela pique A10332 180 gramos</t>
  </si>
  <si>
    <t>180-Tela Pique A10304  180 Gramos</t>
  </si>
  <si>
    <t>180-Tela Pique A10379</t>
  </si>
  <si>
    <t>330-Tela Pique Ice Cool A10378 330GR</t>
  </si>
  <si>
    <t xml:space="preserve">180-Tela pique  0073091 180 gramos </t>
  </si>
  <si>
    <t>240-TELA DISEÑO MUNDIAL FLORIDA 240 2,20 GRIS</t>
  </si>
  <si>
    <t>180-TELA 180 2,20  100% PES  BRANCO E PRETO</t>
  </si>
  <si>
    <t>OC 716</t>
  </si>
  <si>
    <t>pedido 20/02 - Dia de las Madres y Metric Black</t>
  </si>
  <si>
    <t>180-TELA PIQUE METRIC BLACK 180 2,20 CM NEGRO Y BLANCO</t>
  </si>
  <si>
    <t>220-TELA FLORES TE AMO MAMÁ 220 2,20 CM BLANCO Y SALMÓN</t>
  </si>
  <si>
    <t>cadastro códigos + preços</t>
  </si>
  <si>
    <t>A10202 (ID7087)&gt; A10439</t>
  </si>
  <si>
    <t>OC 14493</t>
  </si>
  <si>
    <t xml:space="preserve">OC 20/02   </t>
  </si>
  <si>
    <t>180-TELA PIQUE 0449001 180 2,20 CM BLANCO</t>
  </si>
  <si>
    <t>180 2,20 100% PES GRIS OSCURO</t>
  </si>
  <si>
    <t>180 2,20 100% GRIS PERLA</t>
  </si>
  <si>
    <r>
      <t>Pedido nuevo-producto antiguo- debe liberar fluxo Desarrollo-</t>
    </r>
    <r>
      <rPr>
        <sz val="11"/>
        <color rgb="FFC00000"/>
        <rFont val="Calibri"/>
        <family val="2"/>
        <scheme val="minor"/>
      </rPr>
      <t>ok</t>
    </r>
  </si>
  <si>
    <r>
      <t>CF7047 &gt; 0577002&gt;</t>
    </r>
    <r>
      <rPr>
        <b/>
        <sz val="8"/>
        <color theme="1"/>
        <rFont val="Helvetica"/>
      </rPr>
      <t xml:space="preserve"> 0578004</t>
    </r>
  </si>
  <si>
    <r>
      <t>CF7086 &gt;</t>
    </r>
    <r>
      <rPr>
        <b/>
        <sz val="8"/>
        <color theme="1"/>
        <rFont val="Helvetica"/>
      </rPr>
      <t xml:space="preserve"> A10440</t>
    </r>
  </si>
  <si>
    <t>TOTAL MTS/YDS</t>
  </si>
  <si>
    <t>250GR- TELA PIQUE CC001C/ LOGO CENTURY 250GR GRIS</t>
  </si>
  <si>
    <t>396006 &gt; 0396006 &gt; 0396026</t>
  </si>
  <si>
    <t>OC 2005972</t>
  </si>
  <si>
    <t>180-TELA PIQUE A10321 180 2,20 NEGRO Y BLANCO</t>
  </si>
  <si>
    <t>180-TELA PIQUE A10409 180 2,20 NEGRO Y SALMON (MADRES)</t>
  </si>
  <si>
    <t>MPTL0551 &gt; A10409 (6842)</t>
  </si>
  <si>
    <t>MPTL0016 &gt; A10305 (6300)</t>
  </si>
  <si>
    <t>180- TELA PIQUE A10305 180 2,20 MEZCLA</t>
  </si>
  <si>
    <t>MPTL0550 &gt; A10341 &gt; A10410 (6843)</t>
  </si>
  <si>
    <t>180- TELA PIQUE A10410 NEGRO Y SALMÓN</t>
  </si>
  <si>
    <t>4642&gt;4876</t>
  </si>
  <si>
    <r>
      <t>MPTL0532 &gt; A10373 &gt; 10321&gt;</t>
    </r>
    <r>
      <rPr>
        <b/>
        <sz val="8"/>
        <color rgb="FFC00000"/>
        <rFont val="Helvetica"/>
      </rPr>
      <t>A10445</t>
    </r>
  </si>
  <si>
    <r>
      <t>4642&gt;</t>
    </r>
    <r>
      <rPr>
        <b/>
        <sz val="11"/>
        <color rgb="FFC00000"/>
        <rFont val="Calibri"/>
        <family val="2"/>
        <scheme val="minor"/>
      </rPr>
      <t>4876</t>
    </r>
  </si>
  <si>
    <r>
      <t xml:space="preserve">Tela pique A10373&gt; </t>
    </r>
    <r>
      <rPr>
        <sz val="9"/>
        <color rgb="FFC00000"/>
        <rFont val="Helvetica"/>
      </rPr>
      <t>A10445</t>
    </r>
    <r>
      <rPr>
        <sz val="9"/>
        <rFont val="Helvetica"/>
      </rPr>
      <t xml:space="preserve"> 180 gramos </t>
    </r>
  </si>
  <si>
    <r>
      <t>MPTL0542&gt;MPTL0537 &gt; 0073091&gt;</t>
    </r>
    <r>
      <rPr>
        <b/>
        <sz val="8"/>
        <color rgb="FFC00000"/>
        <rFont val="Helvetica"/>
      </rPr>
      <t>0073111</t>
    </r>
  </si>
  <si>
    <r>
      <t>4553&gt;</t>
    </r>
    <r>
      <rPr>
        <b/>
        <sz val="11"/>
        <color rgb="FFC00000"/>
        <rFont val="Calibri"/>
        <family val="2"/>
        <scheme val="minor"/>
      </rPr>
      <t>4551</t>
    </r>
  </si>
  <si>
    <r>
      <t>MPTL0544&gt; MPTL0539 &gt; A10332/0269071&gt;</t>
    </r>
    <r>
      <rPr>
        <b/>
        <sz val="8"/>
        <color rgb="FFC00000"/>
        <rFont val="Helvetica"/>
      </rPr>
      <t>0269171</t>
    </r>
  </si>
  <si>
    <r>
      <t>4660&gt;</t>
    </r>
    <r>
      <rPr>
        <b/>
        <sz val="11"/>
        <color rgb="FFC00000"/>
        <rFont val="Calibri"/>
        <family val="2"/>
        <scheme val="minor"/>
      </rPr>
      <t>4879</t>
    </r>
  </si>
  <si>
    <r>
      <t>Tela pique 0073091&gt;</t>
    </r>
    <r>
      <rPr>
        <sz val="9"/>
        <color rgb="FFC00000"/>
        <rFont val="Helvetica"/>
      </rPr>
      <t>0073111</t>
    </r>
    <r>
      <rPr>
        <sz val="9"/>
        <rFont val="Helvetica"/>
      </rPr>
      <t xml:space="preserve"> 180 gramos</t>
    </r>
  </si>
  <si>
    <r>
      <t>Tela pique A10332 &gt;</t>
    </r>
    <r>
      <rPr>
        <sz val="9"/>
        <color rgb="FFC00000"/>
        <rFont val="Helvetica"/>
      </rPr>
      <t xml:space="preserve"> 0269171</t>
    </r>
    <r>
      <rPr>
        <sz val="9"/>
        <rFont val="Helvetica"/>
      </rPr>
      <t xml:space="preserve"> 180 gramos</t>
    </r>
  </si>
  <si>
    <r>
      <t xml:space="preserve">MPTL0020 &gt; </t>
    </r>
    <r>
      <rPr>
        <strike/>
        <sz val="8"/>
        <color theme="1"/>
        <rFont val="Helvetica"/>
      </rPr>
      <t xml:space="preserve">MPTL0532/  </t>
    </r>
    <r>
      <rPr>
        <b/>
        <sz val="8"/>
        <color rgb="FFC00000"/>
        <rFont val="Helvetica"/>
      </rPr>
      <t xml:space="preserve">A10321 </t>
    </r>
    <r>
      <rPr>
        <sz val="8"/>
        <color theme="1"/>
        <rFont val="Helvetica"/>
      </rPr>
      <t>(6299)</t>
    </r>
  </si>
  <si>
    <r>
      <t xml:space="preserve">Tela pique </t>
    </r>
    <r>
      <rPr>
        <b/>
        <sz val="9"/>
        <color rgb="FFC00000"/>
        <rFont val="Helvetica"/>
      </rPr>
      <t>A10332</t>
    </r>
    <r>
      <rPr>
        <sz val="9"/>
        <color theme="1"/>
        <rFont val="Helvetica"/>
      </rPr>
      <t xml:space="preserve"> 180 gramos </t>
    </r>
  </si>
  <si>
    <r>
      <t>MPTL05</t>
    </r>
    <r>
      <rPr>
        <sz val="8"/>
        <rFont val="Helvetica"/>
      </rPr>
      <t xml:space="preserve">39&gt;(A10322) </t>
    </r>
    <r>
      <rPr>
        <sz val="8"/>
        <color theme="1"/>
        <rFont val="Helvetica"/>
      </rPr>
      <t xml:space="preserve">(id6347)&gt; </t>
    </r>
    <r>
      <rPr>
        <b/>
        <sz val="8"/>
        <color rgb="FFC00000"/>
        <rFont val="Helvetica"/>
      </rPr>
      <t xml:space="preserve"> 2004106 / A10332 </t>
    </r>
  </si>
  <si>
    <t>4553&gt;4551</t>
  </si>
  <si>
    <t>4660&gt;4879</t>
  </si>
  <si>
    <t>MPTL0526 &gt; A10308 &gt; A10336</t>
  </si>
  <si>
    <t>MPTL0526 &gt; A10308 &gt; A10336 (6650)</t>
  </si>
  <si>
    <r>
      <t xml:space="preserve">0149081 (7068) &gt; </t>
    </r>
    <r>
      <rPr>
        <b/>
        <sz val="8"/>
        <color theme="1"/>
        <rFont val="Helvetica"/>
      </rPr>
      <t xml:space="preserve"> 0149141</t>
    </r>
  </si>
  <si>
    <r>
      <t>A10279 (7065) &gt;</t>
    </r>
    <r>
      <rPr>
        <b/>
        <sz val="8"/>
        <color theme="1"/>
        <rFont val="Helvetica"/>
      </rPr>
      <t xml:space="preserve"> A10451</t>
    </r>
  </si>
  <si>
    <r>
      <t>0269071 (ID7066) &gt;</t>
    </r>
    <r>
      <rPr>
        <b/>
        <sz val="8"/>
        <color theme="1"/>
        <rFont val="Helvetica"/>
      </rPr>
      <t xml:space="preserve"> 0269101</t>
    </r>
  </si>
  <si>
    <r>
      <t xml:space="preserve">0091002 (ID7070) &gt; </t>
    </r>
    <r>
      <rPr>
        <b/>
        <sz val="8"/>
        <color theme="1"/>
        <rFont val="Helvetica"/>
      </rPr>
      <t>0091001</t>
    </r>
  </si>
  <si>
    <r>
      <t xml:space="preserve">DR7077 (ID7077) &gt;  </t>
    </r>
    <r>
      <rPr>
        <b/>
        <sz val="8"/>
        <color theme="1"/>
        <rFont val="Helvetica"/>
      </rPr>
      <t>A10448</t>
    </r>
  </si>
  <si>
    <t>OC 14541</t>
  </si>
  <si>
    <t>OC 12/03</t>
  </si>
  <si>
    <t>documentado</t>
  </si>
  <si>
    <t>NEW</t>
  </si>
  <si>
    <t>OC 2006042</t>
  </si>
  <si>
    <t>12/03/2026  - revisando</t>
  </si>
  <si>
    <t>OC 14546</t>
  </si>
  <si>
    <t>OC 13/03 - código validado-prodto rechazado por Florida (A10093)</t>
  </si>
  <si>
    <t>A10093  MP26699</t>
  </si>
  <si>
    <t>CXLD</t>
  </si>
  <si>
    <t>NO VENDIDO</t>
  </si>
  <si>
    <t>180-TP CUADROS AZUL 180G</t>
  </si>
  <si>
    <t>0548001 (MPTL0547 - ID 6732)</t>
  </si>
  <si>
    <t>200-TELA WORLDCUP BOLA BLANCO Y AZUL 200 2,20</t>
  </si>
  <si>
    <t>pendiente revalidación de código y precio/ Ok- revalido com César (18/03)</t>
  </si>
  <si>
    <t>ok - código</t>
  </si>
  <si>
    <t>27/03/2026  - compra saldo de la producción de Zonkd</t>
  </si>
  <si>
    <t>abr-26</t>
  </si>
  <si>
    <t xml:space="preserve">180G- 190 2,20 PES CM AZUL CLARO </t>
  </si>
  <si>
    <t>180G- 180 2,20 PES CM NEGRO</t>
  </si>
  <si>
    <t>TELA PIQUE ELEGANCE/MAJESTIC/JAPI/ EE WAY/RELAX PRO (CARA)</t>
  </si>
  <si>
    <r>
      <rPr>
        <b/>
        <sz val="8"/>
        <color theme="1"/>
        <rFont val="Helvetica"/>
      </rPr>
      <t xml:space="preserve">A10318  </t>
    </r>
    <r>
      <rPr>
        <sz val="8"/>
        <color theme="1"/>
        <rFont val="Helvetica"/>
      </rPr>
      <t>(</t>
    </r>
    <r>
      <rPr>
        <b/>
        <sz val="8"/>
        <color theme="1"/>
        <rFont val="Helvetica"/>
      </rPr>
      <t>Karen Gry 230 Zonkd</t>
    </r>
    <r>
      <rPr>
        <sz val="8"/>
        <color theme="1"/>
        <rFont val="Helvetica"/>
      </rPr>
      <t>) / Saldo</t>
    </r>
  </si>
  <si>
    <r>
      <t xml:space="preserve">ID 7012 / </t>
    </r>
    <r>
      <rPr>
        <b/>
        <sz val="8"/>
        <color theme="1"/>
        <rFont val="Helvetica"/>
      </rPr>
      <t>0066031</t>
    </r>
  </si>
  <si>
    <r>
      <t xml:space="preserve">ID 7014 / </t>
    </r>
    <r>
      <rPr>
        <b/>
        <sz val="8"/>
        <color theme="1"/>
        <rFont val="Helvetica"/>
      </rPr>
      <t>0292031</t>
    </r>
  </si>
  <si>
    <t>Ok- versiones originales cotizadas según R. Mena (30/03)</t>
  </si>
  <si>
    <t>GT012.26</t>
  </si>
  <si>
    <t>Proforma aprovada BLANCO 100%</t>
  </si>
  <si>
    <r>
      <t xml:space="preserve">220 TELA CAPRI </t>
    </r>
    <r>
      <rPr>
        <b/>
        <sz val="9"/>
        <color theme="1"/>
        <rFont val="Helvetica"/>
      </rPr>
      <t>BLANCA</t>
    </r>
    <r>
      <rPr>
        <sz val="9"/>
        <color theme="1"/>
        <rFont val="Helvetica"/>
      </rPr>
      <t xml:space="preserve"> 220 2,20 </t>
    </r>
  </si>
  <si>
    <t>ok- código nuevo</t>
  </si>
  <si>
    <r>
      <t xml:space="preserve">(CP7248)&gt; </t>
    </r>
    <r>
      <rPr>
        <b/>
        <sz val="8"/>
        <color theme="1"/>
        <rFont val="Helvetica"/>
      </rPr>
      <t>A10469</t>
    </r>
  </si>
  <si>
    <t>MT/YD</t>
  </si>
  <si>
    <t>Suma de MT/YD</t>
  </si>
  <si>
    <r>
      <rPr>
        <b/>
        <sz val="8"/>
        <color rgb="FFC00000"/>
        <rFont val="Helvetica"/>
      </rPr>
      <t>A10308 &gt; A10471</t>
    </r>
    <r>
      <rPr>
        <sz val="8"/>
        <color rgb="FFC00000"/>
        <rFont val="Helvetica"/>
      </rPr>
      <t xml:space="preserve"> (MPTL0010)</t>
    </r>
  </si>
  <si>
    <r>
      <rPr>
        <b/>
        <sz val="8"/>
        <color rgb="FFC00000"/>
        <rFont val="Helvetica"/>
      </rPr>
      <t xml:space="preserve">A10375 &gt; A10472 </t>
    </r>
    <r>
      <rPr>
        <sz val="8"/>
        <color rgb="FFC00000"/>
        <rFont val="Helvetica"/>
      </rPr>
      <t xml:space="preserve"> (MPTL0012)</t>
    </r>
  </si>
  <si>
    <t xml:space="preserve">revisión códigos para diferenciar Facenco de Fadessa-Ok </t>
  </si>
  <si>
    <t>180 GR - TP DISEÑO X34-43 180 2,20 100% PES BLANCO Y ARENA</t>
  </si>
  <si>
    <t xml:space="preserve">180GR - TELA PIQUÉ 180 GR 2,20 BLANCO </t>
  </si>
  <si>
    <t>180GR - TELA PIQUÉ DISEÑO AZUL MARINO 180GR 2,20</t>
  </si>
  <si>
    <t>180GR - TELA PIQUÉ DISEÑO FARAN/ SALMON Y GRIS PERLA 180GR 2,20</t>
  </si>
  <si>
    <t>180GR - TELA PIQUÉ FONDO BLANCO DISEÑO CAFÉ 0149011&gt;0149121</t>
  </si>
  <si>
    <t>180GR-TELA PIQUE NEGRO LISO- C.E. CM 0149091 -</t>
  </si>
  <si>
    <t xml:space="preserve">180-Tela pique A10373 180 gramos </t>
  </si>
  <si>
    <t xml:space="preserve">200 GR - TELA PIQUE QUETZALTENAGO MONUMENTOS BRANCO COM BEGE AREIA </t>
  </si>
  <si>
    <t xml:space="preserve">200 GR - TELA PIQUE QUETZALTENAGO MONUMENTOS c/LOGO - BLANCO &amp; BEIGE ARENA </t>
  </si>
  <si>
    <t xml:space="preserve">200GR -TELA EST TIPO PIQUE 200GR- GRIS -A10092 </t>
  </si>
  <si>
    <t>200GR- TELA EST TIPO PIQUE 200GR- GRIS -A10092 CE AMOSTR DV U</t>
  </si>
  <si>
    <t>210GR -TELA PIQUE HEALTHY BED 210GR</t>
  </si>
  <si>
    <t xml:space="preserve">220 TELA CAPRI BLANCA 220 2,20 </t>
  </si>
  <si>
    <t>220GR - FABRIC DOUBLE KNIT KAREN 100% PES 220GR 2,30A</t>
  </si>
  <si>
    <t>220GR-TELA PIQUE CUADROS AZULES Y PLATEADOS (A10093) 220GR</t>
  </si>
  <si>
    <t>240GR - TELA PIQUE DISEÑO 0242001 CE DV U</t>
  </si>
  <si>
    <t>280GR- TELA PIQUE 40199367 280GR 2,25A</t>
  </si>
  <si>
    <t>300 GR- TELA POLYFIBRAS PES 210 ANCHO 300 GR ICE</t>
  </si>
  <si>
    <t>300GR -TELA POLYFIBRAS PES 210 ANCHO 300 GR ICE- POLYFRIBRAS G 300, A 2,10</t>
  </si>
  <si>
    <t>Tela pique 0073091&gt;0073111 180 gramos</t>
  </si>
  <si>
    <t>Tela pique A10332 &gt; 0269171 180 gramos</t>
  </si>
  <si>
    <t xml:space="preserve">Tela pique A10332 180 gramos </t>
  </si>
  <si>
    <t xml:space="preserve">Tela pique A10373&gt; A10445 180 gramos </t>
  </si>
  <si>
    <t>09/04 - pdto nuevo "Edición Madres" para Fadessa(mismo diseño Facenco GT)</t>
  </si>
  <si>
    <t>180-TELA PIQUE A10409 180 2,20 NEGRO Y SALMON (EDIC. MADRES)</t>
  </si>
  <si>
    <t>MPTL0551 &gt; A10409 (7266)</t>
  </si>
  <si>
    <t>240G-TELA DISEÑO MUNDIAL FLORIDA 240 2,20 GRIS OSCURO</t>
  </si>
  <si>
    <r>
      <t xml:space="preserve">240G-TELA DISEÑO MUNDIAL FLORIDA 240 2,20 </t>
    </r>
    <r>
      <rPr>
        <b/>
        <sz val="9"/>
        <color theme="1"/>
        <rFont val="Helvetica"/>
      </rPr>
      <t>GRIS OSCURO</t>
    </r>
  </si>
  <si>
    <r>
      <t>MP26556/</t>
    </r>
    <r>
      <rPr>
        <b/>
        <sz val="8"/>
        <color theme="1"/>
        <rFont val="Helvetica"/>
      </rPr>
      <t>A10417</t>
    </r>
    <r>
      <rPr>
        <sz val="8"/>
        <color theme="1"/>
        <rFont val="Helvetica"/>
      </rPr>
      <t xml:space="preserve"> (ID6887) &gt;</t>
    </r>
    <r>
      <rPr>
        <b/>
        <sz val="8"/>
        <color theme="1"/>
        <rFont val="Helvetica"/>
      </rPr>
      <t xml:space="preserve"> A10476</t>
    </r>
  </si>
  <si>
    <t>445-446</t>
  </si>
  <si>
    <t>SOP GT - REAL</t>
  </si>
  <si>
    <t>473-496</t>
  </si>
  <si>
    <t>494-507</t>
  </si>
  <si>
    <t>523 - 524</t>
  </si>
  <si>
    <t>550-551-552</t>
  </si>
  <si>
    <t>538-539</t>
  </si>
  <si>
    <t>ok - codigo aprobado App -ok precio/urgent</t>
  </si>
  <si>
    <t>CLIENTE/OC</t>
  </si>
  <si>
    <t>MP26556/A10417 (ID6887) &gt; A10476</t>
  </si>
  <si>
    <t>PROGRAMACION PRODUCCIÓN REAL (SOP)</t>
  </si>
  <si>
    <t>Info enviada por Igor</t>
  </si>
  <si>
    <t>GT013.26</t>
  </si>
  <si>
    <t>CAMAS Y COLCHONES DE NICARAGUA</t>
  </si>
  <si>
    <t>14/04 - CLIENTE NOVO - PEDIDO EM MAÕS</t>
  </si>
  <si>
    <t xml:space="preserve">TELA MUNDIAL REVISADO </t>
  </si>
  <si>
    <t>ESPERA VALIDACION TERCER ITEM -- PRECIOS REVISADOS Y AJUSTADOS 2026</t>
  </si>
  <si>
    <t>14/4 -codigo aprovado - aguarda liberação desenho Mau</t>
  </si>
  <si>
    <t xml:space="preserve">320G-TELA PIQUE 70%PES 30% PE CM AZUL MARINO Y BLANCO ARCTIC BREEZE </t>
  </si>
  <si>
    <t>OK CLIENTE - LIBERAR CODIGOS</t>
  </si>
  <si>
    <t>CAMAS Y RESORTES NICARAGUA (C. KAREN)</t>
  </si>
  <si>
    <t>Nicaragua</t>
  </si>
  <si>
    <t>220G-TAPA 100% PES CM NEGRO Y BLANCO</t>
  </si>
  <si>
    <t>180G-BANDA 100% PES PL NEGRA</t>
  </si>
  <si>
    <t>180G TP BLANCO BRILLANTE  40131300</t>
  </si>
  <si>
    <t>190G TP BLANCO H-2760</t>
  </si>
  <si>
    <r>
      <t>MP26027</t>
    </r>
    <r>
      <rPr>
        <b/>
        <sz val="8"/>
        <color theme="1"/>
        <rFont val="Helvetica"/>
      </rPr>
      <t>/A10246</t>
    </r>
  </si>
  <si>
    <r>
      <t>200G-TELA PIQUE TL60250 /L152-64 RAYAS ONDULADAS</t>
    </r>
    <r>
      <rPr>
        <b/>
        <sz val="9"/>
        <rFont val="Helvetica"/>
      </rPr>
      <t xml:space="preserve"> NEGRO</t>
    </r>
  </si>
  <si>
    <r>
      <t>MPTL0825/</t>
    </r>
    <r>
      <rPr>
        <b/>
        <sz val="8"/>
        <color theme="1"/>
        <rFont val="Helvetica"/>
      </rPr>
      <t>0269171</t>
    </r>
    <r>
      <rPr>
        <sz val="8"/>
        <color theme="1"/>
        <rFont val="Helvetica"/>
      </rPr>
      <t xml:space="preserve"> (ID7205)</t>
    </r>
  </si>
  <si>
    <r>
      <t>MPTL0239&gt;</t>
    </r>
    <r>
      <rPr>
        <b/>
        <sz val="8"/>
        <color theme="1"/>
        <rFont val="Helvetica"/>
      </rPr>
      <t>A10325</t>
    </r>
    <r>
      <rPr>
        <sz val="8"/>
        <color theme="1"/>
        <rFont val="Helvetica"/>
      </rPr>
      <t xml:space="preserve"> (id6327)</t>
    </r>
  </si>
  <si>
    <r>
      <t>MPTL0419&gt;</t>
    </r>
    <r>
      <rPr>
        <b/>
        <sz val="8"/>
        <color theme="1"/>
        <rFont val="Helvetica"/>
      </rPr>
      <t>A10416</t>
    </r>
    <r>
      <rPr>
        <sz val="8"/>
        <color theme="1"/>
        <rFont val="Helvetica"/>
      </rPr>
      <t xml:space="preserve">  (id6799)</t>
    </r>
  </si>
  <si>
    <r>
      <t xml:space="preserve">180GR - TELA PIQUE DISEÑO DM548-14 </t>
    </r>
    <r>
      <rPr>
        <b/>
        <sz val="9"/>
        <color theme="1"/>
        <rFont val="Helvetica"/>
      </rPr>
      <t>OLAS AZUL MARINO</t>
    </r>
    <r>
      <rPr>
        <sz val="9"/>
        <color theme="1"/>
        <rFont val="Helvetica"/>
      </rPr>
      <t xml:space="preserve"> MP26667</t>
    </r>
  </si>
  <si>
    <r>
      <t xml:space="preserve">240g-TELA PIQUE TL80918/L152-1647 </t>
    </r>
    <r>
      <rPr>
        <b/>
        <sz val="9"/>
        <color theme="1"/>
        <rFont val="Helvetica"/>
      </rPr>
      <t>PUNTOS GRISES CONEXAO</t>
    </r>
  </si>
  <si>
    <r>
      <t xml:space="preserve">320G-TELA PIQUE 70%PES 30% PE CM </t>
    </r>
    <r>
      <rPr>
        <b/>
        <sz val="9"/>
        <color theme="1"/>
        <rFont val="Helvetica"/>
      </rPr>
      <t>AZUL MARINO Y BLANCO</t>
    </r>
    <r>
      <rPr>
        <sz val="9"/>
        <color theme="1"/>
        <rFont val="Helvetica"/>
      </rPr>
      <t xml:space="preserve"> ARCTIC BREEZE </t>
    </r>
  </si>
  <si>
    <t>incluir precio actualizado en tabla del cliente</t>
  </si>
  <si>
    <r>
      <t xml:space="preserve">0147025 (id 7355)&gt; </t>
    </r>
    <r>
      <rPr>
        <b/>
        <sz val="8"/>
        <color theme="1"/>
        <rFont val="Helvetica"/>
      </rPr>
      <t xml:space="preserve"> 0147081</t>
    </r>
  </si>
  <si>
    <r>
      <t>0148021 (id7356) &gt;</t>
    </r>
    <r>
      <rPr>
        <b/>
        <sz val="8"/>
        <color theme="1"/>
        <rFont val="Helvetica"/>
      </rPr>
      <t xml:space="preserve"> 0148101</t>
    </r>
  </si>
  <si>
    <r>
      <t>0151011 (id7357) &gt;</t>
    </r>
    <r>
      <rPr>
        <b/>
        <sz val="8"/>
        <color theme="1"/>
        <rFont val="Helvetica"/>
      </rPr>
      <t xml:space="preserve"> 0151071</t>
    </r>
  </si>
  <si>
    <r>
      <t xml:space="preserve">AC7256 (id 7359) &gt; </t>
    </r>
    <r>
      <rPr>
        <b/>
        <sz val="8"/>
        <color theme="1"/>
        <rFont val="Helvetica"/>
      </rPr>
      <t>A10481</t>
    </r>
  </si>
  <si>
    <r>
      <t>MP26556/A10417 (ID6887) &gt;</t>
    </r>
    <r>
      <rPr>
        <b/>
        <sz val="8"/>
        <color theme="1"/>
        <rFont val="Helvetica"/>
      </rPr>
      <t xml:space="preserve"> A10476</t>
    </r>
  </si>
  <si>
    <t xml:space="preserve">220G-TAPA 100% PES CM NEGRO Y BLANCO  TL 081 - 0824 </t>
  </si>
  <si>
    <t>0K</t>
  </si>
  <si>
    <r>
      <rPr>
        <sz val="8"/>
        <color theme="1"/>
        <rFont val="Helvetica"/>
      </rPr>
      <t xml:space="preserve">MP26697 / </t>
    </r>
    <r>
      <rPr>
        <b/>
        <sz val="8"/>
        <color theme="1"/>
        <rFont val="Helvetica"/>
      </rPr>
      <t>0387001</t>
    </r>
  </si>
  <si>
    <r>
      <t>MPTL0152&gt;</t>
    </r>
    <r>
      <rPr>
        <b/>
        <sz val="8"/>
        <color theme="1"/>
        <rFont val="Helvetica"/>
      </rPr>
      <t>A10330</t>
    </r>
    <r>
      <rPr>
        <sz val="8"/>
        <color theme="1"/>
        <rFont val="Helvetica"/>
      </rPr>
      <t xml:space="preserve"> (id6803)</t>
    </r>
  </si>
  <si>
    <t>200G-TELA PIQUE TL60250 /L152-64 RAYAS ONDULADAS NEGRO</t>
  </si>
  <si>
    <r>
      <t>MP26667/</t>
    </r>
    <r>
      <rPr>
        <b/>
        <sz val="8"/>
        <color theme="1"/>
        <rFont val="Helvetica"/>
      </rPr>
      <t>A10245</t>
    </r>
    <r>
      <rPr>
        <sz val="8"/>
        <color theme="1"/>
        <rFont val="Helvetica"/>
      </rPr>
      <t xml:space="preserve">     (ID5934)</t>
    </r>
  </si>
  <si>
    <r>
      <t>0292022  (id 7358)&gt;</t>
    </r>
    <r>
      <rPr>
        <b/>
        <sz val="8"/>
        <color theme="1"/>
        <rFont val="Helvetica"/>
      </rPr>
      <t>0292051</t>
    </r>
  </si>
  <si>
    <t>16/04 - Cód de HDN&gt;crear pra GT | Atualizar preços 2 itens</t>
  </si>
  <si>
    <t>180G TP A10294 DISEÑOS Y FONDO GRIS</t>
  </si>
  <si>
    <t>180G TP A10321 180 2,20 FONDO GRIS OSCURO DISEÑOS GRIS CLARO</t>
  </si>
  <si>
    <t>180G TP A10409 DISEÑOS SALMÓN Y GRISES FONDO GRIS (MADRES)</t>
  </si>
  <si>
    <t>Agrd conf cod e preços GT</t>
  </si>
  <si>
    <t>GT014.26</t>
  </si>
  <si>
    <t>Tela pique A10305 180 gramos  marrón</t>
  </si>
  <si>
    <t>4632 / 4890?</t>
  </si>
  <si>
    <t>CY 2026</t>
  </si>
  <si>
    <t>proforma repitiendo último pedido / precios actualizados 22/04 y revisados 2da vez 23/04</t>
  </si>
  <si>
    <r>
      <t>MPTL0552&gt;</t>
    </r>
    <r>
      <rPr>
        <b/>
        <sz val="8"/>
        <color theme="1"/>
        <rFont val="Helvetica"/>
      </rPr>
      <t>A10484</t>
    </r>
  </si>
  <si>
    <r>
      <t>MPTL0020&gt;</t>
    </r>
    <r>
      <rPr>
        <b/>
        <sz val="8"/>
        <color theme="1"/>
        <rFont val="Helvetica"/>
      </rPr>
      <t>A10321</t>
    </r>
  </si>
  <si>
    <r>
      <t>MPTL0551&gt;</t>
    </r>
    <r>
      <rPr>
        <b/>
        <sz val="8"/>
        <color theme="1"/>
        <rFont val="Helvetica"/>
      </rPr>
      <t>A10409</t>
    </r>
  </si>
  <si>
    <r>
      <t>ID6299 - Atualizar preço &gt;</t>
    </r>
    <r>
      <rPr>
        <sz val="11"/>
        <rFont val="Calibri"/>
        <family val="2"/>
        <scheme val="minor"/>
      </rPr>
      <t xml:space="preserve"> 2,03 / sem fio preto</t>
    </r>
  </si>
  <si>
    <r>
      <t xml:space="preserve">ID6842 - Atualizar preço &gt; </t>
    </r>
    <r>
      <rPr>
        <sz val="11"/>
        <rFont val="Calibri"/>
        <family val="2"/>
        <scheme val="minor"/>
      </rPr>
      <t>2,03 /  sem fio preto</t>
    </r>
  </si>
  <si>
    <t>180G TP 0567001 FONDO AZUL, DISEÑO BALÓN 180G</t>
  </si>
  <si>
    <t>Agrd aprova cliente / Ok cliente</t>
  </si>
  <si>
    <t>0451051</t>
  </si>
  <si>
    <t>0414041</t>
  </si>
  <si>
    <t>0422011</t>
  </si>
  <si>
    <t>0426011</t>
  </si>
  <si>
    <t>0403011</t>
  </si>
  <si>
    <r>
      <t>ID6290 - Crear para GT &gt;</t>
    </r>
    <r>
      <rPr>
        <sz val="11"/>
        <rFont val="Calibri"/>
        <family val="2"/>
        <scheme val="minor"/>
      </rPr>
      <t xml:space="preserve">A10484 / </t>
    </r>
    <r>
      <rPr>
        <sz val="11"/>
        <color rgb="FFB90000"/>
        <rFont val="Calibri"/>
        <family val="2"/>
        <scheme val="minor"/>
      </rPr>
      <t>Sem fio preto/ Ok em App</t>
    </r>
  </si>
  <si>
    <r>
      <t>ID6839 - Crear para GT&gt;</t>
    </r>
    <r>
      <rPr>
        <sz val="11"/>
        <rFont val="Calibri"/>
        <family val="2"/>
        <scheme val="minor"/>
      </rPr>
      <t>0567011  / Ok em App</t>
    </r>
  </si>
  <si>
    <r>
      <t>Ajuste tela 100% Blanco/cambio de código A10460&gt;</t>
    </r>
    <r>
      <rPr>
        <b/>
        <sz val="11"/>
        <color theme="1"/>
        <rFont val="Calibri"/>
        <family val="2"/>
        <scheme val="minor"/>
      </rPr>
      <t xml:space="preserve">A10469|precio esp negociado $2,34/ </t>
    </r>
  </si>
  <si>
    <t>may-26</t>
  </si>
  <si>
    <t>PROG 
MES</t>
  </si>
  <si>
    <t>GT015.26 (OC161)</t>
  </si>
  <si>
    <t>CAMAS Y COLCHONES SUEÑOLANDIA</t>
  </si>
  <si>
    <t>OC161&gt; GT015.26</t>
  </si>
  <si>
    <t>GT016.26</t>
  </si>
  <si>
    <t>2 pedidos mismo producto autorizado Top-Down $ 4.352544/metro</t>
  </si>
  <si>
    <t>GT017.26</t>
  </si>
  <si>
    <t>jun-26</t>
  </si>
  <si>
    <t>GT016.26 (0C3938)</t>
  </si>
  <si>
    <t>GT017.26 (OC 3939)</t>
  </si>
  <si>
    <t>TELA 90% NYLON 10% POLYESTER 300G 2,10 ICE AIRY BLUE</t>
  </si>
  <si>
    <t>160 -Tela Prohfoam 1 (Blanco)  c/ogo 160G 2,10</t>
  </si>
  <si>
    <t>160 -Tela Prohfoam 2 (Blanco) c/ogo160g 2,10</t>
  </si>
  <si>
    <t>160-Tela Prohfoam 3 (Blanco) c/ogo 160G 2,10</t>
  </si>
  <si>
    <t>160-Tela Prohfoam 4 (Blanco) c/logo 160G 2,10</t>
  </si>
  <si>
    <t>160-Tela Prohfoam 5 (Blanco &amp; Negro) c/logo 160G 2,10</t>
  </si>
  <si>
    <t>160-Tela Prohfoam 6 (Blanco &amp;Negro) c/logo 160G 2,10</t>
  </si>
  <si>
    <t>160-Tela Prohfoam 7 (Blanco) c/logo 160G 2,10</t>
  </si>
  <si>
    <t>160-Tela Prohfoam 8 (Blanco &amp; Beige) c/logo 160G 2,10</t>
  </si>
  <si>
    <t>160-Tela Prohfoam 9  (Blanco &amp; Beige)  c/logo 160G 2,10</t>
  </si>
  <si>
    <t>160-Tela Prohfoam 10 (Blanco &amp; Beige) c/logo 16og 2,10</t>
  </si>
  <si>
    <t>160-Tela Prohfoam 11 (Blanco &amp; Beige) c/logo 160g 2,10</t>
  </si>
  <si>
    <t>160-Tela Prohfoam 12 (Blanco &amp; Gris) c/logo 160g 2,10</t>
  </si>
  <si>
    <t>160-Tela Prohfoam 13 (Blanco &amp; Gris) c/logo 160G 2,10</t>
  </si>
  <si>
    <t>160-Tela Prohfoam 14 (Blanco &amp; Gris) c/logo 160G 2,10</t>
  </si>
  <si>
    <t>160-Tela Prohfoam 15 (Blanco &amp; Negro) c/logo 160G 2,10</t>
  </si>
  <si>
    <t>160-Tela Prohfoam 16 (Blanco &amp; Beige) c/logo 160G 2,10</t>
  </si>
  <si>
    <t>160-Tela Prohfoam 17 (Blanco &amp; Beige) c/logo 160G 2,10</t>
  </si>
  <si>
    <t>TBC</t>
  </si>
  <si>
    <t>Sueñolandia</t>
  </si>
  <si>
    <t>Luxury Black (ID7216)</t>
  </si>
  <si>
    <t>Black (ID7215)</t>
  </si>
  <si>
    <t>Genérica Black (ID7225)</t>
  </si>
  <si>
    <t>CARA GRIS OSCURO AMARRE NEGRO 180G 2,20 100%PES</t>
  </si>
  <si>
    <t>CARA NEGRA AMARRE NEGRO 180G 2,20 100% PES</t>
  </si>
  <si>
    <t>CARA NEGRA AMARRE NEGRO (RELLENO BLANCO) 180G 2,20 100% PES</t>
  </si>
  <si>
    <t>pedidos autorizados Top to Down- Crear Cod Pdn</t>
  </si>
  <si>
    <t>ajuste precio - cotizado em fev</t>
  </si>
  <si>
    <t>precio ajustado mayo26</t>
  </si>
  <si>
    <t>CODE OC/
DISEÑO</t>
  </si>
  <si>
    <t>MP004528 / 0413001</t>
  </si>
  <si>
    <t>240G-TELA DISEÑO MUNDIAL FLORIDA 240 2,20 GRIS</t>
  </si>
  <si>
    <t>Prog.Mes</t>
  </si>
  <si>
    <t>Prog. Mes</t>
  </si>
  <si>
    <t>PROGRAMA MÊS</t>
  </si>
  <si>
    <t xml:space="preserve">GT018.26 </t>
  </si>
  <si>
    <t>pedido CO2606-08  -   Conforme email de RMena 050526</t>
  </si>
  <si>
    <t>CO2606-08 (GT018.26)</t>
  </si>
  <si>
    <t>Tela pique 4020014 180 gramos</t>
  </si>
  <si>
    <t>Tp  tratamiento Ice Cool  40131298 330 gramos</t>
  </si>
  <si>
    <t>TELA PIQUE MATERIAL 40131300 195 GRAMOS</t>
  </si>
  <si>
    <t>Tela Pique Material 40131462/ 280 Gramos</t>
  </si>
  <si>
    <t>Tela pique A10313 180 gramos</t>
  </si>
  <si>
    <t>Tela pique A10308 180 gramos</t>
  </si>
  <si>
    <t>Tela pique A10337 180 gramos</t>
  </si>
  <si>
    <t>Tela pique A10305 180 gramos</t>
  </si>
  <si>
    <t>Tela pique 242011 180 gramos</t>
  </si>
  <si>
    <t>Tela pique A10322 180 gramos</t>
  </si>
  <si>
    <t xml:space="preserve"> Prioridad </t>
  </si>
  <si>
    <t xml:space="preserve"> </t>
  </si>
  <si>
    <t>A10416</t>
  </si>
  <si>
    <t>0.402001</t>
  </si>
  <si>
    <t>A10378</t>
  </si>
  <si>
    <t>A10325</t>
  </si>
  <si>
    <t>A10304</t>
  </si>
  <si>
    <t>A10340</t>
  </si>
  <si>
    <t>A10313</t>
  </si>
  <si>
    <t>A10308</t>
  </si>
  <si>
    <t>A10327</t>
  </si>
  <si>
    <t>A10374</t>
  </si>
  <si>
    <t>A10309</t>
  </si>
  <si>
    <t>A10445</t>
  </si>
  <si>
    <t>A10450</t>
  </si>
  <si>
    <t>A10326</t>
  </si>
  <si>
    <t>A10386</t>
  </si>
  <si>
    <t>0.242011</t>
  </si>
  <si>
    <t>A10332</t>
  </si>
  <si>
    <t>0257055</t>
  </si>
  <si>
    <t>A10278</t>
  </si>
  <si>
    <t>MPTL0419/ A10416</t>
  </si>
  <si>
    <t>MPTL0330 A10331</t>
  </si>
  <si>
    <t>MPTL0537/0402001</t>
  </si>
  <si>
    <t>MPTL0307/A10378</t>
  </si>
  <si>
    <t>MPTL0239/A10325</t>
  </si>
  <si>
    <t>MPTL0408/A10304</t>
  </si>
  <si>
    <t>MPTL0521/A10340</t>
  </si>
  <si>
    <t>MPTL0525/A10313</t>
  </si>
  <si>
    <t>MPTL0526/A10308</t>
  </si>
  <si>
    <t>MPTL0527/A10327</t>
  </si>
  <si>
    <t>MPTL0528/A10374</t>
  </si>
  <si>
    <t>MPTL0529/A10309</t>
  </si>
  <si>
    <t>MPTL0532/A10445</t>
  </si>
  <si>
    <t>MPTL0533/A10450</t>
  </si>
  <si>
    <t>MPTL0534/A10326</t>
  </si>
  <si>
    <t>MPTL0535/A10386</t>
  </si>
  <si>
    <t>MPTL0538/0242011</t>
  </si>
  <si>
    <t>MPTL0539/A10332</t>
  </si>
  <si>
    <t>MPTL0540/0257055</t>
  </si>
  <si>
    <t>MPTL0543/A10278</t>
  </si>
  <si>
    <t>CO2605-09</t>
  </si>
  <si>
    <t>nuevo pedido urgente</t>
  </si>
  <si>
    <t>Prioridad</t>
  </si>
  <si>
    <t>Cliente recibió soló la mitad/ Solicita 5.000 restantes 06/05- entrega estimada 24junio</t>
  </si>
  <si>
    <t>precio ajustado 5mayo26/ recotizado 06mayo</t>
  </si>
  <si>
    <r>
      <rPr>
        <b/>
        <sz val="11"/>
        <color theme="1"/>
        <rFont val="Calibri"/>
        <family val="2"/>
        <scheme val="minor"/>
      </rPr>
      <t>Calcular 9%</t>
    </r>
    <r>
      <rPr>
        <sz val="11"/>
        <color theme="1"/>
        <rFont val="Calibri"/>
        <family val="2"/>
        <scheme val="minor"/>
      </rPr>
      <t xml:space="preserve"> encima del precio en lista y</t>
    </r>
    <r>
      <rPr>
        <b/>
        <sz val="11"/>
        <color theme="1"/>
        <rFont val="Calibri"/>
        <family val="2"/>
        <scheme val="minor"/>
      </rPr>
      <t xml:space="preserve"> actualizar en Sistema</t>
    </r>
  </si>
  <si>
    <t xml:space="preserve">ACCION </t>
  </si>
  <si>
    <t>4557-&gt; (4757)</t>
  </si>
  <si>
    <t>Tela pique  180 gramos negro</t>
  </si>
  <si>
    <t>Tela pique A10324 (A10386) 180 gramos Marrón</t>
  </si>
  <si>
    <t>precios actualizados</t>
  </si>
  <si>
    <t>PEDIDOS PARA AJUSTE DE PRECIOS - MAYO 2026 (GT)</t>
  </si>
  <si>
    <t>Tabla Precios</t>
  </si>
  <si>
    <r>
      <t>precio está actualizado/</t>
    </r>
    <r>
      <rPr>
        <b/>
        <sz val="11"/>
        <rFont val="Calibri"/>
        <family val="2"/>
        <scheme val="minor"/>
      </rPr>
      <t>Registrar en tabla de precios del cliente</t>
    </r>
  </si>
  <si>
    <t>Tela pique A10374 180 gramos</t>
  </si>
  <si>
    <r>
      <t>MPTL0548&gt;0567001 &gt;</t>
    </r>
    <r>
      <rPr>
        <b/>
        <sz val="8"/>
        <color theme="1"/>
        <rFont val="Helvetica"/>
      </rPr>
      <t>0567011</t>
    </r>
  </si>
  <si>
    <t>pedido 29/04 - precios ajustados</t>
  </si>
  <si>
    <r>
      <t>precios actualizados -</t>
    </r>
    <r>
      <rPr>
        <sz val="10"/>
        <color rgb="FFC00000"/>
        <rFont val="Calibri"/>
        <family val="2"/>
        <scheme val="minor"/>
      </rPr>
      <t xml:space="preserve"> faltan 2 códigos</t>
    </r>
  </si>
  <si>
    <t>190G TP AZUL MARINO Y CLARO 40132435</t>
  </si>
  <si>
    <t>A10331  - hilo azul claro</t>
  </si>
  <si>
    <r>
      <t>MPTL0330 &gt;</t>
    </r>
    <r>
      <rPr>
        <b/>
        <sz val="8"/>
        <rFont val="Helvetica"/>
      </rPr>
      <t xml:space="preserve"> A10331</t>
    </r>
  </si>
  <si>
    <t>Tela Pique material 40131357 195 gramos  azul claro</t>
  </si>
  <si>
    <r>
      <t xml:space="preserve">Tela Pique material 40131357 195 gramos  </t>
    </r>
    <r>
      <rPr>
        <b/>
        <sz val="11"/>
        <rFont val="Calibri"/>
        <family val="2"/>
        <scheme val="minor"/>
      </rPr>
      <t>azul claro</t>
    </r>
  </si>
  <si>
    <r>
      <t xml:space="preserve">Tela pique </t>
    </r>
    <r>
      <rPr>
        <b/>
        <strike/>
        <sz val="11"/>
        <rFont val="Calibri"/>
        <family val="2"/>
        <scheme val="minor"/>
      </rPr>
      <t>A10324</t>
    </r>
    <r>
      <rPr>
        <b/>
        <sz val="11"/>
        <rFont val="Calibri"/>
        <family val="2"/>
        <scheme val="minor"/>
      </rPr>
      <t xml:space="preserve"> (A10386) 180 gramos Marrón</t>
    </r>
  </si>
  <si>
    <t>MPTL0330 A10331 (id 6326)</t>
  </si>
  <si>
    <t>MPTL0239/A10329</t>
  </si>
  <si>
    <t>0548001&gt;0626001  (id7424)</t>
  </si>
  <si>
    <t>pedido tela mundial</t>
  </si>
  <si>
    <t>TP Mundialista Way (Cara) 180G Blanco y Azul Marino</t>
  </si>
  <si>
    <r>
      <t>180 2,20 TELA PIQUE VENECIA (CARA)  -</t>
    </r>
    <r>
      <rPr>
        <b/>
        <sz val="9"/>
        <color theme="1"/>
        <rFont val="Helvetica"/>
      </rPr>
      <t xml:space="preserve"> PERLA GRIS</t>
    </r>
  </si>
  <si>
    <r>
      <t>180 2,20 TELA PIQUE AURORA (CARA )</t>
    </r>
    <r>
      <rPr>
        <b/>
        <sz val="9"/>
        <rFont val="Helvetica"/>
      </rPr>
      <t xml:space="preserve"> &gt; </t>
    </r>
    <r>
      <rPr>
        <b/>
        <sz val="9"/>
        <color rgb="FFC00000"/>
        <rFont val="Helvetica"/>
      </rPr>
      <t xml:space="preserve"> BLANCO (12/05 cod revisado)</t>
    </r>
  </si>
  <si>
    <t>180 2,20 TELA PIQUE AURORA (CARA ) &gt;  BLANCO (12/05 cod revisado)</t>
  </si>
  <si>
    <t>GT019.26</t>
  </si>
  <si>
    <t>PEDIDO NOVO 22/05</t>
  </si>
  <si>
    <t>\</t>
  </si>
  <si>
    <t>200 2,20 100% PES CM NEGRO</t>
  </si>
  <si>
    <t>pedido nuevo/ preço atualizado ajuste 14%/ ok cliente</t>
  </si>
  <si>
    <t>pedido 132 bloqueado - fica em stand-by</t>
  </si>
  <si>
    <t>0071041 (id 7486)&gt; 0071081</t>
  </si>
  <si>
    <t>GT020.26</t>
  </si>
  <si>
    <t>CAPRI</t>
  </si>
  <si>
    <t>propuesta despúes de actualizar cotización</t>
  </si>
  <si>
    <t>Test Sistema realizados por Stefeny 29/05</t>
  </si>
  <si>
    <t>No aprovado por cliente 25/05- standby</t>
  </si>
  <si>
    <t>Média de PRECIO</t>
  </si>
  <si>
    <t>2026</t>
  </si>
  <si>
    <t>AVERAGE PRICE x CUSTOMER</t>
  </si>
  <si>
    <t>TOTAL MT/YD</t>
  </si>
  <si>
    <t xml:space="preserve">MPTL0419&gt; A10416 </t>
  </si>
  <si>
    <t>MPTL0537&gt;0402001</t>
  </si>
  <si>
    <t>MPTL0152&gt; A10330  </t>
  </si>
  <si>
    <t>MPTL0307&gt;A10378</t>
  </si>
  <si>
    <t>MPTL0541&gt;0392011</t>
  </si>
  <si>
    <t>330g -Tela Pique tratamiento Ice Cool 40131298</t>
  </si>
  <si>
    <t xml:space="preserve">180 -Tela pique 4020014 180 gramos </t>
  </si>
  <si>
    <t>180 -Tela pique 0392011 180 gramos</t>
  </si>
  <si>
    <t>pedido nuevo / actualizar precio junio26</t>
  </si>
  <si>
    <t>Cara gris oscuro y amarre negro 180G 2,20 100% PES</t>
  </si>
  <si>
    <t>Cara negra y amarre negra, relleno blanco  180G 2,20 100% PES</t>
  </si>
  <si>
    <t>2004783&gt;2004801</t>
  </si>
  <si>
    <t>Ok pedido com precios actualizados</t>
  </si>
  <si>
    <t>Ok cliente envio nueva OC</t>
  </si>
  <si>
    <t>195-Tela Pique blanca H-2760 195 gsm, 2.20 mts</t>
  </si>
  <si>
    <t>195-TELA PIQUE MATERIAL 40132435 195 GRAMOS</t>
  </si>
  <si>
    <t>Producto qu era de Ultra ya producido y vendido para Florida Hnd</t>
  </si>
  <si>
    <t>180 - Tela Pique 0292051 Gris Oscuro/Blanco</t>
  </si>
  <si>
    <t>(Todas)</t>
  </si>
  <si>
    <t>(Varios elementos)</t>
  </si>
  <si>
    <t>Florida Honduras</t>
  </si>
  <si>
    <r>
      <t>16021431/ 0292031&gt;</t>
    </r>
    <r>
      <rPr>
        <b/>
        <sz val="8"/>
        <color theme="1"/>
        <rFont val="Helvetica"/>
      </rPr>
      <t>0292061</t>
    </r>
  </si>
  <si>
    <t>Error - cliente nacional - operador 44 (Amabile) 03/06</t>
  </si>
  <si>
    <t>pedido novo - tela mundialista - precio de maio se mantem</t>
  </si>
  <si>
    <t>precio cotizado em mayo se mantien/ya com ajuste</t>
  </si>
  <si>
    <t>Cara negra y amarre negro 180G 2,20 100%PES  / 0081001 TP ML 180G DV U</t>
  </si>
  <si>
    <t>1 precisa copiar o desenho e o carlos pediu ao rodrigo uma foto melhor para isso/ok hecho</t>
  </si>
  <si>
    <t>Luxury Black - 0081001 (id7216)</t>
  </si>
  <si>
    <t>Black -  00811011 (id 7215)</t>
  </si>
  <si>
    <t>Genérica Black - CS7225 (id 7225)</t>
  </si>
  <si>
    <t>$11.184 / falta 1 código para cerrar pedido/Fup12/05 / OC em stand-by 20/05 / 4600mts/ ok 22/06</t>
  </si>
  <si>
    <t>pedido novo - lanzado com los ajustes de precio para propósitos de análisis / OC está desactualizada</t>
  </si>
  <si>
    <t>jul-26</t>
  </si>
  <si>
    <t>pedidos novos - ajuste de precios cotizados</t>
  </si>
  <si>
    <t xml:space="preserve">ID 7012 / 0066031  </t>
  </si>
  <si>
    <t>ID 7097 / 0449041</t>
  </si>
  <si>
    <t xml:space="preserve">(ID 5094) 0072081 </t>
  </si>
  <si>
    <t>GT021.26</t>
  </si>
  <si>
    <t>220GR- TELA P/COLCHON 220GR, CODIGO 0147025  - AZUL MARINO</t>
  </si>
  <si>
    <t>Agd aprov cliente 03/07</t>
  </si>
  <si>
    <t>(02/07) '0147025 &gt; 0147081 - Actualiza precio 02/07 / ultima compra oct-nov 2025</t>
  </si>
  <si>
    <t>PEDIDO NOVO 03/07 - para resolver problema producción cdigo errado proforma GT019.26</t>
  </si>
  <si>
    <t>GT022.26</t>
  </si>
  <si>
    <t>AC7716 / A10521 (ID 7716)</t>
  </si>
  <si>
    <t>180 2,10 100% PES PL NEGRO Y AZUL MARINO</t>
  </si>
  <si>
    <t>pedido nuevo -error via Whats - ver proforma</t>
  </si>
  <si>
    <t xml:space="preserve">producción equivocada/pedido 22.26 para resolver </t>
  </si>
  <si>
    <t>ago-26</t>
  </si>
  <si>
    <t>negociación dificl- finalmente aprobado 07/07</t>
  </si>
  <si>
    <t>pedido nuevo recibido 07/07</t>
  </si>
  <si>
    <r>
      <rPr>
        <strike/>
        <sz val="11"/>
        <rFont val="Calibri"/>
        <family val="2"/>
        <scheme val="minor"/>
      </rPr>
      <t>agrd aprova cliente -</t>
    </r>
    <r>
      <rPr>
        <sz val="11"/>
        <rFont val="Calibri"/>
        <family val="2"/>
        <scheme val="minor"/>
      </rPr>
      <t>&gt; OK APROBADO FIRMADA 07/07/2026</t>
    </r>
  </si>
  <si>
    <t>pedido nuevo 07/07/26</t>
  </si>
  <si>
    <t>0302140001 (ID6002)</t>
  </si>
  <si>
    <t>180G - TP 0292031&gt;02922061 GRIS OSCURO</t>
  </si>
  <si>
    <t>0292061 (5156)</t>
  </si>
  <si>
    <r>
      <rPr>
        <sz val="9"/>
        <color theme="1"/>
        <rFont val="Helvetica"/>
      </rPr>
      <t>240GR - TELA PIQUE DISEÑO 0242001 CE DV U</t>
    </r>
  </si>
  <si>
    <t>0602140001 (ID5256) A10176</t>
  </si>
  <si>
    <t>(Id 6730)&gt;A10391</t>
  </si>
  <si>
    <t>GT023.26</t>
  </si>
  <si>
    <t>INVERSIONES HOGAR FUTURA</t>
  </si>
  <si>
    <t>pedido material revenda - sobra de Zonkd</t>
  </si>
  <si>
    <t xml:space="preserve"> (Inv. Hogar Futura)/ saldo Zonkd- vendido </t>
  </si>
  <si>
    <t>Closeout fabrics (Zonkd para Century)</t>
  </si>
  <si>
    <t>Q. 16,75 = Q. 45,225,00</t>
  </si>
  <si>
    <t>F-Karen-230 GRY (A10318)  - SALDO</t>
  </si>
  <si>
    <t xml:space="preserve">cancelado </t>
  </si>
  <si>
    <t xml:space="preserve">pedido nuevo/validando códigos com alteración del hilo 75/36 </t>
  </si>
  <si>
    <t>Validación de códigos/ Hilo - entrega para agosto</t>
  </si>
  <si>
    <t>Validación de códigos / espera OC del cliente</t>
  </si>
  <si>
    <t>MPTL0409 (ID 7474)</t>
  </si>
  <si>
    <t>MPTL0161 (ID 7475)</t>
  </si>
  <si>
    <r>
      <t>MPTL0012 /</t>
    </r>
    <r>
      <rPr>
        <b/>
        <sz val="8"/>
        <color theme="1"/>
        <rFont val="Helvetica"/>
      </rPr>
      <t xml:space="preserve"> A10472B</t>
    </r>
  </si>
  <si>
    <r>
      <t>MPTL0549 /</t>
    </r>
    <r>
      <rPr>
        <b/>
        <sz val="8"/>
        <color theme="1"/>
        <rFont val="Helvetica"/>
      </rPr>
      <t xml:space="preserve"> A0073091</t>
    </r>
    <r>
      <rPr>
        <sz val="8"/>
        <color theme="1"/>
        <rFont val="Helvetica"/>
      </rPr>
      <t xml:space="preserve"> </t>
    </r>
    <r>
      <rPr>
        <sz val="8"/>
        <color theme="0"/>
        <rFont val="Helvetica"/>
      </rPr>
      <t>(ID6841)</t>
    </r>
  </si>
  <si>
    <r>
      <t xml:space="preserve">MPTL0280 / </t>
    </r>
    <r>
      <rPr>
        <b/>
        <sz val="8"/>
        <color theme="1"/>
        <rFont val="Helvetica"/>
      </rPr>
      <t>A0056001</t>
    </r>
    <r>
      <rPr>
        <sz val="8"/>
        <color theme="0"/>
        <rFont val="Helvetica"/>
      </rPr>
      <t xml:space="preserve"> (ID6271)</t>
    </r>
  </si>
  <si>
    <r>
      <t xml:space="preserve">MPTL0392 / </t>
    </r>
    <r>
      <rPr>
        <b/>
        <sz val="8"/>
        <color theme="1"/>
        <rFont val="Helvetica"/>
      </rPr>
      <t>A0149121</t>
    </r>
    <r>
      <rPr>
        <sz val="8"/>
        <color theme="1"/>
        <rFont val="Helvetica"/>
      </rPr>
      <t xml:space="preserve"> </t>
    </r>
    <r>
      <rPr>
        <sz val="8"/>
        <color theme="0" tint="-4.9989318521683403E-2"/>
        <rFont val="Helvetica"/>
      </rPr>
      <t>(ID6215)</t>
    </r>
  </si>
  <si>
    <r>
      <t>Círculos con líneas oscilatorias 180gsm  -</t>
    </r>
    <r>
      <rPr>
        <sz val="9"/>
        <color rgb="FFC00000"/>
        <rFont val="Helvetica"/>
      </rPr>
      <t xml:space="preserve"> pdto con hilo 75/36</t>
    </r>
  </si>
  <si>
    <r>
      <t>Azul marino 220gsm 2,20L -</t>
    </r>
    <r>
      <rPr>
        <sz val="9"/>
        <color rgb="FFC00000"/>
        <rFont val="Helvetica"/>
      </rPr>
      <t xml:space="preserve"> pdto con hilo 75/36</t>
    </r>
  </si>
  <si>
    <r>
      <t xml:space="preserve">Azul claro 180gsm  - </t>
    </r>
    <r>
      <rPr>
        <sz val="9"/>
        <color rgb="FFC00000"/>
        <rFont val="Helvetica"/>
      </rPr>
      <t>pdto con hilo 75/36</t>
    </r>
  </si>
  <si>
    <t>TP 40132436 180GSM  MARRON 100% PES CM</t>
  </si>
  <si>
    <t>TP 40130605 180GSM SALMÓN 100% PES CM</t>
  </si>
  <si>
    <r>
      <t xml:space="preserve">MPTL0342 / </t>
    </r>
    <r>
      <rPr>
        <b/>
        <sz val="8"/>
        <color theme="1"/>
        <rFont val="Helvetica"/>
      </rPr>
      <t>A10307</t>
    </r>
  </si>
  <si>
    <r>
      <t>Negro, blanco 180gsm - -</t>
    </r>
    <r>
      <rPr>
        <sz val="9"/>
        <color rgb="FFC00000"/>
        <rFont val="Helvetica"/>
      </rPr>
      <t xml:space="preserve"> pdto con hilo 75/36</t>
    </r>
  </si>
  <si>
    <r>
      <t>MPTL0020 /</t>
    </r>
    <r>
      <rPr>
        <b/>
        <sz val="8"/>
        <color theme="1"/>
        <rFont val="Helvetica"/>
      </rPr>
      <t>A10321C</t>
    </r>
    <r>
      <rPr>
        <sz val="8"/>
        <rFont val="Helvetica"/>
      </rPr>
      <t xml:space="preserve"> </t>
    </r>
    <r>
      <rPr>
        <sz val="8"/>
        <color theme="0" tint="-4.9989318521683403E-2"/>
        <rFont val="Helvetica"/>
      </rPr>
      <t>(ID6299)</t>
    </r>
  </si>
  <si>
    <r>
      <t>Fondo blanco y arena 180gsm - (</t>
    </r>
    <r>
      <rPr>
        <i/>
        <sz val="9"/>
        <color theme="5" tint="-0.499984740745262"/>
        <rFont val="Helvetica"/>
      </rPr>
      <t>Ojo con la versión)</t>
    </r>
  </si>
  <si>
    <t>Azul, negro y blanco 180gsm (ERGOM)</t>
  </si>
  <si>
    <t>pedido nuevo enviado via WA x CR (20/07)  - validando códigos (ID 7474 / 7475)</t>
  </si>
  <si>
    <t>Círculos con líneas oscilatorias 180gsm  - pdto con hilo 75/36</t>
  </si>
  <si>
    <t>Azul marino 220gsm 2,20L - pdto con hilo 75/36</t>
  </si>
  <si>
    <t>Fondo blanco y arena 180gsm - (Ojo con la versión)</t>
  </si>
  <si>
    <t>Azul claro 180gsm  - pdto con hilo 75/36</t>
  </si>
  <si>
    <t>Negro, blanco 180gsm - - pdto con hilo 75/36</t>
  </si>
  <si>
    <t>ok pedido nuevo</t>
  </si>
  <si>
    <t>180G TP A10321&gt;A10321C Negro, blanco 180gsm- pdto con hilo 75/36</t>
  </si>
  <si>
    <t>pedido nuevo, recibido via WhatsApp (24/7) - alineado 27/7 - Igor</t>
  </si>
  <si>
    <t>GT024.26</t>
  </si>
  <si>
    <t>proforma repitiendo último pedido de abril26 / revisar precios- OK - agrd aprov cliente</t>
  </si>
  <si>
    <t>pedido nuevo enviado via WA  29/7--* OC cliente misma numeración, dif pdtos anterior</t>
  </si>
  <si>
    <t>2005059  b</t>
  </si>
  <si>
    <t>Tela pique 0392011 180 gramos Gris Oscuro</t>
  </si>
  <si>
    <t>2005059  *b</t>
  </si>
  <si>
    <t>MPTL0541&gt;0392011 (ID7517)</t>
  </si>
  <si>
    <t>cadastrar tabela preço 306</t>
  </si>
  <si>
    <t>OC nueva - SKU no comprado desde sep25 - actualizar precio 03/08</t>
  </si>
  <si>
    <t>Tela piqué fondo gris con diseño material 149081 180gsm</t>
  </si>
  <si>
    <t>actualizar precio 03/08</t>
  </si>
  <si>
    <r>
      <t xml:space="preserve">MPTL0824 / 0149021&gt; </t>
    </r>
    <r>
      <rPr>
        <b/>
        <sz val="8"/>
        <color theme="1"/>
        <rFont val="Helvetica"/>
      </rPr>
      <t xml:space="preserve">0149081 (ID5272) </t>
    </r>
  </si>
  <si>
    <t>CONSUMO TELAS  x SKU - BASADO EN PEDIDOS  DOCUMENTADOS -  A PARTIR MAYO 2025</t>
  </si>
  <si>
    <t>GT025.26</t>
  </si>
  <si>
    <t>Proforma, pedido email/WA</t>
  </si>
  <si>
    <t>sep-26</t>
  </si>
  <si>
    <t>GT026.26</t>
  </si>
  <si>
    <t>180 2,20 100% PES CM MEZCLA</t>
  </si>
  <si>
    <t>Proforma, pedido email/WA / REPETICION SKU DE PEDIDO ANTERIOR ENTREGA OCT26</t>
  </si>
  <si>
    <t>entrega a principio octubre</t>
  </si>
  <si>
    <t>180 100% PES CM MEZCLA  - c/hilo 7536</t>
  </si>
  <si>
    <r>
      <t xml:space="preserve">MPTL0016 / </t>
    </r>
    <r>
      <rPr>
        <b/>
        <sz val="8"/>
        <color rgb="FFFF0000"/>
        <rFont val="Helvetica"/>
      </rPr>
      <t>A10369C</t>
    </r>
  </si>
  <si>
    <r>
      <rPr>
        <b/>
        <sz val="8"/>
        <color rgb="FFFF0000"/>
        <rFont val="Helvetica"/>
      </rPr>
      <t>MPTL0519</t>
    </r>
    <r>
      <rPr>
        <sz val="8"/>
        <color theme="1"/>
        <rFont val="Helvetica"/>
      </rPr>
      <t xml:space="preserve">/ </t>
    </r>
    <r>
      <rPr>
        <b/>
        <sz val="8"/>
        <color rgb="FFFF0000"/>
        <rFont val="Helvetica"/>
      </rPr>
      <t xml:space="preserve">A10374C  </t>
    </r>
    <r>
      <rPr>
        <b/>
        <sz val="8"/>
        <color theme="0"/>
        <rFont val="Helvetica"/>
      </rPr>
      <t>(ID6630)</t>
    </r>
  </si>
  <si>
    <r>
      <t xml:space="preserve">MPTL0010 / </t>
    </r>
    <r>
      <rPr>
        <b/>
        <sz val="8"/>
        <color rgb="FFFF0000"/>
        <rFont val="Helvetica"/>
      </rPr>
      <t>A10471C</t>
    </r>
    <r>
      <rPr>
        <b/>
        <sz val="8"/>
        <color theme="1"/>
        <rFont val="Helvetica"/>
      </rPr>
      <t xml:space="preserve"> </t>
    </r>
    <r>
      <rPr>
        <b/>
        <sz val="8"/>
        <color theme="0"/>
        <rFont val="Helvetica"/>
      </rPr>
      <t>(ID6301)</t>
    </r>
  </si>
  <si>
    <r>
      <t xml:space="preserve">MPTL0069 / </t>
    </r>
    <r>
      <rPr>
        <b/>
        <sz val="8"/>
        <color rgb="FFFF0000"/>
        <rFont val="Helvetica"/>
      </rPr>
      <t>B0269041</t>
    </r>
    <r>
      <rPr>
        <b/>
        <sz val="8"/>
        <color rgb="FFC00000"/>
        <rFont val="Helvetica"/>
      </rPr>
      <t xml:space="preserve"> </t>
    </r>
    <r>
      <rPr>
        <b/>
        <sz val="8"/>
        <color theme="0"/>
        <rFont val="Helvetica"/>
      </rPr>
      <t>(ID6084)</t>
    </r>
  </si>
  <si>
    <r>
      <t xml:space="preserve">MPTL0280  / </t>
    </r>
    <r>
      <rPr>
        <b/>
        <sz val="8"/>
        <color rgb="FFFF0000"/>
        <rFont val="Helvetica"/>
      </rPr>
      <t xml:space="preserve">A0056001B </t>
    </r>
    <r>
      <rPr>
        <b/>
        <sz val="8"/>
        <color theme="0"/>
        <rFont val="Helvetica"/>
      </rPr>
      <t>(ID6271)</t>
    </r>
  </si>
  <si>
    <t>SKU com fio 75/36</t>
  </si>
  <si>
    <r>
      <t xml:space="preserve">180 100% PES </t>
    </r>
    <r>
      <rPr>
        <b/>
        <sz val="9"/>
        <color rgb="FFFF0000"/>
        <rFont val="Helvetica"/>
      </rPr>
      <t xml:space="preserve">CM </t>
    </r>
    <r>
      <rPr>
        <b/>
        <sz val="9"/>
        <color theme="1"/>
        <rFont val="Helvetica"/>
      </rPr>
      <t>NEGRO  -  c/hilo 7536</t>
    </r>
  </si>
  <si>
    <t>180 100% PES CM NEGRO -  c/hilo 7536</t>
  </si>
  <si>
    <t>180 100% PES CM MEZCLA Y NEGRO  c/hilo 7536</t>
  </si>
  <si>
    <t>220 100% PES CM AZUL MARINO 0056005    c/hilo 7536</t>
  </si>
  <si>
    <r>
      <t xml:space="preserve">180 100% PES CM MEZCLA  - </t>
    </r>
    <r>
      <rPr>
        <b/>
        <sz val="9"/>
        <color theme="1"/>
        <rFont val="Helvetica"/>
      </rPr>
      <t>c/hilo 7536</t>
    </r>
  </si>
  <si>
    <t>Muestra</t>
  </si>
  <si>
    <t>AMERICAN TEXTILE CO</t>
  </si>
  <si>
    <r>
      <rPr>
        <b/>
        <sz val="8"/>
        <color theme="1"/>
        <rFont val="Helvetica"/>
      </rPr>
      <t>MPTL0519</t>
    </r>
    <r>
      <rPr>
        <sz val="8"/>
        <color theme="1"/>
        <rFont val="Helvetica"/>
      </rPr>
      <t xml:space="preserve">/ </t>
    </r>
    <r>
      <rPr>
        <b/>
        <sz val="8"/>
        <color rgb="FFFF0000"/>
        <rFont val="Helvetica"/>
      </rPr>
      <t xml:space="preserve">A10374C  </t>
    </r>
    <r>
      <rPr>
        <b/>
        <sz val="8"/>
        <color theme="0"/>
        <rFont val="Helvetica"/>
      </rPr>
      <t>(ID6630)</t>
    </r>
  </si>
  <si>
    <t>180 100% PES CM BLANCO,AZUL MARINO, ARENA-c/hilo 7536</t>
  </si>
  <si>
    <t>180 100% PES CM NEGRO  -  c/hilo 7536</t>
  </si>
  <si>
    <t>GT027.26</t>
  </si>
  <si>
    <t>SO solicitada</t>
  </si>
  <si>
    <t>FECHA 
SOLICITUD SO</t>
  </si>
  <si>
    <t>NO ACEPTO X AUMENTO DE PRECIOS</t>
  </si>
  <si>
    <t>300 2,20 100% PES XP Gris perla, blanco y azul</t>
  </si>
  <si>
    <t>negociación dificl- finalmente aprobado 07/07- Producir em agosto</t>
  </si>
  <si>
    <t>Prod.en agosto (sem fio melange)/ajuste fio</t>
  </si>
  <si>
    <r>
      <t xml:space="preserve">TELA 220G  2,20 100% PES AZUL MARINO&gt; </t>
    </r>
    <r>
      <rPr>
        <b/>
        <sz val="9"/>
        <color rgb="FFC00000"/>
        <rFont val="Calibri"/>
        <family val="2"/>
        <scheme val="minor"/>
      </rPr>
      <t>ajuste hilo - AZUL MARINO</t>
    </r>
  </si>
  <si>
    <r>
      <t xml:space="preserve">TELA 220G  2,20 100% PES AZUL MARINO&gt; </t>
    </r>
    <r>
      <rPr>
        <b/>
        <sz val="9"/>
        <color rgb="FFC00000"/>
        <rFont val="Calibri"/>
        <family val="2"/>
        <scheme val="minor"/>
      </rPr>
      <t>ajuste hilo -AZUL MERANO</t>
    </r>
  </si>
  <si>
    <r>
      <t>220G 2,20 100% PES CM GRIS MELANGE C/LOGO&gt;</t>
    </r>
    <r>
      <rPr>
        <b/>
        <sz val="9"/>
        <color theme="1"/>
        <rFont val="Calibri"/>
        <family val="2"/>
        <scheme val="minor"/>
      </rPr>
      <t xml:space="preserve"> </t>
    </r>
    <r>
      <rPr>
        <b/>
        <sz val="9"/>
        <color rgb="FFC00000"/>
        <rFont val="Calibri"/>
        <family val="2"/>
        <scheme val="minor"/>
      </rPr>
      <t>ajuste hilo /cambio AZUL</t>
    </r>
  </si>
  <si>
    <t>220G 2,20 100% PES CM GRIS MELANGE C/LOGO&gt; ajuste hilo /cambio AZUL</t>
  </si>
  <si>
    <t>TELA 220G  2,20 100% PES AZUL MARINO&gt; ajuste hilo - AZUL MARINO</t>
  </si>
  <si>
    <t>TELA 220G  2,20 100% PES AZUL MARINO&gt; ajuste hilo -AZUL MERANO</t>
  </si>
  <si>
    <r>
      <t>MPTL0416 / 0681001</t>
    </r>
    <r>
      <rPr>
        <b/>
        <sz val="8"/>
        <color theme="0"/>
        <rFont val="Helvetica"/>
      </rPr>
      <t xml:space="preserve"> (ID7895)</t>
    </r>
  </si>
  <si>
    <t>GT028.26</t>
  </si>
  <si>
    <t>GT029.26</t>
  </si>
  <si>
    <t>GT030.26</t>
  </si>
  <si>
    <t>Proforma nueva 24/08 - ok cliente</t>
  </si>
  <si>
    <t>A10536 (ID 7770)</t>
  </si>
  <si>
    <t>A10277 (ID 6217)</t>
  </si>
  <si>
    <t>280 100% PES XP NEGRO Y BLANCO</t>
  </si>
  <si>
    <t>280 2,20 100% PES XP NEGRO Y BLANCO</t>
  </si>
  <si>
    <t>340 PES/PE CM BLANCO Y AZUL ARCTIC BREEZE S/LOGO</t>
  </si>
  <si>
    <t>340 2,30 PES / PE CM BLANCO Y AZUL Arctic Breeze® s/ Logo</t>
  </si>
  <si>
    <t>FACTURACIÓN 
GT/SOLIC. SALES ORDER</t>
  </si>
  <si>
    <r>
      <t>Proforma nueva 24/08 -</t>
    </r>
    <r>
      <rPr>
        <sz val="11"/>
        <color rgb="FFFF0000"/>
        <rFont val="Calibri"/>
        <family val="2"/>
        <scheme val="minor"/>
      </rPr>
      <t xml:space="preserve"> </t>
    </r>
    <r>
      <rPr>
        <sz val="11"/>
        <color theme="1"/>
        <rFont val="Calibri"/>
        <family val="2"/>
        <scheme val="minor"/>
      </rPr>
      <t>- ajuste 26/08 - OK 10.000mts</t>
    </r>
  </si>
  <si>
    <r>
      <t>260 TELA  2,20 100% PES CM GRIS-</t>
    </r>
    <r>
      <rPr>
        <b/>
        <sz val="9"/>
        <color rgb="FFC00000"/>
        <rFont val="Helvetica"/>
      </rPr>
      <t>HILO 75/36</t>
    </r>
  </si>
  <si>
    <r>
      <t>CP7938&gt;</t>
    </r>
    <r>
      <rPr>
        <b/>
        <sz val="8"/>
        <color rgb="FFC00000"/>
        <rFont val="Helvetica"/>
      </rPr>
      <t>A10575</t>
    </r>
  </si>
  <si>
    <t>260 TELA  2,20 100% PES CM GRIS-HILO 75/36</t>
  </si>
  <si>
    <t>GT030.36</t>
  </si>
  <si>
    <t>(ID 4638)&gt;A0147091</t>
  </si>
  <si>
    <t>aprov. 01/09</t>
  </si>
  <si>
    <t>180 2,20 TELA PIQUE FLORENCIA (CARA) - GRIS OSCURO</t>
  </si>
  <si>
    <t>Proforma nueva  10/09</t>
  </si>
  <si>
    <t>2005262 / GT031.26</t>
  </si>
  <si>
    <t>liberar cód prod.</t>
  </si>
  <si>
    <t>oct-26</t>
  </si>
  <si>
    <t>841 / GT032.26</t>
  </si>
  <si>
    <t>180 - TP A10313 GRIS Y AZUL MARINO</t>
  </si>
  <si>
    <t>MPTL0409/A10508 (ID 7474)</t>
  </si>
  <si>
    <t>180 - TP MATERIAL 40132436 MARRÓN</t>
  </si>
  <si>
    <t>MPTL0008/A10591 (ID 7953)</t>
  </si>
  <si>
    <t>180 - TP F4223 BLANCO Y GRIS OSCURO</t>
  </si>
  <si>
    <t>180 - TP F4225 NEGRO MEZCLA</t>
  </si>
  <si>
    <t>MPTL0009 / A10582 (ID 7905)</t>
  </si>
  <si>
    <t>180 - TP F4220 BLANCO Y NEGRO</t>
  </si>
  <si>
    <t>240g-TELA PIQUE TL80918/L152-1647 PUNTOS GRISES CONEXAO</t>
  </si>
  <si>
    <r>
      <t>Aprobado sólo 10K mts|</t>
    </r>
    <r>
      <rPr>
        <sz val="9"/>
        <color rgb="FFFF0000"/>
        <rFont val="Helvetica"/>
      </rPr>
      <t xml:space="preserve"> Agrd liberaç desenho/código cadastro/OK Tab preço</t>
    </r>
  </si>
  <si>
    <t>No existe&gt; Fadessa</t>
  </si>
  <si>
    <t>bloqueado - em progresso Ind Florifa</t>
  </si>
  <si>
    <t>No existe&gt; Facenco GT</t>
  </si>
  <si>
    <t>OC recibida 15sep</t>
  </si>
  <si>
    <t xml:space="preserve">OC recibida 22/09 </t>
  </si>
  <si>
    <r>
      <t>Proforma nueva - agrd</t>
    </r>
    <r>
      <rPr>
        <strike/>
        <sz val="11"/>
        <color theme="1"/>
        <rFont val="Calibri"/>
        <family val="2"/>
        <scheme val="minor"/>
      </rPr>
      <t xml:space="preserve"> cotizaciones</t>
    </r>
    <r>
      <rPr>
        <sz val="11"/>
        <color theme="1"/>
        <rFont val="Calibri"/>
        <family val="2"/>
        <scheme val="minor"/>
      </rPr>
      <t xml:space="preserve"> y actualización de SKU /</t>
    </r>
    <r>
      <rPr>
        <sz val="11"/>
        <color rgb="FFFF0000"/>
        <rFont val="Calibri"/>
        <family val="2"/>
        <scheme val="minor"/>
      </rPr>
      <t xml:space="preserve"> Ok aprovado -ver ajustes</t>
    </r>
  </si>
  <si>
    <t>Proforma nueva 25/08 - OK aprovado</t>
  </si>
  <si>
    <t>180 - TP BY 460-14D- 100% PES CM AZUL MARINO HOJAS</t>
  </si>
  <si>
    <t>actualizar precio 22/09</t>
  </si>
  <si>
    <t>180 - TP A10305 100% PES CM MEZCLA  - c/hilo 75/36</t>
  </si>
  <si>
    <t>MPTL0016/ A10369C</t>
  </si>
  <si>
    <r>
      <rPr>
        <sz val="10"/>
        <rFont val="Calibri"/>
        <family val="2"/>
        <scheme val="minor"/>
      </rPr>
      <t>220G 2,20 100% PES CM GRIS MELANGE C/LOGO&gt;</t>
    </r>
    <r>
      <rPr>
        <sz val="10"/>
        <color rgb="FFC00000"/>
        <rFont val="Calibri"/>
        <family val="2"/>
        <scheme val="minor"/>
      </rPr>
      <t xml:space="preserve"> </t>
    </r>
    <r>
      <rPr>
        <sz val="10"/>
        <color theme="1"/>
        <rFont val="Calibri"/>
        <family val="2"/>
        <scheme val="minor"/>
      </rPr>
      <t>ajuste hilo /cambio AZUL</t>
    </r>
  </si>
  <si>
    <r>
      <t>AT002&gt;</t>
    </r>
    <r>
      <rPr>
        <b/>
        <sz val="8"/>
        <color theme="1"/>
        <rFont val="Helvetica"/>
      </rPr>
      <t>A10277</t>
    </r>
  </si>
  <si>
    <r>
      <t>0073111&gt;</t>
    </r>
    <r>
      <rPr>
        <b/>
        <sz val="8"/>
        <color theme="1"/>
        <rFont val="Helvetica"/>
      </rPr>
      <t>0071041</t>
    </r>
  </si>
  <si>
    <r>
      <t>Gris (Id 6730)&gt;</t>
    </r>
    <r>
      <rPr>
        <b/>
        <sz val="8"/>
        <color theme="1"/>
        <rFont val="Helvetica"/>
      </rPr>
      <t>A10391</t>
    </r>
  </si>
  <si>
    <r>
      <t>Mezcla-Negro (Id 6725)&gt;</t>
    </r>
    <r>
      <rPr>
        <b/>
        <sz val="8"/>
        <color theme="1"/>
        <rFont val="Helvetica"/>
      </rPr>
      <t>A10394</t>
    </r>
  </si>
  <si>
    <t>DM548-L4HN /A10274 (Id:6170)</t>
  </si>
  <si>
    <t>0073111&gt;0071041</t>
  </si>
  <si>
    <r>
      <t xml:space="preserve">R100611&gt;  </t>
    </r>
    <r>
      <rPr>
        <b/>
        <sz val="8"/>
        <color theme="1"/>
        <rFont val="Helvetica"/>
      </rPr>
      <t>A10298</t>
    </r>
    <r>
      <rPr>
        <sz val="8"/>
        <color theme="1"/>
        <rFont val="Helvetica"/>
      </rPr>
      <t xml:space="preserve"> (ID 6322)</t>
    </r>
  </si>
  <si>
    <r>
      <t>00147025&gt;0147091 (ID 4638)&gt;</t>
    </r>
    <r>
      <rPr>
        <b/>
        <sz val="8"/>
        <color rgb="FFC00000"/>
        <rFont val="Helvetica"/>
      </rPr>
      <t>A0147091</t>
    </r>
  </si>
  <si>
    <r>
      <t xml:space="preserve">0282004 &gt; 0282011 (ID 7511)&gt; </t>
    </r>
    <r>
      <rPr>
        <b/>
        <sz val="8"/>
        <color rgb="FFC00000"/>
        <rFont val="Helvetica"/>
      </rPr>
      <t>A0282011</t>
    </r>
  </si>
  <si>
    <r>
      <t xml:space="preserve">0282004 &gt; 0282011 (ID 7511)&gt; </t>
    </r>
    <r>
      <rPr>
        <b/>
        <sz val="8"/>
        <color rgb="FFC00000"/>
        <rFont val="Helvetica"/>
      </rPr>
      <t>A0282011B</t>
    </r>
  </si>
  <si>
    <r>
      <t>16021431|0292031&gt;</t>
    </r>
    <r>
      <rPr>
        <b/>
        <sz val="8"/>
        <color theme="1"/>
        <rFont val="Helvetica"/>
      </rPr>
      <t>0292061 (ID7710)</t>
    </r>
  </si>
  <si>
    <t>*Yds</t>
  </si>
  <si>
    <r>
      <t>841</t>
    </r>
    <r>
      <rPr>
        <sz val="10"/>
        <color theme="0" tint="-4.9989318521683403E-2"/>
        <rFont val="Helvetica"/>
      </rPr>
      <t xml:space="preserve"> / GT032.26</t>
    </r>
  </si>
  <si>
    <t>Hojas Azules /A10554 (ID7812)</t>
  </si>
  <si>
    <t>PRO-FORM
 INVOICE/OC NBR.</t>
  </si>
  <si>
    <r>
      <t>2005262</t>
    </r>
    <r>
      <rPr>
        <sz val="10"/>
        <color theme="0" tint="-4.9989318521683403E-2"/>
        <rFont val="Calibri"/>
        <family val="2"/>
        <scheme val="minor"/>
      </rPr>
      <t xml:space="preserve"> / GT031.26</t>
    </r>
  </si>
  <si>
    <t xml:space="preserve">180 - TP A10294&gt;A10484 DISEÑOS Y FONDO GRIS </t>
  </si>
  <si>
    <r>
      <t xml:space="preserve">180 - TP </t>
    </r>
    <r>
      <rPr>
        <b/>
        <sz val="9"/>
        <color theme="1"/>
        <rFont val="Helvetica"/>
      </rPr>
      <t>A10294&gt;A10484</t>
    </r>
    <r>
      <rPr>
        <sz val="9"/>
        <color theme="1"/>
        <rFont val="Helvetica"/>
      </rPr>
      <t xml:space="preserve"> DISEÑOS Y FONDO GRIS </t>
    </r>
  </si>
  <si>
    <r>
      <t>MPTL0552 /</t>
    </r>
    <r>
      <rPr>
        <b/>
        <sz val="8"/>
        <color rgb="FFFF0000"/>
        <rFont val="Helvetica"/>
      </rPr>
      <t>A10484B</t>
    </r>
  </si>
  <si>
    <t xml:space="preserve">180 - TP 0425021 MEZCLA </t>
  </si>
  <si>
    <t>OC recibida 23/09 - cotización actualizada hoy 23/9--OC ACTUALIZADA WA 24/09</t>
  </si>
  <si>
    <t>versao blanco arena manter target 1,97/cadastro código</t>
  </si>
  <si>
    <t>A10322 (ID 6457)</t>
  </si>
  <si>
    <t>180 - TP DISEÑO X34-43  / A10322 PL BLANCO Y ARENA</t>
  </si>
  <si>
    <t>2025</t>
  </si>
  <si>
    <t>A10318  (Karen Gry 230 Zonkd) / Saldo</t>
  </si>
  <si>
    <t>AÑO/VTA</t>
  </si>
  <si>
    <t>Total 2026</t>
  </si>
  <si>
    <t>Trim.1</t>
  </si>
  <si>
    <t>Trim.2</t>
  </si>
  <si>
    <t>TELA PIQUE VENECIA (CARA) PERLA 180G A10380B- hilo 75/36</t>
  </si>
  <si>
    <t>TELA PIQUE FLORENCIA (CARA) GRIS OSCURO 180G A0066031- Hilo 75/36</t>
  </si>
  <si>
    <t>TELA PIQUE AURORA (CARA) BLANCO 180G A0449041- Hilo 7536</t>
  </si>
  <si>
    <t>0074151 ( ID5095)</t>
  </si>
  <si>
    <r>
      <t>(ID7097) A10430/0449001&gt;</t>
    </r>
    <r>
      <rPr>
        <b/>
        <sz val="8"/>
        <color theme="1"/>
        <rFont val="Helvetica"/>
      </rPr>
      <t>0449041</t>
    </r>
  </si>
  <si>
    <t>ID 7013 / A10380 &gt; A10430&gt;0449041</t>
  </si>
  <si>
    <r>
      <t>ID 7013 / A10380 &gt;</t>
    </r>
    <r>
      <rPr>
        <b/>
        <sz val="8"/>
        <color theme="1"/>
        <rFont val="Helvetica"/>
      </rPr>
      <t xml:space="preserve"> A10430&gt;0449041</t>
    </r>
  </si>
  <si>
    <t>(ID7097) A10430/0449001&gt;0449041</t>
  </si>
  <si>
    <t>Ultimo precio 2026</t>
  </si>
  <si>
    <t>USD</t>
  </si>
  <si>
    <t>Sku sin alteración de hilos- preço anterior reajuste</t>
  </si>
  <si>
    <t>ULTRA - ANALISIS SKUs + PRECIOS   | 2025 - 2026</t>
  </si>
  <si>
    <t>abr'26- precio negociado x saldo en stock</t>
  </si>
  <si>
    <r>
      <t xml:space="preserve">180 2,20 TELA PIQUE FLORENCIA (CARA) - </t>
    </r>
    <r>
      <rPr>
        <b/>
        <sz val="9"/>
        <color theme="1"/>
        <rFont val="Helvetica"/>
      </rPr>
      <t>GRIS OSCURO</t>
    </r>
  </si>
  <si>
    <t>mar-26  Sku sin alteración de hilos</t>
  </si>
  <si>
    <t>jan-26</t>
  </si>
  <si>
    <t>GT033.26</t>
  </si>
  <si>
    <t>pedido solicitado vaia WA 29/09- preços atualizados / revisar sistema</t>
  </si>
  <si>
    <t>Total 2025</t>
  </si>
  <si>
    <t>Trim.3</t>
  </si>
  <si>
    <t>Trim.4</t>
  </si>
  <si>
    <r>
      <t>MPTL0528 /</t>
    </r>
    <r>
      <rPr>
        <b/>
        <sz val="8"/>
        <color rgb="FFC00000"/>
        <rFont val="Helvetica"/>
      </rPr>
      <t xml:space="preserve"> </t>
    </r>
    <r>
      <rPr>
        <sz val="8"/>
        <rFont val="Helvetica"/>
      </rPr>
      <t>A10374&gt;A10374B&gt;</t>
    </r>
    <r>
      <rPr>
        <b/>
        <sz val="8"/>
        <color rgb="FFC00000"/>
        <rFont val="Helvetica"/>
      </rPr>
      <t>A10474D</t>
    </r>
    <r>
      <rPr>
        <sz val="8"/>
        <rFont val="Helvetica"/>
      </rPr>
      <t xml:space="preserve">  </t>
    </r>
    <r>
      <rPr>
        <b/>
        <sz val="8"/>
        <color theme="0" tint="-4.9989318521683403E-2"/>
        <rFont val="Helvetica"/>
      </rPr>
      <t>(ID 6630)</t>
    </r>
  </si>
  <si>
    <r>
      <t>180 - TP A10337&gt;10374&gt;</t>
    </r>
    <r>
      <rPr>
        <b/>
        <sz val="9"/>
        <color theme="1"/>
        <rFont val="Helvetica"/>
      </rPr>
      <t xml:space="preserve">A10374D </t>
    </r>
    <r>
      <rPr>
        <sz val="9"/>
        <color theme="1"/>
        <rFont val="Helvetica"/>
      </rPr>
      <t xml:space="preserve"> CM MEZCLA Y BLANCO</t>
    </r>
  </si>
  <si>
    <t>180 - TP A10337&gt;10374&gt;A10374D  CM MEZCLA Y BLANCO</t>
  </si>
  <si>
    <t>consumo histórico de 15 meses</t>
  </si>
  <si>
    <t>Estimado mensal</t>
  </si>
  <si>
    <t>Forecast  4Mo</t>
  </si>
  <si>
    <t>15002/GT033.26</t>
  </si>
  <si>
    <t>actualizar preços sep26- ok/altera cód totvs por cambio hilo</t>
  </si>
  <si>
    <t>180GR - TP ELEGANCE/MAJESTIC/JAPI/ ESPECIAL (CARA)- c/hilo 150/144</t>
  </si>
  <si>
    <t>180GR - TP SPECTRA PLUS (CARA)-c/hilo 150/144</t>
  </si>
  <si>
    <t>180 GR - TP ULTRA PRIMIUM PLUS (CARA)-c/hilo 150/144</t>
  </si>
  <si>
    <t>MP008528 / 0399021</t>
  </si>
  <si>
    <t xml:space="preserve">MP971859 / 0074151 </t>
  </si>
  <si>
    <t xml:space="preserve">MP008389 / 0072081 </t>
  </si>
  <si>
    <r>
      <t>180GR - TP ELEGANCE/MAJESTIC/JAPI/ ESPECIAL (CARA)-</t>
    </r>
    <r>
      <rPr>
        <b/>
        <sz val="9"/>
        <color rgb="FFC00000"/>
        <rFont val="Helvetica"/>
      </rPr>
      <t xml:space="preserve"> c/hilo 150/144</t>
    </r>
  </si>
  <si>
    <r>
      <t>180GR - TP SPECTRA PLUS (CARA)-</t>
    </r>
    <r>
      <rPr>
        <b/>
        <sz val="9"/>
        <color rgb="FFC00000"/>
        <rFont val="Helvetica"/>
      </rPr>
      <t>c/hilo 150/144</t>
    </r>
  </si>
  <si>
    <r>
      <t>180 GR - TP ULTRA PRIMIUM PLUS (CARA)-</t>
    </r>
    <r>
      <rPr>
        <b/>
        <sz val="9"/>
        <color rgb="FFC00000"/>
        <rFont val="Helvetica"/>
      </rPr>
      <t>c/hilo 150/144</t>
    </r>
  </si>
  <si>
    <t xml:space="preserve">MP971859 / A0074151 </t>
  </si>
  <si>
    <t>MP008528 /A0399021B</t>
  </si>
  <si>
    <t xml:space="preserve">MP008389 / A0072081 </t>
  </si>
  <si>
    <r>
      <t xml:space="preserve">hilos </t>
    </r>
    <r>
      <rPr>
        <b/>
        <sz val="11"/>
        <color theme="1"/>
        <rFont val="Calibri"/>
        <family val="2"/>
        <scheme val="minor"/>
      </rPr>
      <t>150/144 y 75/36 son temporales</t>
    </r>
    <r>
      <rPr>
        <sz val="11"/>
        <color theme="1"/>
        <rFont val="Calibri"/>
        <family val="2"/>
        <scheme val="minor"/>
      </rPr>
      <t xml:space="preserve"> y que se debe considerar el consumo para el </t>
    </r>
    <r>
      <rPr>
        <b/>
        <sz val="11"/>
        <color theme="1"/>
        <rFont val="Calibri"/>
        <family val="2"/>
        <scheme val="minor"/>
      </rPr>
      <t>hilo 150/48.</t>
    </r>
  </si>
  <si>
    <r>
      <t>MPTL0525/</t>
    </r>
    <r>
      <rPr>
        <b/>
        <sz val="8"/>
        <color rgb="FFC00000"/>
        <rFont val="Helvetica"/>
      </rPr>
      <t>A10313B</t>
    </r>
    <r>
      <rPr>
        <b/>
        <sz val="8"/>
        <rFont val="Helvetica"/>
      </rPr>
      <t xml:space="preserve"> (ID7539)</t>
    </r>
  </si>
  <si>
    <t>totvs 4636 altera&gt; 5451 - cambio hilo</t>
  </si>
  <si>
    <r>
      <t>180 - TP A10313 GRIS Y AZUL MARINO-</t>
    </r>
    <r>
      <rPr>
        <sz val="9"/>
        <color rgb="FFC00000"/>
        <rFont val="Helvetica"/>
      </rPr>
      <t>cambio hilo</t>
    </r>
  </si>
  <si>
    <r>
      <t xml:space="preserve">MPTL0012 / </t>
    </r>
    <r>
      <rPr>
        <b/>
        <sz val="8"/>
        <color rgb="FFC00000"/>
        <rFont val="Helvetica"/>
      </rPr>
      <t>A10588B</t>
    </r>
    <r>
      <rPr>
        <b/>
        <sz val="8"/>
        <rFont val="Helvetica"/>
      </rPr>
      <t xml:space="preserve"> (ID 7903)</t>
    </r>
  </si>
  <si>
    <r>
      <t>180 - TP F4225 NEGRO MEZCLA-</t>
    </r>
    <r>
      <rPr>
        <sz val="9"/>
        <color rgb="FFC00000"/>
        <rFont val="Helvetica"/>
      </rPr>
      <t>cambio hilo</t>
    </r>
  </si>
  <si>
    <t>totvs 5420 altera&gt; 5458 - cambio hilo</t>
  </si>
  <si>
    <r>
      <t>MPTL0833 /0425001&gt;</t>
    </r>
    <r>
      <rPr>
        <b/>
        <sz val="8"/>
        <color rgb="FFC00000"/>
        <rFont val="Helvetica"/>
      </rPr>
      <t>A0425021</t>
    </r>
    <r>
      <rPr>
        <b/>
        <sz val="8"/>
        <color theme="1"/>
        <rFont val="Helvetica"/>
      </rPr>
      <t xml:space="preserve"> (ID7987)</t>
    </r>
  </si>
  <si>
    <t>incluido -OC revisada x el cliente- totvs 5428 altera&gt;5460 - cambio hilo</t>
  </si>
  <si>
    <r>
      <t xml:space="preserve">180 - TP </t>
    </r>
    <r>
      <rPr>
        <b/>
        <sz val="9"/>
        <color theme="1"/>
        <rFont val="Helvetica"/>
      </rPr>
      <t>0425021</t>
    </r>
    <r>
      <rPr>
        <sz val="9"/>
        <color theme="1"/>
        <rFont val="Helvetica"/>
      </rPr>
      <t xml:space="preserve"> MEZCLA - </t>
    </r>
    <r>
      <rPr>
        <sz val="9"/>
        <color rgb="FFC00000"/>
        <rFont val="Helvetica"/>
      </rPr>
      <t>cambio hilo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</si>
</sst>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_);_(* \(#,##0.00\);_(* &quot;-&quot;??_);_(@_)"/>
    <numFmt numFmtId="165" formatCode="0.000"/>
    <numFmt numFmtId="166" formatCode="[$-416]mmm\-yy;@"/>
    <numFmt numFmtId="167" formatCode="_(* #,##0_);_(* \(#,##0\);_(* &quot;-&quot;??_);_(@_)"/>
    <numFmt numFmtId="168" formatCode="0.00_);[Red]\(0.00\)"/>
  </numFmts>
  <fonts count="13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1"/>
      <color rgb="FFC00000"/>
      <name val="Calibri"/>
      <family val="2"/>
      <scheme val="minor"/>
    </font>
    <font>
      <sz val="10"/>
      <color theme="1"/>
      <name val="Helvetica"/>
      <family val="2"/>
    </font>
    <font>
      <b/>
      <sz val="10"/>
      <color theme="1"/>
      <name val="Helvetica"/>
    </font>
    <font>
      <sz val="10"/>
      <color theme="1"/>
      <name val="Helvetica"/>
    </font>
    <font>
      <b/>
      <sz val="11"/>
      <color rgb="FF7030A0"/>
      <name val="Calibri"/>
      <family val="2"/>
      <scheme val="minor"/>
    </font>
    <font>
      <b/>
      <sz val="10"/>
      <color theme="1"/>
      <name val="Calibri"/>
      <family val="2"/>
      <scheme val="minor"/>
    </font>
    <font>
      <sz val="10"/>
      <color theme="1"/>
      <name val="Calibri"/>
      <family val="2"/>
      <scheme val="minor"/>
    </font>
    <font>
      <sz val="7"/>
      <color theme="0" tint="-0.14999847407452621"/>
      <name val="Calibri"/>
      <family val="2"/>
      <scheme val="minor"/>
    </font>
    <font>
      <b/>
      <sz val="7"/>
      <color theme="0" tint="-0.14999847407452621"/>
      <name val="Calibri"/>
      <family val="2"/>
      <scheme val="minor"/>
    </font>
    <font>
      <sz val="9"/>
      <color indexed="81"/>
      <name val="Tahoma"/>
      <family val="2"/>
    </font>
    <font>
      <b/>
      <sz val="9"/>
      <color indexed="81"/>
      <name val="Tahoma"/>
      <family val="2"/>
    </font>
    <font>
      <sz val="8"/>
      <name val="Calibri"/>
      <family val="2"/>
      <scheme val="minor"/>
    </font>
    <font>
      <sz val="11"/>
      <name val="Calibri"/>
      <family val="2"/>
      <scheme val="minor"/>
    </font>
    <font>
      <b/>
      <sz val="9"/>
      <color rgb="FF7030A0"/>
      <name val="Calibri"/>
      <family val="2"/>
      <scheme val="minor"/>
    </font>
    <font>
      <b/>
      <sz val="9"/>
      <color theme="1"/>
      <name val="Calibri"/>
      <family val="2"/>
      <scheme val="minor"/>
    </font>
    <font>
      <sz val="9"/>
      <color theme="1"/>
      <name val="Helvetica"/>
    </font>
    <font>
      <b/>
      <sz val="9"/>
      <color theme="1"/>
      <name val="Helvetica"/>
    </font>
    <font>
      <sz val="9"/>
      <color theme="1"/>
      <name val="Helvetica"/>
      <family val="2"/>
    </font>
    <font>
      <sz val="9"/>
      <color theme="1"/>
      <name val="Aptos"/>
      <family val="2"/>
    </font>
    <font>
      <sz val="9"/>
      <color theme="1"/>
      <name val="Calibri"/>
      <family val="2"/>
      <scheme val="minor"/>
    </font>
    <font>
      <b/>
      <sz val="9"/>
      <color rgb="FFC00000"/>
      <name val="Calibri"/>
      <family val="2"/>
      <scheme val="minor"/>
    </font>
    <font>
      <sz val="9"/>
      <color rgb="FF000000"/>
      <name val="Helvetica"/>
      <family val="2"/>
    </font>
    <font>
      <u/>
      <sz val="9"/>
      <color theme="10"/>
      <name val="Calibri"/>
      <family val="2"/>
      <scheme val="minor"/>
    </font>
    <font>
      <b/>
      <sz val="9"/>
      <color indexed="8"/>
      <name val="Helvetica"/>
    </font>
    <font>
      <sz val="10"/>
      <color rgb="FFFF0000"/>
      <name val="Helvetica"/>
    </font>
    <font>
      <sz val="9"/>
      <color rgb="FF002060"/>
      <name val="Calibri"/>
      <family val="2"/>
      <scheme val="minor"/>
    </font>
    <font>
      <b/>
      <sz val="9"/>
      <color rgb="FFFF0000"/>
      <name val="Helvetica"/>
    </font>
    <font>
      <sz val="9"/>
      <color rgb="FFFF0000"/>
      <name val="Helvetica"/>
    </font>
    <font>
      <b/>
      <sz val="10"/>
      <color rgb="FFFF0000"/>
      <name val="Helvetica"/>
    </font>
    <font>
      <b/>
      <sz val="11"/>
      <name val="Calibri"/>
      <family val="2"/>
      <scheme val="minor"/>
    </font>
    <font>
      <sz val="9"/>
      <color rgb="FFC00000"/>
      <name val="Helvetica"/>
    </font>
    <font>
      <sz val="10"/>
      <color rgb="FFC00000"/>
      <name val="Helvetica"/>
    </font>
    <font>
      <sz val="11"/>
      <color rgb="FFC00000"/>
      <name val="Calibri"/>
      <family val="2"/>
      <scheme val="minor"/>
    </font>
    <font>
      <sz val="8"/>
      <color theme="1"/>
      <name val="Helvetica"/>
    </font>
    <font>
      <sz val="8"/>
      <color indexed="8"/>
      <name val="Helvetica"/>
    </font>
    <font>
      <sz val="10"/>
      <name val="Helvetica"/>
    </font>
    <font>
      <strike/>
      <sz val="11"/>
      <color theme="1"/>
      <name val="Calibri"/>
      <family val="2"/>
      <scheme val="minor"/>
    </font>
    <font>
      <b/>
      <strike/>
      <sz val="11"/>
      <color theme="1"/>
      <name val="Calibri"/>
      <family val="2"/>
      <scheme val="minor"/>
    </font>
    <font>
      <sz val="11"/>
      <color theme="1"/>
      <name val="Aptos"/>
      <family val="2"/>
    </font>
    <font>
      <sz val="8"/>
      <name val="Helvetica"/>
    </font>
    <font>
      <sz val="10"/>
      <color rgb="FFFF0000"/>
      <name val="Calibri"/>
      <family val="2"/>
      <scheme val="minor"/>
    </font>
    <font>
      <b/>
      <u/>
      <sz val="10"/>
      <color rgb="FF7030A0"/>
      <name val="Calibri"/>
      <family val="2"/>
      <scheme val="minor"/>
    </font>
    <font>
      <sz val="8"/>
      <color theme="1"/>
      <name val="Calibri"/>
      <family val="2"/>
      <scheme val="minor"/>
    </font>
    <font>
      <sz val="9"/>
      <color indexed="8"/>
      <name val="Helvetica"/>
    </font>
    <font>
      <sz val="10"/>
      <color rgb="FF000000"/>
      <name val="Helvetica"/>
      <family val="2"/>
    </font>
    <font>
      <sz val="10"/>
      <color theme="1"/>
      <name val="Aptos"/>
      <family val="2"/>
    </font>
    <font>
      <sz val="11"/>
      <color rgb="FF002060"/>
      <name val="Calibri"/>
      <family val="2"/>
      <scheme val="minor"/>
    </font>
    <font>
      <strike/>
      <sz val="11"/>
      <name val="Calibri"/>
      <family val="2"/>
      <scheme val="minor"/>
    </font>
    <font>
      <sz val="10"/>
      <name val="Calibri"/>
      <family val="2"/>
      <scheme val="minor"/>
    </font>
    <font>
      <sz val="8"/>
      <color rgb="FFC00000"/>
      <name val="Helvetica"/>
    </font>
    <font>
      <strike/>
      <sz val="10"/>
      <color theme="1"/>
      <name val="Calibri"/>
      <family val="2"/>
      <scheme val="minor"/>
    </font>
    <font>
      <strike/>
      <sz val="11"/>
      <color rgb="FFFF0000"/>
      <name val="Calibri"/>
      <family val="2"/>
      <scheme val="minor"/>
    </font>
    <font>
      <b/>
      <sz val="10"/>
      <color rgb="FF590000"/>
      <name val="Helvetica"/>
    </font>
    <font>
      <sz val="10"/>
      <color indexed="8"/>
      <name val="Helvetica"/>
      <family val="2"/>
    </font>
    <font>
      <sz val="10"/>
      <color rgb="FFED0000"/>
      <name val="Helvetica"/>
    </font>
    <font>
      <sz val="9"/>
      <color rgb="FFED0000"/>
      <name val="Helvetica"/>
    </font>
    <font>
      <sz val="11"/>
      <color rgb="FFED0000"/>
      <name val="Calibri"/>
      <family val="2"/>
      <scheme val="minor"/>
    </font>
    <font>
      <sz val="10"/>
      <color rgb="FFED0000"/>
      <name val="Calibri"/>
      <family val="2"/>
      <scheme val="minor"/>
    </font>
    <font>
      <b/>
      <sz val="8"/>
      <color theme="1"/>
      <name val="Helvetica"/>
    </font>
    <font>
      <b/>
      <sz val="10"/>
      <color rgb="FFC00000"/>
      <name val="Helvetica"/>
    </font>
    <font>
      <b/>
      <sz val="10"/>
      <color indexed="8"/>
      <name val="Helvetica"/>
    </font>
    <font>
      <b/>
      <sz val="10"/>
      <color rgb="FFED0000"/>
      <name val="Helvetica"/>
    </font>
    <font>
      <b/>
      <sz val="8"/>
      <color rgb="FFC00000"/>
      <name val="Helvetica"/>
    </font>
    <font>
      <sz val="10"/>
      <color indexed="8"/>
      <name val="Helvetica"/>
    </font>
    <font>
      <b/>
      <sz val="10"/>
      <name val="Helvetica"/>
    </font>
    <font>
      <sz val="11"/>
      <color theme="1"/>
      <name val="Arial"/>
      <family val="2"/>
    </font>
    <font>
      <sz val="8"/>
      <color rgb="FFFF0000"/>
      <name val="Helvetica"/>
    </font>
    <font>
      <b/>
      <sz val="8"/>
      <color rgb="FFFF0000"/>
      <name val="Helvetica"/>
    </font>
    <font>
      <sz val="9"/>
      <color rgb="FF000000"/>
      <name val="Helvetica"/>
    </font>
    <font>
      <b/>
      <sz val="10"/>
      <color rgb="FF240041"/>
      <name val="Calibri"/>
      <family val="2"/>
      <scheme val="minor"/>
    </font>
    <font>
      <sz val="11"/>
      <color rgb="FFC60000"/>
      <name val="Calibri"/>
      <family val="2"/>
      <scheme val="minor"/>
    </font>
    <font>
      <sz val="10"/>
      <color rgb="FF5F198C"/>
      <name val="Helvetica"/>
    </font>
    <font>
      <sz val="10"/>
      <color rgb="FF5F198C"/>
      <name val="Helvetica"/>
      <family val="2"/>
    </font>
    <font>
      <sz val="10"/>
      <color rgb="FF5F198C"/>
      <name val="Calibri"/>
      <family val="2"/>
      <scheme val="minor"/>
    </font>
    <font>
      <b/>
      <sz val="10"/>
      <color rgb="FF5F198C"/>
      <name val="Helvetica"/>
    </font>
    <font>
      <sz val="11"/>
      <color rgb="FFA20000"/>
      <name val="Calibri"/>
      <family val="2"/>
      <scheme val="minor"/>
    </font>
    <font>
      <b/>
      <sz val="11"/>
      <color theme="1" tint="0.14999847407452621"/>
      <name val="Calibri"/>
      <family val="2"/>
      <scheme val="minor"/>
    </font>
    <font>
      <sz val="11"/>
      <color theme="1" tint="0.14999847407452621"/>
      <name val="Calibri"/>
      <family val="2"/>
      <scheme val="minor"/>
    </font>
    <font>
      <b/>
      <sz val="8"/>
      <color rgb="FF5F198C"/>
      <name val="Helvetica"/>
    </font>
    <font>
      <sz val="9"/>
      <name val="Helvetica"/>
    </font>
    <font>
      <b/>
      <sz val="8"/>
      <name val="Helvetica"/>
    </font>
    <font>
      <b/>
      <sz val="11"/>
      <color rgb="FF001C5B"/>
      <name val="Calibri"/>
      <family val="2"/>
      <scheme val="minor"/>
    </font>
    <font>
      <sz val="11"/>
      <color rgb="FF001C5B"/>
      <name val="Calibri"/>
      <family val="2"/>
      <scheme val="minor"/>
    </font>
    <font>
      <b/>
      <sz val="11"/>
      <color rgb="FFD40000"/>
      <name val="Calibri"/>
      <family val="2"/>
      <scheme val="minor"/>
    </font>
    <font>
      <b/>
      <sz val="11"/>
      <color rgb="FFFF0000"/>
      <name val="Calibri"/>
      <family val="2"/>
      <scheme val="minor"/>
    </font>
    <font>
      <sz val="11"/>
      <color rgb="FFD40000"/>
      <name val="Calibri"/>
      <family val="2"/>
      <scheme val="minor"/>
    </font>
    <font>
      <b/>
      <sz val="9"/>
      <color rgb="FFC00000"/>
      <name val="Helvetica"/>
    </font>
    <font>
      <strike/>
      <sz val="8"/>
      <color theme="1"/>
      <name val="Helvetica"/>
    </font>
    <font>
      <sz val="10"/>
      <color rgb="FF0070C0"/>
      <name val="Helvetica"/>
    </font>
    <font>
      <b/>
      <sz val="10"/>
      <color rgb="FF000000"/>
      <name val="Helvetica"/>
    </font>
    <font>
      <sz val="9"/>
      <name val="Calibri"/>
      <family val="2"/>
      <scheme val="minor"/>
    </font>
    <font>
      <sz val="10"/>
      <name val="Helvetica"/>
      <family val="2"/>
    </font>
    <font>
      <b/>
      <sz val="9"/>
      <name val="Helvetica"/>
    </font>
    <font>
      <b/>
      <strike/>
      <sz val="11"/>
      <color rgb="FFD40000"/>
      <name val="Calibri"/>
      <family val="2"/>
      <scheme val="minor"/>
    </font>
    <font>
      <b/>
      <strike/>
      <sz val="11"/>
      <color rgb="FFFF0000"/>
      <name val="Calibri"/>
      <family val="2"/>
      <scheme val="minor"/>
    </font>
    <font>
      <sz val="11"/>
      <color rgb="FFB90000"/>
      <name val="Calibri"/>
      <family val="2"/>
      <scheme val="minor"/>
    </font>
    <font>
      <sz val="10"/>
      <color rgb="FFC00000"/>
      <name val="Calibri"/>
      <family val="2"/>
      <scheme val="minor"/>
    </font>
    <font>
      <b/>
      <sz val="10"/>
      <color theme="5" tint="-0.499984740745262"/>
      <name val="Helvetica"/>
    </font>
    <font>
      <sz val="11"/>
      <color theme="5" tint="-0.499984740745262"/>
      <name val="Calibri"/>
      <family val="2"/>
      <scheme val="minor"/>
    </font>
    <font>
      <b/>
      <sz val="11"/>
      <color rgb="FF00B0F0"/>
      <name val="Calibri"/>
      <family val="2"/>
      <scheme val="minor"/>
    </font>
    <font>
      <b/>
      <sz val="9"/>
      <color indexed="81"/>
      <name val="Segoe UI"/>
      <family val="2"/>
    </font>
    <font>
      <sz val="9"/>
      <color indexed="81"/>
      <name val="Segoe UI"/>
      <family val="2"/>
    </font>
    <font>
      <b/>
      <sz val="12"/>
      <color theme="1"/>
      <name val="Calibri"/>
      <family val="2"/>
      <scheme val="minor"/>
    </font>
    <font>
      <b/>
      <strike/>
      <sz val="11"/>
      <name val="Calibri"/>
      <family val="2"/>
      <scheme val="minor"/>
    </font>
    <font>
      <sz val="9"/>
      <name val="Aptos"/>
      <family val="2"/>
    </font>
    <font>
      <sz val="10"/>
      <color rgb="FFC00000"/>
      <name val="Helvetica"/>
      <family val="2"/>
    </font>
    <font>
      <sz val="9"/>
      <color rgb="FFC00000"/>
      <name val="Aptos"/>
      <family val="2"/>
    </font>
    <font>
      <sz val="9"/>
      <color rgb="FFC00000"/>
      <name val="Calibri"/>
      <family val="2"/>
      <scheme val="minor"/>
    </font>
    <font>
      <sz val="10"/>
      <color rgb="FFFF0000"/>
      <name val="Helvetica"/>
      <family val="2"/>
    </font>
    <font>
      <sz val="10"/>
      <color rgb="FFFF0000"/>
      <name val="Aptos"/>
      <family val="2"/>
    </font>
    <font>
      <sz val="10"/>
      <color rgb="FF000000"/>
      <name val="Aptos Narrow"/>
      <family val="2"/>
    </font>
    <font>
      <strike/>
      <sz val="10"/>
      <color theme="1"/>
      <name val="Aptos"/>
      <family val="2"/>
    </font>
    <font>
      <b/>
      <sz val="11"/>
      <color rgb="FF000000"/>
      <name val="Aptos Narrow"/>
      <family val="2"/>
    </font>
    <font>
      <b/>
      <sz val="10"/>
      <color rgb="FF000000"/>
      <name val="Aptos Narrow"/>
      <family val="2"/>
    </font>
    <font>
      <sz val="10"/>
      <color rgb="FF843C0C"/>
      <name val="Aptos Narrow"/>
      <family val="2"/>
    </font>
    <font>
      <sz val="9"/>
      <color rgb="FF000000"/>
      <name val="Aptos Narrow"/>
      <family val="2"/>
    </font>
    <font>
      <sz val="11"/>
      <color theme="1"/>
      <name val="Calibri"/>
      <family val="2"/>
    </font>
    <font>
      <sz val="12"/>
      <color theme="1"/>
      <name val="Calibri"/>
      <family val="2"/>
    </font>
    <font>
      <sz val="8"/>
      <color theme="0" tint="-4.9989318521683403E-2"/>
      <name val="Helvetica"/>
    </font>
    <font>
      <sz val="8"/>
      <color theme="0"/>
      <name val="Helvetica"/>
    </font>
    <font>
      <i/>
      <sz val="9"/>
      <color theme="5" tint="-0.499984740745262"/>
      <name val="Helvetica"/>
    </font>
    <font>
      <b/>
      <sz val="8"/>
      <color theme="0"/>
      <name val="Helvetica"/>
    </font>
    <font>
      <b/>
      <sz val="11"/>
      <color theme="0" tint="-0.249977111117893"/>
      <name val="Calibri"/>
      <family val="2"/>
      <scheme val="minor"/>
    </font>
    <font>
      <sz val="10"/>
      <color theme="0" tint="-4.9989318521683403E-2"/>
      <name val="Helvetica"/>
    </font>
    <font>
      <sz val="10"/>
      <color theme="0" tint="-0.14999847407452621"/>
      <name val="Calibri"/>
      <family val="2"/>
      <scheme val="minor"/>
    </font>
    <font>
      <b/>
      <sz val="10"/>
      <color rgb="FFC00000"/>
      <name val="Calibri"/>
      <family val="2"/>
      <scheme val="minor"/>
    </font>
    <font>
      <sz val="10"/>
      <color rgb="FF002060"/>
      <name val="Calibri"/>
      <family val="2"/>
      <scheme val="minor"/>
    </font>
    <font>
      <b/>
      <sz val="10"/>
      <name val="Calibri"/>
      <family val="2"/>
      <scheme val="minor"/>
    </font>
    <font>
      <sz val="10"/>
      <color rgb="FF0070C0"/>
      <name val="Calibri"/>
      <family val="2"/>
      <scheme val="minor"/>
    </font>
    <font>
      <sz val="10"/>
      <color theme="0" tint="-4.9989318521683403E-2"/>
      <name val="Calibri"/>
      <family val="2"/>
      <scheme val="minor"/>
    </font>
    <font>
      <sz val="11"/>
      <color theme="0" tint="-0.499984740745262"/>
      <name val="Calibri"/>
      <family val="2"/>
      <scheme val="minor"/>
    </font>
    <font>
      <b/>
      <sz val="8"/>
      <color theme="0" tint="-4.9989318521683403E-2"/>
      <name val="Helvetica"/>
    </font>
  </fonts>
  <fills count="21">
    <fill>
      <patternFill patternType="none"/>
    </fill>
    <fill>
      <patternFill patternType="gray125"/>
    </fill>
    <fill>
      <patternFill patternType="solid">
        <fgColor rgb="FFFFFF00"/>
        <bgColor indexed="64"/>
      </patternFill>
    </fill>
    <fill>
      <patternFill patternType="solid">
        <fgColor theme="9" tint="0.79998168889431442"/>
        <bgColor theme="9" tint="0.79998168889431442"/>
      </patternFill>
    </fill>
    <fill>
      <patternFill patternType="solid">
        <fgColor rgb="FFFFFFFF"/>
        <bgColor rgb="FF000000"/>
      </patternFill>
    </fill>
    <fill>
      <patternFill patternType="solid">
        <fgColor theme="0"/>
        <bgColor indexed="64"/>
      </patternFill>
    </fill>
    <fill>
      <patternFill patternType="solid">
        <fgColor rgb="FF00B0F0"/>
        <bgColor indexed="64"/>
      </patternFill>
    </fill>
    <fill>
      <patternFill patternType="solid">
        <fgColor theme="7" tint="0.79998168889431442"/>
        <bgColor indexed="64"/>
      </patternFill>
    </fill>
    <fill>
      <patternFill patternType="solid">
        <fgColor rgb="FFFF0000"/>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EAEAEA"/>
        <bgColor indexed="64"/>
      </patternFill>
    </fill>
    <fill>
      <patternFill patternType="solid">
        <fgColor theme="2"/>
        <bgColor indexed="64"/>
      </patternFill>
    </fill>
    <fill>
      <patternFill patternType="solid">
        <fgColor rgb="FFC189F7"/>
        <bgColor indexed="64"/>
      </patternFill>
    </fill>
    <fill>
      <patternFill patternType="solid">
        <fgColor rgb="FFF6C3FF"/>
        <bgColor indexed="64"/>
      </patternFill>
    </fill>
    <fill>
      <patternFill patternType="solid">
        <fgColor theme="2" tint="-0.249977111117893"/>
        <bgColor indexed="64"/>
      </patternFill>
    </fill>
    <fill>
      <patternFill patternType="solid">
        <fgColor theme="7" tint="0.79998168889431442"/>
        <bgColor theme="9" tint="0.79998168889431442"/>
      </patternFill>
    </fill>
    <fill>
      <patternFill patternType="solid">
        <fgColor rgb="FFFFFF00"/>
        <bgColor rgb="FF000000"/>
      </patternFill>
    </fill>
    <fill>
      <patternFill patternType="solid">
        <fgColor theme="7" tint="0.79998168889431442"/>
        <bgColor rgb="FF000000"/>
      </patternFill>
    </fill>
    <fill>
      <patternFill patternType="solid">
        <fgColor rgb="FFFFFFFF"/>
        <bgColor indexed="64"/>
      </patternFill>
    </fill>
    <fill>
      <patternFill patternType="solid">
        <fgColor theme="4" tint="0.79998168889431442"/>
        <bgColor theme="4" tint="0.79998168889431442"/>
      </patternFill>
    </fill>
  </fills>
  <borders count="12">
    <border>
      <left/>
      <right/>
      <top/>
      <bottom/>
      <diagonal/>
    </border>
    <border>
      <left style="thin">
        <color theme="9"/>
      </left>
      <right style="thin">
        <color theme="9"/>
      </right>
      <top style="thin">
        <color theme="9"/>
      </top>
      <bottom style="medium">
        <color theme="9"/>
      </bottom>
      <diagonal/>
    </border>
    <border>
      <left style="thin">
        <color theme="9"/>
      </left>
      <right style="thin">
        <color theme="9"/>
      </right>
      <top style="thin">
        <color theme="9"/>
      </top>
      <bottom/>
      <diagonal/>
    </border>
    <border>
      <left style="thin">
        <color theme="9"/>
      </left>
      <right style="thin">
        <color theme="9"/>
      </right>
      <top style="thin">
        <color theme="9"/>
      </top>
      <bottom style="thin">
        <color theme="9"/>
      </bottom>
      <diagonal/>
    </border>
    <border>
      <left style="double">
        <color rgb="FF3F3F3F"/>
      </left>
      <right style="double">
        <color rgb="FF3F3F3F"/>
      </right>
      <top style="double">
        <color rgb="FF3F3F3F"/>
      </top>
      <bottom style="double">
        <color rgb="FF3F3F3F"/>
      </bottom>
      <diagonal/>
    </border>
    <border>
      <left/>
      <right/>
      <top/>
      <bottom style="double">
        <color indexed="64"/>
      </bottom>
      <diagonal/>
    </border>
    <border>
      <left style="thin">
        <color theme="9"/>
      </left>
      <right/>
      <top style="thin">
        <color theme="9"/>
      </top>
      <bottom style="thin">
        <color theme="9"/>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top style="medium">
        <color indexed="64"/>
      </top>
      <bottom/>
      <diagonal/>
    </border>
    <border>
      <left/>
      <right/>
      <top/>
      <bottom style="thin">
        <color theme="4" tint="0.39997558519241921"/>
      </bottom>
      <diagonal/>
    </border>
    <border>
      <left/>
      <right/>
      <top style="thin">
        <color theme="4" tint="0.39997558519241921"/>
      </top>
      <bottom/>
      <diagonal/>
    </border>
  </borders>
  <cellStyleXfs count="5">
    <xf numFmtId="0" fontId="0" fillId="0" borderId="0"/>
    <xf numFmtId="43" fontId="1" fillId="0" borderId="0" applyFont="0" applyFill="0" applyBorder="0" applyAlignment="0" applyProtection="0"/>
    <xf numFmtId="0" fontId="4" fillId="0" borderId="0" applyNumberFormat="0" applyFill="0" applyBorder="0" applyAlignment="0" applyProtection="0"/>
    <xf numFmtId="9" fontId="1" fillId="0" borderId="0" applyFont="0" applyFill="0" applyBorder="0" applyAlignment="0" applyProtection="0"/>
    <xf numFmtId="0" fontId="70" fillId="0" borderId="0"/>
  </cellStyleXfs>
  <cellXfs count="454">
    <xf numFmtId="0" fontId="0" fillId="0" borderId="0" xfId="0"/>
    <xf numFmtId="0" fontId="3" fillId="0" borderId="0" xfId="0" applyFont="1" applyAlignment="1">
      <alignment horizontal="center"/>
    </xf>
    <xf numFmtId="0" fontId="3" fillId="0" borderId="0" xfId="0" applyFont="1"/>
    <xf numFmtId="165" fontId="6" fillId="0" borderId="0" xfId="0" applyNumberFormat="1" applyFont="1" applyAlignment="1" applyProtection="1">
      <alignment horizontal="left"/>
      <protection locked="0" hidden="1"/>
    </xf>
    <xf numFmtId="0" fontId="2" fillId="0" borderId="0" xfId="0" applyFont="1"/>
    <xf numFmtId="2" fontId="7" fillId="3" borderId="2" xfId="0" applyNumberFormat="1" applyFont="1" applyFill="1" applyBorder="1" applyAlignment="1" applyProtection="1">
      <alignment horizontal="left"/>
      <protection locked="0" hidden="1"/>
    </xf>
    <xf numFmtId="14" fontId="11" fillId="0" borderId="0" xfId="0" applyNumberFormat="1" applyFont="1" applyAlignment="1">
      <alignment horizontal="left"/>
    </xf>
    <xf numFmtId="165" fontId="7" fillId="0" borderId="0" xfId="0" applyNumberFormat="1" applyFont="1" applyAlignment="1" applyProtection="1">
      <alignment horizontal="left"/>
      <protection locked="0" hidden="1"/>
    </xf>
    <xf numFmtId="0" fontId="0" fillId="6" borderId="0" xfId="0" applyFill="1" applyAlignment="1">
      <alignment horizontal="center"/>
    </xf>
    <xf numFmtId="0" fontId="12" fillId="0" borderId="0" xfId="0" applyFont="1" applyAlignment="1">
      <alignment horizontal="center"/>
    </xf>
    <xf numFmtId="0" fontId="13" fillId="0" borderId="0" xfId="0" applyFont="1" applyAlignment="1">
      <alignment horizontal="center"/>
    </xf>
    <xf numFmtId="0" fontId="9" fillId="0" borderId="0" xfId="0" applyFont="1" applyAlignment="1">
      <alignment horizontal="center"/>
    </xf>
    <xf numFmtId="0" fontId="0" fillId="2" borderId="0" xfId="0" applyFill="1"/>
    <xf numFmtId="0" fontId="0" fillId="8" borderId="0" xfId="0" applyFill="1"/>
    <xf numFmtId="2" fontId="8" fillId="0" borderId="0" xfId="0" applyNumberFormat="1" applyFont="1"/>
    <xf numFmtId="0" fontId="0" fillId="0" borderId="0" xfId="0" applyAlignment="1">
      <alignment horizontal="center"/>
    </xf>
    <xf numFmtId="22" fontId="9" fillId="0" borderId="0" xfId="0" applyNumberFormat="1" applyFont="1" applyAlignment="1">
      <alignment horizontal="center"/>
    </xf>
    <xf numFmtId="0" fontId="10" fillId="7" borderId="0" xfId="0" applyFont="1" applyFill="1" applyAlignment="1">
      <alignment horizontal="center"/>
    </xf>
    <xf numFmtId="0" fontId="10" fillId="7" borderId="0" xfId="0" applyFont="1" applyFill="1" applyAlignment="1">
      <alignment horizontal="center" wrapText="1"/>
    </xf>
    <xf numFmtId="0" fontId="3" fillId="7" borderId="0" xfId="0" applyFont="1" applyFill="1" applyAlignment="1">
      <alignment horizontal="center" wrapText="1"/>
    </xf>
    <xf numFmtId="0" fontId="11" fillId="7" borderId="0" xfId="0" applyFont="1" applyFill="1" applyAlignment="1">
      <alignment horizontal="center" vertical="center" wrapText="1"/>
    </xf>
    <xf numFmtId="22" fontId="9" fillId="0" borderId="0" xfId="0" quotePrefix="1" applyNumberFormat="1" applyFont="1" applyAlignment="1">
      <alignment horizontal="center"/>
    </xf>
    <xf numFmtId="0" fontId="17" fillId="0" borderId="0" xfId="0" applyFont="1"/>
    <xf numFmtId="0" fontId="3" fillId="0" borderId="0" xfId="0" quotePrefix="1" applyFont="1" applyAlignment="1">
      <alignment horizontal="center"/>
    </xf>
    <xf numFmtId="165" fontId="22" fillId="0" borderId="0" xfId="0" applyNumberFormat="1" applyFont="1" applyAlignment="1" applyProtection="1">
      <alignment horizontal="left"/>
      <protection locked="0" hidden="1"/>
    </xf>
    <xf numFmtId="0" fontId="23" fillId="0" borderId="0" xfId="0" applyFont="1" applyAlignment="1">
      <alignment vertical="center"/>
    </xf>
    <xf numFmtId="14" fontId="24" fillId="0" borderId="0" xfId="0" applyNumberFormat="1" applyFont="1" applyAlignment="1">
      <alignment horizontal="left"/>
    </xf>
    <xf numFmtId="0" fontId="25" fillId="0" borderId="0" xfId="0" applyFont="1" applyAlignment="1">
      <alignment horizontal="center"/>
    </xf>
    <xf numFmtId="49" fontId="21" fillId="0" borderId="0" xfId="0" applyNumberFormat="1" applyFont="1"/>
    <xf numFmtId="0" fontId="20" fillId="0" borderId="0" xfId="0" applyFont="1"/>
    <xf numFmtId="164" fontId="26" fillId="4" borderId="0" xfId="0" applyNumberFormat="1" applyFont="1" applyFill="1" applyAlignment="1" applyProtection="1">
      <alignment horizontal="right" vertical="center" wrapText="1"/>
      <protection hidden="1"/>
    </xf>
    <xf numFmtId="0" fontId="24" fillId="0" borderId="0" xfId="0" applyFont="1"/>
    <xf numFmtId="0" fontId="27" fillId="0" borderId="0" xfId="2" applyFont="1"/>
    <xf numFmtId="0" fontId="24" fillId="0" borderId="0" xfId="0" applyFont="1" applyAlignment="1">
      <alignment horizontal="right"/>
    </xf>
    <xf numFmtId="49" fontId="28" fillId="0" borderId="0" xfId="0" applyNumberFormat="1" applyFont="1" applyAlignment="1" applyProtection="1">
      <alignment horizontal="left" vertical="center"/>
      <protection locked="0" hidden="1"/>
    </xf>
    <xf numFmtId="0" fontId="19" fillId="9" borderId="1" xfId="0" applyFont="1" applyFill="1" applyBorder="1" applyAlignment="1">
      <alignment horizontal="left" wrapText="1"/>
    </xf>
    <xf numFmtId="0" fontId="19" fillId="9" borderId="0" xfId="0" applyFont="1" applyFill="1" applyAlignment="1">
      <alignment horizontal="center"/>
    </xf>
    <xf numFmtId="0" fontId="19" fillId="9" borderId="0" xfId="0" applyFont="1" applyFill="1" applyAlignment="1">
      <alignment horizontal="center" wrapText="1"/>
    </xf>
    <xf numFmtId="3" fontId="20" fillId="9" borderId="0" xfId="1" applyNumberFormat="1" applyFont="1" applyFill="1" applyBorder="1" applyAlignment="1" applyProtection="1">
      <alignment horizontal="center"/>
      <protection hidden="1"/>
    </xf>
    <xf numFmtId="0" fontId="0" fillId="0" borderId="0" xfId="0" applyAlignment="1">
      <alignment horizontal="left"/>
    </xf>
    <xf numFmtId="0" fontId="0" fillId="0" borderId="0" xfId="0" pivotButton="1"/>
    <xf numFmtId="0" fontId="30" fillId="0" borderId="0" xfId="0" applyFont="1" applyAlignment="1">
      <alignment horizontal="left"/>
    </xf>
    <xf numFmtId="0" fontId="7" fillId="0" borderId="0" xfId="0" applyFont="1" applyAlignment="1" applyProtection="1">
      <alignment horizontal="center"/>
      <protection hidden="1"/>
    </xf>
    <xf numFmtId="0" fontId="11" fillId="0" borderId="0" xfId="0" applyFont="1" applyAlignment="1">
      <alignment horizontal="left"/>
    </xf>
    <xf numFmtId="0" fontId="10" fillId="10" borderId="0" xfId="0" applyFont="1" applyFill="1" applyAlignment="1">
      <alignment horizontal="center"/>
    </xf>
    <xf numFmtId="0" fontId="10" fillId="10" borderId="0" xfId="0" applyFont="1" applyFill="1" applyAlignment="1">
      <alignment horizontal="center" wrapText="1"/>
    </xf>
    <xf numFmtId="0" fontId="34" fillId="0" borderId="0" xfId="0" applyFont="1"/>
    <xf numFmtId="22" fontId="18" fillId="0" borderId="0" xfId="0" applyNumberFormat="1" applyFont="1" applyAlignment="1">
      <alignment horizontal="center"/>
    </xf>
    <xf numFmtId="0" fontId="3" fillId="0" borderId="0" xfId="0" applyFont="1" applyAlignment="1">
      <alignment horizontal="left"/>
    </xf>
    <xf numFmtId="164" fontId="35" fillId="4" borderId="0" xfId="0" applyNumberFormat="1" applyFont="1" applyFill="1" applyAlignment="1" applyProtection="1">
      <alignment horizontal="right" vertical="center" wrapText="1"/>
      <protection hidden="1"/>
    </xf>
    <xf numFmtId="3" fontId="8" fillId="5" borderId="0" xfId="1" applyNumberFormat="1" applyFont="1" applyFill="1" applyBorder="1" applyAlignment="1" applyProtection="1">
      <alignment horizontal="center"/>
      <protection hidden="1"/>
    </xf>
    <xf numFmtId="0" fontId="34" fillId="0" borderId="0" xfId="0" applyFont="1" applyAlignment="1">
      <alignment horizontal="center"/>
    </xf>
    <xf numFmtId="3" fontId="20" fillId="5" borderId="0" xfId="1" applyNumberFormat="1" applyFont="1" applyFill="1" applyBorder="1" applyAlignment="1" applyProtection="1">
      <alignment horizontal="center"/>
      <protection hidden="1"/>
    </xf>
    <xf numFmtId="0" fontId="7" fillId="3" borderId="2" xfId="0" applyFont="1" applyFill="1" applyBorder="1" applyAlignment="1" applyProtection="1">
      <alignment horizontal="left"/>
      <protection locked="0" hidden="1"/>
    </xf>
    <xf numFmtId="0" fontId="0" fillId="0" borderId="0" xfId="0" quotePrefix="1" applyAlignment="1">
      <alignment horizontal="center"/>
    </xf>
    <xf numFmtId="2" fontId="7" fillId="3" borderId="2" xfId="0" quotePrefix="1" applyNumberFormat="1" applyFont="1" applyFill="1" applyBorder="1" applyAlignment="1" applyProtection="1">
      <alignment horizontal="left"/>
      <protection locked="0" hidden="1"/>
    </xf>
    <xf numFmtId="0" fontId="37" fillId="0" borderId="0" xfId="0" applyFont="1"/>
    <xf numFmtId="3" fontId="38" fillId="0" borderId="0" xfId="0" applyNumberFormat="1" applyFont="1" applyAlignment="1">
      <alignment horizontal="left"/>
    </xf>
    <xf numFmtId="3" fontId="39" fillId="0" borderId="0" xfId="0" applyNumberFormat="1" applyFont="1" applyAlignment="1" applyProtection="1">
      <alignment horizontal="left" vertical="center"/>
      <protection locked="0" hidden="1"/>
    </xf>
    <xf numFmtId="3" fontId="39" fillId="3" borderId="3" xfId="0" applyNumberFormat="1" applyFont="1" applyFill="1" applyBorder="1" applyAlignment="1">
      <alignment horizontal="left" vertical="center"/>
    </xf>
    <xf numFmtId="0" fontId="38" fillId="0" borderId="0" xfId="0" applyFont="1" applyAlignment="1">
      <alignment horizontal="left"/>
    </xf>
    <xf numFmtId="4" fontId="0" fillId="0" borderId="0" xfId="0" applyNumberFormat="1"/>
    <xf numFmtId="0" fontId="43" fillId="0" borderId="0" xfId="0" applyFont="1" applyAlignment="1">
      <alignment vertical="center"/>
    </xf>
    <xf numFmtId="2" fontId="7" fillId="3" borderId="3" xfId="0" quotePrefix="1" applyNumberFormat="1" applyFont="1" applyFill="1" applyBorder="1" applyAlignment="1" applyProtection="1">
      <alignment horizontal="left"/>
      <protection locked="0" hidden="1"/>
    </xf>
    <xf numFmtId="14" fontId="6" fillId="0" borderId="0" xfId="0" applyNumberFormat="1" applyFont="1" applyAlignment="1" applyProtection="1">
      <alignment horizontal="left"/>
      <protection locked="0" hidden="1"/>
    </xf>
    <xf numFmtId="0" fontId="6" fillId="0" borderId="0" xfId="0" applyFont="1" applyAlignment="1" applyProtection="1">
      <alignment horizontal="left"/>
      <protection locked="0" hidden="1"/>
    </xf>
    <xf numFmtId="2" fontId="6" fillId="0" borderId="0" xfId="0" applyNumberFormat="1" applyFont="1" applyAlignment="1" applyProtection="1">
      <alignment horizontal="left"/>
      <protection locked="0" hidden="1"/>
    </xf>
    <xf numFmtId="2" fontId="0" fillId="0" borderId="0" xfId="0" applyNumberFormat="1"/>
    <xf numFmtId="0" fontId="44" fillId="0" borderId="0" xfId="0" applyFont="1" applyAlignment="1">
      <alignment horizontal="left"/>
    </xf>
    <xf numFmtId="0" fontId="45" fillId="0" borderId="0" xfId="0" applyFont="1" applyAlignment="1">
      <alignment horizontal="left"/>
    </xf>
    <xf numFmtId="0" fontId="0" fillId="0" borderId="0" xfId="0" pivotButton="1" applyAlignment="1">
      <alignment horizontal="center"/>
    </xf>
    <xf numFmtId="3" fontId="0" fillId="0" borderId="0" xfId="0" applyNumberFormat="1" applyAlignment="1">
      <alignment horizontal="center"/>
    </xf>
    <xf numFmtId="3" fontId="0" fillId="0" borderId="0" xfId="0" applyNumberFormat="1"/>
    <xf numFmtId="166" fontId="0" fillId="0" borderId="0" xfId="0" applyNumberFormat="1" applyAlignment="1">
      <alignment horizontal="center"/>
    </xf>
    <xf numFmtId="4" fontId="0" fillId="0" borderId="0" xfId="0" applyNumberFormat="1" applyAlignment="1">
      <alignment horizontal="right"/>
    </xf>
    <xf numFmtId="0" fontId="21" fillId="3" borderId="2" xfId="0" applyFont="1" applyFill="1" applyBorder="1" applyAlignment="1" applyProtection="1">
      <alignment horizontal="left"/>
      <protection locked="0" hidden="1"/>
    </xf>
    <xf numFmtId="4" fontId="8" fillId="0" borderId="0" xfId="0" applyNumberFormat="1" applyFont="1"/>
    <xf numFmtId="4" fontId="8" fillId="0" borderId="0" xfId="0" applyNumberFormat="1" applyFont="1" applyAlignment="1" applyProtection="1">
      <alignment horizontal="right"/>
      <protection hidden="1"/>
    </xf>
    <xf numFmtId="165" fontId="21" fillId="0" borderId="0" xfId="0" applyNumberFormat="1" applyFont="1" applyAlignment="1" applyProtection="1">
      <alignment horizontal="left"/>
      <protection locked="0" hidden="1"/>
    </xf>
    <xf numFmtId="14" fontId="47" fillId="0" borderId="0" xfId="0" applyNumberFormat="1" applyFont="1" applyAlignment="1">
      <alignment horizontal="center"/>
    </xf>
    <xf numFmtId="0" fontId="0" fillId="3" borderId="3" xfId="0" applyFill="1" applyBorder="1"/>
    <xf numFmtId="0" fontId="0" fillId="0" borderId="3" xfId="0" applyBorder="1"/>
    <xf numFmtId="0" fontId="20" fillId="3" borderId="3" xfId="0" applyFont="1" applyFill="1" applyBorder="1"/>
    <xf numFmtId="0" fontId="20" fillId="0" borderId="3" xfId="0" applyFont="1" applyBorder="1"/>
    <xf numFmtId="49" fontId="21" fillId="3" borderId="3" xfId="0" applyNumberFormat="1" applyFont="1" applyFill="1" applyBorder="1"/>
    <xf numFmtId="0" fontId="24" fillId="3" borderId="3" xfId="0" applyFont="1" applyFill="1" applyBorder="1"/>
    <xf numFmtId="0" fontId="24" fillId="0" borderId="3" xfId="0" applyFont="1" applyBorder="1"/>
    <xf numFmtId="165" fontId="22" fillId="0" borderId="3" xfId="0" applyNumberFormat="1" applyFont="1" applyBorder="1" applyAlignment="1">
      <alignment horizontal="left"/>
    </xf>
    <xf numFmtId="165" fontId="22" fillId="3" borderId="3" xfId="0" applyNumberFormat="1" applyFont="1" applyFill="1" applyBorder="1" applyAlignment="1">
      <alignment horizontal="left"/>
    </xf>
    <xf numFmtId="165" fontId="6" fillId="3" borderId="3" xfId="0" applyNumberFormat="1" applyFont="1" applyFill="1" applyBorder="1" applyAlignment="1">
      <alignment horizontal="left"/>
    </xf>
    <xf numFmtId="165" fontId="6" fillId="0" borderId="3" xfId="0" applyNumberFormat="1" applyFont="1" applyBorder="1" applyAlignment="1">
      <alignment horizontal="left"/>
    </xf>
    <xf numFmtId="0" fontId="0" fillId="0" borderId="0" xfId="0" quotePrefix="1"/>
    <xf numFmtId="165" fontId="20" fillId="3" borderId="3" xfId="0" applyNumberFormat="1" applyFont="1" applyFill="1" applyBorder="1" applyAlignment="1">
      <alignment horizontal="left"/>
    </xf>
    <xf numFmtId="49" fontId="20" fillId="3" borderId="3" xfId="0" applyNumberFormat="1" applyFont="1" applyFill="1" applyBorder="1"/>
    <xf numFmtId="165" fontId="20" fillId="0" borderId="3" xfId="0" applyNumberFormat="1" applyFont="1" applyBorder="1" applyAlignment="1">
      <alignment horizontal="left"/>
    </xf>
    <xf numFmtId="49" fontId="48" fillId="0" borderId="3" xfId="0" applyNumberFormat="1" applyFont="1" applyBorder="1" applyAlignment="1">
      <alignment horizontal="left" vertical="center"/>
    </xf>
    <xf numFmtId="9" fontId="0" fillId="0" borderId="0" xfId="3" applyFont="1" applyAlignment="1">
      <alignment horizontal="center"/>
    </xf>
    <xf numFmtId="0" fontId="38" fillId="0" borderId="0" xfId="0" quotePrefix="1" applyFont="1" applyAlignment="1">
      <alignment horizontal="left"/>
    </xf>
    <xf numFmtId="4" fontId="49" fillId="4" borderId="0" xfId="0" applyNumberFormat="1" applyFont="1" applyFill="1" applyAlignment="1" applyProtection="1">
      <alignment horizontal="right"/>
      <protection hidden="1"/>
    </xf>
    <xf numFmtId="0" fontId="50" fillId="0" borderId="0" xfId="0" applyFont="1" applyAlignment="1">
      <alignment vertical="center"/>
    </xf>
    <xf numFmtId="0" fontId="51" fillId="0" borderId="0" xfId="0" applyFont="1"/>
    <xf numFmtId="2" fontId="7" fillId="0" borderId="2" xfId="0" applyNumberFormat="1" applyFont="1" applyBorder="1" applyAlignment="1" applyProtection="1">
      <alignment horizontal="left"/>
      <protection locked="0" hidden="1"/>
    </xf>
    <xf numFmtId="0" fontId="17" fillId="0" borderId="0" xfId="0" quotePrefix="1" applyFont="1"/>
    <xf numFmtId="0" fontId="53" fillId="0" borderId="0" xfId="0" applyFont="1" applyAlignment="1">
      <alignment horizontal="left"/>
    </xf>
    <xf numFmtId="0" fontId="54" fillId="0" borderId="0" xfId="0" applyFont="1" applyAlignment="1">
      <alignment horizontal="left"/>
    </xf>
    <xf numFmtId="0" fontId="0" fillId="0" borderId="0" xfId="0" applyAlignment="1">
      <alignment horizontal="left" indent="1"/>
    </xf>
    <xf numFmtId="165" fontId="20" fillId="0" borderId="0" xfId="0" applyNumberFormat="1" applyFont="1" applyAlignment="1" applyProtection="1">
      <alignment horizontal="left"/>
      <protection locked="0" hidden="1"/>
    </xf>
    <xf numFmtId="4" fontId="49" fillId="0" borderId="0" xfId="0" applyNumberFormat="1" applyFont="1" applyAlignment="1" applyProtection="1">
      <alignment horizontal="right"/>
      <protection hidden="1"/>
    </xf>
    <xf numFmtId="2" fontId="57" fillId="3" borderId="2" xfId="0" applyNumberFormat="1" applyFont="1" applyFill="1" applyBorder="1" applyAlignment="1" applyProtection="1">
      <alignment horizontal="left"/>
      <protection locked="0" hidden="1"/>
    </xf>
    <xf numFmtId="0" fontId="61" fillId="0" borderId="0" xfId="0" applyFont="1"/>
    <xf numFmtId="0" fontId="62" fillId="0" borderId="0" xfId="0" applyFont="1" applyAlignment="1">
      <alignment horizontal="left"/>
    </xf>
    <xf numFmtId="0" fontId="63" fillId="0" borderId="0" xfId="0" applyFont="1" applyAlignment="1">
      <alignment horizontal="left"/>
    </xf>
    <xf numFmtId="4" fontId="7" fillId="0" borderId="0" xfId="0" applyNumberFormat="1" applyFont="1"/>
    <xf numFmtId="167" fontId="8" fillId="5" borderId="0" xfId="1" applyNumberFormat="1" applyFont="1" applyFill="1" applyBorder="1" applyAlignment="1" applyProtection="1">
      <alignment horizontal="center"/>
      <protection hidden="1"/>
    </xf>
    <xf numFmtId="0" fontId="11" fillId="0" borderId="0" xfId="0" quotePrefix="1" applyFont="1" applyAlignment="1">
      <alignment horizontal="left"/>
    </xf>
    <xf numFmtId="2" fontId="69" fillId="0" borderId="2" xfId="0" applyNumberFormat="1" applyFont="1" applyBorder="1" applyAlignment="1" applyProtection="1">
      <alignment horizontal="left"/>
      <protection locked="0" hidden="1"/>
    </xf>
    <xf numFmtId="0" fontId="69" fillId="0" borderId="0" xfId="0" applyFont="1" applyAlignment="1" applyProtection="1">
      <alignment horizontal="center"/>
      <protection hidden="1"/>
    </xf>
    <xf numFmtId="166" fontId="24" fillId="0" borderId="0" xfId="0" applyNumberFormat="1" applyFont="1" applyAlignment="1">
      <alignment horizontal="left"/>
    </xf>
    <xf numFmtId="0" fontId="7" fillId="3" borderId="3" xfId="0" applyFont="1" applyFill="1" applyBorder="1" applyAlignment="1" applyProtection="1">
      <alignment horizontal="left"/>
      <protection locked="0" hidden="1"/>
    </xf>
    <xf numFmtId="0" fontId="8" fillId="5" borderId="0" xfId="1" applyNumberFormat="1" applyFont="1" applyFill="1" applyBorder="1" applyAlignment="1" applyProtection="1">
      <alignment horizontal="center"/>
      <protection hidden="1"/>
    </xf>
    <xf numFmtId="0" fontId="0" fillId="2" borderId="0" xfId="0" applyFill="1" applyAlignment="1">
      <alignment horizontal="center"/>
    </xf>
    <xf numFmtId="0" fontId="52" fillId="0" borderId="0" xfId="0" applyFont="1"/>
    <xf numFmtId="0" fontId="5" fillId="0" borderId="0" xfId="0" applyFont="1" applyAlignment="1">
      <alignment horizontal="center"/>
    </xf>
    <xf numFmtId="164" fontId="73" fillId="4" borderId="0" xfId="0" applyNumberFormat="1" applyFont="1" applyFill="1" applyAlignment="1" applyProtection="1">
      <alignment horizontal="right" vertical="center" wrapText="1"/>
      <protection hidden="1"/>
    </xf>
    <xf numFmtId="0" fontId="4" fillId="0" borderId="0" xfId="2" applyBorder="1"/>
    <xf numFmtId="2" fontId="8" fillId="3" borderId="2" xfId="0" applyNumberFormat="1" applyFont="1" applyFill="1" applyBorder="1" applyAlignment="1" applyProtection="1">
      <alignment horizontal="left"/>
      <protection locked="0" hidden="1"/>
    </xf>
    <xf numFmtId="164" fontId="49" fillId="4" borderId="0" xfId="0" applyNumberFormat="1" applyFont="1" applyFill="1" applyAlignment="1" applyProtection="1">
      <alignment horizontal="right"/>
      <protection hidden="1"/>
    </xf>
    <xf numFmtId="0" fontId="0" fillId="12" borderId="0" xfId="0" applyFill="1" applyAlignment="1">
      <alignment horizontal="center"/>
    </xf>
    <xf numFmtId="165" fontId="0" fillId="0" borderId="0" xfId="0" applyNumberFormat="1"/>
    <xf numFmtId="0" fontId="0" fillId="13" borderId="0" xfId="0" applyFill="1" applyAlignment="1">
      <alignment horizontal="center"/>
    </xf>
    <xf numFmtId="164" fontId="0" fillId="0" borderId="0" xfId="0" applyNumberFormat="1"/>
    <xf numFmtId="165" fontId="0" fillId="0" borderId="0" xfId="0" applyNumberFormat="1" applyAlignment="1">
      <alignment horizontal="left"/>
    </xf>
    <xf numFmtId="2" fontId="0" fillId="0" borderId="0" xfId="0" applyNumberFormat="1" applyAlignment="1">
      <alignment horizontal="left"/>
    </xf>
    <xf numFmtId="0" fontId="0" fillId="13" borderId="0" xfId="0" applyFill="1" applyAlignment="1">
      <alignment horizontal="left"/>
    </xf>
    <xf numFmtId="0" fontId="0" fillId="13" borderId="0" xfId="0" applyFill="1"/>
    <xf numFmtId="2" fontId="0" fillId="13" borderId="0" xfId="0" applyNumberFormat="1" applyFill="1" applyAlignment="1">
      <alignment horizontal="right"/>
    </xf>
    <xf numFmtId="3" fontId="59" fillId="5" borderId="0" xfId="1" applyNumberFormat="1" applyFont="1" applyFill="1" applyBorder="1" applyAlignment="1" applyProtection="1">
      <alignment horizontal="center"/>
      <protection hidden="1"/>
    </xf>
    <xf numFmtId="0" fontId="8" fillId="3" borderId="3" xfId="0" applyFont="1" applyFill="1" applyBorder="1" applyAlignment="1" applyProtection="1">
      <alignment horizontal="left"/>
      <protection locked="0" hidden="1"/>
    </xf>
    <xf numFmtId="16" fontId="0" fillId="0" borderId="0" xfId="0" applyNumberFormat="1"/>
    <xf numFmtId="0" fontId="23" fillId="0" borderId="0" xfId="0" applyFont="1" applyAlignment="1">
      <alignment horizontal="center"/>
    </xf>
    <xf numFmtId="14" fontId="24" fillId="0" borderId="0" xfId="0" quotePrefix="1" applyNumberFormat="1" applyFont="1" applyAlignment="1">
      <alignment horizontal="left"/>
    </xf>
    <xf numFmtId="0" fontId="8" fillId="3" borderId="2" xfId="0" applyFont="1" applyFill="1" applyBorder="1" applyAlignment="1" applyProtection="1">
      <alignment horizontal="left"/>
      <protection locked="0" hidden="1"/>
    </xf>
    <xf numFmtId="0" fontId="0" fillId="0" borderId="5" xfId="0" applyBorder="1" applyAlignment="1">
      <alignment horizontal="left"/>
    </xf>
    <xf numFmtId="0" fontId="0" fillId="0" borderId="5" xfId="0" applyBorder="1"/>
    <xf numFmtId="0" fontId="75" fillId="0" borderId="0" xfId="0" applyFont="1"/>
    <xf numFmtId="22" fontId="18" fillId="0" borderId="0" xfId="0" applyNumberFormat="1" applyFont="1"/>
    <xf numFmtId="14" fontId="0" fillId="0" borderId="0" xfId="0" applyNumberFormat="1" applyAlignment="1">
      <alignment horizontal="center"/>
    </xf>
    <xf numFmtId="2" fontId="76" fillId="3" borderId="2" xfId="0" applyNumberFormat="1" applyFont="1" applyFill="1" applyBorder="1" applyAlignment="1" applyProtection="1">
      <alignment horizontal="left"/>
      <protection locked="0" hidden="1"/>
    </xf>
    <xf numFmtId="165" fontId="77" fillId="0" borderId="0" xfId="0" applyNumberFormat="1" applyFont="1" applyAlignment="1" applyProtection="1">
      <alignment horizontal="left"/>
      <protection locked="0" hidden="1"/>
    </xf>
    <xf numFmtId="0" fontId="17" fillId="0" borderId="0" xfId="0" applyFont="1" applyAlignment="1">
      <alignment horizontal="left"/>
    </xf>
    <xf numFmtId="0" fontId="80" fillId="0" borderId="0" xfId="0" applyFont="1" applyAlignment="1">
      <alignment horizontal="left"/>
    </xf>
    <xf numFmtId="0" fontId="80" fillId="0" borderId="0" xfId="0" applyFont="1"/>
    <xf numFmtId="0" fontId="4" fillId="0" borderId="0" xfId="2" applyAlignment="1">
      <alignment horizontal="center"/>
    </xf>
    <xf numFmtId="3" fontId="4" fillId="11" borderId="4" xfId="2" applyNumberFormat="1" applyFill="1" applyBorder="1" applyAlignment="1">
      <alignment horizontal="center"/>
    </xf>
    <xf numFmtId="0" fontId="81" fillId="0" borderId="0" xfId="0" applyFont="1" applyAlignment="1">
      <alignment horizontal="center"/>
    </xf>
    <xf numFmtId="0" fontId="79" fillId="0" borderId="0" xfId="0" applyFont="1" applyAlignment="1" applyProtection="1">
      <alignment horizontal="center"/>
      <protection hidden="1"/>
    </xf>
    <xf numFmtId="0" fontId="78" fillId="0" borderId="0" xfId="0" applyFont="1" applyAlignment="1">
      <alignment horizontal="left"/>
    </xf>
    <xf numFmtId="0" fontId="83" fillId="0" borderId="0" xfId="0" applyFont="1" applyAlignment="1">
      <alignment horizontal="left"/>
    </xf>
    <xf numFmtId="0" fontId="74" fillId="0" borderId="0" xfId="0" applyFont="1" applyAlignment="1">
      <alignment horizontal="left"/>
    </xf>
    <xf numFmtId="0" fontId="44" fillId="0" borderId="0" xfId="0" quotePrefix="1" applyFont="1" applyAlignment="1">
      <alignment horizontal="left"/>
    </xf>
    <xf numFmtId="0" fontId="17" fillId="0" borderId="0" xfId="0" applyFont="1" applyAlignment="1">
      <alignment horizontal="center"/>
    </xf>
    <xf numFmtId="0" fontId="84" fillId="0" borderId="0" xfId="0" applyFont="1"/>
    <xf numFmtId="3" fontId="8" fillId="0" borderId="0" xfId="0" applyNumberFormat="1" applyFont="1" applyAlignment="1">
      <alignment horizontal="center"/>
    </xf>
    <xf numFmtId="3" fontId="12" fillId="0" borderId="0" xfId="0" applyNumberFormat="1" applyFont="1" applyAlignment="1">
      <alignment horizontal="center"/>
    </xf>
    <xf numFmtId="3" fontId="19" fillId="9" borderId="0" xfId="0" applyNumberFormat="1" applyFont="1" applyFill="1" applyAlignment="1">
      <alignment horizontal="center"/>
    </xf>
    <xf numFmtId="3" fontId="20" fillId="0" borderId="0" xfId="0" applyNumberFormat="1" applyFont="1" applyAlignment="1">
      <alignment horizontal="center"/>
    </xf>
    <xf numFmtId="3" fontId="64" fillId="0" borderId="0" xfId="0" applyNumberFormat="1" applyFont="1" applyAlignment="1">
      <alignment horizontal="center"/>
    </xf>
    <xf numFmtId="3" fontId="7" fillId="0" borderId="0" xfId="0" applyNumberFormat="1" applyFont="1" applyAlignment="1">
      <alignment horizontal="center"/>
    </xf>
    <xf numFmtId="3" fontId="69" fillId="0" borderId="0" xfId="0" applyNumberFormat="1" applyFont="1" applyAlignment="1">
      <alignment horizontal="center"/>
    </xf>
    <xf numFmtId="3" fontId="40" fillId="0" borderId="0" xfId="0" applyNumberFormat="1" applyFont="1" applyAlignment="1">
      <alignment horizontal="right"/>
    </xf>
    <xf numFmtId="0" fontId="3" fillId="2" borderId="0" xfId="0" applyFont="1" applyFill="1"/>
    <xf numFmtId="0" fontId="88" fillId="0" borderId="0" xfId="0" applyFont="1"/>
    <xf numFmtId="2" fontId="69" fillId="3" borderId="2" xfId="0" applyNumberFormat="1" applyFont="1" applyFill="1" applyBorder="1" applyAlignment="1" applyProtection="1">
      <alignment horizontal="left"/>
      <protection locked="0" hidden="1"/>
    </xf>
    <xf numFmtId="2" fontId="40" fillId="3" borderId="2" xfId="0" applyNumberFormat="1" applyFont="1" applyFill="1" applyBorder="1" applyAlignment="1" applyProtection="1">
      <alignment horizontal="left"/>
      <protection locked="0" hidden="1"/>
    </xf>
    <xf numFmtId="49" fontId="38" fillId="0" borderId="0" xfId="0" applyNumberFormat="1" applyFont="1" applyAlignment="1">
      <alignment horizontal="left"/>
    </xf>
    <xf numFmtId="164" fontId="8" fillId="5" borderId="0" xfId="1" applyNumberFormat="1" applyFont="1" applyFill="1" applyBorder="1" applyAlignment="1" applyProtection="1">
      <alignment horizontal="center"/>
      <protection hidden="1"/>
    </xf>
    <xf numFmtId="0" fontId="2" fillId="0" borderId="0" xfId="0" applyFont="1" applyAlignment="1">
      <alignment horizontal="left"/>
    </xf>
    <xf numFmtId="0" fontId="90" fillId="0" borderId="0" xfId="0" applyFont="1"/>
    <xf numFmtId="164" fontId="49" fillId="4" borderId="0" xfId="0" applyNumberFormat="1" applyFont="1" applyFill="1" applyAlignment="1" applyProtection="1">
      <alignment horizontal="right" vertical="center" wrapText="1"/>
      <protection hidden="1"/>
    </xf>
    <xf numFmtId="0" fontId="37" fillId="0" borderId="0" xfId="0" applyFont="1" applyAlignment="1">
      <alignment horizontal="center"/>
    </xf>
    <xf numFmtId="14" fontId="22" fillId="0" borderId="0" xfId="0" applyNumberFormat="1" applyFont="1" applyAlignment="1" applyProtection="1">
      <alignment horizontal="left"/>
      <protection locked="0" hidden="1"/>
    </xf>
    <xf numFmtId="16" fontId="0" fillId="0" borderId="0" xfId="0" applyNumberFormat="1" applyAlignment="1">
      <alignment horizontal="left"/>
    </xf>
    <xf numFmtId="0" fontId="85" fillId="0" borderId="0" xfId="0" applyFont="1" applyAlignment="1">
      <alignment horizontal="left"/>
    </xf>
    <xf numFmtId="2" fontId="93" fillId="3" borderId="2" xfId="0" applyNumberFormat="1" applyFont="1" applyFill="1" applyBorder="1" applyAlignment="1" applyProtection="1">
      <alignment horizontal="left"/>
      <protection locked="0" hidden="1"/>
    </xf>
    <xf numFmtId="0" fontId="87" fillId="0" borderId="0" xfId="0" applyFont="1" applyAlignment="1">
      <alignment horizontal="center"/>
    </xf>
    <xf numFmtId="0" fontId="86" fillId="0" borderId="0" xfId="0" applyFont="1" applyAlignment="1">
      <alignment horizontal="center"/>
    </xf>
    <xf numFmtId="164" fontId="36" fillId="4" borderId="0" xfId="0" applyNumberFormat="1" applyFont="1" applyFill="1" applyAlignment="1" applyProtection="1">
      <alignment horizontal="right" vertical="center" wrapText="1"/>
      <protection hidden="1"/>
    </xf>
    <xf numFmtId="164" fontId="94" fillId="4" borderId="0" xfId="0" applyNumberFormat="1" applyFont="1" applyFill="1" applyAlignment="1" applyProtection="1">
      <alignment horizontal="right" vertical="center" wrapText="1"/>
      <protection hidden="1"/>
    </xf>
    <xf numFmtId="4" fontId="11" fillId="0" borderId="0" xfId="0" quotePrefix="1" applyNumberFormat="1" applyFont="1"/>
    <xf numFmtId="14" fontId="95" fillId="0" borderId="0" xfId="0" applyNumberFormat="1" applyFont="1" applyAlignment="1">
      <alignment horizontal="left"/>
    </xf>
    <xf numFmtId="14" fontId="95" fillId="0" borderId="0" xfId="0" quotePrefix="1" applyNumberFormat="1" applyFont="1" applyAlignment="1">
      <alignment horizontal="left"/>
    </xf>
    <xf numFmtId="3" fontId="40" fillId="0" borderId="0" xfId="0" applyNumberFormat="1" applyFont="1" applyAlignment="1">
      <alignment horizontal="center"/>
    </xf>
    <xf numFmtId="3" fontId="40" fillId="5" borderId="0" xfId="1" applyNumberFormat="1" applyFont="1" applyFill="1" applyBorder="1" applyAlignment="1" applyProtection="1">
      <alignment horizontal="center"/>
      <protection hidden="1"/>
    </xf>
    <xf numFmtId="14" fontId="96" fillId="0" borderId="0" xfId="0" applyNumberFormat="1" applyFont="1" applyAlignment="1" applyProtection="1">
      <alignment horizontal="left"/>
      <protection locked="0" hidden="1"/>
    </xf>
    <xf numFmtId="14" fontId="53" fillId="0" borderId="0" xfId="0" applyNumberFormat="1" applyFont="1" applyAlignment="1">
      <alignment horizontal="left"/>
    </xf>
    <xf numFmtId="4" fontId="96" fillId="4" borderId="0" xfId="0" applyNumberFormat="1" applyFont="1" applyFill="1" applyAlignment="1" applyProtection="1">
      <alignment horizontal="right"/>
      <protection hidden="1"/>
    </xf>
    <xf numFmtId="16" fontId="17" fillId="0" borderId="0" xfId="0" applyNumberFormat="1" applyFont="1" applyAlignment="1">
      <alignment horizontal="left"/>
    </xf>
    <xf numFmtId="164" fontId="96" fillId="4" borderId="0" xfId="0" applyNumberFormat="1" applyFont="1" applyFill="1" applyAlignment="1" applyProtection="1">
      <alignment horizontal="center" wrapText="1"/>
      <protection hidden="1"/>
    </xf>
    <xf numFmtId="0" fontId="0" fillId="6" borderId="0" xfId="0" applyFill="1" applyAlignment="1">
      <alignment horizontal="left"/>
    </xf>
    <xf numFmtId="0" fontId="89" fillId="0" borderId="0" xfId="0" applyFont="1" applyAlignment="1">
      <alignment horizontal="center"/>
    </xf>
    <xf numFmtId="0" fontId="4" fillId="0" borderId="0" xfId="2"/>
    <xf numFmtId="164" fontId="49" fillId="4" borderId="0" xfId="0" applyNumberFormat="1" applyFont="1" applyFill="1" applyAlignment="1" applyProtection="1">
      <alignment horizontal="center" vertical="center" wrapText="1"/>
      <protection hidden="1"/>
    </xf>
    <xf numFmtId="14" fontId="95" fillId="0" borderId="0" xfId="0" applyNumberFormat="1" applyFont="1" applyAlignment="1">
      <alignment horizontal="left" vertical="center"/>
    </xf>
    <xf numFmtId="14" fontId="24" fillId="0" borderId="0" xfId="0" quotePrefix="1" applyNumberFormat="1" applyFont="1" applyAlignment="1">
      <alignment horizontal="left" vertical="center"/>
    </xf>
    <xf numFmtId="0" fontId="38" fillId="0" borderId="0" xfId="0" applyFont="1" applyAlignment="1">
      <alignment horizontal="left" vertical="center"/>
    </xf>
    <xf numFmtId="0" fontId="3" fillId="0" borderId="0" xfId="0" applyFont="1" applyAlignment="1">
      <alignment horizontal="center" vertical="center"/>
    </xf>
    <xf numFmtId="3" fontId="8" fillId="0" borderId="0" xfId="0" applyNumberFormat="1" applyFont="1" applyAlignment="1">
      <alignment horizontal="center" vertical="center"/>
    </xf>
    <xf numFmtId="0" fontId="0" fillId="0" borderId="0" xfId="0" applyAlignment="1">
      <alignment vertical="center"/>
    </xf>
    <xf numFmtId="0" fontId="19" fillId="14" borderId="0" xfId="0" applyFont="1" applyFill="1" applyAlignment="1">
      <alignment horizontal="center"/>
    </xf>
    <xf numFmtId="16" fontId="0" fillId="0" borderId="0" xfId="0" applyNumberFormat="1" applyAlignment="1">
      <alignment horizontal="center"/>
    </xf>
    <xf numFmtId="0" fontId="19" fillId="14" borderId="0" xfId="0" applyFont="1" applyFill="1" applyAlignment="1">
      <alignment horizontal="center" wrapText="1"/>
    </xf>
    <xf numFmtId="16" fontId="0" fillId="0" borderId="0" xfId="0" applyNumberFormat="1" applyAlignment="1">
      <alignment horizontal="center" vertical="center"/>
    </xf>
    <xf numFmtId="14" fontId="24" fillId="14" borderId="0" xfId="0" quotePrefix="1" applyNumberFormat="1" applyFont="1" applyFill="1" applyAlignment="1">
      <alignment horizontal="left"/>
    </xf>
    <xf numFmtId="0" fontId="69" fillId="15" borderId="0" xfId="0" applyFont="1" applyFill="1" applyAlignment="1" applyProtection="1">
      <alignment horizontal="center"/>
      <protection hidden="1"/>
    </xf>
    <xf numFmtId="0" fontId="3" fillId="0" borderId="0" xfId="0" quotePrefix="1" applyFont="1" applyAlignment="1">
      <alignment horizontal="center" vertical="center"/>
    </xf>
    <xf numFmtId="4" fontId="8" fillId="0" borderId="0" xfId="0" applyNumberFormat="1" applyFont="1" applyAlignment="1">
      <alignment horizontal="center"/>
    </xf>
    <xf numFmtId="4" fontId="7" fillId="0" borderId="0" xfId="0" applyNumberFormat="1" applyFont="1" applyAlignment="1">
      <alignment horizontal="center"/>
    </xf>
    <xf numFmtId="2" fontId="20" fillId="0" borderId="0" xfId="0" applyNumberFormat="1" applyFont="1" applyAlignment="1">
      <alignment horizontal="center"/>
    </xf>
    <xf numFmtId="2" fontId="29" fillId="0" borderId="0" xfId="0" applyNumberFormat="1" applyFont="1" applyAlignment="1">
      <alignment horizontal="center"/>
    </xf>
    <xf numFmtId="2" fontId="33" fillId="0" borderId="0" xfId="0" applyNumberFormat="1" applyFont="1" applyAlignment="1">
      <alignment horizontal="center"/>
    </xf>
    <xf numFmtId="2" fontId="36" fillId="0" borderId="0" xfId="0" applyNumberFormat="1" applyFont="1" applyAlignment="1">
      <alignment horizontal="center"/>
    </xf>
    <xf numFmtId="2" fontId="8" fillId="0" borderId="0" xfId="0" applyNumberFormat="1" applyFont="1" applyAlignment="1">
      <alignment horizontal="center"/>
    </xf>
    <xf numFmtId="2" fontId="7" fillId="0" borderId="0" xfId="0" applyNumberFormat="1" applyFont="1" applyAlignment="1">
      <alignment horizontal="center"/>
    </xf>
    <xf numFmtId="2" fontId="40" fillId="0" borderId="0" xfId="0" applyNumberFormat="1" applyFont="1" applyAlignment="1">
      <alignment horizontal="center"/>
    </xf>
    <xf numFmtId="2" fontId="7" fillId="2" borderId="0" xfId="0" applyNumberFormat="1" applyFont="1" applyFill="1" applyAlignment="1">
      <alignment horizontal="center"/>
    </xf>
    <xf numFmtId="2" fontId="66" fillId="0" borderId="0" xfId="0" applyNumberFormat="1" applyFont="1" applyAlignment="1">
      <alignment horizontal="center"/>
    </xf>
    <xf numFmtId="2" fontId="64" fillId="0" borderId="0" xfId="0" applyNumberFormat="1" applyFont="1" applyAlignment="1">
      <alignment horizontal="center"/>
    </xf>
    <xf numFmtId="168" fontId="8" fillId="0" borderId="0" xfId="0" applyNumberFormat="1" applyFont="1" applyAlignment="1">
      <alignment horizontal="center"/>
    </xf>
    <xf numFmtId="2" fontId="69" fillId="0" borderId="0" xfId="0" applyNumberFormat="1" applyFont="1" applyAlignment="1">
      <alignment horizontal="center"/>
    </xf>
    <xf numFmtId="0" fontId="8" fillId="0" borderId="0" xfId="0" applyFont="1" applyAlignment="1">
      <alignment horizontal="center"/>
    </xf>
    <xf numFmtId="0" fontId="36" fillId="0" borderId="0" xfId="0" applyFont="1" applyAlignment="1">
      <alignment horizontal="center"/>
    </xf>
    <xf numFmtId="0" fontId="40" fillId="0" borderId="0" xfId="0" applyFont="1" applyAlignment="1">
      <alignment horizontal="center"/>
    </xf>
    <xf numFmtId="0" fontId="66" fillId="0" borderId="0" xfId="0" applyFont="1" applyAlignment="1">
      <alignment horizontal="center"/>
    </xf>
    <xf numFmtId="0" fontId="59" fillId="0" borderId="0" xfId="0" applyFont="1" applyAlignment="1">
      <alignment horizontal="center"/>
    </xf>
    <xf numFmtId="2" fontId="8" fillId="0" borderId="0" xfId="0" applyNumberFormat="1" applyFont="1" applyAlignment="1">
      <alignment horizontal="center" vertical="center"/>
    </xf>
    <xf numFmtId="4" fontId="8" fillId="0" borderId="0" xfId="0" applyNumberFormat="1" applyFont="1" applyAlignment="1">
      <alignment horizontal="center" vertical="center"/>
    </xf>
    <xf numFmtId="2" fontId="7" fillId="0" borderId="0" xfId="0" applyNumberFormat="1" applyFont="1" applyAlignment="1">
      <alignment horizontal="center" vertical="center"/>
    </xf>
    <xf numFmtId="0" fontId="17" fillId="0" borderId="0" xfId="0" applyFont="1" applyAlignment="1">
      <alignment horizontal="left" vertical="center"/>
    </xf>
    <xf numFmtId="0" fontId="37" fillId="0" borderId="0" xfId="0" applyFont="1" applyAlignment="1">
      <alignment vertical="center"/>
    </xf>
    <xf numFmtId="0" fontId="56" fillId="0" borderId="0" xfId="0" applyFont="1" applyAlignment="1">
      <alignment horizontal="left"/>
    </xf>
    <xf numFmtId="0" fontId="56" fillId="0" borderId="0" xfId="0" applyFont="1"/>
    <xf numFmtId="0" fontId="41" fillId="0" borderId="0" xfId="0" applyFont="1"/>
    <xf numFmtId="0" fontId="42" fillId="0" borderId="0" xfId="0" applyFont="1"/>
    <xf numFmtId="0" fontId="98" fillId="0" borderId="0" xfId="0" applyFont="1"/>
    <xf numFmtId="0" fontId="99" fillId="0" borderId="0" xfId="0" applyFont="1"/>
    <xf numFmtId="0" fontId="7" fillId="0" borderId="0" xfId="0" applyFont="1" applyAlignment="1">
      <alignment horizontal="center"/>
    </xf>
    <xf numFmtId="2" fontId="69" fillId="0" borderId="0" xfId="0" applyNumberFormat="1" applyFont="1" applyAlignment="1">
      <alignment horizontal="center" vertical="center"/>
    </xf>
    <xf numFmtId="0" fontId="101" fillId="0" borderId="0" xfId="0" applyFont="1" applyAlignment="1">
      <alignment horizontal="left"/>
    </xf>
    <xf numFmtId="0" fontId="38" fillId="5" borderId="0" xfId="0" applyFont="1" applyFill="1" applyAlignment="1">
      <alignment horizontal="left"/>
    </xf>
    <xf numFmtId="0" fontId="34" fillId="0" borderId="0" xfId="0" applyFont="1" applyAlignment="1">
      <alignment horizontal="center" vertical="center"/>
    </xf>
    <xf numFmtId="2" fontId="7" fillId="3" borderId="3" xfId="0" applyNumberFormat="1" applyFont="1" applyFill="1" applyBorder="1" applyAlignment="1" applyProtection="1">
      <alignment horizontal="left"/>
      <protection locked="0" hidden="1"/>
    </xf>
    <xf numFmtId="0" fontId="0" fillId="0" borderId="0" xfId="0" quotePrefix="1" applyAlignment="1">
      <alignment horizontal="left"/>
    </xf>
    <xf numFmtId="0" fontId="103" fillId="0" borderId="0" xfId="0" applyFont="1"/>
    <xf numFmtId="4" fontId="0" fillId="0" borderId="0" xfId="0" applyNumberFormat="1" applyAlignment="1">
      <alignment horizontal="center"/>
    </xf>
    <xf numFmtId="2" fontId="102" fillId="0" borderId="0" xfId="0" applyNumberFormat="1" applyFont="1" applyAlignment="1">
      <alignment horizontal="center"/>
    </xf>
    <xf numFmtId="2" fontId="8" fillId="3" borderId="3" xfId="0" applyNumberFormat="1" applyFont="1" applyFill="1" applyBorder="1" applyAlignment="1" applyProtection="1">
      <alignment horizontal="left"/>
      <protection locked="0" hidden="1"/>
    </xf>
    <xf numFmtId="3" fontId="36" fillId="0" borderId="0" xfId="0" applyNumberFormat="1" applyFont="1" applyAlignment="1">
      <alignment horizontal="center"/>
    </xf>
    <xf numFmtId="0" fontId="104" fillId="0" borderId="0" xfId="0" applyFont="1" applyAlignment="1">
      <alignment horizontal="left"/>
    </xf>
    <xf numFmtId="49" fontId="0" fillId="0" borderId="0" xfId="0" applyNumberFormat="1"/>
    <xf numFmtId="0" fontId="104" fillId="0" borderId="0" xfId="0" quotePrefix="1" applyFont="1" applyAlignment="1">
      <alignment horizontal="left"/>
    </xf>
    <xf numFmtId="0" fontId="104" fillId="0" borderId="0" xfId="0" applyFont="1"/>
    <xf numFmtId="0" fontId="3" fillId="0" borderId="0" xfId="0" quotePrefix="1" applyFont="1" applyAlignment="1">
      <alignment horizontal="left"/>
    </xf>
    <xf numFmtId="0" fontId="19" fillId="9" borderId="1" xfId="0" applyFont="1" applyFill="1" applyBorder="1" applyAlignment="1">
      <alignment horizontal="center"/>
    </xf>
    <xf numFmtId="0" fontId="19" fillId="9" borderId="1" xfId="0" applyFont="1" applyFill="1" applyBorder="1" applyAlignment="1">
      <alignment horizontal="center" wrapText="1"/>
    </xf>
    <xf numFmtId="14" fontId="8" fillId="3" borderId="3" xfId="0" applyNumberFormat="1" applyFont="1" applyFill="1" applyBorder="1" applyAlignment="1">
      <alignment horizontal="left"/>
    </xf>
    <xf numFmtId="2" fontId="8" fillId="3" borderId="3" xfId="0" applyNumberFormat="1" applyFont="1" applyFill="1" applyBorder="1" applyAlignment="1">
      <alignment horizontal="left"/>
    </xf>
    <xf numFmtId="0" fontId="17" fillId="0" borderId="3" xfId="0" applyFont="1" applyBorder="1"/>
    <xf numFmtId="0" fontId="34" fillId="0" borderId="3" xfId="0" applyFont="1" applyBorder="1" applyAlignment="1">
      <alignment horizontal="center"/>
    </xf>
    <xf numFmtId="0" fontId="17" fillId="3" borderId="3" xfId="0" applyFont="1" applyFill="1" applyBorder="1"/>
    <xf numFmtId="0" fontId="34" fillId="3" borderId="3" xfId="0" applyFont="1" applyFill="1" applyBorder="1" applyAlignment="1">
      <alignment horizontal="center"/>
    </xf>
    <xf numFmtId="0" fontId="17" fillId="0" borderId="3" xfId="0" applyFont="1" applyBorder="1" applyAlignment="1">
      <alignment horizontal="left"/>
    </xf>
    <xf numFmtId="0" fontId="17" fillId="3" borderId="3" xfId="0" quotePrefix="1" applyFont="1" applyFill="1" applyBorder="1" applyAlignment="1">
      <alignment horizontal="left"/>
    </xf>
    <xf numFmtId="0" fontId="17" fillId="0" borderId="3" xfId="0" quotePrefix="1" applyFont="1" applyBorder="1" applyAlignment="1">
      <alignment horizontal="left"/>
    </xf>
    <xf numFmtId="0" fontId="11" fillId="3" borderId="3" xfId="0" applyFont="1" applyFill="1" applyBorder="1" applyAlignment="1">
      <alignment horizontal="left"/>
    </xf>
    <xf numFmtId="0" fontId="11" fillId="0" borderId="3" xfId="0" applyFont="1" applyBorder="1" applyAlignment="1">
      <alignment horizontal="left"/>
    </xf>
    <xf numFmtId="0" fontId="3" fillId="3" borderId="3" xfId="0" applyFont="1" applyFill="1" applyBorder="1" applyAlignment="1">
      <alignment horizontal="center"/>
    </xf>
    <xf numFmtId="0" fontId="3" fillId="0" borderId="3" xfId="0" applyFont="1" applyBorder="1" applyAlignment="1">
      <alignment horizontal="center"/>
    </xf>
    <xf numFmtId="0" fontId="2" fillId="0" borderId="3" xfId="0" quotePrefix="1" applyFont="1" applyBorder="1" applyAlignment="1">
      <alignment horizontal="left"/>
    </xf>
    <xf numFmtId="0" fontId="2" fillId="3" borderId="3" xfId="0" quotePrefix="1" applyFont="1" applyFill="1" applyBorder="1" applyAlignment="1">
      <alignment horizontal="left"/>
    </xf>
    <xf numFmtId="0" fontId="104" fillId="2" borderId="0" xfId="0" quotePrefix="1" applyFont="1" applyFill="1" applyAlignment="1">
      <alignment horizontal="left"/>
    </xf>
    <xf numFmtId="0" fontId="0" fillId="2" borderId="0" xfId="0" quotePrefix="1" applyFill="1" applyAlignment="1">
      <alignment horizontal="left"/>
    </xf>
    <xf numFmtId="0" fontId="19" fillId="9" borderId="2" xfId="0" applyFont="1" applyFill="1" applyBorder="1" applyAlignment="1">
      <alignment horizontal="center" wrapText="1"/>
    </xf>
    <xf numFmtId="0" fontId="69" fillId="3" borderId="6" xfId="0" applyFont="1" applyFill="1" applyBorder="1" applyAlignment="1">
      <alignment horizontal="center"/>
    </xf>
    <xf numFmtId="0" fontId="0" fillId="0" borderId="7" xfId="0" applyBorder="1"/>
    <xf numFmtId="0" fontId="0" fillId="0" borderId="7" xfId="0" applyBorder="1" applyAlignment="1">
      <alignment horizontal="center"/>
    </xf>
    <xf numFmtId="0" fontId="69" fillId="0" borderId="6" xfId="0" applyFont="1" applyBorder="1" applyAlignment="1">
      <alignment horizontal="center"/>
    </xf>
    <xf numFmtId="0" fontId="0" fillId="3" borderId="3" xfId="0" applyFill="1" applyBorder="1" applyAlignment="1">
      <alignment horizontal="left"/>
    </xf>
    <xf numFmtId="2" fontId="69" fillId="3" borderId="6" xfId="0" applyNumberFormat="1" applyFont="1" applyFill="1" applyBorder="1" applyAlignment="1">
      <alignment horizontal="center"/>
    </xf>
    <xf numFmtId="0" fontId="0" fillId="0" borderId="3" xfId="0" applyBorder="1" applyAlignment="1">
      <alignment horizontal="left"/>
    </xf>
    <xf numFmtId="2" fontId="69" fillId="0" borderId="6" xfId="0" applyNumberFormat="1" applyFont="1" applyBorder="1" applyAlignment="1">
      <alignment horizontal="center"/>
    </xf>
    <xf numFmtId="0" fontId="3" fillId="7" borderId="6" xfId="0" applyFont="1" applyFill="1" applyBorder="1" applyAlignment="1">
      <alignment horizontal="center"/>
    </xf>
    <xf numFmtId="0" fontId="89" fillId="0" borderId="3" xfId="0" applyFont="1" applyBorder="1" applyAlignment="1">
      <alignment horizontal="center"/>
    </xf>
    <xf numFmtId="0" fontId="89" fillId="3" borderId="3" xfId="0" applyFont="1" applyFill="1" applyBorder="1" applyAlignment="1">
      <alignment horizontal="center"/>
    </xf>
    <xf numFmtId="2" fontId="3" fillId="7" borderId="6" xfId="0" applyNumberFormat="1" applyFont="1" applyFill="1" applyBorder="1" applyAlignment="1">
      <alignment horizontal="center"/>
    </xf>
    <xf numFmtId="0" fontId="107" fillId="2" borderId="0" xfId="0" applyFont="1" applyFill="1"/>
    <xf numFmtId="0" fontId="3" fillId="2" borderId="6" xfId="0" applyFont="1" applyFill="1" applyBorder="1" applyAlignment="1">
      <alignment horizontal="center"/>
    </xf>
    <xf numFmtId="0" fontId="37" fillId="2" borderId="3" xfId="0" applyFont="1" applyFill="1" applyBorder="1" applyAlignment="1">
      <alignment horizontal="center"/>
    </xf>
    <xf numFmtId="0" fontId="33" fillId="0" borderId="0" xfId="0" applyFont="1" applyAlignment="1">
      <alignment horizontal="center"/>
    </xf>
    <xf numFmtId="0" fontId="21" fillId="0" borderId="0" xfId="0" applyFont="1"/>
    <xf numFmtId="0" fontId="2" fillId="2" borderId="0" xfId="0" applyFont="1" applyFill="1" applyAlignment="1">
      <alignment horizontal="left"/>
    </xf>
    <xf numFmtId="0" fontId="2" fillId="2" borderId="0" xfId="0" applyFont="1" applyFill="1"/>
    <xf numFmtId="0" fontId="34" fillId="2" borderId="0" xfId="0" applyFont="1" applyFill="1"/>
    <xf numFmtId="3" fontId="8" fillId="0" borderId="0" xfId="1" applyNumberFormat="1" applyFont="1" applyFill="1" applyBorder="1" applyAlignment="1" applyProtection="1">
      <alignment horizontal="center"/>
      <protection hidden="1"/>
    </xf>
    <xf numFmtId="9" fontId="0" fillId="0" borderId="0" xfId="3" applyFont="1"/>
    <xf numFmtId="14" fontId="40" fillId="3" borderId="3" xfId="0" applyNumberFormat="1" applyFont="1" applyFill="1" applyBorder="1" applyAlignment="1" applyProtection="1">
      <alignment horizontal="left"/>
      <protection locked="0" hidden="1"/>
    </xf>
    <xf numFmtId="165" fontId="96" fillId="0" borderId="0" xfId="0" applyNumberFormat="1" applyFont="1" applyAlignment="1" applyProtection="1">
      <alignment horizontal="left"/>
      <protection locked="0" hidden="1"/>
    </xf>
    <xf numFmtId="3" fontId="34" fillId="0" borderId="0" xfId="0" applyNumberFormat="1" applyFont="1" applyAlignment="1">
      <alignment horizontal="center"/>
    </xf>
    <xf numFmtId="14" fontId="40" fillId="0" borderId="3" xfId="0" applyNumberFormat="1" applyFont="1" applyBorder="1" applyAlignment="1" applyProtection="1">
      <alignment horizontal="left"/>
      <protection locked="0" hidden="1"/>
    </xf>
    <xf numFmtId="0" fontId="109" fillId="0" borderId="0" xfId="0" applyFont="1" applyAlignment="1">
      <alignment vertical="center"/>
    </xf>
    <xf numFmtId="4" fontId="96" fillId="0" borderId="0" xfId="0" applyNumberFormat="1" applyFont="1" applyAlignment="1" applyProtection="1">
      <alignment horizontal="right"/>
      <protection hidden="1"/>
    </xf>
    <xf numFmtId="165" fontId="110" fillId="7" borderId="0" xfId="0" applyNumberFormat="1" applyFont="1" applyFill="1" applyAlignment="1" applyProtection="1">
      <alignment horizontal="left"/>
      <protection locked="0" hidden="1"/>
    </xf>
    <xf numFmtId="0" fontId="111" fillId="7" borderId="0" xfId="0" applyFont="1" applyFill="1" applyAlignment="1">
      <alignment horizontal="left"/>
    </xf>
    <xf numFmtId="14" fontId="112" fillId="7" borderId="0" xfId="0" applyNumberFormat="1" applyFont="1" applyFill="1" applyAlignment="1">
      <alignment horizontal="left"/>
    </xf>
    <xf numFmtId="14" fontId="112" fillId="7" borderId="0" xfId="0" quotePrefix="1" applyNumberFormat="1" applyFont="1" applyFill="1" applyAlignment="1">
      <alignment horizontal="left"/>
    </xf>
    <xf numFmtId="0" fontId="5" fillId="7" borderId="0" xfId="0" applyFont="1" applyFill="1" applyAlignment="1">
      <alignment horizontal="center"/>
    </xf>
    <xf numFmtId="0" fontId="37" fillId="7" borderId="0" xfId="0" applyFont="1" applyFill="1" applyAlignment="1">
      <alignment horizontal="center"/>
    </xf>
    <xf numFmtId="0" fontId="36" fillId="16" borderId="3" xfId="0" applyFont="1" applyFill="1" applyBorder="1" applyAlignment="1" applyProtection="1">
      <alignment horizontal="left"/>
      <protection locked="0" hidden="1"/>
    </xf>
    <xf numFmtId="3" fontId="29" fillId="2" borderId="0" xfId="0" applyNumberFormat="1" applyFont="1" applyFill="1" applyAlignment="1">
      <alignment horizontal="center"/>
    </xf>
    <xf numFmtId="0" fontId="113" fillId="0" borderId="0" xfId="0" applyFont="1" applyAlignment="1" applyProtection="1">
      <alignment horizontal="left"/>
      <protection locked="0" hidden="1"/>
    </xf>
    <xf numFmtId="165" fontId="113" fillId="0" borderId="0" xfId="0" applyNumberFormat="1" applyFont="1" applyAlignment="1" applyProtection="1">
      <alignment horizontal="left"/>
      <protection locked="0" hidden="1"/>
    </xf>
    <xf numFmtId="0" fontId="114" fillId="0" borderId="0" xfId="0" applyFont="1" applyAlignment="1">
      <alignment vertical="center"/>
    </xf>
    <xf numFmtId="14" fontId="113" fillId="0" borderId="0" xfId="0" applyNumberFormat="1" applyFont="1" applyAlignment="1" applyProtection="1">
      <alignment horizontal="left"/>
      <protection locked="0" hidden="1"/>
    </xf>
    <xf numFmtId="0" fontId="33" fillId="0" borderId="0" xfId="0" applyFont="1" applyAlignment="1" applyProtection="1">
      <alignment horizontal="center"/>
      <protection hidden="1"/>
    </xf>
    <xf numFmtId="4" fontId="113" fillId="4" borderId="0" xfId="0" applyNumberFormat="1" applyFont="1" applyFill="1" applyAlignment="1" applyProtection="1">
      <alignment horizontal="right"/>
      <protection hidden="1"/>
    </xf>
    <xf numFmtId="0" fontId="37" fillId="7" borderId="0" xfId="0" applyFont="1" applyFill="1"/>
    <xf numFmtId="0" fontId="11" fillId="0" borderId="0" xfId="0" applyFont="1"/>
    <xf numFmtId="0" fontId="34" fillId="0" borderId="0" xfId="0" applyFont="1" applyAlignment="1">
      <alignment horizontal="left"/>
    </xf>
    <xf numFmtId="164" fontId="49" fillId="4" borderId="0" xfId="0" applyNumberFormat="1" applyFont="1" applyFill="1" applyAlignment="1" applyProtection="1">
      <alignment horizontal="center" wrapText="1"/>
      <protection hidden="1"/>
    </xf>
    <xf numFmtId="0" fontId="38" fillId="7" borderId="0" xfId="0" applyFont="1" applyFill="1" applyAlignment="1">
      <alignment horizontal="left"/>
    </xf>
    <xf numFmtId="0" fontId="0" fillId="2" borderId="0" xfId="0" applyFill="1" applyAlignment="1">
      <alignment horizontal="left"/>
    </xf>
    <xf numFmtId="0" fontId="49" fillId="4" borderId="9" xfId="1" applyNumberFormat="1" applyFont="1" applyFill="1" applyBorder="1" applyAlignment="1" applyProtection="1">
      <alignment vertical="center" wrapText="1"/>
    </xf>
    <xf numFmtId="0" fontId="49" fillId="4" borderId="0" xfId="1" applyNumberFormat="1" applyFont="1" applyFill="1" applyBorder="1" applyAlignment="1" applyProtection="1">
      <alignment vertical="center" wrapText="1"/>
    </xf>
    <xf numFmtId="0" fontId="51" fillId="0" borderId="0" xfId="0" applyFont="1" applyAlignment="1">
      <alignment horizontal="left"/>
    </xf>
    <xf numFmtId="0" fontId="20" fillId="0" borderId="0" xfId="0" applyFont="1" applyAlignment="1">
      <alignment horizontal="center"/>
    </xf>
    <xf numFmtId="168" fontId="29" fillId="0" borderId="0" xfId="0" applyNumberFormat="1" applyFont="1" applyAlignment="1">
      <alignment horizontal="center"/>
    </xf>
    <xf numFmtId="164" fontId="49" fillId="17" borderId="0" xfId="0" applyNumberFormat="1" applyFont="1" applyFill="1" applyAlignment="1" applyProtection="1">
      <alignment horizontal="left" vertical="center" wrapText="1"/>
      <protection hidden="1"/>
    </xf>
    <xf numFmtId="168" fontId="7" fillId="0" borderId="0" xfId="0" applyNumberFormat="1" applyFont="1" applyAlignment="1">
      <alignment horizontal="center"/>
    </xf>
    <xf numFmtId="165" fontId="6" fillId="3" borderId="3" xfId="0" applyNumberFormat="1" applyFont="1" applyFill="1" applyBorder="1" applyAlignment="1" applyProtection="1">
      <alignment horizontal="left"/>
      <protection locked="0" hidden="1"/>
    </xf>
    <xf numFmtId="0" fontId="3" fillId="7" borderId="0" xfId="0" applyFont="1" applyFill="1" applyAlignment="1">
      <alignment horizontal="center"/>
    </xf>
    <xf numFmtId="164" fontId="49" fillId="0" borderId="0" xfId="0" applyNumberFormat="1" applyFont="1" applyAlignment="1" applyProtection="1">
      <alignment horizontal="left" vertical="center" wrapText="1"/>
      <protection hidden="1"/>
    </xf>
    <xf numFmtId="0" fontId="3" fillId="7" borderId="0" xfId="0" applyFont="1" applyFill="1" applyAlignment="1">
      <alignment horizontal="left"/>
    </xf>
    <xf numFmtId="2" fontId="7" fillId="16" borderId="3" xfId="0" applyNumberFormat="1" applyFont="1" applyFill="1" applyBorder="1" applyAlignment="1" applyProtection="1">
      <alignment horizontal="left"/>
      <protection locked="0" hidden="1"/>
    </xf>
    <xf numFmtId="164" fontId="49" fillId="18" borderId="0" xfId="0" applyNumberFormat="1" applyFont="1" applyFill="1" applyAlignment="1" applyProtection="1">
      <alignment horizontal="center" vertical="center" wrapText="1"/>
      <protection hidden="1"/>
    </xf>
    <xf numFmtId="0" fontId="7" fillId="16" borderId="3" xfId="0" applyFont="1" applyFill="1" applyBorder="1" applyAlignment="1" applyProtection="1">
      <alignment horizontal="left"/>
      <protection locked="0" hidden="1"/>
    </xf>
    <xf numFmtId="14" fontId="19" fillId="0" borderId="0" xfId="0" quotePrefix="1" applyNumberFormat="1" applyFont="1" applyAlignment="1">
      <alignment horizontal="left"/>
    </xf>
    <xf numFmtId="0" fontId="23" fillId="0" borderId="0" xfId="0" applyFont="1"/>
    <xf numFmtId="0" fontId="20" fillId="3" borderId="0" xfId="0" applyFont="1" applyFill="1" applyAlignment="1">
      <alignment horizontal="left" wrapText="1"/>
    </xf>
    <xf numFmtId="22" fontId="18" fillId="0" borderId="0" xfId="0" applyNumberFormat="1" applyFont="1" applyAlignment="1">
      <alignment horizontal="left"/>
    </xf>
    <xf numFmtId="0" fontId="12" fillId="0" borderId="0" xfId="0" applyFont="1" applyAlignment="1">
      <alignment horizontal="left"/>
    </xf>
    <xf numFmtId="0" fontId="19" fillId="9" borderId="0" xfId="0" applyFont="1" applyFill="1" applyAlignment="1">
      <alignment horizontal="left" wrapText="1"/>
    </xf>
    <xf numFmtId="0" fontId="25" fillId="0" borderId="0" xfId="0" applyFont="1" applyAlignment="1">
      <alignment horizontal="left"/>
    </xf>
    <xf numFmtId="0" fontId="25" fillId="2" borderId="0" xfId="0" applyFont="1" applyFill="1" applyAlignment="1">
      <alignment horizontal="left"/>
    </xf>
    <xf numFmtId="0" fontId="25" fillId="2" borderId="3" xfId="0" applyFont="1" applyFill="1" applyBorder="1" applyAlignment="1">
      <alignment horizontal="left"/>
    </xf>
    <xf numFmtId="0" fontId="7" fillId="0" borderId="0" xfId="0" applyFont="1" applyAlignment="1">
      <alignment horizontal="left"/>
    </xf>
    <xf numFmtId="0" fontId="34" fillId="0" borderId="0" xfId="0" quotePrefix="1" applyFont="1" applyAlignment="1">
      <alignment horizontal="left"/>
    </xf>
    <xf numFmtId="164" fontId="58" fillId="5" borderId="0" xfId="1" quotePrefix="1" applyNumberFormat="1" applyFont="1" applyFill="1" applyBorder="1" applyAlignment="1" applyProtection="1">
      <alignment horizontal="left" vertical="center" wrapText="1"/>
      <protection locked="0"/>
    </xf>
    <xf numFmtId="3" fontId="65" fillId="5" borderId="0" xfId="0" quotePrefix="1" applyNumberFormat="1" applyFont="1" applyFill="1" applyAlignment="1" applyProtection="1">
      <alignment horizontal="left" vertical="center"/>
      <protection locked="0"/>
    </xf>
    <xf numFmtId="0" fontId="5" fillId="0" borderId="0" xfId="0" quotePrefix="1" applyFont="1" applyAlignment="1">
      <alignment horizontal="left"/>
    </xf>
    <xf numFmtId="0" fontId="5" fillId="0" borderId="0" xfId="0" applyFont="1" applyAlignment="1">
      <alignment horizontal="left"/>
    </xf>
    <xf numFmtId="3" fontId="68" fillId="5" borderId="0" xfId="0" quotePrefix="1" applyNumberFormat="1" applyFont="1" applyFill="1" applyAlignment="1" applyProtection="1">
      <alignment horizontal="left" vertical="center"/>
      <protection locked="0"/>
    </xf>
    <xf numFmtId="3" fontId="5" fillId="0" borderId="0" xfId="0" applyNumberFormat="1" applyFont="1" applyAlignment="1">
      <alignment horizontal="left"/>
    </xf>
    <xf numFmtId="0" fontId="17" fillId="0" borderId="0" xfId="0" quotePrefix="1" applyFont="1" applyAlignment="1">
      <alignment horizontal="left"/>
    </xf>
    <xf numFmtId="0" fontId="82" fillId="0" borderId="0" xfId="0" applyFont="1" applyAlignment="1">
      <alignment horizontal="left"/>
    </xf>
    <xf numFmtId="0" fontId="37" fillId="0" borderId="0" xfId="0" applyFont="1" applyAlignment="1">
      <alignment horizontal="left"/>
    </xf>
    <xf numFmtId="0" fontId="86" fillId="0" borderId="0" xfId="0" applyFont="1" applyAlignment="1">
      <alignment horizontal="left"/>
    </xf>
    <xf numFmtId="0" fontId="87" fillId="0" borderId="0" xfId="0" applyFont="1" applyAlignment="1">
      <alignment horizontal="left"/>
    </xf>
    <xf numFmtId="0" fontId="3" fillId="0" borderId="0" xfId="0" applyFont="1" applyAlignment="1">
      <alignment horizontal="left" vertical="center"/>
    </xf>
    <xf numFmtId="0" fontId="5" fillId="7" borderId="0" xfId="0" applyFont="1" applyFill="1" applyAlignment="1">
      <alignment horizontal="left"/>
    </xf>
    <xf numFmtId="0" fontId="2" fillId="7" borderId="0" xfId="0" applyFont="1" applyFill="1" applyAlignment="1">
      <alignment horizontal="left"/>
    </xf>
    <xf numFmtId="0" fontId="127" fillId="7" borderId="0" xfId="0" applyFont="1" applyFill="1" applyAlignment="1">
      <alignment horizontal="left"/>
    </xf>
    <xf numFmtId="0" fontId="5" fillId="2" borderId="0" xfId="0" applyFont="1" applyFill="1" applyAlignment="1">
      <alignment horizontal="center"/>
    </xf>
    <xf numFmtId="164" fontId="73" fillId="0" borderId="0" xfId="0" applyNumberFormat="1" applyFont="1" applyAlignment="1" applyProtection="1">
      <alignment horizontal="left" vertical="center" wrapText="1"/>
      <protection hidden="1"/>
    </xf>
    <xf numFmtId="2" fontId="3" fillId="0" borderId="0" xfId="0" applyNumberFormat="1" applyFont="1" applyAlignment="1">
      <alignment horizontal="left"/>
    </xf>
    <xf numFmtId="0" fontId="11" fillId="3" borderId="3" xfId="0" applyFont="1" applyFill="1" applyBorder="1" applyAlignment="1">
      <alignment horizontal="left" wrapText="1"/>
    </xf>
    <xf numFmtId="0" fontId="63" fillId="0" borderId="7" xfId="0" quotePrefix="1" applyFont="1" applyBorder="1" applyAlignment="1">
      <alignment horizontal="left"/>
    </xf>
    <xf numFmtId="0" fontId="38" fillId="0" borderId="0" xfId="0" quotePrefix="1" applyFont="1"/>
    <xf numFmtId="0" fontId="38" fillId="0" borderId="0" xfId="0" applyFont="1"/>
    <xf numFmtId="0" fontId="85" fillId="0" borderId="3" xfId="0" applyFont="1" applyBorder="1"/>
    <xf numFmtId="0" fontId="44" fillId="0" borderId="3" xfId="0" applyFont="1" applyBorder="1"/>
    <xf numFmtId="0" fontId="44" fillId="3" borderId="3" xfId="0" applyFont="1" applyFill="1" applyBorder="1"/>
    <xf numFmtId="0" fontId="85" fillId="3" borderId="3" xfId="0" applyFont="1" applyFill="1" applyBorder="1"/>
    <xf numFmtId="0" fontId="67" fillId="0" borderId="3" xfId="0" applyFont="1" applyBorder="1"/>
    <xf numFmtId="0" fontId="44" fillId="0" borderId="8" xfId="0" quotePrefix="1" applyFont="1" applyBorder="1" applyAlignment="1">
      <alignment horizontal="left" vertical="center"/>
    </xf>
    <xf numFmtId="0" fontId="34" fillId="19" borderId="0" xfId="0" applyFont="1" applyFill="1" applyAlignment="1">
      <alignment horizontal="left"/>
    </xf>
    <xf numFmtId="0" fontId="34" fillId="19" borderId="0" xfId="0" applyFont="1" applyFill="1" applyAlignment="1">
      <alignment horizontal="center"/>
    </xf>
    <xf numFmtId="0" fontId="43" fillId="0" borderId="0" xfId="0" applyFont="1" applyAlignment="1">
      <alignment horizontal="center"/>
    </xf>
    <xf numFmtId="0" fontId="10" fillId="0" borderId="0" xfId="0" applyFont="1"/>
    <xf numFmtId="0" fontId="129" fillId="0" borderId="0" xfId="0" applyFont="1" applyAlignment="1">
      <alignment horizontal="center"/>
    </xf>
    <xf numFmtId="0" fontId="11" fillId="9" borderId="0" xfId="0" applyFont="1" applyFill="1" applyAlignment="1">
      <alignment horizontal="center"/>
    </xf>
    <xf numFmtId="165" fontId="8" fillId="0" borderId="0" xfId="0" applyNumberFormat="1" applyFont="1" applyAlignment="1" applyProtection="1">
      <alignment horizontal="left"/>
      <protection locked="0" hidden="1"/>
    </xf>
    <xf numFmtId="0" fontId="53" fillId="0" borderId="0" xfId="0" applyFont="1"/>
    <xf numFmtId="0" fontId="130" fillId="0" borderId="0" xfId="0" applyFont="1"/>
    <xf numFmtId="0" fontId="131" fillId="0" borderId="0" xfId="0" applyFont="1" applyAlignment="1">
      <alignment horizontal="left"/>
    </xf>
    <xf numFmtId="0" fontId="10" fillId="9" borderId="1" xfId="0" applyFont="1" applyFill="1" applyBorder="1" applyAlignment="1">
      <alignment horizontal="center" wrapText="1"/>
    </xf>
    <xf numFmtId="0" fontId="132" fillId="0" borderId="0" xfId="0" applyFont="1"/>
    <xf numFmtId="0" fontId="10" fillId="0" borderId="0" xfId="0" applyFont="1" applyAlignment="1">
      <alignment horizontal="left"/>
    </xf>
    <xf numFmtId="0" fontId="133" fillId="0" borderId="0" xfId="0" applyFont="1"/>
    <xf numFmtId="0" fontId="11" fillId="0" borderId="0" xfId="0" applyFont="1" applyAlignment="1">
      <alignment horizontal="left" vertical="center"/>
    </xf>
    <xf numFmtId="0" fontId="53" fillId="0" borderId="0" xfId="0" applyFont="1" applyAlignment="1">
      <alignment horizontal="left" vertical="center"/>
    </xf>
    <xf numFmtId="0" fontId="132" fillId="0" borderId="0" xfId="0" applyFont="1" applyAlignment="1">
      <alignment horizontal="left" vertical="center"/>
    </xf>
    <xf numFmtId="0" fontId="10" fillId="7" borderId="0" xfId="0" applyFont="1" applyFill="1" applyAlignment="1">
      <alignment horizontal="left"/>
    </xf>
    <xf numFmtId="0" fontId="5" fillId="2" borderId="0" xfId="0" applyFont="1" applyFill="1" applyAlignment="1">
      <alignment horizontal="left"/>
    </xf>
    <xf numFmtId="164" fontId="35" fillId="2" borderId="0" xfId="0" applyNumberFormat="1" applyFont="1" applyFill="1" applyAlignment="1" applyProtection="1">
      <alignment horizontal="left" vertical="center" wrapText="1"/>
      <protection hidden="1"/>
    </xf>
    <xf numFmtId="2" fontId="29" fillId="2" borderId="0" xfId="0" applyNumberFormat="1" applyFont="1" applyFill="1" applyAlignment="1">
      <alignment horizontal="center"/>
    </xf>
    <xf numFmtId="164" fontId="32" fillId="2" borderId="0" xfId="0" applyNumberFormat="1" applyFont="1" applyFill="1" applyAlignment="1" applyProtection="1">
      <alignment horizontal="left" vertical="center" wrapText="1"/>
      <protection hidden="1"/>
    </xf>
    <xf numFmtId="0" fontId="5" fillId="19" borderId="0" xfId="0" applyFont="1" applyFill="1" applyAlignment="1">
      <alignment horizontal="left"/>
    </xf>
    <xf numFmtId="14" fontId="11" fillId="0" borderId="0" xfId="0" applyNumberFormat="1" applyFont="1" applyAlignment="1">
      <alignment horizontal="center"/>
    </xf>
    <xf numFmtId="1" fontId="0" fillId="0" borderId="0" xfId="0" applyNumberFormat="1" applyAlignment="1">
      <alignment horizontal="center"/>
    </xf>
    <xf numFmtId="9" fontId="0" fillId="0" borderId="0" xfId="3" applyFont="1" applyFill="1" applyBorder="1"/>
    <xf numFmtId="0" fontId="117" fillId="0" borderId="0" xfId="0" applyFont="1" applyAlignment="1">
      <alignment horizontal="center" vertical="center"/>
    </xf>
    <xf numFmtId="0" fontId="117" fillId="0" borderId="0" xfId="0" applyFont="1" applyAlignment="1">
      <alignment horizontal="center" vertical="center" wrapText="1"/>
    </xf>
    <xf numFmtId="0" fontId="115" fillId="0" borderId="0" xfId="0" applyFont="1" applyAlignment="1">
      <alignment vertical="center"/>
    </xf>
    <xf numFmtId="0" fontId="115" fillId="0" borderId="0" xfId="0" applyFont="1" applyAlignment="1">
      <alignment horizontal="center" vertical="center" wrapText="1"/>
    </xf>
    <xf numFmtId="0" fontId="115" fillId="0" borderId="0" xfId="0" applyFont="1" applyAlignment="1">
      <alignment vertical="center" wrapText="1"/>
    </xf>
    <xf numFmtId="0" fontId="116" fillId="0" borderId="0" xfId="0" applyFont="1" applyAlignment="1">
      <alignment vertical="center"/>
    </xf>
    <xf numFmtId="0" fontId="118" fillId="0" borderId="0" xfId="0" applyFont="1" applyAlignment="1">
      <alignment horizontal="center" vertical="center" wrapText="1"/>
    </xf>
    <xf numFmtId="0" fontId="119" fillId="0" borderId="0" xfId="0" applyFont="1" applyAlignment="1">
      <alignment horizontal="center" vertical="center" wrapText="1"/>
    </xf>
    <xf numFmtId="0" fontId="120" fillId="0" borderId="0" xfId="0" applyFont="1" applyAlignment="1">
      <alignment vertical="center" wrapText="1"/>
    </xf>
    <xf numFmtId="0" fontId="121" fillId="0" borderId="0" xfId="0" applyFont="1" applyAlignment="1">
      <alignment vertical="center"/>
    </xf>
    <xf numFmtId="0" fontId="122" fillId="0" borderId="0" xfId="0" applyFont="1" applyAlignment="1">
      <alignment vertical="center"/>
    </xf>
    <xf numFmtId="0" fontId="0" fillId="0" borderId="0" xfId="0" applyAlignment="1">
      <alignment horizontal="left" indent="2"/>
    </xf>
    <xf numFmtId="0" fontId="24" fillId="0" borderId="0" xfId="0" applyFont="1" applyAlignment="1">
      <alignment wrapText="1"/>
    </xf>
    <xf numFmtId="0" fontId="3" fillId="20" borderId="0" xfId="0" applyFont="1" applyFill="1" applyAlignment="1">
      <alignment horizontal="center"/>
    </xf>
    <xf numFmtId="14" fontId="19" fillId="0" borderId="0" xfId="0" applyNumberFormat="1" applyFont="1" applyAlignment="1">
      <alignment horizontal="center"/>
    </xf>
    <xf numFmtId="4" fontId="37" fillId="0" borderId="0" xfId="0" applyNumberFormat="1" applyFont="1" applyAlignment="1">
      <alignment horizontal="center"/>
    </xf>
    <xf numFmtId="4" fontId="3" fillId="0" borderId="0" xfId="0" applyNumberFormat="1" applyFont="1" applyAlignment="1">
      <alignment horizontal="center"/>
    </xf>
    <xf numFmtId="4" fontId="135" fillId="0" borderId="0" xfId="0" applyNumberFormat="1" applyFont="1" applyAlignment="1">
      <alignment horizontal="center"/>
    </xf>
    <xf numFmtId="0" fontId="37" fillId="0" borderId="0" xfId="0" applyFont="1" applyAlignment="1">
      <alignment horizontal="left" indent="2"/>
    </xf>
    <xf numFmtId="17" fontId="24" fillId="0" borderId="0" xfId="0" applyNumberFormat="1" applyFont="1" applyAlignment="1">
      <alignment horizontal="left"/>
    </xf>
    <xf numFmtId="0" fontId="24" fillId="0" borderId="0" xfId="0" applyFont="1" applyAlignment="1">
      <alignment horizontal="left"/>
    </xf>
    <xf numFmtId="17" fontId="112" fillId="0" borderId="0" xfId="0" applyNumberFormat="1" applyFont="1" applyAlignment="1">
      <alignment horizontal="left"/>
    </xf>
    <xf numFmtId="17" fontId="95" fillId="0" borderId="0" xfId="0" applyNumberFormat="1" applyFont="1" applyAlignment="1">
      <alignment horizontal="left"/>
    </xf>
    <xf numFmtId="0" fontId="112" fillId="0" borderId="0" xfId="0" applyFont="1"/>
    <xf numFmtId="2" fontId="7" fillId="3" borderId="6" xfId="0" applyNumberFormat="1" applyFont="1" applyFill="1" applyBorder="1" applyAlignment="1" applyProtection="1">
      <alignment horizontal="left"/>
      <protection locked="0" hidden="1"/>
    </xf>
    <xf numFmtId="165" fontId="43" fillId="0" borderId="0" xfId="0" applyNumberFormat="1" applyFont="1" applyAlignment="1" applyProtection="1">
      <alignment vertical="center"/>
      <protection locked="0" hidden="1"/>
    </xf>
    <xf numFmtId="164" fontId="35" fillId="0" borderId="0" xfId="0" applyNumberFormat="1" applyFont="1" applyAlignment="1" applyProtection="1">
      <alignment horizontal="left" vertical="center" wrapText="1"/>
      <protection hidden="1"/>
    </xf>
    <xf numFmtId="0" fontId="64" fillId="2" borderId="0" xfId="0" applyFont="1" applyFill="1" applyAlignment="1" applyProtection="1">
      <alignment horizontal="center"/>
      <protection hidden="1"/>
    </xf>
    <xf numFmtId="4" fontId="49" fillId="17" borderId="0" xfId="0" applyNumberFormat="1" applyFont="1" applyFill="1" applyAlignment="1" applyProtection="1">
      <alignment horizontal="right"/>
      <protection hidden="1"/>
    </xf>
    <xf numFmtId="164" fontId="84" fillId="0" borderId="0" xfId="0" applyNumberFormat="1" applyFont="1" applyAlignment="1" applyProtection="1">
      <alignment horizontal="left" vertical="center" wrapText="1"/>
      <protection hidden="1"/>
    </xf>
    <xf numFmtId="0" fontId="3" fillId="20" borderId="10" xfId="0" applyFont="1" applyFill="1" applyBorder="1" applyAlignment="1">
      <alignment horizontal="center"/>
    </xf>
    <xf numFmtId="3" fontId="3" fillId="20" borderId="11" xfId="0" applyNumberFormat="1" applyFont="1" applyFill="1" applyBorder="1" applyAlignment="1">
      <alignment horizontal="center"/>
    </xf>
    <xf numFmtId="2" fontId="8" fillId="3" borderId="6" xfId="0" applyNumberFormat="1" applyFont="1" applyFill="1" applyBorder="1" applyAlignment="1" applyProtection="1">
      <alignment horizontal="left"/>
      <protection locked="0" hidden="1"/>
    </xf>
    <xf numFmtId="2" fontId="8" fillId="3" borderId="6" xfId="0" applyNumberFormat="1" applyFont="1" applyFill="1" applyBorder="1" applyAlignment="1" applyProtection="1">
      <alignment horizontal="left" vertical="center"/>
      <protection locked="0" hidden="1"/>
    </xf>
    <xf numFmtId="165" fontId="6" fillId="0" borderId="0" xfId="0" applyNumberFormat="1" applyFont="1" applyAlignment="1" applyProtection="1">
      <alignment horizontal="left" vertical="center"/>
      <protection locked="0" hidden="1"/>
    </xf>
    <xf numFmtId="14" fontId="24" fillId="0" borderId="0" xfId="0" applyNumberFormat="1" applyFont="1" applyAlignment="1">
      <alignment horizontal="left" vertical="center"/>
    </xf>
    <xf numFmtId="14" fontId="19" fillId="0" borderId="0" xfId="0" quotePrefix="1" applyNumberFormat="1" applyFont="1" applyAlignment="1">
      <alignment horizontal="left" vertical="center"/>
    </xf>
    <xf numFmtId="0" fontId="89" fillId="0" borderId="0" xfId="0" applyFont="1" applyAlignment="1">
      <alignment horizontal="left" vertical="center"/>
    </xf>
    <xf numFmtId="0" fontId="21" fillId="3" borderId="0" xfId="0" applyFont="1" applyFill="1" applyAlignment="1">
      <alignment horizontal="left" vertical="center" wrapText="1"/>
    </xf>
    <xf numFmtId="0" fontId="8" fillId="0" borderId="0" xfId="0" applyFont="1" applyAlignment="1">
      <alignment horizontal="center" vertical="center"/>
    </xf>
    <xf numFmtId="0" fontId="46" fillId="0" borderId="0" xfId="0" applyFont="1" applyAlignment="1">
      <alignment horizontal="left"/>
    </xf>
    <xf numFmtId="22" fontId="18" fillId="0" borderId="0" xfId="0" applyNumberFormat="1" applyFont="1" applyAlignment="1">
      <alignment horizontal="center"/>
    </xf>
    <xf numFmtId="0" fontId="3" fillId="20" borderId="0" xfId="0" applyFont="1" applyFill="1" applyAlignment="1">
      <alignment horizontal="center" wrapText="1"/>
    </xf>
    <xf numFmtId="0" fontId="117" fillId="0" borderId="0" xfId="0" applyFont="1" applyAlignment="1">
      <alignment horizontal="center" vertical="center" wrapText="1"/>
    </xf>
    <xf numFmtId="0" fontId="117" fillId="0" borderId="0" xfId="0" applyFont="1" applyAlignment="1">
      <alignment horizontal="center" vertical="center"/>
    </xf>
  </cellXfs>
  <cellStyles count="5">
    <cellStyle name="Hipervínculo" xfId="2" builtinId="8"/>
    <cellStyle name="Millares" xfId="1" builtinId="3"/>
    <cellStyle name="Normal" xfId="0" builtinId="0"/>
    <cellStyle name="Normal 2" xfId="4" xr:uid="{90F56913-5B40-4E35-8CC5-C4071908D67B}"/>
    <cellStyle name="Porcentaje" xfId="3" builtinId="5"/>
  </cellStyles>
  <dxfs count="140">
    <dxf>
      <fill>
        <patternFill>
          <bgColor theme="8" tint="-0.24994659260841701"/>
        </patternFill>
      </fill>
    </dxf>
    <dxf>
      <fill>
        <patternFill>
          <bgColor theme="8" tint="-0.24994659260841701"/>
        </patternFill>
      </fill>
    </dxf>
    <dxf>
      <fill>
        <patternFill>
          <bgColor theme="8" tint="-0.24994659260841701"/>
        </patternFill>
      </fill>
    </dxf>
    <dxf>
      <fill>
        <patternFill>
          <bgColor theme="8" tint="-0.24994659260841701"/>
        </patternFill>
      </fill>
    </dxf>
    <dxf>
      <fill>
        <patternFill>
          <bgColor theme="8" tint="-0.24994659260841701"/>
        </patternFill>
      </fill>
    </dxf>
    <dxf>
      <fill>
        <patternFill>
          <bgColor theme="8" tint="-0.24994659260841701"/>
        </patternFill>
      </fill>
    </dxf>
    <dxf>
      <fill>
        <patternFill>
          <bgColor theme="8" tint="-0.24994659260841701"/>
        </patternFill>
      </fill>
    </dxf>
    <dxf>
      <fill>
        <patternFill>
          <bgColor theme="8" tint="-0.24994659260841701"/>
        </patternFill>
      </fill>
    </dxf>
    <dxf>
      <fill>
        <patternFill>
          <bgColor rgb="FFFFFF00"/>
        </patternFill>
      </fill>
    </dxf>
    <dxf>
      <fill>
        <patternFill>
          <bgColor rgb="FFFF0000"/>
        </patternFill>
      </fill>
    </dxf>
    <dxf>
      <fill>
        <patternFill>
          <bgColor theme="8" tint="-0.24994659260841701"/>
        </patternFill>
      </fill>
    </dxf>
    <dxf>
      <fill>
        <patternFill>
          <bgColor theme="8" tint="-0.24994659260841701"/>
        </patternFill>
      </fill>
    </dxf>
    <dxf>
      <font>
        <color rgb="FFC00000"/>
      </font>
    </dxf>
    <dxf>
      <font>
        <color rgb="FFC00000"/>
      </font>
    </dxf>
    <dxf>
      <alignment horizontal="center"/>
    </dxf>
    <dxf>
      <numFmt numFmtId="3" formatCode="#,##0"/>
    </dxf>
    <dxf>
      <alignment horizontal="left" vertical="bottom" textRotation="0" wrapText="0" indent="0" justifyLastLine="0" shrinkToFit="0" readingOrder="0"/>
    </dxf>
    <dxf>
      <fill>
        <patternFill patternType="solid">
          <fgColor indexed="64"/>
          <bgColor rgb="FF00B0F0"/>
        </patternFill>
      </fill>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numFmt numFmtId="3" formatCode="#,##0"/>
    </dxf>
    <dxf>
      <alignment horizontal="general"/>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39997558519241921"/>
        </patternFill>
      </fill>
    </dxf>
    <dxf>
      <alignment horizontal="right"/>
    </dxf>
    <dxf>
      <alignment horizontal="center"/>
    </dxf>
    <dxf>
      <fill>
        <patternFill patternType="solid">
          <bgColor rgb="FFFFFF00"/>
        </patternFill>
      </fill>
    </dxf>
    <dxf>
      <alignment horizontal="center"/>
    </dxf>
    <dxf>
      <numFmt numFmtId="166" formatCode="[$-416]mmm\-yy;@"/>
    </dxf>
    <dxf>
      <alignment horizontal="center"/>
    </dxf>
    <dxf>
      <alignment horizontal="center"/>
    </dxf>
    <dxf>
      <alignment horizontal="center"/>
    </dxf>
    <dxf>
      <numFmt numFmtId="4" formatCode="#,##0.00"/>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7" tint="0.39997558519241921"/>
        </patternFill>
      </fill>
    </dxf>
    <dxf>
      <alignment horizontal="right"/>
    </dxf>
    <dxf>
      <alignment horizontal="center"/>
    </dxf>
    <dxf>
      <fill>
        <patternFill patternType="solid">
          <bgColor rgb="FFFFFF00"/>
        </patternFill>
      </fill>
    </dxf>
    <dxf>
      <alignment horizontal="center"/>
    </dxf>
    <dxf>
      <numFmt numFmtId="166" formatCode="[$-416]mmm\-yy;@"/>
    </dxf>
    <dxf>
      <alignment horizontal="center"/>
    </dxf>
    <dxf>
      <alignment horizontal="center"/>
    </dxf>
    <dxf>
      <alignment horizontal="center"/>
    </dxf>
    <dxf>
      <numFmt numFmtId="4" formatCode="#,##0.00"/>
    </dxf>
    <dxf>
      <numFmt numFmtId="4" formatCode="#,##0.00"/>
    </dxf>
    <dxf>
      <font>
        <b val="0"/>
        <i val="0"/>
        <strike val="0"/>
        <condense val="0"/>
        <extend val="0"/>
        <outline val="0"/>
        <shadow val="0"/>
        <u val="none"/>
        <vertAlign val="baseline"/>
        <sz val="9"/>
        <color theme="1"/>
        <name val="Helvetica"/>
        <scheme val="none"/>
      </font>
      <border diagonalUp="0" diagonalDown="0">
        <left style="thin">
          <color theme="9"/>
        </left>
        <right style="thin">
          <color theme="9"/>
        </right>
        <top style="thin">
          <color theme="9"/>
        </top>
        <bottom style="thin">
          <color theme="9"/>
        </bottom>
        <vertical/>
        <horizontal/>
      </border>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textRotation="0" wrapText="0" indent="0" justifyLastLine="0" shrinkToFit="0" readingOrder="0"/>
    </dxf>
    <dxf>
      <font>
        <b val="0"/>
        <i val="0"/>
        <strike val="0"/>
        <condense val="0"/>
        <extend val="0"/>
        <outline val="0"/>
        <shadow val="0"/>
        <u val="none"/>
        <vertAlign val="baseline"/>
        <sz val="10"/>
        <color rgb="FF000000"/>
        <name val="Helvetica"/>
        <family val="2"/>
        <scheme val="none"/>
      </font>
      <numFmt numFmtId="164" formatCode="_(* #,##0.00_);_(* \(#,##0.00\);_(* &quot;-&quot;??_);_(@_)"/>
      <fill>
        <patternFill patternType="solid">
          <fgColor rgb="FF000000"/>
          <bgColor rgb="FFFFFFFF"/>
        </patternFill>
      </fill>
      <alignment horizontal="right" vertical="center" textRotation="0" wrapText="1" indent="0" justifyLastLine="0" shrinkToFit="0" readingOrder="0"/>
      <protection locked="1" hidden="1"/>
    </dxf>
    <dxf>
      <font>
        <b val="0"/>
        <i val="0"/>
        <strike val="0"/>
        <condense val="0"/>
        <extend val="0"/>
        <outline val="0"/>
        <shadow val="0"/>
        <u val="none"/>
        <vertAlign val="baseline"/>
        <sz val="10"/>
        <color theme="1"/>
        <name val="Helvetica"/>
        <scheme val="none"/>
      </font>
      <numFmt numFmtId="2" formatCode="0.00"/>
      <alignment horizontal="center" textRotation="0" indent="0" justifyLastLine="0" shrinkToFit="0" readingOrder="0"/>
    </dxf>
    <dxf>
      <font>
        <b val="0"/>
        <i val="0"/>
        <strike val="0"/>
        <condense val="0"/>
        <extend val="0"/>
        <outline val="0"/>
        <shadow val="0"/>
        <u val="none"/>
        <vertAlign val="baseline"/>
        <sz val="10"/>
        <color theme="1"/>
        <name val="Helvetica"/>
        <scheme val="none"/>
      </font>
      <numFmt numFmtId="3" formatCode="#,##0"/>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theme="1"/>
        <name val="Helvetica"/>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9"/>
        <color theme="1"/>
        <name val="Helvetica"/>
        <scheme val="none"/>
      </font>
    </dxf>
    <dxf>
      <font>
        <b/>
      </font>
      <alignment horizontal="center" textRotation="0" indent="0" justifyLastLine="0" shrinkToFit="0" readingOrder="0"/>
    </dxf>
    <dxf>
      <alignment horizontal="center" textRotation="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Helvetica"/>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19" formatCode="dd/mm/yy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Helvetica"/>
        <family val="2"/>
        <scheme val="none"/>
      </font>
      <numFmt numFmtId="165" formatCode="0.000"/>
      <alignment horizontal="left" vertical="bottom" textRotation="0" wrapText="0" indent="0" justifyLastLine="0" shrinkToFit="0" readingOrder="0"/>
      <protection locked="0" hidden="1"/>
    </dxf>
    <dxf>
      <font>
        <b/>
        <i val="0"/>
        <strike val="0"/>
        <condense val="0"/>
        <extend val="0"/>
        <outline val="0"/>
        <shadow val="0"/>
        <u val="none"/>
        <vertAlign val="baseline"/>
        <sz val="10"/>
        <color theme="1"/>
        <name val="Helvetica"/>
        <scheme val="none"/>
      </font>
      <numFmt numFmtId="2" formatCode="0.00"/>
      <fill>
        <patternFill patternType="solid">
          <fgColor theme="9" tint="0.79998168889431442"/>
          <bgColor theme="9" tint="0.79998168889431442"/>
        </patternFill>
      </fill>
      <alignment horizontal="left" vertical="bottom" textRotation="0" wrapText="0" indent="0" justifyLastLine="0" shrinkToFit="0" readingOrder="0"/>
      <border diagonalUp="0" diagonalDown="0" outline="0">
        <left style="thin">
          <color theme="9"/>
        </left>
        <right/>
        <top style="thin">
          <color theme="9"/>
        </top>
        <bottom style="thin">
          <color theme="9"/>
        </bottom>
      </border>
      <protection locked="0" hidden="1"/>
    </dxf>
    <dxf>
      <font>
        <b/>
        <i val="0"/>
        <strike val="0"/>
        <condense val="0"/>
        <extend val="0"/>
        <outline val="0"/>
        <shadow val="0"/>
        <u val="none"/>
        <vertAlign val="baseline"/>
        <sz val="9"/>
        <color theme="1"/>
        <name val="Calibri"/>
        <family val="2"/>
        <scheme val="minor"/>
      </font>
      <fill>
        <patternFill>
          <fgColor indexed="64"/>
          <bgColor theme="6" tint="0.5999938962981048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left style="thin">
          <color theme="9"/>
        </left>
        <right style="thin">
          <color theme="9"/>
        </right>
        <top style="thin">
          <color theme="9"/>
        </top>
        <bottom/>
      </border>
    </dxf>
    <dxf>
      <font>
        <strike val="0"/>
        <outline val="0"/>
        <shadow val="0"/>
        <u val="none"/>
        <vertAlign val="baseline"/>
        <sz val="10"/>
      </font>
      <alignment horizontal="left" vertical="bottom" textRotation="0" wrapText="0" indent="0" justifyLastLine="0" shrinkToFit="0" readingOrder="0"/>
    </dxf>
    <dxf>
      <font>
        <b val="0"/>
        <i val="0"/>
        <strike val="0"/>
        <condense val="0"/>
        <extend val="0"/>
        <outline val="0"/>
        <shadow val="0"/>
        <u val="none"/>
        <vertAlign val="baseline"/>
        <sz val="10"/>
        <color rgb="FF000000"/>
        <name val="Helvetica"/>
        <family val="2"/>
        <scheme val="none"/>
      </font>
      <numFmt numFmtId="169" formatCode="_-[$$-409]* #,##0.00_ ;_-[$$-409]* \-#,##0.00\ ;_-[$$-409]* &quot;-&quot;??_ ;_-@_ "/>
      <fill>
        <patternFill patternType="solid">
          <fgColor rgb="FF000000"/>
          <bgColor rgb="FFFFFFFF"/>
        </patternFill>
      </fill>
      <alignment horizontal="right" vertical="center" textRotation="0" wrapText="1" indent="0" justifyLastLine="0" shrinkToFit="0" readingOrder="0"/>
      <border diagonalUp="0" diagonalDown="0" outline="0">
        <left style="thin">
          <color theme="9"/>
        </left>
        <right style="thin">
          <color theme="9"/>
        </right>
        <top style="thin">
          <color theme="9"/>
        </top>
        <bottom/>
      </border>
      <protection locked="1" hidden="1"/>
    </dxf>
    <dxf>
      <font>
        <b val="0"/>
        <i val="0"/>
        <strike val="0"/>
        <condense val="0"/>
        <extend val="0"/>
        <outline val="0"/>
        <shadow val="0"/>
        <u val="none"/>
        <vertAlign val="baseline"/>
        <sz val="10"/>
        <color rgb="FF000000"/>
        <name val="Helvetica"/>
        <family val="2"/>
        <scheme val="none"/>
      </font>
      <numFmt numFmtId="4" formatCode="#,##0.00"/>
      <fill>
        <patternFill patternType="solid">
          <fgColor rgb="FF000000"/>
          <bgColor rgb="FFFFFFFF"/>
        </patternFill>
      </fill>
      <alignment horizontal="right" vertical="bottom" textRotation="0" wrapText="0" indent="0" justifyLastLine="0" shrinkToFit="0" readingOrder="0"/>
      <protection locked="1" hidden="1"/>
    </dxf>
    <dxf>
      <font>
        <b/>
        <i val="0"/>
        <strike val="0"/>
        <condense val="0"/>
        <extend val="0"/>
        <outline val="0"/>
        <shadow val="0"/>
        <u val="none"/>
        <vertAlign val="baseline"/>
        <sz val="10"/>
        <color rgb="FF7030A0"/>
        <name val="Helvetica"/>
        <scheme val="none"/>
      </font>
      <numFmt numFmtId="19" formatCode="dd/mm/yyyy"/>
      <alignment horizontal="left" vertical="bottom" textRotation="0" wrapText="0" indent="0" justifyLastLine="0" shrinkToFit="0" readingOrder="0"/>
      <border diagonalUp="0" diagonalDown="0" outline="0">
        <left style="thin">
          <color theme="9"/>
        </left>
        <right style="thin">
          <color theme="9"/>
        </right>
        <top style="thin">
          <color theme="9"/>
        </top>
        <bottom/>
      </border>
      <protection locked="1" hidden="1"/>
    </dxf>
    <dxf>
      <font>
        <b/>
        <i val="0"/>
        <strike val="0"/>
        <condense val="0"/>
        <extend val="0"/>
        <outline val="0"/>
        <shadow val="0"/>
        <u val="none"/>
        <vertAlign val="baseline"/>
        <sz val="10"/>
        <color theme="1"/>
        <name val="Helvetica"/>
        <scheme val="none"/>
      </font>
      <numFmt numFmtId="0" formatCode="General"/>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theme="1"/>
        <name val="Calibri"/>
        <family val="2"/>
        <scheme val="minor"/>
      </font>
      <numFmt numFmtId="19" formatCode="dd/mm/yyyy"/>
      <alignment horizontal="left" vertical="bottom" textRotation="0" wrapText="0" indent="0" justifyLastLine="0" shrinkToFit="0" readingOrder="0"/>
      <border diagonalUp="0" diagonalDown="0" outline="0">
        <left style="thin">
          <color theme="9"/>
        </left>
        <right style="thin">
          <color theme="9"/>
        </right>
        <top style="thin">
          <color theme="9"/>
        </top>
        <bottom/>
      </border>
    </dxf>
    <dxf>
      <font>
        <b val="0"/>
        <i val="0"/>
        <strike val="0"/>
        <condense val="0"/>
        <extend val="0"/>
        <outline val="0"/>
        <shadow val="0"/>
        <u val="none"/>
        <vertAlign val="baseline"/>
        <sz val="10"/>
        <color theme="1"/>
        <name val="Calibri"/>
        <family val="2"/>
        <scheme val="minor"/>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9" formatCode="dd/mm/yyyy"/>
      <alignment horizontal="left" vertical="bottom" textRotation="0" wrapText="0" indent="0" justifyLastLine="0" shrinkToFit="0" readingOrder="0"/>
      <border diagonalUp="0" diagonalDown="0" outline="0">
        <left style="thin">
          <color theme="9"/>
        </left>
        <right style="thin">
          <color theme="9"/>
        </right>
        <top style="thin">
          <color theme="9"/>
        </top>
        <bottom/>
      </border>
    </dxf>
    <dxf>
      <font>
        <b/>
        <strike val="0"/>
        <outline val="0"/>
        <shadow val="0"/>
        <u val="none"/>
        <vertAlign val="baseline"/>
        <sz val="10"/>
        <name val="Helvetica"/>
        <scheme val="none"/>
      </font>
      <numFmt numFmtId="0" formatCode="General"/>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theme="1"/>
        <name val="Aptos"/>
        <family val="2"/>
        <scheme val="none"/>
      </font>
      <numFmt numFmtId="19" formatCode="dd/mm/yyyy"/>
      <alignment horizontal="general" vertical="center" textRotation="0" wrapText="0" indent="0" justifyLastLine="0" shrinkToFit="0" readingOrder="0"/>
      <border diagonalUp="0" diagonalDown="0" outline="0">
        <left style="thin">
          <color theme="9"/>
        </left>
        <right style="thin">
          <color theme="9"/>
        </right>
        <top style="thin">
          <color theme="9"/>
        </top>
        <bottom/>
      </border>
    </dxf>
    <dxf>
      <font>
        <b val="0"/>
        <i val="0"/>
        <strike val="0"/>
        <condense val="0"/>
        <extend val="0"/>
        <outline val="0"/>
        <shadow val="0"/>
        <u val="none"/>
        <vertAlign val="baseline"/>
        <sz val="10"/>
        <color theme="1"/>
        <name val="Helvetica"/>
        <family val="2"/>
        <scheme val="none"/>
      </font>
      <numFmt numFmtId="19" formatCode="dd/mm/yyyy"/>
      <alignment horizontal="left" vertical="bottom" textRotation="0" wrapText="0" indent="0" justifyLastLine="0" shrinkToFit="0" readingOrder="0"/>
      <protection locked="0" hidden="1"/>
    </dxf>
    <dxf>
      <font>
        <b val="0"/>
        <i val="0"/>
        <strike val="0"/>
        <condense val="0"/>
        <extend val="0"/>
        <outline val="0"/>
        <shadow val="0"/>
        <u val="none"/>
        <vertAlign val="baseline"/>
        <sz val="10"/>
        <color theme="1"/>
        <name val="Aptos"/>
        <family val="2"/>
        <scheme val="none"/>
      </font>
      <numFmt numFmtId="19" formatCode="dd/mm/yyyy"/>
      <alignment horizontal="general" vertical="center" textRotation="0" wrapText="0" indent="0" justifyLastLine="0" shrinkToFit="0" readingOrder="0"/>
      <border diagonalUp="0" diagonalDown="0" outline="0">
        <left style="thin">
          <color theme="9"/>
        </left>
        <right style="thin">
          <color theme="9"/>
        </right>
        <top style="thin">
          <color theme="9"/>
        </top>
        <bottom/>
      </border>
    </dxf>
    <dxf>
      <font>
        <b val="0"/>
        <i val="0"/>
        <strike val="0"/>
        <condense val="0"/>
        <extend val="0"/>
        <outline val="0"/>
        <shadow val="0"/>
        <u val="none"/>
        <vertAlign val="baseline"/>
        <sz val="10"/>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Helvetica"/>
        <family val="2"/>
        <scheme val="none"/>
      </font>
      <numFmt numFmtId="165" formatCode="0.000"/>
      <alignment horizontal="left" vertical="bottom" textRotation="0" wrapText="0" indent="0" justifyLastLine="0" shrinkToFit="0" readingOrder="0"/>
      <protection locked="0" hidden="1"/>
    </dxf>
    <dxf>
      <font>
        <b val="0"/>
        <i val="0"/>
        <strike val="0"/>
        <condense val="0"/>
        <extend val="0"/>
        <outline val="0"/>
        <shadow val="0"/>
        <u val="none"/>
        <vertAlign val="baseline"/>
        <sz val="10"/>
        <color theme="1"/>
        <name val="Helvetica"/>
        <family val="2"/>
        <scheme val="none"/>
      </font>
      <numFmt numFmtId="165" formatCode="0.000"/>
      <alignment horizontal="left" vertical="bottom" textRotation="0" wrapText="0" indent="0" justifyLastLine="0" shrinkToFit="0" readingOrder="0"/>
      <protection locked="0" hidden="1"/>
    </dxf>
    <dxf>
      <font>
        <b val="0"/>
        <i val="0"/>
        <strike val="0"/>
        <condense val="0"/>
        <extend val="0"/>
        <outline val="0"/>
        <shadow val="0"/>
        <u val="none"/>
        <vertAlign val="baseline"/>
        <sz val="10"/>
        <color theme="1"/>
        <name val="Helvetica"/>
        <family val="2"/>
        <scheme val="none"/>
      </font>
      <numFmt numFmtId="165" formatCode="0.000"/>
      <alignment horizontal="left" vertical="bottom" textRotation="0" wrapText="0" indent="0" justifyLastLine="0" shrinkToFit="0" readingOrder="0"/>
      <border diagonalUp="0" diagonalDown="0" outline="0">
        <left style="thin">
          <color theme="9"/>
        </left>
        <right style="thin">
          <color theme="9"/>
        </right>
        <top style="thin">
          <color theme="9"/>
        </top>
        <bottom/>
      </border>
      <protection locked="0" hidden="1"/>
    </dxf>
    <dxf>
      <font>
        <b val="0"/>
        <i val="0"/>
        <strike val="0"/>
        <condense val="0"/>
        <extend val="0"/>
        <outline val="0"/>
        <shadow val="0"/>
        <u val="none"/>
        <vertAlign val="baseline"/>
        <sz val="10"/>
        <color theme="1"/>
        <name val="Helvetica"/>
        <family val="2"/>
        <scheme val="none"/>
      </font>
      <numFmt numFmtId="165" formatCode="0.000"/>
      <alignment horizontal="left" vertical="bottom" textRotation="0" wrapText="0" indent="0" justifyLastLine="0" shrinkToFit="0" readingOrder="0"/>
      <protection locked="0" hidden="1"/>
    </dxf>
    <dxf>
      <font>
        <strike val="0"/>
        <outline val="0"/>
        <shadow val="0"/>
        <u val="none"/>
        <vertAlign val="baseline"/>
        <sz val="10"/>
      </font>
    </dxf>
    <dxf>
      <font>
        <b/>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s>
  <tableStyles count="0" defaultTableStyle="TableStyleMedium2" defaultPivotStyle="PivotStyleLight16"/>
  <colors>
    <mruColors>
      <color rgb="FFFFFFFF"/>
      <color rgb="FFFFFF00"/>
      <color rgb="FFBDBAC6"/>
      <color rgb="FFEAEAEA"/>
      <color rgb="FF3497FA"/>
      <color rgb="FFFF3300"/>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[PEDIDOS-FOLLOW_UP-CLIENTES GUATEMALA.xlsx]VOL-VALOR - AVRG PRICE!TablaDinámica2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701857737005461E-2"/>
          <c:y val="0.15963372628623262"/>
          <c:w val="0.82569751543956271"/>
          <c:h val="0.55215282726280923"/>
        </c:manualLayout>
      </c:layout>
      <c:barChart>
        <c:barDir val="col"/>
        <c:grouping val="stacked"/>
        <c:varyColors val="0"/>
        <c:ser>
          <c:idx val="0"/>
          <c:order val="0"/>
          <c:tx>
            <c:strRef>
              <c:f>'VOL-VALOR - AVRG PRICE'!$W$3:$W$4</c:f>
              <c:strCache>
                <c:ptCount val="1"/>
                <c:pt idx="0">
                  <c:v>Jan-26</c:v>
                </c:pt>
              </c:strCache>
            </c:strRef>
          </c:tx>
          <c:spPr>
            <a:solidFill>
              <a:schemeClr val="accent1"/>
            </a:solidFill>
            <a:ln>
              <a:noFill/>
            </a:ln>
            <a:effectLst/>
          </c:spPr>
          <c:invertIfNegative val="0"/>
          <c:cat>
            <c:strRef>
              <c:f>'VOL-VALOR - AVRG PRICE'!$V$5:$V$20</c:f>
              <c:strCache>
                <c:ptCount val="15"/>
                <c:pt idx="0">
                  <c:v>Alto Confort</c:v>
                </c:pt>
                <c:pt idx="1">
                  <c:v>American Textile Co</c:v>
                </c:pt>
                <c:pt idx="2">
                  <c:v>Camas Century</c:v>
                </c:pt>
                <c:pt idx="3">
                  <c:v>Camas Florida GT</c:v>
                </c:pt>
                <c:pt idx="4">
                  <c:v>Camas Florida Honduras</c:v>
                </c:pt>
                <c:pt idx="5">
                  <c:v>CAMAS Y RESORTES NICARAGUA (C. KAREN)</c:v>
                </c:pt>
                <c:pt idx="6">
                  <c:v>Dreams</c:v>
                </c:pt>
                <c:pt idx="7">
                  <c:v>Facenco Guatemala</c:v>
                </c:pt>
                <c:pt idx="8">
                  <c:v>Fadessa</c:v>
                </c:pt>
                <c:pt idx="9">
                  <c:v>INDUSTRIAS CAPRI</c:v>
                </c:pt>
                <c:pt idx="10">
                  <c:v>POLY FIBRAS</c:v>
                </c:pt>
                <c:pt idx="11">
                  <c:v>PROHFOAM</c:v>
                </c:pt>
                <c:pt idx="12">
                  <c:v>RELAXTECH INTERNACIONAL-JIRON</c:v>
                </c:pt>
                <c:pt idx="13">
                  <c:v>Sueñolandia</c:v>
                </c:pt>
                <c:pt idx="14">
                  <c:v>Ultra Industrias</c:v>
                </c:pt>
              </c:strCache>
            </c:strRef>
          </c:cat>
          <c:val>
            <c:numRef>
              <c:f>'VOL-VALOR - AVRG PRICE'!$W$5:$W$20</c:f>
              <c:numCache>
                <c:formatCode>#,##0.00</c:formatCode>
                <c:ptCount val="15"/>
                <c:pt idx="3">
                  <c:v>2060</c:v>
                </c:pt>
                <c:pt idx="4">
                  <c:v>2652</c:v>
                </c:pt>
                <c:pt idx="7">
                  <c:v>6324</c:v>
                </c:pt>
                <c:pt idx="8">
                  <c:v>26920</c:v>
                </c:pt>
                <c:pt idx="11">
                  <c:v>9994.5</c:v>
                </c:pt>
              </c:numCache>
            </c:numRef>
          </c:val>
          <c:extLst>
            <c:ext xmlns:c16="http://schemas.microsoft.com/office/drawing/2014/chart" uri="{C3380CC4-5D6E-409C-BE32-E72D297353CC}">
              <c16:uniqueId val="{00000000-BBB0-49DF-B4EE-9D7FB74A61CF}"/>
            </c:ext>
          </c:extLst>
        </c:ser>
        <c:ser>
          <c:idx val="1"/>
          <c:order val="1"/>
          <c:tx>
            <c:strRef>
              <c:f>'VOL-VALOR - AVRG PRICE'!$X$3:$X$4</c:f>
              <c:strCache>
                <c:ptCount val="1"/>
                <c:pt idx="0">
                  <c:v>fev-26</c:v>
                </c:pt>
              </c:strCache>
            </c:strRef>
          </c:tx>
          <c:spPr>
            <a:solidFill>
              <a:schemeClr val="accent2"/>
            </a:solidFill>
            <a:ln>
              <a:noFill/>
            </a:ln>
            <a:effectLst/>
          </c:spPr>
          <c:invertIfNegative val="0"/>
          <c:cat>
            <c:strRef>
              <c:f>'VOL-VALOR - AVRG PRICE'!$V$5:$V$20</c:f>
              <c:strCache>
                <c:ptCount val="15"/>
                <c:pt idx="0">
                  <c:v>Alto Confort</c:v>
                </c:pt>
                <c:pt idx="1">
                  <c:v>American Textile Co</c:v>
                </c:pt>
                <c:pt idx="2">
                  <c:v>Camas Century</c:v>
                </c:pt>
                <c:pt idx="3">
                  <c:v>Camas Florida GT</c:v>
                </c:pt>
                <c:pt idx="4">
                  <c:v>Camas Florida Honduras</c:v>
                </c:pt>
                <c:pt idx="5">
                  <c:v>CAMAS Y RESORTES NICARAGUA (C. KAREN)</c:v>
                </c:pt>
                <c:pt idx="6">
                  <c:v>Dreams</c:v>
                </c:pt>
                <c:pt idx="7">
                  <c:v>Facenco Guatemala</c:v>
                </c:pt>
                <c:pt idx="8">
                  <c:v>Fadessa</c:v>
                </c:pt>
                <c:pt idx="9">
                  <c:v>INDUSTRIAS CAPRI</c:v>
                </c:pt>
                <c:pt idx="10">
                  <c:v>POLY FIBRAS</c:v>
                </c:pt>
                <c:pt idx="11">
                  <c:v>PROHFOAM</c:v>
                </c:pt>
                <c:pt idx="12">
                  <c:v>RELAXTECH INTERNACIONAL-JIRON</c:v>
                </c:pt>
                <c:pt idx="13">
                  <c:v>Sueñolandia</c:v>
                </c:pt>
                <c:pt idx="14">
                  <c:v>Ultra Industrias</c:v>
                </c:pt>
              </c:strCache>
            </c:strRef>
          </c:cat>
          <c:val>
            <c:numRef>
              <c:f>'VOL-VALOR - AVRG PRICE'!$X$5:$X$20</c:f>
              <c:numCache>
                <c:formatCode>#,##0.00</c:formatCode>
                <c:ptCount val="15"/>
                <c:pt idx="0">
                  <c:v>11710</c:v>
                </c:pt>
                <c:pt idx="7">
                  <c:v>7520</c:v>
                </c:pt>
                <c:pt idx="14">
                  <c:v>23390</c:v>
                </c:pt>
              </c:numCache>
            </c:numRef>
          </c:val>
          <c:extLst>
            <c:ext xmlns:c16="http://schemas.microsoft.com/office/drawing/2014/chart" uri="{C3380CC4-5D6E-409C-BE32-E72D297353CC}">
              <c16:uniqueId val="{00000000-9627-4D65-B6E1-6E80F98301DF}"/>
            </c:ext>
          </c:extLst>
        </c:ser>
        <c:ser>
          <c:idx val="2"/>
          <c:order val="2"/>
          <c:tx>
            <c:strRef>
              <c:f>'VOL-VALOR - AVRG PRICE'!$Y$3:$Y$4</c:f>
              <c:strCache>
                <c:ptCount val="1"/>
                <c:pt idx="0">
                  <c:v>mar-26</c:v>
                </c:pt>
              </c:strCache>
            </c:strRef>
          </c:tx>
          <c:spPr>
            <a:solidFill>
              <a:schemeClr val="accent3"/>
            </a:solidFill>
            <a:ln>
              <a:noFill/>
            </a:ln>
            <a:effectLst/>
          </c:spPr>
          <c:invertIfNegative val="0"/>
          <c:cat>
            <c:strRef>
              <c:f>'VOL-VALOR - AVRG PRICE'!$V$5:$V$20</c:f>
              <c:strCache>
                <c:ptCount val="15"/>
                <c:pt idx="0">
                  <c:v>Alto Confort</c:v>
                </c:pt>
                <c:pt idx="1">
                  <c:v>American Textile Co</c:v>
                </c:pt>
                <c:pt idx="2">
                  <c:v>Camas Century</c:v>
                </c:pt>
                <c:pt idx="3">
                  <c:v>Camas Florida GT</c:v>
                </c:pt>
                <c:pt idx="4">
                  <c:v>Camas Florida Honduras</c:v>
                </c:pt>
                <c:pt idx="5">
                  <c:v>CAMAS Y RESORTES NICARAGUA (C. KAREN)</c:v>
                </c:pt>
                <c:pt idx="6">
                  <c:v>Dreams</c:v>
                </c:pt>
                <c:pt idx="7">
                  <c:v>Facenco Guatemala</c:v>
                </c:pt>
                <c:pt idx="8">
                  <c:v>Fadessa</c:v>
                </c:pt>
                <c:pt idx="9">
                  <c:v>INDUSTRIAS CAPRI</c:v>
                </c:pt>
                <c:pt idx="10">
                  <c:v>POLY FIBRAS</c:v>
                </c:pt>
                <c:pt idx="11">
                  <c:v>PROHFOAM</c:v>
                </c:pt>
                <c:pt idx="12">
                  <c:v>RELAXTECH INTERNACIONAL-JIRON</c:v>
                </c:pt>
                <c:pt idx="13">
                  <c:v>Sueñolandia</c:v>
                </c:pt>
                <c:pt idx="14">
                  <c:v>Ultra Industrias</c:v>
                </c:pt>
              </c:strCache>
            </c:strRef>
          </c:cat>
          <c:val>
            <c:numRef>
              <c:f>'VOL-VALOR - AVRG PRICE'!$Y$5:$Y$20</c:f>
              <c:numCache>
                <c:formatCode>#,##0.00</c:formatCode>
                <c:ptCount val="15"/>
                <c:pt idx="1">
                  <c:v>66000</c:v>
                </c:pt>
                <c:pt idx="3">
                  <c:v>8705</c:v>
                </c:pt>
                <c:pt idx="4">
                  <c:v>3014</c:v>
                </c:pt>
                <c:pt idx="6">
                  <c:v>6363</c:v>
                </c:pt>
                <c:pt idx="7">
                  <c:v>47002</c:v>
                </c:pt>
                <c:pt idx="8">
                  <c:v>54618</c:v>
                </c:pt>
                <c:pt idx="12">
                  <c:v>17100</c:v>
                </c:pt>
                <c:pt idx="14">
                  <c:v>31310</c:v>
                </c:pt>
              </c:numCache>
            </c:numRef>
          </c:val>
          <c:extLst>
            <c:ext xmlns:c16="http://schemas.microsoft.com/office/drawing/2014/chart" uri="{C3380CC4-5D6E-409C-BE32-E72D297353CC}">
              <c16:uniqueId val="{00000001-9627-4D65-B6E1-6E80F98301DF}"/>
            </c:ext>
          </c:extLst>
        </c:ser>
        <c:ser>
          <c:idx val="3"/>
          <c:order val="3"/>
          <c:tx>
            <c:strRef>
              <c:f>'VOL-VALOR - AVRG PRICE'!$Z$3:$Z$4</c:f>
              <c:strCache>
                <c:ptCount val="1"/>
                <c:pt idx="0">
                  <c:v>abr-26</c:v>
                </c:pt>
              </c:strCache>
            </c:strRef>
          </c:tx>
          <c:spPr>
            <a:solidFill>
              <a:schemeClr val="accent4"/>
            </a:solidFill>
            <a:ln>
              <a:noFill/>
            </a:ln>
            <a:effectLst/>
          </c:spPr>
          <c:invertIfNegative val="0"/>
          <c:cat>
            <c:strRef>
              <c:f>'VOL-VALOR - AVRG PRICE'!$V$5:$V$20</c:f>
              <c:strCache>
                <c:ptCount val="15"/>
                <c:pt idx="0">
                  <c:v>Alto Confort</c:v>
                </c:pt>
                <c:pt idx="1">
                  <c:v>American Textile Co</c:v>
                </c:pt>
                <c:pt idx="2">
                  <c:v>Camas Century</c:v>
                </c:pt>
                <c:pt idx="3">
                  <c:v>Camas Florida GT</c:v>
                </c:pt>
                <c:pt idx="4">
                  <c:v>Camas Florida Honduras</c:v>
                </c:pt>
                <c:pt idx="5">
                  <c:v>CAMAS Y RESORTES NICARAGUA (C. KAREN)</c:v>
                </c:pt>
                <c:pt idx="6">
                  <c:v>Dreams</c:v>
                </c:pt>
                <c:pt idx="7">
                  <c:v>Facenco Guatemala</c:v>
                </c:pt>
                <c:pt idx="8">
                  <c:v>Fadessa</c:v>
                </c:pt>
                <c:pt idx="9">
                  <c:v>INDUSTRIAS CAPRI</c:v>
                </c:pt>
                <c:pt idx="10">
                  <c:v>POLY FIBRAS</c:v>
                </c:pt>
                <c:pt idx="11">
                  <c:v>PROHFOAM</c:v>
                </c:pt>
                <c:pt idx="12">
                  <c:v>RELAXTECH INTERNACIONAL-JIRON</c:v>
                </c:pt>
                <c:pt idx="13">
                  <c:v>Sueñolandia</c:v>
                </c:pt>
                <c:pt idx="14">
                  <c:v>Ultra Industrias</c:v>
                </c:pt>
              </c:strCache>
            </c:strRef>
          </c:cat>
          <c:val>
            <c:numRef>
              <c:f>'VOL-VALOR - AVRG PRICE'!$Z$5:$Z$20</c:f>
              <c:numCache>
                <c:formatCode>#,##0.00</c:formatCode>
                <c:ptCount val="15"/>
                <c:pt idx="3">
                  <c:v>34230</c:v>
                </c:pt>
                <c:pt idx="5">
                  <c:v>10150</c:v>
                </c:pt>
                <c:pt idx="7">
                  <c:v>6407</c:v>
                </c:pt>
                <c:pt idx="8">
                  <c:v>35296</c:v>
                </c:pt>
                <c:pt idx="9">
                  <c:v>35100</c:v>
                </c:pt>
                <c:pt idx="14">
                  <c:v>26465</c:v>
                </c:pt>
              </c:numCache>
            </c:numRef>
          </c:val>
          <c:extLst>
            <c:ext xmlns:c16="http://schemas.microsoft.com/office/drawing/2014/chart" uri="{C3380CC4-5D6E-409C-BE32-E72D297353CC}">
              <c16:uniqueId val="{00000002-9627-4D65-B6E1-6E80F98301DF}"/>
            </c:ext>
          </c:extLst>
        </c:ser>
        <c:ser>
          <c:idx val="4"/>
          <c:order val="4"/>
          <c:tx>
            <c:strRef>
              <c:f>'VOL-VALOR - AVRG PRICE'!$AA$3:$AA$4</c:f>
              <c:strCache>
                <c:ptCount val="1"/>
                <c:pt idx="0">
                  <c:v>may-26</c:v>
                </c:pt>
              </c:strCache>
            </c:strRef>
          </c:tx>
          <c:spPr>
            <a:solidFill>
              <a:schemeClr val="accent5"/>
            </a:solidFill>
            <a:ln>
              <a:noFill/>
            </a:ln>
            <a:effectLst/>
          </c:spPr>
          <c:invertIfNegative val="0"/>
          <c:cat>
            <c:strRef>
              <c:f>'VOL-VALOR - AVRG PRICE'!$V$5:$V$20</c:f>
              <c:strCache>
                <c:ptCount val="15"/>
                <c:pt idx="0">
                  <c:v>Alto Confort</c:v>
                </c:pt>
                <c:pt idx="1">
                  <c:v>American Textile Co</c:v>
                </c:pt>
                <c:pt idx="2">
                  <c:v>Camas Century</c:v>
                </c:pt>
                <c:pt idx="3">
                  <c:v>Camas Florida GT</c:v>
                </c:pt>
                <c:pt idx="4">
                  <c:v>Camas Florida Honduras</c:v>
                </c:pt>
                <c:pt idx="5">
                  <c:v>CAMAS Y RESORTES NICARAGUA (C. KAREN)</c:v>
                </c:pt>
                <c:pt idx="6">
                  <c:v>Dreams</c:v>
                </c:pt>
                <c:pt idx="7">
                  <c:v>Facenco Guatemala</c:v>
                </c:pt>
                <c:pt idx="8">
                  <c:v>Fadessa</c:v>
                </c:pt>
                <c:pt idx="9">
                  <c:v>INDUSTRIAS CAPRI</c:v>
                </c:pt>
                <c:pt idx="10">
                  <c:v>POLY FIBRAS</c:v>
                </c:pt>
                <c:pt idx="11">
                  <c:v>PROHFOAM</c:v>
                </c:pt>
                <c:pt idx="12">
                  <c:v>RELAXTECH INTERNACIONAL-JIRON</c:v>
                </c:pt>
                <c:pt idx="13">
                  <c:v>Sueñolandia</c:v>
                </c:pt>
                <c:pt idx="14">
                  <c:v>Ultra Industrias</c:v>
                </c:pt>
              </c:strCache>
            </c:strRef>
          </c:cat>
          <c:val>
            <c:numRef>
              <c:f>'VOL-VALOR - AVRG PRICE'!$AA$5:$AA$20</c:f>
              <c:numCache>
                <c:formatCode>#,##0.00</c:formatCode>
                <c:ptCount val="15"/>
                <c:pt idx="7">
                  <c:v>33540</c:v>
                </c:pt>
                <c:pt idx="10">
                  <c:v>4352.5439999999999</c:v>
                </c:pt>
                <c:pt idx="11">
                  <c:v>10764</c:v>
                </c:pt>
              </c:numCache>
            </c:numRef>
          </c:val>
          <c:extLst>
            <c:ext xmlns:c16="http://schemas.microsoft.com/office/drawing/2014/chart" uri="{C3380CC4-5D6E-409C-BE32-E72D297353CC}">
              <c16:uniqueId val="{00000003-9627-4D65-B6E1-6E80F98301DF}"/>
            </c:ext>
          </c:extLst>
        </c:ser>
        <c:ser>
          <c:idx val="5"/>
          <c:order val="5"/>
          <c:tx>
            <c:strRef>
              <c:f>'VOL-VALOR - AVRG PRICE'!$AB$3:$AB$4</c:f>
              <c:strCache>
                <c:ptCount val="1"/>
                <c:pt idx="0">
                  <c:v>jun-26</c:v>
                </c:pt>
              </c:strCache>
            </c:strRef>
          </c:tx>
          <c:spPr>
            <a:solidFill>
              <a:schemeClr val="accent6"/>
            </a:solidFill>
            <a:ln>
              <a:noFill/>
            </a:ln>
            <a:effectLst/>
          </c:spPr>
          <c:invertIfNegative val="0"/>
          <c:cat>
            <c:strRef>
              <c:f>'VOL-VALOR - AVRG PRICE'!$V$5:$V$20</c:f>
              <c:strCache>
                <c:ptCount val="15"/>
                <c:pt idx="0">
                  <c:v>Alto Confort</c:v>
                </c:pt>
                <c:pt idx="1">
                  <c:v>American Textile Co</c:v>
                </c:pt>
                <c:pt idx="2">
                  <c:v>Camas Century</c:v>
                </c:pt>
                <c:pt idx="3">
                  <c:v>Camas Florida GT</c:v>
                </c:pt>
                <c:pt idx="4">
                  <c:v>Camas Florida Honduras</c:v>
                </c:pt>
                <c:pt idx="5">
                  <c:v>CAMAS Y RESORTES NICARAGUA (C. KAREN)</c:v>
                </c:pt>
                <c:pt idx="6">
                  <c:v>Dreams</c:v>
                </c:pt>
                <c:pt idx="7">
                  <c:v>Facenco Guatemala</c:v>
                </c:pt>
                <c:pt idx="8">
                  <c:v>Fadessa</c:v>
                </c:pt>
                <c:pt idx="9">
                  <c:v>INDUSTRIAS CAPRI</c:v>
                </c:pt>
                <c:pt idx="10">
                  <c:v>POLY FIBRAS</c:v>
                </c:pt>
                <c:pt idx="11">
                  <c:v>PROHFOAM</c:v>
                </c:pt>
                <c:pt idx="12">
                  <c:v>RELAXTECH INTERNACIONAL-JIRON</c:v>
                </c:pt>
                <c:pt idx="13">
                  <c:v>Sueñolandia</c:v>
                </c:pt>
                <c:pt idx="14">
                  <c:v>Ultra Industrias</c:v>
                </c:pt>
              </c:strCache>
            </c:strRef>
          </c:cat>
          <c:val>
            <c:numRef>
              <c:f>'VOL-VALOR - AVRG PRICE'!$AB$5:$AB$20</c:f>
              <c:numCache>
                <c:formatCode>#,##0.00</c:formatCode>
                <c:ptCount val="15"/>
                <c:pt idx="0">
                  <c:v>2880</c:v>
                </c:pt>
                <c:pt idx="3">
                  <c:v>11062.5</c:v>
                </c:pt>
                <c:pt idx="4">
                  <c:v>4180</c:v>
                </c:pt>
                <c:pt idx="8">
                  <c:v>102953</c:v>
                </c:pt>
                <c:pt idx="10">
                  <c:v>17410.175999999999</c:v>
                </c:pt>
                <c:pt idx="13">
                  <c:v>11184</c:v>
                </c:pt>
                <c:pt idx="14">
                  <c:v>62100</c:v>
                </c:pt>
              </c:numCache>
            </c:numRef>
          </c:val>
          <c:extLst>
            <c:ext xmlns:c16="http://schemas.microsoft.com/office/drawing/2014/chart" uri="{C3380CC4-5D6E-409C-BE32-E72D297353CC}">
              <c16:uniqueId val="{00000004-9627-4D65-B6E1-6E80F98301DF}"/>
            </c:ext>
          </c:extLst>
        </c:ser>
        <c:ser>
          <c:idx val="6"/>
          <c:order val="6"/>
          <c:tx>
            <c:strRef>
              <c:f>'VOL-VALOR - AVRG PRICE'!$AC$3:$AC$4</c:f>
              <c:strCache>
                <c:ptCount val="1"/>
                <c:pt idx="0">
                  <c:v>jul-26</c:v>
                </c:pt>
              </c:strCache>
            </c:strRef>
          </c:tx>
          <c:spPr>
            <a:solidFill>
              <a:schemeClr val="accent1">
                <a:lumMod val="60000"/>
              </a:schemeClr>
            </a:solidFill>
            <a:ln>
              <a:noFill/>
            </a:ln>
            <a:effectLst/>
          </c:spPr>
          <c:invertIfNegative val="0"/>
          <c:cat>
            <c:strRef>
              <c:f>'VOL-VALOR - AVRG PRICE'!$V$5:$V$20</c:f>
              <c:strCache>
                <c:ptCount val="15"/>
                <c:pt idx="0">
                  <c:v>Alto Confort</c:v>
                </c:pt>
                <c:pt idx="1">
                  <c:v>American Textile Co</c:v>
                </c:pt>
                <c:pt idx="2">
                  <c:v>Camas Century</c:v>
                </c:pt>
                <c:pt idx="3">
                  <c:v>Camas Florida GT</c:v>
                </c:pt>
                <c:pt idx="4">
                  <c:v>Camas Florida Honduras</c:v>
                </c:pt>
                <c:pt idx="5">
                  <c:v>CAMAS Y RESORTES NICARAGUA (C. KAREN)</c:v>
                </c:pt>
                <c:pt idx="6">
                  <c:v>Dreams</c:v>
                </c:pt>
                <c:pt idx="7">
                  <c:v>Facenco Guatemala</c:v>
                </c:pt>
                <c:pt idx="8">
                  <c:v>Fadessa</c:v>
                </c:pt>
                <c:pt idx="9">
                  <c:v>INDUSTRIAS CAPRI</c:v>
                </c:pt>
                <c:pt idx="10">
                  <c:v>POLY FIBRAS</c:v>
                </c:pt>
                <c:pt idx="11">
                  <c:v>PROHFOAM</c:v>
                </c:pt>
                <c:pt idx="12">
                  <c:v>RELAXTECH INTERNACIONAL-JIRON</c:v>
                </c:pt>
                <c:pt idx="13">
                  <c:v>Sueñolandia</c:v>
                </c:pt>
                <c:pt idx="14">
                  <c:v>Ultra Industrias</c:v>
                </c:pt>
              </c:strCache>
            </c:strRef>
          </c:cat>
          <c:val>
            <c:numRef>
              <c:f>'VOL-VALOR - AVRG PRICE'!$AC$5:$AC$20</c:f>
              <c:numCache>
                <c:formatCode>#,##0.00</c:formatCode>
                <c:ptCount val="15"/>
                <c:pt idx="0">
                  <c:v>2280</c:v>
                </c:pt>
                <c:pt idx="2">
                  <c:v>5859</c:v>
                </c:pt>
                <c:pt idx="14">
                  <c:v>48765</c:v>
                </c:pt>
              </c:numCache>
            </c:numRef>
          </c:val>
          <c:extLst>
            <c:ext xmlns:c16="http://schemas.microsoft.com/office/drawing/2014/chart" uri="{C3380CC4-5D6E-409C-BE32-E72D297353CC}">
              <c16:uniqueId val="{00000000-74FB-43E2-9565-747C79FA7F64}"/>
            </c:ext>
          </c:extLst>
        </c:ser>
        <c:ser>
          <c:idx val="7"/>
          <c:order val="7"/>
          <c:tx>
            <c:strRef>
              <c:f>'VOL-VALOR - AVRG PRICE'!$AD$3:$AD$4</c:f>
              <c:strCache>
                <c:ptCount val="1"/>
                <c:pt idx="0">
                  <c:v>ago-26</c:v>
                </c:pt>
              </c:strCache>
            </c:strRef>
          </c:tx>
          <c:spPr>
            <a:solidFill>
              <a:schemeClr val="accent2">
                <a:lumMod val="60000"/>
              </a:schemeClr>
            </a:solidFill>
            <a:ln>
              <a:noFill/>
            </a:ln>
            <a:effectLst/>
          </c:spPr>
          <c:invertIfNegative val="0"/>
          <c:cat>
            <c:strRef>
              <c:f>'VOL-VALOR - AVRG PRICE'!$V$5:$V$20</c:f>
              <c:strCache>
                <c:ptCount val="15"/>
                <c:pt idx="0">
                  <c:v>Alto Confort</c:v>
                </c:pt>
                <c:pt idx="1">
                  <c:v>American Textile Co</c:v>
                </c:pt>
                <c:pt idx="2">
                  <c:v>Camas Century</c:v>
                </c:pt>
                <c:pt idx="3">
                  <c:v>Camas Florida GT</c:v>
                </c:pt>
                <c:pt idx="4">
                  <c:v>Camas Florida Honduras</c:v>
                </c:pt>
                <c:pt idx="5">
                  <c:v>CAMAS Y RESORTES NICARAGUA (C. KAREN)</c:v>
                </c:pt>
                <c:pt idx="6">
                  <c:v>Dreams</c:v>
                </c:pt>
                <c:pt idx="7">
                  <c:v>Facenco Guatemala</c:v>
                </c:pt>
                <c:pt idx="8">
                  <c:v>Fadessa</c:v>
                </c:pt>
                <c:pt idx="9">
                  <c:v>INDUSTRIAS CAPRI</c:v>
                </c:pt>
                <c:pt idx="10">
                  <c:v>POLY FIBRAS</c:v>
                </c:pt>
                <c:pt idx="11">
                  <c:v>PROHFOAM</c:v>
                </c:pt>
                <c:pt idx="12">
                  <c:v>RELAXTECH INTERNACIONAL-JIRON</c:v>
                </c:pt>
                <c:pt idx="13">
                  <c:v>Sueñolandia</c:v>
                </c:pt>
                <c:pt idx="14">
                  <c:v>Ultra Industrias</c:v>
                </c:pt>
              </c:strCache>
            </c:strRef>
          </c:cat>
          <c:val>
            <c:numRef>
              <c:f>'VOL-VALOR - AVRG PRICE'!$AD$5:$AD$20</c:f>
              <c:numCache>
                <c:formatCode>#,##0.00</c:formatCode>
                <c:ptCount val="15"/>
                <c:pt idx="4">
                  <c:v>10288</c:v>
                </c:pt>
                <c:pt idx="7">
                  <c:v>57900</c:v>
                </c:pt>
                <c:pt idx="8">
                  <c:v>6049</c:v>
                </c:pt>
                <c:pt idx="9">
                  <c:v>27296.9</c:v>
                </c:pt>
              </c:numCache>
            </c:numRef>
          </c:val>
          <c:extLst>
            <c:ext xmlns:c16="http://schemas.microsoft.com/office/drawing/2014/chart" uri="{C3380CC4-5D6E-409C-BE32-E72D297353CC}">
              <c16:uniqueId val="{00000000-1BCE-44A3-B3FE-F0F36DFB577C}"/>
            </c:ext>
          </c:extLst>
        </c:ser>
        <c:ser>
          <c:idx val="8"/>
          <c:order val="8"/>
          <c:tx>
            <c:strRef>
              <c:f>'VOL-VALOR - AVRG PRICE'!$AE$3:$AE$4</c:f>
              <c:strCache>
                <c:ptCount val="1"/>
                <c:pt idx="0">
                  <c:v>sep-26</c:v>
                </c:pt>
              </c:strCache>
            </c:strRef>
          </c:tx>
          <c:spPr>
            <a:solidFill>
              <a:schemeClr val="accent3">
                <a:lumMod val="60000"/>
              </a:schemeClr>
            </a:solidFill>
            <a:ln>
              <a:noFill/>
            </a:ln>
            <a:effectLst/>
          </c:spPr>
          <c:invertIfNegative val="0"/>
          <c:cat>
            <c:strRef>
              <c:f>'VOL-VALOR - AVRG PRICE'!$V$5:$V$20</c:f>
              <c:strCache>
                <c:ptCount val="15"/>
                <c:pt idx="0">
                  <c:v>Alto Confort</c:v>
                </c:pt>
                <c:pt idx="1">
                  <c:v>American Textile Co</c:v>
                </c:pt>
                <c:pt idx="2">
                  <c:v>Camas Century</c:v>
                </c:pt>
                <c:pt idx="3">
                  <c:v>Camas Florida GT</c:v>
                </c:pt>
                <c:pt idx="4">
                  <c:v>Camas Florida Honduras</c:v>
                </c:pt>
                <c:pt idx="5">
                  <c:v>CAMAS Y RESORTES NICARAGUA (C. KAREN)</c:v>
                </c:pt>
                <c:pt idx="6">
                  <c:v>Dreams</c:v>
                </c:pt>
                <c:pt idx="7">
                  <c:v>Facenco Guatemala</c:v>
                </c:pt>
                <c:pt idx="8">
                  <c:v>Fadessa</c:v>
                </c:pt>
                <c:pt idx="9">
                  <c:v>INDUSTRIAS CAPRI</c:v>
                </c:pt>
                <c:pt idx="10">
                  <c:v>POLY FIBRAS</c:v>
                </c:pt>
                <c:pt idx="11">
                  <c:v>PROHFOAM</c:v>
                </c:pt>
                <c:pt idx="12">
                  <c:v>RELAXTECH INTERNACIONAL-JIRON</c:v>
                </c:pt>
                <c:pt idx="13">
                  <c:v>Sueñolandia</c:v>
                </c:pt>
                <c:pt idx="14">
                  <c:v>Ultra Industrias</c:v>
                </c:pt>
              </c:strCache>
            </c:strRef>
          </c:cat>
          <c:val>
            <c:numRef>
              <c:f>'VOL-VALOR - AVRG PRICE'!$AE$5:$AE$20</c:f>
              <c:numCache>
                <c:formatCode>#,##0.00</c:formatCode>
                <c:ptCount val="15"/>
                <c:pt idx="0">
                  <c:v>16234</c:v>
                </c:pt>
                <c:pt idx="7">
                  <c:v>7410</c:v>
                </c:pt>
                <c:pt idx="8">
                  <c:v>13870</c:v>
                </c:pt>
                <c:pt idx="9">
                  <c:v>39850</c:v>
                </c:pt>
              </c:numCache>
            </c:numRef>
          </c:val>
          <c:extLst>
            <c:ext xmlns:c16="http://schemas.microsoft.com/office/drawing/2014/chart" uri="{C3380CC4-5D6E-409C-BE32-E72D297353CC}">
              <c16:uniqueId val="{00000000-C88F-4018-B36E-B9BB196CCCDE}"/>
            </c:ext>
          </c:extLst>
        </c:ser>
        <c:ser>
          <c:idx val="9"/>
          <c:order val="9"/>
          <c:tx>
            <c:strRef>
              <c:f>'VOL-VALOR - AVRG PRICE'!$AF$3:$AF$4</c:f>
              <c:strCache>
                <c:ptCount val="1"/>
                <c:pt idx="0">
                  <c:v>oct-26</c:v>
                </c:pt>
              </c:strCache>
            </c:strRef>
          </c:tx>
          <c:spPr>
            <a:solidFill>
              <a:schemeClr val="accent4">
                <a:lumMod val="60000"/>
              </a:schemeClr>
            </a:solidFill>
            <a:ln>
              <a:noFill/>
            </a:ln>
            <a:effectLst/>
          </c:spPr>
          <c:invertIfNegative val="0"/>
          <c:cat>
            <c:strRef>
              <c:f>'VOL-VALOR - AVRG PRICE'!$V$5:$V$20</c:f>
              <c:strCache>
                <c:ptCount val="15"/>
                <c:pt idx="0">
                  <c:v>Alto Confort</c:v>
                </c:pt>
                <c:pt idx="1">
                  <c:v>American Textile Co</c:v>
                </c:pt>
                <c:pt idx="2">
                  <c:v>Camas Century</c:v>
                </c:pt>
                <c:pt idx="3">
                  <c:v>Camas Florida GT</c:v>
                </c:pt>
                <c:pt idx="4">
                  <c:v>Camas Florida Honduras</c:v>
                </c:pt>
                <c:pt idx="5">
                  <c:v>CAMAS Y RESORTES NICARAGUA (C. KAREN)</c:v>
                </c:pt>
                <c:pt idx="6">
                  <c:v>Dreams</c:v>
                </c:pt>
                <c:pt idx="7">
                  <c:v>Facenco Guatemala</c:v>
                </c:pt>
                <c:pt idx="8">
                  <c:v>Fadessa</c:v>
                </c:pt>
                <c:pt idx="9">
                  <c:v>INDUSTRIAS CAPRI</c:v>
                </c:pt>
                <c:pt idx="10">
                  <c:v>POLY FIBRAS</c:v>
                </c:pt>
                <c:pt idx="11">
                  <c:v>PROHFOAM</c:v>
                </c:pt>
                <c:pt idx="12">
                  <c:v>RELAXTECH INTERNACIONAL-JIRON</c:v>
                </c:pt>
                <c:pt idx="13">
                  <c:v>Sueñolandia</c:v>
                </c:pt>
                <c:pt idx="14">
                  <c:v>Ultra Industrias</c:v>
                </c:pt>
              </c:strCache>
            </c:strRef>
          </c:cat>
          <c:val>
            <c:numRef>
              <c:f>'VOL-VALOR - AVRG PRICE'!$AF$5:$AF$20</c:f>
              <c:numCache>
                <c:formatCode>#,##0.00</c:formatCode>
                <c:ptCount val="15"/>
                <c:pt idx="4">
                  <c:v>3192</c:v>
                </c:pt>
                <c:pt idx="7">
                  <c:v>4260</c:v>
                </c:pt>
                <c:pt idx="8">
                  <c:v>10977</c:v>
                </c:pt>
                <c:pt idx="14">
                  <c:v>55700</c:v>
                </c:pt>
              </c:numCache>
            </c:numRef>
          </c:val>
          <c:extLst>
            <c:ext xmlns:c16="http://schemas.microsoft.com/office/drawing/2014/chart" uri="{C3380CC4-5D6E-409C-BE32-E72D297353CC}">
              <c16:uniqueId val="{00000000-8BE8-41E9-A8AD-E2F5A3A894FA}"/>
            </c:ext>
          </c:extLst>
        </c:ser>
        <c:dLbls>
          <c:showLegendKey val="0"/>
          <c:showVal val="0"/>
          <c:showCatName val="0"/>
          <c:showSerName val="0"/>
          <c:showPercent val="0"/>
          <c:showBubbleSize val="0"/>
        </c:dLbls>
        <c:gapWidth val="150"/>
        <c:overlap val="100"/>
        <c:axId val="758419616"/>
        <c:axId val="758420096"/>
      </c:barChart>
      <c:catAx>
        <c:axId val="75841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58420096"/>
        <c:crosses val="autoZero"/>
        <c:auto val="1"/>
        <c:lblAlgn val="ctr"/>
        <c:lblOffset val="100"/>
        <c:noMultiLvlLbl val="0"/>
      </c:catAx>
      <c:valAx>
        <c:axId val="758420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5841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[PEDIDOS-FOLLOW_UP-CLIENTES GUATEMALA.xlsx]VOL-VALOR - AVRG PRICE!TablaDinámica3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441275260172898E-2"/>
          <c:y val="0.18315467812900199"/>
          <c:w val="0.75632795550905785"/>
          <c:h val="0.50082493311524467"/>
        </c:manualLayout>
      </c:layout>
      <c:barChart>
        <c:barDir val="col"/>
        <c:grouping val="stacked"/>
        <c:varyColors val="0"/>
        <c:ser>
          <c:idx val="0"/>
          <c:order val="0"/>
          <c:tx>
            <c:strRef>
              <c:f>'VOL-VALOR - AVRG PRICE'!$B$3:$B$4</c:f>
              <c:strCache>
                <c:ptCount val="1"/>
                <c:pt idx="0">
                  <c:v>Jan-26</c:v>
                </c:pt>
              </c:strCache>
            </c:strRef>
          </c:tx>
          <c:spPr>
            <a:solidFill>
              <a:schemeClr val="accent1"/>
            </a:solidFill>
            <a:ln>
              <a:noFill/>
            </a:ln>
            <a:effectLst/>
          </c:spPr>
          <c:invertIfNegative val="0"/>
          <c:cat>
            <c:strRef>
              <c:f>'VOL-VALOR - AVRG PRICE'!$A$5:$A$20</c:f>
              <c:strCache>
                <c:ptCount val="15"/>
                <c:pt idx="0">
                  <c:v>Alto Confort</c:v>
                </c:pt>
                <c:pt idx="1">
                  <c:v>Camas Century</c:v>
                </c:pt>
                <c:pt idx="2">
                  <c:v>Camas Florida Honduras</c:v>
                </c:pt>
                <c:pt idx="3">
                  <c:v>Fadessa</c:v>
                </c:pt>
                <c:pt idx="4">
                  <c:v>INDUSTRIAS CAPRI</c:v>
                </c:pt>
                <c:pt idx="5">
                  <c:v>POLY FIBRAS</c:v>
                </c:pt>
                <c:pt idx="6">
                  <c:v>PROHFOAM</c:v>
                </c:pt>
                <c:pt idx="7">
                  <c:v>RELAXTECH INTERNACIONAL-JIRON</c:v>
                </c:pt>
                <c:pt idx="8">
                  <c:v>Ultra Industrias</c:v>
                </c:pt>
                <c:pt idx="9">
                  <c:v>Facenco Guatemala</c:v>
                </c:pt>
                <c:pt idx="10">
                  <c:v>American Textile Co</c:v>
                </c:pt>
                <c:pt idx="11">
                  <c:v>Dreams</c:v>
                </c:pt>
                <c:pt idx="12">
                  <c:v>Camas Florida GT</c:v>
                </c:pt>
                <c:pt idx="13">
                  <c:v>CAMAS Y RESORTES NICARAGUA (C. KAREN)</c:v>
                </c:pt>
                <c:pt idx="14">
                  <c:v>Sueñolandia</c:v>
                </c:pt>
              </c:strCache>
            </c:strRef>
          </c:cat>
          <c:val>
            <c:numRef>
              <c:f>'VOL-VALOR - AVRG PRICE'!$B$5:$B$20</c:f>
              <c:numCache>
                <c:formatCode>#,##0</c:formatCode>
                <c:ptCount val="15"/>
                <c:pt idx="2">
                  <c:v>1200</c:v>
                </c:pt>
                <c:pt idx="3">
                  <c:v>15000</c:v>
                </c:pt>
                <c:pt idx="6">
                  <c:v>7650</c:v>
                </c:pt>
                <c:pt idx="9">
                  <c:v>3400</c:v>
                </c:pt>
                <c:pt idx="12">
                  <c:v>1000</c:v>
                </c:pt>
              </c:numCache>
            </c:numRef>
          </c:val>
          <c:extLst>
            <c:ext xmlns:c16="http://schemas.microsoft.com/office/drawing/2014/chart" uri="{C3380CC4-5D6E-409C-BE32-E72D297353CC}">
              <c16:uniqueId val="{00000000-65D7-4296-BB33-29FF72213E81}"/>
            </c:ext>
          </c:extLst>
        </c:ser>
        <c:ser>
          <c:idx val="1"/>
          <c:order val="1"/>
          <c:tx>
            <c:strRef>
              <c:f>'VOL-VALOR - AVRG PRICE'!$C$3:$C$4</c:f>
              <c:strCache>
                <c:ptCount val="1"/>
                <c:pt idx="0">
                  <c:v>fev-26</c:v>
                </c:pt>
              </c:strCache>
            </c:strRef>
          </c:tx>
          <c:spPr>
            <a:solidFill>
              <a:schemeClr val="accent2"/>
            </a:solidFill>
            <a:ln>
              <a:noFill/>
            </a:ln>
            <a:effectLst/>
          </c:spPr>
          <c:invertIfNegative val="0"/>
          <c:cat>
            <c:strRef>
              <c:f>'VOL-VALOR - AVRG PRICE'!$A$5:$A$20</c:f>
              <c:strCache>
                <c:ptCount val="15"/>
                <c:pt idx="0">
                  <c:v>Alto Confort</c:v>
                </c:pt>
                <c:pt idx="1">
                  <c:v>Camas Century</c:v>
                </c:pt>
                <c:pt idx="2">
                  <c:v>Camas Florida Honduras</c:v>
                </c:pt>
                <c:pt idx="3">
                  <c:v>Fadessa</c:v>
                </c:pt>
                <c:pt idx="4">
                  <c:v>INDUSTRIAS CAPRI</c:v>
                </c:pt>
                <c:pt idx="5">
                  <c:v>POLY FIBRAS</c:v>
                </c:pt>
                <c:pt idx="6">
                  <c:v>PROHFOAM</c:v>
                </c:pt>
                <c:pt idx="7">
                  <c:v>RELAXTECH INTERNACIONAL-JIRON</c:v>
                </c:pt>
                <c:pt idx="8">
                  <c:v>Ultra Industrias</c:v>
                </c:pt>
                <c:pt idx="9">
                  <c:v>Facenco Guatemala</c:v>
                </c:pt>
                <c:pt idx="10">
                  <c:v>American Textile Co</c:v>
                </c:pt>
                <c:pt idx="11">
                  <c:v>Dreams</c:v>
                </c:pt>
                <c:pt idx="12">
                  <c:v>Camas Florida GT</c:v>
                </c:pt>
                <c:pt idx="13">
                  <c:v>CAMAS Y RESORTES NICARAGUA (C. KAREN)</c:v>
                </c:pt>
                <c:pt idx="14">
                  <c:v>Sueñolandia</c:v>
                </c:pt>
              </c:strCache>
            </c:strRef>
          </c:cat>
          <c:val>
            <c:numRef>
              <c:f>'VOL-VALOR - AVRG PRICE'!$C$5:$C$20</c:f>
              <c:numCache>
                <c:formatCode>#,##0</c:formatCode>
                <c:ptCount val="15"/>
                <c:pt idx="0">
                  <c:v>4500</c:v>
                </c:pt>
                <c:pt idx="8">
                  <c:v>12000</c:v>
                </c:pt>
                <c:pt idx="9">
                  <c:v>4000</c:v>
                </c:pt>
              </c:numCache>
            </c:numRef>
          </c:val>
          <c:extLst>
            <c:ext xmlns:c16="http://schemas.microsoft.com/office/drawing/2014/chart" uri="{C3380CC4-5D6E-409C-BE32-E72D297353CC}">
              <c16:uniqueId val="{00000000-CF4E-44ED-A1BD-0B8E08496A3F}"/>
            </c:ext>
          </c:extLst>
        </c:ser>
        <c:ser>
          <c:idx val="2"/>
          <c:order val="2"/>
          <c:tx>
            <c:strRef>
              <c:f>'VOL-VALOR - AVRG PRICE'!$D$3:$D$4</c:f>
              <c:strCache>
                <c:ptCount val="1"/>
                <c:pt idx="0">
                  <c:v>mar-26</c:v>
                </c:pt>
              </c:strCache>
            </c:strRef>
          </c:tx>
          <c:spPr>
            <a:solidFill>
              <a:schemeClr val="accent3"/>
            </a:solidFill>
            <a:ln>
              <a:noFill/>
            </a:ln>
            <a:effectLst/>
          </c:spPr>
          <c:invertIfNegative val="0"/>
          <c:cat>
            <c:strRef>
              <c:f>'VOL-VALOR - AVRG PRICE'!$A$5:$A$20</c:f>
              <c:strCache>
                <c:ptCount val="15"/>
                <c:pt idx="0">
                  <c:v>Alto Confort</c:v>
                </c:pt>
                <c:pt idx="1">
                  <c:v>Camas Century</c:v>
                </c:pt>
                <c:pt idx="2">
                  <c:v>Camas Florida Honduras</c:v>
                </c:pt>
                <c:pt idx="3">
                  <c:v>Fadessa</c:v>
                </c:pt>
                <c:pt idx="4">
                  <c:v>INDUSTRIAS CAPRI</c:v>
                </c:pt>
                <c:pt idx="5">
                  <c:v>POLY FIBRAS</c:v>
                </c:pt>
                <c:pt idx="6">
                  <c:v>PROHFOAM</c:v>
                </c:pt>
                <c:pt idx="7">
                  <c:v>RELAXTECH INTERNACIONAL-JIRON</c:v>
                </c:pt>
                <c:pt idx="8">
                  <c:v>Ultra Industrias</c:v>
                </c:pt>
                <c:pt idx="9">
                  <c:v>Facenco Guatemala</c:v>
                </c:pt>
                <c:pt idx="10">
                  <c:v>American Textile Co</c:v>
                </c:pt>
                <c:pt idx="11">
                  <c:v>Dreams</c:v>
                </c:pt>
                <c:pt idx="12">
                  <c:v>Camas Florida GT</c:v>
                </c:pt>
                <c:pt idx="13">
                  <c:v>CAMAS Y RESORTES NICARAGUA (C. KAREN)</c:v>
                </c:pt>
                <c:pt idx="14">
                  <c:v>Sueñolandia</c:v>
                </c:pt>
              </c:strCache>
            </c:strRef>
          </c:cat>
          <c:val>
            <c:numRef>
              <c:f>'VOL-VALOR - AVRG PRICE'!$D$5:$D$20</c:f>
              <c:numCache>
                <c:formatCode>#,##0</c:formatCode>
                <c:ptCount val="15"/>
                <c:pt idx="2">
                  <c:v>1600</c:v>
                </c:pt>
                <c:pt idx="3">
                  <c:v>31000</c:v>
                </c:pt>
                <c:pt idx="7">
                  <c:v>10000</c:v>
                </c:pt>
                <c:pt idx="8">
                  <c:v>19000</c:v>
                </c:pt>
                <c:pt idx="9">
                  <c:v>24200</c:v>
                </c:pt>
                <c:pt idx="10">
                  <c:v>30000</c:v>
                </c:pt>
                <c:pt idx="11">
                  <c:v>3300</c:v>
                </c:pt>
                <c:pt idx="12">
                  <c:v>3500</c:v>
                </c:pt>
              </c:numCache>
            </c:numRef>
          </c:val>
          <c:extLst>
            <c:ext xmlns:c16="http://schemas.microsoft.com/office/drawing/2014/chart" uri="{C3380CC4-5D6E-409C-BE32-E72D297353CC}">
              <c16:uniqueId val="{00000001-CF4E-44ED-A1BD-0B8E08496A3F}"/>
            </c:ext>
          </c:extLst>
        </c:ser>
        <c:ser>
          <c:idx val="3"/>
          <c:order val="3"/>
          <c:tx>
            <c:strRef>
              <c:f>'VOL-VALOR - AVRG PRICE'!$E$3:$E$4</c:f>
              <c:strCache>
                <c:ptCount val="1"/>
                <c:pt idx="0">
                  <c:v>abr-26</c:v>
                </c:pt>
              </c:strCache>
            </c:strRef>
          </c:tx>
          <c:spPr>
            <a:solidFill>
              <a:schemeClr val="accent4"/>
            </a:solidFill>
            <a:ln>
              <a:noFill/>
            </a:ln>
            <a:effectLst/>
          </c:spPr>
          <c:invertIfNegative val="0"/>
          <c:cat>
            <c:strRef>
              <c:f>'VOL-VALOR - AVRG PRICE'!$A$5:$A$20</c:f>
              <c:strCache>
                <c:ptCount val="15"/>
                <c:pt idx="0">
                  <c:v>Alto Confort</c:v>
                </c:pt>
                <c:pt idx="1">
                  <c:v>Camas Century</c:v>
                </c:pt>
                <c:pt idx="2">
                  <c:v>Camas Florida Honduras</c:v>
                </c:pt>
                <c:pt idx="3">
                  <c:v>Fadessa</c:v>
                </c:pt>
                <c:pt idx="4">
                  <c:v>INDUSTRIAS CAPRI</c:v>
                </c:pt>
                <c:pt idx="5">
                  <c:v>POLY FIBRAS</c:v>
                </c:pt>
                <c:pt idx="6">
                  <c:v>PROHFOAM</c:v>
                </c:pt>
                <c:pt idx="7">
                  <c:v>RELAXTECH INTERNACIONAL-JIRON</c:v>
                </c:pt>
                <c:pt idx="8">
                  <c:v>Ultra Industrias</c:v>
                </c:pt>
                <c:pt idx="9">
                  <c:v>Facenco Guatemala</c:v>
                </c:pt>
                <c:pt idx="10">
                  <c:v>American Textile Co</c:v>
                </c:pt>
                <c:pt idx="11">
                  <c:v>Dreams</c:v>
                </c:pt>
                <c:pt idx="12">
                  <c:v>Camas Florida GT</c:v>
                </c:pt>
                <c:pt idx="13">
                  <c:v>CAMAS Y RESORTES NICARAGUA (C. KAREN)</c:v>
                </c:pt>
                <c:pt idx="14">
                  <c:v>Sueñolandia</c:v>
                </c:pt>
              </c:strCache>
            </c:strRef>
          </c:cat>
          <c:val>
            <c:numRef>
              <c:f>'VOL-VALOR - AVRG PRICE'!$E$5:$E$20</c:f>
              <c:numCache>
                <c:formatCode>#,##0</c:formatCode>
                <c:ptCount val="15"/>
                <c:pt idx="3">
                  <c:v>14900</c:v>
                </c:pt>
                <c:pt idx="4">
                  <c:v>15000</c:v>
                </c:pt>
                <c:pt idx="8">
                  <c:v>13500</c:v>
                </c:pt>
                <c:pt idx="9">
                  <c:v>3700</c:v>
                </c:pt>
                <c:pt idx="12">
                  <c:v>13500</c:v>
                </c:pt>
                <c:pt idx="13">
                  <c:v>4500</c:v>
                </c:pt>
              </c:numCache>
            </c:numRef>
          </c:val>
          <c:extLst>
            <c:ext xmlns:c16="http://schemas.microsoft.com/office/drawing/2014/chart" uri="{C3380CC4-5D6E-409C-BE32-E72D297353CC}">
              <c16:uniqueId val="{00000002-CF4E-44ED-A1BD-0B8E08496A3F}"/>
            </c:ext>
          </c:extLst>
        </c:ser>
        <c:ser>
          <c:idx val="4"/>
          <c:order val="4"/>
          <c:tx>
            <c:strRef>
              <c:f>'VOL-VALOR - AVRG PRICE'!$F$3:$F$4</c:f>
              <c:strCache>
                <c:ptCount val="1"/>
                <c:pt idx="0">
                  <c:v>may-26</c:v>
                </c:pt>
              </c:strCache>
            </c:strRef>
          </c:tx>
          <c:spPr>
            <a:solidFill>
              <a:schemeClr val="accent5"/>
            </a:solidFill>
            <a:ln>
              <a:noFill/>
            </a:ln>
            <a:effectLst/>
          </c:spPr>
          <c:invertIfNegative val="0"/>
          <c:cat>
            <c:strRef>
              <c:f>'VOL-VALOR - AVRG PRICE'!$A$5:$A$20</c:f>
              <c:strCache>
                <c:ptCount val="15"/>
                <c:pt idx="0">
                  <c:v>Alto Confort</c:v>
                </c:pt>
                <c:pt idx="1">
                  <c:v>Camas Century</c:v>
                </c:pt>
                <c:pt idx="2">
                  <c:v>Camas Florida Honduras</c:v>
                </c:pt>
                <c:pt idx="3">
                  <c:v>Fadessa</c:v>
                </c:pt>
                <c:pt idx="4">
                  <c:v>INDUSTRIAS CAPRI</c:v>
                </c:pt>
                <c:pt idx="5">
                  <c:v>POLY FIBRAS</c:v>
                </c:pt>
                <c:pt idx="6">
                  <c:v>PROHFOAM</c:v>
                </c:pt>
                <c:pt idx="7">
                  <c:v>RELAXTECH INTERNACIONAL-JIRON</c:v>
                </c:pt>
                <c:pt idx="8">
                  <c:v>Ultra Industrias</c:v>
                </c:pt>
                <c:pt idx="9">
                  <c:v>Facenco Guatemala</c:v>
                </c:pt>
                <c:pt idx="10">
                  <c:v>American Textile Co</c:v>
                </c:pt>
                <c:pt idx="11">
                  <c:v>Dreams</c:v>
                </c:pt>
                <c:pt idx="12">
                  <c:v>Camas Florida GT</c:v>
                </c:pt>
                <c:pt idx="13">
                  <c:v>CAMAS Y RESORTES NICARAGUA (C. KAREN)</c:v>
                </c:pt>
                <c:pt idx="14">
                  <c:v>Sueñolandia</c:v>
                </c:pt>
              </c:strCache>
            </c:strRef>
          </c:cat>
          <c:val>
            <c:numRef>
              <c:f>'VOL-VALOR - AVRG PRICE'!$F$5:$F$20</c:f>
              <c:numCache>
                <c:formatCode>#,##0</c:formatCode>
                <c:ptCount val="15"/>
                <c:pt idx="5">
                  <c:v>1000</c:v>
                </c:pt>
                <c:pt idx="6">
                  <c:v>7650</c:v>
                </c:pt>
                <c:pt idx="9">
                  <c:v>16500</c:v>
                </c:pt>
              </c:numCache>
            </c:numRef>
          </c:val>
          <c:extLst>
            <c:ext xmlns:c16="http://schemas.microsoft.com/office/drawing/2014/chart" uri="{C3380CC4-5D6E-409C-BE32-E72D297353CC}">
              <c16:uniqueId val="{00000003-CF4E-44ED-A1BD-0B8E08496A3F}"/>
            </c:ext>
          </c:extLst>
        </c:ser>
        <c:ser>
          <c:idx val="5"/>
          <c:order val="5"/>
          <c:tx>
            <c:strRef>
              <c:f>'VOL-VALOR - AVRG PRICE'!$G$3:$G$4</c:f>
              <c:strCache>
                <c:ptCount val="1"/>
                <c:pt idx="0">
                  <c:v>jun-26</c:v>
                </c:pt>
              </c:strCache>
            </c:strRef>
          </c:tx>
          <c:spPr>
            <a:solidFill>
              <a:schemeClr val="accent6"/>
            </a:solidFill>
            <a:ln>
              <a:noFill/>
            </a:ln>
            <a:effectLst/>
          </c:spPr>
          <c:invertIfNegative val="0"/>
          <c:cat>
            <c:strRef>
              <c:f>'VOL-VALOR - AVRG PRICE'!$A$5:$A$20</c:f>
              <c:strCache>
                <c:ptCount val="15"/>
                <c:pt idx="0">
                  <c:v>Alto Confort</c:v>
                </c:pt>
                <c:pt idx="1">
                  <c:v>Camas Century</c:v>
                </c:pt>
                <c:pt idx="2">
                  <c:v>Camas Florida Honduras</c:v>
                </c:pt>
                <c:pt idx="3">
                  <c:v>Fadessa</c:v>
                </c:pt>
                <c:pt idx="4">
                  <c:v>INDUSTRIAS CAPRI</c:v>
                </c:pt>
                <c:pt idx="5">
                  <c:v>POLY FIBRAS</c:v>
                </c:pt>
                <c:pt idx="6">
                  <c:v>PROHFOAM</c:v>
                </c:pt>
                <c:pt idx="7">
                  <c:v>RELAXTECH INTERNACIONAL-JIRON</c:v>
                </c:pt>
                <c:pt idx="8">
                  <c:v>Ultra Industrias</c:v>
                </c:pt>
                <c:pt idx="9">
                  <c:v>Facenco Guatemala</c:v>
                </c:pt>
                <c:pt idx="10">
                  <c:v>American Textile Co</c:v>
                </c:pt>
                <c:pt idx="11">
                  <c:v>Dreams</c:v>
                </c:pt>
                <c:pt idx="12">
                  <c:v>Camas Florida GT</c:v>
                </c:pt>
                <c:pt idx="13">
                  <c:v>CAMAS Y RESORTES NICARAGUA (C. KAREN)</c:v>
                </c:pt>
                <c:pt idx="14">
                  <c:v>Sueñolandia</c:v>
                </c:pt>
              </c:strCache>
            </c:strRef>
          </c:cat>
          <c:val>
            <c:numRef>
              <c:f>'VOL-VALOR - AVRG PRICE'!$G$5:$G$20</c:f>
              <c:numCache>
                <c:formatCode>#,##0</c:formatCode>
                <c:ptCount val="15"/>
                <c:pt idx="0">
                  <c:v>1200</c:v>
                </c:pt>
                <c:pt idx="2">
                  <c:v>2200</c:v>
                </c:pt>
                <c:pt idx="3">
                  <c:v>47900</c:v>
                </c:pt>
                <c:pt idx="5">
                  <c:v>4000</c:v>
                </c:pt>
                <c:pt idx="8">
                  <c:v>30000</c:v>
                </c:pt>
                <c:pt idx="12">
                  <c:v>3750</c:v>
                </c:pt>
                <c:pt idx="14">
                  <c:v>4600</c:v>
                </c:pt>
              </c:numCache>
            </c:numRef>
          </c:val>
          <c:extLst>
            <c:ext xmlns:c16="http://schemas.microsoft.com/office/drawing/2014/chart" uri="{C3380CC4-5D6E-409C-BE32-E72D297353CC}">
              <c16:uniqueId val="{00000004-CF4E-44ED-A1BD-0B8E08496A3F}"/>
            </c:ext>
          </c:extLst>
        </c:ser>
        <c:ser>
          <c:idx val="6"/>
          <c:order val="6"/>
          <c:tx>
            <c:strRef>
              <c:f>'VOL-VALOR - AVRG PRICE'!$H$3:$H$4</c:f>
              <c:strCache>
                <c:ptCount val="1"/>
                <c:pt idx="0">
                  <c:v>jul-26</c:v>
                </c:pt>
              </c:strCache>
            </c:strRef>
          </c:tx>
          <c:spPr>
            <a:solidFill>
              <a:schemeClr val="accent1">
                <a:lumMod val="60000"/>
              </a:schemeClr>
            </a:solidFill>
            <a:ln>
              <a:noFill/>
            </a:ln>
            <a:effectLst/>
          </c:spPr>
          <c:invertIfNegative val="0"/>
          <c:cat>
            <c:strRef>
              <c:f>'VOL-VALOR - AVRG PRICE'!$A$5:$A$20</c:f>
              <c:strCache>
                <c:ptCount val="15"/>
                <c:pt idx="0">
                  <c:v>Alto Confort</c:v>
                </c:pt>
                <c:pt idx="1">
                  <c:v>Camas Century</c:v>
                </c:pt>
                <c:pt idx="2">
                  <c:v>Camas Florida Honduras</c:v>
                </c:pt>
                <c:pt idx="3">
                  <c:v>Fadessa</c:v>
                </c:pt>
                <c:pt idx="4">
                  <c:v>INDUSTRIAS CAPRI</c:v>
                </c:pt>
                <c:pt idx="5">
                  <c:v>POLY FIBRAS</c:v>
                </c:pt>
                <c:pt idx="6">
                  <c:v>PROHFOAM</c:v>
                </c:pt>
                <c:pt idx="7">
                  <c:v>RELAXTECH INTERNACIONAL-JIRON</c:v>
                </c:pt>
                <c:pt idx="8">
                  <c:v>Ultra Industrias</c:v>
                </c:pt>
                <c:pt idx="9">
                  <c:v>Facenco Guatemala</c:v>
                </c:pt>
                <c:pt idx="10">
                  <c:v>American Textile Co</c:v>
                </c:pt>
                <c:pt idx="11">
                  <c:v>Dreams</c:v>
                </c:pt>
                <c:pt idx="12">
                  <c:v>Camas Florida GT</c:v>
                </c:pt>
                <c:pt idx="13">
                  <c:v>CAMAS Y RESORTES NICARAGUA (C. KAREN)</c:v>
                </c:pt>
                <c:pt idx="14">
                  <c:v>Sueñolandia</c:v>
                </c:pt>
              </c:strCache>
            </c:strRef>
          </c:cat>
          <c:val>
            <c:numRef>
              <c:f>'VOL-VALOR - AVRG PRICE'!$H$5:$H$20</c:f>
              <c:numCache>
                <c:formatCode>#,##0</c:formatCode>
                <c:ptCount val="15"/>
                <c:pt idx="0">
                  <c:v>1200</c:v>
                </c:pt>
                <c:pt idx="1">
                  <c:v>2700</c:v>
                </c:pt>
                <c:pt idx="8">
                  <c:v>22500</c:v>
                </c:pt>
              </c:numCache>
            </c:numRef>
          </c:val>
          <c:extLst>
            <c:ext xmlns:c16="http://schemas.microsoft.com/office/drawing/2014/chart" uri="{C3380CC4-5D6E-409C-BE32-E72D297353CC}">
              <c16:uniqueId val="{00000000-5EAB-4DB0-9BD8-D332AA98C50B}"/>
            </c:ext>
          </c:extLst>
        </c:ser>
        <c:ser>
          <c:idx val="7"/>
          <c:order val="7"/>
          <c:tx>
            <c:strRef>
              <c:f>'VOL-VALOR - AVRG PRICE'!$I$3:$I$4</c:f>
              <c:strCache>
                <c:ptCount val="1"/>
                <c:pt idx="0">
                  <c:v>ago-26</c:v>
                </c:pt>
              </c:strCache>
            </c:strRef>
          </c:tx>
          <c:spPr>
            <a:solidFill>
              <a:schemeClr val="accent2">
                <a:lumMod val="60000"/>
              </a:schemeClr>
            </a:solidFill>
            <a:ln>
              <a:noFill/>
            </a:ln>
            <a:effectLst/>
          </c:spPr>
          <c:invertIfNegative val="0"/>
          <c:cat>
            <c:strRef>
              <c:f>'VOL-VALOR - AVRG PRICE'!$A$5:$A$20</c:f>
              <c:strCache>
                <c:ptCount val="15"/>
                <c:pt idx="0">
                  <c:v>Alto Confort</c:v>
                </c:pt>
                <c:pt idx="1">
                  <c:v>Camas Century</c:v>
                </c:pt>
                <c:pt idx="2">
                  <c:v>Camas Florida Honduras</c:v>
                </c:pt>
                <c:pt idx="3">
                  <c:v>Fadessa</c:v>
                </c:pt>
                <c:pt idx="4">
                  <c:v>INDUSTRIAS CAPRI</c:v>
                </c:pt>
                <c:pt idx="5">
                  <c:v>POLY FIBRAS</c:v>
                </c:pt>
                <c:pt idx="6">
                  <c:v>PROHFOAM</c:v>
                </c:pt>
                <c:pt idx="7">
                  <c:v>RELAXTECH INTERNACIONAL-JIRON</c:v>
                </c:pt>
                <c:pt idx="8">
                  <c:v>Ultra Industrias</c:v>
                </c:pt>
                <c:pt idx="9">
                  <c:v>Facenco Guatemala</c:v>
                </c:pt>
                <c:pt idx="10">
                  <c:v>American Textile Co</c:v>
                </c:pt>
                <c:pt idx="11">
                  <c:v>Dreams</c:v>
                </c:pt>
                <c:pt idx="12">
                  <c:v>Camas Florida GT</c:v>
                </c:pt>
                <c:pt idx="13">
                  <c:v>CAMAS Y RESORTES NICARAGUA (C. KAREN)</c:v>
                </c:pt>
                <c:pt idx="14">
                  <c:v>Sueñolandia</c:v>
                </c:pt>
              </c:strCache>
            </c:strRef>
          </c:cat>
          <c:val>
            <c:numRef>
              <c:f>'VOL-VALOR - AVRG PRICE'!$I$5:$I$20</c:f>
              <c:numCache>
                <c:formatCode>#,##0</c:formatCode>
                <c:ptCount val="15"/>
                <c:pt idx="2">
                  <c:v>4000</c:v>
                </c:pt>
                <c:pt idx="3">
                  <c:v>3100</c:v>
                </c:pt>
                <c:pt idx="4">
                  <c:v>10690</c:v>
                </c:pt>
                <c:pt idx="9">
                  <c:v>25600</c:v>
                </c:pt>
              </c:numCache>
            </c:numRef>
          </c:val>
          <c:extLst>
            <c:ext xmlns:c16="http://schemas.microsoft.com/office/drawing/2014/chart" uri="{C3380CC4-5D6E-409C-BE32-E72D297353CC}">
              <c16:uniqueId val="{00000000-3C4D-4A5F-B588-8BE6BE0670E8}"/>
            </c:ext>
          </c:extLst>
        </c:ser>
        <c:ser>
          <c:idx val="8"/>
          <c:order val="8"/>
          <c:tx>
            <c:strRef>
              <c:f>'VOL-VALOR - AVRG PRICE'!$J$3:$J$4</c:f>
              <c:strCache>
                <c:ptCount val="1"/>
                <c:pt idx="0">
                  <c:v>sep-26</c:v>
                </c:pt>
              </c:strCache>
            </c:strRef>
          </c:tx>
          <c:spPr>
            <a:solidFill>
              <a:schemeClr val="accent3">
                <a:lumMod val="60000"/>
              </a:schemeClr>
            </a:solidFill>
            <a:ln>
              <a:noFill/>
            </a:ln>
            <a:effectLst/>
          </c:spPr>
          <c:invertIfNegative val="0"/>
          <c:cat>
            <c:strRef>
              <c:f>'VOL-VALOR - AVRG PRICE'!$A$5:$A$20</c:f>
              <c:strCache>
                <c:ptCount val="15"/>
                <c:pt idx="0">
                  <c:v>Alto Confort</c:v>
                </c:pt>
                <c:pt idx="1">
                  <c:v>Camas Century</c:v>
                </c:pt>
                <c:pt idx="2">
                  <c:v>Camas Florida Honduras</c:v>
                </c:pt>
                <c:pt idx="3">
                  <c:v>Fadessa</c:v>
                </c:pt>
                <c:pt idx="4">
                  <c:v>INDUSTRIAS CAPRI</c:v>
                </c:pt>
                <c:pt idx="5">
                  <c:v>POLY FIBRAS</c:v>
                </c:pt>
                <c:pt idx="6">
                  <c:v>PROHFOAM</c:v>
                </c:pt>
                <c:pt idx="7">
                  <c:v>RELAXTECH INTERNACIONAL-JIRON</c:v>
                </c:pt>
                <c:pt idx="8">
                  <c:v>Ultra Industrias</c:v>
                </c:pt>
                <c:pt idx="9">
                  <c:v>Facenco Guatemala</c:v>
                </c:pt>
                <c:pt idx="10">
                  <c:v>American Textile Co</c:v>
                </c:pt>
                <c:pt idx="11">
                  <c:v>Dreams</c:v>
                </c:pt>
                <c:pt idx="12">
                  <c:v>Camas Florida GT</c:v>
                </c:pt>
                <c:pt idx="13">
                  <c:v>CAMAS Y RESORTES NICARAGUA (C. KAREN)</c:v>
                </c:pt>
                <c:pt idx="14">
                  <c:v>Sueñolandia</c:v>
                </c:pt>
              </c:strCache>
            </c:strRef>
          </c:cat>
          <c:val>
            <c:numRef>
              <c:f>'VOL-VALOR - AVRG PRICE'!$J$5:$J$20</c:f>
              <c:numCache>
                <c:formatCode>#,##0</c:formatCode>
                <c:ptCount val="15"/>
                <c:pt idx="0">
                  <c:v>3700</c:v>
                </c:pt>
                <c:pt idx="3">
                  <c:v>7300</c:v>
                </c:pt>
                <c:pt idx="4">
                  <c:v>15000</c:v>
                </c:pt>
                <c:pt idx="9">
                  <c:v>3900</c:v>
                </c:pt>
              </c:numCache>
            </c:numRef>
          </c:val>
          <c:extLst>
            <c:ext xmlns:c16="http://schemas.microsoft.com/office/drawing/2014/chart" uri="{C3380CC4-5D6E-409C-BE32-E72D297353CC}">
              <c16:uniqueId val="{00000000-7E35-494D-AE42-AF3EC33A3459}"/>
            </c:ext>
          </c:extLst>
        </c:ser>
        <c:ser>
          <c:idx val="9"/>
          <c:order val="9"/>
          <c:tx>
            <c:strRef>
              <c:f>'VOL-VALOR - AVRG PRICE'!$K$3:$K$4</c:f>
              <c:strCache>
                <c:ptCount val="1"/>
                <c:pt idx="0">
                  <c:v>oct-26</c:v>
                </c:pt>
              </c:strCache>
            </c:strRef>
          </c:tx>
          <c:spPr>
            <a:solidFill>
              <a:schemeClr val="accent4">
                <a:lumMod val="60000"/>
              </a:schemeClr>
            </a:solidFill>
            <a:ln>
              <a:noFill/>
            </a:ln>
            <a:effectLst/>
          </c:spPr>
          <c:invertIfNegative val="0"/>
          <c:cat>
            <c:strRef>
              <c:f>'VOL-VALOR - AVRG PRICE'!$A$5:$A$20</c:f>
              <c:strCache>
                <c:ptCount val="15"/>
                <c:pt idx="0">
                  <c:v>Alto Confort</c:v>
                </c:pt>
                <c:pt idx="1">
                  <c:v>Camas Century</c:v>
                </c:pt>
                <c:pt idx="2">
                  <c:v>Camas Florida Honduras</c:v>
                </c:pt>
                <c:pt idx="3">
                  <c:v>Fadessa</c:v>
                </c:pt>
                <c:pt idx="4">
                  <c:v>INDUSTRIAS CAPRI</c:v>
                </c:pt>
                <c:pt idx="5">
                  <c:v>POLY FIBRAS</c:v>
                </c:pt>
                <c:pt idx="6">
                  <c:v>PROHFOAM</c:v>
                </c:pt>
                <c:pt idx="7">
                  <c:v>RELAXTECH INTERNACIONAL-JIRON</c:v>
                </c:pt>
                <c:pt idx="8">
                  <c:v>Ultra Industrias</c:v>
                </c:pt>
                <c:pt idx="9">
                  <c:v>Facenco Guatemala</c:v>
                </c:pt>
                <c:pt idx="10">
                  <c:v>American Textile Co</c:v>
                </c:pt>
                <c:pt idx="11">
                  <c:v>Dreams</c:v>
                </c:pt>
                <c:pt idx="12">
                  <c:v>Camas Florida GT</c:v>
                </c:pt>
                <c:pt idx="13">
                  <c:v>CAMAS Y RESORTES NICARAGUA (C. KAREN)</c:v>
                </c:pt>
                <c:pt idx="14">
                  <c:v>Sueñolandia</c:v>
                </c:pt>
              </c:strCache>
            </c:strRef>
          </c:cat>
          <c:val>
            <c:numRef>
              <c:f>'VOL-VALOR - AVRG PRICE'!$K$5:$K$20</c:f>
              <c:numCache>
                <c:formatCode>#,##0</c:formatCode>
                <c:ptCount val="15"/>
                <c:pt idx="2">
                  <c:v>1600</c:v>
                </c:pt>
                <c:pt idx="3">
                  <c:v>5500</c:v>
                </c:pt>
                <c:pt idx="8">
                  <c:v>25000</c:v>
                </c:pt>
                <c:pt idx="9">
                  <c:v>3000</c:v>
                </c:pt>
              </c:numCache>
            </c:numRef>
          </c:val>
          <c:extLst>
            <c:ext xmlns:c16="http://schemas.microsoft.com/office/drawing/2014/chart" uri="{C3380CC4-5D6E-409C-BE32-E72D297353CC}">
              <c16:uniqueId val="{00000000-5041-4D85-AAE7-A3861E7BC6B3}"/>
            </c:ext>
          </c:extLst>
        </c:ser>
        <c:dLbls>
          <c:showLegendKey val="0"/>
          <c:showVal val="0"/>
          <c:showCatName val="0"/>
          <c:showSerName val="0"/>
          <c:showPercent val="0"/>
          <c:showBubbleSize val="0"/>
        </c:dLbls>
        <c:gapWidth val="150"/>
        <c:overlap val="100"/>
        <c:axId val="114544752"/>
        <c:axId val="114548592"/>
      </c:barChart>
      <c:catAx>
        <c:axId val="11454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4548592"/>
        <c:crosses val="autoZero"/>
        <c:auto val="1"/>
        <c:lblAlgn val="ctr"/>
        <c:lblOffset val="100"/>
        <c:noMultiLvlLbl val="0"/>
      </c:catAx>
      <c:valAx>
        <c:axId val="1145485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454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21</xdr:col>
      <xdr:colOff>866772</xdr:colOff>
      <xdr:row>30</xdr:row>
      <xdr:rowOff>66674</xdr:rowOff>
    </xdr:from>
    <xdr:to>
      <xdr:col>37</xdr:col>
      <xdr:colOff>485775</xdr:colOff>
      <xdr:row>54</xdr:row>
      <xdr:rowOff>104775</xdr:rowOff>
    </xdr:to>
    <xdr:graphicFrame macro="">
      <xdr:nvGraphicFramePr>
        <xdr:cNvPr id="3" name="Gráfico 2">
          <a:extLst>
            <a:ext uri="{FF2B5EF4-FFF2-40B4-BE49-F238E27FC236}">
              <a16:creationId xmlns:a16="http://schemas.microsoft.com/office/drawing/2014/main" id="{656250F3-680F-FF96-86EF-5EF0607070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xdr:colOff>
      <xdr:row>30</xdr:row>
      <xdr:rowOff>57149</xdr:rowOff>
    </xdr:from>
    <xdr:to>
      <xdr:col>21</xdr:col>
      <xdr:colOff>657225</xdr:colOff>
      <xdr:row>54</xdr:row>
      <xdr:rowOff>76200</xdr:rowOff>
    </xdr:to>
    <xdr:graphicFrame macro="">
      <xdr:nvGraphicFramePr>
        <xdr:cNvPr id="4" name="Gráfico 3">
          <a:extLst>
            <a:ext uri="{FF2B5EF4-FFF2-40B4-BE49-F238E27FC236}">
              <a16:creationId xmlns:a16="http://schemas.microsoft.com/office/drawing/2014/main" id="{C8EC5CB6-0904-8E17-A477-D2094D466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83</xdr:row>
      <xdr:rowOff>0</xdr:rowOff>
    </xdr:from>
    <xdr:to>
      <xdr:col>20</xdr:col>
      <xdr:colOff>714294</xdr:colOff>
      <xdr:row>98</xdr:row>
      <xdr:rowOff>86136</xdr:rowOff>
    </xdr:to>
    <xdr:pic>
      <xdr:nvPicPr>
        <xdr:cNvPr id="2" name="Imagen 1">
          <a:extLst>
            <a:ext uri="{FF2B5EF4-FFF2-40B4-BE49-F238E27FC236}">
              <a16:creationId xmlns:a16="http://schemas.microsoft.com/office/drawing/2014/main" id="{35F8E6E2-99CE-1D06-09EE-01872169D1F3}"/>
            </a:ext>
          </a:extLst>
        </xdr:cNvPr>
        <xdr:cNvPicPr>
          <a:picLocks noChangeAspect="1"/>
        </xdr:cNvPicPr>
      </xdr:nvPicPr>
      <xdr:blipFill>
        <a:blip xmlns:r="http://schemas.openxmlformats.org/officeDocument/2006/relationships" r:embed="rId1"/>
        <a:stretch>
          <a:fillRect/>
        </a:stretch>
      </xdr:blipFill>
      <xdr:spPr>
        <a:xfrm>
          <a:off x="0" y="15706725"/>
          <a:ext cx="13070124" cy="2943636"/>
        </a:xfrm>
        <a:prstGeom prst="rect">
          <a:avLst/>
        </a:prstGeom>
      </xdr:spPr>
    </xdr:pic>
    <xdr:clientData/>
  </xdr:twoCellAnchor>
  <xdr:twoCellAnchor editAs="oneCell">
    <xdr:from>
      <xdr:col>16</xdr:col>
      <xdr:colOff>231775</xdr:colOff>
      <xdr:row>4</xdr:row>
      <xdr:rowOff>158750</xdr:rowOff>
    </xdr:from>
    <xdr:to>
      <xdr:col>33</xdr:col>
      <xdr:colOff>438069</xdr:colOff>
      <xdr:row>20</xdr:row>
      <xdr:rowOff>60736</xdr:rowOff>
    </xdr:to>
    <xdr:pic>
      <xdr:nvPicPr>
        <xdr:cNvPr id="3" name="Imagen 2">
          <a:extLst>
            <a:ext uri="{FF2B5EF4-FFF2-40B4-BE49-F238E27FC236}">
              <a16:creationId xmlns:a16="http://schemas.microsoft.com/office/drawing/2014/main" id="{12D30BAA-E4B3-C834-3398-79B558FE6F39}"/>
            </a:ext>
          </a:extLst>
        </xdr:cNvPr>
        <xdr:cNvPicPr>
          <a:picLocks noChangeAspect="1"/>
        </xdr:cNvPicPr>
      </xdr:nvPicPr>
      <xdr:blipFill>
        <a:blip xmlns:r="http://schemas.openxmlformats.org/officeDocument/2006/relationships" r:embed="rId1"/>
        <a:stretch>
          <a:fillRect/>
        </a:stretch>
      </xdr:blipFill>
      <xdr:spPr>
        <a:xfrm>
          <a:off x="9540875" y="793750"/>
          <a:ext cx="13096794" cy="28483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0</xdr:colOff>
      <xdr:row>135</xdr:row>
      <xdr:rowOff>112721</xdr:rowOff>
    </xdr:from>
    <xdr:to>
      <xdr:col>19</xdr:col>
      <xdr:colOff>470391</xdr:colOff>
      <xdr:row>155</xdr:row>
      <xdr:rowOff>171703</xdr:rowOff>
    </xdr:to>
    <xdr:pic>
      <xdr:nvPicPr>
        <xdr:cNvPr id="2" name="Imagen 1">
          <a:extLst>
            <a:ext uri="{FF2B5EF4-FFF2-40B4-BE49-F238E27FC236}">
              <a16:creationId xmlns:a16="http://schemas.microsoft.com/office/drawing/2014/main" id="{356F5A96-C35A-6469-6064-70641A6C94F7}"/>
            </a:ext>
          </a:extLst>
        </xdr:cNvPr>
        <xdr:cNvPicPr>
          <a:picLocks noChangeAspect="1"/>
        </xdr:cNvPicPr>
      </xdr:nvPicPr>
      <xdr:blipFill>
        <a:blip xmlns:r="http://schemas.openxmlformats.org/officeDocument/2006/relationships" r:embed="rId1"/>
        <a:stretch>
          <a:fillRect/>
        </a:stretch>
      </xdr:blipFill>
      <xdr:spPr>
        <a:xfrm>
          <a:off x="9353550" y="25023771"/>
          <a:ext cx="7271241" cy="37419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 Martinez" refreshedDate="45881.587272569443" createdVersion="8" refreshedVersion="8" minRefreshableVersion="3" recordCount="26" xr:uid="{46793F0C-F373-40BA-A814-DE99674872E5}">
  <cacheSource type="worksheet">
    <worksheetSource name="Tabla3"/>
  </cacheSource>
  <cacheFields count="3">
    <cacheField name="CLIENTE" numFmtId="0">
      <sharedItems count="11">
        <s v="POLY FIBRAS"/>
        <s v="RELAXTECH INTERNACIONAL"/>
        <s v="INDUSTRIAS CAPRI"/>
        <s v="Camas Florida"/>
        <s v="Camas Primiun"/>
        <s v="ZONKD"/>
        <s v="Facenco"/>
        <s v="Camas Century"/>
        <s v="Jiron Relaxtech"/>
        <s v="Fadessa"/>
        <s v="Facomsa"/>
      </sharedItems>
    </cacheField>
    <cacheField name="GRAMATURA" numFmtId="0">
      <sharedItems count="9">
        <s v="300GR"/>
        <s v="220GR"/>
        <s v="200GR"/>
        <s v="180GR"/>
        <s v="275GR"/>
        <s v="250GR"/>
        <s v="190GR"/>
        <s v="210GR"/>
        <s v="240GR"/>
      </sharedItems>
    </cacheField>
    <cacheField name="DESCRIÇ"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 Martinez" refreshedDate="45888.519265277777" createdVersion="8" refreshedVersion="8" minRefreshableVersion="3" recordCount="30" xr:uid="{EE12FE3A-12E4-4586-BFF1-F78A9150D5EC}">
  <cacheSource type="worksheet">
    <worksheetSource name="Tabela13"/>
  </cacheSource>
  <cacheFields count="11">
    <cacheField name="PRO-FORM /EXPORT INVOICE_x000a_NBR" numFmtId="0">
      <sharedItems containsMixedTypes="1" containsNumber="1" containsInteger="1" minValue="2976" maxValue="16345"/>
    </cacheField>
    <cacheField name="CLIENTE" numFmtId="0">
      <sharedItems count="14">
        <s v="POLY FIBRAS"/>
        <s v="RELAXTECH INTERNACIONAL-JIRON"/>
        <s v="INDUSTRIAS CAPRI"/>
        <s v="Camas Florida"/>
        <s v="Camas Primiun"/>
        <s v="ZONKD"/>
        <s v="Facenco"/>
        <s v="Camas Century"/>
        <s v="Fadessa"/>
        <s v="Facomsa"/>
        <s v="Camas Florida Honduras"/>
        <s v="Ultra Industrias"/>
        <s v="RELAXTECH INTERNACIONAL" u="1"/>
        <s v="Jiron Relaxtech" u="1"/>
      </sharedItems>
    </cacheField>
    <cacheField name="PAIS" numFmtId="0">
      <sharedItems/>
    </cacheField>
    <cacheField name="DATA _x000a_PRO-FORMA" numFmtId="14">
      <sharedItems containsSemiMixedTypes="0" containsNonDate="0" containsDate="1" containsString="0" minDate="2025-03-12T00:00:00" maxDate="2025-08-15T00:00:00"/>
    </cacheField>
    <cacheField name="PEDIDO TOTVS" numFmtId="0">
      <sharedItems containsSemiMixedTypes="0" containsString="0" containsNumber="1" containsInteger="1" minValue="18" maxValue="54" count="30">
        <n v="18"/>
        <n v="19"/>
        <n v="20"/>
        <n v="21"/>
        <n v="25"/>
        <n v="27"/>
        <n v="26"/>
        <n v="28"/>
        <n v="29"/>
        <n v="30"/>
        <n v="31"/>
        <n v="39"/>
        <n v="34"/>
        <n v="33"/>
        <n v="38"/>
        <n v="40"/>
        <n v="41"/>
        <n v="42"/>
        <n v="43"/>
        <n v="45"/>
        <n v="44"/>
        <n v="47"/>
        <n v="46"/>
        <n v="48"/>
        <n v="49"/>
        <n v="50"/>
        <n v="51"/>
        <n v="52"/>
        <n v="53"/>
        <n v="54"/>
      </sharedItems>
    </cacheField>
    <cacheField name="Data max envio " numFmtId="14">
      <sharedItems containsSemiMixedTypes="0" containsNonDate="0" containsDate="1" containsString="0" minDate="2025-04-11T00:00:00" maxDate="2025-09-14T00:00:00" count="22">
        <d v="2025-04-11T00:00:00"/>
        <d v="2025-06-19T00:00:00"/>
        <d v="2025-07-05T00:00:00"/>
        <d v="2025-07-06T00:00:00"/>
        <d v="2025-06-11T00:00:00"/>
        <d v="2025-07-09T00:00:00"/>
        <d v="2025-07-12T00:00:00"/>
        <d v="2025-07-19T00:00:00"/>
        <d v="2025-07-24T00:00:00"/>
        <d v="2025-06-07T00:00:00"/>
        <d v="2025-08-01T00:00:00"/>
        <d v="2025-08-07T00:00:00"/>
        <d v="2025-08-09T00:00:00"/>
        <d v="2025-08-10T00:00:00"/>
        <d v="2025-08-13T00:00:00"/>
        <d v="2025-08-15T00:00:00"/>
        <d v="2025-08-24T00:00:00"/>
        <d v="2025-08-29T00:00:00"/>
        <d v="2025-09-06T00:00:00"/>
        <d v="2025-09-11T00:00:00"/>
        <d v="2025-09-12T00:00:00"/>
        <d v="2025-09-13T00:00:00"/>
      </sharedItems>
      <fieldGroup par="10"/>
    </cacheField>
    <cacheField name="TOTAL MTS" numFmtId="0">
      <sharedItems containsSemiMixedTypes="0" containsString="0" containsNumber="1" containsInteger="1" minValue="60" maxValue="10500"/>
    </cacheField>
    <cacheField name="TOTAL US$ _x000a_PRO-FORM" numFmtId="0">
      <sharedItems containsSemiMixedTypes="0" containsString="0" containsNumber="1" minValue="118.8" maxValue="17990"/>
    </cacheField>
    <cacheField name="OBSERV." numFmtId="0">
      <sharedItems containsBlank="1"/>
    </cacheField>
    <cacheField name="Días (Data max envio )" numFmtId="0" databaseField="0">
      <fieldGroup base="5">
        <rangePr groupBy="days" startDate="2025-04-11T00:00:00" endDate="2025-09-14T00:00:00"/>
        <groupItems count="368">
          <s v="&lt;11/04/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14/09/2025"/>
        </groupItems>
      </fieldGroup>
    </cacheField>
    <cacheField name="Meses (Data max envio )" numFmtId="0" databaseField="0">
      <fieldGroup base="5">
        <rangePr groupBy="months" startDate="2025-04-11T00:00:00" endDate="2025-09-14T00:00:00"/>
        <groupItems count="14">
          <s v="&lt;11/04/2025"/>
          <s v="jan"/>
          <s v="fev"/>
          <s v="mar"/>
          <s v="abr"/>
          <s v="mai"/>
          <s v="jun"/>
          <s v="jul"/>
          <s v="ago"/>
          <s v="set"/>
          <s v="out"/>
          <s v="nov"/>
          <s v="dez"/>
          <s v="&gt;14/09/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 Martinez" refreshedDate="46295.343400347221" createdVersion="8" refreshedVersion="8" minRefreshableVersion="3" recordCount="321" xr:uid="{E8754C85-A4BD-480D-B586-6DC7CB3D65FF}">
  <cacheSource type="worksheet">
    <worksheetSource name="Tabela1"/>
  </cacheSource>
  <cacheFields count="24">
    <cacheField name="PRO-FORM_x000a_ INVOICE/OC NBR." numFmtId="0">
      <sharedItems containsBlank="1" containsMixedTypes="1" containsNumber="1" containsInteger="1" minValue="786" maxValue="2007660"/>
    </cacheField>
    <cacheField name="CLIENTE" numFmtId="0">
      <sharedItems containsBlank="1" count="29">
        <s v="POLY FIBRAS"/>
        <s v="RELAXTECH INTERNACIONAL-JIRON"/>
        <s v="INDUSTRIAS CAPRI"/>
        <s v="Camas Florida GT"/>
        <s v="Camas Primiun"/>
        <s v="ZONKD"/>
        <s v="Facenco"/>
        <s v="Camas Century"/>
        <s v="Fadessa"/>
        <s v="Facomsa"/>
        <s v="Camas Florida Honduras"/>
        <s v="Ultra Industrias"/>
        <s v="Camas Fusión"/>
        <s v="Facenco Guatemala"/>
        <s v="Alto Confort"/>
        <s v="CORPORACIÓN ESPUMAS LA CORUÑA"/>
        <s v="PROHFOAM"/>
        <s v="American Textile Co"/>
        <s v="Dreams"/>
        <s v="CAMAS Y RESORTES NICARAGUA (C. KAREN)"/>
        <s v="Sueñolandia"/>
        <m/>
        <s v="Fadessa (Facenco Honduras)" u="1"/>
        <s v="Camas Florida" u="1"/>
        <s v="CORPORACIÓN LA CORUÑA" u="1"/>
        <s v="RELAXTECH INTERNACIONAL" u="1"/>
        <s v="Colchones de Guatemala S.A." u="1"/>
        <s v="Facenco " u="1"/>
        <s v="Jiron Relaxtech" u="1"/>
      </sharedItems>
    </cacheField>
    <cacheField name="PAIS" numFmtId="0">
      <sharedItems containsBlank="1" count="6">
        <s v="Guatemala"/>
        <s v="Costa Rica"/>
        <s v="El Salvador"/>
        <s v="Honduras"/>
        <s v="Nicaragua"/>
        <m/>
      </sharedItems>
    </cacheField>
    <cacheField name="DATA /_x000a_PRO-FORMA" numFmtId="14">
      <sharedItems containsNonDate="0" containsDate="1" containsString="0" containsBlank="1" minDate="2025-03-12T00:00:00" maxDate="2026-12-23T00:00:00" count="95">
        <d v="2025-03-12T00:00:00"/>
        <d v="2025-05-20T00:00:00"/>
        <d v="2025-06-05T00:00:00"/>
        <d v="2025-06-06T00:00:00"/>
        <d v="2025-05-12T00:00:00"/>
        <d v="2025-06-09T00:00:00"/>
        <d v="2025-06-12T00:00:00"/>
        <d v="2025-06-19T00:00:00"/>
        <d v="2025-06-24T00:00:00"/>
        <d v="2025-05-08T00:00:00"/>
        <d v="2025-07-02T00:00:00"/>
        <d v="2025-07-08T00:00:00"/>
        <d v="2025-07-10T00:00:00"/>
        <d v="2025-07-11T00:00:00"/>
        <d v="2025-07-14T00:00:00"/>
        <d v="2025-07-16T00:00:00"/>
        <d v="2025-07-25T00:00:00"/>
        <d v="2025-07-30T00:00:00"/>
        <d v="2025-08-07T00:00:00"/>
        <d v="2025-08-12T00:00:00"/>
        <d v="2025-08-13T00:00:00"/>
        <d v="2025-08-14T00:00:00"/>
        <d v="2025-08-21T00:00:00"/>
        <d v="2025-08-25T00:00:00"/>
        <d v="2025-08-26T00:00:00"/>
        <d v="2025-08-28T00:00:00"/>
        <d v="2025-09-02T00:00:00"/>
        <d v="2025-08-27T00:00:00"/>
        <d v="2025-09-04T00:00:00"/>
        <d v="2025-09-05T00:00:00"/>
        <d v="2025-09-08T00:00:00"/>
        <d v="2025-09-09T00:00:00"/>
        <d v="2025-09-12T00:00:00"/>
        <d v="2025-09-23T00:00:00"/>
        <d v="2025-09-29T00:00:00"/>
        <d v="2025-10-15T00:00:00"/>
        <d v="2025-10-20T00:00:00"/>
        <d v="2025-10-21T00:00:00"/>
        <d v="2025-11-04T00:00:00"/>
        <d v="2025-11-14T00:00:00"/>
        <d v="2025-11-18T00:00:00"/>
        <d v="2025-11-19T00:00:00"/>
        <d v="2025-11-26T00:00:00"/>
        <d v="2025-12-05T00:00:00"/>
        <d v="2025-12-15T00:00:00"/>
        <d v="2026-12-22T00:00:00"/>
        <d v="2025-12-18T00:00:00"/>
        <d v="2026-01-13T00:00:00"/>
        <d v="2026-01-15T00:00:00"/>
        <d v="2026-01-19T00:00:00"/>
        <d v="2026-01-23T00:00:00"/>
        <d v="2026-01-30T00:00:00"/>
        <d v="2026-02-18T00:00:00"/>
        <d v="2026-02-25T00:00:00"/>
        <d v="2026-02-09T00:00:00"/>
        <d v="2026-02-13T00:00:00"/>
        <d v="2026-02-17T00:00:00"/>
        <d v="2026-02-20T00:00:00"/>
        <d v="2026-02-27T00:00:00"/>
        <d v="2026-03-12T00:00:00"/>
        <d v="2026-03-13T00:00:00"/>
        <d v="2026-03-26T00:00:00"/>
        <d v="2026-03-31T00:00:00"/>
        <d v="2026-04-09T00:00:00"/>
        <d v="2026-04-14T00:00:00"/>
        <d v="2026-04-16T00:00:00"/>
        <d v="2026-04-24T00:00:00"/>
        <d v="2026-04-30T00:00:00"/>
        <d v="2026-05-05T00:00:00"/>
        <d v="2026-05-06T00:00:00"/>
        <d v="2026-05-11T00:00:00"/>
        <d v="2026-05-26T00:00:00"/>
        <d v="2026-06-03T00:00:00"/>
        <d v="2026-06-09T00:00:00"/>
        <d v="2026-06-12T00:00:00"/>
        <d v="2026-06-24T00:00:00"/>
        <d v="2026-07-02T00:00:00"/>
        <d v="2026-07-03T00:00:00"/>
        <d v="2026-05-29T00:00:00"/>
        <d v="2026-07-08T00:00:00"/>
        <d v="2026-07-10T00:00:00"/>
        <d v="2026-07-20T00:00:00"/>
        <d v="2026-07-24T00:00:00"/>
        <d v="2026-07-29T00:00:00"/>
        <d v="2026-08-03T00:00:00"/>
        <d v="2026-08-12T00:00:00"/>
        <d v="2026-08-24T00:00:00"/>
        <d v="2026-08-26T00:00:00"/>
        <d v="2026-08-25T00:00:00"/>
        <d v="2026-09-21T00:00:00"/>
        <d v="2026-09-15T00:00:00"/>
        <d v="2026-09-22T00:00:00"/>
        <d v="2026-09-23T00:00:00"/>
        <d v="2026-09-29T00:00:00"/>
        <m/>
      </sharedItems>
      <fieldGroup par="23"/>
    </cacheField>
    <cacheField name="PROG _x000a_MES" numFmtId="0">
      <sharedItems containsDate="1" containsBlank="1" containsMixedTypes="1" minDate="2025-03-01T00:00:00" maxDate="2025-12-02T00:00:00" count="20">
        <d v="2025-03-01T00:00:00"/>
        <d v="2025-05-01T00:00:00"/>
        <d v="2025-06-01T00:00:00"/>
        <d v="2025-07-01T00:00:00"/>
        <d v="2025-08-01T00:00:00"/>
        <s v="Sep-25"/>
        <s v="Oct-25"/>
        <d v="2025-11-01T00:00:00"/>
        <d v="2025-12-01T00:00:00"/>
        <s v="Jan-26"/>
        <s v="fev-26"/>
        <s v="mar-26"/>
        <s v="abr-26"/>
        <s v="may-26"/>
        <s v="jun-26"/>
        <s v="jul-26"/>
        <s v="ago-26"/>
        <s v="sep-26"/>
        <s v="oct-26"/>
        <m/>
      </sharedItems>
    </cacheField>
    <cacheField name="CODE OC/_x000a_DISEÑO" numFmtId="0">
      <sharedItems containsBlank="1" containsMixedTypes="1" containsNumber="1" containsInteger="1" minValue="14632" maxValue="282004" count="253">
        <s v="MP004528"/>
        <s v="A08191"/>
        <n v="282004"/>
        <n v="147025"/>
        <s v="MP26699"/>
        <s v="RM001"/>
        <s v="NA"/>
        <s v="MPTL0281"/>
        <s v="MPTL0364"/>
        <s v="MPTL0516"/>
        <s v="CC001"/>
        <s v="JIR001"/>
        <s v="MPTL0024"/>
        <s v="MPTL0002"/>
        <s v="FAC001"/>
        <s v="MP26027"/>
        <s v="396006 &gt; 0396006 &gt; 0396026"/>
        <s v="MPTL0002 (id5640)"/>
        <s v="MPTL0506 (id5872)"/>
        <s v="MP26667"/>
        <s v="RM001 (id 4797)"/>
        <s v="0149091 (id 5580)"/>
        <s v="0602140001"/>
        <s v="280213T41"/>
        <s v="0302140001"/>
        <s v="0074151 ( ID5095)"/>
        <s v="0399021"/>
        <s v="(ID 5094) 0072081 "/>
        <s v="229647&gt;A10257 (Id: 6016)"/>
        <s v="00"/>
        <s v="0400001&gt;0400021"/>
        <s v="MP26697"/>
        <s v="MPTL0069 (Id 6084)"/>
        <s v="MPTL0062 (Id 5540)"/>
        <s v="MPTL0201"/>
        <s v="MPTL0281&gt;MPTL0824"/>
        <s v="DM548-L4HN /A10274 (Id:6170)"/>
        <s v="MPTL0514  (id 5702) &gt; A10019"/>
        <s v="MPTL0392 (Id 6215) - 0149011 &gt;"/>
        <s v="MPTL0824"/>
        <s v="MPTL0407 (ID 5796)"/>
        <s v="AT002&gt;A10277"/>
        <s v="F-Karen-230"/>
        <s v="280213T44 (Id 6321)"/>
        <s v="16020010 (Id 6016)"/>
        <s v="40131462&gt;MPTL 0408 (id 6353)"/>
        <s v="TPBL &gt; LA002 (Id: 6454)"/>
        <s v="X34-43 - 7428630040 &gt;CM003 (id 6457)"/>
        <n v="14632"/>
        <s v="411001&gt;'0441011"/>
        <s v="449001&gt;'0449011"/>
        <s v="441001&gt;'0411011"/>
        <s v="427001&gt;0427011"/>
        <s v="391001&gt;'0391011"/>
        <s v="451006&gt;'0451001"/>
        <s v="414001&gt;'0414011"/>
        <s v="453001&gt;'0453011"/>
        <s v="416001&gt;'0416011"/>
        <s v="422004&gt;'0422001"/>
        <s v="426004&gt;'0426001"/>
        <s v="425001&gt;'0425011"/>
        <s v="399001&gt;0399011"/>
        <s v="403004&gt;'0403001"/>
        <s v="419001&gt;'0419011"/>
        <s v="407001&gt;'0407011"/>
        <s v="408001&gt;'0408011"/>
        <s v="PR001&gt;A10345"/>
        <s v="PR002&gt;A10343"/>
        <s v="A10249 - AR&gt;A10348"/>
        <s v="A10249 - AZ&gt;A10346"/>
        <s v="F-Karen-230 GRY (A10318)"/>
        <s v="0073111&gt;0071041"/>
        <s v="Gris (Id 6730)&gt;A10391"/>
        <s v="Mezcla-Negro (Id 6725)&gt;A10394"/>
        <s v="MPTL0521&gt;A10340 (id6786)"/>
        <s v="MPTL0541&gt;0392011 (id6787)"/>
        <s v="MPTL0539&gt;(A10322) (id6347)&gt;  2004106 / A10332 "/>
        <s v="MPTL0537&gt;0402001 (Id6631)"/>
        <s v="MPTL0307&gt;A10378 (id6790)"/>
        <s v="MPTL0538&gt;242011 (A10278) (id6791)"/>
        <s v="MPTL0419&gt;0080001 &gt;A10416  (id6799)"/>
        <s v="MPTL0533&gt;A10305  (id6800)"/>
        <s v="MPTL0534&gt;A10326 (id6801)"/>
        <s v="MPTL0535&gt;A10324 (id6351)"/>
        <s v="MPTL0152&gt;A10330 (id6800)"/>
        <s v="0441011"/>
        <s v="0449011"/>
        <s v="0411011"/>
        <s v="0427011"/>
        <s v="0391011"/>
        <s v="0451001 &gt;0451051"/>
        <s v="0414011 &gt;0414041"/>
        <s v="0453011"/>
        <s v="0416011"/>
        <s v="0422001 &gt; 0422011"/>
        <s v="0426001 &gt; 0426011"/>
        <s v="0425011"/>
        <s v="0399011"/>
        <s v="0403001 &gt; 0403011"/>
        <s v="0419011"/>
        <s v="0407011"/>
        <s v="0408011"/>
        <s v="MP26667&gt;A10245"/>
        <s v="MPTL0549&gt;0073091 (ID 6841)"/>
        <s v="MPTL0225 &gt; A10379"/>
        <s v="MPTL0330 &gt; A10331"/>
        <s v="MPTL0525 &gt; A10313"/>
        <s v="MPTL0526 &gt; A10308 &gt; A10336 (6650)"/>
        <s v="MPTL0527 &gt; A10327"/>
        <s v="MPTL0528 &gt; A10374"/>
        <s v="MPTL0529 &gt; A10309"/>
        <s v="MPTL0530 &gt; 0396001"/>
        <s v="MPTL0531  &gt;  A10375"/>
        <s v="MPTL0532 &gt; A10373 &gt; 10321&gt;A10445"/>
        <s v="MPTL0540 &gt; 0257055"/>
        <s v="MPTL0542&gt;MPTL0537 &gt; 0073091&gt;0073111"/>
        <s v="MPTL0543&gt;MPTL0538 &gt; A10278"/>
        <s v="MPTL0544&gt; MPTL0539 &gt; A10332/0269071&gt;0269171"/>
        <s v="(Id 6730)&gt;A10391"/>
        <s v="ID 7012 / 0066031"/>
        <s v="ID 7014 / 0292031"/>
        <s v="ID 7013 / A10380 &gt; A10430&gt;0449041"/>
        <s v="ID 7016 / 0292031 &gt; 0292041"/>
        <s v="ID 7015 / A10380"/>
        <s v="MPTL0020&gt; MPTL0532/A10321&gt;A10383"/>
        <s v="R100611&gt;  A10298 (ID 6322)"/>
        <s v="A10279 (7065) &gt; A10451"/>
        <s v="0269071 (ID7066) &gt; 0269101"/>
        <s v="0149081 (7068) &gt;  0149141"/>
        <s v="0091002 (ID7070) &gt; 0091001"/>
        <s v="DR7077 (ID7077) &gt;  A10448"/>
        <s v="MPTL0526 &gt; A10308 &gt; A10336"/>
        <s v="MPTL0532 &gt; A10373"/>
        <s v="MPTL0544&gt; MPTL0539 &gt; A10332"/>
        <s v="MPTL0408 &gt; A10304"/>
        <s v="MPTL0307 &gt; A10378"/>
        <s v="MPTL0537 &gt; 0073091"/>
        <s v="MP26027 &gt; A10174"/>
        <s v="A10417 (ID6887)"/>
        <s v="A10202 (ID7087)&gt; A10439"/>
        <s v="CF7047 &gt; 0577002&gt; 0578004"/>
        <s v="CF7086 &gt; A10440"/>
        <s v="(ID7097) A10430/0449001&gt;0449041"/>
        <s v="MPTL0020 &gt; MPTL0532/  A10321 (6299)"/>
        <s v="MPTL0551 &gt; A10409 (6842)"/>
        <s v="MPTL0550 &gt; A10341 &gt; A10410 (6843)"/>
        <s v="MPTL0016 &gt; A10305 (6300)"/>
        <s v="A10093"/>
        <s v="0548001 (MPTL0547 - ID 6732)"/>
        <s v="MP26556/A10417 (ID6887) &gt; A10476"/>
        <s v="A10375 &gt; A10472  (MPTL0012)"/>
        <s v="A10308 &gt; A10471 (MPTL0010)"/>
        <s v="A10318  (Karen Gry 230 Zonkd) / Saldo"/>
        <s v="(CP7248)&gt; A10469"/>
        <s v="MPTL0551 &gt; A10409 (7266)"/>
        <s v="MP26027/A10246"/>
        <s v="MP26667/A10245     (ID5934)"/>
        <s v="MP26697 / 0387001"/>
        <s v="MPTL0825/0269171 (ID7205)"/>
        <s v="0147025 (id 7355)&gt;  0147081"/>
        <s v="0148021 (id7356) &gt; 0148101"/>
        <s v="0151011 (id7357) &gt; 0151071"/>
        <s v="0292022  (id 7358)&gt;0292051"/>
        <s v="AC7256 (id 7359) &gt; A10481"/>
        <s v="MPTL0152&gt;A10330 (id6803)"/>
        <s v="MPTL0239&gt;A10325 (id6327)"/>
        <s v="MPTL0419&gt;A10416  (id6799)"/>
        <s v="MPTL0552&gt;A10484"/>
        <s v="MPTL0548&gt;0567001 &gt;0567011"/>
        <s v="MPTL0020&gt;A10321"/>
        <s v="MPTL0551&gt;A10409"/>
        <s v="0451051"/>
        <s v="0414041"/>
        <s v="0422011"/>
        <s v="0426011"/>
        <s v="0403011"/>
        <s v="Luxury Black - 0081001 (id7216)"/>
        <s v="Black -  00811011 (id 7215)"/>
        <s v="Genérica Black - CS7225 (id 7225)"/>
        <s v="MP004528 / 0413001"/>
        <s v="MPTL0419/ A10416"/>
        <s v="MPTL0330 A10331 (id 6326)"/>
        <s v="MPTL0537/0402001"/>
        <s v="MPTL0307/A10378"/>
        <s v="MPTL0239/A10329"/>
        <s v="MPTL0408/A10304"/>
        <s v="MPTL0521/A10340"/>
        <s v="MPTL0525/A10313"/>
        <s v="MPTL0526/A10308"/>
        <s v="MPTL0527/A10327"/>
        <s v="MPTL0528/A10374"/>
        <s v="MPTL0529/A10309"/>
        <s v="MPTL0532/A10445"/>
        <s v="MPTL0533/A10450"/>
        <s v="MPTL0534/A10326"/>
        <s v="MPTL0535/A10386"/>
        <s v="MPTL0538/0242011"/>
        <s v="MPTL0539/A10332"/>
        <s v="MPTL0540/0257055"/>
        <s v="MPTL0543/A10278"/>
        <s v="0548001&gt;0626001  (id7424)"/>
        <s v="0071041 (id 7486)&gt; 0071081"/>
        <s v="MPTL0419&gt; A10416 "/>
        <s v="MPTL0537&gt;0402001"/>
        <s v="MPTL0152&gt; A10330  "/>
        <s v="MPTL0307&gt;A10378"/>
        <s v="MPTL0541&gt;0392011"/>
        <s v="16021431/ 0292031&gt;0292061"/>
        <s v="ID 7012 / 0066031  "/>
        <s v="ID 7097 / 0449041"/>
        <s v="00147025&gt;0147091 (ID 4638)&gt;A0147091"/>
        <s v="AC7716 / A10521 (ID 7716)"/>
        <s v="0282004 &gt; 0282011 (ID 7511)&gt; A0282011"/>
        <s v="0282004 &gt; 0282011 (ID 7511)&gt; A0282011B"/>
        <s v="0602140001 (ID5256) A10176"/>
        <s v="0302140001 (ID6002)"/>
        <s v="16021431|0292031&gt;0292061 (ID7710)"/>
        <s v="F-Karen-230 GRY (A10318)  - SALDO"/>
        <s v="MPTL0549 / A0073091 (ID6841)"/>
        <s v="MPTL0280 / A0056001 (ID6271)"/>
        <s v="MPTL0392 / A0149121 (ID6215)"/>
        <s v="MPTL0012 / A10472B"/>
        <s v="MPTL0342 / A10307"/>
        <s v="MPTL0020 /A10321C (ID6299)"/>
        <s v="MPTL0409 (ID 7474)"/>
        <s v="MPTL0161 (ID 7475)"/>
        <s v="MPTL0541&gt;0392011 (ID7517)"/>
        <s v="MPTL0824 / 0149021&gt; 0149081 (ID5272) "/>
        <s v="MPTL0016 / A10369C"/>
        <s v="MPTL0519/ A10374C  (ID6630)"/>
        <s v="MPTL0416 / 0681001 (ID7895)"/>
        <s v="MPTL0010 / A10471C (ID6301)"/>
        <s v="MPTL0069 / B0269041 (ID6084)"/>
        <s v="MPTL0280  / A0056001B (ID6271)"/>
        <s v="A10536 (ID 7770)"/>
        <s v="A10277 (ID 6217)"/>
        <s v="CP7938&gt;A10575"/>
        <s v="(ID 4638)&gt;A0147091"/>
        <s v="MPTL0525/A10313 (ID7539)"/>
        <s v="MPTL0409/A10508 (ID 7474)"/>
        <s v="MPTL0008/A10591 (ID 7953)"/>
        <s v="MPTL0012 / A10588 (ID 7903)"/>
        <s v="MPTL0009 / A10582 (ID 7905)"/>
        <s v="MPTL0833 /0425001&gt;0425021 (ID7987)"/>
        <s v="Hojas Azules /A10554 (ID7812)"/>
        <s v="A10322 (ID 6457)"/>
        <s v="MPTL0016/ A10369C"/>
        <s v="MPTL0552 /A10484B"/>
        <s v="MPTL0528 / A10374&gt;A10374B&gt;A10474D  (ID 6630)"/>
        <s v="MP971859 / 0074151 "/>
        <s v="MP008528 / 0399021"/>
        <s v="MP008389 / 0072081 "/>
        <m/>
      </sharedItems>
    </cacheField>
    <cacheField name="COD. _x000a_TOTVS" numFmtId="0">
      <sharedItems containsBlank="1" containsMixedTypes="1" containsNumber="1" containsInteger="1" minValue="3650" maxValue="5464" count="202">
        <s v="0413001 (4191)"/>
        <s v="A10196 (4189)"/>
        <s v="0282011 (4192)"/>
        <s v="0147091 (4193)"/>
        <s v="CM  A10093 (3975)"/>
        <s v="A10092 (4199)"/>
        <s v="A149091 (4199)"/>
        <s v="A10125-A (4218)"/>
        <s v="0149081 (4165)"/>
        <s v="A10204 (4220)"/>
        <s v="A10022 (3722)"/>
        <s v="A10215 (4273)"/>
        <s v="A10212 (4260)"/>
        <s v="A10068&gt; (A10191 - 4163)"/>
        <s v="A10213 (4264)"/>
        <s v="0149091"/>
        <s v="0347011"/>
        <s v="A10174 (4321)"/>
        <s v="0396006"/>
        <s v="A10012 (4343)"/>
        <s v="A10245 MP 26667 (4383)"/>
        <s v="0149091 (4217)"/>
        <s v="0357011 (4388)"/>
        <s v="A10197 (4174)"/>
        <s v="0242001 (4391)"/>
        <s v="0074151 (4045)"/>
        <s v="0399021 (4162)"/>
        <s v="0072081 (4044)"/>
        <s v="A10257 (4404)"/>
        <s v="0501001 (4285)"/>
        <s v="0400021 (4164)"/>
        <s v="A10246 (4417)"/>
        <s v="0387001 (3650)"/>
        <s v="0269041 (4424)"/>
        <s v="A10199 (4177)"/>
        <s v="0401021 (1923)"/>
        <s v="0302140002 (4502)"/>
        <s v="A10019 (4225)"/>
        <s v="0149121 (4501)"/>
        <s v="0501006 (4521)"/>
        <s v="A10233 (4375)"/>
        <n v="4525"/>
        <s v="A10125 (4218)"/>
        <s v="A10301 (4587)"/>
        <s v="A10304 (4627)"/>
        <s v="A10312 (4633)"/>
        <s v="CM003&gt;A10322 (4656)"/>
        <s v="3933"/>
        <s v="3932"/>
        <s v="3931"/>
        <s v="3930"/>
        <n v="3927"/>
        <s v="3922"/>
        <s v="3923"/>
        <s v="3925"/>
        <s v="3921"/>
        <s v="3920"/>
        <s v="3919"/>
        <s v="3924"/>
        <s v="3929"/>
        <s v="3928"/>
        <s v="3926"/>
        <s v="3918"/>
        <s v="3917"/>
        <n v="4700"/>
        <n v="4699"/>
        <n v="4701"/>
        <n v="4702"/>
        <n v="4635"/>
        <s v="0071041 (4731)"/>
        <n v="4759"/>
        <n v="4762"/>
        <n v="4673"/>
        <n v="4547"/>
        <n v="4660"/>
        <n v="4727"/>
        <n v="4669"/>
        <n v="4638"/>
        <n v="4820"/>
        <s v="4632 / 4890?"/>
        <n v="4671"/>
        <n v="4658"/>
        <n v="4663"/>
        <n v="3922"/>
        <n v="4383"/>
        <n v="4553"/>
        <n v="4724"/>
        <n v="4661"/>
        <n v="4636"/>
        <n v="4629"/>
        <n v="4668"/>
        <n v="4726"/>
        <n v="4628"/>
        <n v="4839"/>
        <n v="4725"/>
        <s v="4642&gt;4876"/>
        <n v="4653"/>
        <s v="4553&gt;4551"/>
        <s v="4660&gt;4879"/>
        <n v="4731"/>
        <n v="4849"/>
        <n v="4852"/>
        <n v="4850"/>
        <n v="4853"/>
        <n v="4851"/>
        <n v="4642"/>
        <n v="4590"/>
        <n v="4891"/>
        <n v="4892"/>
        <n v="4893"/>
        <n v="4894"/>
        <n v="4895"/>
        <n v="4627"/>
        <n v="4321"/>
        <n v="4834"/>
        <n v="4227"/>
        <n v="4870"/>
        <n v="4869"/>
        <n v="4871"/>
        <n v="4801"/>
        <n v="4800"/>
        <n v="4632"/>
        <s v="A10093  MP26699"/>
        <n v="4786"/>
        <n v="4967"/>
        <n v="4966"/>
        <n v="4964"/>
        <n v="4970"/>
        <n v="4973"/>
        <n v="4417"/>
        <n v="3650"/>
        <n v="4965"/>
        <n v="5008"/>
        <n v="5009"/>
        <n v="5010"/>
        <n v="5011"/>
        <n v="5012"/>
        <n v="4672"/>
        <n v="5037"/>
        <n v="5043"/>
        <n v="3933"/>
        <n v="3932"/>
        <n v="3931"/>
        <n v="3917"/>
        <n v="5051"/>
        <n v="5050"/>
        <n v="5202"/>
        <n v="4191"/>
        <n v="4664"/>
        <n v="4876"/>
        <n v="4890"/>
        <n v="4757"/>
        <n v="4552"/>
        <n v="5047"/>
        <n v="5101"/>
        <n v="5156"/>
        <n v="5217"/>
        <n v="5215"/>
        <n v="5216"/>
        <n v="5277"/>
        <n v="5220"/>
        <n v="5278"/>
        <n v="5348"/>
        <s v="0292061 (5156)"/>
        <n v="5314"/>
        <n v="5315"/>
        <n v="5316"/>
        <n v="5326"/>
        <n v="4630"/>
        <n v="5327"/>
        <n v="5155"/>
        <n v="5149"/>
        <n v="5196"/>
        <n v="5344"/>
        <n v="5367"/>
        <n v="5368"/>
        <n v="5371"/>
        <n v="5369"/>
        <n v="5370"/>
        <n v="5350"/>
        <n v="5288"/>
        <n v="5401"/>
        <n v="5417"/>
        <n v="5420"/>
        <n v="5418"/>
        <n v="5428"/>
        <n v="5358"/>
        <n v="4656"/>
        <n v="5223"/>
        <n v="5457"/>
        <n v="5462"/>
        <n v="5463"/>
        <n v="5464"/>
        <m/>
        <n v="5333" u="1"/>
        <n v="4045" u="1"/>
        <n v="4162" u="1"/>
        <n v="4044" u="1"/>
        <n v="4193" u="1"/>
        <n v="4192" u="1"/>
        <n v="4218" u="1"/>
        <n v="4557" u="1"/>
      </sharedItems>
    </cacheField>
    <cacheField name="OP _x000a_NBR" numFmtId="0">
      <sharedItems containsBlank="1" containsMixedTypes="1" containsNumber="1" containsInteger="1" minValue="97" maxValue="560"/>
    </cacheField>
    <cacheField name="NÚM. PEDIDO_x000a_TOTVS" numFmtId="0">
      <sharedItems containsString="0" containsBlank="1" containsNumber="1" containsInteger="1" minValue="18" maxValue="4162" count="135">
        <n v="18"/>
        <n v="19"/>
        <n v="20"/>
        <n v="21"/>
        <n v="25"/>
        <n v="27"/>
        <n v="26"/>
        <n v="28"/>
        <n v="29"/>
        <n v="30"/>
        <n v="31"/>
        <n v="39"/>
        <n v="34"/>
        <n v="33"/>
        <n v="38"/>
        <n v="40"/>
        <n v="41"/>
        <n v="42"/>
        <n v="43"/>
        <n v="45"/>
        <n v="44"/>
        <n v="47"/>
        <n v="46"/>
        <n v="48"/>
        <n v="49"/>
        <n v="50"/>
        <n v="51"/>
        <n v="52"/>
        <n v="53"/>
        <n v="54"/>
        <n v="56"/>
        <n v="55"/>
        <n v="59"/>
        <n v="57"/>
        <n v="58"/>
        <n v="61"/>
        <n v="60"/>
        <n v="66"/>
        <n v="62"/>
        <n v="65"/>
        <n v="67"/>
        <n v="68"/>
        <n v="69"/>
        <n v="74"/>
        <n v="75"/>
        <n v="76"/>
        <n v="77"/>
        <n v="78"/>
        <n v="79"/>
        <n v="80"/>
        <n v="81"/>
        <n v="84"/>
        <n v="82"/>
        <n v="85"/>
        <n v="86"/>
        <n v="88"/>
        <n v="87"/>
        <n v="89"/>
        <n v="90"/>
        <n v="91"/>
        <n v="92"/>
        <n v="93"/>
        <n v="96"/>
        <n v="94"/>
        <n v="95"/>
        <n v="98"/>
        <n v="97"/>
        <n v="100"/>
        <n v="99"/>
        <n v="106"/>
        <n v="110"/>
        <n v="101"/>
        <n v="102"/>
        <n v="103"/>
        <n v="104"/>
        <n v="105"/>
        <n v="107"/>
        <n v="109"/>
        <n v="111"/>
        <n v="112"/>
        <n v="113"/>
        <n v="115"/>
        <n v="116"/>
        <n v="117"/>
        <n v="118"/>
        <n v="119"/>
        <n v="120"/>
        <n v="121"/>
        <n v="122"/>
        <n v="125"/>
        <n v="123"/>
        <n v="126"/>
        <n v="124"/>
        <n v="128"/>
        <n v="127"/>
        <n v="132"/>
        <n v="129"/>
        <n v="130"/>
        <n v="131"/>
        <n v="135"/>
        <n v="134"/>
        <n v="133"/>
        <n v="136"/>
        <n v="137"/>
        <n v="141"/>
        <n v="143"/>
        <n v="144"/>
        <n v="145"/>
        <n v="146"/>
        <n v="148"/>
        <n v="147"/>
        <n v="149"/>
        <n v="150"/>
        <n v="151"/>
        <n v="153"/>
        <n v="155"/>
        <n v="154"/>
        <n v="156"/>
        <n v="157"/>
        <n v="158"/>
        <n v="160"/>
        <n v="161"/>
        <n v="162"/>
        <n v="163"/>
        <n v="164"/>
        <n v="165"/>
        <n v="167"/>
        <n v="166"/>
        <n v="168"/>
        <n v="169"/>
        <m/>
        <n v="152" u="1"/>
        <n v="4162" u="1"/>
        <n v="4044" u="1"/>
        <n v="4045" u="1"/>
      </sharedItems>
    </cacheField>
    <cacheField name="DESCRIPCIÓN" numFmtId="0">
      <sharedItems containsBlank="1" count="336">
        <s v="300 GR- TELA POLYFIBRAS PES 210 ANCHO 300 GR ICE"/>
        <s v="220GR- TELA RELAXTECH MPTEL7531 220G 2,20L"/>
        <s v="220GR- TELA P/COLCHON 220GR ,CODIGO 0282004"/>
        <s v="220GR- TELA P/COLCHON 220GR, CODIGO 0147025"/>
        <s v="220GR-TELA PIQUE CUADROS AZULES Y PLATEADOS (A10093) 220GR"/>
        <s v="200GR- TELA EST TIPO PIQUE 200GR- GRIS -A10092 CE AMOSTR DV U"/>
        <s v="180GR-TELA PIQUE NEGRO LISO- C.E. CM 0149091 -"/>
        <s v="220GR -TP ML AMOSTRA DIV 100% PES CM BRANCO 220GR"/>
        <s v="180GR -TELA PIQUE FONDO GRIS C/DISEÑO 180GR"/>
        <s v="180GR -TELA PIQUE T1-9033 180GR"/>
        <s v="275GR- TELA PIQUE 40199367 275GR 2,25A"/>
        <s v="250GR- TELA PIQUE CC001C/ LOGO CENTURY 250GR GRIS"/>
        <s v="200GR -TELA RELAXTECH MPTEL7553 RAYAS AZUL 200GR"/>
        <s v="180GR -TELA PIQUE 40132439 180GR"/>
        <s v="190GR -  A10213 TP ML AMOSTRA DV U  190GR"/>
        <s v="180GR -TELA PIQUE NEGRO LISO- C.E. CM 0149091 / MESCLA PRETO  180GR"/>
        <s v="300GR -TELA COOLING ALOE - 300GR 2,29 ARTIC FREEZE S/LOGO"/>
        <s v="210GR -TELA PIQUE RAYAS ONDULADAS NEGRAS TL602507 210GR - A10174 TP MP26027 DV U"/>
        <s v="200GR -TELA EST TIPO PIQUE 200GR- GRIS -A10092 "/>
        <s v="200GR -TELA PIQUE 200GR 100% PES BRANCO E PERLA"/>
        <s v="300GR -TELA POLYFIBRAS PES 210 ANCHO 300 GR ICE- POLYFRIBRAS G 300, A 2,10"/>
        <s v="190GR -A10213 TP  MPTL0002  190GR"/>
        <s v="240GR -TELA PIQUE NEGRO  - A10012 TP MPTL0506  240GR"/>
        <s v="180GR - TELA PIQUE DISEÑO DM548-14 OLAS AZUL MARINO MP26667"/>
        <s v="200GR - TELA PIQUE GRIS  220GR 2,20"/>
        <s v="180GR - TELA PIQUE LISO NEGRO  180GR 2,20"/>
        <s v="300GR - TELA PIQUE 0357001 BREEZE/STELARIS - A10176 TP ML 0357001 DV U"/>
        <s v="TELA PIQUE DISEÑO A10197 TP x40-405-180"/>
        <s v="240GR - TELA PIQUE DISEÑO 0242001 CE DV U"/>
        <s v="180GR - TP ELEGANCE "/>
        <s v="180GR - TP SPECTRA PLUS"/>
        <s v="180 GR - TP ULTRA PRIMIUM PLUS "/>
        <s v="180 GR - TELA PIQUE AZUL MARINO 2,20 -  A10257 TP 229647"/>
        <s v="200 GR - TELA PIQUE QUETZALTENAGO MONUMENTOS BRANCO COM BEGE AREIA "/>
        <s v="180GR - TELA PIQUE 100% PES BLANCO 0400001/0400021 TP ML 180G 2,20A"/>
        <s v="220GR-TELA PIQUE CUADROS AZULES Y PLATEADOS "/>
        <s v="210GR -TELA PIQUE RAYAS ONDULADAS NEGRAS TL602507 - A10174 TP MP26027 DV U"/>
        <s v="240GR - TELA PIQUE TL80918/L152-1647)"/>
        <s v="180GR - TELA PIQUE FONDO GRIS Y LINEAS INCLINADAS"/>
        <s v="180GR - TELA PIQUE FONDO NEGRO Y LINEAS CORTAS "/>
        <s v="210GR -TELA PIQUE HEALTHY BED 210GR"/>
        <s v="180GR - TELA PIQUÉ FONDO GRIS CON DISEÑO 180GR"/>
        <s v="220GR - TELA PIQUÉ DISEÑO OLAS 220GR"/>
        <s v="280GR- TELA PIQUE 40199367 280GR 2,25A"/>
        <s v="180GR - TELA PIQUÉ FONDO BLANCO DISEÑO CAFÉ 0149011&gt;0149121"/>
        <s v="200 GR - TELA PIQUE QUETZALTENAGO MONUMENTOS c/LOGO - BLANCO &amp; BEIGE ARENA "/>
        <s v="180GR - TELA PIQUE MATERIAL A10233 180 GR 2,20"/>
        <s v="340GR - TELA COOLING BLANCO Y AZUL - AMOSTRA"/>
        <s v="220GR - FABRIC DOUBLE KNIT KAREN 100% PES 220GR 2,30A"/>
        <s v="180GR - TELA PIQUÉ DISEÑO FARAN/ SALMON Y GRIS PERLA 180GR 2,20"/>
        <s v="180GR - TELA PIQUÉ DISEÑO AZUL MARINO 180GR 2,20"/>
        <s v="180GR - TELA PIQUÉ 180 GR 2,20 BLANCO "/>
        <s v="260 GR TP LISO BRILLANTE 100% PES S/TRATAMIENTO"/>
        <s v="200 GR - TP RAYAS ONDULADAS NEGRAS TL 602507"/>
        <s v="180 GR - TP DISEÑO X34-43 180 2,20 100% PES BLANCO Y ARENA"/>
        <s v="220GR- TELA P/COLCHON 220GR, CODIGO 0147025  - AZUL MARINO"/>
        <s v="Tela Prohfoam 1 (Blanco)"/>
        <s v="Tela Prohfoam 2 (Blanco)"/>
        <s v="Tela Prohfoam 3 (Blanco)"/>
        <s v="Tela Prohfoam 4 (Blanco)"/>
        <s v="Tela Prohfoam 5 (Blanco &amp; Negro)"/>
        <s v="Tela Prohfoam 6 (Blanco &amp;Negro)"/>
        <s v="Tela Prohfoam 7 (Blanco)"/>
        <s v="Tela Prohfoam 8 (Blanco &amp; Beige)"/>
        <s v="Tela Prohfoam 9  (Blanco &amp; Beige)"/>
        <s v="Tela Prohfoam 10 (Blanco &amp; Beige)"/>
        <s v="Tela Prohfoam 11 (Blanco &amp; Beige)"/>
        <s v="Tela Prohfoam 12 (Blanco &amp; Gris)"/>
        <s v="Tela Prohfoam 13 (Blanco &amp; Gris)"/>
        <s v="Tela Prohfoam 14 (Blanco &amp; Gris)"/>
        <s v="Tela Prohfoam 15 (Blanco &amp; Negro)"/>
        <s v="Tela Prohfoam 16 (Blanco &amp; Beige)"/>
        <s v="Tela Prohfoam 17 (Blanco &amp; Beige)"/>
        <s v="Tela Prohfoam 1 (Blanco y negro)"/>
        <s v="Tela Prohfoam Beige Arena"/>
        <s v="Tela Prohfoam Azul Marino"/>
        <s v="230 2,30 100% PES CM BLANCO Y GRIS PERLA  - DE024a Grey"/>
        <s v="180 2,20 100% PES CM NEGRO"/>
        <s v="220GR - TELA PIQUÉ DISEÑO OLAS 220GR 2,20"/>
        <s v="300 2,20 100% PES XP Gris"/>
        <s v="250 2,20 100% PES CM Negro"/>
        <s v="230 2,30 100% PES CM BLANCO Y GRIS PERLA  - DE024a Grey 100% Poly"/>
        <s v="Tela pique A10340 180 gramos"/>
        <s v="Tela pique 0392011 180 gramos"/>
        <s v="Tela pique A10332 180 gramos "/>
        <s v="Tela pique 4020014 180 gramos "/>
        <s v="Tela Pique tratamiento Ice Cool"/>
        <s v="Tela pique 242011 180 gramos "/>
        <s v="Tela Pique blanca H-2760 195 gsm, 2.20 mts"/>
        <s v="Tela pique A10305 180 gramos  marrón"/>
        <s v="Tela pique A10326 180 gramos"/>
        <s v="Tela pique A10324 180 gramos "/>
        <s v="TELA PIQUE MATERIAL 40132435 195 GRAMOS"/>
        <s v="Tela Prohfoam 1 (Blanco) con logo cliente"/>
        <s v="Tela Prohfoam 2 (Blanco) con logo cliente"/>
        <s v="Tela Prohfoam 3 (Blanco) con logo cliente"/>
        <s v="Tela Prohfoam 4 (Blanco) con logo cliente"/>
        <s v="Tela Prohfoam 5 (Blanco &amp; Negro) con logo"/>
        <s v="Tela Prohfoam 6 (Blanco &amp;Negro) con logo"/>
        <s v="Tela Prohfoam 7 (Blanco) con logo"/>
        <s v="Tela Prohfoam 8 (Blanco &amp; Beige) con logo"/>
        <s v="Tela Prohfoam 9  (Blanco &amp; Beige) con logo"/>
        <s v="Tela Prohfoam 10 (Blanco &amp; Beige) con logo"/>
        <s v="Tela Prohfoam 11 (Blanco &amp; Beige) con logo"/>
        <s v="Tela Prohfoam 12 (Blanco &amp; Gris) con logo"/>
        <s v="Tela Prohfoam 13 (Blanco &amp; Gris) con logo"/>
        <s v="Tela Prohfoam 14 (Blanco &amp; Gris) con logo"/>
        <s v="Tela Prohfoam 15 (Blanco &amp; Negro) con logo"/>
        <s v="Tela Prohfoam 16 (Blanco &amp; Beige) con logo"/>
        <s v="Tela Prohfoam 17 (Blanco &amp; Beige) con logo"/>
        <s v="Tela piqué 0073091, diseño circulos con líneas oscilatorias, 180 gsm"/>
        <s v="Tela Pique A10379"/>
        <s v="Tela Pique material 40131357 195 gramos"/>
        <s v="Tela pique A10313 180 gramos "/>
        <s v="Tela pique A10308 180 gramos "/>
        <s v="Tela pique A10327 180 gramos"/>
        <s v="Tela pique A10374 180 gramos "/>
        <s v="Tela pique A10309 180 gramos"/>
        <s v="Tela pique 396001 180 gramos "/>
        <s v="Tela pique A10375 180 gramos"/>
        <s v="Tela pique A10373&gt; A10445 180 gramos "/>
        <s v="Tela pique 0257055 180 gramos"/>
        <s v="Tela pique 0073091&gt;0073111 180 gramos"/>
        <s v="Tela pique A10278 180 gramos"/>
        <s v="Tela pique A10332 &gt; 0269171 180 gramos"/>
        <s v="300 2,20 100% PES XP Gris perla, blanco y azul"/>
        <s v="180 2,20 TELA PIQUE VENECIA (CARA)  - PERLA GRIS"/>
        <s v="180 2,20 TELA PIQUE FLORENCIA (CARA) - GRIS OSCURO"/>
        <s v="180 2,20 TELA PIQUE AURORA (CARA ) - NEGRO"/>
        <s v="180 2,20 TELA PIQUE GOLDEN (CARA) - ARENA"/>
        <s v="180 2,20 TELA PIQUE ULTRAPEDIC  DELUXE (cara) - PERLA GRIS"/>
        <s v="Tela pique A10373 180 gramos "/>
        <s v="R100611-IN-81ATCIRC KNIT W/TPU 81&quot; ALLER TECH  - FB00350- BLANCO"/>
        <s v="200 2,20 100% PES AZUL MARINO"/>
        <s v="180 2,20 100% PES GRIS OSCURO"/>
        <s v="200 2,20 100% PES NEGRO"/>
        <s v="180 2,20 100% PES NEGRO"/>
        <s v="180 2,20 100% GRIS PERLA"/>
        <s v="180- Tela pique A10309 180 gramos  "/>
        <s v="180- Tela pique A10375 180 gramos"/>
        <s v="180-Tela pique 396001 180 gramos "/>
        <s v="180-Tela pique 0257055 180 gramos "/>
        <s v="180-Tela pique A10313 180 gramos "/>
        <s v="180-Tela pique A10308 180 gramos "/>
        <s v="180-Tela pique A10374 180 gramos "/>
        <s v="180-Tela pique A10327 180 gramos "/>
        <s v="180-Tela pique A10373 180 gramos "/>
        <s v="180-Tela pique A10332 180 gramos"/>
        <s v="180-Tela Pique A10304  180 Gramos"/>
        <s v="180-Tela Pique A10379"/>
        <s v="330-Tela Pique Ice Cool A10378 330GR"/>
        <s v="180-Tela pique  0073091 180 gramos "/>
        <s v="200 GR - TP RAYAS ONDULADAS NEGRAS TL 602507 / LI 52-64"/>
        <s v="240-TELA DISEÑO MUNDIAL FLORIDA 240 2,20 GRIS"/>
        <s v="180-TELA 180 2,20  100% PES  BRANCO E PRETO"/>
        <s v="220-TELA FLORES TE AMO MAMÁ 220 2,20 CM BLANCO Y SALMÓN"/>
        <s v="180-TELA PIQUE METRIC BLACK 180 2,20 CM NEGRO Y BLANCO"/>
        <s v="180-TELA PIQUE 0449001 180 2,20 CM BLANCO"/>
        <s v="180-TELA PIQUE A10321 180 2,20 NEGRO Y BLANCO"/>
        <s v="180-TELA PIQUE A10409 180 2,20 NEGRO Y SALMON (MADRES)"/>
        <s v="180- TELA PIQUE A10410 NEGRO Y SALMÓN"/>
        <s v="180- TELA PIQUE A10305 180 2,20 MEZCLA"/>
        <s v="180-TP CUADROS AZUL 180G"/>
        <s v="200-TELA WORLDCUP BOLA BLANCO Y AZUL 200 2,20"/>
        <s v="240G-TELA DISEÑO MUNDIAL FLORIDA 240 2,20 GRIS OSCURO"/>
        <s v="180G- 190 2,20 PES CM AZUL CLARO "/>
        <s v="180G- 180 2,20 PES CM NEGRO"/>
        <s v="180 2,20 TELA PIQUE AURORA (CARA ) &gt;  BLANCO (12/05 cod revisado)"/>
        <s v="TELA PIQUE ELEGANCE/MAJESTIC/JAPI/ EE WAY/RELAX PRO (CARA)"/>
        <s v="220 TELA CAPRI BLANCA 220 2,20 "/>
        <s v="180-TELA PIQUE A10409 180 2,20 NEGRO Y SALMON (EDIC. MADRES)"/>
        <s v="200G-TELA PIQUE TL60250 /L152-64 RAYAS ONDULADAS NEGRO"/>
        <s v="240g-TELA PIQUE TL80918/L152-1647 PUNTOS GRISES CONEXAO"/>
        <s v="320G-TELA PIQUE 70%PES 30% PE CM AZUL MARINO Y BLANCO ARCTIC BREEZE "/>
        <s v="220G-TAPA 100% PES CM NEGRO Y BLANCO  TL 081 - 0824 "/>
        <s v="220G-TAPA 100% PES CM NEGRO Y BLANCO"/>
        <s v="180G-BANDA 100% PES PL NEGRA"/>
        <s v="190G TP AZUL MARINO Y CLARO 40132435"/>
        <s v="180G TP BLANCO BRILLANTE  40131300"/>
        <s v="190G TP BLANCO H-2760"/>
        <s v="180G TP A10294 DISEÑOS Y FONDO GRIS"/>
        <s v="180G TP 0567001 FONDO AZUL, DISEÑO BALÓN 180G"/>
        <s v="180G TP A10321 180 2,20 FONDO GRIS OSCURO DISEÑOS GRIS CLARO"/>
        <s v="180G TP A10409 DISEÑOS SALMÓN Y GRISES FONDO GRIS (MADRES)"/>
        <s v="160 -Tela Prohfoam 1 (Blanco)  c/ogo 160G 2,10"/>
        <s v="160 -Tela Prohfoam 2 (Blanco) c/ogo160g 2,10"/>
        <s v="160-Tela Prohfoam 3 (Blanco) c/ogo 160G 2,10"/>
        <s v="160-Tela Prohfoam 4 (Blanco) c/logo 160G 2,10"/>
        <s v="160-Tela Prohfoam 5 (Blanco &amp; Negro) c/logo 160G 2,10"/>
        <s v="160-Tela Prohfoam 6 (Blanco &amp;Negro) c/logo 160G 2,10"/>
        <s v="160-Tela Prohfoam 7 (Blanco) c/logo 160G 2,10"/>
        <s v="160-Tela Prohfoam 8 (Blanco &amp; Beige) c/logo 160G 2,10"/>
        <s v="160-Tela Prohfoam 9  (Blanco &amp; Beige)  c/logo 160G 2,10"/>
        <s v="160-Tela Prohfoam 10 (Blanco &amp; Beige) c/logo 16og 2,10"/>
        <s v="160-Tela Prohfoam 11 (Blanco &amp; Beige) c/logo 160g 2,10"/>
        <s v="160-Tela Prohfoam 12 (Blanco &amp; Gris) c/logo 160g 2,10"/>
        <s v="160-Tela Prohfoam 13 (Blanco &amp; Gris) c/logo 160G 2,10"/>
        <s v="160-Tela Prohfoam 14 (Blanco &amp; Gris) c/logo 160G 2,10"/>
        <s v="160-Tela Prohfoam 15 (Blanco &amp; Negro) c/logo 160G 2,10"/>
        <s v="160-Tela Prohfoam 16 (Blanco &amp; Beige) c/logo 160G 2,10"/>
        <s v="160-Tela Prohfoam 17 (Blanco &amp; Beige) c/logo 160G 2,10"/>
        <s v="Cara negra y amarre negro 180G 2,20 100%PES  / 0081001 TP ML 180G DV U"/>
        <s v="Cara gris oscuro y amarre negro 180G 2,20 100% PES"/>
        <s v="Cara negra y amarre negra, relleno blanco  180G 2,20 100% PES"/>
        <s v="TELA 90% NYLON 10% POLYESTER 300G 2,10 ICE AIRY BLUE"/>
        <s v="240G-TELA DISEÑO MUNDIAL FLORIDA 240 2,20 GRIS"/>
        <s v="Tela Pique material 40131357 195 gramos  azul claro"/>
        <s v="Tela pique 4020014 180 gramos"/>
        <s v="Tp  tratamiento Ice Cool  40131298 330 gramos"/>
        <s v="TELA PIQUE MATERIAL 40131300 195 GRAMOS"/>
        <s v="Tela Pique Material 40131462/ 280 Gramos"/>
        <s v="Tela pique A10313 180 gramos"/>
        <s v="Tela pique A10308 180 gramos"/>
        <s v="Tela pique A10337 180 gramos"/>
        <s v="Tela pique  180 gramos negro"/>
        <s v="Tela pique A10305 180 gramos"/>
        <s v="Tela pique A10324 (A10386) 180 gramos Marrón"/>
        <s v="Tela pique 242011 180 gramos"/>
        <s v="Tela pique A10322 180 gramos"/>
        <s v="Tela pique A10374 180 gramos"/>
        <s v="TP Mundialista Way (Cara) 180G Blanco y Azul Marino"/>
        <s v="200 2,20 100% PES CM NEGRO"/>
        <s v="195-Tela Pique blanca H-2760 195 gsm, 2.20 mts"/>
        <s v="180 -Tela pique 4020014 180 gramos "/>
        <s v="195-TELA PIQUE MATERIAL 40132435 195 GRAMOS"/>
        <s v="330g -Tela Pique tratamiento Ice Cool 40131298"/>
        <s v="180 -Tela pique 0392011 180 gramos"/>
        <s v="180 - Tela Pique 0292051 Gris Oscuro/Blanco"/>
        <s v="TELA PIQUE VENECIA (CARA) PERLA 180G A10380B- hilo 75/36"/>
        <s v="TELA PIQUE FLORENCIA (CARA) GRIS OSCURO 180G A0066031- Hilo 75/36"/>
        <s v="TELA PIQUE AURORA (CARA) BLANCO 180G A0449041- Hilo 7536"/>
        <s v="220G 2,20 100% PES CM GRIS MELANGE C/LOGO&gt; ajuste hilo /cambio AZUL"/>
        <s v="180 2,10 100% PES PL NEGRO Y AZUL MARINO"/>
        <s v="TELA 220G  2,20 100% PES AZUL MARINO&gt; ajuste hilo - AZUL MARINO"/>
        <s v="TELA 220G  2,20 100% PES AZUL MARINO&gt; ajuste hilo -AZUL MERANO"/>
        <s v="180G - TP 0292031&gt;02922061 GRIS OSCURO"/>
        <s v="Closeout fabrics (Zonkd para Century)"/>
        <s v="Círculos con líneas oscilatorias 180gsm  - pdto con hilo 75/36"/>
        <s v="Azul marino 220gsm 2,20L - pdto con hilo 75/36"/>
        <s v="Fondo blanco y arena 180gsm - (Ojo con la versión)"/>
        <s v="Azul claro 180gsm  - pdto con hilo 75/36"/>
        <s v="Azul, negro y blanco 180gsm (ERGOM)"/>
        <s v="Negro, blanco 180gsm - - pdto con hilo 75/36"/>
        <s v="TP 40132436 180GSM  MARRON 100% PES CM"/>
        <s v="TP 40130605 180GSM SALMÓN 100% PES CM"/>
        <s v="180G TP A10321&gt;A10321C Negro, blanco 180gsm- pdto con hilo 75/36"/>
        <s v="Tela pique 0392011 180 gramos Gris Oscuro"/>
        <s v="Tela piqué fondo gris con diseño material 149081 180gsm"/>
        <s v="180 100% PES CM MEZCLA  - c/hilo 7536"/>
        <s v="180 100% PES CM NEGRO  -  c/hilo 7536"/>
        <s v="180 100% PES CM BLANCO,AZUL MARINO, ARENA-c/hilo 7536"/>
        <s v="180 100% PES CM NEGRO -  c/hilo 7536"/>
        <s v="180 100% PES CM MEZCLA Y NEGRO  c/hilo 7536"/>
        <s v="220 100% PES CM AZUL MARINO 0056005    c/hilo 7536"/>
        <s v="280 100% PES XP NEGRO Y BLANCO"/>
        <s v="340 PES/PE CM BLANCO Y AZUL ARCTIC BREEZE S/LOGO"/>
        <s v="260 TELA  2,20 100% PES CM GRIS-HILO 75/36"/>
        <s v="180 - TP A10313 GRIS Y AZUL MARINO"/>
        <s v="180 - TP MATERIAL 40132436 MARRÓN"/>
        <s v="180 - TP F4223 BLANCO Y GRIS OSCURO"/>
        <s v="180 - TP F4225 NEGRO MEZCLA"/>
        <s v="180 - TP F4220 BLANCO Y NEGRO"/>
        <s v="180 - TP 0425021 MEZCLA "/>
        <s v="180 - TP BY 460-14D- 100% PES CM AZUL MARINO HOJAS"/>
        <s v="180 - TP DISEÑO X34-43  / A10322 PL BLANCO Y ARENA"/>
        <s v="180 - TP A10305 100% PES CM MEZCLA  - c/hilo 75/36"/>
        <s v="180 - TP A10294&gt;A10484 DISEÑOS Y FONDO GRIS "/>
        <s v="180 - TP A10337&gt;10374&gt;A10374D  CM MEZCLA Y BLANCO"/>
        <s v="180GR - TP ELEGANCE/MAJESTIC/JAPI/ ESPECIAL (CARA)- c/hilo 150/144"/>
        <s v="180GR - TP SPECTRA PLUS (CARA)-c/hilo 150/144"/>
        <s v="180 GR - TP ULTRA PRIMIUM PLUS (CARA)-c/hilo 150/144"/>
        <m/>
        <s v="180GR - TP ELEGANCE/MAJESTIC/JAPI/ ESPECIAL (CARA)" u="1"/>
        <s v="180GR - TP SPECTRA PLUS (CARA)" u="1"/>
        <s v="180 GR - TP ULTRA PRIMIUM PLUS (CARA)" u="1"/>
        <s v="180 - TP A10337&gt;10374&gt;A10374B  CM MEZCLA Y BLANCO" u="1"/>
        <s v="180 2,20 ELA PIQUE FLORENCIA (CARA) - GRIS OSCURO" u="1"/>
        <s v="TELA PIQUE VENECIA (CARA) PERLA 180G A10380B" u="1"/>
        <s v="TELA PIQUE FLORENCIA (CARA) GRIS OSCURO 180G A0066031" u="1"/>
        <s v="TELA PIQUE AURORA (CARA) BLANCO 180G A0449041" u="1"/>
        <s v="180 - TP DISEÑO X34-43 /A10332 BLANCO Y ARENA" u="1"/>
        <s v="180 - TP DISENÕ X34-43 CM003/A10332 BLANCO Y ARENA" u="1"/>
        <s v="180 - TP A10294 DISEÑOS Y FONDO GRIS " u="1"/>
        <s v="180GSM- TP BY 460-14D- 100% PES CM AZUL MARINO HOJAS" u="1"/>
        <s v="180GSM- TP DISENÕ X34-43 CM003/A10332 BLANCO Y ARENA" u="1"/>
        <s v="220G 2,20 100% PES CM GRIS MELANGE C/LOGO&gt; ajuste hilo 75/36-cambio azul" u="1"/>
        <s v="TELA 220G  2,20 100% PES AZUL MARINO&gt; ajuste hilo 75/36 -cambio azul marino" u="1"/>
        <s v="TELA 220G  2,20 100% PES AZUL MARINO&gt; ajuste hilo 75/36 -cambio azul merano" u="1"/>
        <s v="220G 2,20 100% PES CM GRIS MELANGE C/LOGO- ajuste hilo 75/36" u="1"/>
        <s v="TELA 220G  2,20 100% PES AZUL MARINO - ajuste hilo 75/36" u="1"/>
        <s v="220G 2,20 100% PES CM GRIS MELANGE C/LOGO" u="1"/>
        <s v="TELA 220G  2,20 100% PES AZUL MARINO" u="1"/>
        <s v="180 100% PES CM MEZCLA" u="1"/>
        <s v="180 100% PES CF NEGRO" u="1"/>
        <s v="180 100% PES CM BLANCO,AZUL MARINO, ARENA" u="1"/>
        <s v="180 100% PES CM NEGRO" u="1"/>
        <s v="180 100% PES CM MEZCLA Y NEGRO" u="1"/>
        <s v="220 100% PES CM AZUL MARINO 0056005 " u="1"/>
        <s v="TELA PIQUE VENECIA (CARA) PERLA GRIS 180G" u="1"/>
        <s v="TELA PIQUE FLORENCIA (CARA) GRIS OSCURO 180G" u="1"/>
        <s v="TELA PIQUE AURORA (CARA) BLANCO 180G" u="1"/>
        <s v="TELA PIQUE VENECIA (CARA)" u="1"/>
        <s v="TELA PIQUE FLORENCIA (CARA)" u="1"/>
        <s v="TELA PIQUE AURORA (CARA)" u="1"/>
        <s v="Cara negra y amarre negra 180G 2,20 100%PES" u="1"/>
        <s v="CARA NEGRA AMARRE NEGRO 180G 2,20 100% PES" u="1"/>
        <s v="BANDA 100% PES PL NEGRA" u="1"/>
        <s v="Tela Prohfoam 11 (Blanco &amp; Beige) c/logo 160g 2,10" u="1"/>
        <s v="Tela Prohfoam 15 (Blanco &amp; Negro) c/logo 160G 2,10" u="1"/>
        <s v="Tela Prohfoam 16 (Blanco &amp; Beige) c/logo 160G 2,10" u="1"/>
        <s v="Tela Prohfoam 17 (Blanco &amp; Beige) c/logo 160G 2,10" u="1"/>
        <s v="Tela pique A10324 180 gramos" u="1"/>
        <s v="180-TELA PIQUE MATERIAL 40132435 195 GRAMOS" u="1"/>
        <s v="Tela Píque Mundialista Way (Cara) 180G Blanco y Azul Marino" u="1"/>
        <s v="Tela Prohfoam 12 (Blanco &amp; Gris) c/logo 160g 2,10" u="1"/>
        <s v="Tela Prohfoam 13 (Blanco &amp; Gris) c/logo 160G 2,10" u="1"/>
        <s v="Tela Prohfoam 14 (Blanco &amp; Gris) c/logo 160G 2,10" u="1"/>
        <s v="Tela Prohfoam 5 (Blanco &amp; Negro) c/logo 160G 2,10" u="1"/>
        <s v="Tela Prohfoam 8 (Blanco &amp; Beige) c/logo 160G 2,10" u="1"/>
        <s v="CARA NEGRA AMARRE NEGRO (RELLENO BLANCO) 180G 2,20 100% PES" u="1"/>
        <s v="Tela Prohfoam 9  (Blanco &amp; Beige)  c/logo 160G 2,10" u="1"/>
        <s v="180 2,20 TELA PIQUE AURORA (CARA ) &gt;  BLANCO (Rmena 12/05)" u="1"/>
        <s v="Tela Prohfoam 10 (Blanco &amp; Beige) c/logo 16og 2,10" u="1"/>
        <s v="Tela Prohfoam 6 (Blanco &amp;Negro) c/logo 160G 2,10" u="1"/>
        <s v="200G-TELA PIQUE TL60250 /L152-64 RAYAS ONDULADAS NEGRAS" u="1"/>
        <s v="TAPA 100% PES CM NEGRO Y BLANCO" u="1"/>
        <s v="180 -Tela Pique blanca H-2760 195 gsm, 2.20 mts" u="1"/>
        <s v="CARA GRIS OSCURO AMARRE NEGRO 180G 2,20 100%PES" u="1"/>
        <s v="180G TP 0567001 FONDO AZUL, DEISEÑO BALÓN 180G" u="1"/>
        <s v="Tela Prohfoam 1 (Blanco)  c/ogo 160G 2,10" u="1"/>
        <s v="Tela Prohfoam 4 (Blanco) c/logo 160G 2,10" u="1"/>
        <s v="Tela Prohfoam 7 (Blanco) c/logo 160G 2,10" u="1"/>
        <s v="Tela Prohfoam 2 (Blanco) c/ogo160g 2,10" u="1"/>
        <s v="Tela Prohfoam 3 (Blanco) c/ogo 160G 2,10" u="1"/>
        <s v="Tela pique TBD-3 180 gramos" u="1"/>
        <s v="190G TP AAZUL MARINO Y CLARO 40132435" u="1"/>
      </sharedItems>
    </cacheField>
    <cacheField name="MT/YD" numFmtId="0">
      <sharedItems containsString="0" containsBlank="1" containsNumber="1" containsInteger="1" minValue="60" maxValue="30000"/>
    </cacheField>
    <cacheField name="KGS" numFmtId="0">
      <sharedItems containsBlank="1" containsMixedTypes="1" containsNumber="1" containsInteger="1" minValue="150" maxValue="3420"/>
    </cacheField>
    <cacheField name="PRECIO_x000a_USD" numFmtId="0">
      <sharedItems containsString="0" containsBlank="1" containsNumber="1" minValue="1.25" maxValue="6.07"/>
    </cacheField>
    <cacheField name="TOTAL _x000a_US$" numFmtId="0">
      <sharedItems containsString="0" containsBlank="1" containsNumber="1" minValue="0" maxValue="66000"/>
    </cacheField>
    <cacheField name="CONTACTO" numFmtId="0">
      <sharedItems containsBlank="1"/>
    </cacheField>
    <cacheField name="EMAIL" numFmtId="0">
      <sharedItems containsBlank="1"/>
    </cacheField>
    <cacheField name="TELF." numFmtId="0">
      <sharedItems containsBlank="1" containsMixedTypes="1" containsNumber="1" containsInteger="1" minValue="50224995500" maxValue="50687790927"/>
    </cacheField>
    <cacheField name="OBSERV." numFmtId="0">
      <sharedItems containsBlank="1"/>
    </cacheField>
    <cacheField name="SOP GT - REAL" numFmtId="0">
      <sharedItems containsDate="1" containsBlank="1" containsMixedTypes="1" minDate="2026-04-15T00:00:00" maxDate="2026-05-30T00:00:00" count="14">
        <m/>
        <d v="2026-04-15T00:00:00"/>
        <d v="2026-04-24T00:00:00"/>
        <d v="2026-04-30T00:00:00"/>
        <d v="2026-05-29T00:00:00"/>
        <d v="2026-04-16T00:00:00"/>
        <d v="2026-04-21T00:00:00"/>
        <d v="2026-04-29T00:00:00"/>
        <d v="2026-04-27T00:00:00"/>
        <d v="2026-05-06T00:00:00"/>
        <d v="2026-05-07T00:00:00"/>
        <s v=" Prioridad "/>
        <s v=" "/>
        <s v="Prioridad"/>
      </sharedItems>
    </cacheField>
    <cacheField name="FACTURACIÓN _x000a_GT/SOLIC. SALES ORDER" numFmtId="0">
      <sharedItems containsBlank="1"/>
    </cacheField>
    <cacheField name="FECHA _x000a_SOLICITUD SO" numFmtId="0">
      <sharedItems containsNonDate="0" containsDate="1" containsString="0" containsBlank="1" minDate="2026-08-19T00:00:00" maxDate="2026-08-26T00:00:00"/>
    </cacheField>
    <cacheField name="Meses (DATA /_x000a_PRO-FORMA)" numFmtId="0" databaseField="0">
      <fieldGroup base="3">
        <rangePr groupBy="months" startDate="2025-03-12T00:00:00" endDate="2026-12-23T00:00:00"/>
        <groupItems count="14">
          <s v="&lt;12/03/2025"/>
          <s v="ene"/>
          <s v="feb"/>
          <s v="mar"/>
          <s v="abr"/>
          <s v="may"/>
          <s v="jun"/>
          <s v="jul"/>
          <s v="ago"/>
          <s v="sep"/>
          <s v="oct"/>
          <s v="nov"/>
          <s v="dic"/>
          <s v="&gt;23/12/2026"/>
        </groupItems>
      </fieldGroup>
    </cacheField>
    <cacheField name="Trimestres (DATA /_x000a_PRO-FORMA)" numFmtId="0" databaseField="0">
      <fieldGroup base="3">
        <rangePr groupBy="quarters" startDate="2025-03-12T00:00:00" endDate="2026-12-23T00:00:00"/>
        <groupItems count="6">
          <s v="&lt;12/03/2025"/>
          <s v="Trim.1"/>
          <s v="Trim.2"/>
          <s v="Trim.3"/>
          <s v="Trim.4"/>
          <s v="&gt;23/12/2026"/>
        </groupItems>
      </fieldGroup>
    </cacheField>
    <cacheField name="Años (DATA /_x000a_PRO-FORMA)" numFmtId="0" databaseField="0">
      <fieldGroup base="3">
        <rangePr groupBy="years" startDate="2025-03-12T00:00:00" endDate="2026-12-23T00:00:00"/>
        <groupItems count="4">
          <s v="&lt;12/03/2025"/>
          <s v="2025"/>
          <s v="2026"/>
          <s v="&gt;23/12/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x v="0"/>
    <s v="- TELA POLYFIBRAS PES 210 ANCHO 300 GR ICE"/>
  </r>
  <r>
    <x v="1"/>
    <x v="1"/>
    <s v="TELA RELAXTECH MPTEL7531 220G 2,20L"/>
  </r>
  <r>
    <x v="2"/>
    <x v="1"/>
    <s v="TELA P/COLCHON 220GR ,CODIGO 0282004"/>
  </r>
  <r>
    <x v="2"/>
    <x v="1"/>
    <s v="TELA P/COLCHON 220GR, CODIGO 0147025"/>
  </r>
  <r>
    <x v="3"/>
    <x v="1"/>
    <s v="TELA PIQUE CUADROS AZULES Y PLATEADOS (A10093) 220GR"/>
  </r>
  <r>
    <x v="4"/>
    <x v="2"/>
    <s v="TELA EST TIPO PIQUE 200GR- GRIS -A10092 CE AMOSTR DV U"/>
  </r>
  <r>
    <x v="4"/>
    <x v="3"/>
    <s v="TELA PIQUE NEGRO LISO- C.E. CM 0149091 -"/>
  </r>
  <r>
    <x v="5"/>
    <x v="1"/>
    <s v="-TP ML AMOSTRA DIV 100% PES CM BRANCO 220GR"/>
  </r>
  <r>
    <x v="3"/>
    <x v="1"/>
    <s v="TELA PIQUE CUADROS AZULES Y PLATEADOS (A10093) 220GR"/>
  </r>
  <r>
    <x v="6"/>
    <x v="3"/>
    <s v="-TELA PIQUE FONDO GRIS C/DISEÑO 180GR"/>
  </r>
  <r>
    <x v="6"/>
    <x v="3"/>
    <s v="-TELA PIQUE T1-9033 180GR"/>
  </r>
  <r>
    <x v="6"/>
    <x v="4"/>
    <s v="TELA PIQUE 40199367 275GR 2,25A"/>
  </r>
  <r>
    <x v="7"/>
    <x v="5"/>
    <s v="TELA PIQUE CC001C/ LOGO CENTURY 250GR"/>
  </r>
  <r>
    <x v="8"/>
    <x v="2"/>
    <s v="-TELA RELAXTECH MPTEL7553 RAYAS AZUL 200GR"/>
  </r>
  <r>
    <x v="9"/>
    <x v="3"/>
    <s v="-TELA PIQUE 40132439 180GR"/>
  </r>
  <r>
    <x v="6"/>
    <x v="6"/>
    <s v="-  A10213 TP ML AMOSTRA DV U  190GR"/>
  </r>
  <r>
    <x v="4"/>
    <x v="3"/>
    <s v="-TELA PIQUE NEGRO LISO- C.E. CM 0149091 / MESCLA PRETO"/>
  </r>
  <r>
    <x v="10"/>
    <x v="0"/>
    <s v="-TELA COOLING ALOE - 300GR 2,29 ARTIC FREEZE S/LOGO"/>
  </r>
  <r>
    <x v="3"/>
    <x v="7"/>
    <s v="TELA PIQUE RAYAS ONDULADAS NEGRAS TL602507 210GR - A10174TP MP26027 DV U"/>
  </r>
  <r>
    <x v="4"/>
    <x v="2"/>
    <s v="-TELA EST TIPO PIQUE 200GR- GRIS -A10092"/>
  </r>
  <r>
    <x v="7"/>
    <x v="2"/>
    <s v="-TELA PIQUE 200GR 100% PES BRANCO E PERLA"/>
  </r>
  <r>
    <x v="3"/>
    <x v="7"/>
    <s v="TELA PIQUE RAYAS ONDULADAS NEGRAS TL602507 210GR - A10174TP MP26027 DV U"/>
  </r>
  <r>
    <x v="0"/>
    <x v="0"/>
    <s v="-TELA POLYFIBRAS PES 210 ANCHO 300 GR ICE- POLYFRIBRAS G300 2,10"/>
  </r>
  <r>
    <x v="6"/>
    <x v="6"/>
    <s v="-A10213 TP  MPTL0002  190GR"/>
  </r>
  <r>
    <x v="6"/>
    <x v="8"/>
    <s v="-TELA PIQUE NEGRO  - A10012 TP MPTL0506  240GR"/>
  </r>
  <r>
    <x v="3"/>
    <x v="3"/>
    <s v="- TELA PIQUE DISEÑO DM548-14 OLAS AZU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022.25"/>
    <x v="0"/>
    <s v="Guatemala"/>
    <d v="2025-03-12T00:00:00"/>
    <x v="0"/>
    <x v="0"/>
    <n v="2000"/>
    <n v="9520"/>
    <m/>
  </r>
  <r>
    <s v="180.25"/>
    <x v="1"/>
    <s v="Costa Rica"/>
    <d v="2025-05-20T00:00:00"/>
    <x v="1"/>
    <x v="1"/>
    <n v="5000"/>
    <n v="9250"/>
    <m/>
  </r>
  <r>
    <s v="149.25"/>
    <x v="2"/>
    <s v="El Salvador"/>
    <d v="2025-06-05T00:00:00"/>
    <x v="2"/>
    <x v="2"/>
    <n v="5000"/>
    <n v="10250"/>
    <m/>
  </r>
  <r>
    <s v="OC 4714"/>
    <x v="3"/>
    <s v="Guatemala"/>
    <d v="2025-06-06T00:00:00"/>
    <x v="3"/>
    <x v="3"/>
    <n v="1000"/>
    <n v="2020"/>
    <m/>
  </r>
  <r>
    <s v="OC 943"/>
    <x v="4"/>
    <s v="Guatemala"/>
    <d v="2025-05-12T00:00:00"/>
    <x v="4"/>
    <x v="4"/>
    <n v="60"/>
    <n v="118.8"/>
    <m/>
  </r>
  <r>
    <s v="OC952"/>
    <x v="4"/>
    <s v="Guatemala"/>
    <d v="2025-06-09T00:00:00"/>
    <x v="5"/>
    <x v="5"/>
    <n v="60"/>
    <n v="118.8"/>
    <m/>
  </r>
  <r>
    <n v="16345"/>
    <x v="5"/>
    <s v="El Salvador"/>
    <d v="2025-06-12T00:00:00"/>
    <x v="6"/>
    <x v="6"/>
    <n v="100"/>
    <n v="229.99999999999997"/>
    <m/>
  </r>
  <r>
    <s v="OC 4797"/>
    <x v="3"/>
    <s v="Guatemala"/>
    <d v="2025-06-19T00:00:00"/>
    <x v="7"/>
    <x v="7"/>
    <n v="1491"/>
    <n v="3011.82"/>
    <m/>
  </r>
  <r>
    <s v="OC 2003876"/>
    <x v="6"/>
    <s v="Guatemala"/>
    <d v="2025-06-19T00:00:00"/>
    <x v="8"/>
    <x v="7"/>
    <n v="4000"/>
    <n v="7040"/>
    <m/>
  </r>
  <r>
    <s v="SN -  '001"/>
    <x v="7"/>
    <s v="Guatemala"/>
    <d v="2025-06-24T00:00:00"/>
    <x v="9"/>
    <x v="8"/>
    <n v="1500"/>
    <n v="3720"/>
    <m/>
  </r>
  <r>
    <s v="186.25"/>
    <x v="1"/>
    <s v="Costa Rica"/>
    <d v="2025-06-05T00:00:00"/>
    <x v="10"/>
    <x v="2"/>
    <n v="10000"/>
    <n v="17900"/>
    <m/>
  </r>
  <r>
    <s v="OC 2003264"/>
    <x v="8"/>
    <s v="Honduras"/>
    <d v="2025-05-08T00:00:00"/>
    <x v="11"/>
    <x v="9"/>
    <n v="3000"/>
    <n v="5520"/>
    <m/>
  </r>
  <r>
    <s v="OC 2003995"/>
    <x v="6"/>
    <s v="Guatemala"/>
    <d v="2025-07-02T00:00:00"/>
    <x v="12"/>
    <x v="10"/>
    <n v="1500"/>
    <n v="2955"/>
    <m/>
  </r>
  <r>
    <s v="OC 001018"/>
    <x v="4"/>
    <s v="Guatemala"/>
    <d v="2025-07-08T00:00:00"/>
    <x v="13"/>
    <x v="11"/>
    <n v="2000"/>
    <n v="4000"/>
    <m/>
  </r>
  <r>
    <s v="OC OL25-0065"/>
    <x v="9"/>
    <s v="Guatemala"/>
    <d v="2025-07-10T00:00:00"/>
    <x v="14"/>
    <x v="12"/>
    <n v="700"/>
    <n v="2800"/>
    <m/>
  </r>
  <r>
    <s v="OC 4905"/>
    <x v="3"/>
    <s v="Guatemala"/>
    <d v="2025-07-11T00:00:00"/>
    <x v="15"/>
    <x v="13"/>
    <n v="1000"/>
    <n v="2280"/>
    <m/>
  </r>
  <r>
    <s v="OC 001041"/>
    <x v="4"/>
    <s v="Guatemala"/>
    <d v="2025-07-14T00:00:00"/>
    <x v="16"/>
    <x v="14"/>
    <n v="2000"/>
    <n v="3960"/>
    <m/>
  </r>
  <r>
    <s v="SN -  '002"/>
    <x v="7"/>
    <s v="Guatemala"/>
    <d v="2025-07-16T00:00:00"/>
    <x v="17"/>
    <x v="15"/>
    <n v="2000"/>
    <n v="3640"/>
    <m/>
  </r>
  <r>
    <s v="OC 4947"/>
    <x v="3"/>
    <s v="Guatemala"/>
    <d v="2025-07-16T00:00:00"/>
    <x v="18"/>
    <x v="15"/>
    <n v="1500"/>
    <n v="3419.9999999999995"/>
    <m/>
  </r>
  <r>
    <n v="2976"/>
    <x v="0"/>
    <s v="Guatemala"/>
    <d v="2025-07-25T00:00:00"/>
    <x v="19"/>
    <x v="16"/>
    <n v="2000"/>
    <n v="9520"/>
    <m/>
  </r>
  <r>
    <s v="OC 2004215"/>
    <x v="6"/>
    <s v="Guatemala"/>
    <d v="2025-07-25T00:00:00"/>
    <x v="20"/>
    <x v="16"/>
    <n v="2000"/>
    <n v="8092"/>
    <m/>
  </r>
  <r>
    <s v="OC 5011"/>
    <x v="3"/>
    <s v="Guatemala"/>
    <d v="2025-07-30T00:00:00"/>
    <x v="21"/>
    <x v="17"/>
    <n v="1000"/>
    <n v="2060"/>
    <s v="OK 0808"/>
  </r>
  <r>
    <s v="OC 001094"/>
    <x v="4"/>
    <s v="Guatemala"/>
    <d v="2025-08-07T00:00:00"/>
    <x v="22"/>
    <x v="18"/>
    <n v="6000"/>
    <n v="11920"/>
    <m/>
  </r>
  <r>
    <s v="OC 562"/>
    <x v="10"/>
    <s v="Honduras"/>
    <d v="2025-08-07T00:00:00"/>
    <x v="23"/>
    <x v="18"/>
    <n v="300"/>
    <n v="1440"/>
    <s v="Divergencia de precios Ok"/>
  </r>
  <r>
    <s v="OC 560"/>
    <x v="10"/>
    <s v="Honduras"/>
    <d v="2025-08-07T00:00:00"/>
    <x v="24"/>
    <x v="18"/>
    <n v="2000"/>
    <n v="3400"/>
    <s v="Divergencia de precios Ok"/>
  </r>
  <r>
    <s v="OC 564"/>
    <x v="10"/>
    <s v="Honduras"/>
    <d v="2025-08-07T00:00:00"/>
    <x v="25"/>
    <x v="18"/>
    <n v="300"/>
    <n v="759"/>
    <s v="Divergencia de precios Ok"/>
  </r>
  <r>
    <s v="OC 14073"/>
    <x v="11"/>
    <s v="Guatemala"/>
    <d v="2025-08-12T00:00:00"/>
    <x v="26"/>
    <x v="19"/>
    <n v="10500"/>
    <n v="17990"/>
    <s v="Divergencia de precios Ok"/>
  </r>
  <r>
    <s v="OC 2004370"/>
    <x v="6"/>
    <s v="Guatemala"/>
    <d v="2025-08-13T00:00:00"/>
    <x v="27"/>
    <x v="20"/>
    <n v="1000"/>
    <n v="1760"/>
    <s v="ok 13/08"/>
  </r>
  <r>
    <s v="OC 561"/>
    <x v="10"/>
    <s v="Honduras"/>
    <d v="2025-08-14T00:00:00"/>
    <x v="28"/>
    <x v="21"/>
    <n v="2000"/>
    <n v="3640"/>
    <s v="ok 19/08 diseño y códigos ok"/>
  </r>
  <r>
    <s v="OC 563"/>
    <x v="10"/>
    <s v="Honduras"/>
    <d v="2025-08-14T00:00:00"/>
    <x v="29"/>
    <x v="21"/>
    <n v="1000"/>
    <n v="663"/>
    <s v="ok 19/08 diseño y códigos ok"/>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s v="022.25"/>
    <x v="0"/>
    <x v="0"/>
    <x v="0"/>
    <x v="0"/>
    <x v="0"/>
    <x v="0"/>
    <m/>
    <x v="0"/>
    <x v="0"/>
    <n v="2000"/>
    <n v="1230"/>
    <n v="4.76"/>
    <n v="9520"/>
    <s v="Rodolfo Gerónimo"/>
    <s v="rgeronimo@gp.com.pt"/>
    <n v="50224995500"/>
    <m/>
    <x v="0"/>
    <m/>
    <m/>
  </r>
  <r>
    <s v="180.25"/>
    <x v="1"/>
    <x v="1"/>
    <x v="1"/>
    <x v="1"/>
    <x v="1"/>
    <x v="1"/>
    <m/>
    <x v="1"/>
    <x v="1"/>
    <n v="5000"/>
    <n v="2350"/>
    <n v="1.85"/>
    <n v="9250"/>
    <s v="Lisseth Ramirez "/>
    <s v="lramirez@relaxtechcr.com"/>
    <n v="50687790927"/>
    <m/>
    <x v="0"/>
    <m/>
    <m/>
  </r>
  <r>
    <s v="149.25"/>
    <x v="2"/>
    <x v="2"/>
    <x v="2"/>
    <x v="2"/>
    <x v="2"/>
    <x v="2"/>
    <m/>
    <x v="2"/>
    <x v="2"/>
    <n v="5000"/>
    <s v="NA"/>
    <n v="2.0499999999999998"/>
    <n v="10250"/>
    <s v="Ana Delmy Rodríguez"/>
    <s v="compras@industriascapri.com"/>
    <s v="+5032242-11"/>
    <m/>
    <x v="0"/>
    <m/>
    <m/>
  </r>
  <r>
    <s v="149.25"/>
    <x v="2"/>
    <x v="2"/>
    <x v="2"/>
    <x v="2"/>
    <x v="3"/>
    <x v="3"/>
    <m/>
    <x v="2"/>
    <x v="3"/>
    <n v="5000"/>
    <s v="NA"/>
    <n v="2.04"/>
    <n v="10200"/>
    <s v="Ana Delmy Rodríguez"/>
    <s v="compras@industriascapri.com"/>
    <s v="+5032242-11"/>
    <m/>
    <x v="0"/>
    <m/>
    <m/>
  </r>
  <r>
    <s v="OC 4714"/>
    <x v="3"/>
    <x v="0"/>
    <x v="3"/>
    <x v="2"/>
    <x v="4"/>
    <x v="4"/>
    <m/>
    <x v="3"/>
    <x v="4"/>
    <n v="1000"/>
    <s v="NA"/>
    <n v="2.02"/>
    <n v="2020"/>
    <s v="Igor (Conex GUA)"/>
    <s v="NA"/>
    <s v="NA"/>
    <m/>
    <x v="0"/>
    <m/>
    <m/>
  </r>
  <r>
    <s v="OC 943"/>
    <x v="4"/>
    <x v="0"/>
    <x v="4"/>
    <x v="1"/>
    <x v="5"/>
    <x v="5"/>
    <n v="130"/>
    <x v="4"/>
    <x v="5"/>
    <n v="60"/>
    <s v="NA"/>
    <n v="1.98"/>
    <n v="118.8"/>
    <s v="Igor (Conex GUA)"/>
    <s v="NA"/>
    <s v="NA"/>
    <m/>
    <x v="0"/>
    <m/>
    <m/>
  </r>
  <r>
    <s v="OC952"/>
    <x v="4"/>
    <x v="0"/>
    <x v="5"/>
    <x v="2"/>
    <x v="6"/>
    <x v="6"/>
    <n v="129"/>
    <x v="5"/>
    <x v="6"/>
    <n v="60"/>
    <s v="NA"/>
    <n v="1.98"/>
    <n v="118.8"/>
    <s v="Igor (Conex GUA)"/>
    <s v="NA"/>
    <s v="NA"/>
    <m/>
    <x v="0"/>
    <m/>
    <m/>
  </r>
  <r>
    <n v="16345"/>
    <x v="5"/>
    <x v="2"/>
    <x v="6"/>
    <x v="2"/>
    <x v="6"/>
    <x v="7"/>
    <n v="133"/>
    <x v="6"/>
    <x v="7"/>
    <n v="100"/>
    <s v="NA"/>
    <n v="2.2999999999999998"/>
    <n v="229.99999999999997"/>
    <s v="Igor (Conex GUA)"/>
    <s v="NA"/>
    <s v="NA"/>
    <m/>
    <x v="0"/>
    <m/>
    <m/>
  </r>
  <r>
    <s v="OC 4797"/>
    <x v="3"/>
    <x v="0"/>
    <x v="7"/>
    <x v="2"/>
    <x v="4"/>
    <x v="4"/>
    <s v="-"/>
    <x v="7"/>
    <x v="4"/>
    <n v="1491"/>
    <s v="NA"/>
    <n v="2.02"/>
    <n v="3011.82"/>
    <s v="Rodrigo (Conex Gua)"/>
    <s v="NA"/>
    <s v="NA"/>
    <m/>
    <x v="0"/>
    <m/>
    <m/>
  </r>
  <r>
    <s v="OC 2003876"/>
    <x v="6"/>
    <x v="0"/>
    <x v="7"/>
    <x v="2"/>
    <x v="7"/>
    <x v="8"/>
    <s v="-"/>
    <x v="8"/>
    <x v="8"/>
    <n v="4000"/>
    <s v="NA"/>
    <n v="1.76"/>
    <n v="7040"/>
    <s v="Rodrigo (Conex Gua)"/>
    <s v="NA"/>
    <s v="NA"/>
    <m/>
    <x v="0"/>
    <m/>
    <m/>
  </r>
  <r>
    <s v="OC 2003876"/>
    <x v="6"/>
    <x v="0"/>
    <x v="7"/>
    <x v="2"/>
    <x v="8"/>
    <x v="9"/>
    <s v="-"/>
    <x v="8"/>
    <x v="9"/>
    <n v="2500"/>
    <s v="NA"/>
    <n v="2.35"/>
    <n v="5875"/>
    <s v="Rodrigo (Conex Gua)"/>
    <s v="NA"/>
    <s v="NA"/>
    <m/>
    <x v="0"/>
    <m/>
    <m/>
  </r>
  <r>
    <s v="OC 2003876"/>
    <x v="6"/>
    <x v="0"/>
    <x v="7"/>
    <x v="2"/>
    <x v="9"/>
    <x v="10"/>
    <s v="-"/>
    <x v="8"/>
    <x v="10"/>
    <n v="2500"/>
    <s v="NA"/>
    <n v="4.1500000000000004"/>
    <n v="10375"/>
    <s v="Rodrigo (Conex Gua)"/>
    <s v="NA"/>
    <s v="NA"/>
    <m/>
    <x v="0"/>
    <m/>
    <m/>
  </r>
  <r>
    <s v="SN -  '001"/>
    <x v="7"/>
    <x v="0"/>
    <x v="8"/>
    <x v="2"/>
    <x v="10"/>
    <x v="11"/>
    <s v="-"/>
    <x v="9"/>
    <x v="11"/>
    <n v="1500"/>
    <s v="NA"/>
    <n v="2.48"/>
    <n v="3720"/>
    <s v="Rodrigo (Conex Gua)"/>
    <s v="NA"/>
    <s v="NA"/>
    <m/>
    <x v="0"/>
    <m/>
    <m/>
  </r>
  <r>
    <s v="186.25"/>
    <x v="1"/>
    <x v="1"/>
    <x v="2"/>
    <x v="2"/>
    <x v="11"/>
    <x v="12"/>
    <m/>
    <x v="10"/>
    <x v="12"/>
    <n v="10000"/>
    <s v="NA"/>
    <n v="1.79"/>
    <n v="17900"/>
    <s v="Carlos Ruiz"/>
    <s v="NA"/>
    <s v="NA"/>
    <m/>
    <x v="0"/>
    <m/>
    <m/>
  </r>
  <r>
    <s v="OC 2003264"/>
    <x v="8"/>
    <x v="3"/>
    <x v="9"/>
    <x v="1"/>
    <x v="12"/>
    <x v="13"/>
    <m/>
    <x v="11"/>
    <x v="13"/>
    <n v="3000"/>
    <s v="NA"/>
    <n v="1.84"/>
    <n v="5520"/>
    <s v="Rodrigo (Conex Gua)"/>
    <s v="NA"/>
    <s v="NA"/>
    <s v="Espero revis. Código Y ok tab precio"/>
    <x v="0"/>
    <m/>
    <m/>
  </r>
  <r>
    <s v="OC 2003995"/>
    <x v="6"/>
    <x v="0"/>
    <x v="10"/>
    <x v="3"/>
    <x v="13"/>
    <x v="14"/>
    <m/>
    <x v="12"/>
    <x v="14"/>
    <n v="1500"/>
    <s v="NA"/>
    <n v="1.97"/>
    <n v="2955"/>
    <s v="Rodrigo (Conex Gua)"/>
    <s v="NA"/>
    <s v="NA"/>
    <s v="ok - REVISADO C/Mauricio"/>
    <x v="0"/>
    <m/>
    <m/>
  </r>
  <r>
    <s v="OC 001018"/>
    <x v="4"/>
    <x v="0"/>
    <x v="11"/>
    <x v="3"/>
    <x v="6"/>
    <x v="15"/>
    <m/>
    <x v="13"/>
    <x v="15"/>
    <n v="2000"/>
    <s v="NA"/>
    <n v="2"/>
    <n v="4000"/>
    <s v="Rodrigo (Conex Gua)"/>
    <s v="NA"/>
    <s v="NA"/>
    <s v="ok - REVISADO C/Mauricio"/>
    <x v="0"/>
    <m/>
    <m/>
  </r>
  <r>
    <s v="OC OL25-0065"/>
    <x v="9"/>
    <x v="0"/>
    <x v="12"/>
    <x v="3"/>
    <x v="14"/>
    <x v="16"/>
    <m/>
    <x v="14"/>
    <x v="16"/>
    <n v="700"/>
    <s v="NA"/>
    <n v="4"/>
    <n v="2800"/>
    <s v="Rodrigo (Conex Gua)"/>
    <s v="NA"/>
    <s v="NA"/>
    <s v="ok - REVISADO C/Mauricio"/>
    <x v="0"/>
    <m/>
    <m/>
  </r>
  <r>
    <s v="OC 4905"/>
    <x v="3"/>
    <x v="0"/>
    <x v="13"/>
    <x v="3"/>
    <x v="15"/>
    <x v="17"/>
    <m/>
    <x v="15"/>
    <x v="17"/>
    <n v="1000"/>
    <s v="NA"/>
    <n v="2.2799999999999998"/>
    <n v="2280"/>
    <s v="Rodrigo (Conex Gua)"/>
    <s v="NA"/>
    <s v="NA"/>
    <s v="cód rev ID 5808- pend, incluir tab precio"/>
    <x v="0"/>
    <m/>
    <m/>
  </r>
  <r>
    <s v="OC 001041"/>
    <x v="4"/>
    <x v="0"/>
    <x v="14"/>
    <x v="3"/>
    <x v="5"/>
    <x v="5"/>
    <n v="186"/>
    <x v="16"/>
    <x v="18"/>
    <n v="2000"/>
    <s v="NA"/>
    <n v="1.98"/>
    <n v="3960"/>
    <s v="Rodrigo (Conex Gua)"/>
    <s v="NA"/>
    <s v="NA"/>
    <s v="cód rev.a10092 "/>
    <x v="0"/>
    <m/>
    <m/>
  </r>
  <r>
    <s v="SN -  '002"/>
    <x v="7"/>
    <x v="0"/>
    <x v="15"/>
    <x v="3"/>
    <x v="16"/>
    <x v="18"/>
    <n v="182"/>
    <x v="17"/>
    <x v="19"/>
    <n v="2000"/>
    <m/>
    <n v="1.82"/>
    <n v="3640"/>
    <s v="Rodrigo (Conex Gua)"/>
    <s v="NA"/>
    <s v="NA"/>
    <s v="cód nuevo ok"/>
    <x v="0"/>
    <m/>
    <m/>
  </r>
  <r>
    <s v="OC 4947"/>
    <x v="3"/>
    <x v="0"/>
    <x v="15"/>
    <x v="3"/>
    <x v="15"/>
    <x v="17"/>
    <n v="194"/>
    <x v="18"/>
    <x v="17"/>
    <n v="1500"/>
    <m/>
    <n v="2.2799999999999998"/>
    <n v="3419.9999999999995"/>
    <s v="Rodrigo (Conex Gua)"/>
    <s v="NA"/>
    <s v="NA"/>
    <m/>
    <x v="0"/>
    <m/>
    <m/>
  </r>
  <r>
    <n v="2976"/>
    <x v="0"/>
    <x v="0"/>
    <x v="16"/>
    <x v="3"/>
    <x v="0"/>
    <x v="0"/>
    <n v="192"/>
    <x v="19"/>
    <x v="20"/>
    <n v="2000"/>
    <m/>
    <n v="4.76"/>
    <n v="9520"/>
    <s v="Rodrigo (Conex Gua)"/>
    <s v="NA"/>
    <s v="NA"/>
    <m/>
    <x v="0"/>
    <m/>
    <m/>
  </r>
  <r>
    <s v="OC 2004215"/>
    <x v="6"/>
    <x v="0"/>
    <x v="16"/>
    <x v="3"/>
    <x v="17"/>
    <x v="14"/>
    <s v="189/190"/>
    <x v="20"/>
    <x v="21"/>
    <n v="2000"/>
    <m/>
    <n v="1.97"/>
    <n v="3940"/>
    <s v="Rodrigo (Conex Gua)"/>
    <s v="NA"/>
    <s v="NA"/>
    <m/>
    <x v="0"/>
    <m/>
    <m/>
  </r>
  <r>
    <s v="OC 2004215"/>
    <x v="6"/>
    <x v="0"/>
    <x v="16"/>
    <x v="3"/>
    <x v="18"/>
    <x v="19"/>
    <s v="189/190"/>
    <x v="20"/>
    <x v="22"/>
    <n v="1200"/>
    <m/>
    <n v="3.46"/>
    <n v="4152"/>
    <s v="Rodrigo (Conex Gua)"/>
    <s v="NA"/>
    <s v="NA"/>
    <s v="OK Cadastro em tab preço"/>
    <x v="0"/>
    <m/>
    <m/>
  </r>
  <r>
    <s v="OC 5011"/>
    <x v="3"/>
    <x v="0"/>
    <x v="17"/>
    <x v="4"/>
    <x v="19"/>
    <x v="20"/>
    <m/>
    <x v="21"/>
    <x v="23"/>
    <n v="1000"/>
    <m/>
    <n v="2.06"/>
    <n v="2060"/>
    <s v="Rodrigo (Conex Gua)"/>
    <s v="NA"/>
    <s v="NA"/>
    <s v="- Fup liberar cód producción - OK"/>
    <x v="0"/>
    <m/>
    <m/>
  </r>
  <r>
    <s v="OC 001094"/>
    <x v="4"/>
    <x v="0"/>
    <x v="18"/>
    <x v="4"/>
    <x v="20"/>
    <x v="5"/>
    <m/>
    <x v="22"/>
    <x v="24"/>
    <n v="4000"/>
    <m/>
    <n v="1.98"/>
    <n v="7920"/>
    <s v="Rodrigo (Conex Gua)"/>
    <s v="NA"/>
    <s v="NA"/>
    <m/>
    <x v="0"/>
    <m/>
    <m/>
  </r>
  <r>
    <s v="OC 001094"/>
    <x v="4"/>
    <x v="0"/>
    <x v="18"/>
    <x v="4"/>
    <x v="21"/>
    <x v="21"/>
    <m/>
    <x v="22"/>
    <x v="25"/>
    <n v="2000"/>
    <m/>
    <n v="2"/>
    <n v="4000"/>
    <s v="Rodrigo (Conex Gua)"/>
    <s v="NA"/>
    <s v="NA"/>
    <m/>
    <x v="0"/>
    <m/>
    <m/>
  </r>
  <r>
    <s v="OC 562"/>
    <x v="10"/>
    <x v="3"/>
    <x v="18"/>
    <x v="4"/>
    <x v="22"/>
    <x v="22"/>
    <n v="206"/>
    <x v="23"/>
    <x v="26"/>
    <n v="300"/>
    <m/>
    <n v="5.31"/>
    <n v="1592.9999999999998"/>
    <s v="Rodrigo (Conex Gua)"/>
    <s v="NA"/>
    <s v="NA"/>
    <s v="pedidos ajustados diverg precios - liberado"/>
    <x v="0"/>
    <m/>
    <m/>
  </r>
  <r>
    <s v="OC 560"/>
    <x v="10"/>
    <x v="3"/>
    <x v="18"/>
    <x v="4"/>
    <x v="23"/>
    <x v="23"/>
    <n v="204"/>
    <x v="24"/>
    <x v="27"/>
    <n v="2000"/>
    <m/>
    <n v="1.82"/>
    <n v="3640"/>
    <s v="Rodrigo (Conex Gua)"/>
    <s v="NA"/>
    <s v="NA"/>
    <s v="pedidos ajustados diverg precios - liberado"/>
    <x v="0"/>
    <m/>
    <m/>
  </r>
  <r>
    <s v="OC 564"/>
    <x v="10"/>
    <x v="3"/>
    <x v="18"/>
    <x v="4"/>
    <x v="24"/>
    <x v="24"/>
    <m/>
    <x v="25"/>
    <x v="28"/>
    <n v="300"/>
    <m/>
    <n v="2.21"/>
    <n v="663"/>
    <s v="Rodrigo (Conex Gua)"/>
    <s v="NA"/>
    <s v="NA"/>
    <s v="pedidos ajustados diverg precios - liberado"/>
    <x v="0"/>
    <m/>
    <m/>
  </r>
  <r>
    <s v="OC 14073"/>
    <x v="11"/>
    <x v="0"/>
    <x v="19"/>
    <x v="4"/>
    <x v="25"/>
    <x v="25"/>
    <m/>
    <x v="26"/>
    <x v="29"/>
    <n v="3500"/>
    <m/>
    <n v="1.58"/>
    <n v="5530"/>
    <s v="Rodrigo (Conex Gua)"/>
    <s v="NA"/>
    <s v="NA"/>
    <s v="pedidos ajustados diverg precios - liberado"/>
    <x v="0"/>
    <m/>
    <m/>
  </r>
  <r>
    <s v="OC 14073"/>
    <x v="11"/>
    <x v="0"/>
    <x v="19"/>
    <x v="4"/>
    <x v="26"/>
    <x v="26"/>
    <m/>
    <x v="26"/>
    <x v="30"/>
    <n v="3500"/>
    <m/>
    <n v="1.6"/>
    <n v="5600"/>
    <s v="Rodrigo (Conex Gua)"/>
    <s v="NA"/>
    <s v="NA"/>
    <s v="pedidos ajustados diverg precios - liberado"/>
    <x v="0"/>
    <m/>
    <m/>
  </r>
  <r>
    <s v="OC 14073"/>
    <x v="11"/>
    <x v="0"/>
    <x v="19"/>
    <x v="4"/>
    <x v="27"/>
    <x v="27"/>
    <m/>
    <x v="26"/>
    <x v="31"/>
    <n v="3500"/>
    <m/>
    <n v="1.65"/>
    <n v="5775"/>
    <s v="Rodrigo (Conex Gua)"/>
    <s v="NA"/>
    <s v="NA"/>
    <s v="pedidos ajustados diverg precios - liberado"/>
    <x v="0"/>
    <m/>
    <m/>
  </r>
  <r>
    <s v="OC 2004370"/>
    <x v="6"/>
    <x v="0"/>
    <x v="20"/>
    <x v="4"/>
    <x v="7"/>
    <x v="8"/>
    <n v="209"/>
    <x v="27"/>
    <x v="8"/>
    <n v="1000"/>
    <m/>
    <n v="1.76"/>
    <n v="1760"/>
    <s v="Rodrigo (Conex Gua)"/>
    <s v="NA"/>
    <s v="NA"/>
    <s v="Ok-liberado"/>
    <x v="0"/>
    <m/>
    <m/>
  </r>
  <r>
    <s v="OC 561"/>
    <x v="10"/>
    <x v="3"/>
    <x v="21"/>
    <x v="4"/>
    <x v="28"/>
    <x v="28"/>
    <n v="211"/>
    <x v="28"/>
    <x v="32"/>
    <n v="2000"/>
    <m/>
    <n v="1.82"/>
    <n v="3640"/>
    <s v="Rodrigo (Conex Gua)"/>
    <s v="NA"/>
    <s v="NA"/>
    <m/>
    <x v="0"/>
    <m/>
    <m/>
  </r>
  <r>
    <s v="OC 563"/>
    <x v="10"/>
    <x v="3"/>
    <x v="21"/>
    <x v="4"/>
    <x v="28"/>
    <x v="28"/>
    <m/>
    <x v="29"/>
    <x v="32"/>
    <n v="1000"/>
    <m/>
    <n v="1.82"/>
    <n v="1820"/>
    <s v="Rodrigo (Conex Gua)"/>
    <s v="NA"/>
    <s v="NA"/>
    <m/>
    <x v="0"/>
    <m/>
    <m/>
  </r>
  <r>
    <s v="OC-7-00001100"/>
    <x v="12"/>
    <x v="0"/>
    <x v="22"/>
    <x v="4"/>
    <x v="29"/>
    <x v="29"/>
    <m/>
    <x v="30"/>
    <x v="33"/>
    <n v="162"/>
    <m/>
    <n v="1.96"/>
    <n v="317.52"/>
    <s v="Rodrigo (Conex Gua)"/>
    <s v="NA"/>
    <s v="NA"/>
    <s v="Fup Crear lista de precios"/>
    <x v="0"/>
    <m/>
    <m/>
  </r>
  <r>
    <s v="SN -  '003"/>
    <x v="7"/>
    <x v="0"/>
    <x v="23"/>
    <x v="4"/>
    <x v="30"/>
    <x v="30"/>
    <m/>
    <x v="31"/>
    <x v="34"/>
    <n v="1500"/>
    <m/>
    <n v="1.7"/>
    <n v="2550"/>
    <s v="Rodrigo (Conex Gua)"/>
    <s v="NA"/>
    <s v="NA"/>
    <m/>
    <x v="0"/>
    <m/>
    <m/>
  </r>
  <r>
    <s v="OC 5124"/>
    <x v="3"/>
    <x v="0"/>
    <x v="23"/>
    <x v="4"/>
    <x v="4"/>
    <x v="4"/>
    <m/>
    <x v="32"/>
    <x v="35"/>
    <n v="1600"/>
    <m/>
    <n v="2.02"/>
    <n v="3232"/>
    <s v="Rodrigo (Conex Gua)"/>
    <s v="NA"/>
    <s v="NA"/>
    <m/>
    <x v="0"/>
    <m/>
    <m/>
  </r>
  <r>
    <s v="OC 5124"/>
    <x v="3"/>
    <x v="0"/>
    <x v="23"/>
    <x v="4"/>
    <x v="15"/>
    <x v="31"/>
    <m/>
    <x v="32"/>
    <x v="36"/>
    <n v="1000"/>
    <m/>
    <n v="2.2799999999999998"/>
    <n v="2280"/>
    <s v="Rodrigo (Conex Gua)"/>
    <s v="NA"/>
    <s v="NA"/>
    <m/>
    <x v="0"/>
    <m/>
    <m/>
  </r>
  <r>
    <s v="OC 5124"/>
    <x v="3"/>
    <x v="0"/>
    <x v="23"/>
    <x v="4"/>
    <x v="31"/>
    <x v="32"/>
    <m/>
    <x v="32"/>
    <x v="37"/>
    <n v="1000"/>
    <m/>
    <n v="2.91"/>
    <n v="2910"/>
    <s v="Rodrigo (Conex Gua)"/>
    <s v="NA"/>
    <s v="NA"/>
    <m/>
    <x v="0"/>
    <m/>
    <m/>
  </r>
  <r>
    <s v="OC 2004479"/>
    <x v="6"/>
    <x v="0"/>
    <x v="24"/>
    <x v="4"/>
    <x v="32"/>
    <x v="33"/>
    <n v="218"/>
    <x v="33"/>
    <x v="38"/>
    <n v="2000"/>
    <m/>
    <n v="1.99"/>
    <n v="3980"/>
    <s v="Rodrigo (Conex Gua)"/>
    <s v="NA"/>
    <s v="NA"/>
    <m/>
    <x v="0"/>
    <m/>
    <m/>
  </r>
  <r>
    <s v="OC 2004479"/>
    <x v="6"/>
    <x v="0"/>
    <x v="24"/>
    <x v="4"/>
    <x v="7"/>
    <x v="8"/>
    <s v="--"/>
    <x v="33"/>
    <x v="8"/>
    <n v="2000"/>
    <m/>
    <n v="1.76"/>
    <n v="3520"/>
    <s v="Rodrigo (Conex Gua)"/>
    <s v="NA"/>
    <s v="NA"/>
    <m/>
    <x v="0"/>
    <m/>
    <m/>
  </r>
  <r>
    <s v="OC 2004479"/>
    <x v="6"/>
    <x v="0"/>
    <x v="24"/>
    <x v="4"/>
    <x v="33"/>
    <x v="34"/>
    <s v="--"/>
    <x v="33"/>
    <x v="39"/>
    <n v="3000"/>
    <m/>
    <n v="1.62"/>
    <n v="4860"/>
    <s v="Rodrigo (Conex Gua)"/>
    <s v="NA"/>
    <s v="NA"/>
    <s v="cadastrar códido em tabla precios cliente/ OK"/>
    <x v="0"/>
    <m/>
    <m/>
  </r>
  <r>
    <s v="OC 3074"/>
    <x v="0"/>
    <x v="0"/>
    <x v="25"/>
    <x v="5"/>
    <x v="0"/>
    <x v="0"/>
    <m/>
    <x v="34"/>
    <x v="20"/>
    <n v="2000"/>
    <m/>
    <n v="4.76"/>
    <n v="9520"/>
    <s v="Rodrigo (Conex Gua)"/>
    <s v="NA"/>
    <s v="NA"/>
    <s v="OK"/>
    <x v="0"/>
    <m/>
    <m/>
  </r>
  <r>
    <s v="OC 2003672"/>
    <x v="8"/>
    <x v="3"/>
    <x v="26"/>
    <x v="5"/>
    <x v="34"/>
    <x v="35"/>
    <m/>
    <x v="35"/>
    <x v="40"/>
    <n v="3000"/>
    <m/>
    <n v="1.78"/>
    <n v="5340"/>
    <s v="Rodrigo (Conex Gua)"/>
    <s v="NA"/>
    <s v="NA"/>
    <s v="1era proforma test com GT"/>
    <x v="0"/>
    <m/>
    <m/>
  </r>
  <r>
    <s v="OC 2003672"/>
    <x v="8"/>
    <x v="3"/>
    <x v="26"/>
    <x v="5"/>
    <x v="35"/>
    <x v="8"/>
    <m/>
    <x v="35"/>
    <x v="41"/>
    <n v="1500"/>
    <m/>
    <n v="1.79"/>
    <n v="2685"/>
    <s v="Rodrigo (Conex Gua)"/>
    <s v="NA"/>
    <s v="NA"/>
    <s v="1era proforma test com GT"/>
    <x v="0"/>
    <m/>
    <m/>
  </r>
  <r>
    <s v="OC 570"/>
    <x v="10"/>
    <x v="3"/>
    <x v="27"/>
    <x v="5"/>
    <x v="36"/>
    <x v="36"/>
    <m/>
    <x v="36"/>
    <x v="42"/>
    <n v="1200"/>
    <m/>
    <n v="2.21"/>
    <n v="2652"/>
    <s v="Rodrigo (Conex Gua)"/>
    <s v="NA"/>
    <s v="NA"/>
    <s v="Agrd cód de prod em Totvs - precio alineado"/>
    <x v="0"/>
    <m/>
    <m/>
  </r>
  <r>
    <s v="OC 2004582"/>
    <x v="13"/>
    <x v="0"/>
    <x v="28"/>
    <x v="5"/>
    <x v="37"/>
    <x v="37"/>
    <m/>
    <x v="37"/>
    <x v="43"/>
    <n v="300"/>
    <m/>
    <n v="3.53"/>
    <n v="1059"/>
    <s v="Rodrigo (Conex Gua)"/>
    <s v="NA"/>
    <s v="NA"/>
    <s v="alinear códigos-cadastrar Totvs"/>
    <x v="0"/>
    <m/>
    <m/>
  </r>
  <r>
    <s v="OC 2004582"/>
    <x v="13"/>
    <x v="0"/>
    <x v="28"/>
    <x v="5"/>
    <x v="38"/>
    <x v="38"/>
    <m/>
    <x v="37"/>
    <x v="44"/>
    <n v="6000"/>
    <m/>
    <n v="1.79"/>
    <n v="10740"/>
    <s v="Rodrigo (Conex Gua)"/>
    <s v="NA"/>
    <s v="NA"/>
    <s v="alinear códigos-cadastrar Totvs"/>
    <x v="0"/>
    <m/>
    <m/>
  </r>
  <r>
    <s v="OC 2004592"/>
    <x v="13"/>
    <x v="0"/>
    <x v="29"/>
    <x v="5"/>
    <x v="7"/>
    <x v="8"/>
    <m/>
    <x v="38"/>
    <x v="8"/>
    <n v="1500"/>
    <m/>
    <n v="1.76"/>
    <n v="2640"/>
    <s v="Rodrigo (Conex Gua)"/>
    <s v="NA"/>
    <s v="NA"/>
    <s v="OK"/>
    <x v="0"/>
    <m/>
    <m/>
  </r>
  <r>
    <s v="OC 2003719"/>
    <x v="8"/>
    <x v="3"/>
    <x v="30"/>
    <x v="5"/>
    <x v="39"/>
    <x v="8"/>
    <m/>
    <x v="39"/>
    <x v="41"/>
    <n v="5000"/>
    <m/>
    <n v="1.79"/>
    <n v="8950"/>
    <s v="Rodrigo (Conex Gua)"/>
    <s v="NA"/>
    <s v="NA"/>
    <s v="OK"/>
    <x v="0"/>
    <m/>
    <m/>
  </r>
  <r>
    <s v="OC 7-00001106"/>
    <x v="12"/>
    <x v="0"/>
    <x v="31"/>
    <x v="5"/>
    <x v="29"/>
    <x v="39"/>
    <m/>
    <x v="40"/>
    <x v="45"/>
    <n v="700"/>
    <m/>
    <n v="1.96"/>
    <n v="1372"/>
    <s v="Rodrigo (Conex Gua)"/>
    <s v="NA"/>
    <s v="NA"/>
    <s v="alteración de código por ajuste diseño (Logo)"/>
    <x v="0"/>
    <m/>
    <m/>
  </r>
  <r>
    <s v="OC 2004644"/>
    <x v="13"/>
    <x v="0"/>
    <x v="32"/>
    <x v="5"/>
    <x v="40"/>
    <x v="40"/>
    <m/>
    <x v="41"/>
    <x v="46"/>
    <n v="5700"/>
    <n v="3420"/>
    <n v="2.13"/>
    <n v="12141"/>
    <s v="Rodrigo (Conex Gua)"/>
    <s v="NA"/>
    <s v="NA"/>
    <m/>
    <x v="0"/>
    <m/>
    <m/>
  </r>
  <r>
    <s v="OC 2004644"/>
    <x v="13"/>
    <x v="0"/>
    <x v="32"/>
    <x v="5"/>
    <x v="32"/>
    <x v="33"/>
    <m/>
    <x v="41"/>
    <x v="38"/>
    <n v="5000"/>
    <n v="3000"/>
    <n v="1.99"/>
    <n v="9950"/>
    <s v="Rodrigo (Conex Gua)"/>
    <s v="NA"/>
    <s v="NA"/>
    <m/>
    <x v="0"/>
    <m/>
    <m/>
  </r>
  <r>
    <s v="202.25"/>
    <x v="14"/>
    <x v="1"/>
    <x v="28"/>
    <x v="5"/>
    <x v="41"/>
    <x v="41"/>
    <m/>
    <x v="42"/>
    <x v="47"/>
    <n v="500"/>
    <m/>
    <n v="5.57"/>
    <n v="2785"/>
    <s v="Carlos Ruiz"/>
    <s v="NA"/>
    <s v="NA"/>
    <s v="Liberado código amostra (1509)- Cadastro Tab precios(OK)"/>
    <x v="0"/>
    <m/>
    <m/>
  </r>
  <r>
    <n v="16985"/>
    <x v="5"/>
    <x v="2"/>
    <x v="33"/>
    <x v="5"/>
    <x v="42"/>
    <x v="42"/>
    <m/>
    <x v="43"/>
    <x v="48"/>
    <n v="100"/>
    <m/>
    <n v="2.2999999999999998"/>
    <n v="229.99999999999997"/>
    <s v="Carlos Ruiz"/>
    <s v="NA"/>
    <s v="NA"/>
    <s v="AJUSTE LARGURA/ NÃO MUDA CÓDIGO"/>
    <x v="0"/>
    <m/>
    <m/>
  </r>
  <r>
    <s v="OC 607"/>
    <x v="10"/>
    <x v="3"/>
    <x v="33"/>
    <x v="6"/>
    <x v="43"/>
    <x v="43"/>
    <m/>
    <x v="44"/>
    <x v="49"/>
    <n v="2500"/>
    <s v="TELA PIQUÉ DISEÑO FARAN "/>
    <n v="1.7"/>
    <n v="4250"/>
    <s v="Rodrigo (Conex Gua)"/>
    <s v="NA"/>
    <s v="NA"/>
    <s v="Agrd cód de prod em Totvs - precio alineado"/>
    <x v="0"/>
    <m/>
    <m/>
  </r>
  <r>
    <s v="OC 607"/>
    <x v="10"/>
    <x v="3"/>
    <x v="33"/>
    <x v="6"/>
    <x v="44"/>
    <x v="28"/>
    <m/>
    <x v="44"/>
    <x v="50"/>
    <n v="1000"/>
    <m/>
    <n v="1.82"/>
    <n v="1820"/>
    <s v="Rodrigo (Conex Gua)"/>
    <s v="NA"/>
    <s v="NA"/>
    <s v="Agrd cód de prod em Totvs - precio alineado"/>
    <x v="0"/>
    <m/>
    <m/>
  </r>
  <r>
    <s v="OC 608"/>
    <x v="10"/>
    <x v="3"/>
    <x v="33"/>
    <x v="6"/>
    <x v="43"/>
    <x v="43"/>
    <m/>
    <x v="45"/>
    <x v="49"/>
    <n v="2500"/>
    <m/>
    <n v="1.7"/>
    <n v="4250"/>
    <s v="Rodrigo (Conex Gua)"/>
    <s v="NA"/>
    <s v="NA"/>
    <s v="Agrd cód de prod em Totvs - precio alineado"/>
    <x v="0"/>
    <m/>
    <m/>
  </r>
  <r>
    <s v="OC 2003799"/>
    <x v="8"/>
    <x v="3"/>
    <x v="34"/>
    <x v="6"/>
    <x v="45"/>
    <x v="44"/>
    <m/>
    <x v="46"/>
    <x v="51"/>
    <n v="1000"/>
    <m/>
    <n v="1.71"/>
    <n v="1710"/>
    <s v="Rodrigo (Conex Gua)"/>
    <s v="NA"/>
    <s v="NA"/>
    <s v="Agrd cód de prod em Totvs - precio alineado"/>
    <x v="0"/>
    <m/>
    <m/>
  </r>
  <r>
    <s v="GT002.25"/>
    <x v="15"/>
    <x v="1"/>
    <x v="35"/>
    <x v="6"/>
    <x v="46"/>
    <x v="45"/>
    <m/>
    <x v="47"/>
    <x v="52"/>
    <n v="2000"/>
    <m/>
    <n v="2.81"/>
    <n v="5620"/>
    <s v="Meir Bellilty"/>
    <s v="NA"/>
    <s v="NA"/>
    <s v="Agrd amostras + App+ Preço-&gt; Proforma/ ok"/>
    <x v="0"/>
    <m/>
    <m/>
  </r>
  <r>
    <s v="OC 5377"/>
    <x v="3"/>
    <x v="0"/>
    <x v="36"/>
    <x v="6"/>
    <x v="15"/>
    <x v="17"/>
    <m/>
    <x v="48"/>
    <x v="53"/>
    <n v="800"/>
    <m/>
    <n v="2.2799999999999998"/>
    <n v="1823.9999999999998"/>
    <s v="Rodrigo (Conex Gua)"/>
    <s v="NA"/>
    <s v="NA"/>
    <s v="OK"/>
    <x v="0"/>
    <m/>
    <m/>
  </r>
  <r>
    <s v="OC 621"/>
    <x v="10"/>
    <x v="3"/>
    <x v="36"/>
    <x v="6"/>
    <x v="47"/>
    <x v="46"/>
    <m/>
    <x v="49"/>
    <x v="54"/>
    <n v="1200"/>
    <m/>
    <n v="1.59"/>
    <n v="1908"/>
    <s v="Rodrigo (Conex Gua)"/>
    <s v="NA"/>
    <s v="NA"/>
    <s v="Agrd confirmación de pdto y precio/ precio confirmado versión Blanco y Arena"/>
    <x v="0"/>
    <m/>
    <m/>
  </r>
  <r>
    <s v="OC 348/25"/>
    <x v="2"/>
    <x v="2"/>
    <x v="37"/>
    <x v="7"/>
    <x v="48"/>
    <x v="2"/>
    <m/>
    <x v="50"/>
    <x v="55"/>
    <n v="5000"/>
    <m/>
    <n v="2.0499999999999998"/>
    <n v="10250"/>
    <s v="Ana Delmy Rodríguez"/>
    <s v="compras@industriascapri.com"/>
    <s v="+5032242-11"/>
    <s v="Ok - "/>
    <x v="0"/>
    <m/>
    <m/>
  </r>
  <r>
    <s v="OC 14244"/>
    <x v="11"/>
    <x v="0"/>
    <x v="37"/>
    <x v="7"/>
    <x v="25"/>
    <x v="25"/>
    <m/>
    <x v="51"/>
    <x v="29"/>
    <n v="5000"/>
    <m/>
    <n v="1.58"/>
    <n v="7900"/>
    <s v="Rodrigo (Conex Gua)"/>
    <s v="NA"/>
    <s v="NA"/>
    <s v="Divergencia em precios - agrd revisión y confirmación/OK"/>
    <x v="0"/>
    <m/>
    <m/>
  </r>
  <r>
    <s v="OC 14244"/>
    <x v="11"/>
    <x v="0"/>
    <x v="37"/>
    <x v="7"/>
    <x v="26"/>
    <x v="26"/>
    <m/>
    <x v="51"/>
    <x v="30"/>
    <n v="5000"/>
    <m/>
    <n v="1.6"/>
    <n v="8000"/>
    <s v="Rodrigo (Conex Gua)"/>
    <s v="NA"/>
    <s v="NA"/>
    <s v="Divergencia em precios - agrd revisión y confirmación/OK"/>
    <x v="0"/>
    <m/>
    <m/>
  </r>
  <r>
    <s v="OC 14244"/>
    <x v="11"/>
    <x v="0"/>
    <x v="37"/>
    <x v="7"/>
    <x v="27"/>
    <x v="27"/>
    <m/>
    <x v="51"/>
    <x v="31"/>
    <n v="5000"/>
    <m/>
    <n v="1.65"/>
    <n v="8250"/>
    <s v="Rodrigo (Conex Gua)"/>
    <s v="NA"/>
    <s v="NA"/>
    <s v="Divergencia em precios - agrd revisión y confirmación/OK"/>
    <x v="0"/>
    <m/>
    <m/>
  </r>
  <r>
    <s v="GT003.25"/>
    <x v="16"/>
    <x v="3"/>
    <x v="36"/>
    <x v="7"/>
    <x v="49"/>
    <x v="47"/>
    <m/>
    <x v="52"/>
    <x v="56"/>
    <n v="300"/>
    <s v="Tela Prohfoam 1 (Blanco)"/>
    <n v="1.25"/>
    <n v="375"/>
    <s v="Arturo Castillo "/>
    <s v="acastillo@prohfoam.com"/>
    <s v="504 9990 8010"/>
    <m/>
    <x v="0"/>
    <m/>
    <m/>
  </r>
  <r>
    <s v="GT003.25"/>
    <x v="16"/>
    <x v="3"/>
    <x v="36"/>
    <x v="7"/>
    <x v="50"/>
    <x v="48"/>
    <m/>
    <x v="52"/>
    <x v="57"/>
    <n v="300"/>
    <m/>
    <n v="1.25"/>
    <n v="375"/>
    <s v="Arturo Castillo "/>
    <s v="acastillo@prohfoam.com"/>
    <s v="504 9990 8010"/>
    <m/>
    <x v="0"/>
    <m/>
    <m/>
  </r>
  <r>
    <s v="GT003.25"/>
    <x v="16"/>
    <x v="3"/>
    <x v="36"/>
    <x v="7"/>
    <x v="51"/>
    <x v="49"/>
    <m/>
    <x v="52"/>
    <x v="58"/>
    <n v="300"/>
    <m/>
    <n v="1.25"/>
    <n v="375"/>
    <s v="Arturo Castillo "/>
    <s v="acastillo@prohfoam.com"/>
    <s v="504 9990 8010"/>
    <m/>
    <x v="0"/>
    <m/>
    <m/>
  </r>
  <r>
    <s v="GT003.25"/>
    <x v="16"/>
    <x v="3"/>
    <x v="36"/>
    <x v="7"/>
    <x v="52"/>
    <x v="50"/>
    <m/>
    <x v="52"/>
    <x v="59"/>
    <n v="300"/>
    <m/>
    <n v="1.25"/>
    <n v="375"/>
    <s v="Arturo Castillo "/>
    <s v="acastillo@prohfoam.com"/>
    <s v="504 9990 8010"/>
    <m/>
    <x v="0"/>
    <m/>
    <m/>
  </r>
  <r>
    <s v="GT003.25"/>
    <x v="16"/>
    <x v="3"/>
    <x v="36"/>
    <x v="7"/>
    <x v="53"/>
    <x v="51"/>
    <m/>
    <x v="52"/>
    <x v="60"/>
    <n v="300"/>
    <m/>
    <n v="1.33"/>
    <n v="399"/>
    <s v="Arturo Castillo "/>
    <s v="acastillo@prohfoam.com"/>
    <s v="504 9990 8010"/>
    <m/>
    <x v="0"/>
    <m/>
    <m/>
  </r>
  <r>
    <s v="GT003.25"/>
    <x v="16"/>
    <x v="3"/>
    <x v="36"/>
    <x v="7"/>
    <x v="54"/>
    <x v="52"/>
    <m/>
    <x v="52"/>
    <x v="61"/>
    <n v="300"/>
    <m/>
    <n v="1.33"/>
    <n v="399"/>
    <s v="Arturo Castillo "/>
    <s v="acastillo@prohfoam.com"/>
    <s v="504 9990 8010"/>
    <m/>
    <x v="0"/>
    <m/>
    <m/>
  </r>
  <r>
    <s v="GT003.25"/>
    <x v="16"/>
    <x v="3"/>
    <x v="36"/>
    <x v="7"/>
    <x v="55"/>
    <x v="53"/>
    <m/>
    <x v="52"/>
    <x v="62"/>
    <n v="300"/>
    <m/>
    <n v="1.25"/>
    <n v="375"/>
    <s v="Arturo Castillo "/>
    <s v="acastillo@prohfoam.com"/>
    <s v="504 9990 8010"/>
    <m/>
    <x v="0"/>
    <m/>
    <m/>
  </r>
  <r>
    <s v="GT003.25"/>
    <x v="16"/>
    <x v="3"/>
    <x v="36"/>
    <x v="7"/>
    <x v="56"/>
    <x v="54"/>
    <m/>
    <x v="52"/>
    <x v="63"/>
    <n v="300"/>
    <m/>
    <n v="1.33"/>
    <n v="399"/>
    <s v="Arturo Castillo "/>
    <s v="acastillo@prohfoam.com"/>
    <s v="504 9990 8010"/>
    <m/>
    <x v="0"/>
    <m/>
    <m/>
  </r>
  <r>
    <s v="GT003.25"/>
    <x v="16"/>
    <x v="3"/>
    <x v="36"/>
    <x v="7"/>
    <x v="57"/>
    <x v="55"/>
    <m/>
    <x v="52"/>
    <x v="64"/>
    <n v="300"/>
    <m/>
    <n v="1.25"/>
    <n v="375"/>
    <s v="Arturo Castillo "/>
    <s v="acastillo@prohfoam.com"/>
    <s v="504 9990 8010"/>
    <m/>
    <x v="0"/>
    <m/>
    <m/>
  </r>
  <r>
    <s v="GT003.25"/>
    <x v="16"/>
    <x v="3"/>
    <x v="36"/>
    <x v="7"/>
    <x v="58"/>
    <x v="56"/>
    <m/>
    <x v="52"/>
    <x v="65"/>
    <n v="300"/>
    <m/>
    <n v="1.33"/>
    <n v="399"/>
    <s v="Arturo Castillo "/>
    <s v="acastillo@prohfoam.com"/>
    <s v="504 9990 8010"/>
    <m/>
    <x v="0"/>
    <m/>
    <m/>
  </r>
  <r>
    <s v="GT003.25"/>
    <x v="16"/>
    <x v="3"/>
    <x v="36"/>
    <x v="7"/>
    <x v="59"/>
    <x v="57"/>
    <m/>
    <x v="52"/>
    <x v="66"/>
    <n v="300"/>
    <m/>
    <n v="1.33"/>
    <n v="399"/>
    <s v="Arturo Castillo "/>
    <s v="acastillo@prohfoam.com"/>
    <s v="504 9990 8010"/>
    <m/>
    <x v="0"/>
    <m/>
    <m/>
  </r>
  <r>
    <s v="GT003.25"/>
    <x v="16"/>
    <x v="3"/>
    <x v="36"/>
    <x v="7"/>
    <x v="60"/>
    <x v="58"/>
    <m/>
    <x v="52"/>
    <x v="67"/>
    <n v="300"/>
    <m/>
    <n v="1.33"/>
    <n v="399"/>
    <s v="Arturo Castillo "/>
    <s v="acastillo@prohfoam.com"/>
    <s v="504 9990 8010"/>
    <m/>
    <x v="0"/>
    <m/>
    <m/>
  </r>
  <r>
    <s v="GT003.25"/>
    <x v="16"/>
    <x v="3"/>
    <x v="36"/>
    <x v="7"/>
    <x v="61"/>
    <x v="59"/>
    <m/>
    <x v="52"/>
    <x v="68"/>
    <n v="300"/>
    <m/>
    <n v="1.33"/>
    <n v="399"/>
    <s v="Arturo Castillo "/>
    <s v="acastillo@prohfoam.com"/>
    <s v="504 9990 8010"/>
    <m/>
    <x v="0"/>
    <m/>
    <m/>
  </r>
  <r>
    <s v="GT003.25"/>
    <x v="16"/>
    <x v="3"/>
    <x v="36"/>
    <x v="7"/>
    <x v="62"/>
    <x v="60"/>
    <m/>
    <x v="52"/>
    <x v="69"/>
    <n v="300"/>
    <m/>
    <n v="1.33"/>
    <n v="399"/>
    <s v="Arturo Castillo "/>
    <s v="acastillo@prohfoam.com"/>
    <s v="504 9990 8010"/>
    <m/>
    <x v="0"/>
    <m/>
    <m/>
  </r>
  <r>
    <s v="GT003.25"/>
    <x v="16"/>
    <x v="3"/>
    <x v="36"/>
    <x v="7"/>
    <x v="63"/>
    <x v="61"/>
    <m/>
    <x v="52"/>
    <x v="70"/>
    <n v="300"/>
    <m/>
    <n v="1.33"/>
    <n v="399"/>
    <s v="Arturo Castillo "/>
    <s v="acastillo@prohfoam.com"/>
    <s v="504 9990 8010"/>
    <m/>
    <x v="0"/>
    <m/>
    <m/>
  </r>
  <r>
    <s v="GT003.25"/>
    <x v="16"/>
    <x v="3"/>
    <x v="36"/>
    <x v="7"/>
    <x v="64"/>
    <x v="62"/>
    <m/>
    <x v="52"/>
    <x v="71"/>
    <n v="300"/>
    <m/>
    <n v="1.33"/>
    <n v="399"/>
    <s v="Arturo Castillo "/>
    <s v="acastillo@prohfoam.com"/>
    <s v="504 9990 8010"/>
    <m/>
    <x v="0"/>
    <m/>
    <m/>
  </r>
  <r>
    <s v="GT003.25"/>
    <x v="16"/>
    <x v="3"/>
    <x v="36"/>
    <x v="7"/>
    <x v="65"/>
    <x v="63"/>
    <m/>
    <x v="52"/>
    <x v="72"/>
    <n v="300"/>
    <m/>
    <n v="1.33"/>
    <n v="399"/>
    <s v="Arturo Castillo "/>
    <s v="acastillo@prohfoam.com"/>
    <s v="504 9990 8010"/>
    <m/>
    <x v="0"/>
    <m/>
    <m/>
  </r>
  <r>
    <s v="GT003.25"/>
    <x v="16"/>
    <x v="3"/>
    <x v="36"/>
    <x v="7"/>
    <x v="66"/>
    <x v="64"/>
    <m/>
    <x v="52"/>
    <x v="73"/>
    <n v="300"/>
    <m/>
    <n v="4.03"/>
    <n v="1209"/>
    <s v="Arturo Castillo "/>
    <s v="acastillo@prohfoam.com"/>
    <s v="504 9990 8010"/>
    <m/>
    <x v="0"/>
    <m/>
    <m/>
  </r>
  <r>
    <s v="GT003.25"/>
    <x v="16"/>
    <x v="3"/>
    <x v="36"/>
    <x v="7"/>
    <x v="67"/>
    <x v="65"/>
    <m/>
    <x v="52"/>
    <x v="57"/>
    <n v="300"/>
    <m/>
    <n v="4.03"/>
    <n v="1209"/>
    <s v="Arturo Castillo "/>
    <s v="acastillo@prohfoam.com"/>
    <s v="504 9990 8010"/>
    <m/>
    <x v="0"/>
    <m/>
    <m/>
  </r>
  <r>
    <s v="GT003.25"/>
    <x v="16"/>
    <x v="3"/>
    <x v="36"/>
    <x v="7"/>
    <x v="68"/>
    <x v="66"/>
    <m/>
    <x v="52"/>
    <x v="74"/>
    <n v="300"/>
    <m/>
    <n v="4.03"/>
    <n v="1209"/>
    <s v="Arturo Castillo "/>
    <s v="acastillo@prohfoam.com"/>
    <s v="504 9990 8010"/>
    <m/>
    <x v="0"/>
    <m/>
    <m/>
  </r>
  <r>
    <s v="GT003.25"/>
    <x v="16"/>
    <x v="3"/>
    <x v="36"/>
    <x v="7"/>
    <x v="69"/>
    <x v="67"/>
    <m/>
    <x v="52"/>
    <x v="75"/>
    <n v="300"/>
    <m/>
    <n v="4.0599999999999996"/>
    <n v="1217.9999999999998"/>
    <s v="Arturo Castillo "/>
    <s v="acastillo@prohfoam.com"/>
    <s v="504 9990 8010"/>
    <m/>
    <x v="0"/>
    <m/>
    <m/>
  </r>
  <r>
    <s v="GT004.25"/>
    <x v="14"/>
    <x v="1"/>
    <x v="38"/>
    <x v="7"/>
    <x v="41"/>
    <x v="41"/>
    <m/>
    <x v="53"/>
    <x v="47"/>
    <n v="1000"/>
    <m/>
    <n v="5.57"/>
    <n v="5570"/>
    <s v="Carlos Ruiz"/>
    <s v="NA"/>
    <s v="NA"/>
    <s v="Agrd ok do cliente"/>
    <x v="0"/>
    <m/>
    <m/>
  </r>
  <r>
    <n v="17280"/>
    <x v="5"/>
    <x v="2"/>
    <x v="39"/>
    <x v="7"/>
    <x v="70"/>
    <x v="68"/>
    <m/>
    <x v="54"/>
    <x v="76"/>
    <n v="500"/>
    <m/>
    <n v="2.33"/>
    <n v="1165"/>
    <s v="Carlos Ruiz"/>
    <s v="NA"/>
    <s v="NA"/>
    <s v="Codigo Grey-ok"/>
    <x v="0"/>
    <m/>
    <m/>
  </r>
  <r>
    <s v="GT005.25"/>
    <x v="14"/>
    <x v="1"/>
    <x v="40"/>
    <x v="7"/>
    <x v="71"/>
    <x v="69"/>
    <m/>
    <x v="55"/>
    <x v="77"/>
    <n v="1700"/>
    <m/>
    <n v="1.63"/>
    <n v="2771"/>
    <s v="Carlos Ruiz"/>
    <s v="NA"/>
    <s v="NA"/>
    <m/>
    <x v="0"/>
    <m/>
    <m/>
  </r>
  <r>
    <s v="OC 638"/>
    <x v="10"/>
    <x v="3"/>
    <x v="41"/>
    <x v="7"/>
    <x v="36"/>
    <x v="36"/>
    <m/>
    <x v="56"/>
    <x v="78"/>
    <n v="1200"/>
    <m/>
    <n v="2.21"/>
    <n v="2652"/>
    <s v="--"/>
    <s v="--"/>
    <s v="--"/>
    <m/>
    <x v="0"/>
    <m/>
    <m/>
  </r>
  <r>
    <s v="GT006.25"/>
    <x v="14"/>
    <x v="1"/>
    <x v="42"/>
    <x v="8"/>
    <x v="72"/>
    <x v="70"/>
    <m/>
    <x v="57"/>
    <x v="79"/>
    <n v="2300"/>
    <m/>
    <n v="3.38"/>
    <n v="7774"/>
    <s v="Carlos Ruiz"/>
    <s v="NA"/>
    <s v="NA"/>
    <s v="cód prod"/>
    <x v="0"/>
    <m/>
    <m/>
  </r>
  <r>
    <s v="GT006.25"/>
    <x v="14"/>
    <x v="1"/>
    <x v="42"/>
    <x v="8"/>
    <x v="73"/>
    <x v="71"/>
    <m/>
    <x v="57"/>
    <x v="80"/>
    <n v="1700"/>
    <m/>
    <n v="2.75"/>
    <n v="4675"/>
    <s v="Carlos Ruiz"/>
    <s v="NA"/>
    <s v="NA"/>
    <s v="cód prod"/>
    <x v="0"/>
    <m/>
    <m/>
  </r>
  <r>
    <n v="17368"/>
    <x v="5"/>
    <x v="2"/>
    <x v="43"/>
    <x v="8"/>
    <x v="70"/>
    <x v="68"/>
    <m/>
    <x v="58"/>
    <x v="81"/>
    <n v="15000"/>
    <m/>
    <n v="2.33"/>
    <n v="34950"/>
    <s v="--"/>
    <s v="NA"/>
    <s v="NA"/>
    <m/>
    <x v="0"/>
    <m/>
    <m/>
  </r>
  <r>
    <s v="OC 14373"/>
    <x v="11"/>
    <x v="0"/>
    <x v="44"/>
    <x v="8"/>
    <x v="25"/>
    <x v="25"/>
    <m/>
    <x v="59"/>
    <x v="29"/>
    <n v="5000"/>
    <m/>
    <n v="1.58"/>
    <n v="7900"/>
    <s v="Rodrigo (Conex Gua)"/>
    <s v="NA"/>
    <s v="NA"/>
    <s v="OK"/>
    <x v="0"/>
    <m/>
    <m/>
  </r>
  <r>
    <s v="OC 14373"/>
    <x v="11"/>
    <x v="0"/>
    <x v="44"/>
    <x v="8"/>
    <x v="26"/>
    <x v="26"/>
    <m/>
    <x v="59"/>
    <x v="30"/>
    <n v="5000"/>
    <m/>
    <n v="1.6"/>
    <n v="8000"/>
    <s v="Rodrigo (Conex Gua)"/>
    <s v="NA"/>
    <s v="NA"/>
    <m/>
    <x v="0"/>
    <m/>
    <m/>
  </r>
  <r>
    <s v="OC 14373"/>
    <x v="11"/>
    <x v="0"/>
    <x v="44"/>
    <x v="8"/>
    <x v="27"/>
    <x v="27"/>
    <m/>
    <x v="59"/>
    <x v="31"/>
    <n v="5000"/>
    <m/>
    <n v="1.65"/>
    <n v="8250"/>
    <s v="Rodrigo (Conex Gua)"/>
    <s v="NA"/>
    <s v="NA"/>
    <m/>
    <x v="0"/>
    <m/>
    <m/>
  </r>
  <r>
    <s v="OC 664"/>
    <x v="10"/>
    <x v="3"/>
    <x v="45"/>
    <x v="9"/>
    <x v="36"/>
    <x v="36"/>
    <m/>
    <x v="60"/>
    <x v="78"/>
    <n v="1200"/>
    <m/>
    <n v="2.21"/>
    <n v="2652"/>
    <s v="Rodrigo (Conex Gua)"/>
    <s v="NA"/>
    <s v="NA"/>
    <m/>
    <x v="0"/>
    <m/>
    <m/>
  </r>
  <r>
    <s v="OC 2004106"/>
    <x v="8"/>
    <x v="3"/>
    <x v="46"/>
    <x v="9"/>
    <x v="74"/>
    <x v="72"/>
    <m/>
    <x v="61"/>
    <x v="82"/>
    <n v="1400"/>
    <m/>
    <n v="1.63"/>
    <n v="2282"/>
    <m/>
    <m/>
    <m/>
    <s v="OK"/>
    <x v="0"/>
    <s v="SO solicitada"/>
    <d v="2026-08-19T00:00:00"/>
  </r>
  <r>
    <s v="OC 2004106"/>
    <x v="8"/>
    <x v="3"/>
    <x v="46"/>
    <x v="9"/>
    <x v="75"/>
    <x v="73"/>
    <s v="445-446"/>
    <x v="61"/>
    <x v="83"/>
    <n v="600"/>
    <m/>
    <n v="1.66"/>
    <n v="996"/>
    <m/>
    <m/>
    <m/>
    <m/>
    <x v="1"/>
    <s v="SO solicitada"/>
    <d v="2026-08-19T00:00:00"/>
  </r>
  <r>
    <s v="OC 2004106"/>
    <x v="8"/>
    <x v="3"/>
    <x v="46"/>
    <x v="9"/>
    <x v="76"/>
    <x v="74"/>
    <m/>
    <x v="61"/>
    <x v="84"/>
    <n v="1800"/>
    <m/>
    <n v="1.81"/>
    <n v="3258"/>
    <m/>
    <m/>
    <m/>
    <m/>
    <x v="0"/>
    <s v="SO solicitada"/>
    <d v="2026-08-19T00:00:00"/>
  </r>
  <r>
    <s v="OC 2004106"/>
    <x v="8"/>
    <x v="3"/>
    <x v="46"/>
    <x v="9"/>
    <x v="77"/>
    <x v="75"/>
    <m/>
    <x v="61"/>
    <x v="85"/>
    <n v="200"/>
    <m/>
    <n v="1.67"/>
    <n v="334"/>
    <m/>
    <m/>
    <m/>
    <s v="incluir em tabla de precios"/>
    <x v="0"/>
    <s v="SO solicitada"/>
    <d v="2026-08-19T00:00:00"/>
  </r>
  <r>
    <s v="OC 2004106"/>
    <x v="8"/>
    <x v="3"/>
    <x v="46"/>
    <x v="9"/>
    <x v="78"/>
    <x v="76"/>
    <m/>
    <x v="61"/>
    <x v="86"/>
    <n v="500"/>
    <m/>
    <n v="5.09"/>
    <n v="2545"/>
    <m/>
    <m/>
    <m/>
    <s v="OK"/>
    <x v="0"/>
    <s v="SO solicitada"/>
    <d v="2026-08-19T00:00:00"/>
  </r>
  <r>
    <s v="OC 2004106"/>
    <x v="8"/>
    <x v="3"/>
    <x v="46"/>
    <x v="9"/>
    <x v="79"/>
    <x v="77"/>
    <m/>
    <x v="61"/>
    <x v="87"/>
    <n v="2500"/>
    <m/>
    <n v="1.58"/>
    <n v="3950"/>
    <m/>
    <m/>
    <m/>
    <s v="OK"/>
    <x v="0"/>
    <s v="SO solicitada"/>
    <d v="2026-08-19T00:00:00"/>
  </r>
  <r>
    <s v="OC 2004106"/>
    <x v="8"/>
    <x v="3"/>
    <x v="46"/>
    <x v="9"/>
    <x v="80"/>
    <x v="78"/>
    <m/>
    <x v="61"/>
    <x v="88"/>
    <n v="2700"/>
    <m/>
    <n v="1.65"/>
    <n v="4455"/>
    <m/>
    <m/>
    <m/>
    <s v="cadastrar em sistema - diseño liberado"/>
    <x v="0"/>
    <s v="SO solicitada"/>
    <d v="2026-08-19T00:00:00"/>
  </r>
  <r>
    <s v="OC 2004106"/>
    <x v="8"/>
    <x v="3"/>
    <x v="46"/>
    <x v="9"/>
    <x v="81"/>
    <x v="79"/>
    <m/>
    <x v="61"/>
    <x v="89"/>
    <n v="400"/>
    <m/>
    <n v="1.71"/>
    <n v="684"/>
    <m/>
    <m/>
    <m/>
    <s v="OK"/>
    <x v="0"/>
    <s v="SO solicitada"/>
    <d v="2026-08-19T00:00:00"/>
  </r>
  <r>
    <s v="OC 2004106"/>
    <x v="8"/>
    <x v="3"/>
    <x v="46"/>
    <x v="9"/>
    <x v="82"/>
    <x v="80"/>
    <m/>
    <x v="61"/>
    <x v="90"/>
    <n v="700"/>
    <m/>
    <n v="1.61"/>
    <n v="1127"/>
    <m/>
    <m/>
    <m/>
    <s v="OK"/>
    <x v="0"/>
    <s v="SO solicitada"/>
    <d v="2026-08-19T00:00:00"/>
  </r>
  <r>
    <s v="OC 2004106"/>
    <x v="8"/>
    <x v="3"/>
    <x v="46"/>
    <x v="9"/>
    <x v="83"/>
    <x v="81"/>
    <m/>
    <x v="61"/>
    <x v="91"/>
    <n v="800"/>
    <m/>
    <n v="1.64"/>
    <n v="1312"/>
    <m/>
    <m/>
    <m/>
    <s v="OK"/>
    <x v="0"/>
    <s v="SO solicitada"/>
    <d v="2026-08-19T00:00:00"/>
  </r>
  <r>
    <s v="OC 2004106"/>
    <x v="8"/>
    <x v="3"/>
    <x v="46"/>
    <x v="9"/>
    <x v="84"/>
    <x v="82"/>
    <m/>
    <x v="61"/>
    <x v="92"/>
    <n v="2000"/>
    <m/>
    <n v="1.78"/>
    <n v="3560"/>
    <m/>
    <m/>
    <m/>
    <s v="OK"/>
    <x v="0"/>
    <s v="SO solicitada"/>
    <d v="2026-08-19T00:00:00"/>
  </r>
  <r>
    <s v="GT004.26"/>
    <x v="16"/>
    <x v="3"/>
    <x v="47"/>
    <x v="9"/>
    <x v="85"/>
    <x v="47"/>
    <m/>
    <x v="62"/>
    <x v="93"/>
    <n v="450"/>
    <n v="150"/>
    <n v="1.25"/>
    <n v="562.5"/>
    <m/>
    <m/>
    <m/>
    <m/>
    <x v="0"/>
    <m/>
    <m/>
  </r>
  <r>
    <s v="GT004.26"/>
    <x v="16"/>
    <x v="3"/>
    <x v="47"/>
    <x v="9"/>
    <x v="86"/>
    <x v="48"/>
    <m/>
    <x v="62"/>
    <x v="94"/>
    <n v="450"/>
    <n v="150"/>
    <n v="1.25"/>
    <n v="562.5"/>
    <m/>
    <m/>
    <m/>
    <m/>
    <x v="0"/>
    <m/>
    <m/>
  </r>
  <r>
    <s v="GT004.26"/>
    <x v="16"/>
    <x v="3"/>
    <x v="47"/>
    <x v="9"/>
    <x v="87"/>
    <x v="49"/>
    <m/>
    <x v="62"/>
    <x v="95"/>
    <n v="450"/>
    <n v="150"/>
    <n v="1.25"/>
    <n v="562.5"/>
    <m/>
    <m/>
    <m/>
    <m/>
    <x v="0"/>
    <m/>
    <m/>
  </r>
  <r>
    <s v="GT004.26"/>
    <x v="16"/>
    <x v="3"/>
    <x v="47"/>
    <x v="9"/>
    <x v="88"/>
    <x v="50"/>
    <m/>
    <x v="62"/>
    <x v="96"/>
    <n v="450"/>
    <n v="150"/>
    <n v="1.25"/>
    <n v="562.5"/>
    <m/>
    <m/>
    <m/>
    <m/>
    <x v="0"/>
    <m/>
    <m/>
  </r>
  <r>
    <s v="GT004.26"/>
    <x v="16"/>
    <x v="3"/>
    <x v="47"/>
    <x v="9"/>
    <x v="89"/>
    <x v="51"/>
    <m/>
    <x v="62"/>
    <x v="97"/>
    <n v="450"/>
    <n v="150"/>
    <n v="1.33"/>
    <n v="598.5"/>
    <m/>
    <m/>
    <m/>
    <m/>
    <x v="0"/>
    <m/>
    <m/>
  </r>
  <r>
    <s v="GT004.26"/>
    <x v="16"/>
    <x v="3"/>
    <x v="47"/>
    <x v="9"/>
    <x v="90"/>
    <x v="83"/>
    <m/>
    <x v="62"/>
    <x v="98"/>
    <n v="450"/>
    <n v="150"/>
    <n v="1.33"/>
    <n v="598.5"/>
    <m/>
    <m/>
    <m/>
    <s v="Ok cliente - Incluir Logo -alteración código"/>
    <x v="0"/>
    <m/>
    <m/>
  </r>
  <r>
    <s v="GT004.26"/>
    <x v="16"/>
    <x v="3"/>
    <x v="47"/>
    <x v="9"/>
    <x v="91"/>
    <x v="53"/>
    <m/>
    <x v="62"/>
    <x v="99"/>
    <n v="450"/>
    <n v="150"/>
    <n v="1.25"/>
    <n v="562.5"/>
    <m/>
    <m/>
    <m/>
    <s v="Ok cliente - Incluir Logo -alteración código"/>
    <x v="0"/>
    <m/>
    <m/>
  </r>
  <r>
    <s v="GT004.26"/>
    <x v="16"/>
    <x v="3"/>
    <x v="47"/>
    <x v="9"/>
    <x v="92"/>
    <x v="54"/>
    <m/>
    <x v="62"/>
    <x v="100"/>
    <n v="450"/>
    <n v="150"/>
    <n v="1.33"/>
    <n v="598.5"/>
    <m/>
    <m/>
    <m/>
    <m/>
    <x v="0"/>
    <m/>
    <m/>
  </r>
  <r>
    <s v="GT004.26"/>
    <x v="16"/>
    <x v="3"/>
    <x v="47"/>
    <x v="9"/>
    <x v="93"/>
    <x v="55"/>
    <m/>
    <x v="62"/>
    <x v="101"/>
    <n v="450"/>
    <n v="150"/>
    <n v="1.33"/>
    <n v="598.5"/>
    <m/>
    <m/>
    <m/>
    <m/>
    <x v="0"/>
    <m/>
    <m/>
  </r>
  <r>
    <s v="GT004.26"/>
    <x v="16"/>
    <x v="3"/>
    <x v="47"/>
    <x v="9"/>
    <x v="94"/>
    <x v="56"/>
    <m/>
    <x v="62"/>
    <x v="102"/>
    <n v="450"/>
    <n v="150"/>
    <n v="1.33"/>
    <n v="598.5"/>
    <m/>
    <m/>
    <m/>
    <s v="Ok cliente - Incluir Logo -alteración código"/>
    <x v="0"/>
    <m/>
    <m/>
  </r>
  <r>
    <s v="GT004.26"/>
    <x v="16"/>
    <x v="3"/>
    <x v="47"/>
    <x v="9"/>
    <x v="95"/>
    <x v="57"/>
    <m/>
    <x v="62"/>
    <x v="103"/>
    <n v="450"/>
    <n v="150"/>
    <n v="1.33"/>
    <n v="598.5"/>
    <m/>
    <m/>
    <m/>
    <s v="Ok cliente - Incluir Logo -alteración código"/>
    <x v="0"/>
    <m/>
    <m/>
  </r>
  <r>
    <s v="GT004.26"/>
    <x v="16"/>
    <x v="3"/>
    <x v="47"/>
    <x v="9"/>
    <x v="96"/>
    <x v="58"/>
    <m/>
    <x v="62"/>
    <x v="104"/>
    <n v="450"/>
    <n v="150"/>
    <n v="1.33"/>
    <n v="598.5"/>
    <m/>
    <m/>
    <m/>
    <m/>
    <x v="0"/>
    <m/>
    <m/>
  </r>
  <r>
    <s v="GT004.26"/>
    <x v="16"/>
    <x v="3"/>
    <x v="47"/>
    <x v="9"/>
    <x v="97"/>
    <x v="59"/>
    <m/>
    <x v="62"/>
    <x v="105"/>
    <n v="450"/>
    <n v="150"/>
    <n v="1.33"/>
    <n v="598.5"/>
    <m/>
    <m/>
    <m/>
    <m/>
    <x v="0"/>
    <m/>
    <m/>
  </r>
  <r>
    <s v="GT004.26"/>
    <x v="16"/>
    <x v="3"/>
    <x v="47"/>
    <x v="9"/>
    <x v="98"/>
    <x v="60"/>
    <m/>
    <x v="62"/>
    <x v="106"/>
    <n v="450"/>
    <n v="150"/>
    <n v="1.33"/>
    <n v="598.5"/>
    <m/>
    <m/>
    <m/>
    <s v="Ok cliente - Incluir Logo -alteración código"/>
    <x v="0"/>
    <m/>
    <m/>
  </r>
  <r>
    <s v="GT004.26"/>
    <x v="16"/>
    <x v="3"/>
    <x v="47"/>
    <x v="9"/>
    <x v="99"/>
    <x v="61"/>
    <m/>
    <x v="62"/>
    <x v="107"/>
    <n v="450"/>
    <n v="150"/>
    <n v="1.33"/>
    <n v="598.5"/>
    <m/>
    <m/>
    <m/>
    <m/>
    <x v="0"/>
    <m/>
    <m/>
  </r>
  <r>
    <s v="GT004.26"/>
    <x v="16"/>
    <x v="3"/>
    <x v="47"/>
    <x v="9"/>
    <x v="100"/>
    <x v="62"/>
    <m/>
    <x v="62"/>
    <x v="108"/>
    <n v="450"/>
    <n v="150"/>
    <n v="1.33"/>
    <n v="598.5"/>
    <m/>
    <m/>
    <m/>
    <m/>
    <x v="0"/>
    <m/>
    <m/>
  </r>
  <r>
    <s v="GT004.26"/>
    <x v="16"/>
    <x v="3"/>
    <x v="47"/>
    <x v="9"/>
    <x v="101"/>
    <x v="63"/>
    <m/>
    <x v="62"/>
    <x v="109"/>
    <n v="450"/>
    <n v="150"/>
    <n v="1.33"/>
    <n v="598.5"/>
    <m/>
    <m/>
    <m/>
    <m/>
    <x v="0"/>
    <m/>
    <m/>
  </r>
  <r>
    <s v="OC 6005"/>
    <x v="3"/>
    <x v="0"/>
    <x v="48"/>
    <x v="9"/>
    <x v="102"/>
    <x v="84"/>
    <m/>
    <x v="63"/>
    <x v="23"/>
    <n v="1000"/>
    <m/>
    <n v="2.06"/>
    <n v="2060"/>
    <s v="Rodrigo (Conex Gua)"/>
    <s v="NA"/>
    <s v="NA"/>
    <s v="OK"/>
    <x v="0"/>
    <m/>
    <m/>
  </r>
  <r>
    <s v="OC 2005667"/>
    <x v="13"/>
    <x v="0"/>
    <x v="49"/>
    <x v="9"/>
    <x v="103"/>
    <x v="85"/>
    <m/>
    <x v="64"/>
    <x v="110"/>
    <n v="3400"/>
    <m/>
    <n v="1.86"/>
    <n v="6324"/>
    <s v="Rodrigo (Conex Gua)"/>
    <s v="NA"/>
    <s v="NA"/>
    <s v="OK"/>
    <x v="0"/>
    <m/>
    <m/>
  </r>
  <r>
    <s v="OC 2004146"/>
    <x v="8"/>
    <x v="3"/>
    <x v="49"/>
    <x v="9"/>
    <x v="104"/>
    <x v="86"/>
    <s v="473-496"/>
    <x v="65"/>
    <x v="111"/>
    <n v="100"/>
    <m/>
    <n v="1.74"/>
    <n v="174"/>
    <s v="Rodrigo (Conex Gua)"/>
    <s v="NA"/>
    <s v="NA"/>
    <m/>
    <x v="1"/>
    <m/>
    <m/>
  </r>
  <r>
    <s v="OC 2004146"/>
    <x v="8"/>
    <x v="3"/>
    <x v="49"/>
    <x v="9"/>
    <x v="105"/>
    <x v="87"/>
    <m/>
    <x v="65"/>
    <x v="112"/>
    <n v="100"/>
    <m/>
    <n v="1.64"/>
    <n v="164"/>
    <s v="Rodrigo (Conex Gua)"/>
    <s v="NA"/>
    <s v="NA"/>
    <m/>
    <x v="0"/>
    <m/>
    <m/>
  </r>
  <r>
    <s v="OC 2004146"/>
    <x v="8"/>
    <x v="3"/>
    <x v="49"/>
    <x v="9"/>
    <x v="106"/>
    <x v="88"/>
    <m/>
    <x v="65"/>
    <x v="113"/>
    <n v="100"/>
    <m/>
    <n v="1.72"/>
    <n v="172"/>
    <s v="Rodrigo (Conex Gua)"/>
    <s v="NA"/>
    <s v="NA"/>
    <m/>
    <x v="0"/>
    <m/>
    <m/>
  </r>
  <r>
    <s v="OC 2004146"/>
    <x v="8"/>
    <x v="3"/>
    <x v="49"/>
    <x v="9"/>
    <x v="107"/>
    <x v="89"/>
    <m/>
    <x v="65"/>
    <x v="114"/>
    <n v="100"/>
    <m/>
    <n v="1.85"/>
    <n v="185"/>
    <s v="Rodrigo (Conex Gua)"/>
    <s v="NA"/>
    <s v="NA"/>
    <m/>
    <x v="0"/>
    <m/>
    <m/>
  </r>
  <r>
    <s v="OC 2004146"/>
    <x v="8"/>
    <x v="3"/>
    <x v="49"/>
    <x v="9"/>
    <x v="108"/>
    <x v="90"/>
    <m/>
    <x v="65"/>
    <x v="115"/>
    <n v="100"/>
    <m/>
    <n v="1.81"/>
    <n v="181"/>
    <s v="Rodrigo (Conex Gua)"/>
    <s v="NA"/>
    <s v="NA"/>
    <m/>
    <x v="0"/>
    <m/>
    <m/>
  </r>
  <r>
    <s v="OC 2004146"/>
    <x v="8"/>
    <x v="3"/>
    <x v="49"/>
    <x v="9"/>
    <x v="109"/>
    <x v="91"/>
    <m/>
    <x v="65"/>
    <x v="116"/>
    <n v="100"/>
    <m/>
    <n v="1.66"/>
    <n v="166"/>
    <s v="Rodrigo (Conex Gua)"/>
    <s v="NA"/>
    <s v="NA"/>
    <m/>
    <x v="0"/>
    <m/>
    <m/>
  </r>
  <r>
    <s v="OC 2004146"/>
    <x v="8"/>
    <x v="3"/>
    <x v="49"/>
    <x v="9"/>
    <x v="110"/>
    <x v="92"/>
    <m/>
    <x v="65"/>
    <x v="117"/>
    <n v="100"/>
    <m/>
    <n v="1.64"/>
    <n v="164"/>
    <s v="Rodrigo (Conex Gua)"/>
    <s v="NA"/>
    <s v="NA"/>
    <m/>
    <x v="0"/>
    <m/>
    <m/>
  </r>
  <r>
    <s v="OC 2004146"/>
    <x v="8"/>
    <x v="3"/>
    <x v="49"/>
    <x v="9"/>
    <x v="111"/>
    <x v="93"/>
    <m/>
    <x v="65"/>
    <x v="118"/>
    <n v="100"/>
    <m/>
    <n v="1.99"/>
    <n v="199"/>
    <s v="Rodrigo (Conex Gua)"/>
    <s v="NA"/>
    <s v="NA"/>
    <m/>
    <x v="0"/>
    <m/>
    <m/>
  </r>
  <r>
    <s v="OC 2004146"/>
    <x v="8"/>
    <x v="3"/>
    <x v="49"/>
    <x v="9"/>
    <x v="112"/>
    <x v="94"/>
    <m/>
    <x v="65"/>
    <x v="119"/>
    <n v="100"/>
    <m/>
    <n v="1.71"/>
    <n v="171"/>
    <s v="Rodrigo (Conex Gua)"/>
    <s v="NA"/>
    <s v="NA"/>
    <s v="Ajuste de estrutura PL a CM - revisar cód-Ok"/>
    <x v="0"/>
    <m/>
    <m/>
  </r>
  <r>
    <s v="OC 2004146"/>
    <x v="8"/>
    <x v="3"/>
    <x v="49"/>
    <x v="9"/>
    <x v="113"/>
    <x v="95"/>
    <m/>
    <x v="65"/>
    <x v="120"/>
    <n v="100"/>
    <m/>
    <n v="1.65"/>
    <n v="165"/>
    <s v="Rodrigo (Conex Gua)"/>
    <s v="NA"/>
    <s v="NA"/>
    <m/>
    <x v="0"/>
    <m/>
    <m/>
  </r>
  <r>
    <s v="OC 2004146"/>
    <x v="8"/>
    <x v="3"/>
    <x v="49"/>
    <x v="9"/>
    <x v="114"/>
    <x v="96"/>
    <m/>
    <x v="65"/>
    <x v="121"/>
    <n v="100"/>
    <m/>
    <n v="1.74"/>
    <n v="174"/>
    <s v="Rodrigo (Conex Gua)"/>
    <s v="NA"/>
    <s v="NA"/>
    <m/>
    <x v="0"/>
    <m/>
    <m/>
  </r>
  <r>
    <s v="OC 2004146"/>
    <x v="8"/>
    <x v="3"/>
    <x v="49"/>
    <x v="9"/>
    <x v="115"/>
    <x v="97"/>
    <m/>
    <x v="65"/>
    <x v="122"/>
    <n v="100"/>
    <m/>
    <n v="1.63"/>
    <n v="163"/>
    <s v="Rodrigo (Conex Gua)"/>
    <s v="NA"/>
    <s v="NA"/>
    <m/>
    <x v="0"/>
    <m/>
    <m/>
  </r>
  <r>
    <s v="OC 2004146"/>
    <x v="8"/>
    <x v="3"/>
    <x v="49"/>
    <x v="9"/>
    <x v="116"/>
    <x v="77"/>
    <m/>
    <x v="65"/>
    <x v="123"/>
    <n v="100"/>
    <m/>
    <n v="1.58"/>
    <n v="158"/>
    <s v="Rodrigo (Conex Gua)"/>
    <s v="NA"/>
    <s v="NA"/>
    <m/>
    <x v="0"/>
    <m/>
    <m/>
  </r>
  <r>
    <s v="OC 2004146"/>
    <x v="8"/>
    <x v="3"/>
    <x v="49"/>
    <x v="9"/>
    <x v="117"/>
    <x v="98"/>
    <m/>
    <x v="65"/>
    <x v="124"/>
    <n v="100"/>
    <m/>
    <n v="1.81"/>
    <n v="181"/>
    <s v="Rodrigo (Conex Gua)"/>
    <s v="NA"/>
    <s v="NA"/>
    <s v="Ajuste Desenvol.  - revisar cód"/>
    <x v="0"/>
    <m/>
    <m/>
  </r>
  <r>
    <s v="GT007.26"/>
    <x v="14"/>
    <x v="1"/>
    <x v="50"/>
    <x v="10"/>
    <x v="71"/>
    <x v="99"/>
    <m/>
    <x v="66"/>
    <x v="77"/>
    <n v="2000"/>
    <m/>
    <n v="1.63"/>
    <n v="3260"/>
    <s v="Carlos Ruiz"/>
    <s v="NA"/>
    <s v="NA"/>
    <s v="ok"/>
    <x v="0"/>
    <m/>
    <m/>
  </r>
  <r>
    <s v="GT007.26"/>
    <x v="14"/>
    <x v="1"/>
    <x v="50"/>
    <x v="10"/>
    <x v="118"/>
    <x v="70"/>
    <m/>
    <x v="66"/>
    <x v="125"/>
    <n v="2500"/>
    <m/>
    <n v="3.38"/>
    <n v="8450"/>
    <s v="Carlos Ruiz"/>
    <s v="NA"/>
    <s v="NA"/>
    <s v="ok"/>
    <x v="0"/>
    <m/>
    <m/>
  </r>
  <r>
    <s v="OC 14432"/>
    <x v="11"/>
    <x v="0"/>
    <x v="50"/>
    <x v="10"/>
    <x v="119"/>
    <x v="100"/>
    <m/>
    <x v="67"/>
    <x v="126"/>
    <n v="2000"/>
    <m/>
    <n v="1.93"/>
    <n v="3860"/>
    <s v="Rodrigo (Conex Gua)"/>
    <s v="NA"/>
    <s v="NA"/>
    <m/>
    <x v="0"/>
    <m/>
    <m/>
  </r>
  <r>
    <s v="OC 14432"/>
    <x v="11"/>
    <x v="0"/>
    <x v="50"/>
    <x v="10"/>
    <x v="120"/>
    <x v="101"/>
    <m/>
    <x v="67"/>
    <x v="127"/>
    <n v="2000"/>
    <m/>
    <n v="2.06"/>
    <n v="4120"/>
    <s v="Rodrigo (Conex Gua)"/>
    <s v="NA"/>
    <s v="NA"/>
    <m/>
    <x v="0"/>
    <m/>
    <m/>
  </r>
  <r>
    <s v="OC 14432"/>
    <x v="11"/>
    <x v="0"/>
    <x v="50"/>
    <x v="10"/>
    <x v="121"/>
    <x v="102"/>
    <m/>
    <x v="67"/>
    <x v="128"/>
    <n v="2000"/>
    <m/>
    <n v="1.9"/>
    <n v="3800"/>
    <s v="Rodrigo (Conex Gua)"/>
    <s v="NA"/>
    <s v="NA"/>
    <m/>
    <x v="0"/>
    <m/>
    <m/>
  </r>
  <r>
    <s v="OC 14432"/>
    <x v="11"/>
    <x v="0"/>
    <x v="50"/>
    <x v="10"/>
    <x v="122"/>
    <x v="103"/>
    <m/>
    <x v="67"/>
    <x v="129"/>
    <n v="3000"/>
    <m/>
    <n v="1.94"/>
    <n v="5820"/>
    <s v="Rodrigo (Conex Gua)"/>
    <s v="NA"/>
    <s v="NA"/>
    <s v="código revisado c/cliente - nueva cotizac. / cód pdn"/>
    <x v="0"/>
    <m/>
    <m/>
  </r>
  <r>
    <s v="OC 14432"/>
    <x v="11"/>
    <x v="0"/>
    <x v="50"/>
    <x v="10"/>
    <x v="123"/>
    <x v="104"/>
    <m/>
    <x v="67"/>
    <x v="130"/>
    <n v="3000"/>
    <m/>
    <n v="1.93"/>
    <n v="5790"/>
    <s v="Rodrigo (Conex Gua)"/>
    <s v="NA"/>
    <s v="NA"/>
    <s v="código revisado c/cliente - nueva cotizac. / cód pdn"/>
    <x v="0"/>
    <m/>
    <m/>
  </r>
  <r>
    <s v="OC 2005763"/>
    <x v="13"/>
    <x v="0"/>
    <x v="51"/>
    <x v="10"/>
    <x v="124"/>
    <x v="105"/>
    <m/>
    <x v="68"/>
    <x v="131"/>
    <n v="4000"/>
    <m/>
    <n v="1.88"/>
    <n v="7520"/>
    <s v="Rodrigo (Conex Gua)"/>
    <s v="NA"/>
    <s v="NA"/>
    <s v="ok- A10321 /MPTL0532 (ORTOPRE) 180 2,20 NEGRO Y BLANCO (ID 6299/Totvs 4642)-$1,82"/>
    <x v="0"/>
    <m/>
    <m/>
  </r>
  <r>
    <s v="PO 10095120"/>
    <x v="17"/>
    <x v="2"/>
    <x v="52"/>
    <x v="11"/>
    <x v="125"/>
    <x v="106"/>
    <m/>
    <x v="69"/>
    <x v="132"/>
    <n v="30000"/>
    <m/>
    <n v="2.2000000000000002"/>
    <n v="66000"/>
    <s v="Carlos Ruiz"/>
    <s v="NA"/>
    <s v="NA"/>
    <s v="Pedido nuevo-producto antiguo- debe liberar fluxo Desarrollo-ok"/>
    <x v="0"/>
    <m/>
    <m/>
  </r>
  <r>
    <s v="GT009.26"/>
    <x v="18"/>
    <x v="1"/>
    <x v="53"/>
    <x v="11"/>
    <x v="126"/>
    <x v="107"/>
    <m/>
    <x v="70"/>
    <x v="133"/>
    <n v="500"/>
    <m/>
    <n v="2.06"/>
    <n v="1030"/>
    <m/>
    <m/>
    <m/>
    <m/>
    <x v="0"/>
    <m/>
    <m/>
  </r>
  <r>
    <s v="GT009.26"/>
    <x v="18"/>
    <x v="1"/>
    <x v="53"/>
    <x v="11"/>
    <x v="127"/>
    <x v="108"/>
    <m/>
    <x v="70"/>
    <x v="134"/>
    <n v="500"/>
    <m/>
    <n v="1.69"/>
    <n v="845"/>
    <m/>
    <m/>
    <m/>
    <m/>
    <x v="0"/>
    <m/>
    <m/>
  </r>
  <r>
    <s v="GT009.26"/>
    <x v="18"/>
    <x v="1"/>
    <x v="53"/>
    <x v="11"/>
    <x v="128"/>
    <x v="109"/>
    <s v="550-551-552"/>
    <x v="70"/>
    <x v="135"/>
    <n v="1000"/>
    <m/>
    <n v="2.1800000000000002"/>
    <n v="2180"/>
    <m/>
    <m/>
    <m/>
    <m/>
    <x v="2"/>
    <m/>
    <m/>
  </r>
  <r>
    <s v="GT009.26"/>
    <x v="18"/>
    <x v="1"/>
    <x v="53"/>
    <x v="11"/>
    <x v="129"/>
    <x v="110"/>
    <m/>
    <x v="70"/>
    <x v="136"/>
    <n v="300"/>
    <m/>
    <n v="1.66"/>
    <n v="498"/>
    <m/>
    <m/>
    <m/>
    <m/>
    <x v="0"/>
    <m/>
    <m/>
  </r>
  <r>
    <s v="GT009.26"/>
    <x v="18"/>
    <x v="1"/>
    <x v="53"/>
    <x v="11"/>
    <x v="130"/>
    <x v="111"/>
    <m/>
    <x v="70"/>
    <x v="137"/>
    <n v="1000"/>
    <m/>
    <n v="1.81"/>
    <n v="1810"/>
    <m/>
    <m/>
    <m/>
    <m/>
    <x v="0"/>
    <m/>
    <m/>
  </r>
  <r>
    <s v="OC 2004274/CO2603-03"/>
    <x v="8"/>
    <x v="3"/>
    <x v="54"/>
    <x v="11"/>
    <x v="110"/>
    <x v="92"/>
    <m/>
    <x v="71"/>
    <x v="138"/>
    <n v="3700"/>
    <m/>
    <n v="1.64"/>
    <n v="6068"/>
    <m/>
    <m/>
    <m/>
    <s v="Ok- proforma aprobada x cliente (11/02)"/>
    <x v="0"/>
    <m/>
    <m/>
  </r>
  <r>
    <s v="OC 2004274/CO2603-03"/>
    <x v="8"/>
    <x v="3"/>
    <x v="54"/>
    <x v="11"/>
    <x v="112"/>
    <x v="94"/>
    <m/>
    <x v="71"/>
    <x v="139"/>
    <n v="3000"/>
    <m/>
    <n v="1.71"/>
    <n v="5130"/>
    <m/>
    <m/>
    <m/>
    <s v="Ok- proforma aprobada x cliente (11/02)"/>
    <x v="0"/>
    <m/>
    <m/>
  </r>
  <r>
    <s v="OC 2004274/CO2603-03"/>
    <x v="8"/>
    <x v="3"/>
    <x v="54"/>
    <x v="11"/>
    <x v="111"/>
    <x v="93"/>
    <m/>
    <x v="71"/>
    <x v="140"/>
    <n v="500"/>
    <m/>
    <n v="1.99"/>
    <n v="995"/>
    <m/>
    <m/>
    <m/>
    <s v="Ok- proforma aprobada x cliente (11/02)"/>
    <x v="0"/>
    <m/>
    <m/>
  </r>
  <r>
    <s v="OC 2004274/CO2603-03"/>
    <x v="8"/>
    <x v="3"/>
    <x v="54"/>
    <x v="11"/>
    <x v="114"/>
    <x v="96"/>
    <s v="494-507"/>
    <x v="71"/>
    <x v="141"/>
    <n v="4000"/>
    <m/>
    <n v="1.74"/>
    <n v="6960"/>
    <m/>
    <m/>
    <m/>
    <s v="Ok- proforma aprobada x cliente (11/02)"/>
    <x v="3"/>
    <m/>
    <m/>
  </r>
  <r>
    <s v="OC 2004274/CO2603-03"/>
    <x v="8"/>
    <x v="3"/>
    <x v="54"/>
    <x v="11"/>
    <x v="106"/>
    <x v="88"/>
    <m/>
    <x v="71"/>
    <x v="142"/>
    <n v="3000"/>
    <m/>
    <n v="1.72"/>
    <n v="5160"/>
    <m/>
    <m/>
    <m/>
    <s v="Ok- proforma aprobada x cliente (11/02)"/>
    <x v="0"/>
    <m/>
    <m/>
  </r>
  <r>
    <s v="OC 2004274/CO2603-03"/>
    <x v="8"/>
    <x v="3"/>
    <x v="54"/>
    <x v="11"/>
    <x v="131"/>
    <x v="89"/>
    <m/>
    <x v="71"/>
    <x v="143"/>
    <n v="2000"/>
    <m/>
    <n v="1.85"/>
    <n v="3700"/>
    <m/>
    <m/>
    <m/>
    <s v="Ok- proforma aprobada x cliente (11/02)"/>
    <x v="0"/>
    <m/>
    <m/>
  </r>
  <r>
    <s v="OC 2004274/CO2603-03"/>
    <x v="8"/>
    <x v="3"/>
    <x v="54"/>
    <x v="11"/>
    <x v="109"/>
    <x v="91"/>
    <m/>
    <x v="71"/>
    <x v="144"/>
    <n v="3300"/>
    <m/>
    <n v="1.66"/>
    <n v="5478"/>
    <m/>
    <m/>
    <m/>
    <s v="Ok- proforma aprobada x cliente (11/02)"/>
    <x v="0"/>
    <m/>
    <m/>
  </r>
  <r>
    <s v="OC 2004274/CO2603-03"/>
    <x v="8"/>
    <x v="3"/>
    <x v="54"/>
    <x v="11"/>
    <x v="108"/>
    <x v="90"/>
    <m/>
    <x v="71"/>
    <x v="145"/>
    <n v="800"/>
    <m/>
    <n v="1.81"/>
    <n v="1448"/>
    <m/>
    <m/>
    <m/>
    <s v="Ok- proforma aprobada x cliente (11/02)"/>
    <x v="0"/>
    <m/>
    <m/>
  </r>
  <r>
    <s v="OC 2004274/CO2603-03"/>
    <x v="8"/>
    <x v="3"/>
    <x v="54"/>
    <x v="11"/>
    <x v="132"/>
    <x v="105"/>
    <m/>
    <x v="71"/>
    <x v="146"/>
    <n v="3700"/>
    <m/>
    <n v="1.65"/>
    <n v="6105"/>
    <m/>
    <m/>
    <m/>
    <s v="Ok- proforma aprobada x cliente (11/02)"/>
    <x v="0"/>
    <m/>
    <m/>
  </r>
  <r>
    <s v="OC 2004274/CO2603-03"/>
    <x v="8"/>
    <x v="3"/>
    <x v="54"/>
    <x v="11"/>
    <x v="133"/>
    <x v="74"/>
    <m/>
    <x v="71"/>
    <x v="147"/>
    <n v="1500"/>
    <m/>
    <n v="1.81"/>
    <n v="2715"/>
    <m/>
    <m/>
    <m/>
    <s v="Ok- proforma aprobada x cliente (11/02)"/>
    <x v="0"/>
    <m/>
    <m/>
  </r>
  <r>
    <s v="OC 2004274/CO2603-03"/>
    <x v="8"/>
    <x v="3"/>
    <x v="54"/>
    <x v="11"/>
    <x v="134"/>
    <x v="112"/>
    <m/>
    <x v="71"/>
    <x v="148"/>
    <n v="800"/>
    <m/>
    <n v="1.71"/>
    <n v="1368"/>
    <m/>
    <m/>
    <m/>
    <s v="Ok- proforma aprobada x cliente (11/02)"/>
    <x v="0"/>
    <m/>
    <m/>
  </r>
  <r>
    <s v="OC 2004274/CO2603-03"/>
    <x v="8"/>
    <x v="3"/>
    <x v="54"/>
    <x v="11"/>
    <x v="104"/>
    <x v="86"/>
    <m/>
    <x v="71"/>
    <x v="149"/>
    <n v="1500"/>
    <m/>
    <n v="1.74"/>
    <n v="2610"/>
    <m/>
    <m/>
    <m/>
    <s v="Ok- proforma aprobada x cliente (11/02)"/>
    <x v="0"/>
    <m/>
    <m/>
  </r>
  <r>
    <s v="OC 2004274/CO2603-03"/>
    <x v="8"/>
    <x v="3"/>
    <x v="54"/>
    <x v="11"/>
    <x v="135"/>
    <x v="76"/>
    <m/>
    <x v="71"/>
    <x v="150"/>
    <n v="500"/>
    <m/>
    <n v="4.96"/>
    <n v="2480"/>
    <m/>
    <m/>
    <m/>
    <s v="Ok- proforma aprobada x cliente (11/02)"/>
    <x v="0"/>
    <m/>
    <m/>
  </r>
  <r>
    <s v="OC 2004274/CO2603-03"/>
    <x v="8"/>
    <x v="3"/>
    <x v="54"/>
    <x v="11"/>
    <x v="136"/>
    <x v="85"/>
    <m/>
    <x v="71"/>
    <x v="151"/>
    <n v="2700"/>
    <m/>
    <n v="1.63"/>
    <n v="4401"/>
    <m/>
    <m/>
    <m/>
    <s v="Ok- proforma aprobada x cliente (11/02)"/>
    <x v="0"/>
    <m/>
    <m/>
  </r>
  <r>
    <s v="OC 6172"/>
    <x v="3"/>
    <x v="0"/>
    <x v="55"/>
    <x v="11"/>
    <x v="137"/>
    <x v="113"/>
    <m/>
    <x v="72"/>
    <x v="152"/>
    <n v="1000"/>
    <m/>
    <n v="2.2799999999999998"/>
    <n v="2280"/>
    <m/>
    <m/>
    <m/>
    <s v="ok- "/>
    <x v="0"/>
    <m/>
    <m/>
  </r>
  <r>
    <s v="OC 6174"/>
    <x v="3"/>
    <x v="0"/>
    <x v="55"/>
    <x v="11"/>
    <x v="138"/>
    <x v="114"/>
    <m/>
    <x v="73"/>
    <x v="153"/>
    <n v="2500"/>
    <m/>
    <n v="2.57"/>
    <n v="6425"/>
    <m/>
    <m/>
    <m/>
    <s v="ok"/>
    <x v="0"/>
    <m/>
    <m/>
  </r>
  <r>
    <s v="GT010.26"/>
    <x v="1"/>
    <x v="1"/>
    <x v="56"/>
    <x v="11"/>
    <x v="139"/>
    <x v="115"/>
    <m/>
    <x v="74"/>
    <x v="154"/>
    <n v="10000"/>
    <m/>
    <n v="1.71"/>
    <n v="17100"/>
    <m/>
    <m/>
    <m/>
    <s v="Cliente recibió soló la mitad/ Solicita 5.000 restantes 06/05- entrega estimada 24junio"/>
    <x v="4"/>
    <m/>
    <m/>
  </r>
  <r>
    <s v="OC 716"/>
    <x v="10"/>
    <x v="3"/>
    <x v="57"/>
    <x v="11"/>
    <x v="140"/>
    <x v="116"/>
    <m/>
    <x v="75"/>
    <x v="155"/>
    <n v="600"/>
    <m/>
    <n v="2.2400000000000002"/>
    <n v="1344.0000000000002"/>
    <m/>
    <m/>
    <m/>
    <s v="cadastro códigos + preços"/>
    <x v="0"/>
    <m/>
    <m/>
  </r>
  <r>
    <s v="OC 716"/>
    <x v="10"/>
    <x v="3"/>
    <x v="57"/>
    <x v="11"/>
    <x v="141"/>
    <x v="117"/>
    <m/>
    <x v="75"/>
    <x v="156"/>
    <n v="1000"/>
    <m/>
    <n v="1.67"/>
    <n v="1670"/>
    <m/>
    <m/>
    <m/>
    <s v="cadastro códigos + preços"/>
    <x v="0"/>
    <m/>
    <m/>
  </r>
  <r>
    <s v="OC 14493"/>
    <x v="11"/>
    <x v="0"/>
    <x v="57"/>
    <x v="11"/>
    <x v="142"/>
    <x v="118"/>
    <m/>
    <x v="76"/>
    <x v="157"/>
    <n v="2000"/>
    <m/>
    <n v="1.88"/>
    <n v="3760"/>
    <m/>
    <m/>
    <m/>
    <m/>
    <x v="0"/>
    <m/>
    <m/>
  </r>
  <r>
    <s v="OC 2005972"/>
    <x v="13"/>
    <x v="0"/>
    <x v="58"/>
    <x v="11"/>
    <x v="143"/>
    <x v="105"/>
    <m/>
    <x v="77"/>
    <x v="158"/>
    <n v="5000"/>
    <m/>
    <n v="1.87"/>
    <n v="9350"/>
    <m/>
    <m/>
    <m/>
    <m/>
    <x v="0"/>
    <m/>
    <m/>
  </r>
  <r>
    <s v="OC 2005972"/>
    <x v="13"/>
    <x v="0"/>
    <x v="58"/>
    <x v="11"/>
    <x v="144"/>
    <x v="119"/>
    <m/>
    <x v="77"/>
    <x v="159"/>
    <n v="5800"/>
    <m/>
    <n v="1.87"/>
    <n v="10846"/>
    <m/>
    <m/>
    <m/>
    <m/>
    <x v="0"/>
    <m/>
    <m/>
  </r>
  <r>
    <s v="OC 2005972"/>
    <x v="13"/>
    <x v="0"/>
    <x v="58"/>
    <x v="11"/>
    <x v="145"/>
    <x v="120"/>
    <m/>
    <x v="77"/>
    <x v="160"/>
    <n v="5800"/>
    <m/>
    <n v="1.87"/>
    <n v="10846"/>
    <m/>
    <m/>
    <m/>
    <m/>
    <x v="0"/>
    <m/>
    <m/>
  </r>
  <r>
    <s v="OC 2005972"/>
    <x v="13"/>
    <x v="0"/>
    <x v="58"/>
    <x v="11"/>
    <x v="146"/>
    <x v="121"/>
    <s v="523 - 524"/>
    <x v="77"/>
    <x v="161"/>
    <n v="3000"/>
    <m/>
    <n v="1.87"/>
    <n v="5610"/>
    <m/>
    <m/>
    <m/>
    <m/>
    <x v="2"/>
    <m/>
    <m/>
  </r>
  <r>
    <n v="14541"/>
    <x v="11"/>
    <x v="0"/>
    <x v="59"/>
    <x v="11"/>
    <x v="25"/>
    <x v="25"/>
    <s v="538-539"/>
    <x v="78"/>
    <x v="29"/>
    <n v="5000"/>
    <m/>
    <n v="1.58"/>
    <n v="7900"/>
    <m/>
    <m/>
    <m/>
    <m/>
    <x v="5"/>
    <m/>
    <m/>
  </r>
  <r>
    <n v="14541"/>
    <x v="11"/>
    <x v="0"/>
    <x v="59"/>
    <x v="11"/>
    <x v="26"/>
    <x v="26"/>
    <m/>
    <x v="78"/>
    <x v="30"/>
    <n v="5000"/>
    <m/>
    <n v="1.6"/>
    <n v="8000"/>
    <m/>
    <m/>
    <m/>
    <m/>
    <x v="0"/>
    <m/>
    <m/>
  </r>
  <r>
    <n v="14541"/>
    <x v="11"/>
    <x v="0"/>
    <x v="59"/>
    <x v="11"/>
    <x v="27"/>
    <x v="27"/>
    <m/>
    <x v="78"/>
    <x v="31"/>
    <n v="5000"/>
    <m/>
    <n v="1.65"/>
    <n v="8250"/>
    <m/>
    <m/>
    <m/>
    <m/>
    <x v="0"/>
    <m/>
    <m/>
  </r>
  <r>
    <n v="14546"/>
    <x v="11"/>
    <x v="0"/>
    <x v="60"/>
    <x v="11"/>
    <x v="147"/>
    <x v="122"/>
    <m/>
    <x v="79"/>
    <x v="162"/>
    <n v="2000"/>
    <m/>
    <n v="1.7"/>
    <n v="3400"/>
    <m/>
    <m/>
    <m/>
    <m/>
    <x v="0"/>
    <m/>
    <m/>
  </r>
  <r>
    <n v="2006042"/>
    <x v="13"/>
    <x v="0"/>
    <x v="59"/>
    <x v="11"/>
    <x v="148"/>
    <x v="123"/>
    <n v="540"/>
    <x v="80"/>
    <x v="163"/>
    <n v="4600"/>
    <m/>
    <n v="2.25"/>
    <n v="10350"/>
    <m/>
    <m/>
    <m/>
    <s v="pendiente revalidación de código y precio/ Ok- revalido com César (18/03)"/>
    <x v="6"/>
    <m/>
    <m/>
  </r>
  <r>
    <n v="6416"/>
    <x v="3"/>
    <x v="0"/>
    <x v="61"/>
    <x v="12"/>
    <x v="149"/>
    <x v="114"/>
    <n v="543"/>
    <x v="81"/>
    <x v="164"/>
    <n v="2500"/>
    <m/>
    <n v="2.57"/>
    <n v="6425"/>
    <m/>
    <m/>
    <m/>
    <m/>
    <x v="7"/>
    <m/>
    <m/>
  </r>
  <r>
    <n v="2006193"/>
    <x v="13"/>
    <x v="0"/>
    <x v="61"/>
    <x v="12"/>
    <x v="150"/>
    <x v="124"/>
    <n v="555"/>
    <x v="82"/>
    <x v="165"/>
    <n v="2000"/>
    <m/>
    <n v="1.75"/>
    <n v="3500"/>
    <m/>
    <m/>
    <m/>
    <m/>
    <x v="8"/>
    <m/>
    <m/>
  </r>
  <r>
    <n v="2006193"/>
    <x v="13"/>
    <x v="0"/>
    <x v="61"/>
    <x v="12"/>
    <x v="151"/>
    <x v="125"/>
    <n v="556"/>
    <x v="82"/>
    <x v="166"/>
    <n v="1700"/>
    <m/>
    <n v="1.71"/>
    <n v="2907"/>
    <m/>
    <m/>
    <m/>
    <m/>
    <x v="0"/>
    <m/>
    <m/>
  </r>
  <r>
    <n v="14549"/>
    <x v="11"/>
    <x v="0"/>
    <x v="61"/>
    <x v="12"/>
    <x v="119"/>
    <x v="104"/>
    <n v="544"/>
    <x v="83"/>
    <x v="126"/>
    <n v="3500"/>
    <m/>
    <n v="1.93"/>
    <n v="6755"/>
    <m/>
    <m/>
    <m/>
    <m/>
    <x v="9"/>
    <m/>
    <m/>
  </r>
  <r>
    <n v="14549"/>
    <x v="11"/>
    <x v="0"/>
    <x v="61"/>
    <x v="12"/>
    <x v="120"/>
    <x v="101"/>
    <n v="545"/>
    <x v="83"/>
    <x v="127"/>
    <n v="3500"/>
    <m/>
    <n v="2.06"/>
    <n v="7210"/>
    <m/>
    <m/>
    <m/>
    <m/>
    <x v="9"/>
    <m/>
    <m/>
  </r>
  <r>
    <n v="14549"/>
    <x v="11"/>
    <x v="0"/>
    <x v="61"/>
    <x v="12"/>
    <x v="142"/>
    <x v="118"/>
    <n v="546"/>
    <x v="83"/>
    <x v="167"/>
    <n v="3500"/>
    <m/>
    <n v="1.9"/>
    <n v="6650"/>
    <m/>
    <m/>
    <m/>
    <m/>
    <x v="9"/>
    <m/>
    <m/>
  </r>
  <r>
    <n v="14563"/>
    <x v="11"/>
    <x v="0"/>
    <x v="61"/>
    <x v="12"/>
    <x v="152"/>
    <x v="68"/>
    <m/>
    <x v="84"/>
    <x v="168"/>
    <n v="3000"/>
    <m/>
    <n v="1.95"/>
    <n v="5850"/>
    <m/>
    <m/>
    <m/>
    <m/>
    <x v="0"/>
    <m/>
    <m/>
  </r>
  <r>
    <s v="GT012.26"/>
    <x v="2"/>
    <x v="2"/>
    <x v="62"/>
    <x v="12"/>
    <x v="153"/>
    <x v="126"/>
    <n v="549"/>
    <x v="85"/>
    <x v="169"/>
    <n v="15000"/>
    <m/>
    <n v="2.34"/>
    <n v="35100"/>
    <m/>
    <m/>
    <m/>
    <s v="Ajuste tela 100% Blanco/cambio de código A10460&gt;A10469|precio esp negociado $2,34/ "/>
    <x v="10"/>
    <s v="SO solicitada"/>
    <d v="2026-08-21T00:00:00"/>
  </r>
  <r>
    <n v="2004337"/>
    <x v="8"/>
    <x v="3"/>
    <x v="63"/>
    <x v="12"/>
    <x v="154"/>
    <x v="127"/>
    <n v="560"/>
    <x v="86"/>
    <x v="170"/>
    <n v="1400"/>
    <m/>
    <n v="2.04"/>
    <n v="2856"/>
    <m/>
    <m/>
    <m/>
    <s v="ok - codigo aprobado App -ok precio/urgent"/>
    <x v="1"/>
    <m/>
    <m/>
  </r>
  <r>
    <n v="6485"/>
    <x v="3"/>
    <x v="0"/>
    <x v="64"/>
    <x v="12"/>
    <x v="149"/>
    <x v="128"/>
    <s v="NA"/>
    <x v="87"/>
    <x v="153"/>
    <n v="3750"/>
    <m/>
    <n v="2.57"/>
    <n v="9637.5"/>
    <m/>
    <m/>
    <m/>
    <s v="ok"/>
    <x v="0"/>
    <m/>
    <m/>
  </r>
  <r>
    <n v="6493"/>
    <x v="3"/>
    <x v="0"/>
    <x v="64"/>
    <x v="12"/>
    <x v="149"/>
    <x v="128"/>
    <s v="NA"/>
    <x v="88"/>
    <x v="153"/>
    <n v="3750"/>
    <m/>
    <n v="2.57"/>
    <n v="9637.5"/>
    <m/>
    <m/>
    <m/>
    <s v="ok"/>
    <x v="0"/>
    <m/>
    <m/>
  </r>
  <r>
    <n v="6486"/>
    <x v="3"/>
    <x v="0"/>
    <x v="64"/>
    <x v="12"/>
    <x v="155"/>
    <x v="129"/>
    <s v="NA"/>
    <x v="89"/>
    <x v="171"/>
    <n v="1500"/>
    <m/>
    <n v="2.2999999999999998"/>
    <n v="3449.9999999999995"/>
    <m/>
    <m/>
    <m/>
    <s v="0K"/>
    <x v="0"/>
    <m/>
    <m/>
  </r>
  <r>
    <n v="6486"/>
    <x v="3"/>
    <x v="0"/>
    <x v="64"/>
    <x v="12"/>
    <x v="156"/>
    <x v="84"/>
    <s v="NA"/>
    <x v="89"/>
    <x v="23"/>
    <n v="1000"/>
    <m/>
    <n v="2.17"/>
    <n v="2170"/>
    <m/>
    <m/>
    <m/>
    <s v="OK"/>
    <x v="0"/>
    <m/>
    <m/>
  </r>
  <r>
    <n v="6486"/>
    <x v="3"/>
    <x v="0"/>
    <x v="64"/>
    <x v="12"/>
    <x v="157"/>
    <x v="130"/>
    <s v="NA"/>
    <x v="89"/>
    <x v="172"/>
    <n v="1000"/>
    <m/>
    <n v="2.91"/>
    <n v="2910"/>
    <m/>
    <m/>
    <m/>
    <s v="OK"/>
    <x v="0"/>
    <m/>
    <m/>
  </r>
  <r>
    <n v="2004493"/>
    <x v="8"/>
    <x v="3"/>
    <x v="64"/>
    <x v="12"/>
    <x v="158"/>
    <x v="131"/>
    <s v="NA"/>
    <x v="90"/>
    <x v="173"/>
    <n v="1500"/>
    <m/>
    <n v="5.04"/>
    <n v="7560"/>
    <m/>
    <m/>
    <m/>
    <s v="OK"/>
    <x v="0"/>
    <m/>
    <m/>
  </r>
  <r>
    <s v="GT013.26"/>
    <x v="19"/>
    <x v="4"/>
    <x v="64"/>
    <x v="12"/>
    <x v="159"/>
    <x v="132"/>
    <s v="NA"/>
    <x v="91"/>
    <x v="174"/>
    <n v="1000"/>
    <m/>
    <n v="2.3199999999999998"/>
    <n v="2320"/>
    <m/>
    <m/>
    <m/>
    <s v="OK"/>
    <x v="0"/>
    <m/>
    <m/>
  </r>
  <r>
    <s v="GT013.26"/>
    <x v="19"/>
    <x v="4"/>
    <x v="64"/>
    <x v="12"/>
    <x v="160"/>
    <x v="133"/>
    <s v="NA"/>
    <x v="91"/>
    <x v="175"/>
    <n v="1000"/>
    <m/>
    <n v="2.3199999999999998"/>
    <n v="2320"/>
    <m/>
    <m/>
    <m/>
    <s v="ok"/>
    <x v="0"/>
    <m/>
    <m/>
  </r>
  <r>
    <s v="GT013.26"/>
    <x v="19"/>
    <x v="4"/>
    <x v="64"/>
    <x v="12"/>
    <x v="161"/>
    <x v="134"/>
    <s v="NA"/>
    <x v="91"/>
    <x v="175"/>
    <n v="1000"/>
    <m/>
    <n v="2.3199999999999998"/>
    <n v="2320"/>
    <m/>
    <m/>
    <m/>
    <s v="ok"/>
    <x v="0"/>
    <m/>
    <m/>
  </r>
  <r>
    <s v="GT013.26"/>
    <x v="19"/>
    <x v="4"/>
    <x v="64"/>
    <x v="12"/>
    <x v="162"/>
    <x v="135"/>
    <s v="NA"/>
    <x v="91"/>
    <x v="175"/>
    <n v="1000"/>
    <m/>
    <n v="2.3199999999999998"/>
    <n v="2320"/>
    <m/>
    <m/>
    <m/>
    <s v="ok"/>
    <x v="0"/>
    <m/>
    <m/>
  </r>
  <r>
    <s v="GT013.26"/>
    <x v="19"/>
    <x v="4"/>
    <x v="64"/>
    <x v="12"/>
    <x v="163"/>
    <x v="136"/>
    <s v="NA"/>
    <x v="91"/>
    <x v="176"/>
    <n v="500"/>
    <m/>
    <n v="1.74"/>
    <n v="870"/>
    <m/>
    <m/>
    <m/>
    <s v="ok"/>
    <x v="0"/>
    <m/>
    <m/>
  </r>
  <r>
    <n v="2004507"/>
    <x v="8"/>
    <x v="3"/>
    <x v="64"/>
    <x v="12"/>
    <x v="164"/>
    <x v="82"/>
    <s v="NA"/>
    <x v="92"/>
    <x v="177"/>
    <n v="5000"/>
    <m/>
    <n v="2.21"/>
    <n v="11050"/>
    <m/>
    <m/>
    <m/>
    <s v="incluir precio actualizado en tabla del cliente"/>
    <x v="0"/>
    <m/>
    <m/>
  </r>
  <r>
    <n v="2004507"/>
    <x v="8"/>
    <x v="3"/>
    <x v="64"/>
    <x v="12"/>
    <x v="165"/>
    <x v="137"/>
    <s v="NA"/>
    <x v="92"/>
    <x v="178"/>
    <n v="4000"/>
    <m/>
    <n v="1.92"/>
    <n v="7680"/>
    <m/>
    <m/>
    <m/>
    <s v="incluir precio actualizado en tabla del cliente"/>
    <x v="0"/>
    <m/>
    <m/>
  </r>
  <r>
    <n v="2004507"/>
    <x v="8"/>
    <x v="3"/>
    <x v="64"/>
    <x v="12"/>
    <x v="166"/>
    <x v="78"/>
    <s v="NA"/>
    <x v="92"/>
    <x v="179"/>
    <n v="3000"/>
    <m/>
    <n v="2.0499999999999998"/>
    <n v="6149.9999999999991"/>
    <m/>
    <m/>
    <m/>
    <s v="incluir precio actualizado en tabla del cliente"/>
    <x v="0"/>
    <m/>
    <m/>
  </r>
  <r>
    <n v="2006372"/>
    <x v="13"/>
    <x v="0"/>
    <x v="65"/>
    <x v="13"/>
    <x v="167"/>
    <x v="138"/>
    <m/>
    <x v="93"/>
    <x v="180"/>
    <n v="1500"/>
    <m/>
    <n v="2.48"/>
    <n v="3720"/>
    <m/>
    <m/>
    <m/>
    <s v="ID6290 - Crear para GT &gt;A10484 / Sem fio preto/ Ok em App"/>
    <x v="0"/>
    <m/>
    <m/>
  </r>
  <r>
    <n v="2006372"/>
    <x v="13"/>
    <x v="0"/>
    <x v="65"/>
    <x v="13"/>
    <x v="168"/>
    <x v="139"/>
    <m/>
    <x v="93"/>
    <x v="181"/>
    <n v="7000"/>
    <m/>
    <n v="1.94"/>
    <n v="13580"/>
    <m/>
    <m/>
    <m/>
    <s v="ID6839 - Crear para GT&gt;0567011  / Ok em App"/>
    <x v="0"/>
    <m/>
    <m/>
  </r>
  <r>
    <n v="2006372"/>
    <x v="13"/>
    <x v="0"/>
    <x v="65"/>
    <x v="13"/>
    <x v="169"/>
    <x v="105"/>
    <m/>
    <x v="93"/>
    <x v="182"/>
    <n v="6000"/>
    <m/>
    <n v="2.0299999999999998"/>
    <n v="12179.999999999998"/>
    <m/>
    <m/>
    <m/>
    <s v="ID6299 - Atualizar preço &gt; 2,03 / sem fio preto"/>
    <x v="0"/>
    <m/>
    <m/>
  </r>
  <r>
    <n v="2006372"/>
    <x v="13"/>
    <x v="0"/>
    <x v="65"/>
    <x v="13"/>
    <x v="170"/>
    <x v="119"/>
    <m/>
    <x v="93"/>
    <x v="183"/>
    <n v="2000"/>
    <m/>
    <n v="2.0299999999999998"/>
    <n v="4059.9999999999995"/>
    <m/>
    <m/>
    <m/>
    <s v="ID6842 - Atualizar preço &gt; 2,03 /  sem fio preto"/>
    <x v="0"/>
    <m/>
    <m/>
  </r>
  <r>
    <s v="GT014.26"/>
    <x v="16"/>
    <x v="3"/>
    <x v="66"/>
    <x v="13"/>
    <x v="85"/>
    <x v="140"/>
    <m/>
    <x v="94"/>
    <x v="184"/>
    <n v="450"/>
    <m/>
    <n v="1.37"/>
    <n v="616.5"/>
    <m/>
    <m/>
    <m/>
    <m/>
    <x v="0"/>
    <m/>
    <m/>
  </r>
  <r>
    <s v="GT014.26"/>
    <x v="16"/>
    <x v="3"/>
    <x v="66"/>
    <x v="13"/>
    <x v="86"/>
    <x v="141"/>
    <m/>
    <x v="94"/>
    <x v="185"/>
    <n v="450"/>
    <m/>
    <n v="1.37"/>
    <n v="616.5"/>
    <m/>
    <m/>
    <m/>
    <m/>
    <x v="0"/>
    <m/>
    <m/>
  </r>
  <r>
    <s v="GT014.26"/>
    <x v="16"/>
    <x v="3"/>
    <x v="66"/>
    <x v="13"/>
    <x v="87"/>
    <x v="142"/>
    <m/>
    <x v="94"/>
    <x v="186"/>
    <n v="450"/>
    <m/>
    <n v="1.37"/>
    <n v="616.5"/>
    <m/>
    <m/>
    <m/>
    <m/>
    <x v="0"/>
    <m/>
    <m/>
  </r>
  <r>
    <s v="GT014.26"/>
    <x v="16"/>
    <x v="3"/>
    <x v="66"/>
    <x v="13"/>
    <x v="88"/>
    <x v="50"/>
    <m/>
    <x v="94"/>
    <x v="187"/>
    <n v="450"/>
    <m/>
    <n v="1.37"/>
    <n v="616.5"/>
    <m/>
    <m/>
    <m/>
    <m/>
    <x v="0"/>
    <m/>
    <m/>
  </r>
  <r>
    <s v="GT014.26"/>
    <x v="16"/>
    <x v="3"/>
    <x v="66"/>
    <x v="13"/>
    <x v="89"/>
    <x v="51"/>
    <m/>
    <x v="94"/>
    <x v="188"/>
    <n v="450"/>
    <m/>
    <n v="1.4"/>
    <n v="630"/>
    <m/>
    <m/>
    <m/>
    <m/>
    <x v="0"/>
    <m/>
    <m/>
  </r>
  <r>
    <s v="GT014.26"/>
    <x v="16"/>
    <x v="3"/>
    <x v="66"/>
    <x v="13"/>
    <x v="171"/>
    <x v="83"/>
    <m/>
    <x v="94"/>
    <x v="189"/>
    <n v="450"/>
    <m/>
    <n v="1.4"/>
    <n v="630"/>
    <m/>
    <m/>
    <m/>
    <m/>
    <x v="0"/>
    <m/>
    <m/>
  </r>
  <r>
    <s v="GT014.26"/>
    <x v="16"/>
    <x v="3"/>
    <x v="66"/>
    <x v="13"/>
    <x v="172"/>
    <x v="53"/>
    <m/>
    <x v="94"/>
    <x v="190"/>
    <n v="450"/>
    <m/>
    <n v="1.37"/>
    <n v="616.5"/>
    <m/>
    <m/>
    <m/>
    <m/>
    <x v="0"/>
    <m/>
    <m/>
  </r>
  <r>
    <s v="GT014.26"/>
    <x v="16"/>
    <x v="3"/>
    <x v="66"/>
    <x v="13"/>
    <x v="92"/>
    <x v="54"/>
    <m/>
    <x v="94"/>
    <x v="191"/>
    <n v="450"/>
    <m/>
    <n v="1.43"/>
    <n v="643.5"/>
    <m/>
    <m/>
    <m/>
    <m/>
    <x v="0"/>
    <m/>
    <m/>
  </r>
  <r>
    <s v="GT014.26"/>
    <x v="16"/>
    <x v="3"/>
    <x v="66"/>
    <x v="13"/>
    <x v="93"/>
    <x v="55"/>
    <m/>
    <x v="94"/>
    <x v="192"/>
    <n v="450"/>
    <m/>
    <n v="1.43"/>
    <n v="643.5"/>
    <m/>
    <m/>
    <m/>
    <m/>
    <x v="0"/>
    <m/>
    <m/>
  </r>
  <r>
    <s v="GT014.26"/>
    <x v="16"/>
    <x v="3"/>
    <x v="66"/>
    <x v="13"/>
    <x v="173"/>
    <x v="56"/>
    <m/>
    <x v="94"/>
    <x v="193"/>
    <n v="450"/>
    <m/>
    <n v="1.43"/>
    <n v="643.5"/>
    <m/>
    <m/>
    <m/>
    <m/>
    <x v="0"/>
    <m/>
    <m/>
  </r>
  <r>
    <s v="GT014.26"/>
    <x v="16"/>
    <x v="3"/>
    <x v="66"/>
    <x v="13"/>
    <x v="174"/>
    <x v="57"/>
    <m/>
    <x v="94"/>
    <x v="194"/>
    <n v="450"/>
    <m/>
    <n v="1.43"/>
    <n v="643.5"/>
    <m/>
    <m/>
    <m/>
    <m/>
    <x v="0"/>
    <m/>
    <m/>
  </r>
  <r>
    <s v="GT014.26"/>
    <x v="16"/>
    <x v="3"/>
    <x v="66"/>
    <x v="13"/>
    <x v="96"/>
    <x v="58"/>
    <m/>
    <x v="94"/>
    <x v="195"/>
    <n v="450"/>
    <m/>
    <n v="1.43"/>
    <n v="643.5"/>
    <m/>
    <m/>
    <m/>
    <m/>
    <x v="0"/>
    <m/>
    <m/>
  </r>
  <r>
    <s v="GT014.26"/>
    <x v="16"/>
    <x v="3"/>
    <x v="66"/>
    <x v="13"/>
    <x v="97"/>
    <x v="59"/>
    <m/>
    <x v="94"/>
    <x v="196"/>
    <n v="450"/>
    <m/>
    <n v="1.43"/>
    <n v="643.5"/>
    <m/>
    <m/>
    <m/>
    <m/>
    <x v="0"/>
    <m/>
    <m/>
  </r>
  <r>
    <s v="GT014.26"/>
    <x v="16"/>
    <x v="3"/>
    <x v="66"/>
    <x v="13"/>
    <x v="175"/>
    <x v="60"/>
    <m/>
    <x v="94"/>
    <x v="197"/>
    <n v="450"/>
    <m/>
    <n v="1.43"/>
    <n v="643.5"/>
    <m/>
    <m/>
    <m/>
    <m/>
    <x v="0"/>
    <m/>
    <m/>
  </r>
  <r>
    <s v="GT014.26"/>
    <x v="16"/>
    <x v="3"/>
    <x v="66"/>
    <x v="13"/>
    <x v="99"/>
    <x v="61"/>
    <m/>
    <x v="94"/>
    <x v="198"/>
    <n v="450"/>
    <m/>
    <n v="1.4"/>
    <n v="630"/>
    <m/>
    <m/>
    <m/>
    <m/>
    <x v="0"/>
    <m/>
    <m/>
  </r>
  <r>
    <s v="GT014.26"/>
    <x v="16"/>
    <x v="3"/>
    <x v="66"/>
    <x v="13"/>
    <x v="100"/>
    <x v="62"/>
    <m/>
    <x v="94"/>
    <x v="199"/>
    <n v="450"/>
    <m/>
    <n v="1.43"/>
    <n v="643.5"/>
    <m/>
    <m/>
    <m/>
    <m/>
    <x v="0"/>
    <m/>
    <m/>
  </r>
  <r>
    <s v="GT014.26"/>
    <x v="16"/>
    <x v="3"/>
    <x v="66"/>
    <x v="13"/>
    <x v="101"/>
    <x v="143"/>
    <m/>
    <x v="94"/>
    <x v="200"/>
    <n v="450"/>
    <m/>
    <n v="1.43"/>
    <n v="643.5"/>
    <m/>
    <m/>
    <m/>
    <m/>
    <x v="0"/>
    <m/>
    <m/>
  </r>
  <r>
    <s v="GT015.26 (OC161)"/>
    <x v="20"/>
    <x v="0"/>
    <x v="67"/>
    <x v="14"/>
    <x v="176"/>
    <x v="144"/>
    <m/>
    <x v="95"/>
    <x v="201"/>
    <n v="3000"/>
    <m/>
    <n v="2.56"/>
    <n v="7680"/>
    <m/>
    <m/>
    <m/>
    <s v="pedido 132 bloqueado - fica em stand-by"/>
    <x v="0"/>
    <m/>
    <m/>
  </r>
  <r>
    <s v="GT015.26 (OC161)"/>
    <x v="20"/>
    <x v="0"/>
    <x v="67"/>
    <x v="14"/>
    <x v="177"/>
    <x v="145"/>
    <m/>
    <x v="95"/>
    <x v="202"/>
    <n v="600"/>
    <m/>
    <n v="2.19"/>
    <n v="1314"/>
    <m/>
    <m/>
    <m/>
    <s v="pedido 132 bloqueado - fica em stand-by"/>
    <x v="0"/>
    <m/>
    <m/>
  </r>
  <r>
    <s v="GT015.26 (OC161)"/>
    <x v="20"/>
    <x v="0"/>
    <x v="67"/>
    <x v="14"/>
    <x v="178"/>
    <x v="146"/>
    <m/>
    <x v="95"/>
    <x v="203"/>
    <n v="1000"/>
    <m/>
    <n v="2.19"/>
    <n v="2190"/>
    <m/>
    <m/>
    <m/>
    <s v="1 precisa copiar o desenho e o carlos pediu ao rodrigo uma foto melhor para isso/ok hecho"/>
    <x v="0"/>
    <m/>
    <m/>
  </r>
  <r>
    <s v="GT016.26 (0C3938)"/>
    <x v="0"/>
    <x v="0"/>
    <x v="67"/>
    <x v="13"/>
    <x v="179"/>
    <x v="147"/>
    <m/>
    <x v="96"/>
    <x v="204"/>
    <n v="1000"/>
    <m/>
    <n v="4.352544"/>
    <n v="4352.5439999999999"/>
    <m/>
    <m/>
    <m/>
    <s v="pedidos autorizados Top to Down- Crear Cod Pdn"/>
    <x v="0"/>
    <m/>
    <m/>
  </r>
  <r>
    <s v="GT017.26 (OC 3939)"/>
    <x v="0"/>
    <x v="0"/>
    <x v="67"/>
    <x v="14"/>
    <x v="179"/>
    <x v="147"/>
    <m/>
    <x v="97"/>
    <x v="204"/>
    <n v="4000"/>
    <m/>
    <n v="4.352544"/>
    <n v="17410.175999999999"/>
    <m/>
    <m/>
    <m/>
    <s v="pedidos autorizados Top to Down- Crear Cod Pdn"/>
    <x v="0"/>
    <m/>
    <m/>
  </r>
  <r>
    <n v="6647"/>
    <x v="3"/>
    <x v="0"/>
    <x v="67"/>
    <x v="14"/>
    <x v="149"/>
    <x v="114"/>
    <m/>
    <x v="98"/>
    <x v="205"/>
    <n v="3750"/>
    <m/>
    <n v="2.95"/>
    <n v="11062.5"/>
    <m/>
    <m/>
    <m/>
    <s v="precio ajustado mayo26"/>
    <x v="0"/>
    <m/>
    <m/>
  </r>
  <r>
    <n v="14649"/>
    <x v="11"/>
    <x v="0"/>
    <x v="67"/>
    <x v="14"/>
    <x v="25"/>
    <x v="25"/>
    <n v="111"/>
    <x v="99"/>
    <x v="29"/>
    <n v="5000"/>
    <m/>
    <n v="1.83"/>
    <n v="9150"/>
    <m/>
    <m/>
    <m/>
    <s v="precio ajustado 5mayo26/ recotizado 06mayo"/>
    <x v="0"/>
    <m/>
    <m/>
  </r>
  <r>
    <n v="14649"/>
    <x v="11"/>
    <x v="0"/>
    <x v="67"/>
    <x v="14"/>
    <x v="26"/>
    <x v="26"/>
    <n v="111"/>
    <x v="99"/>
    <x v="30"/>
    <n v="5000"/>
    <m/>
    <n v="1.71"/>
    <n v="8550"/>
    <m/>
    <m/>
    <m/>
    <s v="precio ajustado 5mayo26/ recotizado 06mayo"/>
    <x v="0"/>
    <m/>
    <m/>
  </r>
  <r>
    <n v="14649"/>
    <x v="11"/>
    <x v="0"/>
    <x v="67"/>
    <x v="14"/>
    <x v="27"/>
    <x v="27"/>
    <n v="111"/>
    <x v="99"/>
    <x v="31"/>
    <n v="5000"/>
    <m/>
    <n v="1.92"/>
    <n v="9600"/>
    <m/>
    <m/>
    <m/>
    <s v="precio ajustado 5mayo26/ recotizado 06mayo"/>
    <x v="0"/>
    <m/>
    <m/>
  </r>
  <r>
    <s v="CO2606-08 (GT018.26)"/>
    <x v="8"/>
    <x v="3"/>
    <x v="68"/>
    <x v="14"/>
    <x v="180"/>
    <x v="78"/>
    <m/>
    <x v="100"/>
    <x v="88"/>
    <n v="3000"/>
    <m/>
    <n v="2.23"/>
    <n v="6690"/>
    <m/>
    <m/>
    <m/>
    <s v="A10416"/>
    <x v="0"/>
    <s v="SO solicitada"/>
    <d v="2026-08-19T00:00:00"/>
  </r>
  <r>
    <s v="CO2606-08 (GT018.26)"/>
    <x v="8"/>
    <x v="3"/>
    <x v="68"/>
    <x v="14"/>
    <x v="181"/>
    <x v="87"/>
    <m/>
    <x v="100"/>
    <x v="206"/>
    <n v="2000"/>
    <m/>
    <n v="1.75"/>
    <n v="3500"/>
    <m/>
    <m/>
    <m/>
    <s v="A10331  - hilo azul claro"/>
    <x v="0"/>
    <s v="SO solicitada"/>
    <d v="2026-08-19T00:00:00"/>
  </r>
  <r>
    <s v="CO2606-08 (GT018.26)"/>
    <x v="8"/>
    <x v="3"/>
    <x v="68"/>
    <x v="14"/>
    <x v="182"/>
    <x v="75"/>
    <m/>
    <x v="100"/>
    <x v="207"/>
    <n v="1600"/>
    <m/>
    <n v="1.82"/>
    <n v="2912"/>
    <m/>
    <m/>
    <m/>
    <s v="0.402001"/>
    <x v="0"/>
    <s v="SO solicitada"/>
    <d v="2026-08-19T00:00:00"/>
  </r>
  <r>
    <s v="CO2606-08 (GT018.26)"/>
    <x v="8"/>
    <x v="3"/>
    <x v="68"/>
    <x v="14"/>
    <x v="183"/>
    <x v="76"/>
    <m/>
    <x v="100"/>
    <x v="208"/>
    <n v="600"/>
    <m/>
    <n v="5.41"/>
    <n v="3246"/>
    <m/>
    <m/>
    <m/>
    <s v="A10378"/>
    <x v="11"/>
    <s v="SO solicitada"/>
    <d v="2026-08-19T00:00:00"/>
  </r>
  <r>
    <s v="CO2606-08 (GT018.26)"/>
    <x v="8"/>
    <x v="3"/>
    <x v="68"/>
    <x v="14"/>
    <x v="184"/>
    <x v="148"/>
    <m/>
    <x v="100"/>
    <x v="209"/>
    <n v="2000"/>
    <m/>
    <n v="1.75"/>
    <n v="3500"/>
    <m/>
    <m/>
    <m/>
    <s v="A10325"/>
    <x v="12"/>
    <s v="SO solicitada"/>
    <d v="2026-08-19T00:00:00"/>
  </r>
  <r>
    <s v="CO2606-08 (GT018.26)"/>
    <x v="8"/>
    <x v="3"/>
    <x v="68"/>
    <x v="14"/>
    <x v="185"/>
    <x v="112"/>
    <m/>
    <x v="100"/>
    <x v="210"/>
    <n v="500"/>
    <m/>
    <n v="1.86"/>
    <n v="930"/>
    <m/>
    <m/>
    <m/>
    <s v="A10304"/>
    <x v="12"/>
    <s v="SO solicitada"/>
    <d v="2026-08-19T00:00:00"/>
  </r>
  <r>
    <s v="CO2606-08 (GT018.26)"/>
    <x v="8"/>
    <x v="3"/>
    <x v="68"/>
    <x v="14"/>
    <x v="186"/>
    <x v="72"/>
    <m/>
    <x v="100"/>
    <x v="82"/>
    <n v="1200"/>
    <m/>
    <n v="1.78"/>
    <n v="2136"/>
    <m/>
    <m/>
    <m/>
    <s v="A10340"/>
    <x v="12"/>
    <s v="SO solicitada"/>
    <d v="2026-08-19T00:00:00"/>
  </r>
  <r>
    <s v="CO2606-08 (GT018.26)"/>
    <x v="8"/>
    <x v="3"/>
    <x v="68"/>
    <x v="14"/>
    <x v="187"/>
    <x v="88"/>
    <m/>
    <x v="100"/>
    <x v="211"/>
    <n v="2400"/>
    <m/>
    <n v="1.87"/>
    <n v="4488"/>
    <m/>
    <m/>
    <m/>
    <s v="A10313"/>
    <x v="12"/>
    <s v="SO solicitada"/>
    <d v="2026-08-19T00:00:00"/>
  </r>
  <r>
    <s v="CO2606-08 (GT018.26)"/>
    <x v="8"/>
    <x v="3"/>
    <x v="68"/>
    <x v="14"/>
    <x v="188"/>
    <x v="89"/>
    <m/>
    <x v="100"/>
    <x v="212"/>
    <n v="600"/>
    <m/>
    <n v="1.89"/>
    <n v="1134"/>
    <m/>
    <m/>
    <m/>
    <s v="A10308"/>
    <x v="12"/>
    <s v="SO solicitada"/>
    <d v="2026-08-19T00:00:00"/>
  </r>
  <r>
    <s v="CO2606-08 (GT018.26)"/>
    <x v="8"/>
    <x v="3"/>
    <x v="68"/>
    <x v="14"/>
    <x v="189"/>
    <x v="90"/>
    <m/>
    <x v="100"/>
    <x v="115"/>
    <n v="2000"/>
    <m/>
    <n v="1.97"/>
    <n v="3940"/>
    <m/>
    <m/>
    <m/>
    <s v="A10327"/>
    <x v="12"/>
    <s v="SO solicitada"/>
    <d v="2026-08-19T00:00:00"/>
  </r>
  <r>
    <s v="CO2606-08 (GT018.26)"/>
    <x v="8"/>
    <x v="3"/>
    <x v="68"/>
    <x v="14"/>
    <x v="190"/>
    <x v="91"/>
    <m/>
    <x v="100"/>
    <x v="213"/>
    <n v="1000"/>
    <m/>
    <n v="1.81"/>
    <n v="1810"/>
    <m/>
    <m/>
    <m/>
    <s v="A10374"/>
    <x v="12"/>
    <s v="SO solicitada"/>
    <d v="2026-08-19T00:00:00"/>
  </r>
  <r>
    <s v="CO2606-08 (GT018.26)"/>
    <x v="8"/>
    <x v="3"/>
    <x v="68"/>
    <x v="14"/>
    <x v="191"/>
    <x v="92"/>
    <m/>
    <x v="100"/>
    <x v="117"/>
    <n v="1000"/>
    <m/>
    <n v="1.79"/>
    <n v="1790"/>
    <m/>
    <m/>
    <m/>
    <s v="A10309"/>
    <x v="12"/>
    <s v="SO solicitada"/>
    <d v="2026-08-19T00:00:00"/>
  </r>
  <r>
    <s v="CO2606-08 (GT018.26)"/>
    <x v="8"/>
    <x v="3"/>
    <x v="68"/>
    <x v="14"/>
    <x v="192"/>
    <x v="149"/>
    <m/>
    <x v="100"/>
    <x v="214"/>
    <n v="1000"/>
    <m/>
    <n v="1.73"/>
    <n v="1730"/>
    <m/>
    <m/>
    <m/>
    <s v="A10445"/>
    <x v="0"/>
    <s v="SO solicitada"/>
    <d v="2026-08-19T00:00:00"/>
  </r>
  <r>
    <s v="CO2606-08 (GT018.26)"/>
    <x v="8"/>
    <x v="3"/>
    <x v="68"/>
    <x v="14"/>
    <x v="193"/>
    <x v="150"/>
    <m/>
    <x v="100"/>
    <x v="215"/>
    <n v="500"/>
    <m/>
    <n v="2.17"/>
    <n v="1085"/>
    <m/>
    <m/>
    <m/>
    <s v="A10450"/>
    <x v="12"/>
    <s v="SO solicitada"/>
    <d v="2026-08-19T00:00:00"/>
  </r>
  <r>
    <s v="CO2606-08 (GT018.26)"/>
    <x v="8"/>
    <x v="3"/>
    <x v="68"/>
    <x v="14"/>
    <x v="194"/>
    <x v="80"/>
    <m/>
    <x v="100"/>
    <x v="90"/>
    <n v="500"/>
    <m/>
    <n v="1.75"/>
    <n v="875"/>
    <m/>
    <m/>
    <m/>
    <s v="A10326"/>
    <x v="12"/>
    <s v="SO solicitada"/>
    <d v="2026-08-19T00:00:00"/>
  </r>
  <r>
    <s v="CO2606-08 (GT018.26)"/>
    <x v="8"/>
    <x v="3"/>
    <x v="68"/>
    <x v="14"/>
    <x v="195"/>
    <x v="151"/>
    <m/>
    <x v="100"/>
    <x v="216"/>
    <n v="800"/>
    <m/>
    <n v="2.15"/>
    <n v="1720"/>
    <m/>
    <m/>
    <m/>
    <s v="A10386"/>
    <x v="12"/>
    <s v="SO solicitada"/>
    <d v="2026-08-19T00:00:00"/>
  </r>
  <r>
    <s v="CO2606-08 (GT018.26)"/>
    <x v="8"/>
    <x v="3"/>
    <x v="68"/>
    <x v="14"/>
    <x v="196"/>
    <x v="77"/>
    <m/>
    <x v="100"/>
    <x v="217"/>
    <n v="1200"/>
    <m/>
    <n v="1.72"/>
    <n v="2064"/>
    <m/>
    <m/>
    <m/>
    <s v="0.242011"/>
    <x v="12"/>
    <s v="SO solicitada"/>
    <d v="2026-08-19T00:00:00"/>
  </r>
  <r>
    <s v="CO2606-08 (GT018.26)"/>
    <x v="8"/>
    <x v="3"/>
    <x v="68"/>
    <x v="14"/>
    <x v="197"/>
    <x v="74"/>
    <m/>
    <x v="100"/>
    <x v="218"/>
    <n v="1100"/>
    <m/>
    <n v="1.97"/>
    <n v="2167"/>
    <m/>
    <m/>
    <m/>
    <s v="A10332"/>
    <x v="12"/>
    <s v="SO solicitada"/>
    <d v="2026-08-19T00:00:00"/>
  </r>
  <r>
    <s v="CO2606-08 (GT018.26)"/>
    <x v="8"/>
    <x v="3"/>
    <x v="68"/>
    <x v="14"/>
    <x v="198"/>
    <x v="96"/>
    <m/>
    <x v="100"/>
    <x v="121"/>
    <n v="5400"/>
    <m/>
    <n v="1.9"/>
    <n v="10260"/>
    <m/>
    <m/>
    <m/>
    <s v="0257055"/>
    <x v="11"/>
    <s v="SO solicitada"/>
    <d v="2026-08-19T00:00:00"/>
  </r>
  <r>
    <s v="CO2606-08 (GT018.26)"/>
    <x v="8"/>
    <x v="3"/>
    <x v="68"/>
    <x v="14"/>
    <x v="199"/>
    <x v="152"/>
    <m/>
    <x v="100"/>
    <x v="123"/>
    <n v="3500"/>
    <m/>
    <n v="1.72"/>
    <n v="6020"/>
    <m/>
    <m/>
    <m/>
    <s v="A10278"/>
    <x v="11"/>
    <s v="SO solicitada"/>
    <d v="2026-08-19T00:00:00"/>
  </r>
  <r>
    <s v="CO2605-09"/>
    <x v="8"/>
    <x v="3"/>
    <x v="69"/>
    <x v="14"/>
    <x v="190"/>
    <x v="91"/>
    <m/>
    <x v="101"/>
    <x v="219"/>
    <n v="3300"/>
    <m/>
    <n v="1.81"/>
    <n v="5973"/>
    <m/>
    <m/>
    <m/>
    <s v="nuevo pedido urgente"/>
    <x v="13"/>
    <m/>
    <m/>
  </r>
  <r>
    <n v="14668"/>
    <x v="11"/>
    <x v="0"/>
    <x v="70"/>
    <x v="14"/>
    <x v="200"/>
    <x v="153"/>
    <m/>
    <x v="102"/>
    <x v="220"/>
    <n v="10000"/>
    <m/>
    <n v="2.3199999999999998"/>
    <n v="23200"/>
    <m/>
    <m/>
    <m/>
    <m/>
    <x v="0"/>
    <m/>
    <m/>
  </r>
  <r>
    <s v="GT019.26"/>
    <x v="14"/>
    <x v="1"/>
    <x v="71"/>
    <x v="14"/>
    <x v="201"/>
    <x v="154"/>
    <n v="97"/>
    <x v="103"/>
    <x v="221"/>
    <n v="1200"/>
    <n v="528"/>
    <n v="2.4"/>
    <n v="2880"/>
    <m/>
    <m/>
    <m/>
    <s v="pedido nuevo/ preço atualizado ajuste 14%/ ok cliente"/>
    <x v="0"/>
    <m/>
    <m/>
  </r>
  <r>
    <n v="2004801"/>
    <x v="8"/>
    <x v="3"/>
    <x v="72"/>
    <x v="14"/>
    <x v="202"/>
    <x v="78"/>
    <m/>
    <x v="104"/>
    <x v="222"/>
    <n v="5000"/>
    <m/>
    <n v="2.34"/>
    <n v="11700"/>
    <m/>
    <m/>
    <m/>
    <s v="pedido nuevo / actualizar precio junio26"/>
    <x v="0"/>
    <m/>
    <m/>
  </r>
  <r>
    <n v="2004801"/>
    <x v="8"/>
    <x v="3"/>
    <x v="72"/>
    <x v="14"/>
    <x v="203"/>
    <x v="75"/>
    <m/>
    <x v="104"/>
    <x v="223"/>
    <n v="4000"/>
    <m/>
    <n v="2.0699999999999998"/>
    <n v="8280"/>
    <m/>
    <m/>
    <m/>
    <s v="pedido nuevo / actualizar precio junio26"/>
    <x v="0"/>
    <m/>
    <m/>
  </r>
  <r>
    <n v="2004801"/>
    <x v="8"/>
    <x v="3"/>
    <x v="72"/>
    <x v="14"/>
    <x v="204"/>
    <x v="82"/>
    <m/>
    <x v="104"/>
    <x v="224"/>
    <n v="1000"/>
    <m/>
    <n v="2.3199999999999998"/>
    <n v="2320"/>
    <m/>
    <m/>
    <m/>
    <s v="pedido nuevo / actualizar precio junio26"/>
    <x v="0"/>
    <m/>
    <m/>
  </r>
  <r>
    <n v="2004801"/>
    <x v="8"/>
    <x v="3"/>
    <x v="72"/>
    <x v="14"/>
    <x v="205"/>
    <x v="76"/>
    <m/>
    <x v="104"/>
    <x v="225"/>
    <n v="2000"/>
    <m/>
    <n v="5.68"/>
    <n v="11360"/>
    <m/>
    <m/>
    <m/>
    <s v="pedido nuevo / actualizar precio junio26"/>
    <x v="0"/>
    <m/>
    <m/>
  </r>
  <r>
    <n v="2004801"/>
    <x v="8"/>
    <x v="3"/>
    <x v="72"/>
    <x v="14"/>
    <x v="206"/>
    <x v="73"/>
    <m/>
    <x v="104"/>
    <x v="226"/>
    <n v="700"/>
    <m/>
    <n v="1.89"/>
    <n v="1323"/>
    <m/>
    <m/>
    <m/>
    <s v="pedido nuevo / actualizar precio junio26"/>
    <x v="0"/>
    <m/>
    <m/>
  </r>
  <r>
    <n v="786"/>
    <x v="10"/>
    <x v="3"/>
    <x v="73"/>
    <x v="14"/>
    <x v="207"/>
    <x v="155"/>
    <m/>
    <x v="105"/>
    <x v="227"/>
    <n v="2200"/>
    <m/>
    <n v="1.9"/>
    <n v="4180"/>
    <m/>
    <m/>
    <m/>
    <s v="ok"/>
    <x v="0"/>
    <m/>
    <m/>
  </r>
  <r>
    <n v="14703"/>
    <x v="11"/>
    <x v="0"/>
    <x v="74"/>
    <x v="14"/>
    <x v="200"/>
    <x v="153"/>
    <m/>
    <x v="106"/>
    <x v="220"/>
    <n v="5000"/>
    <m/>
    <n v="2.3199999999999998"/>
    <n v="11600"/>
    <m/>
    <m/>
    <m/>
    <s v="precio cotizado em mayo se mantien/ya com ajuste"/>
    <x v="0"/>
    <m/>
    <m/>
  </r>
  <r>
    <n v="14772"/>
    <x v="11"/>
    <x v="0"/>
    <x v="75"/>
    <x v="15"/>
    <x v="25"/>
    <x v="25"/>
    <m/>
    <x v="107"/>
    <x v="29"/>
    <n v="6000"/>
    <m/>
    <n v="2.11"/>
    <n v="12660"/>
    <m/>
    <m/>
    <m/>
    <s v="pedidos novos - ajuste de precios cotizados"/>
    <x v="0"/>
    <s v="SO solicitada"/>
    <d v="2026-08-25T00:00:00"/>
  </r>
  <r>
    <n v="14772"/>
    <x v="11"/>
    <x v="0"/>
    <x v="75"/>
    <x v="15"/>
    <x v="27"/>
    <x v="27"/>
    <m/>
    <x v="107"/>
    <x v="31"/>
    <n v="6000"/>
    <m/>
    <n v="2.2200000000000002"/>
    <n v="13320.000000000002"/>
    <m/>
    <m/>
    <m/>
    <s v="pedidos novos - ajuste de precios cotizados"/>
    <x v="0"/>
    <s v="SO solicitada"/>
    <d v="2026-08-25T00:00:00"/>
  </r>
  <r>
    <n v="14773"/>
    <x v="11"/>
    <x v="0"/>
    <x v="75"/>
    <x v="15"/>
    <x v="208"/>
    <x v="156"/>
    <m/>
    <x v="108"/>
    <x v="228"/>
    <n v="3500"/>
    <m/>
    <n v="2.11"/>
    <n v="7385"/>
    <m/>
    <m/>
    <m/>
    <s v="pedidos novos - ajuste de precios cotizados"/>
    <x v="0"/>
    <s v="SO solicitada"/>
    <d v="2026-08-25T00:00:00"/>
  </r>
  <r>
    <n v="14773"/>
    <x v="11"/>
    <x v="0"/>
    <x v="75"/>
    <x v="15"/>
    <x v="120"/>
    <x v="157"/>
    <m/>
    <x v="108"/>
    <x v="229"/>
    <n v="3500"/>
    <m/>
    <n v="2.23"/>
    <n v="7805"/>
    <m/>
    <m/>
    <m/>
    <s v="pedidos novos - ajuste de precios cotizados"/>
    <x v="0"/>
    <s v="SO solicitada"/>
    <d v="2026-08-25T00:00:00"/>
  </r>
  <r>
    <n v="14773"/>
    <x v="11"/>
    <x v="0"/>
    <x v="75"/>
    <x v="15"/>
    <x v="209"/>
    <x v="158"/>
    <m/>
    <x v="108"/>
    <x v="230"/>
    <n v="3500"/>
    <m/>
    <n v="2.17"/>
    <n v="7595"/>
    <m/>
    <m/>
    <m/>
    <s v="pedidos novos - ajuste de precios cotizados"/>
    <x v="0"/>
    <s v="SO solicitada"/>
    <d v="2026-08-25T00:00:00"/>
  </r>
  <r>
    <s v="GT021.26"/>
    <x v="2"/>
    <x v="2"/>
    <x v="76"/>
    <x v="16"/>
    <x v="210"/>
    <x v="159"/>
    <m/>
    <x v="109"/>
    <x v="231"/>
    <n v="5260"/>
    <m/>
    <n v="2.33"/>
    <n v="12255.800000000001"/>
    <m/>
    <m/>
    <m/>
    <s v="Prod.en agosto (sem fio melange)/ajuste fio"/>
    <x v="0"/>
    <s v="SO solicitada"/>
    <d v="2026-08-21T00:00:00"/>
  </r>
  <r>
    <s v="GT022.26"/>
    <x v="14"/>
    <x v="1"/>
    <x v="77"/>
    <x v="15"/>
    <x v="211"/>
    <x v="160"/>
    <m/>
    <x v="110"/>
    <x v="232"/>
    <n v="1200"/>
    <m/>
    <n v="1.9"/>
    <n v="2280"/>
    <m/>
    <m/>
    <m/>
    <s v="pedido nuevo -error via Whats - ver proforma"/>
    <x v="0"/>
    <s v="SO solicitada"/>
    <d v="2026-08-21T00:00:00"/>
  </r>
  <r>
    <s v="GT020.26"/>
    <x v="2"/>
    <x v="2"/>
    <x v="78"/>
    <x v="16"/>
    <x v="212"/>
    <x v="161"/>
    <m/>
    <x v="111"/>
    <x v="233"/>
    <n v="3841"/>
    <m/>
    <n v="2.77"/>
    <n v="10639.57"/>
    <m/>
    <m/>
    <m/>
    <s v="negociación dificl- finalmente aprobado 07/07"/>
    <x v="0"/>
    <s v="SO solicitada"/>
    <d v="2026-08-21T00:00:00"/>
  </r>
  <r>
    <s v="GT020.26"/>
    <x v="2"/>
    <x v="2"/>
    <x v="78"/>
    <x v="16"/>
    <x v="213"/>
    <x v="162"/>
    <n v="149"/>
    <x v="111"/>
    <x v="234"/>
    <n v="1589"/>
    <m/>
    <n v="2.77"/>
    <n v="4401.53"/>
    <m/>
    <m/>
    <m/>
    <s v="negociación dificl- finalmente aprobado 07/07- Producir em agosto"/>
    <x v="0"/>
    <s v="SO solicitada"/>
    <d v="2026-08-21T00:00:00"/>
  </r>
  <r>
    <n v="791"/>
    <x v="10"/>
    <x v="3"/>
    <x v="79"/>
    <x v="16"/>
    <x v="214"/>
    <x v="22"/>
    <m/>
    <x v="112"/>
    <x v="26"/>
    <n v="400"/>
    <m/>
    <n v="5.2"/>
    <n v="2080"/>
    <m/>
    <m/>
    <m/>
    <s v="pedido nuevo 07/07/26"/>
    <x v="0"/>
    <m/>
    <m/>
  </r>
  <r>
    <n v="791"/>
    <x v="10"/>
    <x v="3"/>
    <x v="79"/>
    <x v="16"/>
    <x v="215"/>
    <x v="24"/>
    <m/>
    <x v="112"/>
    <x v="28"/>
    <n v="600"/>
    <m/>
    <n v="2.88"/>
    <n v="1728"/>
    <m/>
    <m/>
    <m/>
    <s v="pedido nuevo 07/07/26"/>
    <x v="0"/>
    <m/>
    <m/>
  </r>
  <r>
    <n v="797"/>
    <x v="10"/>
    <x v="3"/>
    <x v="79"/>
    <x v="16"/>
    <x v="216"/>
    <x v="163"/>
    <m/>
    <x v="113"/>
    <x v="235"/>
    <n v="3000"/>
    <m/>
    <n v="2.16"/>
    <n v="6480"/>
    <m/>
    <m/>
    <m/>
    <s v="pedido nuevo 07/07/26"/>
    <x v="0"/>
    <m/>
    <m/>
  </r>
  <r>
    <s v="GT023.26"/>
    <x v="7"/>
    <x v="0"/>
    <x v="80"/>
    <x v="15"/>
    <x v="217"/>
    <x v="68"/>
    <m/>
    <x v="114"/>
    <x v="236"/>
    <n v="2700"/>
    <m/>
    <n v="2.17"/>
    <n v="5859"/>
    <m/>
    <m/>
    <m/>
    <s v=" (Inv. Hogar Futura)/ saldo Zonkd- vendido "/>
    <x v="0"/>
    <m/>
    <m/>
  </r>
  <r>
    <n v="2007206"/>
    <x v="13"/>
    <x v="0"/>
    <x v="81"/>
    <x v="16"/>
    <x v="218"/>
    <x v="164"/>
    <m/>
    <x v="115"/>
    <x v="237"/>
    <n v="5500"/>
    <m/>
    <n v="2.12"/>
    <n v="11660"/>
    <m/>
    <m/>
    <m/>
    <s v="Validación de códigos/ Hilo - entrega para agosto"/>
    <x v="0"/>
    <m/>
    <m/>
  </r>
  <r>
    <n v="2007206"/>
    <x v="13"/>
    <x v="0"/>
    <x v="81"/>
    <x v="16"/>
    <x v="219"/>
    <x v="165"/>
    <m/>
    <x v="115"/>
    <x v="238"/>
    <n v="3000"/>
    <m/>
    <n v="2.94"/>
    <n v="8820"/>
    <m/>
    <m/>
    <m/>
    <s v="Validación de códigos / espera OC del cliente"/>
    <x v="0"/>
    <m/>
    <m/>
  </r>
  <r>
    <n v="2007206"/>
    <x v="13"/>
    <x v="0"/>
    <x v="81"/>
    <x v="16"/>
    <x v="220"/>
    <x v="166"/>
    <m/>
    <x v="115"/>
    <x v="239"/>
    <n v="1000"/>
    <m/>
    <n v="2.04"/>
    <n v="2040"/>
    <m/>
    <m/>
    <m/>
    <m/>
    <x v="0"/>
    <m/>
    <m/>
  </r>
  <r>
    <n v="2007206"/>
    <x v="13"/>
    <x v="0"/>
    <x v="81"/>
    <x v="16"/>
    <x v="221"/>
    <x v="167"/>
    <m/>
    <x v="115"/>
    <x v="240"/>
    <n v="1000"/>
    <m/>
    <n v="2.08"/>
    <n v="2080"/>
    <m/>
    <m/>
    <m/>
    <m/>
    <x v="0"/>
    <m/>
    <m/>
  </r>
  <r>
    <n v="2007206"/>
    <x v="13"/>
    <x v="0"/>
    <x v="81"/>
    <x v="16"/>
    <x v="222"/>
    <x v="168"/>
    <m/>
    <x v="115"/>
    <x v="241"/>
    <n v="1000"/>
    <m/>
    <n v="2.15"/>
    <n v="2150"/>
    <m/>
    <m/>
    <m/>
    <m/>
    <x v="0"/>
    <m/>
    <m/>
  </r>
  <r>
    <n v="2007206"/>
    <x v="13"/>
    <x v="0"/>
    <x v="81"/>
    <x v="16"/>
    <x v="223"/>
    <x v="169"/>
    <m/>
    <x v="115"/>
    <x v="242"/>
    <n v="2000"/>
    <m/>
    <n v="2.13"/>
    <n v="4260"/>
    <m/>
    <m/>
    <m/>
    <m/>
    <x v="0"/>
    <m/>
    <m/>
  </r>
  <r>
    <n v="2005029"/>
    <x v="8"/>
    <x v="3"/>
    <x v="81"/>
    <x v="16"/>
    <x v="224"/>
    <x v="170"/>
    <m/>
    <x v="116"/>
    <x v="243"/>
    <n v="800"/>
    <m/>
    <n v="2.29"/>
    <n v="1832"/>
    <m/>
    <m/>
    <m/>
    <m/>
    <x v="0"/>
    <m/>
    <m/>
  </r>
  <r>
    <n v="2005029"/>
    <x v="8"/>
    <x v="3"/>
    <x v="81"/>
    <x v="16"/>
    <x v="225"/>
    <x v="171"/>
    <m/>
    <x v="116"/>
    <x v="244"/>
    <n v="800"/>
    <m/>
    <n v="1.84"/>
    <n v="1472"/>
    <m/>
    <m/>
    <m/>
    <m/>
    <x v="0"/>
    <m/>
    <m/>
  </r>
  <r>
    <n v="2007258"/>
    <x v="13"/>
    <x v="0"/>
    <x v="82"/>
    <x v="16"/>
    <x v="223"/>
    <x v="169"/>
    <m/>
    <x v="117"/>
    <x v="245"/>
    <n v="2000"/>
    <m/>
    <n v="2.13"/>
    <n v="4260"/>
    <m/>
    <m/>
    <m/>
    <s v="ok pedido nuevo"/>
    <x v="0"/>
    <m/>
    <m/>
  </r>
  <r>
    <s v="2005059  *b"/>
    <x v="8"/>
    <x v="3"/>
    <x v="83"/>
    <x v="16"/>
    <x v="226"/>
    <x v="172"/>
    <m/>
    <x v="118"/>
    <x v="246"/>
    <n v="500"/>
    <m/>
    <n v="1.89"/>
    <n v="945"/>
    <m/>
    <m/>
    <m/>
    <s v="cadastrar tabela preço 306"/>
    <x v="0"/>
    <m/>
    <m/>
  </r>
  <r>
    <n v="2005068"/>
    <x v="8"/>
    <x v="3"/>
    <x v="84"/>
    <x v="16"/>
    <x v="227"/>
    <x v="173"/>
    <m/>
    <x v="119"/>
    <x v="247"/>
    <n v="1000"/>
    <m/>
    <n v="1.8"/>
    <n v="1800"/>
    <m/>
    <m/>
    <m/>
    <s v="actualizar precio 03/08"/>
    <x v="0"/>
    <m/>
    <m/>
  </r>
  <r>
    <s v="GT025.26"/>
    <x v="13"/>
    <x v="0"/>
    <x v="85"/>
    <x v="16"/>
    <x v="228"/>
    <x v="174"/>
    <m/>
    <x v="120"/>
    <x v="248"/>
    <n v="2000"/>
    <s v="180 2,20 100% PES CM MEZCLA"/>
    <n v="2.13"/>
    <n v="4260"/>
    <m/>
    <m/>
    <m/>
    <s v="SKU com fio 75/36"/>
    <x v="0"/>
    <m/>
    <m/>
  </r>
  <r>
    <s v="GT025.26"/>
    <x v="13"/>
    <x v="0"/>
    <x v="85"/>
    <x v="16"/>
    <x v="229"/>
    <x v="175"/>
    <m/>
    <x v="120"/>
    <x v="249"/>
    <n v="3500"/>
    <m/>
    <n v="1.9"/>
    <n v="6650"/>
    <m/>
    <m/>
    <m/>
    <s v="SKU com fio 75/36"/>
    <x v="0"/>
    <m/>
    <m/>
  </r>
  <r>
    <s v="GT025.26"/>
    <x v="13"/>
    <x v="0"/>
    <x v="85"/>
    <x v="16"/>
    <x v="230"/>
    <x v="176"/>
    <m/>
    <x v="120"/>
    <x v="250"/>
    <n v="1000"/>
    <m/>
    <n v="2.42"/>
    <n v="2420"/>
    <m/>
    <m/>
    <m/>
    <s v="SKU com fio 75/36"/>
    <x v="0"/>
    <m/>
    <m/>
  </r>
  <r>
    <s v="GT025.26"/>
    <x v="13"/>
    <x v="0"/>
    <x v="85"/>
    <x v="16"/>
    <x v="231"/>
    <x v="177"/>
    <m/>
    <x v="120"/>
    <x v="251"/>
    <n v="1000"/>
    <m/>
    <n v="2.1"/>
    <n v="2100"/>
    <m/>
    <m/>
    <m/>
    <s v="SKU com fio 75/36"/>
    <x v="0"/>
    <m/>
    <m/>
  </r>
  <r>
    <s v="GT025.26"/>
    <x v="13"/>
    <x v="0"/>
    <x v="85"/>
    <x v="16"/>
    <x v="232"/>
    <x v="178"/>
    <m/>
    <x v="120"/>
    <x v="252"/>
    <n v="600"/>
    <m/>
    <n v="2.2000000000000002"/>
    <n v="1320"/>
    <m/>
    <m/>
    <m/>
    <s v="SKU com fio 75/36"/>
    <x v="0"/>
    <m/>
    <m/>
  </r>
  <r>
    <s v="GT025.26"/>
    <x v="13"/>
    <x v="0"/>
    <x v="85"/>
    <x v="16"/>
    <x v="233"/>
    <x v="179"/>
    <m/>
    <x v="120"/>
    <x v="253"/>
    <n v="2000"/>
    <m/>
    <n v="2.94"/>
    <n v="5880"/>
    <m/>
    <m/>
    <m/>
    <s v="SKU com fio 75/36"/>
    <x v="0"/>
    <m/>
    <m/>
  </r>
  <r>
    <s v="GT026.26"/>
    <x v="13"/>
    <x v="0"/>
    <x v="85"/>
    <x v="17"/>
    <x v="229"/>
    <x v="175"/>
    <m/>
    <x v="121"/>
    <x v="248"/>
    <n v="3900"/>
    <m/>
    <n v="1.9"/>
    <n v="7410"/>
    <m/>
    <m/>
    <m/>
    <s v="entrega a principio octubre"/>
    <x v="0"/>
    <m/>
    <m/>
  </r>
  <r>
    <s v="GT028.26"/>
    <x v="14"/>
    <x v="1"/>
    <x v="86"/>
    <x v="17"/>
    <x v="234"/>
    <x v="180"/>
    <m/>
    <x v="122"/>
    <x v="254"/>
    <n v="2500"/>
    <s v="280 2,20 100% PES XP NEGRO Y BLANCO"/>
    <n v="3.58"/>
    <n v="8950"/>
    <m/>
    <m/>
    <m/>
    <m/>
    <x v="0"/>
    <m/>
    <m/>
  </r>
  <r>
    <s v="GT028.26"/>
    <x v="14"/>
    <x v="1"/>
    <x v="86"/>
    <x v="17"/>
    <x v="235"/>
    <x v="41"/>
    <m/>
    <x v="122"/>
    <x v="255"/>
    <n v="1200"/>
    <s v="340 2,30 PES / PE CM BLANCO Y AZUL Arctic Breeze® s/ Logo"/>
    <n v="6.07"/>
    <n v="7284"/>
    <m/>
    <m/>
    <m/>
    <m/>
    <x v="0"/>
    <m/>
    <m/>
  </r>
  <r>
    <s v="GT029.26"/>
    <x v="2"/>
    <x v="2"/>
    <x v="87"/>
    <x v="17"/>
    <x v="236"/>
    <x v="181"/>
    <m/>
    <x v="123"/>
    <x v="256"/>
    <n v="10000"/>
    <m/>
    <n v="2.82"/>
    <n v="28200"/>
    <m/>
    <m/>
    <m/>
    <s v="Aprobado sólo 10K mts| Agrd liberaç desenho/código cadastro/OK Tab preço"/>
    <x v="0"/>
    <m/>
    <m/>
  </r>
  <r>
    <s v="GT030.26"/>
    <x v="2"/>
    <x v="2"/>
    <x v="88"/>
    <x v="17"/>
    <x v="237"/>
    <x v="159"/>
    <m/>
    <x v="124"/>
    <x v="231"/>
    <n v="5000"/>
    <m/>
    <n v="2.33"/>
    <n v="11650"/>
    <m/>
    <m/>
    <m/>
    <s v="aprov. 01/09"/>
    <x v="0"/>
    <m/>
    <m/>
  </r>
  <r>
    <s v="2005262 / GT031.26"/>
    <x v="8"/>
    <x v="3"/>
    <x v="89"/>
    <x v="18"/>
    <x v="238"/>
    <x v="88"/>
    <m/>
    <x v="125"/>
    <x v="257"/>
    <n v="500"/>
    <m/>
    <n v="1.96"/>
    <n v="980"/>
    <m/>
    <m/>
    <m/>
    <m/>
    <x v="0"/>
    <m/>
    <m/>
  </r>
  <r>
    <s v="2005262 / GT031.26"/>
    <x v="8"/>
    <x v="3"/>
    <x v="89"/>
    <x v="18"/>
    <x v="239"/>
    <x v="170"/>
    <m/>
    <x v="125"/>
    <x v="258"/>
    <n v="500"/>
    <m/>
    <n v="2.29"/>
    <n v="1145"/>
    <m/>
    <m/>
    <m/>
    <m/>
    <x v="0"/>
    <m/>
    <m/>
  </r>
  <r>
    <s v="2005262 / GT031.26"/>
    <x v="8"/>
    <x v="3"/>
    <x v="89"/>
    <x v="18"/>
    <x v="240"/>
    <x v="182"/>
    <m/>
    <x v="125"/>
    <x v="259"/>
    <n v="500"/>
    <m/>
    <n v="2.14"/>
    <n v="1070"/>
    <m/>
    <m/>
    <m/>
    <m/>
    <x v="0"/>
    <m/>
    <m/>
  </r>
  <r>
    <s v="2005262 / GT031.26"/>
    <x v="8"/>
    <x v="3"/>
    <x v="89"/>
    <x v="18"/>
    <x v="241"/>
    <x v="183"/>
    <m/>
    <x v="125"/>
    <x v="260"/>
    <n v="900"/>
    <m/>
    <n v="1.91"/>
    <n v="1719"/>
    <m/>
    <m/>
    <m/>
    <m/>
    <x v="0"/>
    <m/>
    <m/>
  </r>
  <r>
    <s v="2005262 / GT031.26"/>
    <x v="8"/>
    <x v="3"/>
    <x v="89"/>
    <x v="18"/>
    <x v="242"/>
    <x v="184"/>
    <m/>
    <x v="125"/>
    <x v="261"/>
    <n v="1000"/>
    <m/>
    <n v="2.0099999999999998"/>
    <n v="2009.9999999999998"/>
    <m/>
    <m/>
    <m/>
    <m/>
    <x v="0"/>
    <m/>
    <m/>
  </r>
  <r>
    <s v="2005262 / GT031.26"/>
    <x v="8"/>
    <x v="3"/>
    <x v="89"/>
    <x v="18"/>
    <x v="243"/>
    <x v="185"/>
    <m/>
    <x v="125"/>
    <x v="262"/>
    <n v="2100"/>
    <m/>
    <n v="1.93"/>
    <n v="4053"/>
    <m/>
    <m/>
    <m/>
    <s v="incluido -OC revisada x el cliente"/>
    <x v="0"/>
    <m/>
    <m/>
  </r>
  <r>
    <s v="841 / GT032.26"/>
    <x v="10"/>
    <x v="3"/>
    <x v="90"/>
    <x v="18"/>
    <x v="244"/>
    <x v="186"/>
    <m/>
    <x v="126"/>
    <x v="263"/>
    <n v="1000"/>
    <m/>
    <n v="2.0099999999999998"/>
    <n v="2009.9999999999998"/>
    <m/>
    <m/>
    <m/>
    <m/>
    <x v="0"/>
    <m/>
    <m/>
  </r>
  <r>
    <s v="841 / GT032.26"/>
    <x v="10"/>
    <x v="3"/>
    <x v="90"/>
    <x v="18"/>
    <x v="245"/>
    <x v="187"/>
    <m/>
    <x v="126"/>
    <x v="264"/>
    <n v="600"/>
    <m/>
    <n v="1.97"/>
    <n v="1182"/>
    <m/>
    <m/>
    <m/>
    <s v="versao blanco arena manter target 1,97/cadastro código"/>
    <x v="0"/>
    <m/>
    <m/>
  </r>
  <r>
    <n v="2007660"/>
    <x v="13"/>
    <x v="0"/>
    <x v="91"/>
    <x v="18"/>
    <x v="246"/>
    <x v="174"/>
    <m/>
    <x v="127"/>
    <x v="265"/>
    <n v="2000"/>
    <m/>
    <n v="2.13"/>
    <n v="4260"/>
    <m/>
    <m/>
    <m/>
    <m/>
    <x v="0"/>
    <m/>
    <m/>
  </r>
  <r>
    <n v="2007660"/>
    <x v="13"/>
    <x v="0"/>
    <x v="91"/>
    <x v="18"/>
    <x v="247"/>
    <x v="188"/>
    <m/>
    <x v="127"/>
    <x v="266"/>
    <n v="1000"/>
    <m/>
    <m/>
    <n v="0"/>
    <m/>
    <m/>
    <m/>
    <s v="actualizar precio 22/09"/>
    <x v="0"/>
    <m/>
    <m/>
  </r>
  <r>
    <n v="2005269"/>
    <x v="8"/>
    <x v="3"/>
    <x v="92"/>
    <x v="17"/>
    <x v="248"/>
    <x v="189"/>
    <m/>
    <x v="128"/>
    <x v="267"/>
    <n v="7300"/>
    <m/>
    <n v="1.9"/>
    <n v="13870"/>
    <m/>
    <m/>
    <m/>
    <m/>
    <x v="0"/>
    <m/>
    <m/>
  </r>
  <r>
    <s v="15002/GT033.26"/>
    <x v="11"/>
    <x v="0"/>
    <x v="93"/>
    <x v="18"/>
    <x v="249"/>
    <x v="190"/>
    <m/>
    <x v="129"/>
    <x v="268"/>
    <n v="15000"/>
    <m/>
    <n v="2.2999999999999998"/>
    <n v="34500"/>
    <m/>
    <m/>
    <m/>
    <s v="actualizar preços sep26- ok/altera cód totvs por cambio hilo"/>
    <x v="0"/>
    <m/>
    <m/>
  </r>
  <r>
    <s v="15002/GT033.26"/>
    <x v="11"/>
    <x v="0"/>
    <x v="93"/>
    <x v="18"/>
    <x v="250"/>
    <x v="191"/>
    <m/>
    <x v="129"/>
    <x v="269"/>
    <n v="5000"/>
    <m/>
    <n v="2.02"/>
    <n v="10100"/>
    <m/>
    <m/>
    <m/>
    <s v="actualizar preços sep26- ok/altera cód totvs por cambio hilo"/>
    <x v="0"/>
    <m/>
    <m/>
  </r>
  <r>
    <s v="15002/GT033.26"/>
    <x v="11"/>
    <x v="0"/>
    <x v="93"/>
    <x v="18"/>
    <x v="251"/>
    <x v="192"/>
    <m/>
    <x v="129"/>
    <x v="270"/>
    <n v="5000"/>
    <m/>
    <n v="2.2200000000000002"/>
    <n v="11100.000000000002"/>
    <m/>
    <m/>
    <m/>
    <s v="actualizar preços sep26- ok/altera cód totvs por cambio hilo"/>
    <x v="0"/>
    <m/>
    <m/>
  </r>
  <r>
    <m/>
    <x v="21"/>
    <x v="5"/>
    <x v="94"/>
    <x v="19"/>
    <x v="252"/>
    <x v="193"/>
    <m/>
    <x v="130"/>
    <x v="271"/>
    <m/>
    <m/>
    <m/>
    <m/>
    <m/>
    <m/>
    <m/>
    <m/>
    <x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69D007-B73A-4BBF-86C7-5C7855272B7A}" name="TablaDinámica1"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IENTS" colHeaderCaption="GR">
  <location ref="G2:Q15" firstHeaderRow="1" firstDataRow="2" firstDataCol="1"/>
  <pivotFields count="3">
    <pivotField axis="axisRow" showAll="0" sortType="descending">
      <items count="12">
        <item x="7"/>
        <item x="3"/>
        <item x="4"/>
        <item x="6"/>
        <item x="10"/>
        <item x="9"/>
        <item x="2"/>
        <item x="8"/>
        <item x="0"/>
        <item x="1"/>
        <item x="5"/>
        <item t="default"/>
      </items>
      <autoSortScope>
        <pivotArea dataOnly="0" outline="0" fieldPosition="0">
          <references count="1">
            <reference field="4294967294" count="1" selected="0">
              <x v="0"/>
            </reference>
          </references>
        </pivotArea>
      </autoSortScope>
    </pivotField>
    <pivotField axis="axisCol" dataField="1" showAll="0">
      <items count="10">
        <item x="3"/>
        <item x="6"/>
        <item x="2"/>
        <item x="7"/>
        <item x="1"/>
        <item x="8"/>
        <item x="5"/>
        <item x="4"/>
        <item x="0"/>
        <item t="default"/>
      </items>
    </pivotField>
    <pivotField showAll="0"/>
  </pivotFields>
  <rowFields count="1">
    <field x="0"/>
  </rowFields>
  <rowItems count="12">
    <i>
      <x v="3"/>
    </i>
    <i>
      <x v="1"/>
    </i>
    <i>
      <x v="2"/>
    </i>
    <i>
      <x/>
    </i>
    <i>
      <x v="6"/>
    </i>
    <i>
      <x v="8"/>
    </i>
    <i>
      <x v="7"/>
    </i>
    <i>
      <x v="9"/>
    </i>
    <i>
      <x v="10"/>
    </i>
    <i>
      <x v="4"/>
    </i>
    <i>
      <x v="5"/>
    </i>
    <i t="grand">
      <x/>
    </i>
  </rowItems>
  <colFields count="1">
    <field x="1"/>
  </colFields>
  <colItems count="10">
    <i>
      <x/>
    </i>
    <i>
      <x v="1"/>
    </i>
    <i>
      <x v="2"/>
    </i>
    <i>
      <x v="3"/>
    </i>
    <i>
      <x v="4"/>
    </i>
    <i>
      <x v="5"/>
    </i>
    <i>
      <x v="6"/>
    </i>
    <i>
      <x v="7"/>
    </i>
    <i>
      <x v="8"/>
    </i>
    <i t="grand">
      <x/>
    </i>
  </colItems>
  <dataFields count="1">
    <dataField name="Cuenta de GRAMATURA" fld="1" subtotal="count" baseField="0" baseItem="8"/>
  </dataFields>
  <formats count="11">
    <format dxfId="103">
      <pivotArea outline="0" collapsedLevelsAreSubtotals="1" fieldPosition="0"/>
    </format>
    <format dxfId="102">
      <pivotArea field="1" type="button" dataOnly="0" labelOnly="1" outline="0" axis="axisCol" fieldPosition="0"/>
    </format>
    <format dxfId="101">
      <pivotArea type="topRight" dataOnly="0" labelOnly="1" outline="0" fieldPosition="0"/>
    </format>
    <format dxfId="100">
      <pivotArea dataOnly="0" labelOnly="1" fieldPosition="0">
        <references count="1">
          <reference field="1" count="0"/>
        </references>
      </pivotArea>
    </format>
    <format dxfId="99">
      <pivotArea dataOnly="0" labelOnly="1" grandCol="1" outline="0" fieldPosition="0"/>
    </format>
    <format dxfId="98">
      <pivotArea field="1" grandRow="1" outline="0" collapsedLevelsAreSubtotals="1" axis="axisCol" fieldPosition="0">
        <references count="1">
          <reference field="1" count="1" selected="0">
            <x v="0"/>
          </reference>
        </references>
      </pivotArea>
    </format>
    <format dxfId="97">
      <pivotArea field="1" grandRow="1" outline="0" collapsedLevelsAreSubtotals="1" axis="axisCol" fieldPosition="0">
        <references count="1">
          <reference field="1" count="1" selected="0">
            <x v="4"/>
          </reference>
        </references>
      </pivotArea>
    </format>
    <format dxfId="96">
      <pivotArea field="1" grandRow="1" outline="0" collapsedLevelsAreSubtotals="1" axis="axisCol" fieldPosition="0">
        <references count="1">
          <reference field="1" count="1" selected="0">
            <x v="2"/>
          </reference>
        </references>
      </pivotArea>
    </format>
    <format dxfId="95">
      <pivotArea field="1" grandRow="1" outline="0" collapsedLevelsAreSubtotals="1" axis="axisCol" fieldPosition="0">
        <references count="1">
          <reference field="1" count="1" selected="0">
            <x v="1"/>
          </reference>
        </references>
      </pivotArea>
    </format>
    <format dxfId="94">
      <pivotArea field="1" grandRow="1" outline="0" collapsedLevelsAreSubtotals="1" axis="axisCol" fieldPosition="0">
        <references count="1">
          <reference field="1" count="1" selected="0">
            <x v="8"/>
          </reference>
        </references>
      </pivotArea>
    </format>
    <format dxfId="9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A0EF17-F62D-4028-A10E-7770EA29447C}" name="TablaDinámica1"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IENTES" colHeaderCaption="PROG.  MÊS">
  <location ref="A4:G20" firstHeaderRow="1" firstDataRow="4" firstDataCol="1"/>
  <pivotFields count="11">
    <pivotField showAll="0"/>
    <pivotField axis="axisRow" showAll="0">
      <items count="15">
        <item sd="0" x="7"/>
        <item sd="0" x="3"/>
        <item sd="0" x="10"/>
        <item sd="0" x="4"/>
        <item sd="0" x="6"/>
        <item sd="0" x="9"/>
        <item sd="0" x="8"/>
        <item sd="0" x="2"/>
        <item sd="0" m="1" x="13"/>
        <item sd="0" x="0"/>
        <item sd="0" m="1" x="12"/>
        <item sd="0" x="11"/>
        <item sd="0" x="5"/>
        <item sd="0" x="1"/>
        <item t="default"/>
      </items>
    </pivotField>
    <pivotField showAll="0"/>
    <pivotField numFmtId="14" showAll="0"/>
    <pivotField axis="axisRow" showAll="0">
      <items count="31">
        <item x="0"/>
        <item x="1"/>
        <item x="2"/>
        <item x="3"/>
        <item x="4"/>
        <item x="6"/>
        <item x="5"/>
        <item x="7"/>
        <item x="8"/>
        <item x="9"/>
        <item x="10"/>
        <item x="13"/>
        <item x="12"/>
        <item x="14"/>
        <item x="11"/>
        <item x="15"/>
        <item x="16"/>
        <item x="17"/>
        <item x="18"/>
        <item x="20"/>
        <item x="19"/>
        <item x="22"/>
        <item x="21"/>
        <item x="23"/>
        <item x="24"/>
        <item x="25"/>
        <item x="26"/>
        <item x="27"/>
        <item x="28"/>
        <item x="29"/>
        <item t="default"/>
      </items>
    </pivotField>
    <pivotField axis="axisCol" numFmtId="14" showAll="0">
      <items count="23">
        <item x="0"/>
        <item x="9"/>
        <item x="4"/>
        <item x="1"/>
        <item x="2"/>
        <item x="3"/>
        <item x="5"/>
        <item x="6"/>
        <item x="7"/>
        <item x="8"/>
        <item x="10"/>
        <item x="11"/>
        <item x="12"/>
        <item x="13"/>
        <item x="14"/>
        <item x="15"/>
        <item x="16"/>
        <item x="17"/>
        <item x="18"/>
        <item x="19"/>
        <item x="20"/>
        <item x="21"/>
        <item t="default"/>
      </items>
    </pivotField>
    <pivotField dataField="1" showAll="0"/>
    <pivotField showAll="0"/>
    <pivotField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2">
    <field x="1"/>
    <field x="4"/>
  </rowFields>
  <rowItems count="13">
    <i>
      <x/>
    </i>
    <i>
      <x v="1"/>
    </i>
    <i>
      <x v="2"/>
    </i>
    <i>
      <x v="3"/>
    </i>
    <i>
      <x v="4"/>
    </i>
    <i>
      <x v="5"/>
    </i>
    <i>
      <x v="6"/>
    </i>
    <i>
      <x v="7"/>
    </i>
    <i>
      <x v="9"/>
    </i>
    <i>
      <x v="11"/>
    </i>
    <i>
      <x v="12"/>
    </i>
    <i>
      <x v="13"/>
    </i>
    <i t="grand">
      <x/>
    </i>
  </rowItems>
  <colFields count="3">
    <field x="10"/>
    <field x="9"/>
    <field x="5"/>
  </colFields>
  <colItems count="6">
    <i>
      <x v="4"/>
    </i>
    <i>
      <x v="6"/>
    </i>
    <i>
      <x v="7"/>
    </i>
    <i>
      <x v="8"/>
    </i>
    <i>
      <x v="9"/>
    </i>
    <i t="grand">
      <x/>
    </i>
  </colItems>
  <dataFields count="1">
    <dataField name="Suma de TOTAL MT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E9D146-E2CA-48FA-9F28-8EA38FD021D4}" name="TablaDinámica2"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IENTES" colHeaderCaption="PROG.  MÊS">
  <location ref="L4:R25" firstHeaderRow="1" firstDataRow="4" firstDataCol="1"/>
  <pivotFields count="11">
    <pivotField showAll="0"/>
    <pivotField axis="axisRow" showAll="0">
      <items count="15">
        <item sd="0" x="7"/>
        <item sd="0" x="3"/>
        <item x="10"/>
        <item sd="0" x="4"/>
        <item sd="0" x="6"/>
        <item sd="0" x="9"/>
        <item sd="0" x="8"/>
        <item sd="0" x="2"/>
        <item sd="0" m="1" x="13"/>
        <item sd="0" x="0"/>
        <item sd="0" m="1" x="12"/>
        <item sd="0" x="11"/>
        <item sd="0" x="5"/>
        <item sd="0" x="1"/>
        <item t="default"/>
      </items>
    </pivotField>
    <pivotField showAll="0"/>
    <pivotField numFmtId="14" showAll="0"/>
    <pivotField axis="axisRow" showAll="0">
      <items count="31">
        <item x="0"/>
        <item x="1"/>
        <item x="2"/>
        <item x="3"/>
        <item x="4"/>
        <item x="6"/>
        <item x="5"/>
        <item x="7"/>
        <item x="8"/>
        <item x="9"/>
        <item x="10"/>
        <item x="13"/>
        <item x="12"/>
        <item x="14"/>
        <item x="11"/>
        <item x="15"/>
        <item x="16"/>
        <item x="17"/>
        <item x="18"/>
        <item x="20"/>
        <item x="19"/>
        <item x="22"/>
        <item x="21"/>
        <item x="23"/>
        <item x="24"/>
        <item x="25"/>
        <item x="26"/>
        <item x="27"/>
        <item x="28"/>
        <item x="29"/>
        <item t="default"/>
      </items>
    </pivotField>
    <pivotField axis="axisCol" numFmtId="14" showAll="0">
      <items count="23">
        <item x="0"/>
        <item x="9"/>
        <item x="4"/>
        <item x="1"/>
        <item x="2"/>
        <item x="3"/>
        <item x="5"/>
        <item x="6"/>
        <item x="7"/>
        <item x="8"/>
        <item x="10"/>
        <item x="11"/>
        <item x="12"/>
        <item x="13"/>
        <item x="14"/>
        <item x="15"/>
        <item x="16"/>
        <item x="17"/>
        <item x="18"/>
        <item x="19"/>
        <item x="20"/>
        <item x="21"/>
        <item t="default"/>
      </items>
    </pivotField>
    <pivotField showAll="0"/>
    <pivotField dataField="1" showAll="0"/>
    <pivotField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2">
    <field x="1"/>
    <field x="4"/>
  </rowFields>
  <rowItems count="18">
    <i>
      <x/>
    </i>
    <i>
      <x v="1"/>
    </i>
    <i>
      <x v="2"/>
    </i>
    <i r="1">
      <x v="23"/>
    </i>
    <i r="1">
      <x v="24"/>
    </i>
    <i r="1">
      <x v="25"/>
    </i>
    <i r="1">
      <x v="28"/>
    </i>
    <i r="1">
      <x v="29"/>
    </i>
    <i>
      <x v="3"/>
    </i>
    <i>
      <x v="4"/>
    </i>
    <i>
      <x v="5"/>
    </i>
    <i>
      <x v="6"/>
    </i>
    <i>
      <x v="7"/>
    </i>
    <i>
      <x v="9"/>
    </i>
    <i>
      <x v="11"/>
    </i>
    <i>
      <x v="12"/>
    </i>
    <i>
      <x v="13"/>
    </i>
    <i t="grand">
      <x/>
    </i>
  </rowItems>
  <colFields count="3">
    <field x="10"/>
    <field x="9"/>
    <field x="5"/>
  </colFields>
  <colItems count="6">
    <i>
      <x v="4"/>
    </i>
    <i>
      <x v="6"/>
    </i>
    <i>
      <x v="7"/>
    </i>
    <i>
      <x v="8"/>
    </i>
    <i>
      <x v="9"/>
    </i>
    <i t="grand">
      <x/>
    </i>
  </colItems>
  <dataFields count="1">
    <dataField name="Suma de TOTAL US$ _x000a_PRO-FORM" fld="7" baseField="0" baseItem="0" numFmtId="4"/>
  </dataFields>
  <formats count="1">
    <format dxfId="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385AD0-B5D0-400B-A7F5-2D800EE2A6F6}" name="Tabela dinâmica3"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rowHeaderCaption="CLIENTE/OC/PEDIDO TOTVS" colHeaderCaption="Prog. Mes">
  <location ref="AJ6:AK21" firstHeaderRow="1" firstDataRow="1" firstDataCol="1" rowPageCount="2" colPageCount="1"/>
  <pivotFields count="24">
    <pivotField showAll="0"/>
    <pivotField axis="axisRow" showAll="0" sortType="descending">
      <items count="30">
        <item sd="0" x="14"/>
        <item sd="0" x="17"/>
        <item sd="0" x="7"/>
        <item n="CAMAS FLORIDA" sd="0" m="1" x="23"/>
        <item sd="0" x="3"/>
        <item sd="0" x="10"/>
        <item sd="0" x="12"/>
        <item sd="0" x="4"/>
        <item sd="0" x="19"/>
        <item m="1" x="26"/>
        <item sd="0" x="15"/>
        <item m="1" x="24"/>
        <item sd="0" x="18"/>
        <item sd="0" x="6"/>
        <item sd="0" m="1" x="27"/>
        <item sd="0" x="13"/>
        <item sd="0" x="9"/>
        <item sd="0" x="8"/>
        <item m="1" x="22"/>
        <item sd="0" x="2"/>
        <item sd="0" m="1" x="28"/>
        <item sd="0" x="0"/>
        <item sd="0" x="16"/>
        <item sd="0" m="1" x="25"/>
        <item sd="0" x="1"/>
        <item sd="0" x="20"/>
        <item sd="0" x="11"/>
        <item sd="0" x="5"/>
        <item x="21"/>
        <item t="default"/>
      </items>
      <autoSortScope>
        <pivotArea dataOnly="0" outline="0" fieldPosition="0">
          <references count="1">
            <reference field="4294967294" count="1" selected="0">
              <x v="0"/>
            </reference>
          </references>
        </pivotArea>
      </autoSortScope>
    </pivotField>
    <pivotField axis="axisPage" multipleItemSelectionAllowed="1" showAll="0">
      <items count="7">
        <item x="1"/>
        <item x="2"/>
        <item x="0"/>
        <item x="3"/>
        <item x="4"/>
        <item x="5"/>
        <item t="default"/>
      </items>
    </pivotField>
    <pivotField numFmtId="14" showAll="0">
      <items count="96">
        <item x="0"/>
        <item x="9"/>
        <item x="4"/>
        <item x="1"/>
        <item x="2"/>
        <item x="3"/>
        <item x="5"/>
        <item x="6"/>
        <item x="7"/>
        <item x="8"/>
        <item x="10"/>
        <item x="11"/>
        <item x="12"/>
        <item x="13"/>
        <item x="14"/>
        <item x="15"/>
        <item x="16"/>
        <item x="17"/>
        <item x="18"/>
        <item x="19"/>
        <item x="20"/>
        <item x="21"/>
        <item x="22"/>
        <item x="23"/>
        <item x="24"/>
        <item x="27"/>
        <item x="25"/>
        <item x="26"/>
        <item x="28"/>
        <item x="29"/>
        <item x="30"/>
        <item x="31"/>
        <item x="32"/>
        <item x="33"/>
        <item x="34"/>
        <item x="35"/>
        <item x="36"/>
        <item x="37"/>
        <item x="38"/>
        <item x="39"/>
        <item x="40"/>
        <item x="41"/>
        <item x="42"/>
        <item x="43"/>
        <item x="44"/>
        <item x="46"/>
        <item x="47"/>
        <item x="48"/>
        <item x="49"/>
        <item x="50"/>
        <item x="51"/>
        <item x="54"/>
        <item x="55"/>
        <item x="56"/>
        <item x="52"/>
        <item x="57"/>
        <item x="53"/>
        <item x="58"/>
        <item x="59"/>
        <item x="60"/>
        <item x="61"/>
        <item x="62"/>
        <item x="63"/>
        <item x="64"/>
        <item x="65"/>
        <item x="66"/>
        <item x="67"/>
        <item x="68"/>
        <item x="69"/>
        <item x="70"/>
        <item x="71"/>
        <item x="78"/>
        <item x="72"/>
        <item x="73"/>
        <item x="74"/>
        <item x="75"/>
        <item x="76"/>
        <item x="77"/>
        <item x="79"/>
        <item x="80"/>
        <item x="81"/>
        <item x="82"/>
        <item x="83"/>
        <item x="84"/>
        <item x="85"/>
        <item x="86"/>
        <item x="88"/>
        <item x="87"/>
        <item x="90"/>
        <item x="89"/>
        <item x="91"/>
        <item x="92"/>
        <item x="45"/>
        <item x="94"/>
        <item x="93"/>
        <item t="default"/>
      </items>
    </pivotField>
    <pivotField name="2026" axis="axisPage" multipleItemSelectionAllowed="1" showAll="0">
      <items count="21">
        <item x="9"/>
        <item x="10"/>
        <item x="11"/>
        <item x="12"/>
        <item x="13"/>
        <item x="14"/>
        <item h="1" x="6"/>
        <item h="1" x="5"/>
        <item h="1" x="0"/>
        <item h="1" x="1"/>
        <item h="1" x="2"/>
        <item h="1" x="3"/>
        <item h="1" x="4"/>
        <item h="1" x="7"/>
        <item h="1" x="8"/>
        <item h="1" x="19"/>
        <item h="1" x="15"/>
        <item h="1" x="16"/>
        <item h="1" x="17"/>
        <item h="1" x="18"/>
        <item t="default"/>
      </items>
    </pivotField>
    <pivotField showAll="0"/>
    <pivotField showAll="0"/>
    <pivotField showAll="0"/>
    <pivotField axis="axisRow" showAll="0">
      <items count="136">
        <item x="0"/>
        <item x="1"/>
        <item x="2"/>
        <item x="3"/>
        <item x="4"/>
        <item x="6"/>
        <item x="5"/>
        <item x="7"/>
        <item x="8"/>
        <item x="9"/>
        <item x="10"/>
        <item x="13"/>
        <item x="12"/>
        <item x="14"/>
        <item x="11"/>
        <item x="15"/>
        <item x="16"/>
        <item x="17"/>
        <item x="18"/>
        <item x="20"/>
        <item x="19"/>
        <item x="22"/>
        <item x="21"/>
        <item x="23"/>
        <item x="24"/>
        <item x="25"/>
        <item x="26"/>
        <item x="27"/>
        <item x="28"/>
        <item x="29"/>
        <item x="31"/>
        <item x="30"/>
        <item x="33"/>
        <item x="34"/>
        <item x="32"/>
        <item x="36"/>
        <item x="35"/>
        <item x="38"/>
        <item x="39"/>
        <item x="37"/>
        <item x="40"/>
        <item x="41"/>
        <item x="42"/>
        <item x="43"/>
        <item x="44"/>
        <item x="45"/>
        <item x="46"/>
        <item x="47"/>
        <item x="48"/>
        <item x="49"/>
        <item x="50"/>
        <item x="52"/>
        <item x="51"/>
        <item x="53"/>
        <item x="54"/>
        <item x="56"/>
        <item x="55"/>
        <item x="57"/>
        <item x="58"/>
        <item x="59"/>
        <item x="60"/>
        <item x="61"/>
        <item x="63"/>
        <item x="64"/>
        <item x="62"/>
        <item x="66"/>
        <item x="65"/>
        <item x="67"/>
        <item x="68"/>
        <item x="71"/>
        <item x="72"/>
        <item x="73"/>
        <item x="74"/>
        <item x="75"/>
        <item x="69"/>
        <item x="76"/>
        <item x="77"/>
        <item x="70"/>
        <item x="78"/>
        <item x="79"/>
        <item x="80"/>
        <item x="81"/>
        <item x="82"/>
        <item x="83"/>
        <item x="84"/>
        <item x="85"/>
        <item x="86"/>
        <item x="87"/>
        <item x="88"/>
        <item x="89"/>
        <item x="90"/>
        <item x="91"/>
        <item x="92"/>
        <item x="94"/>
        <item x="93"/>
        <item x="96"/>
        <item x="97"/>
        <item m="1" x="134"/>
        <item m="1" x="132"/>
        <item m="1" x="133"/>
        <item x="98"/>
        <item x="95"/>
        <item x="99"/>
        <item x="100"/>
        <item x="101"/>
        <item x="102"/>
        <item x="103"/>
        <item x="104"/>
        <item x="105"/>
        <item x="106"/>
        <item x="107"/>
        <item x="108"/>
        <item x="109"/>
        <item x="110"/>
        <item x="111"/>
        <item x="112"/>
        <item x="113"/>
        <item m="1" x="131"/>
        <item x="114"/>
        <item x="115"/>
        <item x="116"/>
        <item x="117"/>
        <item x="118"/>
        <item x="119"/>
        <item x="120"/>
        <item x="121"/>
        <item x="122"/>
        <item x="123"/>
        <item x="124"/>
        <item x="126"/>
        <item x="125"/>
        <item x="127"/>
        <item x="128"/>
        <item x="130"/>
        <item x="129"/>
        <item t="default"/>
      </items>
    </pivotField>
    <pivotField showAll="0"/>
    <pivotField numFmtId="3" showAll="0"/>
    <pivotField showAll="0"/>
    <pivotField dataField="1" numFmtId="2"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
    <field x="8"/>
  </rowFields>
  <rowItems count="15">
    <i>
      <x v="21"/>
    </i>
    <i>
      <x v="4"/>
    </i>
    <i>
      <x/>
    </i>
    <i>
      <x v="19"/>
    </i>
    <i>
      <x v="25"/>
    </i>
    <i>
      <x v="8"/>
    </i>
    <i>
      <x v="1"/>
    </i>
    <i>
      <x v="17"/>
    </i>
    <i>
      <x v="5"/>
    </i>
    <i>
      <x v="15"/>
    </i>
    <i>
      <x v="26"/>
    </i>
    <i>
      <x v="12"/>
    </i>
    <i>
      <x v="24"/>
    </i>
    <i>
      <x v="22"/>
    </i>
    <i t="grand">
      <x/>
    </i>
  </rowItems>
  <colItems count="1">
    <i/>
  </colItems>
  <pageFields count="2">
    <pageField fld="2" hier="-1"/>
    <pageField fld="4" hier="-1"/>
  </pageFields>
  <dataFields count="1">
    <dataField name="Média de PRECIO" fld="12" subtotal="average" baseField="1" baseItem="0"/>
  </dataFields>
  <formats count="28">
    <format dxfId="54">
      <pivotArea outline="0" collapsedLevelsAreSubtotals="1" fieldPosition="0"/>
    </format>
    <format dxfId="53">
      <pivotArea outline="0" collapsedLevelsAreSubtotals="1" fieldPosition="0"/>
    </format>
    <format dxfId="52">
      <pivotArea field="-2" type="button" dataOnly="0" labelOnly="1" outline="0" axis="axisValues" fieldPosition="0"/>
    </format>
    <format dxfId="51">
      <pivotArea type="topRight" dataOnly="0" labelOnly="1" outline="0" fieldPosition="0"/>
    </format>
    <format dxfId="50">
      <pivotArea type="topRight" dataOnly="0" labelOnly="1" outline="0" fieldPosition="0"/>
    </format>
    <format dxfId="49">
      <pivotArea type="topRight" dataOnly="0" labelOnly="1" outline="0" fieldPosition="0"/>
    </format>
    <format dxfId="48">
      <pivotArea type="origin" dataOnly="0" labelOnly="1" outline="0" fieldPosition="0"/>
    </format>
    <format dxfId="47">
      <pivotArea dataOnly="0" labelOnly="1" grandCol="1" outline="0" fieldPosition="0"/>
    </format>
    <format dxfId="46">
      <pivotArea grandCol="1" outline="0" collapsedLevelsAreSubtotals="1" fieldPosition="0"/>
    </format>
    <format dxfId="45">
      <pivotArea dataOnly="0" labelOnly="1" fieldPosition="0">
        <references count="1">
          <reference field="8" count="0"/>
        </references>
      </pivotArea>
    </format>
    <format dxfId="44">
      <pivotArea dataOnly="0" fieldPosition="0">
        <references count="2">
          <reference field="1" count="1" selected="0">
            <x v="12"/>
          </reference>
          <reference field="8" count="1">
            <x v="77"/>
          </reference>
        </references>
      </pivotArea>
    </format>
    <format dxfId="43">
      <pivotArea dataOnly="0" labelOnly="1" fieldPosition="0">
        <references count="2">
          <reference field="1" count="1" selected="0">
            <x v="26"/>
          </reference>
          <reference field="8" count="3">
            <x v="67"/>
            <x v="75"/>
            <x v="78"/>
          </reference>
        </references>
      </pivotArea>
    </format>
    <format dxfId="42">
      <pivotArea dataOnly="0" labelOnly="1" fieldPosition="0">
        <references count="2">
          <reference field="1" count="1" selected="0">
            <x v="15"/>
          </reference>
          <reference field="8" count="4">
            <x v="63"/>
            <x v="68"/>
            <x v="76"/>
            <x v="80"/>
          </reference>
        </references>
      </pivotArea>
    </format>
    <format dxfId="41">
      <pivotArea dataOnly="0" fieldPosition="0">
        <references count="1">
          <reference field="8" count="3">
            <x v="79"/>
            <x v="83"/>
            <x v="84"/>
          </reference>
        </references>
      </pivotArea>
    </format>
    <format dxfId="40">
      <pivotArea dataOnly="0" labelOnly="1" fieldPosition="0">
        <references count="2">
          <reference field="1" count="1" selected="0">
            <x v="19"/>
          </reference>
          <reference field="8" count="1">
            <x v="85"/>
          </reference>
        </references>
      </pivotArea>
    </format>
    <format dxfId="39">
      <pivotArea dataOnly="0" fieldPosition="0">
        <references count="1">
          <reference field="8" count="1">
            <x v="91"/>
          </reference>
        </references>
      </pivotArea>
    </format>
    <format dxfId="38">
      <pivotArea dataOnly="0" labelOnly="1" fieldPosition="0">
        <references count="2">
          <reference field="1" count="1" selected="0">
            <x v="15"/>
          </reference>
          <reference field="8" count="1">
            <x v="82"/>
          </reference>
        </references>
      </pivotArea>
    </format>
    <format dxfId="37">
      <pivotArea dataOnly="0" labelOnly="1" fieldPosition="0">
        <references count="2">
          <reference field="1" count="1" selected="0">
            <x v="15"/>
          </reference>
          <reference field="8" count="1">
            <x v="94"/>
          </reference>
        </references>
      </pivotArea>
    </format>
    <format dxfId="36">
      <pivotArea dataOnly="0" labelOnly="1" fieldPosition="0">
        <references count="2">
          <reference field="1" count="1" selected="0">
            <x v="17"/>
          </reference>
          <reference field="8" count="6">
            <x v="61"/>
            <x v="66"/>
            <x v="69"/>
            <x v="86"/>
            <x v="90"/>
            <x v="92"/>
          </reference>
        </references>
      </pivotArea>
    </format>
    <format dxfId="35">
      <pivotArea dataOnly="0" labelOnly="1" fieldPosition="0">
        <references count="1">
          <reference field="4" count="1">
            <x v="0"/>
          </reference>
        </references>
      </pivotArea>
    </format>
    <format dxfId="34">
      <pivotArea dataOnly="0" labelOnly="1" fieldPosition="0">
        <references count="1">
          <reference field="4" count="5">
            <x v="1"/>
            <x v="2"/>
            <x v="3"/>
            <x v="4"/>
            <x v="5"/>
          </reference>
        </references>
      </pivotArea>
    </format>
    <format dxfId="33">
      <pivotArea collapsedLevelsAreSubtotals="1" fieldPosition="0">
        <references count="2">
          <reference field="1" count="1">
            <x v="17"/>
          </reference>
          <reference field="4" count="1" selected="0">
            <x v="5"/>
          </reference>
        </references>
      </pivotArea>
    </format>
    <format dxfId="32">
      <pivotArea dataOnly="0" labelOnly="1" fieldPosition="0">
        <references count="2">
          <reference field="1" count="1" selected="0">
            <x v="26"/>
          </reference>
          <reference field="8" count="1">
            <x v="102"/>
          </reference>
        </references>
      </pivotArea>
    </format>
    <format dxfId="31">
      <pivotArea dataOnly="0" labelOnly="1" fieldPosition="0">
        <references count="2">
          <reference field="1" count="1" selected="0">
            <x v="17"/>
          </reference>
          <reference field="8" count="2">
            <x v="103"/>
            <x v="104"/>
          </reference>
        </references>
      </pivotArea>
    </format>
    <format dxfId="30">
      <pivotArea dataOnly="0" labelOnly="1" fieldPosition="0">
        <references count="2">
          <reference field="1" count="1" selected="0">
            <x v="25"/>
          </reference>
          <reference field="8" count="1">
            <x v="101"/>
          </reference>
        </references>
      </pivotArea>
    </format>
    <format dxfId="29">
      <pivotArea dataOnly="0" labelOnly="1" fieldPosition="0">
        <references count="2">
          <reference field="1" count="1" selected="0">
            <x v="26"/>
          </reference>
          <reference field="8" count="1">
            <x v="105"/>
          </reference>
        </references>
      </pivotArea>
    </format>
    <format dxfId="28">
      <pivotArea dataOnly="0" labelOnly="1" fieldPosition="0">
        <references count="2">
          <reference field="1" count="1" selected="0">
            <x v="17"/>
          </reference>
          <reference field="8" count="1">
            <x v="107"/>
          </reference>
        </references>
      </pivotArea>
    </format>
    <format dxfId="27">
      <pivotArea dataOnly="0" labelOnly="1" fieldPosition="0">
        <references count="2">
          <reference field="1" count="1" selected="0">
            <x v="26"/>
          </reference>
          <reference field="8" count="1">
            <x v="10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0410F6-AE8A-4319-8BF2-EAF9D2E81508}" name="TablaDinámica3"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rowHeaderCaption="CLIENTE / OC / PEDIDO TOTVS" colHeaderCaption="Prog.Mes">
  <location ref="A3:L20" firstHeaderRow="1" firstDataRow="2" firstDataCol="1"/>
  <pivotFields count="24">
    <pivotField showAll="0"/>
    <pivotField axis="axisRow" showAll="0">
      <items count="30">
        <item sd="0" x="14"/>
        <item sd="0" x="7"/>
        <item m="1" x="23"/>
        <item sd="0" x="10"/>
        <item sd="0" x="12"/>
        <item sd="0" x="4"/>
        <item sd="0" x="15"/>
        <item m="1" x="24"/>
        <item sd="0" x="6"/>
        <item sd="0" m="1" x="27"/>
        <item sd="0" x="9"/>
        <item sd="0" x="8"/>
        <item m="1" x="22"/>
        <item sd="0" x="2"/>
        <item m="1" x="28"/>
        <item sd="0" x="0"/>
        <item sd="0" x="16"/>
        <item m="1" x="25"/>
        <item sd="0" x="1"/>
        <item sd="0" x="11"/>
        <item sd="0" x="5"/>
        <item h="1" sd="0" x="21"/>
        <item sd="0" x="13"/>
        <item sd="0" x="17"/>
        <item sd="0" x="18"/>
        <item sd="0" x="3"/>
        <item m="1" x="26"/>
        <item sd="0" x="19"/>
        <item sd="0" x="20"/>
        <item t="default"/>
      </items>
    </pivotField>
    <pivotField showAll="0"/>
    <pivotField numFmtId="14" showAll="0">
      <items count="96">
        <item x="0"/>
        <item x="9"/>
        <item x="4"/>
        <item x="1"/>
        <item x="2"/>
        <item x="3"/>
        <item x="5"/>
        <item x="6"/>
        <item x="7"/>
        <item x="8"/>
        <item x="10"/>
        <item x="11"/>
        <item x="12"/>
        <item x="13"/>
        <item x="14"/>
        <item x="15"/>
        <item x="16"/>
        <item x="17"/>
        <item x="18"/>
        <item x="19"/>
        <item x="20"/>
        <item x="21"/>
        <item x="22"/>
        <item x="23"/>
        <item x="24"/>
        <item x="27"/>
        <item x="25"/>
        <item x="26"/>
        <item x="28"/>
        <item x="29"/>
        <item x="30"/>
        <item x="31"/>
        <item x="32"/>
        <item x="33"/>
        <item x="34"/>
        <item x="35"/>
        <item x="36"/>
        <item x="37"/>
        <item x="38"/>
        <item x="39"/>
        <item x="40"/>
        <item x="41"/>
        <item x="42"/>
        <item x="43"/>
        <item x="44"/>
        <item x="46"/>
        <item x="47"/>
        <item x="48"/>
        <item x="49"/>
        <item x="50"/>
        <item x="51"/>
        <item x="54"/>
        <item x="55"/>
        <item x="56"/>
        <item x="52"/>
        <item x="57"/>
        <item x="53"/>
        <item x="58"/>
        <item x="59"/>
        <item x="60"/>
        <item x="61"/>
        <item x="62"/>
        <item x="63"/>
        <item x="64"/>
        <item x="65"/>
        <item x="66"/>
        <item x="67"/>
        <item x="68"/>
        <item x="69"/>
        <item x="70"/>
        <item x="71"/>
        <item x="78"/>
        <item x="72"/>
        <item x="73"/>
        <item x="74"/>
        <item x="75"/>
        <item x="76"/>
        <item x="77"/>
        <item x="79"/>
        <item x="80"/>
        <item x="81"/>
        <item x="82"/>
        <item x="83"/>
        <item x="84"/>
        <item x="85"/>
        <item x="86"/>
        <item x="88"/>
        <item x="87"/>
        <item x="90"/>
        <item x="89"/>
        <item x="91"/>
        <item x="92"/>
        <item x="45"/>
        <item x="94"/>
        <item x="93"/>
        <item t="default"/>
      </items>
    </pivotField>
    <pivotField axis="axisCol" showAll="0">
      <items count="21">
        <item x="9"/>
        <item x="10"/>
        <item x="11"/>
        <item x="12"/>
        <item x="13"/>
        <item x="14"/>
        <item h="1" x="6"/>
        <item h="1" x="5"/>
        <item h="1" x="0"/>
        <item h="1" x="1"/>
        <item h="1" x="2"/>
        <item h="1" x="3"/>
        <item h="1" x="4"/>
        <item h="1" x="7"/>
        <item h="1" x="8"/>
        <item h="1" x="19"/>
        <item x="15"/>
        <item x="16"/>
        <item x="17"/>
        <item x="18"/>
        <item t="default"/>
      </items>
    </pivotField>
    <pivotField showAll="0"/>
    <pivotField showAll="0"/>
    <pivotField showAll="0"/>
    <pivotField axis="axisRow" showAll="0">
      <items count="136">
        <item x="0"/>
        <item x="1"/>
        <item x="2"/>
        <item x="3"/>
        <item x="4"/>
        <item x="6"/>
        <item x="5"/>
        <item x="7"/>
        <item x="8"/>
        <item x="9"/>
        <item x="10"/>
        <item x="13"/>
        <item x="12"/>
        <item x="14"/>
        <item x="11"/>
        <item x="15"/>
        <item x="16"/>
        <item x="17"/>
        <item x="18"/>
        <item x="20"/>
        <item x="19"/>
        <item x="22"/>
        <item x="21"/>
        <item x="23"/>
        <item x="24"/>
        <item x="25"/>
        <item x="26"/>
        <item x="27"/>
        <item x="28"/>
        <item x="29"/>
        <item x="31"/>
        <item x="30"/>
        <item x="33"/>
        <item x="34"/>
        <item x="32"/>
        <item x="36"/>
        <item x="35"/>
        <item x="38"/>
        <item x="39"/>
        <item x="37"/>
        <item x="40"/>
        <item x="41"/>
        <item x="42"/>
        <item x="43"/>
        <item x="44"/>
        <item x="45"/>
        <item x="46"/>
        <item x="47"/>
        <item x="48"/>
        <item x="49"/>
        <item x="50"/>
        <item x="52"/>
        <item x="51"/>
        <item x="53"/>
        <item x="54"/>
        <item x="56"/>
        <item x="55"/>
        <item x="57"/>
        <item x="58"/>
        <item x="59"/>
        <item x="60"/>
        <item x="61"/>
        <item x="63"/>
        <item x="64"/>
        <item x="62"/>
        <item x="66"/>
        <item x="65"/>
        <item x="67"/>
        <item x="68"/>
        <item x="71"/>
        <item x="72"/>
        <item x="73"/>
        <item x="74"/>
        <item x="75"/>
        <item x="69"/>
        <item x="76"/>
        <item x="77"/>
        <item x="70"/>
        <item x="78"/>
        <item x="79"/>
        <item x="80"/>
        <item x="81"/>
        <item x="82"/>
        <item x="83"/>
        <item x="84"/>
        <item x="85"/>
        <item x="86"/>
        <item x="87"/>
        <item x="88"/>
        <item x="89"/>
        <item x="90"/>
        <item x="91"/>
        <item x="92"/>
        <item x="94"/>
        <item x="93"/>
        <item x="96"/>
        <item x="97"/>
        <item m="1" x="134"/>
        <item m="1" x="132"/>
        <item m="1" x="133"/>
        <item x="98"/>
        <item x="95"/>
        <item x="99"/>
        <item x="100"/>
        <item x="101"/>
        <item x="102"/>
        <item x="103"/>
        <item x="104"/>
        <item x="105"/>
        <item x="106"/>
        <item x="107"/>
        <item x="108"/>
        <item x="109"/>
        <item x="110"/>
        <item x="111"/>
        <item x="112"/>
        <item x="113"/>
        <item m="1" x="131"/>
        <item x="114"/>
        <item x="115"/>
        <item x="116"/>
        <item x="117"/>
        <item x="118"/>
        <item x="119"/>
        <item x="120"/>
        <item x="121"/>
        <item x="122"/>
        <item x="123"/>
        <item x="124"/>
        <item x="126"/>
        <item x="125"/>
        <item x="127"/>
        <item x="128"/>
        <item x="130"/>
        <item x="129"/>
        <item t="default"/>
      </items>
    </pivotField>
    <pivotField showAll="0"/>
    <pivotField dataField="1" numFmtId="3"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
    <field x="8"/>
  </rowFields>
  <rowItems count="16">
    <i>
      <x/>
    </i>
    <i>
      <x v="1"/>
    </i>
    <i>
      <x v="3"/>
    </i>
    <i>
      <x v="11"/>
    </i>
    <i>
      <x v="13"/>
    </i>
    <i>
      <x v="15"/>
    </i>
    <i>
      <x v="16"/>
    </i>
    <i>
      <x v="18"/>
    </i>
    <i>
      <x v="19"/>
    </i>
    <i>
      <x v="22"/>
    </i>
    <i>
      <x v="23"/>
    </i>
    <i>
      <x v="24"/>
    </i>
    <i>
      <x v="25"/>
    </i>
    <i>
      <x v="27"/>
    </i>
    <i>
      <x v="28"/>
    </i>
    <i t="grand">
      <x/>
    </i>
  </rowItems>
  <colFields count="1">
    <field x="4"/>
  </colFields>
  <colItems count="11">
    <i>
      <x/>
    </i>
    <i>
      <x v="1"/>
    </i>
    <i>
      <x v="2"/>
    </i>
    <i>
      <x v="3"/>
    </i>
    <i>
      <x v="4"/>
    </i>
    <i>
      <x v="5"/>
    </i>
    <i>
      <x v="16"/>
    </i>
    <i>
      <x v="17"/>
    </i>
    <i>
      <x v="18"/>
    </i>
    <i>
      <x v="19"/>
    </i>
    <i t="grand">
      <x/>
    </i>
  </colItems>
  <dataFields count="1">
    <dataField name="TOTAL MT/YD" fld="10" baseField="0" baseItem="0" numFmtId="3"/>
  </dataFields>
  <formats count="8">
    <format dxfId="62">
      <pivotArea outline="0" collapsedLevelsAreSubtotals="1" fieldPosition="0"/>
    </format>
    <format dxfId="61">
      <pivotArea type="origin" dataOnly="0" labelOnly="1" outline="0" fieldPosition="0"/>
    </format>
    <format dxfId="60">
      <pivotArea outline="0" collapsedLevelsAreSubtotals="1" fieldPosition="0"/>
    </format>
    <format dxfId="59">
      <pivotArea dataOnly="0" labelOnly="1" grandCol="1" outline="0" fieldPosition="0"/>
    </format>
    <format dxfId="58">
      <pivotArea outline="0" collapsedLevelsAreSubtotals="1" fieldPosition="0">
        <references count="1">
          <reference field="4" count="0" selected="0"/>
        </references>
      </pivotArea>
    </format>
    <format dxfId="57">
      <pivotArea field="4" type="button" dataOnly="0" labelOnly="1" outline="0" axis="axisCol" fieldPosition="0"/>
    </format>
    <format dxfId="56">
      <pivotArea type="topRight" dataOnly="0" labelOnly="1" outline="0" fieldPosition="0"/>
    </format>
    <format dxfId="55">
      <pivotArea dataOnly="0" labelOnly="1" fieldPosition="0">
        <references count="1">
          <reference field="4" count="0"/>
        </references>
      </pivotArea>
    </format>
  </formats>
  <chartFormats count="20">
    <chartFormat chart="3" format="46" series="1">
      <pivotArea type="data" outline="0" fieldPosition="0">
        <references count="1">
          <reference field="4294967294" count="1" selected="0">
            <x v="0"/>
          </reference>
        </references>
      </pivotArea>
    </chartFormat>
    <chartFormat chart="3" format="49" series="1">
      <pivotArea type="data" outline="0" fieldPosition="0">
        <references count="2">
          <reference field="4294967294" count="1" selected="0">
            <x v="0"/>
          </reference>
          <reference field="4" count="1" selected="0">
            <x v="1"/>
          </reference>
        </references>
      </pivotArea>
    </chartFormat>
    <chartFormat chart="3" format="50" series="1">
      <pivotArea type="data" outline="0" fieldPosition="0">
        <references count="2">
          <reference field="4294967294" count="1" selected="0">
            <x v="0"/>
          </reference>
          <reference field="4" count="1" selected="0">
            <x v="0"/>
          </reference>
        </references>
      </pivotArea>
    </chartFormat>
    <chartFormat chart="3" format="51" series="1">
      <pivotArea type="data" outline="0" fieldPosition="0">
        <references count="2">
          <reference field="4294967294" count="1" selected="0">
            <x v="0"/>
          </reference>
          <reference field="4" count="1" selected="0">
            <x v="5"/>
          </reference>
        </references>
      </pivotArea>
    </chartFormat>
    <chartFormat chart="3" format="52" series="1">
      <pivotArea type="data" outline="0" fieldPosition="0">
        <references count="2">
          <reference field="4294967294" count="1" selected="0">
            <x v="0"/>
          </reference>
          <reference field="4" count="1" selected="0">
            <x v="2"/>
          </reference>
        </references>
      </pivotArea>
    </chartFormat>
    <chartFormat chart="3" format="53" series="1">
      <pivotArea type="data" outline="0" fieldPosition="0">
        <references count="2">
          <reference field="4294967294" count="1" selected="0">
            <x v="0"/>
          </reference>
          <reference field="4" count="1" selected="0">
            <x v="4"/>
          </reference>
        </references>
      </pivotArea>
    </chartFormat>
    <chartFormat chart="3" format="54" series="1">
      <pivotArea type="data" outline="0" fieldPosition="0">
        <references count="2">
          <reference field="4294967294" count="1" selected="0">
            <x v="0"/>
          </reference>
          <reference field="4" count="1" selected="0">
            <x v="6"/>
          </reference>
        </references>
      </pivotArea>
    </chartFormat>
    <chartFormat chart="3" format="55" series="1">
      <pivotArea type="data" outline="0" fieldPosition="0">
        <references count="2">
          <reference field="4294967294" count="1" selected="0">
            <x v="0"/>
          </reference>
          <reference field="4" count="1" selected="0">
            <x v="7"/>
          </reference>
        </references>
      </pivotArea>
    </chartFormat>
    <chartFormat chart="3" format="56" series="1">
      <pivotArea type="data" outline="0" fieldPosition="0">
        <references count="2">
          <reference field="4294967294" count="1" selected="0">
            <x v="0"/>
          </reference>
          <reference field="4" count="1" selected="0">
            <x v="8"/>
          </reference>
        </references>
      </pivotArea>
    </chartFormat>
    <chartFormat chart="3" format="57" series="1">
      <pivotArea type="data" outline="0" fieldPosition="0">
        <references count="2">
          <reference field="4294967294" count="1" selected="0">
            <x v="0"/>
          </reference>
          <reference field="4" count="1" selected="0">
            <x v="9"/>
          </reference>
        </references>
      </pivotArea>
    </chartFormat>
    <chartFormat chart="3" format="58" series="1">
      <pivotArea type="data" outline="0" fieldPosition="0">
        <references count="2">
          <reference field="4294967294" count="1" selected="0">
            <x v="0"/>
          </reference>
          <reference field="4" count="1" selected="0">
            <x v="10"/>
          </reference>
        </references>
      </pivotArea>
    </chartFormat>
    <chartFormat chart="3" format="59" series="1">
      <pivotArea type="data" outline="0" fieldPosition="0">
        <references count="2">
          <reference field="4294967294" count="1" selected="0">
            <x v="0"/>
          </reference>
          <reference field="4" count="1" selected="0">
            <x v="11"/>
          </reference>
        </references>
      </pivotArea>
    </chartFormat>
    <chartFormat chart="3" format="60" series="1">
      <pivotArea type="data" outline="0" fieldPosition="0">
        <references count="2">
          <reference field="4294967294" count="1" selected="0">
            <x v="0"/>
          </reference>
          <reference field="4" count="1" selected="0">
            <x v="12"/>
          </reference>
        </references>
      </pivotArea>
    </chartFormat>
    <chartFormat chart="3" format="61" series="1">
      <pivotArea type="data" outline="0" fieldPosition="0">
        <references count="2">
          <reference field="4294967294" count="1" selected="0">
            <x v="0"/>
          </reference>
          <reference field="4" count="1" selected="0">
            <x v="13"/>
          </reference>
        </references>
      </pivotArea>
    </chartFormat>
    <chartFormat chart="3" format="62" series="1">
      <pivotArea type="data" outline="0" fieldPosition="0">
        <references count="2">
          <reference field="4294967294" count="1" selected="0">
            <x v="0"/>
          </reference>
          <reference field="4" count="1" selected="0">
            <x v="14"/>
          </reference>
        </references>
      </pivotArea>
    </chartFormat>
    <chartFormat chart="3" format="63" series="1">
      <pivotArea type="data" outline="0" fieldPosition="0">
        <references count="2">
          <reference field="4294967294" count="1" selected="0">
            <x v="0"/>
          </reference>
          <reference field="4" count="1" selected="0">
            <x v="3"/>
          </reference>
        </references>
      </pivotArea>
    </chartFormat>
    <chartFormat chart="3" format="64" series="1">
      <pivotArea type="data" outline="0" fieldPosition="0">
        <references count="2">
          <reference field="4294967294" count="1" selected="0">
            <x v="0"/>
          </reference>
          <reference field="4" count="1" selected="0">
            <x v="16"/>
          </reference>
        </references>
      </pivotArea>
    </chartFormat>
    <chartFormat chart="3" format="65" series="1">
      <pivotArea type="data" outline="0" fieldPosition="0">
        <references count="2">
          <reference field="4294967294" count="1" selected="0">
            <x v="0"/>
          </reference>
          <reference field="4" count="1" selected="0">
            <x v="17"/>
          </reference>
        </references>
      </pivotArea>
    </chartFormat>
    <chartFormat chart="3" format="66" series="1">
      <pivotArea type="data" outline="0" fieldPosition="0">
        <references count="2">
          <reference field="4294967294" count="1" selected="0">
            <x v="0"/>
          </reference>
          <reference field="4" count="1" selected="0">
            <x v="18"/>
          </reference>
        </references>
      </pivotArea>
    </chartFormat>
    <chartFormat chart="3" format="67" series="1">
      <pivotArea type="data" outline="0" fieldPosition="0">
        <references count="2">
          <reference field="4294967294" count="1" selected="0">
            <x v="0"/>
          </reference>
          <reference field="4"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7568CE-57A1-44DF-8C9A-B0A1833A800E}" name="TablaDinámica2"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rowHeaderCaption="CLIENTE/OC/PEDIDO TOTVS" colHeaderCaption="Prog. Mes">
  <location ref="V3:AG20" firstHeaderRow="1" firstDataRow="2" firstDataCol="1"/>
  <pivotFields count="24">
    <pivotField showAll="0"/>
    <pivotField axis="axisRow" showAll="0" sortType="ascending">
      <items count="30">
        <item sd="0" x="14"/>
        <item sd="0" x="17"/>
        <item sd="0" x="7"/>
        <item n="CAMAS FLORIDA" sd="0" m="1" x="23"/>
        <item sd="0" x="3"/>
        <item sd="0" x="10"/>
        <item sd="0" x="12"/>
        <item sd="0" x="4"/>
        <item sd="0" x="19"/>
        <item m="1" x="26"/>
        <item sd="0" x="15"/>
        <item m="1" x="24"/>
        <item sd="0" x="18"/>
        <item sd="0" x="6"/>
        <item sd="0" m="1" x="27"/>
        <item sd="0" x="13"/>
        <item sd="0" x="9"/>
        <item sd="0" x="8"/>
        <item m="1" x="22"/>
        <item sd="0" x="2"/>
        <item sd="0" m="1" x="28"/>
        <item sd="0" x="0"/>
        <item sd="0" x="16"/>
        <item sd="0" m="1" x="25"/>
        <item sd="0" x="1"/>
        <item sd="0" x="20"/>
        <item sd="0" x="11"/>
        <item sd="0" x="5"/>
        <item x="21"/>
        <item t="default"/>
      </items>
    </pivotField>
    <pivotField showAll="0"/>
    <pivotField numFmtId="14" showAll="0">
      <items count="96">
        <item x="0"/>
        <item x="9"/>
        <item x="4"/>
        <item x="1"/>
        <item x="2"/>
        <item x="3"/>
        <item x="5"/>
        <item x="6"/>
        <item x="7"/>
        <item x="8"/>
        <item x="10"/>
        <item x="11"/>
        <item x="12"/>
        <item x="13"/>
        <item x="14"/>
        <item x="15"/>
        <item x="16"/>
        <item x="17"/>
        <item x="18"/>
        <item x="19"/>
        <item x="20"/>
        <item x="21"/>
        <item x="22"/>
        <item x="23"/>
        <item x="24"/>
        <item x="27"/>
        <item x="25"/>
        <item x="26"/>
        <item x="28"/>
        <item x="29"/>
        <item x="30"/>
        <item x="31"/>
        <item x="32"/>
        <item x="33"/>
        <item x="34"/>
        <item x="35"/>
        <item x="36"/>
        <item x="37"/>
        <item x="38"/>
        <item x="39"/>
        <item x="40"/>
        <item x="41"/>
        <item x="42"/>
        <item x="43"/>
        <item x="44"/>
        <item x="46"/>
        <item x="47"/>
        <item x="48"/>
        <item x="49"/>
        <item x="50"/>
        <item x="51"/>
        <item x="54"/>
        <item x="55"/>
        <item x="56"/>
        <item x="52"/>
        <item x="57"/>
        <item x="53"/>
        <item x="58"/>
        <item x="59"/>
        <item x="60"/>
        <item x="61"/>
        <item x="62"/>
        <item x="63"/>
        <item x="64"/>
        <item x="65"/>
        <item x="66"/>
        <item x="67"/>
        <item x="68"/>
        <item x="69"/>
        <item x="70"/>
        <item x="71"/>
        <item x="78"/>
        <item x="72"/>
        <item x="73"/>
        <item x="74"/>
        <item x="75"/>
        <item x="76"/>
        <item x="77"/>
        <item x="79"/>
        <item x="80"/>
        <item x="81"/>
        <item x="82"/>
        <item x="83"/>
        <item x="84"/>
        <item x="85"/>
        <item x="86"/>
        <item x="88"/>
        <item x="87"/>
        <item x="90"/>
        <item x="89"/>
        <item x="91"/>
        <item x="92"/>
        <item x="45"/>
        <item x="94"/>
        <item x="93"/>
        <item t="default"/>
      </items>
    </pivotField>
    <pivotField axis="axisCol" showAll="0">
      <items count="21">
        <item x="9"/>
        <item x="10"/>
        <item x="11"/>
        <item x="12"/>
        <item x="13"/>
        <item x="14"/>
        <item h="1" x="6"/>
        <item h="1" x="5"/>
        <item h="1" x="0"/>
        <item h="1" x="1"/>
        <item h="1" x="2"/>
        <item h="1" x="3"/>
        <item h="1" x="4"/>
        <item h="1" x="7"/>
        <item h="1" x="8"/>
        <item h="1" x="19"/>
        <item x="15"/>
        <item x="16"/>
        <item x="17"/>
        <item x="18"/>
        <item t="default"/>
      </items>
    </pivotField>
    <pivotField showAll="0"/>
    <pivotField showAll="0"/>
    <pivotField showAll="0"/>
    <pivotField axis="axisRow" showAll="0">
      <items count="136">
        <item x="0"/>
        <item x="1"/>
        <item x="2"/>
        <item x="3"/>
        <item x="4"/>
        <item x="6"/>
        <item x="5"/>
        <item x="7"/>
        <item x="8"/>
        <item x="9"/>
        <item x="10"/>
        <item x="13"/>
        <item x="12"/>
        <item x="14"/>
        <item x="11"/>
        <item x="15"/>
        <item x="16"/>
        <item x="17"/>
        <item x="18"/>
        <item x="20"/>
        <item x="19"/>
        <item x="22"/>
        <item x="21"/>
        <item x="23"/>
        <item x="24"/>
        <item x="25"/>
        <item x="26"/>
        <item x="27"/>
        <item x="28"/>
        <item x="29"/>
        <item x="31"/>
        <item x="30"/>
        <item x="33"/>
        <item x="34"/>
        <item x="32"/>
        <item x="36"/>
        <item x="35"/>
        <item x="38"/>
        <item x="39"/>
        <item x="37"/>
        <item x="40"/>
        <item x="41"/>
        <item x="42"/>
        <item x="43"/>
        <item x="44"/>
        <item x="45"/>
        <item x="46"/>
        <item x="47"/>
        <item x="48"/>
        <item x="49"/>
        <item x="50"/>
        <item x="52"/>
        <item x="51"/>
        <item x="53"/>
        <item x="54"/>
        <item x="56"/>
        <item x="55"/>
        <item x="57"/>
        <item x="58"/>
        <item x="59"/>
        <item x="60"/>
        <item x="61"/>
        <item x="63"/>
        <item x="64"/>
        <item x="62"/>
        <item x="66"/>
        <item x="65"/>
        <item x="67"/>
        <item x="68"/>
        <item x="71"/>
        <item x="72"/>
        <item x="73"/>
        <item x="74"/>
        <item x="75"/>
        <item x="69"/>
        <item x="76"/>
        <item x="77"/>
        <item x="70"/>
        <item x="78"/>
        <item x="79"/>
        <item x="80"/>
        <item x="81"/>
        <item x="82"/>
        <item x="83"/>
        <item x="84"/>
        <item x="85"/>
        <item x="86"/>
        <item x="87"/>
        <item x="88"/>
        <item x="89"/>
        <item x="90"/>
        <item x="91"/>
        <item x="92"/>
        <item x="94"/>
        <item x="93"/>
        <item x="96"/>
        <item x="97"/>
        <item m="1" x="134"/>
        <item m="1" x="132"/>
        <item m="1" x="133"/>
        <item x="98"/>
        <item x="95"/>
        <item x="99"/>
        <item x="100"/>
        <item x="101"/>
        <item x="102"/>
        <item x="103"/>
        <item x="104"/>
        <item x="105"/>
        <item x="106"/>
        <item x="107"/>
        <item x="108"/>
        <item x="109"/>
        <item x="110"/>
        <item x="111"/>
        <item x="112"/>
        <item x="113"/>
        <item m="1" x="131"/>
        <item x="114"/>
        <item x="115"/>
        <item x="116"/>
        <item x="117"/>
        <item x="118"/>
        <item x="119"/>
        <item x="120"/>
        <item x="121"/>
        <item x="122"/>
        <item x="123"/>
        <item x="124"/>
        <item x="126"/>
        <item x="125"/>
        <item x="127"/>
        <item x="128"/>
        <item x="130"/>
        <item x="129"/>
        <item t="default"/>
      </items>
    </pivotField>
    <pivotField showAll="0"/>
    <pivotField numFmtId="3" showAll="0"/>
    <pivotField showAll="0"/>
    <pivotField numFmtId="2"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
    <field x="8"/>
  </rowFields>
  <rowItems count="16">
    <i>
      <x/>
    </i>
    <i>
      <x v="1"/>
    </i>
    <i>
      <x v="2"/>
    </i>
    <i>
      <x v="4"/>
    </i>
    <i>
      <x v="5"/>
    </i>
    <i>
      <x v="8"/>
    </i>
    <i>
      <x v="12"/>
    </i>
    <i>
      <x v="15"/>
    </i>
    <i>
      <x v="17"/>
    </i>
    <i>
      <x v="19"/>
    </i>
    <i>
      <x v="21"/>
    </i>
    <i>
      <x v="22"/>
    </i>
    <i>
      <x v="24"/>
    </i>
    <i>
      <x v="25"/>
    </i>
    <i>
      <x v="26"/>
    </i>
    <i t="grand">
      <x/>
    </i>
  </rowItems>
  <colFields count="1">
    <field x="4"/>
  </colFields>
  <colItems count="11">
    <i>
      <x/>
    </i>
    <i>
      <x v="1"/>
    </i>
    <i>
      <x v="2"/>
    </i>
    <i>
      <x v="3"/>
    </i>
    <i>
      <x v="4"/>
    </i>
    <i>
      <x v="5"/>
    </i>
    <i>
      <x v="16"/>
    </i>
    <i>
      <x v="17"/>
    </i>
    <i>
      <x v="18"/>
    </i>
    <i>
      <x v="19"/>
    </i>
    <i t="grand">
      <x/>
    </i>
  </colItems>
  <dataFields count="1">
    <dataField name="TOTAL US$ " fld="13" baseField="0" baseItem="0"/>
  </dataFields>
  <formats count="28">
    <format dxfId="90">
      <pivotArea outline="0" collapsedLevelsAreSubtotals="1" fieldPosition="0"/>
    </format>
    <format dxfId="89">
      <pivotArea outline="0" collapsedLevelsAreSubtotals="1" fieldPosition="0"/>
    </format>
    <format dxfId="88">
      <pivotArea field="-2" type="button" dataOnly="0" labelOnly="1" outline="0" axis="axisValues" fieldPosition="0"/>
    </format>
    <format dxfId="87">
      <pivotArea type="topRight" dataOnly="0" labelOnly="1" outline="0" fieldPosition="0"/>
    </format>
    <format dxfId="86">
      <pivotArea type="topRight" dataOnly="0" labelOnly="1" outline="0" fieldPosition="0"/>
    </format>
    <format dxfId="85">
      <pivotArea type="topRight" dataOnly="0" labelOnly="1" outline="0" fieldPosition="0"/>
    </format>
    <format dxfId="84">
      <pivotArea type="origin" dataOnly="0" labelOnly="1" outline="0" fieldPosition="0"/>
    </format>
    <format dxfId="83">
      <pivotArea dataOnly="0" labelOnly="1" grandCol="1" outline="0" fieldPosition="0"/>
    </format>
    <format dxfId="82">
      <pivotArea grandCol="1" outline="0" collapsedLevelsAreSubtotals="1" fieldPosition="0"/>
    </format>
    <format dxfId="81">
      <pivotArea dataOnly="0" labelOnly="1" fieldPosition="0">
        <references count="1">
          <reference field="8" count="0"/>
        </references>
      </pivotArea>
    </format>
    <format dxfId="80">
      <pivotArea dataOnly="0" fieldPosition="0">
        <references count="2">
          <reference field="1" count="1" selected="0">
            <x v="12"/>
          </reference>
          <reference field="8" count="1">
            <x v="77"/>
          </reference>
        </references>
      </pivotArea>
    </format>
    <format dxfId="79">
      <pivotArea dataOnly="0" labelOnly="1" fieldPosition="0">
        <references count="2">
          <reference field="1" count="1" selected="0">
            <x v="26"/>
          </reference>
          <reference field="8" count="3">
            <x v="67"/>
            <x v="75"/>
            <x v="78"/>
          </reference>
        </references>
      </pivotArea>
    </format>
    <format dxfId="78">
      <pivotArea dataOnly="0" labelOnly="1" fieldPosition="0">
        <references count="2">
          <reference field="1" count="1" selected="0">
            <x v="15"/>
          </reference>
          <reference field="8" count="4">
            <x v="63"/>
            <x v="68"/>
            <x v="76"/>
            <x v="80"/>
          </reference>
        </references>
      </pivotArea>
    </format>
    <format dxfId="77">
      <pivotArea dataOnly="0" fieldPosition="0">
        <references count="1">
          <reference field="8" count="3">
            <x v="79"/>
            <x v="83"/>
            <x v="84"/>
          </reference>
        </references>
      </pivotArea>
    </format>
    <format dxfId="76">
      <pivotArea dataOnly="0" labelOnly="1" fieldPosition="0">
        <references count="2">
          <reference field="1" count="1" selected="0">
            <x v="19"/>
          </reference>
          <reference field="8" count="1">
            <x v="85"/>
          </reference>
        </references>
      </pivotArea>
    </format>
    <format dxfId="75">
      <pivotArea dataOnly="0" fieldPosition="0">
        <references count="1">
          <reference field="8" count="1">
            <x v="91"/>
          </reference>
        </references>
      </pivotArea>
    </format>
    <format dxfId="74">
      <pivotArea dataOnly="0" labelOnly="1" fieldPosition="0">
        <references count="2">
          <reference field="1" count="1" selected="0">
            <x v="15"/>
          </reference>
          <reference field="8" count="1">
            <x v="82"/>
          </reference>
        </references>
      </pivotArea>
    </format>
    <format dxfId="73">
      <pivotArea dataOnly="0" labelOnly="1" fieldPosition="0">
        <references count="2">
          <reference field="1" count="1" selected="0">
            <x v="15"/>
          </reference>
          <reference field="8" count="1">
            <x v="94"/>
          </reference>
        </references>
      </pivotArea>
    </format>
    <format dxfId="72">
      <pivotArea dataOnly="0" labelOnly="1" fieldPosition="0">
        <references count="2">
          <reference field="1" count="1" selected="0">
            <x v="17"/>
          </reference>
          <reference field="8" count="6">
            <x v="61"/>
            <x v="66"/>
            <x v="69"/>
            <x v="86"/>
            <x v="90"/>
            <x v="92"/>
          </reference>
        </references>
      </pivotArea>
    </format>
    <format dxfId="71">
      <pivotArea dataOnly="0" labelOnly="1" fieldPosition="0">
        <references count="1">
          <reference field="4" count="1">
            <x v="0"/>
          </reference>
        </references>
      </pivotArea>
    </format>
    <format dxfId="70">
      <pivotArea dataOnly="0" labelOnly="1" fieldPosition="0">
        <references count="1">
          <reference field="4" count="5">
            <x v="1"/>
            <x v="2"/>
            <x v="3"/>
            <x v="4"/>
            <x v="5"/>
          </reference>
        </references>
      </pivotArea>
    </format>
    <format dxfId="69">
      <pivotArea collapsedLevelsAreSubtotals="1" fieldPosition="0">
        <references count="2">
          <reference field="1" count="1">
            <x v="17"/>
          </reference>
          <reference field="4" count="1" selected="0">
            <x v="5"/>
          </reference>
        </references>
      </pivotArea>
    </format>
    <format dxfId="68">
      <pivotArea dataOnly="0" labelOnly="1" fieldPosition="0">
        <references count="2">
          <reference field="1" count="1" selected="0">
            <x v="26"/>
          </reference>
          <reference field="8" count="1">
            <x v="102"/>
          </reference>
        </references>
      </pivotArea>
    </format>
    <format dxfId="67">
      <pivotArea dataOnly="0" labelOnly="1" fieldPosition="0">
        <references count="2">
          <reference field="1" count="1" selected="0">
            <x v="17"/>
          </reference>
          <reference field="8" count="2">
            <x v="103"/>
            <x v="104"/>
          </reference>
        </references>
      </pivotArea>
    </format>
    <format dxfId="66">
      <pivotArea dataOnly="0" labelOnly="1" fieldPosition="0">
        <references count="2">
          <reference field="1" count="1" selected="0">
            <x v="25"/>
          </reference>
          <reference field="8" count="1">
            <x v="101"/>
          </reference>
        </references>
      </pivotArea>
    </format>
    <format dxfId="65">
      <pivotArea dataOnly="0" labelOnly="1" fieldPosition="0">
        <references count="2">
          <reference field="1" count="1" selected="0">
            <x v="26"/>
          </reference>
          <reference field="8" count="1">
            <x v="105"/>
          </reference>
        </references>
      </pivotArea>
    </format>
    <format dxfId="64">
      <pivotArea dataOnly="0" labelOnly="1" fieldPosition="0">
        <references count="2">
          <reference field="1" count="1" selected="0">
            <x v="26"/>
          </reference>
          <reference field="8" count="3">
            <x v="109"/>
            <x v="110"/>
            <x v="111"/>
          </reference>
        </references>
      </pivotArea>
    </format>
    <format dxfId="63">
      <pivotArea dataOnly="0" labelOnly="1" fieldPosition="0">
        <references count="2">
          <reference field="1" count="1" selected="0">
            <x v="15"/>
          </reference>
          <reference field="8" count="3">
            <x v="119"/>
            <x v="121"/>
            <x v="124"/>
          </reference>
        </references>
      </pivotArea>
    </format>
  </formats>
  <chartFormats count="21">
    <chartFormat chart="3" format="24" series="1">
      <pivotArea type="data" outline="0" fieldPosition="0">
        <references count="1">
          <reference field="4294967294" count="1" selected="0">
            <x v="0"/>
          </reference>
        </references>
      </pivotArea>
    </chartFormat>
    <chartFormat chart="3" format="25" series="1">
      <pivotArea type="data" outline="0" fieldPosition="0">
        <references count="2">
          <reference field="4294967294" count="1" selected="0">
            <x v="0"/>
          </reference>
          <reference field="4" count="1" selected="0">
            <x v="1"/>
          </reference>
        </references>
      </pivotArea>
    </chartFormat>
    <chartFormat chart="3" format="26" series="1">
      <pivotArea type="data" outline="0" fieldPosition="0">
        <references count="2">
          <reference field="4294967294" count="1" selected="0">
            <x v="0"/>
          </reference>
          <reference field="4" count="1" selected="0">
            <x v="0"/>
          </reference>
        </references>
      </pivotArea>
    </chartFormat>
    <chartFormat chart="3" format="27" series="1">
      <pivotArea type="data" outline="0" fieldPosition="0">
        <references count="2">
          <reference field="4294967294" count="1" selected="0">
            <x v="0"/>
          </reference>
          <reference field="4" count="1" selected="0">
            <x v="5"/>
          </reference>
        </references>
      </pivotArea>
    </chartFormat>
    <chartFormat chart="3" format="28" series="1">
      <pivotArea type="data" outline="0" fieldPosition="0">
        <references count="2">
          <reference field="4294967294" count="1" selected="0">
            <x v="0"/>
          </reference>
          <reference field="4" count="1" selected="0">
            <x v="2"/>
          </reference>
        </references>
      </pivotArea>
    </chartFormat>
    <chartFormat chart="3" format="29" series="1">
      <pivotArea type="data" outline="0" fieldPosition="0">
        <references count="2">
          <reference field="4294967294" count="1" selected="0">
            <x v="0"/>
          </reference>
          <reference field="4" count="1" selected="0">
            <x v="4"/>
          </reference>
        </references>
      </pivotArea>
    </chartFormat>
    <chartFormat chart="3" format="30" series="1">
      <pivotArea type="data" outline="0" fieldPosition="0">
        <references count="2">
          <reference field="4294967294" count="1" selected="0">
            <x v="0"/>
          </reference>
          <reference field="4" count="1" selected="0">
            <x v="6"/>
          </reference>
        </references>
      </pivotArea>
    </chartFormat>
    <chartFormat chart="3" format="31" series="1">
      <pivotArea type="data" outline="0" fieldPosition="0">
        <references count="2">
          <reference field="4294967294" count="1" selected="0">
            <x v="0"/>
          </reference>
          <reference field="4" count="1" selected="0">
            <x v="7"/>
          </reference>
        </references>
      </pivotArea>
    </chartFormat>
    <chartFormat chart="3" format="32" series="1">
      <pivotArea type="data" outline="0" fieldPosition="0">
        <references count="2">
          <reference field="4294967294" count="1" selected="0">
            <x v="0"/>
          </reference>
          <reference field="4" count="1" selected="0">
            <x v="8"/>
          </reference>
        </references>
      </pivotArea>
    </chartFormat>
    <chartFormat chart="3" format="33" series="1">
      <pivotArea type="data" outline="0" fieldPosition="0">
        <references count="2">
          <reference field="4294967294" count="1" selected="0">
            <x v="0"/>
          </reference>
          <reference field="4" count="1" selected="0">
            <x v="9"/>
          </reference>
        </references>
      </pivotArea>
    </chartFormat>
    <chartFormat chart="3" format="34" series="1">
      <pivotArea type="data" outline="0" fieldPosition="0">
        <references count="2">
          <reference field="4294967294" count="1" selected="0">
            <x v="0"/>
          </reference>
          <reference field="4" count="1" selected="0">
            <x v="10"/>
          </reference>
        </references>
      </pivotArea>
    </chartFormat>
    <chartFormat chart="3" format="35" series="1">
      <pivotArea type="data" outline="0" fieldPosition="0">
        <references count="2">
          <reference field="4294967294" count="1" selected="0">
            <x v="0"/>
          </reference>
          <reference field="4" count="1" selected="0">
            <x v="11"/>
          </reference>
        </references>
      </pivotArea>
    </chartFormat>
    <chartFormat chart="3" format="36" series="1">
      <pivotArea type="data" outline="0" fieldPosition="0">
        <references count="2">
          <reference field="4294967294" count="1" selected="0">
            <x v="0"/>
          </reference>
          <reference field="4" count="1" selected="0">
            <x v="12"/>
          </reference>
        </references>
      </pivotArea>
    </chartFormat>
    <chartFormat chart="3" format="37" series="1">
      <pivotArea type="data" outline="0" fieldPosition="0">
        <references count="2">
          <reference field="4294967294" count="1" selected="0">
            <x v="0"/>
          </reference>
          <reference field="4" count="1" selected="0">
            <x v="13"/>
          </reference>
        </references>
      </pivotArea>
    </chartFormat>
    <chartFormat chart="3" format="38" series="1">
      <pivotArea type="data" outline="0" fieldPosition="0">
        <references count="2">
          <reference field="4294967294" count="1" selected="0">
            <x v="0"/>
          </reference>
          <reference field="4" count="1" selected="0">
            <x v="14"/>
          </reference>
        </references>
      </pivotArea>
    </chartFormat>
    <chartFormat chart="3" format="39" series="1">
      <pivotArea type="data" outline="0" fieldPosition="0">
        <references count="2">
          <reference field="4294967294" count="1" selected="0">
            <x v="0"/>
          </reference>
          <reference field="4" count="1" selected="0">
            <x v="15"/>
          </reference>
        </references>
      </pivotArea>
    </chartFormat>
    <chartFormat chart="3" format="40" series="1">
      <pivotArea type="data" outline="0" fieldPosition="0">
        <references count="2">
          <reference field="4294967294" count="1" selected="0">
            <x v="0"/>
          </reference>
          <reference field="4" count="1" selected="0">
            <x v="3"/>
          </reference>
        </references>
      </pivotArea>
    </chartFormat>
    <chartFormat chart="3" format="41" series="1">
      <pivotArea type="data" outline="0" fieldPosition="0">
        <references count="2">
          <reference field="4294967294" count="1" selected="0">
            <x v="0"/>
          </reference>
          <reference field="4" count="1" selected="0">
            <x v="16"/>
          </reference>
        </references>
      </pivotArea>
    </chartFormat>
    <chartFormat chart="3" format="42" series="1">
      <pivotArea type="data" outline="0" fieldPosition="0">
        <references count="2">
          <reference field="4294967294" count="1" selected="0">
            <x v="0"/>
          </reference>
          <reference field="4" count="1" selected="0">
            <x v="17"/>
          </reference>
        </references>
      </pivotArea>
    </chartFormat>
    <chartFormat chart="3" format="43" series="1">
      <pivotArea type="data" outline="0" fieldPosition="0">
        <references count="2">
          <reference field="4294967294" count="1" selected="0">
            <x v="0"/>
          </reference>
          <reference field="4" count="1" selected="0">
            <x v="18"/>
          </reference>
        </references>
      </pivotArea>
    </chartFormat>
    <chartFormat chart="3" format="44" series="1">
      <pivotArea type="data" outline="0" fieldPosition="0">
        <references count="2">
          <reference field="4294967294" count="1" selected="0">
            <x v="0"/>
          </reference>
          <reference field="4"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54DE73-70FD-4146-82F6-1B34C2A14531}" name="TablaDinámica1"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IENTE/OC" colHeaderCaption="PROGRAMA MÊS">
  <location ref="A4:I21" firstHeaderRow="1" firstDataRow="2" firstDataCol="1"/>
  <pivotFields count="24">
    <pivotField showAll="0"/>
    <pivotField axis="axisRow" showAll="0">
      <items count="30">
        <item sd="0" x="14"/>
        <item sd="0" x="17"/>
        <item sd="0" x="7"/>
        <item m="1" x="23"/>
        <item sd="0" x="3"/>
        <item sd="0" x="10"/>
        <item sd="0" x="12"/>
        <item sd="0" x="4"/>
        <item m="1" x="26"/>
        <item sd="0" x="15"/>
        <item m="1" x="24"/>
        <item sd="0" x="18"/>
        <item sd="0" x="6"/>
        <item sd="0" m="1" x="27"/>
        <item sd="0" x="13"/>
        <item sd="0" x="9"/>
        <item sd="0" x="8"/>
        <item m="1" x="22"/>
        <item sd="0" x="2"/>
        <item m="1" x="28"/>
        <item sd="0" x="0"/>
        <item sd="0" x="16"/>
        <item m="1" x="25"/>
        <item sd="0" x="1"/>
        <item sd="0" x="11"/>
        <item sd="0" x="5"/>
        <item h="1" x="21"/>
        <item sd="0" x="19"/>
        <item sd="0" x="20"/>
        <item t="default"/>
      </items>
    </pivotField>
    <pivotField showAll="0"/>
    <pivotField numFmtId="14" showAll="0">
      <items count="96">
        <item x="0"/>
        <item x="9"/>
        <item x="4"/>
        <item x="1"/>
        <item x="2"/>
        <item x="3"/>
        <item x="5"/>
        <item x="6"/>
        <item x="7"/>
        <item x="8"/>
        <item x="10"/>
        <item x="11"/>
        <item x="12"/>
        <item x="13"/>
        <item x="14"/>
        <item x="15"/>
        <item x="16"/>
        <item x="17"/>
        <item x="18"/>
        <item x="19"/>
        <item x="20"/>
        <item x="21"/>
        <item x="22"/>
        <item x="23"/>
        <item x="24"/>
        <item x="27"/>
        <item x="25"/>
        <item x="26"/>
        <item x="28"/>
        <item x="29"/>
        <item x="30"/>
        <item x="31"/>
        <item x="32"/>
        <item x="33"/>
        <item x="34"/>
        <item x="35"/>
        <item x="36"/>
        <item x="37"/>
        <item x="38"/>
        <item x="39"/>
        <item x="40"/>
        <item x="41"/>
        <item x="42"/>
        <item x="43"/>
        <item x="44"/>
        <item x="46"/>
        <item x="47"/>
        <item x="48"/>
        <item x="49"/>
        <item x="50"/>
        <item x="51"/>
        <item x="54"/>
        <item x="55"/>
        <item x="56"/>
        <item x="52"/>
        <item x="57"/>
        <item x="53"/>
        <item x="58"/>
        <item x="59"/>
        <item x="60"/>
        <item x="61"/>
        <item x="62"/>
        <item x="63"/>
        <item x="64"/>
        <item x="65"/>
        <item x="66"/>
        <item x="67"/>
        <item x="68"/>
        <item x="69"/>
        <item x="70"/>
        <item x="71"/>
        <item x="78"/>
        <item x="72"/>
        <item x="73"/>
        <item x="74"/>
        <item x="75"/>
        <item x="76"/>
        <item x="77"/>
        <item x="79"/>
        <item x="80"/>
        <item x="81"/>
        <item x="82"/>
        <item x="83"/>
        <item x="84"/>
        <item x="85"/>
        <item x="86"/>
        <item x="88"/>
        <item x="87"/>
        <item x="90"/>
        <item x="89"/>
        <item x="91"/>
        <item x="92"/>
        <item x="45"/>
        <item x="94"/>
        <item x="93"/>
        <item t="default"/>
      </items>
    </pivotField>
    <pivotField axis="axisCol" showAll="0">
      <items count="21">
        <item x="9"/>
        <item x="10"/>
        <item x="11"/>
        <item x="12"/>
        <item x="13"/>
        <item x="14"/>
        <item h="1" x="6"/>
        <item h="1" x="5"/>
        <item h="1" x="0"/>
        <item h="1" x="1"/>
        <item h="1" x="2"/>
        <item h="1" x="3"/>
        <item h="1" x="4"/>
        <item h="1" x="7"/>
        <item h="1" x="8"/>
        <item h="1" x="19"/>
        <item x="15"/>
        <item h="1" x="16"/>
        <item h="1" x="17"/>
        <item h="1" x="18"/>
        <item t="default"/>
      </items>
    </pivotField>
    <pivotField showAll="0"/>
    <pivotField showAll="0"/>
    <pivotField showAll="0"/>
    <pivotField showAll="0"/>
    <pivotField showAll="0"/>
    <pivotField dataField="1" numFmtId="3" showAll="0"/>
    <pivotField showAll="0"/>
    <pivotField showAll="0"/>
    <pivotField showAll="0"/>
    <pivotField showAll="0"/>
    <pivotField showAll="0"/>
    <pivotField showAll="0"/>
    <pivotField showAll="0"/>
    <pivotField axis="axisRow" showAll="0" countASubtotal="1">
      <items count="15">
        <item x="1"/>
        <item x="5"/>
        <item x="6"/>
        <item x="2"/>
        <item x="8"/>
        <item x="7"/>
        <item x="3"/>
        <item x="9"/>
        <item x="10"/>
        <item x="0"/>
        <item x="4"/>
        <item x="11"/>
        <item x="12"/>
        <item x="13"/>
        <item t="countA"/>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
    <field x="18"/>
  </rowFields>
  <rowItems count="16">
    <i>
      <x/>
    </i>
    <i>
      <x v="1"/>
    </i>
    <i>
      <x v="2"/>
    </i>
    <i>
      <x v="4"/>
    </i>
    <i>
      <x v="5"/>
    </i>
    <i>
      <x v="11"/>
    </i>
    <i>
      <x v="14"/>
    </i>
    <i>
      <x v="16"/>
    </i>
    <i>
      <x v="18"/>
    </i>
    <i>
      <x v="20"/>
    </i>
    <i>
      <x v="21"/>
    </i>
    <i>
      <x v="23"/>
    </i>
    <i>
      <x v="24"/>
    </i>
    <i>
      <x v="27"/>
    </i>
    <i>
      <x v="28"/>
    </i>
    <i t="grand">
      <x/>
    </i>
  </rowItems>
  <colFields count="1">
    <field x="4"/>
  </colFields>
  <colItems count="8">
    <i>
      <x/>
    </i>
    <i>
      <x v="1"/>
    </i>
    <i>
      <x v="2"/>
    </i>
    <i>
      <x v="3"/>
    </i>
    <i>
      <x v="4"/>
    </i>
    <i>
      <x v="5"/>
    </i>
    <i>
      <x v="16"/>
    </i>
    <i t="grand">
      <x/>
    </i>
  </colItems>
  <dataFields count="1">
    <dataField name="Suma de MT/YD" fld="10" baseField="0" baseItem="0" numFmtId="3"/>
  </dataFields>
  <formats count="3">
    <format dxfId="26">
      <pivotArea dataOnly="0" labelOnly="1" fieldPosition="0">
        <references count="1">
          <reference field="18" count="0"/>
        </references>
      </pivotArea>
    </format>
    <format dxfId="25">
      <pivotArea dataOnly="0" outline="0" fieldPosition="0">
        <references count="1">
          <reference field="4" count="0"/>
        </references>
      </pivotArea>
    </format>
    <format dxfId="24">
      <pivotArea collapsedLevelsAreSubtotals="1" fieldPosition="0">
        <references count="2">
          <reference field="1" count="1">
            <x v="24"/>
          </reference>
          <reference field="4" count="1" selected="0">
            <x v="1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296C53-A070-4276-A6B7-643209B923E2}" name="TablaDinámica5"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OD. SKU" colHeaderCaption="PROG. MÊS">
  <location ref="A7:B481" firstHeaderRow="1" firstDataRow="1" firstDataCol="1" rowPageCount="2" colPageCount="1"/>
  <pivotFields count="24">
    <pivotField showAll="0"/>
    <pivotField axis="axisPage" multipleItemSelectionAllowed="1" showAll="0">
      <items count="30">
        <item x="14"/>
        <item x="17"/>
        <item x="7"/>
        <item m="1" x="23"/>
        <item x="10"/>
        <item x="12"/>
        <item x="4"/>
        <item x="15"/>
        <item m="1" x="24"/>
        <item x="18"/>
        <item x="6"/>
        <item m="1" x="27"/>
        <item x="13"/>
        <item x="9"/>
        <item x="8"/>
        <item m="1" x="22"/>
        <item x="2"/>
        <item m="1" x="28"/>
        <item x="0"/>
        <item x="16"/>
        <item m="1" x="25"/>
        <item x="1"/>
        <item x="11"/>
        <item x="5"/>
        <item x="21"/>
        <item x="3"/>
        <item m="1" x="26"/>
        <item x="19"/>
        <item x="20"/>
        <item t="default"/>
      </items>
    </pivotField>
    <pivotField showAll="0"/>
    <pivotField multipleItemSelectionAllowed="1" showAll="0">
      <items count="96">
        <item x="0"/>
        <item x="9"/>
        <item x="4"/>
        <item x="1"/>
        <item x="2"/>
        <item x="3"/>
        <item x="5"/>
        <item x="6"/>
        <item x="7"/>
        <item x="8"/>
        <item x="10"/>
        <item x="11"/>
        <item x="12"/>
        <item x="13"/>
        <item x="14"/>
        <item x="15"/>
        <item x="16"/>
        <item x="17"/>
        <item x="18"/>
        <item x="19"/>
        <item x="20"/>
        <item x="21"/>
        <item x="22"/>
        <item x="23"/>
        <item x="24"/>
        <item x="27"/>
        <item x="25"/>
        <item x="26"/>
        <item x="28"/>
        <item x="29"/>
        <item x="30"/>
        <item x="31"/>
        <item x="32"/>
        <item x="33"/>
        <item x="34"/>
        <item x="35"/>
        <item x="36"/>
        <item x="37"/>
        <item x="38"/>
        <item x="39"/>
        <item x="40"/>
        <item x="41"/>
        <item x="42"/>
        <item x="43"/>
        <item x="44"/>
        <item x="46"/>
        <item x="47"/>
        <item x="48"/>
        <item x="49"/>
        <item x="50"/>
        <item x="51"/>
        <item x="54"/>
        <item x="55"/>
        <item x="56"/>
        <item x="52"/>
        <item x="57"/>
        <item x="53"/>
        <item x="58"/>
        <item x="59"/>
        <item x="60"/>
        <item x="61"/>
        <item x="62"/>
        <item x="63"/>
        <item x="64"/>
        <item x="65"/>
        <item x="66"/>
        <item x="67"/>
        <item x="68"/>
        <item x="69"/>
        <item x="70"/>
        <item x="71"/>
        <item x="78"/>
        <item x="72"/>
        <item x="73"/>
        <item x="74"/>
        <item x="75"/>
        <item x="76"/>
        <item x="77"/>
        <item x="79"/>
        <item x="80"/>
        <item x="81"/>
        <item x="82"/>
        <item x="83"/>
        <item x="84"/>
        <item x="85"/>
        <item x="86"/>
        <item x="88"/>
        <item x="87"/>
        <item x="90"/>
        <item x="89"/>
        <item x="91"/>
        <item x="92"/>
        <item x="45"/>
        <item x="94"/>
        <item x="93"/>
        <item t="default"/>
      </items>
    </pivotField>
    <pivotField axis="axisPage" multipleItemSelectionAllowed="1" showAll="0">
      <items count="21">
        <item x="0"/>
        <item x="12"/>
        <item x="16"/>
        <item x="10"/>
        <item x="9"/>
        <item x="15"/>
        <item x="14"/>
        <item x="11"/>
        <item x="13"/>
        <item x="6"/>
        <item x="18"/>
        <item x="5"/>
        <item x="17"/>
        <item x="1"/>
        <item x="2"/>
        <item x="3"/>
        <item x="4"/>
        <item x="7"/>
        <item x="8"/>
        <item h="1" x="19"/>
        <item t="default"/>
      </items>
    </pivotField>
    <pivotField showAll="0"/>
    <pivotField axis="axisRow" showAll="0" sortType="ascending">
      <items count="203">
        <item x="130"/>
        <item x="143"/>
        <item x="83"/>
        <item x="51"/>
        <item x="142"/>
        <item x="141"/>
        <item x="140"/>
        <item m="1" x="197"/>
        <item m="1" x="195"/>
        <item m="1" x="196"/>
        <item x="147"/>
        <item m="1" x="199"/>
        <item m="1" x="198"/>
        <item m="1" x="200"/>
        <item x="115"/>
        <item x="113"/>
        <item x="84"/>
        <item x="129"/>
        <item x="41"/>
        <item x="73"/>
        <item x="152"/>
        <item x="85"/>
        <item m="1" x="201"/>
        <item x="106"/>
        <item x="112"/>
        <item x="92"/>
        <item x="89"/>
        <item x="168"/>
        <item x="121"/>
        <item x="68"/>
        <item x="88"/>
        <item x="77"/>
        <item x="105"/>
        <item x="96"/>
        <item x="187"/>
        <item x="81"/>
        <item x="74"/>
        <item x="87"/>
        <item x="82"/>
        <item x="148"/>
        <item x="90"/>
        <item x="76"/>
        <item x="80"/>
        <item x="137"/>
        <item x="72"/>
        <item x="65"/>
        <item x="64"/>
        <item x="66"/>
        <item x="67"/>
        <item x="86"/>
        <item x="94"/>
        <item x="91"/>
        <item x="75"/>
        <item x="99"/>
        <item x="151"/>
        <item x="70"/>
        <item x="71"/>
        <item x="123"/>
        <item x="120"/>
        <item x="119"/>
        <item x="78"/>
        <item x="114"/>
        <item x="93"/>
        <item x="100"/>
        <item x="102"/>
        <item x="104"/>
        <item x="101"/>
        <item x="103"/>
        <item x="117"/>
        <item x="116"/>
        <item x="118"/>
        <item x="149"/>
        <item x="150"/>
        <item x="107"/>
        <item x="108"/>
        <item x="109"/>
        <item x="110"/>
        <item x="111"/>
        <item x="126"/>
        <item x="131"/>
        <item x="125"/>
        <item x="124"/>
        <item x="127"/>
        <item x="128"/>
        <item x="132"/>
        <item x="133"/>
        <item x="134"/>
        <item x="135"/>
        <item x="136"/>
        <item x="138"/>
        <item x="139"/>
        <item x="153"/>
        <item x="145"/>
        <item x="144"/>
        <item x="154"/>
        <item x="171"/>
        <item x="170"/>
        <item x="155"/>
        <item x="172"/>
        <item x="146"/>
        <item x="157"/>
        <item x="158"/>
        <item x="156"/>
        <item x="160"/>
        <item x="188"/>
        <item x="159"/>
        <item x="161"/>
        <item x="180"/>
        <item x="164"/>
        <item x="165"/>
        <item x="166"/>
        <item x="167"/>
        <item x="169"/>
        <item m="1" x="194"/>
        <item x="173"/>
        <item x="162"/>
        <item x="179"/>
        <item x="186"/>
        <item x="174"/>
        <item x="175"/>
        <item x="177"/>
        <item x="178"/>
        <item x="176"/>
        <item x="181"/>
        <item x="182"/>
        <item x="184"/>
        <item x="183"/>
        <item x="185"/>
        <item x="189"/>
        <item x="190"/>
        <item x="191"/>
        <item x="192"/>
        <item x="69"/>
        <item x="27"/>
        <item x="25"/>
        <item x="3"/>
        <item x="8"/>
        <item x="15"/>
        <item x="21"/>
        <item x="38"/>
        <item x="24"/>
        <item x="33"/>
        <item x="2"/>
        <item x="163"/>
        <item x="36"/>
        <item x="16"/>
        <item x="22"/>
        <item x="32"/>
        <item x="18"/>
        <item x="26"/>
        <item x="30"/>
        <item x="35"/>
        <item x="0"/>
        <item x="29"/>
        <item x="39"/>
        <item x="63"/>
        <item x="62"/>
        <item x="57"/>
        <item x="56"/>
        <item x="55"/>
        <item x="52"/>
        <item x="53"/>
        <item x="58"/>
        <item x="54"/>
        <item x="61"/>
        <item x="60"/>
        <item x="59"/>
        <item x="50"/>
        <item x="49"/>
        <item x="48"/>
        <item x="47"/>
        <item x="97"/>
        <item x="79"/>
        <item x="95"/>
        <item x="98"/>
        <item x="19"/>
        <item x="37"/>
        <item x="10"/>
        <item x="13"/>
        <item x="5"/>
        <item x="122"/>
        <item x="42"/>
        <item x="7"/>
        <item x="17"/>
        <item x="1"/>
        <item x="23"/>
        <item x="34"/>
        <item x="9"/>
        <item x="12"/>
        <item x="14"/>
        <item x="11"/>
        <item x="40"/>
        <item x="20"/>
        <item x="31"/>
        <item x="28"/>
        <item x="43"/>
        <item x="44"/>
        <item x="45"/>
        <item x="6"/>
        <item x="4"/>
        <item x="46"/>
        <item x="193"/>
        <item t="default"/>
      </items>
    </pivotField>
    <pivotField showAll="0"/>
    <pivotField showAll="0"/>
    <pivotField axis="axisRow" showAll="0">
      <items count="337">
        <item x="137"/>
        <item x="77"/>
        <item x="134"/>
        <item x="136"/>
        <item m="1" x="276"/>
        <item x="128"/>
        <item x="129"/>
        <item x="130"/>
        <item x="126"/>
        <item x="32"/>
        <item x="54"/>
        <item x="31"/>
        <item x="161"/>
        <item x="138"/>
        <item x="139"/>
        <item x="160"/>
        <item x="166"/>
        <item x="165"/>
        <item x="34"/>
        <item x="51"/>
        <item x="50"/>
        <item x="23"/>
        <item x="49"/>
        <item x="44"/>
        <item x="41"/>
        <item x="38"/>
        <item x="39"/>
        <item x="25"/>
        <item x="46"/>
        <item x="29"/>
        <item x="30"/>
        <item x="13"/>
        <item x="8"/>
        <item x="15"/>
        <item x="9"/>
        <item x="6"/>
        <item x="154"/>
        <item x="141"/>
        <item x="157"/>
        <item x="140"/>
        <item x="148"/>
        <item x="143"/>
        <item x="142"/>
        <item x="158"/>
        <item x="145"/>
        <item x="147"/>
        <item x="146"/>
        <item x="144"/>
        <item x="149"/>
        <item x="159"/>
        <item x="156"/>
        <item x="151"/>
        <item x="162"/>
        <item x="14"/>
        <item x="21"/>
        <item x="133"/>
        <item x="135"/>
        <item x="33"/>
        <item x="45"/>
        <item x="53"/>
        <item x="152"/>
        <item x="24"/>
        <item x="18"/>
        <item x="5"/>
        <item x="19"/>
        <item x="12"/>
        <item x="163"/>
        <item x="40"/>
        <item x="36"/>
        <item x="17"/>
        <item x="169"/>
        <item x="48"/>
        <item x="42"/>
        <item x="78"/>
        <item x="2"/>
        <item x="3"/>
        <item x="1"/>
        <item x="7"/>
        <item x="35"/>
        <item x="4"/>
        <item x="155"/>
        <item x="76"/>
        <item x="81"/>
        <item x="28"/>
        <item x="37"/>
        <item x="22"/>
        <item x="205"/>
        <item x="153"/>
        <item x="80"/>
        <item x="11"/>
        <item x="52"/>
        <item x="10"/>
        <item x="43"/>
        <item x="79"/>
        <item x="0"/>
        <item x="26"/>
        <item x="16"/>
        <item x="20"/>
        <item x="150"/>
        <item x="47"/>
        <item x="132"/>
        <item x="110"/>
        <item x="122"/>
        <item x="121"/>
        <item x="83"/>
        <item x="87"/>
        <item x="118"/>
        <item x="85"/>
        <item x="123"/>
        <item x="215"/>
        <item x="114"/>
        <item x="117"/>
        <item x="113"/>
        <item x="91"/>
        <item x="90"/>
        <item x="115"/>
        <item x="124"/>
        <item x="84"/>
        <item x="82"/>
        <item x="131"/>
        <item x="120"/>
        <item x="116"/>
        <item x="119"/>
        <item x="111"/>
        <item x="88"/>
        <item x="27"/>
        <item x="168"/>
        <item x="112"/>
        <item x="92"/>
        <item x="86"/>
        <item x="73"/>
        <item x="56"/>
        <item x="93"/>
        <item x="65"/>
        <item x="102"/>
        <item x="66"/>
        <item x="103"/>
        <item x="67"/>
        <item x="104"/>
        <item x="68"/>
        <item x="105"/>
        <item x="69"/>
        <item x="106"/>
        <item x="70"/>
        <item x="107"/>
        <item x="71"/>
        <item x="108"/>
        <item x="72"/>
        <item x="109"/>
        <item x="57"/>
        <item x="94"/>
        <item x="58"/>
        <item x="95"/>
        <item x="59"/>
        <item x="96"/>
        <item x="60"/>
        <item x="97"/>
        <item x="61"/>
        <item x="98"/>
        <item x="62"/>
        <item x="99"/>
        <item x="63"/>
        <item x="100"/>
        <item x="64"/>
        <item x="101"/>
        <item x="75"/>
        <item x="74"/>
        <item x="170"/>
        <item x="164"/>
        <item x="271"/>
        <item m="1" x="324"/>
        <item x="172"/>
        <item x="173"/>
        <item m="1" x="325"/>
        <item m="1" x="306"/>
        <item x="175"/>
        <item x="176"/>
        <item m="1" x="335"/>
        <item x="178"/>
        <item x="179"/>
        <item x="171"/>
        <item x="174"/>
        <item x="180"/>
        <item m="1" x="328"/>
        <item x="182"/>
        <item x="183"/>
        <item x="89"/>
        <item x="181"/>
        <item m="1" x="329"/>
        <item m="1" x="332"/>
        <item m="1" x="333"/>
        <item m="1" x="330"/>
        <item m="1" x="317"/>
        <item m="1" x="323"/>
        <item m="1" x="331"/>
        <item m="1" x="318"/>
        <item m="1" x="320"/>
        <item m="1" x="322"/>
        <item m="1" x="307"/>
        <item m="1" x="314"/>
        <item m="1" x="315"/>
        <item m="1" x="316"/>
        <item m="1" x="308"/>
        <item m="1" x="309"/>
        <item m="1" x="310"/>
        <item x="184"/>
        <item x="185"/>
        <item x="186"/>
        <item x="187"/>
        <item x="188"/>
        <item x="189"/>
        <item x="190"/>
        <item x="191"/>
        <item x="192"/>
        <item x="193"/>
        <item x="194"/>
        <item x="195"/>
        <item x="196"/>
        <item x="197"/>
        <item x="198"/>
        <item x="199"/>
        <item x="200"/>
        <item m="1" x="327"/>
        <item m="1" x="305"/>
        <item m="1" x="319"/>
        <item x="204"/>
        <item x="207"/>
        <item x="208"/>
        <item x="209"/>
        <item x="210"/>
        <item x="211"/>
        <item x="212"/>
        <item x="213"/>
        <item m="1" x="334"/>
        <item m="1" x="311"/>
        <item x="217"/>
        <item x="218"/>
        <item x="214"/>
        <item x="216"/>
        <item x="219"/>
        <item x="177"/>
        <item x="206"/>
        <item m="1" x="313"/>
        <item x="220"/>
        <item m="1" x="321"/>
        <item x="167"/>
        <item x="221"/>
        <item m="1" x="304"/>
        <item x="202"/>
        <item x="203"/>
        <item m="1" x="326"/>
        <item x="223"/>
        <item m="1" x="312"/>
        <item x="225"/>
        <item x="226"/>
        <item x="222"/>
        <item x="224"/>
        <item x="227"/>
        <item x="201"/>
        <item m="1" x="301"/>
        <item m="1" x="302"/>
        <item m="1" x="303"/>
        <item m="1" x="298"/>
        <item m="1" x="299"/>
        <item m="1" x="300"/>
        <item m="1" x="277"/>
        <item m="1" x="278"/>
        <item m="1" x="279"/>
        <item x="55"/>
        <item m="1" x="290"/>
        <item x="232"/>
        <item m="1" x="291"/>
        <item x="235"/>
        <item x="236"/>
        <item x="237"/>
        <item x="238"/>
        <item x="239"/>
        <item x="240"/>
        <item x="241"/>
        <item x="242"/>
        <item x="243"/>
        <item x="244"/>
        <item x="245"/>
        <item x="246"/>
        <item x="247"/>
        <item m="1" x="292"/>
        <item m="1" x="293"/>
        <item m="1" x="294"/>
        <item m="1" x="295"/>
        <item m="1" x="296"/>
        <item m="1" x="297"/>
        <item x="248"/>
        <item x="249"/>
        <item x="250"/>
        <item x="251"/>
        <item x="252"/>
        <item x="253"/>
        <item m="1" x="288"/>
        <item m="1" x="289"/>
        <item x="125"/>
        <item m="1" x="285"/>
        <item m="1" x="286"/>
        <item m="1" x="287"/>
        <item x="231"/>
        <item x="233"/>
        <item x="234"/>
        <item x="254"/>
        <item x="255"/>
        <item x="256"/>
        <item x="127"/>
        <item x="257"/>
        <item x="258"/>
        <item x="259"/>
        <item x="260"/>
        <item x="261"/>
        <item m="1" x="283"/>
        <item m="1" x="284"/>
        <item x="263"/>
        <item m="1" x="281"/>
        <item x="265"/>
        <item m="1" x="282"/>
        <item x="262"/>
        <item x="266"/>
        <item m="1" x="280"/>
        <item m="1" x="275"/>
        <item x="228"/>
        <item x="229"/>
        <item x="230"/>
        <item x="264"/>
        <item x="267"/>
        <item m="1" x="272"/>
        <item m="1" x="273"/>
        <item m="1" x="274"/>
        <item x="268"/>
        <item x="269"/>
        <item x="270"/>
        <item t="default"/>
      </items>
    </pivotField>
    <pivotField dataField="1" numFmtId="3"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6"/>
    <field x="9"/>
  </rowFields>
  <rowItems count="474">
    <i>
      <x/>
    </i>
    <i r="1">
      <x v="171"/>
    </i>
    <i>
      <x v="1"/>
    </i>
    <i r="1">
      <x v="221"/>
    </i>
    <i>
      <x v="2"/>
    </i>
    <i r="1">
      <x v="158"/>
    </i>
    <i r="1">
      <x v="210"/>
    </i>
    <i>
      <x v="3"/>
    </i>
    <i r="1">
      <x v="155"/>
    </i>
    <i r="1">
      <x v="156"/>
    </i>
    <i r="1">
      <x v="209"/>
    </i>
    <i>
      <x v="4"/>
    </i>
    <i r="1">
      <x v="207"/>
    </i>
    <i>
      <x v="5"/>
    </i>
    <i r="1">
      <x v="206"/>
    </i>
    <i>
      <x v="6"/>
    </i>
    <i r="1">
      <x v="205"/>
    </i>
    <i>
      <x v="10"/>
    </i>
    <i r="1">
      <x v="225"/>
    </i>
    <i>
      <x v="14"/>
    </i>
    <i r="1">
      <x v="36"/>
    </i>
    <i>
      <x v="15"/>
    </i>
    <i r="1">
      <x v="60"/>
    </i>
    <i>
      <x v="16"/>
    </i>
    <i r="1">
      <x v="21"/>
    </i>
    <i>
      <x v="17"/>
    </i>
    <i r="1">
      <x v="180"/>
    </i>
    <i>
      <x v="18"/>
    </i>
    <i r="1">
      <x v="99"/>
    </i>
    <i r="1">
      <x v="307"/>
    </i>
    <i>
      <x v="19"/>
    </i>
    <i r="1">
      <x v="104"/>
    </i>
    <i r="1">
      <x v="254"/>
    </i>
    <i>
      <x v="20"/>
    </i>
    <i r="1">
      <x v="108"/>
    </i>
    <i>
      <x v="21"/>
    </i>
    <i r="1">
      <x v="51"/>
    </i>
    <i r="1">
      <x v="101"/>
    </i>
    <i>
      <x v="23"/>
    </i>
    <i r="1">
      <x v="100"/>
    </i>
    <i>
      <x v="24"/>
    </i>
    <i r="1">
      <x v="40"/>
    </i>
    <i r="1">
      <x v="229"/>
    </i>
    <i>
      <x v="25"/>
    </i>
    <i r="1">
      <x v="13"/>
    </i>
    <i r="1">
      <x v="111"/>
    </i>
    <i>
      <x v="26"/>
    </i>
    <i r="1">
      <x v="41"/>
    </i>
    <i r="1">
      <x v="110"/>
    </i>
    <i r="1">
      <x v="231"/>
    </i>
    <i>
      <x v="27"/>
    </i>
    <i r="1">
      <x v="278"/>
    </i>
    <i>
      <x v="28"/>
    </i>
    <i r="1">
      <x v="12"/>
    </i>
    <i>
      <x v="29"/>
    </i>
    <i r="1">
      <x v="81"/>
    </i>
    <i r="1">
      <x v="82"/>
    </i>
    <i r="1">
      <x v="126"/>
    </i>
    <i r="1">
      <x v="273"/>
    </i>
    <i>
      <x v="30"/>
    </i>
    <i r="1">
      <x v="42"/>
    </i>
    <i r="1">
      <x v="112"/>
    </i>
    <i r="1">
      <x v="230"/>
    </i>
    <i r="1">
      <x v="310"/>
    </i>
    <i>
      <x v="31"/>
    </i>
    <i r="1">
      <x v="105"/>
    </i>
    <i r="1">
      <x v="108"/>
    </i>
    <i r="1">
      <x v="235"/>
    </i>
    <i>
      <x v="32"/>
    </i>
    <i r="1">
      <x v="43"/>
    </i>
    <i r="1">
      <x v="46"/>
    </i>
    <i r="1">
      <x v="119"/>
    </i>
    <i r="1">
      <x v="184"/>
    </i>
    <i>
      <x v="33"/>
    </i>
    <i r="1">
      <x v="37"/>
    </i>
    <i r="1">
      <x v="103"/>
    </i>
    <i>
      <x v="34"/>
    </i>
    <i r="1">
      <x v="328"/>
    </i>
    <i>
      <x v="35"/>
    </i>
    <i r="1">
      <x v="113"/>
    </i>
    <i>
      <x v="36"/>
    </i>
    <i r="1">
      <x v="45"/>
    </i>
    <i r="1">
      <x v="117"/>
    </i>
    <i r="1">
      <x v="236"/>
    </i>
    <i>
      <x v="37"/>
    </i>
    <i r="1">
      <x v="127"/>
    </i>
    <i r="1">
      <x v="241"/>
    </i>
    <i>
      <x v="38"/>
    </i>
    <i r="1">
      <x v="128"/>
    </i>
    <i r="1">
      <x v="240"/>
    </i>
    <i r="1">
      <x v="256"/>
    </i>
    <i>
      <x v="39"/>
    </i>
    <i r="1">
      <x v="228"/>
    </i>
    <i>
      <x v="40"/>
    </i>
    <i r="1">
      <x v="44"/>
    </i>
    <i r="1">
      <x v="115"/>
    </i>
    <i>
      <x v="41"/>
    </i>
    <i r="1">
      <x v="98"/>
    </i>
    <i r="1">
      <x v="129"/>
    </i>
    <i r="1">
      <x v="227"/>
    </i>
    <i r="1">
      <x v="253"/>
    </i>
    <i>
      <x v="42"/>
    </i>
    <i r="1">
      <x v="114"/>
    </i>
    <i>
      <x v="43"/>
    </i>
    <i r="1">
      <x v="178"/>
    </i>
    <i>
      <x v="44"/>
    </i>
    <i r="1">
      <x v="118"/>
    </i>
    <i>
      <x v="45"/>
    </i>
    <i r="1">
      <x v="149"/>
    </i>
    <i>
      <x v="46"/>
    </i>
    <i r="1">
      <x v="130"/>
    </i>
    <i>
      <x v="47"/>
    </i>
    <i r="1">
      <x v="166"/>
    </i>
    <i>
      <x v="48"/>
    </i>
    <i r="1">
      <x v="165"/>
    </i>
    <i>
      <x v="49"/>
    </i>
    <i r="1">
      <x v="48"/>
    </i>
    <i r="1">
      <x v="123"/>
    </i>
    <i>
      <x v="50"/>
    </i>
    <i r="1">
      <x v="14"/>
    </i>
    <i r="1">
      <x v="122"/>
    </i>
    <i>
      <x v="51"/>
    </i>
    <i r="1">
      <x v="47"/>
    </i>
    <i r="1">
      <x v="121"/>
    </i>
    <i r="1">
      <x v="232"/>
    </i>
    <i r="1">
      <x v="239"/>
    </i>
    <i>
      <x v="52"/>
    </i>
    <i r="1">
      <x v="107"/>
    </i>
    <i r="1">
      <x v="226"/>
    </i>
    <i r="1">
      <x v="251"/>
    </i>
    <i>
      <x v="53"/>
    </i>
    <i r="1">
      <x v="1"/>
    </i>
    <i>
      <x v="54"/>
    </i>
    <i r="1">
      <x v="238"/>
    </i>
    <i>
      <x v="55"/>
    </i>
    <i r="1">
      <x v="93"/>
    </i>
    <i r="1">
      <x v="299"/>
    </i>
    <i>
      <x v="56"/>
    </i>
    <i r="1">
      <x v="88"/>
    </i>
    <i>
      <x v="57"/>
    </i>
    <i r="1">
      <x v="66"/>
    </i>
    <i>
      <x v="58"/>
    </i>
    <i r="1">
      <x v="15"/>
    </i>
    <i>
      <x v="59"/>
    </i>
    <i r="1">
      <x v="49"/>
    </i>
    <i r="1">
      <x v="185"/>
    </i>
    <i>
      <x v="60"/>
    </i>
    <i r="1">
      <x v="124"/>
    </i>
    <i r="1">
      <x v="179"/>
    </i>
    <i r="1">
      <x v="255"/>
    </i>
    <i>
      <x v="61"/>
    </i>
    <i r="1">
      <x v="86"/>
    </i>
    <i r="1">
      <x v="87"/>
    </i>
    <i r="1">
      <x v="168"/>
    </i>
    <i>
      <x v="62"/>
    </i>
    <i r="1">
      <x v="39"/>
    </i>
    <i r="1">
      <x v="106"/>
    </i>
    <i>
      <x v="63"/>
    </i>
    <i r="1">
      <x v="8"/>
    </i>
    <i>
      <x v="64"/>
    </i>
    <i r="1">
      <x v="5"/>
    </i>
    <i>
      <x v="65"/>
    </i>
    <i r="1">
      <x v="7"/>
    </i>
    <i r="1">
      <x v="8"/>
    </i>
    <i>
      <x v="66"/>
    </i>
    <i r="1">
      <x v="309"/>
    </i>
    <i>
      <x v="67"/>
    </i>
    <i r="1">
      <x v="6"/>
    </i>
    <i>
      <x v="68"/>
    </i>
    <i r="1">
      <x v="50"/>
    </i>
    <i>
      <x v="69"/>
    </i>
    <i r="1">
      <x v="80"/>
    </i>
    <i>
      <x v="70"/>
    </i>
    <i r="1">
      <x v="38"/>
    </i>
    <i r="1">
      <x v="245"/>
    </i>
    <i>
      <x v="71"/>
    </i>
    <i r="1">
      <x v="237"/>
    </i>
    <i>
      <x v="72"/>
    </i>
    <i r="1">
      <x v="109"/>
    </i>
    <i>
      <x v="73"/>
    </i>
    <i r="1">
      <x v="55"/>
    </i>
    <i>
      <x v="74"/>
    </i>
    <i r="1">
      <x v="2"/>
    </i>
    <i>
      <x v="75"/>
    </i>
    <i r="1">
      <x v="56"/>
    </i>
    <i>
      <x v="76"/>
    </i>
    <i r="1">
      <x v="3"/>
    </i>
    <i>
      <x v="77"/>
    </i>
    <i r="1">
      <x/>
    </i>
    <i>
      <x v="78"/>
    </i>
    <i r="1">
      <x v="70"/>
    </i>
    <i>
      <x v="79"/>
    </i>
    <i r="1">
      <x v="172"/>
    </i>
    <i>
      <x v="80"/>
    </i>
    <i r="1">
      <x v="16"/>
    </i>
    <i>
      <x v="81"/>
    </i>
    <i r="1">
      <x v="17"/>
    </i>
    <i>
      <x v="82"/>
    </i>
    <i r="1">
      <x v="167"/>
    </i>
    <i>
      <x v="83"/>
    </i>
    <i r="1">
      <x v="87"/>
    </i>
    <i>
      <x v="84"/>
    </i>
    <i r="1">
      <x v="181"/>
    </i>
    <i>
      <x v="85"/>
    </i>
    <i r="1">
      <x v="175"/>
    </i>
    <i>
      <x v="86"/>
    </i>
    <i r="1">
      <x v="175"/>
    </i>
    <i>
      <x v="87"/>
    </i>
    <i r="1">
      <x v="175"/>
    </i>
    <i>
      <x v="88"/>
    </i>
    <i r="1">
      <x v="176"/>
    </i>
    <i>
      <x v="89"/>
    </i>
    <i r="1">
      <x v="182"/>
    </i>
    <i>
      <x v="90"/>
    </i>
    <i r="1">
      <x v="187"/>
    </i>
    <i>
      <x v="91"/>
    </i>
    <i r="1">
      <x v="243"/>
    </i>
    <i>
      <x v="92"/>
    </i>
    <i r="1">
      <x v="248"/>
    </i>
    <i>
      <x v="93"/>
    </i>
    <i r="1">
      <x v="258"/>
    </i>
    <i>
      <x v="94"/>
    </i>
    <i r="1">
      <x v="246"/>
    </i>
    <i>
      <x v="95"/>
    </i>
    <i r="1">
      <x v="281"/>
    </i>
    <i>
      <x v="96"/>
    </i>
    <i r="1">
      <x v="280"/>
    </i>
    <i r="1">
      <x v="311"/>
    </i>
    <i>
      <x v="97"/>
    </i>
    <i r="1">
      <x v="257"/>
    </i>
    <i>
      <x v="98"/>
    </i>
    <i r="1">
      <x v="283"/>
    </i>
    <i>
      <x v="99"/>
    </i>
    <i r="1">
      <x v="249"/>
    </i>
    <i>
      <x v="100"/>
    </i>
    <i r="1">
      <x v="326"/>
    </i>
    <i>
      <x v="101"/>
    </i>
    <i r="1">
      <x v="327"/>
    </i>
    <i>
      <x v="102"/>
    </i>
    <i r="1">
      <x v="325"/>
    </i>
    <i>
      <x v="103"/>
    </i>
    <i r="1">
      <x v="270"/>
    </i>
    <i>
      <x v="104"/>
    </i>
    <i r="1">
      <x v="322"/>
    </i>
    <i>
      <x v="105"/>
    </i>
    <i r="1">
      <x v="303"/>
    </i>
    <i>
      <x v="106"/>
    </i>
    <i r="1">
      <x v="304"/>
    </i>
    <i>
      <x v="107"/>
    </i>
    <i r="1">
      <x v="306"/>
    </i>
    <i>
      <x v="108"/>
    </i>
    <i r="1">
      <x v="274"/>
    </i>
    <i>
      <x v="109"/>
    </i>
    <i r="1">
      <x v="275"/>
    </i>
    <i>
      <x v="110"/>
    </i>
    <i r="1">
      <x v="276"/>
    </i>
    <i>
      <x v="111"/>
    </i>
    <i r="1">
      <x v="277"/>
    </i>
    <i>
      <x v="112"/>
    </i>
    <i r="1">
      <x v="279"/>
    </i>
    <i r="1">
      <x v="282"/>
    </i>
    <i>
      <x v="114"/>
    </i>
    <i r="1">
      <x v="284"/>
    </i>
    <i>
      <x v="115"/>
    </i>
    <i r="1">
      <x v="305"/>
    </i>
    <i>
      <x v="116"/>
    </i>
    <i r="1">
      <x v="296"/>
    </i>
    <i>
      <x v="117"/>
    </i>
    <i r="1">
      <x v="317"/>
    </i>
    <i>
      <x v="118"/>
    </i>
    <i r="1">
      <x v="291"/>
    </i>
    <i r="1">
      <x v="319"/>
    </i>
    <i>
      <x v="119"/>
    </i>
    <i r="1">
      <x v="291"/>
    </i>
    <i r="1">
      <x v="292"/>
    </i>
    <i>
      <x v="120"/>
    </i>
    <i r="1">
      <x v="294"/>
    </i>
    <i>
      <x v="121"/>
    </i>
    <i r="1">
      <x v="295"/>
    </i>
    <i>
      <x v="122"/>
    </i>
    <i r="1">
      <x v="293"/>
    </i>
    <i>
      <x v="123"/>
    </i>
    <i r="1">
      <x v="308"/>
    </i>
    <i>
      <x v="124"/>
    </i>
    <i r="1">
      <x v="312"/>
    </i>
    <i>
      <x v="125"/>
    </i>
    <i r="1">
      <x v="314"/>
    </i>
    <i>
      <x v="126"/>
    </i>
    <i r="1">
      <x v="313"/>
    </i>
    <i>
      <x v="127"/>
    </i>
    <i r="1">
      <x v="321"/>
    </i>
    <i>
      <x v="128"/>
    </i>
    <i r="1">
      <x v="329"/>
    </i>
    <i>
      <x v="129"/>
    </i>
    <i r="1">
      <x v="333"/>
    </i>
    <i>
      <x v="130"/>
    </i>
    <i r="1">
      <x v="334"/>
    </i>
    <i>
      <x v="131"/>
    </i>
    <i r="1">
      <x v="335"/>
    </i>
    <i>
      <x v="132"/>
    </i>
    <i r="1">
      <x v="1"/>
    </i>
    <i>
      <x v="133"/>
    </i>
    <i r="1">
      <x v="11"/>
    </i>
    <i>
      <x v="134"/>
    </i>
    <i r="1">
      <x v="29"/>
    </i>
    <i>
      <x v="135"/>
    </i>
    <i r="1">
      <x v="75"/>
    </i>
    <i>
      <x v="136"/>
    </i>
    <i r="1">
      <x v="24"/>
    </i>
    <i r="1">
      <x v="32"/>
    </i>
    <i>
      <x v="137"/>
    </i>
    <i r="1">
      <x v="33"/>
    </i>
    <i>
      <x v="138"/>
    </i>
    <i r="1">
      <x v="27"/>
    </i>
    <i>
      <x v="139"/>
    </i>
    <i r="1">
      <x v="23"/>
    </i>
    <i>
      <x v="140"/>
    </i>
    <i r="1">
      <x v="83"/>
    </i>
    <i>
      <x v="141"/>
    </i>
    <i r="1">
      <x v="25"/>
    </i>
    <i>
      <x v="142"/>
    </i>
    <i r="1">
      <x v="74"/>
    </i>
    <i r="1">
      <x v="268"/>
    </i>
    <i>
      <x v="143"/>
    </i>
    <i r="1">
      <x v="272"/>
    </i>
    <i>
      <x v="144"/>
    </i>
    <i r="1">
      <x v="72"/>
    </i>
    <i r="1">
      <x v="73"/>
    </i>
    <i>
      <x v="145"/>
    </i>
    <i r="1">
      <x v="96"/>
    </i>
    <i>
      <x v="146"/>
    </i>
    <i r="1">
      <x v="95"/>
    </i>
    <i>
      <x v="147"/>
    </i>
    <i r="1">
      <x v="84"/>
    </i>
    <i>
      <x v="148"/>
    </i>
    <i r="1">
      <x v="64"/>
    </i>
    <i>
      <x v="149"/>
    </i>
    <i r="1">
      <x v="30"/>
    </i>
    <i>
      <x v="150"/>
    </i>
    <i r="1">
      <x v="18"/>
    </i>
    <i>
      <x v="151"/>
    </i>
    <i r="1">
      <x v="67"/>
    </i>
    <i>
      <x v="152"/>
    </i>
    <i r="1">
      <x v="94"/>
    </i>
    <i r="1">
      <x v="97"/>
    </i>
    <i>
      <x v="153"/>
    </i>
    <i r="1">
      <x v="57"/>
    </i>
    <i>
      <x v="154"/>
    </i>
    <i r="1">
      <x v="58"/>
    </i>
    <i>
      <x v="155"/>
    </i>
    <i r="1">
      <x v="147"/>
    </i>
    <i r="1">
      <x v="148"/>
    </i>
    <i>
      <x v="156"/>
    </i>
    <i r="1">
      <x v="145"/>
    </i>
    <i r="1">
      <x v="146"/>
    </i>
    <i r="1">
      <x v="220"/>
    </i>
    <i>
      <x v="157"/>
    </i>
    <i r="1">
      <x v="135"/>
    </i>
    <i r="1">
      <x v="136"/>
    </i>
    <i r="1">
      <x v="215"/>
    </i>
    <i>
      <x v="158"/>
    </i>
    <i r="1">
      <x v="133"/>
    </i>
    <i r="1">
      <x v="134"/>
    </i>
    <i r="1">
      <x v="214"/>
    </i>
    <i>
      <x v="159"/>
    </i>
    <i r="1">
      <x v="163"/>
    </i>
    <i r="1">
      <x v="164"/>
    </i>
    <i r="1">
      <x v="213"/>
    </i>
    <i>
      <x v="160"/>
    </i>
    <i r="1">
      <x v="157"/>
    </i>
    <i>
      <x v="161"/>
    </i>
    <i r="1">
      <x v="159"/>
    </i>
    <i r="1">
      <x v="160"/>
    </i>
    <i r="1">
      <x v="211"/>
    </i>
    <i>
      <x v="162"/>
    </i>
    <i r="1">
      <x v="137"/>
    </i>
    <i r="1">
      <x v="138"/>
    </i>
    <i r="1">
      <x v="216"/>
    </i>
    <i>
      <x v="163"/>
    </i>
    <i r="1">
      <x v="161"/>
    </i>
    <i r="1">
      <x v="162"/>
    </i>
    <i r="1">
      <x v="212"/>
    </i>
    <i>
      <x v="164"/>
    </i>
    <i r="1">
      <x v="143"/>
    </i>
    <i r="1">
      <x v="144"/>
    </i>
    <i r="1">
      <x v="219"/>
    </i>
    <i>
      <x v="165"/>
    </i>
    <i r="1">
      <x v="141"/>
    </i>
    <i r="1">
      <x v="142"/>
    </i>
    <i r="1">
      <x v="218"/>
    </i>
    <i>
      <x v="166"/>
    </i>
    <i r="1">
      <x v="139"/>
    </i>
    <i r="1">
      <x v="140"/>
    </i>
    <i r="1">
      <x v="217"/>
    </i>
    <i>
      <x v="167"/>
    </i>
    <i r="1">
      <x v="153"/>
    </i>
    <i r="1">
      <x v="154"/>
    </i>
    <i r="1">
      <x v="208"/>
    </i>
    <i>
      <x v="168"/>
    </i>
    <i r="1">
      <x v="151"/>
    </i>
    <i r="1">
      <x v="152"/>
    </i>
    <i>
      <x v="169"/>
    </i>
    <i r="1">
      <x v="149"/>
    </i>
    <i r="1">
      <x v="150"/>
    </i>
    <i>
      <x v="170"/>
    </i>
    <i r="1">
      <x v="131"/>
    </i>
    <i r="1">
      <x v="132"/>
    </i>
    <i>
      <x v="171"/>
    </i>
    <i r="1">
      <x v="102"/>
    </i>
    <i>
      <x v="172"/>
    </i>
    <i r="1">
      <x v="186"/>
    </i>
    <i>
      <x v="173"/>
    </i>
    <i r="1">
      <x v="120"/>
    </i>
    <i>
      <x v="174"/>
    </i>
    <i r="1">
      <x v="116"/>
    </i>
    <i>
      <x v="175"/>
    </i>
    <i r="1">
      <x v="85"/>
    </i>
    <i>
      <x v="176"/>
    </i>
    <i r="1">
      <x v="92"/>
    </i>
    <i>
      <x v="177"/>
    </i>
    <i r="1">
      <x v="91"/>
    </i>
    <i>
      <x v="178"/>
    </i>
    <i r="1">
      <x v="31"/>
    </i>
    <i>
      <x v="179"/>
    </i>
    <i r="1">
      <x v="61"/>
    </i>
    <i r="1">
      <x v="62"/>
    </i>
    <i r="1">
      <x v="63"/>
    </i>
    <i>
      <x v="180"/>
    </i>
    <i r="1">
      <x v="52"/>
    </i>
    <i>
      <x v="181"/>
    </i>
    <i r="1">
      <x v="71"/>
    </i>
    <i>
      <x v="182"/>
    </i>
    <i r="1">
      <x v="77"/>
    </i>
    <i>
      <x v="183"/>
    </i>
    <i r="1">
      <x v="59"/>
    </i>
    <i r="1">
      <x v="69"/>
    </i>
    <i>
      <x v="184"/>
    </i>
    <i r="1">
      <x v="76"/>
    </i>
    <i>
      <x v="185"/>
    </i>
    <i r="1">
      <x v="125"/>
    </i>
    <i>
      <x v="186"/>
    </i>
    <i r="1">
      <x v="26"/>
    </i>
    <i>
      <x v="187"/>
    </i>
    <i r="1">
      <x v="34"/>
    </i>
    <i>
      <x v="188"/>
    </i>
    <i r="1">
      <x v="65"/>
    </i>
    <i>
      <x v="189"/>
    </i>
    <i r="1">
      <x v="53"/>
    </i>
    <i r="1">
      <x v="54"/>
    </i>
    <i>
      <x v="190"/>
    </i>
    <i r="1">
      <x v="89"/>
    </i>
    <i>
      <x v="191"/>
    </i>
    <i r="1">
      <x v="28"/>
    </i>
    <i>
      <x v="192"/>
    </i>
    <i r="1">
      <x v="21"/>
    </i>
    <i>
      <x v="193"/>
    </i>
    <i r="1">
      <x v="68"/>
    </i>
    <i>
      <x v="194"/>
    </i>
    <i r="1">
      <x v="9"/>
    </i>
    <i r="1">
      <x v="20"/>
    </i>
    <i>
      <x v="195"/>
    </i>
    <i r="1">
      <x v="22"/>
    </i>
    <i>
      <x v="196"/>
    </i>
    <i r="1">
      <x v="19"/>
    </i>
    <i>
      <x v="197"/>
    </i>
    <i r="1">
      <x v="90"/>
    </i>
    <i>
      <x v="198"/>
    </i>
    <i r="1">
      <x v="35"/>
    </i>
    <i>
      <x v="199"/>
    </i>
    <i r="1">
      <x v="78"/>
    </i>
    <i r="1">
      <x v="79"/>
    </i>
    <i>
      <x v="200"/>
    </i>
    <i r="1">
      <x v="10"/>
    </i>
    <i t="grand">
      <x/>
    </i>
  </rowItems>
  <colItems count="1">
    <i/>
  </colItems>
  <pageFields count="2">
    <pageField fld="1" hier="-1"/>
    <pageField fld="4" hier="-1"/>
  </pageFields>
  <dataFields count="1">
    <dataField name="Suma de MT/YD" fld="10" baseField="0" baseItem="0" numFmtId="3"/>
  </dataFields>
  <formats count="6">
    <format dxfId="23">
      <pivotArea outline="0" collapsedLevelsAreSubtotals="1" fieldPosition="0"/>
    </format>
    <format dxfId="22">
      <pivotArea outline="0" collapsedLevelsAreSubtotals="1" fieldPosition="0">
        <references count="1">
          <reference field="4" count="0" selected="0"/>
        </references>
      </pivotArea>
    </format>
    <format dxfId="21">
      <pivotArea dataOnly="0" labelOnly="1" outline="0" fieldPosition="0">
        <references count="1">
          <reference field="1" count="0"/>
        </references>
      </pivotArea>
    </format>
    <format dxfId="20">
      <pivotArea field="4" type="button" dataOnly="0" labelOnly="1" outline="0" axis="axisPage" fieldPosition="1"/>
    </format>
    <format dxfId="19">
      <pivotArea type="topRight" dataOnly="0" labelOnly="1" outline="0" fieldPosition="0"/>
    </format>
    <format dxfId="18">
      <pivotArea dataOnly="0" labelOnly="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55E585-F734-45DC-86DF-28195D375DF4}" name="TablaDinámica1"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IENTE" colHeaderCaption="AÑO/VTA">
  <location ref="A6:I67" firstHeaderRow="1" firstDataRow="5" firstDataCol="1" rowPageCount="1" colPageCount="1"/>
  <pivotFields count="24">
    <pivotField showAll="0"/>
    <pivotField axis="axisPage" multipleItemSelectionAllowed="1" showAll="0">
      <items count="30">
        <item h="1" x="14"/>
        <item h="1" x="17"/>
        <item h="1" x="7"/>
        <item m="1" x="23"/>
        <item h="1" x="3"/>
        <item h="1" x="10"/>
        <item h="1" x="12"/>
        <item h="1" x="4"/>
        <item h="1" x="19"/>
        <item m="1" x="26"/>
        <item h="1" x="15"/>
        <item m="1" x="24"/>
        <item h="1" x="18"/>
        <item h="1" x="6"/>
        <item m="1" x="27"/>
        <item h="1" x="13"/>
        <item h="1" x="9"/>
        <item h="1" x="8"/>
        <item m="1" x="22"/>
        <item h="1" x="2"/>
        <item m="1" x="28"/>
        <item h="1" x="0"/>
        <item h="1" x="16"/>
        <item m="1" x="25"/>
        <item h="1" x="1"/>
        <item h="1" x="20"/>
        <item x="11"/>
        <item h="1" x="5"/>
        <item x="21"/>
        <item t="default"/>
      </items>
    </pivotField>
    <pivotField showAll="0"/>
    <pivotField name="DATA /" axis="axisCol" numFmtId="14" showAll="0">
      <items count="96">
        <item x="0"/>
        <item x="9"/>
        <item x="4"/>
        <item x="1"/>
        <item x="2"/>
        <item x="3"/>
        <item x="5"/>
        <item x="6"/>
        <item x="7"/>
        <item x="8"/>
        <item x="10"/>
        <item x="11"/>
        <item x="12"/>
        <item x="13"/>
        <item x="14"/>
        <item x="15"/>
        <item x="16"/>
        <item x="17"/>
        <item x="18"/>
        <item x="19"/>
        <item x="20"/>
        <item x="21"/>
        <item x="22"/>
        <item x="23"/>
        <item x="24"/>
        <item x="27"/>
        <item x="25"/>
        <item x="26"/>
        <item x="28"/>
        <item x="29"/>
        <item x="30"/>
        <item x="31"/>
        <item x="32"/>
        <item x="33"/>
        <item x="34"/>
        <item x="35"/>
        <item x="36"/>
        <item x="37"/>
        <item x="38"/>
        <item x="39"/>
        <item x="40"/>
        <item x="41"/>
        <item x="42"/>
        <item x="43"/>
        <item x="44"/>
        <item x="46"/>
        <item x="47"/>
        <item x="48"/>
        <item x="49"/>
        <item x="50"/>
        <item x="51"/>
        <item x="54"/>
        <item x="55"/>
        <item x="56"/>
        <item x="52"/>
        <item x="57"/>
        <item x="53"/>
        <item x="58"/>
        <item x="59"/>
        <item x="60"/>
        <item x="61"/>
        <item x="62"/>
        <item x="63"/>
        <item x="64"/>
        <item x="65"/>
        <item x="66"/>
        <item x="67"/>
        <item x="68"/>
        <item x="69"/>
        <item x="70"/>
        <item x="71"/>
        <item x="78"/>
        <item x="72"/>
        <item x="73"/>
        <item x="74"/>
        <item x="75"/>
        <item x="76"/>
        <item x="77"/>
        <item x="79"/>
        <item x="80"/>
        <item x="81"/>
        <item x="82"/>
        <item x="83"/>
        <item x="84"/>
        <item x="85"/>
        <item x="86"/>
        <item x="88"/>
        <item x="87"/>
        <item x="90"/>
        <item x="89"/>
        <item x="91"/>
        <item x="92"/>
        <item x="45"/>
        <item x="94"/>
        <item x="93"/>
        <item t="default"/>
      </items>
    </pivotField>
    <pivotField showAll="0"/>
    <pivotField axis="axisRow" showAll="0">
      <items count="254">
        <item x="48"/>
        <item x="3"/>
        <item x="2"/>
        <item x="153"/>
        <item x="237"/>
        <item x="27"/>
        <item x="118"/>
        <item x="29"/>
        <item x="210"/>
        <item x="201"/>
        <item x="71"/>
        <item x="129"/>
        <item x="159"/>
        <item x="160"/>
        <item x="128"/>
        <item x="21"/>
        <item x="161"/>
        <item x="127"/>
        <item x="212"/>
        <item x="213"/>
        <item x="162"/>
        <item x="24"/>
        <item x="215"/>
        <item x="89"/>
        <item x="97"/>
        <item x="26"/>
        <item x="30"/>
        <item x="98"/>
        <item x="175"/>
        <item x="100"/>
        <item x="101"/>
        <item x="87"/>
        <item x="91"/>
        <item x="172"/>
        <item x="93"/>
        <item x="99"/>
        <item x="94"/>
        <item x="173"/>
        <item x="96"/>
        <item x="95"/>
        <item x="174"/>
        <item x="88"/>
        <item x="85"/>
        <item x="86"/>
        <item x="90"/>
        <item x="171"/>
        <item x="92"/>
        <item x="148"/>
        <item x="200"/>
        <item x="22"/>
        <item x="214"/>
        <item x="44"/>
        <item x="207"/>
        <item x="216"/>
        <item x="28"/>
        <item x="23"/>
        <item x="43"/>
        <item x="53"/>
        <item x="16"/>
        <item x="61"/>
        <item x="45"/>
        <item x="62"/>
        <item x="64"/>
        <item x="65"/>
        <item x="49"/>
        <item x="55"/>
        <item x="57"/>
        <item x="63"/>
        <item x="58"/>
        <item x="60"/>
        <item x="59"/>
        <item x="52"/>
        <item x="51"/>
        <item x="50"/>
        <item x="54"/>
        <item x="56"/>
        <item x="1"/>
        <item x="147"/>
        <item x="139"/>
        <item x="68"/>
        <item x="69"/>
        <item x="235"/>
        <item x="126"/>
        <item x="151"/>
        <item x="152"/>
        <item x="150"/>
        <item x="138"/>
        <item x="234"/>
        <item x="163"/>
        <item x="211"/>
        <item x="41"/>
        <item x="177"/>
        <item x="10"/>
        <item x="140"/>
        <item x="141"/>
        <item x="236"/>
        <item x="36"/>
        <item x="130"/>
        <item x="14"/>
        <item x="42"/>
        <item x="70"/>
        <item x="217"/>
        <item x="178"/>
        <item x="72"/>
        <item x="244"/>
        <item x="119"/>
        <item x="208"/>
        <item x="120"/>
        <item x="123"/>
        <item x="122"/>
        <item x="209"/>
        <item x="11"/>
        <item x="176"/>
        <item x="73"/>
        <item x="0"/>
        <item x="179"/>
        <item x="15"/>
        <item x="137"/>
        <item x="155"/>
        <item x="149"/>
        <item x="19"/>
        <item x="156"/>
        <item x="102"/>
        <item x="31"/>
        <item x="157"/>
        <item x="4"/>
        <item x="13"/>
        <item x="17"/>
        <item x="240"/>
        <item x="242"/>
        <item x="231"/>
        <item x="221"/>
        <item x="241"/>
        <item x="228"/>
        <item x="146"/>
        <item x="246"/>
        <item x="223"/>
        <item x="143"/>
        <item x="124"/>
        <item x="169"/>
        <item x="12"/>
        <item x="33"/>
        <item x="32"/>
        <item x="232"/>
        <item x="204"/>
        <item x="84"/>
        <item x="164"/>
        <item x="225"/>
        <item x="34"/>
        <item x="104"/>
        <item x="184"/>
        <item x="165"/>
        <item x="233"/>
        <item x="219"/>
        <item x="7"/>
        <item x="35"/>
        <item x="135"/>
        <item x="183"/>
        <item x="205"/>
        <item x="78"/>
        <item x="105"/>
        <item x="181"/>
        <item x="222"/>
        <item x="8"/>
        <item x="38"/>
        <item x="220"/>
        <item x="40"/>
        <item x="134"/>
        <item x="185"/>
        <item x="224"/>
        <item x="239"/>
        <item x="230"/>
        <item x="180"/>
        <item x="202"/>
        <item x="80"/>
        <item x="166"/>
        <item x="18"/>
        <item x="37"/>
        <item x="9"/>
        <item x="229"/>
        <item x="186"/>
        <item x="74"/>
        <item x="106"/>
        <item x="187"/>
        <item x="238"/>
        <item x="131"/>
        <item x="107"/>
        <item x="188"/>
        <item x="108"/>
        <item x="189"/>
        <item x="109"/>
        <item x="190"/>
        <item x="110"/>
        <item x="191"/>
        <item x="111"/>
        <item x="112"/>
        <item x="132"/>
        <item x="113"/>
        <item x="192"/>
        <item x="193"/>
        <item x="81"/>
        <item x="194"/>
        <item x="82"/>
        <item x="195"/>
        <item x="83"/>
        <item x="136"/>
        <item x="182"/>
        <item x="203"/>
        <item x="77"/>
        <item x="196"/>
        <item x="79"/>
        <item x="197"/>
        <item x="76"/>
        <item x="114"/>
        <item x="198"/>
        <item x="206"/>
        <item x="75"/>
        <item x="226"/>
        <item x="115"/>
        <item x="199"/>
        <item x="116"/>
        <item x="133"/>
        <item x="117"/>
        <item x="168"/>
        <item x="218"/>
        <item x="103"/>
        <item x="145"/>
        <item x="144"/>
        <item x="154"/>
        <item x="170"/>
        <item x="247"/>
        <item x="167"/>
        <item x="39"/>
        <item x="227"/>
        <item x="158"/>
        <item x="243"/>
        <item x="6"/>
        <item x="66"/>
        <item x="67"/>
        <item x="125"/>
        <item x="5"/>
        <item x="20"/>
        <item x="46"/>
        <item x="47"/>
        <item x="25"/>
        <item x="121"/>
        <item x="142"/>
        <item x="245"/>
        <item x="252"/>
        <item x="248"/>
        <item x="249"/>
        <item x="250"/>
        <item x="251"/>
        <item t="default"/>
      </items>
    </pivotField>
    <pivotField axis="axisRow" showAll="0">
      <items count="203">
        <item x="130"/>
        <item x="143"/>
        <item x="83"/>
        <item x="51"/>
        <item x="142"/>
        <item x="141"/>
        <item x="140"/>
        <item m="1" x="197"/>
        <item m="1" x="195"/>
        <item m="1" x="196"/>
        <item x="147"/>
        <item m="1" x="199"/>
        <item m="1" x="198"/>
        <item m="1" x="200"/>
        <item x="115"/>
        <item x="113"/>
        <item x="84"/>
        <item x="129"/>
        <item x="41"/>
        <item x="73"/>
        <item x="152"/>
        <item x="85"/>
        <item m="1" x="201"/>
        <item x="106"/>
        <item x="112"/>
        <item x="92"/>
        <item x="89"/>
        <item x="168"/>
        <item x="121"/>
        <item x="68"/>
        <item x="88"/>
        <item x="77"/>
        <item x="105"/>
        <item x="96"/>
        <item x="187"/>
        <item x="81"/>
        <item x="74"/>
        <item x="87"/>
        <item x="82"/>
        <item x="148"/>
        <item x="90"/>
        <item x="76"/>
        <item x="80"/>
        <item x="137"/>
        <item x="72"/>
        <item x="65"/>
        <item x="64"/>
        <item x="66"/>
        <item x="67"/>
        <item x="86"/>
        <item x="94"/>
        <item x="91"/>
        <item x="75"/>
        <item x="99"/>
        <item x="151"/>
        <item x="70"/>
        <item x="71"/>
        <item x="123"/>
        <item x="120"/>
        <item x="119"/>
        <item x="78"/>
        <item x="114"/>
        <item x="93"/>
        <item x="100"/>
        <item x="102"/>
        <item x="104"/>
        <item x="101"/>
        <item x="103"/>
        <item x="117"/>
        <item x="116"/>
        <item x="118"/>
        <item x="149"/>
        <item x="150"/>
        <item x="107"/>
        <item x="108"/>
        <item x="109"/>
        <item x="110"/>
        <item x="111"/>
        <item x="126"/>
        <item x="131"/>
        <item x="125"/>
        <item x="124"/>
        <item x="127"/>
        <item x="128"/>
        <item x="132"/>
        <item x="133"/>
        <item x="134"/>
        <item x="135"/>
        <item x="136"/>
        <item x="138"/>
        <item x="139"/>
        <item x="153"/>
        <item x="145"/>
        <item x="144"/>
        <item x="154"/>
        <item x="171"/>
        <item x="170"/>
        <item x="155"/>
        <item x="172"/>
        <item x="146"/>
        <item x="157"/>
        <item x="158"/>
        <item x="156"/>
        <item x="160"/>
        <item x="188"/>
        <item x="159"/>
        <item x="161"/>
        <item x="180"/>
        <item x="164"/>
        <item x="165"/>
        <item x="166"/>
        <item x="167"/>
        <item x="169"/>
        <item m="1" x="194"/>
        <item x="173"/>
        <item x="162"/>
        <item x="179"/>
        <item x="186"/>
        <item x="174"/>
        <item x="175"/>
        <item x="177"/>
        <item x="178"/>
        <item x="176"/>
        <item x="181"/>
        <item x="182"/>
        <item x="184"/>
        <item x="183"/>
        <item x="185"/>
        <item x="69"/>
        <item x="27"/>
        <item x="25"/>
        <item x="3"/>
        <item x="8"/>
        <item x="15"/>
        <item x="21"/>
        <item x="38"/>
        <item x="24"/>
        <item x="33"/>
        <item x="2"/>
        <item x="163"/>
        <item x="36"/>
        <item x="16"/>
        <item x="22"/>
        <item x="32"/>
        <item x="18"/>
        <item x="26"/>
        <item x="30"/>
        <item x="35"/>
        <item x="0"/>
        <item x="29"/>
        <item x="39"/>
        <item x="63"/>
        <item x="62"/>
        <item x="57"/>
        <item x="56"/>
        <item x="55"/>
        <item x="52"/>
        <item x="53"/>
        <item x="58"/>
        <item x="54"/>
        <item x="61"/>
        <item x="60"/>
        <item x="59"/>
        <item x="50"/>
        <item x="49"/>
        <item x="48"/>
        <item x="47"/>
        <item x="97"/>
        <item x="79"/>
        <item x="95"/>
        <item x="98"/>
        <item x="19"/>
        <item x="37"/>
        <item x="10"/>
        <item x="13"/>
        <item x="5"/>
        <item x="122"/>
        <item x="42"/>
        <item x="7"/>
        <item x="17"/>
        <item x="1"/>
        <item x="23"/>
        <item x="34"/>
        <item x="9"/>
        <item x="12"/>
        <item x="14"/>
        <item x="11"/>
        <item x="40"/>
        <item x="20"/>
        <item x="31"/>
        <item x="28"/>
        <item x="43"/>
        <item x="44"/>
        <item x="45"/>
        <item x="6"/>
        <item x="4"/>
        <item x="46"/>
        <item x="193"/>
        <item x="189"/>
        <item x="190"/>
        <item x="191"/>
        <item x="192"/>
        <item t="default"/>
      </items>
    </pivotField>
    <pivotField showAll="0"/>
    <pivotField showAll="0"/>
    <pivotField axis="axisRow" showAll="0">
      <items count="337">
        <item x="184"/>
        <item x="185"/>
        <item x="193"/>
        <item x="194"/>
        <item x="195"/>
        <item x="196"/>
        <item x="197"/>
        <item x="198"/>
        <item x="199"/>
        <item x="200"/>
        <item x="186"/>
        <item x="187"/>
        <item x="188"/>
        <item x="189"/>
        <item x="190"/>
        <item x="191"/>
        <item x="192"/>
        <item x="227"/>
        <item x="262"/>
        <item m="1" x="282"/>
        <item x="266"/>
        <item x="265"/>
        <item x="257"/>
        <item m="1" x="275"/>
        <item x="263"/>
        <item m="1" x="281"/>
        <item m="1" x="280"/>
        <item x="261"/>
        <item x="259"/>
        <item x="260"/>
        <item x="258"/>
        <item m="1" x="293"/>
        <item m="1" x="294"/>
        <item x="250"/>
        <item m="1" x="292"/>
        <item x="248"/>
        <item m="1" x="296"/>
        <item x="252"/>
        <item m="1" x="295"/>
        <item x="249"/>
        <item x="251"/>
        <item x="232"/>
        <item x="137"/>
        <item x="77"/>
        <item x="134"/>
        <item x="136"/>
        <item m="1" x="276"/>
        <item x="128"/>
        <item x="167"/>
        <item m="1" x="321"/>
        <item x="127"/>
        <item x="129"/>
        <item x="130"/>
        <item x="126"/>
        <item x="32"/>
        <item x="54"/>
        <item x="31"/>
        <item x="226"/>
        <item x="223"/>
        <item x="161"/>
        <item x="138"/>
        <item x="139"/>
        <item x="160"/>
        <item m="1" x="326"/>
        <item x="235"/>
        <item x="166"/>
        <item x="165"/>
        <item m="1" x="328"/>
        <item x="181"/>
        <item x="180"/>
        <item x="182"/>
        <item x="245"/>
        <item x="183"/>
        <item x="178"/>
        <item x="176"/>
        <item x="34"/>
        <item x="51"/>
        <item x="50"/>
        <item x="23"/>
        <item x="49"/>
        <item x="44"/>
        <item x="41"/>
        <item x="38"/>
        <item x="39"/>
        <item x="25"/>
        <item x="46"/>
        <item x="29"/>
        <item x="30"/>
        <item x="13"/>
        <item x="8"/>
        <item x="15"/>
        <item x="9"/>
        <item x="6"/>
        <item m="1" x="283"/>
        <item m="1" x="284"/>
        <item x="154"/>
        <item x="141"/>
        <item x="157"/>
        <item x="140"/>
        <item x="148"/>
        <item x="143"/>
        <item x="142"/>
        <item x="158"/>
        <item x="145"/>
        <item x="147"/>
        <item x="146"/>
        <item x="144"/>
        <item x="149"/>
        <item x="170"/>
        <item x="159"/>
        <item m="1" x="312"/>
        <item x="156"/>
        <item x="151"/>
        <item x="162"/>
        <item m="1" x="335"/>
        <item x="177"/>
        <item x="179"/>
        <item x="14"/>
        <item x="21"/>
        <item x="222"/>
        <item x="224"/>
        <item x="133"/>
        <item x="221"/>
        <item x="135"/>
        <item x="33"/>
        <item x="45"/>
        <item x="53"/>
        <item x="152"/>
        <item x="24"/>
        <item x="18"/>
        <item x="5"/>
        <item x="19"/>
        <item x="12"/>
        <item m="1" x="324"/>
        <item x="171"/>
        <item x="163"/>
        <item x="40"/>
        <item x="36"/>
        <item x="17"/>
        <item m="1" x="297"/>
        <item x="253"/>
        <item x="169"/>
        <item m="1" x="290"/>
        <item m="1" x="288"/>
        <item x="231"/>
        <item m="1" x="285"/>
        <item x="48"/>
        <item x="42"/>
        <item x="78"/>
        <item x="2"/>
        <item x="3"/>
        <item x="55"/>
        <item x="1"/>
        <item x="7"/>
        <item x="35"/>
        <item x="4"/>
        <item x="175"/>
        <item x="174"/>
        <item x="155"/>
        <item x="76"/>
        <item x="81"/>
        <item x="28"/>
        <item x="37"/>
        <item x="22"/>
        <item x="205"/>
        <item x="164"/>
        <item x="172"/>
        <item x="153"/>
        <item x="80"/>
        <item x="11"/>
        <item x="52"/>
        <item x="256"/>
        <item x="10"/>
        <item x="254"/>
        <item x="43"/>
        <item x="79"/>
        <item x="125"/>
        <item x="0"/>
        <item x="26"/>
        <item x="16"/>
        <item x="20"/>
        <item x="173"/>
        <item x="225"/>
        <item x="150"/>
        <item x="255"/>
        <item x="47"/>
        <item x="240"/>
        <item x="238"/>
        <item x="241"/>
        <item m="1" x="306"/>
        <item m="1" x="327"/>
        <item x="202"/>
        <item m="1" x="319"/>
        <item m="1" x="305"/>
        <item m="1" x="304"/>
        <item x="203"/>
        <item x="201"/>
        <item x="237"/>
        <item x="236"/>
        <item x="239"/>
        <item x="242"/>
        <item x="132"/>
        <item m="1" x="325"/>
        <item m="1" x="291"/>
        <item m="1" x="289"/>
        <item x="233"/>
        <item m="1" x="286"/>
        <item m="1" x="287"/>
        <item x="234"/>
        <item x="204"/>
        <item x="214"/>
        <item x="110"/>
        <item x="122"/>
        <item x="121"/>
        <item x="83"/>
        <item x="246"/>
        <item x="217"/>
        <item x="87"/>
        <item x="118"/>
        <item x="207"/>
        <item x="85"/>
        <item x="123"/>
        <item x="215"/>
        <item x="89"/>
        <item x="212"/>
        <item x="114"/>
        <item x="117"/>
        <item x="211"/>
        <item x="113"/>
        <item x="218"/>
        <item x="216"/>
        <item m="1" x="311"/>
        <item x="91"/>
        <item x="90"/>
        <item x="115"/>
        <item x="124"/>
        <item x="84"/>
        <item x="213"/>
        <item x="82"/>
        <item x="131"/>
        <item x="120"/>
        <item x="219"/>
        <item x="116"/>
        <item x="119"/>
        <item x="111"/>
        <item m="1" x="303"/>
        <item m="1" x="300"/>
        <item m="1" x="279"/>
        <item x="88"/>
        <item x="27"/>
        <item x="168"/>
        <item m="1" x="302"/>
        <item m="1" x="299"/>
        <item m="1" x="278"/>
        <item x="247"/>
        <item x="209"/>
        <item x="112"/>
        <item x="206"/>
        <item x="210"/>
        <item x="92"/>
        <item m="1" x="313"/>
        <item m="1" x="334"/>
        <item x="86"/>
        <item m="1" x="301"/>
        <item m="1" x="277"/>
        <item m="1" x="298"/>
        <item x="73"/>
        <item x="56"/>
        <item m="1" x="329"/>
        <item x="93"/>
        <item x="65"/>
        <item m="1" x="322"/>
        <item x="102"/>
        <item x="66"/>
        <item m="1" x="307"/>
        <item x="103"/>
        <item x="67"/>
        <item m="1" x="314"/>
        <item x="104"/>
        <item x="68"/>
        <item m="1" x="315"/>
        <item x="105"/>
        <item x="69"/>
        <item m="1" x="316"/>
        <item x="106"/>
        <item x="70"/>
        <item m="1" x="308"/>
        <item x="107"/>
        <item x="71"/>
        <item m="1" x="309"/>
        <item x="108"/>
        <item x="72"/>
        <item m="1" x="310"/>
        <item x="109"/>
        <item x="57"/>
        <item m="1" x="332"/>
        <item x="94"/>
        <item x="58"/>
        <item m="1" x="333"/>
        <item x="95"/>
        <item x="59"/>
        <item m="1" x="330"/>
        <item x="96"/>
        <item x="60"/>
        <item m="1" x="317"/>
        <item x="97"/>
        <item x="61"/>
        <item m="1" x="323"/>
        <item x="98"/>
        <item x="62"/>
        <item m="1" x="331"/>
        <item x="99"/>
        <item x="63"/>
        <item m="1" x="318"/>
        <item x="100"/>
        <item x="64"/>
        <item m="1" x="320"/>
        <item x="101"/>
        <item x="75"/>
        <item x="74"/>
        <item x="244"/>
        <item x="243"/>
        <item x="220"/>
        <item x="208"/>
        <item x="271"/>
        <item x="228"/>
        <item x="229"/>
        <item x="230"/>
        <item x="264"/>
        <item x="267"/>
        <item m="1" x="272"/>
        <item m="1" x="273"/>
        <item m="1" x="274"/>
        <item x="268"/>
        <item x="269"/>
        <item x="270"/>
        <item t="default"/>
      </items>
    </pivotField>
    <pivotField dataField="1" showAll="0"/>
    <pivotField showAll="0"/>
    <pivotField showAll="0"/>
    <pivotField showAll="0"/>
    <pivotField showAll="0"/>
    <pivotField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5">
        <item h="1" x="0"/>
        <item x="1"/>
        <item x="2"/>
        <item sd="0" x="3"/>
        <item t="default"/>
      </items>
    </pivotField>
  </pivotFields>
  <rowFields count="3">
    <field x="5"/>
    <field x="6"/>
    <field x="9"/>
  </rowFields>
  <rowItems count="57">
    <i>
      <x v="5"/>
    </i>
    <i r="1">
      <x v="129"/>
    </i>
    <i r="2">
      <x v="56"/>
    </i>
    <i>
      <x v="25"/>
    </i>
    <i r="1">
      <x v="145"/>
    </i>
    <i r="2">
      <x v="87"/>
    </i>
    <i>
      <x v="48"/>
    </i>
    <i r="1">
      <x v="91"/>
    </i>
    <i r="2">
      <x v="322"/>
    </i>
    <i>
      <x v="77"/>
    </i>
    <i r="1">
      <x v="176"/>
    </i>
    <i r="2">
      <x v="113"/>
    </i>
    <i>
      <x v="84"/>
    </i>
    <i r="1">
      <x v="29"/>
    </i>
    <i r="2">
      <x v="250"/>
    </i>
    <i>
      <x v="105"/>
    </i>
    <i r="1">
      <x v="63"/>
    </i>
    <i r="2">
      <x v="53"/>
    </i>
    <i r="1">
      <x v="65"/>
    </i>
    <i r="2">
      <x v="53"/>
    </i>
    <i>
      <x v="106"/>
    </i>
    <i r="1">
      <x v="102"/>
    </i>
    <i r="2">
      <x v="325"/>
    </i>
    <i>
      <x v="107"/>
    </i>
    <i r="1">
      <x v="66"/>
    </i>
    <i r="2">
      <x v="50"/>
    </i>
    <i r="1">
      <x v="100"/>
    </i>
    <i r="2">
      <x v="326"/>
    </i>
    <i>
      <x v="108"/>
    </i>
    <i r="1">
      <x v="65"/>
    </i>
    <i r="2">
      <x v="52"/>
    </i>
    <i>
      <x v="109"/>
    </i>
    <i r="1">
      <x v="67"/>
    </i>
    <i r="2">
      <x v="51"/>
    </i>
    <i>
      <x v="110"/>
    </i>
    <i r="1">
      <x v="101"/>
    </i>
    <i r="2">
      <x v="327"/>
    </i>
    <i>
      <x v="244"/>
    </i>
    <i r="1">
      <x v="130"/>
    </i>
    <i r="2">
      <x v="86"/>
    </i>
    <i>
      <x v="245"/>
    </i>
    <i r="1">
      <x v="64"/>
    </i>
    <i r="2">
      <x v="47"/>
    </i>
    <i>
      <x v="246"/>
    </i>
    <i r="1">
      <x v="70"/>
    </i>
    <i r="2">
      <x v="48"/>
    </i>
    <i r="2">
      <x v="97"/>
    </i>
    <i>
      <x v="250"/>
    </i>
    <i r="1">
      <x v="199"/>
    </i>
    <i r="2">
      <x v="333"/>
    </i>
    <i>
      <x v="251"/>
    </i>
    <i r="1">
      <x v="200"/>
    </i>
    <i r="2">
      <x v="334"/>
    </i>
    <i>
      <x v="252"/>
    </i>
    <i r="1">
      <x v="201"/>
    </i>
    <i r="2">
      <x v="335"/>
    </i>
    <i t="grand">
      <x/>
    </i>
  </rowItems>
  <colFields count="4">
    <field x="23"/>
    <field x="22"/>
    <field x="21"/>
    <field x="3"/>
  </colFields>
  <colItems count="8">
    <i>
      <x v="1"/>
      <x v="3"/>
    </i>
    <i r="1">
      <x v="4"/>
    </i>
    <i t="default">
      <x v="1"/>
    </i>
    <i>
      <x v="2"/>
      <x v="1"/>
    </i>
    <i r="1">
      <x v="2"/>
    </i>
    <i r="1">
      <x v="3"/>
    </i>
    <i t="default">
      <x v="2"/>
    </i>
    <i t="grand">
      <x/>
    </i>
  </colItems>
  <pageFields count="1">
    <pageField fld="1" hier="-1"/>
  </pageFields>
  <dataFields count="1">
    <dataField name="Suma de MT/YD" fld="10" baseField="0" baseItem="0" numFmtId="3"/>
  </dataFields>
  <formats count="4">
    <format dxfId="15">
      <pivotArea outline="0" collapsedLevelsAreSubtotals="1" fieldPosition="0"/>
    </format>
    <format dxfId="14">
      <pivotArea dataOnly="0" labelOnly="1" outline="0" fieldPosition="0">
        <references count="1">
          <reference field="1" count="0"/>
        </references>
      </pivotArea>
    </format>
    <format dxfId="13">
      <pivotArea dataOnly="0" labelOnly="1" fieldPosition="0">
        <references count="3">
          <reference field="5" count="1" selected="0">
            <x v="107"/>
          </reference>
          <reference field="6" count="1" selected="0">
            <x v="100"/>
          </reference>
          <reference field="9" count="1">
            <x v="326"/>
          </reference>
        </references>
      </pivotArea>
    </format>
    <format dxfId="12">
      <pivotArea dataOnly="0" labelOnly="1" fieldPosition="0">
        <references count="3">
          <reference field="5" count="1" selected="0">
            <x v="106"/>
          </reference>
          <reference field="6" count="1" selected="0">
            <x v="102"/>
          </reference>
          <reference field="9" count="1">
            <x v="32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E56991-1AA3-4448-83BD-F6D1F34F3E59}" name="Tabela13" displayName="Tabela13" ref="A5:I135" totalsRowShown="0" headerRowDxfId="139" dataDxfId="138">
  <autoFilter ref="A5:I135" xr:uid="{C1E56991-1AA3-4448-83BD-F6D1F34F3E59}">
    <filterColumn colId="3">
      <filters>
        <dateGroupItem year="2026" dateTimeGrouping="year"/>
      </filters>
    </filterColumn>
  </autoFilter>
  <tableColumns count="9">
    <tableColumn id="1" xr3:uid="{9313470B-6539-4C39-A6DD-FEE5BAA5DC7C}" name="PRO-FORM /EXPORT INVOICE_x000a_NBR" dataDxfId="137" totalsRowDxfId="136"/>
    <tableColumn id="7" xr3:uid="{923A14F0-1F72-40CB-8998-25D52F776BB7}" name="CLIENTE" dataDxfId="135" totalsRowDxfId="134"/>
    <tableColumn id="2" xr3:uid="{40DB9090-ADC7-406B-B431-C9557BB6C1A7}" name="PAIS" dataDxfId="133" totalsRowDxfId="132"/>
    <tableColumn id="6" xr3:uid="{668CAF32-EC50-44A9-B273-E63ED812C174}" name="DATA _x000a_PRO-FORMA" dataDxfId="131" totalsRowDxfId="130">
      <calculatedColumnFormula>VLOOKUP(Tabela13[[#This Row],[PRO-FORM /EXPORT INVOICE
NBR]],Tabela1[#All],4,0)</calculatedColumnFormula>
    </tableColumn>
    <tableColumn id="3" xr3:uid="{851F424A-BF2E-40A1-A199-054DC668B6AA}" name="PEDIDO TOTVS" dataDxfId="129" totalsRowDxfId="128">
      <calculatedColumnFormula>VLOOKUP(Tabela13[[#This Row],[PRO-FORM /EXPORT INVOICE
NBR]],Tabela1[#All],9,0)</calculatedColumnFormula>
    </tableColumn>
    <tableColumn id="13" xr3:uid="{5DA42F3B-5AA7-45E3-957E-49959FA2580A}" name="Data max envio /fact." dataDxfId="127" totalsRowDxfId="126"/>
    <tableColumn id="8" xr3:uid="{759DB444-C702-44AE-8C16-DE3D66902C9E}" name="TOTAL MTS/YDS" dataDxfId="125" totalsRowDxfId="124">
      <calculatedColumnFormula>VLOOKUP(Tabela13[[#This Row],[PRO-FORM /EXPORT INVOICE
NBR]],Tabela1[#All],11,0)</calculatedColumnFormula>
    </tableColumn>
    <tableColumn id="11" xr3:uid="{F97B7A75-7F11-46FC-94EA-8DD9C1FB863E}" name="TOTAL US$ _x000a_PRO-FORM" dataDxfId="123" totalsRowDxfId="122">
      <calculatedColumnFormula>VLOOKUP(Tabela13[[#This Row],[PRO-FORM /EXPORT INVOICE
NBR]],#REF!,2,0)</calculatedColumnFormula>
    </tableColumn>
    <tableColumn id="4" xr3:uid="{B032B65F-E020-4165-BA69-CCB52191C37B}" name="OBSERV." dataDxfId="121" totalsRowDxfId="120"/>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E577DF-8AD2-47D6-9860-FE0D7415F8C1}" name="Tabela1" displayName="Tabela1" ref="A4:U325" totalsRowShown="0" headerRowDxfId="119">
  <autoFilter ref="A4:U325" xr:uid="{0BE577DF-8AD2-47D6-9860-FE0D7415F8C1}"/>
  <tableColumns count="21">
    <tableColumn id="1" xr3:uid="{46B331DC-6EE8-469F-A769-4F44783A1C1E}" name="PRO-FORM_x000a_ INVOICE/OC NBR." dataDxfId="118"/>
    <tableColumn id="4" xr3:uid="{0256D1C7-3282-4CC0-9947-49F132481199}" name="CLIENTE" dataDxfId="117"/>
    <tableColumn id="2" xr3:uid="{124DC3AB-B515-41F0-8C96-77DFF8BF5BE7}" name="PAIS" dataDxfId="116"/>
    <tableColumn id="3" xr3:uid="{9D00C633-2D26-4F5B-8FA4-97C9B647BD03}" name="DATA /_x000a_PRO-FORMA" dataDxfId="115"/>
    <tableColumn id="14" xr3:uid="{3E12B021-FA23-4E87-8EBC-C50AF5CFD7D6}" name="PROG _x000a_MES" dataDxfId="114"/>
    <tableColumn id="5" xr3:uid="{C49B9801-2D41-4862-81B2-9E4230196AA1}" name="CODE OC/_x000a_DISEÑO" dataDxfId="113"/>
    <tableColumn id="6" xr3:uid="{005EEBDC-F460-439B-A718-8D91E0C0C16E}" name="COD. _x000a_TOTVS" dataDxfId="112"/>
    <tableColumn id="12" xr3:uid="{C431A56E-746A-4247-8B16-FE9C3509DCB4}" name="OP _x000a_NBR" dataDxfId="111"/>
    <tableColumn id="20" xr3:uid="{47C7FD65-6873-49BA-9402-CD0FC67F42D2}" name="NÚM. PEDIDO_x000a_TOTVS" dataDxfId="110"/>
    <tableColumn id="7" xr3:uid="{A10421F5-56EC-4D6C-99B8-2F0951E95204}" name="DESCRIPCIÓN" dataDxfId="109"/>
    <tableColumn id="8" xr3:uid="{8C6DAF74-EC7B-4D2A-BBAA-7F954B87739D}" name="MT/YD" dataDxfId="108"/>
    <tableColumn id="9" xr3:uid="{00B9BEB5-A90A-4D69-BE34-1A0F6BA62011}" name="KGS" dataDxfId="107"/>
    <tableColumn id="10" xr3:uid="{24C49205-4C29-4CC4-BEA6-84F65264296F}" name="PRECIO_x000a_USD" dataDxfId="106"/>
    <tableColumn id="11" xr3:uid="{B03A8901-7D9C-4EE4-AF76-AF710EB45805}" name="TOTAL _x000a_US$" dataDxfId="105"/>
    <tableColumn id="16" xr3:uid="{BE73E3CF-9A31-4476-8DCA-CB119CFF377F}" name="CONTACTO"/>
    <tableColumn id="17" xr3:uid="{0BB3A3CA-61B1-40F5-8E8F-00DBADBC5982}" name="EMAIL"/>
    <tableColumn id="18" xr3:uid="{536028D9-C711-4E5E-88ED-672139C66F18}" name="TELF."/>
    <tableColumn id="13" xr3:uid="{D6F4C5D6-BF25-4471-A9BA-84591381FD17}" name="OBSERV."/>
    <tableColumn id="15" xr3:uid="{E33EDDC7-252F-4B21-93DE-754590FF07B9}" name="SOP GT - REAL" dataDxfId="104"/>
    <tableColumn id="19" xr3:uid="{2F035CF2-89C7-4EC3-AE7F-9103EE0F89FB}" name="FACTURACIÓN _x000a_GT/SOLIC. SALES ORDER"/>
    <tableColumn id="21" xr3:uid="{2FB50FD4-D2AF-4344-93D2-3769D88CD410}" name="FECHA _x000a_SOLICITUD SO"/>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F9FCE9-342A-4707-8D18-6D7BB5DFAE86}" name="Tabla3" displayName="Tabla3" ref="A2:C28" totalsRowShown="0">
  <autoFilter ref="A2:C28" xr:uid="{C1F9FCE9-342A-4707-8D18-6D7BB5DFAE86}"/>
  <tableColumns count="3">
    <tableColumn id="1" xr3:uid="{7462F151-BC14-4094-989D-DF26EECBABCB}" name="CLIENTE"/>
    <tableColumn id="2" xr3:uid="{1E222B30-031B-4A0E-9C8D-EAD001AF8C8B}" name="GRAMATURA" dataDxfId="92"/>
    <tableColumn id="3" xr3:uid="{665D4FDA-FD37-4CA1-A900-48403BA3F30E}" name="DESCRIÇ"/>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F0C37-D00A-4D7C-AE83-5B2BB69C7705}" name="Tabela545" displayName="Tabela545" ref="A3:F135" totalsRowShown="0" headerRowDxfId="17">
  <autoFilter ref="A3:F135" xr:uid="{134F0C37-D00A-4D7C-AE83-5B2BB69C7705}">
    <filterColumn colId="3">
      <filters blank="1">
        <filter val="2026"/>
      </filters>
    </filterColumn>
  </autoFilter>
  <tableColumns count="6">
    <tableColumn id="1" xr3:uid="{4FF774DF-70EF-4288-92F7-F8E5C8FB1A3E}" name="INVOIC. SEQ INTERN" dataDxfId="16"/>
    <tableColumn id="2" xr3:uid="{C41A4880-93BA-4A8B-96C0-8CF0980506B6}" name="CLIENTE"/>
    <tableColumn id="4" xr3:uid="{BE3D41C3-8485-4B9A-A757-640B047FB18E}" name="OBSERV."/>
    <tableColumn id="3" xr3:uid="{E1D36271-7807-4CAB-A9AF-6F9F1C3EDD82}" name="PERIODO"/>
    <tableColumn id="5" xr3:uid="{29EE2B82-67E0-4130-97BE-814D3F2749FA}" name="STATUS"/>
    <tableColumn id="6" xr3:uid="{B6C9F27E-CCF0-4221-87A3-249DA0F49AC8}" name="Motivo"/>
  </tableColumns>
  <tableStyleInfo name="TableStyleLight2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mailto:acastillo@prohfoam.com" TargetMode="External"/><Relationship Id="rId13" Type="http://schemas.openxmlformats.org/officeDocument/2006/relationships/hyperlink" Target="mailto:acastillo@prohfoam.com" TargetMode="External"/><Relationship Id="rId18" Type="http://schemas.openxmlformats.org/officeDocument/2006/relationships/hyperlink" Target="mailto:acastillo@prohfoam.com" TargetMode="External"/><Relationship Id="rId26" Type="http://schemas.openxmlformats.org/officeDocument/2006/relationships/table" Target="../tables/table2.xml"/><Relationship Id="rId3" Type="http://schemas.openxmlformats.org/officeDocument/2006/relationships/hyperlink" Target="mailto:acastillo@prohfoam.com" TargetMode="External"/><Relationship Id="rId21" Type="http://schemas.openxmlformats.org/officeDocument/2006/relationships/hyperlink" Target="mailto:acastillo@prohfoam.com" TargetMode="External"/><Relationship Id="rId7" Type="http://schemas.openxmlformats.org/officeDocument/2006/relationships/hyperlink" Target="mailto:acastillo@prohfoam.com" TargetMode="External"/><Relationship Id="rId12" Type="http://schemas.openxmlformats.org/officeDocument/2006/relationships/hyperlink" Target="mailto:acastillo@prohfoam.com" TargetMode="External"/><Relationship Id="rId17" Type="http://schemas.openxmlformats.org/officeDocument/2006/relationships/hyperlink" Target="mailto:acastillo@prohfoam.com" TargetMode="External"/><Relationship Id="rId25" Type="http://schemas.openxmlformats.org/officeDocument/2006/relationships/vmlDrawing" Target="../drawings/vmlDrawing2.vml"/><Relationship Id="rId2" Type="http://schemas.openxmlformats.org/officeDocument/2006/relationships/hyperlink" Target="mailto:lramirez@relaxtechcr.com" TargetMode="External"/><Relationship Id="rId16" Type="http://schemas.openxmlformats.org/officeDocument/2006/relationships/hyperlink" Target="mailto:acastillo@prohfoam.com" TargetMode="External"/><Relationship Id="rId20" Type="http://schemas.openxmlformats.org/officeDocument/2006/relationships/hyperlink" Target="mailto:acastillo@prohfoam.com" TargetMode="External"/><Relationship Id="rId1" Type="http://schemas.openxmlformats.org/officeDocument/2006/relationships/hyperlink" Target="mailto:rgeronimo@gp.com.pt" TargetMode="External"/><Relationship Id="rId6" Type="http://schemas.openxmlformats.org/officeDocument/2006/relationships/hyperlink" Target="mailto:acastillo@prohfoam.com" TargetMode="External"/><Relationship Id="rId11" Type="http://schemas.openxmlformats.org/officeDocument/2006/relationships/hyperlink" Target="mailto:acastillo@prohfoam.com" TargetMode="External"/><Relationship Id="rId24" Type="http://schemas.openxmlformats.org/officeDocument/2006/relationships/printerSettings" Target="../printerSettings/printerSettings2.bin"/><Relationship Id="rId5" Type="http://schemas.openxmlformats.org/officeDocument/2006/relationships/hyperlink" Target="mailto:acastillo@prohfoam.com" TargetMode="External"/><Relationship Id="rId15" Type="http://schemas.openxmlformats.org/officeDocument/2006/relationships/hyperlink" Target="mailto:acastillo@prohfoam.com" TargetMode="External"/><Relationship Id="rId23" Type="http://schemas.openxmlformats.org/officeDocument/2006/relationships/hyperlink" Target="mailto:acastillo@prohfoam.com" TargetMode="External"/><Relationship Id="rId10" Type="http://schemas.openxmlformats.org/officeDocument/2006/relationships/hyperlink" Target="mailto:acastillo@prohfoam.com" TargetMode="External"/><Relationship Id="rId19" Type="http://schemas.openxmlformats.org/officeDocument/2006/relationships/hyperlink" Target="mailto:acastillo@prohfoam.com" TargetMode="External"/><Relationship Id="rId4" Type="http://schemas.openxmlformats.org/officeDocument/2006/relationships/hyperlink" Target="mailto:acastillo@prohfoam.com" TargetMode="External"/><Relationship Id="rId9" Type="http://schemas.openxmlformats.org/officeDocument/2006/relationships/hyperlink" Target="mailto:acastillo@prohfoam.com" TargetMode="External"/><Relationship Id="rId14" Type="http://schemas.openxmlformats.org/officeDocument/2006/relationships/hyperlink" Target="mailto:acastillo@prohfoam.com" TargetMode="External"/><Relationship Id="rId22" Type="http://schemas.openxmlformats.org/officeDocument/2006/relationships/hyperlink" Target="mailto:acastillo@prohfoam.com" TargetMode="External"/><Relationship Id="rId27"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5" Type="http://schemas.openxmlformats.org/officeDocument/2006/relationships/comments" Target="../comments3.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AD6A-8946-4BEC-914A-43591508DC9B}">
  <sheetPr>
    <tabColor rgb="FF7030A0"/>
  </sheetPr>
  <dimension ref="A1:I135"/>
  <sheetViews>
    <sheetView showGridLines="0" tabSelected="1" zoomScaleNormal="100" workbookViewId="0">
      <pane xSplit="3" ySplit="65" topLeftCell="D126" activePane="bottomRight" state="frozen"/>
      <selection pane="topRight" activeCell="D1" sqref="D1"/>
      <selection pane="bottomLeft" activeCell="A66" sqref="A66"/>
      <selection pane="bottomRight" activeCell="B138" sqref="B138"/>
    </sheetView>
  </sheetViews>
  <sheetFormatPr baseColWidth="10" defaultColWidth="9.1796875" defaultRowHeight="14.5" x14ac:dyDescent="0.35"/>
  <cols>
    <col min="1" max="1" width="15" customWidth="1"/>
    <col min="2" max="2" width="38.81640625" bestFit="1" customWidth="1"/>
    <col min="3" max="3" width="12.54296875" customWidth="1"/>
    <col min="4" max="4" width="14" customWidth="1"/>
    <col min="5" max="5" width="10.1796875" customWidth="1"/>
    <col min="6" max="6" width="11.1796875" hidden="1" customWidth="1"/>
    <col min="7" max="7" width="17.453125" style="11" customWidth="1"/>
    <col min="8" max="8" width="13.81640625" customWidth="1"/>
    <col min="9" max="9" width="21" customWidth="1"/>
  </cols>
  <sheetData>
    <row r="1" spans="1:9" x14ac:dyDescent="0.35">
      <c r="A1" s="449" t="s">
        <v>16</v>
      </c>
      <c r="B1" s="449"/>
      <c r="C1" s="23"/>
      <c r="D1" s="450">
        <f ca="1">NOW()</f>
        <v>46296.470557754626</v>
      </c>
      <c r="E1" s="450"/>
    </row>
    <row r="2" spans="1:9" x14ac:dyDescent="0.35">
      <c r="A2" s="41" t="s">
        <v>43</v>
      </c>
      <c r="B2" s="11"/>
      <c r="C2" s="1"/>
      <c r="D2" s="1"/>
      <c r="E2" s="11"/>
      <c r="F2" s="21" t="s">
        <v>15</v>
      </c>
      <c r="G2" s="16"/>
    </row>
    <row r="3" spans="1:9" x14ac:dyDescent="0.35">
      <c r="A3" s="11"/>
      <c r="B3" s="11"/>
      <c r="C3" s="1"/>
      <c r="D3" s="1"/>
      <c r="E3" s="11"/>
      <c r="F3" s="13" t="s">
        <v>13</v>
      </c>
      <c r="G3" s="16"/>
    </row>
    <row r="4" spans="1:9" x14ac:dyDescent="0.35">
      <c r="A4" s="11"/>
      <c r="B4" s="11"/>
      <c r="C4" s="1"/>
      <c r="D4" s="1"/>
      <c r="E4" s="11"/>
      <c r="F4" s="12" t="s">
        <v>14</v>
      </c>
      <c r="G4" s="16"/>
    </row>
    <row r="5" spans="1:9" ht="36.75" customHeight="1" x14ac:dyDescent="0.35">
      <c r="A5" s="20" t="s">
        <v>5</v>
      </c>
      <c r="B5" s="17" t="s">
        <v>1</v>
      </c>
      <c r="C5" s="44" t="s">
        <v>2</v>
      </c>
      <c r="D5" s="18" t="s">
        <v>6</v>
      </c>
      <c r="E5" s="18" t="s">
        <v>47</v>
      </c>
      <c r="F5" s="19" t="s">
        <v>313</v>
      </c>
      <c r="G5" s="19" t="s">
        <v>715</v>
      </c>
      <c r="H5" s="45" t="s">
        <v>7</v>
      </c>
      <c r="I5" s="44" t="s">
        <v>11</v>
      </c>
    </row>
    <row r="6" spans="1:9" hidden="1" x14ac:dyDescent="0.35">
      <c r="A6" s="7" t="s">
        <v>18</v>
      </c>
      <c r="B6" s="24" t="s">
        <v>20</v>
      </c>
      <c r="C6" s="3" t="str">
        <f>VLOOKUP(Tabela13[[#This Row],[PRO-FORM /EXPORT INVOICE
NBR]],Tabela1[#All],3,0)</f>
        <v>Guatemala</v>
      </c>
      <c r="D6" s="6">
        <f>VLOOKUP(Tabela13[[#This Row],[PRO-FORM /EXPORT INVOICE
NBR]],Tabela1[#All],4,0)</f>
        <v>45728</v>
      </c>
      <c r="E6" s="42">
        <f>VLOOKUP(Tabela13[[#This Row],[PRO-FORM /EXPORT INVOICE
NBR]],Tabela1[#All],9,0)</f>
        <v>18</v>
      </c>
      <c r="F6" s="6">
        <f>Tabela13[[#This Row],[DATA 
PRO-FORMA]]+30</f>
        <v>45758</v>
      </c>
      <c r="G6" s="42">
        <f>VLOOKUP(Tabela13[[#This Row],[PRO-FORM /EXPORT INVOICE
NBR]],Tabela1[#All],11,0)</f>
        <v>2000</v>
      </c>
      <c r="H6" s="77">
        <f>VLOOKUP(Tabela13[[#This Row],[PRO-FORM /EXPORT INVOICE
NBR]],Tabela1[#All],14,0)</f>
        <v>9520</v>
      </c>
      <c r="I6" s="43"/>
    </row>
    <row r="7" spans="1:9" hidden="1" x14ac:dyDescent="0.35">
      <c r="A7" s="7" t="s">
        <v>12</v>
      </c>
      <c r="B7" s="3" t="str">
        <f>VLOOKUP(Tabela13[[#This Row],[PRO-FORM /EXPORT INVOICE
NBR]],Tabela1[#All],2,0)</f>
        <v>RELAXTECH INTERNACIONAL-JIRON</v>
      </c>
      <c r="C7" s="3" t="str">
        <f>VLOOKUP(Tabela13[[#This Row],[PRO-FORM /EXPORT INVOICE
NBR]],Tabela1[#All],3,0)</f>
        <v>Costa Rica</v>
      </c>
      <c r="D7" s="6">
        <f>VLOOKUP(Tabela13[[#This Row],[PRO-FORM /EXPORT INVOICE
NBR]],Tabela1[#All],4,0)</f>
        <v>45797</v>
      </c>
      <c r="E7" s="42">
        <f>VLOOKUP(Tabela13[[#This Row],[PRO-FORM /EXPORT INVOICE
NBR]],Tabela1[#All],9,0)</f>
        <v>19</v>
      </c>
      <c r="F7" s="6">
        <f>Tabela13[[#This Row],[DATA 
PRO-FORMA]]+30</f>
        <v>45827</v>
      </c>
      <c r="G7" s="42">
        <f>VLOOKUP(Tabela13[[#This Row],[PRO-FORM /EXPORT INVOICE
NBR]],Tabela1[#All],11,0)</f>
        <v>5000</v>
      </c>
      <c r="H7" s="77">
        <f>VLOOKUP(Tabela13[[#This Row],[PRO-FORM /EXPORT INVOICE
NBR]],Tabela1[#All],14,0)</f>
        <v>9250</v>
      </c>
      <c r="I7" s="43"/>
    </row>
    <row r="8" spans="1:9" hidden="1" x14ac:dyDescent="0.35">
      <c r="A8" s="7" t="s">
        <v>34</v>
      </c>
      <c r="B8" s="3" t="str">
        <f>VLOOKUP(Tabela13[[#This Row],[PRO-FORM /EXPORT INVOICE
NBR]],Tabela1[#All],2,0)</f>
        <v>INDUSTRIAS CAPRI</v>
      </c>
      <c r="C8" s="3" t="str">
        <f>VLOOKUP(Tabela13[[#This Row],[PRO-FORM /EXPORT INVOICE
NBR]],Tabela1[#All],3,0)</f>
        <v>El Salvador</v>
      </c>
      <c r="D8" s="6">
        <f>VLOOKUP(Tabela13[[#This Row],[PRO-FORM /EXPORT INVOICE
NBR]],Tabela1[#All],4,0)</f>
        <v>45813</v>
      </c>
      <c r="E8" s="42">
        <f>VLOOKUP(Tabela13[[#This Row],[PRO-FORM /EXPORT INVOICE
NBR]],Tabela1[#All],9,0)</f>
        <v>20</v>
      </c>
      <c r="F8" s="6">
        <f>Tabela13[[#This Row],[DATA 
PRO-FORMA]]+30</f>
        <v>45843</v>
      </c>
      <c r="G8" s="42">
        <f>VLOOKUP(Tabela13[[#This Row],[PRO-FORM /EXPORT INVOICE
NBR]],Tabela1[#All],11,0)</f>
        <v>5000</v>
      </c>
      <c r="H8" s="77">
        <f>VLOOKUP(Tabela13[[#This Row],[PRO-FORM /EXPORT INVOICE
NBR]],Tabela1[#All],14,0)</f>
        <v>10250</v>
      </c>
      <c r="I8" s="43"/>
    </row>
    <row r="9" spans="1:9" hidden="1" x14ac:dyDescent="0.35">
      <c r="A9" s="65" t="s">
        <v>51</v>
      </c>
      <c r="B9" s="3" t="str">
        <f>VLOOKUP(Tabela13[[#This Row],[PRO-FORM /EXPORT INVOICE
NBR]],Tabela1[#All],2,0)</f>
        <v>Camas Florida GT</v>
      </c>
      <c r="C9" s="3" t="str">
        <f>VLOOKUP(Tabela13[[#This Row],[PRO-FORM /EXPORT INVOICE
NBR]],Tabela1[#All],3,0)</f>
        <v>Guatemala</v>
      </c>
      <c r="D9" s="6">
        <f>VLOOKUP(Tabela13[[#This Row],[PRO-FORM /EXPORT INVOICE
NBR]],Tabela1[#All],4,0)</f>
        <v>45814</v>
      </c>
      <c r="E9" s="42">
        <f>VLOOKUP(Tabela13[[#This Row],[PRO-FORM /EXPORT INVOICE
NBR]],Tabela1[#All],9,0)</f>
        <v>21</v>
      </c>
      <c r="F9" s="6">
        <f>Tabela13[[#This Row],[DATA 
PRO-FORMA]]+30</f>
        <v>45844</v>
      </c>
      <c r="G9" s="42">
        <f>VLOOKUP(Tabela13[[#This Row],[PRO-FORM /EXPORT INVOICE
NBR]],Tabela1[#All],11,0)</f>
        <v>1000</v>
      </c>
      <c r="H9" s="77">
        <f>VLOOKUP(Tabela13[[#This Row],[PRO-FORM /EXPORT INVOICE
NBR]],Tabela1[#All],14,0)</f>
        <v>2020</v>
      </c>
      <c r="I9" s="43"/>
    </row>
    <row r="10" spans="1:9" hidden="1" x14ac:dyDescent="0.35">
      <c r="A10" s="65" t="s">
        <v>53</v>
      </c>
      <c r="B10" s="3" t="str">
        <f>VLOOKUP(Tabela13[[#This Row],[PRO-FORM /EXPORT INVOICE
NBR]],Tabela1[#All],2,0)</f>
        <v>Camas Primiun</v>
      </c>
      <c r="C10" s="3" t="str">
        <f>VLOOKUP(Tabela13[[#This Row],[PRO-FORM /EXPORT INVOICE
NBR]],Tabela1[#All],3,0)</f>
        <v>Guatemala</v>
      </c>
      <c r="D10" s="64">
        <f>VLOOKUP(Tabela13[[#This Row],[PRO-FORM /EXPORT INVOICE
NBR]],Tabela1[#All],4,0)</f>
        <v>45789</v>
      </c>
      <c r="E10" s="42">
        <f>VLOOKUP(Tabela13[[#This Row],[PRO-FORM /EXPORT INVOICE
NBR]],Tabela1[#All],9,0)</f>
        <v>25</v>
      </c>
      <c r="F10" s="6">
        <f>Tabela13[[#This Row],[DATA 
PRO-FORMA]]+30</f>
        <v>45819</v>
      </c>
      <c r="G10" s="42">
        <f>VLOOKUP(Tabela13[[#This Row],[PRO-FORM /EXPORT INVOICE
NBR]],Tabela1[#All],11,0)</f>
        <v>60</v>
      </c>
      <c r="H10" s="77">
        <f>VLOOKUP(Tabela13[[#This Row],[PRO-FORM /EXPORT INVOICE
NBR]],Tabela1[#All],14,0)</f>
        <v>118.8</v>
      </c>
      <c r="I10" s="43"/>
    </row>
    <row r="11" spans="1:9" hidden="1" x14ac:dyDescent="0.35">
      <c r="A11" s="65" t="s">
        <v>62</v>
      </c>
      <c r="B11" s="3" t="str">
        <f>VLOOKUP(Tabela13[[#This Row],[PRO-FORM /EXPORT INVOICE
NBR]],Tabela1[#All],2,0)</f>
        <v>Camas Primiun</v>
      </c>
      <c r="C11" s="3" t="str">
        <f>VLOOKUP(Tabela13[[#This Row],[PRO-FORM /EXPORT INVOICE
NBR]],Tabela1[#All],3,0)</f>
        <v>Guatemala</v>
      </c>
      <c r="D11" s="64">
        <f>VLOOKUP(Tabela13[[#This Row],[PRO-FORM /EXPORT INVOICE
NBR]],Tabela1[#All],4,0)</f>
        <v>45817</v>
      </c>
      <c r="E11" s="42">
        <f>VLOOKUP(Tabela13[[#This Row],[PRO-FORM /EXPORT INVOICE
NBR]],Tabela1[#All],9,0)</f>
        <v>27</v>
      </c>
      <c r="F11" s="6">
        <f>Tabela13[[#This Row],[DATA 
PRO-FORMA]]+30</f>
        <v>45847</v>
      </c>
      <c r="G11" s="42">
        <f>VLOOKUP(Tabela13[[#This Row],[PRO-FORM /EXPORT INVOICE
NBR]],Tabela1[#All],11,0)</f>
        <v>60</v>
      </c>
      <c r="H11" s="77">
        <f>VLOOKUP(Tabela13[[#This Row],[PRO-FORM /EXPORT INVOICE
NBR]],Tabela1[#All],14,0)</f>
        <v>118.8</v>
      </c>
      <c r="I11" s="43"/>
    </row>
    <row r="12" spans="1:9" hidden="1" x14ac:dyDescent="0.35">
      <c r="A12" s="65">
        <v>16345</v>
      </c>
      <c r="B12" s="3" t="str">
        <f>VLOOKUP(Tabela13[[#This Row],[PRO-FORM /EXPORT INVOICE
NBR]],Tabela1[#All],2,0)</f>
        <v>ZONKD</v>
      </c>
      <c r="C12" s="3" t="str">
        <f>VLOOKUP(Tabela13[[#This Row],[PRO-FORM /EXPORT INVOICE
NBR]],Tabela1[#All],3,0)</f>
        <v>El Salvador</v>
      </c>
      <c r="D12" s="64">
        <f>VLOOKUP(Tabela13[[#This Row],[PRO-FORM /EXPORT INVOICE
NBR]],Tabela1[#All],4,0)</f>
        <v>45820</v>
      </c>
      <c r="E12" s="42">
        <f>VLOOKUP(Tabela13[[#This Row],[PRO-FORM /EXPORT INVOICE
NBR]],Tabela1[#All],9,0)</f>
        <v>26</v>
      </c>
      <c r="F12" s="6">
        <f>Tabela13[[#This Row],[DATA 
PRO-FORMA]]+30</f>
        <v>45850</v>
      </c>
      <c r="G12" s="42">
        <f>VLOOKUP(Tabela13[[#This Row],[PRO-FORM /EXPORT INVOICE
NBR]],Tabela1[#All],11,0)</f>
        <v>100</v>
      </c>
      <c r="H12" s="77">
        <f>VLOOKUP(Tabela13[[#This Row],[PRO-FORM /EXPORT INVOICE
NBR]],Tabela1[#All],14,0)</f>
        <v>229.99999999999997</v>
      </c>
      <c r="I12" s="43"/>
    </row>
    <row r="13" spans="1:9" hidden="1" x14ac:dyDescent="0.35">
      <c r="A13" s="66" t="s">
        <v>73</v>
      </c>
      <c r="B13" s="3" t="str">
        <f>VLOOKUP(Tabela13[[#This Row],[PRO-FORM /EXPORT INVOICE
NBR]],Tabela1[#All],2,0)</f>
        <v>Camas Florida GT</v>
      </c>
      <c r="C13" s="3" t="str">
        <f>VLOOKUP(Tabela13[[#This Row],[PRO-FORM /EXPORT INVOICE
NBR]],Tabela1[#All],3,0)</f>
        <v>Guatemala</v>
      </c>
      <c r="D13" s="64">
        <f>VLOOKUP(Tabela13[[#This Row],[PRO-FORM /EXPORT INVOICE
NBR]],Tabela1[#All],4,0)</f>
        <v>45827</v>
      </c>
      <c r="E13" s="42">
        <f>VLOOKUP(Tabela13[[#This Row],[PRO-FORM /EXPORT INVOICE
NBR]],Tabela1[#All],9,0)</f>
        <v>28</v>
      </c>
      <c r="F13" s="6">
        <f>Tabela13[[#This Row],[DATA 
PRO-FORMA]]+30</f>
        <v>45857</v>
      </c>
      <c r="G13" s="42">
        <f>VLOOKUP(Tabela13[[#This Row],[PRO-FORM /EXPORT INVOICE
NBR]],Tabela1[#All],11,0)</f>
        <v>1491</v>
      </c>
      <c r="H13" s="77">
        <f>VLOOKUP(Tabela13[[#This Row],[PRO-FORM /EXPORT INVOICE
NBR]],Tabela1[#All],14,0)</f>
        <v>3011.82</v>
      </c>
      <c r="I13" s="43"/>
    </row>
    <row r="14" spans="1:9" hidden="1" x14ac:dyDescent="0.35">
      <c r="A14" s="67" t="s">
        <v>76</v>
      </c>
      <c r="B14" s="3" t="str">
        <f>VLOOKUP(Tabela13[[#This Row],[PRO-FORM /EXPORT INVOICE
NBR]],Tabela1[#All],2,0)</f>
        <v>Facenco</v>
      </c>
      <c r="C14" s="3" t="str">
        <f>VLOOKUP(Tabela13[[#This Row],[PRO-FORM /EXPORT INVOICE
NBR]],Tabela1[#All],3,0)</f>
        <v>Guatemala</v>
      </c>
      <c r="D14" s="64">
        <f>VLOOKUP(Tabela13[[#This Row],[PRO-FORM /EXPORT INVOICE
NBR]],Tabela1[#All],4,0)</f>
        <v>45827</v>
      </c>
      <c r="E14" s="42">
        <f>VLOOKUP(Tabela13[[#This Row],[PRO-FORM /EXPORT INVOICE
NBR]],Tabela1[#All],9,0)</f>
        <v>29</v>
      </c>
      <c r="F14" s="6">
        <f>Tabela13[[#This Row],[DATA 
PRO-FORMA]]+30</f>
        <v>45857</v>
      </c>
      <c r="G14" s="42">
        <f>VLOOKUP(Tabela13[[#This Row],[PRO-FORM /EXPORT INVOICE
NBR]],Tabela1[#All],11,0)</f>
        <v>4000</v>
      </c>
      <c r="H14" s="77">
        <f>VLOOKUP(Tabela13[[#This Row],[PRO-FORM /EXPORT INVOICE
NBR]],Tabela1[#All],14,0)</f>
        <v>7040</v>
      </c>
      <c r="I14" s="43"/>
    </row>
    <row r="15" spans="1:9" hidden="1" x14ac:dyDescent="0.35">
      <c r="A15" s="55" t="s">
        <v>87</v>
      </c>
      <c r="B15" s="3" t="str">
        <f>VLOOKUP(Tabela13[[#This Row],[PRO-FORM /EXPORT INVOICE
NBR]],Tabela1[#All],2,0)</f>
        <v>Camas Century</v>
      </c>
      <c r="C15" s="3" t="str">
        <f>VLOOKUP(Tabela13[[#This Row],[PRO-FORM /EXPORT INVOICE
NBR]],Tabela1[#All],3,0)</f>
        <v>Guatemala</v>
      </c>
      <c r="D15" s="64">
        <f>VLOOKUP(Tabela13[[#This Row],[PRO-FORM /EXPORT INVOICE
NBR]],Tabela1[#All],4,0)</f>
        <v>45832</v>
      </c>
      <c r="E15" s="42">
        <f>VLOOKUP(Tabela13[[#This Row],[PRO-FORM /EXPORT INVOICE
NBR]],Tabela1[#All],9,0)</f>
        <v>30</v>
      </c>
      <c r="F15" s="6">
        <f>Tabela13[[#This Row],[DATA 
PRO-FORMA]]+30</f>
        <v>45862</v>
      </c>
      <c r="G15" s="42">
        <f>VLOOKUP(Tabela13[[#This Row],[PRO-FORM /EXPORT INVOICE
NBR]],Tabela1[#All],11,0)</f>
        <v>1500</v>
      </c>
      <c r="H15" s="77">
        <f>VLOOKUP(Tabela13[[#This Row],[PRO-FORM /EXPORT INVOICE
NBR]],Tabela1[#All],14,0)</f>
        <v>3720</v>
      </c>
      <c r="I15" s="43"/>
    </row>
    <row r="16" spans="1:9" hidden="1" x14ac:dyDescent="0.35">
      <c r="A16" s="63" t="s">
        <v>48</v>
      </c>
      <c r="B16" s="3" t="str">
        <f>VLOOKUP(Tabela13[[#This Row],[PRO-FORM /EXPORT INVOICE
NBR]],Tabela1[#All],2,0)</f>
        <v>RELAXTECH INTERNACIONAL-JIRON</v>
      </c>
      <c r="C16" s="3" t="str">
        <f>VLOOKUP(Tabela13[[#This Row],[PRO-FORM /EXPORT INVOICE
NBR]],Tabela1[#All],3,0)</f>
        <v>Costa Rica</v>
      </c>
      <c r="D16" s="64">
        <f>VLOOKUP(Tabela13[[#This Row],[PRO-FORM /EXPORT INVOICE
NBR]],Tabela1[#All],4,0)</f>
        <v>45813</v>
      </c>
      <c r="E16" s="42">
        <f>VLOOKUP(Tabela13[[#This Row],[PRO-FORM /EXPORT INVOICE
NBR]],Tabela1[#All],9,0)</f>
        <v>31</v>
      </c>
      <c r="F16" s="6">
        <f>Tabela13[[#This Row],[DATA 
PRO-FORMA]]+30</f>
        <v>45843</v>
      </c>
      <c r="G16" s="42">
        <f>VLOOKUP(Tabela13[[#This Row],[PRO-FORM /EXPORT INVOICE
NBR]],Tabela1[#All],11,0)</f>
        <v>10000</v>
      </c>
      <c r="H16" s="77">
        <f>VLOOKUP(Tabela13[[#This Row],[PRO-FORM /EXPORT INVOICE
NBR]],Tabela1[#All],14,0)</f>
        <v>17900</v>
      </c>
      <c r="I16" s="43"/>
    </row>
    <row r="17" spans="1:9" hidden="1" x14ac:dyDescent="0.35">
      <c r="A17" s="2" t="s">
        <v>89</v>
      </c>
      <c r="B17" s="3" t="str">
        <f>VLOOKUP(Tabela13[[#This Row],[PRO-FORM /EXPORT INVOICE
NBR]],Tabela1[#All],2,0)</f>
        <v>Fadessa</v>
      </c>
      <c r="C17" s="3" t="str">
        <f>VLOOKUP(Tabela13[[#This Row],[PRO-FORM /EXPORT INVOICE
NBR]],Tabela1[#All],3,0)</f>
        <v>Honduras</v>
      </c>
      <c r="D17" s="64">
        <f>VLOOKUP(Tabela13[[#This Row],[PRO-FORM /EXPORT INVOICE
NBR]],Tabela1[#All],4,0)</f>
        <v>45785</v>
      </c>
      <c r="E17" s="42">
        <f>VLOOKUP(Tabela13[[#This Row],[PRO-FORM /EXPORT INVOICE
NBR]],Tabela1[#All],9,0)</f>
        <v>39</v>
      </c>
      <c r="F17" s="6">
        <f>Tabela13[[#This Row],[DATA 
PRO-FORMA]]+30</f>
        <v>45815</v>
      </c>
      <c r="G17" s="42">
        <f>VLOOKUP(Tabela13[[#This Row],[PRO-FORM /EXPORT INVOICE
NBR]],Tabela1[#All],11,0)</f>
        <v>3000</v>
      </c>
      <c r="H17" s="77">
        <f>VLOOKUP(Tabela13[[#This Row],[PRO-FORM /EXPORT INVOICE
NBR]],Tabela1[#All],14,0)</f>
        <v>5520</v>
      </c>
      <c r="I17" s="43"/>
    </row>
    <row r="18" spans="1:9" hidden="1" x14ac:dyDescent="0.35">
      <c r="A18" s="2" t="s">
        <v>91</v>
      </c>
      <c r="B18" s="3" t="str">
        <f>VLOOKUP(Tabela13[[#This Row],[PRO-FORM /EXPORT INVOICE
NBR]],Tabela1[#All],2,0)</f>
        <v>Facenco</v>
      </c>
      <c r="C18" s="3" t="str">
        <f>VLOOKUP(Tabela13[[#This Row],[PRO-FORM /EXPORT INVOICE
NBR]],Tabela1[#All],3,0)</f>
        <v>Guatemala</v>
      </c>
      <c r="D18" s="64">
        <f>VLOOKUP(Tabela13[[#This Row],[PRO-FORM /EXPORT INVOICE
NBR]],Tabela1[#All],4,0)</f>
        <v>45840</v>
      </c>
      <c r="E18" s="42">
        <f>VLOOKUP(Tabela13[[#This Row],[PRO-FORM /EXPORT INVOICE
NBR]],Tabela1[#All],9,0)</f>
        <v>34</v>
      </c>
      <c r="F18" s="6">
        <f>Tabela13[[#This Row],[DATA 
PRO-FORMA]]+30</f>
        <v>45870</v>
      </c>
      <c r="G18" s="42">
        <f>VLOOKUP(Tabela13[[#This Row],[PRO-FORM /EXPORT INVOICE
NBR]],Tabela1[#All],11,0)</f>
        <v>1500</v>
      </c>
      <c r="H18" s="77">
        <f>VLOOKUP(Tabela13[[#This Row],[PRO-FORM /EXPORT INVOICE
NBR]],Tabela1[#All],14,0)</f>
        <v>2955</v>
      </c>
      <c r="I18" s="43"/>
    </row>
    <row r="19" spans="1:9" hidden="1" x14ac:dyDescent="0.35">
      <c r="A19" s="5" t="s">
        <v>95</v>
      </c>
      <c r="B19" s="3" t="str">
        <f>VLOOKUP(Tabela13[[#This Row],[PRO-FORM /EXPORT INVOICE
NBR]],Tabela1[#All],2,0)</f>
        <v>Camas Primiun</v>
      </c>
      <c r="C19" s="3" t="str">
        <f>VLOOKUP(Tabela13[[#This Row],[PRO-FORM /EXPORT INVOICE
NBR]],Tabela1[#All],3,0)</f>
        <v>Guatemala</v>
      </c>
      <c r="D19" s="64">
        <f>VLOOKUP(Tabela13[[#This Row],[PRO-FORM /EXPORT INVOICE
NBR]],Tabela1[#All],4,0)</f>
        <v>45846</v>
      </c>
      <c r="E19" s="42">
        <f>VLOOKUP(Tabela13[[#This Row],[PRO-FORM /EXPORT INVOICE
NBR]],Tabela1[#All],9,0)</f>
        <v>33</v>
      </c>
      <c r="F19" s="6">
        <f>Tabela13[[#This Row],[DATA 
PRO-FORMA]]+30</f>
        <v>45876</v>
      </c>
      <c r="G19" s="42">
        <f>VLOOKUP(Tabela13[[#This Row],[PRO-FORM /EXPORT INVOICE
NBR]],Tabela1[#All],11,0)</f>
        <v>2000</v>
      </c>
      <c r="H19" s="77">
        <f>VLOOKUP(Tabela13[[#This Row],[PRO-FORM /EXPORT INVOICE
NBR]],Tabela1[#All],14,0)</f>
        <v>4000</v>
      </c>
      <c r="I19" s="43"/>
    </row>
    <row r="20" spans="1:9" hidden="1" x14ac:dyDescent="0.35">
      <c r="A20" s="5" t="s">
        <v>98</v>
      </c>
      <c r="B20" s="3" t="str">
        <f>VLOOKUP(Tabela13[[#This Row],[PRO-FORM /EXPORT INVOICE
NBR]],Tabela1[#All],2,0)</f>
        <v>Facomsa</v>
      </c>
      <c r="C20" s="3" t="str">
        <f>VLOOKUP(Tabela13[[#This Row],[PRO-FORM /EXPORT INVOICE
NBR]],Tabela1[#All],3,0)</f>
        <v>Guatemala</v>
      </c>
      <c r="D20" s="64">
        <f>VLOOKUP(Tabela13[[#This Row],[PRO-FORM /EXPORT INVOICE
NBR]],Tabela1[#All],4,0)</f>
        <v>45848</v>
      </c>
      <c r="E20" s="42">
        <f>VLOOKUP(Tabela13[[#This Row],[PRO-FORM /EXPORT INVOICE
NBR]],Tabela1[#All],9,0)</f>
        <v>38</v>
      </c>
      <c r="F20" s="6">
        <f>Tabela13[[#This Row],[DATA 
PRO-FORMA]]+30</f>
        <v>45878</v>
      </c>
      <c r="G20" s="42">
        <f>VLOOKUP(Tabela13[[#This Row],[PRO-FORM /EXPORT INVOICE
NBR]],Tabela1[#All],11,0)</f>
        <v>700</v>
      </c>
      <c r="H20" s="77">
        <f>VLOOKUP(Tabela13[[#This Row],[PRO-FORM /EXPORT INVOICE
NBR]],Tabela1[#All],14,0)</f>
        <v>2800</v>
      </c>
      <c r="I20" s="43"/>
    </row>
    <row r="21" spans="1:9" hidden="1" x14ac:dyDescent="0.35">
      <c r="A21" s="5" t="s">
        <v>110</v>
      </c>
      <c r="B21" s="3" t="str">
        <f>VLOOKUP(Tabela13[[#This Row],[PRO-FORM /EXPORT INVOICE
NBR]],Tabela1[#All],2,0)</f>
        <v>Camas Florida GT</v>
      </c>
      <c r="C21" s="3" t="str">
        <f>VLOOKUP(Tabela13[[#This Row],[PRO-FORM /EXPORT INVOICE
NBR]],Tabela1[#All],3,0)</f>
        <v>Guatemala</v>
      </c>
      <c r="D21" s="64">
        <f>VLOOKUP(Tabela13[[#This Row],[PRO-FORM /EXPORT INVOICE
NBR]],Tabela1[#All],4,0)</f>
        <v>45849</v>
      </c>
      <c r="E21" s="42">
        <f>VLOOKUP(Tabela13[[#This Row],[PRO-FORM /EXPORT INVOICE
NBR]],Tabela1[#All],9,0)</f>
        <v>40</v>
      </c>
      <c r="F21" s="6">
        <f>Tabela13[[#This Row],[DATA 
PRO-FORMA]]+30</f>
        <v>45879</v>
      </c>
      <c r="G21" s="42">
        <f>VLOOKUP(Tabela13[[#This Row],[PRO-FORM /EXPORT INVOICE
NBR]],Tabela1[#All],11,0)</f>
        <v>1000</v>
      </c>
      <c r="H21" s="77">
        <f>VLOOKUP(Tabela13[[#This Row],[PRO-FORM /EXPORT INVOICE
NBR]],Tabela1[#All],14,0)</f>
        <v>2280</v>
      </c>
      <c r="I21" s="43"/>
    </row>
    <row r="22" spans="1:9" hidden="1" x14ac:dyDescent="0.35">
      <c r="A22" s="5" t="s">
        <v>120</v>
      </c>
      <c r="B22" s="3" t="str">
        <f>VLOOKUP(Tabela13[[#This Row],[PRO-FORM /EXPORT INVOICE
NBR]],Tabela1[#All],2,0)</f>
        <v>Camas Primiun</v>
      </c>
      <c r="C22" s="3" t="str">
        <f>VLOOKUP(Tabela13[[#This Row],[PRO-FORM /EXPORT INVOICE
NBR]],Tabela1[#All],3,0)</f>
        <v>Guatemala</v>
      </c>
      <c r="D22" s="64">
        <f>VLOOKUP(Tabela13[[#This Row],[PRO-FORM /EXPORT INVOICE
NBR]],Tabela1[#All],4,0)</f>
        <v>45852</v>
      </c>
      <c r="E22" s="42">
        <f>VLOOKUP(Tabela13[[#This Row],[PRO-FORM /EXPORT INVOICE
NBR]],Tabela1[#All],9,0)</f>
        <v>41</v>
      </c>
      <c r="F22" s="6">
        <f>Tabela13[[#This Row],[DATA 
PRO-FORMA]]+30</f>
        <v>45882</v>
      </c>
      <c r="G22" s="42">
        <f>VLOOKUP(Tabela13[[#This Row],[PRO-FORM /EXPORT INVOICE
NBR]],Tabela1[#All],11,0)</f>
        <v>2000</v>
      </c>
      <c r="H22" s="77">
        <f>VLOOKUP(Tabela13[[#This Row],[PRO-FORM /EXPORT INVOICE
NBR]],Tabela1[#All],14,0)</f>
        <v>3960</v>
      </c>
      <c r="I22" s="43"/>
    </row>
    <row r="23" spans="1:9" hidden="1" x14ac:dyDescent="0.35">
      <c r="A23" s="55" t="s">
        <v>124</v>
      </c>
      <c r="B23" s="3" t="str">
        <f>VLOOKUP(Tabela13[[#This Row],[PRO-FORM /EXPORT INVOICE
NBR]],Tabela1[#All],2,0)</f>
        <v>Camas Century</v>
      </c>
      <c r="C23" s="3" t="str">
        <f>VLOOKUP(Tabela13[[#This Row],[PRO-FORM /EXPORT INVOICE
NBR]],Tabela1[#All],3,0)</f>
        <v>Guatemala</v>
      </c>
      <c r="D23" s="64">
        <f>VLOOKUP(Tabela13[[#This Row],[PRO-FORM /EXPORT INVOICE
NBR]],Tabela1[#All],4,0)</f>
        <v>45854</v>
      </c>
      <c r="E23" s="42">
        <f>VLOOKUP(Tabela13[[#This Row],[PRO-FORM /EXPORT INVOICE
NBR]],Tabela1[#All],9,0)</f>
        <v>42</v>
      </c>
      <c r="F23" s="6">
        <f>Tabela13[[#This Row],[DATA 
PRO-FORMA]]+30</f>
        <v>45884</v>
      </c>
      <c r="G23" s="42">
        <f>VLOOKUP(Tabela13[[#This Row],[PRO-FORM /EXPORT INVOICE
NBR]],Tabela1[#All],11,0)</f>
        <v>2000</v>
      </c>
      <c r="H23" s="77">
        <f>VLOOKUP(Tabela13[[#This Row],[PRO-FORM /EXPORT INVOICE
NBR]],Tabela1[#All],14,0)</f>
        <v>3640</v>
      </c>
      <c r="I23" s="69"/>
    </row>
    <row r="24" spans="1:9" hidden="1" x14ac:dyDescent="0.35">
      <c r="A24" s="5" t="s">
        <v>126</v>
      </c>
      <c r="B24" s="3" t="str">
        <f>VLOOKUP(Tabela13[[#This Row],[PRO-FORM /EXPORT INVOICE
NBR]],Tabela1[#All],2,0)</f>
        <v>Camas Florida GT</v>
      </c>
      <c r="C24" s="3" t="str">
        <f>VLOOKUP(Tabela13[[#This Row],[PRO-FORM /EXPORT INVOICE
NBR]],Tabela1[#All],3,0)</f>
        <v>Guatemala</v>
      </c>
      <c r="D24" s="64">
        <f>VLOOKUP(Tabela13[[#This Row],[PRO-FORM /EXPORT INVOICE
NBR]],Tabela1[#All],4,0)</f>
        <v>45854</v>
      </c>
      <c r="E24" s="42">
        <f>VLOOKUP(Tabela13[[#This Row],[PRO-FORM /EXPORT INVOICE
NBR]],Tabela1[#All],9,0)</f>
        <v>43</v>
      </c>
      <c r="F24" s="6">
        <f>Tabela13[[#This Row],[DATA 
PRO-FORMA]]+30</f>
        <v>45884</v>
      </c>
      <c r="G24" s="42">
        <f>VLOOKUP(Tabela13[[#This Row],[PRO-FORM /EXPORT INVOICE
NBR]],Tabela1[#All],11,0)</f>
        <v>1500</v>
      </c>
      <c r="H24" s="77">
        <f>VLOOKUP(Tabela13[[#This Row],[PRO-FORM /EXPORT INVOICE
NBR]],Tabela1[#All],14,0)</f>
        <v>3419.9999999999995</v>
      </c>
      <c r="I24" s="43"/>
    </row>
    <row r="25" spans="1:9" hidden="1" x14ac:dyDescent="0.35">
      <c r="A25" s="75">
        <v>2976</v>
      </c>
      <c r="B25" s="24" t="s">
        <v>20</v>
      </c>
      <c r="C25" s="3" t="str">
        <f>VLOOKUP(Tabela13[[#This Row],[PRO-FORM /EXPORT INVOICE
NBR]],Tabela1[#All],3,0)</f>
        <v>Guatemala</v>
      </c>
      <c r="D25" s="64">
        <f>VLOOKUP(Tabela13[[#This Row],[PRO-FORM /EXPORT INVOICE
NBR]],Tabela1[#All],4,0)</f>
        <v>45863</v>
      </c>
      <c r="E25" s="42">
        <f>VLOOKUP(Tabela13[[#This Row],[PRO-FORM /EXPORT INVOICE
NBR]],Tabela1[#All],9,0)</f>
        <v>45</v>
      </c>
      <c r="F25" s="6">
        <f>Tabela13[[#This Row],[DATA 
PRO-FORMA]]+30</f>
        <v>45893</v>
      </c>
      <c r="G25" s="42">
        <f>VLOOKUP(Tabela13[[#This Row],[PRO-FORM /EXPORT INVOICE
NBR]],Tabela1[#All],11,0)</f>
        <v>2000</v>
      </c>
      <c r="H25" s="77">
        <f>VLOOKUP(Tabela13[[#This Row],[PRO-FORM /EXPORT INVOICE
NBR]],Tabela1[#All],14,0)</f>
        <v>9520</v>
      </c>
      <c r="I25" s="43"/>
    </row>
    <row r="26" spans="1:9" hidden="1" x14ac:dyDescent="0.35">
      <c r="A26" s="5" t="s">
        <v>138</v>
      </c>
      <c r="B26" t="s">
        <v>77</v>
      </c>
      <c r="C26" s="3" t="str">
        <f>VLOOKUP(Tabela13[[#This Row],[PRO-FORM /EXPORT INVOICE
NBR]],Tabela1[#All],3,0)</f>
        <v>Guatemala</v>
      </c>
      <c r="D26" s="64">
        <f>VLOOKUP(Tabela13[[#This Row],[PRO-FORM /EXPORT INVOICE
NBR]],Tabela1[#All],4,0)</f>
        <v>45863</v>
      </c>
      <c r="E26" s="42">
        <f>VLOOKUP(Tabela13[[#This Row],[PRO-FORM /EXPORT INVOICE
NBR]],Tabela1[#All],9,0)</f>
        <v>44</v>
      </c>
      <c r="F26" s="6">
        <f>Tabela13[[#This Row],[DATA 
PRO-FORMA]]+30</f>
        <v>45893</v>
      </c>
      <c r="G26" s="42">
        <f>VLOOKUP(Tabela13[[#This Row],[PRO-FORM /EXPORT INVOICE
NBR]],Tabela1[#All],11,0)</f>
        <v>2000</v>
      </c>
      <c r="H26" s="77">
        <v>8092</v>
      </c>
      <c r="I26" s="69"/>
    </row>
    <row r="27" spans="1:9" hidden="1" x14ac:dyDescent="0.35">
      <c r="A27" s="5" t="s">
        <v>143</v>
      </c>
      <c r="B27" s="3" t="s">
        <v>52</v>
      </c>
      <c r="C27" s="3" t="str">
        <f>VLOOKUP(Tabela13[[#This Row],[PRO-FORM /EXPORT INVOICE
NBR]],Tabela1[#All],3,0)</f>
        <v>Guatemala</v>
      </c>
      <c r="D27" s="64">
        <f>VLOOKUP(Tabela13[[#This Row],[PRO-FORM /EXPORT INVOICE
NBR]],Tabela1[#All],4,0)</f>
        <v>45868</v>
      </c>
      <c r="E27" s="42">
        <f>VLOOKUP(Tabela13[[#This Row],[PRO-FORM /EXPORT INVOICE
NBR]],Tabela1[#All],9,0)</f>
        <v>47</v>
      </c>
      <c r="F27" s="6">
        <f>Tabela13[[#This Row],[DATA 
PRO-FORMA]]+30</f>
        <v>45898</v>
      </c>
      <c r="G27" s="42">
        <f>VLOOKUP(Tabela13[[#This Row],[PRO-FORM /EXPORT INVOICE
NBR]],Tabela1[#All],11,0)</f>
        <v>1000</v>
      </c>
      <c r="H27" s="77">
        <f>VLOOKUP(Tabela13[[#This Row],[PRO-FORM /EXPORT INVOICE
NBR]],Tabela1[#All],14,0)</f>
        <v>2060</v>
      </c>
      <c r="I27" s="103" t="s">
        <v>218</v>
      </c>
    </row>
    <row r="28" spans="1:9" hidden="1" x14ac:dyDescent="0.35">
      <c r="A28" s="5" t="s">
        <v>211</v>
      </c>
      <c r="B28" s="3" t="s">
        <v>54</v>
      </c>
      <c r="C28" s="3" t="str">
        <f>VLOOKUP(Tabela13[[#This Row],[PRO-FORM /EXPORT INVOICE
NBR]],Tabela1[#All],3,0)</f>
        <v>Guatemala</v>
      </c>
      <c r="D28" s="64">
        <f>VLOOKUP(Tabela13[[#This Row],[PRO-FORM /EXPORT INVOICE
NBR]],Tabela1[#All],4,0)</f>
        <v>45876</v>
      </c>
      <c r="E28" s="42">
        <f>VLOOKUP(Tabela13[[#This Row],[PRO-FORM /EXPORT INVOICE
NBR]],Tabela1[#All],9,0)</f>
        <v>46</v>
      </c>
      <c r="F28" s="6">
        <f>Tabela13[[#This Row],[DATA 
PRO-FORMA]]+30</f>
        <v>45906</v>
      </c>
      <c r="G28" s="42">
        <v>6000</v>
      </c>
      <c r="H28" s="98">
        <v>11920</v>
      </c>
      <c r="I28" s="43"/>
    </row>
    <row r="29" spans="1:9" hidden="1" x14ac:dyDescent="0.35">
      <c r="A29" s="5" t="s">
        <v>220</v>
      </c>
      <c r="B29" s="3" t="s">
        <v>221</v>
      </c>
      <c r="C29" s="99" t="s">
        <v>92</v>
      </c>
      <c r="D29" s="64">
        <f>VLOOKUP(Tabela13[[#This Row],[PRO-FORM /EXPORT INVOICE
NBR]],Tabela1[#All],4,0)</f>
        <v>45876</v>
      </c>
      <c r="E29" s="42">
        <f>VLOOKUP(Tabela13[[#This Row],[PRO-FORM /EXPORT INVOICE
NBR]],Tabela1[#All],9,0)</f>
        <v>48</v>
      </c>
      <c r="F29" s="6">
        <f>Tabela13[[#This Row],[DATA 
PRO-FORMA]]+30</f>
        <v>45906</v>
      </c>
      <c r="G29" s="42">
        <f>VLOOKUP(Tabela13[[#This Row],[PRO-FORM /EXPORT INVOICE
NBR]],Tabela1[#All],11,0)</f>
        <v>300</v>
      </c>
      <c r="H29" s="98">
        <v>1440</v>
      </c>
      <c r="I29" s="43" t="s">
        <v>259</v>
      </c>
    </row>
    <row r="30" spans="1:9" hidden="1" x14ac:dyDescent="0.35">
      <c r="A30" s="5" t="s">
        <v>222</v>
      </c>
      <c r="B30" s="3" t="s">
        <v>221</v>
      </c>
      <c r="C30" s="99" t="s">
        <v>92</v>
      </c>
      <c r="D30" s="64">
        <f>VLOOKUP(Tabela13[[#This Row],[PRO-FORM /EXPORT INVOICE
NBR]],Tabela1[#All],4,0)</f>
        <v>45876</v>
      </c>
      <c r="E30" s="42">
        <f>VLOOKUP(Tabela13[[#This Row],[PRO-FORM /EXPORT INVOICE
NBR]],Tabela1[#All],9,0)</f>
        <v>49</v>
      </c>
      <c r="F30" s="6">
        <f>Tabela13[[#This Row],[DATA 
PRO-FORMA]]+30</f>
        <v>45906</v>
      </c>
      <c r="G30" s="42">
        <f>VLOOKUP(Tabela13[[#This Row],[PRO-FORM /EXPORT INVOICE
NBR]],Tabela1[#All],11,0)</f>
        <v>2000</v>
      </c>
      <c r="H30" s="98">
        <v>3400</v>
      </c>
      <c r="I30" s="43" t="s">
        <v>259</v>
      </c>
    </row>
    <row r="31" spans="1:9" hidden="1" x14ac:dyDescent="0.35">
      <c r="A31" s="5" t="s">
        <v>228</v>
      </c>
      <c r="B31" s="3" t="s">
        <v>221</v>
      </c>
      <c r="C31" s="99" t="s">
        <v>92</v>
      </c>
      <c r="D31" s="64">
        <f>VLOOKUP(Tabela13[[#This Row],[PRO-FORM /EXPORT INVOICE
NBR]],Tabela1[#All],4,0)</f>
        <v>45876</v>
      </c>
      <c r="E31" s="42">
        <f>VLOOKUP(Tabela13[[#This Row],[PRO-FORM /EXPORT INVOICE
NBR]],Tabela1[#All],9,0)</f>
        <v>50</v>
      </c>
      <c r="F31" s="6">
        <f>Tabela13[[#This Row],[DATA 
PRO-FORMA]]+30</f>
        <v>45906</v>
      </c>
      <c r="G31" s="42">
        <f>VLOOKUP(Tabela13[[#This Row],[PRO-FORM /EXPORT INVOICE
NBR]],Tabela1[#All],11,0)</f>
        <v>300</v>
      </c>
      <c r="H31" s="98">
        <v>759</v>
      </c>
      <c r="I31" s="43" t="s">
        <v>259</v>
      </c>
    </row>
    <row r="32" spans="1:9" hidden="1" x14ac:dyDescent="0.35">
      <c r="A32" s="3" t="s">
        <v>233</v>
      </c>
      <c r="B32" s="3" t="s">
        <v>234</v>
      </c>
      <c r="C32" s="99" t="s">
        <v>21</v>
      </c>
      <c r="D32" s="64">
        <f>VLOOKUP(Tabela13[[#This Row],[PRO-FORM /EXPORT INVOICE
NBR]],Tabela1[#All],4,0)</f>
        <v>45881</v>
      </c>
      <c r="E32" s="42">
        <f>VLOOKUP(Tabela13[[#This Row],[PRO-FORM /EXPORT INVOICE
NBR]],Tabela1[#All],9,0)</f>
        <v>51</v>
      </c>
      <c r="F32" s="6">
        <f>Tabela13[[#This Row],[DATA 
PRO-FORMA]]+30</f>
        <v>45911</v>
      </c>
      <c r="G32" s="42">
        <v>10500</v>
      </c>
      <c r="H32" s="98">
        <v>17990</v>
      </c>
      <c r="I32" s="43" t="s">
        <v>259</v>
      </c>
    </row>
    <row r="33" spans="1:9" hidden="1" x14ac:dyDescent="0.35">
      <c r="A33" s="5" t="s">
        <v>245</v>
      </c>
      <c r="B33" s="3" t="s">
        <v>77</v>
      </c>
      <c r="C33" s="99" t="s">
        <v>21</v>
      </c>
      <c r="D33" s="64">
        <f>VLOOKUP(Tabela13[[#This Row],[PRO-FORM /EXPORT INVOICE
NBR]],Tabela1[#All],4,0)</f>
        <v>45882</v>
      </c>
      <c r="E33" s="42">
        <f>VLOOKUP(Tabela13[[#This Row],[PRO-FORM /EXPORT INVOICE
NBR]],Tabela1[#All],9,0)</f>
        <v>52</v>
      </c>
      <c r="F33" s="6">
        <f>Tabela13[[#This Row],[DATA 
PRO-FORMA]]+30</f>
        <v>45912</v>
      </c>
      <c r="G33" s="42">
        <f>VLOOKUP(Tabela13[[#This Row],[PRO-FORM /EXPORT INVOICE
NBR]],Tabela1[#All],11,0)</f>
        <v>1000</v>
      </c>
      <c r="H33" s="98">
        <f>'Detalhes  pedidos'!N39</f>
        <v>1760</v>
      </c>
      <c r="I33" s="43" t="s">
        <v>251</v>
      </c>
    </row>
    <row r="34" spans="1:9" hidden="1" x14ac:dyDescent="0.35">
      <c r="A34" s="5" t="s">
        <v>235</v>
      </c>
      <c r="B34" s="3" t="s">
        <v>221</v>
      </c>
      <c r="C34" s="99" t="s">
        <v>92</v>
      </c>
      <c r="D34" s="64">
        <f>VLOOKUP(Tabela13[[#This Row],[PRO-FORM /EXPORT INVOICE
NBR]],Tabela1[#All],4,0)</f>
        <v>45883</v>
      </c>
      <c r="E34" s="42">
        <f>VLOOKUP(Tabela13[[#This Row],[PRO-FORM /EXPORT INVOICE
NBR]],Tabela1[#All],9,0)</f>
        <v>53</v>
      </c>
      <c r="F34" s="6">
        <f>Tabela13[[#This Row],[DATA 
PRO-FORMA]]+30</f>
        <v>45913</v>
      </c>
      <c r="G34" s="42">
        <f>VLOOKUP(Tabela13[[#This Row],[PRO-FORM /EXPORT INVOICE
NBR]],Tabela1[#All],11,0)</f>
        <v>2000</v>
      </c>
      <c r="H34" s="30">
        <f>Tabela1[[#This Row],[PRECIO
USD]]*Tabela1[[#This Row],[MT/YD]]</f>
        <v>3640</v>
      </c>
      <c r="I34" s="43" t="s">
        <v>260</v>
      </c>
    </row>
    <row r="35" spans="1:9" hidden="1" x14ac:dyDescent="0.35">
      <c r="A35" s="5" t="s">
        <v>236</v>
      </c>
      <c r="B35" s="3" t="s">
        <v>221</v>
      </c>
      <c r="C35" s="99" t="s">
        <v>92</v>
      </c>
      <c r="D35" s="64">
        <f>VLOOKUP(Tabela13[[#This Row],[PRO-FORM /EXPORT INVOICE
NBR]],Tabela1[#All],4,0)</f>
        <v>45883</v>
      </c>
      <c r="E35" s="42">
        <f>VLOOKUP(Tabela13[[#This Row],[PRO-FORM /EXPORT INVOICE
NBR]],Tabela1[#All],9,0)</f>
        <v>54</v>
      </c>
      <c r="F35" s="6">
        <f>Tabela13[[#This Row],[DATA 
PRO-FORMA]]+30</f>
        <v>45913</v>
      </c>
      <c r="G35" s="42">
        <f>VLOOKUP(Tabela13[[#This Row],[PRO-FORM /EXPORT INVOICE
NBR]],Tabela1[#All],11,0)</f>
        <v>1000</v>
      </c>
      <c r="H35" s="30">
        <f>Tabela1[[#This Row],[PRECIO
USD]]*Tabela1[[#This Row],[MT/YD]]</f>
        <v>663</v>
      </c>
      <c r="I35" s="43" t="s">
        <v>260</v>
      </c>
    </row>
    <row r="36" spans="1:9" hidden="1" x14ac:dyDescent="0.35">
      <c r="A36" s="5" t="s">
        <v>268</v>
      </c>
      <c r="B36" s="3" t="s">
        <v>269</v>
      </c>
      <c r="C36" s="99" t="s">
        <v>21</v>
      </c>
      <c r="D36" s="64">
        <f>VLOOKUP(Tabela13[[#This Row],[PRO-FORM /EXPORT INVOICE
NBR]],Tabela1[#All],4,0)</f>
        <v>45890</v>
      </c>
      <c r="E36" s="42">
        <f>VLOOKUP(Tabela13[[#This Row],[PRO-FORM /EXPORT INVOICE
NBR]],Tabela1[#All],9,0)</f>
        <v>56</v>
      </c>
      <c r="F36" s="6">
        <f>Tabela13[[#This Row],[DATA 
PRO-FORMA]]+30</f>
        <v>45920</v>
      </c>
      <c r="G36" s="42">
        <f>VLOOKUP(Tabela13[[#This Row],[PRO-FORM /EXPORT INVOICE
NBR]],Tabela1[#All],11,0)</f>
        <v>162</v>
      </c>
      <c r="H36" s="30">
        <v>317.52</v>
      </c>
      <c r="I36" s="43" t="s">
        <v>293</v>
      </c>
    </row>
    <row r="37" spans="1:9" hidden="1" x14ac:dyDescent="0.35">
      <c r="A37" s="55" t="s">
        <v>277</v>
      </c>
      <c r="B37" s="3" t="s">
        <v>85</v>
      </c>
      <c r="C37" s="99" t="s">
        <v>21</v>
      </c>
      <c r="D37" s="64">
        <f>VLOOKUP(Tabela13[[#This Row],[PRO-FORM /EXPORT INVOICE
NBR]],Tabela1[#All],4,0)</f>
        <v>45894</v>
      </c>
      <c r="E37" s="42">
        <f>VLOOKUP(Tabela13[[#This Row],[PRO-FORM /EXPORT INVOICE
NBR]],Tabela1[#All],9,0)</f>
        <v>55</v>
      </c>
      <c r="F37" s="6">
        <f>Tabela13[[#This Row],[DATA 
PRO-FORMA]]+30</f>
        <v>45924</v>
      </c>
      <c r="G37" s="42">
        <f>VLOOKUP(Tabela13[[#This Row],[PRO-FORM /EXPORT INVOICE
NBR]],Tabela1[#All],11,0)</f>
        <v>1500</v>
      </c>
      <c r="H37" s="30">
        <v>2550</v>
      </c>
      <c r="I37" s="43" t="s">
        <v>294</v>
      </c>
    </row>
    <row r="38" spans="1:9" hidden="1" x14ac:dyDescent="0.35">
      <c r="A38" s="108" t="s">
        <v>274</v>
      </c>
      <c r="B38" s="3" t="s">
        <v>52</v>
      </c>
      <c r="C38" s="99" t="s">
        <v>21</v>
      </c>
      <c r="D38" s="64">
        <f>VLOOKUP(Tabela13[[#This Row],[PRO-FORM /EXPORT INVOICE
NBR]],Tabela1[#All],4,0)</f>
        <v>45894</v>
      </c>
      <c r="E38" s="42">
        <f>VLOOKUP(Tabela13[[#This Row],[PRO-FORM /EXPORT INVOICE
NBR]],Tabela1[#All],9,0)</f>
        <v>59</v>
      </c>
      <c r="F38" s="6">
        <f>Tabela13[[#This Row],[DATA 
PRO-FORMA]]+30</f>
        <v>45924</v>
      </c>
      <c r="G38" s="42">
        <v>3600</v>
      </c>
      <c r="H38" s="107">
        <v>8422</v>
      </c>
      <c r="I38" s="43" t="s">
        <v>295</v>
      </c>
    </row>
    <row r="39" spans="1:9" hidden="1" x14ac:dyDescent="0.35">
      <c r="A39" s="5" t="s">
        <v>287</v>
      </c>
      <c r="B39" s="3" t="s">
        <v>77</v>
      </c>
      <c r="C39" s="99" t="s">
        <v>21</v>
      </c>
      <c r="D39" s="64">
        <f>VLOOKUP(Tabela13[[#This Row],[PRO-FORM /EXPORT INVOICE
NBR]],Tabela1[#All],4,0)</f>
        <v>45895</v>
      </c>
      <c r="E39" s="42">
        <f>VLOOKUP(Tabela13[[#This Row],[PRO-FORM /EXPORT INVOICE
NBR]],Tabela1[#All],9,0)</f>
        <v>57</v>
      </c>
      <c r="F39" s="6">
        <f>Tabela13[[#This Row],[DATA 
PRO-FORMA]]+30</f>
        <v>45925</v>
      </c>
      <c r="G39" s="42">
        <v>7000</v>
      </c>
      <c r="H39" s="98">
        <v>12360</v>
      </c>
      <c r="I39" s="43"/>
    </row>
    <row r="40" spans="1:9" hidden="1" x14ac:dyDescent="0.35">
      <c r="A40" s="5" t="s">
        <v>298</v>
      </c>
      <c r="B40" s="3" t="s">
        <v>20</v>
      </c>
      <c r="C40" s="99" t="s">
        <v>21</v>
      </c>
      <c r="D40" s="64">
        <f>VLOOKUP(Tabela13[[#This Row],[PRO-FORM /EXPORT INVOICE
NBR]],Tabela1[#All],4,0)</f>
        <v>45897</v>
      </c>
      <c r="E40" s="42">
        <f>VLOOKUP(Tabela13[[#This Row],[PRO-FORM /EXPORT INVOICE
NBR]],Tabela1[#All],9,0)</f>
        <v>58</v>
      </c>
      <c r="F40" s="6">
        <f>Tabela13[[#This Row],[DATA 
PRO-FORMA]]+30</f>
        <v>45927</v>
      </c>
      <c r="G40" s="42">
        <f>VLOOKUP(Tabela13[[#This Row],[PRO-FORM /EXPORT INVOICE
NBR]],Tabela1[#All],11,0)</f>
        <v>2000</v>
      </c>
      <c r="H40" s="98">
        <v>2000</v>
      </c>
      <c r="I40" s="43"/>
    </row>
    <row r="41" spans="1:9" hidden="1" x14ac:dyDescent="0.35">
      <c r="A41" s="5" t="s">
        <v>307</v>
      </c>
      <c r="B41" s="3" t="s">
        <v>109</v>
      </c>
      <c r="C41" s="99" t="s">
        <v>92</v>
      </c>
      <c r="D41" s="64">
        <f>VLOOKUP(Tabela13[[#This Row],[PRO-FORM /EXPORT INVOICE
NBR]],Tabela1[#All],4,0)</f>
        <v>45902</v>
      </c>
      <c r="E41" s="42">
        <f>VLOOKUP(Tabela13[[#This Row],[PRO-FORM /EXPORT INVOICE
NBR]],Tabela1[#All],9,0)</f>
        <v>61</v>
      </c>
      <c r="F41" s="6">
        <f>Tabela13[[#This Row],[DATA 
PRO-FORMA]]+30</f>
        <v>45932</v>
      </c>
      <c r="G41" s="42">
        <v>4500</v>
      </c>
      <c r="H41" s="98">
        <v>8025</v>
      </c>
      <c r="I41" s="103" t="s">
        <v>356</v>
      </c>
    </row>
    <row r="42" spans="1:9" hidden="1" x14ac:dyDescent="0.35">
      <c r="A42" s="115" t="s">
        <v>314</v>
      </c>
      <c r="B42" s="78" t="s">
        <v>221</v>
      </c>
      <c r="C42" s="99" t="s">
        <v>92</v>
      </c>
      <c r="D42" s="64">
        <f>VLOOKUP(Tabela13[[#This Row],[PRO-FORM /EXPORT INVOICE
NBR]],Tabela1[#All],4,0)</f>
        <v>45896</v>
      </c>
      <c r="E42" s="42">
        <f>VLOOKUP(Tabela13[[#This Row],[PRO-FORM /EXPORT INVOICE
NBR]],Tabela1[#All],9,0)</f>
        <v>60</v>
      </c>
      <c r="F42" s="6">
        <f>Tabela13[[#This Row],[DATA 
PRO-FORMA]]+30</f>
        <v>45926</v>
      </c>
      <c r="G42" s="42">
        <f>VLOOKUP(Tabela13[[#This Row],[PRO-FORM /EXPORT INVOICE
NBR]],Tabela1[#All],11,0)</f>
        <v>1200</v>
      </c>
      <c r="H42" s="98">
        <v>2652</v>
      </c>
      <c r="I42" s="110" t="s">
        <v>294</v>
      </c>
    </row>
    <row r="43" spans="1:9" hidden="1" x14ac:dyDescent="0.35">
      <c r="A43" s="115" t="s">
        <v>320</v>
      </c>
      <c r="B43" s="3" t="s">
        <v>77</v>
      </c>
      <c r="C43" s="99" t="s">
        <v>21</v>
      </c>
      <c r="D43" s="64">
        <f>VLOOKUP(Tabela13[[#This Row],[PRO-FORM /EXPORT INVOICE
NBR]],Tabela1[#All],4,0)</f>
        <v>45904</v>
      </c>
      <c r="E43" s="42">
        <f>VLOOKUP(Tabela13[[#This Row],[PRO-FORM /EXPORT INVOICE
NBR]],Tabela1[#All],9,0)</f>
        <v>66</v>
      </c>
      <c r="F43" s="6">
        <f>Tabela13[[#This Row],[DATA 
PRO-FORMA]]+30</f>
        <v>45934</v>
      </c>
      <c r="G43" s="42">
        <v>6300</v>
      </c>
      <c r="H43" s="98">
        <v>11799</v>
      </c>
      <c r="I43" s="110" t="s">
        <v>294</v>
      </c>
    </row>
    <row r="44" spans="1:9" hidden="1" x14ac:dyDescent="0.35">
      <c r="A44" s="5" t="s">
        <v>324</v>
      </c>
      <c r="B44" s="3" t="s">
        <v>77</v>
      </c>
      <c r="C44" s="99" t="s">
        <v>21</v>
      </c>
      <c r="D44" s="64">
        <f>VLOOKUP(Tabela13[[#This Row],[PRO-FORM /EXPORT INVOICE
NBR]],Tabela1[#All],4,0)</f>
        <v>45905</v>
      </c>
      <c r="E44" s="42">
        <f>VLOOKUP(Tabela13[[#This Row],[PRO-FORM /EXPORT INVOICE
NBR]],Tabela1[#All],9,0)</f>
        <v>62</v>
      </c>
      <c r="F44" s="6">
        <f>Tabela13[[#This Row],[DATA 
PRO-FORMA]]+30</f>
        <v>45935</v>
      </c>
      <c r="G44" s="42">
        <f>VLOOKUP(Tabela13[[#This Row],[PRO-FORM /EXPORT INVOICE
NBR]],Tabela1[#All],11,0)</f>
        <v>1500</v>
      </c>
      <c r="H44" s="98">
        <v>2640</v>
      </c>
      <c r="I44" s="43"/>
    </row>
    <row r="45" spans="1:9" hidden="1" x14ac:dyDescent="0.35">
      <c r="A45" s="2" t="s">
        <v>331</v>
      </c>
      <c r="B45" s="3" t="s">
        <v>109</v>
      </c>
      <c r="C45" s="99" t="s">
        <v>92</v>
      </c>
      <c r="D45" s="64">
        <f>VLOOKUP(Tabela13[[#This Row],[PRO-FORM /EXPORT INVOICE
NBR]],Tabela1[#All],4,0)</f>
        <v>45908</v>
      </c>
      <c r="E45" s="42">
        <f>VLOOKUP(Tabela13[[#This Row],[PRO-FORM /EXPORT INVOICE
NBR]],Tabela1[#All],9,0)</f>
        <v>65</v>
      </c>
      <c r="F45" s="6">
        <f>Tabela13[[#This Row],[DATA 
PRO-FORMA]]+30</f>
        <v>45938</v>
      </c>
      <c r="G45" s="42">
        <f>VLOOKUP(Tabela13[[#This Row],[PRO-FORM /EXPORT INVOICE
NBR]],Tabela1[#All],11,0)</f>
        <v>5000</v>
      </c>
      <c r="H45" s="98">
        <f>VLOOKUP(Tabela13[[#This Row],[PRO-FORM /EXPORT INVOICE
NBR]],Tabela1[#All],11,0)</f>
        <v>5000</v>
      </c>
      <c r="I45" s="43" t="s">
        <v>294</v>
      </c>
    </row>
    <row r="46" spans="1:9" hidden="1" x14ac:dyDescent="0.35">
      <c r="A46" s="5" t="s">
        <v>336</v>
      </c>
      <c r="B46" s="3" t="s">
        <v>269</v>
      </c>
      <c r="C46" s="99" t="s">
        <v>21</v>
      </c>
      <c r="D46" s="64">
        <f>VLOOKUP(Tabela13[[#This Row],[PRO-FORM /EXPORT INVOICE
NBR]],Tabela1[#All],4,0)</f>
        <v>45909</v>
      </c>
      <c r="E46" s="42">
        <f>VLOOKUP(Tabela13[[#This Row],[PRO-FORM /EXPORT INVOICE
NBR]],Tabela1[#All],9,0)</f>
        <v>67</v>
      </c>
      <c r="F46" s="6">
        <f>Tabela13[[#This Row],[DATA 
PRO-FORMA]]+30</f>
        <v>45939</v>
      </c>
      <c r="G46" s="42">
        <f>VLOOKUP(Tabela13[[#This Row],[PRO-FORM /EXPORT INVOICE
NBR]],Tabela1[#All],11,0)</f>
        <v>700</v>
      </c>
      <c r="H46" s="98">
        <v>1372</v>
      </c>
      <c r="I46" s="114" t="s">
        <v>294</v>
      </c>
    </row>
    <row r="47" spans="1:9" hidden="1" x14ac:dyDescent="0.35">
      <c r="A47" s="5" t="s">
        <v>346</v>
      </c>
      <c r="B47" s="3" t="s">
        <v>77</v>
      </c>
      <c r="C47" s="99" t="s">
        <v>21</v>
      </c>
      <c r="D47" s="64">
        <f>VLOOKUP(Tabela13[[#This Row],[PRO-FORM /EXPORT INVOICE
NBR]],Tabela1[#All],4,0)</f>
        <v>45912</v>
      </c>
      <c r="E47" s="42">
        <f>VLOOKUP(Tabela13[[#This Row],[PRO-FORM /EXPORT INVOICE
NBR]],Tabela1[#All],9,0)</f>
        <v>68</v>
      </c>
      <c r="F47" s="6">
        <f>Tabela13[[#This Row],[DATA 
PRO-FORMA]]+30</f>
        <v>45942</v>
      </c>
      <c r="G47" s="42">
        <f>VLOOKUP(Tabela13[[#This Row],[PRO-FORM /EXPORT INVOICE
NBR]],Tabela1[#All],11,0)</f>
        <v>5700</v>
      </c>
      <c r="H47" s="98">
        <v>22091</v>
      </c>
      <c r="I47" s="114" t="s">
        <v>294</v>
      </c>
    </row>
    <row r="48" spans="1:9" hidden="1" x14ac:dyDescent="0.35">
      <c r="A48" s="5" t="s">
        <v>328</v>
      </c>
      <c r="B48" s="3" t="s">
        <v>354</v>
      </c>
      <c r="C48" s="99" t="s">
        <v>26</v>
      </c>
      <c r="D48" s="64">
        <f>VLOOKUP(Tabela13[[#This Row],[PRO-FORM /EXPORT INVOICE
NBR]],Tabela1[#All],4,0)</f>
        <v>45904</v>
      </c>
      <c r="E48" s="116">
        <f>VLOOKUP(Tabela13[[#This Row],[PRO-FORM /EXPORT INVOICE
NBR]],Tabela1[#All],9,0)</f>
        <v>69</v>
      </c>
      <c r="F48" s="6">
        <f>Tabela13[[#This Row],[DATA 
PRO-FORMA]]+30</f>
        <v>45934</v>
      </c>
      <c r="G48" s="42">
        <f>VLOOKUP(Tabela13[[#This Row],[PRO-FORM /EXPORT INVOICE
NBR]],Tabela1[#All],11,0)</f>
        <v>500</v>
      </c>
      <c r="H48" s="98">
        <v>2785</v>
      </c>
      <c r="I48" s="43" t="s">
        <v>294</v>
      </c>
    </row>
    <row r="49" spans="1:9" hidden="1" x14ac:dyDescent="0.35">
      <c r="A49" s="118">
        <v>16985</v>
      </c>
      <c r="B49" s="3" t="s">
        <v>69</v>
      </c>
      <c r="C49" s="99" t="s">
        <v>38</v>
      </c>
      <c r="D49" s="64">
        <f>VLOOKUP(Tabela13[[#This Row],[PRO-FORM /EXPORT INVOICE
NBR]],Tabela1[#All],4,0)</f>
        <v>45923</v>
      </c>
      <c r="E49" s="116">
        <f>VLOOKUP(Tabela13[[#This Row],[PRO-FORM /EXPORT INVOICE
NBR]],Tabela1[#All],9,0)</f>
        <v>74</v>
      </c>
      <c r="F49" s="6">
        <f>Tabela13[[#This Row],[DATA 
PRO-FORMA]]+30</f>
        <v>45953</v>
      </c>
      <c r="G49" s="42">
        <f>VLOOKUP(Tabela13[[#This Row],[PRO-FORM /EXPORT INVOICE
NBR]],Tabela1[#All],11,0)</f>
        <v>100</v>
      </c>
      <c r="H49" s="98">
        <v>230</v>
      </c>
      <c r="I49" s="43" t="s">
        <v>294</v>
      </c>
    </row>
    <row r="50" spans="1:9" hidden="1" x14ac:dyDescent="0.35">
      <c r="A50" s="66" t="s">
        <v>359</v>
      </c>
      <c r="B50" s="3" t="s">
        <v>221</v>
      </c>
      <c r="C50" s="99" t="s">
        <v>92</v>
      </c>
      <c r="D50" s="64">
        <f>VLOOKUP(Tabela13[[#This Row],[PRO-FORM /EXPORT INVOICE
NBR]],Tabela1[#All],4,0)</f>
        <v>45923</v>
      </c>
      <c r="E50" s="116">
        <f>VLOOKUP(Tabela13[[#This Row],[PRO-FORM /EXPORT INVOICE
NBR]],Tabela1[#All],9,0)</f>
        <v>75</v>
      </c>
      <c r="F50" s="6">
        <f>Tabela13[[#This Row],[DATA 
PRO-FORMA]]+30</f>
        <v>45953</v>
      </c>
      <c r="G50" s="42">
        <v>3500</v>
      </c>
      <c r="H50" s="98">
        <v>6070</v>
      </c>
      <c r="I50" s="43" t="s">
        <v>294</v>
      </c>
    </row>
    <row r="51" spans="1:9" hidden="1" x14ac:dyDescent="0.35">
      <c r="A51" s="66" t="s">
        <v>360</v>
      </c>
      <c r="B51" s="3" t="s">
        <v>221</v>
      </c>
      <c r="C51" s="99" t="s">
        <v>92</v>
      </c>
      <c r="D51" s="64">
        <f>VLOOKUP(Tabela13[[#This Row],[PRO-FORM /EXPORT INVOICE
NBR]],Tabela1[#All],4,0)</f>
        <v>45923</v>
      </c>
      <c r="E51" s="116">
        <f>VLOOKUP(Tabela13[[#This Row],[PRO-FORM /EXPORT INVOICE
NBR]],Tabela1[#All],9,0)</f>
        <v>76</v>
      </c>
      <c r="F51" s="6">
        <f>Tabela13[[#This Row],[DATA 
PRO-FORMA]]+30</f>
        <v>45953</v>
      </c>
      <c r="G51" s="42">
        <f>VLOOKUP(Tabela13[[#This Row],[PRO-FORM /EXPORT INVOICE
NBR]],Tabela1[#All],11,0)</f>
        <v>2500</v>
      </c>
      <c r="H51" s="98">
        <v>4250</v>
      </c>
      <c r="I51" s="43" t="s">
        <v>294</v>
      </c>
    </row>
    <row r="52" spans="1:9" hidden="1" x14ac:dyDescent="0.35">
      <c r="A52" s="5" t="s">
        <v>372</v>
      </c>
      <c r="B52" s="3" t="s">
        <v>109</v>
      </c>
      <c r="C52" s="99" t="s">
        <v>92</v>
      </c>
      <c r="D52" s="64">
        <f>VLOOKUP(Tabela13[[#This Row],[PRO-FORM /EXPORT INVOICE
NBR]],Tabela1[#All],4,0)</f>
        <v>45929</v>
      </c>
      <c r="E52" s="116">
        <f>VLOOKUP(Tabela13[[#This Row],[PRO-FORM /EXPORT INVOICE
NBR]],Tabela1[#All],9,0)</f>
        <v>77</v>
      </c>
      <c r="F52" s="6">
        <f>Tabela13[[#This Row],[DATA 
PRO-FORMA]]+30</f>
        <v>45959</v>
      </c>
      <c r="G52" s="42">
        <f>VLOOKUP(Tabela13[[#This Row],[PRO-FORM /EXPORT INVOICE
NBR]],Tabela1[#All],11,0)</f>
        <v>1000</v>
      </c>
      <c r="H52" s="98">
        <v>1710</v>
      </c>
      <c r="I52" s="43" t="s">
        <v>294</v>
      </c>
    </row>
    <row r="53" spans="1:9" hidden="1" x14ac:dyDescent="0.35">
      <c r="A53" s="22" t="s">
        <v>377</v>
      </c>
      <c r="B53" s="3" t="s">
        <v>386</v>
      </c>
      <c r="C53" s="99" t="s">
        <v>26</v>
      </c>
      <c r="D53" s="64">
        <f>VLOOKUP(Tabela13[[#This Row],[PRO-FORM /EXPORT INVOICE
NBR]],Tabela1[#All],4,0)</f>
        <v>45945</v>
      </c>
      <c r="E53" s="42">
        <f>VLOOKUP(Tabela13[[#This Row],[PRO-FORM /EXPORT INVOICE
NBR]],Tabela1[#All],9,0)</f>
        <v>78</v>
      </c>
      <c r="F53" s="6">
        <f>Tabela13[[#This Row],[DATA 
PRO-FORMA]]+30</f>
        <v>45975</v>
      </c>
      <c r="G53" s="42">
        <f>VLOOKUP(Tabela13[[#This Row],[PRO-FORM /EXPORT INVOICE
NBR]],Tabela1[#All],11,0)</f>
        <v>2000</v>
      </c>
      <c r="H53" s="98">
        <v>5620</v>
      </c>
      <c r="I53" s="43" t="s">
        <v>294</v>
      </c>
    </row>
    <row r="54" spans="1:9" hidden="1" x14ac:dyDescent="0.35">
      <c r="A54" s="5" t="s">
        <v>390</v>
      </c>
      <c r="B54" s="106" t="s">
        <v>52</v>
      </c>
      <c r="C54" s="99" t="s">
        <v>21</v>
      </c>
      <c r="D54" s="64">
        <f>VLOOKUP(Tabela13[[#This Row],[PRO-FORM /EXPORT INVOICE
NBR]],Tabela1[#All],4,0)</f>
        <v>45950</v>
      </c>
      <c r="E54" s="42">
        <f>VLOOKUP(Tabela13[[#This Row],[PRO-FORM /EXPORT INVOICE
NBR]],Tabela1[#All],9,0)</f>
        <v>79</v>
      </c>
      <c r="F54" s="6">
        <f>Tabela13[[#This Row],[DATA 
PRO-FORMA]]+30</f>
        <v>45980</v>
      </c>
      <c r="G54" s="42">
        <f>VLOOKUP(Tabela13[[#This Row],[PRO-FORM /EXPORT INVOICE
NBR]],Tabela1[#All],11,0)</f>
        <v>800</v>
      </c>
      <c r="H54" s="76">
        <f>Tabela1[[#This Row],[PRECIO
USD]]*Tabela1[[#This Row],[MT/YD]]</f>
        <v>1059</v>
      </c>
      <c r="I54" s="43" t="s">
        <v>294</v>
      </c>
    </row>
    <row r="55" spans="1:9" hidden="1" x14ac:dyDescent="0.35">
      <c r="A55" s="5" t="s">
        <v>394</v>
      </c>
      <c r="B55" s="106" t="s">
        <v>221</v>
      </c>
      <c r="C55" s="99" t="s">
        <v>92</v>
      </c>
      <c r="D55" s="64">
        <f>VLOOKUP(Tabela13[[#This Row],[PRO-FORM /EXPORT INVOICE
NBR]],Tabela1[#All],4,0)</f>
        <v>45950</v>
      </c>
      <c r="E55" s="116">
        <f>VLOOKUP(Tabela13[[#This Row],[PRO-FORM /EXPORT INVOICE
NBR]],Tabela1[#All],9,0)</f>
        <v>80</v>
      </c>
      <c r="F55" s="6">
        <f>Tabela13[[#This Row],[DATA 
PRO-FORMA]]+30</f>
        <v>45980</v>
      </c>
      <c r="G55" s="42">
        <f>VLOOKUP(Tabela13[[#This Row],[PRO-FORM /EXPORT INVOICE
NBR]],Tabela1[#All],11,0)</f>
        <v>1200</v>
      </c>
      <c r="H55" s="76">
        <v>1848</v>
      </c>
      <c r="I55" s="114" t="s">
        <v>464</v>
      </c>
    </row>
    <row r="56" spans="1:9" hidden="1" x14ac:dyDescent="0.35">
      <c r="A56" t="s">
        <v>402</v>
      </c>
      <c r="B56" s="3" t="s">
        <v>33</v>
      </c>
      <c r="C56" s="99" t="s">
        <v>38</v>
      </c>
      <c r="D56" s="64">
        <f>VLOOKUP(Tabela13[[#This Row],[PRO-FORM /EXPORT INVOICE
NBR]],Tabela1[#All],4,0)</f>
        <v>45951</v>
      </c>
      <c r="E56" s="42">
        <f>VLOOKUP(Tabela13[[#This Row],[PRO-FORM /EXPORT INVOICE
NBR]],Tabela1[#All],9,0)</f>
        <v>81</v>
      </c>
      <c r="F56" s="6">
        <v>45974</v>
      </c>
      <c r="G56" s="42">
        <f>VLOOKUP(Tabela13[[#This Row],[PRO-FORM /EXPORT INVOICE
NBR]],Tabela1[#All],11,0)</f>
        <v>5000</v>
      </c>
      <c r="H56" s="123">
        <v>10250</v>
      </c>
      <c r="I56" s="43"/>
    </row>
    <row r="57" spans="1:9" hidden="1" x14ac:dyDescent="0.35">
      <c r="A57" s="39" t="s">
        <v>401</v>
      </c>
      <c r="B57" s="3" t="s">
        <v>234</v>
      </c>
      <c r="C57" s="99" t="s">
        <v>21</v>
      </c>
      <c r="D57" s="64">
        <f>VLOOKUP(Tabela13[[#This Row],[PRO-FORM /EXPORT INVOICE
NBR]],Tabela1[#All],4,0)</f>
        <v>45951</v>
      </c>
      <c r="E57" s="42">
        <f>VLOOKUP(Tabela13[[#This Row],[PRO-FORM /EXPORT INVOICE
NBR]],Tabela1[#All],9,0)</f>
        <v>84</v>
      </c>
      <c r="F57" s="6">
        <f>Tabela13[[#This Row],[DATA 
PRO-FORMA]]+30</f>
        <v>45981</v>
      </c>
      <c r="G57" s="42">
        <f>VLOOKUP(Tabela13[[#This Row],[PRO-FORM /EXPORT INVOICE
NBR]],Tabela1[#All],11,0)</f>
        <v>5000</v>
      </c>
      <c r="H57" s="49">
        <v>24150</v>
      </c>
      <c r="I57" s="43"/>
    </row>
    <row r="58" spans="1:9" hidden="1" x14ac:dyDescent="0.35">
      <c r="A58" s="22" t="s">
        <v>379</v>
      </c>
      <c r="B58" s="3" t="s">
        <v>403</v>
      </c>
      <c r="C58" s="99" t="s">
        <v>92</v>
      </c>
      <c r="D58" s="64">
        <f>VLOOKUP(Tabela13[[#This Row],[PRO-FORM /EXPORT INVOICE
NBR]],Tabela1[#All],4,0)</f>
        <v>45950</v>
      </c>
      <c r="E58" s="42">
        <f>VLOOKUP(Tabela13[[#This Row],[PRO-FORM /EXPORT INVOICE
NBR]],Tabela1[#All],9,0)</f>
        <v>82</v>
      </c>
      <c r="F58" s="6">
        <f>Tabela13[[#This Row],[DATA 
PRO-FORMA]]+30</f>
        <v>45980</v>
      </c>
      <c r="G58" s="42">
        <v>6300</v>
      </c>
      <c r="H58" s="98">
        <v>11484</v>
      </c>
      <c r="I58" s="43" t="s">
        <v>471</v>
      </c>
    </row>
    <row r="59" spans="1:9" hidden="1" x14ac:dyDescent="0.35">
      <c r="A59" s="125" t="s">
        <v>472</v>
      </c>
      <c r="B59" s="3" t="s">
        <v>354</v>
      </c>
      <c r="C59" s="99" t="s">
        <v>26</v>
      </c>
      <c r="D59" s="64">
        <f>VLOOKUP(Tabela13[[#This Row],[PRO-FORM /EXPORT INVOICE
NBR]],Tabela1[#All],4,0)</f>
        <v>45965</v>
      </c>
      <c r="E59" s="42">
        <f>VLOOKUP(Tabela13[[#This Row],[PRO-FORM /EXPORT INVOICE
NBR]],Tabela1[#All],9,0)</f>
        <v>85</v>
      </c>
      <c r="F59" s="6">
        <f>Tabela13[[#This Row],[DATA 
PRO-FORMA]]+30</f>
        <v>45995</v>
      </c>
      <c r="G59" s="42">
        <f>VLOOKUP(Tabela13[[#This Row],[PRO-FORM /EXPORT INVOICE
NBR]],Tabela1[#All],11,0)</f>
        <v>1000</v>
      </c>
      <c r="H59" s="126">
        <v>5570</v>
      </c>
      <c r="I59" s="43" t="s">
        <v>294</v>
      </c>
    </row>
    <row r="60" spans="1:9" hidden="1" x14ac:dyDescent="0.35">
      <c r="A60" s="137">
        <v>17280</v>
      </c>
      <c r="B60" s="3" t="s">
        <v>69</v>
      </c>
      <c r="C60" s="99" t="s">
        <v>38</v>
      </c>
      <c r="D60" s="64">
        <f>VLOOKUP(Tabela13[[#This Row],[PRO-FORM /EXPORT INVOICE
NBR]],Tabela1[#All],4,0)</f>
        <v>45975</v>
      </c>
      <c r="E60" s="42">
        <f>VLOOKUP(Tabela13[[#This Row],[PRO-FORM /EXPORT INVOICE
NBR]],Tabela1[#All],9,0)</f>
        <v>86</v>
      </c>
      <c r="F60" s="6">
        <f>Tabela13[[#This Row],[DATA 
PRO-FORMA]]+30</f>
        <v>46005</v>
      </c>
      <c r="G60" s="42">
        <f>VLOOKUP(Tabela13[[#This Row],[PRO-FORM /EXPORT INVOICE
NBR]],Tabela1[#All],11,0)</f>
        <v>500</v>
      </c>
      <c r="H60" s="98">
        <v>1165</v>
      </c>
      <c r="I60" s="43" t="s">
        <v>294</v>
      </c>
    </row>
    <row r="61" spans="1:9" hidden="1" x14ac:dyDescent="0.35">
      <c r="A61" t="s">
        <v>493</v>
      </c>
      <c r="B61" s="3" t="s">
        <v>354</v>
      </c>
      <c r="C61" s="99" t="s">
        <v>26</v>
      </c>
      <c r="D61" s="64">
        <f>VLOOKUP(Tabela13[[#This Row],[PRO-FORM /EXPORT INVOICE
NBR]],Tabela1[#All],4,0)</f>
        <v>45979</v>
      </c>
      <c r="E61" s="42">
        <f>VLOOKUP(Tabela13[[#This Row],[PRO-FORM /EXPORT INVOICE
NBR]],Tabela1[#All],9,0)</f>
        <v>88</v>
      </c>
      <c r="F61" s="6">
        <f>Tabela13[[#This Row],[DATA 
PRO-FORMA]]+30</f>
        <v>46009</v>
      </c>
      <c r="G61" s="42">
        <f>VLOOKUP(Tabela13[[#This Row],[PRO-FORM /EXPORT INVOICE
NBR]],Tabela1[#All],11,0)</f>
        <v>1700</v>
      </c>
      <c r="H61" s="98">
        <v>2771</v>
      </c>
      <c r="I61" s="43" t="s">
        <v>294</v>
      </c>
    </row>
    <row r="62" spans="1:9" hidden="1" x14ac:dyDescent="0.35">
      <c r="A62" s="125" t="s">
        <v>496</v>
      </c>
      <c r="B62" s="64" t="str">
        <f>VLOOKUP(Tabela13[[#This Row],[PRO-FORM /EXPORT INVOICE
NBR]],Tabela1[#All],2,0)</f>
        <v>Camas Florida Honduras</v>
      </c>
      <c r="C62" s="99" t="s">
        <v>92</v>
      </c>
      <c r="D62" s="64">
        <f>VLOOKUP(Tabela13[[#This Row],[PRO-FORM /EXPORT INVOICE
NBR]],Tabela1[#All],4,0)</f>
        <v>45980</v>
      </c>
      <c r="E62" s="42">
        <f>VLOOKUP(Tabela13[[#This Row],[PRO-FORM /EXPORT INVOICE
NBR]],Tabela1[#All],9,0)</f>
        <v>87</v>
      </c>
      <c r="F62" s="6">
        <f>Tabela13[[#This Row],[DATA 
PRO-FORMA]]+30</f>
        <v>46010</v>
      </c>
      <c r="G62" s="42">
        <f>VLOOKUP(Tabela13[[#This Row],[PRO-FORM /EXPORT INVOICE
NBR]],Tabela1[#All],11,0)</f>
        <v>1200</v>
      </c>
      <c r="H62" s="126">
        <v>2652</v>
      </c>
      <c r="I62" s="43" t="s">
        <v>294</v>
      </c>
    </row>
    <row r="63" spans="1:9" hidden="1" x14ac:dyDescent="0.35">
      <c r="A63" s="125" t="s">
        <v>501</v>
      </c>
      <c r="B63" s="3" t="s">
        <v>354</v>
      </c>
      <c r="C63" s="99" t="s">
        <v>26</v>
      </c>
      <c r="D63" s="64">
        <f>VLOOKUP(Tabela13[[#This Row],[PRO-FORM /EXPORT INVOICE
NBR]],Tabela1[#All],4,0)</f>
        <v>45987</v>
      </c>
      <c r="E63" s="42">
        <f>VLOOKUP(Tabela13[[#This Row],[PRO-FORM /EXPORT INVOICE
NBR]],Tabela1[#All],9,0)</f>
        <v>89</v>
      </c>
      <c r="F63" s="6">
        <f>Tabela13[[#This Row],[DATA 
PRO-FORMA]]+30</f>
        <v>46017</v>
      </c>
      <c r="G63" s="42">
        <v>4000</v>
      </c>
      <c r="H63" s="98">
        <v>12449</v>
      </c>
      <c r="I63" s="43" t="s">
        <v>294</v>
      </c>
    </row>
    <row r="64" spans="1:9" hidden="1" x14ac:dyDescent="0.35">
      <c r="A64" s="137">
        <v>17368</v>
      </c>
      <c r="B64" s="3" t="s">
        <v>69</v>
      </c>
      <c r="C64" s="99" t="s">
        <v>38</v>
      </c>
      <c r="D64" s="64">
        <f>VLOOKUP(Tabela13[[#This Row],[PRO-FORM /EXPORT INVOICE
NBR]],Tabela1[#All],4,0)</f>
        <v>45996</v>
      </c>
      <c r="E64" s="42">
        <f>VLOOKUP(Tabela13[[#This Row],[PRO-FORM /EXPORT INVOICE
NBR]],Tabela1[#All],9,0)</f>
        <v>90</v>
      </c>
      <c r="F64" s="6">
        <f>Tabela13[[#This Row],[DATA 
PRO-FORMA]]+30</f>
        <v>46026</v>
      </c>
      <c r="G64" s="42">
        <f>VLOOKUP(Tabela13[[#This Row],[PRO-FORM /EXPORT INVOICE
NBR]],Tabela1[#All],11,0)</f>
        <v>15000</v>
      </c>
      <c r="H64" s="98">
        <v>34950</v>
      </c>
      <c r="I64" s="43"/>
    </row>
    <row r="65" spans="1:9" hidden="1" x14ac:dyDescent="0.35">
      <c r="A65" s="125" t="s">
        <v>512</v>
      </c>
      <c r="B65" s="3" t="s">
        <v>234</v>
      </c>
      <c r="C65" s="99" t="s">
        <v>21</v>
      </c>
      <c r="D65" s="64">
        <f>VLOOKUP(Tabela13[[#This Row],[PRO-FORM /EXPORT INVOICE
NBR]],Tabela1[#All],4,0)</f>
        <v>46006</v>
      </c>
      <c r="E65" s="42">
        <f>VLOOKUP(Tabela13[[#This Row],[PRO-FORM /EXPORT INVOICE
NBR]],Tabela1[#All],9,0)</f>
        <v>91</v>
      </c>
      <c r="F65" s="6">
        <f>Tabela13[[#This Row],[DATA 
PRO-FORMA]]+30</f>
        <v>46036</v>
      </c>
      <c r="G65" s="42">
        <f>VLOOKUP(Tabela13[[#This Row],[PRO-FORM /EXPORT INVOICE
NBR]],Tabela1[#All],11,0)</f>
        <v>5000</v>
      </c>
      <c r="H65" s="98">
        <v>24150</v>
      </c>
      <c r="I65" s="43" t="s">
        <v>294</v>
      </c>
    </row>
    <row r="66" spans="1:9" x14ac:dyDescent="0.35">
      <c r="A66" s="3" t="s">
        <v>516</v>
      </c>
      <c r="B66" s="3" t="s">
        <v>221</v>
      </c>
      <c r="C66" s="99" t="s">
        <v>92</v>
      </c>
      <c r="D66" s="64">
        <f>VLOOKUP(Tabela13[[#This Row],[PRO-FORM /EXPORT INVOICE
NBR]],Tabela1[#All],4,0)</f>
        <v>46378</v>
      </c>
      <c r="E66" s="42">
        <f>VLOOKUP(Tabela13[[#This Row],[PRO-FORM /EXPORT INVOICE
NBR]],Tabela1[#All],9,0)</f>
        <v>92</v>
      </c>
      <c r="F66" s="6">
        <v>46044</v>
      </c>
      <c r="G66" s="42">
        <f>VLOOKUP(Tabela13[[#This Row],[PRO-FORM /EXPORT INVOICE
NBR]],Tabela1[#All],11,0)</f>
        <v>1200</v>
      </c>
      <c r="H66" s="98">
        <v>2652</v>
      </c>
      <c r="I66" s="43" t="s">
        <v>294</v>
      </c>
    </row>
    <row r="67" spans="1:9" hidden="1" x14ac:dyDescent="0.35">
      <c r="A67" s="147" t="s">
        <v>513</v>
      </c>
      <c r="B67" s="148" t="s">
        <v>109</v>
      </c>
      <c r="C67" s="99" t="s">
        <v>92</v>
      </c>
      <c r="D67" s="64">
        <f>VLOOKUP(Tabela13[[#This Row],[PRO-FORM /EXPORT INVOICE
NBR]],Tabela1[#All],4,0)</f>
        <v>46009</v>
      </c>
      <c r="E67" s="155">
        <f>VLOOKUP(Tabela13[[#This Row],[PRO-FORM /EXPORT INVOICE
NBR]],Tabela1[#All],9,0)</f>
        <v>93</v>
      </c>
      <c r="F67" s="6">
        <f>Tabela13[[#This Row],[DATA 
PRO-FORMA]]+30</f>
        <v>46039</v>
      </c>
      <c r="G67" s="42">
        <v>13600</v>
      </c>
      <c r="H67" s="107">
        <v>24503</v>
      </c>
      <c r="I67" s="156" t="s">
        <v>609</v>
      </c>
    </row>
    <row r="68" spans="1:9" x14ac:dyDescent="0.35">
      <c r="A68" s="141" t="s">
        <v>524</v>
      </c>
      <c r="B68" s="3" t="s">
        <v>403</v>
      </c>
      <c r="C68" s="99" t="s">
        <v>92</v>
      </c>
      <c r="D68" s="64">
        <f>VLOOKUP(Tabela13[[#This Row],[PRO-FORM /EXPORT INVOICE
NBR]],Tabela1[#All],4,0)</f>
        <v>46035</v>
      </c>
      <c r="E68" s="116">
        <f>VLOOKUP(Tabela13[[#This Row],[PRO-FORM /EXPORT INVOICE
NBR]],Tabela1[#All],9,0)</f>
        <v>96</v>
      </c>
      <c r="F68" s="6">
        <f>Tabela13[[#This Row],[DATA 
PRO-FORMA]]+30</f>
        <v>46065</v>
      </c>
      <c r="G68" s="42">
        <v>7650</v>
      </c>
      <c r="H68" s="98">
        <v>9994.5</v>
      </c>
      <c r="I68" s="158" t="s">
        <v>618</v>
      </c>
    </row>
    <row r="69" spans="1:9" x14ac:dyDescent="0.35">
      <c r="A69" s="125" t="s">
        <v>537</v>
      </c>
      <c r="B69" s="3" t="s">
        <v>540</v>
      </c>
      <c r="C69" s="99" t="s">
        <v>21</v>
      </c>
      <c r="D69" s="64">
        <f>VLOOKUP(Tabela13[[#This Row],[PRO-FORM /EXPORT INVOICE
NBR]],Tabela1[#All],4,0)</f>
        <v>46037</v>
      </c>
      <c r="E69" s="42">
        <f>VLOOKUP(Tabela13[[#This Row],[PRO-FORM /EXPORT INVOICE
NBR]],Tabela1[#All],9,0)</f>
        <v>94</v>
      </c>
      <c r="F69" s="6">
        <f>Tabela13[[#This Row],[DATA 
PRO-FORMA]]+30</f>
        <v>46067</v>
      </c>
      <c r="G69" s="42">
        <f>VLOOKUP(Tabela13[[#This Row],[PRO-FORM /EXPORT INVOICE
NBR]],Tabela1[#All],11,0)</f>
        <v>1000</v>
      </c>
      <c r="H69" s="98">
        <v>2060</v>
      </c>
      <c r="I69" s="43" t="s">
        <v>294</v>
      </c>
    </row>
    <row r="70" spans="1:9" x14ac:dyDescent="0.35">
      <c r="A70" s="141" t="s">
        <v>541</v>
      </c>
      <c r="B70" s="3" t="s">
        <v>246</v>
      </c>
      <c r="C70" s="99" t="s">
        <v>21</v>
      </c>
      <c r="D70" s="64">
        <f>VLOOKUP(Tabela13[[#This Row],[PRO-FORM /EXPORT INVOICE
NBR]],Tabela1[#All],4,0)</f>
        <v>46041</v>
      </c>
      <c r="E70" s="42">
        <f>VLOOKUP(Tabela13[[#This Row],[PRO-FORM /EXPORT INVOICE
NBR]],Tabela1[#All],9,0)</f>
        <v>95</v>
      </c>
      <c r="F70" s="6">
        <f>Tabela13[[#This Row],[DATA 
PRO-FORMA]]+30</f>
        <v>46071</v>
      </c>
      <c r="G70" s="42">
        <f>VLOOKUP(Tabela13[[#This Row],[PRO-FORM /EXPORT INVOICE
NBR]],Tabela1[#All],11,0)</f>
        <v>3400</v>
      </c>
      <c r="H70" s="98">
        <v>6324</v>
      </c>
      <c r="I70" s="43" t="s">
        <v>294</v>
      </c>
    </row>
    <row r="71" spans="1:9" x14ac:dyDescent="0.35">
      <c r="A71" s="173" t="s">
        <v>544</v>
      </c>
      <c r="B71" s="3" t="s">
        <v>109</v>
      </c>
      <c r="C71" s="99" t="s">
        <v>92</v>
      </c>
      <c r="D71" s="64">
        <f>VLOOKUP(Tabela13[[#This Row],[PRO-FORM /EXPORT INVOICE
NBR]],Tabela1[#All],4,0)</f>
        <v>46041</v>
      </c>
      <c r="E71" s="42">
        <f>VLOOKUP(Tabela13[[#This Row],[PRO-FORM /EXPORT INVOICE
NBR]],Tabela1[#All],9,0)</f>
        <v>98</v>
      </c>
      <c r="F71" s="6">
        <f>Tabela13[[#This Row],[DATA 
PRO-FORMA]]+30</f>
        <v>46071</v>
      </c>
      <c r="G71" s="42">
        <v>1400</v>
      </c>
      <c r="H71" s="98">
        <v>2417</v>
      </c>
      <c r="I71" s="156" t="s">
        <v>686</v>
      </c>
    </row>
    <row r="72" spans="1:9" x14ac:dyDescent="0.35">
      <c r="A72" t="s">
        <v>568</v>
      </c>
      <c r="B72" s="3" t="s">
        <v>354</v>
      </c>
      <c r="C72" s="99" t="s">
        <v>26</v>
      </c>
      <c r="D72" s="180">
        <f>VLOOKUP(Tabela13[[#This Row],[PRO-FORM /EXPORT INVOICE
NBR]],Tabela1[#All],4,0)</f>
        <v>46045</v>
      </c>
      <c r="E72" s="42">
        <f>VLOOKUP(Tabela13[[#This Row],[PRO-FORM /EXPORT INVOICE
NBR]],Tabela1[#All],9,0)</f>
        <v>97</v>
      </c>
      <c r="F72" s="6">
        <f>Tabela13[[#This Row],[DATA 
PRO-FORMA]]+30</f>
        <v>46075</v>
      </c>
      <c r="G72" s="42">
        <v>4500</v>
      </c>
      <c r="H72" s="98">
        <v>11710</v>
      </c>
      <c r="I72" s="43" t="s">
        <v>294</v>
      </c>
    </row>
    <row r="73" spans="1:9" x14ac:dyDescent="0.35">
      <c r="A73" s="150" t="s">
        <v>571</v>
      </c>
      <c r="B73" t="s">
        <v>234</v>
      </c>
      <c r="C73" s="99" t="s">
        <v>21</v>
      </c>
      <c r="D73" s="180">
        <f>VLOOKUP(Tabela13[[#This Row],[PRO-FORM /EXPORT INVOICE
NBR]],Tabela1[#All],4,0)</f>
        <v>46045</v>
      </c>
      <c r="E73" s="42">
        <f>VLOOKUP(Tabela13[[#This Row],[PRO-FORM /EXPORT INVOICE
NBR]],Tabela1[#All],9,0)</f>
        <v>100</v>
      </c>
      <c r="F73" s="6">
        <f>Tabela13[[#This Row],[DATA 
PRO-FORMA]]+30</f>
        <v>46075</v>
      </c>
      <c r="G73" s="42">
        <v>12000</v>
      </c>
      <c r="H73" s="98">
        <v>23390</v>
      </c>
      <c r="I73" s="43" t="s">
        <v>294</v>
      </c>
    </row>
    <row r="74" spans="1:9" x14ac:dyDescent="0.35">
      <c r="A74" t="s">
        <v>605</v>
      </c>
      <c r="B74" s="3" t="s">
        <v>246</v>
      </c>
      <c r="C74" s="99" t="s">
        <v>21</v>
      </c>
      <c r="D74" s="180">
        <f>VLOOKUP(Tabela13[[#This Row],[PRO-FORM /EXPORT INVOICE
NBR]],Tabela1[#All],4,0)</f>
        <v>46052</v>
      </c>
      <c r="E74" s="42">
        <f>VLOOKUP(Tabela13[[#This Row],[PRO-FORM /EXPORT INVOICE
NBR]],Tabela1[#All],9,0)</f>
        <v>99</v>
      </c>
      <c r="F74" s="6">
        <f>Tabela13[[#This Row],[DATA 
PRO-FORMA]]+30</f>
        <v>46082</v>
      </c>
      <c r="G74" s="42">
        <f>VLOOKUP(Tabela13[[#This Row],[PRO-FORM /EXPORT INVOICE
NBR]],Tabela1[#All],11,0)</f>
        <v>4000</v>
      </c>
      <c r="H74" s="98">
        <v>7280</v>
      </c>
      <c r="I74" s="43" t="s">
        <v>608</v>
      </c>
    </row>
    <row r="75" spans="1:9" x14ac:dyDescent="0.35">
      <c r="A75" s="39" t="s">
        <v>612</v>
      </c>
      <c r="B75" s="3" t="s">
        <v>616</v>
      </c>
      <c r="C75" s="99" t="s">
        <v>38</v>
      </c>
      <c r="D75" s="180">
        <f>VLOOKUP(Tabela13[[#This Row],[PRO-FORM /EXPORT INVOICE
NBR]],Tabela1[#All],4,0)</f>
        <v>46071</v>
      </c>
      <c r="E75" s="42">
        <f>VLOOKUP(Tabela13[[#This Row],[PRO-FORM /EXPORT INVOICE
NBR]],Tabela1[#All],9,0)</f>
        <v>106</v>
      </c>
      <c r="F75" s="6">
        <f>Tabela13[[#This Row],[DATA 
PRO-FORMA]]+30</f>
        <v>46101</v>
      </c>
      <c r="G75" s="42">
        <f>VLOOKUP(Tabela13[[#This Row],[PRO-FORM /EXPORT INVOICE
NBR]],Tabela1[#All],11,0)</f>
        <v>30000</v>
      </c>
      <c r="H75" s="98">
        <v>66000</v>
      </c>
      <c r="I75" s="43"/>
    </row>
    <row r="76" spans="1:9" x14ac:dyDescent="0.35">
      <c r="A76" t="s">
        <v>620</v>
      </c>
      <c r="B76" s="3" t="s">
        <v>623</v>
      </c>
      <c r="C76" s="99" t="s">
        <v>26</v>
      </c>
      <c r="D76" s="180">
        <v>46062</v>
      </c>
      <c r="E76" s="42">
        <f>VLOOKUP(Tabela13[[#This Row],[PRO-FORM /EXPORT INVOICE
NBR]],Tabela1[#All],9,0)</f>
        <v>110</v>
      </c>
      <c r="F76" s="6">
        <f>Tabela13[[#This Row],[DATA 
PRO-FORMA]]+30</f>
        <v>46092</v>
      </c>
      <c r="G76" s="42">
        <v>3300</v>
      </c>
      <c r="H76" s="98">
        <v>6363</v>
      </c>
      <c r="I76" s="43"/>
    </row>
    <row r="77" spans="1:9" x14ac:dyDescent="0.35">
      <c r="A77" t="s">
        <v>643</v>
      </c>
      <c r="B77" s="3" t="s">
        <v>109</v>
      </c>
      <c r="C77" s="99" t="s">
        <v>92</v>
      </c>
      <c r="D77" s="180">
        <v>46062</v>
      </c>
      <c r="E77" s="42">
        <f>VLOOKUP(Tabela13[[#This Row],[PRO-FORM /EXPORT INVOICE
NBR]],Tabela1[#All],9,0)</f>
        <v>101</v>
      </c>
      <c r="F77" s="6">
        <f>Tabela13[[#This Row],[DATA 
PRO-FORMA]]+30</f>
        <v>46092</v>
      </c>
      <c r="G77" s="42">
        <v>31000</v>
      </c>
      <c r="H77" s="98">
        <v>54618</v>
      </c>
      <c r="I77" s="43" t="s">
        <v>294</v>
      </c>
    </row>
    <row r="78" spans="1:9" x14ac:dyDescent="0.35">
      <c r="A78" t="s">
        <v>665</v>
      </c>
      <c r="B78" s="3" t="s">
        <v>540</v>
      </c>
      <c r="C78" s="99" t="s">
        <v>21</v>
      </c>
      <c r="D78" s="180">
        <v>46066</v>
      </c>
      <c r="E78" s="42">
        <v>102</v>
      </c>
      <c r="F78" s="6">
        <f>Tabela13[[#This Row],[DATA 
PRO-FORMA]]+30</f>
        <v>46096</v>
      </c>
      <c r="G78" s="42">
        <v>1000</v>
      </c>
      <c r="H78" s="98">
        <v>2280</v>
      </c>
      <c r="I78" s="43" t="s">
        <v>679</v>
      </c>
    </row>
    <row r="79" spans="1:9" x14ac:dyDescent="0.35">
      <c r="A79" t="s">
        <v>667</v>
      </c>
      <c r="B79" s="3" t="s">
        <v>540</v>
      </c>
      <c r="C79" s="99" t="s">
        <v>21</v>
      </c>
      <c r="D79" s="180">
        <f>VLOOKUP(Tabela13[[#This Row],[PRO-FORM /EXPORT INVOICE
NBR]],Tabela1[#All],4,0)</f>
        <v>46066</v>
      </c>
      <c r="E79" s="42">
        <f>VLOOKUP(Tabela13[[#This Row],[PRO-FORM /EXPORT INVOICE
NBR]],Tabela1[#All],9,0)</f>
        <v>103</v>
      </c>
      <c r="F79" s="6">
        <f>Tabela13[[#This Row],[DATA 
PRO-FORMA]]+30</f>
        <v>46096</v>
      </c>
      <c r="G79" s="42">
        <f>VLOOKUP(Tabela13[[#This Row],[PRO-FORM /EXPORT INVOICE
NBR]],Tabela1[#All],11,0)</f>
        <v>2500</v>
      </c>
      <c r="H79" s="126">
        <v>6425</v>
      </c>
      <c r="I79" s="43" t="s">
        <v>294</v>
      </c>
    </row>
    <row r="80" spans="1:9" x14ac:dyDescent="0.35">
      <c r="A80" s="65" t="s">
        <v>680</v>
      </c>
      <c r="B80" s="3" t="s">
        <v>266</v>
      </c>
      <c r="C80" s="99" t="s">
        <v>26</v>
      </c>
      <c r="D80" s="180">
        <v>46070</v>
      </c>
      <c r="E80" s="42">
        <v>104</v>
      </c>
      <c r="F80" s="6">
        <f>Tabela13[[#This Row],[DATA 
PRO-FORMA]]+30</f>
        <v>46100</v>
      </c>
      <c r="G80" s="42">
        <v>10000</v>
      </c>
      <c r="H80" s="126">
        <v>17100</v>
      </c>
      <c r="I80" s="43" t="s">
        <v>294</v>
      </c>
    </row>
    <row r="81" spans="1:9" x14ac:dyDescent="0.35">
      <c r="A81" s="66" t="s">
        <v>701</v>
      </c>
      <c r="B81" s="106" t="s">
        <v>221</v>
      </c>
      <c r="C81" s="99" t="s">
        <v>92</v>
      </c>
      <c r="D81" s="180">
        <f>VLOOKUP(Tabela13[[#This Row],[PRO-FORM /EXPORT INVOICE
NBR]],Tabela1[#All],4,0)</f>
        <v>46073</v>
      </c>
      <c r="E81" s="116">
        <f>VLOOKUP(Tabela13[[#This Row],[PRO-FORM /EXPORT INVOICE
NBR]],Tabela1[#All],9,0)</f>
        <v>105</v>
      </c>
      <c r="F81" s="6">
        <f>Tabela13[[#This Row],[DATA 
PRO-FORMA]]+30</f>
        <v>46103</v>
      </c>
      <c r="G81" s="42">
        <v>1600</v>
      </c>
      <c r="H81" s="98">
        <v>3014</v>
      </c>
      <c r="I81" s="43" t="s">
        <v>301</v>
      </c>
    </row>
    <row r="82" spans="1:9" x14ac:dyDescent="0.35">
      <c r="A82" t="s">
        <v>707</v>
      </c>
      <c r="B82" s="3" t="s">
        <v>234</v>
      </c>
      <c r="C82" s="25" t="s">
        <v>21</v>
      </c>
      <c r="D82" s="180">
        <v>46073</v>
      </c>
      <c r="E82" s="42">
        <v>107</v>
      </c>
      <c r="F82" s="6"/>
      <c r="G82" s="42">
        <v>2000</v>
      </c>
      <c r="H82" s="98">
        <v>3760</v>
      </c>
      <c r="I82" s="43" t="s">
        <v>301</v>
      </c>
    </row>
    <row r="83" spans="1:9" x14ac:dyDescent="0.35">
      <c r="A83" t="s">
        <v>718</v>
      </c>
      <c r="B83" t="s">
        <v>246</v>
      </c>
      <c r="C83" s="25" t="s">
        <v>21</v>
      </c>
      <c r="D83" s="64">
        <v>46080</v>
      </c>
      <c r="E83" s="116">
        <f>VLOOKUP(Tabela13[[#This Row],[PRO-FORM /EXPORT INVOICE
NBR]],Tabela1[#All],9,0)</f>
        <v>109</v>
      </c>
      <c r="F83" s="6"/>
      <c r="G83" s="42">
        <v>19600</v>
      </c>
      <c r="H83" s="98">
        <v>36652</v>
      </c>
      <c r="I83" s="43" t="s">
        <v>294</v>
      </c>
    </row>
    <row r="84" spans="1:9" x14ac:dyDescent="0.35">
      <c r="A84" s="65">
        <v>14541</v>
      </c>
      <c r="B84" s="3" t="s">
        <v>234</v>
      </c>
      <c r="C84" s="99" t="s">
        <v>21</v>
      </c>
      <c r="D84" s="64">
        <v>46093</v>
      </c>
      <c r="E84" s="42">
        <v>111</v>
      </c>
      <c r="F84" s="6"/>
      <c r="G84" s="42">
        <v>15000</v>
      </c>
      <c r="H84" s="98">
        <v>24150</v>
      </c>
      <c r="I84" s="43" t="s">
        <v>294</v>
      </c>
    </row>
    <row r="85" spans="1:9" x14ac:dyDescent="0.35">
      <c r="A85" s="141">
        <v>14546</v>
      </c>
      <c r="B85" s="3" t="s">
        <v>234</v>
      </c>
      <c r="C85" s="99" t="s">
        <v>21</v>
      </c>
      <c r="D85" s="64">
        <v>46094</v>
      </c>
      <c r="E85" s="42">
        <v>112</v>
      </c>
      <c r="F85" s="6"/>
      <c r="G85" s="42">
        <v>2000</v>
      </c>
      <c r="H85" s="98">
        <v>3400</v>
      </c>
      <c r="I85" s="43" t="s">
        <v>294</v>
      </c>
    </row>
    <row r="86" spans="1:9" x14ac:dyDescent="0.35">
      <c r="A86" s="149">
        <v>2006042</v>
      </c>
      <c r="B86" t="s">
        <v>246</v>
      </c>
      <c r="C86" s="25" t="s">
        <v>21</v>
      </c>
      <c r="D86" s="193">
        <v>46093</v>
      </c>
      <c r="E86" s="116">
        <v>113</v>
      </c>
      <c r="F86" s="194"/>
      <c r="G86" s="116">
        <v>4600</v>
      </c>
      <c r="H86" s="195">
        <v>10350</v>
      </c>
      <c r="I86" s="103" t="s">
        <v>294</v>
      </c>
    </row>
    <row r="87" spans="1:9" x14ac:dyDescent="0.35">
      <c r="A87" s="65">
        <v>6416</v>
      </c>
      <c r="B87" s="3" t="s">
        <v>681</v>
      </c>
      <c r="C87" s="99" t="s">
        <v>21</v>
      </c>
      <c r="D87" s="64">
        <f>VLOOKUP(Tabela13[[#This Row],[PRO-FORM /EXPORT INVOICE
NBR]],Tabela1[#All],4,0)</f>
        <v>46107</v>
      </c>
      <c r="E87" s="42">
        <v>115</v>
      </c>
      <c r="F87" s="6"/>
      <c r="G87" s="42">
        <v>2500</v>
      </c>
      <c r="H87" s="126">
        <v>6425</v>
      </c>
      <c r="I87" s="103" t="s">
        <v>294</v>
      </c>
    </row>
    <row r="88" spans="1:9" x14ac:dyDescent="0.35">
      <c r="A88" s="65">
        <v>2006193</v>
      </c>
      <c r="B88" s="3" t="s">
        <v>246</v>
      </c>
      <c r="C88" s="99" t="s">
        <v>21</v>
      </c>
      <c r="D88" s="64">
        <f>VLOOKUP(Tabela13[[#This Row],[PRO-FORM /EXPORT INVOICE
NBR]],Tabela1[#All],4,0)</f>
        <v>46107</v>
      </c>
      <c r="E88" s="213">
        <f>VLOOKUP(Tabela13[[#This Row],[PRO-FORM /EXPORT INVOICE
NBR]],Tabela1[#All],9,0)</f>
        <v>116</v>
      </c>
      <c r="F88" s="6"/>
      <c r="G88" s="42">
        <v>3700</v>
      </c>
      <c r="H88" s="98">
        <v>6805</v>
      </c>
      <c r="I88" s="103" t="s">
        <v>782</v>
      </c>
    </row>
    <row r="89" spans="1:9" x14ac:dyDescent="0.35">
      <c r="A89" s="65">
        <v>14549</v>
      </c>
      <c r="B89" s="3" t="s">
        <v>234</v>
      </c>
      <c r="C89" s="99" t="s">
        <v>21</v>
      </c>
      <c r="D89" s="64">
        <f>VLOOKUP(Tabela13[[#This Row],[PRO-FORM /EXPORT INVOICE
NBR]],Tabela1[#All],4,0)</f>
        <v>46107</v>
      </c>
      <c r="E89" s="42">
        <f>VLOOKUP(Tabela13[[#This Row],[PRO-FORM /EXPORT INVOICE
NBR]],Tabela1[#All],9,0)</f>
        <v>117</v>
      </c>
      <c r="F89" s="6"/>
      <c r="G89" s="42">
        <v>10500</v>
      </c>
      <c r="H89" s="98">
        <v>20615</v>
      </c>
      <c r="I89" s="103" t="s">
        <v>772</v>
      </c>
    </row>
    <row r="90" spans="1:9" x14ac:dyDescent="0.35">
      <c r="A90" s="65">
        <v>14563</v>
      </c>
      <c r="B90" s="3" t="s">
        <v>234</v>
      </c>
      <c r="C90" s="99" t="s">
        <v>21</v>
      </c>
      <c r="D90" s="64">
        <f>VLOOKUP(Tabela13[[#This Row],[PRO-FORM /EXPORT INVOICE
NBR]],Tabela1[#All],4,0)</f>
        <v>46107</v>
      </c>
      <c r="E90" s="42">
        <f>VLOOKUP(Tabela13[[#This Row],[PRO-FORM /EXPORT INVOICE
NBR]],Tabela1[#All],9,0)</f>
        <v>118</v>
      </c>
      <c r="F90" s="6"/>
      <c r="G90" s="42">
        <v>3000</v>
      </c>
      <c r="H90" s="98">
        <v>5850</v>
      </c>
      <c r="I90" s="43" t="s">
        <v>294</v>
      </c>
    </row>
    <row r="91" spans="1:9" x14ac:dyDescent="0.35">
      <c r="A91" s="39" t="s">
        <v>773</v>
      </c>
      <c r="B91" s="3" t="s">
        <v>33</v>
      </c>
      <c r="C91" s="99" t="s">
        <v>38</v>
      </c>
      <c r="D91" s="64">
        <f>VLOOKUP(Tabela13[[#This Row],[PRO-FORM /EXPORT INVOICE
NBR]],Tabela1[#All],4,0)</f>
        <v>46112</v>
      </c>
      <c r="E91" s="42">
        <f>VLOOKUP(Tabela13[[#This Row],[PRO-FORM /EXPORT INVOICE
NBR]],Tabela1[#All],9,0)</f>
        <v>119</v>
      </c>
      <c r="F91" s="6"/>
      <c r="G91" s="42">
        <f>VLOOKUP(Tabela13[[#This Row],[PRO-FORM /EXPORT INVOICE
NBR]],Tabela1[#All],11,0)</f>
        <v>15000</v>
      </c>
      <c r="H91" s="98">
        <v>35100</v>
      </c>
      <c r="I91" s="103" t="s">
        <v>776</v>
      </c>
    </row>
    <row r="92" spans="1:9" x14ac:dyDescent="0.35">
      <c r="A92" s="39">
        <v>2004337</v>
      </c>
      <c r="B92" s="3" t="s">
        <v>109</v>
      </c>
      <c r="C92" s="99" t="s">
        <v>92</v>
      </c>
      <c r="D92" s="64">
        <f>VLOOKUP(Tabela13[[#This Row],[PRO-FORM /EXPORT INVOICE
NBR]],Tabela1[#All],4,0)</f>
        <v>46121</v>
      </c>
      <c r="E92" s="42">
        <f>VLOOKUP(Tabela13[[#This Row],[PRO-FORM /EXPORT INVOICE
NBR]],Tabela1[#All],9,0)</f>
        <v>120</v>
      </c>
      <c r="F92" s="6"/>
      <c r="G92" s="42">
        <f>VLOOKUP(Tabela13[[#This Row],[PRO-FORM /EXPORT INVOICE
NBR]],Tabela1[#All],11,0)</f>
        <v>1400</v>
      </c>
      <c r="H92" s="98">
        <v>2856</v>
      </c>
      <c r="I92" s="43" t="s">
        <v>294</v>
      </c>
    </row>
    <row r="93" spans="1:9" x14ac:dyDescent="0.35">
      <c r="A93" s="65">
        <v>6485</v>
      </c>
      <c r="B93" s="3" t="s">
        <v>681</v>
      </c>
      <c r="C93" s="99" t="s">
        <v>21</v>
      </c>
      <c r="D93" s="64">
        <f>VLOOKUP(Tabela13[[#This Row],[PRO-FORM /EXPORT INVOICE
NBR]],Tabela1[#All],4,0)</f>
        <v>46126</v>
      </c>
      <c r="E93" s="42">
        <f>VLOOKUP(Tabela13[[#This Row],[PRO-FORM /EXPORT INVOICE
NBR]],Tabela1[#All],9,0)</f>
        <v>121</v>
      </c>
      <c r="F93" s="6"/>
      <c r="G93" s="42">
        <f>VLOOKUP(Tabela13[[#This Row],[PRO-FORM /EXPORT INVOICE
NBR]],Tabela1[#All],11,0)</f>
        <v>3750</v>
      </c>
      <c r="H93" s="126">
        <v>9637.5</v>
      </c>
      <c r="I93" s="43" t="s">
        <v>294</v>
      </c>
    </row>
    <row r="94" spans="1:9" x14ac:dyDescent="0.35">
      <c r="A94" s="65">
        <v>6493</v>
      </c>
      <c r="B94" s="3" t="s">
        <v>681</v>
      </c>
      <c r="C94" s="99" t="s">
        <v>21</v>
      </c>
      <c r="D94" s="64">
        <f>VLOOKUP(Tabela13[[#This Row],[PRO-FORM /EXPORT INVOICE
NBR]],Tabela1[#All],4,0)</f>
        <v>46126</v>
      </c>
      <c r="E94" s="42">
        <f>VLOOKUP(Tabela13[[#This Row],[PRO-FORM /EXPORT INVOICE
NBR]],Tabela1[#All],9,0)</f>
        <v>122</v>
      </c>
      <c r="F94" s="6"/>
      <c r="G94" s="42">
        <f>VLOOKUP(Tabela13[[#This Row],[PRO-FORM /EXPORT INVOICE
NBR]],Tabela1[#All],11,0)</f>
        <v>3750</v>
      </c>
      <c r="H94" s="126">
        <v>9637.5</v>
      </c>
      <c r="I94" s="43" t="s">
        <v>294</v>
      </c>
    </row>
    <row r="95" spans="1:9" x14ac:dyDescent="0.35">
      <c r="A95" s="65">
        <v>6486</v>
      </c>
      <c r="B95" s="3" t="s">
        <v>681</v>
      </c>
      <c r="C95" s="99" t="s">
        <v>21</v>
      </c>
      <c r="D95" s="64">
        <f>VLOOKUP(Tabela13[[#This Row],[PRO-FORM /EXPORT INVOICE
NBR]],Tabela1[#All],4,0)</f>
        <v>46126</v>
      </c>
      <c r="E95" s="42">
        <f>VLOOKUP(Tabela13[[#This Row],[PRO-FORM /EXPORT INVOICE
NBR]],Tabela1[#All],9,0)</f>
        <v>125</v>
      </c>
      <c r="F95" s="6"/>
      <c r="G95" s="42">
        <v>3500</v>
      </c>
      <c r="H95" s="98">
        <v>8530</v>
      </c>
      <c r="I95" s="43" t="s">
        <v>294</v>
      </c>
    </row>
    <row r="96" spans="1:9" x14ac:dyDescent="0.35">
      <c r="A96" s="65">
        <v>2004493</v>
      </c>
      <c r="B96" s="3" t="s">
        <v>109</v>
      </c>
      <c r="C96" s="25" t="s">
        <v>92</v>
      </c>
      <c r="D96" s="64">
        <f>VLOOKUP(Tabela13[[#This Row],[PRO-FORM /EXPORT INVOICE
NBR]],Tabela1[#All],4,0)</f>
        <v>46126</v>
      </c>
      <c r="E96" s="42">
        <f>VLOOKUP(Tabela13[[#This Row],[PRO-FORM /EXPORT INVOICE
NBR]],Tabela1[#All],9,0)</f>
        <v>123</v>
      </c>
      <c r="F96" s="6"/>
      <c r="G96" s="42">
        <f>VLOOKUP(Tabela13[[#This Row],[PRO-FORM /EXPORT INVOICE
NBR]],Tabela1[#All],11,0)</f>
        <v>1500</v>
      </c>
      <c r="H96" s="98">
        <v>7560</v>
      </c>
      <c r="I96" s="43" t="s">
        <v>294</v>
      </c>
    </row>
    <row r="97" spans="1:9" x14ac:dyDescent="0.35">
      <c r="A97" s="65" t="s">
        <v>824</v>
      </c>
      <c r="B97" s="24" t="s">
        <v>832</v>
      </c>
      <c r="C97" s="25" t="s">
        <v>833</v>
      </c>
      <c r="D97" s="64">
        <f>VLOOKUP(Tabela13[[#This Row],[PRO-FORM /EXPORT INVOICE
NBR]],Tabela1[#All],4,0)</f>
        <v>46126</v>
      </c>
      <c r="E97" s="42">
        <f>VLOOKUP(Tabela13[[#This Row],[PRO-FORM /EXPORT INVOICE
NBR]],Tabela1[#All],9,0)</f>
        <v>126</v>
      </c>
      <c r="F97" s="6"/>
      <c r="G97" s="42">
        <v>4500</v>
      </c>
      <c r="H97" s="98">
        <v>10150</v>
      </c>
      <c r="I97" s="43" t="s">
        <v>294</v>
      </c>
    </row>
    <row r="98" spans="1:9" x14ac:dyDescent="0.35">
      <c r="A98" s="65">
        <v>2004507</v>
      </c>
      <c r="B98" s="3" t="s">
        <v>109</v>
      </c>
      <c r="C98" s="25" t="s">
        <v>92</v>
      </c>
      <c r="D98" s="64">
        <f>VLOOKUP(Tabela13[[#This Row],[PRO-FORM /EXPORT INVOICE
NBR]],Tabela1[#All],4,0)</f>
        <v>46126</v>
      </c>
      <c r="E98" s="42">
        <f>VLOOKUP(Tabela13[[#This Row],[PRO-FORM /EXPORT INVOICE
NBR]],Tabela1[#All],9,0)</f>
        <v>124</v>
      </c>
      <c r="F98" s="6"/>
      <c r="G98" s="42">
        <v>12000</v>
      </c>
      <c r="H98" s="98">
        <v>24880</v>
      </c>
      <c r="I98" s="43" t="s">
        <v>294</v>
      </c>
    </row>
    <row r="99" spans="1:9" x14ac:dyDescent="0.35">
      <c r="A99" s="237">
        <v>2006372</v>
      </c>
      <c r="B99" t="s">
        <v>246</v>
      </c>
      <c r="C99" s="25" t="s">
        <v>21</v>
      </c>
      <c r="D99" s="64">
        <v>46128</v>
      </c>
      <c r="E99" s="116">
        <v>128</v>
      </c>
      <c r="F99" s="6"/>
      <c r="G99" s="42">
        <v>16500</v>
      </c>
      <c r="H99" s="98">
        <v>33540</v>
      </c>
      <c r="I99" s="69"/>
    </row>
    <row r="100" spans="1:9" x14ac:dyDescent="0.35">
      <c r="A100" s="3" t="s">
        <v>864</v>
      </c>
      <c r="B100" s="3" t="s">
        <v>403</v>
      </c>
      <c r="C100" s="25" t="s">
        <v>92</v>
      </c>
      <c r="D100" s="64">
        <v>46136</v>
      </c>
      <c r="E100" s="42">
        <v>127</v>
      </c>
      <c r="F100" s="6"/>
      <c r="G100" s="42">
        <v>7650</v>
      </c>
      <c r="H100" s="98">
        <v>10764</v>
      </c>
      <c r="I100" s="247"/>
    </row>
    <row r="101" spans="1:9" x14ac:dyDescent="0.35">
      <c r="A101" s="307" t="s">
        <v>886</v>
      </c>
      <c r="B101" s="305" t="s">
        <v>914</v>
      </c>
      <c r="C101" s="308" t="s">
        <v>21</v>
      </c>
      <c r="D101" s="193">
        <f>VLOOKUP(Tabela13[[#This Row],[PRO-FORM /EXPORT INVOICE
NBR]],Tabela1[#All],4,0)</f>
        <v>46142</v>
      </c>
      <c r="E101" s="116">
        <f>VLOOKUP(Tabela13[[#This Row],[PRO-FORM /EXPORT INVOICE
NBR]],Tabela1[#All],9,0)</f>
        <v>132</v>
      </c>
      <c r="F101" s="6"/>
      <c r="G101" s="116">
        <v>4600</v>
      </c>
      <c r="H101" s="309">
        <v>11184</v>
      </c>
      <c r="I101" s="103" t="s">
        <v>1062</v>
      </c>
    </row>
    <row r="102" spans="1:9" x14ac:dyDescent="0.35">
      <c r="A102" s="141" t="s">
        <v>893</v>
      </c>
      <c r="B102" s="65" t="s">
        <v>31</v>
      </c>
      <c r="C102" s="25" t="s">
        <v>21</v>
      </c>
      <c r="D102" s="64">
        <f>VLOOKUP(Tabela13[[#This Row],[PRO-FORM /EXPORT INVOICE
NBR]],Tabela1[#All],4,0)</f>
        <v>46142</v>
      </c>
      <c r="E102" s="42">
        <f>VLOOKUP(Tabela13[[#This Row],[PRO-FORM /EXPORT INVOICE
NBR]],Tabela1[#All],9,0)</f>
        <v>129</v>
      </c>
      <c r="F102" s="6"/>
      <c r="G102" s="42">
        <f>VLOOKUP(Tabela13[[#This Row],[PRO-FORM /EXPORT INVOICE
NBR]],Tabela1[#All],11,0)</f>
        <v>1000</v>
      </c>
      <c r="H102" s="126">
        <v>4352.5439999999999</v>
      </c>
      <c r="I102" s="43"/>
    </row>
    <row r="103" spans="1:9" x14ac:dyDescent="0.35">
      <c r="A103" s="65" t="s">
        <v>894</v>
      </c>
      <c r="B103" s="65" t="s">
        <v>31</v>
      </c>
      <c r="C103" s="99" t="s">
        <v>21</v>
      </c>
      <c r="D103" s="64">
        <f>VLOOKUP(Tabela13[[#This Row],[PRO-FORM /EXPORT INVOICE
NBR]],Tabela1[#All],4,0)</f>
        <v>46142</v>
      </c>
      <c r="E103" s="42">
        <f>VLOOKUP(Tabela13[[#This Row],[PRO-FORM /EXPORT INVOICE
NBR]],Tabela1[#All],9,0)</f>
        <v>130</v>
      </c>
      <c r="F103" s="6"/>
      <c r="G103" s="42">
        <f>VLOOKUP(Tabela13[[#This Row],[PRO-FORM /EXPORT INVOICE
NBR]],Tabela1[#All],11,0)</f>
        <v>4000</v>
      </c>
      <c r="H103" s="126">
        <v>17410.175999999999</v>
      </c>
      <c r="I103" s="43"/>
    </row>
    <row r="104" spans="1:9" x14ac:dyDescent="0.35">
      <c r="A104" s="65">
        <v>6647</v>
      </c>
      <c r="B104" s="3" t="s">
        <v>681</v>
      </c>
      <c r="C104" s="99" t="s">
        <v>21</v>
      </c>
      <c r="D104" s="64">
        <f>VLOOKUP(Tabela13[[#This Row],[PRO-FORM /EXPORT INVOICE
NBR]],Tabela1[#All],4,0)</f>
        <v>46142</v>
      </c>
      <c r="E104" s="42">
        <f>VLOOKUP(Tabela13[[#This Row],[PRO-FORM /EXPORT INVOICE
NBR]],Tabela1[#All],9,0)</f>
        <v>131</v>
      </c>
      <c r="F104" s="6"/>
      <c r="G104" s="42">
        <f>VLOOKUP(Tabela13[[#This Row],[PRO-FORM /EXPORT INVOICE
NBR]],Tabela1[#All],11,0)</f>
        <v>3750</v>
      </c>
      <c r="H104" s="126">
        <v>11062.5</v>
      </c>
      <c r="I104" s="43"/>
    </row>
    <row r="105" spans="1:9" x14ac:dyDescent="0.35">
      <c r="A105" s="65">
        <v>14649</v>
      </c>
      <c r="B105" s="3" t="s">
        <v>234</v>
      </c>
      <c r="C105" s="99" t="s">
        <v>21</v>
      </c>
      <c r="D105" s="64">
        <f>VLOOKUP(Tabela13[[#This Row],[PRO-FORM /EXPORT INVOICE
NBR]],Tabela1[#All],4,0)</f>
        <v>46142</v>
      </c>
      <c r="E105" s="42">
        <f>VLOOKUP(Tabela13[[#This Row],[PRO-FORM /EXPORT INVOICE
NBR]],Tabela1[#All],9,0)</f>
        <v>135</v>
      </c>
      <c r="F105" s="6"/>
      <c r="G105" s="42">
        <v>15000</v>
      </c>
      <c r="H105" s="98">
        <v>27300</v>
      </c>
      <c r="I105" s="43"/>
    </row>
    <row r="106" spans="1:9" x14ac:dyDescent="0.35">
      <c r="A106" s="255" t="s">
        <v>932</v>
      </c>
      <c r="B106" s="3" t="s">
        <v>109</v>
      </c>
      <c r="C106" s="99" t="s">
        <v>92</v>
      </c>
      <c r="D106" s="64">
        <f>VLOOKUP(Tabela13[[#This Row],[PRO-FORM /EXPORT INVOICE
NBR]],Tabela1[#All],4,0)</f>
        <v>46147</v>
      </c>
      <c r="E106" s="42">
        <f>VLOOKUP(Tabela13[[#This Row],[PRO-FORM /EXPORT INVOICE
NBR]],Tabela1[#All],9,0)</f>
        <v>134</v>
      </c>
      <c r="F106" s="6"/>
      <c r="G106" s="42">
        <v>31900</v>
      </c>
      <c r="H106" s="107">
        <v>61997</v>
      </c>
      <c r="I106" s="43" t="s">
        <v>1001</v>
      </c>
    </row>
    <row r="107" spans="1:9" x14ac:dyDescent="0.35">
      <c r="A107" s="250" t="s">
        <v>984</v>
      </c>
      <c r="B107" s="3" t="s">
        <v>109</v>
      </c>
      <c r="C107" s="99" t="s">
        <v>92</v>
      </c>
      <c r="D107" s="64">
        <f>VLOOKUP(Tabela13[[#This Row],[PRO-FORM /EXPORT INVOICE
NBR]],Tabela1[#All],4,0)</f>
        <v>46148</v>
      </c>
      <c r="E107" s="42">
        <f>VLOOKUP(Tabela13[[#This Row],[PRO-FORM /EXPORT INVOICE
NBR]],Tabela1[#All],9,0)</f>
        <v>133</v>
      </c>
      <c r="F107" s="6"/>
      <c r="G107" s="42">
        <f>VLOOKUP(Tabela13[[#This Row],[PRO-FORM /EXPORT INVOICE
NBR]],Tabela1[#All],11,0)</f>
        <v>3300</v>
      </c>
      <c r="H107" s="126">
        <v>5973</v>
      </c>
      <c r="I107" s="43" t="s">
        <v>994</v>
      </c>
    </row>
    <row r="108" spans="1:9" x14ac:dyDescent="0.35">
      <c r="A108" s="137">
        <v>14668</v>
      </c>
      <c r="B108" s="3" t="s">
        <v>234</v>
      </c>
      <c r="C108" s="99" t="s">
        <v>21</v>
      </c>
      <c r="D108" s="64">
        <f>VLOOKUP(Tabela13[[#This Row],[PRO-FORM /EXPORT INVOICE
NBR]],Tabela1[#All],4,0)</f>
        <v>46153</v>
      </c>
      <c r="E108" s="42">
        <f>VLOOKUP(Tabela13[[#This Row],[PRO-FORM /EXPORT INVOICE
NBR]],Tabela1[#All],9,0)</f>
        <v>136</v>
      </c>
      <c r="F108" s="6"/>
      <c r="G108" s="42">
        <f>VLOOKUP(Tabela13[[#This Row],[PRO-FORM /EXPORT INVOICE
NBR]],Tabela1[#All],11,0)</f>
        <v>10000</v>
      </c>
      <c r="H108" s="98">
        <v>23200</v>
      </c>
      <c r="I108" s="43" t="s">
        <v>294</v>
      </c>
    </row>
    <row r="109" spans="1:9" x14ac:dyDescent="0.35">
      <c r="A109" s="318" t="s">
        <v>1016</v>
      </c>
      <c r="B109" s="319" t="s">
        <v>354</v>
      </c>
      <c r="C109" s="320" t="s">
        <v>26</v>
      </c>
      <c r="D109" s="321">
        <f>VLOOKUP(Tabela13[[#This Row],[PRO-FORM /EXPORT INVOICE
NBR]],Tabela1[#All],4,0)</f>
        <v>46168</v>
      </c>
      <c r="E109" s="322">
        <f>VLOOKUP(Tabela13[[#This Row],[PRO-FORM /EXPORT INVOICE
NBR]],Tabela1[#All],9,0)</f>
        <v>137</v>
      </c>
      <c r="F109" s="6"/>
      <c r="G109" s="322">
        <f>VLOOKUP(Tabela13[[#This Row],[PRO-FORM /EXPORT INVOICE
NBR]],Tabela1[#All],11,0)</f>
        <v>1200</v>
      </c>
      <c r="H109" s="323">
        <v>2880</v>
      </c>
      <c r="I109" s="43" t="s">
        <v>1078</v>
      </c>
    </row>
    <row r="110" spans="1:9" x14ac:dyDescent="0.35">
      <c r="A110" s="137">
        <v>2004801</v>
      </c>
      <c r="B110" s="3" t="s">
        <v>109</v>
      </c>
      <c r="C110" s="99" t="s">
        <v>92</v>
      </c>
      <c r="D110" s="64">
        <f>VLOOKUP(Tabela13[[#This Row],[PRO-FORM /EXPORT INVOICE
NBR]],Tabela1[#All],4,0)</f>
        <v>46176</v>
      </c>
      <c r="E110" s="42">
        <f>VLOOKUP(Tabela13[[#This Row],[PRO-FORM /EXPORT INVOICE
NBR]],Tabela1[#All],9,0)</f>
        <v>141</v>
      </c>
      <c r="F110" s="6"/>
      <c r="G110" s="42">
        <v>12700</v>
      </c>
      <c r="H110" s="98">
        <v>34983</v>
      </c>
      <c r="I110" s="43" t="s">
        <v>994</v>
      </c>
    </row>
    <row r="111" spans="1:9" x14ac:dyDescent="0.35">
      <c r="A111" s="137">
        <v>786</v>
      </c>
      <c r="B111" s="3" t="s">
        <v>221</v>
      </c>
      <c r="C111" s="99" t="s">
        <v>92</v>
      </c>
      <c r="D111" s="64">
        <f>VLOOKUP(Tabela13[[#This Row],[PRO-FORM /EXPORT INVOICE
NBR]],Tabela1[#All],4,0)</f>
        <v>46182</v>
      </c>
      <c r="E111" s="42">
        <f>VLOOKUP(Tabela13[[#This Row],[PRO-FORM /EXPORT INVOICE
NBR]],Tabela1[#All],9,0)</f>
        <v>143</v>
      </c>
      <c r="F111" s="6"/>
      <c r="G111" s="42">
        <f>VLOOKUP(Tabela13[[#This Row],[PRO-FORM /EXPORT INVOICE
NBR]],Tabela1[#All],11,0)</f>
        <v>2200</v>
      </c>
      <c r="H111" s="98">
        <v>4180</v>
      </c>
      <c r="I111" s="43" t="s">
        <v>294</v>
      </c>
    </row>
    <row r="112" spans="1:9" x14ac:dyDescent="0.35">
      <c r="A112" s="137">
        <v>14703</v>
      </c>
      <c r="B112" s="3" t="s">
        <v>234</v>
      </c>
      <c r="C112" s="99" t="s">
        <v>21</v>
      </c>
      <c r="D112" s="64">
        <f>VLOOKUP(Tabela13[[#This Row],[PRO-FORM /EXPORT INVOICE
NBR]],Tabela1[#All],4,0)</f>
        <v>46185</v>
      </c>
      <c r="E112" s="42">
        <f>VLOOKUP(Tabela13[[#This Row],[PRO-FORM /EXPORT INVOICE
NBR]],Tabela1[#All],9,0)</f>
        <v>144</v>
      </c>
      <c r="F112" s="6"/>
      <c r="G112" s="42">
        <f>VLOOKUP(Tabela13[[#This Row],[PRO-FORM /EXPORT INVOICE
NBR]],Tabela1[#All],11,0)</f>
        <v>5000</v>
      </c>
      <c r="H112" s="98">
        <v>11600</v>
      </c>
      <c r="I112" s="43" t="s">
        <v>294</v>
      </c>
    </row>
    <row r="113" spans="1:9" x14ac:dyDescent="0.35">
      <c r="A113" s="137">
        <v>14772</v>
      </c>
      <c r="B113" s="3" t="s">
        <v>234</v>
      </c>
      <c r="C113" s="99" t="s">
        <v>21</v>
      </c>
      <c r="D113" s="64">
        <f>VLOOKUP(Tabela13[[#This Row],[PRO-FORM /EXPORT INVOICE
NBR]],Tabela1[#All],4,0)</f>
        <v>46197</v>
      </c>
      <c r="E113" s="42">
        <f>VLOOKUP(Tabela13[[#This Row],[PRO-FORM /EXPORT INVOICE
NBR]],Tabela1[#All],9,0)</f>
        <v>145</v>
      </c>
      <c r="F113" s="6"/>
      <c r="G113" s="42">
        <f>VLOOKUP(Tabela13[[#This Row],[PRO-FORM /EXPORT INVOICE
NBR]],Tabela1[#All],11,0)</f>
        <v>6000</v>
      </c>
      <c r="H113" s="98">
        <v>25980</v>
      </c>
      <c r="I113" s="43" t="s">
        <v>294</v>
      </c>
    </row>
    <row r="114" spans="1:9" x14ac:dyDescent="0.35">
      <c r="A114" s="137">
        <v>14773</v>
      </c>
      <c r="B114" s="3" t="s">
        <v>234</v>
      </c>
      <c r="C114" s="99" t="s">
        <v>21</v>
      </c>
      <c r="D114" s="64">
        <f>VLOOKUP(Tabela13[[#This Row],[PRO-FORM /EXPORT INVOICE
NBR]],Tabela1[#All],4,0)</f>
        <v>46197</v>
      </c>
      <c r="E114" s="42">
        <f>VLOOKUP(Tabela13[[#This Row],[PRO-FORM /EXPORT INVOICE
NBR]],Tabela1[#All],9,0)</f>
        <v>146</v>
      </c>
      <c r="F114" s="6"/>
      <c r="G114" s="42">
        <v>10500</v>
      </c>
      <c r="H114" s="98">
        <v>22785</v>
      </c>
      <c r="I114" s="43" t="s">
        <v>294</v>
      </c>
    </row>
    <row r="115" spans="1:9" x14ac:dyDescent="0.35">
      <c r="A115" s="255" t="s">
        <v>1069</v>
      </c>
      <c r="B115" s="3" t="s">
        <v>33</v>
      </c>
      <c r="C115" s="99" t="s">
        <v>38</v>
      </c>
      <c r="D115" s="64">
        <f>VLOOKUP(Tabela13[[#This Row],[PRO-FORM /EXPORT INVOICE
NBR]],Tabela1[#All],4,0)</f>
        <v>46205</v>
      </c>
      <c r="E115" s="42">
        <v>148</v>
      </c>
      <c r="F115" s="6"/>
      <c r="G115" s="42">
        <v>5260</v>
      </c>
      <c r="H115" s="126">
        <v>12255.800000000001</v>
      </c>
      <c r="I115" s="43" t="s">
        <v>294</v>
      </c>
    </row>
    <row r="116" spans="1:9" x14ac:dyDescent="0.35">
      <c r="A116" s="337" t="s">
        <v>1023</v>
      </c>
      <c r="B116" s="3" t="s">
        <v>33</v>
      </c>
      <c r="C116" s="99" t="s">
        <v>38</v>
      </c>
      <c r="D116" s="64">
        <f>VLOOKUP(Tabela13[[#This Row],[PRO-FORM /EXPORT INVOICE
NBR]],Tabela1[#All],4,0)</f>
        <v>46171</v>
      </c>
      <c r="E116" s="42">
        <f>VLOOKUP(Tabela13[[#This Row],[PRO-FORM /EXPORT INVOICE
NBR]],Tabela1[#All],9,0)</f>
        <v>149</v>
      </c>
      <c r="F116" s="6"/>
      <c r="G116" s="42">
        <v>5430</v>
      </c>
      <c r="H116" s="98">
        <v>15041.1</v>
      </c>
      <c r="I116" s="43"/>
    </row>
    <row r="117" spans="1:9" x14ac:dyDescent="0.35">
      <c r="A117" s="255" t="s">
        <v>1074</v>
      </c>
      <c r="B117" s="3" t="s">
        <v>354</v>
      </c>
      <c r="C117" s="99" t="s">
        <v>26</v>
      </c>
      <c r="D117" s="64">
        <f>VLOOKUP(Tabela13[[#This Row],[PRO-FORM /EXPORT INVOICE
NBR]],Tabela1[#All],4,0)</f>
        <v>46206</v>
      </c>
      <c r="E117" s="42">
        <f>VLOOKUP(Tabela13[[#This Row],[PRO-FORM /EXPORT INVOICE
NBR]],Tabela1[#All],9,0)</f>
        <v>147</v>
      </c>
      <c r="F117" s="6"/>
      <c r="G117" s="42">
        <f>VLOOKUP(Tabela13[[#This Row],[PRO-FORM /EXPORT INVOICE
NBR]],Tabela1[#All],11,0)</f>
        <v>1200</v>
      </c>
      <c r="H117" s="98">
        <v>1200</v>
      </c>
      <c r="I117" s="43" t="s">
        <v>294</v>
      </c>
    </row>
    <row r="118" spans="1:9" x14ac:dyDescent="0.35">
      <c r="A118" s="137">
        <v>791</v>
      </c>
      <c r="B118" s="3" t="s">
        <v>221</v>
      </c>
      <c r="C118" s="99" t="s">
        <v>92</v>
      </c>
      <c r="D118" s="64">
        <f>VLOOKUP(Tabela13[[#This Row],[PRO-FORM /EXPORT INVOICE
NBR]],Tabela1[#All],4,0)</f>
        <v>46211</v>
      </c>
      <c r="E118" s="42">
        <f>VLOOKUP(Tabela13[[#This Row],[PRO-FORM /EXPORT INVOICE
NBR]],Tabela1[#All],9,0)</f>
        <v>150</v>
      </c>
      <c r="F118" s="6"/>
      <c r="G118" s="42">
        <v>1000</v>
      </c>
      <c r="H118" s="98">
        <v>3808</v>
      </c>
      <c r="I118" s="43" t="s">
        <v>294</v>
      </c>
    </row>
    <row r="119" spans="1:9" x14ac:dyDescent="0.35">
      <c r="A119" s="137">
        <v>797</v>
      </c>
      <c r="B119" s="3" t="s">
        <v>221</v>
      </c>
      <c r="C119" s="99" t="s">
        <v>92</v>
      </c>
      <c r="D119" s="64">
        <f>VLOOKUP(Tabela13[[#This Row],[PRO-FORM /EXPORT INVOICE
NBR]],Tabela1[#All],4,0)</f>
        <v>46211</v>
      </c>
      <c r="E119" s="42">
        <f>VLOOKUP(Tabela13[[#This Row],[PRO-FORM /EXPORT INVOICE
NBR]],Tabela1[#All],9,0)</f>
        <v>151</v>
      </c>
      <c r="F119" s="6"/>
      <c r="G119" s="42">
        <f>VLOOKUP(Tabela13[[#This Row],[PRO-FORM /EXPORT INVOICE
NBR]],Tabela1[#All],11,0)</f>
        <v>3000</v>
      </c>
      <c r="H119" s="98">
        <v>6480</v>
      </c>
      <c r="I119" s="43" t="s">
        <v>294</v>
      </c>
    </row>
    <row r="120" spans="1:9" x14ac:dyDescent="0.35">
      <c r="A120" s="39" t="s">
        <v>1090</v>
      </c>
      <c r="B120" s="3" t="s">
        <v>85</v>
      </c>
      <c r="C120" s="99" t="s">
        <v>21</v>
      </c>
      <c r="D120" s="64">
        <f>VLOOKUP(Tabela13[[#This Row],[PRO-FORM /EXPORT INVOICE
NBR]],Tabela1[#All],4,0)</f>
        <v>46213</v>
      </c>
      <c r="E120" s="42">
        <f>VLOOKUP(Tabela13[[#This Row],[PRO-FORM /EXPORT INVOICE
NBR]],Tabela1[#All],9,0)</f>
        <v>153</v>
      </c>
      <c r="F120" s="6"/>
      <c r="G120" s="42">
        <f>VLOOKUP(Tabela13[[#This Row],[PRO-FORM /EXPORT INVOICE
NBR]],Tabela1[#All],11,0)</f>
        <v>2700</v>
      </c>
      <c r="H120" s="98">
        <v>5859</v>
      </c>
      <c r="I120" s="43" t="s">
        <v>1095</v>
      </c>
    </row>
    <row r="121" spans="1:9" x14ac:dyDescent="0.35">
      <c r="A121" s="65">
        <v>2007206</v>
      </c>
      <c r="B121" s="3" t="s">
        <v>246</v>
      </c>
      <c r="C121" s="25" t="s">
        <v>21</v>
      </c>
      <c r="D121" s="64">
        <f>VLOOKUP(Tabela13[[#This Row],[PRO-FORM /EXPORT INVOICE
NBR]],Tabela1[#All],4,0)</f>
        <v>46223</v>
      </c>
      <c r="E121" s="42">
        <f>VLOOKUP(Tabela13[[#This Row],[PRO-FORM /EXPORT INVOICE
NBR]],Tabela1[#All],9,0)</f>
        <v>155</v>
      </c>
      <c r="F121" s="6"/>
      <c r="G121" s="42">
        <v>13500</v>
      </c>
      <c r="H121" s="98">
        <v>31010</v>
      </c>
      <c r="I121" s="43"/>
    </row>
    <row r="122" spans="1:9" x14ac:dyDescent="0.35">
      <c r="A122" s="149">
        <v>2005029</v>
      </c>
      <c r="B122" s="3" t="s">
        <v>109</v>
      </c>
      <c r="C122" s="25" t="s">
        <v>92</v>
      </c>
      <c r="D122" s="64">
        <f>VLOOKUP(Tabela13[[#This Row],[PRO-FORM /EXPORT INVOICE
NBR]],Tabela1[#All],4,0)</f>
        <v>46223</v>
      </c>
      <c r="E122" s="42">
        <f>VLOOKUP(Tabela13[[#This Row],[PRO-FORM /EXPORT INVOICE
NBR]],Tabela1[#All],9,0)</f>
        <v>154</v>
      </c>
      <c r="F122" s="6"/>
      <c r="G122" s="42">
        <v>1600</v>
      </c>
      <c r="H122" s="98">
        <v>3304</v>
      </c>
      <c r="I122" s="43"/>
    </row>
    <row r="123" spans="1:9" x14ac:dyDescent="0.35">
      <c r="A123" s="65">
        <v>2007258</v>
      </c>
      <c r="B123" s="3" t="s">
        <v>246</v>
      </c>
      <c r="C123" s="25" t="s">
        <v>21</v>
      </c>
      <c r="D123" s="64">
        <f>VLOOKUP(Tabela13[[#This Row],[PRO-FORM /EXPORT INVOICE
NBR]],Tabela1[#All],4,0)</f>
        <v>46227</v>
      </c>
      <c r="E123" s="42">
        <f>VLOOKUP(Tabela13[[#This Row],[PRO-FORM /EXPORT INVOICE
NBR]],Tabela1[#All],9,0)</f>
        <v>156</v>
      </c>
      <c r="F123" s="6"/>
      <c r="G123" s="42">
        <f>VLOOKUP(Tabela13[[#This Row],[PRO-FORM /EXPORT INVOICE
NBR]],Tabela1[#All],11,0)</f>
        <v>2000</v>
      </c>
      <c r="H123" s="98">
        <v>4260</v>
      </c>
      <c r="I123" s="43"/>
    </row>
    <row r="124" spans="1:9" x14ac:dyDescent="0.35">
      <c r="A124" s="149" t="s">
        <v>1131</v>
      </c>
      <c r="B124" s="3" t="s">
        <v>109</v>
      </c>
      <c r="C124" s="25" t="s">
        <v>92</v>
      </c>
      <c r="D124" s="64">
        <v>46232</v>
      </c>
      <c r="E124" s="42">
        <v>157</v>
      </c>
      <c r="F124" s="6"/>
      <c r="G124" s="42">
        <v>500</v>
      </c>
      <c r="H124" s="98">
        <v>945</v>
      </c>
      <c r="I124" s="43"/>
    </row>
    <row r="125" spans="1:9" x14ac:dyDescent="0.35">
      <c r="A125" s="149">
        <v>2005068</v>
      </c>
      <c r="B125" s="3" t="s">
        <v>109</v>
      </c>
      <c r="C125" s="25" t="s">
        <v>92</v>
      </c>
      <c r="D125" s="64">
        <f>VLOOKUP(Tabela13[[#This Row],[PRO-FORM /EXPORT INVOICE
NBR]],Tabela1[#All],4,0)</f>
        <v>46237</v>
      </c>
      <c r="E125" s="42">
        <f>VLOOKUP(Tabela13[[#This Row],[PRO-FORM /EXPORT INVOICE
NBR]],Tabela1[#All],9,0)</f>
        <v>158</v>
      </c>
      <c r="F125" s="6"/>
      <c r="G125" s="42">
        <f>VLOOKUP(Tabela13[[#This Row],[PRO-FORM /EXPORT INVOICE
NBR]],Tabela1[#All],11,0)</f>
        <v>1000</v>
      </c>
      <c r="H125" s="98">
        <v>1800</v>
      </c>
      <c r="I125" s="43"/>
    </row>
    <row r="126" spans="1:9" x14ac:dyDescent="0.35">
      <c r="A126" s="65" t="s">
        <v>1139</v>
      </c>
      <c r="B126" s="3" t="s">
        <v>246</v>
      </c>
      <c r="C126" s="25" t="s">
        <v>21</v>
      </c>
      <c r="D126" s="64">
        <f>VLOOKUP(Tabela13[[#This Row],[PRO-FORM /EXPORT INVOICE
NBR]],Tabela1[#All],4,0)</f>
        <v>46246</v>
      </c>
      <c r="E126" s="42">
        <f>VLOOKUP(Tabela13[[#This Row],[PRO-FORM /EXPORT INVOICE
NBR]],Tabela1[#All],9,0)</f>
        <v>160</v>
      </c>
      <c r="F126" s="6"/>
      <c r="G126" s="42">
        <v>10100</v>
      </c>
      <c r="H126" s="98">
        <v>22630</v>
      </c>
      <c r="I126" s="43"/>
    </row>
    <row r="127" spans="1:9" x14ac:dyDescent="0.35">
      <c r="A127" s="65" t="s">
        <v>1142</v>
      </c>
      <c r="B127" s="3" t="s">
        <v>246</v>
      </c>
      <c r="C127" s="25" t="s">
        <v>21</v>
      </c>
      <c r="D127" s="64">
        <f>VLOOKUP(Tabela13[[#This Row],[PRO-FORM /EXPORT INVOICE
NBR]],Tabela1[#All],4,0)</f>
        <v>46246</v>
      </c>
      <c r="E127" s="42">
        <f>VLOOKUP(Tabela13[[#This Row],[PRO-FORM /EXPORT INVOICE
NBR]],Tabela1[#All],9,0)</f>
        <v>161</v>
      </c>
      <c r="F127" s="6"/>
      <c r="G127" s="42">
        <f>VLOOKUP(Tabela13[[#This Row],[PRO-FORM /EXPORT INVOICE
NBR]],Tabela1[#All],11,0)</f>
        <v>3900</v>
      </c>
      <c r="H127" s="98">
        <v>7410</v>
      </c>
      <c r="I127" s="43"/>
    </row>
    <row r="128" spans="1:9" x14ac:dyDescent="0.35">
      <c r="A128" s="332" t="s">
        <v>1177</v>
      </c>
      <c r="B128" s="3" t="s">
        <v>354</v>
      </c>
      <c r="C128" s="99" t="s">
        <v>26</v>
      </c>
      <c r="D128" s="64">
        <f>VLOOKUP(Tabela13[[#This Row],[PRO-FORM /EXPORT INVOICE
NBR]],Tabela1[#All],4,0)</f>
        <v>46258</v>
      </c>
      <c r="E128" s="42">
        <f>VLOOKUP(Tabela13[[#This Row],[PRO-FORM /EXPORT INVOICE
NBR]],Tabela1[#All],9,0)</f>
        <v>162</v>
      </c>
      <c r="F128" s="6"/>
      <c r="G128" s="42">
        <v>3700</v>
      </c>
      <c r="H128" s="98">
        <v>16234</v>
      </c>
      <c r="I128" s="43"/>
    </row>
    <row r="129" spans="1:9" x14ac:dyDescent="0.35">
      <c r="A129" s="332" t="s">
        <v>1178</v>
      </c>
      <c r="B129" s="3" t="s">
        <v>33</v>
      </c>
      <c r="C129" s="99" t="s">
        <v>38</v>
      </c>
      <c r="D129" s="64">
        <f>VLOOKUP(Tabela13[[#This Row],[PRO-FORM /EXPORT INVOICE
NBR]],Tabela1[#All],4,0)</f>
        <v>46260</v>
      </c>
      <c r="E129" s="42">
        <f>VLOOKUP(Tabela13[[#This Row],[PRO-FORM /EXPORT INVOICE
NBR]],Tabela1[#All],9,0)</f>
        <v>163</v>
      </c>
      <c r="F129" s="6"/>
      <c r="G129" s="42">
        <f>VLOOKUP(Tabela13[[#This Row],[PRO-FORM /EXPORT INVOICE
NBR]],Tabela1[#All],11,0)</f>
        <v>10000</v>
      </c>
      <c r="H129" s="98">
        <f>VLOOKUP(Tabela13[[#This Row],[PRO-FORM /EXPORT INVOICE
NBR]],Tabela1[#All],14,0)</f>
        <v>28200</v>
      </c>
      <c r="I129" s="43"/>
    </row>
    <row r="130" spans="1:9" x14ac:dyDescent="0.35">
      <c r="A130" s="332" t="s">
        <v>1192</v>
      </c>
      <c r="B130" s="3" t="s">
        <v>33</v>
      </c>
      <c r="C130" s="99" t="s">
        <v>38</v>
      </c>
      <c r="D130" s="64">
        <v>46259</v>
      </c>
      <c r="E130" s="42">
        <v>164</v>
      </c>
      <c r="F130" s="6"/>
      <c r="G130" s="42">
        <v>5000</v>
      </c>
      <c r="H130" s="98">
        <v>11650</v>
      </c>
      <c r="I130" s="43"/>
    </row>
    <row r="131" spans="1:9" x14ac:dyDescent="0.35">
      <c r="A131" s="65" t="s">
        <v>1197</v>
      </c>
      <c r="B131" t="s">
        <v>109</v>
      </c>
      <c r="C131" s="25" t="s">
        <v>92</v>
      </c>
      <c r="D131" s="64">
        <v>46275</v>
      </c>
      <c r="E131" s="42">
        <f>VLOOKUP(Tabela13[[#This Row],[PRO-FORM /EXPORT INVOICE
NBR]],Tabela1[#All],9,0)</f>
        <v>165</v>
      </c>
      <c r="F131" s="6"/>
      <c r="G131" s="42">
        <v>5500</v>
      </c>
      <c r="H131" s="98">
        <v>10977</v>
      </c>
      <c r="I131" s="43"/>
    </row>
    <row r="132" spans="1:9" x14ac:dyDescent="0.35">
      <c r="A132" s="66" t="s">
        <v>1200</v>
      </c>
      <c r="B132" t="s">
        <v>395</v>
      </c>
      <c r="C132" s="25" t="s">
        <v>92</v>
      </c>
      <c r="D132" s="64">
        <v>46280</v>
      </c>
      <c r="E132" s="116">
        <v>167</v>
      </c>
      <c r="F132" s="6"/>
      <c r="G132" s="42">
        <v>1600</v>
      </c>
      <c r="H132" s="98">
        <v>3192</v>
      </c>
      <c r="I132" s="43"/>
    </row>
    <row r="133" spans="1:9" x14ac:dyDescent="0.35">
      <c r="A133" s="65">
        <v>2007660</v>
      </c>
      <c r="B133" s="3" t="s">
        <v>246</v>
      </c>
      <c r="C133" s="99" t="s">
        <v>21</v>
      </c>
      <c r="D133" s="64">
        <f>VLOOKUP(Tabela13[[#This Row],[PRO-FORM /EXPORT INVOICE
NBR]],Tabela1[#All],4,0)</f>
        <v>46287</v>
      </c>
      <c r="E133" s="436">
        <f>VLOOKUP(Tabela13[[#This Row],[PRO-FORM /EXPORT INVOICE
NBR]],Tabela1[#All],9,0)</f>
        <v>166</v>
      </c>
      <c r="F133" s="6"/>
      <c r="G133" s="42">
        <v>3000</v>
      </c>
      <c r="H133" s="437"/>
      <c r="I133" s="43"/>
    </row>
    <row r="134" spans="1:9" x14ac:dyDescent="0.35">
      <c r="A134" s="137">
        <v>2005269</v>
      </c>
      <c r="B134" s="3" t="s">
        <v>109</v>
      </c>
      <c r="C134" s="99" t="s">
        <v>92</v>
      </c>
      <c r="D134" s="64">
        <f>VLOOKUP(Tabela13[[#This Row],[PRO-FORM /EXPORT INVOICE
NBR]],Tabela1[#All],4,0)</f>
        <v>46288</v>
      </c>
      <c r="E134" s="42">
        <f>VLOOKUP(Tabela13[[#This Row],[PRO-FORM /EXPORT INVOICE
NBR]],Tabela1[#All],9,0)</f>
        <v>168</v>
      </c>
      <c r="F134" s="6"/>
      <c r="G134" s="42">
        <f>VLOOKUP(Tabela13[[#This Row],[PRO-FORM /EXPORT INVOICE
NBR]],Tabela1[#All],11,0)</f>
        <v>7300</v>
      </c>
      <c r="H134" s="98">
        <v>13870</v>
      </c>
      <c r="I134" s="43"/>
    </row>
    <row r="135" spans="1:9" x14ac:dyDescent="0.35">
      <c r="A135" s="441" t="s">
        <v>1280</v>
      </c>
      <c r="B135" s="3" t="s">
        <v>234</v>
      </c>
      <c r="C135" s="99" t="s">
        <v>21</v>
      </c>
      <c r="D135" s="64">
        <f>VLOOKUP(Tabela13[[#This Row],[PRO-FORM /EXPORT INVOICE
NBR]],Tabela1[#All],4,0)</f>
        <v>46294</v>
      </c>
      <c r="E135" s="42">
        <f>VLOOKUP(Tabela13[[#This Row],[PRO-FORM /EXPORT INVOICE
NBR]],Tabela1[#All],9,0)</f>
        <v>169</v>
      </c>
      <c r="F135" s="6"/>
      <c r="G135" s="42">
        <v>25000</v>
      </c>
      <c r="H135" s="98">
        <v>55700</v>
      </c>
      <c r="I135" s="43"/>
    </row>
  </sheetData>
  <mergeCells count="2">
    <mergeCell ref="A1:B1"/>
    <mergeCell ref="D1:E1"/>
  </mergeCells>
  <phoneticPr fontId="16" type="noConversion"/>
  <conditionalFormatting sqref="D1 F2">
    <cfRule type="expression" dxfId="11" priority="16">
      <formula>D1=0</formula>
    </cfRule>
    <cfRule type="expression" dxfId="10" priority="17" stopIfTrue="1">
      <formula>D1=0</formula>
    </cfRule>
  </conditionalFormatting>
  <conditionalFormatting sqref="F6:F135">
    <cfRule type="expression" dxfId="9" priority="22">
      <formula>$F6-$D$1&lt;=2</formula>
    </cfRule>
    <cfRule type="expression" dxfId="8" priority="23">
      <formula>+$F6-$D$1&lt;10</formula>
    </cfRule>
  </conditionalFormatting>
  <pageMargins left="0.511811024" right="0.511811024" top="0.78740157499999996" bottom="0.78740157499999996" header="0.31496062000000002" footer="0.31496062000000002"/>
  <pageSetup paperSize="9" orientation="portrait" verticalDpi="0"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C9976-2335-43AD-A7E0-34A0171FE3D9}">
  <dimension ref="A1:U328"/>
  <sheetViews>
    <sheetView showGridLines="0" zoomScale="90" zoomScaleNormal="90" workbookViewId="0">
      <pane xSplit="8" ySplit="4" topLeftCell="I315" activePane="bottomRight" state="frozen"/>
      <selection pane="topRight" activeCell="I1" sqref="I1"/>
      <selection pane="bottomLeft" activeCell="A5" sqref="A5"/>
      <selection pane="bottomRight" activeCell="M320" sqref="M320"/>
    </sheetView>
  </sheetViews>
  <sheetFormatPr baseColWidth="10" defaultColWidth="9.1796875" defaultRowHeight="14.5" x14ac:dyDescent="0.35"/>
  <cols>
    <col min="1" max="1" width="11.54296875" style="325" customWidth="1"/>
    <col min="2" max="2" width="23.7265625" style="325" customWidth="1"/>
    <col min="3" max="3" width="11.54296875" customWidth="1"/>
    <col min="4" max="4" width="9.54296875" customWidth="1"/>
    <col min="5" max="5" width="7.90625" customWidth="1"/>
    <col min="6" max="6" width="17.6328125" customWidth="1"/>
    <col min="7" max="7" width="13.6328125" style="39" customWidth="1"/>
    <col min="8" max="8" width="2.81640625" style="15" hidden="1" customWidth="1"/>
    <col min="9" max="9" width="7.1796875" style="1" customWidth="1"/>
    <col min="10" max="10" width="38.54296875" customWidth="1"/>
    <col min="11" max="11" width="8.1796875" style="71" customWidth="1"/>
    <col min="12" max="12" width="28.54296875" style="50" hidden="1" customWidth="1"/>
    <col min="13" max="13" width="7" style="15" customWidth="1"/>
    <col min="14" max="14" width="10.453125" customWidth="1"/>
    <col min="15" max="15" width="17.81640625" hidden="1" customWidth="1"/>
    <col min="16" max="16" width="9.81640625" hidden="1" customWidth="1"/>
    <col min="17" max="17" width="12.7265625" hidden="1" customWidth="1"/>
    <col min="18" max="18" width="79.453125" bestFit="1" customWidth="1"/>
    <col min="19" max="19" width="12.54296875" style="15" customWidth="1"/>
    <col min="20" max="20" width="13" customWidth="1"/>
    <col min="21" max="21" width="9.453125" customWidth="1"/>
  </cols>
  <sheetData>
    <row r="1" spans="1:21" x14ac:dyDescent="0.35">
      <c r="A1" s="391" t="s">
        <v>30</v>
      </c>
      <c r="D1" s="145" t="s">
        <v>564</v>
      </c>
      <c r="G1" s="347"/>
      <c r="H1" s="47"/>
      <c r="J1" s="146">
        <f ca="1">TODAY()</f>
        <v>46296</v>
      </c>
      <c r="P1" s="2"/>
      <c r="Q1" s="2"/>
      <c r="R1" s="2"/>
    </row>
    <row r="2" spans="1:21" x14ac:dyDescent="0.35">
      <c r="A2" s="392" t="s">
        <v>43</v>
      </c>
      <c r="C2" s="2"/>
      <c r="O2" s="2"/>
      <c r="P2" s="2"/>
      <c r="Q2" s="2"/>
    </row>
    <row r="3" spans="1:21" x14ac:dyDescent="0.35">
      <c r="A3" s="387">
        <v>1</v>
      </c>
      <c r="B3" s="387">
        <v>2</v>
      </c>
      <c r="C3" s="9">
        <v>3</v>
      </c>
      <c r="D3" s="9">
        <v>4</v>
      </c>
      <c r="E3" s="9">
        <v>5</v>
      </c>
      <c r="F3" s="9">
        <v>6</v>
      </c>
      <c r="G3" s="348">
        <v>7</v>
      </c>
      <c r="H3" s="9">
        <v>8</v>
      </c>
      <c r="I3" s="10">
        <v>9</v>
      </c>
      <c r="J3" s="9">
        <v>10</v>
      </c>
      <c r="K3" s="163">
        <v>11</v>
      </c>
      <c r="L3" s="9">
        <v>12</v>
      </c>
      <c r="M3" s="9">
        <v>13</v>
      </c>
      <c r="N3" s="9">
        <v>14</v>
      </c>
      <c r="O3" s="9">
        <v>15</v>
      </c>
      <c r="P3" s="9">
        <v>16</v>
      </c>
      <c r="Q3" s="9">
        <v>17</v>
      </c>
      <c r="R3" s="9">
        <v>18</v>
      </c>
    </row>
    <row r="4" spans="1:21" ht="40" thickBot="1" x14ac:dyDescent="0.4">
      <c r="A4" s="393" t="s">
        <v>1237</v>
      </c>
      <c r="B4" s="388" t="s">
        <v>1</v>
      </c>
      <c r="C4" s="36" t="s">
        <v>2</v>
      </c>
      <c r="D4" s="37" t="s">
        <v>304</v>
      </c>
      <c r="E4" s="210" t="s">
        <v>885</v>
      </c>
      <c r="F4" s="37" t="s">
        <v>924</v>
      </c>
      <c r="G4" s="349" t="s">
        <v>65</v>
      </c>
      <c r="H4" s="37" t="s">
        <v>64</v>
      </c>
      <c r="I4" s="37" t="s">
        <v>3</v>
      </c>
      <c r="J4" s="36" t="s">
        <v>131</v>
      </c>
      <c r="K4" s="164" t="s">
        <v>778</v>
      </c>
      <c r="L4" s="38" t="s">
        <v>4</v>
      </c>
      <c r="M4" s="37" t="s">
        <v>132</v>
      </c>
      <c r="N4" s="37" t="s">
        <v>71</v>
      </c>
      <c r="O4" s="36" t="s">
        <v>133</v>
      </c>
      <c r="P4" s="36" t="s">
        <v>134</v>
      </c>
      <c r="Q4" s="36" t="s">
        <v>135</v>
      </c>
      <c r="R4" s="36" t="s">
        <v>11</v>
      </c>
      <c r="S4" s="208" t="s">
        <v>813</v>
      </c>
      <c r="T4" s="37" t="s">
        <v>1187</v>
      </c>
      <c r="U4" s="37" t="s">
        <v>1165</v>
      </c>
    </row>
    <row r="5" spans="1:21" x14ac:dyDescent="0.35">
      <c r="A5" s="5" t="s">
        <v>18</v>
      </c>
      <c r="B5" s="389" t="s">
        <v>20</v>
      </c>
      <c r="C5" s="25" t="s">
        <v>21</v>
      </c>
      <c r="D5" s="26">
        <v>45728</v>
      </c>
      <c r="E5" s="117">
        <v>45717</v>
      </c>
      <c r="F5" s="57" t="s">
        <v>22</v>
      </c>
      <c r="G5" s="350" t="s">
        <v>44</v>
      </c>
      <c r="H5" s="27"/>
      <c r="I5" s="1">
        <v>18</v>
      </c>
      <c r="J5" s="28" t="s">
        <v>147</v>
      </c>
      <c r="K5" s="165">
        <v>2000</v>
      </c>
      <c r="L5" s="52">
        <v>1230</v>
      </c>
      <c r="M5" s="217">
        <v>4.76</v>
      </c>
      <c r="N5" s="178">
        <f>Tabela1[[#This Row],[PRECIO
USD]]*Tabela1[[#This Row],[MT/YD]]</f>
        <v>9520</v>
      </c>
      <c r="O5" s="31" t="s">
        <v>23</v>
      </c>
      <c r="P5" s="32" t="s">
        <v>24</v>
      </c>
      <c r="Q5" s="33">
        <v>50224995500</v>
      </c>
    </row>
    <row r="6" spans="1:21" x14ac:dyDescent="0.35">
      <c r="A6" s="5" t="s">
        <v>12</v>
      </c>
      <c r="B6" s="3" t="s">
        <v>266</v>
      </c>
      <c r="C6" s="25" t="s">
        <v>26</v>
      </c>
      <c r="D6" s="26">
        <v>45797</v>
      </c>
      <c r="E6" s="117">
        <v>45778</v>
      </c>
      <c r="F6" s="58" t="s">
        <v>27</v>
      </c>
      <c r="G6" s="350" t="s">
        <v>32</v>
      </c>
      <c r="H6" s="27"/>
      <c r="I6" s="1">
        <v>19</v>
      </c>
      <c r="J6" s="34" t="s">
        <v>148</v>
      </c>
      <c r="K6" s="165">
        <v>5000</v>
      </c>
      <c r="L6" s="52">
        <v>2350</v>
      </c>
      <c r="M6" s="217">
        <v>1.85</v>
      </c>
      <c r="N6" s="178">
        <f>Tabela1[[#This Row],[PRECIO
USD]]*Tabela1[[#This Row],[MT/YD]]</f>
        <v>9250</v>
      </c>
      <c r="O6" s="31" t="s">
        <v>28</v>
      </c>
      <c r="P6" s="32" t="s">
        <v>29</v>
      </c>
      <c r="Q6" s="33">
        <v>50687790927</v>
      </c>
    </row>
    <row r="7" spans="1:21" x14ac:dyDescent="0.35">
      <c r="A7" s="125" t="s">
        <v>34</v>
      </c>
      <c r="B7" s="3" t="s">
        <v>33</v>
      </c>
      <c r="C7" s="25" t="s">
        <v>38</v>
      </c>
      <c r="D7" s="26">
        <v>45813</v>
      </c>
      <c r="E7" s="117">
        <v>45809</v>
      </c>
      <c r="F7" s="58">
        <v>282004</v>
      </c>
      <c r="G7" s="351" t="s">
        <v>46</v>
      </c>
      <c r="H7" s="27"/>
      <c r="I7" s="1">
        <v>20</v>
      </c>
      <c r="J7" s="31" t="s">
        <v>149</v>
      </c>
      <c r="K7" s="162">
        <v>5000</v>
      </c>
      <c r="L7" s="50" t="s">
        <v>8</v>
      </c>
      <c r="M7" s="218">
        <v>2.0499999999999998</v>
      </c>
      <c r="N7" s="178">
        <f>Tabela1[[#This Row],[PRECIO
USD]]*Tabela1[[#This Row],[MT/YD]]</f>
        <v>10250</v>
      </c>
      <c r="O7" s="31" t="s">
        <v>40</v>
      </c>
      <c r="P7" s="32" t="s">
        <v>39</v>
      </c>
      <c r="Q7" s="33" t="s">
        <v>41</v>
      </c>
    </row>
    <row r="8" spans="1:21" x14ac:dyDescent="0.35">
      <c r="A8" s="125" t="s">
        <v>34</v>
      </c>
      <c r="B8" s="3" t="s">
        <v>33</v>
      </c>
      <c r="C8" s="25" t="s">
        <v>38</v>
      </c>
      <c r="D8" s="26">
        <v>45813</v>
      </c>
      <c r="E8" s="117">
        <v>45809</v>
      </c>
      <c r="F8" s="59">
        <v>147025</v>
      </c>
      <c r="G8" s="352" t="s">
        <v>45</v>
      </c>
      <c r="H8" s="27"/>
      <c r="I8" s="1">
        <v>20</v>
      </c>
      <c r="J8" s="31" t="s">
        <v>150</v>
      </c>
      <c r="K8" s="162">
        <v>5000</v>
      </c>
      <c r="L8" s="50" t="s">
        <v>8</v>
      </c>
      <c r="M8" s="218">
        <v>2.04</v>
      </c>
      <c r="N8" s="178">
        <f>Tabela1[[#This Row],[PRECIO
USD]]*Tabela1[[#This Row],[MT/YD]]</f>
        <v>10200</v>
      </c>
      <c r="O8" s="31" t="s">
        <v>40</v>
      </c>
      <c r="P8" s="32" t="s">
        <v>39</v>
      </c>
      <c r="Q8" s="33" t="s">
        <v>41</v>
      </c>
    </row>
    <row r="9" spans="1:21" x14ac:dyDescent="0.35">
      <c r="A9" s="394" t="s">
        <v>51</v>
      </c>
      <c r="B9" s="325" t="s">
        <v>681</v>
      </c>
      <c r="C9" s="25" t="s">
        <v>21</v>
      </c>
      <c r="D9" s="26">
        <v>45814</v>
      </c>
      <c r="E9" s="117">
        <v>45809</v>
      </c>
      <c r="F9" s="60" t="s">
        <v>58</v>
      </c>
      <c r="G9" s="350" t="s">
        <v>57</v>
      </c>
      <c r="H9" s="27"/>
      <c r="I9" s="1">
        <v>21</v>
      </c>
      <c r="J9" s="29" t="s">
        <v>151</v>
      </c>
      <c r="K9" s="162">
        <v>1000</v>
      </c>
      <c r="L9" s="50" t="s">
        <v>8</v>
      </c>
      <c r="M9" s="219">
        <v>2.02</v>
      </c>
      <c r="N9" s="178">
        <f>Tabela1[[#This Row],[PRECIO
USD]]*Tabela1[[#This Row],[MT/YD]]</f>
        <v>2020</v>
      </c>
      <c r="O9" t="s">
        <v>56</v>
      </c>
      <c r="P9" t="s">
        <v>8</v>
      </c>
      <c r="Q9" t="s">
        <v>8</v>
      </c>
    </row>
    <row r="10" spans="1:21" x14ac:dyDescent="0.35">
      <c r="A10" s="386" t="s">
        <v>53</v>
      </c>
      <c r="B10" s="325" t="s">
        <v>54</v>
      </c>
      <c r="C10" s="25" t="s">
        <v>21</v>
      </c>
      <c r="D10" s="26">
        <v>45789</v>
      </c>
      <c r="E10" s="117">
        <v>45778</v>
      </c>
      <c r="F10" s="60" t="s">
        <v>122</v>
      </c>
      <c r="G10" s="353" t="s">
        <v>61</v>
      </c>
      <c r="H10" s="245">
        <v>130</v>
      </c>
      <c r="I10" s="1">
        <v>25</v>
      </c>
      <c r="J10" s="29" t="s">
        <v>152</v>
      </c>
      <c r="K10" s="162">
        <v>60</v>
      </c>
      <c r="L10" s="50" t="s">
        <v>8</v>
      </c>
      <c r="M10" s="220">
        <v>1.98</v>
      </c>
      <c r="N10" s="186">
        <f>Tabela1[[#This Row],[PRECIO
USD]]*Tabela1[[#This Row],[MT/YD]]</f>
        <v>118.8</v>
      </c>
      <c r="O10" t="s">
        <v>56</v>
      </c>
      <c r="P10" t="s">
        <v>8</v>
      </c>
      <c r="Q10" t="s">
        <v>8</v>
      </c>
    </row>
    <row r="11" spans="1:21" x14ac:dyDescent="0.35">
      <c r="A11" s="386" t="s">
        <v>62</v>
      </c>
      <c r="B11" s="325" t="s">
        <v>54</v>
      </c>
      <c r="C11" s="25" t="s">
        <v>21</v>
      </c>
      <c r="D11" s="26">
        <v>45817</v>
      </c>
      <c r="E11" s="117">
        <v>45809</v>
      </c>
      <c r="F11" s="60" t="s">
        <v>8</v>
      </c>
      <c r="G11" s="48" t="s">
        <v>63</v>
      </c>
      <c r="H11" s="1">
        <v>129</v>
      </c>
      <c r="I11" s="51">
        <v>27</v>
      </c>
      <c r="J11" s="29" t="s">
        <v>153</v>
      </c>
      <c r="K11" s="162">
        <v>60</v>
      </c>
      <c r="L11" s="50" t="s">
        <v>8</v>
      </c>
      <c r="M11" s="221">
        <v>1.98</v>
      </c>
      <c r="N11" s="186">
        <f>Tabela1[[#This Row],[PRECIO
USD]]*Tabela1[[#This Row],[MT/YD]]</f>
        <v>118.8</v>
      </c>
      <c r="O11" t="s">
        <v>56</v>
      </c>
      <c r="P11" t="s">
        <v>8</v>
      </c>
      <c r="Q11" t="s">
        <v>8</v>
      </c>
    </row>
    <row r="12" spans="1:21" x14ac:dyDescent="0.35">
      <c r="A12" s="53">
        <v>16345</v>
      </c>
      <c r="B12" s="325" t="s">
        <v>69</v>
      </c>
      <c r="C12" s="25" t="s">
        <v>38</v>
      </c>
      <c r="D12" s="26">
        <v>45820</v>
      </c>
      <c r="E12" s="117">
        <v>45809</v>
      </c>
      <c r="F12" s="60" t="s">
        <v>8</v>
      </c>
      <c r="G12" s="39" t="s">
        <v>70</v>
      </c>
      <c r="H12" s="1">
        <v>133</v>
      </c>
      <c r="I12" s="1">
        <v>26</v>
      </c>
      <c r="J12" s="29" t="s">
        <v>154</v>
      </c>
      <c r="K12" s="162">
        <v>100</v>
      </c>
      <c r="L12" s="50" t="s">
        <v>8</v>
      </c>
      <c r="M12" s="222">
        <v>2.2999999999999998</v>
      </c>
      <c r="N12" s="187">
        <f>Tabela1[[#This Row],[PRECIO
USD]]*Tabela1[[#This Row],[MT/YD]]</f>
        <v>229.99999999999997</v>
      </c>
      <c r="O12" t="s">
        <v>56</v>
      </c>
      <c r="P12" t="s">
        <v>8</v>
      </c>
      <c r="Q12" t="s">
        <v>8</v>
      </c>
    </row>
    <row r="13" spans="1:21" x14ac:dyDescent="0.35">
      <c r="A13" s="5" t="s">
        <v>73</v>
      </c>
      <c r="B13" s="325" t="s">
        <v>681</v>
      </c>
      <c r="C13" s="25" t="s">
        <v>21</v>
      </c>
      <c r="D13" s="26">
        <v>45827</v>
      </c>
      <c r="E13" s="117">
        <v>45809</v>
      </c>
      <c r="F13" s="60" t="s">
        <v>58</v>
      </c>
      <c r="G13" s="350" t="s">
        <v>57</v>
      </c>
      <c r="H13" s="54" t="s">
        <v>74</v>
      </c>
      <c r="I13" s="1">
        <v>28</v>
      </c>
      <c r="J13" s="29" t="s">
        <v>151</v>
      </c>
      <c r="K13" s="162">
        <v>1491</v>
      </c>
      <c r="L13" s="50" t="s">
        <v>8</v>
      </c>
      <c r="M13" s="219">
        <v>2.02</v>
      </c>
      <c r="N13" s="178">
        <f>Tabela1[[#This Row],[PRECIO
USD]]*Tabela1[[#This Row],[MT/YD]]</f>
        <v>3011.82</v>
      </c>
      <c r="O13" t="s">
        <v>75</v>
      </c>
      <c r="P13" t="s">
        <v>8</v>
      </c>
      <c r="Q13" t="s">
        <v>8</v>
      </c>
    </row>
    <row r="14" spans="1:21" x14ac:dyDescent="0.35">
      <c r="A14" s="5" t="s">
        <v>76</v>
      </c>
      <c r="B14" s="3" t="s">
        <v>77</v>
      </c>
      <c r="C14" s="25" t="s">
        <v>21</v>
      </c>
      <c r="D14" s="26">
        <v>45827</v>
      </c>
      <c r="E14" s="117">
        <v>45809</v>
      </c>
      <c r="F14" s="60" t="s">
        <v>78</v>
      </c>
      <c r="G14" s="251" t="s">
        <v>81</v>
      </c>
      <c r="H14" s="54" t="s">
        <v>74</v>
      </c>
      <c r="I14" s="1">
        <v>29</v>
      </c>
      <c r="J14" s="29" t="s">
        <v>155</v>
      </c>
      <c r="K14" s="162">
        <v>4000</v>
      </c>
      <c r="L14" s="50" t="s">
        <v>8</v>
      </c>
      <c r="M14" s="221">
        <v>1.76</v>
      </c>
      <c r="N14" s="178">
        <f>Tabela1[[#This Row],[PRECIO
USD]]*Tabela1[[#This Row],[MT/YD]]</f>
        <v>7040</v>
      </c>
      <c r="O14" t="s">
        <v>75</v>
      </c>
      <c r="P14" t="s">
        <v>8</v>
      </c>
      <c r="Q14" t="s">
        <v>8</v>
      </c>
    </row>
    <row r="15" spans="1:21" x14ac:dyDescent="0.35">
      <c r="A15" s="5" t="s">
        <v>76</v>
      </c>
      <c r="B15" s="3" t="s">
        <v>77</v>
      </c>
      <c r="C15" s="25" t="s">
        <v>21</v>
      </c>
      <c r="D15" s="26">
        <v>45827</v>
      </c>
      <c r="E15" s="117">
        <v>45809</v>
      </c>
      <c r="F15" s="60" t="s">
        <v>79</v>
      </c>
      <c r="G15" s="48" t="s">
        <v>83</v>
      </c>
      <c r="H15" s="54" t="s">
        <v>74</v>
      </c>
      <c r="I15" s="1">
        <v>29</v>
      </c>
      <c r="J15" s="29" t="s">
        <v>156</v>
      </c>
      <c r="K15" s="162">
        <v>2500</v>
      </c>
      <c r="L15" s="50" t="s">
        <v>8</v>
      </c>
      <c r="M15" s="221">
        <v>2.35</v>
      </c>
      <c r="N15" s="178">
        <f>Tabela1[[#This Row],[PRECIO
USD]]*Tabela1[[#This Row],[MT/YD]]</f>
        <v>5875</v>
      </c>
      <c r="O15" t="s">
        <v>75</v>
      </c>
      <c r="P15" t="s">
        <v>8</v>
      </c>
      <c r="Q15" t="s">
        <v>8</v>
      </c>
    </row>
    <row r="16" spans="1:21" x14ac:dyDescent="0.35">
      <c r="A16" s="5" t="s">
        <v>76</v>
      </c>
      <c r="B16" s="3" t="s">
        <v>77</v>
      </c>
      <c r="C16" s="25" t="s">
        <v>21</v>
      </c>
      <c r="D16" s="26">
        <v>45827</v>
      </c>
      <c r="E16" s="117">
        <v>45809</v>
      </c>
      <c r="F16" s="60" t="s">
        <v>80</v>
      </c>
      <c r="G16" s="39" t="s">
        <v>82</v>
      </c>
      <c r="H16" s="54" t="s">
        <v>74</v>
      </c>
      <c r="I16" s="1">
        <v>29</v>
      </c>
      <c r="J16" s="29" t="s">
        <v>157</v>
      </c>
      <c r="K16" s="162">
        <v>2500</v>
      </c>
      <c r="L16" s="50" t="s">
        <v>8</v>
      </c>
      <c r="M16" s="221">
        <v>4.1500000000000004</v>
      </c>
      <c r="N16" s="178">
        <f>Tabela1[[#This Row],[PRECIO
USD]]*Tabela1[[#This Row],[MT/YD]]</f>
        <v>10375</v>
      </c>
      <c r="O16" t="s">
        <v>75</v>
      </c>
      <c r="P16" t="s">
        <v>8</v>
      </c>
      <c r="Q16" t="s">
        <v>8</v>
      </c>
    </row>
    <row r="17" spans="1:18" x14ac:dyDescent="0.35">
      <c r="A17" s="55" t="s">
        <v>87</v>
      </c>
      <c r="B17" s="3" t="s">
        <v>85</v>
      </c>
      <c r="C17" s="25" t="s">
        <v>21</v>
      </c>
      <c r="D17" s="26">
        <v>45832</v>
      </c>
      <c r="E17" s="117">
        <v>45809</v>
      </c>
      <c r="F17" s="60" t="s">
        <v>86</v>
      </c>
      <c r="G17" s="39" t="s">
        <v>88</v>
      </c>
      <c r="H17" s="54" t="s">
        <v>74</v>
      </c>
      <c r="I17" s="51">
        <v>30</v>
      </c>
      <c r="J17" s="29" t="s">
        <v>716</v>
      </c>
      <c r="K17" s="162">
        <v>1500</v>
      </c>
      <c r="L17" s="50" t="s">
        <v>8</v>
      </c>
      <c r="M17" s="221">
        <v>2.48</v>
      </c>
      <c r="N17" s="178">
        <f>Tabela1[[#This Row],[PRECIO
USD]]*Tabela1[[#This Row],[MT/YD]]</f>
        <v>3720</v>
      </c>
      <c r="O17" t="s">
        <v>75</v>
      </c>
      <c r="P17" t="s">
        <v>8</v>
      </c>
      <c r="Q17" t="s">
        <v>8</v>
      </c>
      <c r="R17" s="56"/>
    </row>
    <row r="18" spans="1:18" x14ac:dyDescent="0.35">
      <c r="A18" s="63" t="s">
        <v>48</v>
      </c>
      <c r="B18" s="3" t="s">
        <v>266</v>
      </c>
      <c r="C18" s="62" t="s">
        <v>26</v>
      </c>
      <c r="D18" s="26">
        <v>45813</v>
      </c>
      <c r="E18" s="117">
        <v>45809</v>
      </c>
      <c r="F18" s="60" t="s">
        <v>115</v>
      </c>
      <c r="G18" s="39" t="s">
        <v>116</v>
      </c>
      <c r="H18" s="54"/>
      <c r="I18" s="51">
        <v>31</v>
      </c>
      <c r="J18" s="29" t="s">
        <v>158</v>
      </c>
      <c r="K18" s="162">
        <v>10000</v>
      </c>
      <c r="L18" s="50" t="s">
        <v>8</v>
      </c>
      <c r="M18" s="221">
        <v>1.79</v>
      </c>
      <c r="N18" s="178">
        <f>Tabela1[[#This Row],[PRECIO
USD]]*Tabela1[[#This Row],[MT/YD]]</f>
        <v>17900</v>
      </c>
      <c r="O18" t="s">
        <v>117</v>
      </c>
      <c r="P18" t="s">
        <v>8</v>
      </c>
      <c r="Q18" t="s">
        <v>8</v>
      </c>
      <c r="R18" s="56"/>
    </row>
    <row r="19" spans="1:18" x14ac:dyDescent="0.35">
      <c r="A19" s="386" t="s">
        <v>89</v>
      </c>
      <c r="B19" s="325" t="s">
        <v>109</v>
      </c>
      <c r="C19" s="25" t="s">
        <v>92</v>
      </c>
      <c r="D19" s="26">
        <v>45785</v>
      </c>
      <c r="E19" s="117">
        <v>45778</v>
      </c>
      <c r="F19" s="60" t="s">
        <v>93</v>
      </c>
      <c r="G19" s="39" t="s">
        <v>108</v>
      </c>
      <c r="I19" s="1">
        <v>39</v>
      </c>
      <c r="J19" s="29" t="s">
        <v>159</v>
      </c>
      <c r="K19" s="162">
        <v>3000</v>
      </c>
      <c r="L19" s="50" t="s">
        <v>8</v>
      </c>
      <c r="M19" s="221">
        <v>1.84</v>
      </c>
      <c r="N19" s="178">
        <f>Tabela1[[#This Row],[PRECIO
USD]]*Tabela1[[#This Row],[MT/YD]]</f>
        <v>5520</v>
      </c>
      <c r="O19" t="s">
        <v>75</v>
      </c>
      <c r="P19" t="s">
        <v>8</v>
      </c>
      <c r="Q19" t="s">
        <v>8</v>
      </c>
      <c r="R19" s="22" t="s">
        <v>119</v>
      </c>
    </row>
    <row r="20" spans="1:18" x14ac:dyDescent="0.35">
      <c r="A20" s="386" t="s">
        <v>91</v>
      </c>
      <c r="B20" s="325" t="s">
        <v>77</v>
      </c>
      <c r="C20" s="25" t="s">
        <v>21</v>
      </c>
      <c r="D20" s="26">
        <v>45840</v>
      </c>
      <c r="E20" s="117">
        <v>45839</v>
      </c>
      <c r="F20" s="60" t="s">
        <v>94</v>
      </c>
      <c r="G20" s="149" t="s">
        <v>97</v>
      </c>
      <c r="I20" s="51">
        <v>34</v>
      </c>
      <c r="J20" s="29" t="s">
        <v>160</v>
      </c>
      <c r="K20" s="162">
        <v>1500</v>
      </c>
      <c r="L20" s="50" t="s">
        <v>8</v>
      </c>
      <c r="M20" s="221">
        <v>1.97</v>
      </c>
      <c r="N20" s="178">
        <f>Tabela1[[#This Row],[PRECIO
USD]]*Tabela1[[#This Row],[MT/YD]]</f>
        <v>2955</v>
      </c>
      <c r="O20" t="s">
        <v>75</v>
      </c>
      <c r="P20" t="s">
        <v>8</v>
      </c>
      <c r="Q20" t="s">
        <v>8</v>
      </c>
      <c r="R20" t="s">
        <v>104</v>
      </c>
    </row>
    <row r="21" spans="1:18" x14ac:dyDescent="0.35">
      <c r="A21" s="5" t="s">
        <v>95</v>
      </c>
      <c r="B21" s="3" t="s">
        <v>54</v>
      </c>
      <c r="C21" s="25" t="s">
        <v>21</v>
      </c>
      <c r="D21" s="26">
        <v>45846</v>
      </c>
      <c r="E21" s="117">
        <v>45839</v>
      </c>
      <c r="F21" s="60" t="s">
        <v>8</v>
      </c>
      <c r="G21" s="251" t="s">
        <v>96</v>
      </c>
      <c r="I21" s="51">
        <v>33</v>
      </c>
      <c r="J21" s="29" t="s">
        <v>161</v>
      </c>
      <c r="K21" s="162">
        <v>2000</v>
      </c>
      <c r="L21" s="50" t="s">
        <v>8</v>
      </c>
      <c r="M21" s="223">
        <v>2</v>
      </c>
      <c r="N21" s="178">
        <f>Tabela1[[#This Row],[PRECIO
USD]]*Tabela1[[#This Row],[MT/YD]]</f>
        <v>4000</v>
      </c>
      <c r="O21" t="s">
        <v>75</v>
      </c>
      <c r="P21" t="s">
        <v>8</v>
      </c>
      <c r="Q21" t="s">
        <v>8</v>
      </c>
      <c r="R21" t="s">
        <v>104</v>
      </c>
    </row>
    <row r="22" spans="1:18" x14ac:dyDescent="0.35">
      <c r="A22" s="5" t="s">
        <v>98</v>
      </c>
      <c r="B22" s="3" t="s">
        <v>101</v>
      </c>
      <c r="C22" s="25" t="s">
        <v>21</v>
      </c>
      <c r="D22" s="26">
        <v>45848</v>
      </c>
      <c r="E22" s="117">
        <v>45839</v>
      </c>
      <c r="F22" s="60" t="s">
        <v>102</v>
      </c>
      <c r="G22" s="251" t="s">
        <v>103</v>
      </c>
      <c r="I22" s="1">
        <v>38</v>
      </c>
      <c r="J22" s="29" t="s">
        <v>162</v>
      </c>
      <c r="K22" s="162">
        <v>700</v>
      </c>
      <c r="L22" s="50" t="s">
        <v>8</v>
      </c>
      <c r="M22" s="221">
        <v>4</v>
      </c>
      <c r="N22" s="178">
        <f>Tabela1[[#This Row],[PRECIO
USD]]*Tabela1[[#This Row],[MT/YD]]</f>
        <v>2800</v>
      </c>
      <c r="O22" t="s">
        <v>75</v>
      </c>
      <c r="P22" t="s">
        <v>8</v>
      </c>
      <c r="Q22" t="s">
        <v>8</v>
      </c>
      <c r="R22" t="s">
        <v>104</v>
      </c>
    </row>
    <row r="23" spans="1:18" x14ac:dyDescent="0.35">
      <c r="A23" s="5" t="s">
        <v>110</v>
      </c>
      <c r="B23" s="325" t="s">
        <v>681</v>
      </c>
      <c r="C23" s="25" t="s">
        <v>21</v>
      </c>
      <c r="D23" s="26">
        <v>45849</v>
      </c>
      <c r="E23" s="117">
        <v>45839</v>
      </c>
      <c r="F23" s="60" t="s">
        <v>112</v>
      </c>
      <c r="G23" s="48" t="s">
        <v>113</v>
      </c>
      <c r="I23" s="51">
        <v>40</v>
      </c>
      <c r="J23" s="29" t="s">
        <v>163</v>
      </c>
      <c r="K23" s="162">
        <v>1000</v>
      </c>
      <c r="L23" s="50" t="s">
        <v>8</v>
      </c>
      <c r="M23" s="221">
        <v>2.2799999999999998</v>
      </c>
      <c r="N23" s="178">
        <f>Tabela1[[#This Row],[PRECIO
USD]]*Tabela1[[#This Row],[MT/YD]]</f>
        <v>2280</v>
      </c>
      <c r="O23" t="s">
        <v>75</v>
      </c>
      <c r="P23" t="s">
        <v>8</v>
      </c>
      <c r="Q23" t="s">
        <v>8</v>
      </c>
      <c r="R23" t="s">
        <v>118</v>
      </c>
    </row>
    <row r="24" spans="1:18" x14ac:dyDescent="0.35">
      <c r="A24" s="5" t="s">
        <v>120</v>
      </c>
      <c r="B24" s="3" t="s">
        <v>54</v>
      </c>
      <c r="C24" s="25" t="s">
        <v>21</v>
      </c>
      <c r="D24" s="26">
        <v>45852</v>
      </c>
      <c r="E24" s="117">
        <v>45839</v>
      </c>
      <c r="F24" s="68" t="s">
        <v>122</v>
      </c>
      <c r="G24" s="48" t="s">
        <v>61</v>
      </c>
      <c r="H24" s="15">
        <v>186</v>
      </c>
      <c r="I24" s="1">
        <v>41</v>
      </c>
      <c r="J24" s="29" t="s">
        <v>164</v>
      </c>
      <c r="K24" s="162">
        <v>2000</v>
      </c>
      <c r="L24" s="50" t="s">
        <v>8</v>
      </c>
      <c r="M24" s="221">
        <v>1.98</v>
      </c>
      <c r="N24" s="178">
        <f>Tabela1[[#This Row],[PRECIO
USD]]*Tabela1[[#This Row],[MT/YD]]</f>
        <v>3960</v>
      </c>
      <c r="O24" t="s">
        <v>75</v>
      </c>
      <c r="P24" t="s">
        <v>8</v>
      </c>
      <c r="Q24" t="s">
        <v>8</v>
      </c>
      <c r="R24" t="s">
        <v>123</v>
      </c>
    </row>
    <row r="25" spans="1:18" x14ac:dyDescent="0.35">
      <c r="A25" s="55" t="s">
        <v>124</v>
      </c>
      <c r="B25" s="3" t="s">
        <v>85</v>
      </c>
      <c r="C25" s="25" t="s">
        <v>21</v>
      </c>
      <c r="D25" s="26">
        <v>45854</v>
      </c>
      <c r="E25" s="117">
        <v>45839</v>
      </c>
      <c r="F25" s="60" t="s">
        <v>717</v>
      </c>
      <c r="G25" s="261" t="s">
        <v>125</v>
      </c>
      <c r="H25" s="15">
        <v>182</v>
      </c>
      <c r="I25" s="1">
        <v>42</v>
      </c>
      <c r="J25" s="29" t="s">
        <v>165</v>
      </c>
      <c r="K25" s="162">
        <v>2000</v>
      </c>
      <c r="M25" s="221">
        <v>1.82</v>
      </c>
      <c r="N25" s="178">
        <f>Tabela1[[#This Row],[PRECIO
USD]]*Tabela1[[#This Row],[MT/YD]]</f>
        <v>3640</v>
      </c>
      <c r="O25" t="s">
        <v>75</v>
      </c>
      <c r="P25" t="s">
        <v>8</v>
      </c>
      <c r="Q25" t="s">
        <v>8</v>
      </c>
      <c r="R25" s="22" t="s">
        <v>137</v>
      </c>
    </row>
    <row r="26" spans="1:18" x14ac:dyDescent="0.35">
      <c r="A26" s="5" t="s">
        <v>126</v>
      </c>
      <c r="B26" s="325" t="s">
        <v>681</v>
      </c>
      <c r="C26" s="25" t="s">
        <v>21</v>
      </c>
      <c r="D26" s="26">
        <v>45854</v>
      </c>
      <c r="E26" s="117">
        <v>45839</v>
      </c>
      <c r="F26" s="60" t="s">
        <v>112</v>
      </c>
      <c r="G26" s="48" t="s">
        <v>113</v>
      </c>
      <c r="H26" s="15">
        <v>194</v>
      </c>
      <c r="I26" s="1">
        <v>43</v>
      </c>
      <c r="J26" s="29" t="s">
        <v>163</v>
      </c>
      <c r="K26" s="162">
        <v>1500</v>
      </c>
      <c r="M26" s="221">
        <v>2.2799999999999998</v>
      </c>
      <c r="N26" s="178">
        <f>Tabela1[[#This Row],[PRECIO
USD]]*Tabela1[[#This Row],[MT/YD]]</f>
        <v>3419.9999999999995</v>
      </c>
      <c r="O26" t="s">
        <v>75</v>
      </c>
      <c r="P26" t="s">
        <v>8</v>
      </c>
      <c r="Q26" t="s">
        <v>8</v>
      </c>
    </row>
    <row r="27" spans="1:18" x14ac:dyDescent="0.35">
      <c r="A27" s="53">
        <v>2976</v>
      </c>
      <c r="B27" s="389" t="s">
        <v>20</v>
      </c>
      <c r="C27" s="25" t="s">
        <v>21</v>
      </c>
      <c r="D27" s="26">
        <v>45863</v>
      </c>
      <c r="E27" s="117">
        <v>45839</v>
      </c>
      <c r="F27" s="57" t="s">
        <v>22</v>
      </c>
      <c r="G27" s="350" t="s">
        <v>44</v>
      </c>
      <c r="H27" s="15">
        <v>192</v>
      </c>
      <c r="I27" s="1">
        <v>45</v>
      </c>
      <c r="J27" s="28" t="s">
        <v>166</v>
      </c>
      <c r="K27" s="162">
        <v>2000</v>
      </c>
      <c r="M27" s="221">
        <v>4.76</v>
      </c>
      <c r="N27" s="76">
        <f>Tabela1[[#This Row],[PRECIO
USD]]*Tabela1[[#This Row],[MT/YD]]</f>
        <v>9520</v>
      </c>
      <c r="O27" t="s">
        <v>75</v>
      </c>
      <c r="P27" t="s">
        <v>8</v>
      </c>
      <c r="Q27" t="s">
        <v>8</v>
      </c>
    </row>
    <row r="28" spans="1:18" x14ac:dyDescent="0.35">
      <c r="A28" s="5" t="s">
        <v>138</v>
      </c>
      <c r="B28" s="389" t="s">
        <v>77</v>
      </c>
      <c r="C28" s="25" t="s">
        <v>21</v>
      </c>
      <c r="D28" s="26">
        <v>45863</v>
      </c>
      <c r="E28" s="117">
        <v>45839</v>
      </c>
      <c r="F28" s="60" t="s">
        <v>141</v>
      </c>
      <c r="G28" s="39" t="s">
        <v>97</v>
      </c>
      <c r="H28" s="15" t="s">
        <v>319</v>
      </c>
      <c r="I28" s="1">
        <v>44</v>
      </c>
      <c r="J28" s="29" t="s">
        <v>167</v>
      </c>
      <c r="K28" s="162">
        <v>2000</v>
      </c>
      <c r="M28" s="221">
        <v>1.97</v>
      </c>
      <c r="N28" s="178">
        <f>Tabela1[[#This Row],[PRECIO
USD]]*Tabela1[[#This Row],[MT/YD]]</f>
        <v>3940</v>
      </c>
      <c r="O28" t="s">
        <v>75</v>
      </c>
      <c r="P28" t="s">
        <v>8</v>
      </c>
      <c r="Q28" t="s">
        <v>8</v>
      </c>
    </row>
    <row r="29" spans="1:18" x14ac:dyDescent="0.35">
      <c r="A29" s="5" t="s">
        <v>138</v>
      </c>
      <c r="B29" s="389" t="s">
        <v>77</v>
      </c>
      <c r="C29" s="25" t="s">
        <v>21</v>
      </c>
      <c r="D29" s="26">
        <v>45863</v>
      </c>
      <c r="E29" s="117">
        <v>45839</v>
      </c>
      <c r="F29" s="60" t="s">
        <v>140</v>
      </c>
      <c r="G29" s="39" t="s">
        <v>142</v>
      </c>
      <c r="H29" s="15" t="s">
        <v>319</v>
      </c>
      <c r="I29" s="1">
        <v>44</v>
      </c>
      <c r="J29" s="29" t="s">
        <v>168</v>
      </c>
      <c r="K29" s="162">
        <v>1200</v>
      </c>
      <c r="M29" s="221">
        <v>3.46</v>
      </c>
      <c r="N29" s="178">
        <f>Tabela1[[#This Row],[PRECIO
USD]]*Tabela1[[#This Row],[MT/YD]]</f>
        <v>4152</v>
      </c>
      <c r="O29" t="s">
        <v>75</v>
      </c>
      <c r="P29" t="s">
        <v>8</v>
      </c>
      <c r="Q29" t="s">
        <v>8</v>
      </c>
      <c r="R29" s="22" t="s">
        <v>146</v>
      </c>
    </row>
    <row r="30" spans="1:18" x14ac:dyDescent="0.35">
      <c r="A30" s="101" t="s">
        <v>143</v>
      </c>
      <c r="B30" s="325" t="s">
        <v>681</v>
      </c>
      <c r="C30" s="25" t="s">
        <v>21</v>
      </c>
      <c r="D30" s="26">
        <v>45868</v>
      </c>
      <c r="E30" s="117">
        <v>45870</v>
      </c>
      <c r="F30" s="60" t="s">
        <v>145</v>
      </c>
      <c r="G30" s="39" t="s">
        <v>219</v>
      </c>
      <c r="I30" s="1">
        <v>47</v>
      </c>
      <c r="J30" s="29" t="s">
        <v>227</v>
      </c>
      <c r="K30" s="162">
        <v>1000</v>
      </c>
      <c r="M30" s="222">
        <v>2.06</v>
      </c>
      <c r="N30" s="178">
        <f>Tabela1[[#This Row],[PRECIO
USD]]*Tabela1[[#This Row],[MT/YD]]</f>
        <v>2060</v>
      </c>
      <c r="O30" t="s">
        <v>75</v>
      </c>
      <c r="P30" t="s">
        <v>8</v>
      </c>
      <c r="Q30" t="s">
        <v>8</v>
      </c>
      <c r="R30" s="102" t="s">
        <v>249</v>
      </c>
    </row>
    <row r="31" spans="1:18" x14ac:dyDescent="0.35">
      <c r="A31" s="5" t="s">
        <v>211</v>
      </c>
      <c r="B31" s="389" t="s">
        <v>54</v>
      </c>
      <c r="C31" s="25" t="s">
        <v>21</v>
      </c>
      <c r="D31" s="26">
        <v>45876</v>
      </c>
      <c r="E31" s="117">
        <v>45870</v>
      </c>
      <c r="F31" s="60" t="s">
        <v>213</v>
      </c>
      <c r="G31" s="39" t="s">
        <v>61</v>
      </c>
      <c r="I31" s="1">
        <v>46</v>
      </c>
      <c r="J31" s="29" t="s">
        <v>216</v>
      </c>
      <c r="K31" s="162">
        <v>4000</v>
      </c>
      <c r="M31" s="221">
        <v>1.98</v>
      </c>
      <c r="N31" s="178">
        <f>Tabela1[[#This Row],[PRECIO
USD]]*Tabela1[[#This Row],[MT/YD]]</f>
        <v>7920</v>
      </c>
      <c r="O31" t="s">
        <v>75</v>
      </c>
      <c r="P31" t="s">
        <v>8</v>
      </c>
      <c r="Q31" t="s">
        <v>8</v>
      </c>
    </row>
    <row r="32" spans="1:18" x14ac:dyDescent="0.35">
      <c r="A32" s="5" t="s">
        <v>211</v>
      </c>
      <c r="B32" s="389" t="s">
        <v>54</v>
      </c>
      <c r="C32" s="25" t="s">
        <v>21</v>
      </c>
      <c r="D32" s="26">
        <v>45876</v>
      </c>
      <c r="E32" s="117">
        <v>45870</v>
      </c>
      <c r="F32" s="97" t="s">
        <v>214</v>
      </c>
      <c r="G32" s="251" t="s">
        <v>215</v>
      </c>
      <c r="I32" s="1">
        <v>46</v>
      </c>
      <c r="J32" s="29" t="s">
        <v>217</v>
      </c>
      <c r="K32" s="162">
        <v>2000</v>
      </c>
      <c r="M32" s="221">
        <v>2</v>
      </c>
      <c r="N32" s="178">
        <f>Tabela1[[#This Row],[PRECIO
USD]]*Tabela1[[#This Row],[MT/YD]]</f>
        <v>4000</v>
      </c>
      <c r="O32" t="s">
        <v>75</v>
      </c>
      <c r="P32" t="s">
        <v>8</v>
      </c>
      <c r="Q32" t="s">
        <v>8</v>
      </c>
    </row>
    <row r="33" spans="1:18" x14ac:dyDescent="0.35">
      <c r="A33" s="5" t="s">
        <v>220</v>
      </c>
      <c r="B33" s="389" t="s">
        <v>221</v>
      </c>
      <c r="C33" s="25" t="s">
        <v>92</v>
      </c>
      <c r="D33" s="26">
        <v>45876</v>
      </c>
      <c r="E33" s="117">
        <v>45870</v>
      </c>
      <c r="F33" s="375" t="s">
        <v>225</v>
      </c>
      <c r="G33" s="251" t="s">
        <v>226</v>
      </c>
      <c r="H33" s="15">
        <v>206</v>
      </c>
      <c r="I33" s="1">
        <v>48</v>
      </c>
      <c r="J33" s="29" t="s">
        <v>231</v>
      </c>
      <c r="K33" s="162">
        <v>300</v>
      </c>
      <c r="M33" s="219">
        <v>5.31</v>
      </c>
      <c r="N33" s="178">
        <f>Tabela1[[#This Row],[PRECIO
USD]]*Tabela1[[#This Row],[MT/YD]]</f>
        <v>1592.9999999999998</v>
      </c>
      <c r="O33" t="s">
        <v>75</v>
      </c>
      <c r="P33" t="s">
        <v>8</v>
      </c>
      <c r="Q33" t="s">
        <v>8</v>
      </c>
      <c r="R33" t="s">
        <v>252</v>
      </c>
    </row>
    <row r="34" spans="1:18" x14ac:dyDescent="0.35">
      <c r="A34" s="5" t="s">
        <v>222</v>
      </c>
      <c r="B34" s="389" t="s">
        <v>221</v>
      </c>
      <c r="C34" s="25" t="s">
        <v>92</v>
      </c>
      <c r="D34" s="26">
        <v>45876</v>
      </c>
      <c r="E34" s="117">
        <v>45870</v>
      </c>
      <c r="F34" s="376" t="s">
        <v>224</v>
      </c>
      <c r="G34" s="251" t="s">
        <v>232</v>
      </c>
      <c r="H34" s="15">
        <v>204</v>
      </c>
      <c r="I34" s="1">
        <v>49</v>
      </c>
      <c r="J34" t="s">
        <v>223</v>
      </c>
      <c r="K34" s="162">
        <v>2000</v>
      </c>
      <c r="M34" s="219">
        <v>1.82</v>
      </c>
      <c r="N34" s="178">
        <f>Tabela1[[#This Row],[PRECIO
USD]]*Tabela1[[#This Row],[MT/YD]]</f>
        <v>3640</v>
      </c>
      <c r="O34" t="s">
        <v>75</v>
      </c>
      <c r="P34" t="s">
        <v>8</v>
      </c>
      <c r="Q34" t="s">
        <v>8</v>
      </c>
      <c r="R34" t="s">
        <v>252</v>
      </c>
    </row>
    <row r="35" spans="1:18" x14ac:dyDescent="0.35">
      <c r="A35" s="5" t="s">
        <v>228</v>
      </c>
      <c r="B35" s="389" t="s">
        <v>221</v>
      </c>
      <c r="C35" s="25" t="s">
        <v>92</v>
      </c>
      <c r="D35" s="26">
        <v>45876</v>
      </c>
      <c r="E35" s="117">
        <v>45870</v>
      </c>
      <c r="F35" s="376" t="s">
        <v>229</v>
      </c>
      <c r="G35" s="251" t="s">
        <v>230</v>
      </c>
      <c r="I35" s="1">
        <v>50</v>
      </c>
      <c r="J35" s="29" t="s">
        <v>253</v>
      </c>
      <c r="K35" s="162">
        <v>300</v>
      </c>
      <c r="M35" s="219">
        <v>2.21</v>
      </c>
      <c r="N35" s="178">
        <f>Tabela1[[#This Row],[PRECIO
USD]]*Tabela1[[#This Row],[MT/YD]]</f>
        <v>663</v>
      </c>
      <c r="O35" t="s">
        <v>75</v>
      </c>
      <c r="P35" t="s">
        <v>8</v>
      </c>
      <c r="Q35" t="s">
        <v>8</v>
      </c>
      <c r="R35" t="s">
        <v>252</v>
      </c>
    </row>
    <row r="36" spans="1:18" x14ac:dyDescent="0.35">
      <c r="A36" s="5" t="s">
        <v>233</v>
      </c>
      <c r="B36" s="3" t="s">
        <v>234</v>
      </c>
      <c r="C36" s="25" t="s">
        <v>21</v>
      </c>
      <c r="D36" s="26">
        <v>45881</v>
      </c>
      <c r="E36" s="117">
        <v>45870</v>
      </c>
      <c r="F36" s="376" t="s">
        <v>1256</v>
      </c>
      <c r="G36" s="251" t="s">
        <v>237</v>
      </c>
      <c r="I36" s="1">
        <v>51</v>
      </c>
      <c r="J36" s="29" t="s">
        <v>238</v>
      </c>
      <c r="K36" s="162">
        <v>3500</v>
      </c>
      <c r="M36" s="219">
        <v>1.58</v>
      </c>
      <c r="N36" s="178">
        <f>Tabela1[[#This Row],[PRECIO
USD]]*Tabela1[[#This Row],[MT/YD]]</f>
        <v>5530</v>
      </c>
      <c r="O36" t="s">
        <v>75</v>
      </c>
      <c r="P36" t="s">
        <v>8</v>
      </c>
      <c r="Q36" t="s">
        <v>8</v>
      </c>
      <c r="R36" t="s">
        <v>252</v>
      </c>
    </row>
    <row r="37" spans="1:18" x14ac:dyDescent="0.35">
      <c r="A37" s="5" t="s">
        <v>233</v>
      </c>
      <c r="B37" s="3" t="s">
        <v>234</v>
      </c>
      <c r="C37" s="25" t="s">
        <v>21</v>
      </c>
      <c r="D37" s="26">
        <v>45881</v>
      </c>
      <c r="E37" s="117">
        <v>45870</v>
      </c>
      <c r="F37" s="376" t="s">
        <v>239</v>
      </c>
      <c r="G37" s="251" t="s">
        <v>240</v>
      </c>
      <c r="I37" s="1">
        <v>51</v>
      </c>
      <c r="J37" s="29" t="s">
        <v>241</v>
      </c>
      <c r="K37" s="162">
        <v>3500</v>
      </c>
      <c r="M37" s="222">
        <v>1.6</v>
      </c>
      <c r="N37" s="178">
        <f>Tabela1[[#This Row],[PRECIO
USD]]*Tabela1[[#This Row],[MT/YD]]</f>
        <v>5600</v>
      </c>
      <c r="O37" t="s">
        <v>75</v>
      </c>
      <c r="P37" t="s">
        <v>8</v>
      </c>
      <c r="Q37" t="s">
        <v>8</v>
      </c>
      <c r="R37" t="s">
        <v>252</v>
      </c>
    </row>
    <row r="38" spans="1:18" x14ac:dyDescent="0.35">
      <c r="A38" s="5" t="s">
        <v>233</v>
      </c>
      <c r="B38" s="3" t="s">
        <v>234</v>
      </c>
      <c r="C38" s="25" t="s">
        <v>21</v>
      </c>
      <c r="D38" s="26">
        <v>45881</v>
      </c>
      <c r="E38" s="117">
        <v>45870</v>
      </c>
      <c r="F38" s="375" t="s">
        <v>1068</v>
      </c>
      <c r="G38" s="251" t="s">
        <v>242</v>
      </c>
      <c r="I38" s="1">
        <v>51</v>
      </c>
      <c r="J38" s="29" t="s">
        <v>243</v>
      </c>
      <c r="K38" s="162">
        <v>3500</v>
      </c>
      <c r="M38" s="219">
        <v>1.65</v>
      </c>
      <c r="N38" s="178">
        <f>Tabela1[[#This Row],[PRECIO
USD]]*Tabela1[[#This Row],[MT/YD]]</f>
        <v>5775</v>
      </c>
      <c r="O38" t="s">
        <v>75</v>
      </c>
      <c r="P38" t="s">
        <v>8</v>
      </c>
      <c r="Q38" t="s">
        <v>8</v>
      </c>
      <c r="R38" t="s">
        <v>252</v>
      </c>
    </row>
    <row r="39" spans="1:18" x14ac:dyDescent="0.35">
      <c r="A39" s="5" t="s">
        <v>245</v>
      </c>
      <c r="B39" s="389" t="s">
        <v>77</v>
      </c>
      <c r="C39" s="25" t="s">
        <v>21</v>
      </c>
      <c r="D39" s="26">
        <v>45882</v>
      </c>
      <c r="E39" s="117">
        <v>45870</v>
      </c>
      <c r="F39" s="60" t="s">
        <v>78</v>
      </c>
      <c r="G39" s="251" t="s">
        <v>81</v>
      </c>
      <c r="H39" s="15">
        <v>209</v>
      </c>
      <c r="I39" s="1">
        <v>52</v>
      </c>
      <c r="J39" s="29" t="s">
        <v>155</v>
      </c>
      <c r="K39" s="162">
        <v>1000</v>
      </c>
      <c r="M39" s="221">
        <v>1.76</v>
      </c>
      <c r="N39" s="178">
        <f>Tabela1[[#This Row],[PRECIO
USD]]*Tabela1[[#This Row],[MT/YD]]</f>
        <v>1760</v>
      </c>
      <c r="O39" t="s">
        <v>75</v>
      </c>
      <c r="P39" t="s">
        <v>8</v>
      </c>
      <c r="Q39" t="s">
        <v>8</v>
      </c>
      <c r="R39" t="s">
        <v>250</v>
      </c>
    </row>
    <row r="40" spans="1:18" x14ac:dyDescent="0.35">
      <c r="A40" s="5" t="s">
        <v>235</v>
      </c>
      <c r="B40" s="389" t="s">
        <v>221</v>
      </c>
      <c r="C40" s="25" t="s">
        <v>92</v>
      </c>
      <c r="D40" s="26">
        <v>45883</v>
      </c>
      <c r="E40" s="117">
        <v>45870</v>
      </c>
      <c r="F40" s="104" t="s">
        <v>256</v>
      </c>
      <c r="G40" s="261" t="s">
        <v>257</v>
      </c>
      <c r="H40" s="15">
        <v>211</v>
      </c>
      <c r="I40" s="1">
        <v>53</v>
      </c>
      <c r="J40" s="29" t="s">
        <v>258</v>
      </c>
      <c r="K40" s="162">
        <v>2000</v>
      </c>
      <c r="M40" s="221">
        <v>1.82</v>
      </c>
      <c r="N40" s="178">
        <f>Tabela1[[#This Row],[PRECIO
USD]]*Tabela1[[#This Row],[MT/YD]]</f>
        <v>3640</v>
      </c>
      <c r="O40" t="s">
        <v>75</v>
      </c>
      <c r="P40" t="s">
        <v>8</v>
      </c>
      <c r="Q40" t="s">
        <v>8</v>
      </c>
    </row>
    <row r="41" spans="1:18" x14ac:dyDescent="0.35">
      <c r="A41" s="5" t="s">
        <v>236</v>
      </c>
      <c r="B41" s="389" t="s">
        <v>221</v>
      </c>
      <c r="C41" s="25" t="s">
        <v>92</v>
      </c>
      <c r="D41" s="26">
        <v>45883</v>
      </c>
      <c r="E41" s="117">
        <v>45870</v>
      </c>
      <c r="F41" s="104" t="s">
        <v>256</v>
      </c>
      <c r="G41" s="251" t="s">
        <v>257</v>
      </c>
      <c r="I41" s="1">
        <v>54</v>
      </c>
      <c r="J41" s="29" t="s">
        <v>258</v>
      </c>
      <c r="K41" s="162">
        <v>1000</v>
      </c>
      <c r="M41" s="221">
        <v>1.82</v>
      </c>
      <c r="N41" s="178">
        <f>Tabela1[[#This Row],[PRECIO
USD]]*Tabela1[[#This Row],[MT/YD]]</f>
        <v>1820</v>
      </c>
      <c r="O41" t="s">
        <v>75</v>
      </c>
      <c r="P41" t="s">
        <v>8</v>
      </c>
      <c r="Q41" t="s">
        <v>8</v>
      </c>
    </row>
    <row r="42" spans="1:18" x14ac:dyDescent="0.35">
      <c r="A42" s="5" t="s">
        <v>268</v>
      </c>
      <c r="B42" s="389" t="s">
        <v>269</v>
      </c>
      <c r="C42" s="25" t="s">
        <v>21</v>
      </c>
      <c r="D42" s="26">
        <v>45890</v>
      </c>
      <c r="E42" s="117">
        <v>45870</v>
      </c>
      <c r="F42" s="97" t="s">
        <v>271</v>
      </c>
      <c r="G42" s="251" t="s">
        <v>281</v>
      </c>
      <c r="I42" s="1">
        <v>56</v>
      </c>
      <c r="J42" s="29" t="s">
        <v>272</v>
      </c>
      <c r="K42" s="162">
        <v>162</v>
      </c>
      <c r="M42" s="223">
        <v>1.96</v>
      </c>
      <c r="N42" s="178">
        <f>Tabela1[[#This Row],[PRECIO
USD]]*Tabela1[[#This Row],[MT/YD]]</f>
        <v>317.52</v>
      </c>
      <c r="O42" t="s">
        <v>75</v>
      </c>
      <c r="P42" t="s">
        <v>8</v>
      </c>
      <c r="Q42" t="s">
        <v>8</v>
      </c>
      <c r="R42" t="s">
        <v>273</v>
      </c>
    </row>
    <row r="43" spans="1:18" x14ac:dyDescent="0.35">
      <c r="A43" s="55" t="s">
        <v>277</v>
      </c>
      <c r="B43" s="389" t="s">
        <v>85</v>
      </c>
      <c r="C43" s="25" t="s">
        <v>21</v>
      </c>
      <c r="D43" s="26">
        <v>45894</v>
      </c>
      <c r="E43" s="117">
        <v>45870</v>
      </c>
      <c r="F43" s="97" t="s">
        <v>278</v>
      </c>
      <c r="G43" s="251" t="s">
        <v>280</v>
      </c>
      <c r="I43" s="1">
        <v>55</v>
      </c>
      <c r="J43" s="29" t="s">
        <v>279</v>
      </c>
      <c r="K43" s="162">
        <v>1500</v>
      </c>
      <c r="M43" s="221">
        <v>1.7</v>
      </c>
      <c r="N43" s="14">
        <f>Tabela1[[#This Row],[PRECIO
USD]]*Tabela1[[#This Row],[MT/YD]]</f>
        <v>2550</v>
      </c>
      <c r="O43" t="s">
        <v>75</v>
      </c>
      <c r="P43" t="s">
        <v>8</v>
      </c>
      <c r="Q43" t="s">
        <v>8</v>
      </c>
    </row>
    <row r="44" spans="1:18" x14ac:dyDescent="0.35">
      <c r="A44" s="172" t="s">
        <v>274</v>
      </c>
      <c r="B44" s="325" t="s">
        <v>681</v>
      </c>
      <c r="C44" s="25" t="s">
        <v>21</v>
      </c>
      <c r="D44" s="26">
        <v>45894</v>
      </c>
      <c r="E44" s="117">
        <v>45870</v>
      </c>
      <c r="F44" s="111" t="s">
        <v>58</v>
      </c>
      <c r="G44" s="48" t="s">
        <v>57</v>
      </c>
      <c r="I44" s="1">
        <v>59</v>
      </c>
      <c r="J44" s="29" t="s">
        <v>305</v>
      </c>
      <c r="K44" s="162">
        <v>1600</v>
      </c>
      <c r="M44" s="221">
        <v>2.02</v>
      </c>
      <c r="N44" s="14">
        <f>Tabela1[[#This Row],[PRECIO
USD]]*Tabela1[[#This Row],[MT/YD]]</f>
        <v>3232</v>
      </c>
      <c r="O44" t="s">
        <v>75</v>
      </c>
      <c r="P44" t="s">
        <v>8</v>
      </c>
      <c r="Q44" t="s">
        <v>8</v>
      </c>
    </row>
    <row r="45" spans="1:18" x14ac:dyDescent="0.35">
      <c r="A45" s="172" t="s">
        <v>274</v>
      </c>
      <c r="B45" s="325" t="s">
        <v>681</v>
      </c>
      <c r="C45" s="25" t="s">
        <v>21</v>
      </c>
      <c r="D45" s="26">
        <v>45894</v>
      </c>
      <c r="E45" s="117">
        <v>45870</v>
      </c>
      <c r="F45" s="111" t="s">
        <v>112</v>
      </c>
      <c r="G45" s="48" t="s">
        <v>302</v>
      </c>
      <c r="I45" s="1">
        <v>59</v>
      </c>
      <c r="J45" s="29" t="s">
        <v>306</v>
      </c>
      <c r="K45" s="162">
        <v>1000</v>
      </c>
      <c r="M45" s="221">
        <v>2.2799999999999998</v>
      </c>
      <c r="N45" s="14">
        <f>Tabela1[[#This Row],[PRECIO
USD]]*Tabela1[[#This Row],[MT/YD]]</f>
        <v>2280</v>
      </c>
      <c r="O45" t="s">
        <v>75</v>
      </c>
      <c r="P45" t="s">
        <v>8</v>
      </c>
      <c r="Q45" t="s">
        <v>8</v>
      </c>
    </row>
    <row r="46" spans="1:18" x14ac:dyDescent="0.35">
      <c r="A46" s="172" t="s">
        <v>274</v>
      </c>
      <c r="B46" s="325" t="s">
        <v>681</v>
      </c>
      <c r="C46" s="25" t="s">
        <v>21</v>
      </c>
      <c r="D46" s="26">
        <v>45894</v>
      </c>
      <c r="E46" s="117">
        <v>45870</v>
      </c>
      <c r="F46" s="111" t="s">
        <v>282</v>
      </c>
      <c r="G46" s="354" t="s">
        <v>303</v>
      </c>
      <c r="I46" s="1">
        <v>59</v>
      </c>
      <c r="J46" s="29" t="s">
        <v>283</v>
      </c>
      <c r="K46" s="162">
        <v>1000</v>
      </c>
      <c r="M46" s="221">
        <v>2.91</v>
      </c>
      <c r="N46" s="14">
        <f>Tabela1[[#This Row],[PRECIO
USD]]*Tabela1[[#This Row],[MT/YD]]</f>
        <v>2910</v>
      </c>
      <c r="O46" t="s">
        <v>75</v>
      </c>
      <c r="P46" t="s">
        <v>8</v>
      </c>
      <c r="Q46" t="s">
        <v>8</v>
      </c>
    </row>
    <row r="47" spans="1:18" x14ac:dyDescent="0.35">
      <c r="A47" s="5" t="s">
        <v>287</v>
      </c>
      <c r="B47" s="389" t="s">
        <v>77</v>
      </c>
      <c r="C47" s="25" t="s">
        <v>21</v>
      </c>
      <c r="D47" s="26">
        <v>45895</v>
      </c>
      <c r="E47" s="117">
        <v>45870</v>
      </c>
      <c r="F47" s="111" t="s">
        <v>289</v>
      </c>
      <c r="G47" s="251" t="s">
        <v>296</v>
      </c>
      <c r="H47" s="15">
        <v>218</v>
      </c>
      <c r="I47" s="1">
        <v>57</v>
      </c>
      <c r="J47" s="29" t="s">
        <v>290</v>
      </c>
      <c r="K47" s="162">
        <v>2000</v>
      </c>
      <c r="M47" s="221">
        <v>1.99</v>
      </c>
      <c r="N47" s="14">
        <f>Tabela1[[#This Row],[PRECIO
USD]]*Tabela1[[#This Row],[MT/YD]]</f>
        <v>3980</v>
      </c>
      <c r="O47" t="s">
        <v>75</v>
      </c>
      <c r="P47" t="s">
        <v>8</v>
      </c>
      <c r="Q47" t="s">
        <v>8</v>
      </c>
    </row>
    <row r="48" spans="1:18" x14ac:dyDescent="0.35">
      <c r="A48" s="5" t="s">
        <v>287</v>
      </c>
      <c r="B48" s="389" t="s">
        <v>77</v>
      </c>
      <c r="C48" s="25" t="s">
        <v>21</v>
      </c>
      <c r="D48" s="26">
        <v>45895</v>
      </c>
      <c r="E48" s="117">
        <v>45870</v>
      </c>
      <c r="F48" s="111" t="s">
        <v>78</v>
      </c>
      <c r="G48" s="261" t="s">
        <v>81</v>
      </c>
      <c r="H48" s="54" t="s">
        <v>318</v>
      </c>
      <c r="I48" s="1">
        <v>57</v>
      </c>
      <c r="J48" s="29" t="s">
        <v>155</v>
      </c>
      <c r="K48" s="162">
        <v>2000</v>
      </c>
      <c r="M48" s="224">
        <v>1.76</v>
      </c>
      <c r="N48" s="14">
        <f>Tabela1[[#This Row],[PRECIO
USD]]*Tabela1[[#This Row],[MT/YD]]</f>
        <v>3520</v>
      </c>
      <c r="O48" t="s">
        <v>75</v>
      </c>
      <c r="P48" t="s">
        <v>8</v>
      </c>
      <c r="Q48" t="s">
        <v>8</v>
      </c>
    </row>
    <row r="49" spans="1:18" x14ac:dyDescent="0.35">
      <c r="A49" s="5" t="s">
        <v>287</v>
      </c>
      <c r="B49" s="389" t="s">
        <v>77</v>
      </c>
      <c r="C49" s="25" t="s">
        <v>21</v>
      </c>
      <c r="D49" s="26">
        <v>45895</v>
      </c>
      <c r="E49" s="117">
        <v>45870</v>
      </c>
      <c r="F49" s="111" t="s">
        <v>291</v>
      </c>
      <c r="G49" s="39" t="s">
        <v>297</v>
      </c>
      <c r="H49" s="54" t="s">
        <v>318</v>
      </c>
      <c r="I49" s="1">
        <v>57</v>
      </c>
      <c r="J49" s="29" t="s">
        <v>292</v>
      </c>
      <c r="K49" s="162">
        <v>3000</v>
      </c>
      <c r="M49" s="221">
        <v>1.62</v>
      </c>
      <c r="N49" s="14">
        <f>Tabela1[[#This Row],[PRECIO
USD]]*Tabela1[[#This Row],[MT/YD]]</f>
        <v>4860</v>
      </c>
      <c r="O49" t="s">
        <v>75</v>
      </c>
      <c r="P49" t="s">
        <v>8</v>
      </c>
      <c r="Q49" t="s">
        <v>8</v>
      </c>
      <c r="R49" s="4" t="s">
        <v>300</v>
      </c>
    </row>
    <row r="50" spans="1:18" x14ac:dyDescent="0.35">
      <c r="A50" s="5" t="s">
        <v>298</v>
      </c>
      <c r="B50" s="389" t="s">
        <v>20</v>
      </c>
      <c r="C50" s="25" t="s">
        <v>21</v>
      </c>
      <c r="D50" s="26">
        <v>45897</v>
      </c>
      <c r="E50" s="117" t="s">
        <v>357</v>
      </c>
      <c r="F50" s="60" t="s">
        <v>22</v>
      </c>
      <c r="G50" s="350" t="s">
        <v>44</v>
      </c>
      <c r="I50" s="1">
        <v>58</v>
      </c>
      <c r="J50" s="28" t="s">
        <v>166</v>
      </c>
      <c r="K50" s="162">
        <v>2000</v>
      </c>
      <c r="M50" s="220">
        <v>4.76</v>
      </c>
      <c r="N50" s="76">
        <f>Tabela1[[#This Row],[PRECIO
USD]]*Tabela1[[#This Row],[MT/YD]]</f>
        <v>9520</v>
      </c>
      <c r="O50" t="s">
        <v>75</v>
      </c>
      <c r="P50" t="s">
        <v>8</v>
      </c>
      <c r="Q50" t="s">
        <v>8</v>
      </c>
      <c r="R50" t="s">
        <v>301</v>
      </c>
    </row>
    <row r="51" spans="1:18" ht="14.25" customHeight="1" x14ac:dyDescent="0.35">
      <c r="A51" s="5" t="s">
        <v>307</v>
      </c>
      <c r="B51" s="3" t="s">
        <v>109</v>
      </c>
      <c r="C51" s="25" t="s">
        <v>92</v>
      </c>
      <c r="D51" s="26">
        <v>45902</v>
      </c>
      <c r="E51" s="117" t="s">
        <v>357</v>
      </c>
      <c r="F51" s="60" t="s">
        <v>308</v>
      </c>
      <c r="G51" s="355" t="s">
        <v>309</v>
      </c>
      <c r="I51" s="1">
        <v>61</v>
      </c>
      <c r="J51" s="29" t="s">
        <v>311</v>
      </c>
      <c r="K51" s="166">
        <v>3000</v>
      </c>
      <c r="M51" s="221">
        <v>1.78</v>
      </c>
      <c r="N51" s="76">
        <f>Tabela1[[#This Row],[PRECIO
USD]]*Tabela1[[#This Row],[MT/YD]]</f>
        <v>5340</v>
      </c>
      <c r="O51" t="s">
        <v>75</v>
      </c>
      <c r="P51" t="s">
        <v>8</v>
      </c>
      <c r="Q51" t="s">
        <v>8</v>
      </c>
      <c r="R51" s="109" t="s">
        <v>316</v>
      </c>
    </row>
    <row r="52" spans="1:18" x14ac:dyDescent="0.35">
      <c r="A52" s="5" t="s">
        <v>307</v>
      </c>
      <c r="B52" s="3" t="s">
        <v>109</v>
      </c>
      <c r="C52" s="25" t="s">
        <v>92</v>
      </c>
      <c r="D52" s="26">
        <v>45902</v>
      </c>
      <c r="E52" s="117" t="s">
        <v>357</v>
      </c>
      <c r="F52" s="60" t="s">
        <v>310</v>
      </c>
      <c r="G52" s="356" t="s">
        <v>325</v>
      </c>
      <c r="I52" s="1">
        <v>61</v>
      </c>
      <c r="J52" s="29" t="s">
        <v>312</v>
      </c>
      <c r="K52" s="166">
        <v>1500</v>
      </c>
      <c r="M52" s="222">
        <v>1.79</v>
      </c>
      <c r="N52" s="76">
        <f>Tabela1[[#This Row],[PRECIO
USD]]*Tabela1[[#This Row],[MT/YD]]</f>
        <v>2685</v>
      </c>
      <c r="O52" t="s">
        <v>75</v>
      </c>
      <c r="P52" t="s">
        <v>8</v>
      </c>
      <c r="Q52" t="s">
        <v>8</v>
      </c>
      <c r="R52" s="109" t="s">
        <v>316</v>
      </c>
    </row>
    <row r="53" spans="1:18" x14ac:dyDescent="0.35">
      <c r="A53" s="5" t="s">
        <v>314</v>
      </c>
      <c r="B53" s="389" t="s">
        <v>221</v>
      </c>
      <c r="C53" s="25" t="s">
        <v>92</v>
      </c>
      <c r="D53" s="26">
        <v>45896</v>
      </c>
      <c r="E53" s="117" t="s">
        <v>357</v>
      </c>
      <c r="F53" s="60" t="s">
        <v>342</v>
      </c>
      <c r="G53" s="357" t="s">
        <v>340</v>
      </c>
      <c r="I53" s="1">
        <v>60</v>
      </c>
      <c r="J53" s="29" t="s">
        <v>317</v>
      </c>
      <c r="K53" s="167">
        <v>1200</v>
      </c>
      <c r="M53" s="222">
        <v>2.21</v>
      </c>
      <c r="N53" s="76">
        <f>Tabela1[[#This Row],[PRECIO
USD]]*Tabela1[[#This Row],[MT/YD]]</f>
        <v>2652</v>
      </c>
      <c r="O53" t="s">
        <v>75</v>
      </c>
      <c r="P53" t="s">
        <v>8</v>
      </c>
      <c r="Q53" t="s">
        <v>8</v>
      </c>
      <c r="R53" t="s">
        <v>330</v>
      </c>
    </row>
    <row r="54" spans="1:18" x14ac:dyDescent="0.35">
      <c r="A54" s="5" t="s">
        <v>320</v>
      </c>
      <c r="B54" s="3" t="s">
        <v>246</v>
      </c>
      <c r="C54" s="25" t="s">
        <v>21</v>
      </c>
      <c r="D54" s="26">
        <v>45904</v>
      </c>
      <c r="E54" s="117" t="s">
        <v>357</v>
      </c>
      <c r="F54" s="111" t="s">
        <v>326</v>
      </c>
      <c r="G54" s="358" t="s">
        <v>338</v>
      </c>
      <c r="I54" s="1">
        <v>66</v>
      </c>
      <c r="J54" s="29" t="s">
        <v>322</v>
      </c>
      <c r="K54" s="162">
        <v>300</v>
      </c>
      <c r="M54" s="225">
        <v>3.53</v>
      </c>
      <c r="N54" s="76">
        <f>Tabela1[[#This Row],[PRECIO
USD]]*Tabela1[[#This Row],[MT/YD]]</f>
        <v>1059</v>
      </c>
      <c r="O54" t="s">
        <v>75</v>
      </c>
      <c r="P54" t="s">
        <v>8</v>
      </c>
      <c r="Q54" t="s">
        <v>8</v>
      </c>
      <c r="R54" t="s">
        <v>323</v>
      </c>
    </row>
    <row r="55" spans="1:18" x14ac:dyDescent="0.35">
      <c r="A55" s="5" t="s">
        <v>320</v>
      </c>
      <c r="B55" s="3" t="s">
        <v>246</v>
      </c>
      <c r="C55" s="25" t="s">
        <v>21</v>
      </c>
      <c r="D55" s="26">
        <v>45904</v>
      </c>
      <c r="E55" s="117" t="s">
        <v>357</v>
      </c>
      <c r="F55" s="111" t="s">
        <v>339</v>
      </c>
      <c r="G55" s="357" t="s">
        <v>341</v>
      </c>
      <c r="I55" s="1">
        <v>66</v>
      </c>
      <c r="J55" s="29" t="s">
        <v>327</v>
      </c>
      <c r="K55" s="162">
        <v>6000</v>
      </c>
      <c r="M55" s="226">
        <v>1.79</v>
      </c>
      <c r="N55" s="76">
        <f>Tabela1[[#This Row],[PRECIO
USD]]*Tabela1[[#This Row],[MT/YD]]</f>
        <v>10740</v>
      </c>
      <c r="O55" t="s">
        <v>75</v>
      </c>
      <c r="P55" t="s">
        <v>8</v>
      </c>
      <c r="Q55" t="s">
        <v>8</v>
      </c>
      <c r="R55" t="s">
        <v>323</v>
      </c>
    </row>
    <row r="56" spans="1:18" x14ac:dyDescent="0.35">
      <c r="A56" s="5" t="s">
        <v>324</v>
      </c>
      <c r="B56" s="3" t="s">
        <v>246</v>
      </c>
      <c r="C56" s="25" t="s">
        <v>21</v>
      </c>
      <c r="D56" s="26">
        <v>45905</v>
      </c>
      <c r="E56" s="117" t="s">
        <v>357</v>
      </c>
      <c r="F56" s="60" t="s">
        <v>78</v>
      </c>
      <c r="G56" s="251" t="s">
        <v>81</v>
      </c>
      <c r="I56" s="1">
        <v>62</v>
      </c>
      <c r="J56" s="29" t="s">
        <v>155</v>
      </c>
      <c r="K56" s="162">
        <v>1500</v>
      </c>
      <c r="M56" s="222">
        <v>1.76</v>
      </c>
      <c r="N56" s="76">
        <f>Tabela1[[#This Row],[PRECIO
USD]]*Tabela1[[#This Row],[MT/YD]]</f>
        <v>2640</v>
      </c>
      <c r="O56" t="s">
        <v>75</v>
      </c>
      <c r="P56" t="s">
        <v>8</v>
      </c>
      <c r="Q56" t="s">
        <v>8</v>
      </c>
      <c r="R56" t="s">
        <v>301</v>
      </c>
    </row>
    <row r="57" spans="1:18" x14ac:dyDescent="0.35">
      <c r="A57" s="386" t="s">
        <v>331</v>
      </c>
      <c r="B57" s="3" t="s">
        <v>109</v>
      </c>
      <c r="C57" s="25" t="s">
        <v>92</v>
      </c>
      <c r="D57" s="26">
        <v>45908</v>
      </c>
      <c r="E57" s="117" t="s">
        <v>357</v>
      </c>
      <c r="F57" s="60" t="s">
        <v>332</v>
      </c>
      <c r="G57" s="359" t="s">
        <v>333</v>
      </c>
      <c r="I57" s="1">
        <v>65</v>
      </c>
      <c r="J57" s="29" t="s">
        <v>312</v>
      </c>
      <c r="K57" s="162">
        <v>5000</v>
      </c>
      <c r="M57" s="221">
        <v>1.79</v>
      </c>
      <c r="N57" s="76">
        <f>Tabela1[[#This Row],[PRECIO
USD]]*Tabela1[[#This Row],[MT/YD]]</f>
        <v>8950</v>
      </c>
      <c r="O57" t="s">
        <v>75</v>
      </c>
      <c r="P57" t="s">
        <v>8</v>
      </c>
      <c r="Q57" t="s">
        <v>8</v>
      </c>
      <c r="R57" t="s">
        <v>301</v>
      </c>
    </row>
    <row r="58" spans="1:18" x14ac:dyDescent="0.35">
      <c r="A58" s="5" t="s">
        <v>336</v>
      </c>
      <c r="B58" s="3" t="s">
        <v>269</v>
      </c>
      <c r="C58" s="25" t="s">
        <v>21</v>
      </c>
      <c r="D58" s="26">
        <v>45909</v>
      </c>
      <c r="E58" s="117" t="s">
        <v>357</v>
      </c>
      <c r="F58" s="97" t="s">
        <v>271</v>
      </c>
      <c r="G58" s="251" t="s">
        <v>345</v>
      </c>
      <c r="I58" s="1">
        <v>67</v>
      </c>
      <c r="J58" s="29" t="s">
        <v>344</v>
      </c>
      <c r="K58" s="167">
        <v>700</v>
      </c>
      <c r="M58" s="222">
        <v>1.96</v>
      </c>
      <c r="N58" s="112">
        <f>Tabela1[[#This Row],[PRECIO
USD]]*Tabela1[[#This Row],[MT/YD]]</f>
        <v>1372</v>
      </c>
      <c r="O58" t="s">
        <v>75</v>
      </c>
      <c r="P58" t="s">
        <v>8</v>
      </c>
      <c r="Q58" t="s">
        <v>8</v>
      </c>
      <c r="R58" t="s">
        <v>343</v>
      </c>
    </row>
    <row r="59" spans="1:18" x14ac:dyDescent="0.35">
      <c r="A59" s="5" t="s">
        <v>346</v>
      </c>
      <c r="B59" s="3" t="s">
        <v>246</v>
      </c>
      <c r="C59" s="25" t="s">
        <v>21</v>
      </c>
      <c r="D59" s="26">
        <v>45912</v>
      </c>
      <c r="E59" s="117" t="s">
        <v>357</v>
      </c>
      <c r="F59" s="60" t="s">
        <v>348</v>
      </c>
      <c r="G59" s="39" t="s">
        <v>350</v>
      </c>
      <c r="I59" s="1">
        <v>68</v>
      </c>
      <c r="J59" s="29" t="s">
        <v>349</v>
      </c>
      <c r="K59" s="162">
        <v>5700</v>
      </c>
      <c r="L59" s="113">
        <v>3420</v>
      </c>
      <c r="M59" s="221">
        <v>2.13</v>
      </c>
      <c r="N59" s="112">
        <f>Tabela1[[#This Row],[PRECIO
USD]]*Tabela1[[#This Row],[MT/YD]]</f>
        <v>12141</v>
      </c>
      <c r="O59" t="s">
        <v>75</v>
      </c>
      <c r="P59" t="s">
        <v>8</v>
      </c>
      <c r="Q59" t="s">
        <v>8</v>
      </c>
    </row>
    <row r="60" spans="1:18" x14ac:dyDescent="0.35">
      <c r="A60" s="5" t="s">
        <v>346</v>
      </c>
      <c r="B60" s="3" t="s">
        <v>246</v>
      </c>
      <c r="C60" s="25" t="s">
        <v>21</v>
      </c>
      <c r="D60" s="26">
        <v>45912</v>
      </c>
      <c r="E60" s="117" t="s">
        <v>357</v>
      </c>
      <c r="F60" s="60" t="s">
        <v>289</v>
      </c>
      <c r="G60" s="251" t="s">
        <v>296</v>
      </c>
      <c r="I60" s="1">
        <v>68</v>
      </c>
      <c r="J60" s="29" t="s">
        <v>290</v>
      </c>
      <c r="K60" s="162">
        <v>5000</v>
      </c>
      <c r="L60" s="113">
        <v>3000</v>
      </c>
      <c r="M60" s="221">
        <v>1.99</v>
      </c>
      <c r="N60" s="112">
        <f>Tabela1[[#This Row],[PRECIO
USD]]*Tabela1[[#This Row],[MT/YD]]</f>
        <v>9950</v>
      </c>
      <c r="O60" t="s">
        <v>75</v>
      </c>
      <c r="P60" t="s">
        <v>8</v>
      </c>
      <c r="Q60" t="s">
        <v>8</v>
      </c>
    </row>
    <row r="61" spans="1:18" x14ac:dyDescent="0.35">
      <c r="A61" s="5" t="s">
        <v>328</v>
      </c>
      <c r="B61" s="3" t="s">
        <v>354</v>
      </c>
      <c r="C61" s="25" t="s">
        <v>26</v>
      </c>
      <c r="D61" s="26">
        <v>45904</v>
      </c>
      <c r="E61" s="117" t="s">
        <v>357</v>
      </c>
      <c r="F61" s="60" t="s">
        <v>1223</v>
      </c>
      <c r="G61" s="39">
        <v>4525</v>
      </c>
      <c r="I61" s="1">
        <v>69</v>
      </c>
      <c r="J61" s="29" t="s">
        <v>355</v>
      </c>
      <c r="K61" s="162">
        <v>500</v>
      </c>
      <c r="M61" s="221">
        <v>5.57</v>
      </c>
      <c r="N61" s="112">
        <f>Tabela1[[#This Row],[PRECIO
USD]]*Tabela1[[#This Row],[MT/YD]]</f>
        <v>2785</v>
      </c>
      <c r="O61" t="s">
        <v>117</v>
      </c>
      <c r="P61" t="s">
        <v>8</v>
      </c>
      <c r="Q61" t="s">
        <v>8</v>
      </c>
      <c r="R61" s="22" t="s">
        <v>363</v>
      </c>
    </row>
    <row r="62" spans="1:18" x14ac:dyDescent="0.35">
      <c r="A62" s="118">
        <v>16985</v>
      </c>
      <c r="B62" s="3" t="s">
        <v>69</v>
      </c>
      <c r="C62" s="62" t="s">
        <v>38</v>
      </c>
      <c r="D62" s="26">
        <v>45923</v>
      </c>
      <c r="E62" s="117" t="s">
        <v>357</v>
      </c>
      <c r="F62" s="60" t="s">
        <v>362</v>
      </c>
      <c r="G62" s="39" t="s">
        <v>370</v>
      </c>
      <c r="I62" s="1">
        <v>74</v>
      </c>
      <c r="J62" s="29" t="s">
        <v>371</v>
      </c>
      <c r="K62" s="162">
        <v>100</v>
      </c>
      <c r="M62" s="221">
        <v>2.2999999999999998</v>
      </c>
      <c r="N62" s="112">
        <f>Tabela1[[#This Row],[PRECIO
USD]]*Tabela1[[#This Row],[MT/YD]]</f>
        <v>229.99999999999997</v>
      </c>
      <c r="O62" t="s">
        <v>117</v>
      </c>
      <c r="P62" t="s">
        <v>8</v>
      </c>
      <c r="Q62" t="s">
        <v>8</v>
      </c>
      <c r="R62" s="22" t="s">
        <v>369</v>
      </c>
    </row>
    <row r="63" spans="1:18" x14ac:dyDescent="0.35">
      <c r="A63" s="5" t="s">
        <v>359</v>
      </c>
      <c r="B63" s="389" t="s">
        <v>221</v>
      </c>
      <c r="C63" s="25" t="s">
        <v>92</v>
      </c>
      <c r="D63" s="26">
        <v>45923</v>
      </c>
      <c r="E63" s="26" t="s">
        <v>361</v>
      </c>
      <c r="F63" s="60" t="s">
        <v>366</v>
      </c>
      <c r="G63" s="358" t="s">
        <v>375</v>
      </c>
      <c r="I63" s="1">
        <v>75</v>
      </c>
      <c r="J63" s="29" t="s">
        <v>376</v>
      </c>
      <c r="K63" s="162">
        <v>2500</v>
      </c>
      <c r="L63" s="119" t="s">
        <v>364</v>
      </c>
      <c r="M63" s="227">
        <v>1.7</v>
      </c>
      <c r="N63" s="112">
        <f>Tabela1[[#This Row],[PRECIO
USD]]*Tabela1[[#This Row],[MT/YD]]</f>
        <v>4250</v>
      </c>
      <c r="O63" t="s">
        <v>75</v>
      </c>
      <c r="P63" t="s">
        <v>8</v>
      </c>
      <c r="Q63" t="s">
        <v>8</v>
      </c>
      <c r="R63" s="121" t="s">
        <v>330</v>
      </c>
    </row>
    <row r="64" spans="1:18" x14ac:dyDescent="0.35">
      <c r="A64" s="5" t="s">
        <v>359</v>
      </c>
      <c r="B64" s="389" t="s">
        <v>221</v>
      </c>
      <c r="C64" s="25" t="s">
        <v>92</v>
      </c>
      <c r="D64" s="26">
        <v>45923</v>
      </c>
      <c r="E64" s="26" t="s">
        <v>361</v>
      </c>
      <c r="F64" s="60" t="s">
        <v>367</v>
      </c>
      <c r="G64" s="360" t="s">
        <v>257</v>
      </c>
      <c r="I64" s="1">
        <v>75</v>
      </c>
      <c r="J64" s="29" t="s">
        <v>368</v>
      </c>
      <c r="K64" s="162">
        <v>1000</v>
      </c>
      <c r="L64" s="119"/>
      <c r="M64" s="227">
        <v>1.82</v>
      </c>
      <c r="N64" s="112">
        <f>Tabela1[[#This Row],[PRECIO
USD]]*Tabela1[[#This Row],[MT/YD]]</f>
        <v>1820</v>
      </c>
      <c r="O64" t="s">
        <v>75</v>
      </c>
      <c r="P64" t="s">
        <v>8</v>
      </c>
      <c r="Q64" t="s">
        <v>8</v>
      </c>
      <c r="R64" s="121" t="s">
        <v>330</v>
      </c>
    </row>
    <row r="65" spans="1:18" x14ac:dyDescent="0.35">
      <c r="A65" s="5" t="s">
        <v>360</v>
      </c>
      <c r="B65" s="389" t="s">
        <v>221</v>
      </c>
      <c r="C65" s="25" t="s">
        <v>92</v>
      </c>
      <c r="D65" s="26">
        <v>45923</v>
      </c>
      <c r="E65" s="26" t="s">
        <v>361</v>
      </c>
      <c r="F65" s="60" t="s">
        <v>366</v>
      </c>
      <c r="G65" s="358" t="s">
        <v>375</v>
      </c>
      <c r="I65" s="1">
        <v>76</v>
      </c>
      <c r="J65" s="29" t="s">
        <v>376</v>
      </c>
      <c r="K65" s="162">
        <v>2500</v>
      </c>
      <c r="M65" s="227">
        <v>1.7</v>
      </c>
      <c r="N65" s="112">
        <f>Tabela1[[#This Row],[PRECIO
USD]]*Tabela1[[#This Row],[MT/YD]]</f>
        <v>4250</v>
      </c>
      <c r="O65" t="s">
        <v>75</v>
      </c>
      <c r="P65" t="s">
        <v>8</v>
      </c>
      <c r="Q65" t="s">
        <v>8</v>
      </c>
      <c r="R65" s="121" t="s">
        <v>330</v>
      </c>
    </row>
    <row r="66" spans="1:18" x14ac:dyDescent="0.35">
      <c r="A66" s="5" t="s">
        <v>372</v>
      </c>
      <c r="B66" s="3" t="s">
        <v>109</v>
      </c>
      <c r="C66" s="25" t="s">
        <v>92</v>
      </c>
      <c r="D66" s="26">
        <v>45929</v>
      </c>
      <c r="E66" s="26" t="s">
        <v>361</v>
      </c>
      <c r="F66" s="60" t="s">
        <v>374</v>
      </c>
      <c r="G66" s="358" t="s">
        <v>381</v>
      </c>
      <c r="H66" s="120"/>
      <c r="I66" s="1">
        <v>77</v>
      </c>
      <c r="J66" s="29" t="s">
        <v>373</v>
      </c>
      <c r="K66" s="162">
        <v>1000</v>
      </c>
      <c r="M66" s="221">
        <v>1.71</v>
      </c>
      <c r="N66" s="112">
        <f>Tabela1[[#This Row],[PRECIO
USD]]*Tabela1[[#This Row],[MT/YD]]</f>
        <v>1710</v>
      </c>
      <c r="O66" t="s">
        <v>75</v>
      </c>
      <c r="P66" t="s">
        <v>8</v>
      </c>
      <c r="Q66" t="s">
        <v>8</v>
      </c>
      <c r="R66" s="4" t="s">
        <v>330</v>
      </c>
    </row>
    <row r="67" spans="1:18" x14ac:dyDescent="0.35">
      <c r="A67" s="394" t="s">
        <v>377</v>
      </c>
      <c r="B67" s="3" t="s">
        <v>384</v>
      </c>
      <c r="C67" s="25" t="s">
        <v>26</v>
      </c>
      <c r="D67" s="26">
        <v>45945</v>
      </c>
      <c r="E67" s="26" t="s">
        <v>361</v>
      </c>
      <c r="F67" s="111" t="s">
        <v>385</v>
      </c>
      <c r="G67" s="358" t="s">
        <v>383</v>
      </c>
      <c r="H67" s="120"/>
      <c r="I67" s="122">
        <v>78</v>
      </c>
      <c r="J67" s="29" t="s">
        <v>382</v>
      </c>
      <c r="K67" s="162">
        <v>2000</v>
      </c>
      <c r="M67" s="221">
        <v>2.81</v>
      </c>
      <c r="N67" s="112">
        <f>Tabela1[[#This Row],[PRECIO
USD]]*Tabela1[[#This Row],[MT/YD]]</f>
        <v>5620</v>
      </c>
      <c r="O67" t="s">
        <v>380</v>
      </c>
      <c r="P67" t="s">
        <v>8</v>
      </c>
      <c r="Q67" t="s">
        <v>8</v>
      </c>
      <c r="R67" t="s">
        <v>387</v>
      </c>
    </row>
    <row r="68" spans="1:18" x14ac:dyDescent="0.35">
      <c r="A68" s="5" t="s">
        <v>390</v>
      </c>
      <c r="B68" s="325" t="s">
        <v>681</v>
      </c>
      <c r="C68" s="25" t="s">
        <v>21</v>
      </c>
      <c r="D68" s="26">
        <v>45950</v>
      </c>
      <c r="E68" s="26" t="s">
        <v>361</v>
      </c>
      <c r="F68" s="111" t="s">
        <v>112</v>
      </c>
      <c r="G68" s="39" t="s">
        <v>113</v>
      </c>
      <c r="I68" s="1">
        <v>79</v>
      </c>
      <c r="J68" s="29" t="s">
        <v>393</v>
      </c>
      <c r="K68" s="162">
        <v>800</v>
      </c>
      <c r="M68" s="221">
        <v>2.2799999999999998</v>
      </c>
      <c r="N68" s="112">
        <f>Tabela1[[#This Row],[PRECIO
USD]]*Tabela1[[#This Row],[MT/YD]]</f>
        <v>1823.9999999999998</v>
      </c>
      <c r="O68" t="s">
        <v>75</v>
      </c>
      <c r="P68" t="s">
        <v>8</v>
      </c>
      <c r="Q68" t="s">
        <v>8</v>
      </c>
      <c r="R68" t="s">
        <v>294</v>
      </c>
    </row>
    <row r="69" spans="1:18" x14ac:dyDescent="0.35">
      <c r="A69" s="5" t="s">
        <v>394</v>
      </c>
      <c r="B69" s="389" t="s">
        <v>221</v>
      </c>
      <c r="C69" s="25" t="s">
        <v>92</v>
      </c>
      <c r="D69" s="26">
        <v>45950</v>
      </c>
      <c r="E69" s="26" t="s">
        <v>361</v>
      </c>
      <c r="F69" s="60" t="s">
        <v>396</v>
      </c>
      <c r="G69" s="39" t="s">
        <v>462</v>
      </c>
      <c r="I69" s="122">
        <v>80</v>
      </c>
      <c r="J69" s="29" t="s">
        <v>461</v>
      </c>
      <c r="K69" s="162">
        <v>1200</v>
      </c>
      <c r="M69" s="226">
        <v>1.59</v>
      </c>
      <c r="N69" s="112">
        <f>Tabela1[[#This Row],[PRECIO
USD]]*Tabela1[[#This Row],[MT/YD]]</f>
        <v>1908</v>
      </c>
      <c r="O69" t="s">
        <v>75</v>
      </c>
      <c r="P69" t="s">
        <v>8</v>
      </c>
      <c r="Q69" t="s">
        <v>8</v>
      </c>
      <c r="R69" s="4" t="s">
        <v>463</v>
      </c>
    </row>
    <row r="70" spans="1:18" x14ac:dyDescent="0.35">
      <c r="A70" s="325" t="s">
        <v>402</v>
      </c>
      <c r="B70" s="3" t="s">
        <v>33</v>
      </c>
      <c r="C70" s="25" t="s">
        <v>38</v>
      </c>
      <c r="D70" s="26">
        <v>45951</v>
      </c>
      <c r="E70" s="117">
        <v>45962</v>
      </c>
      <c r="F70" s="60">
        <v>14632</v>
      </c>
      <c r="G70" s="251" t="s">
        <v>46</v>
      </c>
      <c r="I70" s="1">
        <v>81</v>
      </c>
      <c r="J70" s="31" t="s">
        <v>1070</v>
      </c>
      <c r="K70" s="162">
        <v>5000</v>
      </c>
      <c r="M70" s="221">
        <v>2.0499999999999998</v>
      </c>
      <c r="N70" s="187">
        <f>Tabela1[[#This Row],[PRECIO
USD]]*Tabela1[[#This Row],[MT/YD]]</f>
        <v>10250</v>
      </c>
      <c r="O70" s="31" t="s">
        <v>40</v>
      </c>
      <c r="P70" s="32" t="s">
        <v>39</v>
      </c>
      <c r="Q70" s="33" t="s">
        <v>41</v>
      </c>
      <c r="R70" t="s">
        <v>400</v>
      </c>
    </row>
    <row r="71" spans="1:18" x14ac:dyDescent="0.35">
      <c r="A71" s="395" t="s">
        <v>401</v>
      </c>
      <c r="B71" s="3" t="s">
        <v>234</v>
      </c>
      <c r="C71" s="25" t="s">
        <v>21</v>
      </c>
      <c r="D71" s="26">
        <v>45951</v>
      </c>
      <c r="E71" s="117">
        <v>45962</v>
      </c>
      <c r="F71" s="376" t="s">
        <v>1256</v>
      </c>
      <c r="G71" s="251" t="s">
        <v>237</v>
      </c>
      <c r="I71" s="1">
        <v>84</v>
      </c>
      <c r="J71" s="29" t="s">
        <v>238</v>
      </c>
      <c r="K71" s="162">
        <v>5000</v>
      </c>
      <c r="M71" s="228">
        <v>1.58</v>
      </c>
      <c r="N71" s="178">
        <f>Tabela1[[#This Row],[PRECIO
USD]]*Tabela1[[#This Row],[MT/YD]]</f>
        <v>7900</v>
      </c>
      <c r="O71" t="s">
        <v>75</v>
      </c>
      <c r="P71" t="s">
        <v>8</v>
      </c>
      <c r="Q71" t="s">
        <v>8</v>
      </c>
      <c r="R71" t="s">
        <v>460</v>
      </c>
    </row>
    <row r="72" spans="1:18" x14ac:dyDescent="0.35">
      <c r="A72" s="395" t="s">
        <v>401</v>
      </c>
      <c r="B72" s="3" t="s">
        <v>234</v>
      </c>
      <c r="C72" s="25" t="s">
        <v>21</v>
      </c>
      <c r="D72" s="26">
        <v>45951</v>
      </c>
      <c r="E72" s="117">
        <v>45962</v>
      </c>
      <c r="F72" s="376" t="s">
        <v>239</v>
      </c>
      <c r="G72" s="251" t="s">
        <v>240</v>
      </c>
      <c r="I72" s="1">
        <v>84</v>
      </c>
      <c r="J72" s="29" t="s">
        <v>241</v>
      </c>
      <c r="K72" s="162">
        <v>5000</v>
      </c>
      <c r="M72" s="228">
        <v>1.6</v>
      </c>
      <c r="N72" s="178">
        <f>Tabela1[[#This Row],[PRECIO
USD]]*Tabela1[[#This Row],[MT/YD]]</f>
        <v>8000</v>
      </c>
      <c r="O72" t="s">
        <v>75</v>
      </c>
      <c r="P72" t="s">
        <v>8</v>
      </c>
      <c r="Q72" t="s">
        <v>8</v>
      </c>
      <c r="R72" t="s">
        <v>460</v>
      </c>
    </row>
    <row r="73" spans="1:18" x14ac:dyDescent="0.35">
      <c r="A73" s="395" t="s">
        <v>401</v>
      </c>
      <c r="B73" s="3" t="s">
        <v>234</v>
      </c>
      <c r="C73" s="25" t="s">
        <v>21</v>
      </c>
      <c r="D73" s="26">
        <v>45951</v>
      </c>
      <c r="E73" s="117">
        <v>45962</v>
      </c>
      <c r="F73" s="375" t="s">
        <v>1068</v>
      </c>
      <c r="G73" s="251" t="s">
        <v>242</v>
      </c>
      <c r="I73" s="1">
        <v>84</v>
      </c>
      <c r="J73" s="29" t="s">
        <v>243</v>
      </c>
      <c r="K73" s="162">
        <v>5000</v>
      </c>
      <c r="M73" s="228">
        <v>1.65</v>
      </c>
      <c r="N73" s="178">
        <f>Tabela1[[#This Row],[PRECIO
USD]]*Tabela1[[#This Row],[MT/YD]]</f>
        <v>8250</v>
      </c>
      <c r="O73" t="s">
        <v>75</v>
      </c>
      <c r="P73" t="s">
        <v>8</v>
      </c>
      <c r="Q73" t="s">
        <v>8</v>
      </c>
      <c r="R73" t="s">
        <v>460</v>
      </c>
    </row>
    <row r="74" spans="1:18" x14ac:dyDescent="0.35">
      <c r="A74" s="325" t="s">
        <v>379</v>
      </c>
      <c r="B74" s="3" t="s">
        <v>403</v>
      </c>
      <c r="C74" s="25" t="s">
        <v>92</v>
      </c>
      <c r="D74" s="26">
        <v>45950</v>
      </c>
      <c r="E74" s="117">
        <v>45962</v>
      </c>
      <c r="F74" s="60" t="s">
        <v>442</v>
      </c>
      <c r="G74" s="39" t="s">
        <v>426</v>
      </c>
      <c r="I74" s="15">
        <v>82</v>
      </c>
      <c r="J74" s="29" t="s">
        <v>404</v>
      </c>
      <c r="K74" s="162">
        <v>300</v>
      </c>
      <c r="L74" s="119" t="s">
        <v>404</v>
      </c>
      <c r="M74" s="229">
        <v>1.25</v>
      </c>
      <c r="N74" s="178">
        <f>Tabela1[[#This Row],[PRECIO
USD]]*Tabela1[[#This Row],[MT/YD]]</f>
        <v>375</v>
      </c>
      <c r="O74" t="s">
        <v>423</v>
      </c>
      <c r="P74" s="124" t="s">
        <v>424</v>
      </c>
      <c r="Q74" t="s">
        <v>425</v>
      </c>
    </row>
    <row r="75" spans="1:18" x14ac:dyDescent="0.35">
      <c r="A75" s="325" t="s">
        <v>379</v>
      </c>
      <c r="B75" s="3" t="s">
        <v>403</v>
      </c>
      <c r="C75" s="25" t="s">
        <v>92</v>
      </c>
      <c r="D75" s="26">
        <v>45950</v>
      </c>
      <c r="E75" s="117">
        <v>45962</v>
      </c>
      <c r="F75" s="60" t="s">
        <v>443</v>
      </c>
      <c r="G75" s="39" t="s">
        <v>427</v>
      </c>
      <c r="I75" s="15">
        <v>82</v>
      </c>
      <c r="J75" s="29" t="s">
        <v>405</v>
      </c>
      <c r="K75" s="162">
        <v>300</v>
      </c>
      <c r="L75" s="119"/>
      <c r="M75" s="229">
        <v>1.25</v>
      </c>
      <c r="N75" s="178">
        <f>Tabela1[[#This Row],[PRECIO
USD]]*Tabela1[[#This Row],[MT/YD]]</f>
        <v>375</v>
      </c>
      <c r="O75" t="s">
        <v>423</v>
      </c>
      <c r="P75" s="124" t="s">
        <v>424</v>
      </c>
      <c r="Q75" t="s">
        <v>425</v>
      </c>
    </row>
    <row r="76" spans="1:18" x14ac:dyDescent="0.35">
      <c r="A76" s="325" t="s">
        <v>379</v>
      </c>
      <c r="B76" s="3" t="s">
        <v>403</v>
      </c>
      <c r="C76" s="25" t="s">
        <v>92</v>
      </c>
      <c r="D76" s="26">
        <v>45950</v>
      </c>
      <c r="E76" s="117">
        <v>45962</v>
      </c>
      <c r="F76" s="60" t="s">
        <v>444</v>
      </c>
      <c r="G76" s="39" t="s">
        <v>428</v>
      </c>
      <c r="I76" s="15">
        <v>82</v>
      </c>
      <c r="J76" s="29" t="s">
        <v>406</v>
      </c>
      <c r="K76" s="162">
        <v>300</v>
      </c>
      <c r="L76" s="119"/>
      <c r="M76" s="229">
        <v>1.25</v>
      </c>
      <c r="N76" s="178">
        <f>Tabela1[[#This Row],[PRECIO
USD]]*Tabela1[[#This Row],[MT/YD]]</f>
        <v>375</v>
      </c>
      <c r="O76" t="s">
        <v>423</v>
      </c>
      <c r="P76" s="124" t="s">
        <v>424</v>
      </c>
      <c r="Q76" t="s">
        <v>425</v>
      </c>
    </row>
    <row r="77" spans="1:18" x14ac:dyDescent="0.35">
      <c r="A77" s="325" t="s">
        <v>379</v>
      </c>
      <c r="B77" s="3" t="s">
        <v>403</v>
      </c>
      <c r="C77" s="25" t="s">
        <v>92</v>
      </c>
      <c r="D77" s="26">
        <v>45950</v>
      </c>
      <c r="E77" s="117">
        <v>45962</v>
      </c>
      <c r="F77" s="60" t="s">
        <v>445</v>
      </c>
      <c r="G77" s="39" t="s">
        <v>429</v>
      </c>
      <c r="I77" s="15">
        <v>82</v>
      </c>
      <c r="J77" s="29" t="s">
        <v>407</v>
      </c>
      <c r="K77" s="162">
        <v>300</v>
      </c>
      <c r="L77" s="119"/>
      <c r="M77" s="229">
        <v>1.25</v>
      </c>
      <c r="N77" s="178">
        <f>Tabela1[[#This Row],[PRECIO
USD]]*Tabela1[[#This Row],[MT/YD]]</f>
        <v>375</v>
      </c>
      <c r="O77" t="s">
        <v>423</v>
      </c>
      <c r="P77" s="124" t="s">
        <v>424</v>
      </c>
      <c r="Q77" t="s">
        <v>425</v>
      </c>
    </row>
    <row r="78" spans="1:18" x14ac:dyDescent="0.35">
      <c r="A78" s="325" t="s">
        <v>379</v>
      </c>
      <c r="B78" s="3" t="s">
        <v>403</v>
      </c>
      <c r="C78" s="25" t="s">
        <v>92</v>
      </c>
      <c r="D78" s="26">
        <v>45950</v>
      </c>
      <c r="E78" s="117">
        <v>45962</v>
      </c>
      <c r="F78" s="60" t="s">
        <v>446</v>
      </c>
      <c r="G78" s="39">
        <v>3927</v>
      </c>
      <c r="I78" s="15">
        <v>82</v>
      </c>
      <c r="J78" s="29" t="s">
        <v>408</v>
      </c>
      <c r="K78" s="162">
        <v>300</v>
      </c>
      <c r="L78" s="119"/>
      <c r="M78" s="229">
        <v>1.33</v>
      </c>
      <c r="N78" s="178">
        <f>Tabela1[[#This Row],[PRECIO
USD]]*Tabela1[[#This Row],[MT/YD]]</f>
        <v>399</v>
      </c>
      <c r="O78" t="s">
        <v>423</v>
      </c>
      <c r="P78" s="124" t="s">
        <v>424</v>
      </c>
      <c r="Q78" t="s">
        <v>425</v>
      </c>
    </row>
    <row r="79" spans="1:18" x14ac:dyDescent="0.35">
      <c r="A79" s="325" t="s">
        <v>379</v>
      </c>
      <c r="B79" s="3" t="s">
        <v>403</v>
      </c>
      <c r="C79" s="25" t="s">
        <v>92</v>
      </c>
      <c r="D79" s="26">
        <v>45950</v>
      </c>
      <c r="E79" s="117">
        <v>45962</v>
      </c>
      <c r="F79" s="60" t="s">
        <v>447</v>
      </c>
      <c r="G79" s="39" t="s">
        <v>430</v>
      </c>
      <c r="I79" s="15">
        <v>82</v>
      </c>
      <c r="J79" s="29" t="s">
        <v>409</v>
      </c>
      <c r="K79" s="162">
        <v>300</v>
      </c>
      <c r="L79" s="119"/>
      <c r="M79" s="229">
        <v>1.33</v>
      </c>
      <c r="N79" s="178">
        <f>Tabela1[[#This Row],[PRECIO
USD]]*Tabela1[[#This Row],[MT/YD]]</f>
        <v>399</v>
      </c>
      <c r="O79" t="s">
        <v>423</v>
      </c>
      <c r="P79" s="124" t="s">
        <v>424</v>
      </c>
      <c r="Q79" t="s">
        <v>425</v>
      </c>
    </row>
    <row r="80" spans="1:18" x14ac:dyDescent="0.35">
      <c r="A80" s="325" t="s">
        <v>379</v>
      </c>
      <c r="B80" s="3" t="s">
        <v>403</v>
      </c>
      <c r="C80" s="25" t="s">
        <v>92</v>
      </c>
      <c r="D80" s="26">
        <v>45950</v>
      </c>
      <c r="E80" s="117">
        <v>45962</v>
      </c>
      <c r="F80" s="60" t="s">
        <v>448</v>
      </c>
      <c r="G80" s="39" t="s">
        <v>431</v>
      </c>
      <c r="I80" s="15">
        <v>82</v>
      </c>
      <c r="J80" s="29" t="s">
        <v>410</v>
      </c>
      <c r="K80" s="162">
        <v>300</v>
      </c>
      <c r="L80" s="119"/>
      <c r="M80" s="229">
        <v>1.25</v>
      </c>
      <c r="N80" s="178">
        <f>Tabela1[[#This Row],[PRECIO
USD]]*Tabela1[[#This Row],[MT/YD]]</f>
        <v>375</v>
      </c>
      <c r="O80" t="s">
        <v>423</v>
      </c>
      <c r="P80" s="124" t="s">
        <v>424</v>
      </c>
      <c r="Q80" t="s">
        <v>425</v>
      </c>
    </row>
    <row r="81" spans="1:18" x14ac:dyDescent="0.35">
      <c r="A81" s="325" t="s">
        <v>379</v>
      </c>
      <c r="B81" s="3" t="s">
        <v>403</v>
      </c>
      <c r="C81" s="25" t="s">
        <v>92</v>
      </c>
      <c r="D81" s="26">
        <v>45950</v>
      </c>
      <c r="E81" s="117">
        <v>45962</v>
      </c>
      <c r="F81" s="60" t="s">
        <v>449</v>
      </c>
      <c r="G81" s="39" t="s">
        <v>432</v>
      </c>
      <c r="I81" s="15">
        <v>82</v>
      </c>
      <c r="J81" s="29" t="s">
        <v>411</v>
      </c>
      <c r="K81" s="162">
        <v>300</v>
      </c>
      <c r="L81" s="119"/>
      <c r="M81" s="229">
        <v>1.33</v>
      </c>
      <c r="N81" s="178">
        <f>Tabela1[[#This Row],[PRECIO
USD]]*Tabela1[[#This Row],[MT/YD]]</f>
        <v>399</v>
      </c>
      <c r="O81" t="s">
        <v>423</v>
      </c>
      <c r="P81" s="124" t="s">
        <v>424</v>
      </c>
      <c r="Q81" t="s">
        <v>425</v>
      </c>
    </row>
    <row r="82" spans="1:18" x14ac:dyDescent="0.35">
      <c r="A82" s="325" t="s">
        <v>379</v>
      </c>
      <c r="B82" s="3" t="s">
        <v>403</v>
      </c>
      <c r="C82" s="25" t="s">
        <v>92</v>
      </c>
      <c r="D82" s="26">
        <v>45950</v>
      </c>
      <c r="E82" s="117">
        <v>45962</v>
      </c>
      <c r="F82" s="60" t="s">
        <v>450</v>
      </c>
      <c r="G82" s="39" t="s">
        <v>433</v>
      </c>
      <c r="I82" s="15">
        <v>82</v>
      </c>
      <c r="J82" s="29" t="s">
        <v>412</v>
      </c>
      <c r="K82" s="162">
        <v>300</v>
      </c>
      <c r="L82" s="119"/>
      <c r="M82" s="230">
        <v>1.25</v>
      </c>
      <c r="N82" s="178">
        <f>Tabela1[[#This Row],[PRECIO
USD]]*Tabela1[[#This Row],[MT/YD]]</f>
        <v>375</v>
      </c>
      <c r="O82" t="s">
        <v>423</v>
      </c>
      <c r="P82" s="124" t="s">
        <v>424</v>
      </c>
      <c r="Q82" t="s">
        <v>425</v>
      </c>
    </row>
    <row r="83" spans="1:18" x14ac:dyDescent="0.35">
      <c r="A83" s="325" t="s">
        <v>379</v>
      </c>
      <c r="B83" s="3" t="s">
        <v>403</v>
      </c>
      <c r="C83" s="25" t="s">
        <v>92</v>
      </c>
      <c r="D83" s="26">
        <v>45950</v>
      </c>
      <c r="E83" s="117">
        <v>45962</v>
      </c>
      <c r="F83" s="60" t="s">
        <v>451</v>
      </c>
      <c r="G83" s="39" t="s">
        <v>434</v>
      </c>
      <c r="I83" s="15">
        <v>82</v>
      </c>
      <c r="J83" s="29" t="s">
        <v>413</v>
      </c>
      <c r="K83" s="162">
        <v>300</v>
      </c>
      <c r="L83" s="119"/>
      <c r="M83" s="229">
        <v>1.33</v>
      </c>
      <c r="N83" s="178">
        <f>Tabela1[[#This Row],[PRECIO
USD]]*Tabela1[[#This Row],[MT/YD]]</f>
        <v>399</v>
      </c>
      <c r="O83" t="s">
        <v>423</v>
      </c>
      <c r="P83" s="124" t="s">
        <v>424</v>
      </c>
      <c r="Q83" t="s">
        <v>425</v>
      </c>
    </row>
    <row r="84" spans="1:18" x14ac:dyDescent="0.35">
      <c r="A84" s="325" t="s">
        <v>379</v>
      </c>
      <c r="B84" s="3" t="s">
        <v>403</v>
      </c>
      <c r="C84" s="25" t="s">
        <v>92</v>
      </c>
      <c r="D84" s="26">
        <v>45950</v>
      </c>
      <c r="E84" s="117">
        <v>45962</v>
      </c>
      <c r="F84" s="60" t="s">
        <v>452</v>
      </c>
      <c r="G84" s="39" t="s">
        <v>435</v>
      </c>
      <c r="I84" s="15">
        <v>82</v>
      </c>
      <c r="J84" s="29" t="s">
        <v>414</v>
      </c>
      <c r="K84" s="162">
        <v>300</v>
      </c>
      <c r="L84" s="119"/>
      <c r="M84" s="229">
        <v>1.33</v>
      </c>
      <c r="N84" s="178">
        <f>Tabela1[[#This Row],[PRECIO
USD]]*Tabela1[[#This Row],[MT/YD]]</f>
        <v>399</v>
      </c>
      <c r="O84" t="s">
        <v>423</v>
      </c>
      <c r="P84" s="124" t="s">
        <v>424</v>
      </c>
      <c r="Q84" t="s">
        <v>425</v>
      </c>
    </row>
    <row r="85" spans="1:18" x14ac:dyDescent="0.35">
      <c r="A85" s="325" t="s">
        <v>379</v>
      </c>
      <c r="B85" s="3" t="s">
        <v>403</v>
      </c>
      <c r="C85" s="25" t="s">
        <v>92</v>
      </c>
      <c r="D85" s="26">
        <v>45950</v>
      </c>
      <c r="E85" s="117">
        <v>45962</v>
      </c>
      <c r="F85" s="60" t="s">
        <v>453</v>
      </c>
      <c r="G85" s="39" t="s">
        <v>436</v>
      </c>
      <c r="I85" s="15">
        <v>82</v>
      </c>
      <c r="J85" s="29" t="s">
        <v>415</v>
      </c>
      <c r="K85" s="162">
        <v>300</v>
      </c>
      <c r="L85" s="119"/>
      <c r="M85" s="229">
        <v>1.33</v>
      </c>
      <c r="N85" s="178">
        <f>Tabela1[[#This Row],[PRECIO
USD]]*Tabela1[[#This Row],[MT/YD]]</f>
        <v>399</v>
      </c>
      <c r="O85" t="s">
        <v>423</v>
      </c>
      <c r="P85" s="124" t="s">
        <v>424</v>
      </c>
      <c r="Q85" t="s">
        <v>425</v>
      </c>
    </row>
    <row r="86" spans="1:18" x14ac:dyDescent="0.35">
      <c r="A86" s="325" t="s">
        <v>379</v>
      </c>
      <c r="B86" s="3" t="s">
        <v>403</v>
      </c>
      <c r="C86" s="25" t="s">
        <v>92</v>
      </c>
      <c r="D86" s="26">
        <v>45950</v>
      </c>
      <c r="E86" s="117">
        <v>45962</v>
      </c>
      <c r="F86" s="60" t="s">
        <v>454</v>
      </c>
      <c r="G86" s="39" t="s">
        <v>437</v>
      </c>
      <c r="I86" s="1">
        <v>82</v>
      </c>
      <c r="J86" s="29" t="s">
        <v>416</v>
      </c>
      <c r="K86" s="162">
        <v>300</v>
      </c>
      <c r="L86" s="119"/>
      <c r="M86" s="229">
        <v>1.33</v>
      </c>
      <c r="N86" s="178">
        <f>Tabela1[[#This Row],[PRECIO
USD]]*Tabela1[[#This Row],[MT/YD]]</f>
        <v>399</v>
      </c>
      <c r="O86" t="s">
        <v>423</v>
      </c>
      <c r="P86" s="124" t="s">
        <v>424</v>
      </c>
      <c r="Q86" t="s">
        <v>425</v>
      </c>
    </row>
    <row r="87" spans="1:18" x14ac:dyDescent="0.35">
      <c r="A87" s="325" t="s">
        <v>379</v>
      </c>
      <c r="B87" s="3" t="s">
        <v>403</v>
      </c>
      <c r="C87" s="25" t="s">
        <v>92</v>
      </c>
      <c r="D87" s="26">
        <v>45950</v>
      </c>
      <c r="E87" s="117">
        <v>45962</v>
      </c>
      <c r="F87" s="60" t="s">
        <v>455</v>
      </c>
      <c r="G87" s="39" t="s">
        <v>438</v>
      </c>
      <c r="I87" s="1">
        <v>82</v>
      </c>
      <c r="J87" s="29" t="s">
        <v>417</v>
      </c>
      <c r="K87" s="162">
        <v>300</v>
      </c>
      <c r="L87" s="119"/>
      <c r="M87" s="229">
        <v>1.33</v>
      </c>
      <c r="N87" s="178">
        <f>Tabela1[[#This Row],[PRECIO
USD]]*Tabela1[[#This Row],[MT/YD]]</f>
        <v>399</v>
      </c>
      <c r="O87" t="s">
        <v>423</v>
      </c>
      <c r="P87" s="124" t="s">
        <v>424</v>
      </c>
      <c r="Q87" t="s">
        <v>425</v>
      </c>
    </row>
    <row r="88" spans="1:18" x14ac:dyDescent="0.35">
      <c r="A88" s="325" t="s">
        <v>379</v>
      </c>
      <c r="B88" s="3" t="s">
        <v>403</v>
      </c>
      <c r="C88" s="25" t="s">
        <v>92</v>
      </c>
      <c r="D88" s="26">
        <v>45950</v>
      </c>
      <c r="E88" s="117">
        <v>45962</v>
      </c>
      <c r="F88" s="60" t="s">
        <v>456</v>
      </c>
      <c r="G88" s="39" t="s">
        <v>439</v>
      </c>
      <c r="I88" s="1">
        <v>82</v>
      </c>
      <c r="J88" s="29" t="s">
        <v>418</v>
      </c>
      <c r="K88" s="162">
        <v>300</v>
      </c>
      <c r="L88" s="119"/>
      <c r="M88" s="229">
        <v>1.33</v>
      </c>
      <c r="N88" s="178">
        <f>Tabela1[[#This Row],[PRECIO
USD]]*Tabela1[[#This Row],[MT/YD]]</f>
        <v>399</v>
      </c>
      <c r="O88" t="s">
        <v>423</v>
      </c>
      <c r="P88" s="124" t="s">
        <v>424</v>
      </c>
      <c r="Q88" t="s">
        <v>425</v>
      </c>
    </row>
    <row r="89" spans="1:18" x14ac:dyDescent="0.35">
      <c r="A89" s="325" t="s">
        <v>379</v>
      </c>
      <c r="B89" s="3" t="s">
        <v>403</v>
      </c>
      <c r="C89" s="25" t="s">
        <v>92</v>
      </c>
      <c r="D89" s="26">
        <v>45950</v>
      </c>
      <c r="E89" s="117">
        <v>45962</v>
      </c>
      <c r="F89" s="60" t="s">
        <v>457</v>
      </c>
      <c r="G89" s="39" t="s">
        <v>440</v>
      </c>
      <c r="I89" s="1">
        <v>82</v>
      </c>
      <c r="J89" s="29" t="s">
        <v>419</v>
      </c>
      <c r="K89" s="162">
        <v>300</v>
      </c>
      <c r="L89" s="119"/>
      <c r="M89" s="229">
        <v>1.33</v>
      </c>
      <c r="N89" s="178">
        <f>Tabela1[[#This Row],[PRECIO
USD]]*Tabela1[[#This Row],[MT/YD]]</f>
        <v>399</v>
      </c>
      <c r="O89" t="s">
        <v>423</v>
      </c>
      <c r="P89" s="124" t="s">
        <v>424</v>
      </c>
      <c r="Q89" t="s">
        <v>425</v>
      </c>
    </row>
    <row r="90" spans="1:18" x14ac:dyDescent="0.35">
      <c r="A90" s="325" t="s">
        <v>379</v>
      </c>
      <c r="B90" s="3" t="s">
        <v>403</v>
      </c>
      <c r="C90" s="25" t="s">
        <v>92</v>
      </c>
      <c r="D90" s="26">
        <v>45950</v>
      </c>
      <c r="E90" s="117">
        <v>45962</v>
      </c>
      <c r="F90" s="60" t="s">
        <v>458</v>
      </c>
      <c r="G90" s="39" t="s">
        <v>441</v>
      </c>
      <c r="I90" s="1">
        <v>82</v>
      </c>
      <c r="J90" s="29" t="s">
        <v>420</v>
      </c>
      <c r="K90" s="162">
        <v>300</v>
      </c>
      <c r="L90" s="119"/>
      <c r="M90" s="229">
        <v>1.33</v>
      </c>
      <c r="N90" s="178">
        <f>Tabela1[[#This Row],[PRECIO
USD]]*Tabela1[[#This Row],[MT/YD]]</f>
        <v>399</v>
      </c>
      <c r="O90" t="s">
        <v>423</v>
      </c>
      <c r="P90" s="124" t="s">
        <v>424</v>
      </c>
      <c r="Q90" t="s">
        <v>425</v>
      </c>
    </row>
    <row r="91" spans="1:18" x14ac:dyDescent="0.35">
      <c r="A91" s="325" t="s">
        <v>379</v>
      </c>
      <c r="B91" s="3" t="s">
        <v>403</v>
      </c>
      <c r="C91" s="25" t="s">
        <v>92</v>
      </c>
      <c r="D91" s="26">
        <v>45950</v>
      </c>
      <c r="E91" s="117">
        <v>45962</v>
      </c>
      <c r="F91" s="60" t="s">
        <v>466</v>
      </c>
      <c r="G91" s="39">
        <v>4700</v>
      </c>
      <c r="I91" s="1">
        <v>82</v>
      </c>
      <c r="J91" s="29" t="s">
        <v>465</v>
      </c>
      <c r="K91" s="162">
        <v>300</v>
      </c>
      <c r="L91" s="119"/>
      <c r="M91" s="229">
        <v>4.03</v>
      </c>
      <c r="N91" s="178">
        <f>Tabela1[[#This Row],[PRECIO
USD]]*Tabela1[[#This Row],[MT/YD]]</f>
        <v>1209</v>
      </c>
      <c r="O91" t="s">
        <v>423</v>
      </c>
      <c r="P91" s="124" t="s">
        <v>424</v>
      </c>
      <c r="Q91" t="s">
        <v>425</v>
      </c>
    </row>
    <row r="92" spans="1:18" x14ac:dyDescent="0.35">
      <c r="A92" s="325" t="s">
        <v>379</v>
      </c>
      <c r="B92" s="3" t="s">
        <v>403</v>
      </c>
      <c r="C92" s="25" t="s">
        <v>92</v>
      </c>
      <c r="D92" s="26">
        <v>45950</v>
      </c>
      <c r="E92" s="117">
        <v>45962</v>
      </c>
      <c r="F92" s="60" t="s">
        <v>467</v>
      </c>
      <c r="G92" s="39">
        <v>4699</v>
      </c>
      <c r="I92" s="1">
        <v>82</v>
      </c>
      <c r="J92" s="29" t="s">
        <v>405</v>
      </c>
      <c r="K92" s="162">
        <v>300</v>
      </c>
      <c r="L92" s="119"/>
      <c r="M92" s="229">
        <v>4.03</v>
      </c>
      <c r="N92" s="178">
        <f>Tabela1[[#This Row],[PRECIO
USD]]*Tabela1[[#This Row],[MT/YD]]</f>
        <v>1209</v>
      </c>
      <c r="O92" t="s">
        <v>423</v>
      </c>
      <c r="P92" s="124" t="s">
        <v>424</v>
      </c>
      <c r="Q92" t="s">
        <v>425</v>
      </c>
    </row>
    <row r="93" spans="1:18" x14ac:dyDescent="0.35">
      <c r="A93" s="325" t="s">
        <v>379</v>
      </c>
      <c r="B93" s="3" t="s">
        <v>403</v>
      </c>
      <c r="C93" s="25" t="s">
        <v>92</v>
      </c>
      <c r="D93" s="26">
        <v>45950</v>
      </c>
      <c r="E93" s="117">
        <v>45962</v>
      </c>
      <c r="F93" s="60" t="s">
        <v>468</v>
      </c>
      <c r="G93" s="39">
        <v>4701</v>
      </c>
      <c r="I93" s="1">
        <v>82</v>
      </c>
      <c r="J93" s="29" t="s">
        <v>421</v>
      </c>
      <c r="K93" s="162">
        <v>300</v>
      </c>
      <c r="L93" s="119"/>
      <c r="M93" s="229">
        <v>4.03</v>
      </c>
      <c r="N93" s="178">
        <f>Tabela1[[#This Row],[PRECIO
USD]]*Tabela1[[#This Row],[MT/YD]]</f>
        <v>1209</v>
      </c>
      <c r="O93" t="s">
        <v>423</v>
      </c>
      <c r="P93" s="124" t="s">
        <v>424</v>
      </c>
      <c r="Q93" t="s">
        <v>425</v>
      </c>
    </row>
    <row r="94" spans="1:18" x14ac:dyDescent="0.35">
      <c r="A94" s="325" t="s">
        <v>379</v>
      </c>
      <c r="B94" s="3" t="s">
        <v>403</v>
      </c>
      <c r="C94" s="25" t="s">
        <v>92</v>
      </c>
      <c r="D94" s="26">
        <v>45950</v>
      </c>
      <c r="E94" s="117">
        <v>45962</v>
      </c>
      <c r="F94" s="60" t="s">
        <v>469</v>
      </c>
      <c r="G94" s="39">
        <v>4702</v>
      </c>
      <c r="I94" s="1">
        <v>82</v>
      </c>
      <c r="J94" s="29" t="s">
        <v>422</v>
      </c>
      <c r="K94" s="162">
        <v>300</v>
      </c>
      <c r="L94" s="119"/>
      <c r="M94" s="227">
        <v>4.0599999999999996</v>
      </c>
      <c r="N94" s="178">
        <f>Tabela1[[#This Row],[PRECIO
USD]]*Tabela1[[#This Row],[MT/YD]]</f>
        <v>1217.9999999999998</v>
      </c>
      <c r="O94" t="s">
        <v>423</v>
      </c>
      <c r="P94" s="124" t="s">
        <v>424</v>
      </c>
      <c r="Q94" t="s">
        <v>425</v>
      </c>
    </row>
    <row r="95" spans="1:18" x14ac:dyDescent="0.35">
      <c r="A95" s="125" t="s">
        <v>472</v>
      </c>
      <c r="B95" s="3" t="s">
        <v>354</v>
      </c>
      <c r="C95" s="25" t="s">
        <v>26</v>
      </c>
      <c r="D95" s="26">
        <v>45965</v>
      </c>
      <c r="E95" s="117">
        <v>45962</v>
      </c>
      <c r="F95" s="60" t="s">
        <v>473</v>
      </c>
      <c r="G95" s="39">
        <v>4525</v>
      </c>
      <c r="I95" s="1">
        <v>85</v>
      </c>
      <c r="J95" s="29" t="s">
        <v>355</v>
      </c>
      <c r="K95" s="162">
        <v>1000</v>
      </c>
      <c r="M95" s="221">
        <v>5.57</v>
      </c>
      <c r="N95" s="178">
        <f>Tabela1[[#This Row],[PRECIO
USD]]*Tabela1[[#This Row],[MT/YD]]</f>
        <v>5570</v>
      </c>
      <c r="O95" t="s">
        <v>117</v>
      </c>
      <c r="P95" t="s">
        <v>8</v>
      </c>
      <c r="Q95" t="s">
        <v>8</v>
      </c>
      <c r="R95" t="s">
        <v>474</v>
      </c>
    </row>
    <row r="96" spans="1:18" x14ac:dyDescent="0.35">
      <c r="A96" s="137">
        <v>17280</v>
      </c>
      <c r="B96" s="3" t="s">
        <v>69</v>
      </c>
      <c r="C96" s="25" t="s">
        <v>38</v>
      </c>
      <c r="D96" s="26">
        <v>45975</v>
      </c>
      <c r="E96" s="117">
        <v>45962</v>
      </c>
      <c r="F96" s="60" t="s">
        <v>492</v>
      </c>
      <c r="G96" s="39">
        <v>4635</v>
      </c>
      <c r="I96" s="1">
        <v>86</v>
      </c>
      <c r="J96" s="29" t="s">
        <v>506</v>
      </c>
      <c r="K96" s="168">
        <v>500</v>
      </c>
      <c r="L96" s="136"/>
      <c r="M96" s="222">
        <v>2.33</v>
      </c>
      <c r="N96" s="76">
        <f>Tabela1[[#This Row],[PRECIO
USD]]*Tabela1[[#This Row],[MT/YD]]</f>
        <v>1165</v>
      </c>
      <c r="O96" t="s">
        <v>117</v>
      </c>
      <c r="P96" t="s">
        <v>8</v>
      </c>
      <c r="Q96" t="s">
        <v>8</v>
      </c>
      <c r="R96" t="s">
        <v>495</v>
      </c>
    </row>
    <row r="97" spans="1:21" x14ac:dyDescent="0.35">
      <c r="A97" s="325" t="s">
        <v>493</v>
      </c>
      <c r="B97" s="3" t="s">
        <v>354</v>
      </c>
      <c r="C97" s="25" t="s">
        <v>26</v>
      </c>
      <c r="D97" s="26">
        <v>45979</v>
      </c>
      <c r="E97" s="117">
        <v>45962</v>
      </c>
      <c r="F97" s="60" t="s">
        <v>1224</v>
      </c>
      <c r="G97" s="251" t="s">
        <v>500</v>
      </c>
      <c r="H97" s="120"/>
      <c r="I97" s="1">
        <v>88</v>
      </c>
      <c r="J97" s="298" t="s">
        <v>494</v>
      </c>
      <c r="K97" s="162">
        <v>1700</v>
      </c>
      <c r="M97" s="221">
        <v>1.63</v>
      </c>
      <c r="N97" s="178">
        <f>Tabela1[[#This Row],[PRECIO
USD]]*Tabela1[[#This Row],[MT/YD]]</f>
        <v>2771</v>
      </c>
      <c r="O97" t="s">
        <v>117</v>
      </c>
      <c r="P97" t="s">
        <v>8</v>
      </c>
      <c r="Q97" t="s">
        <v>8</v>
      </c>
    </row>
    <row r="98" spans="1:21" x14ac:dyDescent="0.35">
      <c r="A98" s="125" t="s">
        <v>496</v>
      </c>
      <c r="B98" s="389" t="s">
        <v>221</v>
      </c>
      <c r="C98" s="25" t="s">
        <v>92</v>
      </c>
      <c r="D98" s="26">
        <v>45980</v>
      </c>
      <c r="E98" s="117">
        <v>45962</v>
      </c>
      <c r="F98" s="68" t="s">
        <v>1227</v>
      </c>
      <c r="G98" s="361" t="s">
        <v>340</v>
      </c>
      <c r="I98" s="1">
        <v>87</v>
      </c>
      <c r="J98" s="29" t="s">
        <v>499</v>
      </c>
      <c r="K98" s="162">
        <v>1200</v>
      </c>
      <c r="M98" s="221">
        <v>2.21</v>
      </c>
      <c r="N98" s="178">
        <f>Tabela1[[#This Row],[PRECIO
USD]]*Tabela1[[#This Row],[MT/YD]]</f>
        <v>2652</v>
      </c>
      <c r="O98" s="91" t="s">
        <v>318</v>
      </c>
      <c r="P98" s="91" t="s">
        <v>318</v>
      </c>
      <c r="Q98" s="91" t="s">
        <v>318</v>
      </c>
    </row>
    <row r="99" spans="1:21" x14ac:dyDescent="0.35">
      <c r="A99" s="125" t="s">
        <v>501</v>
      </c>
      <c r="B99" s="3" t="s">
        <v>354</v>
      </c>
      <c r="C99" s="25" t="s">
        <v>26</v>
      </c>
      <c r="D99" s="26">
        <v>45987</v>
      </c>
      <c r="E99" s="117">
        <v>45992</v>
      </c>
      <c r="F99" s="60" t="s">
        <v>1225</v>
      </c>
      <c r="G99" s="39">
        <v>4759</v>
      </c>
      <c r="I99" s="1">
        <v>89</v>
      </c>
      <c r="J99" s="29" t="s">
        <v>503</v>
      </c>
      <c r="K99" s="162">
        <v>2300</v>
      </c>
      <c r="M99" s="221">
        <v>3.38</v>
      </c>
      <c r="N99" s="178">
        <f>Tabela1[[#This Row],[PRECIO
USD]]*Tabela1[[#This Row],[MT/YD]]</f>
        <v>7774</v>
      </c>
      <c r="O99" t="s">
        <v>117</v>
      </c>
      <c r="P99" t="s">
        <v>8</v>
      </c>
      <c r="Q99" t="s">
        <v>8</v>
      </c>
      <c r="R99" t="s">
        <v>505</v>
      </c>
    </row>
    <row r="100" spans="1:21" x14ac:dyDescent="0.35">
      <c r="A100" s="125" t="s">
        <v>501</v>
      </c>
      <c r="B100" s="3" t="s">
        <v>354</v>
      </c>
      <c r="C100" s="25" t="s">
        <v>26</v>
      </c>
      <c r="D100" s="26">
        <v>45987</v>
      </c>
      <c r="E100" s="117">
        <v>45992</v>
      </c>
      <c r="F100" s="60" t="s">
        <v>1226</v>
      </c>
      <c r="G100" s="39">
        <v>4762</v>
      </c>
      <c r="I100" s="1">
        <v>89</v>
      </c>
      <c r="J100" s="29" t="s">
        <v>504</v>
      </c>
      <c r="K100" s="162">
        <v>1700</v>
      </c>
      <c r="M100" s="221">
        <v>2.75</v>
      </c>
      <c r="N100" s="178">
        <f>Tabela1[[#This Row],[PRECIO
USD]]*Tabela1[[#This Row],[MT/YD]]</f>
        <v>4675</v>
      </c>
      <c r="O100" t="s">
        <v>117</v>
      </c>
      <c r="P100" t="s">
        <v>8</v>
      </c>
      <c r="Q100" t="s">
        <v>8</v>
      </c>
      <c r="R100" t="s">
        <v>505</v>
      </c>
    </row>
    <row r="101" spans="1:21" ht="15.75" customHeight="1" x14ac:dyDescent="0.35">
      <c r="A101" s="137">
        <v>17368</v>
      </c>
      <c r="B101" s="3" t="s">
        <v>69</v>
      </c>
      <c r="C101" s="139" t="s">
        <v>38</v>
      </c>
      <c r="D101" s="26">
        <v>45996</v>
      </c>
      <c r="E101" s="117">
        <v>45992</v>
      </c>
      <c r="F101" s="60" t="s">
        <v>492</v>
      </c>
      <c r="G101" s="39">
        <v>4635</v>
      </c>
      <c r="I101" s="1">
        <v>90</v>
      </c>
      <c r="J101" s="29" t="s">
        <v>509</v>
      </c>
      <c r="K101" s="162">
        <v>15000</v>
      </c>
      <c r="M101" s="222">
        <v>2.33</v>
      </c>
      <c r="N101" s="188">
        <f>Tabela1[[#This Row],[PRECIO
USD]]*Tabela1[[#This Row],[MT/YD]]</f>
        <v>34950</v>
      </c>
      <c r="O101" s="91" t="s">
        <v>318</v>
      </c>
      <c r="P101" t="s">
        <v>8</v>
      </c>
      <c r="Q101" t="s">
        <v>8</v>
      </c>
    </row>
    <row r="102" spans="1:21" x14ac:dyDescent="0.35">
      <c r="A102" s="125" t="s">
        <v>512</v>
      </c>
      <c r="B102" s="3" t="s">
        <v>234</v>
      </c>
      <c r="C102" s="25" t="s">
        <v>21</v>
      </c>
      <c r="D102" s="26">
        <v>46006</v>
      </c>
      <c r="E102" s="117">
        <v>45992</v>
      </c>
      <c r="F102" s="376" t="s">
        <v>1256</v>
      </c>
      <c r="G102" s="251" t="s">
        <v>237</v>
      </c>
      <c r="I102" s="1">
        <v>91</v>
      </c>
      <c r="J102" s="29" t="s">
        <v>238</v>
      </c>
      <c r="K102" s="162">
        <v>5000</v>
      </c>
      <c r="M102" s="228">
        <v>1.58</v>
      </c>
      <c r="N102" s="178">
        <f>Tabela1[[#This Row],[PRECIO
USD]]*Tabela1[[#This Row],[MT/YD]]</f>
        <v>7900</v>
      </c>
      <c r="O102" t="s">
        <v>75</v>
      </c>
      <c r="P102" t="s">
        <v>8</v>
      </c>
      <c r="Q102" t="s">
        <v>8</v>
      </c>
      <c r="R102" t="s">
        <v>294</v>
      </c>
    </row>
    <row r="103" spans="1:21" x14ac:dyDescent="0.35">
      <c r="A103" s="125" t="s">
        <v>512</v>
      </c>
      <c r="B103" s="3" t="s">
        <v>234</v>
      </c>
      <c r="C103" s="25" t="s">
        <v>21</v>
      </c>
      <c r="D103" s="26">
        <v>46006</v>
      </c>
      <c r="E103" s="117">
        <v>45992</v>
      </c>
      <c r="F103" s="376" t="s">
        <v>239</v>
      </c>
      <c r="G103" s="251" t="s">
        <v>240</v>
      </c>
      <c r="I103" s="1">
        <v>91</v>
      </c>
      <c r="J103" s="29" t="s">
        <v>241</v>
      </c>
      <c r="K103" s="162">
        <v>5000</v>
      </c>
      <c r="M103" s="228">
        <v>1.6</v>
      </c>
      <c r="N103" s="178">
        <f>Tabela1[[#This Row],[PRECIO
USD]]*Tabela1[[#This Row],[MT/YD]]</f>
        <v>8000</v>
      </c>
      <c r="O103" t="s">
        <v>75</v>
      </c>
      <c r="P103" t="s">
        <v>8</v>
      </c>
      <c r="Q103" t="s">
        <v>8</v>
      </c>
    </row>
    <row r="104" spans="1:21" x14ac:dyDescent="0.35">
      <c r="A104" s="125" t="s">
        <v>512</v>
      </c>
      <c r="B104" s="3" t="s">
        <v>234</v>
      </c>
      <c r="C104" s="25" t="s">
        <v>21</v>
      </c>
      <c r="D104" s="26">
        <v>46006</v>
      </c>
      <c r="E104" s="117">
        <v>45992</v>
      </c>
      <c r="F104" s="375" t="s">
        <v>1068</v>
      </c>
      <c r="G104" s="251" t="s">
        <v>242</v>
      </c>
      <c r="I104" s="1">
        <v>91</v>
      </c>
      <c r="J104" s="29" t="s">
        <v>243</v>
      </c>
      <c r="K104" s="162">
        <v>5000</v>
      </c>
      <c r="M104" s="228">
        <v>1.65</v>
      </c>
      <c r="N104" s="178">
        <f>Tabela1[[#This Row],[PRECIO
USD]]*Tabela1[[#This Row],[MT/YD]]</f>
        <v>8250</v>
      </c>
      <c r="O104" t="s">
        <v>75</v>
      </c>
      <c r="P104" t="s">
        <v>8</v>
      </c>
      <c r="Q104" t="s">
        <v>8</v>
      </c>
    </row>
    <row r="105" spans="1:21" x14ac:dyDescent="0.35">
      <c r="A105" s="125" t="s">
        <v>516</v>
      </c>
      <c r="B105" s="389" t="s">
        <v>221</v>
      </c>
      <c r="C105" s="25" t="s">
        <v>92</v>
      </c>
      <c r="D105" s="26">
        <v>46378</v>
      </c>
      <c r="E105" s="140" t="s">
        <v>514</v>
      </c>
      <c r="F105" s="68" t="s">
        <v>1227</v>
      </c>
      <c r="G105" s="361" t="s">
        <v>340</v>
      </c>
      <c r="I105" s="1">
        <v>92</v>
      </c>
      <c r="J105" s="29" t="s">
        <v>499</v>
      </c>
      <c r="K105" s="162">
        <v>1200</v>
      </c>
      <c r="M105" s="221">
        <v>2.21</v>
      </c>
      <c r="N105" s="178">
        <f>Tabela1[[#This Row],[PRECIO
USD]]*Tabela1[[#This Row],[MT/YD]]</f>
        <v>2652</v>
      </c>
      <c r="O105" t="s">
        <v>75</v>
      </c>
      <c r="P105" t="s">
        <v>8</v>
      </c>
      <c r="Q105" t="s">
        <v>8</v>
      </c>
      <c r="S105" s="146"/>
    </row>
    <row r="106" spans="1:21" x14ac:dyDescent="0.35">
      <c r="A106" s="173" t="s">
        <v>513</v>
      </c>
      <c r="B106" s="3" t="s">
        <v>109</v>
      </c>
      <c r="C106" s="25" t="s">
        <v>92</v>
      </c>
      <c r="D106" s="26">
        <v>46009</v>
      </c>
      <c r="E106" s="140" t="s">
        <v>514</v>
      </c>
      <c r="F106" s="60" t="s">
        <v>518</v>
      </c>
      <c r="G106" s="39">
        <v>4673</v>
      </c>
      <c r="I106" s="51">
        <v>93</v>
      </c>
      <c r="J106" s="29" t="s">
        <v>550</v>
      </c>
      <c r="K106" s="169">
        <v>1400</v>
      </c>
      <c r="M106" s="223">
        <v>1.63</v>
      </c>
      <c r="N106" s="178">
        <f>Tabela1[[#This Row],[PRECIO
USD]]*Tabela1[[#This Row],[MT/YD]]</f>
        <v>2282</v>
      </c>
      <c r="R106" t="s">
        <v>294</v>
      </c>
      <c r="S106" s="146"/>
      <c r="T106" t="s">
        <v>1164</v>
      </c>
      <c r="U106" s="138">
        <v>46253</v>
      </c>
    </row>
    <row r="107" spans="1:21" x14ac:dyDescent="0.35">
      <c r="A107" s="173" t="s">
        <v>513</v>
      </c>
      <c r="B107" s="3" t="s">
        <v>109</v>
      </c>
      <c r="C107" s="25" t="s">
        <v>92</v>
      </c>
      <c r="D107" s="26">
        <v>46009</v>
      </c>
      <c r="E107" s="212" t="s">
        <v>514</v>
      </c>
      <c r="F107" s="60" t="s">
        <v>519</v>
      </c>
      <c r="G107" s="39">
        <v>4547</v>
      </c>
      <c r="H107" s="15" t="s">
        <v>812</v>
      </c>
      <c r="I107" s="51">
        <v>93</v>
      </c>
      <c r="J107" s="29" t="s">
        <v>556</v>
      </c>
      <c r="K107" s="191">
        <v>600</v>
      </c>
      <c r="M107" s="223">
        <v>1.66</v>
      </c>
      <c r="N107" s="178">
        <f>Tabela1[[#This Row],[PRECIO
USD]]*Tabela1[[#This Row],[MT/YD]]</f>
        <v>996</v>
      </c>
      <c r="S107" s="209">
        <v>46127</v>
      </c>
      <c r="T107" t="s">
        <v>1164</v>
      </c>
      <c r="U107" s="138">
        <v>46253</v>
      </c>
    </row>
    <row r="108" spans="1:21" x14ac:dyDescent="0.35">
      <c r="A108" s="173" t="s">
        <v>513</v>
      </c>
      <c r="B108" s="3" t="s">
        <v>109</v>
      </c>
      <c r="C108" s="25" t="s">
        <v>92</v>
      </c>
      <c r="D108" s="26">
        <v>46009</v>
      </c>
      <c r="E108" s="212" t="s">
        <v>514</v>
      </c>
      <c r="F108" s="60" t="s">
        <v>738</v>
      </c>
      <c r="G108" s="358">
        <v>4660</v>
      </c>
      <c r="I108" s="51">
        <v>93</v>
      </c>
      <c r="J108" s="29" t="s">
        <v>737</v>
      </c>
      <c r="K108" s="169">
        <v>1800</v>
      </c>
      <c r="M108" s="228">
        <v>1.81</v>
      </c>
      <c r="N108" s="178">
        <f>Tabela1[[#This Row],[PRECIO
USD]]*Tabela1[[#This Row],[MT/YD]]</f>
        <v>3258</v>
      </c>
      <c r="T108" t="s">
        <v>1164</v>
      </c>
      <c r="U108" s="138">
        <v>46253</v>
      </c>
    </row>
    <row r="109" spans="1:21" x14ac:dyDescent="0.35">
      <c r="A109" s="173" t="s">
        <v>513</v>
      </c>
      <c r="B109" s="3" t="s">
        <v>109</v>
      </c>
      <c r="C109" s="25" t="s">
        <v>92</v>
      </c>
      <c r="D109" s="26">
        <v>46009</v>
      </c>
      <c r="E109" s="212" t="s">
        <v>514</v>
      </c>
      <c r="F109" s="157" t="s">
        <v>546</v>
      </c>
      <c r="G109" s="362">
        <v>4727</v>
      </c>
      <c r="I109" s="154">
        <v>93</v>
      </c>
      <c r="J109" s="29" t="s">
        <v>554</v>
      </c>
      <c r="K109" s="169">
        <v>200</v>
      </c>
      <c r="M109" s="228">
        <v>1.67</v>
      </c>
      <c r="N109" s="178">
        <f>Tabela1[[#This Row],[PRECIO
USD]]*Tabela1[[#This Row],[MT/YD]]</f>
        <v>334</v>
      </c>
      <c r="R109" s="151" t="s">
        <v>565</v>
      </c>
      <c r="T109" t="s">
        <v>1164</v>
      </c>
      <c r="U109" s="138">
        <v>46253</v>
      </c>
    </row>
    <row r="110" spans="1:21" x14ac:dyDescent="0.35">
      <c r="A110" s="173" t="s">
        <v>513</v>
      </c>
      <c r="B110" s="3" t="s">
        <v>109</v>
      </c>
      <c r="C110" s="25" t="s">
        <v>92</v>
      </c>
      <c r="D110" s="26">
        <v>46009</v>
      </c>
      <c r="E110" s="212" t="s">
        <v>514</v>
      </c>
      <c r="F110" s="60" t="s">
        <v>547</v>
      </c>
      <c r="G110" s="39">
        <v>4669</v>
      </c>
      <c r="I110" s="51">
        <v>93</v>
      </c>
      <c r="J110" s="29" t="s">
        <v>557</v>
      </c>
      <c r="K110" s="169">
        <v>500</v>
      </c>
      <c r="M110" s="223">
        <v>5.09</v>
      </c>
      <c r="N110" s="178">
        <f>Tabela1[[#This Row],[PRECIO
USD]]*Tabela1[[#This Row],[MT/YD]]</f>
        <v>2545</v>
      </c>
      <c r="R110" t="s">
        <v>294</v>
      </c>
      <c r="T110" t="s">
        <v>1164</v>
      </c>
      <c r="U110" s="138">
        <v>46253</v>
      </c>
    </row>
    <row r="111" spans="1:21" x14ac:dyDescent="0.35">
      <c r="A111" s="173" t="s">
        <v>513</v>
      </c>
      <c r="B111" s="3" t="s">
        <v>109</v>
      </c>
      <c r="C111" s="25" t="s">
        <v>92</v>
      </c>
      <c r="D111" s="26">
        <v>46009</v>
      </c>
      <c r="E111" s="212" t="s">
        <v>514</v>
      </c>
      <c r="F111" s="60" t="s">
        <v>548</v>
      </c>
      <c r="G111" s="39">
        <v>4638</v>
      </c>
      <c r="I111" s="51">
        <v>93</v>
      </c>
      <c r="J111" s="29" t="s">
        <v>555</v>
      </c>
      <c r="K111" s="169">
        <v>2500</v>
      </c>
      <c r="M111" s="223">
        <v>1.58</v>
      </c>
      <c r="N111" s="178">
        <f>Tabela1[[#This Row],[PRECIO
USD]]*Tabela1[[#This Row],[MT/YD]]</f>
        <v>3950</v>
      </c>
      <c r="R111" t="s">
        <v>294</v>
      </c>
      <c r="T111" t="s">
        <v>1164</v>
      </c>
      <c r="U111" s="138">
        <v>46253</v>
      </c>
    </row>
    <row r="112" spans="1:21" x14ac:dyDescent="0.35">
      <c r="A112" s="173" t="s">
        <v>513</v>
      </c>
      <c r="B112" s="3" t="s">
        <v>109</v>
      </c>
      <c r="C112" s="25" t="s">
        <v>92</v>
      </c>
      <c r="D112" s="26">
        <v>46009</v>
      </c>
      <c r="E112" s="212" t="s">
        <v>514</v>
      </c>
      <c r="F112" s="157" t="s">
        <v>598</v>
      </c>
      <c r="G112" s="362">
        <v>4820</v>
      </c>
      <c r="I112" s="154">
        <v>93</v>
      </c>
      <c r="J112" s="29" t="s">
        <v>551</v>
      </c>
      <c r="K112" s="169">
        <v>2700</v>
      </c>
      <c r="M112" s="228">
        <v>1.65</v>
      </c>
      <c r="N112" s="178">
        <f>Tabela1[[#This Row],[PRECIO
USD]]*Tabela1[[#This Row],[MT/YD]]</f>
        <v>4455</v>
      </c>
      <c r="R112" s="151" t="s">
        <v>566</v>
      </c>
      <c r="T112" t="s">
        <v>1164</v>
      </c>
      <c r="U112" s="138">
        <v>46253</v>
      </c>
    </row>
    <row r="113" spans="1:21" x14ac:dyDescent="0.35">
      <c r="A113" s="173" t="s">
        <v>513</v>
      </c>
      <c r="B113" s="3" t="s">
        <v>109</v>
      </c>
      <c r="C113" s="25" t="s">
        <v>92</v>
      </c>
      <c r="D113" s="26">
        <v>46009</v>
      </c>
      <c r="E113" s="212" t="s">
        <v>514</v>
      </c>
      <c r="F113" s="111" t="s">
        <v>520</v>
      </c>
      <c r="G113" s="363" t="s">
        <v>866</v>
      </c>
      <c r="I113" s="51">
        <v>93</v>
      </c>
      <c r="J113" s="29" t="s">
        <v>865</v>
      </c>
      <c r="K113" s="169">
        <v>400</v>
      </c>
      <c r="M113" s="223">
        <v>1.71</v>
      </c>
      <c r="N113" s="178">
        <f>Tabela1[[#This Row],[PRECIO
USD]]*Tabela1[[#This Row],[MT/YD]]</f>
        <v>684</v>
      </c>
      <c r="R113" t="s">
        <v>294</v>
      </c>
      <c r="T113" t="s">
        <v>1164</v>
      </c>
      <c r="U113" s="138">
        <v>46253</v>
      </c>
    </row>
    <row r="114" spans="1:21" x14ac:dyDescent="0.35">
      <c r="A114" s="173" t="s">
        <v>513</v>
      </c>
      <c r="B114" s="3" t="s">
        <v>109</v>
      </c>
      <c r="C114" s="25" t="s">
        <v>92</v>
      </c>
      <c r="D114" s="26">
        <v>46009</v>
      </c>
      <c r="E114" s="212" t="s">
        <v>514</v>
      </c>
      <c r="F114" s="60" t="s">
        <v>521</v>
      </c>
      <c r="G114" s="39">
        <v>4671</v>
      </c>
      <c r="I114" s="51">
        <v>93</v>
      </c>
      <c r="J114" s="29" t="s">
        <v>552</v>
      </c>
      <c r="K114" s="169">
        <v>700</v>
      </c>
      <c r="M114" s="223">
        <v>1.61</v>
      </c>
      <c r="N114" s="178">
        <f>Tabela1[[#This Row],[PRECIO
USD]]*Tabela1[[#This Row],[MT/YD]]</f>
        <v>1127</v>
      </c>
      <c r="R114" t="s">
        <v>294</v>
      </c>
      <c r="T114" t="s">
        <v>1164</v>
      </c>
      <c r="U114" s="138">
        <v>46253</v>
      </c>
    </row>
    <row r="115" spans="1:21" x14ac:dyDescent="0.35">
      <c r="A115" s="173" t="s">
        <v>513</v>
      </c>
      <c r="B115" s="3" t="s">
        <v>109</v>
      </c>
      <c r="C115" s="25" t="s">
        <v>92</v>
      </c>
      <c r="D115" s="26">
        <v>46009</v>
      </c>
      <c r="E115" s="212" t="s">
        <v>514</v>
      </c>
      <c r="F115" s="60" t="s">
        <v>522</v>
      </c>
      <c r="G115" s="39">
        <v>4658</v>
      </c>
      <c r="I115" s="51">
        <v>93</v>
      </c>
      <c r="J115" s="29" t="s">
        <v>553</v>
      </c>
      <c r="K115" s="169">
        <v>800</v>
      </c>
      <c r="M115" s="223">
        <v>1.64</v>
      </c>
      <c r="N115" s="178">
        <f>Tabela1[[#This Row],[PRECIO
USD]]*Tabela1[[#This Row],[MT/YD]]</f>
        <v>1312</v>
      </c>
      <c r="R115" t="s">
        <v>294</v>
      </c>
      <c r="T115" t="s">
        <v>1164</v>
      </c>
      <c r="U115" s="138">
        <v>46253</v>
      </c>
    </row>
    <row r="116" spans="1:21" x14ac:dyDescent="0.35">
      <c r="A116" s="173" t="s">
        <v>513</v>
      </c>
      <c r="B116" s="3" t="s">
        <v>109</v>
      </c>
      <c r="C116" s="25" t="s">
        <v>92</v>
      </c>
      <c r="D116" s="26">
        <v>46009</v>
      </c>
      <c r="E116" s="212" t="s">
        <v>514</v>
      </c>
      <c r="F116" s="60" t="s">
        <v>549</v>
      </c>
      <c r="G116" s="39">
        <v>4663</v>
      </c>
      <c r="I116" s="51">
        <v>93</v>
      </c>
      <c r="J116" s="29" t="s">
        <v>558</v>
      </c>
      <c r="K116" s="169">
        <v>2000</v>
      </c>
      <c r="M116" s="223">
        <v>1.78</v>
      </c>
      <c r="N116" s="178">
        <f>Tabela1[[#This Row],[PRECIO
USD]]*Tabela1[[#This Row],[MT/YD]]</f>
        <v>3560</v>
      </c>
      <c r="R116" t="s">
        <v>294</v>
      </c>
      <c r="T116" t="s">
        <v>1164</v>
      </c>
      <c r="U116" s="138">
        <v>46253</v>
      </c>
    </row>
    <row r="117" spans="1:21" x14ac:dyDescent="0.35">
      <c r="A117" s="141" t="s">
        <v>524</v>
      </c>
      <c r="B117" s="3" t="s">
        <v>403</v>
      </c>
      <c r="C117" s="25" t="s">
        <v>92</v>
      </c>
      <c r="D117" s="26">
        <v>46035</v>
      </c>
      <c r="E117" s="140" t="s">
        <v>514</v>
      </c>
      <c r="F117" s="68" t="s">
        <v>525</v>
      </c>
      <c r="G117" s="39" t="s">
        <v>426</v>
      </c>
      <c r="I117" s="160">
        <v>96</v>
      </c>
      <c r="J117" s="29" t="s">
        <v>575</v>
      </c>
      <c r="K117" s="162">
        <v>450</v>
      </c>
      <c r="L117" s="119">
        <v>150</v>
      </c>
      <c r="M117" s="229">
        <v>1.25</v>
      </c>
      <c r="N117" s="178">
        <f>Tabela1[[#This Row],[PRECIO
USD]]*Tabela1[[#This Row],[MT/YD]]</f>
        <v>562.5</v>
      </c>
    </row>
    <row r="118" spans="1:21" x14ac:dyDescent="0.35">
      <c r="A118" s="141" t="s">
        <v>524</v>
      </c>
      <c r="B118" s="3" t="s">
        <v>403</v>
      </c>
      <c r="C118" s="25" t="s">
        <v>92</v>
      </c>
      <c r="D118" s="26">
        <v>46035</v>
      </c>
      <c r="E118" s="140" t="s">
        <v>514</v>
      </c>
      <c r="F118" s="68" t="s">
        <v>526</v>
      </c>
      <c r="G118" s="39" t="s">
        <v>427</v>
      </c>
      <c r="I118" s="160">
        <v>96</v>
      </c>
      <c r="J118" s="29" t="s">
        <v>576</v>
      </c>
      <c r="K118" s="162">
        <v>450</v>
      </c>
      <c r="L118" s="119">
        <v>150</v>
      </c>
      <c r="M118" s="229">
        <v>1.25</v>
      </c>
      <c r="N118" s="178">
        <f>Tabela1[[#This Row],[PRECIO
USD]]*Tabela1[[#This Row],[MT/YD]]</f>
        <v>562.5</v>
      </c>
    </row>
    <row r="119" spans="1:21" x14ac:dyDescent="0.35">
      <c r="A119" s="141" t="s">
        <v>524</v>
      </c>
      <c r="B119" s="3" t="s">
        <v>403</v>
      </c>
      <c r="C119" s="25" t="s">
        <v>92</v>
      </c>
      <c r="D119" s="26">
        <v>46035</v>
      </c>
      <c r="E119" s="140" t="s">
        <v>514</v>
      </c>
      <c r="F119" s="68" t="s">
        <v>527</v>
      </c>
      <c r="G119" s="39" t="s">
        <v>428</v>
      </c>
      <c r="I119" s="160">
        <v>96</v>
      </c>
      <c r="J119" s="29" t="s">
        <v>577</v>
      </c>
      <c r="K119" s="162">
        <v>450</v>
      </c>
      <c r="L119" s="119">
        <v>150</v>
      </c>
      <c r="M119" s="229">
        <v>1.25</v>
      </c>
      <c r="N119" s="178">
        <f>Tabela1[[#This Row],[PRECIO
USD]]*Tabela1[[#This Row],[MT/YD]]</f>
        <v>562.5</v>
      </c>
    </row>
    <row r="120" spans="1:21" x14ac:dyDescent="0.35">
      <c r="A120" s="141" t="s">
        <v>524</v>
      </c>
      <c r="B120" s="3" t="s">
        <v>403</v>
      </c>
      <c r="C120" s="25" t="s">
        <v>92</v>
      </c>
      <c r="D120" s="26">
        <v>46035</v>
      </c>
      <c r="E120" s="140" t="s">
        <v>514</v>
      </c>
      <c r="F120" s="68" t="s">
        <v>528</v>
      </c>
      <c r="G120" s="39" t="s">
        <v>429</v>
      </c>
      <c r="I120" s="160">
        <v>96</v>
      </c>
      <c r="J120" s="29" t="s">
        <v>578</v>
      </c>
      <c r="K120" s="162">
        <v>450</v>
      </c>
      <c r="L120" s="119">
        <v>150</v>
      </c>
      <c r="M120" s="229">
        <v>1.25</v>
      </c>
      <c r="N120" s="178">
        <f>Tabela1[[#This Row],[PRECIO
USD]]*Tabela1[[#This Row],[MT/YD]]</f>
        <v>562.5</v>
      </c>
    </row>
    <row r="121" spans="1:21" x14ac:dyDescent="0.35">
      <c r="A121" s="141" t="s">
        <v>524</v>
      </c>
      <c r="B121" s="3" t="s">
        <v>403</v>
      </c>
      <c r="C121" s="25" t="s">
        <v>92</v>
      </c>
      <c r="D121" s="26">
        <v>46035</v>
      </c>
      <c r="E121" s="140" t="s">
        <v>514</v>
      </c>
      <c r="F121" s="68" t="s">
        <v>529</v>
      </c>
      <c r="G121" s="39">
        <v>3927</v>
      </c>
      <c r="I121" s="160">
        <v>96</v>
      </c>
      <c r="J121" s="29" t="s">
        <v>579</v>
      </c>
      <c r="K121" s="162">
        <v>450</v>
      </c>
      <c r="L121" s="119">
        <v>150</v>
      </c>
      <c r="M121" s="229">
        <v>1.33</v>
      </c>
      <c r="N121" s="178">
        <f>Tabela1[[#This Row],[PRECIO
USD]]*Tabela1[[#This Row],[MT/YD]]</f>
        <v>598.5</v>
      </c>
    </row>
    <row r="122" spans="1:21" x14ac:dyDescent="0.35">
      <c r="A122" s="141" t="s">
        <v>524</v>
      </c>
      <c r="B122" s="3" t="s">
        <v>403</v>
      </c>
      <c r="C122" s="25" t="s">
        <v>92</v>
      </c>
      <c r="D122" s="26">
        <v>46035</v>
      </c>
      <c r="E122" s="140" t="s">
        <v>514</v>
      </c>
      <c r="F122" s="104" t="s">
        <v>592</v>
      </c>
      <c r="G122" s="363">
        <v>3922</v>
      </c>
      <c r="I122" s="51">
        <v>96</v>
      </c>
      <c r="J122" s="29" t="s">
        <v>580</v>
      </c>
      <c r="K122" s="162">
        <v>450</v>
      </c>
      <c r="L122" s="119">
        <v>150</v>
      </c>
      <c r="M122" s="229">
        <v>1.33</v>
      </c>
      <c r="N122" s="178">
        <f>Tabela1[[#This Row],[PRECIO
USD]]*Tabela1[[#This Row],[MT/YD]]</f>
        <v>598.5</v>
      </c>
      <c r="R122" s="56" t="s">
        <v>597</v>
      </c>
    </row>
    <row r="123" spans="1:21" x14ac:dyDescent="0.35">
      <c r="A123" s="141" t="s">
        <v>524</v>
      </c>
      <c r="B123" s="3" t="s">
        <v>403</v>
      </c>
      <c r="C123" s="25" t="s">
        <v>92</v>
      </c>
      <c r="D123" s="26">
        <v>46035</v>
      </c>
      <c r="E123" s="140" t="s">
        <v>514</v>
      </c>
      <c r="F123" s="104" t="s">
        <v>593</v>
      </c>
      <c r="G123" s="363" t="s">
        <v>431</v>
      </c>
      <c r="I123" s="51">
        <v>96</v>
      </c>
      <c r="J123" s="29" t="s">
        <v>581</v>
      </c>
      <c r="K123" s="162">
        <v>450</v>
      </c>
      <c r="L123" s="119">
        <v>150</v>
      </c>
      <c r="M123" s="229">
        <v>1.25</v>
      </c>
      <c r="N123" s="178">
        <f>Tabela1[[#This Row],[PRECIO
USD]]*Tabela1[[#This Row],[MT/YD]]</f>
        <v>562.5</v>
      </c>
      <c r="R123" s="56" t="s">
        <v>597</v>
      </c>
    </row>
    <row r="124" spans="1:21" x14ac:dyDescent="0.35">
      <c r="A124" s="141" t="s">
        <v>524</v>
      </c>
      <c r="B124" s="3" t="s">
        <v>403</v>
      </c>
      <c r="C124" s="25" t="s">
        <v>92</v>
      </c>
      <c r="D124" s="26">
        <v>46035</v>
      </c>
      <c r="E124" s="140" t="s">
        <v>514</v>
      </c>
      <c r="F124" s="68" t="s">
        <v>530</v>
      </c>
      <c r="G124" s="39" t="s">
        <v>432</v>
      </c>
      <c r="I124" s="160">
        <v>96</v>
      </c>
      <c r="J124" s="29" t="s">
        <v>582</v>
      </c>
      <c r="K124" s="162">
        <v>450</v>
      </c>
      <c r="L124" s="119">
        <v>150</v>
      </c>
      <c r="M124" s="229">
        <v>1.33</v>
      </c>
      <c r="N124" s="178">
        <f>Tabela1[[#This Row],[PRECIO
USD]]*Tabela1[[#This Row],[MT/YD]]</f>
        <v>598.5</v>
      </c>
    </row>
    <row r="125" spans="1:21" x14ac:dyDescent="0.35">
      <c r="A125" s="141" t="s">
        <v>524</v>
      </c>
      <c r="B125" s="3" t="s">
        <v>403</v>
      </c>
      <c r="C125" s="25" t="s">
        <v>92</v>
      </c>
      <c r="D125" s="26">
        <v>46035</v>
      </c>
      <c r="E125" s="140" t="s">
        <v>514</v>
      </c>
      <c r="F125" s="68" t="s">
        <v>531</v>
      </c>
      <c r="G125" s="39" t="s">
        <v>433</v>
      </c>
      <c r="I125" s="160">
        <v>96</v>
      </c>
      <c r="J125" s="29" t="s">
        <v>583</v>
      </c>
      <c r="K125" s="162">
        <v>450</v>
      </c>
      <c r="L125" s="119">
        <v>150</v>
      </c>
      <c r="M125" s="229">
        <v>1.33</v>
      </c>
      <c r="N125" s="178">
        <f>Tabela1[[#This Row],[PRECIO
USD]]*Tabela1[[#This Row],[MT/YD]]</f>
        <v>598.5</v>
      </c>
    </row>
    <row r="126" spans="1:21" x14ac:dyDescent="0.35">
      <c r="A126" s="141" t="s">
        <v>524</v>
      </c>
      <c r="B126" s="3" t="s">
        <v>403</v>
      </c>
      <c r="C126" s="25" t="s">
        <v>92</v>
      </c>
      <c r="D126" s="26">
        <v>46035</v>
      </c>
      <c r="E126" s="140" t="s">
        <v>514</v>
      </c>
      <c r="F126" s="104" t="s">
        <v>594</v>
      </c>
      <c r="G126" s="363" t="s">
        <v>434</v>
      </c>
      <c r="I126" s="51">
        <v>96</v>
      </c>
      <c r="J126" s="29" t="s">
        <v>584</v>
      </c>
      <c r="K126" s="162">
        <v>450</v>
      </c>
      <c r="L126" s="119">
        <v>150</v>
      </c>
      <c r="M126" s="229">
        <v>1.33</v>
      </c>
      <c r="N126" s="178">
        <f>Tabela1[[#This Row],[PRECIO
USD]]*Tabela1[[#This Row],[MT/YD]]</f>
        <v>598.5</v>
      </c>
      <c r="R126" s="56" t="s">
        <v>597</v>
      </c>
    </row>
    <row r="127" spans="1:21" x14ac:dyDescent="0.35">
      <c r="A127" s="141" t="s">
        <v>524</v>
      </c>
      <c r="B127" s="3" t="s">
        <v>403</v>
      </c>
      <c r="C127" s="25" t="s">
        <v>92</v>
      </c>
      <c r="D127" s="26">
        <v>46035</v>
      </c>
      <c r="E127" s="140" t="s">
        <v>514</v>
      </c>
      <c r="F127" s="104" t="s">
        <v>595</v>
      </c>
      <c r="G127" s="363" t="s">
        <v>435</v>
      </c>
      <c r="I127" s="51">
        <v>96</v>
      </c>
      <c r="J127" s="29" t="s">
        <v>585</v>
      </c>
      <c r="K127" s="162">
        <v>450</v>
      </c>
      <c r="L127" s="119">
        <v>150</v>
      </c>
      <c r="M127" s="229">
        <v>1.33</v>
      </c>
      <c r="N127" s="178">
        <f>Tabela1[[#This Row],[PRECIO
USD]]*Tabela1[[#This Row],[MT/YD]]</f>
        <v>598.5</v>
      </c>
      <c r="R127" s="56" t="s">
        <v>597</v>
      </c>
    </row>
    <row r="128" spans="1:21" x14ac:dyDescent="0.35">
      <c r="A128" s="141" t="s">
        <v>524</v>
      </c>
      <c r="B128" s="3" t="s">
        <v>403</v>
      </c>
      <c r="C128" s="25" t="s">
        <v>92</v>
      </c>
      <c r="D128" s="26">
        <v>46035</v>
      </c>
      <c r="E128" s="140" t="s">
        <v>514</v>
      </c>
      <c r="F128" s="68" t="s">
        <v>532</v>
      </c>
      <c r="G128" s="39" t="s">
        <v>436</v>
      </c>
      <c r="I128" s="160">
        <v>96</v>
      </c>
      <c r="J128" s="29" t="s">
        <v>586</v>
      </c>
      <c r="K128" s="162">
        <v>450</v>
      </c>
      <c r="L128" s="119">
        <v>150</v>
      </c>
      <c r="M128" s="229">
        <v>1.33</v>
      </c>
      <c r="N128" s="178">
        <f>Tabela1[[#This Row],[PRECIO
USD]]*Tabela1[[#This Row],[MT/YD]]</f>
        <v>598.5</v>
      </c>
    </row>
    <row r="129" spans="1:19" x14ac:dyDescent="0.35">
      <c r="A129" s="141" t="s">
        <v>524</v>
      </c>
      <c r="B129" s="3" t="s">
        <v>403</v>
      </c>
      <c r="C129" s="25" t="s">
        <v>92</v>
      </c>
      <c r="D129" s="26">
        <v>46035</v>
      </c>
      <c r="E129" s="140" t="s">
        <v>514</v>
      </c>
      <c r="F129" s="68" t="s">
        <v>533</v>
      </c>
      <c r="G129" s="39" t="s">
        <v>437</v>
      </c>
      <c r="I129" s="160">
        <v>96</v>
      </c>
      <c r="J129" s="29" t="s">
        <v>587</v>
      </c>
      <c r="K129" s="162">
        <v>450</v>
      </c>
      <c r="L129" s="119">
        <v>150</v>
      </c>
      <c r="M129" s="229">
        <v>1.33</v>
      </c>
      <c r="N129" s="178">
        <f>Tabela1[[#This Row],[PRECIO
USD]]*Tabela1[[#This Row],[MT/YD]]</f>
        <v>598.5</v>
      </c>
    </row>
    <row r="130" spans="1:19" x14ac:dyDescent="0.35">
      <c r="A130" s="141" t="s">
        <v>524</v>
      </c>
      <c r="B130" s="3" t="s">
        <v>403</v>
      </c>
      <c r="C130" s="25" t="s">
        <v>92</v>
      </c>
      <c r="D130" s="26">
        <v>46035</v>
      </c>
      <c r="E130" s="140" t="s">
        <v>514</v>
      </c>
      <c r="F130" s="104" t="s">
        <v>596</v>
      </c>
      <c r="G130" s="363" t="s">
        <v>438</v>
      </c>
      <c r="I130" s="51">
        <v>96</v>
      </c>
      <c r="J130" s="29" t="s">
        <v>588</v>
      </c>
      <c r="K130" s="162">
        <v>450</v>
      </c>
      <c r="L130" s="119">
        <v>150</v>
      </c>
      <c r="M130" s="229">
        <v>1.33</v>
      </c>
      <c r="N130" s="178">
        <f>Tabela1[[#This Row],[PRECIO
USD]]*Tabela1[[#This Row],[MT/YD]]</f>
        <v>598.5</v>
      </c>
      <c r="R130" s="56" t="s">
        <v>597</v>
      </c>
    </row>
    <row r="131" spans="1:19" x14ac:dyDescent="0.35">
      <c r="A131" s="141" t="s">
        <v>524</v>
      </c>
      <c r="B131" s="3" t="s">
        <v>403</v>
      </c>
      <c r="C131" s="25" t="s">
        <v>92</v>
      </c>
      <c r="D131" s="26">
        <v>46035</v>
      </c>
      <c r="E131" s="140" t="s">
        <v>514</v>
      </c>
      <c r="F131" s="68" t="s">
        <v>534</v>
      </c>
      <c r="G131" s="39" t="s">
        <v>439</v>
      </c>
      <c r="I131" s="160">
        <v>96</v>
      </c>
      <c r="J131" s="29" t="s">
        <v>589</v>
      </c>
      <c r="K131" s="162">
        <v>450</v>
      </c>
      <c r="L131" s="119">
        <v>150</v>
      </c>
      <c r="M131" s="229">
        <v>1.33</v>
      </c>
      <c r="N131" s="178">
        <f>Tabela1[[#This Row],[PRECIO
USD]]*Tabela1[[#This Row],[MT/YD]]</f>
        <v>598.5</v>
      </c>
    </row>
    <row r="132" spans="1:19" x14ac:dyDescent="0.35">
      <c r="A132" s="141" t="s">
        <v>524</v>
      </c>
      <c r="B132" s="3" t="s">
        <v>403</v>
      </c>
      <c r="C132" s="25" t="s">
        <v>92</v>
      </c>
      <c r="D132" s="26">
        <v>46035</v>
      </c>
      <c r="E132" s="140" t="s">
        <v>514</v>
      </c>
      <c r="F132" s="68" t="s">
        <v>535</v>
      </c>
      <c r="G132" s="39" t="s">
        <v>440</v>
      </c>
      <c r="I132" s="160">
        <v>96</v>
      </c>
      <c r="J132" s="29" t="s">
        <v>590</v>
      </c>
      <c r="K132" s="162">
        <v>450</v>
      </c>
      <c r="L132" s="119">
        <v>150</v>
      </c>
      <c r="M132" s="229">
        <v>1.33</v>
      </c>
      <c r="N132" s="178">
        <f>Tabela1[[#This Row],[PRECIO
USD]]*Tabela1[[#This Row],[MT/YD]]</f>
        <v>598.5</v>
      </c>
    </row>
    <row r="133" spans="1:19" x14ac:dyDescent="0.35">
      <c r="A133" s="141" t="s">
        <v>524</v>
      </c>
      <c r="B133" s="3" t="s">
        <v>403</v>
      </c>
      <c r="C133" s="25" t="s">
        <v>92</v>
      </c>
      <c r="D133" s="26">
        <v>46035</v>
      </c>
      <c r="E133" s="140" t="s">
        <v>514</v>
      </c>
      <c r="F133" s="68" t="s">
        <v>536</v>
      </c>
      <c r="G133" s="39" t="s">
        <v>441</v>
      </c>
      <c r="I133" s="160">
        <v>96</v>
      </c>
      <c r="J133" s="29" t="s">
        <v>591</v>
      </c>
      <c r="K133" s="162">
        <v>450</v>
      </c>
      <c r="L133" s="119">
        <v>150</v>
      </c>
      <c r="M133" s="229">
        <v>1.33</v>
      </c>
      <c r="N133" s="178">
        <f>Tabela1[[#This Row],[PRECIO
USD]]*Tabela1[[#This Row],[MT/YD]]</f>
        <v>598.5</v>
      </c>
    </row>
    <row r="134" spans="1:19" x14ac:dyDescent="0.35">
      <c r="A134" s="125" t="s">
        <v>537</v>
      </c>
      <c r="B134" s="325" t="s">
        <v>681</v>
      </c>
      <c r="C134" s="25" t="s">
        <v>21</v>
      </c>
      <c r="D134" s="26">
        <v>46037</v>
      </c>
      <c r="E134" s="140" t="s">
        <v>514</v>
      </c>
      <c r="F134" s="60" t="s">
        <v>539</v>
      </c>
      <c r="G134" s="39">
        <v>4383</v>
      </c>
      <c r="H134" s="333"/>
      <c r="I134" s="15">
        <v>94</v>
      </c>
      <c r="J134" s="29" t="s">
        <v>227</v>
      </c>
      <c r="K134" s="162">
        <v>1000</v>
      </c>
      <c r="M134" s="221">
        <v>2.06</v>
      </c>
      <c r="N134" s="178">
        <f>Tabela1[[#This Row],[PRECIO
USD]]*Tabela1[[#This Row],[MT/YD]]</f>
        <v>2060</v>
      </c>
      <c r="O134" t="s">
        <v>75</v>
      </c>
      <c r="P134" t="s">
        <v>8</v>
      </c>
      <c r="Q134" t="s">
        <v>8</v>
      </c>
      <c r="R134" t="s">
        <v>294</v>
      </c>
    </row>
    <row r="135" spans="1:19" x14ac:dyDescent="0.35">
      <c r="A135" s="141" t="s">
        <v>541</v>
      </c>
      <c r="B135" s="3" t="s">
        <v>246</v>
      </c>
      <c r="C135" s="25" t="s">
        <v>21</v>
      </c>
      <c r="D135" s="26">
        <v>46041</v>
      </c>
      <c r="E135" s="140" t="s">
        <v>514</v>
      </c>
      <c r="F135" s="60" t="s">
        <v>630</v>
      </c>
      <c r="G135" s="251">
        <v>4553</v>
      </c>
      <c r="I135" s="15">
        <v>95</v>
      </c>
      <c r="J135" s="29" t="s">
        <v>543</v>
      </c>
      <c r="K135" s="162">
        <v>3400</v>
      </c>
      <c r="M135" s="221">
        <v>1.86</v>
      </c>
      <c r="N135" s="178">
        <f>Tabela1[[#This Row],[PRECIO
USD]]*Tabela1[[#This Row],[MT/YD]]</f>
        <v>6324</v>
      </c>
      <c r="O135" t="s">
        <v>75</v>
      </c>
      <c r="P135" t="s">
        <v>8</v>
      </c>
      <c r="Q135" t="s">
        <v>8</v>
      </c>
      <c r="R135" t="s">
        <v>294</v>
      </c>
    </row>
    <row r="136" spans="1:19" x14ac:dyDescent="0.35">
      <c r="A136" s="173" t="s">
        <v>544</v>
      </c>
      <c r="B136" s="3" t="s">
        <v>109</v>
      </c>
      <c r="C136" s="25" t="s">
        <v>92</v>
      </c>
      <c r="D136" s="26">
        <v>46041</v>
      </c>
      <c r="E136" s="140" t="s">
        <v>514</v>
      </c>
      <c r="F136" s="68" t="s">
        <v>651</v>
      </c>
      <c r="G136" s="149">
        <v>4724</v>
      </c>
      <c r="H136" s="15" t="s">
        <v>814</v>
      </c>
      <c r="I136" s="160">
        <v>98</v>
      </c>
      <c r="J136" s="161" t="s">
        <v>631</v>
      </c>
      <c r="K136" s="162">
        <v>100</v>
      </c>
      <c r="M136" s="231">
        <v>1.74</v>
      </c>
      <c r="N136" s="178">
        <f>Tabela1[[#This Row],[PRECIO
USD]]*Tabela1[[#This Row],[MT/YD]]</f>
        <v>174</v>
      </c>
      <c r="O136" t="s">
        <v>75</v>
      </c>
      <c r="P136" t="s">
        <v>8</v>
      </c>
      <c r="Q136" t="s">
        <v>8</v>
      </c>
      <c r="R136" s="144"/>
      <c r="S136" s="209">
        <v>46127</v>
      </c>
    </row>
    <row r="137" spans="1:19" x14ac:dyDescent="0.35">
      <c r="A137" s="173" t="s">
        <v>544</v>
      </c>
      <c r="B137" s="3" t="s">
        <v>109</v>
      </c>
      <c r="C137" s="25" t="s">
        <v>92</v>
      </c>
      <c r="D137" s="26">
        <v>46041</v>
      </c>
      <c r="E137" s="140" t="s">
        <v>514</v>
      </c>
      <c r="F137" s="68" t="s">
        <v>1004</v>
      </c>
      <c r="G137" s="149">
        <v>4661</v>
      </c>
      <c r="I137" s="160">
        <v>98</v>
      </c>
      <c r="J137" s="161" t="s">
        <v>559</v>
      </c>
      <c r="K137" s="162">
        <v>100</v>
      </c>
      <c r="M137" s="231">
        <v>1.64</v>
      </c>
      <c r="N137" s="178">
        <f>Tabela1[[#This Row],[PRECIO
USD]]*Tabela1[[#This Row],[MT/YD]]</f>
        <v>164</v>
      </c>
      <c r="O137" t="s">
        <v>75</v>
      </c>
      <c r="P137" t="s">
        <v>8</v>
      </c>
      <c r="Q137" t="s">
        <v>8</v>
      </c>
    </row>
    <row r="138" spans="1:19" x14ac:dyDescent="0.35">
      <c r="A138" s="173" t="s">
        <v>544</v>
      </c>
      <c r="B138" s="3" t="s">
        <v>109</v>
      </c>
      <c r="C138" s="25" t="s">
        <v>92</v>
      </c>
      <c r="D138" s="26">
        <v>46041</v>
      </c>
      <c r="E138" s="140" t="s">
        <v>514</v>
      </c>
      <c r="F138" s="68" t="s">
        <v>652</v>
      </c>
      <c r="G138" s="149">
        <v>4636</v>
      </c>
      <c r="I138" s="160">
        <v>98</v>
      </c>
      <c r="J138" s="161" t="s">
        <v>632</v>
      </c>
      <c r="K138" s="162">
        <v>100</v>
      </c>
      <c r="M138" s="231">
        <v>1.72</v>
      </c>
      <c r="N138" s="178">
        <f>Tabela1[[#This Row],[PRECIO
USD]]*Tabela1[[#This Row],[MT/YD]]</f>
        <v>172</v>
      </c>
      <c r="O138" t="s">
        <v>75</v>
      </c>
      <c r="P138" t="s">
        <v>8</v>
      </c>
      <c r="Q138" t="s">
        <v>8</v>
      </c>
    </row>
    <row r="139" spans="1:19" x14ac:dyDescent="0.35">
      <c r="A139" s="173" t="s">
        <v>544</v>
      </c>
      <c r="B139" s="3" t="s">
        <v>109</v>
      </c>
      <c r="C139" s="25" t="s">
        <v>92</v>
      </c>
      <c r="D139" s="26">
        <v>46041</v>
      </c>
      <c r="E139" s="140" t="s">
        <v>514</v>
      </c>
      <c r="F139" s="68" t="s">
        <v>742</v>
      </c>
      <c r="G139" s="149">
        <v>4629</v>
      </c>
      <c r="I139" s="160">
        <v>98</v>
      </c>
      <c r="J139" s="161" t="s">
        <v>633</v>
      </c>
      <c r="K139" s="162">
        <v>100</v>
      </c>
      <c r="M139" s="232">
        <v>1.85</v>
      </c>
      <c r="N139" s="178">
        <f>Tabela1[[#This Row],[PRECIO
USD]]*Tabela1[[#This Row],[MT/YD]]</f>
        <v>185</v>
      </c>
      <c r="O139" t="s">
        <v>75</v>
      </c>
      <c r="P139" t="s">
        <v>8</v>
      </c>
      <c r="Q139" t="s">
        <v>8</v>
      </c>
    </row>
    <row r="140" spans="1:19" x14ac:dyDescent="0.35">
      <c r="A140" s="173" t="s">
        <v>544</v>
      </c>
      <c r="B140" s="3" t="s">
        <v>109</v>
      </c>
      <c r="C140" s="25" t="s">
        <v>92</v>
      </c>
      <c r="D140" s="26">
        <v>46041</v>
      </c>
      <c r="E140" s="140" t="s">
        <v>514</v>
      </c>
      <c r="F140" s="68" t="s">
        <v>653</v>
      </c>
      <c r="G140" s="149">
        <v>4668</v>
      </c>
      <c r="I140" s="160">
        <v>98</v>
      </c>
      <c r="J140" s="161" t="s">
        <v>560</v>
      </c>
      <c r="K140" s="162">
        <v>100</v>
      </c>
      <c r="M140" s="231">
        <v>1.81</v>
      </c>
      <c r="N140" s="178">
        <f>Tabela1[[#This Row],[PRECIO
USD]]*Tabela1[[#This Row],[MT/YD]]</f>
        <v>181</v>
      </c>
      <c r="O140" t="s">
        <v>75</v>
      </c>
      <c r="P140" t="s">
        <v>8</v>
      </c>
      <c r="Q140" t="s">
        <v>8</v>
      </c>
    </row>
    <row r="141" spans="1:19" x14ac:dyDescent="0.35">
      <c r="A141" s="173" t="s">
        <v>544</v>
      </c>
      <c r="B141" s="3" t="s">
        <v>109</v>
      </c>
      <c r="C141" s="25" t="s">
        <v>92</v>
      </c>
      <c r="D141" s="26">
        <v>46041</v>
      </c>
      <c r="E141" s="140" t="s">
        <v>514</v>
      </c>
      <c r="F141" s="68" t="s">
        <v>654</v>
      </c>
      <c r="G141" s="149">
        <v>4726</v>
      </c>
      <c r="I141" s="160">
        <v>98</v>
      </c>
      <c r="J141" s="161" t="s">
        <v>634</v>
      </c>
      <c r="K141" s="162">
        <v>100</v>
      </c>
      <c r="M141" s="231">
        <v>1.66</v>
      </c>
      <c r="N141" s="178">
        <f>Tabela1[[#This Row],[PRECIO
USD]]*Tabela1[[#This Row],[MT/YD]]</f>
        <v>166</v>
      </c>
      <c r="O141" t="s">
        <v>75</v>
      </c>
      <c r="P141" t="s">
        <v>8</v>
      </c>
      <c r="Q141" t="s">
        <v>8</v>
      </c>
    </row>
    <row r="142" spans="1:19" x14ac:dyDescent="0.35">
      <c r="A142" s="173" t="s">
        <v>544</v>
      </c>
      <c r="B142" s="3" t="s">
        <v>109</v>
      </c>
      <c r="C142" s="25" t="s">
        <v>92</v>
      </c>
      <c r="D142" s="26">
        <v>46041</v>
      </c>
      <c r="E142" s="140" t="s">
        <v>514</v>
      </c>
      <c r="F142" s="68" t="s">
        <v>655</v>
      </c>
      <c r="G142" s="149">
        <v>4628</v>
      </c>
      <c r="I142" s="160">
        <v>98</v>
      </c>
      <c r="J142" s="161" t="s">
        <v>561</v>
      </c>
      <c r="K142" s="162">
        <v>100</v>
      </c>
      <c r="M142" s="223">
        <v>1.64</v>
      </c>
      <c r="N142" s="178">
        <f>Tabela1[[#This Row],[PRECIO
USD]]*Tabela1[[#This Row],[MT/YD]]</f>
        <v>164</v>
      </c>
      <c r="O142" t="s">
        <v>75</v>
      </c>
      <c r="P142" t="s">
        <v>8</v>
      </c>
      <c r="Q142" t="s">
        <v>8</v>
      </c>
    </row>
    <row r="143" spans="1:19" x14ac:dyDescent="0.35">
      <c r="A143" s="173" t="s">
        <v>544</v>
      </c>
      <c r="B143" s="3" t="s">
        <v>109</v>
      </c>
      <c r="C143" s="25" t="s">
        <v>92</v>
      </c>
      <c r="D143" s="26">
        <v>46041</v>
      </c>
      <c r="E143" s="140" t="s">
        <v>514</v>
      </c>
      <c r="F143" s="68" t="s">
        <v>656</v>
      </c>
      <c r="G143" s="326">
        <v>4839</v>
      </c>
      <c r="I143" s="160">
        <v>98</v>
      </c>
      <c r="J143" s="161" t="s">
        <v>635</v>
      </c>
      <c r="K143" s="162">
        <v>100</v>
      </c>
      <c r="M143" s="223">
        <v>1.99</v>
      </c>
      <c r="N143" s="178">
        <f>Tabela1[[#This Row],[PRECIO
USD]]*Tabela1[[#This Row],[MT/YD]]</f>
        <v>199</v>
      </c>
      <c r="O143" t="s">
        <v>75</v>
      </c>
      <c r="P143" t="s">
        <v>8</v>
      </c>
      <c r="Q143" t="s">
        <v>8</v>
      </c>
    </row>
    <row r="144" spans="1:19" x14ac:dyDescent="0.35">
      <c r="A144" s="173" t="s">
        <v>544</v>
      </c>
      <c r="B144" s="3" t="s">
        <v>109</v>
      </c>
      <c r="C144" s="25" t="s">
        <v>92</v>
      </c>
      <c r="D144" s="26">
        <v>46041</v>
      </c>
      <c r="E144" s="140" t="s">
        <v>514</v>
      </c>
      <c r="F144" s="68" t="s">
        <v>657</v>
      </c>
      <c r="G144" s="149">
        <v>4725</v>
      </c>
      <c r="I144" s="160">
        <v>98</v>
      </c>
      <c r="J144" s="161" t="s">
        <v>636</v>
      </c>
      <c r="K144" s="162">
        <v>100</v>
      </c>
      <c r="M144" s="223">
        <v>1.71</v>
      </c>
      <c r="N144" s="178">
        <f>Tabela1[[#This Row],[PRECIO
USD]]*Tabela1[[#This Row],[MT/YD]]</f>
        <v>171</v>
      </c>
      <c r="O144" t="s">
        <v>75</v>
      </c>
      <c r="P144" t="s">
        <v>8</v>
      </c>
      <c r="Q144" t="s">
        <v>8</v>
      </c>
      <c r="R144" s="22" t="s">
        <v>684</v>
      </c>
    </row>
    <row r="145" spans="1:18" x14ac:dyDescent="0.35">
      <c r="A145" s="173" t="s">
        <v>544</v>
      </c>
      <c r="B145" s="3" t="s">
        <v>109</v>
      </c>
      <c r="C145" s="25" t="s">
        <v>92</v>
      </c>
      <c r="D145" s="26">
        <v>46041</v>
      </c>
      <c r="E145" s="140" t="s">
        <v>514</v>
      </c>
      <c r="F145" s="182" t="s">
        <v>727</v>
      </c>
      <c r="G145" s="326" t="s">
        <v>728</v>
      </c>
      <c r="I145" s="160">
        <v>98</v>
      </c>
      <c r="J145" s="161" t="s">
        <v>729</v>
      </c>
      <c r="K145" s="162">
        <v>100</v>
      </c>
      <c r="M145" s="223">
        <v>1.65</v>
      </c>
      <c r="N145" s="178">
        <f>Tabela1[[#This Row],[PRECIO
USD]]*Tabela1[[#This Row],[MT/YD]]</f>
        <v>165</v>
      </c>
      <c r="O145" t="s">
        <v>75</v>
      </c>
      <c r="P145" t="s">
        <v>8</v>
      </c>
      <c r="Q145" t="s">
        <v>8</v>
      </c>
    </row>
    <row r="146" spans="1:18" x14ac:dyDescent="0.35">
      <c r="A146" s="173" t="s">
        <v>544</v>
      </c>
      <c r="B146" s="3" t="s">
        <v>109</v>
      </c>
      <c r="C146" s="25" t="s">
        <v>92</v>
      </c>
      <c r="D146" s="26">
        <v>46041</v>
      </c>
      <c r="E146" s="140" t="s">
        <v>514</v>
      </c>
      <c r="F146" s="68" t="s">
        <v>658</v>
      </c>
      <c r="G146" s="149">
        <v>4653</v>
      </c>
      <c r="I146" s="160">
        <v>98</v>
      </c>
      <c r="J146" s="161" t="s">
        <v>562</v>
      </c>
      <c r="K146" s="162">
        <v>100</v>
      </c>
      <c r="M146" s="231">
        <v>1.74</v>
      </c>
      <c r="N146" s="178">
        <f>Tabela1[[#This Row],[PRECIO
USD]]*Tabela1[[#This Row],[MT/YD]]</f>
        <v>174</v>
      </c>
      <c r="O146" t="s">
        <v>75</v>
      </c>
      <c r="P146" t="s">
        <v>8</v>
      </c>
      <c r="Q146" t="s">
        <v>8</v>
      </c>
    </row>
    <row r="147" spans="1:18" x14ac:dyDescent="0.35">
      <c r="A147" s="173" t="s">
        <v>544</v>
      </c>
      <c r="B147" s="3" t="s">
        <v>109</v>
      </c>
      <c r="C147" s="25" t="s">
        <v>92</v>
      </c>
      <c r="D147" s="26">
        <v>46041</v>
      </c>
      <c r="E147" s="140" t="s">
        <v>514</v>
      </c>
      <c r="F147" s="68" t="s">
        <v>730</v>
      </c>
      <c r="G147" s="149" t="s">
        <v>731</v>
      </c>
      <c r="I147" s="160">
        <v>98</v>
      </c>
      <c r="J147" s="161" t="s">
        <v>734</v>
      </c>
      <c r="K147" s="162">
        <v>100</v>
      </c>
      <c r="M147" s="231">
        <v>1.63</v>
      </c>
      <c r="N147" s="178">
        <f>Tabela1[[#This Row],[PRECIO
USD]]*Tabela1[[#This Row],[MT/YD]]</f>
        <v>163</v>
      </c>
      <c r="O147" t="s">
        <v>75</v>
      </c>
      <c r="P147" t="s">
        <v>8</v>
      </c>
      <c r="Q147" t="s">
        <v>8</v>
      </c>
    </row>
    <row r="148" spans="1:18" x14ac:dyDescent="0.35">
      <c r="A148" s="173" t="s">
        <v>544</v>
      </c>
      <c r="B148" s="3" t="s">
        <v>109</v>
      </c>
      <c r="C148" s="25" t="s">
        <v>92</v>
      </c>
      <c r="D148" s="26">
        <v>46041</v>
      </c>
      <c r="E148" s="140" t="s">
        <v>514</v>
      </c>
      <c r="F148" s="68" t="s">
        <v>659</v>
      </c>
      <c r="G148" s="326">
        <v>4638</v>
      </c>
      <c r="I148" s="160">
        <v>98</v>
      </c>
      <c r="J148" s="161" t="s">
        <v>563</v>
      </c>
      <c r="K148" s="162">
        <v>100</v>
      </c>
      <c r="M148" s="231">
        <v>1.58</v>
      </c>
      <c r="N148" s="178">
        <f>Tabela1[[#This Row],[PRECIO
USD]]*Tabela1[[#This Row],[MT/YD]]</f>
        <v>158</v>
      </c>
      <c r="O148" t="s">
        <v>75</v>
      </c>
      <c r="P148" t="s">
        <v>8</v>
      </c>
      <c r="Q148" t="s">
        <v>8</v>
      </c>
    </row>
    <row r="149" spans="1:18" x14ac:dyDescent="0.35">
      <c r="A149" s="173" t="s">
        <v>544</v>
      </c>
      <c r="B149" s="3" t="s">
        <v>109</v>
      </c>
      <c r="C149" s="25" t="s">
        <v>92</v>
      </c>
      <c r="D149" s="26">
        <v>46041</v>
      </c>
      <c r="E149" s="140" t="s">
        <v>514</v>
      </c>
      <c r="F149" s="68" t="s">
        <v>732</v>
      </c>
      <c r="G149" s="149" t="s">
        <v>733</v>
      </c>
      <c r="I149" s="160">
        <v>98</v>
      </c>
      <c r="J149" s="161" t="s">
        <v>735</v>
      </c>
      <c r="K149" s="162">
        <v>100</v>
      </c>
      <c r="M149" s="231">
        <v>1.81</v>
      </c>
      <c r="N149" s="178">
        <f>Tabela1[[#This Row],[PRECIO
USD]]*Tabela1[[#This Row],[MT/YD]]</f>
        <v>181</v>
      </c>
      <c r="O149" t="s">
        <v>75</v>
      </c>
      <c r="P149" t="s">
        <v>8</v>
      </c>
      <c r="Q149" t="s">
        <v>8</v>
      </c>
      <c r="R149" s="22" t="s">
        <v>603</v>
      </c>
    </row>
    <row r="150" spans="1:18" x14ac:dyDescent="0.35">
      <c r="A150" s="325" t="s">
        <v>568</v>
      </c>
      <c r="B150" s="3" t="s">
        <v>354</v>
      </c>
      <c r="C150" s="25" t="s">
        <v>26</v>
      </c>
      <c r="D150" s="26">
        <v>46045</v>
      </c>
      <c r="E150" s="140" t="s">
        <v>567</v>
      </c>
      <c r="F150" s="60" t="s">
        <v>1228</v>
      </c>
      <c r="G150" s="251">
        <v>4731</v>
      </c>
      <c r="I150" s="1">
        <v>97</v>
      </c>
      <c r="J150" s="298" t="s">
        <v>494</v>
      </c>
      <c r="K150" s="162">
        <v>2000</v>
      </c>
      <c r="M150" s="221">
        <v>1.63</v>
      </c>
      <c r="N150" s="178">
        <f>Tabela1[[#This Row],[PRECIO
USD]]*Tabela1[[#This Row],[MT/YD]]</f>
        <v>3260</v>
      </c>
      <c r="O150" t="s">
        <v>117</v>
      </c>
      <c r="P150" t="s">
        <v>8</v>
      </c>
      <c r="Q150" t="s">
        <v>8</v>
      </c>
      <c r="R150" t="s">
        <v>294</v>
      </c>
    </row>
    <row r="151" spans="1:18" x14ac:dyDescent="0.35">
      <c r="A151" s="325" t="s">
        <v>568</v>
      </c>
      <c r="B151" s="3" t="s">
        <v>354</v>
      </c>
      <c r="C151" s="25" t="s">
        <v>26</v>
      </c>
      <c r="D151" s="26">
        <v>46045</v>
      </c>
      <c r="E151" s="140" t="s">
        <v>567</v>
      </c>
      <c r="F151" s="60" t="s">
        <v>1089</v>
      </c>
      <c r="G151" s="39">
        <v>4759</v>
      </c>
      <c r="I151" s="1">
        <v>97</v>
      </c>
      <c r="J151" s="29" t="s">
        <v>1167</v>
      </c>
      <c r="K151" s="162">
        <v>2500</v>
      </c>
      <c r="M151" s="221">
        <v>3.38</v>
      </c>
      <c r="N151" s="178">
        <f>Tabela1[[#This Row],[PRECIO
USD]]*Tabela1[[#This Row],[MT/YD]]</f>
        <v>8450</v>
      </c>
      <c r="O151" t="s">
        <v>117</v>
      </c>
      <c r="P151" t="s">
        <v>8</v>
      </c>
      <c r="Q151" t="s">
        <v>8</v>
      </c>
      <c r="R151" t="s">
        <v>294</v>
      </c>
    </row>
    <row r="152" spans="1:18" x14ac:dyDescent="0.35">
      <c r="A152" s="43" t="s">
        <v>571</v>
      </c>
      <c r="B152" s="325" t="s">
        <v>234</v>
      </c>
      <c r="C152" s="25" t="s">
        <v>21</v>
      </c>
      <c r="D152" s="26">
        <v>46045</v>
      </c>
      <c r="E152" s="140" t="s">
        <v>567</v>
      </c>
      <c r="F152" s="60" t="s">
        <v>638</v>
      </c>
      <c r="G152" s="176">
        <v>4849</v>
      </c>
      <c r="I152" s="15">
        <v>100</v>
      </c>
      <c r="J152" s="29" t="s">
        <v>572</v>
      </c>
      <c r="K152" s="162">
        <v>2000</v>
      </c>
      <c r="M152" s="221">
        <v>1.93</v>
      </c>
      <c r="N152" s="178">
        <f>Tabela1[[#This Row],[PRECIO
USD]]*Tabela1[[#This Row],[MT/YD]]</f>
        <v>3860</v>
      </c>
      <c r="O152" t="s">
        <v>75</v>
      </c>
      <c r="P152" t="s">
        <v>8</v>
      </c>
      <c r="Q152" t="s">
        <v>8</v>
      </c>
    </row>
    <row r="153" spans="1:18" x14ac:dyDescent="0.35">
      <c r="A153" s="43" t="s">
        <v>571</v>
      </c>
      <c r="B153" s="325" t="s">
        <v>234</v>
      </c>
      <c r="C153" s="25" t="s">
        <v>21</v>
      </c>
      <c r="D153" s="26">
        <v>46045</v>
      </c>
      <c r="E153" s="140" t="s">
        <v>567</v>
      </c>
      <c r="F153" s="60" t="s">
        <v>639</v>
      </c>
      <c r="G153" s="176">
        <v>4852</v>
      </c>
      <c r="I153" s="15">
        <v>100</v>
      </c>
      <c r="J153" s="29" t="s">
        <v>1195</v>
      </c>
      <c r="K153" s="162">
        <v>2000</v>
      </c>
      <c r="M153" s="221">
        <v>2.06</v>
      </c>
      <c r="N153" s="178">
        <f>Tabela1[[#This Row],[PRECIO
USD]]*Tabela1[[#This Row],[MT/YD]]</f>
        <v>4120</v>
      </c>
      <c r="O153" t="s">
        <v>75</v>
      </c>
      <c r="P153" t="s">
        <v>8</v>
      </c>
      <c r="Q153" t="s">
        <v>8</v>
      </c>
    </row>
    <row r="154" spans="1:18" x14ac:dyDescent="0.35">
      <c r="A154" s="43" t="s">
        <v>571</v>
      </c>
      <c r="B154" s="325" t="s">
        <v>234</v>
      </c>
      <c r="C154" s="25" t="s">
        <v>21</v>
      </c>
      <c r="D154" s="26">
        <v>46045</v>
      </c>
      <c r="E154" s="140" t="s">
        <v>567</v>
      </c>
      <c r="F154" s="60" t="s">
        <v>1259</v>
      </c>
      <c r="G154" s="176">
        <v>4850</v>
      </c>
      <c r="I154" s="15">
        <v>100</v>
      </c>
      <c r="J154" s="298" t="s">
        <v>573</v>
      </c>
      <c r="K154" s="162">
        <v>2000</v>
      </c>
      <c r="M154" s="221">
        <v>1.9</v>
      </c>
      <c r="N154" s="178">
        <f>Tabela1[[#This Row],[PRECIO
USD]]*Tabela1[[#This Row],[MT/YD]]</f>
        <v>3800</v>
      </c>
      <c r="O154" t="s">
        <v>75</v>
      </c>
      <c r="P154" t="s">
        <v>8</v>
      </c>
      <c r="Q154" t="s">
        <v>8</v>
      </c>
    </row>
    <row r="155" spans="1:18" x14ac:dyDescent="0.35">
      <c r="A155" s="43" t="s">
        <v>571</v>
      </c>
      <c r="B155" s="325" t="s">
        <v>234</v>
      </c>
      <c r="C155" s="25" t="s">
        <v>21</v>
      </c>
      <c r="D155" s="26">
        <v>46045</v>
      </c>
      <c r="E155" s="140" t="s">
        <v>567</v>
      </c>
      <c r="F155" s="159" t="s">
        <v>640</v>
      </c>
      <c r="G155" s="176">
        <v>4853</v>
      </c>
      <c r="I155" s="15">
        <v>100</v>
      </c>
      <c r="J155" s="29" t="s">
        <v>574</v>
      </c>
      <c r="K155" s="162">
        <v>3000</v>
      </c>
      <c r="M155" s="221">
        <v>1.94</v>
      </c>
      <c r="N155" s="178">
        <f>Tabela1[[#This Row],[PRECIO
USD]]*Tabela1[[#This Row],[MT/YD]]</f>
        <v>5820</v>
      </c>
      <c r="O155" t="s">
        <v>75</v>
      </c>
      <c r="P155" t="s">
        <v>8</v>
      </c>
      <c r="Q155" t="s">
        <v>8</v>
      </c>
      <c r="R155" t="s">
        <v>604</v>
      </c>
    </row>
    <row r="156" spans="1:18" x14ac:dyDescent="0.35">
      <c r="A156" s="43" t="s">
        <v>571</v>
      </c>
      <c r="B156" s="325" t="s">
        <v>234</v>
      </c>
      <c r="C156" s="25" t="s">
        <v>21</v>
      </c>
      <c r="D156" s="26">
        <v>46045</v>
      </c>
      <c r="E156" s="140" t="s">
        <v>567</v>
      </c>
      <c r="F156" s="159" t="s">
        <v>641</v>
      </c>
      <c r="G156" s="176">
        <v>4851</v>
      </c>
      <c r="I156" s="1">
        <v>100</v>
      </c>
      <c r="J156" s="29" t="s">
        <v>610</v>
      </c>
      <c r="K156" s="162">
        <v>3000</v>
      </c>
      <c r="M156" s="221">
        <v>1.93</v>
      </c>
      <c r="N156" s="178">
        <f>Tabela1[[#This Row],[PRECIO
USD]]*Tabela1[[#This Row],[MT/YD]]</f>
        <v>5790</v>
      </c>
      <c r="O156" t="s">
        <v>75</v>
      </c>
      <c r="P156" t="s">
        <v>8</v>
      </c>
      <c r="Q156" t="s">
        <v>8</v>
      </c>
      <c r="R156" t="s">
        <v>604</v>
      </c>
    </row>
    <row r="157" spans="1:18" ht="17.25" customHeight="1" x14ac:dyDescent="0.35">
      <c r="A157" s="325" t="s">
        <v>605</v>
      </c>
      <c r="B157" s="3" t="s">
        <v>246</v>
      </c>
      <c r="C157" s="25" t="s">
        <v>21</v>
      </c>
      <c r="D157" s="26">
        <v>46052</v>
      </c>
      <c r="E157" s="140" t="s">
        <v>567</v>
      </c>
      <c r="F157" s="68" t="s">
        <v>642</v>
      </c>
      <c r="G157" s="39">
        <v>4642</v>
      </c>
      <c r="I157" s="160">
        <v>99</v>
      </c>
      <c r="J157" s="29" t="s">
        <v>637</v>
      </c>
      <c r="K157" s="162">
        <v>4000</v>
      </c>
      <c r="M157" s="221">
        <v>1.88</v>
      </c>
      <c r="N157" s="178">
        <f>Tabela1[[#This Row],[PRECIO
USD]]*Tabela1[[#This Row],[MT/YD]]</f>
        <v>7520</v>
      </c>
      <c r="O157" t="s">
        <v>75</v>
      </c>
      <c r="P157" t="s">
        <v>8</v>
      </c>
      <c r="Q157" t="s">
        <v>8</v>
      </c>
      <c r="R157" t="s">
        <v>615</v>
      </c>
    </row>
    <row r="158" spans="1:18" x14ac:dyDescent="0.35">
      <c r="A158" s="43" t="s">
        <v>612</v>
      </c>
      <c r="B158" s="3" t="s">
        <v>613</v>
      </c>
      <c r="C158" s="25" t="s">
        <v>38</v>
      </c>
      <c r="D158" s="26">
        <v>46071</v>
      </c>
      <c r="E158" s="140" t="s">
        <v>624</v>
      </c>
      <c r="F158" s="376" t="s">
        <v>1229</v>
      </c>
      <c r="G158" s="358">
        <v>4590</v>
      </c>
      <c r="H158" s="179"/>
      <c r="I158" s="51">
        <v>106</v>
      </c>
      <c r="J158" s="29" t="s">
        <v>614</v>
      </c>
      <c r="K158" s="162">
        <v>30000</v>
      </c>
      <c r="M158" s="221">
        <v>2.2000000000000002</v>
      </c>
      <c r="N158" s="178">
        <f>Tabela1[[#This Row],[PRECIO
USD]]*Tabela1[[#This Row],[MT/YD]]</f>
        <v>66000</v>
      </c>
      <c r="O158" t="s">
        <v>117</v>
      </c>
      <c r="P158" t="s">
        <v>8</v>
      </c>
      <c r="Q158" t="s">
        <v>8</v>
      </c>
      <c r="R158" t="s">
        <v>712</v>
      </c>
    </row>
    <row r="159" spans="1:18" x14ac:dyDescent="0.35">
      <c r="A159" s="396" t="s">
        <v>620</v>
      </c>
      <c r="B159" s="3" t="s">
        <v>623</v>
      </c>
      <c r="C159" s="25" t="s">
        <v>26</v>
      </c>
      <c r="D159" s="26">
        <v>46078</v>
      </c>
      <c r="E159" s="140" t="s">
        <v>624</v>
      </c>
      <c r="F159" s="60" t="s">
        <v>744</v>
      </c>
      <c r="G159" s="111">
        <v>4891</v>
      </c>
      <c r="H159" s="184"/>
      <c r="I159" s="185">
        <v>110</v>
      </c>
      <c r="J159" s="29" t="s">
        <v>645</v>
      </c>
      <c r="K159" s="167">
        <v>500</v>
      </c>
      <c r="M159" s="216">
        <v>2.06</v>
      </c>
      <c r="N159" s="178">
        <f>Tabela1[[#This Row],[PRECIO
USD]]*Tabela1[[#This Row],[MT/YD]]</f>
        <v>1030</v>
      </c>
    </row>
    <row r="160" spans="1:18" x14ac:dyDescent="0.35">
      <c r="A160" s="396" t="s">
        <v>620</v>
      </c>
      <c r="B160" s="3" t="s">
        <v>623</v>
      </c>
      <c r="C160" s="25" t="s">
        <v>26</v>
      </c>
      <c r="D160" s="26">
        <v>46078</v>
      </c>
      <c r="E160" s="140" t="s">
        <v>624</v>
      </c>
      <c r="F160" s="60" t="s">
        <v>745</v>
      </c>
      <c r="G160" s="111">
        <v>4892</v>
      </c>
      <c r="H160" s="184"/>
      <c r="I160" s="185">
        <v>110</v>
      </c>
      <c r="J160" s="29" t="s">
        <v>710</v>
      </c>
      <c r="K160" s="167">
        <v>500</v>
      </c>
      <c r="M160" s="216">
        <v>1.69</v>
      </c>
      <c r="N160" s="178">
        <f>Tabela1[[#This Row],[PRECIO
USD]]*Tabela1[[#This Row],[MT/YD]]</f>
        <v>845</v>
      </c>
    </row>
    <row r="161" spans="1:19" x14ac:dyDescent="0.35">
      <c r="A161" s="396" t="s">
        <v>620</v>
      </c>
      <c r="B161" s="3" t="s">
        <v>623</v>
      </c>
      <c r="C161" s="25" t="s">
        <v>26</v>
      </c>
      <c r="D161" s="26">
        <v>46078</v>
      </c>
      <c r="E161" s="140" t="s">
        <v>624</v>
      </c>
      <c r="F161" s="60" t="s">
        <v>743</v>
      </c>
      <c r="G161" s="111">
        <v>4893</v>
      </c>
      <c r="H161" s="184" t="s">
        <v>817</v>
      </c>
      <c r="I161" s="185">
        <v>110</v>
      </c>
      <c r="J161" s="29" t="s">
        <v>646</v>
      </c>
      <c r="K161" s="167">
        <v>1000</v>
      </c>
      <c r="M161" s="216">
        <v>2.1800000000000002</v>
      </c>
      <c r="N161" s="178">
        <f>Tabela1[[#This Row],[PRECIO
USD]]*Tabela1[[#This Row],[MT/YD]]</f>
        <v>2180</v>
      </c>
      <c r="S161" s="209">
        <v>46136</v>
      </c>
    </row>
    <row r="162" spans="1:19" x14ac:dyDescent="0.35">
      <c r="A162" s="396" t="s">
        <v>620</v>
      </c>
      <c r="B162" s="3" t="s">
        <v>623</v>
      </c>
      <c r="C162" s="25" t="s">
        <v>26</v>
      </c>
      <c r="D162" s="26">
        <v>46078</v>
      </c>
      <c r="E162" s="140" t="s">
        <v>624</v>
      </c>
      <c r="F162" s="60" t="s">
        <v>746</v>
      </c>
      <c r="G162" s="111">
        <v>4894</v>
      </c>
      <c r="H162" s="184"/>
      <c r="I162" s="185">
        <v>110</v>
      </c>
      <c r="J162" s="29" t="s">
        <v>647</v>
      </c>
      <c r="K162" s="167">
        <v>300</v>
      </c>
      <c r="M162" s="216">
        <v>1.66</v>
      </c>
      <c r="N162" s="178">
        <f>Tabela1[[#This Row],[PRECIO
USD]]*Tabela1[[#This Row],[MT/YD]]</f>
        <v>498</v>
      </c>
    </row>
    <row r="163" spans="1:19" x14ac:dyDescent="0.35">
      <c r="A163" s="396" t="s">
        <v>620</v>
      </c>
      <c r="B163" s="3" t="s">
        <v>623</v>
      </c>
      <c r="C163" s="25" t="s">
        <v>26</v>
      </c>
      <c r="D163" s="26">
        <v>46078</v>
      </c>
      <c r="E163" s="140" t="s">
        <v>624</v>
      </c>
      <c r="F163" s="60" t="s">
        <v>747</v>
      </c>
      <c r="G163" s="111">
        <v>4895</v>
      </c>
      <c r="H163" s="184"/>
      <c r="I163" s="185">
        <v>110</v>
      </c>
      <c r="J163" s="29" t="s">
        <v>711</v>
      </c>
      <c r="K163" s="167">
        <v>1000</v>
      </c>
      <c r="M163" s="216">
        <v>1.81</v>
      </c>
      <c r="N163" s="178">
        <f>Tabela1[[#This Row],[PRECIO
USD]]*Tabela1[[#This Row],[MT/YD]]</f>
        <v>1810</v>
      </c>
    </row>
    <row r="164" spans="1:19" x14ac:dyDescent="0.35">
      <c r="A164" s="325" t="s">
        <v>643</v>
      </c>
      <c r="B164" s="3" t="s">
        <v>109</v>
      </c>
      <c r="C164" s="25" t="s">
        <v>92</v>
      </c>
      <c r="D164" s="26">
        <v>46062</v>
      </c>
      <c r="E164" s="140" t="s">
        <v>624</v>
      </c>
      <c r="F164" s="68" t="s">
        <v>655</v>
      </c>
      <c r="G164" s="39">
        <v>4628</v>
      </c>
      <c r="I164" s="1">
        <v>101</v>
      </c>
      <c r="J164" s="29" t="s">
        <v>670</v>
      </c>
      <c r="K164" s="162">
        <v>3700</v>
      </c>
      <c r="M164" s="215">
        <v>1.64</v>
      </c>
      <c r="N164" s="178">
        <f>Tabela1[[#This Row],[PRECIO
USD]]*Tabela1[[#This Row],[MT/YD]]</f>
        <v>6068</v>
      </c>
      <c r="R164" s="31" t="s">
        <v>644</v>
      </c>
    </row>
    <row r="165" spans="1:19" x14ac:dyDescent="0.35">
      <c r="A165" s="325" t="s">
        <v>643</v>
      </c>
      <c r="B165" s="3" t="s">
        <v>109</v>
      </c>
      <c r="C165" s="25" t="s">
        <v>92</v>
      </c>
      <c r="D165" s="26">
        <v>46062</v>
      </c>
      <c r="E165" s="140" t="s">
        <v>624</v>
      </c>
      <c r="F165" s="68" t="s">
        <v>657</v>
      </c>
      <c r="G165" s="39">
        <v>4725</v>
      </c>
      <c r="I165" s="1">
        <v>101</v>
      </c>
      <c r="J165" s="29" t="s">
        <v>671</v>
      </c>
      <c r="K165" s="162">
        <v>3000</v>
      </c>
      <c r="M165" s="215">
        <v>1.71</v>
      </c>
      <c r="N165" s="178">
        <f>Tabela1[[#This Row],[PRECIO
USD]]*Tabela1[[#This Row],[MT/YD]]</f>
        <v>5130</v>
      </c>
      <c r="R165" s="31" t="s">
        <v>644</v>
      </c>
    </row>
    <row r="166" spans="1:19" x14ac:dyDescent="0.35">
      <c r="A166" s="325" t="s">
        <v>643</v>
      </c>
      <c r="B166" s="3" t="s">
        <v>109</v>
      </c>
      <c r="C166" s="25" t="s">
        <v>92</v>
      </c>
      <c r="D166" s="26">
        <v>46062</v>
      </c>
      <c r="E166" s="140" t="s">
        <v>624</v>
      </c>
      <c r="F166" s="68" t="s">
        <v>656</v>
      </c>
      <c r="G166" s="39">
        <v>4839</v>
      </c>
      <c r="I166" s="1">
        <v>101</v>
      </c>
      <c r="J166" s="29" t="s">
        <v>672</v>
      </c>
      <c r="K166" s="162">
        <v>500</v>
      </c>
      <c r="M166" s="215">
        <v>1.99</v>
      </c>
      <c r="N166" s="178">
        <f>Tabela1[[#This Row],[PRECIO
USD]]*Tabela1[[#This Row],[MT/YD]]</f>
        <v>995</v>
      </c>
      <c r="R166" s="31" t="s">
        <v>644</v>
      </c>
    </row>
    <row r="167" spans="1:19" x14ac:dyDescent="0.35">
      <c r="A167" s="325" t="s">
        <v>643</v>
      </c>
      <c r="B167" s="3" t="s">
        <v>109</v>
      </c>
      <c r="C167" s="25" t="s">
        <v>92</v>
      </c>
      <c r="D167" s="26">
        <v>46062</v>
      </c>
      <c r="E167" s="140" t="s">
        <v>624</v>
      </c>
      <c r="F167" s="68" t="s">
        <v>658</v>
      </c>
      <c r="G167" s="39">
        <v>4653</v>
      </c>
      <c r="H167" s="15" t="s">
        <v>815</v>
      </c>
      <c r="I167" s="1">
        <v>101</v>
      </c>
      <c r="J167" s="29" t="s">
        <v>673</v>
      </c>
      <c r="K167" s="162">
        <v>4000</v>
      </c>
      <c r="M167" s="215">
        <v>1.74</v>
      </c>
      <c r="N167" s="178">
        <f>Tabela1[[#This Row],[PRECIO
USD]]*Tabela1[[#This Row],[MT/YD]]</f>
        <v>6960</v>
      </c>
      <c r="R167" s="31" t="s">
        <v>644</v>
      </c>
      <c r="S167" s="209">
        <v>46142</v>
      </c>
    </row>
    <row r="168" spans="1:19" x14ac:dyDescent="0.35">
      <c r="A168" s="325" t="s">
        <v>643</v>
      </c>
      <c r="B168" s="3" t="s">
        <v>109</v>
      </c>
      <c r="C168" s="25" t="s">
        <v>92</v>
      </c>
      <c r="D168" s="26">
        <v>46062</v>
      </c>
      <c r="E168" s="140" t="s">
        <v>624</v>
      </c>
      <c r="F168" s="68" t="s">
        <v>652</v>
      </c>
      <c r="G168" s="39">
        <v>4636</v>
      </c>
      <c r="I168" s="1">
        <v>101</v>
      </c>
      <c r="J168" s="29" t="s">
        <v>674</v>
      </c>
      <c r="K168" s="162">
        <v>3000</v>
      </c>
      <c r="M168" s="229">
        <v>1.72</v>
      </c>
      <c r="N168" s="178">
        <f>Tabela1[[#This Row],[PRECIO
USD]]*Tabela1[[#This Row],[MT/YD]]</f>
        <v>5160</v>
      </c>
      <c r="R168" s="31" t="s">
        <v>644</v>
      </c>
    </row>
    <row r="169" spans="1:19" x14ac:dyDescent="0.35">
      <c r="A169" s="325" t="s">
        <v>643</v>
      </c>
      <c r="B169" s="3" t="s">
        <v>109</v>
      </c>
      <c r="C169" s="25" t="s">
        <v>92</v>
      </c>
      <c r="D169" s="26">
        <v>46062</v>
      </c>
      <c r="E169" s="140" t="s">
        <v>624</v>
      </c>
      <c r="F169" s="68" t="s">
        <v>741</v>
      </c>
      <c r="G169" s="39">
        <v>4629</v>
      </c>
      <c r="I169" s="1">
        <v>101</v>
      </c>
      <c r="J169" s="29" t="s">
        <v>675</v>
      </c>
      <c r="K169" s="162">
        <v>2000</v>
      </c>
      <c r="M169" s="233">
        <v>1.85</v>
      </c>
      <c r="N169" s="178">
        <f>Tabela1[[#This Row],[PRECIO
USD]]*Tabela1[[#This Row],[MT/YD]]</f>
        <v>3700</v>
      </c>
      <c r="R169" s="31" t="s">
        <v>644</v>
      </c>
    </row>
    <row r="170" spans="1:19" x14ac:dyDescent="0.35">
      <c r="A170" s="325" t="s">
        <v>643</v>
      </c>
      <c r="B170" s="3" t="s">
        <v>109</v>
      </c>
      <c r="C170" s="25" t="s">
        <v>92</v>
      </c>
      <c r="D170" s="26">
        <v>46062</v>
      </c>
      <c r="E170" s="140" t="s">
        <v>624</v>
      </c>
      <c r="F170" s="68" t="s">
        <v>654</v>
      </c>
      <c r="G170" s="39">
        <v>4726</v>
      </c>
      <c r="I170" s="1">
        <v>101</v>
      </c>
      <c r="J170" s="29" t="s">
        <v>691</v>
      </c>
      <c r="K170" s="162">
        <v>3300</v>
      </c>
      <c r="M170" s="229">
        <v>1.66</v>
      </c>
      <c r="N170" s="178">
        <f>Tabela1[[#This Row],[PRECIO
USD]]*Tabela1[[#This Row],[MT/YD]]</f>
        <v>5478</v>
      </c>
      <c r="R170" s="31" t="s">
        <v>644</v>
      </c>
    </row>
    <row r="171" spans="1:19" x14ac:dyDescent="0.35">
      <c r="A171" s="325" t="s">
        <v>643</v>
      </c>
      <c r="B171" s="3" t="s">
        <v>109</v>
      </c>
      <c r="C171" s="25" t="s">
        <v>92</v>
      </c>
      <c r="D171" s="26">
        <v>46062</v>
      </c>
      <c r="E171" s="140" t="s">
        <v>624</v>
      </c>
      <c r="F171" s="68" t="s">
        <v>653</v>
      </c>
      <c r="G171" s="39">
        <v>4668</v>
      </c>
      <c r="I171" s="1">
        <v>101</v>
      </c>
      <c r="J171" s="29" t="s">
        <v>692</v>
      </c>
      <c r="K171" s="162">
        <v>800</v>
      </c>
      <c r="M171" s="229">
        <v>1.81</v>
      </c>
      <c r="N171" s="178">
        <f>Tabela1[[#This Row],[PRECIO
USD]]*Tabela1[[#This Row],[MT/YD]]</f>
        <v>1448</v>
      </c>
      <c r="R171" s="31" t="s">
        <v>644</v>
      </c>
    </row>
    <row r="172" spans="1:19" x14ac:dyDescent="0.35">
      <c r="A172" s="325" t="s">
        <v>643</v>
      </c>
      <c r="B172" s="3" t="s">
        <v>109</v>
      </c>
      <c r="C172" s="25" t="s">
        <v>92</v>
      </c>
      <c r="D172" s="26">
        <v>46062</v>
      </c>
      <c r="E172" s="140" t="s">
        <v>624</v>
      </c>
      <c r="F172" s="68" t="s">
        <v>663</v>
      </c>
      <c r="G172" s="39">
        <v>4642</v>
      </c>
      <c r="I172" s="1">
        <v>101</v>
      </c>
      <c r="J172" s="29" t="s">
        <v>693</v>
      </c>
      <c r="K172" s="162">
        <v>3700</v>
      </c>
      <c r="M172" s="229">
        <v>1.65</v>
      </c>
      <c r="N172" s="178">
        <f>Tabela1[[#This Row],[PRECIO
USD]]*Tabela1[[#This Row],[MT/YD]]</f>
        <v>6105</v>
      </c>
      <c r="R172" s="31" t="s">
        <v>644</v>
      </c>
    </row>
    <row r="173" spans="1:19" x14ac:dyDescent="0.35">
      <c r="A173" s="325" t="s">
        <v>643</v>
      </c>
      <c r="B173" s="3" t="s">
        <v>109</v>
      </c>
      <c r="C173" s="25" t="s">
        <v>92</v>
      </c>
      <c r="D173" s="26">
        <v>46062</v>
      </c>
      <c r="E173" s="140" t="s">
        <v>624</v>
      </c>
      <c r="F173" s="68" t="s">
        <v>664</v>
      </c>
      <c r="G173" s="39">
        <v>4660</v>
      </c>
      <c r="I173" s="1">
        <v>101</v>
      </c>
      <c r="J173" s="29" t="s">
        <v>694</v>
      </c>
      <c r="K173" s="162">
        <v>1500</v>
      </c>
      <c r="M173" s="229">
        <v>1.81</v>
      </c>
      <c r="N173" s="178">
        <f>Tabela1[[#This Row],[PRECIO
USD]]*Tabela1[[#This Row],[MT/YD]]</f>
        <v>2715</v>
      </c>
      <c r="R173" s="31" t="s">
        <v>644</v>
      </c>
    </row>
    <row r="174" spans="1:19" x14ac:dyDescent="0.35">
      <c r="A174" s="325" t="s">
        <v>643</v>
      </c>
      <c r="B174" s="3" t="s">
        <v>109</v>
      </c>
      <c r="C174" s="25" t="s">
        <v>92</v>
      </c>
      <c r="D174" s="26">
        <v>46062</v>
      </c>
      <c r="E174" s="140" t="s">
        <v>624</v>
      </c>
      <c r="F174" s="60" t="s">
        <v>660</v>
      </c>
      <c r="G174" s="39">
        <v>4627</v>
      </c>
      <c r="I174" s="1">
        <v>101</v>
      </c>
      <c r="J174" s="29" t="s">
        <v>695</v>
      </c>
      <c r="K174" s="162">
        <v>800</v>
      </c>
      <c r="M174" s="229">
        <v>1.71</v>
      </c>
      <c r="N174" s="178">
        <f>Tabela1[[#This Row],[PRECIO
USD]]*Tabela1[[#This Row],[MT/YD]]</f>
        <v>1368</v>
      </c>
      <c r="R174" s="31" t="s">
        <v>644</v>
      </c>
    </row>
    <row r="175" spans="1:19" x14ac:dyDescent="0.35">
      <c r="A175" s="325" t="s">
        <v>643</v>
      </c>
      <c r="B175" s="3" t="s">
        <v>109</v>
      </c>
      <c r="C175" s="25" t="s">
        <v>92</v>
      </c>
      <c r="D175" s="26">
        <v>46062</v>
      </c>
      <c r="E175" s="140" t="s">
        <v>624</v>
      </c>
      <c r="F175" s="68" t="s">
        <v>651</v>
      </c>
      <c r="G175" s="39">
        <v>4724</v>
      </c>
      <c r="I175" s="1">
        <v>101</v>
      </c>
      <c r="J175" s="29" t="s">
        <v>696</v>
      </c>
      <c r="K175" s="162">
        <v>1500</v>
      </c>
      <c r="M175" s="229">
        <v>1.74</v>
      </c>
      <c r="N175" s="178">
        <f>Tabela1[[#This Row],[PRECIO
USD]]*Tabela1[[#This Row],[MT/YD]]</f>
        <v>2610</v>
      </c>
      <c r="R175" s="31" t="s">
        <v>644</v>
      </c>
    </row>
    <row r="176" spans="1:19" x14ac:dyDescent="0.35">
      <c r="A176" s="325" t="s">
        <v>643</v>
      </c>
      <c r="B176" s="3" t="s">
        <v>109</v>
      </c>
      <c r="C176" s="25" t="s">
        <v>92</v>
      </c>
      <c r="D176" s="26">
        <v>46062</v>
      </c>
      <c r="E176" s="140" t="s">
        <v>624</v>
      </c>
      <c r="F176" s="60" t="s">
        <v>661</v>
      </c>
      <c r="G176" s="39">
        <v>4669</v>
      </c>
      <c r="I176" s="1">
        <v>101</v>
      </c>
      <c r="J176" s="29" t="s">
        <v>697</v>
      </c>
      <c r="K176" s="162">
        <v>500</v>
      </c>
      <c r="M176" s="229">
        <v>4.96</v>
      </c>
      <c r="N176" s="178">
        <f>Tabela1[[#This Row],[PRECIO
USD]]*Tabela1[[#This Row],[MT/YD]]</f>
        <v>2480</v>
      </c>
      <c r="R176" s="31" t="s">
        <v>644</v>
      </c>
    </row>
    <row r="177" spans="1:19" x14ac:dyDescent="0.35">
      <c r="A177" s="325" t="s">
        <v>643</v>
      </c>
      <c r="B177" s="3" t="s">
        <v>109</v>
      </c>
      <c r="C177" s="25" t="s">
        <v>92</v>
      </c>
      <c r="D177" s="26">
        <v>46062</v>
      </c>
      <c r="E177" s="140" t="s">
        <v>624</v>
      </c>
      <c r="F177" s="60" t="s">
        <v>662</v>
      </c>
      <c r="G177" s="39">
        <v>4553</v>
      </c>
      <c r="I177" s="1">
        <v>101</v>
      </c>
      <c r="J177" s="29" t="s">
        <v>698</v>
      </c>
      <c r="K177" s="162">
        <v>2700</v>
      </c>
      <c r="M177" s="229">
        <v>1.63</v>
      </c>
      <c r="N177" s="178">
        <f>Tabela1[[#This Row],[PRECIO
USD]]*Tabela1[[#This Row],[MT/YD]]</f>
        <v>4401</v>
      </c>
      <c r="R177" s="31" t="s">
        <v>644</v>
      </c>
    </row>
    <row r="178" spans="1:19" x14ac:dyDescent="0.35">
      <c r="A178" s="325" t="s">
        <v>665</v>
      </c>
      <c r="B178" s="3" t="s">
        <v>681</v>
      </c>
      <c r="C178" s="25" t="s">
        <v>21</v>
      </c>
      <c r="D178" s="26">
        <v>46066</v>
      </c>
      <c r="E178" s="140" t="s">
        <v>624</v>
      </c>
      <c r="F178" s="111" t="s">
        <v>669</v>
      </c>
      <c r="G178" s="39">
        <v>4321</v>
      </c>
      <c r="I178" s="1">
        <v>102</v>
      </c>
      <c r="J178" s="29" t="s">
        <v>676</v>
      </c>
      <c r="K178" s="162">
        <v>1000</v>
      </c>
      <c r="M178" s="221">
        <v>2.2799999999999998</v>
      </c>
      <c r="N178" s="178">
        <f>Tabela1[[#This Row],[PRECIO
USD]]*Tabela1[[#This Row],[MT/YD]]</f>
        <v>2280</v>
      </c>
      <c r="R178" t="s">
        <v>677</v>
      </c>
    </row>
    <row r="179" spans="1:19" x14ac:dyDescent="0.35">
      <c r="A179" s="325" t="s">
        <v>667</v>
      </c>
      <c r="B179" s="3" t="s">
        <v>681</v>
      </c>
      <c r="C179" s="25" t="s">
        <v>21</v>
      </c>
      <c r="D179" s="26">
        <v>46066</v>
      </c>
      <c r="E179" s="140" t="s">
        <v>624</v>
      </c>
      <c r="F179" s="60" t="s">
        <v>678</v>
      </c>
      <c r="G179" s="364">
        <v>4834</v>
      </c>
      <c r="I179" s="1">
        <v>103</v>
      </c>
      <c r="J179" s="29" t="s">
        <v>699</v>
      </c>
      <c r="K179" s="162">
        <v>2500</v>
      </c>
      <c r="M179" s="221">
        <v>2.57</v>
      </c>
      <c r="N179" s="178">
        <f>Tabela1[[#This Row],[PRECIO
USD]]*Tabela1[[#This Row],[MT/YD]]</f>
        <v>6425</v>
      </c>
      <c r="R179" t="s">
        <v>294</v>
      </c>
    </row>
    <row r="180" spans="1:19" x14ac:dyDescent="0.35">
      <c r="A180" s="325" t="s">
        <v>680</v>
      </c>
      <c r="B180" s="3" t="s">
        <v>266</v>
      </c>
      <c r="C180" s="25" t="s">
        <v>26</v>
      </c>
      <c r="D180" s="26">
        <v>46070</v>
      </c>
      <c r="E180" s="140" t="s">
        <v>624</v>
      </c>
      <c r="F180" s="174" t="s">
        <v>706</v>
      </c>
      <c r="G180" s="39">
        <v>4227</v>
      </c>
      <c r="H180" s="120"/>
      <c r="I180" s="1">
        <v>104</v>
      </c>
      <c r="J180" s="29" t="s">
        <v>700</v>
      </c>
      <c r="K180" s="256">
        <v>10000</v>
      </c>
      <c r="L180" s="175"/>
      <c r="M180" s="221">
        <v>1.71</v>
      </c>
      <c r="N180" s="178">
        <f>Tabela1[[#This Row],[PRECIO
USD]]*Tabela1[[#This Row],[MT/YD]]</f>
        <v>17100</v>
      </c>
      <c r="R180" s="56" t="s">
        <v>987</v>
      </c>
      <c r="S180" s="209">
        <v>46171</v>
      </c>
    </row>
    <row r="181" spans="1:19" x14ac:dyDescent="0.35">
      <c r="A181" s="183" t="s">
        <v>701</v>
      </c>
      <c r="B181" s="389" t="s">
        <v>221</v>
      </c>
      <c r="C181" s="25" t="s">
        <v>92</v>
      </c>
      <c r="D181" s="26">
        <v>46073</v>
      </c>
      <c r="E181" s="140" t="s">
        <v>624</v>
      </c>
      <c r="F181" s="60" t="s">
        <v>713</v>
      </c>
      <c r="G181" s="251">
        <v>4870</v>
      </c>
      <c r="I181" s="1">
        <v>105</v>
      </c>
      <c r="J181" s="29" t="s">
        <v>704</v>
      </c>
      <c r="K181" s="162">
        <v>600</v>
      </c>
      <c r="M181" s="221">
        <v>2.2400000000000002</v>
      </c>
      <c r="N181" s="178">
        <f>Tabela1[[#This Row],[PRECIO
USD]]*Tabela1[[#This Row],[MT/YD]]</f>
        <v>1344.0000000000002</v>
      </c>
      <c r="R181" s="177" t="s">
        <v>705</v>
      </c>
    </row>
    <row r="182" spans="1:19" x14ac:dyDescent="0.35">
      <c r="A182" s="183" t="s">
        <v>701</v>
      </c>
      <c r="B182" s="389" t="s">
        <v>221</v>
      </c>
      <c r="C182" s="25" t="s">
        <v>92</v>
      </c>
      <c r="D182" s="26">
        <v>46073</v>
      </c>
      <c r="E182" s="140" t="s">
        <v>624</v>
      </c>
      <c r="F182" s="60" t="s">
        <v>714</v>
      </c>
      <c r="G182" s="251">
        <v>4869</v>
      </c>
      <c r="I182" s="1">
        <v>105</v>
      </c>
      <c r="J182" s="29" t="s">
        <v>703</v>
      </c>
      <c r="K182" s="162">
        <v>1000</v>
      </c>
      <c r="M182" s="221">
        <v>1.67</v>
      </c>
      <c r="N182" s="178">
        <f>Tabela1[[#This Row],[PRECIO
USD]]*Tabela1[[#This Row],[MT/YD]]</f>
        <v>1670</v>
      </c>
      <c r="R182" s="177" t="s">
        <v>705</v>
      </c>
    </row>
    <row r="183" spans="1:19" x14ac:dyDescent="0.35">
      <c r="A183" s="183" t="s">
        <v>707</v>
      </c>
      <c r="B183" s="3" t="s">
        <v>234</v>
      </c>
      <c r="C183" s="25" t="s">
        <v>21</v>
      </c>
      <c r="D183" s="26">
        <v>46073</v>
      </c>
      <c r="E183" s="140" t="s">
        <v>624</v>
      </c>
      <c r="F183" s="97" t="s">
        <v>1257</v>
      </c>
      <c r="G183" s="251">
        <v>4871</v>
      </c>
      <c r="H183" s="120"/>
      <c r="I183" s="1">
        <v>107</v>
      </c>
      <c r="J183" s="29" t="s">
        <v>709</v>
      </c>
      <c r="K183" s="162">
        <v>2000</v>
      </c>
      <c r="M183" s="221">
        <v>1.88</v>
      </c>
      <c r="N183" s="178">
        <f>Tabela1[[#This Row],[PRECIO
USD]]*Tabela1[[#This Row],[MT/YD]]</f>
        <v>3760</v>
      </c>
      <c r="R183" s="177"/>
    </row>
    <row r="184" spans="1:19" x14ac:dyDescent="0.35">
      <c r="A184" s="396" t="s">
        <v>718</v>
      </c>
      <c r="B184" s="325" t="s">
        <v>246</v>
      </c>
      <c r="C184" s="25" t="s">
        <v>21</v>
      </c>
      <c r="D184" s="26">
        <v>46080</v>
      </c>
      <c r="E184" s="140" t="s">
        <v>624</v>
      </c>
      <c r="F184" s="60" t="s">
        <v>736</v>
      </c>
      <c r="G184" s="358">
        <v>4642</v>
      </c>
      <c r="I184" s="1">
        <v>109</v>
      </c>
      <c r="J184" s="29" t="s">
        <v>719</v>
      </c>
      <c r="K184" s="162">
        <v>5000</v>
      </c>
      <c r="M184" s="228">
        <v>1.87</v>
      </c>
      <c r="N184" s="178">
        <f>Tabela1[[#This Row],[PRECIO
USD]]*Tabela1[[#This Row],[MT/YD]]</f>
        <v>9350</v>
      </c>
    </row>
    <row r="185" spans="1:19" x14ac:dyDescent="0.35">
      <c r="A185" s="396" t="s">
        <v>718</v>
      </c>
      <c r="B185" s="325" t="s">
        <v>246</v>
      </c>
      <c r="C185" s="25" t="s">
        <v>21</v>
      </c>
      <c r="D185" s="26">
        <v>46080</v>
      </c>
      <c r="E185" s="140" t="s">
        <v>624</v>
      </c>
      <c r="F185" s="60" t="s">
        <v>721</v>
      </c>
      <c r="G185" s="48">
        <v>4801</v>
      </c>
      <c r="I185" s="1">
        <v>109</v>
      </c>
      <c r="J185" s="29" t="s">
        <v>720</v>
      </c>
      <c r="K185" s="162">
        <v>5800</v>
      </c>
      <c r="M185" s="228">
        <v>1.87</v>
      </c>
      <c r="N185" s="178">
        <f>Tabela1[[#This Row],[PRECIO
USD]]*Tabela1[[#This Row],[MT/YD]]</f>
        <v>10846</v>
      </c>
    </row>
    <row r="186" spans="1:19" x14ac:dyDescent="0.35">
      <c r="A186" s="396" t="s">
        <v>718</v>
      </c>
      <c r="B186" s="325" t="s">
        <v>246</v>
      </c>
      <c r="C186" s="25" t="s">
        <v>21</v>
      </c>
      <c r="D186" s="26">
        <v>46080</v>
      </c>
      <c r="E186" s="140" t="s">
        <v>624</v>
      </c>
      <c r="F186" s="60" t="s">
        <v>724</v>
      </c>
      <c r="G186" s="48">
        <v>4800</v>
      </c>
      <c r="I186" s="1">
        <v>109</v>
      </c>
      <c r="J186" s="29" t="s">
        <v>725</v>
      </c>
      <c r="K186" s="162">
        <v>5800</v>
      </c>
      <c r="M186" s="228">
        <v>1.87</v>
      </c>
      <c r="N186" s="178">
        <f>Tabela1[[#This Row],[PRECIO
USD]]*Tabela1[[#This Row],[MT/YD]]</f>
        <v>10846</v>
      </c>
    </row>
    <row r="187" spans="1:19" x14ac:dyDescent="0.35">
      <c r="A187" s="396" t="s">
        <v>718</v>
      </c>
      <c r="B187" s="325" t="s">
        <v>246</v>
      </c>
      <c r="C187" s="25" t="s">
        <v>21</v>
      </c>
      <c r="D187" s="26">
        <v>46080</v>
      </c>
      <c r="E187" s="140" t="s">
        <v>624</v>
      </c>
      <c r="F187" s="60" t="s">
        <v>722</v>
      </c>
      <c r="G187" s="48">
        <v>4632</v>
      </c>
      <c r="H187" s="15" t="s">
        <v>816</v>
      </c>
      <c r="I187" s="1">
        <v>109</v>
      </c>
      <c r="J187" s="29" t="s">
        <v>723</v>
      </c>
      <c r="K187" s="162">
        <v>3000</v>
      </c>
      <c r="M187" s="228">
        <v>1.87</v>
      </c>
      <c r="N187" s="178">
        <f>Tabela1[[#This Row],[PRECIO
USD]]*Tabela1[[#This Row],[MT/YD]]</f>
        <v>5610</v>
      </c>
      <c r="S187" s="209">
        <v>46136</v>
      </c>
    </row>
    <row r="188" spans="1:19" x14ac:dyDescent="0.35">
      <c r="A188" s="141">
        <v>14541</v>
      </c>
      <c r="B188" s="3" t="s">
        <v>234</v>
      </c>
      <c r="C188" s="25" t="s">
        <v>21</v>
      </c>
      <c r="D188" s="26">
        <v>46093</v>
      </c>
      <c r="E188" s="140" t="s">
        <v>624</v>
      </c>
      <c r="F188" s="376" t="s">
        <v>1256</v>
      </c>
      <c r="G188" s="251" t="s">
        <v>237</v>
      </c>
      <c r="H188" s="15" t="s">
        <v>818</v>
      </c>
      <c r="I188" s="1">
        <v>111</v>
      </c>
      <c r="J188" s="29" t="s">
        <v>238</v>
      </c>
      <c r="K188" s="162">
        <v>5000</v>
      </c>
      <c r="M188" s="254">
        <v>1.58</v>
      </c>
      <c r="N188" s="178">
        <f>Tabela1[[#This Row],[PRECIO
USD]]*Tabela1[[#This Row],[MT/YD]]</f>
        <v>7900</v>
      </c>
      <c r="S188" s="209">
        <v>46128</v>
      </c>
    </row>
    <row r="189" spans="1:19" x14ac:dyDescent="0.35">
      <c r="A189" s="141">
        <v>14541</v>
      </c>
      <c r="B189" s="3" t="s">
        <v>234</v>
      </c>
      <c r="C189" s="25" t="s">
        <v>21</v>
      </c>
      <c r="D189" s="26">
        <v>46093</v>
      </c>
      <c r="E189" s="140" t="s">
        <v>624</v>
      </c>
      <c r="F189" s="376" t="s">
        <v>239</v>
      </c>
      <c r="G189" s="251" t="s">
        <v>240</v>
      </c>
      <c r="I189" s="1">
        <v>111</v>
      </c>
      <c r="J189" s="29" t="s">
        <v>241</v>
      </c>
      <c r="K189" s="162">
        <v>5000</v>
      </c>
      <c r="M189" s="254">
        <v>1.6</v>
      </c>
      <c r="N189" s="178">
        <f>Tabela1[[#This Row],[PRECIO
USD]]*Tabela1[[#This Row],[MT/YD]]</f>
        <v>8000</v>
      </c>
    </row>
    <row r="190" spans="1:19" x14ac:dyDescent="0.35">
      <c r="A190" s="141">
        <v>14541</v>
      </c>
      <c r="B190" s="3" t="s">
        <v>234</v>
      </c>
      <c r="C190" s="25" t="s">
        <v>21</v>
      </c>
      <c r="D190" s="26">
        <v>46093</v>
      </c>
      <c r="E190" s="140" t="s">
        <v>624</v>
      </c>
      <c r="F190" s="375" t="s">
        <v>1068</v>
      </c>
      <c r="G190" s="251" t="s">
        <v>242</v>
      </c>
      <c r="I190" s="1">
        <v>111</v>
      </c>
      <c r="J190" s="29" t="s">
        <v>243</v>
      </c>
      <c r="K190" s="162">
        <v>5000</v>
      </c>
      <c r="M190" s="254">
        <v>1.65</v>
      </c>
      <c r="N190" s="178">
        <f>Tabela1[[#This Row],[PRECIO
USD]]*Tabela1[[#This Row],[MT/YD]]</f>
        <v>8250</v>
      </c>
    </row>
    <row r="191" spans="1:19" x14ac:dyDescent="0.35">
      <c r="A191" s="141">
        <v>14546</v>
      </c>
      <c r="B191" s="3" t="s">
        <v>234</v>
      </c>
      <c r="C191" s="25" t="s">
        <v>21</v>
      </c>
      <c r="D191" s="26">
        <v>46094</v>
      </c>
      <c r="E191" s="140" t="s">
        <v>624</v>
      </c>
      <c r="F191" s="60" t="s">
        <v>690</v>
      </c>
      <c r="G191" s="251" t="s">
        <v>756</v>
      </c>
      <c r="I191" s="1">
        <v>112</v>
      </c>
      <c r="J191" s="29" t="s">
        <v>759</v>
      </c>
      <c r="K191" s="162">
        <v>2000</v>
      </c>
      <c r="M191" s="221">
        <v>1.7</v>
      </c>
      <c r="N191" s="178">
        <f>Tabela1[[#This Row],[PRECIO
USD]]*Tabela1[[#This Row],[MT/YD]]</f>
        <v>3400</v>
      </c>
    </row>
    <row r="192" spans="1:19" ht="15.75" customHeight="1" x14ac:dyDescent="0.35">
      <c r="A192" s="103">
        <v>2006042</v>
      </c>
      <c r="B192" s="390" t="s">
        <v>246</v>
      </c>
      <c r="C192" s="25" t="s">
        <v>21</v>
      </c>
      <c r="D192" s="189">
        <v>46093</v>
      </c>
      <c r="E192" s="190" t="s">
        <v>624</v>
      </c>
      <c r="F192" s="68" t="s">
        <v>760</v>
      </c>
      <c r="G192" s="149">
        <v>4786</v>
      </c>
      <c r="H192" s="160">
        <v>540</v>
      </c>
      <c r="I192" s="51">
        <v>113</v>
      </c>
      <c r="J192" s="161" t="s">
        <v>761</v>
      </c>
      <c r="K192" s="191">
        <v>4600</v>
      </c>
      <c r="L192" s="192"/>
      <c r="M192" s="223">
        <v>2.25</v>
      </c>
      <c r="N192" s="197">
        <f>Tabela1[[#This Row],[PRECIO
USD]]*Tabela1[[#This Row],[MT/YD]]</f>
        <v>10350</v>
      </c>
      <c r="R192" t="s">
        <v>762</v>
      </c>
      <c r="S192" s="209">
        <v>46133</v>
      </c>
    </row>
    <row r="193" spans="1:21" ht="18" customHeight="1" x14ac:dyDescent="0.35">
      <c r="A193" s="141">
        <v>6416</v>
      </c>
      <c r="B193" s="3" t="s">
        <v>681</v>
      </c>
      <c r="C193" s="25" t="s">
        <v>21</v>
      </c>
      <c r="D193" s="189">
        <v>46107</v>
      </c>
      <c r="E193" s="190" t="s">
        <v>765</v>
      </c>
      <c r="F193" s="60" t="s">
        <v>811</v>
      </c>
      <c r="G193" s="365">
        <v>4834</v>
      </c>
      <c r="H193" s="15">
        <v>543</v>
      </c>
      <c r="I193" s="1">
        <v>115</v>
      </c>
      <c r="J193" s="29" t="s">
        <v>810</v>
      </c>
      <c r="K193" s="162">
        <v>2500</v>
      </c>
      <c r="M193" s="222">
        <v>2.57</v>
      </c>
      <c r="N193" s="197">
        <f>Tabela1[[#This Row],[PRECIO
USD]]*Tabela1[[#This Row],[MT/YD]]</f>
        <v>6425</v>
      </c>
      <c r="S193" s="209">
        <v>46141</v>
      </c>
    </row>
    <row r="194" spans="1:21" x14ac:dyDescent="0.35">
      <c r="A194" s="103">
        <v>2006193</v>
      </c>
      <c r="B194" s="3" t="s">
        <v>246</v>
      </c>
      <c r="C194" s="25" t="s">
        <v>21</v>
      </c>
      <c r="D194" s="189">
        <v>46107</v>
      </c>
      <c r="E194" s="190" t="s">
        <v>765</v>
      </c>
      <c r="F194" s="104" t="s">
        <v>781</v>
      </c>
      <c r="G194" s="358">
        <v>4967</v>
      </c>
      <c r="H194" s="15">
        <v>555</v>
      </c>
      <c r="I194" s="199">
        <v>116</v>
      </c>
      <c r="J194" s="29" t="s">
        <v>766</v>
      </c>
      <c r="K194" s="162">
        <v>2000</v>
      </c>
      <c r="M194" s="225">
        <v>1.75</v>
      </c>
      <c r="N194" s="197">
        <f>Tabela1[[#This Row],[PRECIO
USD]]*Tabela1[[#This Row],[MT/YD]]</f>
        <v>3500</v>
      </c>
      <c r="S194" s="209">
        <v>46139</v>
      </c>
    </row>
    <row r="195" spans="1:21" x14ac:dyDescent="0.35">
      <c r="A195" s="103">
        <v>2006193</v>
      </c>
      <c r="B195" s="3" t="s">
        <v>246</v>
      </c>
      <c r="C195" s="25" t="s">
        <v>21</v>
      </c>
      <c r="D195" s="189">
        <v>46107</v>
      </c>
      <c r="E195" s="190" t="s">
        <v>765</v>
      </c>
      <c r="F195" s="104" t="s">
        <v>780</v>
      </c>
      <c r="G195" s="358">
        <v>4966</v>
      </c>
      <c r="H195" s="15">
        <v>556</v>
      </c>
      <c r="I195" s="199">
        <v>116</v>
      </c>
      <c r="J195" s="29" t="s">
        <v>767</v>
      </c>
      <c r="K195" s="162">
        <v>1700</v>
      </c>
      <c r="M195" s="225">
        <v>1.71</v>
      </c>
      <c r="N195" s="197">
        <f>Tabela1[[#This Row],[PRECIO
USD]]*Tabela1[[#This Row],[MT/YD]]</f>
        <v>2907</v>
      </c>
    </row>
    <row r="196" spans="1:21" x14ac:dyDescent="0.35">
      <c r="A196" s="103">
        <v>14549</v>
      </c>
      <c r="B196" s="3" t="s">
        <v>234</v>
      </c>
      <c r="C196" s="25" t="s">
        <v>21</v>
      </c>
      <c r="D196" s="189">
        <v>46107</v>
      </c>
      <c r="E196" s="190" t="s">
        <v>765</v>
      </c>
      <c r="F196" s="60" t="s">
        <v>770</v>
      </c>
      <c r="G196" s="326">
        <v>4851</v>
      </c>
      <c r="H196" s="15">
        <v>544</v>
      </c>
      <c r="I196" s="51">
        <v>117</v>
      </c>
      <c r="J196" s="29" t="s">
        <v>1013</v>
      </c>
      <c r="K196" s="162">
        <v>3500</v>
      </c>
      <c r="M196" s="221">
        <v>1.93</v>
      </c>
      <c r="N196" s="197">
        <f>Tabela1[[#This Row],[PRECIO
USD]]*Tabela1[[#This Row],[MT/YD]]</f>
        <v>6755</v>
      </c>
      <c r="S196" s="209">
        <v>46148</v>
      </c>
    </row>
    <row r="197" spans="1:21" x14ac:dyDescent="0.35">
      <c r="A197" s="103">
        <v>14549</v>
      </c>
      <c r="B197" s="3" t="s">
        <v>234</v>
      </c>
      <c r="C197" s="25" t="s">
        <v>21</v>
      </c>
      <c r="D197" s="189">
        <v>46107</v>
      </c>
      <c r="E197" s="190" t="s">
        <v>765</v>
      </c>
      <c r="F197" s="60" t="s">
        <v>771</v>
      </c>
      <c r="G197" s="326">
        <v>4852</v>
      </c>
      <c r="H197" s="15">
        <v>545</v>
      </c>
      <c r="I197" s="51">
        <v>117</v>
      </c>
      <c r="J197" s="29" t="s">
        <v>1266</v>
      </c>
      <c r="K197" s="162">
        <v>3500</v>
      </c>
      <c r="M197" s="223">
        <v>2.06</v>
      </c>
      <c r="N197" s="197">
        <f>Tabela1[[#This Row],[PRECIO
USD]]*Tabela1[[#This Row],[MT/YD]]</f>
        <v>7210</v>
      </c>
      <c r="S197" s="209">
        <v>46148</v>
      </c>
    </row>
    <row r="198" spans="1:21" x14ac:dyDescent="0.35">
      <c r="A198" s="103">
        <v>14549</v>
      </c>
      <c r="B198" s="3" t="s">
        <v>234</v>
      </c>
      <c r="C198" s="25" t="s">
        <v>21</v>
      </c>
      <c r="D198" s="189">
        <v>46107</v>
      </c>
      <c r="E198" s="190" t="s">
        <v>765</v>
      </c>
      <c r="F198" s="97" t="s">
        <v>1257</v>
      </c>
      <c r="G198" s="358">
        <v>4871</v>
      </c>
      <c r="H198" s="15">
        <v>546</v>
      </c>
      <c r="I198" s="51">
        <v>117</v>
      </c>
      <c r="J198" s="298" t="s">
        <v>1014</v>
      </c>
      <c r="K198" s="162">
        <v>3500</v>
      </c>
      <c r="M198" s="221">
        <v>1.9</v>
      </c>
      <c r="N198" s="197">
        <f>Tabela1[[#This Row],[PRECIO
USD]]*Tabela1[[#This Row],[MT/YD]]</f>
        <v>6650</v>
      </c>
      <c r="S198" s="209">
        <v>46148</v>
      </c>
    </row>
    <row r="199" spans="1:21" ht="13.5" customHeight="1" x14ac:dyDescent="0.35">
      <c r="A199" s="103">
        <v>14563</v>
      </c>
      <c r="B199" s="3" t="s">
        <v>234</v>
      </c>
      <c r="C199" s="25" t="s">
        <v>21</v>
      </c>
      <c r="D199" s="189">
        <v>46107</v>
      </c>
      <c r="E199" s="190" t="s">
        <v>765</v>
      </c>
      <c r="F199" s="60" t="s">
        <v>769</v>
      </c>
      <c r="G199" s="48">
        <v>4635</v>
      </c>
      <c r="I199" s="1">
        <v>118</v>
      </c>
      <c r="J199" s="29" t="s">
        <v>768</v>
      </c>
      <c r="K199" s="162">
        <v>3000</v>
      </c>
      <c r="M199" s="228">
        <v>1.95</v>
      </c>
      <c r="N199" s="197">
        <f>Tabela1[[#This Row],[PRECIO
USD]]*Tabela1[[#This Row],[MT/YD]]</f>
        <v>5850</v>
      </c>
    </row>
    <row r="200" spans="1:21" ht="18" customHeight="1" x14ac:dyDescent="0.35">
      <c r="A200" s="43" t="s">
        <v>773</v>
      </c>
      <c r="B200" s="325" t="s">
        <v>33</v>
      </c>
      <c r="C200" s="25" t="s">
        <v>38</v>
      </c>
      <c r="D200" s="189">
        <v>46112</v>
      </c>
      <c r="E200" s="190" t="s">
        <v>765</v>
      </c>
      <c r="F200" s="60" t="s">
        <v>777</v>
      </c>
      <c r="G200" s="48">
        <v>4964</v>
      </c>
      <c r="H200" s="15">
        <v>549</v>
      </c>
      <c r="I200" s="1">
        <v>119</v>
      </c>
      <c r="J200" s="31" t="s">
        <v>775</v>
      </c>
      <c r="K200" s="162">
        <v>15000</v>
      </c>
      <c r="M200" s="221">
        <v>2.34</v>
      </c>
      <c r="N200" s="197">
        <f>Tabela1[[#This Row],[PRECIO
USD]]*Tabela1[[#This Row],[MT/YD]]</f>
        <v>35100</v>
      </c>
      <c r="R200" t="s">
        <v>883</v>
      </c>
      <c r="S200" s="209">
        <v>46149</v>
      </c>
      <c r="T200" t="s">
        <v>1164</v>
      </c>
      <c r="U200" s="138">
        <v>46255</v>
      </c>
    </row>
    <row r="201" spans="1:21" s="207" customFormat="1" x14ac:dyDescent="0.35">
      <c r="A201" s="397">
        <v>2004337</v>
      </c>
      <c r="B201" s="3" t="s">
        <v>109</v>
      </c>
      <c r="C201" s="25" t="s">
        <v>92</v>
      </c>
      <c r="D201" s="202">
        <v>46121</v>
      </c>
      <c r="E201" s="203" t="s">
        <v>765</v>
      </c>
      <c r="F201" s="204" t="s">
        <v>808</v>
      </c>
      <c r="G201" s="366">
        <v>4970</v>
      </c>
      <c r="H201" s="15">
        <v>560</v>
      </c>
      <c r="I201" s="205">
        <v>120</v>
      </c>
      <c r="J201" s="31" t="s">
        <v>807</v>
      </c>
      <c r="K201" s="206">
        <v>1400</v>
      </c>
      <c r="L201" s="50"/>
      <c r="M201" s="234">
        <v>2.04</v>
      </c>
      <c r="N201" s="201">
        <f>Tabela1[[#This Row],[PRECIO
USD]]*Tabela1[[#This Row],[MT/YD]]</f>
        <v>2856</v>
      </c>
      <c r="O201"/>
      <c r="P201"/>
      <c r="Q201"/>
      <c r="R201" s="207" t="s">
        <v>819</v>
      </c>
      <c r="S201" s="211">
        <v>46127</v>
      </c>
    </row>
    <row r="202" spans="1:21" x14ac:dyDescent="0.35">
      <c r="A202" s="43">
        <v>6485</v>
      </c>
      <c r="B202" s="3" t="s">
        <v>681</v>
      </c>
      <c r="C202" s="25" t="s">
        <v>21</v>
      </c>
      <c r="D202" s="189">
        <v>46126</v>
      </c>
      <c r="E202" s="203" t="s">
        <v>765</v>
      </c>
      <c r="F202" s="60" t="s">
        <v>851</v>
      </c>
      <c r="G202" s="48">
        <v>4973</v>
      </c>
      <c r="H202" s="15" t="s">
        <v>8</v>
      </c>
      <c r="I202" s="205">
        <v>121</v>
      </c>
      <c r="J202" s="31" t="s">
        <v>699</v>
      </c>
      <c r="K202" s="162">
        <v>3750</v>
      </c>
      <c r="M202" s="234">
        <v>2.57</v>
      </c>
      <c r="N202" s="201">
        <f>Tabela1[[#This Row],[PRECIO
USD]]*Tabela1[[#This Row],[MT/YD]]</f>
        <v>9637.5</v>
      </c>
      <c r="R202" s="207" t="s">
        <v>294</v>
      </c>
      <c r="S202" s="211"/>
    </row>
    <row r="203" spans="1:21" x14ac:dyDescent="0.35">
      <c r="A203" s="43">
        <v>6493</v>
      </c>
      <c r="B203" s="3" t="s">
        <v>681</v>
      </c>
      <c r="C203" s="25" t="s">
        <v>21</v>
      </c>
      <c r="D203" s="189">
        <v>46126</v>
      </c>
      <c r="E203" s="203" t="s">
        <v>765</v>
      </c>
      <c r="F203" s="60" t="s">
        <v>851</v>
      </c>
      <c r="G203" s="48">
        <v>4973</v>
      </c>
      <c r="H203" s="15" t="s">
        <v>8</v>
      </c>
      <c r="I203" s="214">
        <v>122</v>
      </c>
      <c r="J203" s="31" t="s">
        <v>699</v>
      </c>
      <c r="K203" s="162">
        <v>3750</v>
      </c>
      <c r="M203" s="234">
        <v>2.57</v>
      </c>
      <c r="N203" s="201">
        <f>Tabela1[[#This Row],[PRECIO
USD]]*Tabela1[[#This Row],[MT/YD]]</f>
        <v>9637.5</v>
      </c>
      <c r="R203" s="207" t="s">
        <v>294</v>
      </c>
      <c r="S203" s="211"/>
    </row>
    <row r="204" spans="1:21" x14ac:dyDescent="0.35">
      <c r="A204" s="103">
        <v>6486</v>
      </c>
      <c r="B204" s="3" t="s">
        <v>681</v>
      </c>
      <c r="C204" s="25" t="s">
        <v>21</v>
      </c>
      <c r="D204" s="189">
        <v>46126</v>
      </c>
      <c r="E204" s="203" t="s">
        <v>765</v>
      </c>
      <c r="F204" s="60" t="s">
        <v>838</v>
      </c>
      <c r="G204" s="48">
        <v>4417</v>
      </c>
      <c r="H204" s="15" t="s">
        <v>8</v>
      </c>
      <c r="I204" s="205">
        <v>125</v>
      </c>
      <c r="J204" s="31" t="s">
        <v>839</v>
      </c>
      <c r="K204" s="162">
        <v>1500</v>
      </c>
      <c r="M204" s="216">
        <v>2.2999999999999998</v>
      </c>
      <c r="N204" s="201">
        <f>Tabela1[[#This Row],[PRECIO
USD]]*Tabela1[[#This Row],[MT/YD]]</f>
        <v>3449.9999999999995</v>
      </c>
      <c r="R204" s="207" t="s">
        <v>853</v>
      </c>
      <c r="S204" s="211"/>
    </row>
    <row r="205" spans="1:21" x14ac:dyDescent="0.35">
      <c r="A205" s="103">
        <v>6486</v>
      </c>
      <c r="B205" s="3" t="s">
        <v>681</v>
      </c>
      <c r="C205" s="25" t="s">
        <v>21</v>
      </c>
      <c r="D205" s="189">
        <v>46126</v>
      </c>
      <c r="E205" s="203" t="s">
        <v>765</v>
      </c>
      <c r="F205" s="60" t="s">
        <v>857</v>
      </c>
      <c r="G205" s="48">
        <v>4383</v>
      </c>
      <c r="H205" s="15" t="s">
        <v>8</v>
      </c>
      <c r="I205" s="205">
        <v>125</v>
      </c>
      <c r="J205" s="31" t="s">
        <v>843</v>
      </c>
      <c r="K205" s="162">
        <v>1000</v>
      </c>
      <c r="M205" s="216">
        <v>2.17</v>
      </c>
      <c r="N205" s="201">
        <f>Tabela1[[#This Row],[PRECIO
USD]]*Tabela1[[#This Row],[MT/YD]]</f>
        <v>2170</v>
      </c>
      <c r="R205" s="207" t="s">
        <v>301</v>
      </c>
      <c r="S205" s="211"/>
    </row>
    <row r="206" spans="1:21" x14ac:dyDescent="0.35">
      <c r="A206" s="103">
        <v>6486</v>
      </c>
      <c r="B206" s="3" t="s">
        <v>681</v>
      </c>
      <c r="C206" s="25" t="s">
        <v>21</v>
      </c>
      <c r="D206" s="189">
        <v>46126</v>
      </c>
      <c r="E206" s="203" t="s">
        <v>765</v>
      </c>
      <c r="F206" s="111" t="s">
        <v>854</v>
      </c>
      <c r="G206" s="48">
        <v>3650</v>
      </c>
      <c r="H206" s="15" t="s">
        <v>8</v>
      </c>
      <c r="I206" s="205">
        <v>125</v>
      </c>
      <c r="J206" s="31" t="s">
        <v>844</v>
      </c>
      <c r="K206" s="162">
        <v>1000</v>
      </c>
      <c r="M206" s="216">
        <v>2.91</v>
      </c>
      <c r="N206" s="201">
        <f>Tabela1[[#This Row],[PRECIO
USD]]*Tabela1[[#This Row],[MT/YD]]</f>
        <v>2910</v>
      </c>
      <c r="R206" s="207" t="s">
        <v>301</v>
      </c>
      <c r="S206" s="211"/>
    </row>
    <row r="207" spans="1:21" ht="14.5" customHeight="1" x14ac:dyDescent="0.35">
      <c r="A207" s="398">
        <v>2004493</v>
      </c>
      <c r="B207" s="3" t="s">
        <v>109</v>
      </c>
      <c r="C207" s="25" t="s">
        <v>92</v>
      </c>
      <c r="D207" s="189">
        <v>46126</v>
      </c>
      <c r="E207" s="203" t="s">
        <v>765</v>
      </c>
      <c r="F207" s="60" t="s">
        <v>840</v>
      </c>
      <c r="G207" s="48">
        <v>4965</v>
      </c>
      <c r="H207" s="15" t="s">
        <v>8</v>
      </c>
      <c r="I207" s="205">
        <v>123</v>
      </c>
      <c r="J207" s="31" t="s">
        <v>845</v>
      </c>
      <c r="K207" s="162">
        <v>1500</v>
      </c>
      <c r="M207" s="236">
        <v>5.04</v>
      </c>
      <c r="N207" s="201">
        <f>Tabela1[[#This Row],[PRECIO
USD]]*Tabela1[[#This Row],[MT/YD]]</f>
        <v>7560</v>
      </c>
      <c r="R207" s="207" t="s">
        <v>301</v>
      </c>
      <c r="S207" s="211"/>
    </row>
    <row r="208" spans="1:21" x14ac:dyDescent="0.35">
      <c r="A208" s="103" t="s">
        <v>824</v>
      </c>
      <c r="B208" s="3" t="s">
        <v>832</v>
      </c>
      <c r="C208" s="25" t="s">
        <v>833</v>
      </c>
      <c r="D208" s="189">
        <v>46126</v>
      </c>
      <c r="E208" s="203" t="s">
        <v>765</v>
      </c>
      <c r="F208" s="60" t="s">
        <v>847</v>
      </c>
      <c r="G208" s="48">
        <v>5008</v>
      </c>
      <c r="H208" s="15" t="s">
        <v>8</v>
      </c>
      <c r="I208" s="205">
        <v>126</v>
      </c>
      <c r="J208" s="31" t="s">
        <v>852</v>
      </c>
      <c r="K208" s="162">
        <v>1000</v>
      </c>
      <c r="L208" s="175"/>
      <c r="M208" s="235">
        <v>2.3199999999999998</v>
      </c>
      <c r="N208" s="201">
        <f>Tabela1[[#This Row],[PRECIO
USD]]*Tabela1[[#This Row],[MT/YD]]</f>
        <v>2320</v>
      </c>
      <c r="R208" s="207" t="s">
        <v>301</v>
      </c>
      <c r="S208" s="211"/>
    </row>
    <row r="209" spans="1:19" x14ac:dyDescent="0.35">
      <c r="A209" s="103" t="s">
        <v>824</v>
      </c>
      <c r="B209" s="3" t="s">
        <v>832</v>
      </c>
      <c r="C209" s="25" t="s">
        <v>833</v>
      </c>
      <c r="D209" s="189">
        <v>46126</v>
      </c>
      <c r="E209" s="203" t="s">
        <v>765</v>
      </c>
      <c r="F209" s="60" t="s">
        <v>848</v>
      </c>
      <c r="G209" s="48">
        <v>5009</v>
      </c>
      <c r="H209" s="15" t="s">
        <v>8</v>
      </c>
      <c r="I209" s="205">
        <v>126</v>
      </c>
      <c r="J209" s="31" t="s">
        <v>834</v>
      </c>
      <c r="K209" s="162">
        <v>1000</v>
      </c>
      <c r="L209" s="175"/>
      <c r="M209" s="235">
        <v>2.3199999999999998</v>
      </c>
      <c r="N209" s="201">
        <f>Tabela1[[#This Row],[PRECIO
USD]]*Tabela1[[#This Row],[MT/YD]]</f>
        <v>2320</v>
      </c>
      <c r="R209" s="207" t="s">
        <v>294</v>
      </c>
      <c r="S209" s="211"/>
    </row>
    <row r="210" spans="1:19" x14ac:dyDescent="0.35">
      <c r="A210" s="103" t="s">
        <v>824</v>
      </c>
      <c r="B210" s="3" t="s">
        <v>832</v>
      </c>
      <c r="C210" s="25" t="s">
        <v>833</v>
      </c>
      <c r="D210" s="189">
        <v>46126</v>
      </c>
      <c r="E210" s="203" t="s">
        <v>765</v>
      </c>
      <c r="F210" s="60" t="s">
        <v>849</v>
      </c>
      <c r="G210" s="48">
        <v>5010</v>
      </c>
      <c r="H210" s="15" t="s">
        <v>8</v>
      </c>
      <c r="I210" s="205">
        <v>126</v>
      </c>
      <c r="J210" s="31" t="s">
        <v>834</v>
      </c>
      <c r="K210" s="162">
        <v>1000</v>
      </c>
      <c r="L210" s="175"/>
      <c r="M210" s="235">
        <v>2.3199999999999998</v>
      </c>
      <c r="N210" s="201">
        <f>Tabela1[[#This Row],[PRECIO
USD]]*Tabela1[[#This Row],[MT/YD]]</f>
        <v>2320</v>
      </c>
      <c r="R210" s="207" t="s">
        <v>294</v>
      </c>
      <c r="S210" s="211"/>
    </row>
    <row r="211" spans="1:19" x14ac:dyDescent="0.35">
      <c r="A211" s="103" t="s">
        <v>824</v>
      </c>
      <c r="B211" s="3" t="s">
        <v>832</v>
      </c>
      <c r="C211" s="25" t="s">
        <v>833</v>
      </c>
      <c r="D211" s="189">
        <v>46126</v>
      </c>
      <c r="E211" s="203" t="s">
        <v>765</v>
      </c>
      <c r="F211" s="60" t="s">
        <v>858</v>
      </c>
      <c r="G211" s="48">
        <v>5011</v>
      </c>
      <c r="H211" s="15" t="s">
        <v>8</v>
      </c>
      <c r="I211" s="205">
        <v>126</v>
      </c>
      <c r="J211" s="31" t="s">
        <v>834</v>
      </c>
      <c r="K211" s="162">
        <v>1000</v>
      </c>
      <c r="L211" s="175"/>
      <c r="M211" s="235">
        <v>2.3199999999999998</v>
      </c>
      <c r="N211" s="201">
        <f>Tabela1[[#This Row],[PRECIO
USD]]*Tabela1[[#This Row],[MT/YD]]</f>
        <v>2320</v>
      </c>
      <c r="R211" s="207" t="s">
        <v>294</v>
      </c>
      <c r="S211" s="211"/>
    </row>
    <row r="212" spans="1:19" x14ac:dyDescent="0.35">
      <c r="A212" s="103" t="s">
        <v>824</v>
      </c>
      <c r="B212" s="3" t="s">
        <v>832</v>
      </c>
      <c r="C212" s="25" t="s">
        <v>833</v>
      </c>
      <c r="D212" s="189">
        <v>46126</v>
      </c>
      <c r="E212" s="203" t="s">
        <v>765</v>
      </c>
      <c r="F212" s="60" t="s">
        <v>850</v>
      </c>
      <c r="G212" s="48">
        <v>5012</v>
      </c>
      <c r="H212" s="15" t="s">
        <v>8</v>
      </c>
      <c r="I212" s="205">
        <v>126</v>
      </c>
      <c r="J212" s="31" t="s">
        <v>835</v>
      </c>
      <c r="K212" s="162">
        <v>500</v>
      </c>
      <c r="L212" s="175"/>
      <c r="M212" s="235">
        <v>1.74</v>
      </c>
      <c r="N212" s="201">
        <f>Tabela1[[#This Row],[PRECIO
USD]]*Tabela1[[#This Row],[MT/YD]]</f>
        <v>870</v>
      </c>
      <c r="R212" s="207" t="s">
        <v>294</v>
      </c>
      <c r="S212" s="211"/>
    </row>
    <row r="213" spans="1:19" x14ac:dyDescent="0.35">
      <c r="A213" s="398">
        <v>2004507</v>
      </c>
      <c r="B213" s="3" t="s">
        <v>109</v>
      </c>
      <c r="C213" s="25" t="s">
        <v>92</v>
      </c>
      <c r="D213" s="189">
        <v>46126</v>
      </c>
      <c r="E213" s="203" t="s">
        <v>765</v>
      </c>
      <c r="F213" s="60" t="s">
        <v>855</v>
      </c>
      <c r="G213" s="48">
        <v>4663</v>
      </c>
      <c r="H213" s="15" t="s">
        <v>8</v>
      </c>
      <c r="I213" s="205">
        <v>124</v>
      </c>
      <c r="J213" s="31" t="s">
        <v>1002</v>
      </c>
      <c r="K213" s="162">
        <v>5000</v>
      </c>
      <c r="M213" s="234">
        <v>2.21</v>
      </c>
      <c r="N213" s="201">
        <f>Tabela1[[#This Row],[PRECIO
USD]]*Tabela1[[#This Row],[MT/YD]]</f>
        <v>11050</v>
      </c>
      <c r="R213" s="207" t="s">
        <v>846</v>
      </c>
      <c r="S213" s="211"/>
    </row>
    <row r="214" spans="1:19" x14ac:dyDescent="0.35">
      <c r="A214" s="398">
        <v>2004507</v>
      </c>
      <c r="B214" s="3" t="s">
        <v>109</v>
      </c>
      <c r="C214" s="25" t="s">
        <v>92</v>
      </c>
      <c r="D214" s="189">
        <v>46126</v>
      </c>
      <c r="E214" s="203" t="s">
        <v>765</v>
      </c>
      <c r="F214" s="60" t="s">
        <v>841</v>
      </c>
      <c r="G214" s="48">
        <v>4672</v>
      </c>
      <c r="H214" s="15" t="s">
        <v>8</v>
      </c>
      <c r="I214" s="205">
        <v>124</v>
      </c>
      <c r="J214" s="31" t="s">
        <v>836</v>
      </c>
      <c r="K214" s="162">
        <v>4000</v>
      </c>
      <c r="M214" s="234">
        <v>1.92</v>
      </c>
      <c r="N214" s="201">
        <f>Tabela1[[#This Row],[PRECIO
USD]]*Tabela1[[#This Row],[MT/YD]]</f>
        <v>7680</v>
      </c>
      <c r="R214" s="207" t="s">
        <v>846</v>
      </c>
      <c r="S214" s="211"/>
    </row>
    <row r="215" spans="1:19" x14ac:dyDescent="0.35">
      <c r="A215" s="398">
        <v>2004507</v>
      </c>
      <c r="B215" s="3" t="s">
        <v>109</v>
      </c>
      <c r="C215" s="25" t="s">
        <v>92</v>
      </c>
      <c r="D215" s="189">
        <v>46126</v>
      </c>
      <c r="E215" s="203" t="s">
        <v>765</v>
      </c>
      <c r="F215" s="60" t="s">
        <v>842</v>
      </c>
      <c r="G215" s="48">
        <v>4820</v>
      </c>
      <c r="H215" s="15" t="s">
        <v>8</v>
      </c>
      <c r="I215" s="205">
        <v>124</v>
      </c>
      <c r="J215" s="31" t="s">
        <v>837</v>
      </c>
      <c r="K215" s="162">
        <v>3000</v>
      </c>
      <c r="M215" s="234">
        <v>2.0499999999999998</v>
      </c>
      <c r="N215" s="201">
        <f>Tabela1[[#This Row],[PRECIO
USD]]*Tabela1[[#This Row],[MT/YD]]</f>
        <v>6149.9999999999991</v>
      </c>
      <c r="R215" s="207" t="s">
        <v>846</v>
      </c>
      <c r="S215" s="211"/>
    </row>
    <row r="216" spans="1:19" x14ac:dyDescent="0.35">
      <c r="A216" s="399">
        <v>2006372</v>
      </c>
      <c r="B216" s="3" t="s">
        <v>246</v>
      </c>
      <c r="C216" s="25" t="s">
        <v>21</v>
      </c>
      <c r="D216" s="189">
        <v>46128</v>
      </c>
      <c r="E216" s="203" t="s">
        <v>884</v>
      </c>
      <c r="F216" s="60" t="s">
        <v>869</v>
      </c>
      <c r="G216" s="366">
        <v>5037</v>
      </c>
      <c r="I216" s="249">
        <v>128</v>
      </c>
      <c r="J216" s="31" t="s">
        <v>860</v>
      </c>
      <c r="K216" s="162">
        <v>1500</v>
      </c>
      <c r="M216" s="246">
        <v>2.48</v>
      </c>
      <c r="N216" s="201">
        <f>Tabela1[[#This Row],[PRECIO
USD]]*Tabela1[[#This Row],[MT/YD]]</f>
        <v>3720</v>
      </c>
      <c r="R216" s="238" t="s">
        <v>881</v>
      </c>
      <c r="S216" s="211"/>
    </row>
    <row r="217" spans="1:19" x14ac:dyDescent="0.35">
      <c r="A217" s="399">
        <v>2006372</v>
      </c>
      <c r="B217" s="3" t="s">
        <v>246</v>
      </c>
      <c r="C217" s="25" t="s">
        <v>21</v>
      </c>
      <c r="D217" s="189">
        <v>46128</v>
      </c>
      <c r="E217" s="203" t="s">
        <v>884</v>
      </c>
      <c r="F217" s="60" t="s">
        <v>999</v>
      </c>
      <c r="G217" s="366">
        <v>5043</v>
      </c>
      <c r="I217" s="249">
        <v>128</v>
      </c>
      <c r="J217" s="31" t="s">
        <v>874</v>
      </c>
      <c r="K217" s="162">
        <v>7000</v>
      </c>
      <c r="M217" s="246">
        <v>1.94</v>
      </c>
      <c r="N217" s="201">
        <f>Tabela1[[#This Row],[PRECIO
USD]]*Tabela1[[#This Row],[MT/YD]]</f>
        <v>13580</v>
      </c>
      <c r="R217" s="238" t="s">
        <v>882</v>
      </c>
      <c r="S217" s="211"/>
    </row>
    <row r="218" spans="1:19" x14ac:dyDescent="0.35">
      <c r="A218" s="399">
        <v>2006372</v>
      </c>
      <c r="B218" s="3" t="s">
        <v>246</v>
      </c>
      <c r="C218" s="25" t="s">
        <v>21</v>
      </c>
      <c r="D218" s="189">
        <v>46128</v>
      </c>
      <c r="E218" s="203" t="s">
        <v>884</v>
      </c>
      <c r="F218" s="60" t="s">
        <v>870</v>
      </c>
      <c r="G218" s="366">
        <v>4642</v>
      </c>
      <c r="I218" s="249">
        <v>128</v>
      </c>
      <c r="J218" s="31" t="s">
        <v>861</v>
      </c>
      <c r="K218" s="162">
        <v>6000</v>
      </c>
      <c r="M218" s="246">
        <v>2.0299999999999998</v>
      </c>
      <c r="N218" s="201">
        <f>Tabela1[[#This Row],[PRECIO
USD]]*Tabela1[[#This Row],[MT/YD]]</f>
        <v>12179.999999999998</v>
      </c>
      <c r="R218" s="238" t="s">
        <v>872</v>
      </c>
      <c r="S218" s="211"/>
    </row>
    <row r="219" spans="1:19" x14ac:dyDescent="0.35">
      <c r="A219" s="399">
        <v>2006372</v>
      </c>
      <c r="B219" s="3" t="s">
        <v>246</v>
      </c>
      <c r="C219" s="25" t="s">
        <v>21</v>
      </c>
      <c r="D219" s="189">
        <v>46128</v>
      </c>
      <c r="E219" s="203" t="s">
        <v>884</v>
      </c>
      <c r="F219" s="248" t="s">
        <v>871</v>
      </c>
      <c r="G219" s="366">
        <v>4801</v>
      </c>
      <c r="I219" s="249">
        <v>128</v>
      </c>
      <c r="J219" s="31" t="s">
        <v>862</v>
      </c>
      <c r="K219" s="162">
        <v>2000</v>
      </c>
      <c r="M219" s="246">
        <v>2.0299999999999998</v>
      </c>
      <c r="N219" s="201">
        <f>Tabela1[[#This Row],[PRECIO
USD]]*Tabela1[[#This Row],[MT/YD]]</f>
        <v>4059.9999999999995</v>
      </c>
      <c r="R219" s="238" t="s">
        <v>873</v>
      </c>
      <c r="S219" s="211"/>
    </row>
    <row r="220" spans="1:19" x14ac:dyDescent="0.35">
      <c r="A220" s="125" t="s">
        <v>864</v>
      </c>
      <c r="B220" s="3" t="s">
        <v>403</v>
      </c>
      <c r="C220" s="25" t="s">
        <v>92</v>
      </c>
      <c r="D220" s="26">
        <v>46136</v>
      </c>
      <c r="E220" s="203" t="s">
        <v>884</v>
      </c>
      <c r="F220" s="376" t="s">
        <v>525</v>
      </c>
      <c r="G220" s="149">
        <v>3933</v>
      </c>
      <c r="I220" s="51">
        <v>127</v>
      </c>
      <c r="J220" s="31" t="s">
        <v>896</v>
      </c>
      <c r="K220" s="162">
        <v>450</v>
      </c>
      <c r="M220" s="216">
        <v>1.37</v>
      </c>
      <c r="N220" s="201">
        <f>Tabela1[[#This Row],[PRECIO
USD]]*Tabela1[[#This Row],[MT/YD]]</f>
        <v>616.5</v>
      </c>
    </row>
    <row r="221" spans="1:19" x14ac:dyDescent="0.35">
      <c r="A221" s="125" t="s">
        <v>864</v>
      </c>
      <c r="B221" s="3" t="s">
        <v>403</v>
      </c>
      <c r="C221" s="25" t="s">
        <v>92</v>
      </c>
      <c r="D221" s="26">
        <v>46136</v>
      </c>
      <c r="E221" s="203" t="s">
        <v>884</v>
      </c>
      <c r="F221" s="376" t="s">
        <v>526</v>
      </c>
      <c r="G221" s="149">
        <v>3932</v>
      </c>
      <c r="I221" s="51">
        <v>127</v>
      </c>
      <c r="J221" s="31" t="s">
        <v>897</v>
      </c>
      <c r="K221" s="162">
        <v>450</v>
      </c>
      <c r="M221" s="216">
        <v>1.37</v>
      </c>
      <c r="N221" s="201">
        <f>Tabela1[[#This Row],[PRECIO
USD]]*Tabela1[[#This Row],[MT/YD]]</f>
        <v>616.5</v>
      </c>
    </row>
    <row r="222" spans="1:19" x14ac:dyDescent="0.35">
      <c r="A222" s="125" t="s">
        <v>864</v>
      </c>
      <c r="B222" s="3" t="s">
        <v>403</v>
      </c>
      <c r="C222" s="25" t="s">
        <v>92</v>
      </c>
      <c r="D222" s="26">
        <v>46136</v>
      </c>
      <c r="E222" s="203" t="s">
        <v>884</v>
      </c>
      <c r="F222" s="376" t="s">
        <v>527</v>
      </c>
      <c r="G222" s="149">
        <v>3931</v>
      </c>
      <c r="I222" s="51">
        <v>127</v>
      </c>
      <c r="J222" s="31" t="s">
        <v>898</v>
      </c>
      <c r="K222" s="162">
        <v>450</v>
      </c>
      <c r="M222" s="216">
        <v>1.37</v>
      </c>
      <c r="N222" s="201">
        <f>Tabela1[[#This Row],[PRECIO
USD]]*Tabela1[[#This Row],[MT/YD]]</f>
        <v>616.5</v>
      </c>
    </row>
    <row r="223" spans="1:19" x14ac:dyDescent="0.35">
      <c r="A223" s="125" t="s">
        <v>864</v>
      </c>
      <c r="B223" s="3" t="s">
        <v>403</v>
      </c>
      <c r="C223" s="25" t="s">
        <v>92</v>
      </c>
      <c r="D223" s="26">
        <v>46136</v>
      </c>
      <c r="E223" s="203" t="s">
        <v>884</v>
      </c>
      <c r="F223" s="376" t="s">
        <v>528</v>
      </c>
      <c r="G223" s="149" t="s">
        <v>429</v>
      </c>
      <c r="I223" s="51">
        <v>127</v>
      </c>
      <c r="J223" s="31" t="s">
        <v>899</v>
      </c>
      <c r="K223" s="162">
        <v>450</v>
      </c>
      <c r="M223" s="216">
        <v>1.37</v>
      </c>
      <c r="N223" s="201">
        <f>Tabela1[[#This Row],[PRECIO
USD]]*Tabela1[[#This Row],[MT/YD]]</f>
        <v>616.5</v>
      </c>
    </row>
    <row r="224" spans="1:19" x14ac:dyDescent="0.35">
      <c r="A224" s="125" t="s">
        <v>864</v>
      </c>
      <c r="B224" s="3" t="s">
        <v>403</v>
      </c>
      <c r="C224" s="25" t="s">
        <v>92</v>
      </c>
      <c r="D224" s="26">
        <v>46136</v>
      </c>
      <c r="E224" s="203" t="s">
        <v>884</v>
      </c>
      <c r="F224" s="376" t="s">
        <v>529</v>
      </c>
      <c r="G224" s="149">
        <v>3927</v>
      </c>
      <c r="I224" s="51">
        <v>127</v>
      </c>
      <c r="J224" s="31" t="s">
        <v>900</v>
      </c>
      <c r="K224" s="162">
        <v>450</v>
      </c>
      <c r="M224" s="216">
        <v>1.4</v>
      </c>
      <c r="N224" s="201">
        <f>Tabela1[[#This Row],[PRECIO
USD]]*Tabela1[[#This Row],[MT/YD]]</f>
        <v>630</v>
      </c>
    </row>
    <row r="225" spans="1:18" x14ac:dyDescent="0.35">
      <c r="A225" s="125" t="s">
        <v>864</v>
      </c>
      <c r="B225" s="3" t="s">
        <v>403</v>
      </c>
      <c r="C225" s="25" t="s">
        <v>92</v>
      </c>
      <c r="D225" s="26">
        <v>46136</v>
      </c>
      <c r="E225" s="203" t="s">
        <v>884</v>
      </c>
      <c r="F225" s="376" t="s">
        <v>876</v>
      </c>
      <c r="G225" s="149">
        <v>3922</v>
      </c>
      <c r="I225" s="51">
        <v>127</v>
      </c>
      <c r="J225" s="31" t="s">
        <v>901</v>
      </c>
      <c r="K225" s="162">
        <v>450</v>
      </c>
      <c r="M225" s="216">
        <v>1.4</v>
      </c>
      <c r="N225" s="201">
        <f>Tabela1[[#This Row],[PRECIO
USD]]*Tabela1[[#This Row],[MT/YD]]</f>
        <v>630</v>
      </c>
    </row>
    <row r="226" spans="1:18" x14ac:dyDescent="0.35">
      <c r="A226" s="125" t="s">
        <v>864</v>
      </c>
      <c r="B226" s="3" t="s">
        <v>403</v>
      </c>
      <c r="C226" s="25" t="s">
        <v>92</v>
      </c>
      <c r="D226" s="26">
        <v>46136</v>
      </c>
      <c r="E226" s="203" t="s">
        <v>884</v>
      </c>
      <c r="F226" s="376" t="s">
        <v>877</v>
      </c>
      <c r="G226" s="149" t="s">
        <v>431</v>
      </c>
      <c r="I226" s="51">
        <v>127</v>
      </c>
      <c r="J226" s="31" t="s">
        <v>902</v>
      </c>
      <c r="K226" s="162">
        <v>450</v>
      </c>
      <c r="M226" s="216">
        <v>1.37</v>
      </c>
      <c r="N226" s="201">
        <f>Tabela1[[#This Row],[PRECIO
USD]]*Tabela1[[#This Row],[MT/YD]]</f>
        <v>616.5</v>
      </c>
    </row>
    <row r="227" spans="1:18" x14ac:dyDescent="0.35">
      <c r="A227" s="125" t="s">
        <v>864</v>
      </c>
      <c r="B227" s="3" t="s">
        <v>403</v>
      </c>
      <c r="C227" s="25" t="s">
        <v>92</v>
      </c>
      <c r="D227" s="26">
        <v>46136</v>
      </c>
      <c r="E227" s="203" t="s">
        <v>884</v>
      </c>
      <c r="F227" s="376" t="s">
        <v>530</v>
      </c>
      <c r="G227" s="149" t="s">
        <v>432</v>
      </c>
      <c r="I227" s="51">
        <v>127</v>
      </c>
      <c r="J227" s="31" t="s">
        <v>903</v>
      </c>
      <c r="K227" s="162">
        <v>450</v>
      </c>
      <c r="M227" s="216">
        <v>1.43</v>
      </c>
      <c r="N227" s="201">
        <f>Tabela1[[#This Row],[PRECIO
USD]]*Tabela1[[#This Row],[MT/YD]]</f>
        <v>643.5</v>
      </c>
    </row>
    <row r="228" spans="1:18" x14ac:dyDescent="0.35">
      <c r="A228" s="125" t="s">
        <v>864</v>
      </c>
      <c r="B228" s="3" t="s">
        <v>403</v>
      </c>
      <c r="C228" s="25" t="s">
        <v>92</v>
      </c>
      <c r="D228" s="26">
        <v>46136</v>
      </c>
      <c r="E228" s="203" t="s">
        <v>884</v>
      </c>
      <c r="F228" s="376" t="s">
        <v>531</v>
      </c>
      <c r="G228" s="149" t="s">
        <v>433</v>
      </c>
      <c r="I228" s="51">
        <v>127</v>
      </c>
      <c r="J228" s="31" t="s">
        <v>904</v>
      </c>
      <c r="K228" s="162">
        <v>450</v>
      </c>
      <c r="M228" s="216">
        <v>1.43</v>
      </c>
      <c r="N228" s="201">
        <f>Tabela1[[#This Row],[PRECIO
USD]]*Tabela1[[#This Row],[MT/YD]]</f>
        <v>643.5</v>
      </c>
    </row>
    <row r="229" spans="1:18" x14ac:dyDescent="0.35">
      <c r="A229" s="125" t="s">
        <v>864</v>
      </c>
      <c r="B229" s="3" t="s">
        <v>403</v>
      </c>
      <c r="C229" s="25" t="s">
        <v>92</v>
      </c>
      <c r="D229" s="26">
        <v>46136</v>
      </c>
      <c r="E229" s="203" t="s">
        <v>884</v>
      </c>
      <c r="F229" s="376" t="s">
        <v>878</v>
      </c>
      <c r="G229" s="149" t="s">
        <v>434</v>
      </c>
      <c r="I229" s="51">
        <v>127</v>
      </c>
      <c r="J229" s="31" t="s">
        <v>905</v>
      </c>
      <c r="K229" s="162">
        <v>450</v>
      </c>
      <c r="M229" s="216">
        <v>1.43</v>
      </c>
      <c r="N229" s="201">
        <f>Tabela1[[#This Row],[PRECIO
USD]]*Tabela1[[#This Row],[MT/YD]]</f>
        <v>643.5</v>
      </c>
    </row>
    <row r="230" spans="1:18" x14ac:dyDescent="0.35">
      <c r="A230" s="125" t="s">
        <v>864</v>
      </c>
      <c r="B230" s="3" t="s">
        <v>403</v>
      </c>
      <c r="C230" s="25" t="s">
        <v>92</v>
      </c>
      <c r="D230" s="26">
        <v>46136</v>
      </c>
      <c r="E230" s="203" t="s">
        <v>884</v>
      </c>
      <c r="F230" s="376" t="s">
        <v>879</v>
      </c>
      <c r="G230" s="149" t="s">
        <v>435</v>
      </c>
      <c r="I230" s="51">
        <v>127</v>
      </c>
      <c r="J230" s="31" t="s">
        <v>906</v>
      </c>
      <c r="K230" s="162">
        <v>450</v>
      </c>
      <c r="M230" s="216">
        <v>1.43</v>
      </c>
      <c r="N230" s="201">
        <f>Tabela1[[#This Row],[PRECIO
USD]]*Tabela1[[#This Row],[MT/YD]]</f>
        <v>643.5</v>
      </c>
    </row>
    <row r="231" spans="1:18" x14ac:dyDescent="0.35">
      <c r="A231" s="125" t="s">
        <v>864</v>
      </c>
      <c r="B231" s="3" t="s">
        <v>403</v>
      </c>
      <c r="C231" s="25" t="s">
        <v>92</v>
      </c>
      <c r="D231" s="26">
        <v>46136</v>
      </c>
      <c r="E231" s="203" t="s">
        <v>884</v>
      </c>
      <c r="F231" s="376" t="s">
        <v>532</v>
      </c>
      <c r="G231" s="149" t="s">
        <v>436</v>
      </c>
      <c r="I231" s="51">
        <v>127</v>
      </c>
      <c r="J231" s="31" t="s">
        <v>907</v>
      </c>
      <c r="K231" s="162">
        <v>450</v>
      </c>
      <c r="M231" s="216">
        <v>1.43</v>
      </c>
      <c r="N231" s="201">
        <f>Tabela1[[#This Row],[PRECIO
USD]]*Tabela1[[#This Row],[MT/YD]]</f>
        <v>643.5</v>
      </c>
    </row>
    <row r="232" spans="1:18" x14ac:dyDescent="0.35">
      <c r="A232" s="125" t="s">
        <v>864</v>
      </c>
      <c r="B232" s="3" t="s">
        <v>403</v>
      </c>
      <c r="C232" s="25" t="s">
        <v>92</v>
      </c>
      <c r="D232" s="26">
        <v>46136</v>
      </c>
      <c r="E232" s="203" t="s">
        <v>884</v>
      </c>
      <c r="F232" s="376" t="s">
        <v>533</v>
      </c>
      <c r="G232" s="149" t="s">
        <v>437</v>
      </c>
      <c r="I232" s="51">
        <v>127</v>
      </c>
      <c r="J232" s="31" t="s">
        <v>908</v>
      </c>
      <c r="K232" s="162">
        <v>450</v>
      </c>
      <c r="M232" s="216">
        <v>1.43</v>
      </c>
      <c r="N232" s="201">
        <f>Tabela1[[#This Row],[PRECIO
USD]]*Tabela1[[#This Row],[MT/YD]]</f>
        <v>643.5</v>
      </c>
    </row>
    <row r="233" spans="1:18" x14ac:dyDescent="0.35">
      <c r="A233" s="125" t="s">
        <v>864</v>
      </c>
      <c r="B233" s="3" t="s">
        <v>403</v>
      </c>
      <c r="C233" s="25" t="s">
        <v>92</v>
      </c>
      <c r="D233" s="26">
        <v>46136</v>
      </c>
      <c r="E233" s="203" t="s">
        <v>884</v>
      </c>
      <c r="F233" s="376" t="s">
        <v>880</v>
      </c>
      <c r="G233" s="149" t="s">
        <v>438</v>
      </c>
      <c r="I233" s="51">
        <v>127</v>
      </c>
      <c r="J233" s="31" t="s">
        <v>909</v>
      </c>
      <c r="K233" s="162">
        <v>450</v>
      </c>
      <c r="M233" s="216">
        <v>1.43</v>
      </c>
      <c r="N233" s="201">
        <f>Tabela1[[#This Row],[PRECIO
USD]]*Tabela1[[#This Row],[MT/YD]]</f>
        <v>643.5</v>
      </c>
    </row>
    <row r="234" spans="1:18" x14ac:dyDescent="0.35">
      <c r="A234" s="125" t="s">
        <v>864</v>
      </c>
      <c r="B234" s="3" t="s">
        <v>403</v>
      </c>
      <c r="C234" s="25" t="s">
        <v>92</v>
      </c>
      <c r="D234" s="26">
        <v>46136</v>
      </c>
      <c r="E234" s="203" t="s">
        <v>884</v>
      </c>
      <c r="F234" s="376" t="s">
        <v>534</v>
      </c>
      <c r="G234" s="149" t="s">
        <v>439</v>
      </c>
      <c r="I234" s="51">
        <v>127</v>
      </c>
      <c r="J234" s="31" t="s">
        <v>910</v>
      </c>
      <c r="K234" s="162">
        <v>450</v>
      </c>
      <c r="M234" s="216">
        <v>1.4</v>
      </c>
      <c r="N234" s="201">
        <f>Tabela1[[#This Row],[PRECIO
USD]]*Tabela1[[#This Row],[MT/YD]]</f>
        <v>630</v>
      </c>
    </row>
    <row r="235" spans="1:18" x14ac:dyDescent="0.35">
      <c r="A235" s="125" t="s">
        <v>864</v>
      </c>
      <c r="B235" s="3" t="s">
        <v>403</v>
      </c>
      <c r="C235" s="25" t="s">
        <v>92</v>
      </c>
      <c r="D235" s="26">
        <v>46136</v>
      </c>
      <c r="E235" s="203" t="s">
        <v>884</v>
      </c>
      <c r="F235" s="376" t="s">
        <v>535</v>
      </c>
      <c r="G235" s="149" t="s">
        <v>440</v>
      </c>
      <c r="I235" s="51">
        <v>127</v>
      </c>
      <c r="J235" s="31" t="s">
        <v>911</v>
      </c>
      <c r="K235" s="162">
        <v>450</v>
      </c>
      <c r="M235" s="216">
        <v>1.43</v>
      </c>
      <c r="N235" s="201">
        <f>Tabela1[[#This Row],[PRECIO
USD]]*Tabela1[[#This Row],[MT/YD]]</f>
        <v>643.5</v>
      </c>
    </row>
    <row r="236" spans="1:18" x14ac:dyDescent="0.35">
      <c r="A236" s="125" t="s">
        <v>864</v>
      </c>
      <c r="B236" s="3" t="s">
        <v>403</v>
      </c>
      <c r="C236" s="25" t="s">
        <v>92</v>
      </c>
      <c r="D236" s="26">
        <v>46136</v>
      </c>
      <c r="E236" s="203" t="s">
        <v>884</v>
      </c>
      <c r="F236" s="376" t="s">
        <v>536</v>
      </c>
      <c r="G236" s="149">
        <v>3917</v>
      </c>
      <c r="I236" s="51">
        <v>127</v>
      </c>
      <c r="J236" s="31" t="s">
        <v>912</v>
      </c>
      <c r="K236" s="162">
        <v>450</v>
      </c>
      <c r="M236" s="216">
        <v>1.43</v>
      </c>
      <c r="N236" s="201">
        <f>Tabela1[[#This Row],[PRECIO
USD]]*Tabela1[[#This Row],[MT/YD]]</f>
        <v>643.5</v>
      </c>
    </row>
    <row r="237" spans="1:18" x14ac:dyDescent="0.35">
      <c r="A237" s="304" t="s">
        <v>886</v>
      </c>
      <c r="B237" s="305" t="s">
        <v>914</v>
      </c>
      <c r="C237" s="25" t="s">
        <v>21</v>
      </c>
      <c r="D237" s="26">
        <v>46142</v>
      </c>
      <c r="E237" s="190" t="s">
        <v>892</v>
      </c>
      <c r="F237" s="377" t="s">
        <v>1059</v>
      </c>
      <c r="G237" s="326">
        <v>5051</v>
      </c>
      <c r="H237" s="1"/>
      <c r="I237" s="51">
        <v>132</v>
      </c>
      <c r="J237" s="31" t="s">
        <v>1057</v>
      </c>
      <c r="K237" s="191">
        <v>3000</v>
      </c>
      <c r="M237" s="285">
        <v>2.56</v>
      </c>
      <c r="N237" s="201">
        <f>Tabela1[[#This Row],[PRECIO
USD]]*Tabela1[[#This Row],[MT/YD]]</f>
        <v>7680</v>
      </c>
      <c r="R237" t="s">
        <v>1021</v>
      </c>
    </row>
    <row r="238" spans="1:18" x14ac:dyDescent="0.35">
      <c r="A238" s="304" t="s">
        <v>886</v>
      </c>
      <c r="B238" s="305" t="s">
        <v>914</v>
      </c>
      <c r="C238" s="25" t="s">
        <v>21</v>
      </c>
      <c r="D238" s="26">
        <v>46142</v>
      </c>
      <c r="E238" s="190" t="s">
        <v>892</v>
      </c>
      <c r="F238" s="377" t="s">
        <v>1060</v>
      </c>
      <c r="G238" s="326">
        <v>5050</v>
      </c>
      <c r="H238" s="1"/>
      <c r="I238" s="51">
        <v>132</v>
      </c>
      <c r="J238" s="31" t="s">
        <v>1041</v>
      </c>
      <c r="K238" s="191">
        <v>600</v>
      </c>
      <c r="M238" s="285">
        <v>2.19</v>
      </c>
      <c r="N238" s="201">
        <f>Tabela1[[#This Row],[PRECIO
USD]]*Tabela1[[#This Row],[MT/YD]]</f>
        <v>1314</v>
      </c>
      <c r="R238" t="s">
        <v>1021</v>
      </c>
    </row>
    <row r="239" spans="1:18" ht="15.65" customHeight="1" x14ac:dyDescent="0.35">
      <c r="A239" s="304" t="s">
        <v>886</v>
      </c>
      <c r="B239" s="305" t="s">
        <v>914</v>
      </c>
      <c r="C239" s="25" t="s">
        <v>21</v>
      </c>
      <c r="D239" s="26">
        <v>46142</v>
      </c>
      <c r="E239" s="190" t="s">
        <v>892</v>
      </c>
      <c r="F239" s="377" t="s">
        <v>1061</v>
      </c>
      <c r="G239" s="326">
        <v>5202</v>
      </c>
      <c r="I239" s="51">
        <v>132</v>
      </c>
      <c r="J239" s="31" t="s">
        <v>1042</v>
      </c>
      <c r="K239" s="191">
        <v>1000</v>
      </c>
      <c r="M239" s="285">
        <v>2.19</v>
      </c>
      <c r="N239" s="201">
        <f>Tabela1[[#This Row],[PRECIO
USD]]*Tabela1[[#This Row],[MT/YD]]</f>
        <v>2190</v>
      </c>
      <c r="R239" s="56" t="s">
        <v>1058</v>
      </c>
    </row>
    <row r="240" spans="1:18" x14ac:dyDescent="0.35">
      <c r="A240" s="141" t="s">
        <v>893</v>
      </c>
      <c r="B240" s="65" t="s">
        <v>31</v>
      </c>
      <c r="C240" s="25" t="s">
        <v>21</v>
      </c>
      <c r="D240" s="26">
        <v>46142</v>
      </c>
      <c r="E240" s="203" t="s">
        <v>884</v>
      </c>
      <c r="F240" s="376" t="s">
        <v>925</v>
      </c>
      <c r="G240" s="48">
        <v>4191</v>
      </c>
      <c r="I240" s="1">
        <v>129</v>
      </c>
      <c r="J240" s="31" t="s">
        <v>895</v>
      </c>
      <c r="K240" s="162">
        <v>1000</v>
      </c>
      <c r="M240" s="221">
        <v>4.352544</v>
      </c>
      <c r="N240" s="201">
        <f>Tabela1[[#This Row],[PRECIO
USD]]*Tabela1[[#This Row],[MT/YD]]</f>
        <v>4352.5439999999999</v>
      </c>
      <c r="R240" t="s">
        <v>921</v>
      </c>
    </row>
    <row r="241" spans="1:21" x14ac:dyDescent="0.35">
      <c r="A241" s="137" t="s">
        <v>894</v>
      </c>
      <c r="B241" s="65" t="s">
        <v>31</v>
      </c>
      <c r="C241" s="25" t="s">
        <v>21</v>
      </c>
      <c r="D241" s="26">
        <v>46142</v>
      </c>
      <c r="E241" s="140" t="s">
        <v>892</v>
      </c>
      <c r="F241" s="376" t="s">
        <v>925</v>
      </c>
      <c r="G241" s="48">
        <v>4191</v>
      </c>
      <c r="I241" s="1">
        <v>130</v>
      </c>
      <c r="J241" s="31" t="s">
        <v>895</v>
      </c>
      <c r="K241" s="162">
        <v>4000</v>
      </c>
      <c r="M241" s="221">
        <v>4.352544</v>
      </c>
      <c r="N241" s="201">
        <f>Tabela1[[#This Row],[PRECIO
USD]]*Tabela1[[#This Row],[MT/YD]]</f>
        <v>17410.175999999999</v>
      </c>
      <c r="R241" t="s">
        <v>921</v>
      </c>
    </row>
    <row r="242" spans="1:21" x14ac:dyDescent="0.35">
      <c r="A242" s="43">
        <v>6647</v>
      </c>
      <c r="B242" s="3" t="s">
        <v>681</v>
      </c>
      <c r="C242" s="25" t="s">
        <v>21</v>
      </c>
      <c r="D242" s="26">
        <v>46142</v>
      </c>
      <c r="E242" s="140" t="s">
        <v>892</v>
      </c>
      <c r="F242" s="60" t="s">
        <v>821</v>
      </c>
      <c r="G242" s="365">
        <v>4834</v>
      </c>
      <c r="I242" s="1">
        <v>131</v>
      </c>
      <c r="J242" s="31" t="s">
        <v>926</v>
      </c>
      <c r="K242" s="162">
        <v>3750</v>
      </c>
      <c r="M242" s="228">
        <v>2.95</v>
      </c>
      <c r="N242" s="201">
        <f>Tabela1[[#This Row],[PRECIO
USD]]*Tabela1[[#This Row],[MT/YD]]</f>
        <v>11062.5</v>
      </c>
      <c r="R242" s="252" t="s">
        <v>923</v>
      </c>
    </row>
    <row r="243" spans="1:21" x14ac:dyDescent="0.35">
      <c r="A243" s="43">
        <v>14649</v>
      </c>
      <c r="B243" s="3" t="s">
        <v>234</v>
      </c>
      <c r="C243" s="25" t="s">
        <v>21</v>
      </c>
      <c r="D243" s="26">
        <v>46142</v>
      </c>
      <c r="E243" s="140" t="s">
        <v>892</v>
      </c>
      <c r="F243" s="376" t="s">
        <v>1256</v>
      </c>
      <c r="G243" s="251" t="s">
        <v>237</v>
      </c>
      <c r="H243" s="15">
        <v>111</v>
      </c>
      <c r="I243" s="1">
        <v>135</v>
      </c>
      <c r="J243" s="29" t="s">
        <v>238</v>
      </c>
      <c r="K243" s="162">
        <v>5000</v>
      </c>
      <c r="M243" s="228">
        <v>1.83</v>
      </c>
      <c r="N243" s="201">
        <f>Tabela1[[#This Row],[PRECIO
USD]]*Tabela1[[#This Row],[MT/YD]]</f>
        <v>9150</v>
      </c>
      <c r="R243" s="252" t="s">
        <v>988</v>
      </c>
    </row>
    <row r="244" spans="1:21" x14ac:dyDescent="0.35">
      <c r="A244" s="43">
        <v>14649</v>
      </c>
      <c r="B244" s="3" t="s">
        <v>234</v>
      </c>
      <c r="C244" s="25" t="s">
        <v>21</v>
      </c>
      <c r="D244" s="26">
        <v>46142</v>
      </c>
      <c r="E244" s="140" t="s">
        <v>892</v>
      </c>
      <c r="F244" s="376" t="s">
        <v>239</v>
      </c>
      <c r="G244" s="251" t="s">
        <v>240</v>
      </c>
      <c r="H244" s="15">
        <v>111</v>
      </c>
      <c r="I244" s="1">
        <v>135</v>
      </c>
      <c r="J244" s="29" t="s">
        <v>241</v>
      </c>
      <c r="K244" s="162">
        <v>5000</v>
      </c>
      <c r="M244" s="228">
        <v>1.71</v>
      </c>
      <c r="N244" s="201">
        <f>Tabela1[[#This Row],[PRECIO
USD]]*Tabela1[[#This Row],[MT/YD]]</f>
        <v>8550</v>
      </c>
      <c r="R244" s="252" t="s">
        <v>988</v>
      </c>
    </row>
    <row r="245" spans="1:21" x14ac:dyDescent="0.35">
      <c r="A245" s="43">
        <v>14649</v>
      </c>
      <c r="B245" s="3" t="s">
        <v>234</v>
      </c>
      <c r="C245" s="25" t="s">
        <v>21</v>
      </c>
      <c r="D245" s="26">
        <v>46142</v>
      </c>
      <c r="E245" s="140" t="s">
        <v>892</v>
      </c>
      <c r="F245" s="375" t="s">
        <v>1068</v>
      </c>
      <c r="G245" s="251" t="s">
        <v>242</v>
      </c>
      <c r="H245" s="15">
        <v>111</v>
      </c>
      <c r="I245" s="1">
        <v>135</v>
      </c>
      <c r="J245" s="29" t="s">
        <v>243</v>
      </c>
      <c r="K245" s="162">
        <v>5000</v>
      </c>
      <c r="M245" s="228">
        <v>1.92</v>
      </c>
      <c r="N245" s="201">
        <f>Tabela1[[#This Row],[PRECIO
USD]]*Tabela1[[#This Row],[MT/YD]]</f>
        <v>9600</v>
      </c>
      <c r="R245" s="252" t="s">
        <v>988</v>
      </c>
    </row>
    <row r="246" spans="1:21" x14ac:dyDescent="0.35">
      <c r="A246" s="255" t="s">
        <v>932</v>
      </c>
      <c r="B246" s="3" t="s">
        <v>109</v>
      </c>
      <c r="C246" s="25" t="s">
        <v>92</v>
      </c>
      <c r="D246" s="26">
        <v>46147</v>
      </c>
      <c r="E246" s="140" t="s">
        <v>892</v>
      </c>
      <c r="F246" s="378" t="s">
        <v>964</v>
      </c>
      <c r="G246" s="326">
        <v>4820</v>
      </c>
      <c r="I246" s="160">
        <v>134</v>
      </c>
      <c r="J246" s="31" t="s">
        <v>551</v>
      </c>
      <c r="K246" s="71">
        <v>3000</v>
      </c>
      <c r="M246" s="229">
        <v>2.23</v>
      </c>
      <c r="N246" s="201">
        <f>Tabela1[[#This Row],[PRECIO
USD]]*Tabela1[[#This Row],[MT/YD]]</f>
        <v>6690</v>
      </c>
      <c r="R246" s="39" t="s">
        <v>945</v>
      </c>
      <c r="T246" t="s">
        <v>1164</v>
      </c>
      <c r="U246" s="138">
        <v>46253</v>
      </c>
    </row>
    <row r="247" spans="1:21" x14ac:dyDescent="0.35">
      <c r="A247" s="255" t="s">
        <v>932</v>
      </c>
      <c r="B247" s="3" t="s">
        <v>109</v>
      </c>
      <c r="C247" s="25" t="s">
        <v>92</v>
      </c>
      <c r="D247" s="26">
        <v>46147</v>
      </c>
      <c r="E247" s="140" t="s">
        <v>892</v>
      </c>
      <c r="F247" s="377" t="s">
        <v>1008</v>
      </c>
      <c r="G247" s="326">
        <v>4661</v>
      </c>
      <c r="I247" s="160">
        <v>134</v>
      </c>
      <c r="J247" s="31" t="s">
        <v>1006</v>
      </c>
      <c r="K247" s="71">
        <v>2000</v>
      </c>
      <c r="M247" s="245">
        <v>1.75</v>
      </c>
      <c r="N247" s="201">
        <f>Tabela1[[#This Row],[PRECIO
USD]]*Tabela1[[#This Row],[MT/YD]]</f>
        <v>3500</v>
      </c>
      <c r="R247" s="39" t="s">
        <v>1003</v>
      </c>
      <c r="T247" t="s">
        <v>1164</v>
      </c>
      <c r="U247" s="138">
        <v>46253</v>
      </c>
    </row>
    <row r="248" spans="1:21" x14ac:dyDescent="0.35">
      <c r="A248" s="255" t="s">
        <v>932</v>
      </c>
      <c r="B248" s="3" t="s">
        <v>109</v>
      </c>
      <c r="C248" s="25" t="s">
        <v>92</v>
      </c>
      <c r="D248" s="26">
        <v>46147</v>
      </c>
      <c r="E248" s="140" t="s">
        <v>892</v>
      </c>
      <c r="F248" s="378" t="s">
        <v>966</v>
      </c>
      <c r="G248" s="326">
        <v>4727</v>
      </c>
      <c r="I248" s="160">
        <v>134</v>
      </c>
      <c r="J248" s="31" t="s">
        <v>933</v>
      </c>
      <c r="K248" s="71">
        <v>1600</v>
      </c>
      <c r="M248" s="229">
        <v>1.82</v>
      </c>
      <c r="N248" s="201">
        <f>Tabela1[[#This Row],[PRECIO
USD]]*Tabela1[[#This Row],[MT/YD]]</f>
        <v>2912</v>
      </c>
      <c r="R248" s="257" t="s">
        <v>946</v>
      </c>
      <c r="T248" t="s">
        <v>1164</v>
      </c>
      <c r="U248" s="138">
        <v>46253</v>
      </c>
    </row>
    <row r="249" spans="1:21" x14ac:dyDescent="0.35">
      <c r="A249" s="255" t="s">
        <v>932</v>
      </c>
      <c r="B249" s="3" t="s">
        <v>109</v>
      </c>
      <c r="C249" s="25" t="s">
        <v>92</v>
      </c>
      <c r="D249" s="26">
        <v>46147</v>
      </c>
      <c r="E249" s="140" t="s">
        <v>892</v>
      </c>
      <c r="F249" s="379" t="s">
        <v>967</v>
      </c>
      <c r="G249" s="326">
        <v>4669</v>
      </c>
      <c r="I249" s="160">
        <v>134</v>
      </c>
      <c r="J249" s="31" t="s">
        <v>934</v>
      </c>
      <c r="K249" s="71">
        <v>600</v>
      </c>
      <c r="M249" s="229">
        <v>5.41</v>
      </c>
      <c r="N249" s="201">
        <f>Tabela1[[#This Row],[PRECIO
USD]]*Tabela1[[#This Row],[MT/YD]]</f>
        <v>3246</v>
      </c>
      <c r="R249" s="257" t="s">
        <v>947</v>
      </c>
      <c r="S249" s="15" t="s">
        <v>943</v>
      </c>
      <c r="T249" t="s">
        <v>1164</v>
      </c>
      <c r="U249" s="138">
        <v>46253</v>
      </c>
    </row>
    <row r="250" spans="1:21" x14ac:dyDescent="0.35">
      <c r="A250" s="255" t="s">
        <v>932</v>
      </c>
      <c r="B250" s="3" t="s">
        <v>109</v>
      </c>
      <c r="C250" s="25" t="s">
        <v>92</v>
      </c>
      <c r="D250" s="26">
        <v>46147</v>
      </c>
      <c r="E250" s="140" t="s">
        <v>892</v>
      </c>
      <c r="F250" s="377" t="s">
        <v>1009</v>
      </c>
      <c r="G250" s="326">
        <v>4664</v>
      </c>
      <c r="I250" s="160">
        <v>134</v>
      </c>
      <c r="J250" s="31" t="s">
        <v>935</v>
      </c>
      <c r="K250" s="71">
        <v>2000</v>
      </c>
      <c r="M250" s="297">
        <v>1.75</v>
      </c>
      <c r="N250" s="201">
        <f>Tabela1[[#This Row],[PRECIO
USD]]*Tabela1[[#This Row],[MT/YD]]</f>
        <v>3500</v>
      </c>
      <c r="R250" s="39" t="s">
        <v>948</v>
      </c>
      <c r="S250" s="15" t="s">
        <v>944</v>
      </c>
      <c r="T250" t="s">
        <v>1164</v>
      </c>
      <c r="U250" s="138">
        <v>46253</v>
      </c>
    </row>
    <row r="251" spans="1:21" x14ac:dyDescent="0.35">
      <c r="A251" s="255" t="s">
        <v>932</v>
      </c>
      <c r="B251" s="3" t="s">
        <v>109</v>
      </c>
      <c r="C251" s="25" t="s">
        <v>92</v>
      </c>
      <c r="D251" s="26">
        <v>46147</v>
      </c>
      <c r="E251" s="140" t="s">
        <v>892</v>
      </c>
      <c r="F251" s="379" t="s">
        <v>969</v>
      </c>
      <c r="G251" s="326">
        <v>4627</v>
      </c>
      <c r="I251" s="160">
        <v>134</v>
      </c>
      <c r="J251" s="31" t="s">
        <v>936</v>
      </c>
      <c r="K251" s="71">
        <v>500</v>
      </c>
      <c r="M251" s="229">
        <v>1.86</v>
      </c>
      <c r="N251" s="201">
        <f>Tabela1[[#This Row],[PRECIO
USD]]*Tabela1[[#This Row],[MT/YD]]</f>
        <v>930</v>
      </c>
      <c r="R251" s="257" t="s">
        <v>949</v>
      </c>
      <c r="S251" s="15" t="s">
        <v>944</v>
      </c>
      <c r="T251" t="s">
        <v>1164</v>
      </c>
      <c r="U251" s="138">
        <v>46253</v>
      </c>
    </row>
    <row r="252" spans="1:21" x14ac:dyDescent="0.35">
      <c r="A252" s="255" t="s">
        <v>932</v>
      </c>
      <c r="B252" s="3" t="s">
        <v>109</v>
      </c>
      <c r="C252" s="25" t="s">
        <v>92</v>
      </c>
      <c r="D252" s="26">
        <v>46147</v>
      </c>
      <c r="E252" s="140" t="s">
        <v>892</v>
      </c>
      <c r="F252" s="378" t="s">
        <v>970</v>
      </c>
      <c r="G252" s="326">
        <v>4673</v>
      </c>
      <c r="I252" s="160">
        <v>134</v>
      </c>
      <c r="J252" s="31" t="s">
        <v>550</v>
      </c>
      <c r="K252" s="71">
        <v>1200</v>
      </c>
      <c r="M252" s="229">
        <v>1.78</v>
      </c>
      <c r="N252" s="201">
        <f>Tabela1[[#This Row],[PRECIO
USD]]*Tabela1[[#This Row],[MT/YD]]</f>
        <v>2136</v>
      </c>
      <c r="R252" s="258" t="s">
        <v>950</v>
      </c>
      <c r="S252" s="15" t="s">
        <v>944</v>
      </c>
      <c r="T252" t="s">
        <v>1164</v>
      </c>
      <c r="U252" s="138">
        <v>46253</v>
      </c>
    </row>
    <row r="253" spans="1:21" x14ac:dyDescent="0.35">
      <c r="A253" s="255" t="s">
        <v>932</v>
      </c>
      <c r="B253" s="3" t="s">
        <v>109</v>
      </c>
      <c r="C253" s="25" t="s">
        <v>92</v>
      </c>
      <c r="D253" s="26">
        <v>46147</v>
      </c>
      <c r="E253" s="140" t="s">
        <v>892</v>
      </c>
      <c r="F253" s="379" t="s">
        <v>971</v>
      </c>
      <c r="G253" s="326">
        <v>4636</v>
      </c>
      <c r="I253" s="160">
        <v>134</v>
      </c>
      <c r="J253" s="31" t="s">
        <v>937</v>
      </c>
      <c r="K253" s="71">
        <v>2400</v>
      </c>
      <c r="M253" s="229">
        <v>1.87</v>
      </c>
      <c r="N253" s="201">
        <f>Tabela1[[#This Row],[PRECIO
USD]]*Tabela1[[#This Row],[MT/YD]]</f>
        <v>4488</v>
      </c>
      <c r="R253" s="259" t="s">
        <v>951</v>
      </c>
      <c r="S253" s="15" t="s">
        <v>944</v>
      </c>
      <c r="T253" t="s">
        <v>1164</v>
      </c>
      <c r="U253" s="138">
        <v>46253</v>
      </c>
    </row>
    <row r="254" spans="1:21" x14ac:dyDescent="0.35">
      <c r="A254" s="255" t="s">
        <v>932</v>
      </c>
      <c r="B254" s="3" t="s">
        <v>109</v>
      </c>
      <c r="C254" s="25" t="s">
        <v>92</v>
      </c>
      <c r="D254" s="26">
        <v>46147</v>
      </c>
      <c r="E254" s="140" t="s">
        <v>892</v>
      </c>
      <c r="F254" s="378" t="s">
        <v>972</v>
      </c>
      <c r="G254" s="326">
        <v>4629</v>
      </c>
      <c r="I254" s="160">
        <v>134</v>
      </c>
      <c r="J254" s="31" t="s">
        <v>938</v>
      </c>
      <c r="K254" s="71">
        <v>600</v>
      </c>
      <c r="M254" s="229">
        <v>1.89</v>
      </c>
      <c r="N254" s="201">
        <f>Tabela1[[#This Row],[PRECIO
USD]]*Tabela1[[#This Row],[MT/YD]]</f>
        <v>1134</v>
      </c>
      <c r="R254" s="149" t="s">
        <v>952</v>
      </c>
      <c r="S254" s="15" t="s">
        <v>944</v>
      </c>
      <c r="T254" t="s">
        <v>1164</v>
      </c>
      <c r="U254" s="138">
        <v>46253</v>
      </c>
    </row>
    <row r="255" spans="1:21" x14ac:dyDescent="0.35">
      <c r="A255" s="255" t="s">
        <v>932</v>
      </c>
      <c r="B255" s="3" t="s">
        <v>109</v>
      </c>
      <c r="C255" s="25" t="s">
        <v>92</v>
      </c>
      <c r="D255" s="26">
        <v>46147</v>
      </c>
      <c r="E255" s="140" t="s">
        <v>892</v>
      </c>
      <c r="F255" s="379" t="s">
        <v>973</v>
      </c>
      <c r="G255" s="326">
        <v>4668</v>
      </c>
      <c r="I255" s="160">
        <v>134</v>
      </c>
      <c r="J255" s="31" t="s">
        <v>560</v>
      </c>
      <c r="K255" s="71">
        <v>2000</v>
      </c>
      <c r="M255" s="229">
        <v>1.97</v>
      </c>
      <c r="N255" s="201">
        <f>Tabela1[[#This Row],[PRECIO
USD]]*Tabela1[[#This Row],[MT/YD]]</f>
        <v>3940</v>
      </c>
      <c r="R255" s="257" t="s">
        <v>953</v>
      </c>
      <c r="S255" s="15" t="s">
        <v>944</v>
      </c>
      <c r="T255" t="s">
        <v>1164</v>
      </c>
      <c r="U255" s="138">
        <v>46253</v>
      </c>
    </row>
    <row r="256" spans="1:21" x14ac:dyDescent="0.35">
      <c r="A256" s="255" t="s">
        <v>932</v>
      </c>
      <c r="B256" s="3" t="s">
        <v>109</v>
      </c>
      <c r="C256" s="25" t="s">
        <v>92</v>
      </c>
      <c r="D256" s="26">
        <v>46147</v>
      </c>
      <c r="E256" s="140" t="s">
        <v>892</v>
      </c>
      <c r="F256" s="377" t="s">
        <v>974</v>
      </c>
      <c r="G256" s="326">
        <v>4726</v>
      </c>
      <c r="I256" s="160">
        <v>134</v>
      </c>
      <c r="J256" s="31" t="s">
        <v>939</v>
      </c>
      <c r="K256" s="71">
        <v>1000</v>
      </c>
      <c r="M256" s="229">
        <v>1.81</v>
      </c>
      <c r="N256" s="201">
        <f>Tabela1[[#This Row],[PRECIO
USD]]*Tabela1[[#This Row],[MT/YD]]</f>
        <v>1810</v>
      </c>
      <c r="R256" s="257" t="s">
        <v>954</v>
      </c>
      <c r="S256" s="15" t="s">
        <v>944</v>
      </c>
      <c r="T256" t="s">
        <v>1164</v>
      </c>
      <c r="U256" s="138">
        <v>46253</v>
      </c>
    </row>
    <row r="257" spans="1:21" x14ac:dyDescent="0.35">
      <c r="A257" s="255" t="s">
        <v>932</v>
      </c>
      <c r="B257" s="3" t="s">
        <v>109</v>
      </c>
      <c r="C257" s="25" t="s">
        <v>92</v>
      </c>
      <c r="D257" s="26">
        <v>46147</v>
      </c>
      <c r="E257" s="140" t="s">
        <v>892</v>
      </c>
      <c r="F257" s="379" t="s">
        <v>975</v>
      </c>
      <c r="G257" s="326">
        <v>4628</v>
      </c>
      <c r="I257" s="160">
        <v>134</v>
      </c>
      <c r="J257" s="31" t="s">
        <v>561</v>
      </c>
      <c r="K257" s="71">
        <v>1000</v>
      </c>
      <c r="M257" s="229">
        <v>1.79</v>
      </c>
      <c r="N257" s="201">
        <f>Tabela1[[#This Row],[PRECIO
USD]]*Tabela1[[#This Row],[MT/YD]]</f>
        <v>1790</v>
      </c>
      <c r="R257" s="39" t="s">
        <v>955</v>
      </c>
      <c r="S257" s="15" t="s">
        <v>944</v>
      </c>
      <c r="T257" t="s">
        <v>1164</v>
      </c>
      <c r="U257" s="138">
        <v>46253</v>
      </c>
    </row>
    <row r="258" spans="1:21" x14ac:dyDescent="0.35">
      <c r="A258" s="255" t="s">
        <v>932</v>
      </c>
      <c r="B258" s="3" t="s">
        <v>109</v>
      </c>
      <c r="C258" s="25" t="s">
        <v>92</v>
      </c>
      <c r="D258" s="26">
        <v>46147</v>
      </c>
      <c r="E258" s="140" t="s">
        <v>892</v>
      </c>
      <c r="F258" s="377" t="s">
        <v>976</v>
      </c>
      <c r="G258" s="326">
        <v>4876</v>
      </c>
      <c r="I258" s="160">
        <v>134</v>
      </c>
      <c r="J258" s="31" t="s">
        <v>992</v>
      </c>
      <c r="K258" s="71">
        <v>1000</v>
      </c>
      <c r="M258" s="245">
        <v>1.73</v>
      </c>
      <c r="N258" s="201">
        <f>Tabela1[[#This Row],[PRECIO
USD]]*Tabela1[[#This Row],[MT/YD]]</f>
        <v>1730</v>
      </c>
      <c r="R258" s="279" t="s">
        <v>956</v>
      </c>
      <c r="T258" t="s">
        <v>1164</v>
      </c>
      <c r="U258" s="138">
        <v>46253</v>
      </c>
    </row>
    <row r="259" spans="1:21" x14ac:dyDescent="0.35">
      <c r="A259" s="255" t="s">
        <v>932</v>
      </c>
      <c r="B259" s="3" t="s">
        <v>109</v>
      </c>
      <c r="C259" s="25" t="s">
        <v>92</v>
      </c>
      <c r="D259" s="26">
        <v>46147</v>
      </c>
      <c r="E259" s="140" t="s">
        <v>892</v>
      </c>
      <c r="F259" s="379" t="s">
        <v>977</v>
      </c>
      <c r="G259" s="326">
        <v>4890</v>
      </c>
      <c r="I259" s="160">
        <v>134</v>
      </c>
      <c r="J259" s="31" t="s">
        <v>940</v>
      </c>
      <c r="K259" s="71">
        <v>500</v>
      </c>
      <c r="M259" s="229">
        <v>2.17</v>
      </c>
      <c r="N259" s="201">
        <f>Tabela1[[#This Row],[PRECIO
USD]]*Tabela1[[#This Row],[MT/YD]]</f>
        <v>1085</v>
      </c>
      <c r="R259" s="260" t="s">
        <v>957</v>
      </c>
      <c r="S259" s="15" t="s">
        <v>944</v>
      </c>
      <c r="T259" t="s">
        <v>1164</v>
      </c>
      <c r="U259" s="138">
        <v>46253</v>
      </c>
    </row>
    <row r="260" spans="1:21" x14ac:dyDescent="0.35">
      <c r="A260" s="255" t="s">
        <v>932</v>
      </c>
      <c r="B260" s="3" t="s">
        <v>109</v>
      </c>
      <c r="C260" s="25" t="s">
        <v>92</v>
      </c>
      <c r="D260" s="26">
        <v>46147</v>
      </c>
      <c r="E260" s="140" t="s">
        <v>892</v>
      </c>
      <c r="F260" s="378" t="s">
        <v>978</v>
      </c>
      <c r="G260" s="326">
        <v>4671</v>
      </c>
      <c r="I260" s="160">
        <v>134</v>
      </c>
      <c r="J260" s="31" t="s">
        <v>552</v>
      </c>
      <c r="K260" s="71">
        <v>500</v>
      </c>
      <c r="M260" s="229">
        <v>1.75</v>
      </c>
      <c r="N260" s="201">
        <f>Tabela1[[#This Row],[PRECIO
USD]]*Tabela1[[#This Row],[MT/YD]]</f>
        <v>875</v>
      </c>
      <c r="R260" s="251" t="s">
        <v>958</v>
      </c>
      <c r="S260" s="15" t="s">
        <v>944</v>
      </c>
      <c r="T260" t="s">
        <v>1164</v>
      </c>
      <c r="U260" s="138">
        <v>46253</v>
      </c>
    </row>
    <row r="261" spans="1:21" x14ac:dyDescent="0.35">
      <c r="A261" s="255" t="s">
        <v>932</v>
      </c>
      <c r="B261" s="3" t="s">
        <v>109</v>
      </c>
      <c r="C261" s="25" t="s">
        <v>92</v>
      </c>
      <c r="D261" s="26">
        <v>46147</v>
      </c>
      <c r="E261" s="140" t="s">
        <v>892</v>
      </c>
      <c r="F261" s="380" t="s">
        <v>979</v>
      </c>
      <c r="G261" s="326">
        <v>4757</v>
      </c>
      <c r="I261" s="160">
        <v>134</v>
      </c>
      <c r="J261" s="31" t="s">
        <v>1007</v>
      </c>
      <c r="K261" s="71">
        <v>800</v>
      </c>
      <c r="M261" s="245">
        <v>2.15</v>
      </c>
      <c r="N261" s="201">
        <f>Tabela1[[#This Row],[PRECIO
USD]]*Tabela1[[#This Row],[MT/YD]]</f>
        <v>1720</v>
      </c>
      <c r="R261" s="280" t="s">
        <v>959</v>
      </c>
      <c r="S261" s="15" t="s">
        <v>944</v>
      </c>
      <c r="T261" t="s">
        <v>1164</v>
      </c>
      <c r="U261" s="138">
        <v>46253</v>
      </c>
    </row>
    <row r="262" spans="1:21" x14ac:dyDescent="0.35">
      <c r="A262" s="255" t="s">
        <v>932</v>
      </c>
      <c r="B262" s="3" t="s">
        <v>109</v>
      </c>
      <c r="C262" s="25" t="s">
        <v>92</v>
      </c>
      <c r="D262" s="26">
        <v>46147</v>
      </c>
      <c r="E262" s="140" t="s">
        <v>892</v>
      </c>
      <c r="F262" s="378" t="s">
        <v>980</v>
      </c>
      <c r="G262" s="326">
        <v>4638</v>
      </c>
      <c r="I262" s="160">
        <v>134</v>
      </c>
      <c r="J262" s="31" t="s">
        <v>941</v>
      </c>
      <c r="K262" s="71">
        <v>1200</v>
      </c>
      <c r="M262" s="229">
        <v>1.72</v>
      </c>
      <c r="N262" s="201">
        <f>Tabela1[[#This Row],[PRECIO
USD]]*Tabela1[[#This Row],[MT/YD]]</f>
        <v>2064</v>
      </c>
      <c r="R262" s="259" t="s">
        <v>960</v>
      </c>
      <c r="S262" s="15" t="s">
        <v>944</v>
      </c>
      <c r="T262" t="s">
        <v>1164</v>
      </c>
      <c r="U262" s="138">
        <v>46253</v>
      </c>
    </row>
    <row r="263" spans="1:21" x14ac:dyDescent="0.35">
      <c r="A263" s="255" t="s">
        <v>932</v>
      </c>
      <c r="B263" s="3" t="s">
        <v>109</v>
      </c>
      <c r="C263" s="25" t="s">
        <v>92</v>
      </c>
      <c r="D263" s="26">
        <v>46147</v>
      </c>
      <c r="E263" s="140" t="s">
        <v>892</v>
      </c>
      <c r="F263" s="379" t="s">
        <v>981</v>
      </c>
      <c r="G263" s="326">
        <v>4660</v>
      </c>
      <c r="I263" s="160">
        <v>134</v>
      </c>
      <c r="J263" s="31" t="s">
        <v>942</v>
      </c>
      <c r="K263" s="71">
        <v>1100</v>
      </c>
      <c r="M263" s="229">
        <v>1.97</v>
      </c>
      <c r="N263" s="201">
        <f>Tabela1[[#This Row],[PRECIO
USD]]*Tabela1[[#This Row],[MT/YD]]</f>
        <v>2167</v>
      </c>
      <c r="R263" s="251" t="s">
        <v>961</v>
      </c>
      <c r="S263" s="15" t="s">
        <v>944</v>
      </c>
      <c r="T263" t="s">
        <v>1164</v>
      </c>
      <c r="U263" s="138">
        <v>46253</v>
      </c>
    </row>
    <row r="264" spans="1:21" x14ac:dyDescent="0.35">
      <c r="A264" s="255" t="s">
        <v>932</v>
      </c>
      <c r="B264" s="3" t="s">
        <v>109</v>
      </c>
      <c r="C264" s="25" t="s">
        <v>92</v>
      </c>
      <c r="D264" s="26">
        <v>46147</v>
      </c>
      <c r="E264" s="140" t="s">
        <v>892</v>
      </c>
      <c r="F264" s="378" t="s">
        <v>982</v>
      </c>
      <c r="G264" s="326">
        <v>4653</v>
      </c>
      <c r="I264" s="160">
        <v>134</v>
      </c>
      <c r="J264" s="31" t="s">
        <v>562</v>
      </c>
      <c r="K264" s="71">
        <v>5400</v>
      </c>
      <c r="M264" s="221">
        <v>1.9</v>
      </c>
      <c r="N264" s="201">
        <f>Tabela1[[#This Row],[PRECIO
USD]]*Tabela1[[#This Row],[MT/YD]]</f>
        <v>10260</v>
      </c>
      <c r="R264" s="261" t="s">
        <v>962</v>
      </c>
      <c r="S264" s="15" t="s">
        <v>943</v>
      </c>
      <c r="T264" t="s">
        <v>1164</v>
      </c>
      <c r="U264" s="138">
        <v>46253</v>
      </c>
    </row>
    <row r="265" spans="1:21" x14ac:dyDescent="0.35">
      <c r="A265" s="255" t="s">
        <v>932</v>
      </c>
      <c r="B265" s="3" t="s">
        <v>109</v>
      </c>
      <c r="C265" s="25" t="s">
        <v>92</v>
      </c>
      <c r="D265" s="26">
        <v>46147</v>
      </c>
      <c r="E265" s="140" t="s">
        <v>892</v>
      </c>
      <c r="F265" s="379" t="s">
        <v>983</v>
      </c>
      <c r="G265" s="326">
        <v>4552</v>
      </c>
      <c r="I265" s="160">
        <v>134</v>
      </c>
      <c r="J265" s="31" t="s">
        <v>563</v>
      </c>
      <c r="K265" s="71">
        <v>3500</v>
      </c>
      <c r="M265" s="229">
        <v>1.72</v>
      </c>
      <c r="N265" s="201">
        <f>Tabela1[[#This Row],[PRECIO
USD]]*Tabela1[[#This Row],[MT/YD]]</f>
        <v>6020</v>
      </c>
      <c r="R265" s="259" t="s">
        <v>963</v>
      </c>
      <c r="S265" s="15" t="s">
        <v>943</v>
      </c>
      <c r="T265" t="s">
        <v>1164</v>
      </c>
      <c r="U265" s="138">
        <v>46253</v>
      </c>
    </row>
    <row r="266" spans="1:21" x14ac:dyDescent="0.35">
      <c r="A266" s="255" t="s">
        <v>984</v>
      </c>
      <c r="B266" s="3" t="s">
        <v>109</v>
      </c>
      <c r="C266" s="25" t="s">
        <v>92</v>
      </c>
      <c r="D266" s="26">
        <v>46148</v>
      </c>
      <c r="E266" s="140" t="s">
        <v>892</v>
      </c>
      <c r="F266" s="377" t="s">
        <v>974</v>
      </c>
      <c r="G266" s="326">
        <v>4726</v>
      </c>
      <c r="I266" s="1">
        <v>133</v>
      </c>
      <c r="J266" s="31" t="s">
        <v>998</v>
      </c>
      <c r="K266" s="162">
        <v>3300</v>
      </c>
      <c r="M266" s="229">
        <v>1.81</v>
      </c>
      <c r="N266" s="201">
        <f>Tabela1[[#This Row],[PRECIO
USD]]*Tabela1[[#This Row],[MT/YD]]</f>
        <v>5973</v>
      </c>
      <c r="R266" s="4" t="s">
        <v>985</v>
      </c>
      <c r="S266" s="15" t="s">
        <v>986</v>
      </c>
    </row>
    <row r="267" spans="1:21" x14ac:dyDescent="0.35">
      <c r="A267" s="137">
        <v>14668</v>
      </c>
      <c r="B267" s="3" t="s">
        <v>234</v>
      </c>
      <c r="C267" s="25" t="s">
        <v>21</v>
      </c>
      <c r="D267" s="26">
        <v>46153</v>
      </c>
      <c r="E267" s="140" t="s">
        <v>892</v>
      </c>
      <c r="F267" s="377" t="s">
        <v>1010</v>
      </c>
      <c r="G267" s="48">
        <v>5047</v>
      </c>
      <c r="I267" s="1">
        <v>136</v>
      </c>
      <c r="J267" s="31" t="s">
        <v>1012</v>
      </c>
      <c r="K267" s="162">
        <v>10000</v>
      </c>
      <c r="M267" s="221">
        <v>2.3199999999999998</v>
      </c>
      <c r="N267" s="201">
        <f>Tabela1[[#This Row],[PRECIO
USD]]*Tabela1[[#This Row],[MT/YD]]</f>
        <v>23200</v>
      </c>
    </row>
    <row r="268" spans="1:21" ht="14.5" customHeight="1" x14ac:dyDescent="0.35">
      <c r="A268" s="316" t="s">
        <v>1016</v>
      </c>
      <c r="B268" s="310" t="s">
        <v>354</v>
      </c>
      <c r="C268" s="311" t="s">
        <v>26</v>
      </c>
      <c r="D268" s="312">
        <v>46168</v>
      </c>
      <c r="E268" s="313" t="s">
        <v>892</v>
      </c>
      <c r="F268" s="381" t="s">
        <v>1022</v>
      </c>
      <c r="G268" s="367">
        <v>5101</v>
      </c>
      <c r="H268" s="315">
        <v>97</v>
      </c>
      <c r="I268" s="314">
        <v>137</v>
      </c>
      <c r="J268" s="31" t="s">
        <v>1019</v>
      </c>
      <c r="K268" s="317">
        <v>1200</v>
      </c>
      <c r="L268" s="50">
        <v>528</v>
      </c>
      <c r="M268" s="222">
        <v>2.4</v>
      </c>
      <c r="N268" s="201">
        <f>Tabela1[[#This Row],[PRECIO
USD]]*Tabela1[[#This Row],[MT/YD]]</f>
        <v>2880</v>
      </c>
      <c r="R268" t="s">
        <v>1020</v>
      </c>
    </row>
    <row r="269" spans="1:21" x14ac:dyDescent="0.35">
      <c r="A269" s="137">
        <v>2004801</v>
      </c>
      <c r="B269" s="3" t="s">
        <v>109</v>
      </c>
      <c r="C269" s="25" t="s">
        <v>92</v>
      </c>
      <c r="D269" s="26">
        <v>46176</v>
      </c>
      <c r="E269" s="140" t="s">
        <v>892</v>
      </c>
      <c r="F269" s="60" t="s">
        <v>1032</v>
      </c>
      <c r="G269" s="39">
        <v>4820</v>
      </c>
      <c r="H269" s="120"/>
      <c r="I269" s="1">
        <v>141</v>
      </c>
      <c r="J269" s="31" t="s">
        <v>1046</v>
      </c>
      <c r="K269" s="162">
        <v>5000</v>
      </c>
      <c r="M269" s="216">
        <v>2.34</v>
      </c>
      <c r="N269" s="201">
        <f>Tabela1[[#This Row],[PRECIO
USD]]*Tabela1[[#This Row],[MT/YD]]</f>
        <v>11700</v>
      </c>
      <c r="R269" t="s">
        <v>1040</v>
      </c>
    </row>
    <row r="270" spans="1:21" x14ac:dyDescent="0.35">
      <c r="A270" s="137">
        <v>2004801</v>
      </c>
      <c r="B270" s="3" t="s">
        <v>109</v>
      </c>
      <c r="C270" s="25" t="s">
        <v>92</v>
      </c>
      <c r="D270" s="26">
        <v>46176</v>
      </c>
      <c r="E270" s="140" t="s">
        <v>892</v>
      </c>
      <c r="F270" s="60" t="s">
        <v>1033</v>
      </c>
      <c r="G270" s="39">
        <v>4727</v>
      </c>
      <c r="H270" s="120"/>
      <c r="I270" s="1">
        <v>141</v>
      </c>
      <c r="J270" s="31" t="s">
        <v>1038</v>
      </c>
      <c r="K270" s="162">
        <v>4000</v>
      </c>
      <c r="M270" s="216">
        <v>2.0699999999999998</v>
      </c>
      <c r="N270" s="201">
        <f>Tabela1[[#This Row],[PRECIO
USD]]*Tabela1[[#This Row],[MT/YD]]</f>
        <v>8280</v>
      </c>
      <c r="R270" t="s">
        <v>1040</v>
      </c>
    </row>
    <row r="271" spans="1:21" x14ac:dyDescent="0.35">
      <c r="A271" s="137">
        <v>2004801</v>
      </c>
      <c r="B271" s="3" t="s">
        <v>109</v>
      </c>
      <c r="C271" s="25" t="s">
        <v>92</v>
      </c>
      <c r="D271" s="26">
        <v>46176</v>
      </c>
      <c r="E271" s="140" t="s">
        <v>892</v>
      </c>
      <c r="F271" s="60" t="s">
        <v>1034</v>
      </c>
      <c r="G271" s="39">
        <v>4663</v>
      </c>
      <c r="H271" s="120"/>
      <c r="I271" s="1">
        <v>141</v>
      </c>
      <c r="J271" s="31" t="s">
        <v>1047</v>
      </c>
      <c r="K271" s="162">
        <v>1000</v>
      </c>
      <c r="M271" s="216">
        <v>2.3199999999999998</v>
      </c>
      <c r="N271" s="201">
        <f>Tabela1[[#This Row],[PRECIO
USD]]*Tabela1[[#This Row],[MT/YD]]</f>
        <v>2320</v>
      </c>
      <c r="R271" t="s">
        <v>1040</v>
      </c>
    </row>
    <row r="272" spans="1:21" x14ac:dyDescent="0.35">
      <c r="A272" s="137">
        <v>2004801</v>
      </c>
      <c r="B272" s="3" t="s">
        <v>109</v>
      </c>
      <c r="C272" s="25" t="s">
        <v>92</v>
      </c>
      <c r="D272" s="26">
        <v>46176</v>
      </c>
      <c r="E272" s="140" t="s">
        <v>892</v>
      </c>
      <c r="F272" s="60" t="s">
        <v>1035</v>
      </c>
      <c r="G272" s="39">
        <v>4669</v>
      </c>
      <c r="H272" s="120"/>
      <c r="I272" s="1">
        <v>141</v>
      </c>
      <c r="J272" s="31" t="s">
        <v>1037</v>
      </c>
      <c r="K272" s="162">
        <v>2000</v>
      </c>
      <c r="M272" s="216">
        <v>5.68</v>
      </c>
      <c r="N272" s="201">
        <f>Tabela1[[#This Row],[PRECIO
USD]]*Tabela1[[#This Row],[MT/YD]]</f>
        <v>11360</v>
      </c>
      <c r="R272" t="s">
        <v>1040</v>
      </c>
    </row>
    <row r="273" spans="1:21" x14ac:dyDescent="0.35">
      <c r="A273" s="137">
        <v>2004801</v>
      </c>
      <c r="B273" s="3" t="s">
        <v>109</v>
      </c>
      <c r="C273" s="25" t="s">
        <v>92</v>
      </c>
      <c r="D273" s="26">
        <v>46176</v>
      </c>
      <c r="E273" s="140" t="s">
        <v>892</v>
      </c>
      <c r="F273" s="328" t="s">
        <v>1036</v>
      </c>
      <c r="G273" s="368">
        <v>4547</v>
      </c>
      <c r="H273" s="120"/>
      <c r="I273" s="1">
        <v>141</v>
      </c>
      <c r="J273" s="31" t="s">
        <v>1039</v>
      </c>
      <c r="K273" s="162">
        <v>700</v>
      </c>
      <c r="M273" s="216">
        <v>1.89</v>
      </c>
      <c r="N273" s="201">
        <f>Tabela1[[#This Row],[PRECIO
USD]]*Tabela1[[#This Row],[MT/YD]]</f>
        <v>1323</v>
      </c>
      <c r="R273" t="s">
        <v>1040</v>
      </c>
    </row>
    <row r="274" spans="1:21" x14ac:dyDescent="0.35">
      <c r="A274" s="137">
        <v>786</v>
      </c>
      <c r="B274" s="389" t="s">
        <v>221</v>
      </c>
      <c r="C274" s="25" t="s">
        <v>92</v>
      </c>
      <c r="D274" s="26">
        <v>46182</v>
      </c>
      <c r="E274" s="140" t="s">
        <v>892</v>
      </c>
      <c r="F274" s="60" t="s">
        <v>1053</v>
      </c>
      <c r="G274" s="39">
        <v>5156</v>
      </c>
      <c r="I274" s="1">
        <v>143</v>
      </c>
      <c r="J274" s="31" t="s">
        <v>1049</v>
      </c>
      <c r="K274" s="162">
        <v>2200</v>
      </c>
      <c r="L274" s="302"/>
      <c r="M274" s="221">
        <v>1.9</v>
      </c>
      <c r="N274" s="201">
        <f>Tabela1[[#This Row],[PRECIO
USD]]*Tabela1[[#This Row],[MT/YD]]</f>
        <v>4180</v>
      </c>
      <c r="R274" t="s">
        <v>294</v>
      </c>
    </row>
    <row r="275" spans="1:21" x14ac:dyDescent="0.35">
      <c r="A275" s="137">
        <v>14703</v>
      </c>
      <c r="B275" s="3" t="s">
        <v>234</v>
      </c>
      <c r="C275" s="25" t="s">
        <v>21</v>
      </c>
      <c r="D275" s="26">
        <v>46185</v>
      </c>
      <c r="E275" s="140" t="s">
        <v>892</v>
      </c>
      <c r="F275" s="377" t="s">
        <v>1010</v>
      </c>
      <c r="G275" s="39">
        <v>5047</v>
      </c>
      <c r="I275" s="1">
        <v>144</v>
      </c>
      <c r="J275" s="31" t="s">
        <v>1012</v>
      </c>
      <c r="K275" s="162">
        <v>5000</v>
      </c>
      <c r="M275" s="221">
        <v>2.3199999999999998</v>
      </c>
      <c r="N275" s="201">
        <f>Tabela1[[#This Row],[PRECIO
USD]]*Tabela1[[#This Row],[MT/YD]]</f>
        <v>11600</v>
      </c>
      <c r="R275" t="s">
        <v>1056</v>
      </c>
    </row>
    <row r="276" spans="1:21" x14ac:dyDescent="0.35">
      <c r="A276" s="137">
        <v>14772</v>
      </c>
      <c r="B276" s="3" t="s">
        <v>234</v>
      </c>
      <c r="C276" s="25" t="s">
        <v>21</v>
      </c>
      <c r="D276" s="26">
        <v>46197</v>
      </c>
      <c r="E276" s="140" t="s">
        <v>1064</v>
      </c>
      <c r="F276" s="376" t="s">
        <v>1256</v>
      </c>
      <c r="G276" s="251" t="s">
        <v>237</v>
      </c>
      <c r="I276" s="1">
        <v>145</v>
      </c>
      <c r="J276" s="29" t="s">
        <v>238</v>
      </c>
      <c r="K276" s="162">
        <v>6000</v>
      </c>
      <c r="M276" s="221">
        <v>2.11</v>
      </c>
      <c r="N276" s="201">
        <f>Tabela1[[#This Row],[PRECIO
USD]]*Tabela1[[#This Row],[MT/YD]]</f>
        <v>12660</v>
      </c>
      <c r="R276" t="s">
        <v>1065</v>
      </c>
      <c r="T276" t="s">
        <v>1164</v>
      </c>
      <c r="U276" s="138">
        <v>46259</v>
      </c>
    </row>
    <row r="277" spans="1:21" x14ac:dyDescent="0.35">
      <c r="A277" s="137">
        <v>14772</v>
      </c>
      <c r="B277" s="3" t="s">
        <v>234</v>
      </c>
      <c r="C277" s="25" t="s">
        <v>21</v>
      </c>
      <c r="D277" s="26">
        <v>46197</v>
      </c>
      <c r="E277" s="140" t="s">
        <v>1064</v>
      </c>
      <c r="F277" s="375" t="s">
        <v>1068</v>
      </c>
      <c r="G277" s="251" t="s">
        <v>242</v>
      </c>
      <c r="I277" s="1">
        <v>145</v>
      </c>
      <c r="J277" s="29" t="s">
        <v>243</v>
      </c>
      <c r="K277" s="162">
        <v>6000</v>
      </c>
      <c r="M277" s="221">
        <v>2.2200000000000002</v>
      </c>
      <c r="N277" s="201">
        <f>Tabela1[[#This Row],[PRECIO
USD]]*Tabela1[[#This Row],[MT/YD]]</f>
        <v>13320.000000000002</v>
      </c>
      <c r="R277" t="s">
        <v>1065</v>
      </c>
      <c r="T277" t="s">
        <v>1164</v>
      </c>
      <c r="U277" s="138">
        <v>46259</v>
      </c>
    </row>
    <row r="278" spans="1:21" ht="24.5" x14ac:dyDescent="0.35">
      <c r="A278" s="137">
        <v>14773</v>
      </c>
      <c r="B278" s="3" t="s">
        <v>234</v>
      </c>
      <c r="C278" s="25" t="s">
        <v>21</v>
      </c>
      <c r="D278" s="26">
        <v>46197</v>
      </c>
      <c r="E278" s="140" t="s">
        <v>1064</v>
      </c>
      <c r="F278" s="60" t="s">
        <v>1066</v>
      </c>
      <c r="G278" s="358">
        <v>5217</v>
      </c>
      <c r="I278" s="1">
        <v>146</v>
      </c>
      <c r="J278" s="421" t="s">
        <v>1253</v>
      </c>
      <c r="K278" s="162">
        <v>3500</v>
      </c>
      <c r="M278" s="222">
        <v>2.11</v>
      </c>
      <c r="N278" s="201">
        <f>Tabela1[[#This Row],[PRECIO
USD]]*Tabela1[[#This Row],[MT/YD]]</f>
        <v>7385</v>
      </c>
      <c r="R278" t="s">
        <v>1065</v>
      </c>
      <c r="T278" t="s">
        <v>1164</v>
      </c>
      <c r="U278" s="138">
        <v>46259</v>
      </c>
    </row>
    <row r="279" spans="1:21" x14ac:dyDescent="0.35">
      <c r="A279" s="137">
        <v>14773</v>
      </c>
      <c r="B279" s="3" t="s">
        <v>234</v>
      </c>
      <c r="C279" s="25" t="s">
        <v>21</v>
      </c>
      <c r="D279" s="26">
        <v>46197</v>
      </c>
      <c r="E279" s="140" t="s">
        <v>1064</v>
      </c>
      <c r="F279" s="60" t="s">
        <v>639</v>
      </c>
      <c r="G279" s="358">
        <v>5215</v>
      </c>
      <c r="I279" s="1">
        <v>146</v>
      </c>
      <c r="J279" s="31" t="s">
        <v>1254</v>
      </c>
      <c r="K279" s="162">
        <v>3500</v>
      </c>
      <c r="M279" s="222">
        <v>2.23</v>
      </c>
      <c r="N279" s="201">
        <f>Tabela1[[#This Row],[PRECIO
USD]]*Tabela1[[#This Row],[MT/YD]]</f>
        <v>7805</v>
      </c>
      <c r="R279" t="s">
        <v>1065</v>
      </c>
      <c r="T279" t="s">
        <v>1164</v>
      </c>
      <c r="U279" s="138">
        <v>46259</v>
      </c>
    </row>
    <row r="280" spans="1:21" x14ac:dyDescent="0.35">
      <c r="A280" s="137">
        <v>14773</v>
      </c>
      <c r="B280" s="3" t="s">
        <v>234</v>
      </c>
      <c r="C280" s="25" t="s">
        <v>21</v>
      </c>
      <c r="D280" s="26">
        <v>46197</v>
      </c>
      <c r="E280" s="140" t="s">
        <v>1064</v>
      </c>
      <c r="F280" s="60" t="s">
        <v>1067</v>
      </c>
      <c r="G280" s="358">
        <v>5216</v>
      </c>
      <c r="I280" s="1">
        <v>146</v>
      </c>
      <c r="J280" s="31" t="s">
        <v>1255</v>
      </c>
      <c r="K280" s="162">
        <v>3500</v>
      </c>
      <c r="M280" s="222">
        <v>2.17</v>
      </c>
      <c r="N280" s="201">
        <f>Tabela1[[#This Row],[PRECIO
USD]]*Tabela1[[#This Row],[MT/YD]]</f>
        <v>7595</v>
      </c>
      <c r="R280" t="s">
        <v>1065</v>
      </c>
      <c r="T280" t="s">
        <v>1164</v>
      </c>
      <c r="U280" s="138">
        <v>46259</v>
      </c>
    </row>
    <row r="281" spans="1:21" x14ac:dyDescent="0.35">
      <c r="A281" s="341" t="s">
        <v>1069</v>
      </c>
      <c r="B281" s="3" t="s">
        <v>33</v>
      </c>
      <c r="C281" s="25" t="s">
        <v>38</v>
      </c>
      <c r="D281" s="26">
        <v>46205</v>
      </c>
      <c r="E281" s="140" t="s">
        <v>1079</v>
      </c>
      <c r="F281" s="382" t="s">
        <v>1230</v>
      </c>
      <c r="G281" s="340">
        <v>5277</v>
      </c>
      <c r="I281" s="338">
        <v>148</v>
      </c>
      <c r="J281" s="31" t="s">
        <v>1172</v>
      </c>
      <c r="K281" s="166">
        <v>5260</v>
      </c>
      <c r="M281" s="221">
        <v>2.33</v>
      </c>
      <c r="N281" s="342">
        <f>Tabela1[[#This Row],[PRECIO
USD]]*Tabela1[[#This Row],[MT/YD]]</f>
        <v>12255.800000000001</v>
      </c>
      <c r="R281" s="324" t="s">
        <v>1169</v>
      </c>
      <c r="T281" s="138" t="s">
        <v>1164</v>
      </c>
      <c r="U281" s="138">
        <v>46255</v>
      </c>
    </row>
    <row r="282" spans="1:21" x14ac:dyDescent="0.35">
      <c r="A282" s="255" t="s">
        <v>1074</v>
      </c>
      <c r="B282" s="3" t="s">
        <v>354</v>
      </c>
      <c r="C282" s="25" t="s">
        <v>26</v>
      </c>
      <c r="D282" s="26">
        <v>46206</v>
      </c>
      <c r="E282" s="140" t="s">
        <v>1064</v>
      </c>
      <c r="F282" s="374" t="s">
        <v>1075</v>
      </c>
      <c r="G282" s="326">
        <v>5220</v>
      </c>
      <c r="H282" s="120"/>
      <c r="I282" s="1">
        <v>147</v>
      </c>
      <c r="J282" s="31" t="s">
        <v>1076</v>
      </c>
      <c r="K282" s="162">
        <v>1200</v>
      </c>
      <c r="M282" s="221">
        <v>1.9</v>
      </c>
      <c r="N282" s="201">
        <f>Tabela1[[#This Row],[PRECIO
USD]]*Tabela1[[#This Row],[MT/YD]]</f>
        <v>2280</v>
      </c>
      <c r="R282" t="s">
        <v>1077</v>
      </c>
      <c r="T282" t="s">
        <v>1164</v>
      </c>
      <c r="U282" s="138">
        <v>46255</v>
      </c>
    </row>
    <row r="283" spans="1:21" x14ac:dyDescent="0.35">
      <c r="A283" s="343" t="s">
        <v>1023</v>
      </c>
      <c r="B283" s="3" t="s">
        <v>33</v>
      </c>
      <c r="C283" s="25" t="s">
        <v>38</v>
      </c>
      <c r="D283" s="26">
        <v>46171</v>
      </c>
      <c r="E283" s="140" t="s">
        <v>1079</v>
      </c>
      <c r="F283" s="382" t="s">
        <v>1231</v>
      </c>
      <c r="G283" s="340">
        <v>5278</v>
      </c>
      <c r="I283" s="338">
        <v>149</v>
      </c>
      <c r="J283" s="31" t="s">
        <v>1170</v>
      </c>
      <c r="K283" s="166">
        <v>3841</v>
      </c>
      <c r="M283" s="229">
        <v>2.77</v>
      </c>
      <c r="N283" s="342">
        <f>Tabela1[[#This Row],[PRECIO
USD]]*Tabela1[[#This Row],[MT/YD]]</f>
        <v>10639.57</v>
      </c>
      <c r="R283" t="s">
        <v>1080</v>
      </c>
      <c r="T283" s="138" t="s">
        <v>1164</v>
      </c>
      <c r="U283" s="138">
        <v>46255</v>
      </c>
    </row>
    <row r="284" spans="1:21" x14ac:dyDescent="0.35">
      <c r="A284" s="400" t="s">
        <v>1023</v>
      </c>
      <c r="B284" s="3" t="s">
        <v>33</v>
      </c>
      <c r="C284" s="25" t="s">
        <v>38</v>
      </c>
      <c r="D284" s="26">
        <v>46171</v>
      </c>
      <c r="E284" s="140" t="s">
        <v>1079</v>
      </c>
      <c r="F284" s="382" t="s">
        <v>1232</v>
      </c>
      <c r="G284" s="340">
        <v>5348</v>
      </c>
      <c r="H284" s="1">
        <v>149</v>
      </c>
      <c r="I284" s="338">
        <v>149</v>
      </c>
      <c r="J284" s="31" t="s">
        <v>1171</v>
      </c>
      <c r="K284" s="166">
        <v>1589</v>
      </c>
      <c r="M284" s="229">
        <v>2.77</v>
      </c>
      <c r="N284" s="342">
        <f>Tabela1[[#This Row],[PRECIO
USD]]*Tabela1[[#This Row],[MT/YD]]</f>
        <v>4401.53</v>
      </c>
      <c r="R284" t="s">
        <v>1168</v>
      </c>
      <c r="T284" s="138" t="s">
        <v>1164</v>
      </c>
      <c r="U284" s="138">
        <v>46255</v>
      </c>
    </row>
    <row r="285" spans="1:21" x14ac:dyDescent="0.35">
      <c r="A285" s="137">
        <v>791</v>
      </c>
      <c r="B285" s="389" t="s">
        <v>221</v>
      </c>
      <c r="C285" s="25" t="s">
        <v>92</v>
      </c>
      <c r="D285" s="26">
        <v>46211</v>
      </c>
      <c r="E285" s="140" t="s">
        <v>1079</v>
      </c>
      <c r="F285" s="375" t="s">
        <v>1088</v>
      </c>
      <c r="G285" s="251" t="s">
        <v>226</v>
      </c>
      <c r="I285" s="1">
        <v>150</v>
      </c>
      <c r="J285" s="31" t="s">
        <v>231</v>
      </c>
      <c r="K285" s="162">
        <v>400</v>
      </c>
      <c r="M285" s="215">
        <v>5.2</v>
      </c>
      <c r="N285" s="201">
        <f>Tabela1[[#This Row],[PRECIO
USD]]*Tabela1[[#This Row],[MT/YD]]</f>
        <v>2080</v>
      </c>
      <c r="R285" t="s">
        <v>1083</v>
      </c>
    </row>
    <row r="286" spans="1:21" x14ac:dyDescent="0.35">
      <c r="A286" s="137">
        <v>791</v>
      </c>
      <c r="B286" s="389" t="s">
        <v>221</v>
      </c>
      <c r="C286" s="25" t="s">
        <v>92</v>
      </c>
      <c r="D286" s="26">
        <v>46211</v>
      </c>
      <c r="E286" s="140" t="s">
        <v>1079</v>
      </c>
      <c r="F286" s="376" t="s">
        <v>1084</v>
      </c>
      <c r="G286" s="251" t="s">
        <v>230</v>
      </c>
      <c r="I286" s="1">
        <v>150</v>
      </c>
      <c r="J286" s="31" t="s">
        <v>1087</v>
      </c>
      <c r="K286" s="162">
        <v>600</v>
      </c>
      <c r="M286" s="215">
        <v>2.88</v>
      </c>
      <c r="N286" s="201">
        <f>Tabela1[[#This Row],[PRECIO
USD]]*Tabela1[[#This Row],[MT/YD]]</f>
        <v>1728</v>
      </c>
      <c r="R286" t="s">
        <v>1083</v>
      </c>
    </row>
    <row r="287" spans="1:21" x14ac:dyDescent="0.35">
      <c r="A287" s="137">
        <v>797</v>
      </c>
      <c r="B287" s="389" t="s">
        <v>221</v>
      </c>
      <c r="C287" s="25" t="s">
        <v>92</v>
      </c>
      <c r="D287" s="26">
        <v>46211</v>
      </c>
      <c r="E287" s="140" t="s">
        <v>1079</v>
      </c>
      <c r="F287" s="60" t="s">
        <v>1233</v>
      </c>
      <c r="G287" s="261" t="s">
        <v>1086</v>
      </c>
      <c r="I287" s="1">
        <v>151</v>
      </c>
      <c r="J287" s="325" t="s">
        <v>1085</v>
      </c>
      <c r="K287" s="162">
        <v>3000</v>
      </c>
      <c r="M287" s="221">
        <v>2.16</v>
      </c>
      <c r="N287" s="201">
        <f>Tabela1[[#This Row],[PRECIO
USD]]*Tabela1[[#This Row],[MT/YD]]</f>
        <v>6480</v>
      </c>
      <c r="R287" t="s">
        <v>1083</v>
      </c>
    </row>
    <row r="288" spans="1:21" x14ac:dyDescent="0.35">
      <c r="A288" s="43" t="s">
        <v>1090</v>
      </c>
      <c r="B288" s="3" t="s">
        <v>85</v>
      </c>
      <c r="C288" s="25" t="s">
        <v>21</v>
      </c>
      <c r="D288" s="26">
        <v>46213</v>
      </c>
      <c r="E288" s="140" t="s">
        <v>1064</v>
      </c>
      <c r="F288" s="111" t="s">
        <v>1096</v>
      </c>
      <c r="G288" s="48">
        <v>4635</v>
      </c>
      <c r="I288" s="1">
        <v>153</v>
      </c>
      <c r="J288" s="29" t="s">
        <v>1094</v>
      </c>
      <c r="K288" s="162">
        <v>2700</v>
      </c>
      <c r="M288" s="221">
        <v>2.17</v>
      </c>
      <c r="N288" s="201">
        <f>Tabela1[[#This Row],[PRECIO
USD]]*Tabela1[[#This Row],[MT/YD]]</f>
        <v>5859</v>
      </c>
      <c r="R288" t="s">
        <v>1093</v>
      </c>
    </row>
    <row r="289" spans="1:18" x14ac:dyDescent="0.35">
      <c r="A289" s="103">
        <v>2007206</v>
      </c>
      <c r="B289" s="3" t="s">
        <v>246</v>
      </c>
      <c r="C289" s="25" t="s">
        <v>21</v>
      </c>
      <c r="D289" s="26">
        <v>46223</v>
      </c>
      <c r="E289" s="140" t="s">
        <v>1079</v>
      </c>
      <c r="F289" s="60" t="s">
        <v>1104</v>
      </c>
      <c r="G289" s="48">
        <v>5314</v>
      </c>
      <c r="I289" s="1">
        <v>155</v>
      </c>
      <c r="J289" s="29" t="s">
        <v>1107</v>
      </c>
      <c r="K289" s="162">
        <v>5500</v>
      </c>
      <c r="M289" s="222">
        <v>2.12</v>
      </c>
      <c r="N289" s="201">
        <f>Tabela1[[#This Row],[PRECIO
USD]]*Tabela1[[#This Row],[MT/YD]]</f>
        <v>11660</v>
      </c>
      <c r="R289" t="s">
        <v>1099</v>
      </c>
    </row>
    <row r="290" spans="1:18" x14ac:dyDescent="0.35">
      <c r="A290" s="103">
        <v>2007206</v>
      </c>
      <c r="B290" s="3" t="s">
        <v>246</v>
      </c>
      <c r="C290" s="25" t="s">
        <v>21</v>
      </c>
      <c r="D290" s="26">
        <v>46223</v>
      </c>
      <c r="E290" s="140" t="s">
        <v>1079</v>
      </c>
      <c r="F290" s="60" t="s">
        <v>1105</v>
      </c>
      <c r="G290" s="48">
        <v>5315</v>
      </c>
      <c r="I290" s="1">
        <v>155</v>
      </c>
      <c r="J290" s="29" t="s">
        <v>1108</v>
      </c>
      <c r="K290" s="162">
        <v>3000</v>
      </c>
      <c r="M290" s="222">
        <v>2.94</v>
      </c>
      <c r="N290" s="201">
        <f>Tabela1[[#This Row],[PRECIO
USD]]*Tabela1[[#This Row],[MT/YD]]</f>
        <v>8820</v>
      </c>
      <c r="R290" t="s">
        <v>1100</v>
      </c>
    </row>
    <row r="291" spans="1:18" x14ac:dyDescent="0.35">
      <c r="A291" s="103">
        <v>2007206</v>
      </c>
      <c r="B291" s="3" t="s">
        <v>246</v>
      </c>
      <c r="C291" s="25" t="s">
        <v>21</v>
      </c>
      <c r="D291" s="26">
        <v>46223</v>
      </c>
      <c r="E291" s="140" t="s">
        <v>1079</v>
      </c>
      <c r="F291" s="60" t="s">
        <v>1106</v>
      </c>
      <c r="G291" s="48">
        <v>5316</v>
      </c>
      <c r="I291" s="1">
        <v>155</v>
      </c>
      <c r="J291" s="29" t="s">
        <v>1115</v>
      </c>
      <c r="K291" s="162">
        <v>1000</v>
      </c>
      <c r="M291" s="222">
        <v>2.04</v>
      </c>
      <c r="N291" s="201">
        <f>Tabela1[[#This Row],[PRECIO
USD]]*Tabela1[[#This Row],[MT/YD]]</f>
        <v>2040</v>
      </c>
    </row>
    <row r="292" spans="1:18" x14ac:dyDescent="0.35">
      <c r="A292" s="103">
        <v>2007206</v>
      </c>
      <c r="B292" s="3" t="s">
        <v>246</v>
      </c>
      <c r="C292" s="25" t="s">
        <v>21</v>
      </c>
      <c r="D292" s="26">
        <v>46223</v>
      </c>
      <c r="E292" s="140" t="s">
        <v>1079</v>
      </c>
      <c r="F292" s="60" t="s">
        <v>1103</v>
      </c>
      <c r="G292" s="48">
        <v>5326</v>
      </c>
      <c r="I292" s="1">
        <v>155</v>
      </c>
      <c r="J292" s="29" t="s">
        <v>1109</v>
      </c>
      <c r="K292" s="162">
        <v>1000</v>
      </c>
      <c r="M292" s="222">
        <v>2.08</v>
      </c>
      <c r="N292" s="201">
        <f>Tabela1[[#This Row],[PRECIO
USD]]*Tabela1[[#This Row],[MT/YD]]</f>
        <v>2080</v>
      </c>
    </row>
    <row r="293" spans="1:18" x14ac:dyDescent="0.35">
      <c r="A293" s="103">
        <v>2007206</v>
      </c>
      <c r="B293" s="3" t="s">
        <v>246</v>
      </c>
      <c r="C293" s="25" t="s">
        <v>21</v>
      </c>
      <c r="D293" s="26">
        <v>46223</v>
      </c>
      <c r="E293" s="140" t="s">
        <v>1079</v>
      </c>
      <c r="F293" s="60" t="s">
        <v>1112</v>
      </c>
      <c r="G293" s="261">
        <v>4630</v>
      </c>
      <c r="I293" s="1">
        <v>155</v>
      </c>
      <c r="J293" s="29" t="s">
        <v>1116</v>
      </c>
      <c r="K293" s="162">
        <v>1000</v>
      </c>
      <c r="M293" s="222">
        <v>2.15</v>
      </c>
      <c r="N293" s="201">
        <f>Tabela1[[#This Row],[PRECIO
USD]]*Tabela1[[#This Row],[MT/YD]]</f>
        <v>2150</v>
      </c>
    </row>
    <row r="294" spans="1:18" x14ac:dyDescent="0.35">
      <c r="A294" s="103">
        <v>2007206</v>
      </c>
      <c r="B294" s="3" t="s">
        <v>246</v>
      </c>
      <c r="C294" s="25" t="s">
        <v>21</v>
      </c>
      <c r="D294" s="26">
        <v>46223</v>
      </c>
      <c r="E294" s="140" t="s">
        <v>1079</v>
      </c>
      <c r="F294" s="60" t="s">
        <v>1114</v>
      </c>
      <c r="G294" s="48">
        <v>5327</v>
      </c>
      <c r="I294" s="1">
        <v>155</v>
      </c>
      <c r="J294" s="29" t="s">
        <v>1113</v>
      </c>
      <c r="K294" s="162">
        <v>2000</v>
      </c>
      <c r="M294" s="228">
        <v>2.13</v>
      </c>
      <c r="N294" s="201">
        <f>Tabela1[[#This Row],[PRECIO
USD]]*Tabela1[[#This Row],[MT/YD]]</f>
        <v>4260</v>
      </c>
    </row>
    <row r="295" spans="1:18" x14ac:dyDescent="0.35">
      <c r="A295" s="103">
        <v>2005029</v>
      </c>
      <c r="B295" s="3" t="s">
        <v>109</v>
      </c>
      <c r="C295" s="25" t="s">
        <v>92</v>
      </c>
      <c r="D295" s="26">
        <v>46223</v>
      </c>
      <c r="E295" s="140" t="s">
        <v>1079</v>
      </c>
      <c r="F295" s="60" t="s">
        <v>1101</v>
      </c>
      <c r="G295" s="48">
        <v>5155</v>
      </c>
      <c r="I295" s="1">
        <v>154</v>
      </c>
      <c r="J295" s="29" t="s">
        <v>1110</v>
      </c>
      <c r="K295" s="162">
        <v>800</v>
      </c>
      <c r="M295" s="221">
        <v>2.29</v>
      </c>
      <c r="N295" s="201">
        <f>Tabela1[[#This Row],[PRECIO
USD]]*Tabela1[[#This Row],[MT/YD]]</f>
        <v>1832</v>
      </c>
    </row>
    <row r="296" spans="1:18" x14ac:dyDescent="0.35">
      <c r="A296" s="103">
        <v>2005029</v>
      </c>
      <c r="B296" s="3" t="s">
        <v>109</v>
      </c>
      <c r="C296" s="25" t="s">
        <v>92</v>
      </c>
      <c r="D296" s="26">
        <v>46223</v>
      </c>
      <c r="E296" s="140" t="s">
        <v>1079</v>
      </c>
      <c r="F296" s="60" t="s">
        <v>1102</v>
      </c>
      <c r="G296" s="48">
        <v>5149</v>
      </c>
      <c r="I296" s="1">
        <v>154</v>
      </c>
      <c r="J296" s="29" t="s">
        <v>1111</v>
      </c>
      <c r="K296" s="162">
        <v>800</v>
      </c>
      <c r="M296" s="221">
        <v>1.84</v>
      </c>
      <c r="N296" s="201">
        <f>Tabela1[[#This Row],[PRECIO
USD]]*Tabela1[[#This Row],[MT/YD]]</f>
        <v>1472</v>
      </c>
    </row>
    <row r="297" spans="1:18" ht="16" customHeight="1" x14ac:dyDescent="0.35">
      <c r="A297" s="103">
        <v>2007258</v>
      </c>
      <c r="B297" s="3" t="s">
        <v>246</v>
      </c>
      <c r="C297" s="139" t="s">
        <v>21</v>
      </c>
      <c r="D297" s="26">
        <v>46227</v>
      </c>
      <c r="E297" s="140" t="s">
        <v>1079</v>
      </c>
      <c r="F297" s="60" t="s">
        <v>1114</v>
      </c>
      <c r="G297" s="48">
        <v>5327</v>
      </c>
      <c r="I297" s="1">
        <v>156</v>
      </c>
      <c r="J297" s="29" t="s">
        <v>1124</v>
      </c>
      <c r="K297" s="162">
        <v>2000</v>
      </c>
      <c r="M297" s="221">
        <v>2.13</v>
      </c>
      <c r="N297" s="327">
        <f>Tabela1[[#This Row],[PRECIO
USD]]*Tabela1[[#This Row],[MT/YD]]</f>
        <v>4260</v>
      </c>
      <c r="R297" t="s">
        <v>1123</v>
      </c>
    </row>
    <row r="298" spans="1:18" x14ac:dyDescent="0.35">
      <c r="A298" s="103" t="s">
        <v>1131</v>
      </c>
      <c r="B298" s="3" t="s">
        <v>109</v>
      </c>
      <c r="C298" s="25" t="s">
        <v>92</v>
      </c>
      <c r="D298" s="26">
        <v>46232</v>
      </c>
      <c r="E298" s="140" t="s">
        <v>1079</v>
      </c>
      <c r="F298" s="60" t="s">
        <v>1132</v>
      </c>
      <c r="G298" s="326">
        <v>5196</v>
      </c>
      <c r="I298" s="1">
        <v>157</v>
      </c>
      <c r="J298" s="29" t="s">
        <v>1130</v>
      </c>
      <c r="K298" s="162">
        <v>500</v>
      </c>
      <c r="M298" s="222">
        <v>1.89</v>
      </c>
      <c r="N298" s="327">
        <f>Tabela1[[#This Row],[PRECIO
USD]]*Tabela1[[#This Row],[MT/YD]]</f>
        <v>945</v>
      </c>
      <c r="R298" t="s">
        <v>1133</v>
      </c>
    </row>
    <row r="299" spans="1:18" ht="15" thickBot="1" x14ac:dyDescent="0.4">
      <c r="A299" s="103">
        <v>2005068</v>
      </c>
      <c r="B299" s="3" t="s">
        <v>109</v>
      </c>
      <c r="C299" s="25" t="s">
        <v>92</v>
      </c>
      <c r="D299" s="26">
        <v>46237</v>
      </c>
      <c r="E299" s="140" t="s">
        <v>1079</v>
      </c>
      <c r="F299" s="60" t="s">
        <v>1137</v>
      </c>
      <c r="G299" s="326">
        <v>5344</v>
      </c>
      <c r="I299" s="1">
        <v>158</v>
      </c>
      <c r="J299" s="29" t="s">
        <v>1135</v>
      </c>
      <c r="K299" s="162">
        <v>1000</v>
      </c>
      <c r="M299" s="221">
        <v>1.8</v>
      </c>
      <c r="N299" s="327">
        <f>Tabela1[[#This Row],[PRECIO
USD]]*Tabela1[[#This Row],[MT/YD]]</f>
        <v>1800</v>
      </c>
      <c r="R299" t="s">
        <v>1136</v>
      </c>
    </row>
    <row r="300" spans="1:18" ht="14.5" customHeight="1" x14ac:dyDescent="0.35">
      <c r="A300" s="103" t="s">
        <v>1139</v>
      </c>
      <c r="B300" s="3" t="s">
        <v>246</v>
      </c>
      <c r="C300" s="25" t="s">
        <v>21</v>
      </c>
      <c r="D300" s="26">
        <v>46246</v>
      </c>
      <c r="E300" s="140" t="s">
        <v>1079</v>
      </c>
      <c r="F300" s="111" t="s">
        <v>1147</v>
      </c>
      <c r="G300" s="326">
        <v>5367</v>
      </c>
      <c r="I300" s="1">
        <v>160</v>
      </c>
      <c r="J300" s="29" t="s">
        <v>1157</v>
      </c>
      <c r="K300" s="162">
        <v>2000</v>
      </c>
      <c r="L300" s="330" t="s">
        <v>1143</v>
      </c>
      <c r="M300" s="336">
        <v>2.13</v>
      </c>
      <c r="N300" s="327">
        <f>Tabela1[[#This Row],[PRECIO
USD]]*Tabela1[[#This Row],[MT/YD]]</f>
        <v>4260</v>
      </c>
      <c r="R300" t="s">
        <v>1152</v>
      </c>
    </row>
    <row r="301" spans="1:18" x14ac:dyDescent="0.35">
      <c r="A301" s="103" t="s">
        <v>1139</v>
      </c>
      <c r="B301" s="3" t="s">
        <v>246</v>
      </c>
      <c r="C301" s="25" t="s">
        <v>21</v>
      </c>
      <c r="D301" s="26">
        <v>46246</v>
      </c>
      <c r="E301" s="140" t="s">
        <v>1079</v>
      </c>
      <c r="F301" s="60" t="s">
        <v>1148</v>
      </c>
      <c r="G301" s="326">
        <v>5368</v>
      </c>
      <c r="I301" s="1">
        <v>160</v>
      </c>
      <c r="J301" s="298" t="s">
        <v>1153</v>
      </c>
      <c r="K301" s="162">
        <v>3500</v>
      </c>
      <c r="L301" s="331"/>
      <c r="M301" s="336">
        <v>1.9</v>
      </c>
      <c r="N301" s="327">
        <f>Tabela1[[#This Row],[PRECIO
USD]]*Tabela1[[#This Row],[MT/YD]]</f>
        <v>6650</v>
      </c>
      <c r="R301" t="s">
        <v>1152</v>
      </c>
    </row>
    <row r="302" spans="1:18" ht="14.5" customHeight="1" x14ac:dyDescent="0.35">
      <c r="A302" s="103" t="s">
        <v>1139</v>
      </c>
      <c r="B302" s="3" t="s">
        <v>246</v>
      </c>
      <c r="C302" s="25" t="s">
        <v>21</v>
      </c>
      <c r="D302" s="26">
        <v>46246</v>
      </c>
      <c r="E302" s="140" t="s">
        <v>1079</v>
      </c>
      <c r="F302" s="111" t="s">
        <v>1176</v>
      </c>
      <c r="G302" s="326">
        <v>5371</v>
      </c>
      <c r="I302" s="1">
        <v>160</v>
      </c>
      <c r="J302" s="29" t="s">
        <v>1161</v>
      </c>
      <c r="K302" s="162">
        <v>1000</v>
      </c>
      <c r="L302" s="331"/>
      <c r="M302" s="336">
        <v>2.42</v>
      </c>
      <c r="N302" s="327">
        <f>Tabela1[[#This Row],[PRECIO
USD]]*Tabela1[[#This Row],[MT/YD]]</f>
        <v>2420</v>
      </c>
      <c r="R302" t="s">
        <v>1152</v>
      </c>
    </row>
    <row r="303" spans="1:18" x14ac:dyDescent="0.35">
      <c r="A303" s="103" t="s">
        <v>1139</v>
      </c>
      <c r="B303" s="3" t="s">
        <v>246</v>
      </c>
      <c r="C303" s="25" t="s">
        <v>21</v>
      </c>
      <c r="D303" s="26">
        <v>46246</v>
      </c>
      <c r="E303" s="140" t="s">
        <v>1079</v>
      </c>
      <c r="F303" s="111" t="s">
        <v>1149</v>
      </c>
      <c r="G303" s="326">
        <v>5369</v>
      </c>
      <c r="I303" s="1">
        <v>160</v>
      </c>
      <c r="J303" s="29" t="s">
        <v>1154</v>
      </c>
      <c r="K303" s="162">
        <v>1000</v>
      </c>
      <c r="L303" s="331"/>
      <c r="M303" s="336">
        <v>2.1</v>
      </c>
      <c r="N303" s="327">
        <f>Tabela1[[#This Row],[PRECIO
USD]]*Tabela1[[#This Row],[MT/YD]]</f>
        <v>2100</v>
      </c>
      <c r="R303" t="s">
        <v>1152</v>
      </c>
    </row>
    <row r="304" spans="1:18" x14ac:dyDescent="0.35">
      <c r="A304" s="103" t="s">
        <v>1139</v>
      </c>
      <c r="B304" s="3" t="s">
        <v>246</v>
      </c>
      <c r="C304" s="25" t="s">
        <v>21</v>
      </c>
      <c r="D304" s="26">
        <v>46246</v>
      </c>
      <c r="E304" s="140" t="s">
        <v>1079</v>
      </c>
      <c r="F304" s="111" t="s">
        <v>1150</v>
      </c>
      <c r="G304" s="326">
        <v>5370</v>
      </c>
      <c r="I304" s="1">
        <v>160</v>
      </c>
      <c r="J304" s="29" t="s">
        <v>1155</v>
      </c>
      <c r="K304" s="162">
        <v>600</v>
      </c>
      <c r="L304" s="331"/>
      <c r="M304" s="336">
        <v>2.2000000000000002</v>
      </c>
      <c r="N304" s="327">
        <f>Tabela1[[#This Row],[PRECIO
USD]]*Tabela1[[#This Row],[MT/YD]]</f>
        <v>1320</v>
      </c>
      <c r="R304" t="s">
        <v>1152</v>
      </c>
    </row>
    <row r="305" spans="1:18" ht="13.5" customHeight="1" x14ac:dyDescent="0.35">
      <c r="A305" s="103" t="s">
        <v>1139</v>
      </c>
      <c r="B305" s="3" t="s">
        <v>246</v>
      </c>
      <c r="C305" s="25" t="s">
        <v>21</v>
      </c>
      <c r="D305" s="26">
        <v>46246</v>
      </c>
      <c r="E305" s="140" t="s">
        <v>1079</v>
      </c>
      <c r="F305" s="111" t="s">
        <v>1151</v>
      </c>
      <c r="G305" s="326">
        <v>5350</v>
      </c>
      <c r="I305" s="1">
        <v>160</v>
      </c>
      <c r="J305" s="29" t="s">
        <v>1156</v>
      </c>
      <c r="K305" s="162">
        <v>2000</v>
      </c>
      <c r="L305" s="331"/>
      <c r="M305" s="336">
        <v>2.94</v>
      </c>
      <c r="N305" s="327">
        <f>Tabela1[[#This Row],[PRECIO
USD]]*Tabela1[[#This Row],[MT/YD]]</f>
        <v>5880</v>
      </c>
      <c r="R305" t="s">
        <v>1152</v>
      </c>
    </row>
    <row r="306" spans="1:18" x14ac:dyDescent="0.35">
      <c r="A306" s="103" t="s">
        <v>1142</v>
      </c>
      <c r="B306" s="3" t="s">
        <v>246</v>
      </c>
      <c r="C306" s="25" t="s">
        <v>21</v>
      </c>
      <c r="D306" s="26">
        <v>46246</v>
      </c>
      <c r="E306" s="344" t="s">
        <v>1141</v>
      </c>
      <c r="F306" s="60" t="s">
        <v>1160</v>
      </c>
      <c r="G306" s="326">
        <v>5368</v>
      </c>
      <c r="I306" s="1">
        <v>161</v>
      </c>
      <c r="J306" s="29" t="s">
        <v>1157</v>
      </c>
      <c r="K306" s="167">
        <v>3900</v>
      </c>
      <c r="M306" s="334">
        <v>1.9</v>
      </c>
      <c r="N306" s="327">
        <f>Tabela1[[#This Row],[PRECIO
USD]]*Tabela1[[#This Row],[MT/YD]]</f>
        <v>7410</v>
      </c>
      <c r="R306" s="335" t="s">
        <v>1145</v>
      </c>
    </row>
    <row r="307" spans="1:18" x14ac:dyDescent="0.35">
      <c r="A307" s="103" t="s">
        <v>1177</v>
      </c>
      <c r="B307" s="3" t="s">
        <v>354</v>
      </c>
      <c r="C307" s="25" t="s">
        <v>26</v>
      </c>
      <c r="D307" s="26">
        <v>46258</v>
      </c>
      <c r="E307" s="344" t="s">
        <v>1141</v>
      </c>
      <c r="F307" s="111" t="s">
        <v>1181</v>
      </c>
      <c r="G307" s="326">
        <v>5288</v>
      </c>
      <c r="I307" s="1">
        <v>162</v>
      </c>
      <c r="J307" s="298" t="s">
        <v>1183</v>
      </c>
      <c r="K307" s="229">
        <v>2500</v>
      </c>
      <c r="L307" s="119" t="s">
        <v>1184</v>
      </c>
      <c r="M307" s="229">
        <v>3.58</v>
      </c>
      <c r="N307" s="327">
        <f>Tabela1[[#This Row],[PRECIO
USD]]*Tabela1[[#This Row],[MT/YD]]</f>
        <v>8950</v>
      </c>
      <c r="R307" s="339"/>
    </row>
    <row r="308" spans="1:18" x14ac:dyDescent="0.35">
      <c r="A308" s="103" t="s">
        <v>1177</v>
      </c>
      <c r="B308" s="3" t="s">
        <v>354</v>
      </c>
      <c r="C308" s="25" t="s">
        <v>26</v>
      </c>
      <c r="D308" s="26">
        <v>46258</v>
      </c>
      <c r="E308" s="344" t="s">
        <v>1141</v>
      </c>
      <c r="F308" s="111" t="s">
        <v>1182</v>
      </c>
      <c r="G308" s="326">
        <v>4525</v>
      </c>
      <c r="I308" s="1">
        <v>162</v>
      </c>
      <c r="J308" s="298" t="s">
        <v>1185</v>
      </c>
      <c r="K308" s="229">
        <v>1200</v>
      </c>
      <c r="L308" s="119" t="s">
        <v>1186</v>
      </c>
      <c r="M308" s="229">
        <v>6.07</v>
      </c>
      <c r="N308" s="327">
        <f>Tabela1[[#This Row],[PRECIO
USD]]*Tabela1[[#This Row],[MT/YD]]</f>
        <v>7284</v>
      </c>
      <c r="R308" s="339"/>
    </row>
    <row r="309" spans="1:18" ht="18.649999999999999" customHeight="1" x14ac:dyDescent="0.35">
      <c r="A309" s="392" t="s">
        <v>1178</v>
      </c>
      <c r="B309" s="3" t="s">
        <v>33</v>
      </c>
      <c r="C309" s="345" t="s">
        <v>38</v>
      </c>
      <c r="D309" s="26">
        <v>46260</v>
      </c>
      <c r="E309" s="344" t="s">
        <v>1141</v>
      </c>
      <c r="F309" s="111" t="s">
        <v>1190</v>
      </c>
      <c r="G309" s="369">
        <v>5401</v>
      </c>
      <c r="I309" s="1">
        <v>163</v>
      </c>
      <c r="J309" s="298" t="s">
        <v>1189</v>
      </c>
      <c r="K309" s="162">
        <v>10000</v>
      </c>
      <c r="M309" s="221">
        <v>2.82</v>
      </c>
      <c r="N309" s="327">
        <f>Tabela1[[#This Row],[PRECIO
USD]]*Tabela1[[#This Row],[MT/YD]]</f>
        <v>28200</v>
      </c>
      <c r="R309" s="371" t="s">
        <v>1210</v>
      </c>
    </row>
    <row r="310" spans="1:18" ht="22.5" customHeight="1" x14ac:dyDescent="0.35">
      <c r="A310" s="392" t="s">
        <v>1179</v>
      </c>
      <c r="B310" s="3" t="s">
        <v>33</v>
      </c>
      <c r="C310" s="345" t="s">
        <v>38</v>
      </c>
      <c r="D310" s="26">
        <v>46259</v>
      </c>
      <c r="E310" s="344" t="s">
        <v>1141</v>
      </c>
      <c r="F310" s="60" t="s">
        <v>1193</v>
      </c>
      <c r="G310" s="326">
        <v>5277</v>
      </c>
      <c r="I310" s="1">
        <v>164</v>
      </c>
      <c r="J310" s="373" t="s">
        <v>1222</v>
      </c>
      <c r="K310" s="162">
        <v>5000</v>
      </c>
      <c r="M310" s="221">
        <v>2.33</v>
      </c>
      <c r="N310" s="327">
        <f>Tabela1[[#This Row],[PRECIO
USD]]*Tabela1[[#This Row],[MT/YD]]</f>
        <v>11650</v>
      </c>
      <c r="R310" s="371" t="s">
        <v>1194</v>
      </c>
    </row>
    <row r="311" spans="1:18" ht="16" customHeight="1" x14ac:dyDescent="0.35">
      <c r="A311" s="103" t="s">
        <v>1238</v>
      </c>
      <c r="B311" s="3" t="s">
        <v>109</v>
      </c>
      <c r="C311" s="62" t="s">
        <v>92</v>
      </c>
      <c r="D311" s="26">
        <v>46286</v>
      </c>
      <c r="E311" s="344" t="s">
        <v>1199</v>
      </c>
      <c r="F311" s="182" t="s">
        <v>1295</v>
      </c>
      <c r="G311" s="405">
        <v>5451</v>
      </c>
      <c r="I311" s="384">
        <v>165</v>
      </c>
      <c r="J311" s="346" t="s">
        <v>1297</v>
      </c>
      <c r="K311" s="162">
        <v>500</v>
      </c>
      <c r="M311" s="223">
        <v>1.96</v>
      </c>
      <c r="N311" s="327">
        <f>Tabela1[[#This Row],[PRECIO
USD]]*Tabela1[[#This Row],[MT/YD]]</f>
        <v>980</v>
      </c>
      <c r="R311" s="435" t="s">
        <v>1296</v>
      </c>
    </row>
    <row r="312" spans="1:18" x14ac:dyDescent="0.35">
      <c r="A312" s="103" t="s">
        <v>1238</v>
      </c>
      <c r="B312" s="3" t="s">
        <v>109</v>
      </c>
      <c r="C312" s="62" t="s">
        <v>92</v>
      </c>
      <c r="D312" s="26">
        <v>46286</v>
      </c>
      <c r="E312" s="344" t="s">
        <v>1199</v>
      </c>
      <c r="F312" s="182" t="s">
        <v>1202</v>
      </c>
      <c r="G312" s="383">
        <v>5155</v>
      </c>
      <c r="I312" s="384">
        <v>165</v>
      </c>
      <c r="J312" s="346" t="s">
        <v>1203</v>
      </c>
      <c r="K312" s="162">
        <v>500</v>
      </c>
      <c r="M312" s="221">
        <v>2.29</v>
      </c>
      <c r="N312" s="327">
        <f>Tabela1[[#This Row],[PRECIO
USD]]*Tabela1[[#This Row],[MT/YD]]</f>
        <v>1145</v>
      </c>
      <c r="R312" s="371"/>
    </row>
    <row r="313" spans="1:18" ht="18.5" customHeight="1" x14ac:dyDescent="0.35">
      <c r="A313" s="103" t="s">
        <v>1238</v>
      </c>
      <c r="B313" s="3" t="s">
        <v>109</v>
      </c>
      <c r="C313" s="62" t="s">
        <v>92</v>
      </c>
      <c r="D313" s="26">
        <v>46286</v>
      </c>
      <c r="E313" s="344" t="s">
        <v>1199</v>
      </c>
      <c r="F313" s="182" t="s">
        <v>1204</v>
      </c>
      <c r="G313" s="383">
        <v>5417</v>
      </c>
      <c r="I313" s="384">
        <v>165</v>
      </c>
      <c r="J313" s="346" t="s">
        <v>1205</v>
      </c>
      <c r="K313" s="162">
        <v>500</v>
      </c>
      <c r="M313" s="221">
        <v>2.14</v>
      </c>
      <c r="N313" s="327">
        <f>Tabela1[[#This Row],[PRECIO
USD]]*Tabela1[[#This Row],[MT/YD]]</f>
        <v>1070</v>
      </c>
      <c r="R313" s="371"/>
    </row>
    <row r="314" spans="1:18" x14ac:dyDescent="0.35">
      <c r="A314" s="103" t="s">
        <v>1238</v>
      </c>
      <c r="B314" s="3" t="s">
        <v>109</v>
      </c>
      <c r="C314" s="62" t="s">
        <v>92</v>
      </c>
      <c r="D314" s="26">
        <v>46286</v>
      </c>
      <c r="E314" s="344" t="s">
        <v>1199</v>
      </c>
      <c r="F314" s="182" t="s">
        <v>1298</v>
      </c>
      <c r="G314" s="405">
        <v>5458</v>
      </c>
      <c r="I314" s="384">
        <v>165</v>
      </c>
      <c r="J314" s="346" t="s">
        <v>1299</v>
      </c>
      <c r="K314" s="162">
        <v>900</v>
      </c>
      <c r="M314" s="221">
        <v>1.91</v>
      </c>
      <c r="N314" s="327">
        <f>Tabela1[[#This Row],[PRECIO
USD]]*Tabela1[[#This Row],[MT/YD]]</f>
        <v>1719</v>
      </c>
      <c r="R314" s="435" t="s">
        <v>1300</v>
      </c>
    </row>
    <row r="315" spans="1:18" ht="15.5" customHeight="1" x14ac:dyDescent="0.35">
      <c r="A315" s="103" t="s">
        <v>1238</v>
      </c>
      <c r="B315" s="3" t="s">
        <v>109</v>
      </c>
      <c r="C315" s="62" t="s">
        <v>92</v>
      </c>
      <c r="D315" s="26">
        <v>46286</v>
      </c>
      <c r="E315" s="344" t="s">
        <v>1199</v>
      </c>
      <c r="F315" s="182" t="s">
        <v>1207</v>
      </c>
      <c r="G315" s="383">
        <v>5418</v>
      </c>
      <c r="I315" s="384">
        <v>165</v>
      </c>
      <c r="J315" s="346" t="s">
        <v>1208</v>
      </c>
      <c r="K315" s="162">
        <v>1000</v>
      </c>
      <c r="M315" s="221">
        <v>2.0099999999999998</v>
      </c>
      <c r="N315" s="327">
        <f>Tabela1[[#This Row],[PRECIO
USD]]*Tabela1[[#This Row],[MT/YD]]</f>
        <v>2009.9999999999998</v>
      </c>
      <c r="R315" s="371"/>
    </row>
    <row r="316" spans="1:18" ht="15.5" customHeight="1" x14ac:dyDescent="0.35">
      <c r="A316" s="103" t="s">
        <v>1238</v>
      </c>
      <c r="B316" s="3" t="s">
        <v>109</v>
      </c>
      <c r="C316" s="62" t="s">
        <v>92</v>
      </c>
      <c r="D316" s="26">
        <v>46286</v>
      </c>
      <c r="E316" s="344" t="s">
        <v>1199</v>
      </c>
      <c r="F316" s="111" t="s">
        <v>1301</v>
      </c>
      <c r="G316" s="405">
        <v>5460</v>
      </c>
      <c r="I316" s="384">
        <v>165</v>
      </c>
      <c r="J316" s="346" t="s">
        <v>1303</v>
      </c>
      <c r="K316" s="162">
        <v>2100</v>
      </c>
      <c r="M316" s="221">
        <v>1.93</v>
      </c>
      <c r="N316" s="327">
        <f>Tabela1[[#This Row],[PRECIO
USD]]*Tabela1[[#This Row],[MT/YD]]</f>
        <v>4053</v>
      </c>
      <c r="R316" s="435" t="s">
        <v>1302</v>
      </c>
    </row>
    <row r="317" spans="1:18" ht="24" x14ac:dyDescent="0.35">
      <c r="A317" s="255" t="s">
        <v>1235</v>
      </c>
      <c r="B317" s="389" t="s">
        <v>221</v>
      </c>
      <c r="C317" s="385" t="s">
        <v>92</v>
      </c>
      <c r="D317" s="26">
        <v>46280</v>
      </c>
      <c r="E317" s="344" t="s">
        <v>1199</v>
      </c>
      <c r="F317" s="111" t="s">
        <v>1236</v>
      </c>
      <c r="G317" s="383">
        <v>5358</v>
      </c>
      <c r="I317" s="384">
        <v>167</v>
      </c>
      <c r="J317" s="346" t="s">
        <v>1218</v>
      </c>
      <c r="K317" s="162">
        <v>1000</v>
      </c>
      <c r="M317" s="221">
        <v>2.0099999999999998</v>
      </c>
      <c r="N317" s="327">
        <f>Tabela1[[#This Row],[PRECIO
USD]]*Tabela1[[#This Row],[MT/YD]]</f>
        <v>2009.9999999999998</v>
      </c>
      <c r="R317" s="371"/>
    </row>
    <row r="318" spans="1:18" ht="19" customHeight="1" x14ac:dyDescent="0.35">
      <c r="A318" s="255" t="s">
        <v>1235</v>
      </c>
      <c r="B318" s="389" t="s">
        <v>221</v>
      </c>
      <c r="C318" s="385" t="s">
        <v>92</v>
      </c>
      <c r="D318" s="26">
        <v>46280</v>
      </c>
      <c r="E318" s="344" t="s">
        <v>1199</v>
      </c>
      <c r="F318" s="111" t="s">
        <v>1245</v>
      </c>
      <c r="G318" s="405">
        <v>4656</v>
      </c>
      <c r="H318" s="384"/>
      <c r="I318" s="384">
        <v>167</v>
      </c>
      <c r="J318" s="346" t="s">
        <v>1246</v>
      </c>
      <c r="K318" s="162">
        <v>600</v>
      </c>
      <c r="M318" s="226">
        <v>1.97</v>
      </c>
      <c r="N318" s="327">
        <f>Tabela1[[#This Row],[PRECIO
USD]]*Tabela1[[#This Row],[MT/YD]]</f>
        <v>1182</v>
      </c>
      <c r="R318" s="404" t="s">
        <v>1244</v>
      </c>
    </row>
    <row r="319" spans="1:18" ht="24" x14ac:dyDescent="0.35">
      <c r="A319" s="137">
        <v>2007660</v>
      </c>
      <c r="B319" s="3" t="s">
        <v>246</v>
      </c>
      <c r="C319" s="62" t="s">
        <v>21</v>
      </c>
      <c r="D319" s="26">
        <v>46287</v>
      </c>
      <c r="E319" s="344" t="s">
        <v>1199</v>
      </c>
      <c r="F319" s="182" t="s">
        <v>1221</v>
      </c>
      <c r="G319" s="326">
        <v>5367</v>
      </c>
      <c r="I319" s="370">
        <v>166</v>
      </c>
      <c r="J319" s="346" t="s">
        <v>1220</v>
      </c>
      <c r="K319" s="162">
        <v>2000</v>
      </c>
      <c r="M319" s="221">
        <v>2.13</v>
      </c>
      <c r="N319" s="327">
        <f>Tabela1[[#This Row],[PRECIO
USD]]*Tabela1[[#This Row],[MT/YD]]</f>
        <v>4260</v>
      </c>
      <c r="R319" s="371"/>
    </row>
    <row r="320" spans="1:18" ht="19.5" customHeight="1" x14ac:dyDescent="0.35">
      <c r="A320" s="137">
        <v>2007660</v>
      </c>
      <c r="B320" s="3" t="s">
        <v>246</v>
      </c>
      <c r="C320" s="62" t="s">
        <v>21</v>
      </c>
      <c r="D320" s="26">
        <v>46287</v>
      </c>
      <c r="E320" s="344" t="s">
        <v>1199</v>
      </c>
      <c r="F320" s="111" t="s">
        <v>1241</v>
      </c>
      <c r="G320" s="401">
        <v>5223</v>
      </c>
      <c r="I320" s="370">
        <v>166</v>
      </c>
      <c r="J320" s="346" t="s">
        <v>1240</v>
      </c>
      <c r="K320" s="162">
        <v>1000</v>
      </c>
      <c r="M320" s="403"/>
      <c r="N320" s="327">
        <f>Tabela1[[#This Row],[PRECIO
USD]]*Tabela1[[#This Row],[MT/YD]]</f>
        <v>0</v>
      </c>
      <c r="R320" s="402" t="s">
        <v>1219</v>
      </c>
    </row>
    <row r="321" spans="1:18" ht="20.5" customHeight="1" x14ac:dyDescent="0.35">
      <c r="A321" s="137">
        <v>2005269</v>
      </c>
      <c r="B321" s="3" t="s">
        <v>109</v>
      </c>
      <c r="C321" s="3" t="s">
        <v>92</v>
      </c>
      <c r="D321" s="26">
        <v>46288</v>
      </c>
      <c r="E321" s="344" t="s">
        <v>1141</v>
      </c>
      <c r="F321" s="182" t="s">
        <v>1274</v>
      </c>
      <c r="G321" s="358">
        <v>5457</v>
      </c>
      <c r="I321" s="51">
        <v>168</v>
      </c>
      <c r="J321" s="346" t="s">
        <v>1275</v>
      </c>
      <c r="K321" s="162">
        <v>7300</v>
      </c>
      <c r="M321" s="221">
        <v>1.9</v>
      </c>
      <c r="N321" s="327">
        <f>Tabela1[[#This Row],[PRECIO
USD]]*Tabela1[[#This Row],[MT/YD]]</f>
        <v>13870</v>
      </c>
      <c r="R321" s="435"/>
    </row>
    <row r="322" spans="1:18" ht="23" x14ac:dyDescent="0.35">
      <c r="A322" s="442" t="s">
        <v>1280</v>
      </c>
      <c r="B322" s="443" t="s">
        <v>234</v>
      </c>
      <c r="C322" s="434" t="s">
        <v>21</v>
      </c>
      <c r="D322" s="444">
        <v>46294</v>
      </c>
      <c r="E322" s="445" t="s">
        <v>1199</v>
      </c>
      <c r="F322" s="204" t="s">
        <v>1291</v>
      </c>
      <c r="G322" s="446">
        <v>5462</v>
      </c>
      <c r="I322" s="249">
        <v>169</v>
      </c>
      <c r="J322" s="447" t="s">
        <v>1288</v>
      </c>
      <c r="K322" s="206">
        <v>15000</v>
      </c>
      <c r="M322" s="234">
        <v>2.2999999999999998</v>
      </c>
      <c r="N322" s="201">
        <f>Tabela1[[#This Row],[PRECIO
USD]]*Tabela1[[#This Row],[MT/YD]]</f>
        <v>34500</v>
      </c>
      <c r="R322" s="438" t="s">
        <v>1281</v>
      </c>
    </row>
    <row r="323" spans="1:18" ht="23" x14ac:dyDescent="0.35">
      <c r="A323" s="442" t="s">
        <v>1280</v>
      </c>
      <c r="B323" s="443" t="s">
        <v>234</v>
      </c>
      <c r="C323" s="434" t="s">
        <v>21</v>
      </c>
      <c r="D323" s="444">
        <v>46294</v>
      </c>
      <c r="E323" s="445" t="s">
        <v>1199</v>
      </c>
      <c r="F323" s="204" t="s">
        <v>1292</v>
      </c>
      <c r="G323" s="446">
        <v>5463</v>
      </c>
      <c r="I323" s="249">
        <v>169</v>
      </c>
      <c r="J323" s="447" t="s">
        <v>1289</v>
      </c>
      <c r="K323" s="206">
        <v>5000</v>
      </c>
      <c r="M323" s="448">
        <v>2.02</v>
      </c>
      <c r="N323" s="201">
        <f>Tabela1[[#This Row],[PRECIO
USD]]*Tabela1[[#This Row],[MT/YD]]</f>
        <v>10100</v>
      </c>
      <c r="R323" s="438" t="s">
        <v>1281</v>
      </c>
    </row>
    <row r="324" spans="1:18" ht="23" x14ac:dyDescent="0.35">
      <c r="A324" s="442" t="s">
        <v>1280</v>
      </c>
      <c r="B324" s="443" t="s">
        <v>234</v>
      </c>
      <c r="C324" s="434" t="s">
        <v>21</v>
      </c>
      <c r="D324" s="444">
        <v>46294</v>
      </c>
      <c r="E324" s="445" t="s">
        <v>1199</v>
      </c>
      <c r="F324" s="204" t="s">
        <v>1293</v>
      </c>
      <c r="G324" s="446">
        <v>5464</v>
      </c>
      <c r="I324" s="249">
        <v>169</v>
      </c>
      <c r="J324" s="447" t="s">
        <v>1290</v>
      </c>
      <c r="K324" s="206">
        <v>5000</v>
      </c>
      <c r="M324" s="448">
        <v>2.2200000000000002</v>
      </c>
      <c r="N324" s="201">
        <f>Tabela1[[#This Row],[PRECIO
USD]]*Tabela1[[#This Row],[MT/YD]]</f>
        <v>11100.000000000002</v>
      </c>
      <c r="R324" s="438" t="s">
        <v>1281</v>
      </c>
    </row>
    <row r="325" spans="1:18" x14ac:dyDescent="0.35">
      <c r="A325" s="433"/>
      <c r="B325" s="3"/>
      <c r="C325" s="434"/>
      <c r="D325" s="26"/>
      <c r="E325" s="140"/>
      <c r="F325" s="60"/>
      <c r="G325" s="149"/>
      <c r="I325" s="51"/>
      <c r="J325" s="346"/>
      <c r="K325" s="162"/>
      <c r="M325" s="221"/>
      <c r="N325" s="178"/>
      <c r="R325" s="438"/>
    </row>
    <row r="326" spans="1:18" x14ac:dyDescent="0.35">
      <c r="A326" s="390"/>
      <c r="B326" s="390"/>
      <c r="K326" s="306" t="s">
        <v>1234</v>
      </c>
      <c r="N326" s="130"/>
    </row>
    <row r="328" spans="1:18" x14ac:dyDescent="0.35">
      <c r="J328" s="303"/>
    </row>
  </sheetData>
  <conditionalFormatting sqref="D1">
    <cfRule type="expression" dxfId="7" priority="22">
      <formula>D1=0</formula>
    </cfRule>
    <cfRule type="expression" dxfId="6" priority="23" stopIfTrue="1">
      <formula>D1=0</formula>
    </cfRule>
  </conditionalFormatting>
  <conditionalFormatting sqref="F5:F8 P5:P97 P99:P105 P134:P158">
    <cfRule type="expression" dxfId="5" priority="8" stopIfTrue="1">
      <formula>F5=0</formula>
    </cfRule>
  </conditionalFormatting>
  <conditionalFormatting sqref="F27">
    <cfRule type="expression" dxfId="4" priority="7" stopIfTrue="1">
      <formula>F27=0</formula>
    </cfRule>
  </conditionalFormatting>
  <conditionalFormatting sqref="G51:G52">
    <cfRule type="expression" dxfId="3" priority="5" stopIfTrue="1">
      <formula>G51=0</formula>
    </cfRule>
  </conditionalFormatting>
  <conditionalFormatting sqref="G57">
    <cfRule type="expression" dxfId="2" priority="4" stopIfTrue="1">
      <formula>G57=0</formula>
    </cfRule>
  </conditionalFormatting>
  <conditionalFormatting sqref="J6">
    <cfRule type="expression" dxfId="1" priority="11" stopIfTrue="1">
      <formula>J6=0</formula>
    </cfRule>
  </conditionalFormatting>
  <hyperlinks>
    <hyperlink ref="P5" r:id="rId1" xr:uid="{1D1D0303-4ABD-4D41-8AE7-FAB70615D1AE}"/>
    <hyperlink ref="P6" r:id="rId2" xr:uid="{B23D528E-6761-4051-A2FC-8D9BB0E0DEC5}"/>
    <hyperlink ref="P74" r:id="rId3" xr:uid="{8A6F6771-B5B5-43D5-BFC5-48BFB4B85949}"/>
    <hyperlink ref="P75" r:id="rId4" xr:uid="{93F9C2DA-7AB9-4D16-AEB9-AD34A8E6789C}"/>
    <hyperlink ref="P76" r:id="rId5" xr:uid="{5B8DB639-D7DC-495B-8DFC-D95CD6B11C5C}"/>
    <hyperlink ref="P77" r:id="rId6" xr:uid="{0FB40F8A-5F42-4A63-97C6-AD5BEB042880}"/>
    <hyperlink ref="P78" r:id="rId7" xr:uid="{EBDEE9D6-4349-4F2C-8C54-C86C222CFC06}"/>
    <hyperlink ref="P79" r:id="rId8" xr:uid="{FBBBAFA2-B02B-4586-A3EC-ED365CE15F96}"/>
    <hyperlink ref="P80" r:id="rId9" xr:uid="{40B22101-DE46-44A4-A4B7-E3C0F30E6C2F}"/>
    <hyperlink ref="P81" r:id="rId10" xr:uid="{1108D83B-319E-45ED-837D-009A8E511F83}"/>
    <hyperlink ref="P82" r:id="rId11" xr:uid="{3B9395EE-52E0-4809-A062-86EA85CF0BE7}"/>
    <hyperlink ref="P83" r:id="rId12" xr:uid="{43CC0D7D-8DD8-4875-A1CF-FC0CDDA2C3F8}"/>
    <hyperlink ref="P84" r:id="rId13" xr:uid="{B9D21E3F-181A-4B19-B3BC-492DAE432003}"/>
    <hyperlink ref="P85" r:id="rId14" xr:uid="{A7B67019-3C1D-4EAE-A52E-CE213CE86FF5}"/>
    <hyperlink ref="P86" r:id="rId15" xr:uid="{5923C3D3-956E-4DF3-815B-DAADEA9E8310}"/>
    <hyperlink ref="P87" r:id="rId16" xr:uid="{1F96CC30-AFBD-4D8C-9B26-789B9E682FC9}"/>
    <hyperlink ref="P88" r:id="rId17" xr:uid="{654AE2ED-0231-427D-AF71-77DE2299DCAD}"/>
    <hyperlink ref="P89" r:id="rId18" xr:uid="{56A7EB64-8F43-430F-B5D1-F4C705DD639D}"/>
    <hyperlink ref="P90" r:id="rId19" xr:uid="{45F0BF5D-44FD-4887-8739-B6C193C5E895}"/>
    <hyperlink ref="P91" r:id="rId20" xr:uid="{6A58A752-271D-428E-9CDA-B80B17C8C594}"/>
    <hyperlink ref="P92" r:id="rId21" xr:uid="{3EA47BFE-E115-4579-AF50-CAE1959B1ABB}"/>
    <hyperlink ref="P93" r:id="rId22" xr:uid="{BB92906A-576A-4386-8324-D399AA12384D}"/>
    <hyperlink ref="P94" r:id="rId23" xr:uid="{FBA43828-62E1-4FF1-AD78-6CCEB5ACBACD}"/>
  </hyperlinks>
  <pageMargins left="0.511811024" right="0.511811024" top="0.78740157499999996" bottom="0.78740157499999996" header="0.31496062000000002" footer="0.31496062000000002"/>
  <pageSetup paperSize="9" orientation="portrait" verticalDpi="0" r:id="rId24"/>
  <legacyDrawing r:id="rId25"/>
  <tableParts count="1">
    <tablePart r:id="rId26"/>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354C6-314E-4B25-8145-6632231ACC1D}">
  <dimension ref="A2:Q28"/>
  <sheetViews>
    <sheetView showGridLines="0" topLeftCell="D4" workbookViewId="0">
      <selection activeCell="K18" sqref="K18"/>
    </sheetView>
  </sheetViews>
  <sheetFormatPr baseColWidth="10" defaultColWidth="10.81640625" defaultRowHeight="14.5" x14ac:dyDescent="0.35"/>
  <cols>
    <col min="1" max="1" width="24.453125" hidden="1" customWidth="1"/>
    <col min="2" max="2" width="10.1796875" hidden="1" customWidth="1"/>
    <col min="3" max="3" width="73" hidden="1" customWidth="1"/>
    <col min="4" max="6" width="3" customWidth="1"/>
    <col min="7" max="7" width="26.1796875" bestFit="1" customWidth="1"/>
    <col min="8" max="8" width="8.1796875" style="15" bestFit="1" customWidth="1"/>
    <col min="9" max="9" width="6.54296875" style="15" bestFit="1" customWidth="1"/>
    <col min="10" max="10" width="6.81640625" style="15" customWidth="1"/>
    <col min="11" max="16" width="6.54296875" style="15" bestFit="1" customWidth="1"/>
    <col min="17" max="17" width="12.54296875" style="15" bestFit="1" customWidth="1"/>
  </cols>
  <sheetData>
    <row r="2" spans="1:17" x14ac:dyDescent="0.35">
      <c r="A2" t="s">
        <v>1</v>
      </c>
      <c r="B2" t="s">
        <v>202</v>
      </c>
      <c r="C2" t="s">
        <v>203</v>
      </c>
      <c r="G2" s="40" t="s">
        <v>204</v>
      </c>
      <c r="H2" s="70" t="s">
        <v>205</v>
      </c>
    </row>
    <row r="3" spans="1:17" x14ac:dyDescent="0.35">
      <c r="A3" s="92" t="s">
        <v>20</v>
      </c>
      <c r="B3" s="93" t="s">
        <v>186</v>
      </c>
      <c r="C3" t="s">
        <v>195</v>
      </c>
      <c r="G3" s="40" t="s">
        <v>206</v>
      </c>
      <c r="H3" s="15" t="s">
        <v>176</v>
      </c>
      <c r="I3" s="15" t="s">
        <v>184</v>
      </c>
      <c r="J3" s="15" t="s">
        <v>181</v>
      </c>
      <c r="K3" s="15" t="s">
        <v>188</v>
      </c>
      <c r="L3" s="15" t="s">
        <v>174</v>
      </c>
      <c r="M3" s="15" t="s">
        <v>192</v>
      </c>
      <c r="N3" s="15" t="s">
        <v>201</v>
      </c>
      <c r="O3" s="15" t="s">
        <v>200</v>
      </c>
      <c r="P3" s="15" t="s">
        <v>186</v>
      </c>
      <c r="Q3" s="15" t="s">
        <v>42</v>
      </c>
    </row>
    <row r="4" spans="1:17" x14ac:dyDescent="0.35">
      <c r="A4" s="94" t="s">
        <v>25</v>
      </c>
      <c r="B4" s="95" t="s">
        <v>174</v>
      </c>
      <c r="C4" t="s">
        <v>196</v>
      </c>
      <c r="G4" s="39" t="s">
        <v>77</v>
      </c>
      <c r="H4" s="15">
        <v>2</v>
      </c>
      <c r="I4" s="15">
        <v>2</v>
      </c>
      <c r="M4" s="15">
        <v>1</v>
      </c>
      <c r="O4" s="15">
        <v>1</v>
      </c>
      <c r="Q4" s="15">
        <v>6</v>
      </c>
    </row>
    <row r="5" spans="1:17" x14ac:dyDescent="0.35">
      <c r="A5" s="88" t="s">
        <v>33</v>
      </c>
      <c r="B5" s="85" t="s">
        <v>174</v>
      </c>
      <c r="C5" t="s">
        <v>197</v>
      </c>
      <c r="G5" s="39" t="s">
        <v>52</v>
      </c>
      <c r="H5" s="15">
        <v>1</v>
      </c>
      <c r="K5" s="15">
        <v>2</v>
      </c>
      <c r="L5" s="15">
        <v>2</v>
      </c>
      <c r="Q5" s="15">
        <v>5</v>
      </c>
    </row>
    <row r="6" spans="1:17" x14ac:dyDescent="0.35">
      <c r="A6" s="87" t="s">
        <v>33</v>
      </c>
      <c r="B6" s="86" t="s">
        <v>174</v>
      </c>
      <c r="C6" t="s">
        <v>198</v>
      </c>
      <c r="G6" s="39" t="s">
        <v>54</v>
      </c>
      <c r="H6" s="15">
        <v>2</v>
      </c>
      <c r="J6" s="15">
        <v>2</v>
      </c>
      <c r="Q6" s="15">
        <v>4</v>
      </c>
    </row>
    <row r="7" spans="1:17" x14ac:dyDescent="0.35">
      <c r="A7" s="80" t="s">
        <v>52</v>
      </c>
      <c r="B7" s="82" t="s">
        <v>174</v>
      </c>
      <c r="C7" t="s">
        <v>171</v>
      </c>
      <c r="G7" s="39" t="s">
        <v>85</v>
      </c>
      <c r="J7" s="15">
        <v>1</v>
      </c>
      <c r="N7" s="15">
        <v>1</v>
      </c>
      <c r="Q7" s="15">
        <v>2</v>
      </c>
    </row>
    <row r="8" spans="1:17" x14ac:dyDescent="0.35">
      <c r="A8" s="81" t="s">
        <v>54</v>
      </c>
      <c r="B8" s="83" t="s">
        <v>181</v>
      </c>
      <c r="C8" t="s">
        <v>172</v>
      </c>
      <c r="G8" s="39" t="s">
        <v>33</v>
      </c>
      <c r="L8" s="15">
        <v>2</v>
      </c>
      <c r="Q8" s="15">
        <v>2</v>
      </c>
    </row>
    <row r="9" spans="1:17" x14ac:dyDescent="0.35">
      <c r="A9" s="80" t="s">
        <v>54</v>
      </c>
      <c r="B9" s="82" t="s">
        <v>176</v>
      </c>
      <c r="C9" t="s">
        <v>173</v>
      </c>
      <c r="G9" s="39" t="s">
        <v>20</v>
      </c>
      <c r="P9" s="15">
        <v>2</v>
      </c>
      <c r="Q9" s="15">
        <v>2</v>
      </c>
    </row>
    <row r="10" spans="1:17" x14ac:dyDescent="0.35">
      <c r="A10" s="81" t="s">
        <v>69</v>
      </c>
      <c r="B10" s="83" t="s">
        <v>174</v>
      </c>
      <c r="C10" t="s">
        <v>175</v>
      </c>
      <c r="G10" s="39" t="s">
        <v>114</v>
      </c>
      <c r="J10" s="15">
        <v>1</v>
      </c>
      <c r="Q10" s="15">
        <v>1</v>
      </c>
    </row>
    <row r="11" spans="1:17" x14ac:dyDescent="0.35">
      <c r="A11" s="89" t="s">
        <v>52</v>
      </c>
      <c r="B11" s="82" t="s">
        <v>174</v>
      </c>
      <c r="C11" t="s">
        <v>171</v>
      </c>
      <c r="G11" s="39" t="s">
        <v>25</v>
      </c>
      <c r="L11" s="15">
        <v>1</v>
      </c>
      <c r="Q11" s="15">
        <v>1</v>
      </c>
    </row>
    <row r="12" spans="1:17" x14ac:dyDescent="0.35">
      <c r="A12" s="90" t="s">
        <v>77</v>
      </c>
      <c r="B12" s="83" t="s">
        <v>176</v>
      </c>
      <c r="C12" t="s">
        <v>177</v>
      </c>
      <c r="G12" s="39" t="s">
        <v>69</v>
      </c>
      <c r="L12" s="15">
        <v>1</v>
      </c>
      <c r="Q12" s="15">
        <v>1</v>
      </c>
    </row>
    <row r="13" spans="1:17" x14ac:dyDescent="0.35">
      <c r="A13" s="89" t="s">
        <v>77</v>
      </c>
      <c r="B13" s="82" t="s">
        <v>176</v>
      </c>
      <c r="C13" t="s">
        <v>178</v>
      </c>
      <c r="G13" s="39" t="s">
        <v>101</v>
      </c>
      <c r="P13" s="15">
        <v>1</v>
      </c>
      <c r="Q13" s="15">
        <v>1</v>
      </c>
    </row>
    <row r="14" spans="1:17" x14ac:dyDescent="0.35">
      <c r="A14" s="90" t="s">
        <v>77</v>
      </c>
      <c r="B14" s="83" t="s">
        <v>200</v>
      </c>
      <c r="C14" t="s">
        <v>179</v>
      </c>
      <c r="G14" s="39" t="s">
        <v>109</v>
      </c>
      <c r="H14" s="15">
        <v>1</v>
      </c>
      <c r="Q14" s="15">
        <v>1</v>
      </c>
    </row>
    <row r="15" spans="1:17" x14ac:dyDescent="0.35">
      <c r="A15" s="89" t="s">
        <v>85</v>
      </c>
      <c r="B15" s="82" t="s">
        <v>201</v>
      </c>
      <c r="C15" t="s">
        <v>180</v>
      </c>
      <c r="G15" s="39" t="s">
        <v>42</v>
      </c>
      <c r="H15" s="15">
        <v>6</v>
      </c>
      <c r="I15" s="15">
        <v>2</v>
      </c>
      <c r="J15" s="15">
        <v>4</v>
      </c>
      <c r="K15" s="15">
        <v>2</v>
      </c>
      <c r="L15" s="15">
        <v>6</v>
      </c>
      <c r="M15" s="15">
        <v>1</v>
      </c>
      <c r="N15" s="15">
        <v>1</v>
      </c>
      <c r="O15" s="15">
        <v>1</v>
      </c>
      <c r="P15" s="15">
        <v>3</v>
      </c>
      <c r="Q15" s="15">
        <v>26</v>
      </c>
    </row>
    <row r="16" spans="1:17" x14ac:dyDescent="0.35">
      <c r="A16" s="90" t="s">
        <v>114</v>
      </c>
      <c r="B16" s="83" t="s">
        <v>181</v>
      </c>
      <c r="C16" t="s">
        <v>182</v>
      </c>
    </row>
    <row r="17" spans="1:11" x14ac:dyDescent="0.35">
      <c r="A17" s="80" t="s">
        <v>109</v>
      </c>
      <c r="B17" s="82" t="s">
        <v>176</v>
      </c>
      <c r="C17" t="s">
        <v>183</v>
      </c>
      <c r="G17" s="39" t="s">
        <v>209</v>
      </c>
      <c r="H17" s="15" t="s">
        <v>176</v>
      </c>
      <c r="I17" s="96">
        <f>GETPIVOTDATA("GRAMATURA",$G$2,"GRAMATURA","180GR")/GETPIVOTDATA("GRAMATURA",$G$2)</f>
        <v>0.23076923076923078</v>
      </c>
    </row>
    <row r="18" spans="1:11" x14ac:dyDescent="0.35">
      <c r="A18" s="81" t="s">
        <v>77</v>
      </c>
      <c r="B18" s="83" t="s">
        <v>184</v>
      </c>
      <c r="C18" t="s">
        <v>185</v>
      </c>
      <c r="H18" s="15" t="s">
        <v>174</v>
      </c>
      <c r="I18" s="96">
        <f>GETPIVOTDATA("GRAMATURA",$G$2,"GRAMATURA","220GR")/GETPIVOTDATA("GRAMATURA",$G$2)</f>
        <v>0.23076923076923078</v>
      </c>
    </row>
    <row r="19" spans="1:11" x14ac:dyDescent="0.35">
      <c r="A19" s="89" t="s">
        <v>54</v>
      </c>
      <c r="B19" s="82" t="s">
        <v>176</v>
      </c>
      <c r="C19" t="s">
        <v>199</v>
      </c>
      <c r="H19" s="15" t="s">
        <v>181</v>
      </c>
      <c r="I19" s="96">
        <f>GETPIVOTDATA("GRAMATURA",$G$2,"GRAMATURA","200GR")/GETPIVOTDATA("GRAMATURA",$G$2)</f>
        <v>0.15384615384615385</v>
      </c>
    </row>
    <row r="20" spans="1:11" x14ac:dyDescent="0.35">
      <c r="A20" s="90" t="s">
        <v>101</v>
      </c>
      <c r="B20" s="83" t="s">
        <v>186</v>
      </c>
      <c r="C20" t="s">
        <v>187</v>
      </c>
      <c r="H20" s="15" t="s">
        <v>184</v>
      </c>
      <c r="I20" s="96">
        <f>GETPIVOTDATA("GRAMATURA",$G$2,"GRAMATURA","190GR")/GETPIVOTDATA("GRAMATURA",$G$2)</f>
        <v>7.6923076923076927E-2</v>
      </c>
    </row>
    <row r="21" spans="1:11" x14ac:dyDescent="0.35">
      <c r="A21" s="89" t="s">
        <v>52</v>
      </c>
      <c r="B21" s="82" t="s">
        <v>188</v>
      </c>
      <c r="C21" s="91" t="s">
        <v>207</v>
      </c>
      <c r="G21" t="s">
        <v>210</v>
      </c>
      <c r="K21" s="96">
        <f>GETPIVOTDATA("GRAMATURA",$G$2,"GRAMATURA","300GR")/GETPIVOTDATA("GRAMATURA",$G$2)</f>
        <v>0.11538461538461539</v>
      </c>
    </row>
    <row r="22" spans="1:11" x14ac:dyDescent="0.35">
      <c r="A22" s="90" t="s">
        <v>54</v>
      </c>
      <c r="B22" s="83" t="s">
        <v>181</v>
      </c>
      <c r="C22" t="s">
        <v>189</v>
      </c>
    </row>
    <row r="23" spans="1:11" x14ac:dyDescent="0.35">
      <c r="A23" s="89" t="s">
        <v>85</v>
      </c>
      <c r="B23" s="82" t="s">
        <v>181</v>
      </c>
      <c r="C23" t="s">
        <v>190</v>
      </c>
    </row>
    <row r="24" spans="1:11" x14ac:dyDescent="0.35">
      <c r="A24" s="90" t="s">
        <v>52</v>
      </c>
      <c r="B24" s="83" t="s">
        <v>188</v>
      </c>
      <c r="C24" s="91" t="s">
        <v>207</v>
      </c>
    </row>
    <row r="25" spans="1:11" x14ac:dyDescent="0.35">
      <c r="A25" s="88" t="s">
        <v>20</v>
      </c>
      <c r="B25" s="84" t="s">
        <v>186</v>
      </c>
      <c r="C25" s="91" t="s">
        <v>208</v>
      </c>
    </row>
    <row r="26" spans="1:11" x14ac:dyDescent="0.35">
      <c r="A26" s="81" t="s">
        <v>77</v>
      </c>
      <c r="B26" s="83" t="s">
        <v>184</v>
      </c>
      <c r="C26" t="s">
        <v>191</v>
      </c>
    </row>
    <row r="27" spans="1:11" x14ac:dyDescent="0.35">
      <c r="A27" s="80" t="s">
        <v>77</v>
      </c>
      <c r="B27" s="82" t="s">
        <v>192</v>
      </c>
      <c r="C27" t="s">
        <v>193</v>
      </c>
    </row>
    <row r="28" spans="1:11" x14ac:dyDescent="0.35">
      <c r="A28" s="90" t="s">
        <v>52</v>
      </c>
      <c r="B28" s="83" t="s">
        <v>176</v>
      </c>
      <c r="C28" t="s">
        <v>194</v>
      </c>
    </row>
  </sheetData>
  <conditionalFormatting sqref="B4">
    <cfRule type="expression" dxfId="0" priority="1" stopIfTrue="1">
      <formula>B4=0</formula>
    </cfRule>
  </conditionalFormatting>
  <pageMargins left="0.7" right="0.7" top="0.75" bottom="0.75" header="0.3" footer="0.3"/>
  <pageSetup paperSize="9" orientation="portrait" verticalDpi="0"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BFB2-F25A-4C81-AB44-E890B1C8D604}">
  <dimension ref="A1:R25"/>
  <sheetViews>
    <sheetView showGridLines="0" topLeftCell="A3" workbookViewId="0">
      <selection activeCell="O14" sqref="O14"/>
    </sheetView>
  </sheetViews>
  <sheetFormatPr baseColWidth="10" defaultColWidth="10.81640625" defaultRowHeight="14.5" x14ac:dyDescent="0.35"/>
  <cols>
    <col min="1" max="1" width="34.1796875" bestFit="1" customWidth="1"/>
    <col min="2" max="2" width="13.81640625" bestFit="1" customWidth="1"/>
    <col min="3" max="3" width="5.81640625" bestFit="1" customWidth="1"/>
    <col min="4" max="6" width="6" bestFit="1" customWidth="1"/>
    <col min="7" max="7" width="12.54296875" bestFit="1" customWidth="1"/>
    <col min="8" max="11" width="5.1796875" customWidth="1"/>
    <col min="12" max="12" width="34.1796875" bestFit="1" customWidth="1"/>
    <col min="13" max="13" width="13.81640625" bestFit="1" customWidth="1"/>
    <col min="14" max="17" width="9.1796875" bestFit="1" customWidth="1"/>
    <col min="18" max="18" width="12.54296875" bestFit="1" customWidth="1"/>
    <col min="19" max="34" width="10.81640625" bestFit="1" customWidth="1"/>
    <col min="35" max="35" width="12.54296875" bestFit="1" customWidth="1"/>
  </cols>
  <sheetData>
    <row r="1" spans="1:18" x14ac:dyDescent="0.35">
      <c r="A1" s="2" t="s">
        <v>136</v>
      </c>
      <c r="B1" s="71"/>
      <c r="C1" s="71"/>
      <c r="D1" s="79">
        <f ca="1">TODAY()</f>
        <v>46296</v>
      </c>
    </row>
    <row r="2" spans="1:18" x14ac:dyDescent="0.35">
      <c r="A2" s="48" t="s">
        <v>170</v>
      </c>
      <c r="B2" s="71"/>
      <c r="C2" s="71"/>
      <c r="D2" s="71"/>
    </row>
    <row r="3" spans="1:18" x14ac:dyDescent="0.35">
      <c r="A3" s="48"/>
      <c r="B3" s="71"/>
      <c r="C3" s="71"/>
      <c r="D3" s="71"/>
    </row>
    <row r="4" spans="1:18" x14ac:dyDescent="0.35">
      <c r="A4" s="40" t="s">
        <v>261</v>
      </c>
      <c r="B4" s="40" t="s">
        <v>265</v>
      </c>
      <c r="L4" s="40" t="s">
        <v>267</v>
      </c>
      <c r="M4" s="40" t="s">
        <v>265</v>
      </c>
    </row>
    <row r="5" spans="1:18" x14ac:dyDescent="0.35">
      <c r="B5" t="s">
        <v>262</v>
      </c>
      <c r="C5" t="s">
        <v>129</v>
      </c>
      <c r="D5" t="s">
        <v>130</v>
      </c>
      <c r="E5" t="s">
        <v>244</v>
      </c>
      <c r="F5" t="s">
        <v>263</v>
      </c>
      <c r="G5" t="s">
        <v>42</v>
      </c>
      <c r="M5" t="s">
        <v>262</v>
      </c>
      <c r="N5" t="s">
        <v>129</v>
      </c>
      <c r="O5" t="s">
        <v>130</v>
      </c>
      <c r="P5" t="s">
        <v>244</v>
      </c>
      <c r="Q5" t="s">
        <v>263</v>
      </c>
      <c r="R5" t="s">
        <v>42</v>
      </c>
    </row>
    <row r="7" spans="1:18" x14ac:dyDescent="0.35">
      <c r="A7" s="40" t="s">
        <v>264</v>
      </c>
      <c r="L7" s="40" t="s">
        <v>264</v>
      </c>
    </row>
    <row r="8" spans="1:18" x14ac:dyDescent="0.35">
      <c r="A8" s="39" t="s">
        <v>85</v>
      </c>
      <c r="D8">
        <v>1500</v>
      </c>
      <c r="E8">
        <v>2000</v>
      </c>
      <c r="G8">
        <v>3500</v>
      </c>
      <c r="L8" s="39" t="s">
        <v>85</v>
      </c>
      <c r="M8" s="61"/>
      <c r="N8" s="61"/>
      <c r="O8" s="61">
        <v>3720</v>
      </c>
      <c r="P8" s="61">
        <v>3640</v>
      </c>
      <c r="Q8" s="61"/>
      <c r="R8" s="61">
        <v>7360</v>
      </c>
    </row>
    <row r="9" spans="1:18" x14ac:dyDescent="0.35">
      <c r="A9" s="39" t="s">
        <v>52</v>
      </c>
      <c r="D9">
        <v>2491</v>
      </c>
      <c r="E9">
        <v>3500</v>
      </c>
      <c r="G9">
        <v>5991</v>
      </c>
      <c r="L9" s="39" t="s">
        <v>52</v>
      </c>
      <c r="M9" s="61"/>
      <c r="N9" s="61"/>
      <c r="O9" s="61">
        <v>5031.82</v>
      </c>
      <c r="P9" s="61">
        <v>7760</v>
      </c>
      <c r="Q9" s="61"/>
      <c r="R9" s="61">
        <v>12791.82</v>
      </c>
    </row>
    <row r="10" spans="1:18" x14ac:dyDescent="0.35">
      <c r="A10" s="39" t="s">
        <v>221</v>
      </c>
      <c r="F10">
        <v>5600</v>
      </c>
      <c r="G10">
        <v>5600</v>
      </c>
      <c r="L10" s="39" t="s">
        <v>221</v>
      </c>
      <c r="M10" s="61"/>
      <c r="N10" s="61"/>
      <c r="O10" s="61"/>
      <c r="P10" s="61"/>
      <c r="Q10" s="61">
        <v>9902</v>
      </c>
      <c r="R10" s="61">
        <v>9902</v>
      </c>
    </row>
    <row r="11" spans="1:18" x14ac:dyDescent="0.35">
      <c r="A11" s="39" t="s">
        <v>54</v>
      </c>
      <c r="C11">
        <v>60</v>
      </c>
      <c r="D11">
        <v>60</v>
      </c>
      <c r="E11">
        <v>4000</v>
      </c>
      <c r="F11">
        <v>6000</v>
      </c>
      <c r="G11">
        <v>10120</v>
      </c>
      <c r="L11" s="105">
        <v>48</v>
      </c>
      <c r="M11" s="61"/>
      <c r="N11" s="61"/>
      <c r="O11" s="61"/>
      <c r="P11" s="61"/>
      <c r="Q11" s="61">
        <v>1440</v>
      </c>
      <c r="R11" s="61">
        <v>1440</v>
      </c>
    </row>
    <row r="12" spans="1:18" x14ac:dyDescent="0.35">
      <c r="A12" s="39" t="s">
        <v>77</v>
      </c>
      <c r="D12">
        <v>4000</v>
      </c>
      <c r="E12">
        <v>3500</v>
      </c>
      <c r="F12">
        <v>1000</v>
      </c>
      <c r="G12">
        <v>8500</v>
      </c>
      <c r="L12" s="105">
        <v>49</v>
      </c>
      <c r="M12" s="61"/>
      <c r="N12" s="61"/>
      <c r="O12" s="61"/>
      <c r="P12" s="61"/>
      <c r="Q12" s="61">
        <v>3400</v>
      </c>
      <c r="R12" s="61">
        <v>3400</v>
      </c>
    </row>
    <row r="13" spans="1:18" x14ac:dyDescent="0.35">
      <c r="A13" s="39" t="s">
        <v>101</v>
      </c>
      <c r="E13">
        <v>700</v>
      </c>
      <c r="G13">
        <v>700</v>
      </c>
      <c r="L13" s="105">
        <v>50</v>
      </c>
      <c r="M13" s="61"/>
      <c r="N13" s="61"/>
      <c r="O13" s="61"/>
      <c r="P13" s="61"/>
      <c r="Q13" s="61">
        <v>759</v>
      </c>
      <c r="R13" s="61">
        <v>759</v>
      </c>
    </row>
    <row r="14" spans="1:18" x14ac:dyDescent="0.35">
      <c r="A14" s="39" t="s">
        <v>109</v>
      </c>
      <c r="C14">
        <v>3000</v>
      </c>
      <c r="G14">
        <v>3000</v>
      </c>
      <c r="L14" s="105">
        <v>53</v>
      </c>
      <c r="M14" s="61"/>
      <c r="N14" s="61"/>
      <c r="O14" s="61"/>
      <c r="P14" s="61"/>
      <c r="Q14" s="61">
        <v>3640</v>
      </c>
      <c r="R14" s="61">
        <v>3640</v>
      </c>
    </row>
    <row r="15" spans="1:18" x14ac:dyDescent="0.35">
      <c r="A15" s="39" t="s">
        <v>33</v>
      </c>
      <c r="D15">
        <v>5000</v>
      </c>
      <c r="G15">
        <v>5000</v>
      </c>
      <c r="L15" s="105">
        <v>54</v>
      </c>
      <c r="M15" s="61"/>
      <c r="N15" s="61"/>
      <c r="O15" s="61"/>
      <c r="P15" s="61"/>
      <c r="Q15" s="61">
        <v>663</v>
      </c>
      <c r="R15" s="61">
        <v>663</v>
      </c>
    </row>
    <row r="16" spans="1:18" x14ac:dyDescent="0.35">
      <c r="A16" s="39" t="s">
        <v>20</v>
      </c>
      <c r="B16">
        <v>2000</v>
      </c>
      <c r="E16">
        <v>2000</v>
      </c>
      <c r="G16">
        <v>4000</v>
      </c>
      <c r="L16" s="39" t="s">
        <v>54</v>
      </c>
      <c r="M16" s="61"/>
      <c r="N16" s="61">
        <v>118.8</v>
      </c>
      <c r="O16" s="61">
        <v>118.8</v>
      </c>
      <c r="P16" s="61">
        <v>7960</v>
      </c>
      <c r="Q16" s="61">
        <v>11920</v>
      </c>
      <c r="R16" s="61">
        <v>20117.599999999999</v>
      </c>
    </row>
    <row r="17" spans="1:18" x14ac:dyDescent="0.35">
      <c r="A17" s="39" t="s">
        <v>234</v>
      </c>
      <c r="F17">
        <v>10500</v>
      </c>
      <c r="G17">
        <v>10500</v>
      </c>
      <c r="L17" s="39" t="s">
        <v>77</v>
      </c>
      <c r="M17" s="61"/>
      <c r="N17" s="61"/>
      <c r="O17" s="61">
        <v>7040</v>
      </c>
      <c r="P17" s="61">
        <v>11047</v>
      </c>
      <c r="Q17" s="61">
        <v>1760</v>
      </c>
      <c r="R17" s="61">
        <v>19847</v>
      </c>
    </row>
    <row r="18" spans="1:18" x14ac:dyDescent="0.35">
      <c r="A18" s="39" t="s">
        <v>69</v>
      </c>
      <c r="D18">
        <v>100</v>
      </c>
      <c r="G18">
        <v>100</v>
      </c>
      <c r="L18" s="39" t="s">
        <v>101</v>
      </c>
      <c r="M18" s="61"/>
      <c r="N18" s="61"/>
      <c r="O18" s="61"/>
      <c r="P18" s="61">
        <v>2800</v>
      </c>
      <c r="Q18" s="61"/>
      <c r="R18" s="61">
        <v>2800</v>
      </c>
    </row>
    <row r="19" spans="1:18" x14ac:dyDescent="0.35">
      <c r="A19" s="39" t="s">
        <v>266</v>
      </c>
      <c r="C19">
        <v>5000</v>
      </c>
      <c r="D19">
        <v>10000</v>
      </c>
      <c r="G19">
        <v>15000</v>
      </c>
      <c r="L19" s="39" t="s">
        <v>109</v>
      </c>
      <c r="M19" s="61"/>
      <c r="N19" s="61">
        <v>5520</v>
      </c>
      <c r="O19" s="61"/>
      <c r="P19" s="61"/>
      <c r="Q19" s="61"/>
      <c r="R19" s="61">
        <v>5520</v>
      </c>
    </row>
    <row r="20" spans="1:18" x14ac:dyDescent="0.35">
      <c r="A20" s="39" t="s">
        <v>42</v>
      </c>
      <c r="B20">
        <v>2000</v>
      </c>
      <c r="C20">
        <v>8060</v>
      </c>
      <c r="D20">
        <v>23151</v>
      </c>
      <c r="E20">
        <v>15700</v>
      </c>
      <c r="F20">
        <v>23100</v>
      </c>
      <c r="G20">
        <v>72011</v>
      </c>
      <c r="L20" s="39" t="s">
        <v>33</v>
      </c>
      <c r="M20" s="61"/>
      <c r="N20" s="61"/>
      <c r="O20" s="61">
        <v>10250</v>
      </c>
      <c r="P20" s="61"/>
      <c r="Q20" s="61"/>
      <c r="R20" s="61">
        <v>10250</v>
      </c>
    </row>
    <row r="21" spans="1:18" x14ac:dyDescent="0.35">
      <c r="L21" s="39" t="s">
        <v>20</v>
      </c>
      <c r="M21" s="61">
        <v>9520</v>
      </c>
      <c r="N21" s="61"/>
      <c r="O21" s="61"/>
      <c r="P21" s="61">
        <v>9520</v>
      </c>
      <c r="Q21" s="61"/>
      <c r="R21" s="61">
        <v>19040</v>
      </c>
    </row>
    <row r="22" spans="1:18" x14ac:dyDescent="0.35">
      <c r="L22" s="39" t="s">
        <v>234</v>
      </c>
      <c r="M22" s="61"/>
      <c r="N22" s="61"/>
      <c r="O22" s="61"/>
      <c r="P22" s="61"/>
      <c r="Q22" s="61">
        <v>17990</v>
      </c>
      <c r="R22" s="61">
        <v>17990</v>
      </c>
    </row>
    <row r="23" spans="1:18" x14ac:dyDescent="0.35">
      <c r="L23" s="39" t="s">
        <v>69</v>
      </c>
      <c r="M23" s="61"/>
      <c r="N23" s="61"/>
      <c r="O23" s="61">
        <v>229.99999999999997</v>
      </c>
      <c r="P23" s="61"/>
      <c r="Q23" s="61"/>
      <c r="R23" s="61">
        <v>229.99999999999997</v>
      </c>
    </row>
    <row r="24" spans="1:18" x14ac:dyDescent="0.35">
      <c r="L24" s="39" t="s">
        <v>266</v>
      </c>
      <c r="M24" s="61"/>
      <c r="N24" s="61">
        <v>9250</v>
      </c>
      <c r="O24" s="61">
        <v>17900</v>
      </c>
      <c r="P24" s="61"/>
      <c r="Q24" s="61"/>
      <c r="R24" s="61">
        <v>27150</v>
      </c>
    </row>
    <row r="25" spans="1:18" x14ac:dyDescent="0.35">
      <c r="L25" s="39" t="s">
        <v>42</v>
      </c>
      <c r="M25" s="61">
        <v>9520</v>
      </c>
      <c r="N25" s="61">
        <v>14888.8</v>
      </c>
      <c r="O25" s="61">
        <v>44290.619999999995</v>
      </c>
      <c r="P25" s="61">
        <v>42727</v>
      </c>
      <c r="Q25" s="61">
        <v>41572</v>
      </c>
      <c r="R25" s="61">
        <v>152998.41999999998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15EB9-D479-463F-A639-2ABE0C0864AE}">
  <sheetPr>
    <tabColor rgb="FF7030A0"/>
  </sheetPr>
  <dimension ref="A1:AK150"/>
  <sheetViews>
    <sheetView showGridLines="0" zoomScale="110" zoomScaleNormal="110" workbookViewId="0">
      <selection activeCell="P1" sqref="P1"/>
    </sheetView>
  </sheetViews>
  <sheetFormatPr baseColWidth="10" defaultColWidth="10.81640625" defaultRowHeight="14.5" x14ac:dyDescent="0.35"/>
  <cols>
    <col min="1" max="1" width="39.7265625" bestFit="1" customWidth="1"/>
    <col min="2" max="2" width="13.26953125" style="71" bestFit="1" customWidth="1"/>
    <col min="3" max="3" width="6.36328125" style="71" bestFit="1" customWidth="1"/>
    <col min="4" max="4" width="7.36328125" style="71" bestFit="1" customWidth="1"/>
    <col min="5" max="5" width="6.36328125" style="71" bestFit="1" customWidth="1"/>
    <col min="6" max="6" width="7" style="71" bestFit="1" customWidth="1"/>
    <col min="7" max="8" width="6.36328125" style="71" bestFit="1" customWidth="1"/>
    <col min="9" max="9" width="6.453125" style="71" bestFit="1" customWidth="1"/>
    <col min="10" max="11" width="6.36328125" style="71" bestFit="1" customWidth="1"/>
    <col min="12" max="12" width="11.7265625" style="71" bestFit="1" customWidth="1"/>
    <col min="13" max="14" width="1.1796875" style="71" customWidth="1"/>
    <col min="15" max="15" width="0.1796875" style="72" customWidth="1"/>
    <col min="16" max="16" width="4.1796875" style="72" customWidth="1"/>
    <col min="17" max="17" width="2.453125" customWidth="1"/>
    <col min="18" max="20" width="1.1796875" customWidth="1"/>
    <col min="21" max="21" width="0.54296875" customWidth="1"/>
    <col min="22" max="22" width="39.7265625" bestFit="1" customWidth="1"/>
    <col min="23" max="23" width="11.453125" bestFit="1" customWidth="1"/>
    <col min="24" max="24" width="8.90625" bestFit="1" customWidth="1"/>
    <col min="25" max="26" width="9.90625" bestFit="1" customWidth="1"/>
    <col min="27" max="27" width="8.90625" bestFit="1" customWidth="1"/>
    <col min="28" max="28" width="9.90625" bestFit="1" customWidth="1"/>
    <col min="29" max="29" width="8.90625" bestFit="1" customWidth="1"/>
    <col min="30" max="30" width="9.90625" bestFit="1" customWidth="1"/>
    <col min="31" max="32" width="8.90625" bestFit="1" customWidth="1"/>
    <col min="33" max="33" width="11.7265625" bestFit="1" customWidth="1"/>
    <col min="34" max="35" width="3.1796875" customWidth="1"/>
    <col min="36" max="36" width="39.7265625" bestFit="1" customWidth="1"/>
    <col min="37" max="37" width="18.81640625" bestFit="1" customWidth="1"/>
    <col min="38" max="38" width="15.453125" bestFit="1" customWidth="1"/>
    <col min="39" max="39" width="8.81640625" bestFit="1" customWidth="1"/>
    <col min="40" max="41" width="9.81640625" bestFit="1" customWidth="1"/>
    <col min="42" max="42" width="8.81640625" bestFit="1" customWidth="1"/>
    <col min="43" max="43" width="9.81640625" bestFit="1" customWidth="1"/>
    <col min="44" max="44" width="10" bestFit="1" customWidth="1"/>
    <col min="45" max="45" width="19.81640625" bestFit="1" customWidth="1"/>
    <col min="46" max="46" width="12.81640625" bestFit="1" customWidth="1"/>
    <col min="47" max="47" width="19.81640625" bestFit="1" customWidth="1"/>
    <col min="48" max="48" width="15.54296875" bestFit="1" customWidth="1"/>
    <col min="49" max="49" width="22.54296875" bestFit="1" customWidth="1"/>
    <col min="50" max="50" width="17.81640625" bestFit="1" customWidth="1"/>
    <col min="51" max="51" width="24.81640625" bestFit="1" customWidth="1"/>
    <col min="52" max="52" width="19.1796875" bestFit="1" customWidth="1"/>
    <col min="53" max="53" width="26" bestFit="1" customWidth="1"/>
    <col min="54" max="54" width="16.1796875" bestFit="1" customWidth="1"/>
    <col min="55" max="55" width="23.1796875" bestFit="1" customWidth="1"/>
    <col min="56" max="56" width="12.81640625" bestFit="1" customWidth="1"/>
    <col min="57" max="57" width="19.81640625" bestFit="1" customWidth="1"/>
    <col min="58" max="58" width="18.54296875" bestFit="1" customWidth="1"/>
    <col min="59" max="59" width="25.453125" bestFit="1" customWidth="1"/>
    <col min="60" max="60" width="12.81640625" bestFit="1" customWidth="1"/>
    <col min="61" max="61" width="19.81640625" bestFit="1" customWidth="1"/>
    <col min="62" max="62" width="18.54296875" bestFit="1" customWidth="1"/>
    <col min="63" max="63" width="25.453125" bestFit="1" customWidth="1"/>
    <col min="64" max="64" width="12.81640625" bestFit="1" customWidth="1"/>
    <col min="65" max="65" width="19.81640625" bestFit="1" customWidth="1"/>
    <col min="66" max="66" width="18.54296875" bestFit="1" customWidth="1"/>
    <col min="67" max="67" width="25.453125" bestFit="1" customWidth="1"/>
    <col min="68" max="68" width="12.81640625" bestFit="1" customWidth="1"/>
    <col min="69" max="69" width="19.81640625" bestFit="1" customWidth="1"/>
    <col min="70" max="70" width="18.54296875" bestFit="1" customWidth="1"/>
    <col min="71" max="71" width="25.453125" bestFit="1" customWidth="1"/>
    <col min="72" max="72" width="12.81640625" bestFit="1" customWidth="1"/>
    <col min="73" max="73" width="19.81640625" bestFit="1" customWidth="1"/>
    <col min="74" max="74" width="18.54296875" bestFit="1" customWidth="1"/>
    <col min="75" max="75" width="25.453125" bestFit="1" customWidth="1"/>
    <col min="76" max="76" width="12.81640625" bestFit="1" customWidth="1"/>
    <col min="77" max="77" width="19.81640625" bestFit="1" customWidth="1"/>
    <col min="78" max="78" width="18.54296875" bestFit="1" customWidth="1"/>
    <col min="79" max="79" width="25.453125" bestFit="1" customWidth="1"/>
    <col min="80" max="80" width="15.54296875" bestFit="1" customWidth="1"/>
    <col min="81" max="81" width="22.54296875" bestFit="1" customWidth="1"/>
    <col min="82" max="82" width="17.81640625" bestFit="1" customWidth="1"/>
    <col min="83" max="83" width="24.81640625" bestFit="1" customWidth="1"/>
  </cols>
  <sheetData>
    <row r="1" spans="1:37" ht="15.5" thickTop="1" thickBot="1" x14ac:dyDescent="0.4">
      <c r="A1" s="2" t="s">
        <v>136</v>
      </c>
      <c r="B1" s="79">
        <f ca="1">TODAY()</f>
        <v>46296</v>
      </c>
      <c r="K1" s="79"/>
      <c r="O1" s="71"/>
      <c r="P1" s="153" t="s">
        <v>365</v>
      </c>
      <c r="Q1" s="15"/>
      <c r="R1" s="15"/>
      <c r="S1" s="15"/>
      <c r="T1" s="15"/>
      <c r="U1" s="15"/>
      <c r="V1" s="79">
        <f ca="1">TODAY()</f>
        <v>46296</v>
      </c>
      <c r="W1" s="15"/>
      <c r="X1" s="15"/>
      <c r="Y1" s="15"/>
      <c r="Z1" s="15"/>
      <c r="AA1" s="15"/>
      <c r="AB1" s="15"/>
      <c r="AC1" s="15"/>
      <c r="AD1" s="15"/>
      <c r="AE1" s="15"/>
      <c r="AF1" s="15"/>
      <c r="AG1" s="15"/>
      <c r="AH1" s="15"/>
      <c r="AI1" s="15"/>
    </row>
    <row r="2" spans="1:37" ht="13.5" customHeight="1" thickTop="1" x14ac:dyDescent="0.35">
      <c r="A2" s="48" t="s">
        <v>867</v>
      </c>
      <c r="O2" s="71"/>
      <c r="P2" s="71"/>
      <c r="Q2" s="15"/>
      <c r="R2" s="15"/>
      <c r="S2" s="15"/>
      <c r="T2" s="15"/>
      <c r="U2" s="15"/>
      <c r="V2" s="15"/>
      <c r="W2" s="15"/>
      <c r="X2" s="15"/>
      <c r="Y2" s="15"/>
      <c r="Z2" s="15"/>
      <c r="AA2" s="15"/>
      <c r="AB2" s="15"/>
      <c r="AC2" s="15"/>
      <c r="AD2" s="15"/>
      <c r="AE2" s="15"/>
      <c r="AF2" s="15"/>
      <c r="AG2" s="15"/>
      <c r="AH2" s="15"/>
      <c r="AI2" s="15"/>
      <c r="AJ2" s="170" t="s">
        <v>1030</v>
      </c>
    </row>
    <row r="3" spans="1:37" x14ac:dyDescent="0.35">
      <c r="A3" s="12" t="s">
        <v>1031</v>
      </c>
      <c r="B3" s="70" t="s">
        <v>927</v>
      </c>
      <c r="C3" s="15"/>
      <c r="D3" s="15"/>
      <c r="E3" s="15"/>
      <c r="F3" s="15"/>
      <c r="G3" s="15"/>
      <c r="H3" s="15"/>
      <c r="I3" s="15"/>
      <c r="J3" s="15"/>
      <c r="K3" s="15"/>
      <c r="L3" s="15"/>
      <c r="M3"/>
      <c r="N3"/>
      <c r="O3"/>
      <c r="P3"/>
      <c r="V3" s="12" t="s">
        <v>169</v>
      </c>
      <c r="W3" s="40" t="s">
        <v>928</v>
      </c>
      <c r="X3" s="73"/>
      <c r="Y3" s="73"/>
      <c r="Z3" s="73"/>
      <c r="AA3" s="73"/>
      <c r="AB3" s="73"/>
      <c r="AC3" s="73"/>
      <c r="AD3" s="73"/>
      <c r="AE3" s="73"/>
      <c r="AF3" s="73"/>
      <c r="AG3" s="73"/>
      <c r="AH3" s="73"/>
      <c r="AI3" s="73"/>
      <c r="AJ3" s="40" t="s">
        <v>2</v>
      </c>
      <c r="AK3" t="s">
        <v>1050</v>
      </c>
    </row>
    <row r="4" spans="1:37" x14ac:dyDescent="0.35">
      <c r="A4" s="40" t="s">
        <v>510</v>
      </c>
      <c r="B4" s="15" t="s">
        <v>514</v>
      </c>
      <c r="C4" s="15" t="s">
        <v>567</v>
      </c>
      <c r="D4" s="15" t="s">
        <v>624</v>
      </c>
      <c r="E4" s="15" t="s">
        <v>765</v>
      </c>
      <c r="F4" s="15" t="s">
        <v>884</v>
      </c>
      <c r="G4" s="15" t="s">
        <v>892</v>
      </c>
      <c r="H4" s="15" t="s">
        <v>1064</v>
      </c>
      <c r="I4" s="15" t="s">
        <v>1079</v>
      </c>
      <c r="J4" s="15" t="s">
        <v>1141</v>
      </c>
      <c r="K4" s="15" t="s">
        <v>1199</v>
      </c>
      <c r="L4" s="15" t="s">
        <v>42</v>
      </c>
      <c r="M4"/>
      <c r="N4"/>
      <c r="O4"/>
      <c r="P4"/>
      <c r="V4" s="40" t="s">
        <v>72</v>
      </c>
      <c r="W4" s="15" t="s">
        <v>514</v>
      </c>
      <c r="X4" s="15" t="s">
        <v>567</v>
      </c>
      <c r="Y4" s="15" t="s">
        <v>624</v>
      </c>
      <c r="Z4" s="15" t="s">
        <v>765</v>
      </c>
      <c r="AA4" s="15" t="s">
        <v>884</v>
      </c>
      <c r="AB4" s="15" t="s">
        <v>892</v>
      </c>
      <c r="AC4" t="s">
        <v>1064</v>
      </c>
      <c r="AD4" t="s">
        <v>1079</v>
      </c>
      <c r="AE4" t="s">
        <v>1141</v>
      </c>
      <c r="AF4" t="s">
        <v>1199</v>
      </c>
      <c r="AG4" s="15" t="s">
        <v>42</v>
      </c>
      <c r="AH4" s="15"/>
      <c r="AI4" s="15"/>
      <c r="AJ4" s="40" t="s">
        <v>1029</v>
      </c>
      <c r="AK4" t="s">
        <v>1051</v>
      </c>
    </row>
    <row r="5" spans="1:37" x14ac:dyDescent="0.35">
      <c r="A5" s="39" t="s">
        <v>354</v>
      </c>
      <c r="C5" s="71">
        <v>4500</v>
      </c>
      <c r="G5" s="71">
        <v>1200</v>
      </c>
      <c r="H5" s="71">
        <v>1200</v>
      </c>
      <c r="J5" s="71">
        <v>3700</v>
      </c>
      <c r="L5" s="71">
        <v>10600</v>
      </c>
      <c r="M5"/>
      <c r="N5"/>
      <c r="O5"/>
      <c r="P5"/>
      <c r="V5" s="39" t="s">
        <v>354</v>
      </c>
      <c r="W5" s="253"/>
      <c r="X5" s="253">
        <v>11710</v>
      </c>
      <c r="Y5" s="253"/>
      <c r="Z5" s="253"/>
      <c r="AA5" s="253"/>
      <c r="AB5" s="253">
        <v>2880</v>
      </c>
      <c r="AC5" s="253">
        <v>2280</v>
      </c>
      <c r="AD5" s="253"/>
      <c r="AE5" s="253">
        <v>16234</v>
      </c>
      <c r="AF5" s="253"/>
      <c r="AG5" s="74">
        <v>33104</v>
      </c>
      <c r="AH5" s="74"/>
      <c r="AI5" s="74"/>
    </row>
    <row r="6" spans="1:37" x14ac:dyDescent="0.35">
      <c r="A6" s="39" t="s">
        <v>85</v>
      </c>
      <c r="H6" s="71">
        <v>2700</v>
      </c>
      <c r="L6" s="71">
        <v>2700</v>
      </c>
      <c r="M6"/>
      <c r="N6"/>
      <c r="O6"/>
      <c r="P6"/>
      <c r="V6" s="39" t="s">
        <v>613</v>
      </c>
      <c r="W6" s="253"/>
      <c r="X6" s="253"/>
      <c r="Y6" s="253">
        <v>66000</v>
      </c>
      <c r="Z6" s="253"/>
      <c r="AA6" s="253"/>
      <c r="AB6" s="253"/>
      <c r="AC6" s="253"/>
      <c r="AD6" s="253"/>
      <c r="AE6" s="253"/>
      <c r="AF6" s="253"/>
      <c r="AG6" s="74">
        <v>66000</v>
      </c>
      <c r="AH6" s="74"/>
      <c r="AI6" s="74"/>
      <c r="AJ6" s="40" t="s">
        <v>72</v>
      </c>
      <c r="AK6" s="73" t="s">
        <v>1028</v>
      </c>
    </row>
    <row r="7" spans="1:37" x14ac:dyDescent="0.35">
      <c r="A7" s="39" t="s">
        <v>221</v>
      </c>
      <c r="B7" s="71">
        <v>1200</v>
      </c>
      <c r="D7" s="71">
        <v>1600</v>
      </c>
      <c r="G7" s="71">
        <v>2200</v>
      </c>
      <c r="I7" s="71">
        <v>4000</v>
      </c>
      <c r="K7" s="71">
        <v>1600</v>
      </c>
      <c r="L7" s="71">
        <v>10600</v>
      </c>
      <c r="M7"/>
      <c r="N7"/>
      <c r="O7"/>
      <c r="P7"/>
      <c r="V7" s="39" t="s">
        <v>85</v>
      </c>
      <c r="W7" s="253"/>
      <c r="X7" s="253"/>
      <c r="Y7" s="253"/>
      <c r="Z7" s="253"/>
      <c r="AA7" s="253"/>
      <c r="AB7" s="253"/>
      <c r="AC7" s="253">
        <v>5859</v>
      </c>
      <c r="AD7" s="253"/>
      <c r="AE7" s="253"/>
      <c r="AF7" s="253"/>
      <c r="AG7" s="74">
        <v>5859</v>
      </c>
      <c r="AH7" s="74"/>
      <c r="AI7" s="74"/>
      <c r="AJ7" s="39" t="s">
        <v>20</v>
      </c>
      <c r="AK7" s="74">
        <v>4.352544</v>
      </c>
    </row>
    <row r="8" spans="1:37" x14ac:dyDescent="0.35">
      <c r="A8" s="39" t="s">
        <v>109</v>
      </c>
      <c r="B8" s="71">
        <v>15000</v>
      </c>
      <c r="D8" s="71">
        <v>31000</v>
      </c>
      <c r="E8" s="71">
        <v>14900</v>
      </c>
      <c r="G8" s="71">
        <v>47900</v>
      </c>
      <c r="I8" s="71">
        <v>3100</v>
      </c>
      <c r="J8" s="71">
        <v>7300</v>
      </c>
      <c r="K8" s="71">
        <v>5500</v>
      </c>
      <c r="L8" s="71">
        <v>124700</v>
      </c>
      <c r="M8"/>
      <c r="N8"/>
      <c r="O8"/>
      <c r="P8"/>
      <c r="V8" s="39" t="s">
        <v>681</v>
      </c>
      <c r="W8" s="253">
        <v>2060</v>
      </c>
      <c r="X8" s="253"/>
      <c r="Y8" s="253">
        <v>8705</v>
      </c>
      <c r="Z8" s="253">
        <v>34230</v>
      </c>
      <c r="AA8" s="253"/>
      <c r="AB8" s="253">
        <v>11062.5</v>
      </c>
      <c r="AC8" s="253"/>
      <c r="AD8" s="253"/>
      <c r="AE8" s="253"/>
      <c r="AF8" s="253"/>
      <c r="AG8" s="74">
        <v>56057.5</v>
      </c>
      <c r="AH8" s="74"/>
      <c r="AI8" s="74"/>
      <c r="AJ8" s="39" t="s">
        <v>681</v>
      </c>
      <c r="AK8" s="74">
        <v>2.4950000000000001</v>
      </c>
    </row>
    <row r="9" spans="1:37" x14ac:dyDescent="0.35">
      <c r="A9" s="39" t="s">
        <v>33</v>
      </c>
      <c r="E9" s="71">
        <v>15000</v>
      </c>
      <c r="I9" s="71">
        <v>10690</v>
      </c>
      <c r="J9" s="71">
        <v>15000</v>
      </c>
      <c r="L9" s="71">
        <v>40690</v>
      </c>
      <c r="M9"/>
      <c r="N9"/>
      <c r="O9"/>
      <c r="P9"/>
      <c r="V9" s="39" t="s">
        <v>221</v>
      </c>
      <c r="W9" s="253">
        <v>2652</v>
      </c>
      <c r="X9" s="253"/>
      <c r="Y9" s="253">
        <v>3014</v>
      </c>
      <c r="Z9" s="253"/>
      <c r="AA9" s="253"/>
      <c r="AB9" s="253">
        <v>4180</v>
      </c>
      <c r="AC9" s="253"/>
      <c r="AD9" s="253">
        <v>10288</v>
      </c>
      <c r="AE9" s="253"/>
      <c r="AF9" s="253">
        <v>3192</v>
      </c>
      <c r="AG9" s="74">
        <v>23326</v>
      </c>
      <c r="AH9" s="74"/>
      <c r="AI9" s="74"/>
      <c r="AJ9" s="39" t="s">
        <v>354</v>
      </c>
      <c r="AK9" s="74">
        <v>2.4699999999999998</v>
      </c>
    </row>
    <row r="10" spans="1:37" x14ac:dyDescent="0.35">
      <c r="A10" s="39" t="s">
        <v>20</v>
      </c>
      <c r="F10" s="71">
        <v>1000</v>
      </c>
      <c r="G10" s="71">
        <v>4000</v>
      </c>
      <c r="L10" s="71">
        <v>5000</v>
      </c>
      <c r="M10"/>
      <c r="N10"/>
      <c r="O10"/>
      <c r="P10"/>
      <c r="V10" s="39" t="s">
        <v>832</v>
      </c>
      <c r="W10" s="253"/>
      <c r="X10" s="253"/>
      <c r="Y10" s="253"/>
      <c r="Z10" s="253">
        <v>10150</v>
      </c>
      <c r="AA10" s="253"/>
      <c r="AB10" s="253"/>
      <c r="AC10" s="253"/>
      <c r="AD10" s="253"/>
      <c r="AE10" s="253"/>
      <c r="AF10" s="253"/>
      <c r="AG10" s="74">
        <v>10150</v>
      </c>
      <c r="AH10" s="74"/>
      <c r="AI10" s="74"/>
      <c r="AJ10" s="39" t="s">
        <v>33</v>
      </c>
      <c r="AK10" s="74">
        <v>2.34</v>
      </c>
    </row>
    <row r="11" spans="1:37" x14ac:dyDescent="0.35">
      <c r="A11" s="39" t="s">
        <v>403</v>
      </c>
      <c r="B11" s="71">
        <v>7650</v>
      </c>
      <c r="F11" s="71">
        <v>7650</v>
      </c>
      <c r="L11" s="71">
        <v>15300</v>
      </c>
      <c r="M11"/>
      <c r="N11"/>
      <c r="O11"/>
      <c r="P11"/>
      <c r="V11" s="39" t="s">
        <v>623</v>
      </c>
      <c r="W11" s="253"/>
      <c r="X11" s="253"/>
      <c r="Y11" s="253">
        <v>6363</v>
      </c>
      <c r="Z11" s="253"/>
      <c r="AA11" s="253"/>
      <c r="AB11" s="253"/>
      <c r="AC11" s="253"/>
      <c r="AD11" s="253"/>
      <c r="AE11" s="253"/>
      <c r="AF11" s="253"/>
      <c r="AG11" s="74">
        <v>6363</v>
      </c>
      <c r="AH11" s="74"/>
      <c r="AI11" s="74"/>
      <c r="AJ11" s="39" t="s">
        <v>914</v>
      </c>
      <c r="AK11" s="74">
        <v>2.313333333333333</v>
      </c>
    </row>
    <row r="12" spans="1:37" x14ac:dyDescent="0.35">
      <c r="A12" s="39" t="s">
        <v>266</v>
      </c>
      <c r="D12" s="71">
        <v>10000</v>
      </c>
      <c r="L12" s="71">
        <v>10000</v>
      </c>
      <c r="M12"/>
      <c r="N12"/>
      <c r="O12"/>
      <c r="P12"/>
      <c r="V12" s="39" t="s">
        <v>246</v>
      </c>
      <c r="W12" s="253">
        <v>6324</v>
      </c>
      <c r="X12" s="253">
        <v>7520</v>
      </c>
      <c r="Y12" s="253">
        <v>47002</v>
      </c>
      <c r="Z12" s="253">
        <v>6407</v>
      </c>
      <c r="AA12" s="253">
        <v>33540</v>
      </c>
      <c r="AB12" s="253"/>
      <c r="AC12" s="253"/>
      <c r="AD12" s="253">
        <v>57900</v>
      </c>
      <c r="AE12" s="253">
        <v>7410</v>
      </c>
      <c r="AF12" s="253">
        <v>4260</v>
      </c>
      <c r="AG12" s="74">
        <v>170363</v>
      </c>
      <c r="AH12" s="74"/>
      <c r="AI12" s="74"/>
      <c r="AJ12" s="39" t="s">
        <v>832</v>
      </c>
      <c r="AK12" s="74">
        <v>2.2039999999999997</v>
      </c>
    </row>
    <row r="13" spans="1:37" x14ac:dyDescent="0.35">
      <c r="A13" s="39" t="s">
        <v>234</v>
      </c>
      <c r="C13" s="71">
        <v>12000</v>
      </c>
      <c r="D13" s="71">
        <v>19000</v>
      </c>
      <c r="E13" s="71">
        <v>13500</v>
      </c>
      <c r="G13" s="71">
        <v>30000</v>
      </c>
      <c r="H13" s="71">
        <v>22500</v>
      </c>
      <c r="K13" s="71">
        <v>25000</v>
      </c>
      <c r="L13" s="71">
        <v>122000</v>
      </c>
      <c r="M13"/>
      <c r="N13"/>
      <c r="O13"/>
      <c r="P13"/>
      <c r="V13" s="39" t="s">
        <v>109</v>
      </c>
      <c r="W13" s="253">
        <v>26920</v>
      </c>
      <c r="X13" s="253"/>
      <c r="Y13" s="253">
        <v>54618</v>
      </c>
      <c r="Z13" s="253">
        <v>35296</v>
      </c>
      <c r="AA13" s="253"/>
      <c r="AB13" s="253">
        <v>102953</v>
      </c>
      <c r="AC13" s="253"/>
      <c r="AD13" s="253">
        <v>6049</v>
      </c>
      <c r="AE13" s="253">
        <v>13870</v>
      </c>
      <c r="AF13" s="253">
        <v>10977</v>
      </c>
      <c r="AG13" s="74">
        <v>250683</v>
      </c>
      <c r="AH13" s="74"/>
      <c r="AI13" s="74"/>
      <c r="AJ13" s="39" t="s">
        <v>613</v>
      </c>
      <c r="AK13" s="74">
        <v>2.2000000000000002</v>
      </c>
    </row>
    <row r="14" spans="1:37" x14ac:dyDescent="0.35">
      <c r="A14" s="39" t="s">
        <v>246</v>
      </c>
      <c r="B14" s="71">
        <v>3400</v>
      </c>
      <c r="C14" s="71">
        <v>4000</v>
      </c>
      <c r="D14" s="71">
        <v>24200</v>
      </c>
      <c r="E14" s="71">
        <v>3700</v>
      </c>
      <c r="F14" s="71">
        <v>16500</v>
      </c>
      <c r="I14" s="71">
        <v>25600</v>
      </c>
      <c r="J14" s="71">
        <v>3900</v>
      </c>
      <c r="K14" s="71">
        <v>3000</v>
      </c>
      <c r="L14" s="71">
        <v>84300</v>
      </c>
      <c r="M14"/>
      <c r="N14"/>
      <c r="O14"/>
      <c r="P14"/>
      <c r="V14" s="39" t="s">
        <v>33</v>
      </c>
      <c r="W14" s="253"/>
      <c r="X14" s="253"/>
      <c r="Y14" s="253"/>
      <c r="Z14" s="253">
        <v>35100</v>
      </c>
      <c r="AA14" s="253"/>
      <c r="AB14" s="253"/>
      <c r="AC14" s="253"/>
      <c r="AD14" s="253">
        <v>27296.9</v>
      </c>
      <c r="AE14" s="253">
        <v>39850</v>
      </c>
      <c r="AF14" s="253"/>
      <c r="AG14" s="74">
        <v>102246.9</v>
      </c>
      <c r="AH14" s="74"/>
      <c r="AI14" s="74"/>
      <c r="AJ14" s="39" t="s">
        <v>109</v>
      </c>
      <c r="AK14" s="74">
        <v>2.0575714285714284</v>
      </c>
    </row>
    <row r="15" spans="1:37" x14ac:dyDescent="0.35">
      <c r="A15" s="39" t="s">
        <v>613</v>
      </c>
      <c r="D15" s="71">
        <v>30000</v>
      </c>
      <c r="L15" s="71">
        <v>30000</v>
      </c>
      <c r="M15"/>
      <c r="N15"/>
      <c r="O15"/>
      <c r="P15"/>
      <c r="V15" s="39" t="s">
        <v>20</v>
      </c>
      <c r="W15" s="253"/>
      <c r="X15" s="253"/>
      <c r="Y15" s="253"/>
      <c r="Z15" s="253"/>
      <c r="AA15" s="253">
        <v>4352.5439999999999</v>
      </c>
      <c r="AB15" s="253">
        <v>17410.175999999999</v>
      </c>
      <c r="AC15" s="253"/>
      <c r="AD15" s="253"/>
      <c r="AE15" s="253"/>
      <c r="AF15" s="253"/>
      <c r="AG15" s="74">
        <v>21762.720000000001</v>
      </c>
      <c r="AH15" s="74"/>
      <c r="AI15" s="74"/>
      <c r="AJ15" s="39" t="s">
        <v>221</v>
      </c>
      <c r="AK15" s="74">
        <v>2.0049999999999999</v>
      </c>
    </row>
    <row r="16" spans="1:37" x14ac:dyDescent="0.35">
      <c r="A16" s="39" t="s">
        <v>623</v>
      </c>
      <c r="D16" s="71">
        <v>3300</v>
      </c>
      <c r="L16" s="71">
        <v>3300</v>
      </c>
      <c r="M16"/>
      <c r="N16"/>
      <c r="O16"/>
      <c r="P16"/>
      <c r="V16" s="39" t="s">
        <v>403</v>
      </c>
      <c r="W16" s="253">
        <v>9994.5</v>
      </c>
      <c r="X16" s="253"/>
      <c r="Y16" s="253"/>
      <c r="Z16" s="253"/>
      <c r="AA16" s="253">
        <v>10764</v>
      </c>
      <c r="AB16" s="253"/>
      <c r="AC16" s="253"/>
      <c r="AD16" s="253"/>
      <c r="AE16" s="253"/>
      <c r="AF16" s="253"/>
      <c r="AG16" s="74">
        <v>20758.5</v>
      </c>
      <c r="AH16" s="74"/>
      <c r="AI16" s="74"/>
      <c r="AJ16" s="39" t="s">
        <v>246</v>
      </c>
      <c r="AK16" s="74">
        <v>1.9546153846153849</v>
      </c>
    </row>
    <row r="17" spans="1:37" x14ac:dyDescent="0.35">
      <c r="A17" s="39" t="s">
        <v>681</v>
      </c>
      <c r="B17" s="71">
        <v>1000</v>
      </c>
      <c r="D17" s="71">
        <v>3500</v>
      </c>
      <c r="E17" s="71">
        <v>13500</v>
      </c>
      <c r="G17" s="71">
        <v>3750</v>
      </c>
      <c r="L17" s="71">
        <v>21750</v>
      </c>
      <c r="M17"/>
      <c r="N17"/>
      <c r="O17"/>
      <c r="P17"/>
      <c r="V17" s="39" t="s">
        <v>266</v>
      </c>
      <c r="W17" s="253"/>
      <c r="X17" s="253"/>
      <c r="Y17" s="253">
        <v>17100</v>
      </c>
      <c r="Z17" s="253"/>
      <c r="AA17" s="253"/>
      <c r="AB17" s="253"/>
      <c r="AC17" s="253"/>
      <c r="AD17" s="253"/>
      <c r="AE17" s="253"/>
      <c r="AF17" s="253"/>
      <c r="AG17" s="74">
        <v>17100</v>
      </c>
      <c r="AH17" s="74"/>
      <c r="AI17" s="74"/>
      <c r="AJ17" s="39" t="s">
        <v>234</v>
      </c>
      <c r="AK17" s="74">
        <v>1.9005263157894732</v>
      </c>
    </row>
    <row r="18" spans="1:37" x14ac:dyDescent="0.35">
      <c r="A18" s="39" t="s">
        <v>832</v>
      </c>
      <c r="E18" s="71">
        <v>4500</v>
      </c>
      <c r="L18" s="71">
        <v>4500</v>
      </c>
      <c r="M18"/>
      <c r="N18"/>
      <c r="O18"/>
      <c r="P18"/>
      <c r="V18" s="39" t="s">
        <v>914</v>
      </c>
      <c r="W18" s="253"/>
      <c r="X18" s="253"/>
      <c r="Y18" s="253"/>
      <c r="Z18" s="253"/>
      <c r="AA18" s="253"/>
      <c r="AB18" s="253">
        <v>11184</v>
      </c>
      <c r="AC18" s="253"/>
      <c r="AD18" s="253"/>
      <c r="AE18" s="253"/>
      <c r="AF18" s="253"/>
      <c r="AG18" s="74">
        <v>11184</v>
      </c>
      <c r="AH18" s="74"/>
      <c r="AI18" s="74"/>
      <c r="AJ18" s="39" t="s">
        <v>623</v>
      </c>
      <c r="AK18" s="74">
        <v>1.8800000000000001</v>
      </c>
    </row>
    <row r="19" spans="1:37" x14ac:dyDescent="0.35">
      <c r="A19" s="39" t="s">
        <v>914</v>
      </c>
      <c r="G19" s="71">
        <v>4600</v>
      </c>
      <c r="L19" s="71">
        <v>4600</v>
      </c>
      <c r="M19"/>
      <c r="N19"/>
      <c r="O19"/>
      <c r="P19"/>
      <c r="V19" s="39" t="s">
        <v>234</v>
      </c>
      <c r="W19" s="253"/>
      <c r="X19" s="253">
        <v>23390</v>
      </c>
      <c r="Y19" s="253">
        <v>31310</v>
      </c>
      <c r="Z19" s="253">
        <v>26465</v>
      </c>
      <c r="AA19" s="253"/>
      <c r="AB19" s="253">
        <v>62100</v>
      </c>
      <c r="AC19" s="253">
        <v>48765</v>
      </c>
      <c r="AD19" s="253"/>
      <c r="AE19" s="253"/>
      <c r="AF19" s="253">
        <v>55700</v>
      </c>
      <c r="AG19" s="74">
        <v>247730</v>
      </c>
      <c r="AH19" s="74"/>
      <c r="AI19" s="74"/>
      <c r="AJ19" s="39" t="s">
        <v>266</v>
      </c>
      <c r="AK19" s="74">
        <v>1.71</v>
      </c>
    </row>
    <row r="20" spans="1:37" x14ac:dyDescent="0.35">
      <c r="A20" s="39" t="s">
        <v>42</v>
      </c>
      <c r="B20" s="71">
        <v>28250</v>
      </c>
      <c r="C20" s="71">
        <v>20500</v>
      </c>
      <c r="D20" s="71">
        <v>122600</v>
      </c>
      <c r="E20" s="71">
        <v>65100</v>
      </c>
      <c r="F20" s="71">
        <v>25150</v>
      </c>
      <c r="G20" s="71">
        <v>93650</v>
      </c>
      <c r="H20" s="71">
        <v>26400</v>
      </c>
      <c r="I20" s="71">
        <v>43390</v>
      </c>
      <c r="J20" s="71">
        <v>29900</v>
      </c>
      <c r="K20" s="71">
        <v>35100</v>
      </c>
      <c r="L20" s="71">
        <v>490040</v>
      </c>
      <c r="M20"/>
      <c r="N20"/>
      <c r="O20"/>
      <c r="P20"/>
      <c r="V20" s="39" t="s">
        <v>42</v>
      </c>
      <c r="W20" s="253">
        <v>47950.5</v>
      </c>
      <c r="X20" s="253">
        <v>42620</v>
      </c>
      <c r="Y20" s="253">
        <v>234112</v>
      </c>
      <c r="Z20" s="253">
        <v>147648</v>
      </c>
      <c r="AA20" s="253">
        <v>48656.544000000002</v>
      </c>
      <c r="AB20" s="253">
        <v>211769.67600000001</v>
      </c>
      <c r="AC20" s="253">
        <v>56904</v>
      </c>
      <c r="AD20" s="253">
        <v>101533.9</v>
      </c>
      <c r="AE20" s="253">
        <v>77364</v>
      </c>
      <c r="AF20" s="253">
        <v>74129</v>
      </c>
      <c r="AG20" s="74">
        <v>1042687.62</v>
      </c>
      <c r="AH20" s="74"/>
      <c r="AI20" s="74"/>
      <c r="AJ20" s="39" t="s">
        <v>403</v>
      </c>
      <c r="AK20" s="74">
        <v>1.3567647058823524</v>
      </c>
    </row>
    <row r="21" spans="1:37" x14ac:dyDescent="0.35">
      <c r="B21"/>
      <c r="C21"/>
      <c r="D21"/>
      <c r="E21"/>
      <c r="F21"/>
      <c r="G21"/>
      <c r="H21"/>
      <c r="I21"/>
      <c r="J21"/>
      <c r="K21"/>
      <c r="L21"/>
      <c r="M21"/>
      <c r="N21"/>
      <c r="O21"/>
      <c r="P21"/>
      <c r="AJ21" s="39" t="s">
        <v>42</v>
      </c>
      <c r="AK21" s="74">
        <v>1.9554098713450279</v>
      </c>
    </row>
    <row r="22" spans="1:37" x14ac:dyDescent="0.35">
      <c r="B22"/>
      <c r="C22"/>
      <c r="D22"/>
      <c r="E22"/>
      <c r="F22"/>
      <c r="G22"/>
      <c r="H22"/>
      <c r="I22"/>
      <c r="J22"/>
      <c r="K22"/>
      <c r="L22"/>
      <c r="M22"/>
      <c r="N22"/>
      <c r="O22"/>
      <c r="P22"/>
    </row>
    <row r="23" spans="1:37" ht="6" customHeight="1" x14ac:dyDescent="0.35">
      <c r="B23"/>
      <c r="C23"/>
      <c r="D23"/>
      <c r="E23"/>
      <c r="F23"/>
      <c r="G23"/>
      <c r="H23"/>
      <c r="I23"/>
      <c r="J23"/>
      <c r="K23"/>
      <c r="L23"/>
      <c r="M23"/>
      <c r="N23"/>
      <c r="O23"/>
      <c r="P23"/>
    </row>
    <row r="24" spans="1:37" ht="6" customHeight="1" x14ac:dyDescent="0.35">
      <c r="B24"/>
      <c r="C24"/>
      <c r="D24"/>
      <c r="E24"/>
      <c r="F24"/>
      <c r="G24"/>
      <c r="H24"/>
      <c r="I24"/>
      <c r="J24"/>
      <c r="K24"/>
      <c r="L24"/>
      <c r="M24"/>
      <c r="N24"/>
      <c r="O24"/>
      <c r="P24"/>
    </row>
    <row r="25" spans="1:37" ht="6" customHeight="1" x14ac:dyDescent="0.35">
      <c r="B25"/>
      <c r="C25"/>
      <c r="D25"/>
      <c r="E25"/>
      <c r="F25"/>
      <c r="G25"/>
      <c r="H25"/>
      <c r="I25"/>
      <c r="J25"/>
      <c r="K25"/>
      <c r="L25"/>
      <c r="M25"/>
      <c r="N25"/>
      <c r="O25"/>
      <c r="P25"/>
    </row>
    <row r="26" spans="1:37" ht="6" customHeight="1" x14ac:dyDescent="0.35">
      <c r="B26"/>
      <c r="C26"/>
      <c r="D26"/>
      <c r="E26"/>
      <c r="F26"/>
      <c r="G26"/>
      <c r="H26"/>
      <c r="I26"/>
      <c r="J26"/>
      <c r="K26"/>
      <c r="L26"/>
      <c r="M26"/>
      <c r="N26"/>
      <c r="O26"/>
      <c r="P26"/>
    </row>
    <row r="27" spans="1:37" ht="6" customHeight="1" x14ac:dyDescent="0.35">
      <c r="B27"/>
      <c r="C27"/>
      <c r="D27"/>
      <c r="E27"/>
      <c r="F27"/>
      <c r="G27"/>
      <c r="H27"/>
      <c r="I27"/>
      <c r="J27"/>
      <c r="K27"/>
      <c r="L27"/>
      <c r="M27"/>
      <c r="N27"/>
      <c r="O27"/>
      <c r="P27"/>
    </row>
    <row r="28" spans="1:37" ht="6" customHeight="1" x14ac:dyDescent="0.35">
      <c r="B28"/>
      <c r="C28"/>
      <c r="D28"/>
      <c r="E28"/>
      <c r="F28"/>
      <c r="G28"/>
      <c r="H28"/>
      <c r="I28"/>
      <c r="J28"/>
      <c r="K28"/>
      <c r="L28"/>
      <c r="M28"/>
      <c r="N28"/>
      <c r="O28"/>
      <c r="P28"/>
    </row>
    <row r="29" spans="1:37" x14ac:dyDescent="0.35">
      <c r="B29"/>
      <c r="C29"/>
      <c r="D29"/>
      <c r="E29"/>
      <c r="F29"/>
      <c r="G29"/>
      <c r="H29"/>
      <c r="I29"/>
      <c r="J29"/>
      <c r="K29"/>
      <c r="L29"/>
      <c r="M29"/>
      <c r="N29"/>
      <c r="O29"/>
      <c r="P29"/>
    </row>
    <row r="30" spans="1:37" x14ac:dyDescent="0.35">
      <c r="B30"/>
      <c r="C30"/>
      <c r="D30"/>
      <c r="E30"/>
      <c r="F30"/>
      <c r="G30"/>
      <c r="H30"/>
      <c r="I30"/>
      <c r="J30"/>
      <c r="K30"/>
      <c r="L30"/>
      <c r="M30"/>
      <c r="N30"/>
      <c r="O30"/>
      <c r="P30"/>
    </row>
    <row r="31" spans="1:37" x14ac:dyDescent="0.35">
      <c r="B31"/>
      <c r="C31"/>
      <c r="D31"/>
      <c r="E31"/>
      <c r="F31"/>
      <c r="G31"/>
      <c r="H31"/>
      <c r="I31"/>
      <c r="J31"/>
      <c r="K31"/>
      <c r="L31"/>
      <c r="M31"/>
      <c r="N31"/>
      <c r="O31"/>
      <c r="P31"/>
    </row>
    <row r="32" spans="1:37" x14ac:dyDescent="0.35">
      <c r="B32"/>
      <c r="C32"/>
      <c r="D32"/>
      <c r="E32"/>
      <c r="F32"/>
      <c r="G32"/>
      <c r="H32"/>
      <c r="I32"/>
      <c r="J32"/>
      <c r="K32"/>
      <c r="L32"/>
      <c r="M32"/>
      <c r="N32"/>
      <c r="O32"/>
      <c r="P32"/>
    </row>
    <row r="33" spans="2:16" x14ac:dyDescent="0.35">
      <c r="B33"/>
      <c r="C33"/>
      <c r="D33"/>
      <c r="E33"/>
      <c r="F33"/>
      <c r="G33"/>
      <c r="H33"/>
      <c r="I33"/>
      <c r="J33"/>
      <c r="K33"/>
      <c r="L33"/>
      <c r="M33"/>
      <c r="N33"/>
      <c r="O33"/>
      <c r="P33"/>
    </row>
    <row r="34" spans="2:16" x14ac:dyDescent="0.35">
      <c r="B34"/>
      <c r="C34"/>
      <c r="D34"/>
      <c r="E34"/>
      <c r="F34"/>
      <c r="G34"/>
      <c r="H34"/>
      <c r="I34"/>
      <c r="J34"/>
      <c r="K34"/>
      <c r="L34"/>
      <c r="M34"/>
      <c r="N34"/>
      <c r="O34"/>
      <c r="P34"/>
    </row>
    <row r="35" spans="2:16" x14ac:dyDescent="0.35">
      <c r="B35"/>
      <c r="C35"/>
      <c r="D35"/>
      <c r="E35"/>
      <c r="F35"/>
      <c r="G35"/>
      <c r="H35"/>
      <c r="I35"/>
      <c r="J35"/>
      <c r="K35"/>
      <c r="L35"/>
      <c r="M35"/>
      <c r="N35"/>
      <c r="O35"/>
      <c r="P35"/>
    </row>
    <row r="36" spans="2:16" x14ac:dyDescent="0.35">
      <c r="B36"/>
      <c r="C36"/>
      <c r="D36"/>
      <c r="E36"/>
      <c r="F36"/>
      <c r="G36"/>
      <c r="H36"/>
      <c r="I36"/>
      <c r="J36"/>
      <c r="K36"/>
      <c r="L36"/>
      <c r="M36"/>
      <c r="N36"/>
      <c r="O36"/>
      <c r="P36"/>
    </row>
    <row r="37" spans="2:16" x14ac:dyDescent="0.35">
      <c r="B37"/>
      <c r="C37"/>
      <c r="D37"/>
      <c r="E37"/>
      <c r="F37"/>
      <c r="G37"/>
      <c r="H37"/>
      <c r="I37"/>
      <c r="J37"/>
      <c r="K37"/>
      <c r="L37"/>
      <c r="M37"/>
      <c r="N37"/>
      <c r="O37"/>
      <c r="P37"/>
    </row>
    <row r="38" spans="2:16" x14ac:dyDescent="0.35">
      <c r="B38"/>
      <c r="C38"/>
      <c r="D38"/>
      <c r="E38"/>
      <c r="F38"/>
      <c r="G38"/>
      <c r="H38"/>
      <c r="I38"/>
      <c r="J38"/>
      <c r="K38"/>
      <c r="L38"/>
      <c r="M38"/>
      <c r="N38"/>
      <c r="O38"/>
      <c r="P38"/>
    </row>
    <row r="39" spans="2:16" x14ac:dyDescent="0.35">
      <c r="B39"/>
      <c r="C39"/>
      <c r="D39"/>
      <c r="E39"/>
      <c r="F39"/>
      <c r="G39"/>
      <c r="H39"/>
      <c r="I39"/>
      <c r="J39"/>
      <c r="K39"/>
      <c r="L39"/>
      <c r="M39"/>
      <c r="N39"/>
      <c r="O39"/>
      <c r="P39"/>
    </row>
    <row r="40" spans="2:16" x14ac:dyDescent="0.35">
      <c r="B40"/>
      <c r="C40"/>
      <c r="D40"/>
      <c r="E40"/>
      <c r="F40"/>
      <c r="G40"/>
      <c r="H40"/>
      <c r="I40"/>
      <c r="J40"/>
      <c r="K40"/>
      <c r="L40"/>
      <c r="M40"/>
      <c r="N40"/>
      <c r="O40"/>
      <c r="P40"/>
    </row>
    <row r="41" spans="2:16" x14ac:dyDescent="0.35">
      <c r="B41"/>
      <c r="C41"/>
      <c r="D41"/>
      <c r="E41"/>
      <c r="F41"/>
      <c r="G41"/>
      <c r="H41"/>
      <c r="I41"/>
      <c r="J41"/>
      <c r="K41"/>
      <c r="L41"/>
      <c r="M41"/>
      <c r="N41"/>
      <c r="O41"/>
      <c r="P41"/>
    </row>
    <row r="42" spans="2:16" x14ac:dyDescent="0.35">
      <c r="B42"/>
      <c r="C42"/>
      <c r="D42"/>
      <c r="E42"/>
      <c r="F42"/>
      <c r="G42"/>
      <c r="H42"/>
      <c r="I42"/>
      <c r="J42"/>
      <c r="K42"/>
      <c r="L42"/>
      <c r="M42"/>
      <c r="N42"/>
      <c r="O42"/>
      <c r="P42"/>
    </row>
    <row r="43" spans="2:16" ht="12.75" customHeight="1" x14ac:dyDescent="0.35">
      <c r="B43" s="15"/>
      <c r="C43" s="15"/>
      <c r="D43" s="15"/>
      <c r="E43" s="15"/>
      <c r="F43" s="15"/>
      <c r="G43" s="15"/>
      <c r="H43" s="15"/>
      <c r="I43" s="15"/>
      <c r="J43" s="15"/>
      <c r="K43" s="15"/>
      <c r="L43"/>
      <c r="M43"/>
      <c r="N43"/>
      <c r="O43"/>
      <c r="P43"/>
    </row>
    <row r="44" spans="2:16" ht="12.75" customHeight="1" x14ac:dyDescent="0.35">
      <c r="B44" s="15"/>
      <c r="C44" s="15"/>
      <c r="D44" s="15"/>
      <c r="E44" s="15"/>
      <c r="F44" s="15"/>
      <c r="G44" s="15"/>
      <c r="H44" s="15"/>
      <c r="I44" s="15"/>
      <c r="J44" s="15"/>
      <c r="K44" s="15"/>
      <c r="L44"/>
      <c r="M44"/>
      <c r="N44"/>
      <c r="O44"/>
      <c r="P44"/>
    </row>
    <row r="45" spans="2:16" ht="12.75" customHeight="1" x14ac:dyDescent="0.35">
      <c r="B45" s="15"/>
      <c r="C45" s="15"/>
      <c r="D45" s="15"/>
      <c r="E45" s="15"/>
      <c r="F45" s="15"/>
      <c r="G45" s="15"/>
      <c r="H45" s="15"/>
      <c r="I45" s="15"/>
      <c r="J45" s="15"/>
      <c r="K45" s="15"/>
      <c r="L45"/>
      <c r="M45"/>
      <c r="N45"/>
      <c r="O45"/>
      <c r="P45"/>
    </row>
    <row r="46" spans="2:16" x14ac:dyDescent="0.35">
      <c r="B46" s="15"/>
      <c r="C46" s="15"/>
      <c r="D46" s="15"/>
      <c r="E46" s="15"/>
      <c r="F46" s="15"/>
      <c r="G46" s="15"/>
      <c r="H46" s="15"/>
      <c r="I46" s="15"/>
      <c r="J46" s="15"/>
      <c r="K46" s="15"/>
      <c r="L46"/>
      <c r="M46"/>
      <c r="N46"/>
      <c r="O46"/>
      <c r="P46"/>
    </row>
    <row r="47" spans="2:16" x14ac:dyDescent="0.35">
      <c r="B47" s="15"/>
      <c r="C47" s="15"/>
      <c r="D47" s="15"/>
      <c r="E47" s="15"/>
      <c r="F47" s="15"/>
      <c r="G47" s="15"/>
      <c r="H47" s="15"/>
      <c r="I47" s="15"/>
      <c r="J47" s="15"/>
      <c r="K47" s="15"/>
      <c r="L47"/>
      <c r="M47"/>
      <c r="N47"/>
      <c r="O47"/>
      <c r="P47"/>
    </row>
    <row r="48" spans="2:16" x14ac:dyDescent="0.35">
      <c r="B48" s="15"/>
      <c r="C48" s="15"/>
      <c r="D48" s="15"/>
      <c r="E48" s="15"/>
      <c r="F48" s="15"/>
      <c r="G48" s="15"/>
      <c r="H48" s="15"/>
      <c r="I48" s="15"/>
      <c r="J48" s="15"/>
      <c r="K48" s="15"/>
      <c r="L48"/>
      <c r="M48"/>
      <c r="N48"/>
      <c r="O48"/>
      <c r="P48"/>
    </row>
    <row r="49" spans="2:16" x14ac:dyDescent="0.35">
      <c r="B49" s="15"/>
      <c r="C49" s="15"/>
      <c r="D49" s="15"/>
      <c r="E49" s="15"/>
      <c r="F49" s="15"/>
      <c r="G49" s="15"/>
      <c r="H49" s="15"/>
      <c r="I49" s="15"/>
      <c r="J49" s="15"/>
      <c r="K49" s="15"/>
      <c r="L49"/>
      <c r="M49"/>
      <c r="N49"/>
      <c r="O49"/>
      <c r="P49"/>
    </row>
    <row r="50" spans="2:16" x14ac:dyDescent="0.35">
      <c r="B50" s="15"/>
      <c r="C50" s="15"/>
      <c r="D50" s="15"/>
      <c r="E50" s="15"/>
      <c r="F50" s="15"/>
      <c r="G50" s="15"/>
      <c r="H50" s="15"/>
      <c r="I50" s="15"/>
      <c r="J50" s="15"/>
      <c r="K50" s="15"/>
      <c r="L50"/>
      <c r="M50"/>
      <c r="N50"/>
      <c r="O50"/>
      <c r="P50"/>
    </row>
    <row r="51" spans="2:16" x14ac:dyDescent="0.35">
      <c r="B51" s="15"/>
      <c r="C51" s="15"/>
      <c r="D51" s="15"/>
      <c r="E51" s="15"/>
      <c r="F51" s="15"/>
      <c r="G51" s="15"/>
      <c r="H51" s="15"/>
      <c r="I51" s="15"/>
      <c r="J51" s="15"/>
      <c r="K51" s="15"/>
      <c r="L51"/>
      <c r="M51"/>
      <c r="N51"/>
      <c r="O51"/>
      <c r="P51"/>
    </row>
    <row r="52" spans="2:16" x14ac:dyDescent="0.35">
      <c r="B52" s="15"/>
      <c r="C52" s="15"/>
      <c r="D52" s="15"/>
      <c r="E52" s="15"/>
      <c r="F52" s="15"/>
      <c r="G52" s="15"/>
      <c r="H52" s="15"/>
      <c r="I52" s="15"/>
      <c r="J52" s="15"/>
      <c r="K52" s="15"/>
      <c r="L52"/>
      <c r="M52"/>
      <c r="N52"/>
      <c r="O52"/>
      <c r="P52"/>
    </row>
    <row r="53" spans="2:16" x14ac:dyDescent="0.35">
      <c r="B53" s="15"/>
      <c r="C53" s="15"/>
      <c r="D53" s="15"/>
      <c r="E53" s="15"/>
      <c r="F53" s="15"/>
      <c r="G53" s="15"/>
      <c r="H53" s="15"/>
      <c r="I53" s="15"/>
      <c r="J53" s="15"/>
      <c r="K53" s="15"/>
      <c r="L53"/>
      <c r="M53"/>
      <c r="N53"/>
      <c r="O53"/>
      <c r="P53" s="152" t="s">
        <v>606</v>
      </c>
    </row>
    <row r="54" spans="2:16" x14ac:dyDescent="0.35">
      <c r="B54" s="15"/>
      <c r="C54" s="15"/>
      <c r="D54" s="15"/>
      <c r="E54" s="15"/>
      <c r="F54" s="15"/>
      <c r="G54" s="15"/>
      <c r="H54" s="15"/>
      <c r="I54" s="15"/>
      <c r="J54" s="15"/>
      <c r="K54" s="15"/>
      <c r="L54"/>
      <c r="M54"/>
      <c r="N54"/>
      <c r="O54"/>
      <c r="P54"/>
    </row>
    <row r="55" spans="2:16" x14ac:dyDescent="0.35">
      <c r="B55" s="15"/>
      <c r="C55" s="15"/>
      <c r="D55" s="15"/>
      <c r="E55" s="15"/>
      <c r="F55" s="15"/>
      <c r="G55" s="15"/>
      <c r="H55" s="15"/>
      <c r="I55" s="15"/>
      <c r="J55" s="15"/>
      <c r="K55" s="15"/>
      <c r="L55"/>
      <c r="M55"/>
      <c r="N55"/>
      <c r="O55"/>
      <c r="P55"/>
    </row>
    <row r="56" spans="2:16" x14ac:dyDescent="0.35">
      <c r="B56" s="15"/>
      <c r="C56" s="15"/>
      <c r="D56" s="15"/>
      <c r="E56" s="15"/>
      <c r="F56" s="15"/>
      <c r="G56" s="15"/>
      <c r="H56" s="15"/>
      <c r="I56" s="15"/>
      <c r="J56" s="15"/>
      <c r="K56" s="15"/>
      <c r="L56"/>
      <c r="M56"/>
      <c r="N56"/>
      <c r="O56"/>
      <c r="P56" s="200" t="s">
        <v>606</v>
      </c>
    </row>
    <row r="57" spans="2:16" x14ac:dyDescent="0.35">
      <c r="B57" s="15"/>
      <c r="C57" s="15"/>
      <c r="D57" s="15"/>
      <c r="E57" s="15"/>
      <c r="F57" s="15"/>
      <c r="G57" s="15"/>
      <c r="H57" s="15"/>
      <c r="I57" s="15"/>
      <c r="J57" s="15"/>
      <c r="K57" s="15"/>
      <c r="L57"/>
      <c r="M57"/>
      <c r="N57"/>
      <c r="O57"/>
      <c r="P57"/>
    </row>
    <row r="58" spans="2:16" x14ac:dyDescent="0.35">
      <c r="B58" s="15"/>
      <c r="C58" s="15"/>
      <c r="D58" s="15"/>
      <c r="E58" s="15"/>
      <c r="F58" s="15"/>
      <c r="G58" s="15"/>
      <c r="H58" s="15"/>
      <c r="I58" s="15"/>
      <c r="J58" s="15"/>
      <c r="K58" s="15"/>
      <c r="L58"/>
      <c r="M58"/>
      <c r="N58"/>
      <c r="O58"/>
      <c r="P58"/>
    </row>
    <row r="59" spans="2:16" x14ac:dyDescent="0.35">
      <c r="B59" s="15"/>
      <c r="C59" s="15"/>
      <c r="D59" s="15"/>
      <c r="E59" s="15"/>
      <c r="F59" s="15"/>
      <c r="G59" s="15"/>
      <c r="H59" s="15"/>
      <c r="I59" s="15"/>
      <c r="J59" s="15"/>
      <c r="K59" s="15"/>
      <c r="L59"/>
      <c r="M59"/>
      <c r="N59"/>
      <c r="O59"/>
      <c r="P59"/>
    </row>
    <row r="60" spans="2:16" x14ac:dyDescent="0.35">
      <c r="B60" s="15"/>
      <c r="C60" s="15"/>
      <c r="D60" s="15"/>
      <c r="E60" s="15"/>
      <c r="F60" s="15"/>
      <c r="G60" s="15"/>
      <c r="H60" s="15"/>
      <c r="I60" s="15"/>
      <c r="J60" s="15"/>
      <c r="K60" s="15"/>
      <c r="L60"/>
      <c r="M60"/>
      <c r="N60"/>
      <c r="O60"/>
      <c r="P60"/>
    </row>
    <row r="61" spans="2:16" x14ac:dyDescent="0.35">
      <c r="B61" s="15"/>
      <c r="C61" s="15"/>
      <c r="D61" s="15"/>
      <c r="E61" s="15"/>
      <c r="F61" s="15"/>
      <c r="G61" s="15"/>
      <c r="H61" s="15"/>
      <c r="I61" s="15"/>
      <c r="J61" s="15"/>
      <c r="K61" s="15"/>
      <c r="L61"/>
      <c r="M61"/>
      <c r="N61"/>
      <c r="O61"/>
      <c r="P61"/>
    </row>
    <row r="62" spans="2:16" x14ac:dyDescent="0.35">
      <c r="B62" s="15"/>
      <c r="C62" s="15"/>
      <c r="D62" s="15"/>
      <c r="E62" s="15"/>
      <c r="F62" s="15"/>
      <c r="G62" s="15"/>
      <c r="H62" s="15"/>
      <c r="I62" s="15"/>
      <c r="J62" s="15"/>
      <c r="K62" s="15"/>
      <c r="L62"/>
      <c r="M62"/>
      <c r="N62"/>
      <c r="O62"/>
      <c r="P62"/>
    </row>
    <row r="63" spans="2:16" x14ac:dyDescent="0.35">
      <c r="B63" s="15"/>
      <c r="C63" s="15"/>
      <c r="D63" s="15"/>
      <c r="E63" s="15"/>
      <c r="F63" s="15"/>
      <c r="G63" s="15"/>
      <c r="H63" s="15"/>
      <c r="I63" s="15"/>
      <c r="J63" s="15"/>
      <c r="K63" s="15"/>
      <c r="L63"/>
      <c r="M63"/>
      <c r="N63"/>
      <c r="O63"/>
      <c r="P63"/>
    </row>
    <row r="64" spans="2:16" x14ac:dyDescent="0.35">
      <c r="B64" s="15"/>
      <c r="C64" s="15"/>
      <c r="D64" s="15"/>
      <c r="E64" s="15"/>
      <c r="F64" s="15"/>
      <c r="G64" s="15"/>
      <c r="H64" s="15"/>
      <c r="I64" s="15"/>
      <c r="J64" s="15"/>
      <c r="K64" s="15"/>
      <c r="L64"/>
      <c r="M64"/>
      <c r="N64"/>
      <c r="O64"/>
      <c r="P64"/>
    </row>
    <row r="65" spans="2:16" x14ac:dyDescent="0.35">
      <c r="B65" s="15"/>
      <c r="C65" s="15"/>
      <c r="D65" s="15"/>
      <c r="E65" s="15"/>
      <c r="F65" s="15"/>
      <c r="G65" s="15"/>
      <c r="H65" s="15"/>
      <c r="I65" s="15"/>
      <c r="J65" s="15"/>
      <c r="K65" s="15"/>
      <c r="L65"/>
      <c r="M65"/>
      <c r="N65"/>
      <c r="O65"/>
      <c r="P65"/>
    </row>
    <row r="66" spans="2:16" x14ac:dyDescent="0.35">
      <c r="B66" s="15"/>
      <c r="C66" s="15"/>
      <c r="D66" s="15"/>
      <c r="E66" s="15"/>
      <c r="F66" s="15"/>
      <c r="G66" s="15"/>
      <c r="H66" s="15"/>
      <c r="I66" s="15"/>
      <c r="J66" s="15"/>
      <c r="K66" s="15"/>
      <c r="L66"/>
      <c r="M66"/>
      <c r="N66"/>
      <c r="O66"/>
      <c r="P66"/>
    </row>
    <row r="67" spans="2:16" x14ac:dyDescent="0.35">
      <c r="B67" s="15"/>
      <c r="C67" s="15"/>
      <c r="D67" s="15"/>
      <c r="E67" s="15"/>
      <c r="F67" s="15"/>
      <c r="G67" s="15"/>
      <c r="H67" s="15"/>
      <c r="I67" s="15"/>
      <c r="J67" s="15"/>
      <c r="K67" s="15"/>
      <c r="L67"/>
      <c r="M67"/>
      <c r="N67"/>
      <c r="O67"/>
      <c r="P67"/>
    </row>
    <row r="68" spans="2:16" x14ac:dyDescent="0.35">
      <c r="B68" s="15"/>
      <c r="C68" s="15"/>
      <c r="D68" s="15"/>
      <c r="E68" s="15"/>
      <c r="F68" s="15"/>
      <c r="G68" s="15"/>
      <c r="H68" s="15"/>
      <c r="I68" s="15"/>
      <c r="J68" s="15"/>
      <c r="K68" s="15"/>
      <c r="L68"/>
      <c r="M68"/>
      <c r="N68"/>
      <c r="O68"/>
      <c r="P68"/>
    </row>
    <row r="69" spans="2:16" x14ac:dyDescent="0.35">
      <c r="B69" s="15"/>
      <c r="C69" s="15"/>
      <c r="D69" s="15"/>
      <c r="E69" s="15"/>
      <c r="F69" s="15"/>
      <c r="G69" s="15"/>
      <c r="H69" s="15"/>
      <c r="I69" s="15"/>
      <c r="J69" s="15"/>
      <c r="K69" s="15"/>
      <c r="L69"/>
      <c r="M69"/>
      <c r="N69"/>
      <c r="O69"/>
      <c r="P69"/>
    </row>
    <row r="70" spans="2:16" x14ac:dyDescent="0.35">
      <c r="B70" s="15"/>
      <c r="C70" s="15"/>
      <c r="D70" s="15"/>
      <c r="E70" s="15"/>
      <c r="F70" s="15"/>
      <c r="G70" s="15"/>
      <c r="H70" s="15"/>
      <c r="I70" s="15"/>
      <c r="J70" s="15"/>
      <c r="K70" s="15"/>
      <c r="L70"/>
      <c r="M70"/>
      <c r="N70"/>
      <c r="O70"/>
      <c r="P70"/>
    </row>
    <row r="71" spans="2:16" x14ac:dyDescent="0.35">
      <c r="B71" s="15"/>
      <c r="C71" s="15"/>
      <c r="D71" s="15"/>
      <c r="E71" s="15"/>
      <c r="F71" s="15"/>
      <c r="G71" s="15"/>
      <c r="H71" s="15"/>
      <c r="I71" s="15"/>
      <c r="J71" s="15"/>
      <c r="K71" s="15"/>
      <c r="L71"/>
      <c r="M71"/>
      <c r="N71"/>
      <c r="O71"/>
      <c r="P71"/>
    </row>
    <row r="72" spans="2:16" x14ac:dyDescent="0.35">
      <c r="B72" s="15"/>
      <c r="C72" s="15"/>
      <c r="D72" s="15"/>
      <c r="E72" s="15"/>
      <c r="F72" s="15"/>
      <c r="G72" s="15"/>
      <c r="H72" s="15"/>
      <c r="I72" s="15"/>
      <c r="J72" s="15"/>
      <c r="K72" s="15"/>
      <c r="L72"/>
      <c r="M72"/>
      <c r="N72"/>
      <c r="O72"/>
      <c r="P72"/>
    </row>
    <row r="73" spans="2:16" x14ac:dyDescent="0.35">
      <c r="B73" s="15"/>
      <c r="C73" s="15"/>
      <c r="D73" s="15"/>
      <c r="E73" s="15"/>
      <c r="F73" s="15"/>
      <c r="G73" s="15"/>
      <c r="H73" s="15"/>
      <c r="I73" s="15"/>
      <c r="J73" s="15"/>
      <c r="K73" s="15"/>
      <c r="L73"/>
      <c r="M73"/>
      <c r="N73"/>
      <c r="O73"/>
      <c r="P73"/>
    </row>
    <row r="74" spans="2:16" x14ac:dyDescent="0.35">
      <c r="B74" s="15"/>
      <c r="C74" s="15"/>
      <c r="D74" s="15"/>
      <c r="E74" s="15"/>
      <c r="F74" s="15"/>
      <c r="G74" s="15"/>
      <c r="H74" s="15"/>
      <c r="I74" s="15"/>
      <c r="J74" s="15"/>
      <c r="K74" s="15"/>
      <c r="L74"/>
      <c r="M74"/>
      <c r="N74"/>
      <c r="O74"/>
      <c r="P74"/>
    </row>
    <row r="75" spans="2:16" x14ac:dyDescent="0.35">
      <c r="B75" s="15"/>
      <c r="C75" s="15"/>
      <c r="D75" s="15"/>
      <c r="E75" s="15"/>
      <c r="F75" s="15"/>
      <c r="G75" s="15"/>
      <c r="H75" s="15"/>
      <c r="I75" s="15"/>
      <c r="J75" s="15"/>
      <c r="K75" s="15"/>
      <c r="L75"/>
      <c r="M75"/>
      <c r="N75"/>
      <c r="O75"/>
      <c r="P75"/>
    </row>
    <row r="76" spans="2:16" x14ac:dyDescent="0.35">
      <c r="B76" s="15"/>
      <c r="C76" s="15"/>
      <c r="D76" s="15"/>
      <c r="E76" s="15"/>
      <c r="F76" s="15"/>
      <c r="G76" s="15"/>
      <c r="H76" s="15"/>
      <c r="I76" s="15"/>
      <c r="J76" s="15"/>
      <c r="K76" s="15"/>
      <c r="L76"/>
      <c r="M76"/>
      <c r="N76"/>
      <c r="O76"/>
      <c r="P76"/>
    </row>
    <row r="77" spans="2:16" x14ac:dyDescent="0.35">
      <c r="B77" s="15"/>
      <c r="C77" s="15"/>
      <c r="D77" s="15"/>
      <c r="E77" s="15"/>
      <c r="F77" s="15"/>
      <c r="G77" s="15"/>
      <c r="H77" s="15"/>
      <c r="I77" s="15"/>
      <c r="J77" s="15"/>
      <c r="K77" s="15"/>
      <c r="L77"/>
      <c r="M77"/>
      <c r="N77"/>
      <c r="O77"/>
      <c r="P77"/>
    </row>
    <row r="78" spans="2:16" x14ac:dyDescent="0.35">
      <c r="B78" s="15"/>
      <c r="C78" s="15"/>
      <c r="D78" s="15"/>
      <c r="E78" s="15"/>
      <c r="F78" s="15"/>
      <c r="G78" s="15"/>
      <c r="H78" s="15"/>
      <c r="I78" s="15"/>
      <c r="J78" s="15"/>
      <c r="K78" s="15"/>
      <c r="L78"/>
      <c r="M78"/>
      <c r="N78"/>
      <c r="O78"/>
      <c r="P78"/>
    </row>
    <row r="79" spans="2:16" x14ac:dyDescent="0.35">
      <c r="B79" s="15"/>
      <c r="C79" s="15"/>
      <c r="D79" s="15"/>
      <c r="E79" s="15"/>
      <c r="F79" s="15"/>
      <c r="G79" s="15"/>
      <c r="H79" s="15"/>
      <c r="I79" s="15"/>
      <c r="J79" s="15"/>
      <c r="K79" s="15"/>
      <c r="L79"/>
      <c r="M79"/>
      <c r="N79"/>
      <c r="O79"/>
      <c r="P79"/>
    </row>
    <row r="80" spans="2:16" x14ac:dyDescent="0.35">
      <c r="B80" s="15"/>
      <c r="C80" s="15"/>
      <c r="D80" s="15"/>
      <c r="E80" s="15"/>
      <c r="F80" s="15"/>
      <c r="G80" s="15"/>
      <c r="H80" s="15"/>
      <c r="I80" s="15"/>
      <c r="J80" s="15"/>
      <c r="K80" s="15"/>
      <c r="L80"/>
      <c r="M80"/>
      <c r="N80"/>
      <c r="O80"/>
      <c r="P80"/>
    </row>
    <row r="81" spans="2:16" x14ac:dyDescent="0.35">
      <c r="B81" s="15"/>
      <c r="C81" s="15"/>
      <c r="D81" s="15"/>
      <c r="E81" s="15"/>
      <c r="F81" s="15"/>
      <c r="G81" s="15"/>
      <c r="H81" s="15"/>
      <c r="I81" s="15"/>
      <c r="J81" s="15"/>
      <c r="K81" s="15"/>
      <c r="L81"/>
      <c r="M81"/>
      <c r="N81"/>
      <c r="O81"/>
      <c r="P81"/>
    </row>
    <row r="82" spans="2:16" x14ac:dyDescent="0.35">
      <c r="B82" s="15"/>
      <c r="C82" s="15"/>
      <c r="D82" s="15"/>
      <c r="E82" s="15"/>
      <c r="F82" s="15"/>
      <c r="G82" s="15"/>
      <c r="H82" s="15"/>
      <c r="I82" s="15"/>
      <c r="J82" s="15"/>
      <c r="K82" s="15"/>
      <c r="L82"/>
      <c r="M82"/>
      <c r="N82"/>
      <c r="O82"/>
      <c r="P82"/>
    </row>
    <row r="83" spans="2:16" x14ac:dyDescent="0.35">
      <c r="B83" s="15"/>
      <c r="C83" s="15"/>
      <c r="D83" s="15"/>
      <c r="E83" s="15"/>
      <c r="F83" s="15"/>
      <c r="G83" s="15"/>
      <c r="H83" s="15"/>
      <c r="I83" s="15"/>
      <c r="J83" s="15"/>
      <c r="K83" s="15"/>
      <c r="L83"/>
      <c r="M83"/>
      <c r="N83"/>
      <c r="O83"/>
      <c r="P83"/>
    </row>
    <row r="84" spans="2:16" x14ac:dyDescent="0.35">
      <c r="B84" s="15"/>
      <c r="C84" s="15"/>
      <c r="D84" s="15"/>
      <c r="E84" s="15"/>
      <c r="F84" s="15"/>
      <c r="G84" s="15"/>
      <c r="H84" s="15"/>
      <c r="I84" s="15"/>
      <c r="J84" s="15"/>
      <c r="K84" s="15"/>
      <c r="L84"/>
      <c r="M84"/>
      <c r="N84"/>
      <c r="O84"/>
      <c r="P84"/>
    </row>
    <row r="85" spans="2:16" x14ac:dyDescent="0.35">
      <c r="B85" s="15"/>
      <c r="C85" s="15"/>
      <c r="D85" s="15"/>
      <c r="E85" s="15"/>
      <c r="F85" s="15"/>
      <c r="G85" s="15"/>
      <c r="H85" s="15"/>
      <c r="I85" s="15"/>
      <c r="J85" s="15"/>
      <c r="K85" s="15"/>
      <c r="L85"/>
      <c r="M85"/>
      <c r="N85"/>
      <c r="O85"/>
      <c r="P85"/>
    </row>
    <row r="86" spans="2:16" x14ac:dyDescent="0.35">
      <c r="B86" s="15"/>
      <c r="C86" s="15"/>
      <c r="D86" s="15"/>
      <c r="E86" s="15"/>
      <c r="F86" s="15"/>
      <c r="G86" s="15"/>
      <c r="H86" s="15"/>
      <c r="I86" s="15"/>
      <c r="J86" s="15"/>
      <c r="K86" s="15"/>
      <c r="L86"/>
      <c r="M86"/>
      <c r="N86"/>
      <c r="O86"/>
      <c r="P86"/>
    </row>
    <row r="87" spans="2:16" x14ac:dyDescent="0.35">
      <c r="B87" s="15"/>
      <c r="C87" s="15"/>
      <c r="D87" s="15"/>
      <c r="E87" s="15"/>
      <c r="F87" s="15"/>
      <c r="G87" s="15"/>
      <c r="H87" s="15"/>
      <c r="I87" s="15"/>
      <c r="J87" s="15"/>
      <c r="K87" s="15"/>
      <c r="L87"/>
      <c r="M87"/>
      <c r="N87"/>
      <c r="O87"/>
      <c r="P87"/>
    </row>
    <row r="88" spans="2:16" x14ac:dyDescent="0.35">
      <c r="B88" s="15"/>
      <c r="C88" s="15"/>
      <c r="D88" s="15"/>
      <c r="E88" s="15"/>
      <c r="F88" s="15"/>
      <c r="G88" s="15"/>
      <c r="H88" s="15"/>
      <c r="I88" s="15"/>
      <c r="J88" s="15"/>
      <c r="K88" s="15"/>
      <c r="L88"/>
      <c r="M88"/>
      <c r="N88"/>
      <c r="O88"/>
      <c r="P88"/>
    </row>
    <row r="89" spans="2:16" x14ac:dyDescent="0.35">
      <c r="B89" s="15"/>
      <c r="C89" s="15"/>
      <c r="D89" s="15"/>
      <c r="E89" s="15"/>
      <c r="F89" s="15"/>
      <c r="G89" s="15"/>
      <c r="H89" s="15"/>
      <c r="I89" s="15"/>
      <c r="J89" s="15"/>
      <c r="K89" s="15"/>
      <c r="L89"/>
      <c r="M89"/>
      <c r="N89"/>
      <c r="O89"/>
      <c r="P89"/>
    </row>
    <row r="90" spans="2:16" x14ac:dyDescent="0.35">
      <c r="B90" s="15"/>
      <c r="C90" s="15"/>
      <c r="D90" s="15"/>
      <c r="E90" s="15"/>
      <c r="F90" s="15"/>
      <c r="G90" s="15"/>
      <c r="H90" s="15"/>
      <c r="I90" s="15"/>
      <c r="J90" s="15"/>
      <c r="K90" s="15"/>
      <c r="L90"/>
      <c r="M90"/>
      <c r="N90"/>
      <c r="O90"/>
      <c r="P90"/>
    </row>
    <row r="91" spans="2:16" x14ac:dyDescent="0.35">
      <c r="B91" s="15"/>
      <c r="C91" s="15"/>
      <c r="D91" s="15"/>
      <c r="E91" s="15"/>
      <c r="F91" s="15"/>
      <c r="G91" s="15"/>
      <c r="H91" s="15"/>
      <c r="I91" s="15"/>
      <c r="J91" s="15"/>
      <c r="K91" s="15"/>
      <c r="L91"/>
      <c r="M91"/>
      <c r="N91"/>
      <c r="O91"/>
      <c r="P91"/>
    </row>
    <row r="92" spans="2:16" x14ac:dyDescent="0.35">
      <c r="B92" s="15"/>
      <c r="C92" s="15"/>
      <c r="D92" s="15"/>
      <c r="E92" s="15"/>
      <c r="F92" s="15"/>
      <c r="G92" s="15"/>
      <c r="H92" s="15"/>
      <c r="I92" s="15"/>
      <c r="J92" s="15"/>
      <c r="K92" s="15"/>
      <c r="L92"/>
      <c r="M92"/>
      <c r="N92"/>
      <c r="O92"/>
      <c r="P92"/>
    </row>
    <row r="93" spans="2:16" x14ac:dyDescent="0.35">
      <c r="B93" s="15"/>
      <c r="C93" s="15"/>
      <c r="D93" s="15"/>
      <c r="E93" s="15"/>
      <c r="F93" s="15"/>
      <c r="G93" s="15"/>
      <c r="H93" s="15"/>
      <c r="I93" s="15"/>
      <c r="J93" s="15"/>
      <c r="K93" s="15"/>
      <c r="L93"/>
      <c r="M93"/>
      <c r="N93"/>
      <c r="O93"/>
      <c r="P93"/>
    </row>
    <row r="94" spans="2:16" x14ac:dyDescent="0.35">
      <c r="B94" s="15"/>
      <c r="C94" s="15"/>
      <c r="D94" s="15"/>
      <c r="E94" s="15"/>
      <c r="F94" s="15"/>
      <c r="G94" s="15"/>
      <c r="H94" s="15"/>
      <c r="I94" s="15"/>
      <c r="J94" s="15"/>
      <c r="K94" s="15"/>
      <c r="L94"/>
      <c r="M94"/>
      <c r="N94"/>
      <c r="O94"/>
      <c r="P94"/>
    </row>
    <row r="95" spans="2:16" x14ac:dyDescent="0.35">
      <c r="B95" s="15"/>
      <c r="C95" s="15"/>
      <c r="D95" s="15"/>
      <c r="E95" s="15"/>
      <c r="F95" s="15"/>
      <c r="G95" s="15"/>
      <c r="H95" s="15"/>
      <c r="I95" s="15"/>
      <c r="J95" s="15"/>
      <c r="K95" s="15"/>
      <c r="L95"/>
      <c r="M95"/>
      <c r="N95"/>
      <c r="O95"/>
      <c r="P95"/>
    </row>
    <row r="96" spans="2:16" x14ac:dyDescent="0.35">
      <c r="B96" s="15"/>
      <c r="C96" s="15"/>
      <c r="D96" s="15"/>
      <c r="E96" s="15"/>
      <c r="F96" s="15"/>
      <c r="G96" s="15"/>
      <c r="H96" s="15"/>
      <c r="I96" s="15"/>
      <c r="J96" s="15"/>
      <c r="K96" s="15"/>
      <c r="L96"/>
      <c r="M96"/>
      <c r="N96"/>
      <c r="O96"/>
      <c r="P96"/>
    </row>
    <row r="97" spans="2:2" x14ac:dyDescent="0.35">
      <c r="B97" s="15"/>
    </row>
    <row r="98" spans="2:2" x14ac:dyDescent="0.35">
      <c r="B98" s="15"/>
    </row>
    <row r="99" spans="2:2" x14ac:dyDescent="0.35">
      <c r="B99" s="15"/>
    </row>
    <row r="100" spans="2:2" x14ac:dyDescent="0.35">
      <c r="B100" s="15"/>
    </row>
    <row r="101" spans="2:2" x14ac:dyDescent="0.35">
      <c r="B101" s="15"/>
    </row>
    <row r="102" spans="2:2" x14ac:dyDescent="0.35">
      <c r="B102" s="15"/>
    </row>
    <row r="103" spans="2:2" x14ac:dyDescent="0.35">
      <c r="B103" s="15"/>
    </row>
    <row r="104" spans="2:2" x14ac:dyDescent="0.35">
      <c r="B104" s="15"/>
    </row>
    <row r="105" spans="2:2" x14ac:dyDescent="0.35">
      <c r="B105" s="15"/>
    </row>
    <row r="106" spans="2:2" x14ac:dyDescent="0.35">
      <c r="B106" s="15"/>
    </row>
    <row r="107" spans="2:2" x14ac:dyDescent="0.35">
      <c r="B107" s="15"/>
    </row>
    <row r="108" spans="2:2" x14ac:dyDescent="0.35">
      <c r="B108" s="15"/>
    </row>
    <row r="109" spans="2:2" x14ac:dyDescent="0.35">
      <c r="B109" s="15"/>
    </row>
    <row r="110" spans="2:2" x14ac:dyDescent="0.35">
      <c r="B110" s="15"/>
    </row>
    <row r="111" spans="2:2" x14ac:dyDescent="0.35">
      <c r="B111" s="15"/>
    </row>
    <row r="112" spans="2:2" x14ac:dyDescent="0.35">
      <c r="B112" s="15"/>
    </row>
    <row r="113" spans="2:2" x14ac:dyDescent="0.35">
      <c r="B113" s="15"/>
    </row>
    <row r="114" spans="2:2" x14ac:dyDescent="0.35">
      <c r="B114" s="15"/>
    </row>
    <row r="115" spans="2:2" x14ac:dyDescent="0.35">
      <c r="B115" s="15"/>
    </row>
    <row r="116" spans="2:2" x14ac:dyDescent="0.35">
      <c r="B116" s="15"/>
    </row>
    <row r="117" spans="2:2" x14ac:dyDescent="0.35">
      <c r="B117" s="15"/>
    </row>
    <row r="118" spans="2:2" x14ac:dyDescent="0.35">
      <c r="B118" s="15"/>
    </row>
    <row r="119" spans="2:2" x14ac:dyDescent="0.35">
      <c r="B119" s="15"/>
    </row>
    <row r="120" spans="2:2" x14ac:dyDescent="0.35">
      <c r="B120" s="15"/>
    </row>
    <row r="121" spans="2:2" x14ac:dyDescent="0.35">
      <c r="B121" s="15"/>
    </row>
    <row r="122" spans="2:2" x14ac:dyDescent="0.35">
      <c r="B122" s="15"/>
    </row>
    <row r="123" spans="2:2" x14ac:dyDescent="0.35">
      <c r="B123" s="15"/>
    </row>
    <row r="124" spans="2:2" x14ac:dyDescent="0.35">
      <c r="B124" s="15"/>
    </row>
    <row r="125" spans="2:2" x14ac:dyDescent="0.35">
      <c r="B125" s="15"/>
    </row>
    <row r="126" spans="2:2" x14ac:dyDescent="0.35">
      <c r="B126" s="15"/>
    </row>
    <row r="127" spans="2:2" x14ac:dyDescent="0.35">
      <c r="B127" s="15"/>
    </row>
    <row r="128" spans="2:2" x14ac:dyDescent="0.35">
      <c r="B128" s="15"/>
    </row>
    <row r="129" spans="2:2" x14ac:dyDescent="0.35">
      <c r="B129" s="15"/>
    </row>
    <row r="130" spans="2:2" x14ac:dyDescent="0.35">
      <c r="B130" s="15"/>
    </row>
    <row r="131" spans="2:2" x14ac:dyDescent="0.35">
      <c r="B131" s="15"/>
    </row>
    <row r="132" spans="2:2" x14ac:dyDescent="0.35">
      <c r="B132" s="15"/>
    </row>
    <row r="133" spans="2:2" x14ac:dyDescent="0.35">
      <c r="B133" s="15"/>
    </row>
    <row r="134" spans="2:2" x14ac:dyDescent="0.35">
      <c r="B134" s="15"/>
    </row>
    <row r="135" spans="2:2" x14ac:dyDescent="0.35">
      <c r="B135" s="15"/>
    </row>
    <row r="136" spans="2:2" x14ac:dyDescent="0.35">
      <c r="B136" s="15"/>
    </row>
    <row r="137" spans="2:2" x14ac:dyDescent="0.35">
      <c r="B137" s="15"/>
    </row>
    <row r="138" spans="2:2" x14ac:dyDescent="0.35">
      <c r="B138" s="15"/>
    </row>
    <row r="139" spans="2:2" x14ac:dyDescent="0.35">
      <c r="B139" s="15"/>
    </row>
    <row r="140" spans="2:2" x14ac:dyDescent="0.35">
      <c r="B140" s="15"/>
    </row>
    <row r="141" spans="2:2" x14ac:dyDescent="0.35">
      <c r="B141" s="15"/>
    </row>
    <row r="142" spans="2:2" x14ac:dyDescent="0.35">
      <c r="B142" s="15"/>
    </row>
    <row r="143" spans="2:2" x14ac:dyDescent="0.35">
      <c r="B143" s="15"/>
    </row>
    <row r="144" spans="2:2" x14ac:dyDescent="0.35">
      <c r="B144" s="15"/>
    </row>
    <row r="145" spans="2:2" x14ac:dyDescent="0.35">
      <c r="B145" s="15"/>
    </row>
    <row r="146" spans="2:2" x14ac:dyDescent="0.35">
      <c r="B146" s="15"/>
    </row>
    <row r="147" spans="2:2" x14ac:dyDescent="0.35">
      <c r="B147" s="15"/>
    </row>
    <row r="148" spans="2:2" x14ac:dyDescent="0.35">
      <c r="B148" s="15"/>
    </row>
    <row r="149" spans="2:2" x14ac:dyDescent="0.35">
      <c r="B149" s="15"/>
    </row>
    <row r="150" spans="2:2" x14ac:dyDescent="0.35">
      <c r="B150" s="15"/>
    </row>
  </sheetData>
  <hyperlinks>
    <hyperlink ref="P1" location="'VOL-VALOR - AVRG PRICE'!P56" display="Gráficos" xr:uid="{286AF63F-14C3-4A07-966D-478760AD4AF4}"/>
    <hyperlink ref="Q32" location="Dinamicas!I1" display="Top" xr:uid="{A0E12A62-C76A-4D79-B115-42A43DF91E73}"/>
    <hyperlink ref="P53" location="'Dinamicas Mts-Valor'!I1" display="Top" xr:uid="{67139FDD-FAB2-4EC5-A1C4-F52FBCBE5B5A}"/>
    <hyperlink ref="P56" location="'VOL-VALOR - AVRG PRICE'!P1" display="Top" xr:uid="{CC97AC18-D7E8-4365-A8AA-191B6B842963}"/>
  </hyperlink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B5FAC-C1C1-4076-B972-6CF38837F0B8}">
  <dimension ref="A1:I21"/>
  <sheetViews>
    <sheetView showGridLines="0" workbookViewId="0">
      <pane xSplit="1" ySplit="5" topLeftCell="B12" activePane="bottomRight" state="frozen"/>
      <selection pane="topRight" activeCell="B1" sqref="B1"/>
      <selection pane="bottomLeft" activeCell="A5" sqref="A5"/>
      <selection pane="bottomRight" activeCell="F16" sqref="F16"/>
    </sheetView>
  </sheetViews>
  <sheetFormatPr baseColWidth="10" defaultColWidth="10.81640625" defaultRowHeight="14.5" x14ac:dyDescent="0.35"/>
  <cols>
    <col min="1" max="1" width="39.453125" bestFit="1" customWidth="1"/>
    <col min="2" max="2" width="17.1796875" bestFit="1" customWidth="1"/>
    <col min="3" max="3" width="6.36328125" bestFit="1" customWidth="1"/>
    <col min="4" max="4" width="7.36328125" bestFit="1" customWidth="1"/>
    <col min="5" max="5" width="6.36328125" bestFit="1" customWidth="1"/>
    <col min="6" max="6" width="7" bestFit="1" customWidth="1"/>
    <col min="7" max="8" width="6.36328125" bestFit="1" customWidth="1"/>
    <col min="9" max="9" width="11.7265625" bestFit="1" customWidth="1"/>
    <col min="10" max="14" width="2.453125" customWidth="1"/>
    <col min="15" max="16" width="10.81640625" bestFit="1" customWidth="1"/>
    <col min="17" max="17" width="10" bestFit="1" customWidth="1"/>
  </cols>
  <sheetData>
    <row r="1" spans="1:9" x14ac:dyDescent="0.35">
      <c r="A1" s="2" t="s">
        <v>822</v>
      </c>
    </row>
    <row r="2" spans="1:9" x14ac:dyDescent="0.35">
      <c r="A2" t="s">
        <v>823</v>
      </c>
    </row>
    <row r="3" spans="1:9" ht="6.75" customHeight="1" x14ac:dyDescent="0.35"/>
    <row r="4" spans="1:9" x14ac:dyDescent="0.35">
      <c r="A4" s="40" t="s">
        <v>779</v>
      </c>
      <c r="B4" s="40" t="s">
        <v>929</v>
      </c>
    </row>
    <row r="5" spans="1:9" x14ac:dyDescent="0.35">
      <c r="A5" s="40" t="s">
        <v>820</v>
      </c>
      <c r="B5" s="15" t="s">
        <v>514</v>
      </c>
      <c r="C5" s="15" t="s">
        <v>567</v>
      </c>
      <c r="D5" s="15" t="s">
        <v>624</v>
      </c>
      <c r="E5" s="15" t="s">
        <v>765</v>
      </c>
      <c r="F5" s="15" t="s">
        <v>884</v>
      </c>
      <c r="G5" s="15" t="s">
        <v>892</v>
      </c>
      <c r="H5" s="15" t="s">
        <v>1064</v>
      </c>
      <c r="I5" t="s">
        <v>42</v>
      </c>
    </row>
    <row r="6" spans="1:9" x14ac:dyDescent="0.35">
      <c r="A6" s="39" t="s">
        <v>354</v>
      </c>
      <c r="B6" s="71"/>
      <c r="C6" s="71">
        <v>4500</v>
      </c>
      <c r="D6" s="71"/>
      <c r="E6" s="71"/>
      <c r="F6" s="71"/>
      <c r="G6" s="71">
        <v>1200</v>
      </c>
      <c r="H6" s="71">
        <v>1200</v>
      </c>
      <c r="I6" s="72">
        <v>6900</v>
      </c>
    </row>
    <row r="7" spans="1:9" x14ac:dyDescent="0.35">
      <c r="A7" s="39" t="s">
        <v>613</v>
      </c>
      <c r="B7" s="71"/>
      <c r="C7" s="71"/>
      <c r="D7" s="71">
        <v>30000</v>
      </c>
      <c r="E7" s="71"/>
      <c r="F7" s="71"/>
      <c r="G7" s="71"/>
      <c r="H7" s="71"/>
      <c r="I7" s="72">
        <v>30000</v>
      </c>
    </row>
    <row r="8" spans="1:9" x14ac:dyDescent="0.35">
      <c r="A8" s="39" t="s">
        <v>85</v>
      </c>
      <c r="B8" s="71"/>
      <c r="C8" s="71"/>
      <c r="D8" s="71"/>
      <c r="E8" s="71"/>
      <c r="F8" s="71"/>
      <c r="G8" s="71"/>
      <c r="H8" s="71">
        <v>2700</v>
      </c>
      <c r="I8" s="72">
        <v>2700</v>
      </c>
    </row>
    <row r="9" spans="1:9" x14ac:dyDescent="0.35">
      <c r="A9" s="39" t="s">
        <v>681</v>
      </c>
      <c r="B9" s="71">
        <v>1000</v>
      </c>
      <c r="C9" s="71"/>
      <c r="D9" s="71">
        <v>3500</v>
      </c>
      <c r="E9" s="71">
        <v>13500</v>
      </c>
      <c r="F9" s="71"/>
      <c r="G9" s="71">
        <v>3750</v>
      </c>
      <c r="H9" s="71"/>
      <c r="I9" s="72">
        <v>21750</v>
      </c>
    </row>
    <row r="10" spans="1:9" x14ac:dyDescent="0.35">
      <c r="A10" s="39" t="s">
        <v>221</v>
      </c>
      <c r="B10" s="71">
        <v>1200</v>
      </c>
      <c r="C10" s="71"/>
      <c r="D10" s="71">
        <v>1600</v>
      </c>
      <c r="E10" s="71"/>
      <c r="F10" s="71"/>
      <c r="G10" s="71">
        <v>2200</v>
      </c>
      <c r="H10" s="71"/>
      <c r="I10" s="72">
        <v>5000</v>
      </c>
    </row>
    <row r="11" spans="1:9" x14ac:dyDescent="0.35">
      <c r="A11" s="39" t="s">
        <v>623</v>
      </c>
      <c r="B11" s="71"/>
      <c r="C11" s="71"/>
      <c r="D11" s="71">
        <v>3300</v>
      </c>
      <c r="E11" s="71"/>
      <c r="F11" s="71"/>
      <c r="G11" s="71"/>
      <c r="H11" s="71"/>
      <c r="I11" s="72">
        <v>3300</v>
      </c>
    </row>
    <row r="12" spans="1:9" x14ac:dyDescent="0.35">
      <c r="A12" s="39" t="s">
        <v>246</v>
      </c>
      <c r="B12" s="71">
        <v>3400</v>
      </c>
      <c r="C12" s="71">
        <v>4000</v>
      </c>
      <c r="D12" s="71">
        <v>24200</v>
      </c>
      <c r="E12" s="71">
        <v>3700</v>
      </c>
      <c r="F12" s="71">
        <v>16500</v>
      </c>
      <c r="G12" s="71"/>
      <c r="H12" s="71"/>
      <c r="I12" s="72">
        <v>51800</v>
      </c>
    </row>
    <row r="13" spans="1:9" x14ac:dyDescent="0.35">
      <c r="A13" s="39" t="s">
        <v>109</v>
      </c>
      <c r="B13" s="71">
        <v>15000</v>
      </c>
      <c r="C13" s="71"/>
      <c r="D13" s="71">
        <v>31000</v>
      </c>
      <c r="E13" s="71">
        <v>14900</v>
      </c>
      <c r="F13" s="71"/>
      <c r="G13" s="71">
        <v>47900</v>
      </c>
      <c r="H13" s="71"/>
      <c r="I13" s="72">
        <v>108800</v>
      </c>
    </row>
    <row r="14" spans="1:9" x14ac:dyDescent="0.35">
      <c r="A14" s="39" t="s">
        <v>33</v>
      </c>
      <c r="B14" s="71"/>
      <c r="C14" s="71"/>
      <c r="D14" s="71"/>
      <c r="E14" s="71">
        <v>15000</v>
      </c>
      <c r="F14" s="71"/>
      <c r="G14" s="71"/>
      <c r="H14" s="71"/>
      <c r="I14" s="72">
        <v>15000</v>
      </c>
    </row>
    <row r="15" spans="1:9" x14ac:dyDescent="0.35">
      <c r="A15" s="39" t="s">
        <v>20</v>
      </c>
      <c r="B15" s="71"/>
      <c r="C15" s="71"/>
      <c r="D15" s="71"/>
      <c r="E15" s="71"/>
      <c r="F15" s="71">
        <v>1000</v>
      </c>
      <c r="G15" s="71">
        <v>4000</v>
      </c>
      <c r="H15" s="71"/>
      <c r="I15" s="72">
        <v>5000</v>
      </c>
    </row>
    <row r="16" spans="1:9" x14ac:dyDescent="0.35">
      <c r="A16" s="39" t="s">
        <v>403</v>
      </c>
      <c r="B16" s="71">
        <v>7650</v>
      </c>
      <c r="C16" s="71"/>
      <c r="D16" s="71"/>
      <c r="E16" s="71"/>
      <c r="F16" s="71">
        <v>7650</v>
      </c>
      <c r="G16" s="71"/>
      <c r="H16" s="71"/>
      <c r="I16" s="72">
        <v>15300</v>
      </c>
    </row>
    <row r="17" spans="1:9" x14ac:dyDescent="0.35">
      <c r="A17" s="39" t="s">
        <v>266</v>
      </c>
      <c r="B17" s="71"/>
      <c r="C17" s="71"/>
      <c r="D17" s="71">
        <v>10000</v>
      </c>
      <c r="E17" s="71"/>
      <c r="F17" s="71"/>
      <c r="G17" s="71"/>
      <c r="H17" s="71"/>
      <c r="I17" s="72">
        <v>10000</v>
      </c>
    </row>
    <row r="18" spans="1:9" x14ac:dyDescent="0.35">
      <c r="A18" s="39" t="s">
        <v>234</v>
      </c>
      <c r="B18" s="71"/>
      <c r="C18" s="71">
        <v>12000</v>
      </c>
      <c r="D18" s="71">
        <v>19000</v>
      </c>
      <c r="E18" s="71">
        <v>13500</v>
      </c>
      <c r="F18" s="71"/>
      <c r="G18" s="71">
        <v>30000</v>
      </c>
      <c r="H18" s="72">
        <v>22500</v>
      </c>
      <c r="I18" s="72">
        <v>97000</v>
      </c>
    </row>
    <row r="19" spans="1:9" x14ac:dyDescent="0.35">
      <c r="A19" s="39" t="s">
        <v>832</v>
      </c>
      <c r="B19" s="71"/>
      <c r="C19" s="71"/>
      <c r="D19" s="71"/>
      <c r="E19" s="71">
        <v>4500</v>
      </c>
      <c r="F19" s="71"/>
      <c r="G19" s="71"/>
      <c r="H19" s="71"/>
      <c r="I19" s="72">
        <v>4500</v>
      </c>
    </row>
    <row r="20" spans="1:9" x14ac:dyDescent="0.35">
      <c r="A20" s="39" t="s">
        <v>914</v>
      </c>
      <c r="B20" s="71"/>
      <c r="C20" s="71"/>
      <c r="D20" s="71"/>
      <c r="E20" s="71"/>
      <c r="F20" s="71"/>
      <c r="G20" s="71">
        <v>4600</v>
      </c>
      <c r="H20" s="71"/>
      <c r="I20" s="72">
        <v>4600</v>
      </c>
    </row>
    <row r="21" spans="1:9" x14ac:dyDescent="0.35">
      <c r="A21" s="39" t="s">
        <v>42</v>
      </c>
      <c r="B21" s="71">
        <v>28250</v>
      </c>
      <c r="C21" s="71">
        <v>20500</v>
      </c>
      <c r="D21" s="71">
        <v>122600</v>
      </c>
      <c r="E21" s="71">
        <v>65100</v>
      </c>
      <c r="F21" s="71">
        <v>25150</v>
      </c>
      <c r="G21" s="71">
        <v>93650</v>
      </c>
      <c r="H21" s="71">
        <v>26400</v>
      </c>
      <c r="I21" s="72">
        <v>381650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6B064-E4AD-432C-B7DC-6FD101C85F20}">
  <dimension ref="A1:R481"/>
  <sheetViews>
    <sheetView showGridLines="0" zoomScale="96" zoomScaleNormal="96" workbookViewId="0">
      <pane xSplit="1" ySplit="8" topLeftCell="B232" activePane="bottomRight" state="frozen"/>
      <selection pane="topRight" activeCell="B1" sqref="B1"/>
      <selection pane="bottomLeft" activeCell="A7" sqref="A7"/>
      <selection pane="bottomRight" activeCell="F236" sqref="F236"/>
    </sheetView>
  </sheetViews>
  <sheetFormatPr baseColWidth="10" defaultColWidth="10.81640625" defaultRowHeight="14.5" x14ac:dyDescent="0.35"/>
  <cols>
    <col min="1" max="1" width="83" bestFit="1" customWidth="1"/>
    <col min="2" max="2" width="21.08984375" style="15" bestFit="1" customWidth="1"/>
    <col min="3" max="3" width="18.26953125" style="15" customWidth="1"/>
    <col min="4" max="4" width="27.08984375" style="15" bestFit="1" customWidth="1"/>
    <col min="5" max="5" width="6.36328125" style="15" bestFit="1" customWidth="1"/>
    <col min="6" max="6" width="7.36328125" style="15" bestFit="1" customWidth="1"/>
    <col min="7" max="7" width="7" style="15" bestFit="1" customWidth="1"/>
    <col min="8" max="9" width="6.36328125" style="15" bestFit="1" customWidth="1"/>
    <col min="10" max="10" width="6.453125" style="15" bestFit="1" customWidth="1"/>
    <col min="11" max="11" width="6.36328125" style="15" bestFit="1" customWidth="1"/>
    <col min="12" max="17" width="10.453125" style="15" bestFit="1" customWidth="1"/>
    <col min="18" max="18" width="10.1796875" style="15" bestFit="1" customWidth="1"/>
    <col min="19" max="19" width="11.7265625" bestFit="1" customWidth="1"/>
    <col min="20" max="91" width="10.453125" bestFit="1" customWidth="1"/>
    <col min="92" max="92" width="10.1796875" bestFit="1" customWidth="1"/>
    <col min="93" max="93" width="11.7265625" bestFit="1" customWidth="1"/>
  </cols>
  <sheetData>
    <row r="1" spans="1:18" x14ac:dyDescent="0.35">
      <c r="A1" s="170" t="s">
        <v>1138</v>
      </c>
      <c r="B1" s="406">
        <f ca="1">TODAY()</f>
        <v>46296</v>
      </c>
      <c r="D1" s="48" t="s">
        <v>1277</v>
      </c>
    </row>
    <row r="2" spans="1:18" ht="11.5" customHeight="1" x14ac:dyDescent="0.35">
      <c r="A2" s="2"/>
      <c r="B2" s="406"/>
      <c r="D2" t="s">
        <v>1294</v>
      </c>
    </row>
    <row r="3" spans="1:18" x14ac:dyDescent="0.35">
      <c r="A3" s="2"/>
      <c r="B3" s="406"/>
    </row>
    <row r="4" spans="1:18" ht="12.75" customHeight="1" x14ac:dyDescent="0.35">
      <c r="A4" s="40" t="s">
        <v>1</v>
      </c>
      <c r="B4" s="15" t="s">
        <v>1050</v>
      </c>
    </row>
    <row r="5" spans="1:18" x14ac:dyDescent="0.35">
      <c r="A5" s="70" t="s">
        <v>885</v>
      </c>
      <c r="B5" s="15" t="s">
        <v>1051</v>
      </c>
    </row>
    <row r="7" spans="1:18" x14ac:dyDescent="0.35">
      <c r="A7" s="40" t="s">
        <v>649</v>
      </c>
      <c r="B7" s="15" t="s">
        <v>779</v>
      </c>
      <c r="C7" s="439" t="s">
        <v>1278</v>
      </c>
      <c r="D7" s="439" t="s">
        <v>1279</v>
      </c>
      <c r="E7"/>
      <c r="F7"/>
      <c r="G7"/>
      <c r="H7"/>
      <c r="I7"/>
      <c r="J7"/>
      <c r="K7"/>
      <c r="L7"/>
      <c r="M7"/>
      <c r="N7"/>
      <c r="O7"/>
      <c r="P7"/>
      <c r="Q7"/>
      <c r="R7"/>
    </row>
    <row r="8" spans="1:18" x14ac:dyDescent="0.35">
      <c r="A8" s="39">
        <v>3650</v>
      </c>
      <c r="B8" s="71">
        <v>1000</v>
      </c>
      <c r="C8" s="407">
        <f>B8/15</f>
        <v>66.666666666666671</v>
      </c>
      <c r="D8" s="407">
        <f>C8*4</f>
        <v>266.66666666666669</v>
      </c>
      <c r="E8"/>
      <c r="F8"/>
      <c r="G8"/>
      <c r="H8"/>
      <c r="I8"/>
      <c r="J8"/>
      <c r="K8"/>
      <c r="L8"/>
      <c r="M8"/>
      <c r="N8"/>
      <c r="O8"/>
      <c r="P8"/>
      <c r="Q8"/>
      <c r="R8"/>
    </row>
    <row r="9" spans="1:18" x14ac:dyDescent="0.35">
      <c r="A9" s="105" t="s">
        <v>1209</v>
      </c>
      <c r="B9" s="71">
        <v>1000</v>
      </c>
      <c r="C9" s="407"/>
      <c r="D9" s="407"/>
      <c r="E9"/>
      <c r="F9"/>
      <c r="G9"/>
      <c r="H9"/>
      <c r="I9"/>
      <c r="J9"/>
      <c r="K9"/>
      <c r="L9"/>
      <c r="M9"/>
      <c r="N9"/>
      <c r="O9"/>
      <c r="P9"/>
      <c r="Q9"/>
      <c r="R9"/>
    </row>
    <row r="10" spans="1:18" x14ac:dyDescent="0.35">
      <c r="A10" s="39">
        <v>3917</v>
      </c>
      <c r="B10" s="71">
        <v>450</v>
      </c>
      <c r="C10" s="407">
        <f>B10/15</f>
        <v>30</v>
      </c>
      <c r="D10" s="407">
        <f t="shared" ref="D10:D72" si="0">C10*4</f>
        <v>120</v>
      </c>
      <c r="E10"/>
      <c r="F10"/>
      <c r="G10"/>
      <c r="H10"/>
      <c r="I10"/>
      <c r="J10"/>
      <c r="K10"/>
      <c r="L10"/>
      <c r="M10"/>
      <c r="N10"/>
      <c r="O10"/>
      <c r="P10"/>
      <c r="Q10"/>
      <c r="R10"/>
    </row>
    <row r="11" spans="1:18" x14ac:dyDescent="0.35">
      <c r="A11" s="105" t="s">
        <v>912</v>
      </c>
      <c r="B11" s="71">
        <v>450</v>
      </c>
      <c r="C11" s="407"/>
      <c r="D11" s="407"/>
      <c r="E11"/>
      <c r="F11"/>
      <c r="G11"/>
      <c r="H11"/>
      <c r="I11"/>
      <c r="J11"/>
      <c r="K11"/>
      <c r="L11"/>
      <c r="M11"/>
      <c r="N11"/>
      <c r="O11"/>
      <c r="P11"/>
      <c r="Q11"/>
      <c r="R11"/>
    </row>
    <row r="12" spans="1:18" x14ac:dyDescent="0.35">
      <c r="A12" s="39">
        <v>3922</v>
      </c>
      <c r="B12" s="71">
        <v>900</v>
      </c>
      <c r="C12" s="407">
        <f t="shared" ref="C12:C72" si="1">B12/15</f>
        <v>60</v>
      </c>
      <c r="D12" s="407">
        <f t="shared" si="0"/>
        <v>240</v>
      </c>
      <c r="E12"/>
      <c r="F12"/>
      <c r="G12"/>
      <c r="H12"/>
      <c r="I12"/>
      <c r="J12"/>
      <c r="K12"/>
      <c r="L12"/>
      <c r="M12"/>
      <c r="N12"/>
      <c r="O12"/>
      <c r="P12"/>
      <c r="Q12"/>
      <c r="R12"/>
    </row>
    <row r="13" spans="1:18" x14ac:dyDescent="0.35">
      <c r="A13" s="105" t="s">
        <v>580</v>
      </c>
      <c r="B13" s="71">
        <v>450</v>
      </c>
      <c r="C13" s="407"/>
      <c r="D13" s="407"/>
      <c r="E13"/>
      <c r="F13"/>
      <c r="G13"/>
      <c r="H13"/>
      <c r="I13"/>
      <c r="J13"/>
      <c r="K13"/>
      <c r="L13"/>
      <c r="M13"/>
      <c r="N13"/>
      <c r="O13"/>
      <c r="P13"/>
      <c r="Q13"/>
      <c r="R13"/>
    </row>
    <row r="14" spans="1:18" x14ac:dyDescent="0.35">
      <c r="A14" s="105" t="s">
        <v>901</v>
      </c>
      <c r="B14" s="71">
        <v>450</v>
      </c>
      <c r="C14" s="407"/>
      <c r="D14" s="407"/>
      <c r="E14"/>
      <c r="F14"/>
      <c r="G14"/>
      <c r="H14"/>
      <c r="I14"/>
      <c r="J14"/>
      <c r="K14"/>
      <c r="L14"/>
      <c r="M14"/>
      <c r="N14"/>
      <c r="O14"/>
      <c r="P14"/>
      <c r="Q14"/>
      <c r="R14"/>
    </row>
    <row r="15" spans="1:18" x14ac:dyDescent="0.35">
      <c r="A15" s="39">
        <v>3927</v>
      </c>
      <c r="B15" s="71">
        <v>1200</v>
      </c>
      <c r="C15" s="407">
        <f t="shared" si="1"/>
        <v>80</v>
      </c>
      <c r="D15" s="407">
        <f t="shared" si="0"/>
        <v>320</v>
      </c>
      <c r="E15"/>
      <c r="F15"/>
      <c r="G15"/>
      <c r="H15"/>
      <c r="I15"/>
      <c r="J15"/>
      <c r="K15"/>
      <c r="L15"/>
      <c r="M15"/>
      <c r="N15"/>
      <c r="O15"/>
      <c r="P15"/>
      <c r="Q15"/>
      <c r="R15"/>
    </row>
    <row r="16" spans="1:18" x14ac:dyDescent="0.35">
      <c r="A16" s="105" t="s">
        <v>408</v>
      </c>
      <c r="B16" s="71">
        <v>300</v>
      </c>
      <c r="C16" s="407"/>
      <c r="D16" s="407"/>
      <c r="E16"/>
      <c r="F16"/>
      <c r="G16"/>
      <c r="H16"/>
      <c r="I16"/>
      <c r="J16"/>
      <c r="K16"/>
      <c r="L16"/>
      <c r="M16"/>
      <c r="N16"/>
      <c r="O16"/>
      <c r="P16"/>
      <c r="Q16"/>
      <c r="R16"/>
    </row>
    <row r="17" spans="1:18" x14ac:dyDescent="0.35">
      <c r="A17" s="105" t="s">
        <v>579</v>
      </c>
      <c r="B17" s="71">
        <v>450</v>
      </c>
      <c r="C17" s="407"/>
      <c r="D17" s="407"/>
      <c r="E17"/>
      <c r="F17"/>
      <c r="G17"/>
      <c r="H17"/>
      <c r="I17"/>
      <c r="J17"/>
      <c r="K17"/>
      <c r="L17"/>
      <c r="M17"/>
      <c r="N17"/>
      <c r="O17"/>
      <c r="P17"/>
      <c r="Q17"/>
      <c r="R17"/>
    </row>
    <row r="18" spans="1:18" x14ac:dyDescent="0.35">
      <c r="A18" s="105" t="s">
        <v>900</v>
      </c>
      <c r="B18" s="71">
        <v>450</v>
      </c>
      <c r="C18" s="407"/>
      <c r="D18" s="407"/>
      <c r="E18"/>
      <c r="F18"/>
      <c r="G18"/>
      <c r="H18"/>
      <c r="I18"/>
      <c r="J18"/>
      <c r="K18"/>
      <c r="L18"/>
      <c r="M18"/>
      <c r="N18"/>
      <c r="O18"/>
      <c r="P18"/>
      <c r="Q18"/>
      <c r="R18"/>
    </row>
    <row r="19" spans="1:18" x14ac:dyDescent="0.35">
      <c r="A19" s="39">
        <v>3931</v>
      </c>
      <c r="B19" s="71">
        <v>450</v>
      </c>
      <c r="C19" s="407">
        <f t="shared" si="1"/>
        <v>30</v>
      </c>
      <c r="D19" s="407">
        <f t="shared" si="0"/>
        <v>120</v>
      </c>
      <c r="E19"/>
      <c r="F19"/>
      <c r="G19"/>
      <c r="H19"/>
      <c r="I19"/>
      <c r="J19"/>
      <c r="K19"/>
      <c r="L19"/>
      <c r="M19"/>
      <c r="N19"/>
      <c r="O19"/>
      <c r="P19"/>
      <c r="Q19"/>
      <c r="R19"/>
    </row>
    <row r="20" spans="1:18" x14ac:dyDescent="0.35">
      <c r="A20" s="105" t="s">
        <v>898</v>
      </c>
      <c r="B20" s="71">
        <v>450</v>
      </c>
      <c r="C20" s="407"/>
      <c r="D20" s="407"/>
      <c r="E20"/>
      <c r="F20"/>
      <c r="G20"/>
      <c r="H20"/>
      <c r="I20"/>
      <c r="J20"/>
      <c r="K20"/>
      <c r="L20"/>
      <c r="M20"/>
      <c r="N20"/>
      <c r="O20"/>
      <c r="P20"/>
      <c r="Q20"/>
      <c r="R20"/>
    </row>
    <row r="21" spans="1:18" x14ac:dyDescent="0.35">
      <c r="A21" s="39">
        <v>3932</v>
      </c>
      <c r="B21" s="71">
        <v>450</v>
      </c>
      <c r="C21" s="407">
        <f t="shared" si="1"/>
        <v>30</v>
      </c>
      <c r="D21" s="407">
        <f t="shared" si="0"/>
        <v>120</v>
      </c>
      <c r="E21"/>
      <c r="F21"/>
      <c r="G21"/>
      <c r="H21"/>
      <c r="I21"/>
      <c r="J21"/>
      <c r="K21"/>
      <c r="L21"/>
      <c r="M21"/>
      <c r="N21"/>
      <c r="O21"/>
      <c r="P21"/>
      <c r="Q21"/>
      <c r="R21"/>
    </row>
    <row r="22" spans="1:18" x14ac:dyDescent="0.35">
      <c r="A22" s="105" t="s">
        <v>897</v>
      </c>
      <c r="B22" s="71">
        <v>450</v>
      </c>
      <c r="C22" s="407"/>
      <c r="D22" s="407"/>
      <c r="E22"/>
      <c r="F22"/>
      <c r="G22"/>
      <c r="H22"/>
      <c r="I22"/>
      <c r="J22"/>
      <c r="K22"/>
      <c r="L22"/>
      <c r="M22"/>
      <c r="N22"/>
      <c r="O22"/>
      <c r="P22"/>
      <c r="Q22"/>
      <c r="R22"/>
    </row>
    <row r="23" spans="1:18" x14ac:dyDescent="0.35">
      <c r="A23" s="39">
        <v>3933</v>
      </c>
      <c r="B23" s="71">
        <v>450</v>
      </c>
      <c r="C23" s="407">
        <f t="shared" si="1"/>
        <v>30</v>
      </c>
      <c r="D23" s="407">
        <f t="shared" si="0"/>
        <v>120</v>
      </c>
      <c r="E23"/>
      <c r="F23"/>
      <c r="G23"/>
      <c r="H23"/>
      <c r="I23"/>
      <c r="J23"/>
      <c r="K23"/>
      <c r="L23"/>
      <c r="M23"/>
      <c r="N23"/>
      <c r="O23"/>
      <c r="P23"/>
      <c r="Q23"/>
      <c r="R23"/>
    </row>
    <row r="24" spans="1:18" x14ac:dyDescent="0.35">
      <c r="A24" s="105" t="s">
        <v>896</v>
      </c>
      <c r="B24" s="71">
        <v>450</v>
      </c>
      <c r="C24" s="407"/>
      <c r="D24" s="407"/>
      <c r="E24"/>
      <c r="F24"/>
      <c r="G24"/>
      <c r="H24"/>
      <c r="I24"/>
      <c r="J24"/>
      <c r="K24"/>
      <c r="L24"/>
      <c r="M24"/>
      <c r="N24"/>
      <c r="O24"/>
      <c r="P24"/>
      <c r="Q24"/>
      <c r="R24"/>
    </row>
    <row r="25" spans="1:18" x14ac:dyDescent="0.35">
      <c r="A25" s="39">
        <v>4191</v>
      </c>
      <c r="B25" s="71">
        <v>5000</v>
      </c>
      <c r="C25" s="407">
        <f t="shared" si="1"/>
        <v>333.33333333333331</v>
      </c>
      <c r="D25" s="407">
        <f t="shared" si="0"/>
        <v>1333.3333333333333</v>
      </c>
      <c r="E25"/>
      <c r="F25"/>
      <c r="G25"/>
      <c r="H25"/>
      <c r="I25"/>
      <c r="J25"/>
      <c r="K25"/>
      <c r="L25"/>
      <c r="M25"/>
      <c r="N25"/>
      <c r="O25"/>
      <c r="P25"/>
      <c r="Q25"/>
      <c r="R25"/>
    </row>
    <row r="26" spans="1:18" x14ac:dyDescent="0.35">
      <c r="A26" s="105" t="s">
        <v>895</v>
      </c>
      <c r="B26" s="71">
        <v>5000</v>
      </c>
      <c r="C26" s="407"/>
      <c r="D26" s="407"/>
      <c r="E26"/>
      <c r="F26"/>
      <c r="G26"/>
      <c r="H26"/>
      <c r="I26"/>
      <c r="J26"/>
      <c r="K26"/>
      <c r="L26"/>
      <c r="M26"/>
      <c r="N26"/>
      <c r="O26"/>
      <c r="P26"/>
      <c r="Q26"/>
      <c r="R26"/>
    </row>
    <row r="27" spans="1:18" x14ac:dyDescent="0.35">
      <c r="A27" s="39">
        <v>4227</v>
      </c>
      <c r="B27" s="71">
        <v>10000</v>
      </c>
      <c r="C27" s="407">
        <f t="shared" si="1"/>
        <v>666.66666666666663</v>
      </c>
      <c r="D27" s="407">
        <f t="shared" si="0"/>
        <v>2666.6666666666665</v>
      </c>
      <c r="E27"/>
      <c r="F27"/>
      <c r="G27"/>
      <c r="H27"/>
      <c r="I27"/>
      <c r="J27"/>
      <c r="K27"/>
      <c r="L27"/>
      <c r="M27"/>
      <c r="N27"/>
      <c r="O27"/>
      <c r="P27"/>
      <c r="Q27"/>
      <c r="R27"/>
    </row>
    <row r="28" spans="1:18" x14ac:dyDescent="0.35">
      <c r="A28" s="105" t="s">
        <v>700</v>
      </c>
      <c r="B28" s="71">
        <v>10000</v>
      </c>
      <c r="C28" s="407"/>
      <c r="D28" s="407"/>
      <c r="E28"/>
      <c r="F28"/>
      <c r="G28"/>
      <c r="H28"/>
      <c r="I28"/>
      <c r="J28"/>
      <c r="K28"/>
      <c r="L28"/>
      <c r="M28"/>
      <c r="N28"/>
      <c r="O28"/>
      <c r="P28"/>
      <c r="Q28"/>
      <c r="R28"/>
    </row>
    <row r="29" spans="1:18" x14ac:dyDescent="0.35">
      <c r="A29" s="39">
        <v>4321</v>
      </c>
      <c r="B29" s="71">
        <v>1000</v>
      </c>
      <c r="C29" s="407">
        <f t="shared" si="1"/>
        <v>66.666666666666671</v>
      </c>
      <c r="D29" s="407">
        <f t="shared" si="0"/>
        <v>266.66666666666669</v>
      </c>
      <c r="E29"/>
      <c r="F29"/>
      <c r="G29"/>
      <c r="H29"/>
      <c r="I29"/>
      <c r="J29"/>
      <c r="K29"/>
      <c r="L29"/>
      <c r="M29"/>
      <c r="N29"/>
      <c r="O29"/>
      <c r="P29"/>
      <c r="Q29"/>
      <c r="R29"/>
    </row>
    <row r="30" spans="1:18" x14ac:dyDescent="0.35">
      <c r="A30" s="105" t="s">
        <v>676</v>
      </c>
      <c r="B30" s="71">
        <v>1000</v>
      </c>
      <c r="C30" s="407"/>
      <c r="D30" s="407"/>
      <c r="E30"/>
      <c r="F30"/>
      <c r="G30"/>
      <c r="H30"/>
      <c r="I30"/>
      <c r="J30"/>
      <c r="K30"/>
      <c r="L30"/>
      <c r="M30"/>
      <c r="N30"/>
      <c r="O30"/>
      <c r="P30"/>
      <c r="Q30"/>
      <c r="R30"/>
    </row>
    <row r="31" spans="1:18" x14ac:dyDescent="0.35">
      <c r="A31" s="39">
        <v>4383</v>
      </c>
      <c r="B31" s="71">
        <v>2000</v>
      </c>
      <c r="C31" s="407">
        <f t="shared" si="1"/>
        <v>133.33333333333334</v>
      </c>
      <c r="D31" s="407">
        <f t="shared" si="0"/>
        <v>533.33333333333337</v>
      </c>
      <c r="E31"/>
      <c r="F31"/>
      <c r="G31"/>
      <c r="H31"/>
      <c r="I31"/>
      <c r="J31"/>
      <c r="K31"/>
      <c r="L31"/>
      <c r="M31"/>
      <c r="N31"/>
      <c r="O31"/>
      <c r="P31"/>
      <c r="Q31"/>
      <c r="R31"/>
    </row>
    <row r="32" spans="1:18" x14ac:dyDescent="0.35">
      <c r="A32" s="105" t="s">
        <v>227</v>
      </c>
      <c r="B32" s="71">
        <v>2000</v>
      </c>
      <c r="C32" s="407"/>
      <c r="D32" s="407">
        <f t="shared" si="0"/>
        <v>0</v>
      </c>
      <c r="E32"/>
      <c r="F32"/>
      <c r="G32"/>
      <c r="H32"/>
      <c r="I32"/>
      <c r="J32"/>
      <c r="K32"/>
      <c r="L32"/>
      <c r="M32"/>
      <c r="N32"/>
      <c r="O32"/>
      <c r="P32"/>
      <c r="Q32"/>
      <c r="R32"/>
    </row>
    <row r="33" spans="1:18" x14ac:dyDescent="0.35">
      <c r="A33" s="39">
        <v>4417</v>
      </c>
      <c r="B33" s="71">
        <v>1500</v>
      </c>
      <c r="C33" s="407">
        <f t="shared" si="1"/>
        <v>100</v>
      </c>
      <c r="D33" s="407">
        <f t="shared" si="0"/>
        <v>400</v>
      </c>
      <c r="E33"/>
      <c r="F33"/>
      <c r="G33"/>
      <c r="H33"/>
      <c r="I33"/>
      <c r="J33"/>
      <c r="K33"/>
      <c r="L33"/>
      <c r="M33"/>
      <c r="N33"/>
      <c r="O33"/>
      <c r="P33"/>
      <c r="Q33"/>
      <c r="R33"/>
    </row>
    <row r="34" spans="1:18" x14ac:dyDescent="0.35">
      <c r="A34" s="105" t="s">
        <v>856</v>
      </c>
      <c r="B34" s="71">
        <v>1500</v>
      </c>
      <c r="C34" s="407"/>
      <c r="D34" s="407"/>
      <c r="E34"/>
      <c r="F34"/>
      <c r="G34"/>
      <c r="H34"/>
      <c r="I34"/>
      <c r="J34"/>
      <c r="K34"/>
      <c r="L34"/>
      <c r="M34"/>
      <c r="N34"/>
      <c r="O34"/>
      <c r="P34"/>
      <c r="Q34"/>
      <c r="R34"/>
    </row>
    <row r="35" spans="1:18" x14ac:dyDescent="0.35">
      <c r="A35" s="39">
        <v>4525</v>
      </c>
      <c r="B35" s="71">
        <v>2700</v>
      </c>
      <c r="C35" s="407">
        <f t="shared" si="1"/>
        <v>180</v>
      </c>
      <c r="D35" s="407">
        <f t="shared" si="0"/>
        <v>720</v>
      </c>
      <c r="E35"/>
      <c r="F35"/>
      <c r="G35"/>
      <c r="H35"/>
      <c r="I35"/>
      <c r="J35"/>
      <c r="K35"/>
      <c r="L35"/>
      <c r="M35"/>
      <c r="N35"/>
      <c r="O35"/>
      <c r="P35"/>
      <c r="Q35"/>
      <c r="R35"/>
    </row>
    <row r="36" spans="1:18" x14ac:dyDescent="0.35">
      <c r="A36" s="105" t="s">
        <v>355</v>
      </c>
      <c r="B36" s="71">
        <v>1500</v>
      </c>
      <c r="C36" s="407"/>
      <c r="D36" s="407"/>
      <c r="E36"/>
      <c r="F36"/>
      <c r="G36"/>
      <c r="H36"/>
      <c r="I36"/>
      <c r="J36"/>
      <c r="K36"/>
      <c r="L36"/>
      <c r="M36"/>
      <c r="N36"/>
      <c r="O36"/>
      <c r="P36"/>
      <c r="Q36"/>
      <c r="R36"/>
    </row>
    <row r="37" spans="1:18" x14ac:dyDescent="0.35">
      <c r="A37" s="105" t="s">
        <v>1185</v>
      </c>
      <c r="B37" s="71">
        <v>1200</v>
      </c>
      <c r="C37" s="407"/>
      <c r="D37" s="407"/>
      <c r="E37"/>
      <c r="F37"/>
      <c r="G37"/>
      <c r="H37"/>
      <c r="I37"/>
      <c r="J37"/>
      <c r="K37"/>
      <c r="L37"/>
      <c r="M37"/>
      <c r="N37"/>
      <c r="O37"/>
      <c r="P37"/>
      <c r="Q37"/>
      <c r="R37"/>
    </row>
    <row r="38" spans="1:18" x14ac:dyDescent="0.35">
      <c r="A38" s="39">
        <v>4547</v>
      </c>
      <c r="B38" s="71">
        <v>1300</v>
      </c>
      <c r="C38" s="407">
        <f t="shared" si="1"/>
        <v>86.666666666666671</v>
      </c>
      <c r="D38" s="407">
        <f t="shared" si="0"/>
        <v>346.66666666666669</v>
      </c>
      <c r="E38"/>
      <c r="F38"/>
      <c r="G38"/>
      <c r="H38"/>
      <c r="I38"/>
      <c r="J38"/>
      <c r="K38"/>
      <c r="L38"/>
      <c r="M38"/>
      <c r="N38"/>
      <c r="O38"/>
      <c r="P38"/>
      <c r="Q38"/>
      <c r="R38"/>
    </row>
    <row r="39" spans="1:18" x14ac:dyDescent="0.35">
      <c r="A39" s="105" t="s">
        <v>556</v>
      </c>
      <c r="B39" s="71">
        <v>600</v>
      </c>
      <c r="C39" s="407"/>
      <c r="D39" s="407"/>
      <c r="E39"/>
      <c r="F39"/>
      <c r="G39"/>
      <c r="H39"/>
      <c r="I39"/>
      <c r="J39"/>
      <c r="K39"/>
      <c r="L39"/>
      <c r="M39"/>
      <c r="N39"/>
      <c r="O39"/>
      <c r="P39"/>
      <c r="Q39"/>
      <c r="R39"/>
    </row>
    <row r="40" spans="1:18" x14ac:dyDescent="0.35">
      <c r="A40" s="105" t="s">
        <v>1039</v>
      </c>
      <c r="B40" s="71">
        <v>700</v>
      </c>
      <c r="C40" s="407"/>
      <c r="D40" s="407"/>
      <c r="E40"/>
      <c r="F40"/>
      <c r="G40"/>
      <c r="H40"/>
      <c r="I40"/>
      <c r="J40"/>
      <c r="K40"/>
      <c r="L40"/>
      <c r="M40"/>
      <c r="N40"/>
      <c r="O40"/>
      <c r="P40"/>
      <c r="Q40"/>
      <c r="R40"/>
    </row>
    <row r="41" spans="1:18" x14ac:dyDescent="0.35">
      <c r="A41" s="39">
        <v>4552</v>
      </c>
      <c r="B41" s="71">
        <v>3500</v>
      </c>
      <c r="C41" s="407">
        <f t="shared" si="1"/>
        <v>233.33333333333334</v>
      </c>
      <c r="D41" s="407">
        <f t="shared" si="0"/>
        <v>933.33333333333337</v>
      </c>
      <c r="E41"/>
      <c r="F41"/>
      <c r="G41"/>
      <c r="H41"/>
      <c r="I41"/>
      <c r="J41"/>
      <c r="K41"/>
      <c r="L41"/>
      <c r="M41"/>
      <c r="N41"/>
      <c r="O41"/>
      <c r="P41"/>
      <c r="Q41"/>
      <c r="R41"/>
    </row>
    <row r="42" spans="1:18" x14ac:dyDescent="0.35">
      <c r="A42" s="105" t="s">
        <v>563</v>
      </c>
      <c r="B42" s="71">
        <v>3500</v>
      </c>
      <c r="C42" s="407"/>
      <c r="D42" s="407"/>
      <c r="E42"/>
      <c r="F42"/>
      <c r="G42"/>
      <c r="H42"/>
      <c r="I42"/>
      <c r="J42"/>
      <c r="K42"/>
      <c r="L42"/>
      <c r="M42"/>
      <c r="N42"/>
      <c r="O42"/>
      <c r="P42"/>
      <c r="Q42"/>
      <c r="R42"/>
    </row>
    <row r="43" spans="1:18" x14ac:dyDescent="0.35">
      <c r="A43" s="39">
        <v>4553</v>
      </c>
      <c r="B43" s="71">
        <v>6100</v>
      </c>
      <c r="C43" s="407">
        <f t="shared" si="1"/>
        <v>406.66666666666669</v>
      </c>
      <c r="D43" s="407">
        <f t="shared" si="0"/>
        <v>1626.6666666666667</v>
      </c>
      <c r="E43"/>
      <c r="F43"/>
      <c r="G43"/>
      <c r="H43"/>
      <c r="I43"/>
      <c r="J43"/>
      <c r="K43"/>
      <c r="L43"/>
      <c r="M43"/>
      <c r="N43"/>
      <c r="O43"/>
      <c r="P43"/>
      <c r="Q43"/>
      <c r="R43"/>
    </row>
    <row r="44" spans="1:18" x14ac:dyDescent="0.35">
      <c r="A44" s="105" t="s">
        <v>698</v>
      </c>
      <c r="B44" s="71">
        <v>2700</v>
      </c>
      <c r="C44" s="407"/>
      <c r="D44" s="407"/>
      <c r="E44"/>
      <c r="F44"/>
      <c r="G44"/>
      <c r="H44"/>
      <c r="I44"/>
      <c r="J44"/>
      <c r="K44"/>
      <c r="L44"/>
      <c r="M44"/>
      <c r="N44"/>
      <c r="O44"/>
      <c r="P44"/>
      <c r="Q44"/>
      <c r="R44"/>
    </row>
    <row r="45" spans="1:18" x14ac:dyDescent="0.35">
      <c r="A45" s="105" t="s">
        <v>543</v>
      </c>
      <c r="B45" s="71">
        <v>3400</v>
      </c>
      <c r="C45" s="407"/>
      <c r="D45" s="407"/>
      <c r="E45"/>
      <c r="F45"/>
      <c r="G45"/>
      <c r="H45"/>
      <c r="I45"/>
      <c r="J45"/>
      <c r="K45"/>
      <c r="L45"/>
      <c r="M45"/>
      <c r="N45"/>
      <c r="O45"/>
      <c r="P45"/>
      <c r="Q45"/>
      <c r="R45"/>
    </row>
    <row r="46" spans="1:18" x14ac:dyDescent="0.35">
      <c r="A46" s="39">
        <v>4590</v>
      </c>
      <c r="B46" s="71">
        <v>30000</v>
      </c>
      <c r="C46" s="407">
        <f t="shared" si="1"/>
        <v>2000</v>
      </c>
      <c r="D46" s="407">
        <f t="shared" si="0"/>
        <v>8000</v>
      </c>
      <c r="E46"/>
      <c r="F46"/>
      <c r="G46"/>
      <c r="H46"/>
      <c r="I46"/>
      <c r="J46"/>
      <c r="K46"/>
      <c r="L46"/>
      <c r="M46"/>
      <c r="N46"/>
      <c r="O46"/>
      <c r="P46"/>
      <c r="Q46"/>
      <c r="R46"/>
    </row>
    <row r="47" spans="1:18" x14ac:dyDescent="0.35">
      <c r="A47" s="105" t="s">
        <v>614</v>
      </c>
      <c r="B47" s="71">
        <v>30000</v>
      </c>
      <c r="C47" s="407"/>
      <c r="D47" s="407"/>
      <c r="E47"/>
      <c r="F47"/>
      <c r="G47"/>
      <c r="H47"/>
      <c r="I47"/>
      <c r="J47"/>
      <c r="K47"/>
      <c r="L47"/>
      <c r="M47"/>
      <c r="N47"/>
      <c r="O47"/>
      <c r="P47"/>
      <c r="Q47"/>
      <c r="R47"/>
    </row>
    <row r="48" spans="1:18" x14ac:dyDescent="0.35">
      <c r="A48" s="39">
        <v>4627</v>
      </c>
      <c r="B48" s="71">
        <v>1300</v>
      </c>
      <c r="C48" s="407">
        <f t="shared" si="1"/>
        <v>86.666666666666671</v>
      </c>
      <c r="D48" s="407">
        <f t="shared" si="0"/>
        <v>346.66666666666669</v>
      </c>
      <c r="E48"/>
      <c r="F48"/>
      <c r="G48"/>
      <c r="H48"/>
      <c r="I48"/>
      <c r="J48"/>
      <c r="K48"/>
      <c r="L48"/>
      <c r="M48"/>
      <c r="N48"/>
      <c r="O48"/>
      <c r="P48"/>
      <c r="Q48"/>
      <c r="R48"/>
    </row>
    <row r="49" spans="1:18" x14ac:dyDescent="0.35">
      <c r="A49" s="105" t="s">
        <v>695</v>
      </c>
      <c r="B49" s="71">
        <v>800</v>
      </c>
      <c r="C49" s="407"/>
      <c r="D49" s="407"/>
      <c r="E49"/>
      <c r="F49"/>
      <c r="G49"/>
      <c r="H49"/>
      <c r="I49"/>
      <c r="J49"/>
      <c r="K49"/>
      <c r="L49"/>
      <c r="M49"/>
      <c r="N49"/>
      <c r="O49"/>
      <c r="P49"/>
      <c r="Q49"/>
      <c r="R49"/>
    </row>
    <row r="50" spans="1:18" x14ac:dyDescent="0.35">
      <c r="A50" s="105" t="s">
        <v>936</v>
      </c>
      <c r="B50" s="71">
        <v>500</v>
      </c>
      <c r="C50" s="407"/>
      <c r="D50" s="407"/>
      <c r="E50"/>
      <c r="F50"/>
      <c r="G50"/>
      <c r="H50"/>
      <c r="I50"/>
      <c r="J50"/>
      <c r="K50"/>
      <c r="L50"/>
      <c r="M50"/>
      <c r="N50"/>
      <c r="O50"/>
      <c r="P50"/>
      <c r="Q50"/>
      <c r="R50"/>
    </row>
    <row r="51" spans="1:18" x14ac:dyDescent="0.35">
      <c r="A51" s="39">
        <v>4628</v>
      </c>
      <c r="B51" s="71">
        <v>4800</v>
      </c>
      <c r="C51" s="407">
        <f t="shared" si="1"/>
        <v>320</v>
      </c>
      <c r="D51" s="407">
        <f t="shared" si="0"/>
        <v>1280</v>
      </c>
      <c r="E51"/>
      <c r="F51"/>
      <c r="G51"/>
      <c r="H51"/>
      <c r="I51"/>
      <c r="J51"/>
      <c r="K51"/>
      <c r="L51"/>
      <c r="M51"/>
      <c r="N51"/>
      <c r="O51"/>
      <c r="P51"/>
      <c r="Q51"/>
      <c r="R51"/>
    </row>
    <row r="52" spans="1:18" x14ac:dyDescent="0.35">
      <c r="A52" s="105" t="s">
        <v>670</v>
      </c>
      <c r="B52" s="71">
        <v>3700</v>
      </c>
      <c r="C52" s="407"/>
      <c r="D52" s="407"/>
      <c r="E52"/>
      <c r="F52"/>
      <c r="G52"/>
      <c r="H52"/>
      <c r="I52"/>
      <c r="J52"/>
      <c r="K52"/>
      <c r="L52"/>
      <c r="M52"/>
      <c r="N52"/>
      <c r="O52"/>
      <c r="P52"/>
      <c r="Q52"/>
      <c r="R52"/>
    </row>
    <row r="53" spans="1:18" x14ac:dyDescent="0.35">
      <c r="A53" s="105" t="s">
        <v>561</v>
      </c>
      <c r="B53" s="71">
        <v>1100</v>
      </c>
      <c r="C53" s="407"/>
      <c r="D53" s="407"/>
      <c r="E53"/>
      <c r="F53"/>
      <c r="G53"/>
      <c r="H53"/>
      <c r="I53"/>
      <c r="J53"/>
      <c r="K53"/>
      <c r="L53"/>
      <c r="M53"/>
      <c r="N53"/>
      <c r="O53"/>
      <c r="P53"/>
      <c r="Q53"/>
      <c r="R53"/>
    </row>
    <row r="54" spans="1:18" x14ac:dyDescent="0.35">
      <c r="A54" s="39">
        <v>4629</v>
      </c>
      <c r="B54" s="71">
        <v>2700</v>
      </c>
      <c r="C54" s="407">
        <f t="shared" si="1"/>
        <v>180</v>
      </c>
      <c r="D54" s="407">
        <f t="shared" si="0"/>
        <v>720</v>
      </c>
      <c r="E54"/>
      <c r="F54"/>
      <c r="G54"/>
      <c r="H54"/>
      <c r="I54"/>
      <c r="J54"/>
      <c r="K54"/>
      <c r="L54"/>
      <c r="M54"/>
      <c r="N54"/>
      <c r="O54"/>
      <c r="P54"/>
      <c r="Q54"/>
      <c r="R54"/>
    </row>
    <row r="55" spans="1:18" x14ac:dyDescent="0.35">
      <c r="A55" s="105" t="s">
        <v>675</v>
      </c>
      <c r="B55" s="71">
        <v>2000</v>
      </c>
      <c r="C55" s="407"/>
      <c r="D55" s="407"/>
      <c r="E55"/>
      <c r="F55"/>
      <c r="G55"/>
      <c r="H55"/>
      <c r="I55"/>
      <c r="J55"/>
      <c r="K55"/>
      <c r="L55"/>
      <c r="M55"/>
      <c r="N55"/>
      <c r="O55"/>
      <c r="P55"/>
      <c r="Q55"/>
      <c r="R55"/>
    </row>
    <row r="56" spans="1:18" x14ac:dyDescent="0.35">
      <c r="A56" s="105" t="s">
        <v>633</v>
      </c>
      <c r="B56" s="71">
        <v>100</v>
      </c>
      <c r="C56" s="407"/>
      <c r="D56" s="407"/>
      <c r="E56"/>
      <c r="F56"/>
      <c r="G56"/>
      <c r="H56"/>
      <c r="I56"/>
      <c r="J56"/>
      <c r="K56"/>
      <c r="L56"/>
      <c r="M56"/>
      <c r="N56"/>
      <c r="O56"/>
      <c r="P56"/>
      <c r="Q56"/>
      <c r="R56"/>
    </row>
    <row r="57" spans="1:18" x14ac:dyDescent="0.35">
      <c r="A57" s="105" t="s">
        <v>938</v>
      </c>
      <c r="B57" s="71">
        <v>600</v>
      </c>
      <c r="C57" s="407"/>
      <c r="D57" s="407"/>
      <c r="E57"/>
      <c r="F57"/>
      <c r="G57"/>
      <c r="H57"/>
      <c r="I57"/>
      <c r="J57"/>
      <c r="K57"/>
      <c r="L57"/>
      <c r="M57"/>
      <c r="N57"/>
      <c r="O57"/>
      <c r="P57"/>
      <c r="Q57"/>
      <c r="R57"/>
    </row>
    <row r="58" spans="1:18" x14ac:dyDescent="0.35">
      <c r="A58" s="39">
        <v>4630</v>
      </c>
      <c r="B58" s="71">
        <v>1000</v>
      </c>
      <c r="C58" s="407">
        <f t="shared" si="1"/>
        <v>66.666666666666671</v>
      </c>
      <c r="D58" s="407">
        <f t="shared" si="0"/>
        <v>266.66666666666669</v>
      </c>
      <c r="E58"/>
      <c r="F58"/>
      <c r="G58"/>
      <c r="H58"/>
      <c r="I58"/>
      <c r="J58"/>
      <c r="K58"/>
      <c r="L58"/>
      <c r="M58"/>
      <c r="N58"/>
      <c r="O58"/>
      <c r="P58"/>
      <c r="Q58"/>
      <c r="R58"/>
    </row>
    <row r="59" spans="1:18" x14ac:dyDescent="0.35">
      <c r="A59" s="105" t="s">
        <v>1116</v>
      </c>
      <c r="B59" s="71">
        <v>1000</v>
      </c>
      <c r="C59" s="407"/>
      <c r="D59" s="407"/>
      <c r="E59"/>
      <c r="F59"/>
      <c r="G59"/>
      <c r="H59"/>
      <c r="I59"/>
      <c r="J59"/>
      <c r="K59"/>
      <c r="L59"/>
      <c r="M59"/>
      <c r="N59"/>
      <c r="O59"/>
      <c r="P59"/>
      <c r="Q59"/>
      <c r="R59"/>
    </row>
    <row r="60" spans="1:18" x14ac:dyDescent="0.35">
      <c r="A60" s="39">
        <v>4632</v>
      </c>
      <c r="B60" s="71">
        <v>3000</v>
      </c>
      <c r="C60" s="407">
        <f t="shared" si="1"/>
        <v>200</v>
      </c>
      <c r="D60" s="407">
        <f t="shared" si="0"/>
        <v>800</v>
      </c>
      <c r="E60"/>
      <c r="F60"/>
      <c r="G60"/>
      <c r="H60"/>
      <c r="I60"/>
      <c r="J60"/>
      <c r="K60"/>
      <c r="L60"/>
      <c r="M60"/>
      <c r="N60"/>
      <c r="O60"/>
      <c r="P60"/>
      <c r="Q60"/>
      <c r="R60"/>
    </row>
    <row r="61" spans="1:18" x14ac:dyDescent="0.35">
      <c r="A61" s="105" t="s">
        <v>723</v>
      </c>
      <c r="B61" s="71">
        <v>3000</v>
      </c>
      <c r="C61" s="407"/>
      <c r="D61" s="407"/>
      <c r="E61"/>
      <c r="F61"/>
      <c r="G61"/>
      <c r="H61"/>
      <c r="I61"/>
      <c r="J61"/>
      <c r="K61"/>
      <c r="L61"/>
      <c r="M61"/>
      <c r="N61"/>
      <c r="O61"/>
      <c r="P61"/>
      <c r="Q61"/>
      <c r="R61"/>
    </row>
    <row r="62" spans="1:18" x14ac:dyDescent="0.35">
      <c r="A62" s="39">
        <v>4635</v>
      </c>
      <c r="B62" s="71">
        <v>21200</v>
      </c>
      <c r="C62" s="407">
        <f t="shared" si="1"/>
        <v>1413.3333333333333</v>
      </c>
      <c r="D62" s="407">
        <f t="shared" si="0"/>
        <v>5653.333333333333</v>
      </c>
      <c r="E62"/>
      <c r="F62"/>
      <c r="G62"/>
      <c r="H62"/>
      <c r="I62"/>
      <c r="J62"/>
      <c r="K62"/>
      <c r="L62"/>
      <c r="M62"/>
      <c r="N62"/>
      <c r="O62"/>
      <c r="P62"/>
      <c r="Q62"/>
      <c r="R62"/>
    </row>
    <row r="63" spans="1:18" x14ac:dyDescent="0.35">
      <c r="A63" s="105" t="s">
        <v>506</v>
      </c>
      <c r="B63" s="71">
        <v>500</v>
      </c>
      <c r="C63" s="407"/>
      <c r="D63" s="407"/>
      <c r="E63"/>
      <c r="F63"/>
      <c r="G63"/>
      <c r="H63"/>
      <c r="I63"/>
      <c r="J63"/>
      <c r="K63"/>
      <c r="L63"/>
      <c r="M63"/>
      <c r="N63"/>
      <c r="O63"/>
      <c r="P63"/>
      <c r="Q63"/>
      <c r="R63"/>
    </row>
    <row r="64" spans="1:18" x14ac:dyDescent="0.35">
      <c r="A64" s="105" t="s">
        <v>509</v>
      </c>
      <c r="B64" s="71">
        <v>15000</v>
      </c>
      <c r="C64" s="407"/>
      <c r="D64" s="407"/>
      <c r="E64"/>
      <c r="F64"/>
      <c r="G64"/>
      <c r="H64"/>
      <c r="I64"/>
      <c r="J64"/>
      <c r="K64"/>
      <c r="L64"/>
      <c r="M64"/>
      <c r="N64"/>
      <c r="O64"/>
      <c r="P64"/>
      <c r="Q64"/>
      <c r="R64"/>
    </row>
    <row r="65" spans="1:18" x14ac:dyDescent="0.35">
      <c r="A65" s="105" t="s">
        <v>768</v>
      </c>
      <c r="B65" s="71">
        <v>3000</v>
      </c>
      <c r="C65" s="407"/>
      <c r="D65" s="407"/>
      <c r="E65"/>
      <c r="F65"/>
      <c r="G65"/>
      <c r="H65"/>
      <c r="I65"/>
      <c r="J65"/>
      <c r="K65"/>
      <c r="L65"/>
      <c r="M65"/>
      <c r="N65"/>
      <c r="O65"/>
      <c r="P65"/>
      <c r="Q65"/>
      <c r="R65"/>
    </row>
    <row r="66" spans="1:18" x14ac:dyDescent="0.35">
      <c r="A66" s="105" t="s">
        <v>1094</v>
      </c>
      <c r="B66" s="71">
        <v>2700</v>
      </c>
      <c r="C66" s="407"/>
      <c r="D66" s="407"/>
      <c r="E66"/>
      <c r="F66"/>
      <c r="G66"/>
      <c r="H66"/>
      <c r="I66"/>
      <c r="J66"/>
      <c r="K66"/>
      <c r="L66"/>
      <c r="M66"/>
      <c r="N66"/>
      <c r="O66"/>
      <c r="P66"/>
      <c r="Q66"/>
      <c r="R66"/>
    </row>
    <row r="67" spans="1:18" x14ac:dyDescent="0.35">
      <c r="A67" s="39">
        <v>4636</v>
      </c>
      <c r="B67" s="71">
        <v>6000</v>
      </c>
      <c r="C67" s="407">
        <f t="shared" si="1"/>
        <v>400</v>
      </c>
      <c r="D67" s="407">
        <f t="shared" si="0"/>
        <v>1600</v>
      </c>
      <c r="E67"/>
      <c r="F67"/>
      <c r="G67"/>
      <c r="H67"/>
      <c r="I67"/>
      <c r="J67"/>
      <c r="K67"/>
      <c r="L67"/>
      <c r="M67"/>
      <c r="N67"/>
      <c r="O67"/>
      <c r="P67"/>
      <c r="Q67"/>
      <c r="R67"/>
    </row>
    <row r="68" spans="1:18" x14ac:dyDescent="0.35">
      <c r="A68" s="105" t="s">
        <v>674</v>
      </c>
      <c r="B68" s="71">
        <v>3000</v>
      </c>
      <c r="C68" s="407"/>
      <c r="D68" s="407"/>
      <c r="E68"/>
      <c r="F68"/>
      <c r="G68"/>
      <c r="H68"/>
      <c r="I68"/>
      <c r="J68"/>
      <c r="K68"/>
      <c r="L68"/>
      <c r="M68"/>
      <c r="N68"/>
      <c r="O68"/>
      <c r="P68"/>
      <c r="Q68"/>
      <c r="R68"/>
    </row>
    <row r="69" spans="1:18" x14ac:dyDescent="0.35">
      <c r="A69" s="105" t="s">
        <v>632</v>
      </c>
      <c r="B69" s="71">
        <v>100</v>
      </c>
      <c r="C69" s="407"/>
      <c r="D69" s="407"/>
      <c r="E69"/>
      <c r="F69"/>
      <c r="G69"/>
      <c r="H69"/>
      <c r="I69"/>
      <c r="J69"/>
      <c r="K69"/>
      <c r="L69"/>
      <c r="M69"/>
      <c r="N69"/>
      <c r="O69"/>
      <c r="P69"/>
      <c r="Q69"/>
      <c r="R69"/>
    </row>
    <row r="70" spans="1:18" x14ac:dyDescent="0.35">
      <c r="A70" s="105" t="s">
        <v>937</v>
      </c>
      <c r="B70" s="71">
        <v>2400</v>
      </c>
      <c r="C70" s="407"/>
      <c r="D70" s="407"/>
      <c r="E70"/>
      <c r="F70"/>
      <c r="G70"/>
      <c r="H70"/>
      <c r="I70"/>
      <c r="J70"/>
      <c r="K70"/>
      <c r="L70"/>
      <c r="M70"/>
      <c r="N70"/>
      <c r="O70"/>
      <c r="P70"/>
      <c r="Q70"/>
      <c r="R70"/>
    </row>
    <row r="71" spans="1:18" x14ac:dyDescent="0.35">
      <c r="A71" s="105" t="s">
        <v>1201</v>
      </c>
      <c r="B71" s="71">
        <v>500</v>
      </c>
      <c r="C71" s="407"/>
      <c r="D71" s="407"/>
      <c r="E71"/>
      <c r="F71"/>
      <c r="G71"/>
      <c r="H71"/>
      <c r="I71"/>
      <c r="J71"/>
      <c r="K71"/>
      <c r="L71"/>
      <c r="M71"/>
      <c r="N71"/>
      <c r="O71"/>
      <c r="P71"/>
      <c r="Q71"/>
      <c r="R71"/>
    </row>
    <row r="72" spans="1:18" x14ac:dyDescent="0.35">
      <c r="A72" s="39">
        <v>4638</v>
      </c>
      <c r="B72" s="71">
        <v>3800</v>
      </c>
      <c r="C72" s="407">
        <f t="shared" si="1"/>
        <v>253.33333333333334</v>
      </c>
      <c r="D72" s="407">
        <f t="shared" si="0"/>
        <v>1013.3333333333334</v>
      </c>
      <c r="E72"/>
      <c r="F72"/>
      <c r="G72"/>
      <c r="H72"/>
      <c r="I72"/>
      <c r="J72"/>
      <c r="K72"/>
      <c r="L72"/>
      <c r="M72"/>
      <c r="N72"/>
      <c r="O72"/>
      <c r="P72"/>
      <c r="Q72"/>
      <c r="R72"/>
    </row>
    <row r="73" spans="1:18" x14ac:dyDescent="0.35">
      <c r="A73" s="105" t="s">
        <v>555</v>
      </c>
      <c r="B73" s="71">
        <v>2500</v>
      </c>
      <c r="C73" s="407"/>
      <c r="D73" s="407"/>
      <c r="E73"/>
      <c r="F73"/>
      <c r="G73"/>
      <c r="H73"/>
      <c r="I73"/>
      <c r="J73"/>
      <c r="K73"/>
      <c r="L73"/>
      <c r="M73"/>
      <c r="N73"/>
      <c r="O73"/>
      <c r="P73"/>
      <c r="Q73"/>
      <c r="R73"/>
    </row>
    <row r="74" spans="1:18" x14ac:dyDescent="0.35">
      <c r="A74" s="105" t="s">
        <v>563</v>
      </c>
      <c r="B74" s="71">
        <v>100</v>
      </c>
      <c r="C74" s="407"/>
      <c r="D74" s="407"/>
      <c r="E74"/>
      <c r="F74"/>
      <c r="G74"/>
      <c r="H74"/>
      <c r="I74"/>
      <c r="J74"/>
      <c r="K74"/>
      <c r="L74"/>
      <c r="M74"/>
      <c r="N74"/>
      <c r="O74"/>
      <c r="P74"/>
      <c r="Q74"/>
      <c r="R74"/>
    </row>
    <row r="75" spans="1:18" x14ac:dyDescent="0.35">
      <c r="A75" s="105" t="s">
        <v>941</v>
      </c>
      <c r="B75" s="71">
        <v>1200</v>
      </c>
      <c r="C75" s="407"/>
      <c r="D75" s="407"/>
      <c r="E75"/>
      <c r="F75"/>
      <c r="G75"/>
      <c r="H75"/>
      <c r="I75"/>
      <c r="J75"/>
      <c r="K75"/>
      <c r="L75"/>
      <c r="M75"/>
      <c r="N75"/>
      <c r="O75"/>
      <c r="P75"/>
      <c r="Q75"/>
      <c r="R75"/>
    </row>
    <row r="76" spans="1:18" x14ac:dyDescent="0.35">
      <c r="A76" s="39">
        <v>4642</v>
      </c>
      <c r="B76" s="71">
        <v>18700</v>
      </c>
      <c r="C76" s="407">
        <f t="shared" ref="C76:C134" si="2">B76/15</f>
        <v>1246.6666666666667</v>
      </c>
      <c r="D76" s="407">
        <f t="shared" ref="D76:D134" si="3">C76*4</f>
        <v>4986.666666666667</v>
      </c>
      <c r="E76"/>
      <c r="F76"/>
      <c r="G76"/>
      <c r="H76"/>
      <c r="I76"/>
      <c r="J76"/>
      <c r="K76"/>
      <c r="L76"/>
      <c r="M76"/>
      <c r="N76"/>
      <c r="O76"/>
      <c r="P76"/>
      <c r="Q76"/>
      <c r="R76"/>
    </row>
    <row r="77" spans="1:18" x14ac:dyDescent="0.35">
      <c r="A77" s="105" t="s">
        <v>719</v>
      </c>
      <c r="B77" s="71">
        <v>5000</v>
      </c>
      <c r="C77" s="407"/>
      <c r="D77" s="407"/>
      <c r="E77"/>
      <c r="F77"/>
      <c r="G77"/>
      <c r="H77"/>
      <c r="I77"/>
      <c r="J77"/>
      <c r="K77"/>
      <c r="L77"/>
      <c r="M77"/>
      <c r="N77"/>
      <c r="O77"/>
      <c r="P77"/>
      <c r="Q77"/>
      <c r="R77"/>
    </row>
    <row r="78" spans="1:18" x14ac:dyDescent="0.35">
      <c r="A78" s="105" t="s">
        <v>789</v>
      </c>
      <c r="B78" s="71">
        <v>3700</v>
      </c>
      <c r="C78" s="407"/>
      <c r="D78" s="407"/>
      <c r="E78"/>
      <c r="F78"/>
      <c r="G78"/>
      <c r="H78"/>
      <c r="I78"/>
      <c r="J78"/>
      <c r="K78"/>
      <c r="L78"/>
      <c r="M78"/>
      <c r="N78"/>
      <c r="O78"/>
      <c r="P78"/>
      <c r="Q78"/>
      <c r="R78"/>
    </row>
    <row r="79" spans="1:18" x14ac:dyDescent="0.35">
      <c r="A79" s="105" t="s">
        <v>637</v>
      </c>
      <c r="B79" s="71">
        <v>4000</v>
      </c>
      <c r="C79" s="407"/>
      <c r="D79" s="407"/>
      <c r="E79"/>
      <c r="F79"/>
      <c r="G79"/>
      <c r="H79"/>
      <c r="I79"/>
      <c r="J79"/>
      <c r="K79"/>
      <c r="L79"/>
      <c r="M79"/>
      <c r="N79"/>
      <c r="O79"/>
      <c r="P79"/>
      <c r="Q79"/>
      <c r="R79"/>
    </row>
    <row r="80" spans="1:18" x14ac:dyDescent="0.35">
      <c r="A80" s="105" t="s">
        <v>861</v>
      </c>
      <c r="B80" s="71">
        <v>6000</v>
      </c>
      <c r="C80" s="407"/>
      <c r="D80" s="407"/>
      <c r="E80"/>
      <c r="F80"/>
      <c r="G80"/>
      <c r="H80"/>
      <c r="I80"/>
      <c r="J80"/>
      <c r="K80"/>
      <c r="L80"/>
      <c r="M80"/>
      <c r="N80"/>
      <c r="O80"/>
      <c r="P80"/>
      <c r="Q80"/>
      <c r="R80"/>
    </row>
    <row r="81" spans="1:18" x14ac:dyDescent="0.35">
      <c r="A81" s="39">
        <v>4653</v>
      </c>
      <c r="B81" s="71">
        <v>9500</v>
      </c>
      <c r="C81" s="407">
        <f t="shared" si="2"/>
        <v>633.33333333333337</v>
      </c>
      <c r="D81" s="407">
        <f t="shared" si="3"/>
        <v>2533.3333333333335</v>
      </c>
      <c r="E81"/>
      <c r="F81"/>
      <c r="G81"/>
      <c r="H81"/>
      <c r="I81"/>
      <c r="J81"/>
      <c r="K81"/>
      <c r="L81"/>
      <c r="M81"/>
      <c r="N81"/>
      <c r="O81"/>
      <c r="P81"/>
      <c r="Q81"/>
      <c r="R81"/>
    </row>
    <row r="82" spans="1:18" x14ac:dyDescent="0.35">
      <c r="A82" s="105" t="s">
        <v>673</v>
      </c>
      <c r="B82" s="71">
        <v>4000</v>
      </c>
      <c r="C82" s="407"/>
      <c r="D82" s="407"/>
      <c r="E82"/>
      <c r="F82"/>
      <c r="G82"/>
      <c r="H82"/>
      <c r="I82"/>
      <c r="J82"/>
      <c r="K82"/>
      <c r="L82"/>
      <c r="M82"/>
      <c r="N82"/>
      <c r="O82"/>
      <c r="P82"/>
      <c r="Q82"/>
      <c r="R82"/>
    </row>
    <row r="83" spans="1:18" x14ac:dyDescent="0.35">
      <c r="A83" s="105" t="s">
        <v>562</v>
      </c>
      <c r="B83" s="71">
        <v>5500</v>
      </c>
      <c r="C83" s="407"/>
      <c r="D83" s="407"/>
      <c r="E83"/>
      <c r="F83"/>
      <c r="G83"/>
      <c r="H83"/>
      <c r="I83"/>
      <c r="J83"/>
      <c r="K83"/>
      <c r="L83"/>
      <c r="M83"/>
      <c r="N83"/>
      <c r="O83"/>
      <c r="P83"/>
      <c r="Q83"/>
      <c r="R83"/>
    </row>
    <row r="84" spans="1:18" x14ac:dyDescent="0.35">
      <c r="A84" s="39">
        <v>4656</v>
      </c>
      <c r="B84" s="71">
        <v>600</v>
      </c>
      <c r="C84" s="407">
        <f t="shared" si="2"/>
        <v>40</v>
      </c>
      <c r="D84" s="407">
        <f t="shared" si="3"/>
        <v>160</v>
      </c>
      <c r="E84"/>
      <c r="F84"/>
      <c r="G84"/>
      <c r="H84"/>
      <c r="I84"/>
      <c r="J84"/>
      <c r="K84"/>
      <c r="L84"/>
      <c r="M84"/>
      <c r="N84"/>
      <c r="O84"/>
      <c r="P84"/>
      <c r="Q84"/>
      <c r="R84"/>
    </row>
    <row r="85" spans="1:18" x14ac:dyDescent="0.35">
      <c r="A85" s="105" t="s">
        <v>1246</v>
      </c>
      <c r="B85" s="71">
        <v>600</v>
      </c>
      <c r="C85" s="407"/>
      <c r="D85" s="407"/>
      <c r="E85"/>
      <c r="F85"/>
      <c r="G85"/>
      <c r="H85"/>
      <c r="I85"/>
      <c r="J85"/>
      <c r="K85"/>
      <c r="L85"/>
      <c r="M85"/>
      <c r="N85"/>
      <c r="O85"/>
      <c r="P85"/>
      <c r="Q85"/>
      <c r="R85"/>
    </row>
    <row r="86" spans="1:18" x14ac:dyDescent="0.35">
      <c r="A86" s="39">
        <v>4658</v>
      </c>
      <c r="B86" s="71">
        <v>800</v>
      </c>
      <c r="C86" s="407">
        <f t="shared" si="2"/>
        <v>53.333333333333336</v>
      </c>
      <c r="D86" s="407">
        <f t="shared" si="3"/>
        <v>213.33333333333334</v>
      </c>
      <c r="E86"/>
      <c r="F86"/>
      <c r="G86"/>
      <c r="H86"/>
      <c r="I86"/>
      <c r="J86"/>
      <c r="K86"/>
      <c r="L86"/>
      <c r="M86"/>
      <c r="N86"/>
      <c r="O86"/>
      <c r="P86"/>
      <c r="Q86"/>
      <c r="R86"/>
    </row>
    <row r="87" spans="1:18" x14ac:dyDescent="0.35">
      <c r="A87" s="105" t="s">
        <v>553</v>
      </c>
      <c r="B87" s="71">
        <v>800</v>
      </c>
      <c r="C87" s="407"/>
      <c r="D87" s="407"/>
      <c r="E87"/>
      <c r="F87"/>
      <c r="G87"/>
      <c r="H87"/>
      <c r="I87"/>
      <c r="J87"/>
      <c r="K87"/>
      <c r="L87"/>
      <c r="M87"/>
      <c r="N87"/>
      <c r="O87"/>
      <c r="P87"/>
      <c r="Q87"/>
      <c r="R87"/>
    </row>
    <row r="88" spans="1:18" x14ac:dyDescent="0.35">
      <c r="A88" s="39">
        <v>4660</v>
      </c>
      <c r="B88" s="71">
        <v>4400</v>
      </c>
      <c r="C88" s="407">
        <f t="shared" si="2"/>
        <v>293.33333333333331</v>
      </c>
      <c r="D88" s="407">
        <f t="shared" si="3"/>
        <v>1173.3333333333333</v>
      </c>
      <c r="E88"/>
      <c r="F88"/>
      <c r="G88"/>
      <c r="H88"/>
      <c r="I88"/>
      <c r="J88"/>
      <c r="K88"/>
      <c r="L88"/>
      <c r="M88"/>
      <c r="N88"/>
      <c r="O88"/>
      <c r="P88"/>
      <c r="Q88"/>
      <c r="R88"/>
    </row>
    <row r="89" spans="1:18" x14ac:dyDescent="0.35">
      <c r="A89" s="105" t="s">
        <v>694</v>
      </c>
      <c r="B89" s="71">
        <v>1500</v>
      </c>
      <c r="C89" s="407"/>
      <c r="D89" s="407"/>
      <c r="E89"/>
      <c r="F89"/>
      <c r="G89"/>
      <c r="H89"/>
      <c r="I89"/>
      <c r="J89"/>
      <c r="K89"/>
      <c r="L89"/>
      <c r="M89"/>
      <c r="N89"/>
      <c r="O89"/>
      <c r="P89"/>
      <c r="Q89"/>
      <c r="R89"/>
    </row>
    <row r="90" spans="1:18" x14ac:dyDescent="0.35">
      <c r="A90" s="105" t="s">
        <v>804</v>
      </c>
      <c r="B90" s="71">
        <v>1800</v>
      </c>
      <c r="C90" s="407"/>
      <c r="D90" s="407"/>
      <c r="E90"/>
      <c r="F90"/>
      <c r="G90"/>
      <c r="H90"/>
      <c r="I90"/>
      <c r="J90"/>
      <c r="K90"/>
      <c r="L90"/>
      <c r="M90"/>
      <c r="N90"/>
      <c r="O90"/>
      <c r="P90"/>
      <c r="Q90"/>
      <c r="R90"/>
    </row>
    <row r="91" spans="1:18" x14ac:dyDescent="0.35">
      <c r="A91" s="105" t="s">
        <v>942</v>
      </c>
      <c r="B91" s="71">
        <v>1100</v>
      </c>
      <c r="C91" s="407"/>
      <c r="D91" s="407"/>
      <c r="E91"/>
      <c r="F91"/>
      <c r="G91"/>
      <c r="H91"/>
      <c r="I91"/>
      <c r="J91"/>
      <c r="K91"/>
      <c r="L91"/>
      <c r="M91"/>
      <c r="N91"/>
      <c r="O91"/>
      <c r="P91"/>
      <c r="Q91"/>
      <c r="R91"/>
    </row>
    <row r="92" spans="1:18" x14ac:dyDescent="0.35">
      <c r="A92" s="39">
        <v>4661</v>
      </c>
      <c r="B92" s="71">
        <v>2100</v>
      </c>
      <c r="C92" s="407">
        <f t="shared" si="2"/>
        <v>140</v>
      </c>
      <c r="D92" s="407">
        <f t="shared" si="3"/>
        <v>560</v>
      </c>
      <c r="E92"/>
      <c r="F92"/>
      <c r="G92"/>
      <c r="H92"/>
      <c r="I92"/>
      <c r="J92"/>
      <c r="K92"/>
      <c r="L92"/>
      <c r="M92"/>
      <c r="N92"/>
      <c r="O92"/>
      <c r="P92"/>
      <c r="Q92"/>
      <c r="R92"/>
    </row>
    <row r="93" spans="1:18" x14ac:dyDescent="0.35">
      <c r="A93" s="105" t="s">
        <v>559</v>
      </c>
      <c r="B93" s="71">
        <v>100</v>
      </c>
      <c r="C93" s="407"/>
      <c r="D93" s="407"/>
      <c r="E93"/>
      <c r="F93"/>
      <c r="G93"/>
      <c r="H93"/>
      <c r="I93"/>
      <c r="J93"/>
      <c r="K93"/>
      <c r="L93"/>
      <c r="M93"/>
      <c r="N93"/>
      <c r="O93"/>
      <c r="P93"/>
      <c r="Q93"/>
      <c r="R93"/>
    </row>
    <row r="94" spans="1:18" x14ac:dyDescent="0.35">
      <c r="A94" s="105" t="s">
        <v>1005</v>
      </c>
      <c r="B94" s="71">
        <v>2000</v>
      </c>
      <c r="C94" s="407"/>
      <c r="D94" s="407"/>
      <c r="E94"/>
      <c r="F94"/>
      <c r="G94"/>
      <c r="H94"/>
      <c r="I94"/>
      <c r="J94"/>
      <c r="K94"/>
      <c r="L94"/>
      <c r="M94"/>
      <c r="N94"/>
      <c r="O94"/>
      <c r="P94"/>
      <c r="Q94"/>
      <c r="R94"/>
    </row>
    <row r="95" spans="1:18" x14ac:dyDescent="0.35">
      <c r="A95" s="39">
        <v>4663</v>
      </c>
      <c r="B95" s="71">
        <v>8000</v>
      </c>
      <c r="C95" s="407">
        <f t="shared" si="2"/>
        <v>533.33333333333337</v>
      </c>
      <c r="D95" s="407">
        <f t="shared" si="3"/>
        <v>2133.3333333333335</v>
      </c>
      <c r="E95"/>
      <c r="F95"/>
      <c r="G95"/>
      <c r="H95"/>
      <c r="I95"/>
      <c r="J95"/>
      <c r="K95"/>
      <c r="L95"/>
      <c r="M95"/>
      <c r="N95"/>
      <c r="O95"/>
      <c r="P95"/>
      <c r="Q95"/>
      <c r="R95"/>
    </row>
    <row r="96" spans="1:18" x14ac:dyDescent="0.35">
      <c r="A96" s="105" t="s">
        <v>558</v>
      </c>
      <c r="B96" s="71">
        <v>2000</v>
      </c>
      <c r="C96" s="407"/>
      <c r="D96" s="407"/>
      <c r="E96"/>
      <c r="F96"/>
      <c r="G96"/>
      <c r="H96"/>
      <c r="I96"/>
      <c r="J96"/>
      <c r="K96"/>
      <c r="L96"/>
      <c r="M96"/>
      <c r="N96"/>
      <c r="O96"/>
      <c r="P96"/>
      <c r="Q96"/>
      <c r="R96"/>
    </row>
    <row r="97" spans="1:18" x14ac:dyDescent="0.35">
      <c r="A97" s="105" t="s">
        <v>1002</v>
      </c>
      <c r="B97" s="71">
        <v>5000</v>
      </c>
      <c r="C97" s="407"/>
      <c r="D97" s="407"/>
      <c r="E97"/>
      <c r="F97"/>
      <c r="G97"/>
      <c r="H97"/>
      <c r="I97"/>
      <c r="J97"/>
      <c r="K97"/>
      <c r="L97"/>
      <c r="M97"/>
      <c r="N97"/>
      <c r="O97"/>
      <c r="P97"/>
      <c r="Q97"/>
      <c r="R97"/>
    </row>
    <row r="98" spans="1:18" x14ac:dyDescent="0.35">
      <c r="A98" s="105" t="s">
        <v>1047</v>
      </c>
      <c r="B98" s="71">
        <v>1000</v>
      </c>
      <c r="C98" s="407"/>
      <c r="D98" s="407"/>
      <c r="E98"/>
      <c r="F98"/>
      <c r="G98"/>
      <c r="H98"/>
      <c r="I98"/>
      <c r="J98"/>
      <c r="K98"/>
      <c r="L98"/>
      <c r="M98"/>
      <c r="N98"/>
      <c r="O98"/>
      <c r="P98"/>
      <c r="Q98"/>
      <c r="R98"/>
    </row>
    <row r="99" spans="1:18" x14ac:dyDescent="0.35">
      <c r="A99" s="39">
        <v>4664</v>
      </c>
      <c r="B99" s="71">
        <v>2000</v>
      </c>
      <c r="C99" s="407">
        <f t="shared" si="2"/>
        <v>133.33333333333334</v>
      </c>
      <c r="D99" s="407">
        <f t="shared" si="3"/>
        <v>533.33333333333337</v>
      </c>
      <c r="E99"/>
      <c r="F99"/>
      <c r="G99"/>
      <c r="H99"/>
      <c r="I99"/>
      <c r="J99"/>
      <c r="K99"/>
      <c r="L99"/>
      <c r="M99"/>
      <c r="N99"/>
      <c r="O99"/>
      <c r="P99"/>
      <c r="Q99"/>
      <c r="R99"/>
    </row>
    <row r="100" spans="1:18" x14ac:dyDescent="0.35">
      <c r="A100" s="105" t="s">
        <v>935</v>
      </c>
      <c r="B100" s="71">
        <v>2000</v>
      </c>
      <c r="C100" s="407"/>
      <c r="D100" s="407"/>
      <c r="E100"/>
      <c r="F100"/>
      <c r="G100"/>
      <c r="H100"/>
      <c r="I100"/>
      <c r="J100"/>
      <c r="K100"/>
      <c r="L100"/>
      <c r="M100"/>
      <c r="N100"/>
      <c r="O100"/>
      <c r="P100"/>
      <c r="Q100"/>
      <c r="R100"/>
    </row>
    <row r="101" spans="1:18" x14ac:dyDescent="0.35">
      <c r="A101" s="39">
        <v>4668</v>
      </c>
      <c r="B101" s="71">
        <v>2900</v>
      </c>
      <c r="C101" s="407">
        <f t="shared" si="2"/>
        <v>193.33333333333334</v>
      </c>
      <c r="D101" s="407">
        <f t="shared" si="3"/>
        <v>773.33333333333337</v>
      </c>
      <c r="E101"/>
      <c r="F101"/>
      <c r="G101"/>
      <c r="H101"/>
      <c r="I101"/>
      <c r="J101"/>
      <c r="K101"/>
      <c r="L101"/>
      <c r="M101"/>
      <c r="N101"/>
      <c r="O101"/>
      <c r="P101"/>
      <c r="Q101"/>
      <c r="R101"/>
    </row>
    <row r="102" spans="1:18" x14ac:dyDescent="0.35">
      <c r="A102" s="105" t="s">
        <v>692</v>
      </c>
      <c r="B102" s="71">
        <v>800</v>
      </c>
      <c r="C102" s="407"/>
      <c r="D102" s="407"/>
      <c r="E102"/>
      <c r="F102"/>
      <c r="G102"/>
      <c r="H102"/>
      <c r="I102"/>
      <c r="J102"/>
      <c r="K102"/>
      <c r="L102"/>
      <c r="M102"/>
      <c r="N102"/>
      <c r="O102"/>
      <c r="P102"/>
      <c r="Q102"/>
      <c r="R102"/>
    </row>
    <row r="103" spans="1:18" x14ac:dyDescent="0.35">
      <c r="A103" s="105" t="s">
        <v>560</v>
      </c>
      <c r="B103" s="71">
        <v>2100</v>
      </c>
      <c r="C103" s="407"/>
      <c r="D103" s="407"/>
      <c r="E103"/>
      <c r="F103"/>
      <c r="G103"/>
      <c r="H103"/>
      <c r="I103"/>
      <c r="J103"/>
      <c r="K103"/>
      <c r="L103"/>
      <c r="M103"/>
      <c r="N103"/>
      <c r="O103"/>
      <c r="P103"/>
      <c r="Q103"/>
      <c r="R103"/>
    </row>
    <row r="104" spans="1:18" x14ac:dyDescent="0.35">
      <c r="A104" s="39">
        <v>4669</v>
      </c>
      <c r="B104" s="71">
        <v>3600</v>
      </c>
      <c r="C104" s="407">
        <f t="shared" si="2"/>
        <v>240</v>
      </c>
      <c r="D104" s="407">
        <f t="shared" si="3"/>
        <v>960</v>
      </c>
      <c r="E104"/>
      <c r="F104"/>
      <c r="G104"/>
      <c r="H104"/>
      <c r="I104"/>
      <c r="J104"/>
      <c r="K104"/>
      <c r="L104"/>
      <c r="M104"/>
      <c r="N104"/>
      <c r="O104"/>
      <c r="P104"/>
      <c r="Q104"/>
      <c r="R104"/>
    </row>
    <row r="105" spans="1:18" x14ac:dyDescent="0.35">
      <c r="A105" s="105" t="s">
        <v>697</v>
      </c>
      <c r="B105" s="71">
        <v>500</v>
      </c>
      <c r="C105" s="407"/>
      <c r="D105" s="407"/>
      <c r="E105"/>
      <c r="F105"/>
      <c r="G105"/>
      <c r="H105"/>
      <c r="I105"/>
      <c r="J105"/>
      <c r="K105"/>
      <c r="L105"/>
      <c r="M105"/>
      <c r="N105"/>
      <c r="O105"/>
      <c r="P105"/>
      <c r="Q105"/>
      <c r="R105"/>
    </row>
    <row r="106" spans="1:18" x14ac:dyDescent="0.35">
      <c r="A106" s="105" t="s">
        <v>557</v>
      </c>
      <c r="B106" s="71">
        <v>500</v>
      </c>
      <c r="C106" s="407"/>
      <c r="D106" s="407"/>
      <c r="E106"/>
      <c r="F106"/>
      <c r="G106"/>
      <c r="H106"/>
      <c r="I106"/>
      <c r="J106"/>
      <c r="K106"/>
      <c r="L106"/>
      <c r="M106"/>
      <c r="N106"/>
      <c r="O106"/>
      <c r="P106"/>
      <c r="Q106"/>
      <c r="R106"/>
    </row>
    <row r="107" spans="1:18" x14ac:dyDescent="0.35">
      <c r="A107" s="105" t="s">
        <v>934</v>
      </c>
      <c r="B107" s="71">
        <v>600</v>
      </c>
      <c r="C107" s="407"/>
      <c r="D107" s="407"/>
      <c r="E107"/>
      <c r="F107"/>
      <c r="G107"/>
      <c r="H107"/>
      <c r="I107"/>
      <c r="J107"/>
      <c r="K107"/>
      <c r="L107"/>
      <c r="M107"/>
      <c r="N107"/>
      <c r="O107"/>
      <c r="P107"/>
      <c r="Q107"/>
      <c r="R107"/>
    </row>
    <row r="108" spans="1:18" x14ac:dyDescent="0.35">
      <c r="A108" s="105" t="s">
        <v>1037</v>
      </c>
      <c r="B108" s="71">
        <v>2000</v>
      </c>
      <c r="C108" s="407"/>
      <c r="D108" s="407"/>
      <c r="E108"/>
      <c r="F108"/>
      <c r="G108"/>
      <c r="H108"/>
      <c r="I108"/>
      <c r="J108"/>
      <c r="K108"/>
      <c r="L108"/>
      <c r="M108"/>
      <c r="N108"/>
      <c r="O108"/>
      <c r="P108"/>
      <c r="Q108"/>
      <c r="R108"/>
    </row>
    <row r="109" spans="1:18" x14ac:dyDescent="0.35">
      <c r="A109" s="39">
        <v>4671</v>
      </c>
      <c r="B109" s="71">
        <v>1200</v>
      </c>
      <c r="C109" s="407">
        <f t="shared" si="2"/>
        <v>80</v>
      </c>
      <c r="D109" s="407">
        <f t="shared" si="3"/>
        <v>320</v>
      </c>
      <c r="E109"/>
      <c r="F109"/>
      <c r="G109"/>
      <c r="H109"/>
      <c r="I109"/>
      <c r="J109"/>
      <c r="K109"/>
      <c r="L109"/>
      <c r="M109"/>
      <c r="N109"/>
      <c r="O109"/>
      <c r="P109"/>
      <c r="Q109"/>
      <c r="R109"/>
    </row>
    <row r="110" spans="1:18" x14ac:dyDescent="0.35">
      <c r="A110" s="105" t="s">
        <v>552</v>
      </c>
      <c r="B110" s="71">
        <v>1200</v>
      </c>
      <c r="C110" s="407"/>
      <c r="D110" s="407"/>
      <c r="E110"/>
      <c r="F110"/>
      <c r="G110"/>
      <c r="H110"/>
      <c r="I110"/>
      <c r="J110"/>
      <c r="K110"/>
      <c r="L110"/>
      <c r="M110"/>
      <c r="N110"/>
      <c r="O110"/>
      <c r="P110"/>
      <c r="Q110"/>
      <c r="R110"/>
    </row>
    <row r="111" spans="1:18" x14ac:dyDescent="0.35">
      <c r="A111" s="39">
        <v>4672</v>
      </c>
      <c r="B111" s="71">
        <v>4000</v>
      </c>
      <c r="C111" s="407">
        <f t="shared" si="2"/>
        <v>266.66666666666669</v>
      </c>
      <c r="D111" s="407">
        <f t="shared" si="3"/>
        <v>1066.6666666666667</v>
      </c>
      <c r="E111"/>
      <c r="F111"/>
      <c r="G111"/>
      <c r="H111"/>
      <c r="I111"/>
      <c r="J111"/>
      <c r="K111"/>
      <c r="L111"/>
      <c r="M111"/>
      <c r="N111"/>
      <c r="O111"/>
      <c r="P111"/>
      <c r="Q111"/>
      <c r="R111"/>
    </row>
    <row r="112" spans="1:18" x14ac:dyDescent="0.35">
      <c r="A112" s="105" t="s">
        <v>836</v>
      </c>
      <c r="B112" s="71">
        <v>4000</v>
      </c>
      <c r="C112" s="407"/>
      <c r="D112" s="407"/>
      <c r="E112"/>
      <c r="F112"/>
      <c r="G112"/>
      <c r="H112"/>
      <c r="I112"/>
      <c r="J112"/>
      <c r="K112"/>
      <c r="L112"/>
      <c r="M112"/>
      <c r="N112"/>
      <c r="O112"/>
      <c r="P112"/>
      <c r="Q112"/>
      <c r="R112"/>
    </row>
    <row r="113" spans="1:18" x14ac:dyDescent="0.35">
      <c r="A113" s="39">
        <v>4673</v>
      </c>
      <c r="B113" s="71">
        <v>2600</v>
      </c>
      <c r="C113" s="407">
        <f t="shared" si="2"/>
        <v>173.33333333333334</v>
      </c>
      <c r="D113" s="407">
        <f t="shared" si="3"/>
        <v>693.33333333333337</v>
      </c>
      <c r="E113"/>
      <c r="F113"/>
      <c r="G113"/>
      <c r="H113"/>
      <c r="I113"/>
      <c r="J113"/>
      <c r="K113"/>
      <c r="L113"/>
      <c r="M113"/>
      <c r="N113"/>
      <c r="O113"/>
      <c r="P113"/>
      <c r="Q113"/>
      <c r="R113"/>
    </row>
    <row r="114" spans="1:18" x14ac:dyDescent="0.35">
      <c r="A114" s="105" t="s">
        <v>550</v>
      </c>
      <c r="B114" s="71">
        <v>2600</v>
      </c>
      <c r="C114" s="407"/>
      <c r="D114" s="407"/>
      <c r="E114"/>
      <c r="F114"/>
      <c r="G114"/>
      <c r="H114"/>
      <c r="I114"/>
      <c r="J114"/>
      <c r="K114"/>
      <c r="L114"/>
      <c r="M114"/>
      <c r="N114"/>
      <c r="O114"/>
      <c r="P114"/>
      <c r="Q114"/>
      <c r="R114"/>
    </row>
    <row r="115" spans="1:18" x14ac:dyDescent="0.35">
      <c r="A115" s="39">
        <v>4699</v>
      </c>
      <c r="B115" s="71">
        <v>300</v>
      </c>
      <c r="C115" s="407">
        <f t="shared" si="2"/>
        <v>20</v>
      </c>
      <c r="D115" s="407">
        <f t="shared" si="3"/>
        <v>80</v>
      </c>
      <c r="E115"/>
      <c r="F115"/>
      <c r="G115"/>
      <c r="H115"/>
      <c r="I115"/>
      <c r="J115"/>
      <c r="K115"/>
      <c r="L115"/>
      <c r="M115"/>
      <c r="N115"/>
      <c r="O115"/>
      <c r="P115"/>
      <c r="Q115"/>
      <c r="R115"/>
    </row>
    <row r="116" spans="1:18" x14ac:dyDescent="0.35">
      <c r="A116" s="105" t="s">
        <v>405</v>
      </c>
      <c r="B116" s="71">
        <v>300</v>
      </c>
      <c r="C116" s="407"/>
      <c r="D116" s="407"/>
      <c r="E116"/>
      <c r="F116"/>
      <c r="G116"/>
      <c r="H116"/>
      <c r="I116"/>
      <c r="J116"/>
      <c r="K116"/>
      <c r="L116"/>
      <c r="M116"/>
      <c r="N116"/>
      <c r="O116"/>
      <c r="P116"/>
      <c r="Q116"/>
      <c r="R116"/>
    </row>
    <row r="117" spans="1:18" x14ac:dyDescent="0.35">
      <c r="A117" s="39">
        <v>4700</v>
      </c>
      <c r="B117" s="71">
        <v>300</v>
      </c>
      <c r="C117" s="407">
        <f t="shared" si="2"/>
        <v>20</v>
      </c>
      <c r="D117" s="407">
        <f t="shared" si="3"/>
        <v>80</v>
      </c>
      <c r="E117"/>
      <c r="F117"/>
      <c r="G117"/>
      <c r="H117"/>
      <c r="I117"/>
      <c r="J117"/>
      <c r="K117"/>
      <c r="L117"/>
      <c r="M117"/>
      <c r="N117"/>
      <c r="O117"/>
      <c r="P117"/>
      <c r="Q117"/>
      <c r="R117"/>
    </row>
    <row r="118" spans="1:18" x14ac:dyDescent="0.35">
      <c r="A118" s="105" t="s">
        <v>465</v>
      </c>
      <c r="B118" s="71">
        <v>300</v>
      </c>
      <c r="C118" s="407"/>
      <c r="D118" s="407"/>
      <c r="E118"/>
      <c r="F118"/>
      <c r="G118"/>
      <c r="H118"/>
      <c r="I118"/>
      <c r="J118"/>
      <c r="K118"/>
      <c r="L118"/>
      <c r="M118"/>
      <c r="N118"/>
      <c r="O118"/>
      <c r="P118"/>
      <c r="Q118"/>
      <c r="R118"/>
    </row>
    <row r="119" spans="1:18" x14ac:dyDescent="0.35">
      <c r="A119" s="39">
        <v>4701</v>
      </c>
      <c r="B119" s="71">
        <v>300</v>
      </c>
      <c r="C119" s="407">
        <f t="shared" si="2"/>
        <v>20</v>
      </c>
      <c r="D119" s="407">
        <f t="shared" si="3"/>
        <v>80</v>
      </c>
      <c r="E119"/>
      <c r="F119"/>
      <c r="G119"/>
      <c r="H119"/>
      <c r="I119"/>
      <c r="J119"/>
      <c r="K119"/>
      <c r="L119"/>
      <c r="M119"/>
      <c r="N119"/>
      <c r="O119"/>
      <c r="P119"/>
      <c r="Q119"/>
      <c r="R119"/>
    </row>
    <row r="120" spans="1:18" x14ac:dyDescent="0.35">
      <c r="A120" s="105" t="s">
        <v>421</v>
      </c>
      <c r="B120" s="71">
        <v>300</v>
      </c>
      <c r="C120" s="407"/>
      <c r="D120" s="407"/>
      <c r="E120"/>
      <c r="F120"/>
      <c r="G120"/>
      <c r="H120"/>
      <c r="I120"/>
      <c r="J120"/>
      <c r="K120"/>
      <c r="L120"/>
      <c r="M120"/>
      <c r="N120"/>
      <c r="O120"/>
      <c r="P120"/>
      <c r="Q120"/>
      <c r="R120"/>
    </row>
    <row r="121" spans="1:18" x14ac:dyDescent="0.35">
      <c r="A121" s="39">
        <v>4702</v>
      </c>
      <c r="B121" s="71">
        <v>300</v>
      </c>
      <c r="C121" s="407">
        <f t="shared" si="2"/>
        <v>20</v>
      </c>
      <c r="D121" s="407">
        <f t="shared" si="3"/>
        <v>80</v>
      </c>
      <c r="E121"/>
      <c r="F121"/>
      <c r="G121"/>
      <c r="H121"/>
      <c r="I121"/>
      <c r="J121"/>
      <c r="K121"/>
      <c r="L121"/>
      <c r="M121"/>
      <c r="N121"/>
      <c r="O121"/>
      <c r="P121"/>
      <c r="Q121"/>
      <c r="R121"/>
    </row>
    <row r="122" spans="1:18" x14ac:dyDescent="0.35">
      <c r="A122" s="105" t="s">
        <v>422</v>
      </c>
      <c r="B122" s="71">
        <v>300</v>
      </c>
      <c r="C122" s="407"/>
      <c r="D122" s="407"/>
      <c r="E122"/>
      <c r="F122"/>
      <c r="G122"/>
      <c r="H122"/>
      <c r="I122"/>
      <c r="J122"/>
      <c r="K122"/>
      <c r="L122"/>
      <c r="M122"/>
      <c r="N122"/>
      <c r="O122"/>
      <c r="P122"/>
      <c r="Q122"/>
      <c r="R122"/>
    </row>
    <row r="123" spans="1:18" x14ac:dyDescent="0.35">
      <c r="A123" s="39">
        <v>4724</v>
      </c>
      <c r="B123" s="71">
        <v>1600</v>
      </c>
      <c r="C123" s="407">
        <f t="shared" si="2"/>
        <v>106.66666666666667</v>
      </c>
      <c r="D123" s="407">
        <f t="shared" si="3"/>
        <v>426.66666666666669</v>
      </c>
      <c r="E123"/>
      <c r="F123"/>
      <c r="G123"/>
      <c r="H123"/>
      <c r="I123"/>
      <c r="J123"/>
      <c r="K123"/>
      <c r="L123"/>
      <c r="M123"/>
      <c r="N123"/>
      <c r="O123"/>
      <c r="P123"/>
      <c r="Q123"/>
      <c r="R123"/>
    </row>
    <row r="124" spans="1:18" x14ac:dyDescent="0.35">
      <c r="A124" s="105" t="s">
        <v>696</v>
      </c>
      <c r="B124" s="71">
        <v>1500</v>
      </c>
      <c r="C124" s="407"/>
      <c r="D124" s="407"/>
      <c r="E124"/>
      <c r="F124"/>
      <c r="G124"/>
      <c r="H124"/>
      <c r="I124"/>
      <c r="J124"/>
      <c r="K124"/>
      <c r="L124"/>
      <c r="M124"/>
      <c r="N124"/>
      <c r="O124"/>
      <c r="P124"/>
      <c r="Q124"/>
      <c r="R124"/>
    </row>
    <row r="125" spans="1:18" x14ac:dyDescent="0.35">
      <c r="A125" s="105" t="s">
        <v>631</v>
      </c>
      <c r="B125" s="71">
        <v>100</v>
      </c>
      <c r="C125" s="407"/>
      <c r="D125" s="407"/>
      <c r="E125"/>
      <c r="F125"/>
      <c r="G125"/>
      <c r="H125"/>
      <c r="I125"/>
      <c r="J125"/>
      <c r="K125"/>
      <c r="L125"/>
      <c r="M125"/>
      <c r="N125"/>
      <c r="O125"/>
      <c r="P125"/>
      <c r="Q125"/>
      <c r="R125"/>
    </row>
    <row r="126" spans="1:18" x14ac:dyDescent="0.35">
      <c r="A126" s="39">
        <v>4725</v>
      </c>
      <c r="B126" s="71">
        <v>3100</v>
      </c>
      <c r="C126" s="407">
        <f t="shared" si="2"/>
        <v>206.66666666666666</v>
      </c>
      <c r="D126" s="407">
        <f t="shared" si="3"/>
        <v>826.66666666666663</v>
      </c>
      <c r="E126"/>
      <c r="F126"/>
      <c r="G126"/>
      <c r="H126"/>
      <c r="I126"/>
      <c r="J126"/>
      <c r="K126"/>
      <c r="L126"/>
      <c r="M126"/>
      <c r="N126"/>
      <c r="O126"/>
      <c r="P126"/>
      <c r="Q126"/>
      <c r="R126"/>
    </row>
    <row r="127" spans="1:18" x14ac:dyDescent="0.35">
      <c r="A127" s="105" t="s">
        <v>671</v>
      </c>
      <c r="B127" s="71">
        <v>3000</v>
      </c>
      <c r="C127" s="407"/>
      <c r="D127" s="407"/>
      <c r="E127"/>
      <c r="F127"/>
      <c r="G127"/>
      <c r="H127"/>
      <c r="I127"/>
      <c r="J127"/>
      <c r="K127"/>
      <c r="L127"/>
      <c r="M127"/>
      <c r="N127"/>
      <c r="O127"/>
      <c r="P127"/>
      <c r="Q127"/>
      <c r="R127"/>
    </row>
    <row r="128" spans="1:18" x14ac:dyDescent="0.35">
      <c r="A128" s="105" t="s">
        <v>636</v>
      </c>
      <c r="B128" s="71">
        <v>100</v>
      </c>
      <c r="C128" s="407"/>
      <c r="D128" s="407"/>
      <c r="E128"/>
      <c r="F128"/>
      <c r="G128"/>
      <c r="H128"/>
      <c r="I128"/>
      <c r="J128"/>
      <c r="K128"/>
      <c r="L128"/>
      <c r="M128"/>
      <c r="N128"/>
      <c r="O128"/>
      <c r="P128"/>
      <c r="Q128"/>
      <c r="R128"/>
    </row>
    <row r="129" spans="1:18" x14ac:dyDescent="0.35">
      <c r="A129" s="39">
        <v>4726</v>
      </c>
      <c r="B129" s="71">
        <v>7700</v>
      </c>
      <c r="C129" s="407">
        <f t="shared" si="2"/>
        <v>513.33333333333337</v>
      </c>
      <c r="D129" s="407">
        <f t="shared" si="3"/>
        <v>2053.3333333333335</v>
      </c>
      <c r="E129"/>
      <c r="F129"/>
      <c r="G129"/>
      <c r="H129"/>
      <c r="I129"/>
      <c r="J129"/>
      <c r="K129"/>
      <c r="L129"/>
      <c r="M129"/>
      <c r="N129"/>
      <c r="O129"/>
      <c r="P129"/>
      <c r="Q129"/>
      <c r="R129"/>
    </row>
    <row r="130" spans="1:18" x14ac:dyDescent="0.35">
      <c r="A130" s="105" t="s">
        <v>691</v>
      </c>
      <c r="B130" s="71">
        <v>3300</v>
      </c>
      <c r="C130" s="407"/>
      <c r="D130" s="407"/>
      <c r="E130"/>
      <c r="F130"/>
      <c r="G130"/>
      <c r="H130"/>
      <c r="I130"/>
      <c r="J130"/>
      <c r="K130"/>
      <c r="L130"/>
      <c r="M130"/>
      <c r="N130"/>
      <c r="O130"/>
      <c r="P130"/>
      <c r="Q130"/>
      <c r="R130"/>
    </row>
    <row r="131" spans="1:18" x14ac:dyDescent="0.35">
      <c r="A131" s="105" t="s">
        <v>634</v>
      </c>
      <c r="B131" s="71">
        <v>100</v>
      </c>
      <c r="C131" s="407"/>
      <c r="D131" s="407"/>
      <c r="E131"/>
      <c r="F131"/>
      <c r="G131"/>
      <c r="H131"/>
      <c r="I131"/>
      <c r="J131"/>
      <c r="K131"/>
      <c r="L131"/>
      <c r="M131"/>
      <c r="N131"/>
      <c r="O131"/>
      <c r="P131"/>
      <c r="Q131"/>
      <c r="R131"/>
    </row>
    <row r="132" spans="1:18" x14ac:dyDescent="0.35">
      <c r="A132" s="105" t="s">
        <v>939</v>
      </c>
      <c r="B132" s="71">
        <v>1000</v>
      </c>
      <c r="C132" s="407"/>
      <c r="D132" s="407"/>
      <c r="E132"/>
      <c r="F132"/>
      <c r="G132"/>
      <c r="H132"/>
      <c r="I132"/>
      <c r="J132"/>
      <c r="K132"/>
      <c r="L132"/>
      <c r="M132"/>
      <c r="N132"/>
      <c r="O132"/>
      <c r="P132"/>
      <c r="Q132"/>
      <c r="R132"/>
    </row>
    <row r="133" spans="1:18" x14ac:dyDescent="0.35">
      <c r="A133" s="105" t="s">
        <v>998</v>
      </c>
      <c r="B133" s="71">
        <v>3300</v>
      </c>
      <c r="C133" s="407"/>
      <c r="D133" s="407"/>
      <c r="E133"/>
      <c r="F133"/>
      <c r="G133"/>
      <c r="H133"/>
      <c r="I133"/>
      <c r="J133"/>
      <c r="K133"/>
      <c r="L133"/>
      <c r="M133"/>
      <c r="N133"/>
      <c r="O133"/>
      <c r="P133"/>
      <c r="Q133"/>
      <c r="R133"/>
    </row>
    <row r="134" spans="1:18" x14ac:dyDescent="0.35">
      <c r="A134" s="39">
        <v>4727</v>
      </c>
      <c r="B134" s="71">
        <v>5800</v>
      </c>
      <c r="C134" s="407">
        <f t="shared" si="2"/>
        <v>386.66666666666669</v>
      </c>
      <c r="D134" s="407">
        <f t="shared" si="3"/>
        <v>1546.6666666666667</v>
      </c>
      <c r="E134"/>
      <c r="F134"/>
      <c r="G134"/>
      <c r="H134"/>
      <c r="I134"/>
      <c r="J134"/>
      <c r="K134"/>
      <c r="L134"/>
      <c r="M134"/>
      <c r="N134"/>
      <c r="O134"/>
      <c r="P134"/>
      <c r="Q134"/>
      <c r="R134"/>
    </row>
    <row r="135" spans="1:18" x14ac:dyDescent="0.35">
      <c r="A135" s="105" t="s">
        <v>554</v>
      </c>
      <c r="B135" s="71">
        <v>200</v>
      </c>
      <c r="C135" s="407"/>
      <c r="D135" s="407"/>
      <c r="E135"/>
      <c r="F135"/>
      <c r="G135"/>
      <c r="H135"/>
      <c r="I135"/>
      <c r="J135"/>
      <c r="K135"/>
      <c r="L135"/>
      <c r="M135"/>
      <c r="N135"/>
      <c r="O135"/>
      <c r="P135"/>
      <c r="Q135"/>
      <c r="R135"/>
    </row>
    <row r="136" spans="1:18" x14ac:dyDescent="0.35">
      <c r="A136" s="105" t="s">
        <v>933</v>
      </c>
      <c r="B136" s="71">
        <v>1600</v>
      </c>
      <c r="C136" s="407"/>
      <c r="D136" s="407"/>
      <c r="E136"/>
      <c r="F136"/>
      <c r="G136"/>
      <c r="H136"/>
      <c r="I136"/>
      <c r="J136"/>
      <c r="K136"/>
      <c r="L136"/>
      <c r="M136"/>
      <c r="N136"/>
      <c r="O136"/>
      <c r="P136"/>
      <c r="Q136"/>
      <c r="R136"/>
    </row>
    <row r="137" spans="1:18" x14ac:dyDescent="0.35">
      <c r="A137" s="105" t="s">
        <v>1038</v>
      </c>
      <c r="B137" s="71">
        <v>4000</v>
      </c>
      <c r="C137" s="407"/>
      <c r="D137" s="407"/>
      <c r="E137"/>
      <c r="F137"/>
      <c r="G137"/>
      <c r="H137"/>
      <c r="I137"/>
      <c r="J137"/>
      <c r="K137"/>
      <c r="L137"/>
      <c r="M137"/>
      <c r="N137"/>
      <c r="O137"/>
      <c r="P137"/>
      <c r="Q137"/>
      <c r="R137"/>
    </row>
    <row r="138" spans="1:18" x14ac:dyDescent="0.35">
      <c r="A138" s="39">
        <v>4731</v>
      </c>
      <c r="B138" s="71">
        <v>2000</v>
      </c>
      <c r="C138" s="407">
        <f>B138/15</f>
        <v>133.33333333333334</v>
      </c>
      <c r="D138" s="407">
        <f t="shared" ref="D138:D199" si="4">C138*4</f>
        <v>533.33333333333337</v>
      </c>
      <c r="E138"/>
      <c r="F138"/>
      <c r="G138"/>
      <c r="H138"/>
      <c r="I138"/>
      <c r="J138"/>
      <c r="K138"/>
      <c r="L138"/>
      <c r="M138"/>
      <c r="N138"/>
      <c r="O138"/>
      <c r="P138"/>
      <c r="Q138"/>
      <c r="R138"/>
    </row>
    <row r="139" spans="1:18" x14ac:dyDescent="0.35">
      <c r="A139" s="105" t="s">
        <v>494</v>
      </c>
      <c r="B139" s="71">
        <v>2000</v>
      </c>
      <c r="C139" s="407"/>
      <c r="D139" s="407"/>
      <c r="E139"/>
      <c r="F139"/>
      <c r="G139"/>
      <c r="H139"/>
      <c r="I139"/>
      <c r="J139"/>
      <c r="K139"/>
      <c r="L139"/>
      <c r="M139"/>
      <c r="N139"/>
      <c r="O139"/>
      <c r="P139"/>
      <c r="Q139"/>
      <c r="R139"/>
    </row>
    <row r="140" spans="1:18" x14ac:dyDescent="0.35">
      <c r="A140" s="39">
        <v>4757</v>
      </c>
      <c r="B140" s="71">
        <v>800</v>
      </c>
      <c r="C140" s="407">
        <f>B140/15</f>
        <v>53.333333333333336</v>
      </c>
      <c r="D140" s="407">
        <f t="shared" si="4"/>
        <v>213.33333333333334</v>
      </c>
      <c r="E140"/>
      <c r="F140"/>
      <c r="G140"/>
      <c r="H140"/>
      <c r="I140"/>
      <c r="J140"/>
      <c r="K140"/>
      <c r="L140"/>
      <c r="M140"/>
      <c r="N140"/>
      <c r="O140"/>
      <c r="P140"/>
      <c r="Q140"/>
      <c r="R140"/>
    </row>
    <row r="141" spans="1:18" x14ac:dyDescent="0.35">
      <c r="A141" s="105" t="s">
        <v>993</v>
      </c>
      <c r="B141" s="71">
        <v>800</v>
      </c>
      <c r="C141" s="407"/>
      <c r="D141" s="407"/>
      <c r="E141"/>
      <c r="F141"/>
      <c r="G141"/>
      <c r="H141"/>
      <c r="I141"/>
      <c r="J141"/>
      <c r="K141"/>
      <c r="L141"/>
      <c r="M141"/>
      <c r="N141"/>
      <c r="O141"/>
      <c r="P141"/>
      <c r="Q141"/>
      <c r="R141"/>
    </row>
    <row r="142" spans="1:18" x14ac:dyDescent="0.35">
      <c r="A142" s="39">
        <v>4759</v>
      </c>
      <c r="B142" s="71">
        <v>4800</v>
      </c>
      <c r="C142" s="407">
        <f>B142/15</f>
        <v>320</v>
      </c>
      <c r="D142" s="407">
        <f t="shared" si="4"/>
        <v>1280</v>
      </c>
      <c r="E142"/>
      <c r="F142"/>
      <c r="G142"/>
      <c r="H142"/>
      <c r="I142"/>
      <c r="J142"/>
      <c r="K142"/>
      <c r="L142"/>
      <c r="M142"/>
      <c r="N142"/>
      <c r="O142"/>
      <c r="P142"/>
      <c r="Q142"/>
      <c r="R142"/>
    </row>
    <row r="143" spans="1:18" x14ac:dyDescent="0.35">
      <c r="A143" s="105" t="s">
        <v>503</v>
      </c>
      <c r="B143" s="71">
        <v>2300</v>
      </c>
      <c r="C143" s="407"/>
      <c r="D143" s="407"/>
      <c r="E143"/>
      <c r="F143"/>
      <c r="G143"/>
      <c r="H143"/>
      <c r="I143"/>
      <c r="J143"/>
      <c r="K143"/>
      <c r="L143"/>
      <c r="M143"/>
      <c r="N143"/>
      <c r="O143"/>
      <c r="P143"/>
      <c r="Q143"/>
      <c r="R143"/>
    </row>
    <row r="144" spans="1:18" x14ac:dyDescent="0.35">
      <c r="A144" s="105" t="s">
        <v>1167</v>
      </c>
      <c r="B144" s="71">
        <v>2500</v>
      </c>
      <c r="C144" s="407"/>
      <c r="D144" s="407"/>
      <c r="E144"/>
      <c r="F144"/>
      <c r="G144"/>
      <c r="H144"/>
      <c r="I144"/>
      <c r="J144"/>
      <c r="K144"/>
      <c r="L144"/>
      <c r="M144"/>
      <c r="N144"/>
      <c r="O144"/>
      <c r="P144"/>
      <c r="Q144"/>
      <c r="R144"/>
    </row>
    <row r="145" spans="1:18" x14ac:dyDescent="0.35">
      <c r="A145" s="39">
        <v>4762</v>
      </c>
      <c r="B145" s="71">
        <v>1700</v>
      </c>
      <c r="C145" s="407">
        <f>B145/15</f>
        <v>113.33333333333333</v>
      </c>
      <c r="D145" s="407">
        <f t="shared" si="4"/>
        <v>453.33333333333331</v>
      </c>
      <c r="E145"/>
      <c r="F145"/>
      <c r="G145"/>
      <c r="H145"/>
      <c r="I145"/>
      <c r="J145"/>
      <c r="K145"/>
      <c r="L145"/>
      <c r="M145"/>
      <c r="N145"/>
      <c r="O145"/>
      <c r="P145"/>
      <c r="Q145"/>
      <c r="R145"/>
    </row>
    <row r="146" spans="1:18" x14ac:dyDescent="0.35">
      <c r="A146" s="105" t="s">
        <v>504</v>
      </c>
      <c r="B146" s="71">
        <v>1700</v>
      </c>
      <c r="C146" s="407"/>
      <c r="D146" s="407"/>
      <c r="E146"/>
      <c r="F146"/>
      <c r="G146"/>
      <c r="H146"/>
      <c r="I146"/>
      <c r="J146"/>
      <c r="K146"/>
      <c r="L146"/>
      <c r="M146"/>
      <c r="N146"/>
      <c r="O146"/>
      <c r="P146"/>
      <c r="Q146"/>
      <c r="R146"/>
    </row>
    <row r="147" spans="1:18" x14ac:dyDescent="0.35">
      <c r="A147" s="39">
        <v>4786</v>
      </c>
      <c r="B147" s="71">
        <v>4600</v>
      </c>
      <c r="C147" s="407">
        <f>B147/15</f>
        <v>306.66666666666669</v>
      </c>
      <c r="D147" s="407">
        <f t="shared" si="4"/>
        <v>1226.6666666666667</v>
      </c>
      <c r="E147"/>
      <c r="F147"/>
      <c r="G147"/>
      <c r="H147"/>
      <c r="I147"/>
      <c r="J147"/>
      <c r="K147"/>
      <c r="L147"/>
      <c r="M147"/>
      <c r="N147"/>
      <c r="O147"/>
      <c r="P147"/>
      <c r="Q147"/>
      <c r="R147"/>
    </row>
    <row r="148" spans="1:18" x14ac:dyDescent="0.35">
      <c r="A148" s="105" t="s">
        <v>761</v>
      </c>
      <c r="B148" s="71">
        <v>4600</v>
      </c>
      <c r="C148" s="407"/>
      <c r="D148" s="407"/>
      <c r="E148"/>
      <c r="F148"/>
      <c r="G148"/>
      <c r="H148"/>
      <c r="I148"/>
      <c r="J148"/>
      <c r="K148"/>
      <c r="L148"/>
      <c r="M148"/>
      <c r="N148"/>
      <c r="O148"/>
      <c r="P148"/>
      <c r="Q148"/>
      <c r="R148"/>
    </row>
    <row r="149" spans="1:18" x14ac:dyDescent="0.35">
      <c r="A149" s="39">
        <v>4800</v>
      </c>
      <c r="B149" s="71">
        <v>5800</v>
      </c>
      <c r="C149" s="407">
        <f>B149/15</f>
        <v>386.66666666666669</v>
      </c>
      <c r="D149" s="407">
        <f t="shared" si="4"/>
        <v>1546.6666666666667</v>
      </c>
      <c r="E149"/>
      <c r="F149"/>
      <c r="G149"/>
      <c r="H149"/>
      <c r="I149"/>
      <c r="J149"/>
      <c r="K149"/>
      <c r="L149"/>
      <c r="M149"/>
      <c r="N149"/>
      <c r="O149"/>
      <c r="P149"/>
      <c r="Q149"/>
      <c r="R149"/>
    </row>
    <row r="150" spans="1:18" x14ac:dyDescent="0.35">
      <c r="A150" s="105" t="s">
        <v>725</v>
      </c>
      <c r="B150" s="71">
        <v>5800</v>
      </c>
      <c r="C150" s="407"/>
      <c r="D150" s="407"/>
      <c r="E150"/>
      <c r="F150"/>
      <c r="G150"/>
      <c r="H150"/>
      <c r="I150"/>
      <c r="J150"/>
      <c r="K150"/>
      <c r="L150"/>
      <c r="M150"/>
      <c r="N150"/>
      <c r="O150"/>
      <c r="P150"/>
      <c r="Q150"/>
      <c r="R150"/>
    </row>
    <row r="151" spans="1:18" x14ac:dyDescent="0.35">
      <c r="A151" s="39">
        <v>4801</v>
      </c>
      <c r="B151" s="71">
        <v>7800</v>
      </c>
      <c r="C151" s="407">
        <f>B151/15</f>
        <v>520</v>
      </c>
      <c r="D151" s="407">
        <f t="shared" si="4"/>
        <v>2080</v>
      </c>
      <c r="E151"/>
      <c r="F151"/>
      <c r="G151"/>
      <c r="H151"/>
      <c r="I151"/>
      <c r="J151"/>
      <c r="K151"/>
      <c r="L151"/>
      <c r="M151"/>
      <c r="N151"/>
      <c r="O151"/>
      <c r="P151"/>
      <c r="Q151"/>
      <c r="R151"/>
    </row>
    <row r="152" spans="1:18" x14ac:dyDescent="0.35">
      <c r="A152" s="105" t="s">
        <v>720</v>
      </c>
      <c r="B152" s="71">
        <v>5800</v>
      </c>
      <c r="C152" s="407"/>
      <c r="D152" s="407"/>
      <c r="E152"/>
      <c r="F152"/>
      <c r="G152"/>
      <c r="H152"/>
      <c r="I152"/>
      <c r="J152"/>
      <c r="K152"/>
      <c r="L152"/>
      <c r="M152"/>
      <c r="N152"/>
      <c r="O152"/>
      <c r="P152"/>
      <c r="Q152"/>
      <c r="R152"/>
    </row>
    <row r="153" spans="1:18" x14ac:dyDescent="0.35">
      <c r="A153" s="105" t="s">
        <v>862</v>
      </c>
      <c r="B153" s="71">
        <v>2000</v>
      </c>
      <c r="C153" s="407"/>
      <c r="D153" s="407"/>
      <c r="E153"/>
      <c r="F153"/>
      <c r="G153"/>
      <c r="H153"/>
      <c r="I153"/>
      <c r="J153"/>
      <c r="K153"/>
      <c r="L153"/>
      <c r="M153"/>
      <c r="N153"/>
      <c r="O153"/>
      <c r="P153"/>
      <c r="Q153"/>
      <c r="R153"/>
    </row>
    <row r="154" spans="1:18" x14ac:dyDescent="0.35">
      <c r="A154" s="39">
        <v>4820</v>
      </c>
      <c r="B154" s="71">
        <v>13700</v>
      </c>
      <c r="C154" s="407">
        <f>B154/15</f>
        <v>913.33333333333337</v>
      </c>
      <c r="D154" s="407">
        <f t="shared" si="4"/>
        <v>3653.3333333333335</v>
      </c>
      <c r="E154"/>
      <c r="F154"/>
      <c r="G154"/>
      <c r="H154"/>
      <c r="I154"/>
      <c r="J154"/>
      <c r="K154"/>
      <c r="L154"/>
      <c r="M154"/>
      <c r="N154"/>
      <c r="O154"/>
      <c r="P154"/>
      <c r="Q154"/>
      <c r="R154"/>
    </row>
    <row r="155" spans="1:18" x14ac:dyDescent="0.35">
      <c r="A155" s="105" t="s">
        <v>551</v>
      </c>
      <c r="B155" s="71">
        <v>5700</v>
      </c>
      <c r="C155" s="407"/>
      <c r="D155" s="407"/>
      <c r="E155"/>
      <c r="F155"/>
      <c r="G155"/>
      <c r="H155"/>
      <c r="I155"/>
      <c r="J155"/>
      <c r="K155"/>
      <c r="L155"/>
      <c r="M155"/>
      <c r="N155"/>
      <c r="O155"/>
      <c r="P155"/>
      <c r="Q155"/>
      <c r="R155"/>
    </row>
    <row r="156" spans="1:18" x14ac:dyDescent="0.35">
      <c r="A156" s="105" t="s">
        <v>837</v>
      </c>
      <c r="B156" s="71">
        <v>3000</v>
      </c>
      <c r="C156" s="407"/>
      <c r="D156" s="407"/>
      <c r="E156"/>
      <c r="F156"/>
      <c r="G156"/>
      <c r="H156"/>
      <c r="I156"/>
      <c r="J156"/>
      <c r="K156"/>
      <c r="L156"/>
      <c r="M156"/>
      <c r="N156"/>
      <c r="O156"/>
      <c r="P156"/>
      <c r="Q156"/>
      <c r="R156"/>
    </row>
    <row r="157" spans="1:18" x14ac:dyDescent="0.35">
      <c r="A157" s="105" t="s">
        <v>1046</v>
      </c>
      <c r="B157" s="71">
        <v>5000</v>
      </c>
      <c r="C157" s="407"/>
      <c r="D157" s="407"/>
      <c r="E157"/>
      <c r="F157"/>
      <c r="G157"/>
      <c r="H157"/>
      <c r="I157"/>
      <c r="J157"/>
      <c r="K157"/>
      <c r="L157"/>
      <c r="M157"/>
      <c r="N157"/>
      <c r="O157"/>
      <c r="P157"/>
      <c r="Q157"/>
      <c r="R157"/>
    </row>
    <row r="158" spans="1:18" x14ac:dyDescent="0.35">
      <c r="A158" s="39">
        <v>4834</v>
      </c>
      <c r="B158" s="71">
        <v>8750</v>
      </c>
      <c r="C158" s="407">
        <f>B158/15</f>
        <v>583.33333333333337</v>
      </c>
      <c r="D158" s="407">
        <f t="shared" si="4"/>
        <v>2333.3333333333335</v>
      </c>
      <c r="E158"/>
      <c r="F158"/>
      <c r="G158"/>
      <c r="H158"/>
      <c r="I158"/>
      <c r="J158"/>
      <c r="K158"/>
      <c r="L158"/>
      <c r="M158"/>
      <c r="N158"/>
      <c r="O158"/>
      <c r="P158"/>
      <c r="Q158"/>
      <c r="R158"/>
    </row>
    <row r="159" spans="1:18" x14ac:dyDescent="0.35">
      <c r="A159" s="105" t="s">
        <v>926</v>
      </c>
      <c r="B159" s="71">
        <v>3750</v>
      </c>
      <c r="C159" s="407"/>
      <c r="D159" s="407"/>
      <c r="E159"/>
      <c r="F159"/>
      <c r="G159"/>
      <c r="H159"/>
      <c r="I159"/>
      <c r="J159"/>
      <c r="K159"/>
      <c r="L159"/>
      <c r="M159"/>
      <c r="N159"/>
      <c r="O159"/>
      <c r="P159"/>
      <c r="Q159"/>
      <c r="R159"/>
    </row>
    <row r="160" spans="1:18" x14ac:dyDescent="0.35">
      <c r="A160" s="105" t="s">
        <v>699</v>
      </c>
      <c r="B160" s="71">
        <v>2500</v>
      </c>
      <c r="C160" s="407"/>
      <c r="D160" s="407"/>
      <c r="E160"/>
      <c r="F160"/>
      <c r="G160"/>
      <c r="H160"/>
      <c r="I160"/>
      <c r="J160"/>
      <c r="K160"/>
      <c r="L160"/>
      <c r="M160"/>
      <c r="N160"/>
      <c r="O160"/>
      <c r="P160"/>
      <c r="Q160"/>
      <c r="R160"/>
    </row>
    <row r="161" spans="1:18" x14ac:dyDescent="0.35">
      <c r="A161" s="105" t="s">
        <v>809</v>
      </c>
      <c r="B161" s="71">
        <v>2500</v>
      </c>
      <c r="C161" s="407"/>
      <c r="D161" s="407"/>
      <c r="E161"/>
      <c r="F161"/>
      <c r="G161"/>
      <c r="H161"/>
      <c r="I161"/>
      <c r="J161"/>
      <c r="K161"/>
      <c r="L161"/>
      <c r="M161"/>
      <c r="N161"/>
      <c r="O161"/>
      <c r="P161"/>
      <c r="Q161"/>
      <c r="R161"/>
    </row>
    <row r="162" spans="1:18" x14ac:dyDescent="0.35">
      <c r="A162" s="39">
        <v>4839</v>
      </c>
      <c r="B162" s="71">
        <v>600</v>
      </c>
      <c r="C162" s="407">
        <f>B162/15</f>
        <v>40</v>
      </c>
      <c r="D162" s="407">
        <f t="shared" si="4"/>
        <v>160</v>
      </c>
      <c r="E162"/>
      <c r="F162"/>
      <c r="G162"/>
      <c r="H162"/>
      <c r="I162"/>
      <c r="J162"/>
      <c r="K162"/>
      <c r="L162"/>
      <c r="M162"/>
      <c r="N162"/>
      <c r="O162"/>
      <c r="P162"/>
      <c r="Q162"/>
      <c r="R162"/>
    </row>
    <row r="163" spans="1:18" x14ac:dyDescent="0.35">
      <c r="A163" s="105" t="s">
        <v>672</v>
      </c>
      <c r="B163" s="71">
        <v>500</v>
      </c>
      <c r="C163" s="407"/>
      <c r="D163" s="407"/>
      <c r="E163"/>
      <c r="F163"/>
      <c r="G163"/>
      <c r="H163"/>
      <c r="I163"/>
      <c r="J163"/>
      <c r="K163"/>
      <c r="L163"/>
      <c r="M163"/>
      <c r="N163"/>
      <c r="O163"/>
      <c r="P163"/>
      <c r="Q163"/>
      <c r="R163"/>
    </row>
    <row r="164" spans="1:18" x14ac:dyDescent="0.35">
      <c r="A164" s="105" t="s">
        <v>635</v>
      </c>
      <c r="B164" s="71">
        <v>100</v>
      </c>
      <c r="C164" s="407"/>
      <c r="D164" s="407"/>
      <c r="E164"/>
      <c r="F164"/>
      <c r="G164"/>
      <c r="H164"/>
      <c r="I164"/>
      <c r="J164"/>
      <c r="K164"/>
      <c r="L164"/>
      <c r="M164"/>
      <c r="N164"/>
      <c r="O164"/>
      <c r="P164"/>
      <c r="Q164"/>
      <c r="R164"/>
    </row>
    <row r="165" spans="1:18" x14ac:dyDescent="0.35">
      <c r="A165" s="39">
        <v>4849</v>
      </c>
      <c r="B165" s="71">
        <v>2000</v>
      </c>
      <c r="C165" s="407">
        <f>B165/15</f>
        <v>133.33333333333334</v>
      </c>
      <c r="D165" s="407">
        <f t="shared" si="4"/>
        <v>533.33333333333337</v>
      </c>
      <c r="E165"/>
      <c r="F165"/>
      <c r="G165"/>
      <c r="H165"/>
      <c r="I165"/>
      <c r="J165"/>
      <c r="K165"/>
      <c r="L165"/>
      <c r="M165"/>
      <c r="N165"/>
      <c r="O165"/>
      <c r="P165"/>
      <c r="Q165"/>
      <c r="R165"/>
    </row>
    <row r="166" spans="1:18" x14ac:dyDescent="0.35">
      <c r="A166" s="105" t="s">
        <v>572</v>
      </c>
      <c r="B166" s="71">
        <v>2000</v>
      </c>
      <c r="C166" s="407"/>
      <c r="D166" s="407"/>
      <c r="E166"/>
      <c r="F166"/>
      <c r="G166"/>
      <c r="H166"/>
      <c r="I166"/>
      <c r="J166"/>
      <c r="K166"/>
      <c r="L166"/>
      <c r="M166"/>
      <c r="N166"/>
      <c r="O166"/>
      <c r="P166"/>
      <c r="Q166"/>
      <c r="R166"/>
    </row>
    <row r="167" spans="1:18" x14ac:dyDescent="0.35">
      <c r="A167" s="39">
        <v>4850</v>
      </c>
      <c r="B167" s="71">
        <v>2000</v>
      </c>
      <c r="C167" s="407">
        <f>B167/15</f>
        <v>133.33333333333334</v>
      </c>
      <c r="D167" s="407">
        <f t="shared" si="4"/>
        <v>533.33333333333337</v>
      </c>
      <c r="E167"/>
      <c r="F167"/>
      <c r="G167"/>
      <c r="H167"/>
      <c r="I167"/>
      <c r="J167"/>
      <c r="K167"/>
      <c r="L167"/>
      <c r="M167"/>
      <c r="N167"/>
      <c r="O167"/>
      <c r="P167"/>
      <c r="Q167"/>
      <c r="R167"/>
    </row>
    <row r="168" spans="1:18" x14ac:dyDescent="0.35">
      <c r="A168" s="105" t="s">
        <v>573</v>
      </c>
      <c r="B168" s="71">
        <v>2000</v>
      </c>
      <c r="C168" s="407"/>
      <c r="D168" s="407"/>
      <c r="E168"/>
      <c r="F168"/>
      <c r="G168"/>
      <c r="H168"/>
      <c r="I168"/>
      <c r="J168"/>
      <c r="K168"/>
      <c r="L168"/>
      <c r="M168"/>
      <c r="N168"/>
      <c r="O168"/>
      <c r="P168"/>
      <c r="Q168"/>
      <c r="R168"/>
    </row>
    <row r="169" spans="1:18" x14ac:dyDescent="0.35">
      <c r="A169" s="39">
        <v>4851</v>
      </c>
      <c r="B169" s="71">
        <v>6500</v>
      </c>
      <c r="C169" s="407">
        <f>B169/15</f>
        <v>433.33333333333331</v>
      </c>
      <c r="D169" s="407">
        <f t="shared" si="4"/>
        <v>1733.3333333333333</v>
      </c>
      <c r="E169"/>
      <c r="F169"/>
      <c r="G169"/>
      <c r="H169"/>
      <c r="I169"/>
      <c r="J169"/>
      <c r="K169"/>
      <c r="L169"/>
      <c r="M169"/>
      <c r="N169"/>
      <c r="O169"/>
      <c r="P169"/>
      <c r="Q169"/>
      <c r="R169"/>
    </row>
    <row r="170" spans="1:18" x14ac:dyDescent="0.35">
      <c r="A170" s="105" t="s">
        <v>610</v>
      </c>
      <c r="B170" s="71">
        <v>3000</v>
      </c>
      <c r="C170" s="407"/>
      <c r="D170" s="407"/>
      <c r="E170"/>
      <c r="F170"/>
      <c r="G170"/>
      <c r="H170"/>
      <c r="I170"/>
      <c r="J170"/>
      <c r="K170"/>
      <c r="L170"/>
      <c r="M170"/>
      <c r="N170"/>
      <c r="O170"/>
      <c r="P170"/>
      <c r="Q170"/>
      <c r="R170"/>
    </row>
    <row r="171" spans="1:18" x14ac:dyDescent="0.35">
      <c r="A171" s="105" t="s">
        <v>572</v>
      </c>
      <c r="B171" s="71">
        <v>3500</v>
      </c>
      <c r="C171" s="407"/>
      <c r="D171" s="407"/>
      <c r="E171"/>
      <c r="F171"/>
      <c r="G171"/>
      <c r="H171"/>
      <c r="I171"/>
      <c r="J171"/>
      <c r="K171"/>
      <c r="L171"/>
      <c r="M171"/>
      <c r="N171"/>
      <c r="O171"/>
      <c r="P171"/>
      <c r="Q171"/>
      <c r="R171"/>
    </row>
    <row r="172" spans="1:18" x14ac:dyDescent="0.35">
      <c r="A172" s="39">
        <v>4852</v>
      </c>
      <c r="B172" s="71">
        <v>5500</v>
      </c>
      <c r="C172" s="407">
        <f>B172/15</f>
        <v>366.66666666666669</v>
      </c>
      <c r="D172" s="407">
        <f t="shared" si="4"/>
        <v>1466.6666666666667</v>
      </c>
      <c r="E172"/>
      <c r="F172"/>
      <c r="G172"/>
      <c r="H172"/>
      <c r="I172"/>
      <c r="J172"/>
      <c r="K172"/>
      <c r="L172"/>
      <c r="M172"/>
      <c r="N172"/>
      <c r="O172"/>
      <c r="P172"/>
      <c r="Q172"/>
      <c r="R172"/>
    </row>
    <row r="173" spans="1:18" x14ac:dyDescent="0.35">
      <c r="A173" s="105" t="s">
        <v>1195</v>
      </c>
      <c r="B173" s="71">
        <v>5500</v>
      </c>
      <c r="C173" s="407"/>
      <c r="D173" s="407"/>
      <c r="E173"/>
      <c r="F173"/>
      <c r="G173"/>
      <c r="H173"/>
      <c r="I173"/>
      <c r="J173"/>
      <c r="K173"/>
      <c r="L173"/>
      <c r="M173"/>
      <c r="N173"/>
      <c r="O173"/>
      <c r="P173"/>
      <c r="Q173"/>
      <c r="R173"/>
    </row>
    <row r="174" spans="1:18" x14ac:dyDescent="0.35">
      <c r="A174" s="39">
        <v>4853</v>
      </c>
      <c r="B174" s="71">
        <v>3000</v>
      </c>
      <c r="C174" s="407">
        <f>B174/15</f>
        <v>200</v>
      </c>
      <c r="D174" s="407">
        <f t="shared" si="4"/>
        <v>800</v>
      </c>
      <c r="E174"/>
      <c r="F174"/>
      <c r="G174"/>
      <c r="H174"/>
      <c r="I174"/>
      <c r="J174"/>
      <c r="K174"/>
      <c r="L174"/>
      <c r="M174"/>
      <c r="N174"/>
      <c r="O174"/>
      <c r="P174"/>
      <c r="Q174"/>
      <c r="R174"/>
    </row>
    <row r="175" spans="1:18" x14ac:dyDescent="0.35">
      <c r="A175" s="105" t="s">
        <v>574</v>
      </c>
      <c r="B175" s="71">
        <v>3000</v>
      </c>
      <c r="C175" s="407"/>
      <c r="D175" s="407"/>
      <c r="E175"/>
      <c r="F175"/>
      <c r="G175"/>
      <c r="H175"/>
      <c r="I175"/>
      <c r="J175"/>
      <c r="K175"/>
      <c r="L175"/>
      <c r="M175"/>
      <c r="N175"/>
      <c r="O175"/>
      <c r="P175"/>
      <c r="Q175"/>
      <c r="R175"/>
    </row>
    <row r="176" spans="1:18" x14ac:dyDescent="0.35">
      <c r="A176" s="39">
        <v>4869</v>
      </c>
      <c r="B176" s="71">
        <v>1000</v>
      </c>
      <c r="C176" s="407">
        <f>B176/15</f>
        <v>66.666666666666671</v>
      </c>
      <c r="D176" s="407">
        <f t="shared" si="4"/>
        <v>266.66666666666669</v>
      </c>
      <c r="E176"/>
      <c r="F176"/>
      <c r="G176"/>
      <c r="H176"/>
      <c r="I176"/>
      <c r="J176"/>
      <c r="K176"/>
      <c r="L176"/>
      <c r="M176"/>
      <c r="N176"/>
      <c r="O176"/>
      <c r="P176"/>
      <c r="Q176"/>
      <c r="R176"/>
    </row>
    <row r="177" spans="1:18" x14ac:dyDescent="0.35">
      <c r="A177" s="105" t="s">
        <v>703</v>
      </c>
      <c r="B177" s="71">
        <v>1000</v>
      </c>
      <c r="C177" s="407"/>
      <c r="D177" s="407"/>
      <c r="E177"/>
      <c r="F177"/>
      <c r="G177"/>
      <c r="H177"/>
      <c r="I177"/>
      <c r="J177"/>
      <c r="K177"/>
      <c r="L177"/>
      <c r="M177"/>
      <c r="N177"/>
      <c r="O177"/>
      <c r="P177"/>
      <c r="Q177"/>
      <c r="R177"/>
    </row>
    <row r="178" spans="1:18" x14ac:dyDescent="0.35">
      <c r="A178" s="39">
        <v>4870</v>
      </c>
      <c r="B178" s="71">
        <v>600</v>
      </c>
      <c r="C178" s="407">
        <f>B178/15</f>
        <v>40</v>
      </c>
      <c r="D178" s="407">
        <f t="shared" si="4"/>
        <v>160</v>
      </c>
      <c r="E178"/>
      <c r="F178"/>
      <c r="G178"/>
      <c r="H178"/>
      <c r="I178"/>
      <c r="J178"/>
      <c r="K178"/>
      <c r="L178"/>
      <c r="M178"/>
      <c r="N178"/>
      <c r="O178"/>
      <c r="P178"/>
      <c r="Q178"/>
      <c r="R178"/>
    </row>
    <row r="179" spans="1:18" x14ac:dyDescent="0.35">
      <c r="A179" s="105" t="s">
        <v>704</v>
      </c>
      <c r="B179" s="71">
        <v>600</v>
      </c>
      <c r="C179" s="407"/>
      <c r="D179" s="407"/>
      <c r="E179"/>
      <c r="F179"/>
      <c r="G179"/>
      <c r="H179"/>
      <c r="I179"/>
      <c r="J179"/>
      <c r="K179"/>
      <c r="L179"/>
      <c r="M179"/>
      <c r="N179"/>
      <c r="O179"/>
      <c r="P179"/>
      <c r="Q179"/>
      <c r="R179"/>
    </row>
    <row r="180" spans="1:18" x14ac:dyDescent="0.35">
      <c r="A180" s="39">
        <v>4871</v>
      </c>
      <c r="B180" s="71">
        <v>5500</v>
      </c>
      <c r="C180" s="407">
        <f>B180/15</f>
        <v>366.66666666666669</v>
      </c>
      <c r="D180" s="407">
        <f t="shared" si="4"/>
        <v>1466.6666666666667</v>
      </c>
      <c r="E180"/>
      <c r="F180"/>
      <c r="G180"/>
      <c r="H180"/>
      <c r="I180"/>
      <c r="J180"/>
      <c r="K180"/>
      <c r="L180"/>
      <c r="M180"/>
      <c r="N180"/>
      <c r="O180"/>
      <c r="P180"/>
      <c r="Q180"/>
      <c r="R180"/>
    </row>
    <row r="181" spans="1:18" x14ac:dyDescent="0.35">
      <c r="A181" s="105" t="s">
        <v>709</v>
      </c>
      <c r="B181" s="71">
        <v>2000</v>
      </c>
      <c r="C181" s="407"/>
      <c r="D181" s="407"/>
      <c r="E181"/>
      <c r="F181"/>
      <c r="G181"/>
      <c r="H181"/>
      <c r="I181"/>
      <c r="J181"/>
      <c r="K181"/>
      <c r="L181"/>
      <c r="M181"/>
      <c r="N181"/>
      <c r="O181"/>
      <c r="P181"/>
      <c r="Q181"/>
      <c r="R181"/>
    </row>
    <row r="182" spans="1:18" x14ac:dyDescent="0.35">
      <c r="A182" s="105" t="s">
        <v>1015</v>
      </c>
      <c r="B182" s="71">
        <v>3500</v>
      </c>
      <c r="C182" s="407"/>
      <c r="D182" s="407"/>
      <c r="E182"/>
      <c r="F182"/>
      <c r="G182"/>
      <c r="H182"/>
      <c r="I182"/>
      <c r="J182"/>
      <c r="K182"/>
      <c r="L182"/>
      <c r="M182"/>
      <c r="N182"/>
      <c r="O182"/>
      <c r="P182"/>
      <c r="Q182"/>
      <c r="R182"/>
    </row>
    <row r="183" spans="1:18" x14ac:dyDescent="0.35">
      <c r="A183" s="39">
        <v>4876</v>
      </c>
      <c r="B183" s="71">
        <v>1000</v>
      </c>
      <c r="C183" s="407">
        <f>B183/15</f>
        <v>66.666666666666671</v>
      </c>
      <c r="D183" s="407">
        <f t="shared" si="4"/>
        <v>266.66666666666669</v>
      </c>
      <c r="E183"/>
      <c r="F183"/>
      <c r="G183"/>
      <c r="H183"/>
      <c r="I183"/>
      <c r="J183"/>
      <c r="K183"/>
      <c r="L183"/>
      <c r="M183"/>
      <c r="N183"/>
      <c r="O183"/>
      <c r="P183"/>
      <c r="Q183"/>
      <c r="R183"/>
    </row>
    <row r="184" spans="1:18" x14ac:dyDescent="0.35">
      <c r="A184" s="105" t="s">
        <v>992</v>
      </c>
      <c r="B184" s="71">
        <v>1000</v>
      </c>
      <c r="C184" s="407"/>
      <c r="D184" s="407"/>
      <c r="E184"/>
      <c r="F184"/>
      <c r="G184"/>
      <c r="H184"/>
      <c r="I184"/>
      <c r="J184"/>
      <c r="K184"/>
      <c r="L184"/>
      <c r="M184"/>
      <c r="N184"/>
      <c r="O184"/>
      <c r="P184"/>
      <c r="Q184"/>
      <c r="R184"/>
    </row>
    <row r="185" spans="1:18" x14ac:dyDescent="0.35">
      <c r="A185" s="39">
        <v>4890</v>
      </c>
      <c r="B185" s="71">
        <v>500</v>
      </c>
      <c r="C185" s="407">
        <f>B185/15</f>
        <v>33.333333333333336</v>
      </c>
      <c r="D185" s="407">
        <f t="shared" si="4"/>
        <v>133.33333333333334</v>
      </c>
      <c r="E185"/>
      <c r="F185"/>
      <c r="G185"/>
      <c r="H185"/>
      <c r="I185"/>
      <c r="J185"/>
      <c r="K185"/>
      <c r="L185"/>
      <c r="M185"/>
      <c r="N185"/>
      <c r="O185"/>
      <c r="P185"/>
      <c r="Q185"/>
      <c r="R185"/>
    </row>
    <row r="186" spans="1:18" x14ac:dyDescent="0.35">
      <c r="A186" s="105" t="s">
        <v>940</v>
      </c>
      <c r="B186" s="71">
        <v>500</v>
      </c>
      <c r="C186" s="407"/>
      <c r="D186" s="407"/>
      <c r="E186"/>
      <c r="F186"/>
      <c r="G186"/>
      <c r="H186"/>
      <c r="I186"/>
      <c r="J186"/>
      <c r="K186"/>
      <c r="L186"/>
      <c r="M186"/>
      <c r="N186"/>
      <c r="O186"/>
      <c r="P186"/>
      <c r="Q186"/>
      <c r="R186"/>
    </row>
    <row r="187" spans="1:18" x14ac:dyDescent="0.35">
      <c r="A187" s="39">
        <v>4891</v>
      </c>
      <c r="B187" s="71">
        <v>500</v>
      </c>
      <c r="C187" s="407">
        <f>B187/15</f>
        <v>33.333333333333336</v>
      </c>
      <c r="D187" s="407">
        <f t="shared" si="4"/>
        <v>133.33333333333334</v>
      </c>
      <c r="E187"/>
      <c r="F187"/>
      <c r="G187"/>
      <c r="H187"/>
      <c r="I187"/>
      <c r="J187"/>
      <c r="K187"/>
      <c r="L187"/>
      <c r="M187"/>
      <c r="N187"/>
      <c r="O187"/>
      <c r="P187"/>
      <c r="Q187"/>
      <c r="R187"/>
    </row>
    <row r="188" spans="1:18" x14ac:dyDescent="0.35">
      <c r="A188" s="105" t="s">
        <v>645</v>
      </c>
      <c r="B188" s="71">
        <v>500</v>
      </c>
      <c r="C188" s="407"/>
      <c r="D188" s="407"/>
      <c r="E188"/>
      <c r="F188"/>
      <c r="G188"/>
      <c r="H188"/>
      <c r="I188"/>
      <c r="J188"/>
      <c r="K188"/>
      <c r="L188"/>
      <c r="M188"/>
      <c r="N188"/>
      <c r="O188"/>
      <c r="P188"/>
      <c r="Q188"/>
      <c r="R188"/>
    </row>
    <row r="189" spans="1:18" x14ac:dyDescent="0.35">
      <c r="A189" s="39">
        <v>4892</v>
      </c>
      <c r="B189" s="71">
        <v>500</v>
      </c>
      <c r="C189" s="407">
        <f>B189/15</f>
        <v>33.333333333333336</v>
      </c>
      <c r="D189" s="407">
        <f t="shared" si="4"/>
        <v>133.33333333333334</v>
      </c>
      <c r="E189"/>
      <c r="F189"/>
      <c r="G189"/>
      <c r="H189"/>
      <c r="I189"/>
      <c r="J189"/>
      <c r="K189"/>
      <c r="L189"/>
      <c r="M189"/>
      <c r="N189"/>
      <c r="O189"/>
      <c r="P189"/>
      <c r="Q189"/>
      <c r="R189"/>
    </row>
    <row r="190" spans="1:18" x14ac:dyDescent="0.35">
      <c r="A190" s="105" t="s">
        <v>710</v>
      </c>
      <c r="B190" s="71">
        <v>500</v>
      </c>
      <c r="C190" s="407"/>
      <c r="D190" s="407"/>
      <c r="E190"/>
      <c r="F190"/>
      <c r="G190"/>
      <c r="H190"/>
      <c r="I190"/>
      <c r="J190"/>
      <c r="K190"/>
      <c r="L190"/>
      <c r="M190"/>
      <c r="N190"/>
      <c r="O190"/>
      <c r="P190"/>
      <c r="Q190"/>
      <c r="R190"/>
    </row>
    <row r="191" spans="1:18" x14ac:dyDescent="0.35">
      <c r="A191" s="39">
        <v>4893</v>
      </c>
      <c r="B191" s="71">
        <v>1000</v>
      </c>
      <c r="C191" s="407">
        <f>B191/15</f>
        <v>66.666666666666671</v>
      </c>
      <c r="D191" s="407">
        <f t="shared" si="4"/>
        <v>266.66666666666669</v>
      </c>
      <c r="E191"/>
      <c r="F191"/>
      <c r="G191"/>
      <c r="H191"/>
      <c r="I191"/>
      <c r="J191"/>
      <c r="K191"/>
      <c r="L191"/>
      <c r="M191"/>
      <c r="N191"/>
      <c r="O191"/>
      <c r="P191"/>
      <c r="Q191"/>
      <c r="R191"/>
    </row>
    <row r="192" spans="1:18" x14ac:dyDescent="0.35">
      <c r="A192" s="105" t="s">
        <v>646</v>
      </c>
      <c r="B192" s="71">
        <v>1000</v>
      </c>
      <c r="C192" s="407"/>
      <c r="D192" s="407"/>
      <c r="E192"/>
      <c r="F192"/>
      <c r="G192"/>
      <c r="H192"/>
      <c r="I192"/>
      <c r="J192"/>
      <c r="K192"/>
      <c r="L192"/>
      <c r="M192"/>
      <c r="N192"/>
      <c r="O192"/>
      <c r="P192"/>
      <c r="Q192"/>
      <c r="R192"/>
    </row>
    <row r="193" spans="1:18" x14ac:dyDescent="0.35">
      <c r="A193" s="39">
        <v>4894</v>
      </c>
      <c r="B193" s="71">
        <v>300</v>
      </c>
      <c r="C193" s="407">
        <f>B193/15</f>
        <v>20</v>
      </c>
      <c r="D193" s="407">
        <f t="shared" si="4"/>
        <v>80</v>
      </c>
      <c r="E193"/>
      <c r="F193"/>
      <c r="G193"/>
      <c r="H193"/>
      <c r="I193"/>
      <c r="J193"/>
      <c r="K193"/>
      <c r="L193"/>
      <c r="M193"/>
      <c r="N193"/>
      <c r="O193"/>
      <c r="P193"/>
      <c r="Q193"/>
      <c r="R193"/>
    </row>
    <row r="194" spans="1:18" x14ac:dyDescent="0.35">
      <c r="A194" s="105" t="s">
        <v>647</v>
      </c>
      <c r="B194" s="71">
        <v>300</v>
      </c>
      <c r="C194" s="407"/>
      <c r="D194" s="407"/>
      <c r="E194"/>
      <c r="F194"/>
      <c r="G194"/>
      <c r="H194"/>
      <c r="I194"/>
      <c r="J194"/>
      <c r="K194"/>
      <c r="L194"/>
      <c r="M194"/>
      <c r="N194"/>
      <c r="O194"/>
      <c r="P194"/>
      <c r="Q194"/>
      <c r="R194"/>
    </row>
    <row r="195" spans="1:18" x14ac:dyDescent="0.35">
      <c r="A195" s="39">
        <v>4895</v>
      </c>
      <c r="B195" s="71">
        <v>1000</v>
      </c>
      <c r="C195" s="407">
        <f>B195/15</f>
        <v>66.666666666666671</v>
      </c>
      <c r="D195" s="407">
        <f t="shared" si="4"/>
        <v>266.66666666666669</v>
      </c>
      <c r="E195"/>
      <c r="F195"/>
      <c r="G195"/>
      <c r="H195"/>
      <c r="I195"/>
      <c r="J195"/>
      <c r="K195"/>
      <c r="L195"/>
      <c r="M195"/>
      <c r="N195"/>
      <c r="O195"/>
      <c r="P195"/>
      <c r="Q195"/>
      <c r="R195"/>
    </row>
    <row r="196" spans="1:18" x14ac:dyDescent="0.35">
      <c r="A196" s="105" t="s">
        <v>711</v>
      </c>
      <c r="B196" s="71">
        <v>1000</v>
      </c>
      <c r="C196" s="407"/>
      <c r="D196" s="407"/>
      <c r="E196"/>
      <c r="F196"/>
      <c r="G196"/>
      <c r="H196"/>
      <c r="I196"/>
      <c r="J196"/>
      <c r="K196"/>
      <c r="L196"/>
      <c r="M196"/>
      <c r="N196"/>
      <c r="O196"/>
      <c r="P196"/>
      <c r="Q196"/>
      <c r="R196"/>
    </row>
    <row r="197" spans="1:18" x14ac:dyDescent="0.35">
      <c r="A197" s="39">
        <v>4964</v>
      </c>
      <c r="B197" s="71">
        <v>15000</v>
      </c>
      <c r="C197" s="407">
        <f>B197/15</f>
        <v>1000</v>
      </c>
      <c r="D197" s="407">
        <f t="shared" si="4"/>
        <v>4000</v>
      </c>
      <c r="E197"/>
      <c r="F197"/>
      <c r="G197"/>
      <c r="H197"/>
      <c r="I197"/>
      <c r="J197"/>
      <c r="K197"/>
      <c r="L197"/>
      <c r="M197"/>
      <c r="N197"/>
      <c r="O197"/>
      <c r="P197"/>
      <c r="Q197"/>
      <c r="R197"/>
    </row>
    <row r="198" spans="1:18" x14ac:dyDescent="0.35">
      <c r="A198" s="105" t="s">
        <v>795</v>
      </c>
      <c r="B198" s="71">
        <v>15000</v>
      </c>
      <c r="C198" s="407"/>
      <c r="D198" s="407"/>
      <c r="E198"/>
      <c r="F198"/>
      <c r="G198"/>
      <c r="H198"/>
      <c r="I198"/>
      <c r="J198"/>
      <c r="K198"/>
      <c r="L198"/>
      <c r="M198"/>
      <c r="N198"/>
      <c r="O198"/>
      <c r="P198"/>
      <c r="Q198"/>
      <c r="R198"/>
    </row>
    <row r="199" spans="1:18" x14ac:dyDescent="0.35">
      <c r="A199" s="39">
        <v>4965</v>
      </c>
      <c r="B199" s="71">
        <v>1500</v>
      </c>
      <c r="C199" s="407">
        <f>B199/15</f>
        <v>100</v>
      </c>
      <c r="D199" s="407">
        <f t="shared" si="4"/>
        <v>400</v>
      </c>
      <c r="E199"/>
      <c r="F199"/>
      <c r="G199"/>
      <c r="H199"/>
      <c r="I199"/>
      <c r="J199"/>
      <c r="K199"/>
      <c r="L199"/>
      <c r="M199"/>
      <c r="N199"/>
      <c r="O199"/>
      <c r="P199"/>
      <c r="Q199"/>
      <c r="R199"/>
    </row>
    <row r="200" spans="1:18" x14ac:dyDescent="0.35">
      <c r="A200" s="105" t="s">
        <v>830</v>
      </c>
      <c r="B200" s="71">
        <v>1500</v>
      </c>
      <c r="C200" s="407"/>
      <c r="D200" s="407"/>
      <c r="E200"/>
      <c r="F200"/>
      <c r="G200"/>
      <c r="H200"/>
      <c r="I200"/>
      <c r="J200"/>
      <c r="K200"/>
      <c r="L200"/>
      <c r="M200"/>
      <c r="N200"/>
      <c r="O200"/>
      <c r="P200"/>
      <c r="Q200"/>
      <c r="R200"/>
    </row>
    <row r="201" spans="1:18" x14ac:dyDescent="0.35">
      <c r="A201" s="39">
        <v>4966</v>
      </c>
      <c r="B201" s="71">
        <v>1700</v>
      </c>
      <c r="C201" s="407">
        <f>B201/15</f>
        <v>113.33333333333333</v>
      </c>
      <c r="D201" s="407">
        <f t="shared" ref="D201:D264" si="5">C201*4</f>
        <v>453.33333333333331</v>
      </c>
      <c r="E201"/>
      <c r="F201"/>
      <c r="G201"/>
      <c r="H201"/>
      <c r="I201"/>
      <c r="J201"/>
      <c r="K201"/>
      <c r="L201"/>
      <c r="M201"/>
      <c r="N201"/>
      <c r="O201"/>
      <c r="P201"/>
      <c r="Q201"/>
      <c r="R201"/>
    </row>
    <row r="202" spans="1:18" x14ac:dyDescent="0.35">
      <c r="A202" s="105" t="s">
        <v>767</v>
      </c>
      <c r="B202" s="71">
        <v>1700</v>
      </c>
      <c r="C202" s="407"/>
      <c r="D202" s="407"/>
      <c r="E202"/>
      <c r="F202"/>
      <c r="G202"/>
      <c r="H202"/>
      <c r="I202"/>
      <c r="J202"/>
      <c r="K202"/>
      <c r="L202"/>
      <c r="M202"/>
      <c r="N202"/>
      <c r="O202"/>
      <c r="P202"/>
      <c r="Q202"/>
      <c r="R202"/>
    </row>
    <row r="203" spans="1:18" x14ac:dyDescent="0.35">
      <c r="A203" s="39">
        <v>4967</v>
      </c>
      <c r="B203" s="71">
        <v>2000</v>
      </c>
      <c r="C203" s="407">
        <f>B203/15</f>
        <v>133.33333333333334</v>
      </c>
      <c r="D203" s="407">
        <f t="shared" si="5"/>
        <v>533.33333333333337</v>
      </c>
      <c r="E203"/>
      <c r="F203"/>
      <c r="G203"/>
      <c r="H203"/>
      <c r="I203"/>
      <c r="J203"/>
      <c r="K203"/>
      <c r="L203"/>
      <c r="M203"/>
      <c r="N203"/>
      <c r="O203"/>
      <c r="P203"/>
      <c r="Q203"/>
      <c r="R203"/>
    </row>
    <row r="204" spans="1:18" x14ac:dyDescent="0.35">
      <c r="A204" s="105" t="s">
        <v>766</v>
      </c>
      <c r="B204" s="71">
        <v>2000</v>
      </c>
      <c r="C204" s="407"/>
      <c r="D204" s="407"/>
      <c r="E204"/>
      <c r="F204"/>
      <c r="G204"/>
      <c r="H204"/>
      <c r="I204"/>
      <c r="J204"/>
      <c r="K204"/>
      <c r="L204"/>
      <c r="M204"/>
      <c r="N204"/>
      <c r="O204"/>
      <c r="P204"/>
      <c r="Q204"/>
      <c r="R204"/>
    </row>
    <row r="205" spans="1:18" x14ac:dyDescent="0.35">
      <c r="A205" s="39">
        <v>4970</v>
      </c>
      <c r="B205" s="71">
        <v>1400</v>
      </c>
      <c r="C205" s="407">
        <f>B205/15</f>
        <v>93.333333333333329</v>
      </c>
      <c r="D205" s="407">
        <f t="shared" si="5"/>
        <v>373.33333333333331</v>
      </c>
      <c r="E205"/>
      <c r="F205"/>
      <c r="G205"/>
      <c r="H205"/>
      <c r="I205"/>
      <c r="J205"/>
      <c r="K205"/>
      <c r="L205"/>
      <c r="M205"/>
      <c r="N205"/>
      <c r="O205"/>
      <c r="P205"/>
      <c r="Q205"/>
      <c r="R205"/>
    </row>
    <row r="206" spans="1:18" x14ac:dyDescent="0.35">
      <c r="A206" s="105" t="s">
        <v>807</v>
      </c>
      <c r="B206" s="71">
        <v>1400</v>
      </c>
      <c r="C206" s="407"/>
      <c r="D206" s="407"/>
      <c r="E206"/>
      <c r="F206"/>
      <c r="G206"/>
      <c r="H206"/>
      <c r="I206"/>
      <c r="J206"/>
      <c r="K206"/>
      <c r="L206"/>
      <c r="M206"/>
      <c r="N206"/>
      <c r="O206"/>
      <c r="P206"/>
      <c r="Q206"/>
      <c r="R206"/>
    </row>
    <row r="207" spans="1:18" x14ac:dyDescent="0.35">
      <c r="A207" s="39">
        <v>4973</v>
      </c>
      <c r="B207" s="71">
        <v>7500</v>
      </c>
      <c r="C207" s="407">
        <f>B207/15</f>
        <v>500</v>
      </c>
      <c r="D207" s="407">
        <f t="shared" si="5"/>
        <v>2000</v>
      </c>
      <c r="E207"/>
      <c r="F207"/>
      <c r="G207"/>
      <c r="H207"/>
      <c r="I207"/>
      <c r="J207"/>
      <c r="K207"/>
      <c r="L207"/>
      <c r="M207"/>
      <c r="N207"/>
      <c r="O207"/>
      <c r="P207"/>
      <c r="Q207"/>
      <c r="R207"/>
    </row>
    <row r="208" spans="1:18" x14ac:dyDescent="0.35">
      <c r="A208" s="105" t="s">
        <v>699</v>
      </c>
      <c r="B208" s="71">
        <v>7500</v>
      </c>
      <c r="C208" s="407"/>
      <c r="D208" s="407"/>
      <c r="E208"/>
      <c r="F208"/>
      <c r="G208"/>
      <c r="H208"/>
      <c r="I208"/>
      <c r="J208"/>
      <c r="K208"/>
      <c r="L208"/>
      <c r="M208"/>
      <c r="N208"/>
      <c r="O208"/>
      <c r="P208"/>
      <c r="Q208"/>
      <c r="R208"/>
    </row>
    <row r="209" spans="1:18" x14ac:dyDescent="0.35">
      <c r="A209" s="39">
        <v>5008</v>
      </c>
      <c r="B209" s="71">
        <v>1000</v>
      </c>
      <c r="C209" s="407">
        <f>B209/15</f>
        <v>66.666666666666671</v>
      </c>
      <c r="D209" s="407">
        <f t="shared" si="5"/>
        <v>266.66666666666669</v>
      </c>
      <c r="E209"/>
      <c r="F209"/>
      <c r="G209"/>
      <c r="H209"/>
      <c r="I209"/>
      <c r="J209"/>
      <c r="K209"/>
      <c r="L209"/>
      <c r="M209"/>
      <c r="N209"/>
      <c r="O209"/>
      <c r="P209"/>
      <c r="Q209"/>
      <c r="R209"/>
    </row>
    <row r="210" spans="1:18" x14ac:dyDescent="0.35">
      <c r="A210" s="105" t="s">
        <v>852</v>
      </c>
      <c r="B210" s="71">
        <v>1000</v>
      </c>
      <c r="C210" s="407"/>
      <c r="D210" s="407"/>
      <c r="E210"/>
      <c r="F210"/>
      <c r="G210"/>
      <c r="H210"/>
      <c r="I210"/>
      <c r="J210"/>
      <c r="K210"/>
      <c r="L210"/>
      <c r="M210"/>
      <c r="N210"/>
      <c r="O210"/>
      <c r="P210"/>
      <c r="Q210"/>
      <c r="R210"/>
    </row>
    <row r="211" spans="1:18" x14ac:dyDescent="0.35">
      <c r="A211" s="39">
        <v>5009</v>
      </c>
      <c r="B211" s="71">
        <v>1000</v>
      </c>
      <c r="C211" s="407">
        <f>B211/15</f>
        <v>66.666666666666671</v>
      </c>
      <c r="D211" s="407">
        <f t="shared" si="5"/>
        <v>266.66666666666669</v>
      </c>
      <c r="E211"/>
      <c r="F211"/>
      <c r="G211"/>
      <c r="H211"/>
      <c r="I211"/>
      <c r="J211"/>
      <c r="K211"/>
      <c r="L211"/>
      <c r="M211"/>
      <c r="N211"/>
      <c r="O211"/>
      <c r="P211"/>
      <c r="Q211"/>
      <c r="R211"/>
    </row>
    <row r="212" spans="1:18" x14ac:dyDescent="0.35">
      <c r="A212" s="105" t="s">
        <v>834</v>
      </c>
      <c r="B212" s="71">
        <v>1000</v>
      </c>
      <c r="C212" s="407"/>
      <c r="D212" s="407"/>
      <c r="E212"/>
      <c r="F212"/>
      <c r="G212"/>
      <c r="H212"/>
      <c r="I212"/>
      <c r="J212"/>
      <c r="K212"/>
      <c r="L212"/>
      <c r="M212"/>
      <c r="N212"/>
      <c r="O212"/>
      <c r="P212"/>
      <c r="Q212"/>
      <c r="R212"/>
    </row>
    <row r="213" spans="1:18" x14ac:dyDescent="0.35">
      <c r="A213" s="39">
        <v>5010</v>
      </c>
      <c r="B213" s="71">
        <v>1000</v>
      </c>
      <c r="C213" s="407">
        <f>B213/15</f>
        <v>66.666666666666671</v>
      </c>
      <c r="D213" s="407">
        <f t="shared" si="5"/>
        <v>266.66666666666669</v>
      </c>
      <c r="E213"/>
      <c r="F213"/>
      <c r="G213"/>
      <c r="H213"/>
      <c r="I213"/>
      <c r="J213"/>
      <c r="K213"/>
      <c r="L213"/>
      <c r="M213"/>
      <c r="N213"/>
      <c r="O213"/>
      <c r="P213"/>
      <c r="Q213"/>
      <c r="R213"/>
    </row>
    <row r="214" spans="1:18" x14ac:dyDescent="0.35">
      <c r="A214" s="105" t="s">
        <v>834</v>
      </c>
      <c r="B214" s="71">
        <v>1000</v>
      </c>
      <c r="C214" s="407"/>
      <c r="D214" s="407"/>
      <c r="E214"/>
      <c r="F214"/>
      <c r="G214"/>
      <c r="H214"/>
      <c r="I214"/>
      <c r="J214"/>
      <c r="K214"/>
      <c r="L214"/>
      <c r="M214"/>
      <c r="N214"/>
      <c r="O214"/>
      <c r="P214"/>
      <c r="Q214"/>
      <c r="R214"/>
    </row>
    <row r="215" spans="1:18" x14ac:dyDescent="0.35">
      <c r="A215" s="39">
        <v>5011</v>
      </c>
      <c r="B215" s="71">
        <v>1000</v>
      </c>
      <c r="C215" s="407">
        <f>B215/15</f>
        <v>66.666666666666671</v>
      </c>
      <c r="D215" s="407">
        <f t="shared" si="5"/>
        <v>266.66666666666669</v>
      </c>
      <c r="E215"/>
      <c r="F215"/>
      <c r="G215"/>
      <c r="H215"/>
      <c r="I215"/>
      <c r="J215"/>
      <c r="K215"/>
      <c r="L215"/>
      <c r="M215"/>
      <c r="N215"/>
      <c r="O215"/>
      <c r="P215"/>
      <c r="Q215"/>
      <c r="R215"/>
    </row>
    <row r="216" spans="1:18" x14ac:dyDescent="0.35">
      <c r="A216" s="105" t="s">
        <v>834</v>
      </c>
      <c r="B216" s="71">
        <v>1000</v>
      </c>
      <c r="C216" s="407"/>
      <c r="D216" s="407"/>
      <c r="E216"/>
      <c r="F216"/>
      <c r="G216"/>
      <c r="H216"/>
      <c r="I216"/>
      <c r="J216"/>
      <c r="K216"/>
      <c r="L216"/>
      <c r="M216"/>
      <c r="N216"/>
      <c r="O216"/>
      <c r="P216"/>
      <c r="Q216"/>
      <c r="R216"/>
    </row>
    <row r="217" spans="1:18" x14ac:dyDescent="0.35">
      <c r="A217" s="39">
        <v>5012</v>
      </c>
      <c r="B217" s="71">
        <v>500</v>
      </c>
      <c r="C217" s="407">
        <f>B217/15</f>
        <v>33.333333333333336</v>
      </c>
      <c r="D217" s="407">
        <f t="shared" si="5"/>
        <v>133.33333333333334</v>
      </c>
      <c r="E217"/>
      <c r="F217"/>
      <c r="G217"/>
      <c r="H217"/>
      <c r="I217"/>
      <c r="J217"/>
      <c r="K217"/>
      <c r="L217"/>
      <c r="M217"/>
      <c r="N217"/>
      <c r="O217"/>
      <c r="P217"/>
      <c r="Q217"/>
      <c r="R217"/>
    </row>
    <row r="218" spans="1:18" x14ac:dyDescent="0.35">
      <c r="A218" s="105" t="s">
        <v>835</v>
      </c>
      <c r="B218" s="71">
        <v>500</v>
      </c>
      <c r="C218" s="407"/>
      <c r="D218" s="407"/>
      <c r="E218"/>
      <c r="F218"/>
      <c r="G218"/>
      <c r="H218"/>
      <c r="I218"/>
      <c r="J218"/>
      <c r="K218"/>
      <c r="L218"/>
      <c r="M218"/>
      <c r="N218"/>
      <c r="O218"/>
      <c r="P218"/>
      <c r="Q218"/>
      <c r="R218"/>
    </row>
    <row r="219" spans="1:18" x14ac:dyDescent="0.35">
      <c r="A219" s="39">
        <v>5037</v>
      </c>
      <c r="B219" s="71">
        <v>1500</v>
      </c>
      <c r="C219" s="407">
        <f>B219/15</f>
        <v>100</v>
      </c>
      <c r="D219" s="407">
        <f t="shared" si="5"/>
        <v>400</v>
      </c>
      <c r="E219"/>
      <c r="F219"/>
      <c r="G219"/>
      <c r="H219"/>
      <c r="I219"/>
      <c r="J219"/>
      <c r="K219"/>
      <c r="L219"/>
      <c r="M219"/>
      <c r="N219"/>
      <c r="O219"/>
      <c r="P219"/>
      <c r="Q219"/>
      <c r="R219"/>
    </row>
    <row r="220" spans="1:18" x14ac:dyDescent="0.35">
      <c r="A220" s="105" t="s">
        <v>860</v>
      </c>
      <c r="B220" s="71">
        <v>1500</v>
      </c>
      <c r="C220" s="407"/>
      <c r="D220" s="407"/>
      <c r="E220"/>
      <c r="F220"/>
      <c r="G220"/>
      <c r="H220"/>
      <c r="I220"/>
      <c r="J220"/>
      <c r="K220"/>
      <c r="L220"/>
      <c r="M220"/>
      <c r="N220"/>
      <c r="O220"/>
      <c r="P220"/>
      <c r="Q220"/>
      <c r="R220"/>
    </row>
    <row r="221" spans="1:18" x14ac:dyDescent="0.35">
      <c r="A221" s="39">
        <v>5043</v>
      </c>
      <c r="B221" s="71">
        <v>7000</v>
      </c>
      <c r="C221" s="407">
        <f>B221/15</f>
        <v>466.66666666666669</v>
      </c>
      <c r="D221" s="407">
        <f t="shared" si="5"/>
        <v>1866.6666666666667</v>
      </c>
      <c r="E221"/>
      <c r="F221"/>
      <c r="G221"/>
      <c r="H221"/>
      <c r="I221"/>
      <c r="J221"/>
      <c r="K221"/>
      <c r="L221"/>
      <c r="M221"/>
      <c r="N221"/>
      <c r="O221"/>
      <c r="P221"/>
      <c r="Q221"/>
      <c r="R221"/>
    </row>
    <row r="222" spans="1:18" x14ac:dyDescent="0.35">
      <c r="A222" s="105" t="s">
        <v>874</v>
      </c>
      <c r="B222" s="71">
        <v>7000</v>
      </c>
      <c r="C222" s="407"/>
      <c r="D222" s="407"/>
      <c r="E222"/>
      <c r="F222"/>
      <c r="G222"/>
      <c r="H222"/>
      <c r="I222"/>
      <c r="J222"/>
      <c r="K222"/>
      <c r="L222"/>
      <c r="M222"/>
      <c r="N222"/>
      <c r="O222"/>
      <c r="P222"/>
      <c r="Q222"/>
      <c r="R222"/>
    </row>
    <row r="223" spans="1:18" x14ac:dyDescent="0.35">
      <c r="A223" s="39">
        <v>5047</v>
      </c>
      <c r="B223" s="71">
        <v>15000</v>
      </c>
      <c r="C223" s="407">
        <f>B223/15</f>
        <v>1000</v>
      </c>
      <c r="D223" s="407">
        <f t="shared" si="5"/>
        <v>4000</v>
      </c>
      <c r="E223"/>
      <c r="F223"/>
      <c r="G223"/>
      <c r="H223"/>
      <c r="I223"/>
      <c r="J223"/>
      <c r="K223"/>
      <c r="L223"/>
      <c r="M223"/>
      <c r="N223"/>
      <c r="O223"/>
      <c r="P223"/>
      <c r="Q223"/>
      <c r="R223"/>
    </row>
    <row r="224" spans="1:18" x14ac:dyDescent="0.35">
      <c r="A224" s="105" t="s">
        <v>1012</v>
      </c>
      <c r="B224" s="71">
        <v>15000</v>
      </c>
      <c r="C224" s="407"/>
      <c r="D224" s="407"/>
      <c r="E224"/>
      <c r="F224"/>
      <c r="G224"/>
      <c r="H224"/>
      <c r="I224"/>
      <c r="J224"/>
      <c r="K224"/>
      <c r="L224"/>
      <c r="M224"/>
      <c r="N224"/>
      <c r="O224"/>
      <c r="P224"/>
      <c r="Q224"/>
      <c r="R224"/>
    </row>
    <row r="225" spans="1:18" x14ac:dyDescent="0.35">
      <c r="A225" s="39">
        <v>5050</v>
      </c>
      <c r="B225" s="71">
        <v>600</v>
      </c>
      <c r="C225" s="407">
        <f>B225/15</f>
        <v>40</v>
      </c>
      <c r="D225" s="407">
        <f t="shared" si="5"/>
        <v>160</v>
      </c>
      <c r="E225"/>
      <c r="F225"/>
      <c r="G225"/>
      <c r="H225"/>
      <c r="I225"/>
      <c r="J225"/>
      <c r="K225"/>
      <c r="L225"/>
      <c r="M225"/>
      <c r="N225"/>
      <c r="O225"/>
      <c r="P225"/>
      <c r="Q225"/>
      <c r="R225"/>
    </row>
    <row r="226" spans="1:18" x14ac:dyDescent="0.35">
      <c r="A226" s="105" t="s">
        <v>1041</v>
      </c>
      <c r="B226" s="71">
        <v>600</v>
      </c>
      <c r="C226" s="407"/>
      <c r="D226" s="407"/>
      <c r="E226"/>
      <c r="F226"/>
      <c r="G226"/>
      <c r="H226"/>
      <c r="I226"/>
      <c r="J226"/>
      <c r="K226"/>
      <c r="L226"/>
      <c r="M226"/>
      <c r="N226"/>
      <c r="O226"/>
      <c r="P226"/>
      <c r="Q226"/>
      <c r="R226"/>
    </row>
    <row r="227" spans="1:18" x14ac:dyDescent="0.35">
      <c r="A227" s="39">
        <v>5051</v>
      </c>
      <c r="B227" s="71">
        <v>3000</v>
      </c>
      <c r="C227" s="407">
        <f>B227/15</f>
        <v>200</v>
      </c>
      <c r="D227" s="407">
        <f t="shared" si="5"/>
        <v>800</v>
      </c>
      <c r="E227"/>
      <c r="F227"/>
      <c r="G227"/>
      <c r="H227"/>
      <c r="I227"/>
      <c r="J227"/>
      <c r="K227"/>
      <c r="L227"/>
      <c r="M227"/>
      <c r="N227"/>
      <c r="O227"/>
      <c r="P227"/>
      <c r="Q227"/>
      <c r="R227"/>
    </row>
    <row r="228" spans="1:18" x14ac:dyDescent="0.35">
      <c r="A228" s="105" t="s">
        <v>1057</v>
      </c>
      <c r="B228" s="71">
        <v>3000</v>
      </c>
      <c r="C228" s="407"/>
      <c r="D228" s="407"/>
      <c r="E228"/>
      <c r="F228"/>
      <c r="G228"/>
      <c r="H228"/>
      <c r="I228"/>
      <c r="J228"/>
      <c r="K228"/>
      <c r="L228"/>
      <c r="M228"/>
      <c r="N228"/>
      <c r="O228"/>
      <c r="P228"/>
      <c r="Q228"/>
      <c r="R228"/>
    </row>
    <row r="229" spans="1:18" x14ac:dyDescent="0.35">
      <c r="A229" s="39">
        <v>5101</v>
      </c>
      <c r="B229" s="71">
        <v>1200</v>
      </c>
      <c r="C229" s="407">
        <f>B229/15</f>
        <v>80</v>
      </c>
      <c r="D229" s="407">
        <f t="shared" si="5"/>
        <v>320</v>
      </c>
      <c r="E229"/>
      <c r="F229"/>
      <c r="G229"/>
      <c r="H229"/>
      <c r="I229"/>
      <c r="J229"/>
      <c r="K229"/>
      <c r="L229"/>
      <c r="M229"/>
      <c r="N229"/>
      <c r="O229"/>
      <c r="P229"/>
      <c r="Q229"/>
      <c r="R229"/>
    </row>
    <row r="230" spans="1:18" x14ac:dyDescent="0.35">
      <c r="A230" s="105" t="s">
        <v>1019</v>
      </c>
      <c r="B230" s="71">
        <v>1200</v>
      </c>
      <c r="C230" s="407"/>
      <c r="D230" s="407"/>
      <c r="E230"/>
      <c r="F230"/>
      <c r="G230"/>
      <c r="H230"/>
      <c r="I230"/>
      <c r="J230"/>
      <c r="K230"/>
      <c r="L230"/>
      <c r="M230"/>
      <c r="N230"/>
      <c r="O230"/>
      <c r="P230"/>
      <c r="Q230"/>
      <c r="R230"/>
    </row>
    <row r="231" spans="1:18" x14ac:dyDescent="0.35">
      <c r="A231" s="39">
        <v>5149</v>
      </c>
      <c r="B231" s="71">
        <v>800</v>
      </c>
      <c r="C231" s="407">
        <f>B231/15</f>
        <v>53.333333333333336</v>
      </c>
      <c r="D231" s="407">
        <f t="shared" si="5"/>
        <v>213.33333333333334</v>
      </c>
      <c r="E231"/>
      <c r="F231"/>
      <c r="G231"/>
      <c r="H231"/>
      <c r="I231"/>
      <c r="J231"/>
      <c r="K231"/>
      <c r="L231"/>
      <c r="M231"/>
      <c r="N231"/>
      <c r="O231"/>
      <c r="P231"/>
      <c r="Q231"/>
      <c r="R231"/>
    </row>
    <row r="232" spans="1:18" x14ac:dyDescent="0.35">
      <c r="A232" s="105" t="s">
        <v>1111</v>
      </c>
      <c r="B232" s="71">
        <v>800</v>
      </c>
      <c r="C232" s="407"/>
      <c r="D232" s="407"/>
      <c r="E232"/>
      <c r="F232"/>
      <c r="G232"/>
      <c r="H232"/>
      <c r="I232"/>
      <c r="J232"/>
      <c r="K232"/>
      <c r="L232"/>
      <c r="M232"/>
      <c r="N232"/>
      <c r="O232"/>
      <c r="P232"/>
      <c r="Q232"/>
      <c r="R232"/>
    </row>
    <row r="233" spans="1:18" x14ac:dyDescent="0.35">
      <c r="A233" s="39">
        <v>5155</v>
      </c>
      <c r="B233" s="71">
        <v>1300</v>
      </c>
      <c r="C233" s="407">
        <f>B233/15</f>
        <v>86.666666666666671</v>
      </c>
      <c r="D233" s="407">
        <f t="shared" si="5"/>
        <v>346.66666666666669</v>
      </c>
      <c r="E233"/>
      <c r="F233"/>
      <c r="G233"/>
      <c r="H233"/>
      <c r="I233"/>
      <c r="J233"/>
      <c r="K233"/>
      <c r="L233"/>
      <c r="M233"/>
      <c r="N233"/>
      <c r="O233"/>
      <c r="P233"/>
      <c r="Q233"/>
      <c r="R233"/>
    </row>
    <row r="234" spans="1:18" x14ac:dyDescent="0.35">
      <c r="A234" s="105" t="s">
        <v>1110</v>
      </c>
      <c r="B234" s="71">
        <v>800</v>
      </c>
      <c r="C234" s="407"/>
      <c r="D234" s="407"/>
      <c r="E234"/>
      <c r="F234"/>
      <c r="G234"/>
      <c r="H234"/>
      <c r="I234"/>
      <c r="J234"/>
      <c r="K234"/>
      <c r="L234"/>
      <c r="M234"/>
      <c r="N234"/>
      <c r="O234"/>
      <c r="P234"/>
      <c r="Q234"/>
      <c r="R234"/>
    </row>
    <row r="235" spans="1:18" x14ac:dyDescent="0.35">
      <c r="A235" s="105" t="s">
        <v>1203</v>
      </c>
      <c r="B235" s="71">
        <v>500</v>
      </c>
      <c r="C235" s="407"/>
      <c r="D235" s="407"/>
      <c r="E235"/>
      <c r="F235"/>
      <c r="G235"/>
      <c r="H235"/>
      <c r="I235"/>
      <c r="J235"/>
      <c r="K235"/>
      <c r="L235"/>
      <c r="M235"/>
      <c r="N235"/>
      <c r="O235"/>
      <c r="P235"/>
      <c r="Q235"/>
      <c r="R235"/>
    </row>
    <row r="236" spans="1:18" x14ac:dyDescent="0.35">
      <c r="A236" s="39">
        <v>5156</v>
      </c>
      <c r="B236" s="71">
        <v>2200</v>
      </c>
      <c r="C236" s="407">
        <f>B236/15</f>
        <v>146.66666666666666</v>
      </c>
      <c r="D236" s="407">
        <f t="shared" si="5"/>
        <v>586.66666666666663</v>
      </c>
      <c r="E236"/>
      <c r="F236"/>
      <c r="G236"/>
      <c r="H236"/>
      <c r="I236"/>
      <c r="J236"/>
      <c r="K236"/>
      <c r="L236"/>
      <c r="M236"/>
      <c r="N236"/>
      <c r="O236"/>
      <c r="P236"/>
      <c r="Q236"/>
      <c r="R236"/>
    </row>
    <row r="237" spans="1:18" x14ac:dyDescent="0.35">
      <c r="A237" s="105" t="s">
        <v>1049</v>
      </c>
      <c r="B237" s="71">
        <v>2200</v>
      </c>
      <c r="C237" s="407"/>
      <c r="D237" s="407"/>
      <c r="E237"/>
      <c r="F237"/>
      <c r="G237"/>
      <c r="H237"/>
      <c r="I237"/>
      <c r="J237"/>
      <c r="K237"/>
      <c r="L237"/>
      <c r="M237"/>
      <c r="N237"/>
      <c r="O237"/>
      <c r="P237"/>
      <c r="Q237"/>
      <c r="R237"/>
    </row>
    <row r="238" spans="1:18" x14ac:dyDescent="0.35">
      <c r="A238" s="39">
        <v>5196</v>
      </c>
      <c r="B238" s="71">
        <v>500</v>
      </c>
      <c r="C238" s="407">
        <f>B238/15</f>
        <v>33.333333333333336</v>
      </c>
      <c r="D238" s="407">
        <f t="shared" si="5"/>
        <v>133.33333333333334</v>
      </c>
      <c r="E238"/>
      <c r="F238"/>
      <c r="G238"/>
      <c r="H238"/>
      <c r="I238"/>
      <c r="J238"/>
      <c r="K238"/>
      <c r="L238"/>
      <c r="M238"/>
      <c r="N238"/>
      <c r="O238"/>
      <c r="P238"/>
      <c r="Q238"/>
      <c r="R238"/>
    </row>
    <row r="239" spans="1:18" x14ac:dyDescent="0.35">
      <c r="A239" s="105" t="s">
        <v>1130</v>
      </c>
      <c r="B239" s="71">
        <v>500</v>
      </c>
      <c r="C239" s="407"/>
      <c r="D239" s="407"/>
      <c r="E239"/>
      <c r="F239"/>
      <c r="G239"/>
      <c r="H239"/>
      <c r="I239"/>
      <c r="J239"/>
      <c r="K239"/>
      <c r="L239"/>
      <c r="M239"/>
      <c r="N239"/>
      <c r="O239"/>
      <c r="P239"/>
      <c r="Q239"/>
      <c r="R239"/>
    </row>
    <row r="240" spans="1:18" x14ac:dyDescent="0.35">
      <c r="A240" s="39">
        <v>5202</v>
      </c>
      <c r="B240" s="71">
        <v>1000</v>
      </c>
      <c r="C240" s="407">
        <f>B240/15</f>
        <v>66.666666666666671</v>
      </c>
      <c r="D240" s="407">
        <f t="shared" si="5"/>
        <v>266.66666666666669</v>
      </c>
      <c r="E240"/>
      <c r="F240"/>
      <c r="G240"/>
      <c r="H240"/>
      <c r="I240"/>
      <c r="J240"/>
      <c r="K240"/>
      <c r="L240"/>
      <c r="M240"/>
      <c r="N240"/>
      <c r="O240"/>
      <c r="P240"/>
      <c r="Q240"/>
      <c r="R240"/>
    </row>
    <row r="241" spans="1:18" x14ac:dyDescent="0.35">
      <c r="A241" s="105" t="s">
        <v>1042</v>
      </c>
      <c r="B241" s="71">
        <v>1000</v>
      </c>
      <c r="C241" s="407"/>
      <c r="D241" s="407"/>
      <c r="E241"/>
      <c r="F241"/>
      <c r="G241"/>
      <c r="H241"/>
      <c r="I241"/>
      <c r="J241"/>
      <c r="K241"/>
      <c r="L241"/>
      <c r="M241"/>
      <c r="N241"/>
      <c r="O241"/>
      <c r="P241"/>
      <c r="Q241"/>
      <c r="R241"/>
    </row>
    <row r="242" spans="1:18" x14ac:dyDescent="0.35">
      <c r="A242" s="39">
        <v>5215</v>
      </c>
      <c r="B242" s="71">
        <v>3500</v>
      </c>
      <c r="C242" s="407">
        <f>B242/15</f>
        <v>233.33333333333334</v>
      </c>
      <c r="D242" s="407">
        <f t="shared" si="5"/>
        <v>933.33333333333337</v>
      </c>
      <c r="E242"/>
      <c r="F242"/>
      <c r="G242"/>
      <c r="H242"/>
      <c r="I242"/>
      <c r="J242"/>
      <c r="K242"/>
      <c r="L242"/>
      <c r="M242"/>
      <c r="N242"/>
      <c r="O242"/>
      <c r="P242"/>
      <c r="Q242"/>
      <c r="R242"/>
    </row>
    <row r="243" spans="1:18" x14ac:dyDescent="0.35">
      <c r="A243" s="105" t="s">
        <v>1254</v>
      </c>
      <c r="B243" s="71">
        <v>3500</v>
      </c>
      <c r="C243" s="407"/>
      <c r="D243" s="407"/>
      <c r="E243"/>
      <c r="F243"/>
      <c r="G243"/>
      <c r="H243"/>
      <c r="I243"/>
      <c r="J243"/>
      <c r="K243"/>
      <c r="L243"/>
      <c r="M243"/>
      <c r="N243"/>
      <c r="O243"/>
      <c r="P243"/>
      <c r="Q243"/>
      <c r="R243"/>
    </row>
    <row r="244" spans="1:18" x14ac:dyDescent="0.35">
      <c r="A244" s="39">
        <v>5216</v>
      </c>
      <c r="B244" s="71">
        <v>3500</v>
      </c>
      <c r="C244" s="407">
        <f>B244/15</f>
        <v>233.33333333333334</v>
      </c>
      <c r="D244" s="407">
        <f t="shared" si="5"/>
        <v>933.33333333333337</v>
      </c>
      <c r="E244"/>
      <c r="F244"/>
      <c r="G244"/>
      <c r="H244"/>
      <c r="I244"/>
      <c r="J244"/>
      <c r="K244"/>
      <c r="L244"/>
      <c r="M244"/>
      <c r="N244"/>
      <c r="O244"/>
      <c r="P244"/>
      <c r="Q244"/>
      <c r="R244"/>
    </row>
    <row r="245" spans="1:18" x14ac:dyDescent="0.35">
      <c r="A245" s="105" t="s">
        <v>1255</v>
      </c>
      <c r="B245" s="71">
        <v>3500</v>
      </c>
      <c r="C245" s="407"/>
      <c r="D245" s="407"/>
      <c r="E245"/>
      <c r="F245"/>
      <c r="G245"/>
      <c r="H245"/>
      <c r="I245"/>
      <c r="J245"/>
      <c r="K245"/>
      <c r="L245"/>
      <c r="M245"/>
      <c r="N245"/>
      <c r="O245"/>
      <c r="P245"/>
      <c r="Q245"/>
      <c r="R245"/>
    </row>
    <row r="246" spans="1:18" x14ac:dyDescent="0.35">
      <c r="A246" s="39">
        <v>5217</v>
      </c>
      <c r="B246" s="71">
        <v>3500</v>
      </c>
      <c r="C246" s="407">
        <f>B246/15</f>
        <v>233.33333333333334</v>
      </c>
      <c r="D246" s="407">
        <f t="shared" si="5"/>
        <v>933.33333333333337</v>
      </c>
      <c r="E246"/>
      <c r="F246"/>
      <c r="G246"/>
      <c r="H246"/>
      <c r="I246"/>
      <c r="J246"/>
      <c r="K246"/>
      <c r="L246"/>
      <c r="M246"/>
      <c r="N246"/>
      <c r="O246"/>
      <c r="P246"/>
      <c r="Q246"/>
      <c r="R246"/>
    </row>
    <row r="247" spans="1:18" x14ac:dyDescent="0.35">
      <c r="A247" s="105" t="s">
        <v>1253</v>
      </c>
      <c r="B247" s="71">
        <v>3500</v>
      </c>
      <c r="C247" s="407"/>
      <c r="D247" s="407"/>
      <c r="E247"/>
      <c r="F247"/>
      <c r="G247"/>
      <c r="H247"/>
      <c r="I247"/>
      <c r="J247"/>
      <c r="K247"/>
      <c r="L247"/>
      <c r="M247"/>
      <c r="N247"/>
      <c r="O247"/>
      <c r="P247"/>
      <c r="Q247"/>
      <c r="R247"/>
    </row>
    <row r="248" spans="1:18" x14ac:dyDescent="0.35">
      <c r="A248" s="39">
        <v>5220</v>
      </c>
      <c r="B248" s="71">
        <v>1200</v>
      </c>
      <c r="C248" s="407">
        <f>B248/15</f>
        <v>80</v>
      </c>
      <c r="D248" s="407">
        <f t="shared" si="5"/>
        <v>320</v>
      </c>
      <c r="E248"/>
      <c r="F248"/>
      <c r="G248"/>
      <c r="H248"/>
      <c r="I248"/>
      <c r="J248"/>
      <c r="K248"/>
      <c r="L248"/>
      <c r="M248"/>
      <c r="N248"/>
      <c r="O248"/>
      <c r="P248"/>
      <c r="Q248"/>
      <c r="R248"/>
    </row>
    <row r="249" spans="1:18" x14ac:dyDescent="0.35">
      <c r="A249" s="105" t="s">
        <v>1076</v>
      </c>
      <c r="B249" s="71">
        <v>1200</v>
      </c>
      <c r="C249" s="407"/>
      <c r="D249" s="407"/>
      <c r="E249"/>
      <c r="F249"/>
      <c r="G249"/>
      <c r="H249"/>
      <c r="I249"/>
      <c r="J249"/>
      <c r="K249"/>
      <c r="L249"/>
      <c r="M249"/>
      <c r="N249"/>
      <c r="O249"/>
      <c r="P249"/>
      <c r="Q249"/>
      <c r="R249"/>
    </row>
    <row r="250" spans="1:18" x14ac:dyDescent="0.35">
      <c r="A250" s="39">
        <v>5223</v>
      </c>
      <c r="B250" s="71">
        <v>1000</v>
      </c>
      <c r="C250" s="407">
        <f>B250/15</f>
        <v>66.666666666666671</v>
      </c>
      <c r="D250" s="407">
        <f t="shared" si="5"/>
        <v>266.66666666666669</v>
      </c>
      <c r="E250"/>
      <c r="F250"/>
      <c r="G250"/>
      <c r="H250"/>
      <c r="I250"/>
      <c r="J250"/>
      <c r="K250"/>
      <c r="L250"/>
      <c r="M250"/>
      <c r="N250"/>
      <c r="O250"/>
      <c r="P250"/>
      <c r="Q250"/>
      <c r="R250"/>
    </row>
    <row r="251" spans="1:18" x14ac:dyDescent="0.35">
      <c r="A251" s="105" t="s">
        <v>1239</v>
      </c>
      <c r="B251" s="71">
        <v>1000</v>
      </c>
      <c r="C251" s="407"/>
      <c r="D251" s="407"/>
      <c r="E251"/>
      <c r="F251"/>
      <c r="G251"/>
      <c r="H251"/>
      <c r="I251"/>
      <c r="J251"/>
      <c r="K251"/>
      <c r="L251"/>
      <c r="M251"/>
      <c r="N251"/>
      <c r="O251"/>
      <c r="P251"/>
      <c r="Q251"/>
      <c r="R251"/>
    </row>
    <row r="252" spans="1:18" x14ac:dyDescent="0.35">
      <c r="A252" s="39">
        <v>5277</v>
      </c>
      <c r="B252" s="71">
        <v>10260</v>
      </c>
      <c r="C252" s="407">
        <f>B252/15</f>
        <v>684</v>
      </c>
      <c r="D252" s="407">
        <f t="shared" si="5"/>
        <v>2736</v>
      </c>
      <c r="E252"/>
      <c r="F252"/>
      <c r="G252"/>
      <c r="H252"/>
      <c r="I252"/>
      <c r="J252"/>
      <c r="K252"/>
      <c r="L252"/>
      <c r="M252"/>
      <c r="N252"/>
      <c r="O252"/>
      <c r="P252"/>
      <c r="Q252"/>
      <c r="R252"/>
    </row>
    <row r="253" spans="1:18" x14ac:dyDescent="0.35">
      <c r="A253" s="105" t="s">
        <v>1173</v>
      </c>
      <c r="B253" s="71">
        <v>10260</v>
      </c>
      <c r="C253" s="407"/>
      <c r="D253" s="407"/>
      <c r="E253"/>
      <c r="F253"/>
      <c r="G253"/>
      <c r="H253"/>
      <c r="I253"/>
      <c r="J253"/>
      <c r="K253"/>
      <c r="L253"/>
      <c r="M253"/>
      <c r="N253"/>
      <c r="O253"/>
      <c r="P253"/>
      <c r="Q253"/>
      <c r="R253"/>
    </row>
    <row r="254" spans="1:18" x14ac:dyDescent="0.35">
      <c r="A254" s="39">
        <v>5278</v>
      </c>
      <c r="B254" s="71">
        <v>3841</v>
      </c>
      <c r="C254" s="407">
        <f>B254/15</f>
        <v>256.06666666666666</v>
      </c>
      <c r="D254" s="407">
        <f t="shared" si="5"/>
        <v>1024.2666666666667</v>
      </c>
      <c r="E254"/>
      <c r="F254"/>
      <c r="G254"/>
      <c r="H254"/>
      <c r="I254"/>
      <c r="J254"/>
      <c r="K254"/>
      <c r="L254"/>
      <c r="M254"/>
      <c r="N254"/>
      <c r="O254"/>
      <c r="P254"/>
      <c r="Q254"/>
      <c r="R254"/>
    </row>
    <row r="255" spans="1:18" x14ac:dyDescent="0.35">
      <c r="A255" s="105" t="s">
        <v>1174</v>
      </c>
      <c r="B255" s="71">
        <v>3841</v>
      </c>
      <c r="C255" s="407"/>
      <c r="D255" s="407"/>
      <c r="E255"/>
      <c r="F255"/>
      <c r="G255"/>
      <c r="H255"/>
      <c r="I255"/>
      <c r="J255"/>
      <c r="K255"/>
      <c r="L255"/>
      <c r="M255"/>
      <c r="N255"/>
      <c r="O255"/>
      <c r="P255"/>
      <c r="Q255"/>
      <c r="R255"/>
    </row>
    <row r="256" spans="1:18" x14ac:dyDescent="0.35">
      <c r="A256" s="39">
        <v>5288</v>
      </c>
      <c r="B256" s="71">
        <v>2500</v>
      </c>
      <c r="C256" s="407">
        <f>B256/15</f>
        <v>166.66666666666666</v>
      </c>
      <c r="D256" s="407">
        <f t="shared" si="5"/>
        <v>666.66666666666663</v>
      </c>
      <c r="E256"/>
      <c r="F256"/>
      <c r="G256"/>
      <c r="H256"/>
      <c r="I256"/>
      <c r="J256"/>
      <c r="K256"/>
      <c r="L256"/>
      <c r="M256"/>
      <c r="N256"/>
      <c r="O256"/>
      <c r="P256"/>
      <c r="Q256"/>
      <c r="R256"/>
    </row>
    <row r="257" spans="1:18" x14ac:dyDescent="0.35">
      <c r="A257" s="105" t="s">
        <v>1183</v>
      </c>
      <c r="B257" s="71">
        <v>2500</v>
      </c>
      <c r="C257" s="407"/>
      <c r="D257" s="407"/>
      <c r="E257"/>
      <c r="F257"/>
      <c r="G257"/>
      <c r="H257"/>
      <c r="I257"/>
      <c r="J257"/>
      <c r="K257"/>
      <c r="L257"/>
      <c r="M257"/>
      <c r="N257"/>
      <c r="O257"/>
      <c r="P257"/>
      <c r="Q257"/>
      <c r="R257"/>
    </row>
    <row r="258" spans="1:18" x14ac:dyDescent="0.35">
      <c r="A258" s="39">
        <v>5314</v>
      </c>
      <c r="B258" s="71">
        <v>5500</v>
      </c>
      <c r="C258" s="407">
        <f>B258/15</f>
        <v>366.66666666666669</v>
      </c>
      <c r="D258" s="407">
        <f t="shared" si="5"/>
        <v>1466.6666666666667</v>
      </c>
      <c r="E258"/>
      <c r="F258"/>
      <c r="G258"/>
      <c r="H258"/>
      <c r="I258"/>
      <c r="J258"/>
      <c r="K258"/>
      <c r="L258"/>
      <c r="M258"/>
      <c r="N258"/>
      <c r="O258"/>
      <c r="P258"/>
      <c r="Q258"/>
      <c r="R258"/>
    </row>
    <row r="259" spans="1:18" x14ac:dyDescent="0.35">
      <c r="A259" s="105" t="s">
        <v>1118</v>
      </c>
      <c r="B259" s="71">
        <v>5500</v>
      </c>
      <c r="C259" s="407"/>
      <c r="D259" s="407"/>
      <c r="E259"/>
      <c r="F259"/>
      <c r="G259"/>
      <c r="H259"/>
      <c r="I259"/>
      <c r="J259"/>
      <c r="K259"/>
      <c r="L259"/>
      <c r="M259"/>
      <c r="N259"/>
      <c r="O259"/>
      <c r="P259"/>
      <c r="Q259"/>
      <c r="R259"/>
    </row>
    <row r="260" spans="1:18" x14ac:dyDescent="0.35">
      <c r="A260" s="39">
        <v>5315</v>
      </c>
      <c r="B260" s="71">
        <v>3000</v>
      </c>
      <c r="C260" s="407">
        <f>B260/15</f>
        <v>200</v>
      </c>
      <c r="D260" s="407">
        <f t="shared" si="5"/>
        <v>800</v>
      </c>
      <c r="E260"/>
      <c r="F260"/>
      <c r="G260"/>
      <c r="H260"/>
      <c r="I260"/>
      <c r="J260"/>
      <c r="K260"/>
      <c r="L260"/>
      <c r="M260"/>
      <c r="N260"/>
      <c r="O260"/>
      <c r="P260"/>
      <c r="Q260"/>
      <c r="R260"/>
    </row>
    <row r="261" spans="1:18" x14ac:dyDescent="0.35">
      <c r="A261" s="105" t="s">
        <v>1119</v>
      </c>
      <c r="B261" s="71">
        <v>3000</v>
      </c>
      <c r="C261" s="407"/>
      <c r="D261" s="407"/>
      <c r="E261"/>
      <c r="F261"/>
      <c r="G261"/>
      <c r="H261"/>
      <c r="I261"/>
      <c r="J261"/>
      <c r="K261"/>
      <c r="L261"/>
      <c r="M261"/>
      <c r="N261"/>
      <c r="O261"/>
      <c r="P261"/>
      <c r="Q261"/>
      <c r="R261"/>
    </row>
    <row r="262" spans="1:18" x14ac:dyDescent="0.35">
      <c r="A262" s="39">
        <v>5316</v>
      </c>
      <c r="B262" s="71">
        <v>1000</v>
      </c>
      <c r="C262" s="407">
        <f>B262/15</f>
        <v>66.666666666666671</v>
      </c>
      <c r="D262" s="407">
        <f t="shared" si="5"/>
        <v>266.66666666666669</v>
      </c>
      <c r="E262"/>
      <c r="F262"/>
      <c r="G262"/>
      <c r="H262"/>
      <c r="I262"/>
      <c r="J262"/>
      <c r="K262"/>
      <c r="L262"/>
      <c r="M262"/>
      <c r="N262"/>
      <c r="O262"/>
      <c r="P262"/>
      <c r="Q262"/>
      <c r="R262"/>
    </row>
    <row r="263" spans="1:18" x14ac:dyDescent="0.35">
      <c r="A263" s="105" t="s">
        <v>1120</v>
      </c>
      <c r="B263" s="71">
        <v>1000</v>
      </c>
      <c r="C263" s="407"/>
      <c r="D263" s="407"/>
      <c r="E263"/>
      <c r="F263"/>
      <c r="G263"/>
      <c r="H263"/>
      <c r="I263"/>
      <c r="J263"/>
      <c r="K263"/>
      <c r="L263"/>
      <c r="M263"/>
      <c r="N263"/>
      <c r="O263"/>
      <c r="P263"/>
      <c r="Q263"/>
      <c r="R263"/>
    </row>
    <row r="264" spans="1:18" x14ac:dyDescent="0.35">
      <c r="A264" s="39">
        <v>5326</v>
      </c>
      <c r="B264" s="71">
        <v>1000</v>
      </c>
      <c r="C264" s="407">
        <f>B264/15</f>
        <v>66.666666666666671</v>
      </c>
      <c r="D264" s="407">
        <f t="shared" si="5"/>
        <v>266.66666666666669</v>
      </c>
      <c r="E264"/>
      <c r="F264"/>
      <c r="G264"/>
      <c r="H264"/>
      <c r="I264"/>
      <c r="J264"/>
      <c r="K264"/>
      <c r="L264"/>
      <c r="M264"/>
      <c r="N264"/>
      <c r="O264"/>
      <c r="P264"/>
      <c r="Q264"/>
      <c r="R264"/>
    </row>
    <row r="265" spans="1:18" x14ac:dyDescent="0.35">
      <c r="A265" s="105" t="s">
        <v>1121</v>
      </c>
      <c r="B265" s="71">
        <v>1000</v>
      </c>
      <c r="C265" s="407"/>
      <c r="D265" s="407"/>
      <c r="E265"/>
      <c r="F265"/>
      <c r="G265"/>
      <c r="H265"/>
      <c r="I265"/>
      <c r="J265"/>
      <c r="K265"/>
      <c r="L265"/>
      <c r="M265"/>
      <c r="N265"/>
      <c r="O265"/>
      <c r="P265"/>
      <c r="Q265"/>
      <c r="R265"/>
    </row>
    <row r="266" spans="1:18" x14ac:dyDescent="0.35">
      <c r="A266" s="39">
        <v>5327</v>
      </c>
      <c r="B266" s="71">
        <v>4000</v>
      </c>
      <c r="C266" s="407">
        <f>B266/15</f>
        <v>266.66666666666669</v>
      </c>
      <c r="D266" s="407">
        <f t="shared" ref="D266:D327" si="6">C266*4</f>
        <v>1066.6666666666667</v>
      </c>
      <c r="E266"/>
      <c r="F266"/>
      <c r="G266"/>
      <c r="H266"/>
      <c r="I266"/>
      <c r="J266"/>
      <c r="K266"/>
      <c r="L266"/>
      <c r="M266"/>
      <c r="N266"/>
      <c r="O266"/>
      <c r="P266"/>
      <c r="Q266"/>
      <c r="R266"/>
    </row>
    <row r="267" spans="1:18" x14ac:dyDescent="0.35">
      <c r="A267" s="105" t="s">
        <v>1122</v>
      </c>
      <c r="B267" s="71">
        <v>2000</v>
      </c>
      <c r="C267" s="407"/>
      <c r="D267" s="407"/>
      <c r="E267"/>
      <c r="F267"/>
      <c r="G267"/>
      <c r="H267"/>
      <c r="I267"/>
      <c r="J267"/>
      <c r="K267"/>
      <c r="L267"/>
      <c r="M267"/>
      <c r="N267"/>
      <c r="O267"/>
      <c r="P267"/>
      <c r="Q267"/>
      <c r="R267"/>
    </row>
    <row r="268" spans="1:18" x14ac:dyDescent="0.35">
      <c r="A268" s="105" t="s">
        <v>1124</v>
      </c>
      <c r="B268" s="71">
        <v>2000</v>
      </c>
      <c r="C268" s="407"/>
      <c r="D268" s="407"/>
      <c r="E268"/>
      <c r="F268"/>
      <c r="G268"/>
      <c r="H268"/>
      <c r="I268"/>
      <c r="J268"/>
      <c r="K268"/>
      <c r="L268"/>
      <c r="M268"/>
      <c r="N268"/>
      <c r="O268"/>
      <c r="P268"/>
      <c r="Q268"/>
      <c r="R268"/>
    </row>
    <row r="269" spans="1:18" x14ac:dyDescent="0.35">
      <c r="A269" s="39">
        <v>5344</v>
      </c>
      <c r="B269" s="71">
        <v>1000</v>
      </c>
      <c r="C269" s="407">
        <f>B269/15</f>
        <v>66.666666666666671</v>
      </c>
      <c r="D269" s="407">
        <f t="shared" si="6"/>
        <v>266.66666666666669</v>
      </c>
      <c r="E269"/>
      <c r="F269"/>
      <c r="G269"/>
      <c r="H269"/>
      <c r="I269"/>
      <c r="J269"/>
      <c r="K269"/>
      <c r="L269"/>
      <c r="M269"/>
      <c r="N269"/>
      <c r="O269"/>
      <c r="P269"/>
      <c r="Q269"/>
      <c r="R269"/>
    </row>
    <row r="270" spans="1:18" x14ac:dyDescent="0.35">
      <c r="A270" s="105" t="s">
        <v>1135</v>
      </c>
      <c r="B270" s="71">
        <v>1000</v>
      </c>
      <c r="C270" s="407"/>
      <c r="D270" s="407"/>
      <c r="E270"/>
      <c r="F270"/>
      <c r="G270"/>
      <c r="H270"/>
      <c r="I270"/>
      <c r="J270"/>
      <c r="K270"/>
      <c r="L270"/>
      <c r="M270"/>
      <c r="N270"/>
      <c r="O270"/>
      <c r="P270"/>
      <c r="Q270"/>
      <c r="R270"/>
    </row>
    <row r="271" spans="1:18" x14ac:dyDescent="0.35">
      <c r="A271" s="39">
        <v>5348</v>
      </c>
      <c r="B271" s="71">
        <v>1589</v>
      </c>
      <c r="C271" s="407">
        <f>B271/15</f>
        <v>105.93333333333334</v>
      </c>
      <c r="D271" s="407">
        <f t="shared" si="6"/>
        <v>423.73333333333335</v>
      </c>
      <c r="E271"/>
      <c r="F271"/>
      <c r="G271"/>
      <c r="H271"/>
      <c r="I271"/>
      <c r="J271"/>
      <c r="K271"/>
      <c r="L271"/>
      <c r="M271"/>
      <c r="N271"/>
      <c r="O271"/>
      <c r="P271"/>
      <c r="Q271"/>
      <c r="R271"/>
    </row>
    <row r="272" spans="1:18" x14ac:dyDescent="0.35">
      <c r="A272" s="105" t="s">
        <v>1175</v>
      </c>
      <c r="B272" s="71">
        <v>1589</v>
      </c>
      <c r="C272" s="407"/>
      <c r="D272" s="407"/>
      <c r="E272"/>
      <c r="F272"/>
      <c r="G272"/>
      <c r="H272"/>
      <c r="I272"/>
      <c r="J272"/>
      <c r="K272"/>
      <c r="L272"/>
      <c r="M272"/>
      <c r="N272"/>
      <c r="O272"/>
      <c r="P272"/>
      <c r="Q272"/>
      <c r="R272"/>
    </row>
    <row r="273" spans="1:18" x14ac:dyDescent="0.35">
      <c r="A273" s="39">
        <v>5350</v>
      </c>
      <c r="B273" s="71">
        <v>2000</v>
      </c>
      <c r="C273" s="407">
        <f>B273/15</f>
        <v>133.33333333333334</v>
      </c>
      <c r="D273" s="407">
        <f t="shared" si="6"/>
        <v>533.33333333333337</v>
      </c>
      <c r="E273"/>
      <c r="F273"/>
      <c r="G273"/>
      <c r="H273"/>
      <c r="I273"/>
      <c r="J273"/>
      <c r="K273"/>
      <c r="L273"/>
      <c r="M273"/>
      <c r="N273"/>
      <c r="O273"/>
      <c r="P273"/>
      <c r="Q273"/>
      <c r="R273"/>
    </row>
    <row r="274" spans="1:18" x14ac:dyDescent="0.35">
      <c r="A274" s="105" t="s">
        <v>1156</v>
      </c>
      <c r="B274" s="71">
        <v>2000</v>
      </c>
      <c r="C274" s="407"/>
      <c r="D274" s="407"/>
      <c r="E274"/>
      <c r="F274"/>
      <c r="G274"/>
      <c r="H274"/>
      <c r="I274"/>
      <c r="J274"/>
      <c r="K274"/>
      <c r="L274"/>
      <c r="M274"/>
      <c r="N274"/>
      <c r="O274"/>
      <c r="P274"/>
      <c r="Q274"/>
      <c r="R274"/>
    </row>
    <row r="275" spans="1:18" x14ac:dyDescent="0.35">
      <c r="A275" s="39">
        <v>5358</v>
      </c>
      <c r="B275" s="71">
        <v>1000</v>
      </c>
      <c r="C275" s="407">
        <f>B275/15</f>
        <v>66.666666666666671</v>
      </c>
      <c r="D275" s="407">
        <f t="shared" si="6"/>
        <v>266.66666666666669</v>
      </c>
      <c r="E275"/>
      <c r="F275"/>
      <c r="G275"/>
      <c r="H275"/>
      <c r="I275"/>
      <c r="J275"/>
      <c r="K275"/>
      <c r="L275"/>
      <c r="M275"/>
      <c r="N275"/>
      <c r="O275"/>
      <c r="P275"/>
      <c r="Q275"/>
      <c r="R275"/>
    </row>
    <row r="276" spans="1:18" x14ac:dyDescent="0.35">
      <c r="A276" s="105" t="s">
        <v>1218</v>
      </c>
      <c r="B276" s="71">
        <v>1000</v>
      </c>
      <c r="C276" s="407"/>
      <c r="D276" s="407"/>
      <c r="E276"/>
      <c r="F276"/>
      <c r="G276"/>
      <c r="H276"/>
      <c r="I276"/>
      <c r="J276"/>
      <c r="K276"/>
      <c r="L276"/>
      <c r="M276"/>
      <c r="N276"/>
      <c r="O276"/>
      <c r="P276"/>
      <c r="Q276"/>
      <c r="R276"/>
    </row>
    <row r="277" spans="1:18" x14ac:dyDescent="0.35">
      <c r="A277" s="39">
        <v>5367</v>
      </c>
      <c r="B277" s="71">
        <v>4000</v>
      </c>
      <c r="C277" s="407">
        <f>B277/15</f>
        <v>266.66666666666669</v>
      </c>
      <c r="D277" s="407">
        <f t="shared" si="6"/>
        <v>1066.6666666666667</v>
      </c>
      <c r="E277"/>
      <c r="F277"/>
      <c r="G277"/>
      <c r="H277"/>
      <c r="I277"/>
      <c r="J277"/>
      <c r="K277"/>
      <c r="L277"/>
      <c r="M277"/>
      <c r="N277"/>
      <c r="O277"/>
      <c r="P277"/>
      <c r="Q277"/>
      <c r="R277"/>
    </row>
    <row r="278" spans="1:18" x14ac:dyDescent="0.35">
      <c r="A278" s="105" t="s">
        <v>1146</v>
      </c>
      <c r="B278" s="71">
        <v>2000</v>
      </c>
      <c r="C278" s="407"/>
      <c r="D278" s="407"/>
      <c r="E278"/>
      <c r="F278"/>
      <c r="G278"/>
      <c r="H278"/>
      <c r="I278"/>
      <c r="J278"/>
      <c r="K278"/>
      <c r="L278"/>
      <c r="M278"/>
      <c r="N278"/>
      <c r="O278"/>
      <c r="P278"/>
      <c r="Q278"/>
      <c r="R278"/>
    </row>
    <row r="279" spans="1:18" x14ac:dyDescent="0.35">
      <c r="A279" s="105" t="s">
        <v>1220</v>
      </c>
      <c r="B279" s="71">
        <v>2000</v>
      </c>
      <c r="C279" s="407"/>
      <c r="D279" s="407"/>
      <c r="E279"/>
      <c r="F279"/>
      <c r="G279"/>
      <c r="H279"/>
      <c r="I279"/>
      <c r="J279"/>
      <c r="K279"/>
      <c r="L279"/>
      <c r="M279"/>
      <c r="N279"/>
      <c r="O279"/>
      <c r="P279"/>
      <c r="Q279"/>
      <c r="R279"/>
    </row>
    <row r="280" spans="1:18" x14ac:dyDescent="0.35">
      <c r="A280" s="39">
        <v>5368</v>
      </c>
      <c r="B280" s="71">
        <v>7400</v>
      </c>
      <c r="C280" s="407">
        <f>B280/15</f>
        <v>493.33333333333331</v>
      </c>
      <c r="D280" s="407">
        <f t="shared" si="6"/>
        <v>1973.3333333333333</v>
      </c>
      <c r="E280"/>
      <c r="F280"/>
      <c r="G280"/>
      <c r="H280"/>
      <c r="I280"/>
      <c r="J280"/>
      <c r="K280"/>
      <c r="L280"/>
      <c r="M280"/>
      <c r="N280"/>
      <c r="O280"/>
      <c r="P280"/>
      <c r="Q280"/>
      <c r="R280"/>
    </row>
    <row r="281" spans="1:18" x14ac:dyDescent="0.35">
      <c r="A281" s="105" t="s">
        <v>1146</v>
      </c>
      <c r="B281" s="71">
        <v>3900</v>
      </c>
      <c r="C281" s="407"/>
      <c r="D281" s="407"/>
      <c r="E281"/>
      <c r="F281"/>
      <c r="G281"/>
      <c r="H281"/>
      <c r="I281"/>
      <c r="J281"/>
      <c r="K281"/>
      <c r="L281"/>
      <c r="M281"/>
      <c r="N281"/>
      <c r="O281"/>
      <c r="P281"/>
      <c r="Q281"/>
      <c r="R281"/>
    </row>
    <row r="282" spans="1:18" x14ac:dyDescent="0.35">
      <c r="A282" s="105" t="s">
        <v>1162</v>
      </c>
      <c r="B282" s="71">
        <v>3500</v>
      </c>
      <c r="C282" s="407"/>
      <c r="D282" s="407"/>
      <c r="E282"/>
      <c r="F282"/>
      <c r="G282"/>
      <c r="H282"/>
      <c r="I282"/>
      <c r="J282"/>
      <c r="K282"/>
      <c r="L282"/>
      <c r="M282"/>
      <c r="N282"/>
      <c r="O282"/>
      <c r="P282"/>
      <c r="Q282"/>
      <c r="R282"/>
    </row>
    <row r="283" spans="1:18" x14ac:dyDescent="0.35">
      <c r="A283" s="39">
        <v>5369</v>
      </c>
      <c r="B283" s="71">
        <v>1000</v>
      </c>
      <c r="C283" s="407">
        <f>B283/15</f>
        <v>66.666666666666671</v>
      </c>
      <c r="D283" s="407">
        <f t="shared" si="6"/>
        <v>266.66666666666669</v>
      </c>
      <c r="E283"/>
      <c r="F283"/>
      <c r="G283"/>
      <c r="H283"/>
      <c r="I283"/>
      <c r="J283"/>
      <c r="K283"/>
      <c r="L283"/>
      <c r="M283"/>
      <c r="N283"/>
      <c r="O283"/>
      <c r="P283"/>
      <c r="Q283"/>
      <c r="R283"/>
    </row>
    <row r="284" spans="1:18" x14ac:dyDescent="0.35">
      <c r="A284" s="105" t="s">
        <v>1154</v>
      </c>
      <c r="B284" s="71">
        <v>1000</v>
      </c>
      <c r="C284" s="407"/>
      <c r="D284" s="407"/>
      <c r="E284"/>
      <c r="F284"/>
      <c r="G284"/>
      <c r="H284"/>
      <c r="I284"/>
      <c r="J284"/>
      <c r="K284"/>
      <c r="L284"/>
      <c r="M284"/>
      <c r="N284"/>
      <c r="O284"/>
      <c r="P284"/>
      <c r="Q284"/>
      <c r="R284"/>
    </row>
    <row r="285" spans="1:18" x14ac:dyDescent="0.35">
      <c r="A285" s="39">
        <v>5370</v>
      </c>
      <c r="B285" s="71">
        <v>600</v>
      </c>
      <c r="C285" s="407">
        <f>B285/15</f>
        <v>40</v>
      </c>
      <c r="D285" s="407">
        <f t="shared" si="6"/>
        <v>160</v>
      </c>
      <c r="E285"/>
      <c r="F285"/>
      <c r="G285"/>
      <c r="H285"/>
      <c r="I285"/>
      <c r="J285"/>
      <c r="K285"/>
      <c r="L285"/>
      <c r="M285"/>
      <c r="N285"/>
      <c r="O285"/>
      <c r="P285"/>
      <c r="Q285"/>
      <c r="R285"/>
    </row>
    <row r="286" spans="1:18" x14ac:dyDescent="0.35">
      <c r="A286" s="105" t="s">
        <v>1155</v>
      </c>
      <c r="B286" s="71">
        <v>600</v>
      </c>
      <c r="C286" s="407"/>
      <c r="D286" s="407"/>
      <c r="E286"/>
      <c r="F286"/>
      <c r="G286"/>
      <c r="H286"/>
      <c r="I286"/>
      <c r="J286"/>
      <c r="K286"/>
      <c r="L286"/>
      <c r="M286"/>
      <c r="N286"/>
      <c r="O286"/>
      <c r="P286"/>
      <c r="Q286"/>
      <c r="R286"/>
    </row>
    <row r="287" spans="1:18" x14ac:dyDescent="0.35">
      <c r="A287" s="39">
        <v>5371</v>
      </c>
      <c r="B287" s="71">
        <v>1000</v>
      </c>
      <c r="C287" s="407">
        <f>B287/15</f>
        <v>66.666666666666671</v>
      </c>
      <c r="D287" s="407">
        <f t="shared" si="6"/>
        <v>266.66666666666669</v>
      </c>
      <c r="E287"/>
      <c r="F287"/>
      <c r="G287"/>
      <c r="H287"/>
      <c r="I287"/>
      <c r="J287"/>
      <c r="K287"/>
      <c r="L287"/>
      <c r="M287"/>
      <c r="N287"/>
      <c r="O287"/>
      <c r="P287"/>
      <c r="Q287"/>
      <c r="R287"/>
    </row>
    <row r="288" spans="1:18" x14ac:dyDescent="0.35">
      <c r="A288" s="105" t="s">
        <v>1161</v>
      </c>
      <c r="B288" s="71">
        <v>1000</v>
      </c>
      <c r="C288" s="407"/>
      <c r="D288" s="407"/>
      <c r="E288"/>
      <c r="F288"/>
      <c r="G288"/>
      <c r="H288"/>
      <c r="I288"/>
      <c r="J288"/>
      <c r="K288"/>
      <c r="L288"/>
      <c r="M288"/>
      <c r="N288"/>
      <c r="O288"/>
      <c r="P288"/>
      <c r="Q288"/>
      <c r="R288"/>
    </row>
    <row r="289" spans="1:18" x14ac:dyDescent="0.35">
      <c r="A289" s="39">
        <v>5401</v>
      </c>
      <c r="B289" s="71">
        <v>10000</v>
      </c>
      <c r="C289" s="407">
        <f>B289/15</f>
        <v>666.66666666666663</v>
      </c>
      <c r="D289" s="407">
        <f t="shared" si="6"/>
        <v>2666.6666666666665</v>
      </c>
      <c r="E289"/>
      <c r="F289"/>
      <c r="G289"/>
      <c r="H289"/>
      <c r="I289"/>
      <c r="J289"/>
      <c r="K289"/>
      <c r="L289"/>
      <c r="M289"/>
      <c r="N289"/>
      <c r="O289"/>
      <c r="P289"/>
      <c r="Q289"/>
      <c r="R289"/>
    </row>
    <row r="290" spans="1:18" x14ac:dyDescent="0.35">
      <c r="A290" s="105" t="s">
        <v>1191</v>
      </c>
      <c r="B290" s="71">
        <v>10000</v>
      </c>
      <c r="C290" s="407"/>
      <c r="D290" s="407"/>
      <c r="E290"/>
      <c r="F290"/>
      <c r="G290"/>
      <c r="H290"/>
      <c r="I290"/>
      <c r="J290"/>
      <c r="K290"/>
      <c r="L290"/>
      <c r="M290"/>
      <c r="N290"/>
      <c r="O290"/>
      <c r="P290"/>
      <c r="Q290"/>
      <c r="R290"/>
    </row>
    <row r="291" spans="1:18" x14ac:dyDescent="0.35">
      <c r="A291" s="39">
        <v>5417</v>
      </c>
      <c r="B291" s="71">
        <v>500</v>
      </c>
      <c r="C291" s="407">
        <f>B291/15</f>
        <v>33.333333333333336</v>
      </c>
      <c r="D291" s="407">
        <f t="shared" si="6"/>
        <v>133.33333333333334</v>
      </c>
      <c r="E291"/>
      <c r="F291"/>
      <c r="G291"/>
      <c r="H291"/>
      <c r="I291"/>
      <c r="J291"/>
      <c r="K291"/>
      <c r="L291"/>
      <c r="M291"/>
      <c r="N291"/>
      <c r="O291"/>
      <c r="P291"/>
      <c r="Q291"/>
      <c r="R291"/>
    </row>
    <row r="292" spans="1:18" x14ac:dyDescent="0.35">
      <c r="A292" s="105" t="s">
        <v>1205</v>
      </c>
      <c r="B292" s="71">
        <v>500</v>
      </c>
      <c r="C292" s="407"/>
      <c r="D292" s="407"/>
      <c r="E292"/>
      <c r="F292"/>
      <c r="G292"/>
      <c r="H292"/>
      <c r="I292"/>
      <c r="J292"/>
      <c r="K292"/>
      <c r="L292"/>
      <c r="M292"/>
      <c r="N292"/>
      <c r="O292"/>
      <c r="P292"/>
      <c r="Q292"/>
      <c r="R292"/>
    </row>
    <row r="293" spans="1:18" x14ac:dyDescent="0.35">
      <c r="A293" s="39">
        <v>5418</v>
      </c>
      <c r="B293" s="71">
        <v>1000</v>
      </c>
      <c r="C293" s="407">
        <f>B293/15</f>
        <v>66.666666666666671</v>
      </c>
      <c r="D293" s="407">
        <f t="shared" si="6"/>
        <v>266.66666666666669</v>
      </c>
      <c r="E293"/>
      <c r="F293"/>
      <c r="G293"/>
      <c r="H293"/>
      <c r="I293"/>
      <c r="J293"/>
      <c r="K293"/>
      <c r="L293"/>
      <c r="M293"/>
      <c r="N293"/>
      <c r="O293"/>
      <c r="P293"/>
      <c r="Q293"/>
      <c r="R293"/>
    </row>
    <row r="294" spans="1:18" x14ac:dyDescent="0.35">
      <c r="A294" s="105" t="s">
        <v>1208</v>
      </c>
      <c r="B294" s="71">
        <v>1000</v>
      </c>
      <c r="C294" s="407"/>
      <c r="D294" s="407"/>
      <c r="E294"/>
      <c r="F294"/>
      <c r="G294"/>
      <c r="H294"/>
      <c r="I294"/>
      <c r="J294"/>
      <c r="K294"/>
      <c r="L294"/>
      <c r="M294"/>
      <c r="N294"/>
      <c r="O294"/>
      <c r="P294"/>
      <c r="Q294"/>
      <c r="R294"/>
    </row>
    <row r="295" spans="1:18" x14ac:dyDescent="0.35">
      <c r="A295" s="39">
        <v>5420</v>
      </c>
      <c r="B295" s="71">
        <v>900</v>
      </c>
      <c r="C295" s="407">
        <f>B295/15</f>
        <v>60</v>
      </c>
      <c r="D295" s="407">
        <f t="shared" si="6"/>
        <v>240</v>
      </c>
      <c r="E295"/>
      <c r="F295"/>
      <c r="G295"/>
      <c r="H295"/>
      <c r="I295"/>
      <c r="J295"/>
      <c r="K295"/>
      <c r="L295"/>
      <c r="M295"/>
      <c r="N295"/>
      <c r="O295"/>
      <c r="P295"/>
      <c r="Q295"/>
      <c r="R295"/>
    </row>
    <row r="296" spans="1:18" x14ac:dyDescent="0.35">
      <c r="A296" s="105" t="s">
        <v>1206</v>
      </c>
      <c r="B296" s="71">
        <v>900</v>
      </c>
      <c r="C296" s="407"/>
      <c r="D296" s="407"/>
      <c r="E296"/>
      <c r="F296"/>
      <c r="G296"/>
      <c r="H296"/>
      <c r="I296"/>
      <c r="J296"/>
      <c r="K296"/>
      <c r="L296"/>
      <c r="M296"/>
      <c r="N296"/>
      <c r="O296"/>
      <c r="P296"/>
      <c r="Q296"/>
      <c r="R296"/>
    </row>
    <row r="297" spans="1:18" x14ac:dyDescent="0.35">
      <c r="A297" s="39">
        <v>5428</v>
      </c>
      <c r="B297" s="71">
        <v>2100</v>
      </c>
      <c r="C297" s="407">
        <f>B297/15</f>
        <v>140</v>
      </c>
      <c r="D297" s="407">
        <f t="shared" si="6"/>
        <v>560</v>
      </c>
      <c r="E297"/>
      <c r="F297"/>
      <c r="G297"/>
      <c r="H297"/>
      <c r="I297"/>
      <c r="J297"/>
      <c r="K297"/>
      <c r="L297"/>
      <c r="M297"/>
      <c r="N297"/>
      <c r="O297"/>
      <c r="P297"/>
      <c r="Q297"/>
      <c r="R297"/>
    </row>
    <row r="298" spans="1:18" x14ac:dyDescent="0.35">
      <c r="A298" s="105" t="s">
        <v>1242</v>
      </c>
      <c r="B298" s="71">
        <v>2100</v>
      </c>
      <c r="C298" s="407"/>
      <c r="D298" s="407"/>
      <c r="E298"/>
      <c r="F298"/>
      <c r="G298"/>
      <c r="H298"/>
      <c r="I298"/>
      <c r="J298"/>
      <c r="K298"/>
      <c r="L298"/>
      <c r="M298"/>
      <c r="N298"/>
      <c r="O298"/>
      <c r="P298"/>
      <c r="Q298"/>
      <c r="R298"/>
    </row>
    <row r="299" spans="1:18" x14ac:dyDescent="0.35">
      <c r="A299" s="39">
        <v>5457</v>
      </c>
      <c r="B299" s="71">
        <v>7300</v>
      </c>
      <c r="C299" s="407">
        <f>B299/15</f>
        <v>486.66666666666669</v>
      </c>
      <c r="D299" s="407">
        <f t="shared" si="6"/>
        <v>1946.6666666666667</v>
      </c>
      <c r="E299"/>
      <c r="F299"/>
      <c r="G299"/>
      <c r="H299"/>
      <c r="I299"/>
      <c r="J299"/>
      <c r="K299"/>
      <c r="L299"/>
      <c r="M299"/>
      <c r="N299"/>
      <c r="O299"/>
      <c r="P299"/>
      <c r="Q299"/>
      <c r="R299"/>
    </row>
    <row r="300" spans="1:18" x14ac:dyDescent="0.35">
      <c r="A300" s="105" t="s">
        <v>1276</v>
      </c>
      <c r="B300" s="71">
        <v>7300</v>
      </c>
      <c r="C300" s="407"/>
      <c r="D300" s="407"/>
      <c r="E300"/>
      <c r="F300"/>
      <c r="G300"/>
      <c r="H300"/>
      <c r="I300"/>
      <c r="J300"/>
      <c r="K300"/>
      <c r="L300"/>
      <c r="M300"/>
      <c r="N300"/>
      <c r="O300"/>
      <c r="P300"/>
      <c r="Q300"/>
      <c r="R300"/>
    </row>
    <row r="301" spans="1:18" x14ac:dyDescent="0.35">
      <c r="A301" s="39">
        <v>5462</v>
      </c>
      <c r="B301" s="71">
        <v>15000</v>
      </c>
      <c r="C301" s="407">
        <f>B301/15</f>
        <v>1000</v>
      </c>
      <c r="D301" s="407">
        <f t="shared" si="6"/>
        <v>4000</v>
      </c>
      <c r="E301"/>
      <c r="F301"/>
      <c r="G301"/>
      <c r="H301"/>
      <c r="I301"/>
      <c r="J301"/>
      <c r="K301"/>
      <c r="L301"/>
      <c r="M301"/>
      <c r="N301"/>
      <c r="O301"/>
      <c r="P301"/>
      <c r="Q301"/>
      <c r="R301"/>
    </row>
    <row r="302" spans="1:18" x14ac:dyDescent="0.35">
      <c r="A302" s="105" t="s">
        <v>1282</v>
      </c>
      <c r="B302" s="71">
        <v>15000</v>
      </c>
      <c r="C302" s="407"/>
      <c r="D302" s="407"/>
      <c r="E302"/>
      <c r="F302"/>
      <c r="G302"/>
      <c r="H302"/>
      <c r="I302"/>
      <c r="J302"/>
      <c r="K302"/>
      <c r="L302"/>
      <c r="M302"/>
      <c r="N302"/>
      <c r="O302"/>
      <c r="P302"/>
      <c r="Q302"/>
      <c r="R302"/>
    </row>
    <row r="303" spans="1:18" x14ac:dyDescent="0.35">
      <c r="A303" s="39">
        <v>5463</v>
      </c>
      <c r="B303" s="71">
        <v>5000</v>
      </c>
      <c r="C303" s="407">
        <f>B303/15</f>
        <v>333.33333333333331</v>
      </c>
      <c r="D303" s="407">
        <f t="shared" si="6"/>
        <v>1333.3333333333333</v>
      </c>
      <c r="E303"/>
      <c r="F303"/>
      <c r="G303"/>
      <c r="H303"/>
      <c r="I303"/>
      <c r="J303"/>
      <c r="K303"/>
      <c r="L303"/>
      <c r="M303"/>
      <c r="N303"/>
      <c r="O303"/>
      <c r="P303"/>
      <c r="Q303"/>
      <c r="R303"/>
    </row>
    <row r="304" spans="1:18" x14ac:dyDescent="0.35">
      <c r="A304" s="105" t="s">
        <v>1283</v>
      </c>
      <c r="B304" s="71">
        <v>5000</v>
      </c>
      <c r="C304" s="407"/>
      <c r="D304" s="407"/>
      <c r="E304"/>
      <c r="F304"/>
      <c r="G304"/>
      <c r="H304"/>
      <c r="I304"/>
      <c r="J304"/>
      <c r="K304"/>
      <c r="L304"/>
      <c r="M304"/>
      <c r="N304"/>
      <c r="O304"/>
      <c r="P304"/>
      <c r="Q304"/>
      <c r="R304"/>
    </row>
    <row r="305" spans="1:18" x14ac:dyDescent="0.35">
      <c r="A305" s="39">
        <v>5464</v>
      </c>
      <c r="B305" s="71">
        <v>5000</v>
      </c>
      <c r="C305" s="407"/>
      <c r="D305" s="407"/>
      <c r="E305"/>
      <c r="F305"/>
      <c r="G305"/>
      <c r="H305"/>
      <c r="I305"/>
      <c r="J305"/>
      <c r="K305"/>
      <c r="L305"/>
      <c r="M305"/>
      <c r="N305"/>
      <c r="O305"/>
      <c r="P305"/>
      <c r="Q305"/>
      <c r="R305"/>
    </row>
    <row r="306" spans="1:18" x14ac:dyDescent="0.35">
      <c r="A306" s="105" t="s">
        <v>1284</v>
      </c>
      <c r="B306" s="71">
        <v>5000</v>
      </c>
      <c r="C306" s="407">
        <f>B306/15</f>
        <v>333.33333333333331</v>
      </c>
      <c r="D306" s="407">
        <f t="shared" si="6"/>
        <v>1333.3333333333333</v>
      </c>
      <c r="E306"/>
      <c r="F306"/>
      <c r="G306"/>
      <c r="H306"/>
      <c r="I306"/>
      <c r="J306"/>
      <c r="K306"/>
      <c r="L306"/>
      <c r="M306"/>
      <c r="N306"/>
      <c r="O306"/>
      <c r="P306"/>
      <c r="Q306"/>
      <c r="R306"/>
    </row>
    <row r="307" spans="1:18" x14ac:dyDescent="0.35">
      <c r="A307" s="39" t="s">
        <v>500</v>
      </c>
      <c r="B307" s="71">
        <v>1700</v>
      </c>
      <c r="C307" s="407"/>
      <c r="D307" s="407"/>
      <c r="E307"/>
      <c r="F307"/>
      <c r="G307"/>
      <c r="H307"/>
      <c r="I307"/>
      <c r="J307"/>
      <c r="K307"/>
      <c r="L307"/>
      <c r="M307"/>
      <c r="N307"/>
      <c r="O307"/>
      <c r="P307"/>
      <c r="Q307"/>
      <c r="R307"/>
    </row>
    <row r="308" spans="1:18" x14ac:dyDescent="0.35">
      <c r="A308" s="105" t="s">
        <v>494</v>
      </c>
      <c r="B308" s="71">
        <v>1700</v>
      </c>
      <c r="C308" s="407"/>
      <c r="D308" s="407"/>
      <c r="E308"/>
      <c r="F308"/>
      <c r="G308"/>
      <c r="H308"/>
      <c r="I308"/>
      <c r="J308"/>
      <c r="K308"/>
      <c r="L308"/>
      <c r="M308"/>
      <c r="N308"/>
      <c r="O308"/>
      <c r="P308"/>
      <c r="Q308"/>
      <c r="R308"/>
    </row>
    <row r="309" spans="1:18" x14ac:dyDescent="0.35">
      <c r="A309" s="39" t="s">
        <v>242</v>
      </c>
      <c r="B309" s="71">
        <v>29500</v>
      </c>
      <c r="C309" s="407">
        <f>B309/15</f>
        <v>1966.6666666666667</v>
      </c>
      <c r="D309" s="407">
        <f t="shared" si="6"/>
        <v>7866.666666666667</v>
      </c>
      <c r="E309"/>
      <c r="F309"/>
      <c r="G309"/>
      <c r="H309"/>
      <c r="I309"/>
      <c r="J309"/>
      <c r="K309"/>
      <c r="L309"/>
      <c r="M309"/>
      <c r="N309"/>
      <c r="O309"/>
      <c r="P309"/>
      <c r="Q309"/>
      <c r="R309"/>
    </row>
    <row r="310" spans="1:18" x14ac:dyDescent="0.35">
      <c r="A310" s="105" t="s">
        <v>243</v>
      </c>
      <c r="B310" s="71">
        <v>29500</v>
      </c>
      <c r="C310" s="407"/>
      <c r="D310" s="407"/>
      <c r="E310"/>
      <c r="F310"/>
      <c r="G310"/>
      <c r="H310"/>
      <c r="I310"/>
      <c r="J310"/>
      <c r="K310"/>
      <c r="L310"/>
      <c r="M310"/>
      <c r="N310"/>
      <c r="O310"/>
      <c r="P310"/>
      <c r="Q310"/>
      <c r="R310"/>
    </row>
    <row r="311" spans="1:18" x14ac:dyDescent="0.35">
      <c r="A311" s="39" t="s">
        <v>237</v>
      </c>
      <c r="B311" s="71">
        <v>29500</v>
      </c>
      <c r="C311" s="407">
        <f>B311/15</f>
        <v>1966.6666666666667</v>
      </c>
      <c r="D311" s="407">
        <f t="shared" si="6"/>
        <v>7866.666666666667</v>
      </c>
      <c r="E311"/>
      <c r="F311"/>
      <c r="G311"/>
      <c r="H311"/>
      <c r="I311"/>
      <c r="J311"/>
      <c r="K311"/>
      <c r="L311"/>
      <c r="M311"/>
      <c r="N311"/>
      <c r="O311"/>
      <c r="P311"/>
      <c r="Q311"/>
      <c r="R311"/>
    </row>
    <row r="312" spans="1:18" x14ac:dyDescent="0.35">
      <c r="A312" s="105" t="s">
        <v>238</v>
      </c>
      <c r="B312" s="71">
        <v>29500</v>
      </c>
      <c r="C312" s="407"/>
      <c r="D312" s="407"/>
      <c r="E312"/>
      <c r="F312"/>
      <c r="G312"/>
      <c r="H312"/>
      <c r="I312"/>
      <c r="J312"/>
      <c r="K312"/>
      <c r="L312"/>
      <c r="M312"/>
      <c r="N312"/>
      <c r="O312"/>
      <c r="P312"/>
      <c r="Q312"/>
      <c r="R312"/>
    </row>
    <row r="313" spans="1:18" x14ac:dyDescent="0.35">
      <c r="A313" s="39" t="s">
        <v>45</v>
      </c>
      <c r="B313" s="71">
        <v>5000</v>
      </c>
      <c r="C313" s="407"/>
      <c r="D313" s="407"/>
      <c r="E313"/>
      <c r="F313"/>
      <c r="G313"/>
      <c r="H313"/>
      <c r="I313"/>
      <c r="J313"/>
      <c r="K313"/>
      <c r="L313"/>
      <c r="M313"/>
      <c r="N313"/>
      <c r="O313"/>
      <c r="P313"/>
      <c r="Q313"/>
      <c r="R313"/>
    </row>
    <row r="314" spans="1:18" x14ac:dyDescent="0.35">
      <c r="A314" s="105" t="s">
        <v>150</v>
      </c>
      <c r="B314" s="71">
        <v>5000</v>
      </c>
      <c r="C314" s="407">
        <f>B314/15</f>
        <v>333.33333333333331</v>
      </c>
      <c r="D314" s="407">
        <f t="shared" si="6"/>
        <v>1333.3333333333333</v>
      </c>
      <c r="E314"/>
      <c r="F314"/>
      <c r="G314"/>
      <c r="H314"/>
      <c r="I314"/>
      <c r="J314"/>
      <c r="K314"/>
      <c r="L314"/>
      <c r="M314"/>
      <c r="N314"/>
      <c r="O314"/>
      <c r="P314"/>
      <c r="Q314"/>
      <c r="R314"/>
    </row>
    <row r="315" spans="1:18" x14ac:dyDescent="0.35">
      <c r="A315" s="39" t="s">
        <v>81</v>
      </c>
      <c r="B315" s="71">
        <v>15000</v>
      </c>
      <c r="C315" s="407"/>
      <c r="D315" s="407"/>
      <c r="E315"/>
      <c r="F315"/>
      <c r="G315"/>
      <c r="H315"/>
      <c r="I315"/>
      <c r="J315"/>
      <c r="K315"/>
      <c r="L315"/>
      <c r="M315"/>
      <c r="N315"/>
      <c r="O315"/>
      <c r="P315"/>
      <c r="Q315"/>
      <c r="R315"/>
    </row>
    <row r="316" spans="1:18" x14ac:dyDescent="0.35">
      <c r="A316" s="105" t="s">
        <v>312</v>
      </c>
      <c r="B316" s="71">
        <v>6500</v>
      </c>
      <c r="C316" s="407">
        <f>B316/15</f>
        <v>433.33333333333331</v>
      </c>
      <c r="D316" s="407">
        <f t="shared" si="6"/>
        <v>1733.3333333333333</v>
      </c>
      <c r="E316"/>
      <c r="F316"/>
      <c r="G316"/>
      <c r="H316"/>
      <c r="I316"/>
      <c r="J316"/>
      <c r="K316"/>
      <c r="L316"/>
      <c r="M316"/>
      <c r="N316"/>
      <c r="O316"/>
      <c r="P316"/>
      <c r="Q316"/>
      <c r="R316"/>
    </row>
    <row r="317" spans="1:18" x14ac:dyDescent="0.35">
      <c r="A317" s="105" t="s">
        <v>155</v>
      </c>
      <c r="B317" s="71">
        <v>8500</v>
      </c>
      <c r="C317" s="407"/>
      <c r="D317" s="407"/>
      <c r="E317"/>
      <c r="F317"/>
      <c r="G317"/>
      <c r="H317"/>
      <c r="I317"/>
      <c r="J317"/>
      <c r="K317"/>
      <c r="L317"/>
      <c r="M317"/>
      <c r="N317"/>
      <c r="O317"/>
      <c r="P317"/>
      <c r="Q317"/>
      <c r="R317"/>
    </row>
    <row r="318" spans="1:18" x14ac:dyDescent="0.35">
      <c r="A318" s="39" t="s">
        <v>96</v>
      </c>
      <c r="B318" s="71">
        <v>2000</v>
      </c>
      <c r="C318" s="407">
        <f>B318/15</f>
        <v>133.33333333333334</v>
      </c>
      <c r="D318" s="407">
        <f t="shared" si="6"/>
        <v>533.33333333333337</v>
      </c>
      <c r="E318"/>
      <c r="F318"/>
      <c r="G318"/>
      <c r="H318"/>
      <c r="I318"/>
      <c r="J318"/>
      <c r="K318"/>
      <c r="L318"/>
      <c r="M318"/>
      <c r="N318"/>
      <c r="O318"/>
      <c r="P318"/>
      <c r="Q318"/>
      <c r="R318"/>
    </row>
    <row r="319" spans="1:18" x14ac:dyDescent="0.35">
      <c r="A319" s="105" t="s">
        <v>161</v>
      </c>
      <c r="B319" s="71">
        <v>2000</v>
      </c>
      <c r="C319" s="407"/>
      <c r="D319" s="407"/>
      <c r="E319"/>
      <c r="F319"/>
      <c r="G319"/>
      <c r="H319"/>
      <c r="I319"/>
      <c r="J319"/>
      <c r="K319"/>
      <c r="L319"/>
      <c r="M319"/>
      <c r="N319"/>
      <c r="O319"/>
      <c r="P319"/>
      <c r="Q319"/>
      <c r="R319"/>
    </row>
    <row r="320" spans="1:18" x14ac:dyDescent="0.35">
      <c r="A320" s="39" t="s">
        <v>215</v>
      </c>
      <c r="B320" s="71">
        <v>2000</v>
      </c>
      <c r="C320" s="407">
        <f>B320/15</f>
        <v>133.33333333333334</v>
      </c>
      <c r="D320" s="407">
        <f t="shared" si="6"/>
        <v>533.33333333333337</v>
      </c>
      <c r="E320"/>
      <c r="F320"/>
      <c r="G320"/>
      <c r="H320"/>
      <c r="I320"/>
      <c r="J320"/>
      <c r="K320"/>
      <c r="L320"/>
      <c r="M320"/>
      <c r="N320"/>
      <c r="O320"/>
      <c r="P320"/>
      <c r="Q320"/>
      <c r="R320"/>
    </row>
    <row r="321" spans="1:18" x14ac:dyDescent="0.35">
      <c r="A321" s="105" t="s">
        <v>217</v>
      </c>
      <c r="B321" s="71">
        <v>2000</v>
      </c>
      <c r="C321" s="407"/>
      <c r="D321" s="407"/>
      <c r="E321"/>
      <c r="F321"/>
      <c r="G321"/>
      <c r="H321"/>
      <c r="I321"/>
      <c r="J321"/>
      <c r="K321"/>
      <c r="L321"/>
      <c r="M321"/>
      <c r="N321"/>
      <c r="O321"/>
      <c r="P321"/>
      <c r="Q321"/>
      <c r="R321"/>
    </row>
    <row r="322" spans="1:18" x14ac:dyDescent="0.35">
      <c r="A322" s="39" t="s">
        <v>341</v>
      </c>
      <c r="B322" s="71">
        <v>6000</v>
      </c>
      <c r="C322" s="407">
        <f>B322/15</f>
        <v>400</v>
      </c>
      <c r="D322" s="407">
        <f t="shared" si="6"/>
        <v>1600</v>
      </c>
      <c r="E322"/>
      <c r="F322"/>
      <c r="G322"/>
      <c r="H322"/>
      <c r="I322"/>
      <c r="J322"/>
      <c r="K322"/>
      <c r="L322"/>
      <c r="M322"/>
      <c r="N322"/>
      <c r="O322"/>
      <c r="P322"/>
      <c r="Q322"/>
      <c r="R322"/>
    </row>
    <row r="323" spans="1:18" x14ac:dyDescent="0.35">
      <c r="A323" s="105" t="s">
        <v>787</v>
      </c>
      <c r="B323" s="71">
        <v>6000</v>
      </c>
      <c r="C323" s="407"/>
      <c r="D323" s="407"/>
      <c r="E323"/>
      <c r="F323"/>
      <c r="G323"/>
      <c r="H323"/>
      <c r="I323"/>
      <c r="J323"/>
      <c r="K323"/>
      <c r="L323"/>
      <c r="M323"/>
      <c r="N323"/>
      <c r="O323"/>
      <c r="P323"/>
      <c r="Q323"/>
      <c r="R323"/>
    </row>
    <row r="324" spans="1:18" x14ac:dyDescent="0.35">
      <c r="A324" s="39" t="s">
        <v>230</v>
      </c>
      <c r="B324" s="71">
        <v>900</v>
      </c>
      <c r="C324" s="407">
        <f>B324/15</f>
        <v>60</v>
      </c>
      <c r="D324" s="407">
        <f t="shared" si="6"/>
        <v>240</v>
      </c>
      <c r="E324"/>
      <c r="F324"/>
      <c r="G324"/>
      <c r="H324"/>
      <c r="I324"/>
      <c r="J324"/>
      <c r="K324"/>
      <c r="L324"/>
      <c r="M324"/>
      <c r="N324"/>
      <c r="O324"/>
      <c r="P324"/>
      <c r="Q324"/>
      <c r="R324"/>
    </row>
    <row r="325" spans="1:18" x14ac:dyDescent="0.35">
      <c r="A325" s="105" t="s">
        <v>798</v>
      </c>
      <c r="B325" s="71">
        <v>900</v>
      </c>
      <c r="C325" s="407"/>
      <c r="D325" s="407"/>
      <c r="E325"/>
      <c r="F325"/>
      <c r="G325"/>
      <c r="H325"/>
      <c r="I325"/>
      <c r="J325"/>
      <c r="K325"/>
      <c r="L325"/>
      <c r="M325"/>
      <c r="N325"/>
      <c r="O325"/>
      <c r="P325"/>
      <c r="Q325"/>
      <c r="R325"/>
    </row>
    <row r="326" spans="1:18" x14ac:dyDescent="0.35">
      <c r="A326" s="39" t="s">
        <v>296</v>
      </c>
      <c r="B326" s="71">
        <v>7000</v>
      </c>
      <c r="C326" s="407"/>
      <c r="D326" s="407"/>
      <c r="E326"/>
      <c r="F326"/>
      <c r="G326"/>
      <c r="H326"/>
      <c r="I326"/>
      <c r="J326"/>
      <c r="K326"/>
      <c r="L326"/>
      <c r="M326"/>
      <c r="N326"/>
      <c r="O326"/>
      <c r="P326"/>
      <c r="Q326"/>
      <c r="R326"/>
    </row>
    <row r="327" spans="1:18" x14ac:dyDescent="0.35">
      <c r="A327" s="105" t="s">
        <v>290</v>
      </c>
      <c r="B327" s="71">
        <v>7000</v>
      </c>
      <c r="C327" s="407">
        <f>B327/15</f>
        <v>466.66666666666669</v>
      </c>
      <c r="D327" s="407">
        <f t="shared" si="6"/>
        <v>1866.6666666666667</v>
      </c>
      <c r="E327"/>
      <c r="F327"/>
      <c r="G327"/>
      <c r="H327"/>
      <c r="I327"/>
      <c r="J327"/>
      <c r="K327"/>
      <c r="L327"/>
      <c r="M327"/>
      <c r="N327"/>
      <c r="O327"/>
      <c r="P327"/>
      <c r="Q327"/>
      <c r="R327"/>
    </row>
    <row r="328" spans="1:18" x14ac:dyDescent="0.35">
      <c r="A328" s="39" t="s">
        <v>46</v>
      </c>
      <c r="B328" s="71">
        <v>10000</v>
      </c>
      <c r="C328" s="407"/>
      <c r="D328" s="407"/>
      <c r="E328"/>
      <c r="F328"/>
      <c r="G328"/>
      <c r="H328"/>
      <c r="I328"/>
      <c r="J328"/>
      <c r="K328"/>
      <c r="L328"/>
      <c r="M328"/>
      <c r="N328"/>
      <c r="O328"/>
      <c r="P328"/>
      <c r="Q328"/>
      <c r="R328"/>
    </row>
    <row r="329" spans="1:18" x14ac:dyDescent="0.35">
      <c r="A329" s="105" t="s">
        <v>149</v>
      </c>
      <c r="B329" s="71">
        <v>5000</v>
      </c>
      <c r="C329" s="407">
        <f>B329/15</f>
        <v>333.33333333333331</v>
      </c>
      <c r="D329" s="407">
        <f t="shared" ref="D329:D391" si="7">C329*4</f>
        <v>1333.3333333333333</v>
      </c>
      <c r="E329"/>
      <c r="F329"/>
      <c r="G329"/>
      <c r="H329"/>
      <c r="I329"/>
      <c r="J329"/>
      <c r="K329"/>
      <c r="L329"/>
      <c r="M329"/>
      <c r="N329"/>
      <c r="O329"/>
      <c r="P329"/>
      <c r="Q329"/>
      <c r="R329"/>
    </row>
    <row r="330" spans="1:18" x14ac:dyDescent="0.35">
      <c r="A330" s="105" t="s">
        <v>1070</v>
      </c>
      <c r="B330" s="71">
        <v>5000</v>
      </c>
      <c r="C330" s="407"/>
      <c r="D330" s="407"/>
      <c r="E330"/>
      <c r="F330"/>
      <c r="G330"/>
      <c r="H330"/>
      <c r="I330"/>
      <c r="J330"/>
      <c r="K330"/>
      <c r="L330"/>
      <c r="M330"/>
      <c r="N330"/>
      <c r="O330"/>
      <c r="P330"/>
      <c r="Q330"/>
      <c r="R330"/>
    </row>
    <row r="331" spans="1:18" x14ac:dyDescent="0.35">
      <c r="A331" s="39" t="s">
        <v>1086</v>
      </c>
      <c r="B331" s="71">
        <v>3000</v>
      </c>
      <c r="C331" s="407"/>
      <c r="D331" s="407"/>
      <c r="E331"/>
      <c r="F331"/>
      <c r="G331"/>
      <c r="H331"/>
      <c r="I331"/>
      <c r="J331"/>
      <c r="K331"/>
      <c r="L331"/>
      <c r="M331"/>
      <c r="N331"/>
      <c r="O331"/>
      <c r="P331"/>
      <c r="Q331"/>
      <c r="R331"/>
    </row>
    <row r="332" spans="1:18" x14ac:dyDescent="0.35">
      <c r="A332" s="105" t="s">
        <v>1085</v>
      </c>
      <c r="B332" s="71">
        <v>3000</v>
      </c>
      <c r="C332" s="407">
        <f>B332/15</f>
        <v>200</v>
      </c>
      <c r="D332" s="407">
        <f t="shared" si="7"/>
        <v>800</v>
      </c>
      <c r="E332"/>
      <c r="F332"/>
      <c r="G332"/>
      <c r="H332"/>
      <c r="I332"/>
      <c r="J332"/>
      <c r="K332"/>
      <c r="L332"/>
      <c r="M332"/>
      <c r="N332"/>
      <c r="O332"/>
      <c r="P332"/>
      <c r="Q332"/>
      <c r="R332"/>
    </row>
    <row r="333" spans="1:18" x14ac:dyDescent="0.35">
      <c r="A333" s="39" t="s">
        <v>340</v>
      </c>
      <c r="B333" s="71">
        <v>3600</v>
      </c>
      <c r="C333" s="407"/>
      <c r="D333" s="407"/>
      <c r="E333"/>
      <c r="F333"/>
      <c r="G333"/>
      <c r="H333"/>
      <c r="I333"/>
      <c r="J333"/>
      <c r="K333"/>
      <c r="L333"/>
      <c r="M333"/>
      <c r="N333"/>
      <c r="O333"/>
      <c r="P333"/>
      <c r="Q333"/>
      <c r="R333"/>
    </row>
    <row r="334" spans="1:18" x14ac:dyDescent="0.35">
      <c r="A334" s="105" t="s">
        <v>317</v>
      </c>
      <c r="B334" s="71">
        <v>1200</v>
      </c>
      <c r="C334" s="407">
        <f>B334/15</f>
        <v>80</v>
      </c>
      <c r="D334" s="407">
        <f t="shared" si="7"/>
        <v>320</v>
      </c>
      <c r="E334"/>
      <c r="F334"/>
      <c r="G334"/>
      <c r="H334"/>
      <c r="I334"/>
      <c r="J334"/>
      <c r="K334"/>
      <c r="L334"/>
      <c r="M334"/>
      <c r="N334"/>
      <c r="O334"/>
      <c r="P334"/>
      <c r="Q334"/>
      <c r="R334"/>
    </row>
    <row r="335" spans="1:18" x14ac:dyDescent="0.35">
      <c r="A335" s="105" t="s">
        <v>499</v>
      </c>
      <c r="B335" s="71">
        <v>2400</v>
      </c>
      <c r="C335" s="407"/>
      <c r="D335" s="407"/>
      <c r="E335"/>
      <c r="F335"/>
      <c r="G335"/>
      <c r="H335"/>
      <c r="I335"/>
      <c r="J335"/>
      <c r="K335"/>
      <c r="L335"/>
      <c r="M335"/>
      <c r="N335"/>
      <c r="O335"/>
      <c r="P335"/>
      <c r="Q335"/>
      <c r="R335"/>
    </row>
    <row r="336" spans="1:18" x14ac:dyDescent="0.35">
      <c r="A336" s="39" t="s">
        <v>103</v>
      </c>
      <c r="B336" s="71">
        <v>700</v>
      </c>
      <c r="C336" s="407">
        <f>B336/15</f>
        <v>46.666666666666664</v>
      </c>
      <c r="D336" s="407">
        <f t="shared" si="7"/>
        <v>186.66666666666666</v>
      </c>
      <c r="E336"/>
      <c r="F336"/>
      <c r="G336"/>
      <c r="H336"/>
      <c r="I336"/>
      <c r="J336"/>
      <c r="K336"/>
      <c r="L336"/>
      <c r="M336"/>
      <c r="N336"/>
      <c r="O336"/>
      <c r="P336"/>
      <c r="Q336"/>
      <c r="R336"/>
    </row>
    <row r="337" spans="1:18" x14ac:dyDescent="0.35">
      <c r="A337" s="105" t="s">
        <v>162</v>
      </c>
      <c r="B337" s="71">
        <v>700</v>
      </c>
      <c r="C337" s="407"/>
      <c r="D337" s="407"/>
      <c r="E337"/>
      <c r="F337"/>
      <c r="G337"/>
      <c r="H337"/>
      <c r="I337"/>
      <c r="J337"/>
      <c r="K337"/>
      <c r="L337"/>
      <c r="M337"/>
      <c r="N337"/>
      <c r="O337"/>
      <c r="P337"/>
      <c r="Q337"/>
      <c r="R337"/>
    </row>
    <row r="338" spans="1:18" x14ac:dyDescent="0.35">
      <c r="A338" s="39" t="s">
        <v>226</v>
      </c>
      <c r="B338" s="71">
        <v>700</v>
      </c>
      <c r="C338" s="407">
        <f>B338/15</f>
        <v>46.666666666666664</v>
      </c>
      <c r="D338" s="407">
        <f t="shared" si="7"/>
        <v>186.66666666666666</v>
      </c>
      <c r="E338"/>
      <c r="F338"/>
      <c r="G338"/>
      <c r="H338"/>
      <c r="I338"/>
      <c r="J338"/>
      <c r="K338"/>
      <c r="L338"/>
      <c r="M338"/>
      <c r="N338"/>
      <c r="O338"/>
      <c r="P338"/>
      <c r="Q338"/>
      <c r="R338"/>
    </row>
    <row r="339" spans="1:18" x14ac:dyDescent="0.35">
      <c r="A339" s="105" t="s">
        <v>231</v>
      </c>
      <c r="B339" s="71">
        <v>700</v>
      </c>
      <c r="C339" s="407"/>
      <c r="D339" s="407"/>
      <c r="E339"/>
      <c r="F339"/>
      <c r="G339"/>
      <c r="H339"/>
      <c r="I339"/>
      <c r="J339"/>
      <c r="K339"/>
      <c r="L339"/>
      <c r="M339"/>
      <c r="N339"/>
      <c r="O339"/>
      <c r="P339"/>
      <c r="Q339"/>
      <c r="R339"/>
    </row>
    <row r="340" spans="1:18" x14ac:dyDescent="0.35">
      <c r="A340" s="39" t="s">
        <v>303</v>
      </c>
      <c r="B340" s="71">
        <v>1000</v>
      </c>
      <c r="C340" s="407">
        <f>B340/15</f>
        <v>66.666666666666671</v>
      </c>
      <c r="D340" s="407">
        <f t="shared" si="7"/>
        <v>266.66666666666669</v>
      </c>
      <c r="E340"/>
      <c r="F340"/>
      <c r="G340"/>
      <c r="H340"/>
      <c r="I340"/>
      <c r="J340"/>
      <c r="K340"/>
      <c r="L340"/>
      <c r="M340"/>
      <c r="N340"/>
      <c r="O340"/>
      <c r="P340"/>
      <c r="Q340"/>
      <c r="R340"/>
    </row>
    <row r="341" spans="1:18" x14ac:dyDescent="0.35">
      <c r="A341" s="105" t="s">
        <v>283</v>
      </c>
      <c r="B341" s="71">
        <v>1000</v>
      </c>
      <c r="C341" s="407"/>
      <c r="D341" s="407"/>
      <c r="E341"/>
      <c r="F341"/>
      <c r="G341"/>
      <c r="H341"/>
      <c r="I341"/>
      <c r="J341"/>
      <c r="K341"/>
      <c r="L341"/>
      <c r="M341"/>
      <c r="N341"/>
      <c r="O341"/>
      <c r="P341"/>
      <c r="Q341"/>
      <c r="R341"/>
    </row>
    <row r="342" spans="1:18" x14ac:dyDescent="0.35">
      <c r="A342" s="39" t="s">
        <v>125</v>
      </c>
      <c r="B342" s="71">
        <v>2000</v>
      </c>
      <c r="C342" s="407"/>
      <c r="D342" s="407"/>
      <c r="E342"/>
      <c r="F342"/>
      <c r="G342"/>
      <c r="H342"/>
      <c r="I342"/>
      <c r="J342"/>
      <c r="K342"/>
      <c r="L342"/>
      <c r="M342"/>
      <c r="N342"/>
      <c r="O342"/>
      <c r="P342"/>
      <c r="Q342"/>
      <c r="R342"/>
    </row>
    <row r="343" spans="1:18" x14ac:dyDescent="0.35">
      <c r="A343" s="105" t="s">
        <v>165</v>
      </c>
      <c r="B343" s="71">
        <v>2000</v>
      </c>
      <c r="C343" s="407">
        <f>B343/15</f>
        <v>133.33333333333334</v>
      </c>
      <c r="D343" s="407">
        <f t="shared" si="7"/>
        <v>533.33333333333337</v>
      </c>
      <c r="E343"/>
      <c r="F343"/>
      <c r="G343"/>
      <c r="H343"/>
      <c r="I343"/>
      <c r="J343"/>
      <c r="K343"/>
      <c r="L343"/>
      <c r="M343"/>
      <c r="N343"/>
      <c r="O343"/>
      <c r="P343"/>
      <c r="Q343"/>
      <c r="R343"/>
    </row>
    <row r="344" spans="1:18" x14ac:dyDescent="0.35">
      <c r="A344" s="39" t="s">
        <v>240</v>
      </c>
      <c r="B344" s="71">
        <v>23500</v>
      </c>
      <c r="C344" s="407"/>
      <c r="D344" s="407"/>
      <c r="E344"/>
      <c r="F344"/>
      <c r="G344"/>
      <c r="H344"/>
      <c r="I344"/>
      <c r="J344"/>
      <c r="K344"/>
      <c r="L344"/>
      <c r="M344"/>
      <c r="N344"/>
      <c r="O344"/>
      <c r="P344"/>
      <c r="Q344"/>
      <c r="R344"/>
    </row>
    <row r="345" spans="1:18" x14ac:dyDescent="0.35">
      <c r="A345" s="105" t="s">
        <v>241</v>
      </c>
      <c r="B345" s="71">
        <v>23500</v>
      </c>
      <c r="C345" s="407">
        <f>B345/15</f>
        <v>1566.6666666666667</v>
      </c>
      <c r="D345" s="407">
        <f t="shared" si="7"/>
        <v>6266.666666666667</v>
      </c>
      <c r="E345"/>
      <c r="F345"/>
      <c r="G345"/>
      <c r="H345"/>
      <c r="I345"/>
      <c r="J345"/>
      <c r="K345"/>
      <c r="L345"/>
      <c r="M345"/>
      <c r="N345"/>
      <c r="O345"/>
      <c r="P345"/>
      <c r="Q345"/>
      <c r="R345"/>
    </row>
    <row r="346" spans="1:18" x14ac:dyDescent="0.35">
      <c r="A346" s="39" t="s">
        <v>280</v>
      </c>
      <c r="B346" s="71">
        <v>1500</v>
      </c>
      <c r="C346" s="407"/>
      <c r="D346" s="407"/>
      <c r="E346"/>
      <c r="F346"/>
      <c r="G346"/>
      <c r="H346"/>
      <c r="I346"/>
      <c r="J346"/>
      <c r="K346"/>
      <c r="L346"/>
      <c r="M346"/>
      <c r="N346"/>
      <c r="O346"/>
      <c r="P346"/>
      <c r="Q346"/>
      <c r="R346"/>
    </row>
    <row r="347" spans="1:18" x14ac:dyDescent="0.35">
      <c r="A347" s="105" t="s">
        <v>279</v>
      </c>
      <c r="B347" s="71">
        <v>1500</v>
      </c>
      <c r="C347" s="407">
        <f>B347/15</f>
        <v>100</v>
      </c>
      <c r="D347" s="407">
        <f t="shared" si="7"/>
        <v>400</v>
      </c>
      <c r="E347"/>
      <c r="F347"/>
      <c r="G347"/>
      <c r="H347"/>
      <c r="I347"/>
      <c r="J347"/>
      <c r="K347"/>
      <c r="L347"/>
      <c r="M347"/>
      <c r="N347"/>
      <c r="O347"/>
      <c r="P347"/>
      <c r="Q347"/>
      <c r="R347"/>
    </row>
    <row r="348" spans="1:18" x14ac:dyDescent="0.35">
      <c r="A348" s="39" t="s">
        <v>309</v>
      </c>
      <c r="B348" s="71">
        <v>3000</v>
      </c>
      <c r="C348" s="407"/>
      <c r="D348" s="407"/>
      <c r="E348"/>
      <c r="F348"/>
      <c r="G348"/>
      <c r="H348"/>
      <c r="I348"/>
      <c r="J348"/>
      <c r="K348"/>
      <c r="L348"/>
      <c r="M348"/>
      <c r="N348"/>
      <c r="O348"/>
      <c r="P348"/>
      <c r="Q348"/>
      <c r="R348"/>
    </row>
    <row r="349" spans="1:18" x14ac:dyDescent="0.35">
      <c r="A349" s="105" t="s">
        <v>794</v>
      </c>
      <c r="B349" s="71">
        <v>3000</v>
      </c>
      <c r="C349" s="407"/>
      <c r="D349" s="407"/>
      <c r="E349"/>
      <c r="F349"/>
      <c r="G349"/>
      <c r="H349"/>
      <c r="I349"/>
      <c r="J349"/>
      <c r="K349"/>
      <c r="L349"/>
      <c r="M349"/>
      <c r="N349"/>
      <c r="O349"/>
      <c r="P349"/>
      <c r="Q349"/>
      <c r="R349"/>
    </row>
    <row r="350" spans="1:18" x14ac:dyDescent="0.35">
      <c r="A350" s="39" t="s">
        <v>44</v>
      </c>
      <c r="B350" s="71">
        <v>6000</v>
      </c>
      <c r="C350" s="407">
        <f>B350/15</f>
        <v>400</v>
      </c>
      <c r="D350" s="407">
        <f t="shared" si="7"/>
        <v>1600</v>
      </c>
      <c r="E350"/>
      <c r="F350"/>
      <c r="G350"/>
      <c r="H350"/>
      <c r="I350"/>
      <c r="J350"/>
      <c r="K350"/>
      <c r="L350"/>
      <c r="M350"/>
      <c r="N350"/>
      <c r="O350"/>
      <c r="P350"/>
      <c r="Q350"/>
      <c r="R350"/>
    </row>
    <row r="351" spans="1:18" x14ac:dyDescent="0.35">
      <c r="A351" s="105" t="s">
        <v>800</v>
      </c>
      <c r="B351" s="71">
        <v>2000</v>
      </c>
      <c r="C351" s="407"/>
      <c r="D351" s="407"/>
      <c r="E351"/>
      <c r="F351"/>
      <c r="G351"/>
      <c r="H351"/>
      <c r="I351"/>
      <c r="J351"/>
      <c r="K351"/>
      <c r="L351"/>
      <c r="M351"/>
      <c r="N351"/>
      <c r="O351"/>
      <c r="P351"/>
      <c r="Q351"/>
      <c r="R351"/>
    </row>
    <row r="352" spans="1:18" x14ac:dyDescent="0.35">
      <c r="A352" s="105" t="s">
        <v>801</v>
      </c>
      <c r="B352" s="71">
        <v>4000</v>
      </c>
      <c r="C352" s="407">
        <f>B352/15</f>
        <v>266.66666666666669</v>
      </c>
      <c r="D352" s="407">
        <f t="shared" si="7"/>
        <v>1066.6666666666667</v>
      </c>
      <c r="E352"/>
      <c r="F352"/>
      <c r="G352"/>
      <c r="H352"/>
      <c r="I352"/>
      <c r="J352"/>
      <c r="K352"/>
      <c r="L352"/>
      <c r="M352"/>
      <c r="N352"/>
      <c r="O352"/>
      <c r="P352"/>
      <c r="Q352"/>
      <c r="R352"/>
    </row>
    <row r="353" spans="1:18" x14ac:dyDescent="0.35">
      <c r="A353" s="39" t="s">
        <v>281</v>
      </c>
      <c r="B353" s="71">
        <v>162</v>
      </c>
      <c r="C353" s="407"/>
      <c r="D353" s="407"/>
      <c r="E353"/>
      <c r="F353"/>
      <c r="G353"/>
      <c r="H353"/>
      <c r="I353"/>
      <c r="J353"/>
      <c r="K353"/>
      <c r="L353"/>
      <c r="M353"/>
      <c r="N353"/>
      <c r="O353"/>
      <c r="P353"/>
      <c r="Q353"/>
      <c r="R353"/>
    </row>
    <row r="354" spans="1:18" x14ac:dyDescent="0.35">
      <c r="A354" s="105" t="s">
        <v>790</v>
      </c>
      <c r="B354" s="71">
        <v>162</v>
      </c>
      <c r="C354" s="407">
        <f>B354/15</f>
        <v>10.8</v>
      </c>
      <c r="D354" s="407">
        <f t="shared" si="7"/>
        <v>43.2</v>
      </c>
      <c r="E354"/>
      <c r="F354"/>
      <c r="G354"/>
      <c r="H354"/>
      <c r="I354"/>
      <c r="J354"/>
      <c r="K354"/>
      <c r="L354"/>
      <c r="M354"/>
      <c r="N354"/>
      <c r="O354"/>
      <c r="P354"/>
      <c r="Q354"/>
      <c r="R354"/>
    </row>
    <row r="355" spans="1:18" x14ac:dyDescent="0.35">
      <c r="A355" s="39" t="s">
        <v>345</v>
      </c>
      <c r="B355" s="71">
        <v>700</v>
      </c>
      <c r="C355" s="407"/>
      <c r="D355" s="407"/>
      <c r="E355"/>
      <c r="F355"/>
      <c r="G355"/>
      <c r="H355"/>
      <c r="I355"/>
      <c r="J355"/>
      <c r="K355"/>
      <c r="L355"/>
      <c r="M355"/>
      <c r="N355"/>
      <c r="O355"/>
      <c r="P355"/>
      <c r="Q355"/>
      <c r="R355"/>
    </row>
    <row r="356" spans="1:18" x14ac:dyDescent="0.35">
      <c r="A356" s="105" t="s">
        <v>791</v>
      </c>
      <c r="B356" s="71">
        <v>700</v>
      </c>
      <c r="C356" s="407"/>
      <c r="D356" s="407"/>
      <c r="E356"/>
      <c r="F356"/>
      <c r="G356"/>
      <c r="H356"/>
      <c r="I356"/>
      <c r="J356"/>
      <c r="K356"/>
      <c r="L356"/>
      <c r="M356"/>
      <c r="N356"/>
      <c r="O356"/>
      <c r="P356"/>
      <c r="Q356"/>
      <c r="R356"/>
    </row>
    <row r="357" spans="1:18" x14ac:dyDescent="0.35">
      <c r="A357" s="39" t="s">
        <v>441</v>
      </c>
      <c r="B357" s="71">
        <v>750</v>
      </c>
      <c r="C357" s="407">
        <f>B357/15</f>
        <v>50</v>
      </c>
      <c r="D357" s="407">
        <f t="shared" si="7"/>
        <v>200</v>
      </c>
      <c r="E357"/>
      <c r="F357"/>
      <c r="G357"/>
      <c r="H357"/>
      <c r="I357"/>
      <c r="J357"/>
      <c r="K357"/>
      <c r="L357"/>
      <c r="M357"/>
      <c r="N357"/>
      <c r="O357"/>
      <c r="P357"/>
      <c r="Q357"/>
      <c r="R357"/>
    </row>
    <row r="358" spans="1:18" x14ac:dyDescent="0.35">
      <c r="A358" s="105" t="s">
        <v>420</v>
      </c>
      <c r="B358" s="71">
        <v>300</v>
      </c>
      <c r="C358" s="407"/>
      <c r="D358" s="407"/>
      <c r="E358"/>
      <c r="F358"/>
      <c r="G358"/>
      <c r="H358"/>
      <c r="I358"/>
      <c r="J358"/>
      <c r="K358"/>
      <c r="L358"/>
      <c r="M358"/>
      <c r="N358"/>
      <c r="O358"/>
      <c r="P358"/>
      <c r="Q358"/>
      <c r="R358"/>
    </row>
    <row r="359" spans="1:18" x14ac:dyDescent="0.35">
      <c r="A359" s="105" t="s">
        <v>591</v>
      </c>
      <c r="B359" s="71">
        <v>450</v>
      </c>
      <c r="C359" s="407"/>
      <c r="D359" s="407"/>
      <c r="E359"/>
      <c r="F359"/>
      <c r="G359"/>
      <c r="H359"/>
      <c r="I359"/>
      <c r="J359"/>
      <c r="K359"/>
      <c r="L359"/>
      <c r="M359"/>
      <c r="N359"/>
      <c r="O359"/>
      <c r="P359"/>
      <c r="Q359"/>
      <c r="R359"/>
    </row>
    <row r="360" spans="1:18" x14ac:dyDescent="0.35">
      <c r="A360" s="39" t="s">
        <v>440</v>
      </c>
      <c r="B360" s="71">
        <v>1200</v>
      </c>
      <c r="C360" s="407"/>
      <c r="D360" s="407"/>
      <c r="E360"/>
      <c r="F360"/>
      <c r="G360"/>
      <c r="H360"/>
      <c r="I360"/>
      <c r="J360"/>
      <c r="K360"/>
      <c r="L360"/>
      <c r="M360"/>
      <c r="N360"/>
      <c r="O360"/>
      <c r="P360"/>
      <c r="Q360"/>
      <c r="R360"/>
    </row>
    <row r="361" spans="1:18" x14ac:dyDescent="0.35">
      <c r="A361" s="105" t="s">
        <v>419</v>
      </c>
      <c r="B361" s="71">
        <v>300</v>
      </c>
      <c r="C361" s="407">
        <f>B361/15</f>
        <v>20</v>
      </c>
      <c r="D361" s="407">
        <f t="shared" si="7"/>
        <v>80</v>
      </c>
      <c r="E361"/>
      <c r="F361"/>
      <c r="G361"/>
      <c r="H361"/>
      <c r="I361"/>
      <c r="J361"/>
      <c r="K361"/>
      <c r="L361"/>
      <c r="M361"/>
      <c r="N361"/>
      <c r="O361"/>
      <c r="P361"/>
      <c r="Q361"/>
      <c r="R361"/>
    </row>
    <row r="362" spans="1:18" x14ac:dyDescent="0.35">
      <c r="A362" s="105" t="s">
        <v>590</v>
      </c>
      <c r="B362" s="71">
        <v>450</v>
      </c>
      <c r="C362" s="407"/>
      <c r="D362" s="407"/>
      <c r="E362"/>
      <c r="F362"/>
      <c r="G362"/>
      <c r="H362"/>
      <c r="I362"/>
      <c r="J362"/>
      <c r="K362"/>
      <c r="L362"/>
      <c r="M362"/>
      <c r="N362"/>
      <c r="O362"/>
      <c r="P362"/>
      <c r="Q362"/>
      <c r="R362"/>
    </row>
    <row r="363" spans="1:18" x14ac:dyDescent="0.35">
      <c r="A363" s="105" t="s">
        <v>911</v>
      </c>
      <c r="B363" s="71">
        <v>450</v>
      </c>
      <c r="C363" s="407"/>
      <c r="D363" s="407"/>
      <c r="E363"/>
      <c r="F363"/>
      <c r="G363"/>
      <c r="H363"/>
      <c r="I363"/>
      <c r="J363"/>
      <c r="K363"/>
      <c r="L363"/>
      <c r="M363"/>
      <c r="N363"/>
      <c r="O363"/>
      <c r="P363"/>
      <c r="Q363"/>
      <c r="R363"/>
    </row>
    <row r="364" spans="1:18" x14ac:dyDescent="0.35">
      <c r="A364" s="39" t="s">
        <v>435</v>
      </c>
      <c r="B364" s="71">
        <v>1200</v>
      </c>
      <c r="C364" s="407"/>
      <c r="D364" s="407"/>
      <c r="E364"/>
      <c r="F364"/>
      <c r="G364"/>
      <c r="H364"/>
      <c r="I364"/>
      <c r="J364"/>
      <c r="K364"/>
      <c r="L364"/>
      <c r="M364"/>
      <c r="N364"/>
      <c r="O364"/>
      <c r="P364"/>
      <c r="Q364"/>
      <c r="R364"/>
    </row>
    <row r="365" spans="1:18" x14ac:dyDescent="0.35">
      <c r="A365" s="105" t="s">
        <v>414</v>
      </c>
      <c r="B365" s="71">
        <v>300</v>
      </c>
      <c r="C365" s="407">
        <f>B365/15</f>
        <v>20</v>
      </c>
      <c r="D365" s="407">
        <f t="shared" si="7"/>
        <v>80</v>
      </c>
      <c r="E365"/>
      <c r="F365"/>
      <c r="G365"/>
      <c r="H365"/>
      <c r="I365"/>
      <c r="J365"/>
      <c r="K365"/>
      <c r="L365"/>
      <c r="M365"/>
      <c r="N365"/>
      <c r="O365"/>
      <c r="P365"/>
      <c r="Q365"/>
      <c r="R365"/>
    </row>
    <row r="366" spans="1:18" x14ac:dyDescent="0.35">
      <c r="A366" s="105" t="s">
        <v>585</v>
      </c>
      <c r="B366" s="71">
        <v>450</v>
      </c>
      <c r="C366" s="407"/>
      <c r="D366" s="407"/>
      <c r="E366"/>
      <c r="F366"/>
      <c r="G366"/>
      <c r="H366"/>
      <c r="I366"/>
      <c r="J366"/>
      <c r="K366"/>
      <c r="L366"/>
      <c r="M366"/>
      <c r="N366"/>
      <c r="O366"/>
      <c r="P366"/>
      <c r="Q366"/>
      <c r="R366"/>
    </row>
    <row r="367" spans="1:18" x14ac:dyDescent="0.35">
      <c r="A367" s="105" t="s">
        <v>906</v>
      </c>
      <c r="B367" s="71">
        <v>450</v>
      </c>
      <c r="C367" s="407"/>
      <c r="D367" s="407"/>
      <c r="E367"/>
      <c r="F367"/>
      <c r="G367"/>
      <c r="H367"/>
      <c r="I367"/>
      <c r="J367"/>
      <c r="K367"/>
      <c r="L367"/>
      <c r="M367"/>
      <c r="N367"/>
      <c r="O367"/>
      <c r="P367"/>
      <c r="Q367"/>
      <c r="R367"/>
    </row>
    <row r="368" spans="1:18" x14ac:dyDescent="0.35">
      <c r="A368" s="39" t="s">
        <v>434</v>
      </c>
      <c r="B368" s="71">
        <v>1200</v>
      </c>
      <c r="C368" s="407"/>
      <c r="D368" s="407"/>
      <c r="E368"/>
      <c r="F368"/>
      <c r="G368"/>
      <c r="H368"/>
      <c r="I368"/>
      <c r="J368"/>
      <c r="K368"/>
      <c r="L368"/>
      <c r="M368"/>
      <c r="N368"/>
      <c r="O368"/>
      <c r="P368"/>
      <c r="Q368"/>
      <c r="R368"/>
    </row>
    <row r="369" spans="1:18" x14ac:dyDescent="0.35">
      <c r="A369" s="105" t="s">
        <v>413</v>
      </c>
      <c r="B369" s="71">
        <v>300</v>
      </c>
      <c r="C369" s="407">
        <f>B369/15</f>
        <v>20</v>
      </c>
      <c r="D369" s="407">
        <f t="shared" si="7"/>
        <v>80</v>
      </c>
      <c r="E369"/>
      <c r="F369"/>
      <c r="G369"/>
      <c r="H369"/>
      <c r="I369"/>
      <c r="J369"/>
      <c r="K369"/>
      <c r="L369"/>
      <c r="M369"/>
      <c r="N369"/>
      <c r="O369"/>
      <c r="P369"/>
      <c r="Q369"/>
      <c r="R369"/>
    </row>
    <row r="370" spans="1:18" x14ac:dyDescent="0.35">
      <c r="A370" s="105" t="s">
        <v>584</v>
      </c>
      <c r="B370" s="71">
        <v>450</v>
      </c>
      <c r="C370" s="407"/>
      <c r="D370" s="407"/>
      <c r="E370"/>
      <c r="F370"/>
      <c r="G370"/>
      <c r="H370"/>
      <c r="I370"/>
      <c r="J370"/>
      <c r="K370"/>
      <c r="L370"/>
      <c r="M370"/>
      <c r="N370"/>
      <c r="O370"/>
      <c r="P370"/>
      <c r="Q370"/>
      <c r="R370"/>
    </row>
    <row r="371" spans="1:18" x14ac:dyDescent="0.35">
      <c r="A371" s="105" t="s">
        <v>905</v>
      </c>
      <c r="B371" s="71">
        <v>450</v>
      </c>
      <c r="C371" s="407"/>
      <c r="D371" s="407"/>
      <c r="E371"/>
      <c r="F371"/>
      <c r="G371"/>
      <c r="H371"/>
      <c r="I371"/>
      <c r="J371"/>
      <c r="K371"/>
      <c r="L371"/>
      <c r="M371"/>
      <c r="N371"/>
      <c r="O371"/>
      <c r="P371"/>
      <c r="Q371"/>
      <c r="R371"/>
    </row>
    <row r="372" spans="1:18" x14ac:dyDescent="0.35">
      <c r="A372" s="39" t="s">
        <v>433</v>
      </c>
      <c r="B372" s="71">
        <v>1200</v>
      </c>
      <c r="C372" s="407"/>
      <c r="D372" s="407"/>
      <c r="E372"/>
      <c r="F372"/>
      <c r="G372"/>
      <c r="H372"/>
      <c r="I372"/>
      <c r="J372"/>
      <c r="K372"/>
      <c r="L372"/>
      <c r="M372"/>
      <c r="N372"/>
      <c r="O372"/>
      <c r="P372"/>
      <c r="Q372"/>
      <c r="R372"/>
    </row>
    <row r="373" spans="1:18" x14ac:dyDescent="0.35">
      <c r="A373" s="105" t="s">
        <v>412</v>
      </c>
      <c r="B373" s="71">
        <v>300</v>
      </c>
      <c r="C373" s="407">
        <f>B373/15</f>
        <v>20</v>
      </c>
      <c r="D373" s="407">
        <f t="shared" si="7"/>
        <v>80</v>
      </c>
      <c r="E373"/>
      <c r="F373"/>
      <c r="G373"/>
      <c r="H373"/>
      <c r="I373"/>
      <c r="J373"/>
      <c r="K373"/>
      <c r="L373"/>
      <c r="M373"/>
      <c r="N373"/>
      <c r="O373"/>
      <c r="P373"/>
      <c r="Q373"/>
      <c r="R373"/>
    </row>
    <row r="374" spans="1:18" x14ac:dyDescent="0.35">
      <c r="A374" s="105" t="s">
        <v>583</v>
      </c>
      <c r="B374" s="71">
        <v>450</v>
      </c>
      <c r="C374" s="407"/>
      <c r="D374" s="407"/>
      <c r="E374"/>
      <c r="F374"/>
      <c r="G374"/>
      <c r="H374"/>
      <c r="I374"/>
      <c r="J374"/>
      <c r="K374"/>
      <c r="L374"/>
      <c r="M374"/>
      <c r="N374"/>
      <c r="O374"/>
      <c r="P374"/>
      <c r="Q374"/>
      <c r="R374"/>
    </row>
    <row r="375" spans="1:18" x14ac:dyDescent="0.35">
      <c r="A375" s="105" t="s">
        <v>904</v>
      </c>
      <c r="B375" s="71">
        <v>450</v>
      </c>
      <c r="C375" s="407">
        <f>B375/15</f>
        <v>30</v>
      </c>
      <c r="D375" s="407">
        <f t="shared" si="7"/>
        <v>120</v>
      </c>
      <c r="E375"/>
      <c r="F375"/>
      <c r="G375"/>
      <c r="H375"/>
      <c r="I375"/>
      <c r="J375"/>
      <c r="K375"/>
      <c r="L375"/>
      <c r="M375"/>
      <c r="N375"/>
      <c r="O375"/>
      <c r="P375"/>
      <c r="Q375"/>
      <c r="R375"/>
    </row>
    <row r="376" spans="1:18" x14ac:dyDescent="0.35">
      <c r="A376" s="39" t="s">
        <v>430</v>
      </c>
      <c r="B376" s="71">
        <v>300</v>
      </c>
      <c r="C376" s="407"/>
      <c r="D376" s="407"/>
      <c r="E376"/>
      <c r="F376"/>
      <c r="G376"/>
      <c r="H376"/>
      <c r="I376"/>
      <c r="J376"/>
      <c r="K376"/>
      <c r="L376"/>
      <c r="M376"/>
      <c r="N376"/>
      <c r="O376"/>
      <c r="P376"/>
      <c r="Q376"/>
      <c r="R376"/>
    </row>
    <row r="377" spans="1:18" x14ac:dyDescent="0.35">
      <c r="A377" s="105" t="s">
        <v>409</v>
      </c>
      <c r="B377" s="71">
        <v>300</v>
      </c>
      <c r="C377" s="407"/>
      <c r="D377" s="407"/>
      <c r="E377"/>
      <c r="F377"/>
      <c r="G377"/>
      <c r="H377"/>
      <c r="I377"/>
      <c r="J377"/>
      <c r="K377"/>
      <c r="L377"/>
      <c r="M377"/>
      <c r="N377"/>
      <c r="O377"/>
      <c r="P377"/>
      <c r="Q377"/>
      <c r="R377"/>
    </row>
    <row r="378" spans="1:18" x14ac:dyDescent="0.35">
      <c r="A378" s="39" t="s">
        <v>431</v>
      </c>
      <c r="B378" s="71">
        <v>1200</v>
      </c>
      <c r="C378" s="407"/>
      <c r="D378" s="407"/>
      <c r="E378"/>
      <c r="F378"/>
      <c r="G378"/>
      <c r="H378"/>
      <c r="I378"/>
      <c r="J378"/>
      <c r="K378"/>
      <c r="L378"/>
      <c r="M378"/>
      <c r="N378"/>
      <c r="O378"/>
      <c r="P378"/>
      <c r="Q378"/>
      <c r="R378"/>
    </row>
    <row r="379" spans="1:18" x14ac:dyDescent="0.35">
      <c r="A379" s="105" t="s">
        <v>410</v>
      </c>
      <c r="B379" s="71">
        <v>300</v>
      </c>
      <c r="C379" s="407">
        <f>B379/15</f>
        <v>20</v>
      </c>
      <c r="D379" s="407">
        <f t="shared" si="7"/>
        <v>80</v>
      </c>
      <c r="E379"/>
      <c r="F379"/>
      <c r="G379"/>
      <c r="H379"/>
      <c r="I379"/>
      <c r="J379"/>
      <c r="K379"/>
      <c r="L379"/>
      <c r="M379"/>
      <c r="N379"/>
      <c r="O379"/>
      <c r="P379"/>
      <c r="Q379"/>
      <c r="R379"/>
    </row>
    <row r="380" spans="1:18" x14ac:dyDescent="0.35">
      <c r="A380" s="105" t="s">
        <v>581</v>
      </c>
      <c r="B380" s="71">
        <v>450</v>
      </c>
      <c r="C380" s="407"/>
      <c r="D380" s="407"/>
      <c r="E380"/>
      <c r="F380"/>
      <c r="G380"/>
      <c r="H380"/>
      <c r="I380"/>
      <c r="J380"/>
      <c r="K380"/>
      <c r="L380"/>
      <c r="M380"/>
      <c r="N380"/>
      <c r="O380"/>
      <c r="P380"/>
      <c r="Q380"/>
      <c r="R380"/>
    </row>
    <row r="381" spans="1:18" x14ac:dyDescent="0.35">
      <c r="A381" s="105" t="s">
        <v>902</v>
      </c>
      <c r="B381" s="71">
        <v>450</v>
      </c>
      <c r="C381" s="407"/>
      <c r="D381" s="407"/>
      <c r="E381"/>
      <c r="F381"/>
      <c r="G381"/>
      <c r="H381"/>
      <c r="I381"/>
      <c r="J381"/>
      <c r="K381"/>
      <c r="L381"/>
      <c r="M381"/>
      <c r="N381"/>
      <c r="O381"/>
      <c r="P381"/>
      <c r="Q381"/>
      <c r="R381"/>
    </row>
    <row r="382" spans="1:18" x14ac:dyDescent="0.35">
      <c r="A382" s="39" t="s">
        <v>436</v>
      </c>
      <c r="B382" s="71">
        <v>1200</v>
      </c>
      <c r="C382" s="407"/>
      <c r="D382" s="407"/>
      <c r="E382"/>
      <c r="F382"/>
      <c r="G382"/>
      <c r="H382"/>
      <c r="I382"/>
      <c r="J382"/>
      <c r="K382"/>
      <c r="L382"/>
      <c r="M382"/>
      <c r="N382"/>
      <c r="O382"/>
      <c r="P382"/>
      <c r="Q382"/>
      <c r="R382"/>
    </row>
    <row r="383" spans="1:18" x14ac:dyDescent="0.35">
      <c r="A383" s="105" t="s">
        <v>415</v>
      </c>
      <c r="B383" s="71">
        <v>300</v>
      </c>
      <c r="C383" s="407">
        <f>B383/15</f>
        <v>20</v>
      </c>
      <c r="D383" s="407">
        <f t="shared" si="7"/>
        <v>80</v>
      </c>
      <c r="E383"/>
      <c r="F383"/>
      <c r="G383"/>
      <c r="H383"/>
      <c r="I383"/>
      <c r="J383"/>
      <c r="K383"/>
      <c r="L383"/>
      <c r="M383"/>
      <c r="N383"/>
      <c r="O383"/>
      <c r="P383"/>
      <c r="Q383"/>
      <c r="R383"/>
    </row>
    <row r="384" spans="1:18" x14ac:dyDescent="0.35">
      <c r="A384" s="105" t="s">
        <v>586</v>
      </c>
      <c r="B384" s="71">
        <v>450</v>
      </c>
      <c r="C384" s="407"/>
      <c r="D384" s="407"/>
      <c r="E384"/>
      <c r="F384"/>
      <c r="G384"/>
      <c r="H384"/>
      <c r="I384"/>
      <c r="J384"/>
      <c r="K384"/>
      <c r="L384"/>
      <c r="M384"/>
      <c r="N384"/>
      <c r="O384"/>
      <c r="P384"/>
      <c r="Q384"/>
      <c r="R384"/>
    </row>
    <row r="385" spans="1:18" x14ac:dyDescent="0.35">
      <c r="A385" s="105" t="s">
        <v>907</v>
      </c>
      <c r="B385" s="71">
        <v>450</v>
      </c>
      <c r="C385" s="407"/>
      <c r="D385" s="407"/>
      <c r="E385"/>
      <c r="F385"/>
      <c r="G385"/>
      <c r="H385"/>
      <c r="I385"/>
      <c r="J385"/>
      <c r="K385"/>
      <c r="L385"/>
      <c r="M385"/>
      <c r="N385"/>
      <c r="O385"/>
      <c r="P385"/>
      <c r="Q385"/>
      <c r="R385"/>
    </row>
    <row r="386" spans="1:18" x14ac:dyDescent="0.35">
      <c r="A386" s="39" t="s">
        <v>432</v>
      </c>
      <c r="B386" s="71">
        <v>1200</v>
      </c>
      <c r="C386" s="407"/>
      <c r="D386" s="407"/>
      <c r="E386"/>
      <c r="F386"/>
      <c r="G386"/>
      <c r="H386"/>
      <c r="I386"/>
      <c r="J386"/>
      <c r="K386"/>
      <c r="L386"/>
      <c r="M386"/>
      <c r="N386"/>
      <c r="O386"/>
      <c r="P386"/>
      <c r="Q386"/>
      <c r="R386"/>
    </row>
    <row r="387" spans="1:18" x14ac:dyDescent="0.35">
      <c r="A387" s="105" t="s">
        <v>411</v>
      </c>
      <c r="B387" s="71">
        <v>300</v>
      </c>
      <c r="C387" s="407">
        <f>B387/15</f>
        <v>20</v>
      </c>
      <c r="D387" s="407">
        <f t="shared" si="7"/>
        <v>80</v>
      </c>
      <c r="E387"/>
      <c r="F387"/>
      <c r="G387"/>
      <c r="H387"/>
      <c r="I387"/>
      <c r="J387"/>
      <c r="K387"/>
      <c r="L387"/>
      <c r="M387"/>
      <c r="N387"/>
      <c r="O387"/>
      <c r="P387"/>
      <c r="Q387"/>
      <c r="R387"/>
    </row>
    <row r="388" spans="1:18" x14ac:dyDescent="0.35">
      <c r="A388" s="105" t="s">
        <v>582</v>
      </c>
      <c r="B388" s="71">
        <v>450</v>
      </c>
      <c r="C388" s="407"/>
      <c r="D388" s="407"/>
      <c r="E388"/>
      <c r="F388"/>
      <c r="G388"/>
      <c r="H388"/>
      <c r="I388"/>
      <c r="J388"/>
      <c r="K388"/>
      <c r="L388"/>
      <c r="M388"/>
      <c r="N388"/>
      <c r="O388"/>
      <c r="P388"/>
      <c r="Q388"/>
      <c r="R388"/>
    </row>
    <row r="389" spans="1:18" x14ac:dyDescent="0.35">
      <c r="A389" s="105" t="s">
        <v>903</v>
      </c>
      <c r="B389" s="71">
        <v>450</v>
      </c>
      <c r="C389" s="407"/>
      <c r="D389" s="407"/>
      <c r="E389"/>
      <c r="F389"/>
      <c r="G389"/>
      <c r="H389"/>
      <c r="I389"/>
      <c r="J389"/>
      <c r="K389"/>
      <c r="L389"/>
      <c r="M389"/>
      <c r="N389"/>
      <c r="O389"/>
      <c r="P389"/>
      <c r="Q389"/>
      <c r="R389"/>
    </row>
    <row r="390" spans="1:18" x14ac:dyDescent="0.35">
      <c r="A390" s="39" t="s">
        <v>439</v>
      </c>
      <c r="B390" s="71">
        <v>1200</v>
      </c>
      <c r="C390" s="407"/>
      <c r="D390" s="407"/>
      <c r="E390"/>
      <c r="F390"/>
      <c r="G390"/>
      <c r="H390"/>
      <c r="I390"/>
      <c r="J390"/>
      <c r="K390"/>
      <c r="L390"/>
      <c r="M390"/>
      <c r="N390"/>
      <c r="O390"/>
      <c r="P390"/>
      <c r="Q390"/>
      <c r="R390"/>
    </row>
    <row r="391" spans="1:18" x14ac:dyDescent="0.35">
      <c r="A391" s="105" t="s">
        <v>418</v>
      </c>
      <c r="B391" s="71">
        <v>300</v>
      </c>
      <c r="C391" s="407">
        <f>B391/15</f>
        <v>20</v>
      </c>
      <c r="D391" s="407">
        <f t="shared" si="7"/>
        <v>80</v>
      </c>
      <c r="E391"/>
      <c r="F391"/>
      <c r="G391"/>
      <c r="H391"/>
      <c r="I391"/>
      <c r="J391"/>
      <c r="K391"/>
      <c r="L391"/>
      <c r="M391"/>
      <c r="N391"/>
      <c r="O391"/>
      <c r="P391"/>
      <c r="Q391"/>
      <c r="R391"/>
    </row>
    <row r="392" spans="1:18" x14ac:dyDescent="0.35">
      <c r="A392" s="105" t="s">
        <v>589</v>
      </c>
      <c r="B392" s="71">
        <v>450</v>
      </c>
      <c r="C392" s="407"/>
      <c r="D392" s="407"/>
      <c r="E392"/>
      <c r="F392"/>
      <c r="G392"/>
      <c r="H392"/>
      <c r="I392"/>
      <c r="J392"/>
      <c r="K392"/>
      <c r="L392"/>
      <c r="M392"/>
      <c r="N392"/>
      <c r="O392"/>
      <c r="P392"/>
      <c r="Q392"/>
      <c r="R392"/>
    </row>
    <row r="393" spans="1:18" x14ac:dyDescent="0.35">
      <c r="A393" s="105" t="s">
        <v>910</v>
      </c>
      <c r="B393" s="71">
        <v>450</v>
      </c>
      <c r="C393" s="407"/>
      <c r="D393" s="407"/>
      <c r="E393"/>
      <c r="F393"/>
      <c r="G393"/>
      <c r="H393"/>
      <c r="I393"/>
      <c r="J393"/>
      <c r="K393"/>
      <c r="L393"/>
      <c r="M393"/>
      <c r="N393"/>
      <c r="O393"/>
      <c r="P393"/>
      <c r="Q393"/>
      <c r="R393"/>
    </row>
    <row r="394" spans="1:18" x14ac:dyDescent="0.35">
      <c r="A394" s="39" t="s">
        <v>438</v>
      </c>
      <c r="B394" s="71">
        <v>1200</v>
      </c>
      <c r="C394" s="407"/>
      <c r="D394" s="407"/>
      <c r="E394"/>
      <c r="F394"/>
      <c r="G394"/>
      <c r="H394"/>
      <c r="I394"/>
      <c r="J394"/>
      <c r="K394"/>
      <c r="L394"/>
      <c r="M394"/>
      <c r="N394"/>
      <c r="O394"/>
      <c r="P394"/>
      <c r="Q394"/>
      <c r="R394"/>
    </row>
    <row r="395" spans="1:18" x14ac:dyDescent="0.35">
      <c r="A395" s="105" t="s">
        <v>417</v>
      </c>
      <c r="B395" s="71">
        <v>300</v>
      </c>
      <c r="C395" s="407">
        <f>B395/15</f>
        <v>20</v>
      </c>
      <c r="D395" s="407">
        <f t="shared" ref="D395:D456" si="8">C395*4</f>
        <v>80</v>
      </c>
      <c r="E395"/>
      <c r="F395"/>
      <c r="G395"/>
      <c r="H395"/>
      <c r="I395"/>
      <c r="J395"/>
      <c r="K395"/>
      <c r="L395"/>
      <c r="M395"/>
      <c r="N395"/>
      <c r="O395"/>
      <c r="P395"/>
      <c r="Q395"/>
      <c r="R395"/>
    </row>
    <row r="396" spans="1:18" x14ac:dyDescent="0.35">
      <c r="A396" s="105" t="s">
        <v>588</v>
      </c>
      <c r="B396" s="71">
        <v>450</v>
      </c>
      <c r="C396" s="407"/>
      <c r="D396" s="407"/>
      <c r="E396"/>
      <c r="F396"/>
      <c r="G396"/>
      <c r="H396"/>
      <c r="I396"/>
      <c r="J396"/>
      <c r="K396"/>
      <c r="L396"/>
      <c r="M396"/>
      <c r="N396"/>
      <c r="O396"/>
      <c r="P396"/>
      <c r="Q396"/>
      <c r="R396"/>
    </row>
    <row r="397" spans="1:18" x14ac:dyDescent="0.35">
      <c r="A397" s="105" t="s">
        <v>909</v>
      </c>
      <c r="B397" s="71">
        <v>450</v>
      </c>
      <c r="C397" s="407"/>
      <c r="D397" s="407"/>
      <c r="E397"/>
      <c r="F397"/>
      <c r="G397"/>
      <c r="H397"/>
      <c r="I397"/>
      <c r="J397"/>
      <c r="K397"/>
      <c r="L397"/>
      <c r="M397"/>
      <c r="N397"/>
      <c r="O397"/>
      <c r="P397"/>
      <c r="Q397"/>
      <c r="R397"/>
    </row>
    <row r="398" spans="1:18" x14ac:dyDescent="0.35">
      <c r="A398" s="39" t="s">
        <v>437</v>
      </c>
      <c r="B398" s="71">
        <v>1200</v>
      </c>
      <c r="C398" s="407"/>
      <c r="D398" s="407"/>
      <c r="E398"/>
      <c r="F398"/>
      <c r="G398"/>
      <c r="H398"/>
      <c r="I398"/>
      <c r="J398"/>
      <c r="K398"/>
      <c r="L398"/>
      <c r="M398"/>
      <c r="N398"/>
      <c r="O398"/>
      <c r="P398"/>
      <c r="Q398"/>
      <c r="R398"/>
    </row>
    <row r="399" spans="1:18" x14ac:dyDescent="0.35">
      <c r="A399" s="105" t="s">
        <v>416</v>
      </c>
      <c r="B399" s="71">
        <v>300</v>
      </c>
      <c r="C399" s="407">
        <f>B399/15</f>
        <v>20</v>
      </c>
      <c r="D399" s="407">
        <f t="shared" si="8"/>
        <v>80</v>
      </c>
      <c r="E399"/>
      <c r="F399"/>
      <c r="G399"/>
      <c r="H399"/>
      <c r="I399"/>
      <c r="J399"/>
      <c r="K399"/>
      <c r="L399"/>
      <c r="M399"/>
      <c r="N399"/>
      <c r="O399"/>
      <c r="P399"/>
      <c r="Q399"/>
      <c r="R399"/>
    </row>
    <row r="400" spans="1:18" x14ac:dyDescent="0.35">
      <c r="A400" s="105" t="s">
        <v>587</v>
      </c>
      <c r="B400" s="71">
        <v>450</v>
      </c>
      <c r="C400" s="407"/>
      <c r="D400" s="407"/>
      <c r="E400"/>
      <c r="F400"/>
      <c r="G400"/>
      <c r="H400"/>
      <c r="I400"/>
      <c r="J400"/>
      <c r="K400"/>
      <c r="L400"/>
      <c r="M400"/>
      <c r="N400"/>
      <c r="O400"/>
      <c r="P400"/>
      <c r="Q400"/>
      <c r="R400"/>
    </row>
    <row r="401" spans="1:18" x14ac:dyDescent="0.35">
      <c r="A401" s="105" t="s">
        <v>908</v>
      </c>
      <c r="B401" s="71">
        <v>450</v>
      </c>
      <c r="C401" s="407"/>
      <c r="D401" s="407"/>
      <c r="E401"/>
      <c r="F401"/>
      <c r="G401"/>
      <c r="H401"/>
      <c r="I401"/>
      <c r="J401"/>
      <c r="K401"/>
      <c r="L401"/>
      <c r="M401"/>
      <c r="N401"/>
      <c r="O401"/>
      <c r="P401"/>
      <c r="Q401"/>
      <c r="R401"/>
    </row>
    <row r="402" spans="1:18" x14ac:dyDescent="0.35">
      <c r="A402" s="39" t="s">
        <v>429</v>
      </c>
      <c r="B402" s="71">
        <v>1200</v>
      </c>
      <c r="C402" s="407"/>
      <c r="D402" s="407"/>
      <c r="E402"/>
      <c r="F402"/>
      <c r="G402"/>
      <c r="H402"/>
      <c r="I402"/>
      <c r="J402"/>
      <c r="K402"/>
      <c r="L402"/>
      <c r="M402"/>
      <c r="N402"/>
      <c r="O402"/>
      <c r="P402"/>
      <c r="Q402"/>
      <c r="R402"/>
    </row>
    <row r="403" spans="1:18" x14ac:dyDescent="0.35">
      <c r="A403" s="105" t="s">
        <v>407</v>
      </c>
      <c r="B403" s="71">
        <v>300</v>
      </c>
      <c r="C403" s="407">
        <f>B403/15</f>
        <v>20</v>
      </c>
      <c r="D403" s="407">
        <f t="shared" si="8"/>
        <v>80</v>
      </c>
      <c r="E403"/>
      <c r="F403"/>
      <c r="G403"/>
      <c r="H403"/>
      <c r="I403"/>
      <c r="J403"/>
      <c r="K403"/>
      <c r="L403"/>
      <c r="M403"/>
      <c r="N403"/>
      <c r="O403"/>
      <c r="P403"/>
      <c r="Q403"/>
      <c r="R403"/>
    </row>
    <row r="404" spans="1:18" x14ac:dyDescent="0.35">
      <c r="A404" s="105" t="s">
        <v>578</v>
      </c>
      <c r="B404" s="71">
        <v>450</v>
      </c>
      <c r="C404" s="407"/>
      <c r="D404" s="407"/>
      <c r="E404"/>
      <c r="F404"/>
      <c r="G404"/>
      <c r="H404"/>
      <c r="I404"/>
      <c r="J404"/>
      <c r="K404"/>
      <c r="L404"/>
      <c r="M404"/>
      <c r="N404"/>
      <c r="O404"/>
      <c r="P404"/>
      <c r="Q404"/>
      <c r="R404"/>
    </row>
    <row r="405" spans="1:18" x14ac:dyDescent="0.35">
      <c r="A405" s="105" t="s">
        <v>899</v>
      </c>
      <c r="B405" s="71">
        <v>450</v>
      </c>
      <c r="C405" s="407"/>
      <c r="D405" s="407"/>
      <c r="E405"/>
      <c r="F405"/>
      <c r="G405"/>
      <c r="H405"/>
      <c r="I405"/>
      <c r="J405"/>
      <c r="K405"/>
      <c r="L405"/>
      <c r="M405"/>
      <c r="N405"/>
      <c r="O405"/>
      <c r="P405"/>
      <c r="Q405"/>
      <c r="R405"/>
    </row>
    <row r="406" spans="1:18" x14ac:dyDescent="0.35">
      <c r="A406" s="39" t="s">
        <v>428</v>
      </c>
      <c r="B406" s="71">
        <v>750</v>
      </c>
      <c r="C406" s="407">
        <f>B406/15</f>
        <v>50</v>
      </c>
      <c r="D406" s="407">
        <f t="shared" si="8"/>
        <v>200</v>
      </c>
      <c r="E406"/>
      <c r="F406"/>
      <c r="G406"/>
      <c r="H406"/>
      <c r="I406"/>
      <c r="J406"/>
      <c r="K406"/>
      <c r="L406"/>
      <c r="M406"/>
      <c r="N406"/>
      <c r="O406"/>
      <c r="P406"/>
      <c r="Q406"/>
      <c r="R406"/>
    </row>
    <row r="407" spans="1:18" x14ac:dyDescent="0.35">
      <c r="A407" s="105" t="s">
        <v>406</v>
      </c>
      <c r="B407" s="71">
        <v>300</v>
      </c>
      <c r="C407" s="407"/>
      <c r="D407" s="407"/>
      <c r="E407"/>
      <c r="F407"/>
      <c r="G407"/>
      <c r="H407"/>
      <c r="I407"/>
      <c r="J407"/>
      <c r="K407"/>
      <c r="L407"/>
      <c r="M407"/>
      <c r="N407"/>
      <c r="O407"/>
      <c r="P407"/>
      <c r="Q407"/>
      <c r="R407"/>
    </row>
    <row r="408" spans="1:18" x14ac:dyDescent="0.35">
      <c r="A408" s="105" t="s">
        <v>577</v>
      </c>
      <c r="B408" s="71">
        <v>450</v>
      </c>
      <c r="C408" s="407"/>
      <c r="D408" s="407"/>
      <c r="E408"/>
      <c r="F408"/>
      <c r="G408"/>
      <c r="H408"/>
      <c r="I408"/>
      <c r="J408"/>
      <c r="K408"/>
      <c r="L408"/>
      <c r="M408"/>
      <c r="N408"/>
      <c r="O408"/>
      <c r="P408"/>
      <c r="Q408"/>
      <c r="R408"/>
    </row>
    <row r="409" spans="1:18" x14ac:dyDescent="0.35">
      <c r="A409" s="39" t="s">
        <v>427</v>
      </c>
      <c r="B409" s="71">
        <v>750</v>
      </c>
      <c r="C409" s="407">
        <f>B409/15</f>
        <v>50</v>
      </c>
      <c r="D409" s="407">
        <f t="shared" si="8"/>
        <v>200</v>
      </c>
      <c r="E409"/>
      <c r="F409"/>
      <c r="G409"/>
      <c r="H409"/>
      <c r="I409"/>
      <c r="J409"/>
      <c r="K409"/>
      <c r="L409"/>
      <c r="M409"/>
      <c r="N409"/>
      <c r="O409"/>
      <c r="P409"/>
      <c r="Q409"/>
      <c r="R409"/>
    </row>
    <row r="410" spans="1:18" x14ac:dyDescent="0.35">
      <c r="A410" s="105" t="s">
        <v>405</v>
      </c>
      <c r="B410" s="71">
        <v>300</v>
      </c>
      <c r="C410" s="407"/>
      <c r="D410" s="407"/>
      <c r="E410"/>
      <c r="F410"/>
      <c r="G410"/>
      <c r="H410"/>
      <c r="I410"/>
      <c r="J410"/>
      <c r="K410"/>
      <c r="L410"/>
      <c r="M410"/>
      <c r="N410"/>
      <c r="O410"/>
      <c r="P410"/>
      <c r="Q410"/>
      <c r="R410"/>
    </row>
    <row r="411" spans="1:18" x14ac:dyDescent="0.35">
      <c r="A411" s="105" t="s">
        <v>576</v>
      </c>
      <c r="B411" s="71">
        <v>450</v>
      </c>
      <c r="C411" s="407"/>
      <c r="D411" s="407"/>
      <c r="E411"/>
      <c r="F411"/>
      <c r="G411"/>
      <c r="H411"/>
      <c r="I411"/>
      <c r="J411"/>
      <c r="K411"/>
      <c r="L411"/>
      <c r="M411"/>
      <c r="N411"/>
      <c r="O411"/>
      <c r="P411"/>
      <c r="Q411"/>
      <c r="R411"/>
    </row>
    <row r="412" spans="1:18" x14ac:dyDescent="0.35">
      <c r="A412" s="39" t="s">
        <v>426</v>
      </c>
      <c r="B412" s="71">
        <v>750</v>
      </c>
      <c r="C412" s="407">
        <f>B412/15</f>
        <v>50</v>
      </c>
      <c r="D412" s="407">
        <f t="shared" si="8"/>
        <v>200</v>
      </c>
      <c r="E412"/>
      <c r="F412"/>
      <c r="G412"/>
      <c r="H412"/>
      <c r="I412"/>
      <c r="J412"/>
      <c r="K412"/>
      <c r="L412"/>
      <c r="M412"/>
      <c r="N412"/>
      <c r="O412"/>
      <c r="P412"/>
      <c r="Q412"/>
      <c r="R412"/>
    </row>
    <row r="413" spans="1:18" x14ac:dyDescent="0.35">
      <c r="A413" s="105" t="s">
        <v>404</v>
      </c>
      <c r="B413" s="71">
        <v>300</v>
      </c>
      <c r="C413" s="407"/>
      <c r="D413" s="407"/>
      <c r="E413"/>
      <c r="F413"/>
      <c r="G413"/>
      <c r="H413"/>
      <c r="I413"/>
      <c r="J413"/>
      <c r="K413"/>
      <c r="L413"/>
      <c r="M413"/>
      <c r="N413"/>
      <c r="O413"/>
      <c r="P413"/>
      <c r="Q413"/>
      <c r="R413"/>
    </row>
    <row r="414" spans="1:18" x14ac:dyDescent="0.35">
      <c r="A414" s="105" t="s">
        <v>575</v>
      </c>
      <c r="B414" s="71">
        <v>450</v>
      </c>
      <c r="C414" s="407">
        <f>B414/15</f>
        <v>30</v>
      </c>
      <c r="D414" s="407">
        <f t="shared" si="8"/>
        <v>120</v>
      </c>
      <c r="E414"/>
      <c r="F414"/>
      <c r="G414"/>
      <c r="H414"/>
      <c r="I414"/>
      <c r="J414"/>
      <c r="K414"/>
      <c r="L414"/>
      <c r="M414"/>
      <c r="N414"/>
      <c r="O414"/>
      <c r="P414"/>
      <c r="Q414"/>
      <c r="R414"/>
    </row>
    <row r="415" spans="1:18" x14ac:dyDescent="0.35">
      <c r="A415" s="39" t="s">
        <v>739</v>
      </c>
      <c r="B415" s="71">
        <v>100</v>
      </c>
      <c r="C415" s="407"/>
      <c r="D415" s="407"/>
      <c r="E415"/>
      <c r="F415"/>
      <c r="G415"/>
      <c r="H415"/>
      <c r="I415"/>
      <c r="J415"/>
      <c r="K415"/>
      <c r="L415"/>
      <c r="M415"/>
      <c r="N415"/>
      <c r="O415"/>
      <c r="P415"/>
      <c r="Q415"/>
      <c r="R415"/>
    </row>
    <row r="416" spans="1:18" x14ac:dyDescent="0.35">
      <c r="A416" s="105" t="s">
        <v>802</v>
      </c>
      <c r="B416" s="71">
        <v>100</v>
      </c>
      <c r="C416" s="407">
        <f>B416/15</f>
        <v>6.666666666666667</v>
      </c>
      <c r="D416" s="407">
        <f t="shared" si="8"/>
        <v>26.666666666666668</v>
      </c>
      <c r="E416"/>
      <c r="F416"/>
      <c r="G416"/>
      <c r="H416"/>
      <c r="I416"/>
      <c r="J416"/>
      <c r="K416"/>
      <c r="L416"/>
      <c r="M416"/>
      <c r="N416"/>
      <c r="O416"/>
      <c r="P416"/>
      <c r="Q416"/>
      <c r="R416"/>
    </row>
    <row r="417" spans="1:18" x14ac:dyDescent="0.35">
      <c r="A417" s="39" t="s">
        <v>866</v>
      </c>
      <c r="B417" s="71">
        <v>400</v>
      </c>
      <c r="C417" s="407"/>
      <c r="D417" s="407"/>
      <c r="E417"/>
      <c r="F417"/>
      <c r="G417"/>
      <c r="H417"/>
      <c r="I417"/>
      <c r="J417"/>
      <c r="K417"/>
      <c r="L417"/>
      <c r="M417"/>
      <c r="N417"/>
      <c r="O417"/>
      <c r="P417"/>
      <c r="Q417"/>
      <c r="R417"/>
    </row>
    <row r="418" spans="1:18" x14ac:dyDescent="0.35">
      <c r="A418" s="105" t="s">
        <v>865</v>
      </c>
      <c r="B418" s="71">
        <v>400</v>
      </c>
      <c r="C418" s="407">
        <f>B418/15</f>
        <v>26.666666666666668</v>
      </c>
      <c r="D418" s="407">
        <f t="shared" si="8"/>
        <v>106.66666666666667</v>
      </c>
      <c r="E418"/>
      <c r="F418"/>
      <c r="G418"/>
      <c r="H418"/>
      <c r="I418"/>
      <c r="J418"/>
      <c r="K418"/>
      <c r="L418"/>
      <c r="M418"/>
      <c r="N418"/>
      <c r="O418"/>
      <c r="P418"/>
      <c r="Q418"/>
      <c r="R418"/>
    </row>
    <row r="419" spans="1:18" x14ac:dyDescent="0.35">
      <c r="A419" s="39" t="s">
        <v>726</v>
      </c>
      <c r="B419" s="71">
        <v>100</v>
      </c>
      <c r="C419" s="407"/>
      <c r="D419" s="407"/>
      <c r="E419"/>
      <c r="F419"/>
      <c r="G419"/>
      <c r="H419"/>
      <c r="I419"/>
      <c r="J419"/>
      <c r="K419"/>
      <c r="L419"/>
      <c r="M419"/>
      <c r="N419"/>
      <c r="O419"/>
      <c r="P419"/>
      <c r="Q419"/>
      <c r="R419"/>
    </row>
    <row r="420" spans="1:18" x14ac:dyDescent="0.35">
      <c r="A420" s="105" t="s">
        <v>805</v>
      </c>
      <c r="B420" s="71">
        <v>100</v>
      </c>
      <c r="C420" s="407">
        <f>B420/15</f>
        <v>6.666666666666667</v>
      </c>
      <c r="D420" s="407">
        <f t="shared" si="8"/>
        <v>26.666666666666668</v>
      </c>
      <c r="E420"/>
      <c r="F420"/>
      <c r="G420"/>
      <c r="H420"/>
      <c r="I420"/>
      <c r="J420"/>
      <c r="K420"/>
      <c r="L420"/>
      <c r="M420"/>
      <c r="N420"/>
      <c r="O420"/>
      <c r="P420"/>
      <c r="Q420"/>
      <c r="R420"/>
    </row>
    <row r="421" spans="1:18" x14ac:dyDescent="0.35">
      <c r="A421" s="39" t="s">
        <v>740</v>
      </c>
      <c r="B421" s="71">
        <v>100</v>
      </c>
      <c r="C421" s="407"/>
      <c r="D421" s="407"/>
      <c r="E421"/>
      <c r="F421"/>
      <c r="G421"/>
      <c r="H421"/>
      <c r="I421"/>
      <c r="J421"/>
      <c r="K421"/>
      <c r="L421"/>
      <c r="M421"/>
      <c r="N421"/>
      <c r="O421"/>
      <c r="P421"/>
      <c r="Q421"/>
      <c r="R421"/>
    </row>
    <row r="422" spans="1:18" x14ac:dyDescent="0.35">
      <c r="A422" s="105" t="s">
        <v>803</v>
      </c>
      <c r="B422" s="71">
        <v>100</v>
      </c>
      <c r="C422" s="407">
        <f>B422/15</f>
        <v>6.666666666666667</v>
      </c>
      <c r="D422" s="407">
        <f t="shared" si="8"/>
        <v>26.666666666666668</v>
      </c>
      <c r="E422"/>
      <c r="F422"/>
      <c r="G422"/>
      <c r="H422"/>
      <c r="I422"/>
      <c r="J422"/>
      <c r="K422"/>
      <c r="L422"/>
      <c r="M422"/>
      <c r="N422"/>
      <c r="O422"/>
      <c r="P422"/>
      <c r="Q422"/>
      <c r="R422"/>
    </row>
    <row r="423" spans="1:18" x14ac:dyDescent="0.35">
      <c r="A423" s="39" t="s">
        <v>142</v>
      </c>
      <c r="B423" s="71">
        <v>1200</v>
      </c>
      <c r="C423" s="407"/>
      <c r="D423" s="407"/>
      <c r="E423"/>
      <c r="F423"/>
      <c r="G423"/>
      <c r="H423"/>
      <c r="I423"/>
      <c r="J423"/>
      <c r="K423"/>
      <c r="L423"/>
      <c r="M423"/>
      <c r="N423"/>
      <c r="O423"/>
      <c r="P423"/>
      <c r="Q423"/>
      <c r="R423"/>
    </row>
    <row r="424" spans="1:18" x14ac:dyDescent="0.35">
      <c r="A424" s="105" t="s">
        <v>168</v>
      </c>
      <c r="B424" s="71">
        <v>1200</v>
      </c>
      <c r="C424" s="407">
        <f>B424/15</f>
        <v>80</v>
      </c>
      <c r="D424" s="407">
        <f t="shared" si="8"/>
        <v>320</v>
      </c>
      <c r="E424"/>
      <c r="F424"/>
      <c r="G424"/>
      <c r="H424"/>
      <c r="I424"/>
      <c r="J424"/>
      <c r="K424"/>
      <c r="L424"/>
      <c r="M424"/>
      <c r="N424"/>
      <c r="O424"/>
      <c r="P424"/>
      <c r="Q424"/>
      <c r="R424"/>
    </row>
    <row r="425" spans="1:18" x14ac:dyDescent="0.35">
      <c r="A425" s="39" t="s">
        <v>338</v>
      </c>
      <c r="B425" s="71">
        <v>300</v>
      </c>
      <c r="C425" s="407"/>
      <c r="D425" s="407"/>
      <c r="E425"/>
      <c r="F425"/>
      <c r="G425"/>
      <c r="H425"/>
      <c r="I425"/>
      <c r="J425"/>
      <c r="K425"/>
      <c r="L425"/>
      <c r="M425"/>
      <c r="N425"/>
      <c r="O425"/>
      <c r="P425"/>
      <c r="Q425"/>
      <c r="R425"/>
    </row>
    <row r="426" spans="1:18" x14ac:dyDescent="0.35">
      <c r="A426" s="105" t="s">
        <v>799</v>
      </c>
      <c r="B426" s="71">
        <v>300</v>
      </c>
      <c r="C426" s="407">
        <f>B426/15</f>
        <v>20</v>
      </c>
      <c r="D426" s="407">
        <f t="shared" si="8"/>
        <v>80</v>
      </c>
      <c r="E426"/>
      <c r="F426"/>
      <c r="G426"/>
      <c r="H426"/>
      <c r="I426"/>
      <c r="J426"/>
      <c r="K426"/>
      <c r="L426"/>
      <c r="M426"/>
      <c r="N426"/>
      <c r="O426"/>
      <c r="P426"/>
      <c r="Q426"/>
      <c r="R426"/>
    </row>
    <row r="427" spans="1:18" x14ac:dyDescent="0.35">
      <c r="A427" s="39" t="s">
        <v>82</v>
      </c>
      <c r="B427" s="71">
        <v>2500</v>
      </c>
      <c r="C427" s="407"/>
      <c r="D427" s="407"/>
      <c r="E427"/>
      <c r="F427"/>
      <c r="G427"/>
      <c r="H427"/>
      <c r="I427"/>
      <c r="J427"/>
      <c r="K427"/>
      <c r="L427"/>
      <c r="M427"/>
      <c r="N427"/>
      <c r="O427"/>
      <c r="P427"/>
      <c r="Q427"/>
      <c r="R427"/>
    </row>
    <row r="428" spans="1:18" x14ac:dyDescent="0.35">
      <c r="A428" s="105" t="s">
        <v>157</v>
      </c>
      <c r="B428" s="71">
        <v>2500</v>
      </c>
      <c r="C428" s="407">
        <f>B428/15</f>
        <v>166.66666666666666</v>
      </c>
      <c r="D428" s="407">
        <f t="shared" si="8"/>
        <v>666.66666666666663</v>
      </c>
      <c r="E428"/>
      <c r="F428"/>
      <c r="G428"/>
      <c r="H428"/>
      <c r="I428"/>
      <c r="J428"/>
      <c r="K428"/>
      <c r="L428"/>
      <c r="M428"/>
      <c r="N428"/>
      <c r="O428"/>
      <c r="P428"/>
      <c r="Q428"/>
      <c r="R428"/>
    </row>
    <row r="429" spans="1:18" x14ac:dyDescent="0.35">
      <c r="A429" s="39" t="s">
        <v>648</v>
      </c>
      <c r="B429" s="71">
        <v>3000</v>
      </c>
      <c r="C429" s="407"/>
      <c r="D429" s="407"/>
      <c r="E429"/>
      <c r="F429"/>
      <c r="G429"/>
      <c r="H429"/>
      <c r="I429"/>
      <c r="J429"/>
      <c r="K429"/>
      <c r="L429"/>
      <c r="M429"/>
      <c r="N429"/>
      <c r="O429"/>
      <c r="P429"/>
      <c r="Q429"/>
      <c r="R429"/>
    </row>
    <row r="430" spans="1:18" x14ac:dyDescent="0.35">
      <c r="A430" s="105" t="s">
        <v>159</v>
      </c>
      <c r="B430" s="71">
        <v>3000</v>
      </c>
      <c r="C430" s="407"/>
      <c r="D430" s="407"/>
      <c r="E430"/>
      <c r="F430"/>
      <c r="G430"/>
      <c r="H430"/>
      <c r="I430"/>
      <c r="J430"/>
      <c r="K430"/>
      <c r="L430"/>
      <c r="M430"/>
      <c r="N430"/>
      <c r="O430"/>
      <c r="P430"/>
      <c r="Q430"/>
      <c r="R430"/>
    </row>
    <row r="431" spans="1:18" x14ac:dyDescent="0.35">
      <c r="A431" s="39" t="s">
        <v>61</v>
      </c>
      <c r="B431" s="71">
        <v>6060</v>
      </c>
      <c r="C431" s="407"/>
      <c r="D431" s="407"/>
      <c r="E431"/>
      <c r="F431"/>
      <c r="G431"/>
      <c r="H431"/>
      <c r="I431"/>
      <c r="J431"/>
      <c r="K431"/>
      <c r="L431"/>
      <c r="M431"/>
      <c r="N431"/>
      <c r="O431"/>
      <c r="P431"/>
      <c r="Q431"/>
      <c r="R431"/>
    </row>
    <row r="432" spans="1:18" x14ac:dyDescent="0.35">
      <c r="A432" s="105" t="s">
        <v>216</v>
      </c>
      <c r="B432" s="71">
        <v>4000</v>
      </c>
      <c r="C432" s="407">
        <f>B432/15</f>
        <v>266.66666666666669</v>
      </c>
      <c r="D432" s="407">
        <f t="shared" si="8"/>
        <v>1066.6666666666667</v>
      </c>
      <c r="E432"/>
      <c r="F432"/>
      <c r="G432"/>
      <c r="H432"/>
      <c r="I432"/>
      <c r="J432"/>
      <c r="K432"/>
      <c r="L432"/>
      <c r="M432"/>
      <c r="N432"/>
      <c r="O432"/>
      <c r="P432"/>
      <c r="Q432"/>
      <c r="R432"/>
    </row>
    <row r="433" spans="1:18" x14ac:dyDescent="0.35">
      <c r="A433" s="105" t="s">
        <v>792</v>
      </c>
      <c r="B433" s="71">
        <v>2000</v>
      </c>
      <c r="C433" s="407"/>
      <c r="D433" s="407"/>
      <c r="E433"/>
      <c r="F433"/>
      <c r="G433"/>
      <c r="H433"/>
      <c r="I433"/>
      <c r="J433"/>
      <c r="K433"/>
      <c r="L433"/>
      <c r="M433"/>
      <c r="N433"/>
      <c r="O433"/>
      <c r="P433"/>
      <c r="Q433"/>
      <c r="R433"/>
    </row>
    <row r="434" spans="1:18" x14ac:dyDescent="0.35">
      <c r="A434" s="105" t="s">
        <v>793</v>
      </c>
      <c r="B434" s="71">
        <v>60</v>
      </c>
      <c r="C434" s="407">
        <f>B434/15</f>
        <v>4</v>
      </c>
      <c r="D434" s="407">
        <f t="shared" si="8"/>
        <v>16</v>
      </c>
      <c r="E434"/>
      <c r="F434"/>
      <c r="G434"/>
      <c r="H434"/>
      <c r="I434"/>
      <c r="J434"/>
      <c r="K434"/>
      <c r="L434"/>
      <c r="M434"/>
      <c r="N434"/>
      <c r="O434"/>
      <c r="P434"/>
      <c r="Q434"/>
      <c r="R434"/>
    </row>
    <row r="435" spans="1:18" x14ac:dyDescent="0.35">
      <c r="A435" s="39" t="s">
        <v>756</v>
      </c>
      <c r="B435" s="71">
        <v>2000</v>
      </c>
      <c r="C435" s="407"/>
      <c r="D435" s="407"/>
      <c r="E435"/>
      <c r="F435"/>
      <c r="G435"/>
      <c r="H435"/>
      <c r="I435"/>
      <c r="J435"/>
      <c r="K435"/>
      <c r="L435"/>
      <c r="M435"/>
      <c r="N435"/>
      <c r="O435"/>
      <c r="P435"/>
      <c r="Q435"/>
      <c r="R435"/>
    </row>
    <row r="436" spans="1:18" x14ac:dyDescent="0.35">
      <c r="A436" s="105" t="s">
        <v>759</v>
      </c>
      <c r="B436" s="71">
        <v>2000</v>
      </c>
      <c r="C436" s="407">
        <f>B436/15</f>
        <v>133.33333333333334</v>
      </c>
      <c r="D436" s="407">
        <f t="shared" si="8"/>
        <v>533.33333333333337</v>
      </c>
      <c r="E436"/>
      <c r="F436"/>
      <c r="G436"/>
      <c r="H436"/>
      <c r="I436"/>
      <c r="J436"/>
      <c r="K436"/>
      <c r="L436"/>
      <c r="M436"/>
      <c r="N436"/>
      <c r="O436"/>
      <c r="P436"/>
      <c r="Q436"/>
      <c r="R436"/>
    </row>
    <row r="437" spans="1:18" x14ac:dyDescent="0.35">
      <c r="A437" s="39" t="s">
        <v>370</v>
      </c>
      <c r="B437" s="71">
        <v>100</v>
      </c>
      <c r="C437" s="407"/>
      <c r="D437" s="407"/>
      <c r="E437"/>
      <c r="F437"/>
      <c r="G437"/>
      <c r="H437"/>
      <c r="I437"/>
      <c r="J437"/>
      <c r="K437"/>
      <c r="L437"/>
      <c r="M437"/>
      <c r="N437"/>
      <c r="O437"/>
      <c r="P437"/>
      <c r="Q437"/>
      <c r="R437"/>
    </row>
    <row r="438" spans="1:18" x14ac:dyDescent="0.35">
      <c r="A438" s="105" t="s">
        <v>796</v>
      </c>
      <c r="B438" s="71">
        <v>100</v>
      </c>
      <c r="C438" s="407">
        <f>B438/15</f>
        <v>6.666666666666667</v>
      </c>
      <c r="D438" s="407">
        <f t="shared" si="8"/>
        <v>26.666666666666668</v>
      </c>
      <c r="E438"/>
      <c r="F438"/>
      <c r="G438"/>
      <c r="H438"/>
      <c r="I438"/>
      <c r="J438"/>
      <c r="K438"/>
      <c r="L438"/>
      <c r="M438"/>
      <c r="N438"/>
      <c r="O438"/>
      <c r="P438"/>
      <c r="Q438"/>
      <c r="R438"/>
    </row>
    <row r="439" spans="1:18" x14ac:dyDescent="0.35">
      <c r="A439" s="39" t="s">
        <v>70</v>
      </c>
      <c r="B439" s="71">
        <v>100</v>
      </c>
      <c r="C439" s="407"/>
      <c r="D439" s="407"/>
      <c r="E439"/>
      <c r="F439"/>
      <c r="G439"/>
      <c r="H439"/>
      <c r="I439"/>
      <c r="J439"/>
      <c r="K439"/>
      <c r="L439"/>
      <c r="M439"/>
      <c r="N439"/>
      <c r="O439"/>
      <c r="P439"/>
      <c r="Q439"/>
      <c r="R439"/>
    </row>
    <row r="440" spans="1:18" x14ac:dyDescent="0.35">
      <c r="A440" s="105" t="s">
        <v>154</v>
      </c>
      <c r="B440" s="71">
        <v>100</v>
      </c>
      <c r="C440" s="407"/>
      <c r="D440" s="407"/>
      <c r="E440"/>
      <c r="F440"/>
      <c r="G440"/>
      <c r="H440"/>
      <c r="I440"/>
      <c r="J440"/>
      <c r="K440"/>
      <c r="L440"/>
      <c r="M440"/>
      <c r="N440"/>
      <c r="O440"/>
      <c r="P440"/>
      <c r="Q440"/>
      <c r="R440"/>
    </row>
    <row r="441" spans="1:18" x14ac:dyDescent="0.35">
      <c r="A441" s="39" t="s">
        <v>113</v>
      </c>
      <c r="B441" s="71">
        <v>3300</v>
      </c>
      <c r="C441" s="407">
        <f>B441/15</f>
        <v>220</v>
      </c>
      <c r="D441" s="407">
        <f t="shared" si="8"/>
        <v>880</v>
      </c>
      <c r="E441"/>
      <c r="F441"/>
      <c r="G441"/>
      <c r="H441"/>
      <c r="I441"/>
      <c r="J441"/>
      <c r="K441"/>
      <c r="L441"/>
      <c r="M441"/>
      <c r="N441"/>
      <c r="O441"/>
      <c r="P441"/>
      <c r="Q441"/>
      <c r="R441"/>
    </row>
    <row r="442" spans="1:18" x14ac:dyDescent="0.35">
      <c r="A442" s="105" t="s">
        <v>393</v>
      </c>
      <c r="B442" s="71">
        <v>800</v>
      </c>
      <c r="C442" s="407"/>
      <c r="D442" s="407"/>
      <c r="E442"/>
      <c r="F442"/>
      <c r="G442"/>
      <c r="H442"/>
      <c r="I442"/>
      <c r="J442"/>
      <c r="K442"/>
      <c r="L442"/>
      <c r="M442"/>
      <c r="N442"/>
      <c r="O442"/>
      <c r="P442"/>
      <c r="Q442"/>
      <c r="R442"/>
    </row>
    <row r="443" spans="1:18" x14ac:dyDescent="0.35">
      <c r="A443" s="105" t="s">
        <v>163</v>
      </c>
      <c r="B443" s="71">
        <v>2500</v>
      </c>
      <c r="C443" s="407">
        <f>B443/15</f>
        <v>166.66666666666666</v>
      </c>
      <c r="D443" s="407">
        <f t="shared" si="8"/>
        <v>666.66666666666663</v>
      </c>
      <c r="E443"/>
      <c r="F443"/>
      <c r="G443"/>
      <c r="H443"/>
      <c r="I443"/>
      <c r="J443"/>
      <c r="K443"/>
      <c r="L443"/>
      <c r="M443"/>
      <c r="N443"/>
      <c r="O443"/>
      <c r="P443"/>
      <c r="Q443"/>
      <c r="R443"/>
    </row>
    <row r="444" spans="1:18" x14ac:dyDescent="0.35">
      <c r="A444" s="39" t="s">
        <v>32</v>
      </c>
      <c r="B444" s="71">
        <v>5000</v>
      </c>
      <c r="C444" s="407"/>
      <c r="D444" s="407"/>
      <c r="E444"/>
      <c r="F444"/>
      <c r="G444"/>
      <c r="H444"/>
      <c r="I444"/>
      <c r="J444"/>
      <c r="K444"/>
      <c r="L444"/>
      <c r="M444"/>
      <c r="N444"/>
      <c r="O444"/>
      <c r="P444"/>
      <c r="Q444"/>
      <c r="R444"/>
    </row>
    <row r="445" spans="1:18" x14ac:dyDescent="0.35">
      <c r="A445" s="105" t="s">
        <v>148</v>
      </c>
      <c r="B445" s="71">
        <v>5000</v>
      </c>
      <c r="C445" s="407">
        <f>B445/15</f>
        <v>333.33333333333331</v>
      </c>
      <c r="D445" s="407">
        <f t="shared" si="8"/>
        <v>1333.3333333333333</v>
      </c>
      <c r="E445"/>
      <c r="F445"/>
      <c r="G445"/>
      <c r="H445"/>
      <c r="I445"/>
      <c r="J445"/>
      <c r="K445"/>
      <c r="L445"/>
      <c r="M445"/>
      <c r="N445"/>
      <c r="O445"/>
      <c r="P445"/>
      <c r="Q445"/>
      <c r="R445"/>
    </row>
    <row r="446" spans="1:18" x14ac:dyDescent="0.35">
      <c r="A446" s="39" t="s">
        <v>232</v>
      </c>
      <c r="B446" s="71">
        <v>2000</v>
      </c>
      <c r="C446" s="407"/>
      <c r="D446" s="407"/>
      <c r="E446"/>
      <c r="F446"/>
      <c r="G446"/>
      <c r="H446"/>
      <c r="I446"/>
      <c r="J446"/>
      <c r="K446"/>
      <c r="L446"/>
      <c r="M446"/>
      <c r="N446"/>
      <c r="O446"/>
      <c r="P446"/>
      <c r="Q446"/>
      <c r="R446"/>
    </row>
    <row r="447" spans="1:18" x14ac:dyDescent="0.35">
      <c r="A447" s="105" t="s">
        <v>223</v>
      </c>
      <c r="B447" s="71">
        <v>2000</v>
      </c>
      <c r="C447" s="407">
        <f>B447/15</f>
        <v>133.33333333333334</v>
      </c>
      <c r="D447" s="407">
        <f t="shared" si="8"/>
        <v>533.33333333333337</v>
      </c>
      <c r="E447"/>
      <c r="F447"/>
      <c r="G447"/>
      <c r="H447"/>
      <c r="I447"/>
      <c r="J447"/>
      <c r="K447"/>
      <c r="L447"/>
      <c r="M447"/>
      <c r="N447"/>
      <c r="O447"/>
      <c r="P447"/>
      <c r="Q447"/>
      <c r="R447"/>
    </row>
    <row r="448" spans="1:18" x14ac:dyDescent="0.35">
      <c r="A448" s="39" t="s">
        <v>297</v>
      </c>
      <c r="B448" s="71">
        <v>3000</v>
      </c>
      <c r="C448" s="407"/>
      <c r="D448" s="407"/>
      <c r="E448"/>
      <c r="F448"/>
      <c r="G448"/>
      <c r="H448"/>
      <c r="I448"/>
      <c r="J448"/>
      <c r="K448"/>
      <c r="L448"/>
      <c r="M448"/>
      <c r="N448"/>
      <c r="O448"/>
      <c r="P448"/>
      <c r="Q448"/>
      <c r="R448"/>
    </row>
    <row r="449" spans="1:18" x14ac:dyDescent="0.35">
      <c r="A449" s="105" t="s">
        <v>292</v>
      </c>
      <c r="B449" s="71">
        <v>3000</v>
      </c>
      <c r="C449" s="407">
        <f>B449/15</f>
        <v>200</v>
      </c>
      <c r="D449" s="407">
        <f t="shared" si="8"/>
        <v>800</v>
      </c>
      <c r="E449"/>
      <c r="F449"/>
      <c r="G449"/>
      <c r="H449"/>
      <c r="I449"/>
      <c r="J449"/>
      <c r="K449"/>
      <c r="L449"/>
      <c r="M449"/>
      <c r="N449"/>
      <c r="O449"/>
      <c r="P449"/>
      <c r="Q449"/>
      <c r="R449"/>
    </row>
    <row r="450" spans="1:18" x14ac:dyDescent="0.35">
      <c r="A450" s="39" t="s">
        <v>83</v>
      </c>
      <c r="B450" s="71">
        <v>2500</v>
      </c>
      <c r="C450" s="407"/>
      <c r="D450" s="407"/>
      <c r="E450"/>
      <c r="F450"/>
      <c r="G450"/>
      <c r="H450"/>
      <c r="I450"/>
      <c r="J450"/>
      <c r="K450"/>
      <c r="L450"/>
      <c r="M450"/>
      <c r="N450"/>
      <c r="O450"/>
      <c r="P450"/>
      <c r="Q450"/>
      <c r="R450"/>
    </row>
    <row r="451" spans="1:18" x14ac:dyDescent="0.35">
      <c r="A451" s="105" t="s">
        <v>156</v>
      </c>
      <c r="B451" s="71">
        <v>2500</v>
      </c>
      <c r="C451" s="407">
        <f>B451/15</f>
        <v>166.66666666666666</v>
      </c>
      <c r="D451" s="407">
        <f t="shared" si="8"/>
        <v>666.66666666666663</v>
      </c>
      <c r="E451"/>
      <c r="F451"/>
      <c r="G451"/>
      <c r="H451"/>
      <c r="I451"/>
      <c r="J451"/>
      <c r="K451"/>
      <c r="L451"/>
      <c r="M451"/>
      <c r="N451"/>
      <c r="O451"/>
      <c r="P451"/>
      <c r="Q451"/>
      <c r="R451"/>
    </row>
    <row r="452" spans="1:18" x14ac:dyDescent="0.35">
      <c r="A452" s="39" t="s">
        <v>116</v>
      </c>
      <c r="B452" s="71">
        <v>10000</v>
      </c>
      <c r="C452" s="407"/>
      <c r="D452" s="407"/>
      <c r="E452"/>
      <c r="F452"/>
      <c r="G452"/>
      <c r="H452"/>
      <c r="I452"/>
      <c r="J452"/>
      <c r="K452"/>
      <c r="L452"/>
      <c r="M452"/>
      <c r="N452"/>
      <c r="O452"/>
      <c r="P452"/>
      <c r="Q452"/>
      <c r="R452"/>
    </row>
    <row r="453" spans="1:18" x14ac:dyDescent="0.35">
      <c r="A453" s="105" t="s">
        <v>158</v>
      </c>
      <c r="B453" s="71">
        <v>10000</v>
      </c>
      <c r="C453" s="407"/>
      <c r="D453" s="407"/>
      <c r="E453"/>
      <c r="F453"/>
      <c r="G453"/>
      <c r="H453"/>
      <c r="I453"/>
      <c r="J453"/>
      <c r="K453"/>
      <c r="L453"/>
      <c r="M453"/>
      <c r="N453"/>
      <c r="O453"/>
      <c r="P453"/>
      <c r="Q453"/>
      <c r="R453"/>
    </row>
    <row r="454" spans="1:18" x14ac:dyDescent="0.35">
      <c r="A454" s="39" t="s">
        <v>97</v>
      </c>
      <c r="B454" s="71">
        <v>3500</v>
      </c>
      <c r="C454" s="407">
        <f>B454/15</f>
        <v>233.33333333333334</v>
      </c>
      <c r="D454" s="407">
        <f t="shared" si="8"/>
        <v>933.33333333333337</v>
      </c>
      <c r="E454"/>
      <c r="F454"/>
      <c r="G454"/>
      <c r="H454"/>
      <c r="I454"/>
      <c r="J454"/>
      <c r="K454"/>
      <c r="L454"/>
      <c r="M454"/>
      <c r="N454"/>
      <c r="O454"/>
      <c r="P454"/>
      <c r="Q454"/>
      <c r="R454"/>
    </row>
    <row r="455" spans="1:18" x14ac:dyDescent="0.35">
      <c r="A455" s="105" t="s">
        <v>160</v>
      </c>
      <c r="B455" s="71">
        <v>1500</v>
      </c>
      <c r="C455" s="407"/>
      <c r="D455" s="407"/>
      <c r="E455"/>
      <c r="F455"/>
      <c r="G455"/>
      <c r="H455"/>
      <c r="I455"/>
      <c r="J455"/>
      <c r="K455"/>
      <c r="L455"/>
      <c r="M455"/>
      <c r="N455"/>
      <c r="O455"/>
      <c r="P455"/>
      <c r="Q455"/>
      <c r="R455"/>
    </row>
    <row r="456" spans="1:18" x14ac:dyDescent="0.35">
      <c r="A456" s="105" t="s">
        <v>167</v>
      </c>
      <c r="B456" s="71">
        <v>2000</v>
      </c>
      <c r="C456" s="407">
        <f>B456/15</f>
        <v>133.33333333333334</v>
      </c>
      <c r="D456" s="407">
        <f t="shared" si="8"/>
        <v>533.33333333333337</v>
      </c>
      <c r="E456"/>
      <c r="F456"/>
      <c r="G456"/>
      <c r="H456"/>
      <c r="I456"/>
      <c r="J456"/>
      <c r="K456"/>
      <c r="L456"/>
      <c r="M456"/>
      <c r="N456"/>
      <c r="O456"/>
      <c r="P456"/>
      <c r="Q456"/>
      <c r="R456"/>
    </row>
    <row r="457" spans="1:18" x14ac:dyDescent="0.35">
      <c r="A457" s="39" t="s">
        <v>88</v>
      </c>
      <c r="B457" s="71">
        <v>1500</v>
      </c>
      <c r="C457" s="407"/>
      <c r="D457" s="407"/>
      <c r="E457"/>
      <c r="F457"/>
      <c r="G457"/>
      <c r="H457"/>
      <c r="I457"/>
      <c r="J457"/>
      <c r="K457"/>
      <c r="L457"/>
      <c r="M457"/>
      <c r="N457"/>
      <c r="O457"/>
      <c r="P457"/>
      <c r="Q457"/>
      <c r="R457"/>
    </row>
    <row r="458" spans="1:18" x14ac:dyDescent="0.35">
      <c r="A458" s="105" t="s">
        <v>716</v>
      </c>
      <c r="B458" s="71">
        <v>1500</v>
      </c>
      <c r="C458" s="407">
        <f>B458/15</f>
        <v>100</v>
      </c>
      <c r="D458" s="407">
        <f t="shared" ref="D458:D476" si="9">C458*4</f>
        <v>400</v>
      </c>
      <c r="E458"/>
      <c r="F458"/>
      <c r="G458"/>
      <c r="H458"/>
      <c r="I458"/>
      <c r="J458"/>
      <c r="K458"/>
      <c r="L458"/>
      <c r="M458"/>
      <c r="N458"/>
      <c r="O458"/>
      <c r="P458"/>
      <c r="Q458"/>
      <c r="R458"/>
    </row>
    <row r="459" spans="1:18" x14ac:dyDescent="0.35">
      <c r="A459" s="39" t="s">
        <v>350</v>
      </c>
      <c r="B459" s="71">
        <v>5700</v>
      </c>
      <c r="C459" s="407"/>
      <c r="D459" s="407"/>
      <c r="E459"/>
      <c r="F459"/>
      <c r="G459"/>
      <c r="H459"/>
      <c r="I459"/>
      <c r="J459"/>
      <c r="K459"/>
      <c r="L459"/>
      <c r="M459"/>
      <c r="N459"/>
      <c r="O459"/>
      <c r="P459"/>
      <c r="Q459"/>
      <c r="R459"/>
    </row>
    <row r="460" spans="1:18" x14ac:dyDescent="0.35">
      <c r="A460" s="105" t="s">
        <v>349</v>
      </c>
      <c r="B460" s="71">
        <v>5700</v>
      </c>
      <c r="C460" s="407">
        <f>B460/15</f>
        <v>380</v>
      </c>
      <c r="D460" s="407">
        <f t="shared" si="9"/>
        <v>1520</v>
      </c>
      <c r="E460"/>
      <c r="F460"/>
      <c r="G460"/>
      <c r="H460"/>
      <c r="I460"/>
      <c r="J460"/>
      <c r="K460"/>
      <c r="L460"/>
      <c r="M460"/>
      <c r="N460"/>
      <c r="O460"/>
      <c r="P460"/>
      <c r="Q460"/>
      <c r="R460"/>
    </row>
    <row r="461" spans="1:18" x14ac:dyDescent="0.35">
      <c r="A461" s="39" t="s">
        <v>219</v>
      </c>
      <c r="B461" s="71">
        <v>1000</v>
      </c>
      <c r="C461" s="407"/>
      <c r="D461" s="407"/>
      <c r="E461"/>
      <c r="F461"/>
      <c r="G461"/>
      <c r="H461"/>
      <c r="I461"/>
      <c r="J461"/>
      <c r="K461"/>
      <c r="L461"/>
      <c r="M461"/>
      <c r="N461"/>
      <c r="O461"/>
      <c r="P461"/>
      <c r="Q461"/>
      <c r="R461"/>
    </row>
    <row r="462" spans="1:18" x14ac:dyDescent="0.35">
      <c r="A462" s="105" t="s">
        <v>227</v>
      </c>
      <c r="B462" s="71">
        <v>1000</v>
      </c>
      <c r="C462" s="407">
        <f>B462/15</f>
        <v>66.666666666666671</v>
      </c>
      <c r="D462" s="407">
        <f t="shared" si="9"/>
        <v>266.66666666666669</v>
      </c>
      <c r="E462"/>
      <c r="F462"/>
      <c r="G462"/>
      <c r="H462"/>
      <c r="I462"/>
      <c r="J462"/>
      <c r="K462"/>
      <c r="L462"/>
      <c r="M462"/>
      <c r="N462"/>
      <c r="O462"/>
      <c r="P462"/>
      <c r="Q462"/>
      <c r="R462"/>
    </row>
    <row r="463" spans="1:18" x14ac:dyDescent="0.35">
      <c r="A463" s="39" t="s">
        <v>302</v>
      </c>
      <c r="B463" s="71">
        <v>1000</v>
      </c>
      <c r="C463" s="407"/>
      <c r="D463" s="407"/>
      <c r="E463"/>
      <c r="F463"/>
      <c r="G463"/>
      <c r="H463"/>
      <c r="I463"/>
      <c r="J463"/>
      <c r="K463"/>
      <c r="L463"/>
      <c r="M463"/>
      <c r="N463"/>
      <c r="O463"/>
      <c r="P463"/>
      <c r="Q463"/>
      <c r="R463"/>
    </row>
    <row r="464" spans="1:18" x14ac:dyDescent="0.35">
      <c r="A464" s="105" t="s">
        <v>306</v>
      </c>
      <c r="B464" s="71">
        <v>1000</v>
      </c>
      <c r="C464" s="407"/>
      <c r="D464" s="407"/>
      <c r="E464"/>
      <c r="F464"/>
      <c r="G464"/>
      <c r="H464"/>
      <c r="I464"/>
      <c r="J464"/>
      <c r="K464"/>
      <c r="L464"/>
      <c r="M464"/>
      <c r="N464"/>
      <c r="O464"/>
      <c r="P464"/>
      <c r="Q464"/>
      <c r="R464"/>
    </row>
    <row r="465" spans="1:18" x14ac:dyDescent="0.35">
      <c r="A465" s="39" t="s">
        <v>257</v>
      </c>
      <c r="B465" s="71">
        <v>4000</v>
      </c>
      <c r="C465" s="407">
        <f>B465/15</f>
        <v>266.66666666666669</v>
      </c>
      <c r="D465" s="407">
        <f t="shared" si="9"/>
        <v>1066.6666666666667</v>
      </c>
      <c r="E465"/>
      <c r="F465"/>
      <c r="G465"/>
      <c r="H465"/>
      <c r="I465"/>
      <c r="J465"/>
      <c r="K465"/>
      <c r="L465"/>
      <c r="M465"/>
      <c r="N465"/>
      <c r="O465"/>
      <c r="P465"/>
      <c r="Q465"/>
      <c r="R465"/>
    </row>
    <row r="466" spans="1:18" x14ac:dyDescent="0.35">
      <c r="A466" s="105" t="s">
        <v>258</v>
      </c>
      <c r="B466" s="71">
        <v>3000</v>
      </c>
      <c r="C466" s="407"/>
      <c r="D466" s="407"/>
      <c r="E466"/>
      <c r="F466"/>
      <c r="G466"/>
      <c r="H466"/>
      <c r="I466"/>
      <c r="J466"/>
      <c r="K466"/>
      <c r="L466"/>
      <c r="M466"/>
      <c r="N466"/>
      <c r="O466"/>
      <c r="P466"/>
      <c r="Q466"/>
      <c r="R466"/>
    </row>
    <row r="467" spans="1:18" x14ac:dyDescent="0.35">
      <c r="A467" s="105" t="s">
        <v>785</v>
      </c>
      <c r="B467" s="71">
        <v>1000</v>
      </c>
      <c r="C467" s="407">
        <f>B467/15</f>
        <v>66.666666666666671</v>
      </c>
      <c r="D467" s="407">
        <f t="shared" si="9"/>
        <v>266.66666666666669</v>
      </c>
      <c r="E467"/>
      <c r="F467"/>
      <c r="G467"/>
      <c r="H467"/>
      <c r="I467"/>
      <c r="J467"/>
      <c r="K467"/>
      <c r="L467"/>
      <c r="M467"/>
      <c r="N467"/>
      <c r="O467"/>
      <c r="P467"/>
      <c r="Q467"/>
      <c r="R467"/>
    </row>
    <row r="468" spans="1:18" x14ac:dyDescent="0.35">
      <c r="A468" s="39" t="s">
        <v>375</v>
      </c>
      <c r="B468" s="71">
        <v>5000</v>
      </c>
      <c r="C468" s="407"/>
      <c r="D468" s="407"/>
      <c r="E468"/>
      <c r="F468"/>
      <c r="G468"/>
      <c r="H468"/>
      <c r="I468"/>
      <c r="J468"/>
      <c r="K468"/>
      <c r="L468"/>
      <c r="M468"/>
      <c r="N468"/>
      <c r="O468"/>
      <c r="P468"/>
      <c r="Q468"/>
      <c r="R468"/>
    </row>
    <row r="469" spans="1:18" x14ac:dyDescent="0.35">
      <c r="A469" s="105" t="s">
        <v>786</v>
      </c>
      <c r="B469" s="71">
        <v>5000</v>
      </c>
      <c r="C469" s="407">
        <f>B469/15</f>
        <v>333.33333333333331</v>
      </c>
      <c r="D469" s="407">
        <f t="shared" si="9"/>
        <v>1333.3333333333333</v>
      </c>
      <c r="E469"/>
      <c r="F469"/>
      <c r="G469"/>
      <c r="H469"/>
      <c r="I469"/>
      <c r="J469"/>
      <c r="K469"/>
      <c r="L469"/>
      <c r="M469"/>
      <c r="N469"/>
      <c r="O469"/>
      <c r="P469"/>
      <c r="Q469"/>
      <c r="R469"/>
    </row>
    <row r="470" spans="1:18" x14ac:dyDescent="0.35">
      <c r="A470" s="39" t="s">
        <v>381</v>
      </c>
      <c r="B470" s="71">
        <v>1000</v>
      </c>
      <c r="C470" s="407"/>
      <c r="D470" s="407"/>
      <c r="E470"/>
      <c r="F470"/>
      <c r="G470"/>
      <c r="H470"/>
      <c r="I470"/>
      <c r="J470"/>
      <c r="K470"/>
      <c r="L470"/>
      <c r="M470"/>
      <c r="N470"/>
      <c r="O470"/>
      <c r="P470"/>
      <c r="Q470"/>
      <c r="R470"/>
    </row>
    <row r="471" spans="1:18" x14ac:dyDescent="0.35">
      <c r="A471" s="105" t="s">
        <v>784</v>
      </c>
      <c r="B471" s="71">
        <v>1000</v>
      </c>
      <c r="C471" s="407">
        <f>B471/15</f>
        <v>66.666666666666671</v>
      </c>
      <c r="D471" s="407">
        <f t="shared" si="9"/>
        <v>266.66666666666669</v>
      </c>
      <c r="E471"/>
      <c r="F471"/>
      <c r="G471"/>
      <c r="H471"/>
      <c r="I471"/>
      <c r="J471"/>
      <c r="K471"/>
      <c r="L471"/>
      <c r="M471"/>
      <c r="N471"/>
      <c r="O471"/>
      <c r="P471"/>
      <c r="Q471"/>
      <c r="R471"/>
    </row>
    <row r="472" spans="1:18" x14ac:dyDescent="0.35">
      <c r="A472" s="39" t="s">
        <v>383</v>
      </c>
      <c r="B472" s="71">
        <v>2000</v>
      </c>
      <c r="C472" s="407"/>
      <c r="D472" s="407"/>
      <c r="E472"/>
      <c r="F472"/>
      <c r="G472"/>
      <c r="H472"/>
      <c r="I472"/>
      <c r="J472"/>
      <c r="K472"/>
      <c r="L472"/>
      <c r="M472"/>
      <c r="N472"/>
      <c r="O472"/>
      <c r="P472"/>
      <c r="Q472"/>
      <c r="R472"/>
    </row>
    <row r="473" spans="1:18" x14ac:dyDescent="0.35">
      <c r="A473" s="105" t="s">
        <v>382</v>
      </c>
      <c r="B473" s="71">
        <v>2000</v>
      </c>
      <c r="C473" s="407">
        <f>B473/15</f>
        <v>133.33333333333334</v>
      </c>
      <c r="D473" s="407">
        <f t="shared" si="9"/>
        <v>533.33333333333337</v>
      </c>
      <c r="E473"/>
      <c r="F473"/>
      <c r="G473"/>
      <c r="H473"/>
      <c r="I473"/>
      <c r="J473"/>
      <c r="K473"/>
      <c r="L473"/>
      <c r="M473"/>
      <c r="N473"/>
      <c r="O473"/>
      <c r="P473"/>
      <c r="Q473"/>
      <c r="R473"/>
    </row>
    <row r="474" spans="1:18" x14ac:dyDescent="0.35">
      <c r="A474" s="39" t="s">
        <v>63</v>
      </c>
      <c r="B474" s="71">
        <v>60</v>
      </c>
      <c r="C474" s="407"/>
      <c r="D474" s="407"/>
      <c r="E474"/>
      <c r="F474"/>
      <c r="G474"/>
      <c r="H474"/>
      <c r="I474"/>
      <c r="J474"/>
      <c r="K474"/>
      <c r="L474"/>
      <c r="M474"/>
      <c r="N474"/>
      <c r="O474"/>
      <c r="P474"/>
      <c r="Q474"/>
      <c r="R474"/>
    </row>
    <row r="475" spans="1:18" x14ac:dyDescent="0.35">
      <c r="A475" s="105" t="s">
        <v>788</v>
      </c>
      <c r="B475" s="71">
        <v>60</v>
      </c>
      <c r="C475"/>
      <c r="D475"/>
      <c r="E475"/>
      <c r="F475"/>
      <c r="G475"/>
      <c r="H475"/>
      <c r="I475"/>
      <c r="J475"/>
      <c r="K475"/>
      <c r="L475"/>
      <c r="M475"/>
      <c r="N475"/>
      <c r="O475"/>
      <c r="P475"/>
      <c r="Q475"/>
      <c r="R475"/>
    </row>
    <row r="476" spans="1:18" x14ac:dyDescent="0.35">
      <c r="A476" s="39" t="s">
        <v>57</v>
      </c>
      <c r="B476" s="71">
        <v>4091</v>
      </c>
      <c r="C476" s="407">
        <f>B476/15</f>
        <v>272.73333333333335</v>
      </c>
      <c r="D476" s="407">
        <f t="shared" si="9"/>
        <v>1090.9333333333334</v>
      </c>
    </row>
    <row r="477" spans="1:18" x14ac:dyDescent="0.35">
      <c r="A477" s="105" t="s">
        <v>305</v>
      </c>
      <c r="B477" s="71">
        <v>1600</v>
      </c>
    </row>
    <row r="478" spans="1:18" x14ac:dyDescent="0.35">
      <c r="A478" s="105" t="s">
        <v>797</v>
      </c>
      <c r="B478" s="71">
        <v>2491</v>
      </c>
      <c r="C478" s="440">
        <f>SUM(C8:C476)</f>
        <v>43683.533333333333</v>
      </c>
      <c r="D478" s="440">
        <f>SUM(D8:D476)</f>
        <v>174734.13333333333</v>
      </c>
    </row>
    <row r="479" spans="1:18" x14ac:dyDescent="0.35">
      <c r="A479" s="39" t="s">
        <v>462</v>
      </c>
      <c r="B479" s="71">
        <v>1200</v>
      </c>
    </row>
    <row r="480" spans="1:18" x14ac:dyDescent="0.35">
      <c r="A480" s="105" t="s">
        <v>783</v>
      </c>
      <c r="B480" s="71">
        <v>1200</v>
      </c>
    </row>
    <row r="481" spans="1:2" x14ac:dyDescent="0.35">
      <c r="A481" s="39" t="s">
        <v>42</v>
      </c>
      <c r="B481" s="71">
        <v>693713</v>
      </c>
    </row>
  </sheetData>
  <autoFilter ref="C7:D7" xr:uid="{1AC6B064-E4AD-432C-B7DC-6FD101C85F2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74D25-D6AD-4D90-8E33-5054DE964E67}">
  <dimension ref="A1:F135"/>
  <sheetViews>
    <sheetView showGridLines="0" workbookViewId="0">
      <pane xSplit="1" ySplit="3" topLeftCell="B125" activePane="bottomRight" state="frozen"/>
      <selection pane="topRight" activeCell="B1" sqref="B1"/>
      <selection pane="bottomLeft" activeCell="A4" sqref="A4"/>
      <selection pane="bottomRight" activeCell="C138" sqref="C138"/>
    </sheetView>
  </sheetViews>
  <sheetFormatPr baseColWidth="10" defaultColWidth="9.1796875" defaultRowHeight="14.5" x14ac:dyDescent="0.35"/>
  <cols>
    <col min="1" max="1" width="18.1796875" style="39" customWidth="1"/>
    <col min="2" max="2" width="32.1796875" customWidth="1"/>
    <col min="3" max="3" width="74" customWidth="1"/>
    <col min="5" max="5" width="11.81640625" customWidth="1"/>
    <col min="6" max="6" width="34" customWidth="1"/>
  </cols>
  <sheetData>
    <row r="1" spans="1:6" x14ac:dyDescent="0.35">
      <c r="A1" s="48" t="s">
        <v>9</v>
      </c>
      <c r="C1" s="16"/>
      <c r="E1" s="146">
        <f ca="1">TODAY()</f>
        <v>46296</v>
      </c>
    </row>
    <row r="2" spans="1:6" ht="6.75" customHeight="1" x14ac:dyDescent="0.35"/>
    <row r="3" spans="1:6" x14ac:dyDescent="0.35">
      <c r="A3" s="198" t="s">
        <v>10</v>
      </c>
      <c r="B3" s="8" t="s">
        <v>1</v>
      </c>
      <c r="C3" s="8" t="s">
        <v>11</v>
      </c>
      <c r="D3" s="8" t="s">
        <v>515</v>
      </c>
      <c r="E3" s="8" t="s">
        <v>682</v>
      </c>
      <c r="F3" s="8" t="s">
        <v>683</v>
      </c>
    </row>
    <row r="4" spans="1:6" hidden="1" x14ac:dyDescent="0.35">
      <c r="A4" s="149" t="s">
        <v>12</v>
      </c>
      <c r="B4" t="s">
        <v>17</v>
      </c>
      <c r="C4" t="s">
        <v>36</v>
      </c>
      <c r="D4">
        <v>2025</v>
      </c>
    </row>
    <row r="5" spans="1:6" hidden="1" x14ac:dyDescent="0.35">
      <c r="A5" s="149" t="s">
        <v>18</v>
      </c>
      <c r="B5" t="s">
        <v>31</v>
      </c>
      <c r="C5" t="s">
        <v>19</v>
      </c>
      <c r="D5">
        <v>2025</v>
      </c>
    </row>
    <row r="6" spans="1:6" hidden="1" x14ac:dyDescent="0.35">
      <c r="A6" s="149" t="s">
        <v>34</v>
      </c>
      <c r="B6" t="s">
        <v>35</v>
      </c>
      <c r="C6" t="s">
        <v>37</v>
      </c>
      <c r="D6">
        <v>2025</v>
      </c>
    </row>
    <row r="7" spans="1:6" hidden="1" x14ac:dyDescent="0.35">
      <c r="A7" s="176" t="s">
        <v>48</v>
      </c>
      <c r="B7" t="s">
        <v>17</v>
      </c>
      <c r="C7" s="22" t="s">
        <v>60</v>
      </c>
      <c r="D7">
        <v>2025</v>
      </c>
    </row>
    <row r="8" spans="1:6" hidden="1" x14ac:dyDescent="0.35">
      <c r="A8" s="149" t="s">
        <v>49</v>
      </c>
      <c r="B8" t="s">
        <v>50</v>
      </c>
      <c r="C8" s="22" t="s">
        <v>68</v>
      </c>
      <c r="D8">
        <v>2025</v>
      </c>
    </row>
    <row r="9" spans="1:6" hidden="1" x14ac:dyDescent="0.35">
      <c r="A9" s="149" t="s">
        <v>51</v>
      </c>
      <c r="B9" t="s">
        <v>52</v>
      </c>
      <c r="C9" t="s">
        <v>59</v>
      </c>
      <c r="D9">
        <v>2025</v>
      </c>
    </row>
    <row r="10" spans="1:6" hidden="1" x14ac:dyDescent="0.35">
      <c r="A10" s="149" t="s">
        <v>53</v>
      </c>
      <c r="B10" t="s">
        <v>54</v>
      </c>
      <c r="C10" t="s">
        <v>66</v>
      </c>
      <c r="D10">
        <v>2025</v>
      </c>
    </row>
    <row r="11" spans="1:6" hidden="1" x14ac:dyDescent="0.35">
      <c r="A11" s="149" t="s">
        <v>55</v>
      </c>
      <c r="B11" t="s">
        <v>54</v>
      </c>
      <c r="C11" t="s">
        <v>67</v>
      </c>
      <c r="D11">
        <v>2025</v>
      </c>
    </row>
    <row r="12" spans="1:6" hidden="1" x14ac:dyDescent="0.35">
      <c r="A12" s="5" t="s">
        <v>73</v>
      </c>
      <c r="B12" s="3" t="s">
        <v>52</v>
      </c>
      <c r="C12" t="s">
        <v>59</v>
      </c>
      <c r="D12">
        <v>2025</v>
      </c>
    </row>
    <row r="13" spans="1:6" hidden="1" x14ac:dyDescent="0.35">
      <c r="A13" s="5" t="s">
        <v>76</v>
      </c>
      <c r="B13" s="3" t="s">
        <v>77</v>
      </c>
      <c r="C13" t="s">
        <v>59</v>
      </c>
      <c r="D13">
        <v>2025</v>
      </c>
    </row>
    <row r="14" spans="1:6" hidden="1" x14ac:dyDescent="0.35">
      <c r="A14" s="39" t="s">
        <v>286</v>
      </c>
      <c r="B14" t="s">
        <v>84</v>
      </c>
      <c r="C14" t="s">
        <v>59</v>
      </c>
      <c r="D14">
        <v>2025</v>
      </c>
    </row>
    <row r="15" spans="1:6" hidden="1" x14ac:dyDescent="0.35">
      <c r="A15" s="48" t="s">
        <v>89</v>
      </c>
      <c r="B15" t="s">
        <v>90</v>
      </c>
      <c r="C15" t="s">
        <v>106</v>
      </c>
      <c r="D15">
        <v>2025</v>
      </c>
    </row>
    <row r="16" spans="1:6" hidden="1" x14ac:dyDescent="0.35">
      <c r="A16" s="48" t="s">
        <v>91</v>
      </c>
      <c r="B16" t="s">
        <v>77</v>
      </c>
      <c r="C16" t="s">
        <v>107</v>
      </c>
      <c r="D16">
        <v>2025</v>
      </c>
    </row>
    <row r="17" spans="1:4" hidden="1" x14ac:dyDescent="0.35">
      <c r="A17" s="48" t="s">
        <v>95</v>
      </c>
      <c r="B17" t="s">
        <v>54</v>
      </c>
      <c r="C17" s="22" t="s">
        <v>100</v>
      </c>
      <c r="D17">
        <v>2025</v>
      </c>
    </row>
    <row r="18" spans="1:4" hidden="1" x14ac:dyDescent="0.35">
      <c r="A18" s="48" t="s">
        <v>98</v>
      </c>
      <c r="B18" t="s">
        <v>99</v>
      </c>
      <c r="C18" t="s">
        <v>105</v>
      </c>
      <c r="D18">
        <v>2025</v>
      </c>
    </row>
    <row r="19" spans="1:4" hidden="1" x14ac:dyDescent="0.35">
      <c r="A19" s="39" t="s">
        <v>110</v>
      </c>
      <c r="B19" t="s">
        <v>52</v>
      </c>
      <c r="C19" t="s">
        <v>111</v>
      </c>
      <c r="D19">
        <v>2025</v>
      </c>
    </row>
    <row r="20" spans="1:4" hidden="1" x14ac:dyDescent="0.35">
      <c r="A20" s="39" t="s">
        <v>120</v>
      </c>
      <c r="B20" t="s">
        <v>54</v>
      </c>
      <c r="C20" t="s">
        <v>121</v>
      </c>
      <c r="D20">
        <v>2025</v>
      </c>
    </row>
    <row r="21" spans="1:4" hidden="1" x14ac:dyDescent="0.35">
      <c r="A21" s="39" t="s">
        <v>285</v>
      </c>
      <c r="B21" t="s">
        <v>84</v>
      </c>
      <c r="C21" t="s">
        <v>128</v>
      </c>
      <c r="D21">
        <v>2025</v>
      </c>
    </row>
    <row r="22" spans="1:4" hidden="1" x14ac:dyDescent="0.35">
      <c r="A22" s="39" t="s">
        <v>126</v>
      </c>
      <c r="B22" s="3" t="s">
        <v>52</v>
      </c>
      <c r="C22" t="s">
        <v>127</v>
      </c>
      <c r="D22">
        <v>2025</v>
      </c>
    </row>
    <row r="23" spans="1:4" hidden="1" x14ac:dyDescent="0.35">
      <c r="A23" s="75">
        <v>2976</v>
      </c>
      <c r="B23" s="24" t="s">
        <v>20</v>
      </c>
      <c r="C23" t="s">
        <v>139</v>
      </c>
      <c r="D23">
        <v>2025</v>
      </c>
    </row>
    <row r="24" spans="1:4" hidden="1" x14ac:dyDescent="0.35">
      <c r="A24" s="5" t="s">
        <v>138</v>
      </c>
      <c r="B24" t="s">
        <v>77</v>
      </c>
      <c r="C24" t="s">
        <v>139</v>
      </c>
      <c r="D24">
        <v>2025</v>
      </c>
    </row>
    <row r="25" spans="1:4" hidden="1" x14ac:dyDescent="0.35">
      <c r="A25" s="48" t="s">
        <v>143</v>
      </c>
      <c r="B25" t="s">
        <v>52</v>
      </c>
      <c r="C25" t="s">
        <v>144</v>
      </c>
      <c r="D25">
        <v>2025</v>
      </c>
    </row>
    <row r="26" spans="1:4" hidden="1" x14ac:dyDescent="0.35">
      <c r="A26" s="39" t="s">
        <v>211</v>
      </c>
      <c r="B26" t="s">
        <v>54</v>
      </c>
      <c r="C26" t="s">
        <v>212</v>
      </c>
      <c r="D26">
        <v>2025</v>
      </c>
    </row>
    <row r="27" spans="1:4" hidden="1" x14ac:dyDescent="0.35">
      <c r="A27" s="39" t="s">
        <v>233</v>
      </c>
      <c r="B27" t="s">
        <v>234</v>
      </c>
      <c r="C27" s="22" t="s">
        <v>247</v>
      </c>
      <c r="D27">
        <v>2025</v>
      </c>
    </row>
    <row r="28" spans="1:4" hidden="1" x14ac:dyDescent="0.35">
      <c r="A28" s="39" t="s">
        <v>235</v>
      </c>
      <c r="B28" t="s">
        <v>221</v>
      </c>
      <c r="C28" s="22" t="s">
        <v>254</v>
      </c>
      <c r="D28">
        <v>2025</v>
      </c>
    </row>
    <row r="29" spans="1:4" hidden="1" x14ac:dyDescent="0.35">
      <c r="A29" s="39" t="s">
        <v>236</v>
      </c>
      <c r="B29" t="s">
        <v>221</v>
      </c>
      <c r="C29" s="22" t="s">
        <v>254</v>
      </c>
      <c r="D29">
        <v>2025</v>
      </c>
    </row>
    <row r="30" spans="1:4" hidden="1" x14ac:dyDescent="0.35">
      <c r="A30" s="39" t="s">
        <v>220</v>
      </c>
      <c r="B30" t="s">
        <v>221</v>
      </c>
      <c r="C30" s="100" t="s">
        <v>255</v>
      </c>
      <c r="D30">
        <v>2025</v>
      </c>
    </row>
    <row r="31" spans="1:4" hidden="1" x14ac:dyDescent="0.35">
      <c r="A31" s="39" t="s">
        <v>236</v>
      </c>
      <c r="B31" t="s">
        <v>221</v>
      </c>
      <c r="C31" s="100" t="s">
        <v>255</v>
      </c>
      <c r="D31">
        <v>2025</v>
      </c>
    </row>
    <row r="32" spans="1:4" hidden="1" x14ac:dyDescent="0.35">
      <c r="A32" s="39" t="s">
        <v>228</v>
      </c>
      <c r="B32" t="s">
        <v>221</v>
      </c>
      <c r="C32" s="100" t="s">
        <v>255</v>
      </c>
      <c r="D32">
        <v>2025</v>
      </c>
    </row>
    <row r="33" spans="1:4" hidden="1" x14ac:dyDescent="0.35">
      <c r="A33" s="39" t="s">
        <v>245</v>
      </c>
      <c r="B33" t="s">
        <v>246</v>
      </c>
      <c r="C33" t="s">
        <v>248</v>
      </c>
      <c r="D33">
        <v>2025</v>
      </c>
    </row>
    <row r="34" spans="1:4" hidden="1" x14ac:dyDescent="0.35">
      <c r="A34" s="39" t="s">
        <v>268</v>
      </c>
      <c r="B34" t="s">
        <v>269</v>
      </c>
      <c r="C34" t="s">
        <v>270</v>
      </c>
      <c r="D34">
        <v>2025</v>
      </c>
    </row>
    <row r="35" spans="1:4" hidden="1" x14ac:dyDescent="0.35">
      <c r="A35" s="39" t="s">
        <v>274</v>
      </c>
      <c r="B35" t="s">
        <v>275</v>
      </c>
      <c r="C35" t="s">
        <v>276</v>
      </c>
      <c r="D35">
        <v>2025</v>
      </c>
    </row>
    <row r="36" spans="1:4" hidden="1" x14ac:dyDescent="0.35">
      <c r="A36" s="39" t="s">
        <v>284</v>
      </c>
      <c r="B36" t="s">
        <v>84</v>
      </c>
      <c r="C36" t="s">
        <v>276</v>
      </c>
      <c r="D36">
        <v>2025</v>
      </c>
    </row>
    <row r="37" spans="1:4" hidden="1" x14ac:dyDescent="0.35">
      <c r="A37" s="39" t="s">
        <v>287</v>
      </c>
      <c r="B37" t="s">
        <v>246</v>
      </c>
      <c r="C37" t="s">
        <v>288</v>
      </c>
      <c r="D37">
        <v>2025</v>
      </c>
    </row>
    <row r="38" spans="1:4" hidden="1" x14ac:dyDescent="0.35">
      <c r="A38" s="39" t="s">
        <v>298</v>
      </c>
      <c r="B38" t="s">
        <v>31</v>
      </c>
      <c r="C38" t="s">
        <v>299</v>
      </c>
      <c r="D38">
        <v>2025</v>
      </c>
    </row>
    <row r="39" spans="1:4" hidden="1" x14ac:dyDescent="0.35">
      <c r="A39" s="39" t="s">
        <v>314</v>
      </c>
      <c r="B39" t="s">
        <v>315</v>
      </c>
      <c r="C39" s="22" t="s">
        <v>353</v>
      </c>
      <c r="D39">
        <v>2025</v>
      </c>
    </row>
    <row r="40" spans="1:4" hidden="1" x14ac:dyDescent="0.35">
      <c r="A40" s="39" t="s">
        <v>307</v>
      </c>
      <c r="B40" t="s">
        <v>90</v>
      </c>
      <c r="C40" s="22" t="s">
        <v>352</v>
      </c>
      <c r="D40">
        <v>2025</v>
      </c>
    </row>
    <row r="41" spans="1:4" hidden="1" x14ac:dyDescent="0.35">
      <c r="A41" s="149" t="s">
        <v>328</v>
      </c>
      <c r="B41" s="22" t="s">
        <v>329</v>
      </c>
      <c r="C41" s="22" t="s">
        <v>351</v>
      </c>
      <c r="D41">
        <v>2025</v>
      </c>
    </row>
    <row r="42" spans="1:4" hidden="1" x14ac:dyDescent="0.35">
      <c r="A42" s="39" t="s">
        <v>320</v>
      </c>
      <c r="B42" t="s">
        <v>246</v>
      </c>
      <c r="C42" t="s">
        <v>337</v>
      </c>
      <c r="D42">
        <v>2025</v>
      </c>
    </row>
    <row r="43" spans="1:4" hidden="1" x14ac:dyDescent="0.35">
      <c r="A43" s="39" t="s">
        <v>324</v>
      </c>
      <c r="B43" t="s">
        <v>246</v>
      </c>
      <c r="C43" t="s">
        <v>321</v>
      </c>
      <c r="D43">
        <v>2025</v>
      </c>
    </row>
    <row r="44" spans="1:4" hidden="1" x14ac:dyDescent="0.35">
      <c r="A44" s="39" t="s">
        <v>331</v>
      </c>
      <c r="B44" t="s">
        <v>90</v>
      </c>
      <c r="C44" t="s">
        <v>301</v>
      </c>
      <c r="D44">
        <v>2025</v>
      </c>
    </row>
    <row r="45" spans="1:4" hidden="1" x14ac:dyDescent="0.35">
      <c r="A45" s="39" t="s">
        <v>334</v>
      </c>
      <c r="B45" t="s">
        <v>269</v>
      </c>
      <c r="C45" t="s">
        <v>335</v>
      </c>
      <c r="D45">
        <v>2025</v>
      </c>
    </row>
    <row r="46" spans="1:4" hidden="1" x14ac:dyDescent="0.35">
      <c r="A46" s="39" t="s">
        <v>346</v>
      </c>
      <c r="B46" t="s">
        <v>246</v>
      </c>
      <c r="C46" t="s">
        <v>347</v>
      </c>
      <c r="D46">
        <v>2025</v>
      </c>
    </row>
    <row r="47" spans="1:4" hidden="1" x14ac:dyDescent="0.35">
      <c r="A47" s="149" t="s">
        <v>358</v>
      </c>
      <c r="B47" s="22" t="s">
        <v>50</v>
      </c>
      <c r="C47" s="22" t="s">
        <v>301</v>
      </c>
      <c r="D47">
        <v>2025</v>
      </c>
    </row>
    <row r="48" spans="1:4" hidden="1" x14ac:dyDescent="0.35">
      <c r="A48" s="149" t="s">
        <v>359</v>
      </c>
      <c r="B48" t="s">
        <v>221</v>
      </c>
      <c r="C48" s="22" t="s">
        <v>294</v>
      </c>
      <c r="D48">
        <v>2025</v>
      </c>
    </row>
    <row r="49" spans="1:6" hidden="1" x14ac:dyDescent="0.35">
      <c r="A49" s="149" t="s">
        <v>360</v>
      </c>
      <c r="B49" t="s">
        <v>221</v>
      </c>
      <c r="C49" s="22" t="s">
        <v>294</v>
      </c>
      <c r="D49">
        <v>2025</v>
      </c>
    </row>
    <row r="50" spans="1:6" hidden="1" x14ac:dyDescent="0.35">
      <c r="A50" s="149" t="s">
        <v>372</v>
      </c>
      <c r="B50" t="s">
        <v>90</v>
      </c>
      <c r="C50" s="22" t="s">
        <v>389</v>
      </c>
      <c r="D50">
        <v>2025</v>
      </c>
    </row>
    <row r="51" spans="1:6" hidden="1" x14ac:dyDescent="0.35">
      <c r="A51" s="149" t="s">
        <v>377</v>
      </c>
      <c r="B51" t="s">
        <v>378</v>
      </c>
      <c r="C51" s="22" t="s">
        <v>388</v>
      </c>
      <c r="D51">
        <v>2025</v>
      </c>
    </row>
    <row r="52" spans="1:6" hidden="1" x14ac:dyDescent="0.35">
      <c r="A52" s="39" t="s">
        <v>379</v>
      </c>
      <c r="B52" t="s">
        <v>523</v>
      </c>
      <c r="C52" t="s">
        <v>470</v>
      </c>
      <c r="D52">
        <v>2025</v>
      </c>
      <c r="E52" s="171"/>
      <c r="F52" s="171"/>
    </row>
    <row r="53" spans="1:6" hidden="1" x14ac:dyDescent="0.35">
      <c r="A53" s="39" t="s">
        <v>390</v>
      </c>
      <c r="B53" t="s">
        <v>391</v>
      </c>
      <c r="C53" t="s">
        <v>392</v>
      </c>
      <c r="D53">
        <v>2025</v>
      </c>
    </row>
    <row r="54" spans="1:6" hidden="1" x14ac:dyDescent="0.35">
      <c r="A54" s="39" t="s">
        <v>394</v>
      </c>
      <c r="B54" t="s">
        <v>395</v>
      </c>
      <c r="C54" s="22" t="s">
        <v>397</v>
      </c>
      <c r="D54">
        <v>2025</v>
      </c>
    </row>
    <row r="55" spans="1:6" hidden="1" x14ac:dyDescent="0.35">
      <c r="A55" s="39" t="s">
        <v>398</v>
      </c>
      <c r="B55" t="s">
        <v>33</v>
      </c>
      <c r="C55" t="s">
        <v>399</v>
      </c>
      <c r="D55">
        <v>2025</v>
      </c>
    </row>
    <row r="56" spans="1:6" hidden="1" x14ac:dyDescent="0.35">
      <c r="A56" s="39">
        <v>14244</v>
      </c>
      <c r="B56" t="s">
        <v>234</v>
      </c>
      <c r="C56" t="s">
        <v>459</v>
      </c>
      <c r="D56">
        <v>2025</v>
      </c>
    </row>
    <row r="57" spans="1:6" hidden="1" x14ac:dyDescent="0.35">
      <c r="A57" s="39" t="s">
        <v>472</v>
      </c>
      <c r="B57" s="22" t="s">
        <v>329</v>
      </c>
      <c r="C57" t="s">
        <v>475</v>
      </c>
      <c r="D57">
        <v>2025</v>
      </c>
    </row>
    <row r="58" spans="1:6" hidden="1" x14ac:dyDescent="0.35">
      <c r="A58" s="39" t="s">
        <v>493</v>
      </c>
      <c r="B58" s="22" t="s">
        <v>329</v>
      </c>
      <c r="C58" t="s">
        <v>497</v>
      </c>
      <c r="D58">
        <v>2025</v>
      </c>
    </row>
    <row r="59" spans="1:6" hidden="1" x14ac:dyDescent="0.35">
      <c r="A59" s="39" t="s">
        <v>496</v>
      </c>
      <c r="B59" t="s">
        <v>395</v>
      </c>
      <c r="C59" t="s">
        <v>498</v>
      </c>
      <c r="D59">
        <v>2025</v>
      </c>
    </row>
    <row r="60" spans="1:6" hidden="1" x14ac:dyDescent="0.35">
      <c r="A60" s="39" t="s">
        <v>501</v>
      </c>
      <c r="B60" s="22" t="s">
        <v>329</v>
      </c>
      <c r="C60" t="s">
        <v>502</v>
      </c>
      <c r="D60">
        <v>2025</v>
      </c>
    </row>
    <row r="61" spans="1:6" hidden="1" x14ac:dyDescent="0.35">
      <c r="A61" s="39" t="s">
        <v>507</v>
      </c>
      <c r="B61" t="s">
        <v>50</v>
      </c>
      <c r="C61" s="138" t="s">
        <v>508</v>
      </c>
      <c r="D61">
        <v>2025</v>
      </c>
    </row>
    <row r="62" spans="1:6" ht="15" hidden="1" thickBot="1" x14ac:dyDescent="0.4">
      <c r="A62" s="142">
        <v>14373</v>
      </c>
      <c r="B62" s="143" t="s">
        <v>234</v>
      </c>
      <c r="C62" s="143" t="s">
        <v>511</v>
      </c>
      <c r="D62" s="143">
        <v>2025</v>
      </c>
      <c r="E62" s="143"/>
      <c r="F62" s="143"/>
    </row>
    <row r="63" spans="1:6" x14ac:dyDescent="0.35">
      <c r="A63" s="39" t="s">
        <v>513</v>
      </c>
      <c r="B63" s="22" t="s">
        <v>90</v>
      </c>
      <c r="C63" t="s">
        <v>628</v>
      </c>
      <c r="D63" s="46">
        <v>2026</v>
      </c>
      <c r="F63" t="s">
        <v>750</v>
      </c>
    </row>
    <row r="64" spans="1:6" x14ac:dyDescent="0.35">
      <c r="A64" s="39" t="s">
        <v>516</v>
      </c>
      <c r="B64" s="22" t="s">
        <v>221</v>
      </c>
      <c r="C64" t="s">
        <v>517</v>
      </c>
      <c r="D64" s="46">
        <v>2026</v>
      </c>
      <c r="F64" t="s">
        <v>750</v>
      </c>
    </row>
    <row r="65" spans="1:6" x14ac:dyDescent="0.35">
      <c r="A65" s="39" t="s">
        <v>524</v>
      </c>
      <c r="B65" s="22" t="s">
        <v>403</v>
      </c>
      <c r="C65" t="s">
        <v>627</v>
      </c>
      <c r="D65" s="46">
        <v>2026</v>
      </c>
      <c r="E65" s="171"/>
      <c r="F65" t="s">
        <v>750</v>
      </c>
    </row>
    <row r="66" spans="1:6" x14ac:dyDescent="0.35">
      <c r="A66" s="39" t="s">
        <v>537</v>
      </c>
      <c r="B66" s="22" t="s">
        <v>391</v>
      </c>
      <c r="C66" t="s">
        <v>538</v>
      </c>
      <c r="D66" s="2">
        <v>2026</v>
      </c>
      <c r="F66" t="s">
        <v>750</v>
      </c>
    </row>
    <row r="67" spans="1:6" x14ac:dyDescent="0.35">
      <c r="A67" s="39" t="s">
        <v>541</v>
      </c>
      <c r="B67" s="22" t="s">
        <v>246</v>
      </c>
      <c r="C67" t="s">
        <v>542</v>
      </c>
      <c r="D67" s="2">
        <v>2026</v>
      </c>
      <c r="F67" t="s">
        <v>750</v>
      </c>
    </row>
    <row r="68" spans="1:6" x14ac:dyDescent="0.35">
      <c r="A68" s="39" t="s">
        <v>544</v>
      </c>
      <c r="B68" s="22" t="s">
        <v>90</v>
      </c>
      <c r="C68" t="s">
        <v>545</v>
      </c>
      <c r="D68" s="2">
        <v>2026</v>
      </c>
      <c r="F68" t="s">
        <v>750</v>
      </c>
    </row>
    <row r="69" spans="1:6" x14ac:dyDescent="0.35">
      <c r="A69" s="39" t="s">
        <v>568</v>
      </c>
      <c r="B69" s="22" t="s">
        <v>329</v>
      </c>
      <c r="C69" t="s">
        <v>569</v>
      </c>
      <c r="D69" s="2">
        <v>2026</v>
      </c>
      <c r="F69" t="s">
        <v>750</v>
      </c>
    </row>
    <row r="70" spans="1:6" x14ac:dyDescent="0.35">
      <c r="A70" s="39" t="s">
        <v>571</v>
      </c>
      <c r="B70" t="s">
        <v>234</v>
      </c>
      <c r="C70" t="s">
        <v>602</v>
      </c>
      <c r="D70" s="2">
        <v>2026</v>
      </c>
      <c r="F70" t="s">
        <v>750</v>
      </c>
    </row>
    <row r="71" spans="1:6" x14ac:dyDescent="0.35">
      <c r="A71" s="149" t="s">
        <v>570</v>
      </c>
      <c r="B71" s="22" t="s">
        <v>395</v>
      </c>
      <c r="C71" t="s">
        <v>629</v>
      </c>
      <c r="D71" s="2">
        <v>2026</v>
      </c>
      <c r="F71" t="s">
        <v>750</v>
      </c>
    </row>
    <row r="72" spans="1:6" x14ac:dyDescent="0.35">
      <c r="A72" s="39" t="s">
        <v>599</v>
      </c>
      <c r="B72" t="s">
        <v>600</v>
      </c>
      <c r="C72" t="s">
        <v>601</v>
      </c>
      <c r="D72" s="2">
        <v>2026</v>
      </c>
      <c r="F72" t="s">
        <v>750</v>
      </c>
    </row>
    <row r="73" spans="1:6" x14ac:dyDescent="0.35">
      <c r="A73" s="39" t="s">
        <v>605</v>
      </c>
      <c r="B73" t="s">
        <v>246</v>
      </c>
      <c r="C73" t="s">
        <v>607</v>
      </c>
      <c r="D73" s="2">
        <v>2026</v>
      </c>
      <c r="F73" t="s">
        <v>750</v>
      </c>
    </row>
    <row r="74" spans="1:6" x14ac:dyDescent="0.35">
      <c r="A74" s="39" t="s">
        <v>612</v>
      </c>
      <c r="B74" t="s">
        <v>611</v>
      </c>
      <c r="C74" t="s">
        <v>617</v>
      </c>
      <c r="D74" s="2">
        <v>2026</v>
      </c>
      <c r="E74" s="171"/>
      <c r="F74" s="22" t="s">
        <v>750</v>
      </c>
    </row>
    <row r="75" spans="1:6" x14ac:dyDescent="0.35">
      <c r="A75" s="39" t="s">
        <v>622</v>
      </c>
      <c r="B75" t="s">
        <v>90</v>
      </c>
      <c r="C75" t="s">
        <v>626</v>
      </c>
      <c r="D75" s="2">
        <v>2026</v>
      </c>
      <c r="F75" s="22" t="s">
        <v>750</v>
      </c>
    </row>
    <row r="76" spans="1:6" x14ac:dyDescent="0.35">
      <c r="A76" s="39" t="s">
        <v>620</v>
      </c>
      <c r="B76" t="s">
        <v>621</v>
      </c>
      <c r="C76" t="s">
        <v>625</v>
      </c>
      <c r="D76" s="2">
        <v>2026</v>
      </c>
      <c r="E76" s="171"/>
      <c r="F76" s="22" t="s">
        <v>750</v>
      </c>
    </row>
    <row r="77" spans="1:6" x14ac:dyDescent="0.35">
      <c r="A77" s="39" t="s">
        <v>665</v>
      </c>
      <c r="B77" t="s">
        <v>391</v>
      </c>
      <c r="C77" t="s">
        <v>666</v>
      </c>
      <c r="D77" s="2">
        <v>2026</v>
      </c>
      <c r="F77" s="22" t="s">
        <v>750</v>
      </c>
    </row>
    <row r="78" spans="1:6" x14ac:dyDescent="0.35">
      <c r="A78" s="39" t="s">
        <v>667</v>
      </c>
      <c r="B78" t="s">
        <v>391</v>
      </c>
      <c r="C78" t="s">
        <v>668</v>
      </c>
      <c r="D78" s="2">
        <v>2026</v>
      </c>
      <c r="F78" s="22" t="s">
        <v>750</v>
      </c>
    </row>
    <row r="79" spans="1:6" x14ac:dyDescent="0.35">
      <c r="A79" s="39" t="s">
        <v>680</v>
      </c>
      <c r="B79" t="s">
        <v>17</v>
      </c>
      <c r="C79" t="s">
        <v>685</v>
      </c>
      <c r="D79" s="2">
        <v>2026</v>
      </c>
      <c r="E79" s="171"/>
      <c r="F79" s="22" t="s">
        <v>750</v>
      </c>
    </row>
    <row r="80" spans="1:6" x14ac:dyDescent="0.35">
      <c r="A80" s="239" t="s">
        <v>687</v>
      </c>
      <c r="B80" s="240" t="s">
        <v>688</v>
      </c>
      <c r="C80" s="241" t="s">
        <v>689</v>
      </c>
      <c r="D80" s="242">
        <v>2026</v>
      </c>
      <c r="E80" s="243" t="s">
        <v>757</v>
      </c>
      <c r="F80" s="244" t="s">
        <v>758</v>
      </c>
    </row>
    <row r="81" spans="1:6" x14ac:dyDescent="0.35">
      <c r="A81" s="39" t="s">
        <v>701</v>
      </c>
      <c r="B81" t="s">
        <v>395</v>
      </c>
      <c r="C81" t="s">
        <v>702</v>
      </c>
      <c r="D81" s="2">
        <v>2026</v>
      </c>
      <c r="E81" s="171"/>
      <c r="F81" s="22" t="s">
        <v>750</v>
      </c>
    </row>
    <row r="82" spans="1:6" x14ac:dyDescent="0.35">
      <c r="A82" s="39" t="s">
        <v>707</v>
      </c>
      <c r="B82" t="s">
        <v>234</v>
      </c>
      <c r="C82" t="s">
        <v>708</v>
      </c>
      <c r="D82" s="2">
        <v>2026</v>
      </c>
      <c r="E82" s="171"/>
      <c r="F82" s="22" t="s">
        <v>750</v>
      </c>
    </row>
    <row r="83" spans="1:6" x14ac:dyDescent="0.35">
      <c r="A83" s="39" t="s">
        <v>718</v>
      </c>
      <c r="B83" t="s">
        <v>246</v>
      </c>
      <c r="C83" s="181">
        <v>46080</v>
      </c>
      <c r="D83" s="2">
        <v>2026</v>
      </c>
      <c r="E83" s="171"/>
      <c r="F83" s="22" t="s">
        <v>750</v>
      </c>
    </row>
    <row r="84" spans="1:6" x14ac:dyDescent="0.35">
      <c r="A84" s="39" t="s">
        <v>748</v>
      </c>
      <c r="B84" t="s">
        <v>234</v>
      </c>
      <c r="C84" t="s">
        <v>749</v>
      </c>
      <c r="D84" s="2">
        <v>2026</v>
      </c>
      <c r="E84" t="s">
        <v>751</v>
      </c>
      <c r="F84" t="s">
        <v>294</v>
      </c>
    </row>
    <row r="85" spans="1:6" x14ac:dyDescent="0.35">
      <c r="A85" s="149" t="s">
        <v>752</v>
      </c>
      <c r="B85" s="22" t="s">
        <v>246</v>
      </c>
      <c r="C85" s="196" t="s">
        <v>753</v>
      </c>
      <c r="D85" s="46">
        <v>2026</v>
      </c>
      <c r="E85" s="46" t="s">
        <v>294</v>
      </c>
      <c r="F85" s="22" t="s">
        <v>763</v>
      </c>
    </row>
    <row r="86" spans="1:6" x14ac:dyDescent="0.35">
      <c r="A86" s="39" t="s">
        <v>754</v>
      </c>
      <c r="B86" t="s">
        <v>234</v>
      </c>
      <c r="C86" t="s">
        <v>755</v>
      </c>
      <c r="D86" s="2">
        <v>2026</v>
      </c>
      <c r="F86" t="s">
        <v>301</v>
      </c>
    </row>
    <row r="87" spans="1:6" x14ac:dyDescent="0.35">
      <c r="A87" s="39">
        <v>6416</v>
      </c>
      <c r="B87" t="s">
        <v>391</v>
      </c>
      <c r="C87" s="181">
        <v>46108</v>
      </c>
      <c r="D87" s="2">
        <v>2026</v>
      </c>
      <c r="F87" t="s">
        <v>301</v>
      </c>
    </row>
    <row r="88" spans="1:6" x14ac:dyDescent="0.35">
      <c r="A88" s="39">
        <v>2006193</v>
      </c>
      <c r="B88" t="s">
        <v>246</v>
      </c>
      <c r="C88" s="181">
        <v>46108</v>
      </c>
      <c r="D88" s="2">
        <v>2026</v>
      </c>
      <c r="F88" t="s">
        <v>301</v>
      </c>
    </row>
    <row r="89" spans="1:6" x14ac:dyDescent="0.35">
      <c r="A89" s="39">
        <v>14549</v>
      </c>
      <c r="B89" t="s">
        <v>234</v>
      </c>
      <c r="C89" s="181">
        <v>46108</v>
      </c>
      <c r="D89" s="2">
        <v>2026</v>
      </c>
      <c r="F89" t="s">
        <v>301</v>
      </c>
    </row>
    <row r="90" spans="1:6" x14ac:dyDescent="0.35">
      <c r="A90" s="39">
        <v>14563</v>
      </c>
      <c r="B90" t="s">
        <v>234</v>
      </c>
      <c r="C90" s="181" t="s">
        <v>764</v>
      </c>
      <c r="D90" s="2">
        <v>2026</v>
      </c>
      <c r="F90" t="s">
        <v>301</v>
      </c>
    </row>
    <row r="91" spans="1:6" x14ac:dyDescent="0.35">
      <c r="A91" s="39" t="s">
        <v>773</v>
      </c>
      <c r="B91" t="s">
        <v>33</v>
      </c>
      <c r="C91" s="181">
        <v>46112</v>
      </c>
      <c r="D91" s="2">
        <v>2026</v>
      </c>
      <c r="F91" t="s">
        <v>774</v>
      </c>
    </row>
    <row r="92" spans="1:6" x14ac:dyDescent="0.35">
      <c r="A92" s="39">
        <v>2004337</v>
      </c>
      <c r="B92" t="s">
        <v>90</v>
      </c>
      <c r="C92" t="s">
        <v>806</v>
      </c>
      <c r="D92" s="2">
        <v>2026</v>
      </c>
    </row>
    <row r="93" spans="1:6" x14ac:dyDescent="0.35">
      <c r="A93" s="39" t="s">
        <v>824</v>
      </c>
      <c r="B93" t="s">
        <v>825</v>
      </c>
      <c r="C93" t="s">
        <v>826</v>
      </c>
      <c r="D93" s="2">
        <v>2026</v>
      </c>
      <c r="F93" t="s">
        <v>831</v>
      </c>
    </row>
    <row r="94" spans="1:6" x14ac:dyDescent="0.35">
      <c r="A94" s="39">
        <v>6485</v>
      </c>
      <c r="B94" t="s">
        <v>391</v>
      </c>
      <c r="C94" t="s">
        <v>827</v>
      </c>
      <c r="D94" s="2">
        <v>2026</v>
      </c>
      <c r="F94" t="s">
        <v>301</v>
      </c>
    </row>
    <row r="95" spans="1:6" x14ac:dyDescent="0.35">
      <c r="A95" s="39">
        <v>6493</v>
      </c>
      <c r="B95" t="s">
        <v>391</v>
      </c>
      <c r="C95" t="s">
        <v>827</v>
      </c>
      <c r="D95" s="2">
        <v>2026</v>
      </c>
      <c r="F95" t="s">
        <v>301</v>
      </c>
    </row>
    <row r="96" spans="1:6" x14ac:dyDescent="0.35">
      <c r="A96" s="149">
        <v>6486</v>
      </c>
      <c r="B96" s="22" t="s">
        <v>391</v>
      </c>
      <c r="C96" s="22" t="s">
        <v>828</v>
      </c>
      <c r="D96" s="46">
        <v>2026</v>
      </c>
      <c r="E96" s="22"/>
      <c r="F96" t="s">
        <v>301</v>
      </c>
    </row>
    <row r="97" spans="1:6" x14ac:dyDescent="0.35">
      <c r="A97" s="149">
        <v>2004493</v>
      </c>
      <c r="B97" t="s">
        <v>90</v>
      </c>
      <c r="C97" t="s">
        <v>829</v>
      </c>
      <c r="D97" s="2">
        <v>2026</v>
      </c>
      <c r="F97" t="s">
        <v>1018</v>
      </c>
    </row>
    <row r="98" spans="1:6" x14ac:dyDescent="0.35">
      <c r="A98" s="149">
        <v>2006372</v>
      </c>
      <c r="B98" t="s">
        <v>246</v>
      </c>
      <c r="C98" t="s">
        <v>859</v>
      </c>
      <c r="D98" s="2">
        <v>2026</v>
      </c>
      <c r="F98" t="s">
        <v>863</v>
      </c>
    </row>
    <row r="99" spans="1:6" x14ac:dyDescent="0.35">
      <c r="A99" s="149" t="s">
        <v>864</v>
      </c>
      <c r="B99" s="22" t="s">
        <v>403</v>
      </c>
      <c r="C99" s="22" t="s">
        <v>868</v>
      </c>
      <c r="D99" s="46">
        <v>2026</v>
      </c>
      <c r="E99" s="22"/>
      <c r="F99" t="s">
        <v>875</v>
      </c>
    </row>
    <row r="100" spans="1:6" x14ac:dyDescent="0.35">
      <c r="A100" s="299" t="s">
        <v>886</v>
      </c>
      <c r="B100" s="300" t="s">
        <v>887</v>
      </c>
      <c r="C100" s="300" t="s">
        <v>888</v>
      </c>
      <c r="D100" s="301">
        <v>2026</v>
      </c>
      <c r="E100" s="12"/>
      <c r="F100" s="300" t="s">
        <v>1027</v>
      </c>
    </row>
    <row r="101" spans="1:6" x14ac:dyDescent="0.35">
      <c r="A101" s="39" t="s">
        <v>889</v>
      </c>
      <c r="B101" t="s">
        <v>31</v>
      </c>
      <c r="C101" t="s">
        <v>890</v>
      </c>
      <c r="D101" s="46">
        <v>2026</v>
      </c>
      <c r="F101" t="s">
        <v>294</v>
      </c>
    </row>
    <row r="102" spans="1:6" x14ac:dyDescent="0.35">
      <c r="A102" s="39" t="s">
        <v>891</v>
      </c>
      <c r="B102" t="s">
        <v>31</v>
      </c>
      <c r="C102" t="s">
        <v>890</v>
      </c>
      <c r="D102" s="46">
        <v>2026</v>
      </c>
      <c r="F102" t="s">
        <v>294</v>
      </c>
    </row>
    <row r="103" spans="1:6" x14ac:dyDescent="0.35">
      <c r="A103" s="39">
        <v>14649</v>
      </c>
      <c r="B103" t="s">
        <v>234</v>
      </c>
      <c r="C103" t="s">
        <v>1000</v>
      </c>
      <c r="D103" s="46">
        <v>2026</v>
      </c>
      <c r="F103" t="s">
        <v>294</v>
      </c>
    </row>
    <row r="104" spans="1:6" x14ac:dyDescent="0.35">
      <c r="A104" s="39">
        <v>6647</v>
      </c>
      <c r="B104" t="s">
        <v>391</v>
      </c>
      <c r="C104" t="s">
        <v>922</v>
      </c>
      <c r="D104" s="46">
        <v>2026</v>
      </c>
      <c r="F104" t="s">
        <v>294</v>
      </c>
    </row>
    <row r="105" spans="1:6" x14ac:dyDescent="0.35">
      <c r="A105" s="39" t="s">
        <v>930</v>
      </c>
      <c r="B105" t="s">
        <v>90</v>
      </c>
      <c r="C105" t="s">
        <v>931</v>
      </c>
      <c r="D105" s="46">
        <v>2026</v>
      </c>
      <c r="F105" t="s">
        <v>294</v>
      </c>
    </row>
    <row r="106" spans="1:6" x14ac:dyDescent="0.35">
      <c r="A106" s="39">
        <v>14668</v>
      </c>
      <c r="B106" t="s">
        <v>234</v>
      </c>
      <c r="C106" t="s">
        <v>1011</v>
      </c>
      <c r="D106" s="2">
        <v>2026</v>
      </c>
      <c r="F106" t="s">
        <v>294</v>
      </c>
    </row>
    <row r="107" spans="1:6" x14ac:dyDescent="0.35">
      <c r="A107" s="39" t="s">
        <v>1016</v>
      </c>
      <c r="B107" t="s">
        <v>329</v>
      </c>
      <c r="C107" t="s">
        <v>1017</v>
      </c>
      <c r="D107" s="2">
        <v>2026</v>
      </c>
      <c r="F107" t="s">
        <v>294</v>
      </c>
    </row>
    <row r="108" spans="1:6" x14ac:dyDescent="0.35">
      <c r="A108" s="149" t="s">
        <v>1023</v>
      </c>
      <c r="B108" s="22" t="s">
        <v>1024</v>
      </c>
      <c r="C108" s="22" t="s">
        <v>1025</v>
      </c>
      <c r="D108" s="46">
        <v>2026</v>
      </c>
      <c r="E108" s="22"/>
      <c r="F108" s="22" t="s">
        <v>1082</v>
      </c>
    </row>
    <row r="109" spans="1:6" x14ac:dyDescent="0.35">
      <c r="A109" s="39" t="s">
        <v>1043</v>
      </c>
      <c r="B109" t="s">
        <v>90</v>
      </c>
      <c r="C109" t="s">
        <v>1044</v>
      </c>
      <c r="D109" s="2">
        <v>2026</v>
      </c>
      <c r="F109" t="s">
        <v>1045</v>
      </c>
    </row>
    <row r="110" spans="1:6" x14ac:dyDescent="0.35">
      <c r="A110" s="39">
        <v>786</v>
      </c>
      <c r="B110" t="s">
        <v>395</v>
      </c>
      <c r="C110" t="s">
        <v>1048</v>
      </c>
      <c r="D110" s="2">
        <v>2026</v>
      </c>
      <c r="F110" t="s">
        <v>294</v>
      </c>
    </row>
    <row r="111" spans="1:6" x14ac:dyDescent="0.35">
      <c r="A111" s="39">
        <v>14703</v>
      </c>
      <c r="B111" t="s">
        <v>234</v>
      </c>
      <c r="C111" t="s">
        <v>1055</v>
      </c>
      <c r="D111" s="2">
        <v>2026</v>
      </c>
    </row>
    <row r="112" spans="1:6" x14ac:dyDescent="0.35">
      <c r="A112" s="39">
        <v>14772</v>
      </c>
      <c r="B112" t="s">
        <v>234</v>
      </c>
      <c r="C112" t="s">
        <v>1063</v>
      </c>
      <c r="D112" s="2">
        <v>2026</v>
      </c>
    </row>
    <row r="113" spans="1:6" x14ac:dyDescent="0.35">
      <c r="A113" s="39">
        <v>14773</v>
      </c>
      <c r="B113" t="s">
        <v>234</v>
      </c>
      <c r="C113" t="s">
        <v>1063</v>
      </c>
      <c r="D113" s="2">
        <v>2026</v>
      </c>
    </row>
    <row r="114" spans="1:6" x14ac:dyDescent="0.35">
      <c r="A114" s="149" t="s">
        <v>1069</v>
      </c>
      <c r="B114" t="s">
        <v>1024</v>
      </c>
      <c r="C114" s="91" t="s">
        <v>1072</v>
      </c>
      <c r="D114" s="2">
        <v>2026</v>
      </c>
      <c r="F114" t="s">
        <v>1071</v>
      </c>
    </row>
    <row r="115" spans="1:6" x14ac:dyDescent="0.35">
      <c r="A115" s="39" t="s">
        <v>1074</v>
      </c>
      <c r="B115" t="s">
        <v>329</v>
      </c>
      <c r="C115" t="s">
        <v>1073</v>
      </c>
      <c r="D115" s="2">
        <v>2026</v>
      </c>
    </row>
    <row r="116" spans="1:6" x14ac:dyDescent="0.35">
      <c r="A116" s="39">
        <v>791</v>
      </c>
      <c r="B116" t="s">
        <v>395</v>
      </c>
      <c r="C116" t="s">
        <v>1081</v>
      </c>
      <c r="D116" s="2">
        <v>2026</v>
      </c>
    </row>
    <row r="117" spans="1:6" x14ac:dyDescent="0.35">
      <c r="A117" s="39">
        <v>797</v>
      </c>
      <c r="B117" t="s">
        <v>395</v>
      </c>
      <c r="C117" t="s">
        <v>1081</v>
      </c>
      <c r="D117" s="2">
        <v>2026</v>
      </c>
    </row>
    <row r="118" spans="1:6" x14ac:dyDescent="0.35">
      <c r="A118" s="39" t="s">
        <v>1090</v>
      </c>
      <c r="B118" t="s">
        <v>1091</v>
      </c>
      <c r="C118" t="s">
        <v>1092</v>
      </c>
      <c r="D118" s="2">
        <v>2026</v>
      </c>
      <c r="F118" t="s">
        <v>294</v>
      </c>
    </row>
    <row r="119" spans="1:6" x14ac:dyDescent="0.35">
      <c r="A119" s="39">
        <v>2007206</v>
      </c>
      <c r="B119" t="s">
        <v>246</v>
      </c>
      <c r="C119" t="s">
        <v>1098</v>
      </c>
      <c r="D119" s="2">
        <v>2026</v>
      </c>
    </row>
    <row r="120" spans="1:6" x14ac:dyDescent="0.35">
      <c r="A120" s="39">
        <v>2005029</v>
      </c>
      <c r="B120" t="s">
        <v>90</v>
      </c>
      <c r="C120" t="s">
        <v>1117</v>
      </c>
      <c r="D120" s="2">
        <v>2026</v>
      </c>
      <c r="F120" t="s">
        <v>294</v>
      </c>
    </row>
    <row r="121" spans="1:6" x14ac:dyDescent="0.35">
      <c r="A121" s="149">
        <v>2007258</v>
      </c>
      <c r="B121" s="3" t="s">
        <v>246</v>
      </c>
      <c r="C121" t="s">
        <v>1125</v>
      </c>
      <c r="D121" s="2">
        <v>2026</v>
      </c>
      <c r="F121" t="s">
        <v>294</v>
      </c>
    </row>
    <row r="122" spans="1:6" x14ac:dyDescent="0.35">
      <c r="A122" s="239" t="s">
        <v>1126</v>
      </c>
      <c r="B122" s="240" t="s">
        <v>403</v>
      </c>
      <c r="C122" s="240" t="s">
        <v>1127</v>
      </c>
      <c r="D122" s="244">
        <v>2026</v>
      </c>
      <c r="E122" s="240"/>
      <c r="F122" s="4" t="s">
        <v>1166</v>
      </c>
    </row>
    <row r="123" spans="1:6" x14ac:dyDescent="0.35">
      <c r="A123" s="326" t="s">
        <v>1129</v>
      </c>
      <c r="B123" t="s">
        <v>90</v>
      </c>
      <c r="C123" t="s">
        <v>1128</v>
      </c>
      <c r="D123" s="2">
        <v>2026</v>
      </c>
      <c r="F123" t="s">
        <v>301</v>
      </c>
    </row>
    <row r="124" spans="1:6" x14ac:dyDescent="0.35">
      <c r="A124" s="39">
        <v>2005068</v>
      </c>
      <c r="B124" t="s">
        <v>90</v>
      </c>
      <c r="C124" t="s">
        <v>1134</v>
      </c>
      <c r="D124" s="2">
        <v>2026</v>
      </c>
    </row>
    <row r="125" spans="1:6" x14ac:dyDescent="0.35">
      <c r="A125" s="39" t="s">
        <v>1139</v>
      </c>
      <c r="B125" s="3" t="s">
        <v>246</v>
      </c>
      <c r="C125" t="s">
        <v>1140</v>
      </c>
      <c r="D125" s="2">
        <v>2026</v>
      </c>
      <c r="F125" t="s">
        <v>750</v>
      </c>
    </row>
    <row r="126" spans="1:6" x14ac:dyDescent="0.35">
      <c r="A126" s="39" t="s">
        <v>1142</v>
      </c>
      <c r="B126" s="3" t="s">
        <v>246</v>
      </c>
      <c r="C126" t="s">
        <v>1144</v>
      </c>
      <c r="D126" s="2">
        <v>2026</v>
      </c>
      <c r="F126" t="s">
        <v>750</v>
      </c>
    </row>
    <row r="127" spans="1:6" x14ac:dyDescent="0.35">
      <c r="A127" s="329" t="s">
        <v>1163</v>
      </c>
      <c r="B127" t="s">
        <v>621</v>
      </c>
      <c r="C127" s="12" t="s">
        <v>1216</v>
      </c>
      <c r="D127" s="2">
        <v>2026</v>
      </c>
      <c r="F127" s="56" t="s">
        <v>1198</v>
      </c>
    </row>
    <row r="128" spans="1:6" x14ac:dyDescent="0.35">
      <c r="A128" s="39" t="s">
        <v>1177</v>
      </c>
      <c r="B128" t="s">
        <v>329</v>
      </c>
      <c r="C128" t="s">
        <v>1180</v>
      </c>
      <c r="D128" s="2">
        <v>2026</v>
      </c>
      <c r="F128" t="s">
        <v>750</v>
      </c>
    </row>
    <row r="129" spans="1:6" x14ac:dyDescent="0.35">
      <c r="A129" s="39" t="s">
        <v>1178</v>
      </c>
      <c r="B129" t="s">
        <v>33</v>
      </c>
      <c r="C129" t="s">
        <v>1188</v>
      </c>
      <c r="D129" s="2">
        <v>2026</v>
      </c>
      <c r="F129" t="s">
        <v>750</v>
      </c>
    </row>
    <row r="130" spans="1:6" x14ac:dyDescent="0.35">
      <c r="A130" s="39" t="s">
        <v>1179</v>
      </c>
      <c r="B130" t="s">
        <v>33</v>
      </c>
      <c r="C130" s="22" t="s">
        <v>1217</v>
      </c>
      <c r="D130" s="2">
        <v>2026</v>
      </c>
      <c r="F130" t="s">
        <v>750</v>
      </c>
    </row>
    <row r="131" spans="1:6" x14ac:dyDescent="0.35">
      <c r="A131" s="48" t="s">
        <v>1197</v>
      </c>
      <c r="B131" t="s">
        <v>90</v>
      </c>
      <c r="C131" t="s">
        <v>1196</v>
      </c>
      <c r="D131" s="2">
        <v>2026</v>
      </c>
      <c r="F131" t="s">
        <v>750</v>
      </c>
    </row>
    <row r="132" spans="1:6" x14ac:dyDescent="0.35">
      <c r="A132" s="372" t="s">
        <v>1200</v>
      </c>
      <c r="B132" t="s">
        <v>221</v>
      </c>
      <c r="C132" t="s">
        <v>1214</v>
      </c>
      <c r="D132" s="2">
        <v>2026</v>
      </c>
    </row>
    <row r="133" spans="1:6" x14ac:dyDescent="0.35">
      <c r="A133" s="48">
        <v>2007660</v>
      </c>
      <c r="B133" t="s">
        <v>246</v>
      </c>
      <c r="C133" t="s">
        <v>1215</v>
      </c>
      <c r="D133" s="2">
        <v>2026</v>
      </c>
      <c r="F133" t="s">
        <v>750</v>
      </c>
    </row>
    <row r="134" spans="1:6" x14ac:dyDescent="0.35">
      <c r="A134" s="39">
        <v>2005269</v>
      </c>
      <c r="B134" t="s">
        <v>90</v>
      </c>
      <c r="C134" t="s">
        <v>1243</v>
      </c>
      <c r="D134" s="2">
        <v>2026</v>
      </c>
      <c r="F134" t="s">
        <v>750</v>
      </c>
    </row>
    <row r="135" spans="1:6" x14ac:dyDescent="0.35">
      <c r="A135" s="39" t="s">
        <v>1269</v>
      </c>
      <c r="B135" t="s">
        <v>234</v>
      </c>
      <c r="C135" t="s">
        <v>1270</v>
      </c>
      <c r="D135" s="2">
        <v>2026</v>
      </c>
      <c r="F135" t="s">
        <v>750</v>
      </c>
    </row>
  </sheetData>
  <pageMargins left="0.511811024" right="0.511811024" top="0.78740157499999996" bottom="0.78740157499999996" header="0.31496062000000002" footer="0.31496062000000002"/>
  <pageSetup paperSize="9" orientation="portrait" verticalDpi="0"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B6C3E-FA36-4BC9-A859-E195F991401A}">
  <sheetPr>
    <tabColor rgb="FF7030A0"/>
  </sheetPr>
  <dimension ref="A1:H30"/>
  <sheetViews>
    <sheetView showGridLines="0" topLeftCell="A19" workbookViewId="0">
      <selection activeCell="E34" sqref="E34"/>
    </sheetView>
  </sheetViews>
  <sheetFormatPr baseColWidth="10" defaultColWidth="9.1796875" defaultRowHeight="14.5" x14ac:dyDescent="0.35"/>
  <cols>
    <col min="1" max="1" width="21.54296875" customWidth="1"/>
    <col min="2" max="2" width="15" customWidth="1"/>
    <col min="3" max="3" width="22.453125" customWidth="1"/>
    <col min="4" max="4" width="12.453125" customWidth="1"/>
    <col min="5" max="5" width="23.453125" customWidth="1"/>
    <col min="6" max="6" width="13.453125" customWidth="1"/>
    <col min="7" max="7" width="28.54296875" customWidth="1"/>
    <col min="8" max="8" width="12.453125" style="15" customWidth="1"/>
  </cols>
  <sheetData>
    <row r="1" spans="1:8" ht="15.5" x14ac:dyDescent="0.35">
      <c r="A1" s="294" t="s">
        <v>995</v>
      </c>
      <c r="B1" s="12"/>
      <c r="C1" s="12"/>
    </row>
    <row r="3" spans="1:8" ht="25" thickBot="1" x14ac:dyDescent="0.4">
      <c r="A3" s="35" t="s">
        <v>0</v>
      </c>
      <c r="B3" s="262" t="s">
        <v>1</v>
      </c>
      <c r="C3" s="263" t="s">
        <v>924</v>
      </c>
      <c r="D3" s="263" t="s">
        <v>65</v>
      </c>
      <c r="E3" s="262" t="s">
        <v>131</v>
      </c>
      <c r="F3" s="263" t="s">
        <v>132</v>
      </c>
      <c r="G3" s="281" t="s">
        <v>990</v>
      </c>
      <c r="H3" s="281" t="s">
        <v>996</v>
      </c>
    </row>
    <row r="4" spans="1:8" x14ac:dyDescent="0.35">
      <c r="A4" s="264" t="s">
        <v>886</v>
      </c>
      <c r="B4" s="89" t="s">
        <v>914</v>
      </c>
      <c r="C4" s="80" t="s">
        <v>915</v>
      </c>
      <c r="D4" s="296" t="s">
        <v>913</v>
      </c>
      <c r="E4" s="82" t="s">
        <v>918</v>
      </c>
      <c r="F4" s="282">
        <v>2.56</v>
      </c>
      <c r="G4" s="283" t="s">
        <v>997</v>
      </c>
      <c r="H4" s="284">
        <v>507</v>
      </c>
    </row>
    <row r="5" spans="1:8" x14ac:dyDescent="0.35">
      <c r="A5" s="264" t="s">
        <v>886</v>
      </c>
      <c r="B5" s="90" t="s">
        <v>914</v>
      </c>
      <c r="C5" s="81" t="s">
        <v>916</v>
      </c>
      <c r="D5" s="296" t="s">
        <v>913</v>
      </c>
      <c r="E5" s="83" t="s">
        <v>919</v>
      </c>
      <c r="F5" s="285">
        <v>2.19</v>
      </c>
      <c r="G5" s="283" t="s">
        <v>997</v>
      </c>
      <c r="H5" s="284">
        <v>507</v>
      </c>
    </row>
    <row r="6" spans="1:8" x14ac:dyDescent="0.35">
      <c r="A6" s="264" t="s">
        <v>886</v>
      </c>
      <c r="B6" s="89" t="s">
        <v>914</v>
      </c>
      <c r="C6" s="80" t="s">
        <v>917</v>
      </c>
      <c r="D6" s="296" t="s">
        <v>913</v>
      </c>
      <c r="E6" s="82" t="s">
        <v>920</v>
      </c>
      <c r="F6" s="282">
        <v>2.19</v>
      </c>
      <c r="G6" s="283" t="s">
        <v>997</v>
      </c>
      <c r="H6" s="284">
        <v>507</v>
      </c>
    </row>
    <row r="7" spans="1:8" x14ac:dyDescent="0.35">
      <c r="A7" s="273">
        <v>14649</v>
      </c>
      <c r="B7" s="89" t="s">
        <v>234</v>
      </c>
      <c r="C7" s="80" t="s">
        <v>237</v>
      </c>
      <c r="D7" s="275">
        <v>4045</v>
      </c>
      <c r="E7" s="286" t="s">
        <v>238</v>
      </c>
      <c r="F7" s="287">
        <v>1.83</v>
      </c>
      <c r="G7" s="283" t="s">
        <v>997</v>
      </c>
      <c r="H7" s="284">
        <v>278</v>
      </c>
    </row>
    <row r="8" spans="1:8" x14ac:dyDescent="0.35">
      <c r="A8" s="274">
        <v>14649</v>
      </c>
      <c r="B8" s="90" t="s">
        <v>234</v>
      </c>
      <c r="C8" s="81" t="s">
        <v>240</v>
      </c>
      <c r="D8" s="276">
        <v>4162</v>
      </c>
      <c r="E8" s="288" t="s">
        <v>241</v>
      </c>
      <c r="F8" s="289">
        <v>1.71</v>
      </c>
      <c r="G8" s="283" t="s">
        <v>997</v>
      </c>
      <c r="H8" s="284">
        <v>278</v>
      </c>
    </row>
    <row r="9" spans="1:8" x14ac:dyDescent="0.35">
      <c r="A9" s="273">
        <v>14649</v>
      </c>
      <c r="B9" s="89" t="s">
        <v>234</v>
      </c>
      <c r="C9" s="80" t="s">
        <v>242</v>
      </c>
      <c r="D9" s="275">
        <v>4044</v>
      </c>
      <c r="E9" s="286" t="s">
        <v>243</v>
      </c>
      <c r="F9" s="287">
        <v>1.92</v>
      </c>
      <c r="G9" s="283" t="s">
        <v>997</v>
      </c>
      <c r="H9" s="284">
        <v>278</v>
      </c>
    </row>
    <row r="10" spans="1:8" x14ac:dyDescent="0.35">
      <c r="A10" s="265" t="s">
        <v>932</v>
      </c>
      <c r="B10" s="90" t="s">
        <v>109</v>
      </c>
      <c r="C10" s="266" t="s">
        <v>964</v>
      </c>
      <c r="D10" s="267">
        <v>4820</v>
      </c>
      <c r="E10" s="270" t="s">
        <v>551</v>
      </c>
      <c r="F10" s="290">
        <v>2.23</v>
      </c>
      <c r="G10" s="283" t="s">
        <v>989</v>
      </c>
      <c r="H10" s="284">
        <v>306</v>
      </c>
    </row>
    <row r="11" spans="1:8" x14ac:dyDescent="0.35">
      <c r="A11" s="265" t="s">
        <v>932</v>
      </c>
      <c r="B11" s="89" t="s">
        <v>109</v>
      </c>
      <c r="C11" s="268" t="s">
        <v>965</v>
      </c>
      <c r="D11" s="269">
        <v>4661</v>
      </c>
      <c r="E11" s="271" t="s">
        <v>559</v>
      </c>
      <c r="F11" s="290">
        <v>1.79</v>
      </c>
      <c r="G11" s="283" t="s">
        <v>989</v>
      </c>
      <c r="H11" s="284">
        <v>306</v>
      </c>
    </row>
    <row r="12" spans="1:8" x14ac:dyDescent="0.35">
      <c r="A12" s="265" t="s">
        <v>932</v>
      </c>
      <c r="B12" s="90" t="s">
        <v>109</v>
      </c>
      <c r="C12" s="266" t="s">
        <v>966</v>
      </c>
      <c r="D12" s="267">
        <v>4727</v>
      </c>
      <c r="E12" s="272" t="s">
        <v>933</v>
      </c>
      <c r="F12" s="290">
        <v>1.82</v>
      </c>
      <c r="G12" s="283" t="s">
        <v>989</v>
      </c>
      <c r="H12" s="284">
        <v>306</v>
      </c>
    </row>
    <row r="13" spans="1:8" x14ac:dyDescent="0.35">
      <c r="A13" s="265" t="s">
        <v>932</v>
      </c>
      <c r="B13" s="89" t="s">
        <v>109</v>
      </c>
      <c r="C13" s="268" t="s">
        <v>967</v>
      </c>
      <c r="D13" s="269">
        <v>4669</v>
      </c>
      <c r="E13" s="271" t="s">
        <v>934</v>
      </c>
      <c r="F13" s="290">
        <v>5.41</v>
      </c>
      <c r="G13" s="283" t="s">
        <v>989</v>
      </c>
      <c r="H13" s="284">
        <v>306</v>
      </c>
    </row>
    <row r="14" spans="1:8" x14ac:dyDescent="0.35">
      <c r="A14" s="265" t="s">
        <v>932</v>
      </c>
      <c r="B14" s="90" t="s">
        <v>109</v>
      </c>
      <c r="C14" s="266" t="s">
        <v>968</v>
      </c>
      <c r="D14" s="267">
        <v>4672</v>
      </c>
      <c r="E14" s="272" t="s">
        <v>935</v>
      </c>
      <c r="F14" s="290">
        <v>2.09</v>
      </c>
      <c r="G14" s="283" t="s">
        <v>989</v>
      </c>
      <c r="H14" s="284">
        <v>306</v>
      </c>
    </row>
    <row r="15" spans="1:8" x14ac:dyDescent="0.35">
      <c r="A15" s="265" t="s">
        <v>932</v>
      </c>
      <c r="B15" s="89" t="s">
        <v>109</v>
      </c>
      <c r="C15" s="268" t="s">
        <v>969</v>
      </c>
      <c r="D15" s="269">
        <v>4627</v>
      </c>
      <c r="E15" s="271" t="s">
        <v>936</v>
      </c>
      <c r="F15" s="290">
        <v>1.86</v>
      </c>
      <c r="G15" s="283" t="s">
        <v>989</v>
      </c>
      <c r="H15" s="284">
        <v>306</v>
      </c>
    </row>
    <row r="16" spans="1:8" x14ac:dyDescent="0.35">
      <c r="A16" s="265" t="s">
        <v>932</v>
      </c>
      <c r="B16" s="90" t="s">
        <v>109</v>
      </c>
      <c r="C16" s="266" t="s">
        <v>970</v>
      </c>
      <c r="D16" s="267">
        <v>4673</v>
      </c>
      <c r="E16" s="272" t="s">
        <v>550</v>
      </c>
      <c r="F16" s="290">
        <v>1.78</v>
      </c>
      <c r="G16" s="283" t="s">
        <v>989</v>
      </c>
      <c r="H16" s="284">
        <v>306</v>
      </c>
    </row>
    <row r="17" spans="1:8" x14ac:dyDescent="0.35">
      <c r="A17" s="265" t="s">
        <v>932</v>
      </c>
      <c r="B17" s="89" t="s">
        <v>109</v>
      </c>
      <c r="C17" s="268" t="s">
        <v>971</v>
      </c>
      <c r="D17" s="269">
        <v>4636</v>
      </c>
      <c r="E17" s="271" t="s">
        <v>937</v>
      </c>
      <c r="F17" s="290">
        <v>1.87</v>
      </c>
      <c r="G17" s="283" t="s">
        <v>989</v>
      </c>
      <c r="H17" s="284">
        <v>306</v>
      </c>
    </row>
    <row r="18" spans="1:8" x14ac:dyDescent="0.35">
      <c r="A18" s="265" t="s">
        <v>932</v>
      </c>
      <c r="B18" s="90" t="s">
        <v>109</v>
      </c>
      <c r="C18" s="266" t="s">
        <v>972</v>
      </c>
      <c r="D18" s="267">
        <v>4629</v>
      </c>
      <c r="E18" s="272" t="s">
        <v>938</v>
      </c>
      <c r="F18" s="290">
        <v>1.89</v>
      </c>
      <c r="G18" s="283" t="s">
        <v>989</v>
      </c>
      <c r="H18" s="284">
        <v>306</v>
      </c>
    </row>
    <row r="19" spans="1:8" x14ac:dyDescent="0.35">
      <c r="A19" s="265" t="s">
        <v>932</v>
      </c>
      <c r="B19" s="89" t="s">
        <v>109</v>
      </c>
      <c r="C19" s="268" t="s">
        <v>973</v>
      </c>
      <c r="D19" s="269">
        <v>4668</v>
      </c>
      <c r="E19" s="271" t="s">
        <v>560</v>
      </c>
      <c r="F19" s="290">
        <v>1.97</v>
      </c>
      <c r="G19" s="283" t="s">
        <v>989</v>
      </c>
      <c r="H19" s="284">
        <v>306</v>
      </c>
    </row>
    <row r="20" spans="1:8" x14ac:dyDescent="0.35">
      <c r="A20" s="265" t="s">
        <v>932</v>
      </c>
      <c r="B20" s="90" t="s">
        <v>109</v>
      </c>
      <c r="C20" s="266" t="s">
        <v>974</v>
      </c>
      <c r="D20" s="267">
        <v>4726</v>
      </c>
      <c r="E20" s="272" t="s">
        <v>939</v>
      </c>
      <c r="F20" s="290">
        <v>1.81</v>
      </c>
      <c r="G20" s="283" t="s">
        <v>989</v>
      </c>
      <c r="H20" s="284">
        <v>306</v>
      </c>
    </row>
    <row r="21" spans="1:8" x14ac:dyDescent="0.35">
      <c r="A21" s="265" t="s">
        <v>932</v>
      </c>
      <c r="B21" s="89" t="s">
        <v>109</v>
      </c>
      <c r="C21" s="268" t="s">
        <v>975</v>
      </c>
      <c r="D21" s="269">
        <v>4628</v>
      </c>
      <c r="E21" s="271" t="s">
        <v>561</v>
      </c>
      <c r="F21" s="290">
        <v>1.79</v>
      </c>
      <c r="G21" s="283" t="s">
        <v>989</v>
      </c>
      <c r="H21" s="284">
        <v>306</v>
      </c>
    </row>
    <row r="22" spans="1:8" x14ac:dyDescent="0.35">
      <c r="A22" s="265" t="s">
        <v>932</v>
      </c>
      <c r="B22" s="90" t="s">
        <v>109</v>
      </c>
      <c r="C22" s="266" t="s">
        <v>976</v>
      </c>
      <c r="D22" s="291">
        <v>4876</v>
      </c>
      <c r="E22" s="277" t="s">
        <v>992</v>
      </c>
      <c r="F22" s="295"/>
      <c r="G22" s="283" t="s">
        <v>989</v>
      </c>
      <c r="H22" s="284">
        <v>306</v>
      </c>
    </row>
    <row r="23" spans="1:8" x14ac:dyDescent="0.35">
      <c r="A23" s="265" t="s">
        <v>932</v>
      </c>
      <c r="B23" s="89" t="s">
        <v>109</v>
      </c>
      <c r="C23" s="268" t="s">
        <v>977</v>
      </c>
      <c r="D23" s="269">
        <v>4890</v>
      </c>
      <c r="E23" s="271" t="s">
        <v>940</v>
      </c>
      <c r="F23" s="290">
        <v>2.17</v>
      </c>
      <c r="G23" s="283" t="s">
        <v>989</v>
      </c>
      <c r="H23" s="284">
        <v>306</v>
      </c>
    </row>
    <row r="24" spans="1:8" x14ac:dyDescent="0.35">
      <c r="A24" s="265" t="s">
        <v>932</v>
      </c>
      <c r="B24" s="90" t="s">
        <v>109</v>
      </c>
      <c r="C24" s="266" t="s">
        <v>978</v>
      </c>
      <c r="D24" s="267">
        <v>4671</v>
      </c>
      <c r="E24" s="272" t="s">
        <v>552</v>
      </c>
      <c r="F24" s="290">
        <v>1.75</v>
      </c>
      <c r="G24" s="283" t="s">
        <v>989</v>
      </c>
      <c r="H24" s="284">
        <v>306</v>
      </c>
    </row>
    <row r="25" spans="1:8" x14ac:dyDescent="0.35">
      <c r="A25" s="265" t="s">
        <v>932</v>
      </c>
      <c r="B25" s="89" t="s">
        <v>109</v>
      </c>
      <c r="C25" s="268" t="s">
        <v>979</v>
      </c>
      <c r="D25" s="292" t="s">
        <v>991</v>
      </c>
      <c r="E25" s="278" t="s">
        <v>993</v>
      </c>
      <c r="F25" s="295"/>
      <c r="G25" s="283" t="s">
        <v>989</v>
      </c>
      <c r="H25" s="284">
        <v>306</v>
      </c>
    </row>
    <row r="26" spans="1:8" x14ac:dyDescent="0.35">
      <c r="A26" s="265" t="s">
        <v>932</v>
      </c>
      <c r="B26" s="90" t="s">
        <v>109</v>
      </c>
      <c r="C26" s="266" t="s">
        <v>980</v>
      </c>
      <c r="D26" s="267">
        <v>4638</v>
      </c>
      <c r="E26" s="272" t="s">
        <v>941</v>
      </c>
      <c r="F26" s="290">
        <v>1.72</v>
      </c>
      <c r="G26" s="283" t="s">
        <v>989</v>
      </c>
      <c r="H26" s="284">
        <v>306</v>
      </c>
    </row>
    <row r="27" spans="1:8" x14ac:dyDescent="0.35">
      <c r="A27" s="265" t="s">
        <v>932</v>
      </c>
      <c r="B27" s="89" t="s">
        <v>109</v>
      </c>
      <c r="C27" s="268" t="s">
        <v>981</v>
      </c>
      <c r="D27" s="269">
        <v>4660</v>
      </c>
      <c r="E27" s="271" t="s">
        <v>942</v>
      </c>
      <c r="F27" s="290">
        <v>1.97</v>
      </c>
      <c r="G27" s="283" t="s">
        <v>989</v>
      </c>
      <c r="H27" s="284">
        <v>306</v>
      </c>
    </row>
    <row r="28" spans="1:8" x14ac:dyDescent="0.35">
      <c r="A28" s="265" t="s">
        <v>932</v>
      </c>
      <c r="B28" s="90" t="s">
        <v>109</v>
      </c>
      <c r="C28" s="266" t="s">
        <v>982</v>
      </c>
      <c r="D28" s="267">
        <v>4653</v>
      </c>
      <c r="E28" s="272" t="s">
        <v>562</v>
      </c>
      <c r="F28" s="293">
        <v>1.9</v>
      </c>
      <c r="G28" s="283" t="s">
        <v>989</v>
      </c>
      <c r="H28" s="284">
        <v>306</v>
      </c>
    </row>
    <row r="29" spans="1:8" x14ac:dyDescent="0.35">
      <c r="A29" s="265" t="s">
        <v>932</v>
      </c>
      <c r="B29" s="89" t="s">
        <v>109</v>
      </c>
      <c r="C29" s="268" t="s">
        <v>983</v>
      </c>
      <c r="D29" s="269">
        <v>4552</v>
      </c>
      <c r="E29" s="271" t="s">
        <v>563</v>
      </c>
      <c r="F29" s="290">
        <v>1.72</v>
      </c>
      <c r="G29" s="283" t="s">
        <v>989</v>
      </c>
      <c r="H29" s="284">
        <v>306</v>
      </c>
    </row>
    <row r="30" spans="1:8" x14ac:dyDescent="0.35">
      <c r="A30" s="265" t="s">
        <v>984</v>
      </c>
      <c r="B30" s="90" t="s">
        <v>109</v>
      </c>
      <c r="C30" s="266" t="s">
        <v>974</v>
      </c>
      <c r="D30" s="267">
        <v>4726</v>
      </c>
      <c r="E30" s="272" t="s">
        <v>939</v>
      </c>
      <c r="F30" s="290">
        <v>1.81</v>
      </c>
      <c r="G30" s="283" t="s">
        <v>989</v>
      </c>
      <c r="H30" s="284">
        <v>306</v>
      </c>
    </row>
  </sheetData>
  <pageMargins left="0.511811024" right="0.511811024" top="0.78740157499999996" bottom="0.78740157499999996" header="0.31496062000000002" footer="0.31496062000000002"/>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907E-E758-4A63-B3DE-FEE9B2770DB8}">
  <dimension ref="A1:L153"/>
  <sheetViews>
    <sheetView showGridLines="0" workbookViewId="0">
      <pane xSplit="2" ySplit="2" topLeftCell="C147" activePane="bottomRight" state="frozen"/>
      <selection pane="topRight" activeCell="C1" sqref="C1"/>
      <selection pane="bottomLeft" activeCell="A3" sqref="A3"/>
      <selection pane="bottomRight" activeCell="A154" sqref="A154"/>
    </sheetView>
  </sheetViews>
  <sheetFormatPr baseColWidth="10" defaultColWidth="10.81640625" defaultRowHeight="14.5" x14ac:dyDescent="0.35"/>
  <cols>
    <col min="1" max="1" width="13.1796875" customWidth="1"/>
    <col min="2" max="2" width="22.453125" customWidth="1"/>
    <col min="6" max="6" width="22.54296875" customWidth="1"/>
  </cols>
  <sheetData>
    <row r="1" spans="1:12" ht="18.75" customHeight="1" x14ac:dyDescent="0.35">
      <c r="A1" s="2" t="s">
        <v>490</v>
      </c>
    </row>
    <row r="2" spans="1:12" x14ac:dyDescent="0.35">
      <c r="A2" s="127" t="s">
        <v>476</v>
      </c>
      <c r="B2" s="127" t="s">
        <v>477</v>
      </c>
      <c r="C2" s="127" t="s">
        <v>478</v>
      </c>
      <c r="D2" s="127" t="s">
        <v>479</v>
      </c>
      <c r="E2" s="127" t="s">
        <v>480</v>
      </c>
      <c r="F2" s="127" t="s">
        <v>485</v>
      </c>
    </row>
    <row r="3" spans="1:12" x14ac:dyDescent="0.35">
      <c r="A3" s="15">
        <v>1</v>
      </c>
      <c r="B3" t="s">
        <v>481</v>
      </c>
      <c r="C3" s="91" t="s">
        <v>318</v>
      </c>
      <c r="D3" s="91" t="s">
        <v>318</v>
      </c>
      <c r="E3" s="91" t="s">
        <v>318</v>
      </c>
      <c r="F3" s="91" t="s">
        <v>318</v>
      </c>
    </row>
    <row r="4" spans="1:12" x14ac:dyDescent="0.35">
      <c r="A4" s="15">
        <v>2</v>
      </c>
      <c r="B4" t="s">
        <v>482</v>
      </c>
      <c r="C4" s="91" t="s">
        <v>318</v>
      </c>
      <c r="D4" s="91" t="s">
        <v>318</v>
      </c>
      <c r="E4" s="91" t="s">
        <v>318</v>
      </c>
      <c r="F4" t="s">
        <v>484</v>
      </c>
    </row>
    <row r="5" spans="1:12" x14ac:dyDescent="0.35">
      <c r="A5" s="15">
        <v>3</v>
      </c>
      <c r="B5" t="s">
        <v>481</v>
      </c>
      <c r="C5" s="91" t="s">
        <v>318</v>
      </c>
      <c r="D5" s="91" t="s">
        <v>318</v>
      </c>
      <c r="E5" s="91" t="s">
        <v>318</v>
      </c>
      <c r="F5" s="91" t="s">
        <v>318</v>
      </c>
    </row>
    <row r="6" spans="1:12" x14ac:dyDescent="0.35">
      <c r="A6" s="15">
        <v>4</v>
      </c>
      <c r="B6" t="s">
        <v>481</v>
      </c>
      <c r="C6" s="91" t="s">
        <v>318</v>
      </c>
      <c r="D6" s="91" t="s">
        <v>318</v>
      </c>
      <c r="E6" s="91" t="s">
        <v>318</v>
      </c>
      <c r="F6" s="91" t="s">
        <v>318</v>
      </c>
    </row>
    <row r="7" spans="1:12" x14ac:dyDescent="0.35">
      <c r="A7" s="15">
        <v>5</v>
      </c>
      <c r="B7" t="s">
        <v>77</v>
      </c>
      <c r="C7" s="91" t="s">
        <v>318</v>
      </c>
      <c r="D7" s="91" t="s">
        <v>318</v>
      </c>
      <c r="E7" s="91" t="s">
        <v>318</v>
      </c>
      <c r="F7" t="s">
        <v>484</v>
      </c>
      <c r="L7">
        <f>103-17</f>
        <v>86</v>
      </c>
    </row>
    <row r="8" spans="1:12" x14ac:dyDescent="0.35">
      <c r="A8" s="15">
        <v>6</v>
      </c>
      <c r="B8" t="s">
        <v>481</v>
      </c>
      <c r="C8" s="91" t="s">
        <v>318</v>
      </c>
      <c r="D8" s="91" t="s">
        <v>318</v>
      </c>
      <c r="E8" s="91" t="s">
        <v>318</v>
      </c>
      <c r="F8" s="91" t="s">
        <v>318</v>
      </c>
    </row>
    <row r="9" spans="1:12" x14ac:dyDescent="0.35">
      <c r="A9" s="15">
        <v>7</v>
      </c>
      <c r="B9" t="s">
        <v>481</v>
      </c>
      <c r="C9" s="91" t="s">
        <v>318</v>
      </c>
      <c r="D9" s="91" t="s">
        <v>318</v>
      </c>
      <c r="E9" s="91" t="s">
        <v>318</v>
      </c>
      <c r="F9" s="91" t="s">
        <v>318</v>
      </c>
    </row>
    <row r="10" spans="1:12" x14ac:dyDescent="0.35">
      <c r="A10" s="15">
        <v>8</v>
      </c>
      <c r="B10" t="s">
        <v>481</v>
      </c>
      <c r="C10" s="91" t="s">
        <v>318</v>
      </c>
      <c r="D10" s="91" t="s">
        <v>318</v>
      </c>
      <c r="E10" s="91" t="s">
        <v>318</v>
      </c>
      <c r="F10" s="91" t="s">
        <v>318</v>
      </c>
    </row>
    <row r="11" spans="1:12" x14ac:dyDescent="0.35">
      <c r="A11" s="15">
        <v>9</v>
      </c>
      <c r="B11" t="s">
        <v>481</v>
      </c>
      <c r="C11" s="91" t="s">
        <v>318</v>
      </c>
      <c r="D11" s="91" t="s">
        <v>318</v>
      </c>
      <c r="E11" s="91" t="s">
        <v>318</v>
      </c>
      <c r="F11" s="91" t="s">
        <v>318</v>
      </c>
    </row>
    <row r="12" spans="1:12" x14ac:dyDescent="0.35">
      <c r="A12" s="15">
        <v>10</v>
      </c>
      <c r="B12" t="s">
        <v>483</v>
      </c>
      <c r="C12" s="91" t="s">
        <v>318</v>
      </c>
      <c r="D12" s="91" t="s">
        <v>318</v>
      </c>
      <c r="E12" s="91" t="s">
        <v>318</v>
      </c>
      <c r="F12" t="s">
        <v>484</v>
      </c>
    </row>
    <row r="13" spans="1:12" x14ac:dyDescent="0.35">
      <c r="A13" s="15">
        <v>11</v>
      </c>
      <c r="B13" t="s">
        <v>481</v>
      </c>
      <c r="C13" s="91" t="s">
        <v>318</v>
      </c>
      <c r="D13" s="91" t="s">
        <v>318</v>
      </c>
      <c r="E13" s="91" t="s">
        <v>318</v>
      </c>
      <c r="F13" s="91" t="s">
        <v>318</v>
      </c>
    </row>
    <row r="14" spans="1:12" x14ac:dyDescent="0.35">
      <c r="A14" s="15">
        <v>12</v>
      </c>
      <c r="B14" t="s">
        <v>234</v>
      </c>
      <c r="C14" t="s">
        <v>486</v>
      </c>
      <c r="D14">
        <v>3000</v>
      </c>
      <c r="E14" s="61">
        <v>6030</v>
      </c>
      <c r="F14" t="s">
        <v>484</v>
      </c>
    </row>
    <row r="15" spans="1:12" x14ac:dyDescent="0.35">
      <c r="A15" s="15">
        <v>13</v>
      </c>
      <c r="B15" t="s">
        <v>50</v>
      </c>
      <c r="C15" t="s">
        <v>487</v>
      </c>
      <c r="D15">
        <v>0</v>
      </c>
      <c r="E15">
        <v>0</v>
      </c>
      <c r="F15" t="s">
        <v>484</v>
      </c>
    </row>
    <row r="16" spans="1:12" x14ac:dyDescent="0.35">
      <c r="A16" s="15">
        <v>14</v>
      </c>
      <c r="B16" t="s">
        <v>354</v>
      </c>
      <c r="C16" t="s">
        <v>488</v>
      </c>
      <c r="D16">
        <v>4000</v>
      </c>
      <c r="E16" s="61">
        <v>31429.19</v>
      </c>
      <c r="F16" t="s">
        <v>484</v>
      </c>
    </row>
    <row r="17" spans="1:7" x14ac:dyDescent="0.35">
      <c r="A17" s="15">
        <v>15</v>
      </c>
      <c r="B17" t="s">
        <v>489</v>
      </c>
      <c r="C17" s="39">
        <v>621</v>
      </c>
      <c r="D17">
        <v>0</v>
      </c>
      <c r="E17">
        <v>0</v>
      </c>
      <c r="F17" t="s">
        <v>484</v>
      </c>
    </row>
    <row r="18" spans="1:7" x14ac:dyDescent="0.35">
      <c r="A18" s="15">
        <v>16</v>
      </c>
      <c r="B18" t="s">
        <v>481</v>
      </c>
      <c r="C18" s="91" t="s">
        <v>318</v>
      </c>
      <c r="D18" s="91" t="s">
        <v>318</v>
      </c>
      <c r="E18" s="91" t="s">
        <v>318</v>
      </c>
      <c r="F18" s="91" t="s">
        <v>318</v>
      </c>
    </row>
    <row r="19" spans="1:7" x14ac:dyDescent="0.35">
      <c r="A19" s="15">
        <v>17</v>
      </c>
      <c r="B19" t="s">
        <v>481</v>
      </c>
      <c r="C19" s="91" t="s">
        <v>318</v>
      </c>
      <c r="D19" s="91" t="s">
        <v>318</v>
      </c>
      <c r="E19" s="91" t="s">
        <v>318</v>
      </c>
      <c r="F19" s="91" t="s">
        <v>318</v>
      </c>
    </row>
    <row r="20" spans="1:7" x14ac:dyDescent="0.35">
      <c r="A20" s="129">
        <v>18</v>
      </c>
      <c r="B20" s="133" t="s">
        <v>20</v>
      </c>
      <c r="C20" s="133" t="s">
        <v>18</v>
      </c>
      <c r="D20" s="134">
        <v>2000</v>
      </c>
      <c r="E20" s="135">
        <v>9520</v>
      </c>
      <c r="F20" s="129" t="s">
        <v>619</v>
      </c>
      <c r="G20" t="s">
        <v>491</v>
      </c>
    </row>
    <row r="21" spans="1:7" x14ac:dyDescent="0.35">
      <c r="A21" s="15">
        <v>19</v>
      </c>
      <c r="B21" s="128" t="s">
        <v>266</v>
      </c>
      <c r="C21" s="131" t="s">
        <v>12</v>
      </c>
      <c r="D21">
        <v>5000</v>
      </c>
      <c r="E21" s="61">
        <v>9250</v>
      </c>
      <c r="F21" s="15" t="s">
        <v>619</v>
      </c>
    </row>
    <row r="22" spans="1:7" x14ac:dyDescent="0.35">
      <c r="A22" s="15">
        <v>20</v>
      </c>
      <c r="B22" s="128" t="s">
        <v>33</v>
      </c>
      <c r="C22" s="131" t="s">
        <v>34</v>
      </c>
      <c r="D22">
        <v>5000</v>
      </c>
      <c r="E22" s="61">
        <v>10250</v>
      </c>
      <c r="F22" s="15" t="s">
        <v>619</v>
      </c>
    </row>
    <row r="23" spans="1:7" x14ac:dyDescent="0.35">
      <c r="A23" s="15">
        <v>21</v>
      </c>
      <c r="B23" s="128" t="s">
        <v>52</v>
      </c>
      <c r="C23" s="39" t="s">
        <v>51</v>
      </c>
      <c r="D23">
        <v>1000</v>
      </c>
      <c r="E23" s="61">
        <v>2020</v>
      </c>
      <c r="F23" s="15" t="s">
        <v>619</v>
      </c>
    </row>
    <row r="24" spans="1:7" x14ac:dyDescent="0.35">
      <c r="A24" s="15">
        <v>25</v>
      </c>
      <c r="B24" s="128" t="s">
        <v>54</v>
      </c>
      <c r="C24" s="39" t="s">
        <v>53</v>
      </c>
      <c r="D24">
        <v>60</v>
      </c>
      <c r="E24" s="61">
        <v>118.8</v>
      </c>
      <c r="F24" s="15" t="s">
        <v>619</v>
      </c>
    </row>
    <row r="25" spans="1:7" x14ac:dyDescent="0.35">
      <c r="A25" s="15">
        <v>27</v>
      </c>
      <c r="B25" s="128" t="s">
        <v>54</v>
      </c>
      <c r="C25" s="39" t="s">
        <v>62</v>
      </c>
      <c r="D25">
        <v>60</v>
      </c>
      <c r="E25" s="61">
        <v>118.8</v>
      </c>
      <c r="F25" s="15" t="s">
        <v>619</v>
      </c>
    </row>
    <row r="26" spans="1:7" x14ac:dyDescent="0.35">
      <c r="A26" s="15">
        <v>26</v>
      </c>
      <c r="B26" s="128" t="s">
        <v>69</v>
      </c>
      <c r="C26" s="39">
        <v>16345</v>
      </c>
      <c r="D26">
        <v>100</v>
      </c>
      <c r="E26" s="61">
        <v>229.99999999999997</v>
      </c>
      <c r="F26" s="15" t="s">
        <v>619</v>
      </c>
    </row>
    <row r="27" spans="1:7" x14ac:dyDescent="0.35">
      <c r="A27" s="15">
        <v>28</v>
      </c>
      <c r="B27" s="128" t="s">
        <v>52</v>
      </c>
      <c r="C27" s="132" t="s">
        <v>73</v>
      </c>
      <c r="D27">
        <v>1491</v>
      </c>
      <c r="E27" s="61">
        <v>3011.82</v>
      </c>
      <c r="F27" s="15" t="s">
        <v>619</v>
      </c>
    </row>
    <row r="28" spans="1:7" x14ac:dyDescent="0.35">
      <c r="A28" s="15">
        <v>29</v>
      </c>
      <c r="B28" s="128" t="s">
        <v>77</v>
      </c>
      <c r="C28" s="132" t="s">
        <v>76</v>
      </c>
      <c r="D28">
        <v>4000</v>
      </c>
      <c r="E28" s="61">
        <v>7040</v>
      </c>
      <c r="F28" s="15" t="s">
        <v>619</v>
      </c>
    </row>
    <row r="29" spans="1:7" x14ac:dyDescent="0.35">
      <c r="A29" s="15">
        <v>30</v>
      </c>
      <c r="B29" s="128" t="s">
        <v>85</v>
      </c>
      <c r="C29" s="132" t="s">
        <v>87</v>
      </c>
      <c r="D29">
        <v>1500</v>
      </c>
      <c r="E29" s="61">
        <v>3720</v>
      </c>
      <c r="F29" s="15" t="s">
        <v>619</v>
      </c>
    </row>
    <row r="30" spans="1:7" x14ac:dyDescent="0.35">
      <c r="A30" s="15">
        <v>31</v>
      </c>
      <c r="B30" s="128" t="s">
        <v>266</v>
      </c>
      <c r="C30" s="132" t="s">
        <v>48</v>
      </c>
      <c r="D30">
        <v>10000</v>
      </c>
      <c r="E30" s="61">
        <v>17900</v>
      </c>
      <c r="F30" s="15" t="s">
        <v>619</v>
      </c>
    </row>
    <row r="31" spans="1:7" x14ac:dyDescent="0.35">
      <c r="A31" s="15">
        <v>39</v>
      </c>
      <c r="B31" s="128" t="s">
        <v>109</v>
      </c>
      <c r="C31" s="39" t="s">
        <v>89</v>
      </c>
      <c r="D31">
        <v>3000</v>
      </c>
      <c r="E31" s="61">
        <v>5520</v>
      </c>
      <c r="F31" s="15" t="s">
        <v>619</v>
      </c>
    </row>
    <row r="32" spans="1:7" x14ac:dyDescent="0.35">
      <c r="A32" s="15">
        <v>34</v>
      </c>
      <c r="B32" s="128" t="s">
        <v>77</v>
      </c>
      <c r="C32" s="39" t="s">
        <v>91</v>
      </c>
      <c r="D32">
        <v>1500</v>
      </c>
      <c r="E32" s="61">
        <v>2955</v>
      </c>
      <c r="F32" s="15" t="s">
        <v>619</v>
      </c>
    </row>
    <row r="33" spans="1:6" x14ac:dyDescent="0.35">
      <c r="A33" s="15">
        <v>33</v>
      </c>
      <c r="B33" s="128" t="s">
        <v>54</v>
      </c>
      <c r="C33" s="132" t="s">
        <v>95</v>
      </c>
      <c r="D33">
        <v>2000</v>
      </c>
      <c r="E33" s="61">
        <v>4000</v>
      </c>
      <c r="F33" s="15" t="s">
        <v>619</v>
      </c>
    </row>
    <row r="34" spans="1:6" x14ac:dyDescent="0.35">
      <c r="A34" s="15">
        <v>38</v>
      </c>
      <c r="B34" s="128" t="s">
        <v>101</v>
      </c>
      <c r="C34" s="132" t="s">
        <v>98</v>
      </c>
      <c r="D34">
        <v>700</v>
      </c>
      <c r="E34" s="61">
        <v>2800</v>
      </c>
      <c r="F34" s="15" t="s">
        <v>619</v>
      </c>
    </row>
    <row r="35" spans="1:6" x14ac:dyDescent="0.35">
      <c r="A35" s="15">
        <v>40</v>
      </c>
      <c r="B35" s="128" t="s">
        <v>52</v>
      </c>
      <c r="C35" s="132" t="s">
        <v>110</v>
      </c>
      <c r="D35">
        <v>1000</v>
      </c>
      <c r="E35" s="61">
        <v>2280</v>
      </c>
      <c r="F35" s="15" t="s">
        <v>619</v>
      </c>
    </row>
    <row r="36" spans="1:6" x14ac:dyDescent="0.35">
      <c r="A36" s="15">
        <v>41</v>
      </c>
      <c r="B36" s="128" t="s">
        <v>54</v>
      </c>
      <c r="C36" s="132" t="s">
        <v>120</v>
      </c>
      <c r="D36">
        <v>2000</v>
      </c>
      <c r="E36" s="61">
        <v>3960</v>
      </c>
      <c r="F36" s="15" t="s">
        <v>619</v>
      </c>
    </row>
    <row r="37" spans="1:6" x14ac:dyDescent="0.35">
      <c r="A37" s="15">
        <v>42</v>
      </c>
      <c r="B37" s="128" t="s">
        <v>85</v>
      </c>
      <c r="C37" s="132" t="s">
        <v>124</v>
      </c>
      <c r="D37">
        <v>2000</v>
      </c>
      <c r="E37" s="61">
        <v>3640</v>
      </c>
      <c r="F37" s="15" t="s">
        <v>619</v>
      </c>
    </row>
    <row r="38" spans="1:6" x14ac:dyDescent="0.35">
      <c r="A38" s="15">
        <v>43</v>
      </c>
      <c r="B38" s="128" t="s">
        <v>52</v>
      </c>
      <c r="C38" s="132" t="s">
        <v>126</v>
      </c>
      <c r="D38">
        <v>1500</v>
      </c>
      <c r="E38" s="61">
        <v>3419.9999999999995</v>
      </c>
      <c r="F38" s="15" t="s">
        <v>619</v>
      </c>
    </row>
    <row r="39" spans="1:6" x14ac:dyDescent="0.35">
      <c r="A39" s="15">
        <v>45</v>
      </c>
      <c r="B39" s="128" t="s">
        <v>20</v>
      </c>
      <c r="C39" s="39">
        <v>2976</v>
      </c>
      <c r="D39">
        <v>2000</v>
      </c>
      <c r="E39" s="61">
        <v>9520</v>
      </c>
      <c r="F39" s="15" t="s">
        <v>619</v>
      </c>
    </row>
    <row r="40" spans="1:6" x14ac:dyDescent="0.35">
      <c r="A40" s="15">
        <v>44</v>
      </c>
      <c r="B40" t="s">
        <v>77</v>
      </c>
      <c r="C40" s="132" t="s">
        <v>138</v>
      </c>
      <c r="D40">
        <v>2000</v>
      </c>
      <c r="E40" s="61">
        <v>8092</v>
      </c>
      <c r="F40" s="15" t="s">
        <v>619</v>
      </c>
    </row>
    <row r="41" spans="1:6" x14ac:dyDescent="0.35">
      <c r="A41" s="15">
        <v>47</v>
      </c>
      <c r="B41" s="128" t="s">
        <v>52</v>
      </c>
      <c r="C41" s="132" t="s">
        <v>143</v>
      </c>
      <c r="D41">
        <v>1000</v>
      </c>
      <c r="E41" s="61">
        <v>2060</v>
      </c>
      <c r="F41" s="15" t="s">
        <v>619</v>
      </c>
    </row>
    <row r="42" spans="1:6" x14ac:dyDescent="0.35">
      <c r="A42" s="15">
        <v>46</v>
      </c>
      <c r="B42" s="128" t="s">
        <v>54</v>
      </c>
      <c r="C42" s="132" t="s">
        <v>211</v>
      </c>
      <c r="D42">
        <v>6000</v>
      </c>
      <c r="E42" s="61">
        <v>11920</v>
      </c>
      <c r="F42" s="15" t="s">
        <v>619</v>
      </c>
    </row>
    <row r="43" spans="1:6" x14ac:dyDescent="0.35">
      <c r="A43" s="15">
        <v>48</v>
      </c>
      <c r="B43" s="128" t="s">
        <v>221</v>
      </c>
      <c r="C43" s="132" t="s">
        <v>220</v>
      </c>
      <c r="D43">
        <v>300</v>
      </c>
      <c r="E43" s="61">
        <v>1440</v>
      </c>
      <c r="F43" s="15" t="s">
        <v>619</v>
      </c>
    </row>
    <row r="44" spans="1:6" x14ac:dyDescent="0.35">
      <c r="A44" s="15">
        <v>49</v>
      </c>
      <c r="B44" s="128" t="s">
        <v>221</v>
      </c>
      <c r="C44" s="132" t="s">
        <v>222</v>
      </c>
      <c r="D44">
        <v>2000</v>
      </c>
      <c r="E44" s="61">
        <v>3400</v>
      </c>
      <c r="F44" s="15" t="s">
        <v>619</v>
      </c>
    </row>
    <row r="45" spans="1:6" x14ac:dyDescent="0.35">
      <c r="A45" s="15">
        <v>50</v>
      </c>
      <c r="B45" s="128" t="s">
        <v>221</v>
      </c>
      <c r="C45" s="132" t="s">
        <v>228</v>
      </c>
      <c r="D45">
        <v>300</v>
      </c>
      <c r="E45" s="61">
        <v>759</v>
      </c>
      <c r="F45" s="15" t="s">
        <v>619</v>
      </c>
    </row>
    <row r="46" spans="1:6" x14ac:dyDescent="0.35">
      <c r="A46" s="15">
        <v>51</v>
      </c>
      <c r="B46" s="128" t="s">
        <v>234</v>
      </c>
      <c r="C46" s="131" t="s">
        <v>233</v>
      </c>
      <c r="D46">
        <v>10500</v>
      </c>
      <c r="E46" s="61">
        <v>17990</v>
      </c>
      <c r="F46" s="15" t="s">
        <v>619</v>
      </c>
    </row>
    <row r="47" spans="1:6" x14ac:dyDescent="0.35">
      <c r="A47" s="15">
        <v>52</v>
      </c>
      <c r="B47" s="128" t="s">
        <v>77</v>
      </c>
      <c r="C47" s="132" t="s">
        <v>245</v>
      </c>
      <c r="D47">
        <v>1000</v>
      </c>
      <c r="E47" s="61">
        <v>1760</v>
      </c>
      <c r="F47" s="15" t="s">
        <v>619</v>
      </c>
    </row>
    <row r="48" spans="1:6" x14ac:dyDescent="0.35">
      <c r="A48" s="15">
        <v>53</v>
      </c>
      <c r="B48" s="128" t="s">
        <v>221</v>
      </c>
      <c r="C48" s="132" t="s">
        <v>235</v>
      </c>
      <c r="D48">
        <v>2000</v>
      </c>
      <c r="E48" s="130">
        <v>3640</v>
      </c>
      <c r="F48" s="15" t="s">
        <v>619</v>
      </c>
    </row>
    <row r="49" spans="1:6" x14ac:dyDescent="0.35">
      <c r="A49" s="15">
        <v>54</v>
      </c>
      <c r="B49" s="128" t="s">
        <v>221</v>
      </c>
      <c r="C49" s="132" t="s">
        <v>236</v>
      </c>
      <c r="D49">
        <v>1000</v>
      </c>
      <c r="E49" s="130">
        <v>663</v>
      </c>
      <c r="F49" s="15" t="s">
        <v>619</v>
      </c>
    </row>
    <row r="50" spans="1:6" x14ac:dyDescent="0.35">
      <c r="A50" s="15">
        <v>56</v>
      </c>
      <c r="B50" s="128" t="s">
        <v>269</v>
      </c>
      <c r="C50" s="132" t="s">
        <v>268</v>
      </c>
      <c r="D50">
        <v>162</v>
      </c>
      <c r="E50" s="130">
        <v>317.52</v>
      </c>
      <c r="F50" s="15" t="s">
        <v>619</v>
      </c>
    </row>
    <row r="51" spans="1:6" x14ac:dyDescent="0.35">
      <c r="A51" s="15">
        <v>55</v>
      </c>
      <c r="B51" s="128" t="s">
        <v>85</v>
      </c>
      <c r="C51" s="132" t="s">
        <v>277</v>
      </c>
      <c r="D51">
        <v>1500</v>
      </c>
      <c r="E51" s="130">
        <v>2550</v>
      </c>
      <c r="F51" s="15" t="s">
        <v>619</v>
      </c>
    </row>
    <row r="52" spans="1:6" x14ac:dyDescent="0.35">
      <c r="A52" s="15">
        <v>59</v>
      </c>
      <c r="B52" s="128" t="s">
        <v>52</v>
      </c>
      <c r="C52" s="132" t="s">
        <v>274</v>
      </c>
      <c r="D52">
        <v>3600</v>
      </c>
      <c r="E52" s="61">
        <v>8422</v>
      </c>
      <c r="F52" s="15" t="s">
        <v>619</v>
      </c>
    </row>
    <row r="53" spans="1:6" x14ac:dyDescent="0.35">
      <c r="A53" s="15">
        <v>57</v>
      </c>
      <c r="B53" s="128" t="s">
        <v>77</v>
      </c>
      <c r="C53" s="132" t="s">
        <v>287</v>
      </c>
      <c r="D53">
        <v>7000</v>
      </c>
      <c r="E53" s="61">
        <v>12360</v>
      </c>
      <c r="F53" s="15" t="s">
        <v>619</v>
      </c>
    </row>
    <row r="54" spans="1:6" x14ac:dyDescent="0.35">
      <c r="A54" s="15">
        <v>58</v>
      </c>
      <c r="B54" s="128" t="s">
        <v>20</v>
      </c>
      <c r="C54" s="132" t="s">
        <v>298</v>
      </c>
      <c r="D54">
        <v>2000</v>
      </c>
      <c r="E54" s="61">
        <v>2000</v>
      </c>
      <c r="F54" s="15" t="s">
        <v>619</v>
      </c>
    </row>
    <row r="55" spans="1:6" x14ac:dyDescent="0.35">
      <c r="A55" s="15">
        <v>61</v>
      </c>
      <c r="B55" s="128" t="s">
        <v>109</v>
      </c>
      <c r="C55" s="132" t="s">
        <v>307</v>
      </c>
      <c r="D55">
        <v>4500</v>
      </c>
      <c r="E55" s="61">
        <v>8025</v>
      </c>
      <c r="F55" s="15" t="s">
        <v>619</v>
      </c>
    </row>
    <row r="56" spans="1:6" x14ac:dyDescent="0.35">
      <c r="A56" s="15">
        <v>60</v>
      </c>
      <c r="B56" s="128" t="s">
        <v>221</v>
      </c>
      <c r="C56" s="132" t="s">
        <v>314</v>
      </c>
      <c r="D56">
        <v>1200</v>
      </c>
      <c r="E56" s="61">
        <v>2652</v>
      </c>
      <c r="F56" s="15" t="s">
        <v>619</v>
      </c>
    </row>
    <row r="57" spans="1:6" x14ac:dyDescent="0.35">
      <c r="A57" s="15">
        <v>66</v>
      </c>
      <c r="B57" s="128" t="s">
        <v>77</v>
      </c>
      <c r="C57" s="132" t="s">
        <v>320</v>
      </c>
      <c r="D57">
        <v>6300</v>
      </c>
      <c r="E57" s="61">
        <v>11799</v>
      </c>
      <c r="F57" s="15" t="s">
        <v>619</v>
      </c>
    </row>
    <row r="58" spans="1:6" x14ac:dyDescent="0.35">
      <c r="A58" s="15">
        <v>62</v>
      </c>
      <c r="B58" s="128" t="s">
        <v>77</v>
      </c>
      <c r="C58" s="132" t="s">
        <v>324</v>
      </c>
      <c r="D58">
        <v>1500</v>
      </c>
      <c r="E58" s="61">
        <v>2640</v>
      </c>
      <c r="F58" s="15" t="s">
        <v>619</v>
      </c>
    </row>
    <row r="59" spans="1:6" x14ac:dyDescent="0.35">
      <c r="A59" s="15">
        <v>65</v>
      </c>
      <c r="B59" s="128" t="s">
        <v>109</v>
      </c>
      <c r="C59" s="39" t="s">
        <v>331</v>
      </c>
      <c r="D59">
        <v>5000</v>
      </c>
      <c r="E59" s="61">
        <v>5000</v>
      </c>
      <c r="F59" s="15" t="s">
        <v>619</v>
      </c>
    </row>
    <row r="60" spans="1:6" x14ac:dyDescent="0.35">
      <c r="A60" s="15">
        <v>67</v>
      </c>
      <c r="B60" s="128" t="s">
        <v>269</v>
      </c>
      <c r="C60" s="132" t="s">
        <v>336</v>
      </c>
      <c r="D60">
        <v>700</v>
      </c>
      <c r="E60" s="61">
        <v>1372</v>
      </c>
      <c r="F60" s="15" t="s">
        <v>619</v>
      </c>
    </row>
    <row r="61" spans="1:6" x14ac:dyDescent="0.35">
      <c r="A61" s="15">
        <v>68</v>
      </c>
      <c r="B61" s="128" t="s">
        <v>77</v>
      </c>
      <c r="C61" s="132" t="s">
        <v>346</v>
      </c>
      <c r="D61">
        <v>5700</v>
      </c>
      <c r="E61" s="61">
        <v>22091</v>
      </c>
      <c r="F61" s="15" t="s">
        <v>619</v>
      </c>
    </row>
    <row r="62" spans="1:6" x14ac:dyDescent="0.35">
      <c r="A62" s="15">
        <v>69</v>
      </c>
      <c r="B62" s="128" t="s">
        <v>354</v>
      </c>
      <c r="C62" s="132" t="s">
        <v>328</v>
      </c>
      <c r="D62">
        <v>500</v>
      </c>
      <c r="E62" s="61">
        <v>2785</v>
      </c>
      <c r="F62" s="15" t="s">
        <v>619</v>
      </c>
    </row>
    <row r="63" spans="1:6" x14ac:dyDescent="0.35">
      <c r="A63" s="15">
        <v>74</v>
      </c>
      <c r="B63" s="128" t="s">
        <v>69</v>
      </c>
      <c r="C63" s="39">
        <v>16985</v>
      </c>
      <c r="D63">
        <v>100</v>
      </c>
      <c r="E63" s="61">
        <v>230</v>
      </c>
      <c r="F63" s="15" t="s">
        <v>619</v>
      </c>
    </row>
    <row r="64" spans="1:6" x14ac:dyDescent="0.35">
      <c r="A64" s="15">
        <v>75</v>
      </c>
      <c r="B64" s="128" t="s">
        <v>221</v>
      </c>
      <c r="C64" s="132" t="s">
        <v>359</v>
      </c>
      <c r="D64">
        <v>3500</v>
      </c>
      <c r="E64" s="61">
        <v>6070</v>
      </c>
      <c r="F64" s="15" t="s">
        <v>619</v>
      </c>
    </row>
    <row r="65" spans="1:7" x14ac:dyDescent="0.35">
      <c r="A65" s="15">
        <v>76</v>
      </c>
      <c r="B65" s="128" t="s">
        <v>221</v>
      </c>
      <c r="C65" s="132" t="s">
        <v>360</v>
      </c>
      <c r="D65">
        <v>2500</v>
      </c>
      <c r="E65" s="61">
        <v>4250</v>
      </c>
      <c r="F65" s="15" t="s">
        <v>619</v>
      </c>
    </row>
    <row r="66" spans="1:7" x14ac:dyDescent="0.35">
      <c r="A66" s="15">
        <v>77</v>
      </c>
      <c r="B66" s="128" t="s">
        <v>109</v>
      </c>
      <c r="C66" s="132" t="s">
        <v>372</v>
      </c>
      <c r="D66">
        <v>1000</v>
      </c>
      <c r="E66" s="61">
        <v>1710</v>
      </c>
      <c r="F66" s="15" t="s">
        <v>619</v>
      </c>
    </row>
    <row r="67" spans="1:7" x14ac:dyDescent="0.35">
      <c r="A67" s="15">
        <v>78</v>
      </c>
      <c r="B67" s="128" t="s">
        <v>386</v>
      </c>
      <c r="C67" s="39" t="s">
        <v>377</v>
      </c>
      <c r="D67">
        <v>2000</v>
      </c>
      <c r="E67" s="61">
        <v>5620</v>
      </c>
      <c r="F67" s="15" t="s">
        <v>619</v>
      </c>
    </row>
    <row r="68" spans="1:7" x14ac:dyDescent="0.35">
      <c r="A68" s="15">
        <v>79</v>
      </c>
      <c r="B68" s="128" t="s">
        <v>52</v>
      </c>
      <c r="C68" s="132" t="s">
        <v>390</v>
      </c>
      <c r="D68">
        <v>800</v>
      </c>
      <c r="E68" s="61">
        <v>1059</v>
      </c>
      <c r="F68" s="15" t="s">
        <v>619</v>
      </c>
    </row>
    <row r="69" spans="1:7" x14ac:dyDescent="0.35">
      <c r="A69" s="15">
        <v>80</v>
      </c>
      <c r="B69" s="128" t="s">
        <v>221</v>
      </c>
      <c r="C69" s="132" t="s">
        <v>394</v>
      </c>
      <c r="D69">
        <v>1200</v>
      </c>
      <c r="E69" s="61">
        <v>1848</v>
      </c>
      <c r="F69" s="15" t="s">
        <v>619</v>
      </c>
    </row>
    <row r="70" spans="1:7" x14ac:dyDescent="0.35">
      <c r="A70" s="15">
        <v>81</v>
      </c>
      <c r="B70" s="128" t="s">
        <v>33</v>
      </c>
      <c r="C70" s="39" t="s">
        <v>402</v>
      </c>
      <c r="D70">
        <v>5000</v>
      </c>
      <c r="E70" s="130">
        <v>10250</v>
      </c>
      <c r="F70" s="15" t="s">
        <v>619</v>
      </c>
    </row>
    <row r="71" spans="1:7" x14ac:dyDescent="0.35">
      <c r="A71" s="15">
        <v>84</v>
      </c>
      <c r="B71" s="128" t="s">
        <v>234</v>
      </c>
      <c r="C71" s="39" t="s">
        <v>401</v>
      </c>
      <c r="D71">
        <v>5000</v>
      </c>
      <c r="E71" s="130">
        <v>24150</v>
      </c>
      <c r="F71" s="15" t="s">
        <v>619</v>
      </c>
    </row>
    <row r="72" spans="1:7" x14ac:dyDescent="0.35">
      <c r="A72" s="15">
        <v>82</v>
      </c>
      <c r="B72" s="128" t="s">
        <v>403</v>
      </c>
      <c r="C72" s="39" t="s">
        <v>379</v>
      </c>
      <c r="D72">
        <v>6300</v>
      </c>
      <c r="E72" s="61">
        <v>11484</v>
      </c>
      <c r="F72" s="15" t="s">
        <v>619</v>
      </c>
    </row>
    <row r="73" spans="1:7" x14ac:dyDescent="0.35">
      <c r="A73" s="15">
        <v>85</v>
      </c>
      <c r="B73" s="128" t="s">
        <v>354</v>
      </c>
      <c r="C73" s="132" t="s">
        <v>472</v>
      </c>
      <c r="D73">
        <v>1000</v>
      </c>
      <c r="E73" s="130">
        <v>5570</v>
      </c>
      <c r="F73" s="15" t="s">
        <v>619</v>
      </c>
    </row>
    <row r="74" spans="1:7" x14ac:dyDescent="0.35">
      <c r="A74" s="15">
        <v>86</v>
      </c>
      <c r="B74" s="128" t="s">
        <v>50</v>
      </c>
      <c r="C74" s="39">
        <v>17280</v>
      </c>
      <c r="D74">
        <v>500</v>
      </c>
      <c r="F74" s="15" t="s">
        <v>619</v>
      </c>
      <c r="G74" t="s">
        <v>650</v>
      </c>
    </row>
    <row r="75" spans="1:7" x14ac:dyDescent="0.35">
      <c r="A75" s="15">
        <v>87</v>
      </c>
      <c r="B75" s="128" t="s">
        <v>221</v>
      </c>
      <c r="C75" s="39" t="s">
        <v>496</v>
      </c>
      <c r="F75" s="15" t="s">
        <v>619</v>
      </c>
      <c r="G75" t="s">
        <v>650</v>
      </c>
    </row>
    <row r="76" spans="1:7" x14ac:dyDescent="0.35">
      <c r="A76" s="15">
        <v>88</v>
      </c>
      <c r="B76" s="128" t="s">
        <v>354</v>
      </c>
      <c r="C76" s="39" t="s">
        <v>493</v>
      </c>
      <c r="F76" s="15" t="s">
        <v>619</v>
      </c>
      <c r="G76" t="s">
        <v>650</v>
      </c>
    </row>
    <row r="77" spans="1:7" x14ac:dyDescent="0.35">
      <c r="A77" s="15">
        <v>89</v>
      </c>
      <c r="B77" s="128" t="s">
        <v>354</v>
      </c>
      <c r="C77" s="39" t="s">
        <v>501</v>
      </c>
      <c r="F77" s="15" t="s">
        <v>619</v>
      </c>
      <c r="G77" t="s">
        <v>650</v>
      </c>
    </row>
    <row r="78" spans="1:7" x14ac:dyDescent="0.35">
      <c r="A78" s="15">
        <v>90</v>
      </c>
      <c r="B78" s="128" t="s">
        <v>69</v>
      </c>
      <c r="C78" s="39">
        <v>17368</v>
      </c>
      <c r="F78" s="15" t="s">
        <v>619</v>
      </c>
      <c r="G78" t="s">
        <v>650</v>
      </c>
    </row>
    <row r="79" spans="1:7" x14ac:dyDescent="0.35">
      <c r="A79" s="15">
        <v>91</v>
      </c>
      <c r="B79" s="128" t="s">
        <v>234</v>
      </c>
      <c r="C79" s="39" t="s">
        <v>512</v>
      </c>
      <c r="F79" s="15" t="s">
        <v>619</v>
      </c>
      <c r="G79" t="s">
        <v>650</v>
      </c>
    </row>
    <row r="80" spans="1:7" x14ac:dyDescent="0.35">
      <c r="A80" s="15">
        <v>92</v>
      </c>
      <c r="B80" s="128" t="s">
        <v>221</v>
      </c>
      <c r="C80" s="39" t="s">
        <v>516</v>
      </c>
      <c r="F80">
        <v>2026</v>
      </c>
      <c r="G80" t="s">
        <v>650</v>
      </c>
    </row>
    <row r="81" spans="1:7" x14ac:dyDescent="0.35">
      <c r="A81" s="15">
        <v>93</v>
      </c>
      <c r="B81" s="128" t="s">
        <v>109</v>
      </c>
      <c r="C81" s="39" t="s">
        <v>513</v>
      </c>
      <c r="F81">
        <v>2026</v>
      </c>
      <c r="G81" t="s">
        <v>650</v>
      </c>
    </row>
    <row r="82" spans="1:7" x14ac:dyDescent="0.35">
      <c r="A82" s="15">
        <v>94</v>
      </c>
      <c r="B82" s="128" t="s">
        <v>681</v>
      </c>
      <c r="C82" s="39" t="s">
        <v>537</v>
      </c>
      <c r="F82">
        <v>2026</v>
      </c>
      <c r="G82" t="s">
        <v>650</v>
      </c>
    </row>
    <row r="83" spans="1:7" x14ac:dyDescent="0.35">
      <c r="A83" s="15">
        <v>95</v>
      </c>
      <c r="B83" s="128" t="s">
        <v>246</v>
      </c>
      <c r="C83" s="39" t="s">
        <v>541</v>
      </c>
      <c r="F83">
        <v>2026</v>
      </c>
      <c r="G83" t="s">
        <v>650</v>
      </c>
    </row>
    <row r="84" spans="1:7" x14ac:dyDescent="0.35">
      <c r="A84" s="15">
        <v>96</v>
      </c>
      <c r="B84" s="128" t="s">
        <v>403</v>
      </c>
      <c r="C84" s="39" t="s">
        <v>524</v>
      </c>
      <c r="F84">
        <v>2026</v>
      </c>
      <c r="G84" t="s">
        <v>650</v>
      </c>
    </row>
    <row r="85" spans="1:7" x14ac:dyDescent="0.35">
      <c r="A85" s="15">
        <v>97</v>
      </c>
      <c r="B85" s="128" t="s">
        <v>354</v>
      </c>
      <c r="C85" s="39" t="s">
        <v>568</v>
      </c>
      <c r="F85">
        <v>2026</v>
      </c>
      <c r="G85" t="s">
        <v>650</v>
      </c>
    </row>
    <row r="86" spans="1:7" x14ac:dyDescent="0.35">
      <c r="A86" s="15">
        <v>98</v>
      </c>
      <c r="B86" s="128" t="s">
        <v>109</v>
      </c>
      <c r="C86" s="39" t="s">
        <v>544</v>
      </c>
      <c r="F86">
        <v>2026</v>
      </c>
      <c r="G86" t="s">
        <v>650</v>
      </c>
    </row>
    <row r="87" spans="1:7" x14ac:dyDescent="0.35">
      <c r="A87" s="15">
        <v>99</v>
      </c>
      <c r="B87" s="128" t="s">
        <v>246</v>
      </c>
      <c r="C87" s="39" t="s">
        <v>605</v>
      </c>
      <c r="F87">
        <v>2026</v>
      </c>
      <c r="G87" t="s">
        <v>650</v>
      </c>
    </row>
    <row r="88" spans="1:7" x14ac:dyDescent="0.35">
      <c r="A88" s="15">
        <v>100</v>
      </c>
      <c r="B88" s="128" t="s">
        <v>234</v>
      </c>
      <c r="C88" s="39" t="s">
        <v>571</v>
      </c>
      <c r="F88">
        <v>2026</v>
      </c>
      <c r="G88" t="s">
        <v>650</v>
      </c>
    </row>
    <row r="89" spans="1:7" x14ac:dyDescent="0.35">
      <c r="A89" s="15">
        <v>101</v>
      </c>
      <c r="B89" s="128" t="s">
        <v>109</v>
      </c>
      <c r="C89" s="39" t="s">
        <v>643</v>
      </c>
      <c r="F89">
        <v>2026</v>
      </c>
      <c r="G89" t="s">
        <v>650</v>
      </c>
    </row>
    <row r="90" spans="1:7" x14ac:dyDescent="0.35">
      <c r="A90" s="15">
        <v>102</v>
      </c>
      <c r="B90" s="128" t="s">
        <v>681</v>
      </c>
      <c r="C90" s="39" t="s">
        <v>665</v>
      </c>
      <c r="F90">
        <v>2026</v>
      </c>
      <c r="G90" t="s">
        <v>650</v>
      </c>
    </row>
    <row r="91" spans="1:7" x14ac:dyDescent="0.35">
      <c r="A91" s="15">
        <v>103</v>
      </c>
      <c r="B91" s="128" t="s">
        <v>681</v>
      </c>
      <c r="C91" s="39" t="s">
        <v>667</v>
      </c>
      <c r="F91">
        <v>2026</v>
      </c>
      <c r="G91" t="s">
        <v>650</v>
      </c>
    </row>
    <row r="92" spans="1:7" s="1" customFormat="1" x14ac:dyDescent="0.35">
      <c r="A92" s="1">
        <v>104</v>
      </c>
      <c r="B92" s="131" t="s">
        <v>266</v>
      </c>
      <c r="F92">
        <v>2026</v>
      </c>
      <c r="G92" t="s">
        <v>650</v>
      </c>
    </row>
    <row r="93" spans="1:7" s="1" customFormat="1" x14ac:dyDescent="0.35">
      <c r="A93" s="1">
        <v>105</v>
      </c>
      <c r="B93" s="131" t="s">
        <v>221</v>
      </c>
      <c r="F93">
        <v>2026</v>
      </c>
      <c r="G93" t="s">
        <v>650</v>
      </c>
    </row>
    <row r="94" spans="1:7" s="1" customFormat="1" x14ac:dyDescent="0.35">
      <c r="A94" s="1">
        <v>107</v>
      </c>
      <c r="B94" s="131" t="s">
        <v>234</v>
      </c>
      <c r="F94">
        <v>2026</v>
      </c>
      <c r="G94" t="s">
        <v>650</v>
      </c>
    </row>
    <row r="95" spans="1:7" s="1" customFormat="1" x14ac:dyDescent="0.35">
      <c r="A95" s="1">
        <v>109</v>
      </c>
      <c r="B95" s="131" t="s">
        <v>246</v>
      </c>
      <c r="F95">
        <v>2026</v>
      </c>
      <c r="G95" t="s">
        <v>650</v>
      </c>
    </row>
    <row r="96" spans="1:7" s="1" customFormat="1" x14ac:dyDescent="0.35">
      <c r="A96" s="1">
        <v>111</v>
      </c>
      <c r="B96" s="131" t="s">
        <v>234</v>
      </c>
      <c r="F96">
        <v>2026</v>
      </c>
      <c r="G96" t="s">
        <v>650</v>
      </c>
    </row>
    <row r="97" spans="1:7" s="1" customFormat="1" x14ac:dyDescent="0.35">
      <c r="A97" s="1">
        <v>112</v>
      </c>
      <c r="B97" s="131" t="s">
        <v>234</v>
      </c>
      <c r="F97">
        <v>2026</v>
      </c>
      <c r="G97" t="s">
        <v>650</v>
      </c>
    </row>
    <row r="98" spans="1:7" s="1" customFormat="1" x14ac:dyDescent="0.35">
      <c r="A98" s="1">
        <v>113</v>
      </c>
      <c r="B98" s="39" t="s">
        <v>246</v>
      </c>
      <c r="F98">
        <v>2026</v>
      </c>
      <c r="G98" t="s">
        <v>650</v>
      </c>
    </row>
    <row r="99" spans="1:7" s="1" customFormat="1" x14ac:dyDescent="0.35">
      <c r="A99" s="1">
        <v>115</v>
      </c>
      <c r="B99" s="131" t="s">
        <v>681</v>
      </c>
      <c r="F99">
        <v>2026</v>
      </c>
      <c r="G99" t="s">
        <v>650</v>
      </c>
    </row>
    <row r="100" spans="1:7" s="1" customFormat="1" x14ac:dyDescent="0.35">
      <c r="A100" s="1">
        <v>116</v>
      </c>
      <c r="B100" s="131" t="s">
        <v>246</v>
      </c>
      <c r="F100">
        <v>2026</v>
      </c>
      <c r="G100" t="s">
        <v>650</v>
      </c>
    </row>
    <row r="101" spans="1:7" s="1" customFormat="1" x14ac:dyDescent="0.35">
      <c r="A101" s="1">
        <v>117</v>
      </c>
      <c r="B101" s="131" t="s">
        <v>234</v>
      </c>
      <c r="F101">
        <v>2026</v>
      </c>
      <c r="G101" t="s">
        <v>650</v>
      </c>
    </row>
    <row r="102" spans="1:7" s="1" customFormat="1" x14ac:dyDescent="0.35">
      <c r="A102" s="1">
        <v>118</v>
      </c>
      <c r="B102" s="131" t="s">
        <v>234</v>
      </c>
      <c r="F102">
        <v>2026</v>
      </c>
      <c r="G102" t="s">
        <v>650</v>
      </c>
    </row>
    <row r="103" spans="1:7" s="1" customFormat="1" x14ac:dyDescent="0.35">
      <c r="A103" s="1">
        <v>119</v>
      </c>
      <c r="B103" s="39" t="s">
        <v>33</v>
      </c>
      <c r="F103">
        <v>2026</v>
      </c>
      <c r="G103" t="s">
        <v>650</v>
      </c>
    </row>
    <row r="104" spans="1:7" s="1" customFormat="1" x14ac:dyDescent="0.35">
      <c r="A104" s="1">
        <v>120</v>
      </c>
      <c r="B104" s="131" t="s">
        <v>109</v>
      </c>
      <c r="F104">
        <v>2026</v>
      </c>
      <c r="G104" t="s">
        <v>650</v>
      </c>
    </row>
    <row r="105" spans="1:7" s="1" customFormat="1" x14ac:dyDescent="0.35">
      <c r="A105" s="1">
        <v>121</v>
      </c>
      <c r="B105" s="131" t="s">
        <v>681</v>
      </c>
      <c r="F105">
        <v>2026</v>
      </c>
      <c r="G105" t="s">
        <v>650</v>
      </c>
    </row>
    <row r="106" spans="1:7" s="1" customFormat="1" x14ac:dyDescent="0.35">
      <c r="A106" s="1">
        <v>122</v>
      </c>
      <c r="B106" s="131" t="s">
        <v>681</v>
      </c>
      <c r="F106">
        <v>2026</v>
      </c>
      <c r="G106" t="s">
        <v>650</v>
      </c>
    </row>
    <row r="107" spans="1:7" s="1" customFormat="1" x14ac:dyDescent="0.35">
      <c r="A107" s="1">
        <v>123</v>
      </c>
      <c r="B107" s="131" t="s">
        <v>109</v>
      </c>
      <c r="F107">
        <v>2026</v>
      </c>
      <c r="G107" t="s">
        <v>650</v>
      </c>
    </row>
    <row r="108" spans="1:7" s="1" customFormat="1" x14ac:dyDescent="0.35">
      <c r="A108" s="1">
        <v>124</v>
      </c>
      <c r="B108" s="128" t="s">
        <v>109</v>
      </c>
      <c r="F108">
        <v>2026</v>
      </c>
      <c r="G108" t="s">
        <v>650</v>
      </c>
    </row>
    <row r="109" spans="1:7" s="1" customFormat="1" x14ac:dyDescent="0.35">
      <c r="A109" s="1">
        <v>125</v>
      </c>
      <c r="B109" s="128" t="s">
        <v>681</v>
      </c>
      <c r="F109">
        <v>2026</v>
      </c>
      <c r="G109" t="s">
        <v>650</v>
      </c>
    </row>
    <row r="110" spans="1:7" s="1" customFormat="1" x14ac:dyDescent="0.35">
      <c r="A110" s="1">
        <v>126</v>
      </c>
      <c r="B110" s="128" t="s">
        <v>832</v>
      </c>
      <c r="F110">
        <v>2026</v>
      </c>
      <c r="G110" t="s">
        <v>650</v>
      </c>
    </row>
    <row r="111" spans="1:7" s="1" customFormat="1" x14ac:dyDescent="0.35">
      <c r="A111" s="1">
        <v>127</v>
      </c>
      <c r="B111" s="131" t="s">
        <v>403</v>
      </c>
      <c r="F111">
        <v>2026</v>
      </c>
      <c r="G111" t="s">
        <v>650</v>
      </c>
    </row>
    <row r="112" spans="1:7" s="1" customFormat="1" x14ac:dyDescent="0.35">
      <c r="A112" s="1">
        <v>128</v>
      </c>
      <c r="B112" s="131" t="s">
        <v>246</v>
      </c>
      <c r="F112">
        <v>2026</v>
      </c>
      <c r="G112" t="s">
        <v>650</v>
      </c>
    </row>
    <row r="113" spans="1:7" s="1" customFormat="1" x14ac:dyDescent="0.35">
      <c r="A113" s="1">
        <v>129</v>
      </c>
      <c r="B113" s="39" t="s">
        <v>31</v>
      </c>
      <c r="F113">
        <v>2026</v>
      </c>
      <c r="G113" t="s">
        <v>650</v>
      </c>
    </row>
    <row r="114" spans="1:7" s="1" customFormat="1" x14ac:dyDescent="0.35">
      <c r="A114" s="1">
        <v>130</v>
      </c>
      <c r="B114" s="39" t="s">
        <v>31</v>
      </c>
      <c r="F114">
        <v>2026</v>
      </c>
      <c r="G114" t="s">
        <v>650</v>
      </c>
    </row>
    <row r="115" spans="1:7" s="1" customFormat="1" x14ac:dyDescent="0.35">
      <c r="A115" s="1">
        <v>131</v>
      </c>
      <c r="B115" s="131" t="s">
        <v>681</v>
      </c>
      <c r="F115">
        <v>2026</v>
      </c>
      <c r="G115" t="s">
        <v>650</v>
      </c>
    </row>
    <row r="116" spans="1:7" s="1" customFormat="1" x14ac:dyDescent="0.35">
      <c r="A116" s="1">
        <v>131</v>
      </c>
      <c r="B116" s="131" t="s">
        <v>914</v>
      </c>
      <c r="F116">
        <v>2026</v>
      </c>
      <c r="G116" t="s">
        <v>650</v>
      </c>
    </row>
    <row r="117" spans="1:7" s="1" customFormat="1" x14ac:dyDescent="0.35">
      <c r="A117" s="1">
        <v>133</v>
      </c>
      <c r="B117" s="39" t="s">
        <v>109</v>
      </c>
      <c r="F117">
        <v>2026</v>
      </c>
      <c r="G117" t="s">
        <v>650</v>
      </c>
    </row>
    <row r="118" spans="1:7" s="1" customFormat="1" x14ac:dyDescent="0.35">
      <c r="A118" s="1">
        <v>134</v>
      </c>
      <c r="B118" s="39" t="s">
        <v>109</v>
      </c>
      <c r="F118">
        <v>2026</v>
      </c>
      <c r="G118" t="s">
        <v>650</v>
      </c>
    </row>
    <row r="119" spans="1:7" s="1" customFormat="1" x14ac:dyDescent="0.35">
      <c r="A119" s="1">
        <v>135</v>
      </c>
      <c r="B119" s="131" t="s">
        <v>234</v>
      </c>
      <c r="F119">
        <v>2026</v>
      </c>
      <c r="G119" t="s">
        <v>650</v>
      </c>
    </row>
    <row r="120" spans="1:7" s="1" customFormat="1" x14ac:dyDescent="0.35">
      <c r="A120" s="1">
        <v>136</v>
      </c>
      <c r="B120" s="131" t="s">
        <v>234</v>
      </c>
      <c r="F120">
        <v>2026</v>
      </c>
      <c r="G120" t="s">
        <v>650</v>
      </c>
    </row>
    <row r="121" spans="1:7" s="1" customFormat="1" x14ac:dyDescent="0.35">
      <c r="A121" s="1">
        <v>137</v>
      </c>
      <c r="B121" s="131" t="s">
        <v>354</v>
      </c>
      <c r="F121">
        <v>2026</v>
      </c>
      <c r="G121" t="s">
        <v>650</v>
      </c>
    </row>
    <row r="122" spans="1:7" x14ac:dyDescent="0.35">
      <c r="A122" s="1">
        <v>138</v>
      </c>
      <c r="B122" t="s">
        <v>1026</v>
      </c>
      <c r="F122">
        <v>2026</v>
      </c>
      <c r="G122" t="s">
        <v>650</v>
      </c>
    </row>
    <row r="123" spans="1:7" x14ac:dyDescent="0.35">
      <c r="A123" s="1">
        <v>139</v>
      </c>
      <c r="B123" t="s">
        <v>1026</v>
      </c>
      <c r="F123">
        <v>2026</v>
      </c>
      <c r="G123" t="s">
        <v>650</v>
      </c>
    </row>
    <row r="124" spans="1:7" x14ac:dyDescent="0.35">
      <c r="A124" s="1">
        <v>140</v>
      </c>
      <c r="B124" t="s">
        <v>1026</v>
      </c>
      <c r="F124">
        <v>2026</v>
      </c>
      <c r="G124" t="s">
        <v>650</v>
      </c>
    </row>
    <row r="125" spans="1:7" x14ac:dyDescent="0.35">
      <c r="A125" s="1">
        <v>141</v>
      </c>
      <c r="B125" t="s">
        <v>109</v>
      </c>
      <c r="F125">
        <v>2026</v>
      </c>
      <c r="G125" t="s">
        <v>650</v>
      </c>
    </row>
    <row r="126" spans="1:7" x14ac:dyDescent="0.35">
      <c r="A126" s="1">
        <v>142</v>
      </c>
      <c r="B126" t="s">
        <v>1054</v>
      </c>
      <c r="F126">
        <v>2026</v>
      </c>
      <c r="G126" t="s">
        <v>650</v>
      </c>
    </row>
    <row r="127" spans="1:7" x14ac:dyDescent="0.35">
      <c r="A127" s="1">
        <v>143</v>
      </c>
      <c r="B127" t="s">
        <v>1052</v>
      </c>
      <c r="F127">
        <v>2026</v>
      </c>
      <c r="G127" t="s">
        <v>650</v>
      </c>
    </row>
    <row r="128" spans="1:7" x14ac:dyDescent="0.35">
      <c r="A128" s="1">
        <v>144</v>
      </c>
      <c r="B128" t="s">
        <v>234</v>
      </c>
      <c r="F128">
        <v>2026</v>
      </c>
      <c r="G128" t="s">
        <v>650</v>
      </c>
    </row>
    <row r="129" spans="1:7" x14ac:dyDescent="0.35">
      <c r="A129" s="1">
        <v>145</v>
      </c>
      <c r="B129" t="s">
        <v>234</v>
      </c>
      <c r="F129">
        <v>2026</v>
      </c>
      <c r="G129" t="s">
        <v>650</v>
      </c>
    </row>
    <row r="130" spans="1:7" x14ac:dyDescent="0.35">
      <c r="A130" s="1">
        <v>146</v>
      </c>
      <c r="B130" t="s">
        <v>234</v>
      </c>
      <c r="F130">
        <v>2026</v>
      </c>
      <c r="G130" t="s">
        <v>650</v>
      </c>
    </row>
    <row r="131" spans="1:7" x14ac:dyDescent="0.35">
      <c r="A131" s="1">
        <v>147</v>
      </c>
      <c r="B131" t="s">
        <v>354</v>
      </c>
      <c r="F131">
        <v>2026</v>
      </c>
      <c r="G131" t="s">
        <v>650</v>
      </c>
    </row>
    <row r="132" spans="1:7" x14ac:dyDescent="0.35">
      <c r="A132" s="1">
        <v>148</v>
      </c>
      <c r="B132" t="s">
        <v>33</v>
      </c>
      <c r="F132">
        <v>2026</v>
      </c>
      <c r="G132" t="s">
        <v>650</v>
      </c>
    </row>
    <row r="133" spans="1:7" x14ac:dyDescent="0.35">
      <c r="A133" s="1">
        <v>149</v>
      </c>
      <c r="B133" t="s">
        <v>33</v>
      </c>
      <c r="F133">
        <v>2026</v>
      </c>
      <c r="G133" t="s">
        <v>650</v>
      </c>
    </row>
    <row r="134" spans="1:7" x14ac:dyDescent="0.35">
      <c r="A134" s="1">
        <v>150</v>
      </c>
      <c r="B134" s="131" t="s">
        <v>221</v>
      </c>
      <c r="F134">
        <v>2026</v>
      </c>
      <c r="G134" t="s">
        <v>650</v>
      </c>
    </row>
    <row r="135" spans="1:7" x14ac:dyDescent="0.35">
      <c r="A135" s="1">
        <v>151</v>
      </c>
      <c r="B135" s="131" t="s">
        <v>221</v>
      </c>
      <c r="F135">
        <v>2026</v>
      </c>
      <c r="G135" t="s">
        <v>650</v>
      </c>
    </row>
    <row r="136" spans="1:7" x14ac:dyDescent="0.35">
      <c r="A136" s="1">
        <v>152</v>
      </c>
      <c r="B136" t="s">
        <v>85</v>
      </c>
      <c r="F136" s="15" t="s">
        <v>1097</v>
      </c>
      <c r="G136" t="s">
        <v>650</v>
      </c>
    </row>
    <row r="137" spans="1:7" x14ac:dyDescent="0.35">
      <c r="A137" s="1">
        <v>153</v>
      </c>
      <c r="B137" t="s">
        <v>85</v>
      </c>
      <c r="F137">
        <v>2026</v>
      </c>
      <c r="G137" t="s">
        <v>650</v>
      </c>
    </row>
    <row r="138" spans="1:7" x14ac:dyDescent="0.35">
      <c r="A138" s="1">
        <v>154</v>
      </c>
      <c r="B138" t="s">
        <v>109</v>
      </c>
      <c r="F138">
        <v>2026</v>
      </c>
      <c r="G138" t="s">
        <v>650</v>
      </c>
    </row>
    <row r="139" spans="1:7" x14ac:dyDescent="0.35">
      <c r="A139" s="1">
        <v>155</v>
      </c>
      <c r="B139" t="s">
        <v>77</v>
      </c>
      <c r="F139">
        <v>2026</v>
      </c>
      <c r="G139" t="s">
        <v>650</v>
      </c>
    </row>
    <row r="140" spans="1:7" x14ac:dyDescent="0.35">
      <c r="A140" s="1">
        <v>156</v>
      </c>
      <c r="B140" s="128" t="s">
        <v>246</v>
      </c>
      <c r="F140">
        <v>2026</v>
      </c>
      <c r="G140" t="s">
        <v>650</v>
      </c>
    </row>
    <row r="141" spans="1:7" x14ac:dyDescent="0.35">
      <c r="A141" s="1">
        <v>157</v>
      </c>
      <c r="B141" t="s">
        <v>109</v>
      </c>
      <c r="F141">
        <v>2026</v>
      </c>
      <c r="G141" t="s">
        <v>650</v>
      </c>
    </row>
    <row r="142" spans="1:7" x14ac:dyDescent="0.35">
      <c r="A142" s="1">
        <v>158</v>
      </c>
      <c r="B142" t="s">
        <v>109</v>
      </c>
      <c r="F142">
        <v>2026</v>
      </c>
      <c r="G142" t="s">
        <v>650</v>
      </c>
    </row>
    <row r="143" spans="1:7" x14ac:dyDescent="0.35">
      <c r="A143" s="1">
        <v>159</v>
      </c>
      <c r="B143" s="128" t="s">
        <v>1159</v>
      </c>
      <c r="C143" t="s">
        <v>1158</v>
      </c>
      <c r="F143">
        <v>2026</v>
      </c>
      <c r="G143" t="s">
        <v>650</v>
      </c>
    </row>
    <row r="144" spans="1:7" x14ac:dyDescent="0.35">
      <c r="A144" s="1">
        <v>160</v>
      </c>
      <c r="B144" s="128" t="s">
        <v>246</v>
      </c>
      <c r="F144">
        <v>2026</v>
      </c>
      <c r="G144" t="s">
        <v>650</v>
      </c>
    </row>
    <row r="145" spans="1:7" x14ac:dyDescent="0.35">
      <c r="A145" s="1">
        <v>161</v>
      </c>
      <c r="B145" s="128" t="s">
        <v>246</v>
      </c>
      <c r="F145">
        <v>2026</v>
      </c>
      <c r="G145" t="s">
        <v>650</v>
      </c>
    </row>
    <row r="146" spans="1:7" x14ac:dyDescent="0.35">
      <c r="A146" s="1">
        <v>162</v>
      </c>
      <c r="B146" s="128" t="s">
        <v>354</v>
      </c>
      <c r="F146">
        <v>2026</v>
      </c>
      <c r="G146" t="s">
        <v>650</v>
      </c>
    </row>
    <row r="147" spans="1:7" x14ac:dyDescent="0.35">
      <c r="A147" s="1">
        <v>163</v>
      </c>
      <c r="B147" s="128" t="s">
        <v>33</v>
      </c>
      <c r="F147">
        <v>2026</v>
      </c>
      <c r="G147" t="s">
        <v>650</v>
      </c>
    </row>
    <row r="148" spans="1:7" x14ac:dyDescent="0.35">
      <c r="A148" s="1">
        <v>164</v>
      </c>
      <c r="B148" s="128" t="s">
        <v>33</v>
      </c>
      <c r="F148">
        <v>2026</v>
      </c>
      <c r="G148" t="s">
        <v>650</v>
      </c>
    </row>
    <row r="149" spans="1:7" x14ac:dyDescent="0.35">
      <c r="A149" s="1">
        <v>165</v>
      </c>
      <c r="B149" s="128" t="s">
        <v>1211</v>
      </c>
      <c r="F149">
        <v>2026</v>
      </c>
      <c r="G149" t="s">
        <v>650</v>
      </c>
    </row>
    <row r="150" spans="1:7" x14ac:dyDescent="0.35">
      <c r="A150" s="1">
        <v>166</v>
      </c>
      <c r="B150" s="128" t="s">
        <v>1213</v>
      </c>
      <c r="F150">
        <v>2026</v>
      </c>
      <c r="G150" t="s">
        <v>650</v>
      </c>
    </row>
    <row r="151" spans="1:7" x14ac:dyDescent="0.35">
      <c r="A151" s="1">
        <v>167</v>
      </c>
      <c r="B151" s="128" t="s">
        <v>1212</v>
      </c>
      <c r="F151">
        <v>2026</v>
      </c>
      <c r="G151" t="s">
        <v>650</v>
      </c>
    </row>
    <row r="152" spans="1:7" x14ac:dyDescent="0.35">
      <c r="A152" s="1">
        <v>168</v>
      </c>
      <c r="B152" s="128" t="s">
        <v>109</v>
      </c>
      <c r="F152">
        <v>2026</v>
      </c>
      <c r="G152" t="s">
        <v>650</v>
      </c>
    </row>
    <row r="153" spans="1:7" x14ac:dyDescent="0.35">
      <c r="A153" s="1">
        <v>169</v>
      </c>
      <c r="B153" s="128" t="s">
        <v>234</v>
      </c>
      <c r="F153">
        <v>2026</v>
      </c>
      <c r="G153" t="s">
        <v>650</v>
      </c>
    </row>
  </sheetData>
  <autoFilter ref="A2:F91" xr:uid="{E2D6907E-E758-4A63-B3DE-FEE9B2770DB8}"/>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882C6-E92C-47D5-B4CE-1559DE6FBB56}">
  <dimension ref="A1:U105"/>
  <sheetViews>
    <sheetView showGridLines="0" workbookViewId="0">
      <pane xSplit="1" ySplit="10" topLeftCell="B59" activePane="bottomRight" state="frozen"/>
      <selection pane="topRight" activeCell="B1" sqref="B1"/>
      <selection pane="bottomLeft" activeCell="A8" sqref="A8"/>
      <selection pane="bottomRight" activeCell="S9" sqref="S9:T9"/>
    </sheetView>
  </sheetViews>
  <sheetFormatPr baseColWidth="10" defaultRowHeight="14.5" x14ac:dyDescent="0.35"/>
  <cols>
    <col min="1" max="1" width="68" bestFit="1" customWidth="1"/>
    <col min="2" max="2" width="21.08984375" style="15" bestFit="1" customWidth="1"/>
    <col min="3" max="3" width="8" bestFit="1" customWidth="1"/>
    <col min="4" max="4" width="9.54296875" bestFit="1" customWidth="1"/>
    <col min="5" max="7" width="8" bestFit="1" customWidth="1"/>
    <col min="8" max="8" width="9.54296875" bestFit="1" customWidth="1"/>
    <col min="9" max="9" width="9.54296875" hidden="1" customWidth="1"/>
    <col min="10" max="10" width="11.7265625" hidden="1" customWidth="1"/>
    <col min="11" max="13" width="10.453125" hidden="1" customWidth="1"/>
    <col min="14" max="15" width="11.7265625" hidden="1" customWidth="1"/>
    <col min="16" max="18" width="1.90625" customWidth="1"/>
    <col min="19" max="19" width="10.453125" style="15" bestFit="1" customWidth="1"/>
    <col min="20" max="20" width="11.7265625" bestFit="1" customWidth="1"/>
    <col min="21" max="99" width="21.26953125" bestFit="1" customWidth="1"/>
    <col min="100" max="100" width="11.7265625" bestFit="1" customWidth="1"/>
  </cols>
  <sheetData>
    <row r="1" spans="1:21" x14ac:dyDescent="0.35">
      <c r="A1" s="2" t="s">
        <v>1264</v>
      </c>
      <c r="B1" s="423">
        <v>46293</v>
      </c>
      <c r="U1" s="424"/>
    </row>
    <row r="2" spans="1:21" x14ac:dyDescent="0.35">
      <c r="A2" s="2"/>
      <c r="B2" s="146"/>
      <c r="U2" s="424"/>
    </row>
    <row r="3" spans="1:21" x14ac:dyDescent="0.35">
      <c r="B3"/>
      <c r="U3" s="426"/>
    </row>
    <row r="4" spans="1:21" x14ac:dyDescent="0.35">
      <c r="A4" s="40" t="s">
        <v>1</v>
      </c>
      <c r="B4" s="15" t="s">
        <v>1051</v>
      </c>
      <c r="U4" s="31"/>
    </row>
    <row r="5" spans="1:21" ht="10.5" customHeight="1" x14ac:dyDescent="0.35"/>
    <row r="6" spans="1:21" x14ac:dyDescent="0.35">
      <c r="A6" s="40" t="s">
        <v>779</v>
      </c>
      <c r="B6" s="40" t="s">
        <v>1249</v>
      </c>
    </row>
    <row r="7" spans="1:21" x14ac:dyDescent="0.35">
      <c r="B7" t="s">
        <v>1247</v>
      </c>
      <c r="D7" t="s">
        <v>1271</v>
      </c>
      <c r="E7" t="s">
        <v>1029</v>
      </c>
      <c r="H7" t="s">
        <v>1250</v>
      </c>
      <c r="I7" t="s">
        <v>42</v>
      </c>
    </row>
    <row r="8" spans="1:21" x14ac:dyDescent="0.35">
      <c r="B8" t="s">
        <v>1272</v>
      </c>
      <c r="C8" t="s">
        <v>1273</v>
      </c>
      <c r="E8" t="s">
        <v>1251</v>
      </c>
      <c r="F8" t="s">
        <v>1252</v>
      </c>
      <c r="G8" t="s">
        <v>1272</v>
      </c>
    </row>
    <row r="9" spans="1:21" ht="29" customHeight="1" x14ac:dyDescent="0.35">
      <c r="B9"/>
      <c r="S9" s="451" t="s">
        <v>1261</v>
      </c>
      <c r="T9" s="451"/>
    </row>
    <row r="10" spans="1:21" x14ac:dyDescent="0.35">
      <c r="A10" s="40" t="s">
        <v>1</v>
      </c>
      <c r="B10"/>
      <c r="S10" s="422" t="s">
        <v>1262</v>
      </c>
      <c r="T10" s="422" t="s">
        <v>11</v>
      </c>
    </row>
    <row r="11" spans="1:21" x14ac:dyDescent="0.35">
      <c r="A11" s="39" t="s">
        <v>1068</v>
      </c>
      <c r="B11" s="72">
        <v>3500</v>
      </c>
      <c r="C11" s="72">
        <v>10000</v>
      </c>
      <c r="D11" s="72">
        <v>13500</v>
      </c>
      <c r="E11" s="72">
        <v>5000</v>
      </c>
      <c r="F11" s="72">
        <v>11000</v>
      </c>
      <c r="G11" s="72"/>
      <c r="H11" s="72">
        <v>16000</v>
      </c>
      <c r="I11" s="72">
        <v>29500</v>
      </c>
      <c r="T11" s="39"/>
    </row>
    <row r="12" spans="1:21" x14ac:dyDescent="0.35">
      <c r="A12" s="105" t="s">
        <v>242</v>
      </c>
      <c r="B12" s="72">
        <v>3500</v>
      </c>
      <c r="C12" s="72">
        <v>10000</v>
      </c>
      <c r="D12" s="72">
        <v>13500</v>
      </c>
      <c r="E12" s="72">
        <v>5000</v>
      </c>
      <c r="F12" s="72">
        <v>11000</v>
      </c>
      <c r="G12" s="72"/>
      <c r="H12" s="72">
        <v>16000</v>
      </c>
      <c r="I12" s="72">
        <v>29500</v>
      </c>
      <c r="S12" s="253">
        <v>2.2200000000000002</v>
      </c>
      <c r="T12" s="428">
        <v>46174</v>
      </c>
    </row>
    <row r="13" spans="1:21" x14ac:dyDescent="0.35">
      <c r="A13" s="420" t="s">
        <v>243</v>
      </c>
      <c r="B13" s="72">
        <v>3500</v>
      </c>
      <c r="C13" s="72">
        <v>10000</v>
      </c>
      <c r="D13" s="72">
        <v>13500</v>
      </c>
      <c r="E13" s="72">
        <v>5000</v>
      </c>
      <c r="F13" s="72">
        <v>11000</v>
      </c>
      <c r="G13" s="72"/>
      <c r="H13" s="72">
        <v>16000</v>
      </c>
      <c r="I13" s="72">
        <v>29500</v>
      </c>
      <c r="T13" s="429"/>
    </row>
    <row r="14" spans="1:21" x14ac:dyDescent="0.35">
      <c r="A14" s="39" t="s">
        <v>239</v>
      </c>
      <c r="B14" s="72">
        <v>3500</v>
      </c>
      <c r="C14" s="72">
        <v>10000</v>
      </c>
      <c r="D14" s="72">
        <v>13500</v>
      </c>
      <c r="E14" s="72">
        <v>5000</v>
      </c>
      <c r="F14" s="72">
        <v>5000</v>
      </c>
      <c r="G14" s="72"/>
      <c r="H14" s="72">
        <v>10000</v>
      </c>
      <c r="I14" s="72">
        <v>23500</v>
      </c>
      <c r="T14" s="39"/>
    </row>
    <row r="15" spans="1:21" x14ac:dyDescent="0.35">
      <c r="A15" s="105" t="s">
        <v>240</v>
      </c>
      <c r="B15" s="72">
        <v>3500</v>
      </c>
      <c r="C15" s="72">
        <v>10000</v>
      </c>
      <c r="D15" s="72">
        <v>13500</v>
      </c>
      <c r="E15" s="72">
        <v>5000</v>
      </c>
      <c r="F15" s="72">
        <v>5000</v>
      </c>
      <c r="G15" s="72"/>
      <c r="H15" s="72">
        <v>10000</v>
      </c>
      <c r="I15" s="72">
        <v>23500</v>
      </c>
      <c r="S15" s="424">
        <v>1.71</v>
      </c>
      <c r="T15" s="430">
        <v>46113</v>
      </c>
    </row>
    <row r="16" spans="1:21" x14ac:dyDescent="0.35">
      <c r="A16" s="420" t="s">
        <v>241</v>
      </c>
      <c r="B16" s="72">
        <v>3500</v>
      </c>
      <c r="C16" s="72">
        <v>10000</v>
      </c>
      <c r="D16" s="72">
        <v>13500</v>
      </c>
      <c r="E16" s="72">
        <v>5000</v>
      </c>
      <c r="F16" s="72">
        <v>5000</v>
      </c>
      <c r="G16" s="72"/>
      <c r="H16" s="72">
        <v>10000</v>
      </c>
      <c r="I16" s="72">
        <v>23500</v>
      </c>
      <c r="T16" s="39"/>
    </row>
    <row r="17" spans="1:20" x14ac:dyDescent="0.35">
      <c r="A17" s="39" t="s">
        <v>1010</v>
      </c>
      <c r="B17" s="72"/>
      <c r="C17" s="72"/>
      <c r="D17" s="72"/>
      <c r="E17" s="72"/>
      <c r="F17" s="72">
        <v>15000</v>
      </c>
      <c r="G17" s="72"/>
      <c r="H17" s="72">
        <v>15000</v>
      </c>
      <c r="I17" s="72">
        <v>15000</v>
      </c>
      <c r="T17" s="39"/>
    </row>
    <row r="18" spans="1:20" x14ac:dyDescent="0.35">
      <c r="A18" s="105">
        <v>5047</v>
      </c>
      <c r="B18" s="72"/>
      <c r="C18" s="72"/>
      <c r="D18" s="72"/>
      <c r="E18" s="72"/>
      <c r="F18" s="72">
        <v>15000</v>
      </c>
      <c r="G18" s="72"/>
      <c r="H18" s="72">
        <v>15000</v>
      </c>
      <c r="I18" s="72">
        <v>15000</v>
      </c>
      <c r="T18" s="39"/>
    </row>
    <row r="19" spans="1:20" x14ac:dyDescent="0.35">
      <c r="A19" s="420" t="s">
        <v>1012</v>
      </c>
      <c r="B19" s="72"/>
      <c r="C19" s="72"/>
      <c r="D19" s="72"/>
      <c r="E19" s="72"/>
      <c r="F19" s="72">
        <v>15000</v>
      </c>
      <c r="G19" s="72"/>
      <c r="H19" s="72">
        <v>15000</v>
      </c>
      <c r="I19" s="72">
        <v>15000</v>
      </c>
      <c r="S19" s="253">
        <v>2.3199999999999998</v>
      </c>
      <c r="T19" s="431">
        <v>46143</v>
      </c>
    </row>
    <row r="20" spans="1:20" x14ac:dyDescent="0.35">
      <c r="A20" s="39" t="s">
        <v>690</v>
      </c>
      <c r="B20" s="72"/>
      <c r="C20" s="72"/>
      <c r="D20" s="72"/>
      <c r="E20" s="72">
        <v>2000</v>
      </c>
      <c r="F20" s="72"/>
      <c r="G20" s="72"/>
      <c r="H20" s="72">
        <v>2000</v>
      </c>
      <c r="I20" s="72">
        <v>2000</v>
      </c>
      <c r="S20" s="253"/>
      <c r="T20" s="39"/>
    </row>
    <row r="21" spans="1:20" x14ac:dyDescent="0.35">
      <c r="A21" s="105" t="s">
        <v>756</v>
      </c>
      <c r="B21" s="72"/>
      <c r="C21" s="72"/>
      <c r="D21" s="72"/>
      <c r="E21" s="72">
        <v>2000</v>
      </c>
      <c r="F21" s="72"/>
      <c r="G21" s="72"/>
      <c r="H21" s="72">
        <v>2000</v>
      </c>
      <c r="I21" s="72">
        <v>2000</v>
      </c>
      <c r="S21" s="424">
        <v>1.7</v>
      </c>
      <c r="T21" s="430">
        <v>46082</v>
      </c>
    </row>
    <row r="22" spans="1:20" x14ac:dyDescent="0.35">
      <c r="A22" s="420" t="s">
        <v>759</v>
      </c>
      <c r="B22" s="72"/>
      <c r="C22" s="72"/>
      <c r="D22" s="72"/>
      <c r="E22" s="72">
        <v>2000</v>
      </c>
      <c r="F22" s="72"/>
      <c r="G22" s="72"/>
      <c r="H22" s="72">
        <v>2000</v>
      </c>
      <c r="I22" s="72">
        <v>2000</v>
      </c>
      <c r="S22" s="425"/>
      <c r="T22" s="39"/>
    </row>
    <row r="23" spans="1:20" x14ac:dyDescent="0.35">
      <c r="A23" s="39" t="s">
        <v>1248</v>
      </c>
      <c r="B23" s="72"/>
      <c r="C23" s="72"/>
      <c r="D23" s="72"/>
      <c r="E23" s="72">
        <v>3000</v>
      </c>
      <c r="F23" s="72"/>
      <c r="G23" s="72"/>
      <c r="H23" s="72">
        <v>3000</v>
      </c>
      <c r="I23" s="72">
        <v>3000</v>
      </c>
      <c r="S23" s="253"/>
      <c r="T23" s="39"/>
    </row>
    <row r="24" spans="1:20" x14ac:dyDescent="0.35">
      <c r="A24" s="105">
        <v>4635</v>
      </c>
      <c r="B24" s="72"/>
      <c r="C24" s="72"/>
      <c r="D24" s="72"/>
      <c r="E24" s="72">
        <v>3000</v>
      </c>
      <c r="F24" s="72"/>
      <c r="G24" s="72"/>
      <c r="H24" s="72">
        <v>3000</v>
      </c>
      <c r="I24" s="72">
        <v>3000</v>
      </c>
      <c r="S24" s="253">
        <v>1.95</v>
      </c>
      <c r="T24" s="430" t="s">
        <v>1265</v>
      </c>
    </row>
    <row r="25" spans="1:20" x14ac:dyDescent="0.35">
      <c r="A25" s="420" t="s">
        <v>768</v>
      </c>
      <c r="B25" s="72"/>
      <c r="C25" s="72"/>
      <c r="D25" s="72"/>
      <c r="E25" s="72">
        <v>3000</v>
      </c>
      <c r="F25" s="72"/>
      <c r="G25" s="72"/>
      <c r="H25" s="72">
        <v>3000</v>
      </c>
      <c r="I25" s="72">
        <v>3000</v>
      </c>
      <c r="S25" s="253"/>
      <c r="T25" s="39"/>
    </row>
    <row r="26" spans="1:20" x14ac:dyDescent="0.35">
      <c r="A26" s="39" t="s">
        <v>638</v>
      </c>
      <c r="B26" s="72"/>
      <c r="C26" s="72"/>
      <c r="D26" s="72"/>
      <c r="E26" s="72">
        <v>5500</v>
      </c>
      <c r="F26" s="72"/>
      <c r="G26" s="72"/>
      <c r="H26" s="72">
        <v>5500</v>
      </c>
      <c r="I26" s="72">
        <v>5500</v>
      </c>
      <c r="S26" s="253"/>
      <c r="T26" s="39"/>
    </row>
    <row r="27" spans="1:20" x14ac:dyDescent="0.35">
      <c r="A27" s="105">
        <v>4849</v>
      </c>
      <c r="B27" s="72"/>
      <c r="C27" s="72"/>
      <c r="D27" s="72"/>
      <c r="E27" s="72">
        <v>2000</v>
      </c>
      <c r="F27" s="72"/>
      <c r="G27" s="72"/>
      <c r="H27" s="72">
        <v>2000</v>
      </c>
      <c r="I27" s="72">
        <v>2000</v>
      </c>
      <c r="S27" s="253">
        <v>1.93</v>
      </c>
      <c r="T27" s="432" t="s">
        <v>1263</v>
      </c>
    </row>
    <row r="28" spans="1:20" x14ac:dyDescent="0.35">
      <c r="A28" s="420" t="s">
        <v>572</v>
      </c>
      <c r="B28" s="72"/>
      <c r="C28" s="72"/>
      <c r="D28" s="72"/>
      <c r="E28" s="72">
        <v>2000</v>
      </c>
      <c r="F28" s="72"/>
      <c r="G28" s="72"/>
      <c r="H28" s="72">
        <v>2000</v>
      </c>
      <c r="I28" s="72">
        <v>2000</v>
      </c>
      <c r="S28" s="253"/>
      <c r="T28" s="39"/>
    </row>
    <row r="29" spans="1:20" x14ac:dyDescent="0.35">
      <c r="A29" s="105">
        <v>4851</v>
      </c>
      <c r="B29" s="72"/>
      <c r="C29" s="72"/>
      <c r="D29" s="72"/>
      <c r="E29" s="72">
        <v>3500</v>
      </c>
      <c r="F29" s="72"/>
      <c r="G29" s="72"/>
      <c r="H29" s="72">
        <v>3500</v>
      </c>
      <c r="I29" s="72">
        <v>3500</v>
      </c>
      <c r="S29" s="253">
        <v>1.93</v>
      </c>
      <c r="T29" s="432" t="s">
        <v>1263</v>
      </c>
    </row>
    <row r="30" spans="1:20" x14ac:dyDescent="0.35">
      <c r="A30" s="420" t="s">
        <v>572</v>
      </c>
      <c r="B30" s="72"/>
      <c r="C30" s="72"/>
      <c r="D30" s="72"/>
      <c r="E30" s="72">
        <v>3500</v>
      </c>
      <c r="F30" s="72"/>
      <c r="G30" s="72"/>
      <c r="H30" s="72">
        <v>3500</v>
      </c>
      <c r="I30" s="72">
        <v>3500</v>
      </c>
      <c r="S30" s="253"/>
      <c r="T30" s="39"/>
    </row>
    <row r="31" spans="1:20" x14ac:dyDescent="0.35">
      <c r="A31" s="39" t="s">
        <v>1066</v>
      </c>
      <c r="B31" s="72"/>
      <c r="C31" s="72"/>
      <c r="D31" s="72"/>
      <c r="E31" s="72"/>
      <c r="F31" s="72">
        <v>3500</v>
      </c>
      <c r="G31" s="72"/>
      <c r="H31" s="72">
        <v>3500</v>
      </c>
      <c r="I31" s="72">
        <v>3500</v>
      </c>
      <c r="S31" s="253"/>
      <c r="T31" s="39"/>
    </row>
    <row r="32" spans="1:20" x14ac:dyDescent="0.35">
      <c r="A32" s="105">
        <v>5217</v>
      </c>
      <c r="B32" s="72"/>
      <c r="C32" s="72"/>
      <c r="D32" s="72"/>
      <c r="E32" s="72"/>
      <c r="F32" s="72">
        <v>3500</v>
      </c>
      <c r="G32" s="72"/>
      <c r="H32" s="72">
        <v>3500</v>
      </c>
      <c r="I32" s="72">
        <v>3500</v>
      </c>
      <c r="S32" s="253">
        <v>2.11</v>
      </c>
      <c r="T32" s="431">
        <v>46174</v>
      </c>
    </row>
    <row r="33" spans="1:20" x14ac:dyDescent="0.35">
      <c r="A33" s="427" t="s">
        <v>1253</v>
      </c>
      <c r="B33" s="72"/>
      <c r="C33" s="72"/>
      <c r="D33" s="72"/>
      <c r="E33" s="72"/>
      <c r="F33" s="72">
        <v>3500</v>
      </c>
      <c r="G33" s="72"/>
      <c r="H33" s="72">
        <v>3500</v>
      </c>
      <c r="I33" s="72">
        <v>3500</v>
      </c>
      <c r="S33" s="253"/>
      <c r="T33" s="431"/>
    </row>
    <row r="34" spans="1:20" x14ac:dyDescent="0.35">
      <c r="A34" s="39" t="s">
        <v>639</v>
      </c>
      <c r="B34" s="72"/>
      <c r="C34" s="72"/>
      <c r="D34" s="72"/>
      <c r="E34" s="72">
        <v>5500</v>
      </c>
      <c r="F34" s="72">
        <v>3500</v>
      </c>
      <c r="G34" s="72"/>
      <c r="H34" s="72">
        <v>9000</v>
      </c>
      <c r="I34" s="72">
        <v>9000</v>
      </c>
      <c r="S34" s="253"/>
      <c r="T34" s="431"/>
    </row>
    <row r="35" spans="1:20" x14ac:dyDescent="0.35">
      <c r="A35" s="105">
        <v>4852</v>
      </c>
      <c r="B35" s="72"/>
      <c r="C35" s="72"/>
      <c r="D35" s="72"/>
      <c r="E35" s="72">
        <v>5500</v>
      </c>
      <c r="F35" s="72"/>
      <c r="G35" s="72"/>
      <c r="H35" s="72">
        <v>5500</v>
      </c>
      <c r="I35" s="72">
        <v>5500</v>
      </c>
      <c r="S35" s="253">
        <v>2.06</v>
      </c>
      <c r="T35" s="430" t="s">
        <v>1267</v>
      </c>
    </row>
    <row r="36" spans="1:20" x14ac:dyDescent="0.35">
      <c r="A36" s="420" t="s">
        <v>1195</v>
      </c>
      <c r="B36" s="72"/>
      <c r="C36" s="72"/>
      <c r="D36" s="72"/>
      <c r="E36" s="72">
        <v>5500</v>
      </c>
      <c r="F36" s="72"/>
      <c r="G36" s="72"/>
      <c r="H36" s="72">
        <v>5500</v>
      </c>
      <c r="I36" s="72">
        <v>5500</v>
      </c>
      <c r="S36" s="253"/>
      <c r="T36" s="431"/>
    </row>
    <row r="37" spans="1:20" x14ac:dyDescent="0.35">
      <c r="A37" s="105">
        <v>5215</v>
      </c>
      <c r="B37" s="72"/>
      <c r="C37" s="72"/>
      <c r="D37" s="72"/>
      <c r="E37" s="72"/>
      <c r="F37" s="72">
        <v>3500</v>
      </c>
      <c r="G37" s="72"/>
      <c r="H37" s="72">
        <v>3500</v>
      </c>
      <c r="I37" s="72">
        <v>3500</v>
      </c>
      <c r="S37" s="253"/>
      <c r="T37" s="431"/>
    </row>
    <row r="38" spans="1:20" x14ac:dyDescent="0.35">
      <c r="A38" s="427" t="s">
        <v>1254</v>
      </c>
      <c r="B38" s="72"/>
      <c r="C38" s="72"/>
      <c r="D38" s="72"/>
      <c r="E38" s="72"/>
      <c r="F38" s="72">
        <v>3500</v>
      </c>
      <c r="G38" s="72"/>
      <c r="H38" s="72">
        <v>3500</v>
      </c>
      <c r="I38" s="72">
        <v>3500</v>
      </c>
      <c r="S38" s="253">
        <v>2.2599999999999998</v>
      </c>
      <c r="T38" s="431">
        <v>46174</v>
      </c>
    </row>
    <row r="39" spans="1:20" x14ac:dyDescent="0.35">
      <c r="A39" s="39" t="s">
        <v>641</v>
      </c>
      <c r="B39" s="72"/>
      <c r="C39" s="72"/>
      <c r="D39" s="72"/>
      <c r="E39" s="72">
        <v>3000</v>
      </c>
      <c r="F39" s="72"/>
      <c r="G39" s="72"/>
      <c r="H39" s="72">
        <v>3000</v>
      </c>
      <c r="I39" s="72">
        <v>3000</v>
      </c>
      <c r="S39" s="253"/>
      <c r="T39" s="431"/>
    </row>
    <row r="40" spans="1:20" x14ac:dyDescent="0.35">
      <c r="A40" s="105">
        <v>4851</v>
      </c>
      <c r="B40" s="72"/>
      <c r="C40" s="72"/>
      <c r="D40" s="72"/>
      <c r="E40" s="72">
        <v>3000</v>
      </c>
      <c r="F40" s="72"/>
      <c r="G40" s="72"/>
      <c r="H40" s="72">
        <v>3000</v>
      </c>
      <c r="I40" s="72">
        <v>3000</v>
      </c>
      <c r="S40" s="253">
        <v>1.93</v>
      </c>
      <c r="T40" s="431">
        <v>46082</v>
      </c>
    </row>
    <row r="41" spans="1:20" x14ac:dyDescent="0.35">
      <c r="A41" s="420" t="s">
        <v>610</v>
      </c>
      <c r="B41" s="72"/>
      <c r="C41" s="72"/>
      <c r="D41" s="72"/>
      <c r="E41" s="72">
        <v>3000</v>
      </c>
      <c r="F41" s="72"/>
      <c r="G41" s="72"/>
      <c r="H41" s="72">
        <v>3000</v>
      </c>
      <c r="I41" s="72">
        <v>3000</v>
      </c>
      <c r="S41" s="253"/>
      <c r="T41" s="431"/>
    </row>
    <row r="42" spans="1:20" x14ac:dyDescent="0.35">
      <c r="A42" s="39" t="s">
        <v>640</v>
      </c>
      <c r="B42" s="72"/>
      <c r="C42" s="72"/>
      <c r="D42" s="72"/>
      <c r="E42" s="72">
        <v>3000</v>
      </c>
      <c r="F42" s="72"/>
      <c r="G42" s="72"/>
      <c r="H42" s="72">
        <v>3000</v>
      </c>
      <c r="I42" s="72">
        <v>3000</v>
      </c>
      <c r="T42" s="431"/>
    </row>
    <row r="43" spans="1:20" x14ac:dyDescent="0.35">
      <c r="A43" s="105">
        <v>4853</v>
      </c>
      <c r="B43" s="72"/>
      <c r="C43" s="72"/>
      <c r="D43" s="72"/>
      <c r="E43" s="72">
        <v>3000</v>
      </c>
      <c r="F43" s="72"/>
      <c r="G43" s="72"/>
      <c r="H43" s="72">
        <v>3000</v>
      </c>
      <c r="I43" s="72">
        <v>3000</v>
      </c>
      <c r="S43" s="253">
        <v>1.94</v>
      </c>
      <c r="T43" s="431">
        <v>46054</v>
      </c>
    </row>
    <row r="44" spans="1:20" x14ac:dyDescent="0.35">
      <c r="A44" s="420" t="s">
        <v>574</v>
      </c>
      <c r="B44" s="72"/>
      <c r="C44" s="72"/>
      <c r="D44" s="72"/>
      <c r="E44" s="72">
        <v>3000</v>
      </c>
      <c r="F44" s="72"/>
      <c r="G44" s="72"/>
      <c r="H44" s="72">
        <v>3000</v>
      </c>
      <c r="I44" s="72">
        <v>3000</v>
      </c>
      <c r="S44" s="253"/>
      <c r="T44" s="431"/>
    </row>
    <row r="45" spans="1:20" x14ac:dyDescent="0.35">
      <c r="A45" s="39" t="s">
        <v>1067</v>
      </c>
      <c r="B45" s="72"/>
      <c r="C45" s="72"/>
      <c r="D45" s="72"/>
      <c r="E45" s="72"/>
      <c r="F45" s="72">
        <v>3500</v>
      </c>
      <c r="G45" s="72"/>
      <c r="H45" s="72">
        <v>3500</v>
      </c>
      <c r="I45" s="72">
        <v>3500</v>
      </c>
      <c r="S45" s="253"/>
      <c r="T45" s="431"/>
    </row>
    <row r="46" spans="1:20" x14ac:dyDescent="0.35">
      <c r="A46" s="105">
        <v>5216</v>
      </c>
      <c r="B46" s="72"/>
      <c r="C46" s="72"/>
      <c r="D46" s="72"/>
      <c r="E46" s="72"/>
      <c r="F46" s="72">
        <v>3500</v>
      </c>
      <c r="G46" s="72"/>
      <c r="H46" s="72">
        <v>3500</v>
      </c>
      <c r="I46" s="72">
        <v>3500</v>
      </c>
      <c r="S46" s="253">
        <v>2.17</v>
      </c>
      <c r="T46" s="431">
        <v>46204</v>
      </c>
    </row>
    <row r="47" spans="1:20" x14ac:dyDescent="0.35">
      <c r="A47" s="420" t="s">
        <v>1255</v>
      </c>
      <c r="B47" s="72"/>
      <c r="C47" s="72"/>
      <c r="D47" s="72"/>
      <c r="E47" s="72"/>
      <c r="F47" s="72">
        <v>3500</v>
      </c>
      <c r="G47" s="72"/>
      <c r="H47" s="72">
        <v>3500</v>
      </c>
      <c r="I47" s="72">
        <v>3500</v>
      </c>
      <c r="S47" s="253"/>
      <c r="T47" s="431"/>
    </row>
    <row r="48" spans="1:20" x14ac:dyDescent="0.35">
      <c r="A48" s="39" t="s">
        <v>1256</v>
      </c>
      <c r="B48" s="72">
        <v>3500</v>
      </c>
      <c r="C48" s="72">
        <v>10000</v>
      </c>
      <c r="D48" s="72">
        <v>13500</v>
      </c>
      <c r="E48" s="72">
        <v>5000</v>
      </c>
      <c r="F48" s="72">
        <v>11000</v>
      </c>
      <c r="G48" s="72"/>
      <c r="H48" s="72">
        <v>16000</v>
      </c>
      <c r="I48" s="72">
        <v>29500</v>
      </c>
      <c r="S48" s="253"/>
      <c r="T48" s="431"/>
    </row>
    <row r="49" spans="1:20" x14ac:dyDescent="0.35">
      <c r="A49" s="105" t="s">
        <v>237</v>
      </c>
      <c r="B49" s="72">
        <v>3500</v>
      </c>
      <c r="C49" s="72">
        <v>10000</v>
      </c>
      <c r="D49" s="72">
        <v>13500</v>
      </c>
      <c r="E49" s="72">
        <v>5000</v>
      </c>
      <c r="F49" s="72">
        <v>11000</v>
      </c>
      <c r="G49" s="72"/>
      <c r="H49" s="72">
        <v>16000</v>
      </c>
      <c r="I49" s="72">
        <v>29500</v>
      </c>
      <c r="S49" s="253">
        <v>2.11</v>
      </c>
      <c r="T49" s="431">
        <v>46174</v>
      </c>
    </row>
    <row r="50" spans="1:20" x14ac:dyDescent="0.35">
      <c r="A50" s="420" t="s">
        <v>238</v>
      </c>
      <c r="B50" s="72">
        <v>3500</v>
      </c>
      <c r="C50" s="72">
        <v>10000</v>
      </c>
      <c r="D50" s="72">
        <v>13500</v>
      </c>
      <c r="E50" s="72">
        <v>5000</v>
      </c>
      <c r="F50" s="72">
        <v>11000</v>
      </c>
      <c r="G50" s="72"/>
      <c r="H50" s="72">
        <v>16000</v>
      </c>
      <c r="I50" s="72">
        <v>29500</v>
      </c>
      <c r="S50" s="253"/>
      <c r="T50" s="431"/>
    </row>
    <row r="51" spans="1:20" x14ac:dyDescent="0.35">
      <c r="A51" s="39" t="s">
        <v>1258</v>
      </c>
      <c r="B51" s="72"/>
      <c r="C51" s="72"/>
      <c r="D51" s="72"/>
      <c r="E51" s="72">
        <v>2000</v>
      </c>
      <c r="F51" s="72"/>
      <c r="G51" s="72"/>
      <c r="H51" s="72">
        <v>2000</v>
      </c>
      <c r="I51" s="72">
        <v>2000</v>
      </c>
      <c r="S51" s="253"/>
      <c r="T51" s="431"/>
    </row>
    <row r="52" spans="1:20" x14ac:dyDescent="0.35">
      <c r="A52" s="105">
        <v>4850</v>
      </c>
      <c r="B52" s="72"/>
      <c r="C52" s="72"/>
      <c r="D52" s="72"/>
      <c r="E52" s="72">
        <v>2000</v>
      </c>
      <c r="F52" s="72"/>
      <c r="G52" s="72"/>
      <c r="H52" s="72">
        <v>2000</v>
      </c>
      <c r="I52" s="72">
        <v>2000</v>
      </c>
      <c r="S52" s="253">
        <v>1.9</v>
      </c>
      <c r="T52" s="431" t="s">
        <v>1268</v>
      </c>
    </row>
    <row r="53" spans="1:20" x14ac:dyDescent="0.35">
      <c r="A53" s="420" t="s">
        <v>573</v>
      </c>
      <c r="B53" s="72"/>
      <c r="C53" s="72"/>
      <c r="D53" s="72"/>
      <c r="E53" s="72">
        <v>2000</v>
      </c>
      <c r="F53" s="72"/>
      <c r="G53" s="72"/>
      <c r="H53" s="72">
        <v>2000</v>
      </c>
      <c r="I53" s="72">
        <v>2000</v>
      </c>
      <c r="S53" s="253"/>
      <c r="T53" s="431"/>
    </row>
    <row r="54" spans="1:20" x14ac:dyDescent="0.35">
      <c r="A54" s="39" t="s">
        <v>1260</v>
      </c>
      <c r="B54" s="72"/>
      <c r="C54" s="72"/>
      <c r="D54" s="72"/>
      <c r="E54" s="72">
        <v>5500</v>
      </c>
      <c r="F54" s="72"/>
      <c r="G54" s="72"/>
      <c r="H54" s="72">
        <v>5500</v>
      </c>
      <c r="I54" s="72">
        <v>5500</v>
      </c>
      <c r="S54" s="253"/>
      <c r="T54" s="431"/>
    </row>
    <row r="55" spans="1:20" x14ac:dyDescent="0.35">
      <c r="A55" s="105">
        <v>4871</v>
      </c>
      <c r="B55" s="72"/>
      <c r="C55" s="72"/>
      <c r="D55" s="72"/>
      <c r="E55" s="72">
        <v>5500</v>
      </c>
      <c r="F55" s="72"/>
      <c r="G55" s="72"/>
      <c r="H55" s="72">
        <v>5500</v>
      </c>
      <c r="I55" s="72">
        <v>5500</v>
      </c>
      <c r="S55" s="253">
        <v>1.9</v>
      </c>
      <c r="T55" s="431">
        <v>46082</v>
      </c>
    </row>
    <row r="56" spans="1:20" x14ac:dyDescent="0.35">
      <c r="A56" s="420" t="s">
        <v>1015</v>
      </c>
      <c r="B56" s="72"/>
      <c r="C56" s="72"/>
      <c r="D56" s="72"/>
      <c r="E56" s="72">
        <v>3500</v>
      </c>
      <c r="F56" s="72"/>
      <c r="G56" s="72"/>
      <c r="H56" s="72">
        <v>3500</v>
      </c>
      <c r="I56" s="72">
        <v>3500</v>
      </c>
      <c r="S56" s="253"/>
      <c r="T56" s="431"/>
    </row>
    <row r="57" spans="1:20" x14ac:dyDescent="0.35">
      <c r="A57" s="420" t="s">
        <v>709</v>
      </c>
      <c r="B57" s="72"/>
      <c r="C57" s="72"/>
      <c r="D57" s="72"/>
      <c r="E57" s="72">
        <v>2000</v>
      </c>
      <c r="F57" s="72"/>
      <c r="G57" s="72"/>
      <c r="H57" s="72">
        <v>2000</v>
      </c>
      <c r="I57" s="72">
        <v>2000</v>
      </c>
      <c r="S57" s="253"/>
      <c r="T57" s="431"/>
    </row>
    <row r="58" spans="1:20" x14ac:dyDescent="0.35">
      <c r="A58" s="39" t="s">
        <v>1286</v>
      </c>
      <c r="B58" s="72"/>
      <c r="C58" s="72"/>
      <c r="D58" s="72"/>
      <c r="E58" s="72"/>
      <c r="F58" s="72"/>
      <c r="G58" s="72">
        <v>15000</v>
      </c>
      <c r="H58" s="72">
        <v>15000</v>
      </c>
      <c r="I58" s="72">
        <v>15000</v>
      </c>
      <c r="S58" s="253"/>
      <c r="T58" s="431"/>
    </row>
    <row r="59" spans="1:20" x14ac:dyDescent="0.35">
      <c r="A59" s="105">
        <v>5462</v>
      </c>
      <c r="B59" s="72"/>
      <c r="C59" s="72"/>
      <c r="D59" s="72"/>
      <c r="E59" s="72"/>
      <c r="F59" s="72"/>
      <c r="G59" s="72">
        <v>15000</v>
      </c>
      <c r="H59" s="72">
        <v>15000</v>
      </c>
      <c r="I59" s="72">
        <v>15000</v>
      </c>
      <c r="S59" s="253"/>
    </row>
    <row r="60" spans="1:20" x14ac:dyDescent="0.35">
      <c r="A60" s="420" t="s">
        <v>1282</v>
      </c>
      <c r="B60" s="72"/>
      <c r="C60" s="72"/>
      <c r="D60" s="72"/>
      <c r="E60" s="72"/>
      <c r="F60" s="72"/>
      <c r="G60" s="72">
        <v>15000</v>
      </c>
      <c r="H60" s="72">
        <v>15000</v>
      </c>
      <c r="I60" s="72">
        <v>15000</v>
      </c>
    </row>
    <row r="61" spans="1:20" x14ac:dyDescent="0.35">
      <c r="A61" s="39" t="s">
        <v>1285</v>
      </c>
      <c r="B61" s="72"/>
      <c r="C61" s="72"/>
      <c r="D61" s="72"/>
      <c r="E61" s="72"/>
      <c r="F61" s="72"/>
      <c r="G61" s="72">
        <v>5000</v>
      </c>
      <c r="H61" s="72">
        <v>5000</v>
      </c>
      <c r="I61" s="72">
        <v>5000</v>
      </c>
    </row>
    <row r="62" spans="1:20" x14ac:dyDescent="0.35">
      <c r="A62" s="105">
        <v>5463</v>
      </c>
      <c r="B62" s="72"/>
      <c r="C62" s="72"/>
      <c r="D62" s="72"/>
      <c r="E62" s="72"/>
      <c r="F62" s="72"/>
      <c r="G62" s="72">
        <v>5000</v>
      </c>
      <c r="H62" s="72">
        <v>5000</v>
      </c>
      <c r="I62" s="72">
        <v>5000</v>
      </c>
    </row>
    <row r="63" spans="1:20" x14ac:dyDescent="0.35">
      <c r="A63" s="420" t="s">
        <v>1283</v>
      </c>
      <c r="B63" s="72"/>
      <c r="C63" s="72"/>
      <c r="D63" s="72"/>
      <c r="E63" s="72"/>
      <c r="F63" s="72"/>
      <c r="G63" s="72">
        <v>5000</v>
      </c>
      <c r="H63" s="72">
        <v>5000</v>
      </c>
      <c r="I63" s="72">
        <v>5000</v>
      </c>
    </row>
    <row r="64" spans="1:20" x14ac:dyDescent="0.35">
      <c r="A64" s="39" t="s">
        <v>1287</v>
      </c>
      <c r="B64" s="72"/>
      <c r="C64" s="72"/>
      <c r="D64" s="72"/>
      <c r="E64" s="72"/>
      <c r="F64" s="72"/>
      <c r="G64" s="72">
        <v>5000</v>
      </c>
      <c r="H64" s="72">
        <v>5000</v>
      </c>
      <c r="I64" s="72">
        <v>5000</v>
      </c>
    </row>
    <row r="65" spans="1:9" x14ac:dyDescent="0.35">
      <c r="A65" s="105">
        <v>5464</v>
      </c>
      <c r="B65" s="72"/>
      <c r="C65" s="72"/>
      <c r="D65" s="72"/>
      <c r="E65" s="72"/>
      <c r="F65" s="72"/>
      <c r="G65" s="72">
        <v>5000</v>
      </c>
      <c r="H65" s="72">
        <v>5000</v>
      </c>
      <c r="I65" s="72">
        <v>5000</v>
      </c>
    </row>
    <row r="66" spans="1:9" x14ac:dyDescent="0.35">
      <c r="A66" s="420" t="s">
        <v>1284</v>
      </c>
      <c r="B66" s="72"/>
      <c r="C66" s="72"/>
      <c r="D66" s="72"/>
      <c r="E66" s="72"/>
      <c r="F66" s="72"/>
      <c r="G66" s="72">
        <v>5000</v>
      </c>
      <c r="H66" s="72">
        <v>5000</v>
      </c>
      <c r="I66" s="72">
        <v>5000</v>
      </c>
    </row>
    <row r="67" spans="1:9" x14ac:dyDescent="0.35">
      <c r="A67" s="39" t="s">
        <v>42</v>
      </c>
      <c r="B67" s="72">
        <v>10500</v>
      </c>
      <c r="C67" s="72">
        <v>30000</v>
      </c>
      <c r="D67" s="72">
        <v>40500</v>
      </c>
      <c r="E67" s="72">
        <v>44500</v>
      </c>
      <c r="F67" s="72">
        <v>52500</v>
      </c>
      <c r="G67" s="72">
        <v>25000</v>
      </c>
      <c r="H67" s="72">
        <v>122000</v>
      </c>
      <c r="I67" s="72">
        <v>162500</v>
      </c>
    </row>
    <row r="68" spans="1:9" x14ac:dyDescent="0.35">
      <c r="B68"/>
    </row>
    <row r="69" spans="1:9" x14ac:dyDescent="0.35">
      <c r="B69"/>
    </row>
    <row r="70" spans="1:9" x14ac:dyDescent="0.35">
      <c r="B70"/>
    </row>
    <row r="71" spans="1:9" x14ac:dyDescent="0.35">
      <c r="B71"/>
    </row>
    <row r="72" spans="1:9" x14ac:dyDescent="0.35">
      <c r="B72"/>
    </row>
    <row r="73" spans="1:9" x14ac:dyDescent="0.35">
      <c r="B73"/>
    </row>
    <row r="74" spans="1:9" x14ac:dyDescent="0.35">
      <c r="B74"/>
    </row>
    <row r="75" spans="1:9" x14ac:dyDescent="0.35">
      <c r="B75"/>
    </row>
    <row r="76" spans="1:9" x14ac:dyDescent="0.35">
      <c r="B76"/>
    </row>
    <row r="77" spans="1:9" x14ac:dyDescent="0.35">
      <c r="B77"/>
    </row>
    <row r="78" spans="1:9" x14ac:dyDescent="0.35">
      <c r="B78"/>
    </row>
    <row r="79" spans="1:9" x14ac:dyDescent="0.35">
      <c r="B79"/>
    </row>
    <row r="80" spans="1:9" x14ac:dyDescent="0.35">
      <c r="B80"/>
    </row>
    <row r="81" spans="2:2" x14ac:dyDescent="0.35">
      <c r="B81"/>
    </row>
    <row r="82" spans="2:2" x14ac:dyDescent="0.35">
      <c r="B82"/>
    </row>
    <row r="83" spans="2:2" x14ac:dyDescent="0.35">
      <c r="B83"/>
    </row>
    <row r="84" spans="2:2" x14ac:dyDescent="0.35">
      <c r="B84"/>
    </row>
    <row r="85" spans="2:2" x14ac:dyDescent="0.35">
      <c r="B85"/>
    </row>
    <row r="86" spans="2:2" x14ac:dyDescent="0.35">
      <c r="B86"/>
    </row>
    <row r="87" spans="2:2" x14ac:dyDescent="0.35">
      <c r="B87"/>
    </row>
    <row r="88" spans="2:2" x14ac:dyDescent="0.35">
      <c r="B88"/>
    </row>
    <row r="89" spans="2:2" x14ac:dyDescent="0.35">
      <c r="B89"/>
    </row>
    <row r="90" spans="2:2" x14ac:dyDescent="0.35">
      <c r="B90"/>
    </row>
    <row r="91" spans="2:2" x14ac:dyDescent="0.35">
      <c r="B91"/>
    </row>
    <row r="92" spans="2:2" x14ac:dyDescent="0.35">
      <c r="B92"/>
    </row>
    <row r="93" spans="2:2" x14ac:dyDescent="0.35">
      <c r="B93"/>
    </row>
    <row r="94" spans="2:2" x14ac:dyDescent="0.35">
      <c r="B94"/>
    </row>
    <row r="95" spans="2:2" x14ac:dyDescent="0.35">
      <c r="B95"/>
    </row>
    <row r="96" spans="2:2" x14ac:dyDescent="0.35">
      <c r="B96"/>
    </row>
    <row r="97" spans="2:2" x14ac:dyDescent="0.35">
      <c r="B97"/>
    </row>
    <row r="98" spans="2:2" x14ac:dyDescent="0.35">
      <c r="B98"/>
    </row>
    <row r="99" spans="2:2" x14ac:dyDescent="0.35">
      <c r="B99"/>
    </row>
    <row r="100" spans="2:2" x14ac:dyDescent="0.35">
      <c r="B100"/>
    </row>
    <row r="101" spans="2:2" x14ac:dyDescent="0.35">
      <c r="B101"/>
    </row>
    <row r="102" spans="2:2" x14ac:dyDescent="0.35">
      <c r="B102"/>
    </row>
    <row r="103" spans="2:2" x14ac:dyDescent="0.35">
      <c r="B103"/>
    </row>
    <row r="104" spans="2:2" x14ac:dyDescent="0.35">
      <c r="B104"/>
    </row>
    <row r="105" spans="2:2" x14ac:dyDescent="0.35">
      <c r="B105"/>
    </row>
  </sheetData>
  <mergeCells count="1">
    <mergeCell ref="S9:T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50A1F-E6CC-4B90-B70D-A645D98049D8}">
  <dimension ref="A2:T25"/>
  <sheetViews>
    <sheetView showGridLines="0" topLeftCell="E1" workbookViewId="0">
      <selection activeCell="N10" sqref="N10"/>
    </sheetView>
  </sheetViews>
  <sheetFormatPr baseColWidth="10" defaultColWidth="8.7265625" defaultRowHeight="14.5" x14ac:dyDescent="0.35"/>
  <cols>
    <col min="3" max="3" width="12.54296875" customWidth="1"/>
    <col min="4" max="4" width="1.453125" customWidth="1"/>
    <col min="7" max="7" width="9.26953125" bestFit="1" customWidth="1"/>
    <col min="9" max="9" width="8.7265625" style="15"/>
    <col min="10" max="10" width="1.7265625" style="15" customWidth="1"/>
    <col min="11" max="11" width="10.26953125" style="15" bestFit="1" customWidth="1"/>
    <col min="14" max="14" width="30.1796875" customWidth="1"/>
    <col min="15" max="15" width="15.81640625" bestFit="1" customWidth="1"/>
  </cols>
  <sheetData>
    <row r="2" spans="1:20" x14ac:dyDescent="0.35">
      <c r="E2" s="15"/>
      <c r="F2" s="15"/>
      <c r="G2" s="15"/>
    </row>
    <row r="3" spans="1:20" x14ac:dyDescent="0.35">
      <c r="A3" s="15"/>
      <c r="B3" s="15"/>
      <c r="C3" s="15"/>
      <c r="D3" s="15"/>
      <c r="E3" s="15"/>
      <c r="F3" s="15"/>
      <c r="G3" s="15"/>
    </row>
    <row r="4" spans="1:20" x14ac:dyDescent="0.35">
      <c r="A4" s="162"/>
      <c r="B4" s="215"/>
      <c r="C4" s="215"/>
      <c r="D4" s="215"/>
      <c r="F4" s="215"/>
      <c r="G4" s="67"/>
      <c r="K4" s="407"/>
      <c r="O4" s="67"/>
    </row>
    <row r="5" spans="1:20" x14ac:dyDescent="0.35">
      <c r="A5" s="162"/>
      <c r="B5" s="215"/>
      <c r="C5" s="215"/>
      <c r="D5" s="215"/>
      <c r="F5" s="215"/>
      <c r="G5" s="67"/>
      <c r="K5" s="407"/>
    </row>
    <row r="6" spans="1:20" x14ac:dyDescent="0.35">
      <c r="A6" s="162"/>
      <c r="B6" s="215"/>
      <c r="C6" s="215"/>
      <c r="D6" s="215"/>
      <c r="F6" s="215"/>
      <c r="G6" s="67"/>
      <c r="K6" s="407"/>
    </row>
    <row r="7" spans="1:20" x14ac:dyDescent="0.35">
      <c r="A7" s="162"/>
      <c r="B7" s="215"/>
      <c r="C7" s="215"/>
      <c r="D7" s="215"/>
      <c r="F7" s="215"/>
      <c r="G7" s="67"/>
      <c r="K7" s="407"/>
    </row>
    <row r="8" spans="1:20" x14ac:dyDescent="0.35">
      <c r="A8" s="162"/>
      <c r="B8" s="215"/>
      <c r="C8" s="215"/>
      <c r="D8" s="215"/>
      <c r="F8" s="215"/>
      <c r="G8" s="67"/>
      <c r="K8" s="407"/>
    </row>
    <row r="9" spans="1:20" x14ac:dyDescent="0.35">
      <c r="C9" s="61"/>
      <c r="D9" s="61"/>
      <c r="G9" s="61"/>
    </row>
    <row r="10" spans="1:20" x14ac:dyDescent="0.35">
      <c r="G10" s="61"/>
    </row>
    <row r="11" spans="1:20" x14ac:dyDescent="0.35">
      <c r="G11" s="408"/>
    </row>
    <row r="15" spans="1:20" ht="28.5" customHeight="1" x14ac:dyDescent="0.35">
      <c r="N15" s="453"/>
      <c r="O15" s="409"/>
      <c r="P15" s="452"/>
      <c r="Q15" s="410"/>
      <c r="R15" s="452"/>
      <c r="S15" s="452"/>
      <c r="T15" s="452"/>
    </row>
    <row r="16" spans="1:20" x14ac:dyDescent="0.35">
      <c r="H16" s="99"/>
      <c r="N16" s="453"/>
      <c r="O16" s="409"/>
      <c r="P16" s="452"/>
      <c r="Q16" s="410"/>
      <c r="R16" s="452"/>
      <c r="S16" s="452"/>
      <c r="T16" s="452"/>
    </row>
    <row r="17" spans="8:20" x14ac:dyDescent="0.35">
      <c r="H17" s="99"/>
      <c r="N17" s="411"/>
      <c r="O17" s="99"/>
      <c r="P17" s="412"/>
      <c r="Q17" s="412"/>
      <c r="R17" s="413"/>
      <c r="S17" s="412"/>
      <c r="T17" s="413"/>
    </row>
    <row r="18" spans="8:20" x14ac:dyDescent="0.35">
      <c r="H18" s="414"/>
      <c r="N18" s="411"/>
      <c r="O18" s="99"/>
      <c r="P18" s="415"/>
      <c r="Q18" s="416"/>
      <c r="R18" s="413"/>
      <c r="S18" s="412"/>
      <c r="T18" s="417"/>
    </row>
    <row r="19" spans="8:20" x14ac:dyDescent="0.35">
      <c r="H19" s="99"/>
      <c r="N19" s="411"/>
      <c r="O19" s="414"/>
      <c r="P19" s="415"/>
      <c r="Q19" s="412"/>
      <c r="R19" s="413"/>
      <c r="S19" s="412"/>
      <c r="T19" s="417"/>
    </row>
    <row r="20" spans="8:20" x14ac:dyDescent="0.35">
      <c r="H20" s="99"/>
      <c r="N20" s="411"/>
      <c r="O20" s="99"/>
      <c r="P20" s="416"/>
      <c r="Q20" s="412"/>
      <c r="R20" s="413"/>
      <c r="S20" s="412"/>
      <c r="T20" s="413"/>
    </row>
    <row r="21" spans="8:20" x14ac:dyDescent="0.35">
      <c r="H21" s="99"/>
      <c r="N21" s="411"/>
      <c r="O21" s="99"/>
      <c r="P21" s="412"/>
      <c r="Q21" s="416"/>
      <c r="R21" s="413"/>
      <c r="S21" s="412"/>
      <c r="T21" s="413"/>
    </row>
    <row r="22" spans="8:20" x14ac:dyDescent="0.35">
      <c r="N22" s="411"/>
      <c r="O22" s="99"/>
      <c r="P22" s="412"/>
      <c r="Q22" s="412"/>
      <c r="R22" s="413"/>
      <c r="S22" s="412"/>
      <c r="T22" s="413"/>
    </row>
    <row r="23" spans="8:20" x14ac:dyDescent="0.35">
      <c r="N23" s="418"/>
    </row>
    <row r="24" spans="8:20" x14ac:dyDescent="0.35">
      <c r="N24" s="418"/>
    </row>
    <row r="25" spans="8:20" ht="15.5" x14ac:dyDescent="0.35">
      <c r="N25" s="419"/>
    </row>
  </sheetData>
  <mergeCells count="5">
    <mergeCell ref="P15:P16"/>
    <mergeCell ref="N15:N16"/>
    <mergeCell ref="R15:R16"/>
    <mergeCell ref="S15:S16"/>
    <mergeCell ref="T15:T16"/>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FOLLOW-UP DIÁRIO PEDIDOS</vt:lpstr>
      <vt:lpstr>Detalhes  pedidos</vt:lpstr>
      <vt:lpstr>GR Trend</vt:lpstr>
      <vt:lpstr>Hoja1</vt:lpstr>
      <vt:lpstr>VOL-VALOR - AVRG PRICE</vt:lpstr>
      <vt:lpstr>SOP</vt:lpstr>
      <vt:lpstr>Consumo x Sku </vt:lpstr>
      <vt:lpstr>Sequência interna invoicing</vt:lpstr>
      <vt:lpstr>Ajustar precios Sistema 07may</vt:lpstr>
      <vt:lpstr>Levanta datos historicos 2024 </vt:lpstr>
      <vt:lpstr>ULTRA-Sep26</vt:lpstr>
      <vt:lpstr>cálculos varios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Martinez</dc:creator>
  <cp:lastModifiedBy>Mary Martinez</cp:lastModifiedBy>
  <dcterms:created xsi:type="dcterms:W3CDTF">2025-04-23T19:17:24Z</dcterms:created>
  <dcterms:modified xsi:type="dcterms:W3CDTF">2026-10-01T14:18:12Z</dcterms:modified>
</cp:coreProperties>
</file>