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Rede-PCP\06- PCP - COLCHÃO\EXPORTAÇÃO\GESTAO DE CREDITO E PAGAMENTOS CLIENTES - 2023 -2024 -2025 -2026\"/>
    </mc:Choice>
  </mc:AlternateContent>
  <xr:revisionPtr revIDLastSave="0" documentId="13_ncr:1_{91BD49CE-9173-4B52-94E1-622121EF338C}" xr6:coauthVersionLast="47" xr6:coauthVersionMax="47" xr10:uidLastSave="{00000000-0000-0000-0000-000000000000}"/>
  <bookViews>
    <workbookView xWindow="-110" yWindow="-110" windowWidth="19420" windowHeight="10300" tabRatio="692" xr2:uid="{14E3FF4C-0A3A-4052-AA89-44268326D48A}"/>
  </bookViews>
  <sheets>
    <sheet name="GESTAO CREDITO E PAGAMENTOS" sheetId="1" r:id="rId1"/>
    <sheet name="BASE DADOS CONTATOS" sheetId="2" state="hidden" r:id="rId2"/>
    <sheet name="SUMMARY" sheetId="3" r:id="rId3"/>
    <sheet name="INMAPOL" sheetId="9" state="hidden" r:id="rId4"/>
    <sheet name="notificação clientes" sheetId="5" r:id="rId5"/>
    <sheet name="SUNLOCK SPA -flujo crédito1906 " sheetId="16" r:id="rId6"/>
    <sheet name="POLYMAX -flujo de crédito 1805" sheetId="15" r:id="rId7"/>
    <sheet name="Banking Data Conexao" sheetId="8" r:id="rId8"/>
    <sheet name="SUNLOCK-flujo de credito 180526" sheetId="13" state="hidden" r:id="rId9"/>
    <sheet name="Hoja1" sheetId="14" state="hidden" r:id="rId10"/>
    <sheet name="FLEX  CHILE" sheetId="12" state="hidden" r:id="rId11"/>
    <sheet name="DIVINO" sheetId="11" state="hidden" r:id="rId12"/>
    <sheet name="template de comunicação" sheetId="6" state="hidden" r:id="rId13"/>
    <sheet name="contatos chaves" sheetId="7" state="hidden" r:id="rId14"/>
    <sheet name="BANKING DATA CONEXAO MALHAS" sheetId="4" state="hidden" r:id="rId15"/>
  </sheets>
  <externalReferences>
    <externalReference r:id="rId16"/>
  </externalReferences>
  <definedNames>
    <definedName name="_xlnm._FilterDatabase" localSheetId="8" hidden="1">'SUNLOCK-flujo de credito 180526'!$A$4:$Q$10</definedName>
  </definedNames>
  <calcPr calcId="181029"/>
  <pivotCaches>
    <pivotCache cacheId="135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2" i="1" l="1"/>
  <c r="N142" i="1" s="1"/>
  <c r="D37" i="5"/>
  <c r="D27" i="5"/>
  <c r="I143" i="1"/>
  <c r="K143" i="1"/>
  <c r="N143" i="1"/>
  <c r="K141" i="1"/>
  <c r="J142" i="1"/>
  <c r="K142" i="1" s="1"/>
  <c r="N141" i="1"/>
  <c r="I142" i="1"/>
  <c r="I141" i="1"/>
  <c r="L136" i="1"/>
  <c r="J136" i="1"/>
  <c r="F60" i="5"/>
  <c r="M137" i="1"/>
  <c r="M123" i="1"/>
  <c r="M134" i="1"/>
  <c r="M99" i="1"/>
  <c r="K8" i="15"/>
  <c r="K7" i="15"/>
  <c r="M76" i="1"/>
  <c r="M93" i="1" l="1"/>
  <c r="M85" i="1"/>
  <c r="L9" i="16"/>
  <c r="M9" i="16"/>
  <c r="M70" i="1"/>
  <c r="M43" i="1"/>
  <c r="P5" i="16"/>
  <c r="J10" i="16"/>
  <c r="M11" i="16"/>
  <c r="J9" i="16"/>
  <c r="M80" i="1"/>
  <c r="L80" i="1"/>
  <c r="I8" i="16"/>
  <c r="M10" i="16" l="1"/>
  <c r="L8" i="16" l="1"/>
  <c r="M124" i="1"/>
  <c r="J133" i="1" l="1"/>
  <c r="M136" i="1" l="1"/>
  <c r="K130" i="1"/>
  <c r="M130" i="1"/>
  <c r="N137" i="1"/>
  <c r="J137" i="1"/>
  <c r="K137" i="1" s="1"/>
  <c r="N140" i="1"/>
  <c r="N139" i="1"/>
  <c r="K140" i="1"/>
  <c r="K139" i="1"/>
  <c r="I140" i="1"/>
  <c r="I139" i="1"/>
  <c r="I138" i="1"/>
  <c r="K54" i="1" l="1"/>
  <c r="K66" i="1"/>
  <c r="M104" i="1"/>
  <c r="I137" i="1"/>
  <c r="M126" i="1" l="1"/>
  <c r="Q41" i="16"/>
  <c r="Q39" i="16"/>
  <c r="O40" i="16"/>
  <c r="O39" i="16"/>
  <c r="L124" i="1"/>
  <c r="O41" i="16" l="1"/>
  <c r="F57" i="5" l="1"/>
  <c r="F58" i="5"/>
  <c r="L9" i="15"/>
  <c r="M9" i="15" s="1"/>
  <c r="N136" i="1" l="1"/>
  <c r="K136" i="1"/>
  <c r="K135" i="1"/>
  <c r="I136" i="1"/>
  <c r="K134" i="1"/>
  <c r="N135" i="1"/>
  <c r="N134" i="1"/>
  <c r="N133" i="1"/>
  <c r="N132" i="1"/>
  <c r="K132" i="1"/>
  <c r="I132" i="1"/>
  <c r="I135" i="1"/>
  <c r="I134" i="1"/>
  <c r="K118" i="1"/>
  <c r="J120" i="1"/>
  <c r="K133" i="1" l="1"/>
  <c r="I133" i="1"/>
  <c r="M108" i="1" l="1"/>
  <c r="N114" i="1"/>
  <c r="K114" i="1"/>
  <c r="I114" i="1"/>
  <c r="N131" i="1" l="1"/>
  <c r="K131" i="1"/>
  <c r="I131" i="1"/>
  <c r="N130" i="1" l="1"/>
  <c r="I130" i="1"/>
  <c r="K119" i="1" l="1"/>
  <c r="F56" i="5" l="1"/>
  <c r="P10" i="16"/>
  <c r="P9" i="16"/>
  <c r="N113" i="1"/>
  <c r="K113" i="1"/>
  <c r="I113" i="1"/>
  <c r="M122" i="1"/>
  <c r="Z122" i="1"/>
  <c r="I129" i="1"/>
  <c r="N128" i="1" l="1"/>
  <c r="K128" i="1"/>
  <c r="I128" i="1" l="1"/>
  <c r="N115" i="1"/>
  <c r="F55" i="5"/>
  <c r="F54" i="5"/>
  <c r="F53" i="5"/>
  <c r="K127" i="1" l="1"/>
  <c r="N127" i="1" l="1"/>
  <c r="N118" i="1"/>
  <c r="I118" i="1"/>
  <c r="I127" i="1"/>
  <c r="F52" i="5" l="1"/>
  <c r="F51" i="5"/>
  <c r="D45" i="5"/>
  <c r="F45" i="5" s="1"/>
  <c r="D24" i="5"/>
  <c r="F24" i="5" s="1"/>
  <c r="E5" i="5"/>
  <c r="D5" i="5"/>
  <c r="F50" i="5"/>
  <c r="F41" i="5"/>
  <c r="F42" i="5"/>
  <c r="F48" i="5"/>
  <c r="F47" i="5"/>
  <c r="F6" i="5"/>
  <c r="F49" i="5"/>
  <c r="F46" i="5"/>
  <c r="F32" i="5"/>
  <c r="F14" i="5"/>
  <c r="F22" i="5"/>
  <c r="F11" i="5"/>
  <c r="F13" i="5"/>
  <c r="F9" i="5"/>
  <c r="F23" i="5"/>
  <c r="F15" i="5"/>
  <c r="F10" i="5"/>
  <c r="F21" i="5"/>
  <c r="F17" i="5"/>
  <c r="F18" i="5"/>
  <c r="F19" i="5"/>
  <c r="F20" i="5"/>
  <c r="E8" i="5"/>
  <c r="D67" i="5" l="1"/>
  <c r="K126" i="1" l="1"/>
  <c r="K125" i="1"/>
  <c r="K124" i="1"/>
  <c r="N126" i="1"/>
  <c r="N125" i="1"/>
  <c r="N124" i="1"/>
  <c r="I126" i="1"/>
  <c r="I125" i="1"/>
  <c r="O110" i="1"/>
  <c r="M110" i="1" l="1"/>
  <c r="N122" i="1"/>
  <c r="I124" i="1"/>
  <c r="N123" i="1" l="1"/>
  <c r="K123" i="1"/>
  <c r="I123" i="1"/>
  <c r="K122" i="1" l="1"/>
  <c r="K120" i="1"/>
  <c r="I122" i="1"/>
  <c r="N121" i="1" l="1"/>
  <c r="I121" i="1" l="1"/>
  <c r="N120" i="1"/>
  <c r="I120" i="1"/>
  <c r="N119" i="1"/>
  <c r="I119" i="1"/>
  <c r="J110" i="1" l="1"/>
  <c r="N80" i="1" l="1"/>
  <c r="K18" i="16"/>
  <c r="S3" i="16"/>
  <c r="M5" i="16"/>
  <c r="I29" i="16"/>
  <c r="D29" i="16"/>
  <c r="B26" i="16"/>
  <c r="B22" i="16"/>
  <c r="T9" i="16"/>
  <c r="S9" i="16"/>
  <c r="P8" i="16"/>
  <c r="P7" i="16"/>
  <c r="P6" i="16"/>
  <c r="D1" i="16"/>
  <c r="P11" i="16" s="1"/>
  <c r="S3" i="13"/>
  <c r="T9" i="13"/>
  <c r="S9" i="13"/>
  <c r="L7" i="13"/>
  <c r="D49" i="13"/>
  <c r="D55" i="13"/>
  <c r="L8" i="15"/>
  <c r="M8" i="15" s="1"/>
  <c r="M48" i="1"/>
  <c r="H5" i="15"/>
  <c r="L99" i="1"/>
  <c r="L48" i="1"/>
  <c r="S10" i="13" l="1"/>
  <c r="N99" i="1"/>
  <c r="E23" i="16"/>
  <c r="L18" i="16"/>
  <c r="S10" i="16"/>
  <c r="M6" i="16"/>
  <c r="J7" i="16" s="1"/>
  <c r="M7" i="16" s="1"/>
  <c r="J8" i="16" s="1"/>
  <c r="N117" i="1"/>
  <c r="N112" i="1"/>
  <c r="N111" i="1"/>
  <c r="N110" i="1"/>
  <c r="N109" i="1"/>
  <c r="N108" i="1"/>
  <c r="N107" i="1"/>
  <c r="K117" i="1"/>
  <c r="I117" i="1"/>
  <c r="M8" i="16" l="1"/>
  <c r="K111" i="1"/>
  <c r="I116" i="1" l="1"/>
  <c r="M12" i="16" l="1"/>
  <c r="I115" i="1"/>
  <c r="D44" i="13" l="1"/>
  <c r="I14" i="13" l="1"/>
  <c r="I15" i="13"/>
  <c r="J8" i="13"/>
  <c r="M8" i="13" s="1"/>
  <c r="L6" i="13"/>
  <c r="B35" i="13"/>
  <c r="L98" i="1" l="1"/>
  <c r="I112" i="1" l="1"/>
  <c r="I111" i="1" l="1"/>
  <c r="D43" i="5" l="1"/>
  <c r="F43" i="5" s="1"/>
  <c r="B41" i="13" l="1"/>
  <c r="K41" i="13" s="1"/>
  <c r="I44" i="13"/>
  <c r="P10" i="13"/>
  <c r="P7" i="13"/>
  <c r="L93" i="1"/>
  <c r="O97" i="1" l="1"/>
  <c r="K98" i="1" l="1"/>
  <c r="K5" i="15" l="1"/>
  <c r="L5" i="15" s="1"/>
  <c r="M5" i="15" l="1"/>
  <c r="K6" i="15" s="1"/>
  <c r="L6" i="15" s="1"/>
  <c r="M6" i="15" s="1"/>
  <c r="L7" i="15"/>
  <c r="I31" i="13"/>
  <c r="M7" i="15" l="1"/>
  <c r="C34" i="13"/>
  <c r="D34" i="13"/>
  <c r="C35" i="13"/>
  <c r="D35" i="13"/>
  <c r="I13" i="13"/>
  <c r="I34" i="13" s="1"/>
  <c r="I35" i="13" s="1"/>
  <c r="M7" i="13"/>
  <c r="M6" i="13" l="1"/>
  <c r="D28" i="13"/>
  <c r="K110" i="1"/>
  <c r="K109" i="1"/>
  <c r="K108" i="1"/>
  <c r="K107" i="1"/>
  <c r="K106" i="1"/>
  <c r="K105" i="1"/>
  <c r="K104" i="1"/>
  <c r="K102" i="1"/>
  <c r="N98" i="1"/>
  <c r="I98" i="1"/>
  <c r="I110" i="1" l="1"/>
  <c r="I109" i="1" l="1"/>
  <c r="E17" i="15" l="1"/>
  <c r="G17" i="15" s="1"/>
  <c r="M49" i="1"/>
  <c r="G15" i="15"/>
  <c r="G16" i="15" s="1"/>
  <c r="E1" i="15" l="1"/>
  <c r="P9" i="15" s="1"/>
  <c r="P8" i="15" l="1"/>
  <c r="P7" i="15"/>
  <c r="P6" i="15"/>
  <c r="D44" i="5" l="1"/>
  <c r="M105" i="1" l="1"/>
  <c r="E44" i="5" s="1"/>
  <c r="F44" i="5" s="1"/>
  <c r="J99" i="1" l="1"/>
  <c r="A28" i="13" l="1"/>
  <c r="N105" i="1" l="1"/>
  <c r="I108" i="1" l="1"/>
  <c r="I107" i="1"/>
  <c r="P5" i="15" l="1"/>
  <c r="O9" i="13" l="1"/>
  <c r="P9" i="13" s="1"/>
  <c r="E12" i="5"/>
  <c r="F12" i="5" s="1"/>
  <c r="I22" i="13"/>
  <c r="D22" i="13"/>
  <c r="C22" i="13"/>
  <c r="A20" i="13"/>
  <c r="N106" i="1" l="1"/>
  <c r="K78" i="1" l="1"/>
  <c r="I106" i="1" l="1"/>
  <c r="K101" i="1" l="1"/>
  <c r="K100" i="1"/>
  <c r="K99" i="1"/>
  <c r="K97" i="1"/>
  <c r="K96" i="1"/>
  <c r="K95" i="1"/>
  <c r="K94" i="1"/>
  <c r="N104" i="1"/>
  <c r="N103" i="1"/>
  <c r="N102" i="1"/>
  <c r="N101" i="1"/>
  <c r="N100" i="1"/>
  <c r="I105" i="1" l="1"/>
  <c r="I104" i="1"/>
  <c r="I103" i="1"/>
  <c r="I102" i="1" l="1"/>
  <c r="I101" i="1"/>
  <c r="O8" i="13" l="1"/>
  <c r="P8" i="13" s="1"/>
  <c r="I100" i="1" l="1"/>
  <c r="I99" i="1" l="1"/>
  <c r="J70" i="1" l="1"/>
  <c r="K70" i="1" s="1"/>
  <c r="K80" i="1" l="1"/>
  <c r="K48" i="1"/>
  <c r="K75" i="1"/>
  <c r="N97" i="1"/>
  <c r="N96" i="1"/>
  <c r="N95" i="1"/>
  <c r="I97" i="1" l="1"/>
  <c r="M90" i="1"/>
  <c r="M23" i="1"/>
  <c r="I96" i="1"/>
  <c r="J88" i="1" l="1"/>
  <c r="K88" i="1" s="1"/>
  <c r="I95" i="1"/>
  <c r="K93" i="1"/>
  <c r="K92" i="1"/>
  <c r="K90" i="1"/>
  <c r="K86" i="1"/>
  <c r="E4" i="5"/>
  <c r="F4" i="5" s="1"/>
  <c r="M83" i="1"/>
  <c r="K84" i="1"/>
  <c r="K83" i="1"/>
  <c r="P6" i="13" l="1"/>
  <c r="P5" i="13"/>
  <c r="M5" i="13"/>
  <c r="D1" i="13"/>
  <c r="N94" i="1" l="1"/>
  <c r="N93" i="1"/>
  <c r="N92" i="1"/>
  <c r="N91" i="1"/>
  <c r="N90" i="1"/>
  <c r="N89" i="1"/>
  <c r="N88" i="1"/>
  <c r="N87" i="1"/>
  <c r="N86" i="1"/>
  <c r="N84" i="1"/>
  <c r="N83" i="1"/>
  <c r="N82" i="1"/>
  <c r="N81" i="1"/>
  <c r="N78" i="1"/>
  <c r="N73" i="1"/>
  <c r="N72" i="1"/>
  <c r="N71" i="1"/>
  <c r="N69" i="1"/>
  <c r="N68" i="1"/>
  <c r="N67" i="1"/>
  <c r="N66" i="1"/>
  <c r="N65" i="1"/>
  <c r="N62" i="1"/>
  <c r="N61" i="1"/>
  <c r="N60" i="1"/>
  <c r="N58" i="1"/>
  <c r="N57" i="1"/>
  <c r="N56" i="1"/>
  <c r="N54" i="1"/>
  <c r="N52" i="1"/>
  <c r="N51" i="1"/>
  <c r="N48" i="1"/>
  <c r="N47" i="1"/>
  <c r="N45" i="1"/>
  <c r="N44" i="1"/>
  <c r="N40" i="1"/>
  <c r="N39" i="1"/>
  <c r="N38" i="1"/>
  <c r="N36" i="1"/>
  <c r="N33" i="1"/>
  <c r="N32" i="1"/>
  <c r="N31" i="1"/>
  <c r="N29" i="1"/>
  <c r="N28" i="1"/>
  <c r="N27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1" i="1"/>
  <c r="N10" i="1"/>
  <c r="N9" i="1"/>
  <c r="N8" i="1"/>
  <c r="N7" i="1"/>
  <c r="N6" i="1"/>
  <c r="N5" i="1"/>
  <c r="N4" i="1"/>
  <c r="J85" i="1"/>
  <c r="K85" i="1" s="1"/>
  <c r="N85" i="1" l="1"/>
  <c r="E25" i="5"/>
  <c r="F25" i="5" s="1"/>
  <c r="N70" i="1" l="1"/>
  <c r="I94" i="1" l="1"/>
  <c r="F8" i="5" l="1"/>
  <c r="L76" i="1"/>
  <c r="N76" i="1" s="1"/>
  <c r="O76" i="1"/>
  <c r="K76" i="1" l="1"/>
  <c r="I93" i="1"/>
  <c r="E7" i="5" l="1"/>
  <c r="F7" i="5" s="1"/>
  <c r="M75" i="1"/>
  <c r="N75" i="1" s="1"/>
  <c r="I92" i="1" l="1"/>
  <c r="F5" i="5" l="1"/>
  <c r="L49" i="1" l="1"/>
  <c r="F40" i="5"/>
  <c r="F34" i="5"/>
  <c r="F30" i="5"/>
  <c r="F31" i="5"/>
  <c r="F39" i="5"/>
  <c r="F35" i="5"/>
  <c r="F36" i="5"/>
  <c r="F28" i="5"/>
  <c r="F38" i="5"/>
  <c r="F37" i="5"/>
  <c r="F27" i="5"/>
  <c r="F29" i="5"/>
  <c r="F33" i="5"/>
  <c r="M53" i="1"/>
  <c r="N53" i="1" s="1"/>
  <c r="I91" i="1"/>
  <c r="I90" i="1"/>
  <c r="I89" i="1"/>
  <c r="I88" i="1"/>
  <c r="N49" i="1" l="1"/>
  <c r="I87" i="1"/>
  <c r="I86" i="1"/>
  <c r="I85" i="1" l="1"/>
  <c r="O75" i="1" l="1"/>
  <c r="V54" i="1"/>
  <c r="O77" i="1"/>
  <c r="M77" i="1"/>
  <c r="N77" i="1" s="1"/>
  <c r="I84" i="1" l="1"/>
  <c r="I83" i="1"/>
  <c r="M74" i="1" l="1"/>
  <c r="N74" i="1" s="1"/>
  <c r="O74" i="1" l="1"/>
  <c r="M79" i="1" l="1"/>
  <c r="N79" i="1" s="1"/>
  <c r="I82" i="1"/>
  <c r="I81" i="1"/>
  <c r="D16" i="5" l="1"/>
  <c r="F16" i="5" s="1"/>
  <c r="O79" i="1"/>
  <c r="M63" i="1" l="1"/>
  <c r="I49" i="1"/>
  <c r="I80" i="1"/>
  <c r="I79" i="1"/>
  <c r="I78" i="1"/>
  <c r="I77" i="1" l="1"/>
  <c r="O64" i="1"/>
  <c r="M64" i="1"/>
  <c r="N64" i="1" s="1"/>
  <c r="I76" i="1" l="1"/>
  <c r="I75" i="1" l="1"/>
  <c r="I67" i="1"/>
  <c r="O62" i="1" l="1"/>
  <c r="L37" i="1"/>
  <c r="M37" i="1" l="1"/>
  <c r="N37" i="1" s="1"/>
  <c r="I74" i="1" l="1"/>
  <c r="I73" i="1" l="1"/>
  <c r="L43" i="1"/>
  <c r="I72" i="1"/>
  <c r="N43" i="1" l="1"/>
  <c r="I71" i="1"/>
  <c r="I70" i="1"/>
  <c r="L63" i="1" l="1"/>
  <c r="O63" i="1"/>
  <c r="M59" i="1"/>
  <c r="N59" i="1" s="1"/>
  <c r="U63" i="1" l="1"/>
  <c r="N63" i="1"/>
  <c r="I69" i="1"/>
  <c r="I68" i="1" l="1"/>
  <c r="O59" i="1"/>
  <c r="O48" i="1" l="1"/>
  <c r="I66" i="1" l="1"/>
  <c r="I65" i="1" l="1"/>
  <c r="I64" i="1"/>
  <c r="E28" i="5"/>
  <c r="V63" i="1"/>
  <c r="M35" i="1"/>
  <c r="N35" i="1" s="1"/>
  <c r="I62" i="1"/>
  <c r="W63" i="1" l="1"/>
  <c r="M55" i="1"/>
  <c r="N55" i="1" s="1"/>
  <c r="I48" i="1" l="1"/>
  <c r="L50" i="1" l="1"/>
  <c r="O50" i="1"/>
  <c r="M50" i="1" l="1"/>
  <c r="N50" i="1" s="1"/>
  <c r="I61" i="1"/>
  <c r="I60" i="1"/>
  <c r="I59" i="1"/>
  <c r="I58" i="1"/>
  <c r="L34" i="1"/>
  <c r="N34" i="1" s="1"/>
  <c r="M26" i="1"/>
  <c r="N26" i="1" s="1"/>
  <c r="F26" i="5" l="1"/>
  <c r="L42" i="1"/>
  <c r="N42" i="1" s="1"/>
  <c r="I42" i="1"/>
  <c r="I55" i="1"/>
  <c r="I54" i="1"/>
  <c r="I53" i="1"/>
  <c r="I52" i="1"/>
  <c r="M46" i="1"/>
  <c r="N46" i="1" s="1"/>
  <c r="I51" i="1"/>
  <c r="I35" i="1" l="1"/>
  <c r="M41" i="1"/>
  <c r="N41" i="1" s="1"/>
  <c r="B43" i="1"/>
  <c r="B41" i="1"/>
  <c r="M12" i="1"/>
  <c r="N12" i="1" s="1"/>
  <c r="I50" i="1"/>
  <c r="I47" i="1"/>
  <c r="I46" i="1"/>
  <c r="I45" i="1"/>
  <c r="D1" i="5"/>
  <c r="I44" i="1"/>
  <c r="M30" i="1"/>
  <c r="N30" i="1" s="1"/>
  <c r="O26" i="1"/>
  <c r="O17" i="1"/>
  <c r="O22" i="1"/>
  <c r="O4" i="1"/>
  <c r="I43" i="1"/>
  <c r="I41" i="1"/>
  <c r="D39" i="5"/>
  <c r="D35" i="5"/>
  <c r="D26" i="5"/>
  <c r="D29" i="5"/>
  <c r="O27" i="1"/>
  <c r="I34" i="1"/>
  <c r="I21" i="1"/>
  <c r="I26" i="1"/>
  <c r="I29" i="1"/>
  <c r="I40" i="1"/>
  <c r="I27" i="1"/>
  <c r="I15" i="1"/>
  <c r="I7" i="1"/>
  <c r="I33" i="1"/>
  <c r="I36" i="1"/>
  <c r="I38" i="1"/>
  <c r="I39" i="1"/>
  <c r="I37" i="1"/>
  <c r="I31" i="1"/>
  <c r="I32" i="1"/>
  <c r="I28" i="1"/>
  <c r="I20" i="1"/>
  <c r="I25" i="1"/>
  <c r="I30" i="1"/>
  <c r="I9" i="1"/>
  <c r="I18" i="1"/>
  <c r="I17" i="1"/>
  <c r="I13" i="1"/>
  <c r="I22" i="1"/>
  <c r="I23" i="1"/>
  <c r="I16" i="1"/>
  <c r="I24" i="1"/>
  <c r="I19" i="1"/>
  <c r="O8" i="1"/>
  <c r="I14" i="1"/>
  <c r="I6" i="1"/>
  <c r="I8" i="1"/>
  <c r="I4" i="1"/>
  <c r="I11" i="1"/>
  <c r="I5" i="1"/>
  <c r="I12" i="1"/>
  <c r="I10" i="1"/>
  <c r="F1" i="1"/>
  <c r="K115" i="1" l="1"/>
  <c r="K116" i="1" l="1"/>
  <c r="N1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A3" authorId="0" shapeId="0" xr:uid="{1F1579BD-55C8-42E9-AD99-96D329B89BC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Número de invoice gerado pela área de Export.</t>
        </r>
      </text>
    </comment>
    <comment ref="D3" authorId="0" shapeId="0" xr:uid="{C9BA3090-ED82-4F8B-82BB-8E4E09CC2214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Campo contém fórmulas.  Favor não alterar</t>
        </r>
      </text>
    </comment>
    <comment ref="I3" authorId="0" shapeId="0" xr:uid="{F3509434-157B-4ED6-AA8F-1DE1BF515BF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Data baseada nos termos de crédito estabelecidos para o cliente e documentado na invoice.</t>
        </r>
      </text>
    </comment>
    <comment ref="J3" authorId="0" shapeId="0" xr:uid="{3415B5B5-E878-4240-BFDA-F9FA6A875D1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 partir de 2026</t>
        </r>
      </text>
    </comment>
    <comment ref="L3" authorId="0" shapeId="0" xr:uid="{56C595C9-7221-43C2-8E8C-9AF4DCF12F0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Valor a pagar estabelecido em Invoice de exportação em dólar (US$)</t>
        </r>
      </text>
    </comment>
    <comment ref="M3" authorId="0" shapeId="0" xr:uid="{12DEF46C-942B-4D8E-BA6F-699E49559C2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Adiantamento de valores
ou NC aplicadas</t>
        </r>
      </text>
    </comment>
    <comment ref="N3" authorId="0" shapeId="0" xr:uid="{7226A702-73EE-440C-A0F9-CAA5C3A9CB44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saldo pendente.
Campo contem fórmular; favor não alterar.</t>
        </r>
      </text>
    </comment>
    <comment ref="O3" authorId="0" shapeId="0" xr:uid="{87C3C827-46D3-4C0F-932F-6CEDA6E6272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Valor segundo as NFs guardadas em arquivos físicos da área de Export.</t>
        </r>
      </text>
    </comment>
    <comment ref="P3" authorId="0" shapeId="0" xr:uid="{98DC770C-A492-4B99-A285-F1D9E8547E5F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Informação extraída de documentos guardados no disco compartilhado :z\</t>
        </r>
      </text>
    </comment>
    <comment ref="Q3" authorId="0" shapeId="0" xr:uid="{14EB3DA5-AC66-4B9E-BC88-48DB5B541EE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Data a ser inputada em base a informações fornecidas pelo Financeiro. 
Fonte a ser definida</t>
        </r>
      </text>
    </comment>
    <comment ref="R3" authorId="0" shapeId="0" xr:uid="{302477EA-3B9A-459B-95F8-0AE055663DF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Comentários ou observações úteis para registros ou análisis</t>
        </r>
      </text>
    </comment>
    <comment ref="O9" authorId="0" shapeId="0" xr:uid="{3DD70E17-984A-42D9-875C-15B3A59CAA1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Verificar se procede; file apresenta uma mensagem de nota f. cancelada/ Validado 28Jul- NF cancelada-</t>
        </r>
      </text>
    </comment>
    <comment ref="B23" authorId="0" shapeId="0" xr:uid="{87F80DDB-C8D2-4ABE-B1A3-D85512E88B0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precisam pagar fracionado devido a restrições de câmbio diarias do pais</t>
        </r>
      </text>
    </comment>
    <comment ref="L23" authorId="0" shapeId="0" xr:uid="{637A70E9-4C14-40C4-A169-3C673F6ADE3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VALOR INVOICE EURO- AJUSTADA NOVAMENTE PARA USD -
Alinhada à DUE consolidada (15/09)</t>
        </r>
      </text>
    </comment>
    <comment ref="M23" authorId="0" shapeId="0" xr:uid="{DE4D01A1-0781-49A5-81A5-812785ACF209}">
      <text>
        <r>
          <rPr>
            <b/>
            <sz val="9"/>
            <color indexed="81"/>
            <rFont val="Tahoma"/>
            <family val="2"/>
          </rPr>
          <t>Mary Martinez:
SINAL USD 4.500
15/09/25 - EUR 15.000 (TAXA 6,2640)
22/09/25 - EUR 14.000 (TAXA 6,2750)
--&gt; 33.656,36
FALTA SALDO USD 19.226,47
DOCUMENTADO 20/02/26 -A PARTIR DOS DADOS DO LUCIANO</t>
        </r>
      </text>
    </comment>
    <comment ref="A25" authorId="0" shapeId="0" xr:uid="{CA28AF4F-EAC7-4DEA-A521-651B53197E7A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Invoice ajustada para 164.25</t>
        </r>
      </text>
    </comment>
    <comment ref="L25" authorId="0" shapeId="0" xr:uid="{DB619BDA-8733-4727-8175-E120491F929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invoice ajustada para 164.25</t>
        </r>
      </text>
    </comment>
    <comment ref="L34" authorId="0" shapeId="0" xr:uid="{09FFF7FF-C16D-46D0-AEB3-6309CC45E60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Frete pago em destino
Total     +      Frete--&gt;
</t>
        </r>
        <r>
          <rPr>
            <b/>
            <sz val="9"/>
            <color indexed="81"/>
            <rFont val="Tahoma"/>
            <family val="2"/>
          </rPr>
          <t>11.129,90 + 2.458,33 = 13.588,23</t>
        </r>
      </text>
    </comment>
    <comment ref="L37" authorId="0" shapeId="0" xr:uid="{93ABC2BE-5EDE-486F-94FD-F572DAAD167D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Valor de invoice vs. DUE diferentes----&gt; Serão corrigida a DUE
11.946,20 + Flete 1.756,68 = 13702,88
Paga amostra 121.25 ($108)</t>
        </r>
      </text>
    </comment>
    <comment ref="L43" authorId="0" shapeId="0" xr:uid="{2588129C-DE18-4CA6-8215-E48AD79A4F72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Invoice + Frete</t>
        </r>
      </text>
    </comment>
    <comment ref="M43" authorId="0" shapeId="0" xr:uid="{CB811D46-605B-49ED-A50F-CD40D32D4178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NC 001.25 -05112025 SOBRE INVOICE 153.25- $3385,14
TECIDO COM PROBLEMAS DE QUALIDADE (SERTAPEDIC)  $1349,80 - saldo a pagar
---
Incluido parte del SWIFT (23/02) como cierre de este saldo - diferencia acreditada em invoice 210.25</t>
        </r>
      </text>
    </comment>
    <comment ref="M46" authorId="0" shapeId="0" xr:uid="{4DDE02B2-E703-461C-8668-87D9ED265FB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Monitorar esse pagamento. Pgto + taxas (55 usd cada)</t>
        </r>
      </text>
    </comment>
    <comment ref="D48" authorId="0" shapeId="0" xr:uid="{4A42DB8C-8F2E-4B58-9F1F-05B8570D13E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pedido 8302 - 700mts por reposição de qualidade</t>
        </r>
      </text>
    </comment>
    <comment ref="J48" authorId="0" shapeId="0" xr:uid="{0A3B4275-D115-4F7D-85E8-DC8FD22AB98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31406,39</t>
        </r>
      </text>
    </comment>
    <comment ref="L48" authorId="0" shapeId="0" xr:uid="{613817A7-1E76-4494-B979-EB1837845953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according to DUE</t>
        </r>
      </text>
    </comment>
    <comment ref="G52" authorId="0" shapeId="0" xr:uid="{17FD7055-E3C7-4E29-9121-086085A0CA5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mudança em cond de credito-16/7/25</t>
        </r>
      </text>
    </comment>
    <comment ref="M53" authorId="0" shapeId="0" xr:uid="{75794907-08DF-412D-84A7-09289C9A870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NC emitida 27/10 
----
NC revisada 30/10- por el valor total de $1.547,62 --*OJO aplicar*
[191.25 - 651,19
190.25 - 653,11
dif de cant telas entregadas com la inv. 190,25 - 243,32 ]</t>
        </r>
      </text>
    </comment>
    <comment ref="O55" authorId="0" shapeId="0" xr:uid="{0BB5213D-833E-43E1-AB2F-127351F1AD4E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Inclui frete - R$25.065,15</t>
        </r>
      </text>
    </comment>
    <comment ref="L57" authorId="0" shapeId="0" xr:uid="{3DEBFBE3-0E37-4598-808F-CD1F0B8BC86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Invoice consolidada com 194.25</t>
        </r>
      </text>
    </comment>
    <comment ref="L63" authorId="0" shapeId="0" xr:uid="{7AB185C7-65A1-440C-AEC3-25BF0328817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Fx referencial 5,42- Cliente fatura em BRL</t>
        </r>
      </text>
    </comment>
    <comment ref="M63" authorId="0" shapeId="0" xr:uid="{378B6EAC-CB02-44A2-BAB3-FE3F6BBD9E8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Fx referencial 5,42- Cliente fatura em BRL</t>
        </r>
      </text>
    </comment>
    <comment ref="O63" authorId="0" shapeId="0" xr:uid="{8DAEC6F6-19A8-42EB-9444-585B4029CD4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ajuste invoice saída</t>
        </r>
      </text>
    </comment>
    <comment ref="M70" authorId="0" shapeId="0" xr:uid="{5D9DE644-598A-435A-9403-1180F8279C8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saldo + diferencia NC pagas com Swift 23/02
Saldo parcial de -667,29 cubierto com SWIFT de fecha 24/04/26 ($5.659,15) y resto (4.991,86)  abona parcial invoice 220.25 - documentado 27/04/26</t>
        </r>
      </text>
    </comment>
    <comment ref="M76" authorId="0" shapeId="0" xr:uid="{1CA9D639-D4DE-4130-B2D8-303837D3BEDF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saldo remanente Swift 12/05 abona
Swift 15jun paga conta</t>
        </r>
      </text>
    </comment>
    <comment ref="M80" authorId="0" shapeId="0" xr:uid="{A6907DF6-0B59-4CC5-9E4B-BD625741460D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SWIFT de fecha 24/04/26 ($5.659,15)
cierra cuenta más antigua y remanente de $4.991,86  abona parcial invoice 220.25 - documentado 27/04/26
--
SWIFT de fecha 01/06/26 ($5.597,15)
abona invoice 220.25
--
SWIFT 18/06/26 ($ 5.592,15)</t>
        </r>
      </text>
    </comment>
    <comment ref="G97" authorId="0" shapeId="0" xr:uid="{5C05E654-E3A7-45FA-AF56-7C8B0631192F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mudança em cond de credito-16/7/25</t>
        </r>
      </text>
    </comment>
    <comment ref="M104" authorId="0" shapeId="0" xr:uid="{47253B99-7AE5-45DA-A902-EA3A47BF244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NC por 356 mts pdto 5 Estrellas Azul
reporte de calidad julio26
28/08/2026</t>
        </r>
      </text>
    </comment>
    <comment ref="B108" authorId="0" shapeId="0" xr:uid="{B34046E9-E8D2-444A-9AB4-3307082C3DA3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compra pelo CNPJ (FEI/EIN) dos USA--
VERZAZELLE LLC
FEI/EIN Number: 87-2610215
3664 SW 24TH AVE UNIT 302
Gainesville, FL 32607
USA</t>
        </r>
      </text>
    </comment>
    <comment ref="S115" authorId="0" shapeId="0" xr:uid="{38E4AB7C-A06F-4A34-B452-B72E1924C4A4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Reposición QA</t>
        </r>
      </text>
    </comment>
    <comment ref="D122" authorId="0" shapeId="0" xr:uid="{ADBC56AE-BC09-4FEA-95A7-63AC7DCF90C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PEDIDO BLOQUEADO HASTA PROCESAR REGISTRO MUESTRA
07/07/2026
ok 17/07</t>
        </r>
      </text>
    </comment>
    <comment ref="L128" authorId="0" shapeId="0" xr:uid="{4AF1337D-F61F-4FED-A811-A778B7B35D7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NC x $10.239,84 foi diluida nos preços unitarios dos SKUs</t>
        </r>
      </text>
    </comment>
    <comment ref="M128" authorId="0" shapeId="0" xr:uid="{223749D5-3D38-4B62-9469-69C42C51BBBF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NC001- $10.239,84</t>
        </r>
      </text>
    </comment>
    <comment ref="G139" authorId="0" shapeId="0" xr:uid="{BBA9B24D-F99B-464F-BAE3-AF2610395FA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mudança em cond de credito-16/7/25</t>
        </r>
      </text>
    </comment>
    <comment ref="G140" authorId="0" shapeId="0" xr:uid="{8968EA40-29A2-41E0-8B19-9A32B9C87845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mudança em cond de credito-16/7/25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B5" authorId="0" shapeId="0" xr:uid="{7AF8B959-D1D3-428A-8583-016E26345C6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consolida 220.25 C</t>
        </r>
      </text>
    </comment>
    <comment ref="D5" authorId="0" shapeId="0" xr:uid="{3ABB71BA-6DE8-4F99-8194-1104ED37B06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346,92 sobrantes del swift anterior--: juros (intereses)</t>
        </r>
      </text>
    </comment>
    <comment ref="B12" authorId="0" shapeId="0" xr:uid="{744C64DC-3AEA-419C-A3EB-C0A06A2E363D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consolida 209.25 + 210.25</t>
        </r>
      </text>
    </comment>
    <comment ref="E12" authorId="0" shapeId="0" xr:uid="{ED0C59AD-4264-462C-BB29-20920C6ABBB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saldo + diferencia NC pagas com Swift 23/02</t>
        </r>
      </text>
    </comment>
    <comment ref="E22" authorId="0" shapeId="0" xr:uid="{CA7667B2-666D-4635-A516-F11062151B44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NC </t>
        </r>
      </text>
    </comment>
    <comment ref="E25" authorId="0" shapeId="0" xr:uid="{A88F551B-A1B3-43E8-8F1B-B2E2A351C23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Credit Note - Quality issues - customer informed</t>
        </r>
      </text>
    </comment>
    <comment ref="E32" authorId="0" shapeId="0" xr:uid="{6DC33BE8-3CD5-4575-A192-62CE47AD6BD8}">
      <text>
        <r>
          <rPr>
            <b/>
            <sz val="9"/>
            <color indexed="81"/>
            <rFont val="Tahoma"/>
            <family val="2"/>
          </rPr>
          <t>Mary Martinez:
15/09/25 - EUR 15.000 (TAXA 6,2640)
22/09/25 - EUR 14.000 (TAXA 6,2750)
FALTA SALDO USD 19.226,47
DOCUMENTADO 20/02/26 -A PARTIR DOS DADOS DO LUCIANO</t>
        </r>
      </text>
    </comment>
    <comment ref="I32" authorId="0" shapeId="0" xr:uid="{CD0419A0-A9AC-4070-97F5-E1D0D58FB5E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Negociado diretamente por Carlos R.</t>
        </r>
      </text>
    </comment>
    <comment ref="B50" authorId="0" shapeId="0" xr:uid="{386E67CC-082A-4107-A4B0-ED4672A449AE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consolida
003.26+005.26+007.26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A4" authorId="0" shapeId="0" xr:uid="{DD18F183-1F19-456E-A8BD-2B54DB9A78A5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Número de invoice gerado pela área de Export.</t>
        </r>
      </text>
    </comment>
    <comment ref="K6" authorId="0" shapeId="0" xr:uid="{956A0CED-D1CE-4DD6-A157-3AFBE88CC2D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NC x problemas calidad Sertapedic
($3.385,14)</t>
        </r>
      </text>
    </comment>
    <comment ref="J7" authorId="0" shapeId="0" xr:uid="{6F0ECC39-974C-43B2-AF53-A6662FD0E52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Saldo + diferencia NC pagas com Swift 23/02
Saldo parcial de -667,29 cubierto com SWIFT de fecha 24/04/26 ($5.659,15) y resto (4.991,86)  abona parcial invoice 220.25 - documentado 27/04/26</t>
        </r>
      </text>
    </comment>
    <comment ref="L7" authorId="0" shapeId="0" xr:uid="{D876D4CD-DBB5-41BE-88FF-333A35EC88F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SWIFT de fecha 24/04/26 ($5.659,15) y 
saldo anterior abona invoice 220.25 - documentado 27/04/26</t>
        </r>
      </text>
    </comment>
    <comment ref="I8" authorId="0" shapeId="0" xr:uid="{4876F9C6-62FD-40AF-A5DD-CAF896C181E8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inclui frete</t>
        </r>
      </text>
    </comment>
    <comment ref="L8" authorId="0" shapeId="0" xr:uid="{3F36066A-6FB4-48D0-BA39-6FAC01812E6D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SWIFT 01/06 acredita a esta invoice ($5.597,15)  + SWIFT 18/06 ($5.659,15)</t>
        </r>
      </text>
    </comment>
    <comment ref="L9" authorId="0" shapeId="0" xr:uid="{7DB9A360-75AD-4376-B807-8921C17D82E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Swift 12/08  +
Swift 18/09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A4" authorId="0" shapeId="0" xr:uid="{26D2334E-DEEA-4340-88BC-DA5CB16CA70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Número de invoice gerado pela área de Export.</t>
        </r>
      </text>
    </comment>
    <comment ref="C4" authorId="0" shapeId="0" xr:uid="{48985A62-6425-4DF1-85DA-CADE43D417F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Campo contém fórmulas.  Favor não alterar</t>
        </r>
      </text>
    </comment>
    <comment ref="C5" authorId="0" shapeId="0" xr:uid="{ABE20D6E-4F61-401B-A66D-220F072772C4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pedido 8302 - 700mts por reposição de qualidade</t>
        </r>
      </text>
    </comment>
    <comment ref="H5" authorId="0" shapeId="0" xr:uid="{E9269088-FF79-4A0A-A697-50F64162AF6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as amostras pagas por error junto invoice 187.25 serao consideradas juros/taxa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A4" authorId="0" shapeId="0" xr:uid="{BB7FD237-447F-43AB-8A43-EEF3F9C8290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Número de invoice gerado pela área de Export.</t>
        </r>
      </text>
    </comment>
    <comment ref="L7" authorId="0" shapeId="0" xr:uid="{4F48A317-9D90-4E4C-B515-49A6ECB0557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Saldo + diferencia NC pagas com Swift 23/02
Saldo parcial de -667,29 cubierto com SWIFT de fecha 24/04/26 ($5.659,15) y resto (4.991,86)  abona parcial invoice 220.25 - documentado 27/04/26</t>
        </r>
      </text>
    </comment>
    <comment ref="L8" authorId="0" shapeId="0" xr:uid="{E46CD942-45E9-4384-B5AC-6BA1AE0B32FE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SWIFT 01/06 acredita a esta invoice ($5.597,15)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A5" authorId="0" shapeId="0" xr:uid="{342FB448-688D-449A-84EE-37B3A4E62FED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Número de invoice gerado pela área de Export.</t>
        </r>
      </text>
    </comment>
  </commentList>
</comments>
</file>

<file path=xl/sharedStrings.xml><?xml version="1.0" encoding="utf-8"?>
<sst xmlns="http://schemas.openxmlformats.org/spreadsheetml/2006/main" count="3441" uniqueCount="994">
  <si>
    <t>150.25</t>
  </si>
  <si>
    <t>CLIENTE</t>
  </si>
  <si>
    <t>INVOICE</t>
  </si>
  <si>
    <t>165.25</t>
  </si>
  <si>
    <t>164.25</t>
  </si>
  <si>
    <t>157.25</t>
  </si>
  <si>
    <t>OBSERV.</t>
  </si>
  <si>
    <t>Bolivia</t>
  </si>
  <si>
    <t>Severiano Melgar</t>
  </si>
  <si>
    <t>jefecompras@colchonesheaven.com</t>
  </si>
  <si>
    <t>David Moreno</t>
  </si>
  <si>
    <t>david_moreno_2000@yahoo.com</t>
  </si>
  <si>
    <t>NA</t>
  </si>
  <si>
    <t>compras@colchonesheaven.com</t>
  </si>
  <si>
    <t>Marcos</t>
  </si>
  <si>
    <t>madrisa@inmapol.com.py</t>
  </si>
  <si>
    <t>595 21 942 599</t>
  </si>
  <si>
    <t xml:space="preserve">Alejandro Abraham </t>
  </si>
  <si>
    <t>ale@erwinabraham.com</t>
  </si>
  <si>
    <t>comexgye@paraiso.com.ec</t>
  </si>
  <si>
    <t>Alcibiades Greco</t>
  </si>
  <si>
    <t>unicornio_py@yahoo.es</t>
  </si>
  <si>
    <t>595 982 119084</t>
  </si>
  <si>
    <t>Yessica</t>
  </si>
  <si>
    <t>Yessicanuf@gmail.com</t>
  </si>
  <si>
    <t>FRANCO MACHAO</t>
  </si>
  <si>
    <t>franco.machao@divino.com.uy</t>
  </si>
  <si>
    <t>+ 598 (2) 506.1262</t>
  </si>
  <si>
    <t>Chile</t>
  </si>
  <si>
    <t>Paulina Mena</t>
  </si>
  <si>
    <t>paulina.mena@flex.es</t>
  </si>
  <si>
    <t>56 96205 0626</t>
  </si>
  <si>
    <t>Juan Carlos Villarroel</t>
  </si>
  <si>
    <t>jcvillarroel@sunlock.cl</t>
  </si>
  <si>
    <t>(+56) 98529-7739</t>
  </si>
  <si>
    <t>Livio Zozzoli</t>
  </si>
  <si>
    <t>liviozozzoli@maxiking.com.bo</t>
  </si>
  <si>
    <t>CONEXÃO MALHAS  - CONTATOS CLAVES  / CLIENTES ATIVOS</t>
  </si>
  <si>
    <t>Regiao</t>
  </si>
  <si>
    <t>Sub-regiao</t>
  </si>
  <si>
    <t>Clientes</t>
  </si>
  <si>
    <t>Ativos</t>
  </si>
  <si>
    <t>Inativos</t>
  </si>
  <si>
    <t>Prospect</t>
  </si>
  <si>
    <t>Potencial</t>
  </si>
  <si>
    <t>Estrategicos</t>
  </si>
  <si>
    <t>Sensiveis</t>
  </si>
  <si>
    <t>contato</t>
  </si>
  <si>
    <t>cargo</t>
  </si>
  <si>
    <t xml:space="preserve">email </t>
  </si>
  <si>
    <t>telefone</t>
  </si>
  <si>
    <t>Observ.</t>
  </si>
  <si>
    <t>Santiago</t>
  </si>
  <si>
    <t>Flex Equipos de Descanso</t>
  </si>
  <si>
    <t>Sim</t>
  </si>
  <si>
    <t>-</t>
  </si>
  <si>
    <t>Grande</t>
  </si>
  <si>
    <t>Compras</t>
  </si>
  <si>
    <t>amostras/ desenvolvimento/OC</t>
  </si>
  <si>
    <t>Danae Briones</t>
  </si>
  <si>
    <t>Importações</t>
  </si>
  <si>
    <t>danae.briones@flex.es</t>
  </si>
  <si>
    <t>+56 9 5514 2584</t>
  </si>
  <si>
    <t>Francesca Seitz</t>
  </si>
  <si>
    <t>Marketing</t>
  </si>
  <si>
    <t>francesca.seitz@flex.es</t>
  </si>
  <si>
    <t>+56 9 3451 9331</t>
  </si>
  <si>
    <t>Angelo Almonacid</t>
  </si>
  <si>
    <t>Supply</t>
  </si>
  <si>
    <t>angelo.almonacid@flex.es</t>
  </si>
  <si>
    <t>+56 9 4400 6214</t>
  </si>
  <si>
    <t>Manager of others</t>
  </si>
  <si>
    <t>Sunlock (Serta)</t>
  </si>
  <si>
    <t>Pequeno</t>
  </si>
  <si>
    <t>Felipe San Martin</t>
  </si>
  <si>
    <t>Socio</t>
  </si>
  <si>
    <t>fsanmartin@multimetal.cl</t>
  </si>
  <si>
    <t>+56 9 9939 1194</t>
  </si>
  <si>
    <t>Estrategico/ pagamentos</t>
  </si>
  <si>
    <t>Muebles MPR</t>
  </si>
  <si>
    <t>Misael</t>
  </si>
  <si>
    <t>Financeiro</t>
  </si>
  <si>
    <t>+56 9 5413 0257</t>
  </si>
  <si>
    <t>Daniel Carvajal</t>
  </si>
  <si>
    <t>mpr.muebleria@gmail.com</t>
  </si>
  <si>
    <t>+56 9 7977 0882</t>
  </si>
  <si>
    <t>Paraguai</t>
  </si>
  <si>
    <t>Asuncao</t>
  </si>
  <si>
    <t>SuperSpuma</t>
  </si>
  <si>
    <t>Medio</t>
  </si>
  <si>
    <t>Leticia Roig</t>
  </si>
  <si>
    <t>leticia.roig@superspuma.com.py</t>
  </si>
  <si>
    <t>+595 985 629024</t>
  </si>
  <si>
    <t>Maria Laura</t>
  </si>
  <si>
    <t>maria.laura@superspuma.com.py</t>
  </si>
  <si>
    <t>+595 986 154856</t>
  </si>
  <si>
    <t>Ruth Sosa</t>
  </si>
  <si>
    <t>ruth.sosa@superspuma.com.py</t>
  </si>
  <si>
    <t>+595 971 889820</t>
  </si>
  <si>
    <t>Inmapol (Industria de la madera)</t>
  </si>
  <si>
    <t>Representante</t>
  </si>
  <si>
    <t>intermediario</t>
  </si>
  <si>
    <t>Luque</t>
  </si>
  <si>
    <t>Materassi (Sea Trading)</t>
  </si>
  <si>
    <t>Santa Rita</t>
  </si>
  <si>
    <t>Nature (NM Espuma)</t>
  </si>
  <si>
    <t>Federico Nuñez</t>
  </si>
  <si>
    <t>federico@nunez.com.py</t>
  </si>
  <si>
    <t>+595 983 603791</t>
  </si>
  <si>
    <t>Jorge Nuñez</t>
  </si>
  <si>
    <t>jorge@nunez.com.py</t>
  </si>
  <si>
    <t>+595 983 688644</t>
  </si>
  <si>
    <t>Susana Diaz</t>
  </si>
  <si>
    <t>administracion@nature.com.py</t>
  </si>
  <si>
    <t>+595 982 795064</t>
  </si>
  <si>
    <t>admin</t>
  </si>
  <si>
    <t>Argentina</t>
  </si>
  <si>
    <t>Buenos Aires</t>
  </si>
  <si>
    <t>Simmons Argentina</t>
  </si>
  <si>
    <t>Martin Miller</t>
  </si>
  <si>
    <t>comercial@martinmiller.com.ar</t>
  </si>
  <si>
    <t>+54 9 11 6237-7072</t>
  </si>
  <si>
    <t>Uruguai</t>
  </si>
  <si>
    <t>Montevideo</t>
  </si>
  <si>
    <t>Divino</t>
  </si>
  <si>
    <t>Comex</t>
  </si>
  <si>
    <t>Agustina Vuco</t>
  </si>
  <si>
    <t>agustina.vuco@divino.com.uy</t>
  </si>
  <si>
    <t>+598 98 456 659</t>
  </si>
  <si>
    <t>Emilia Torres</t>
  </si>
  <si>
    <t>emilia.torres@divino.com.uy</t>
  </si>
  <si>
    <t>+598 98 455 154</t>
  </si>
  <si>
    <t>comex@divino.com.uy</t>
  </si>
  <si>
    <t>Esteban Saibene</t>
  </si>
  <si>
    <t>esteban.saibene@divino.com.uy</t>
  </si>
  <si>
    <t>+598 92 873 272</t>
  </si>
  <si>
    <t>Moveis</t>
  </si>
  <si>
    <t>Federico  Durán</t>
  </si>
  <si>
    <t>Operações</t>
  </si>
  <si>
    <t>federico.duran@divino.com.uy</t>
  </si>
  <si>
    <t>+598 99 919 936</t>
  </si>
  <si>
    <t>Gte Gral Fabrica</t>
  </si>
  <si>
    <t>Fernando Rugiero</t>
  </si>
  <si>
    <t>fernando.rugiero@divino.com.uy</t>
  </si>
  <si>
    <t>+598 92 622 679</t>
  </si>
  <si>
    <t>Tecido</t>
  </si>
  <si>
    <t>Francisco Studer</t>
  </si>
  <si>
    <t>francisco.studer@divino.com.uy</t>
  </si>
  <si>
    <t>+598 92 815 133</t>
  </si>
  <si>
    <t>Hernán Berro</t>
  </si>
  <si>
    <t>hernan.berro@divino.com.uy</t>
  </si>
  <si>
    <t>+598 98 988 226</t>
  </si>
  <si>
    <t>Director</t>
  </si>
  <si>
    <t>Cecilia Solodilin</t>
  </si>
  <si>
    <t>cecilia.solodilin@divino.com.uy</t>
  </si>
  <si>
    <t>+59825061262</t>
  </si>
  <si>
    <t>Asistente de Fernando Rugiero</t>
  </si>
  <si>
    <t>Polymax</t>
  </si>
  <si>
    <t>Gonzalo Rodriguez</t>
  </si>
  <si>
    <t>Gerente Gral</t>
  </si>
  <si>
    <t>grodriguez@polymax.com.uy</t>
  </si>
  <si>
    <t>+598 2320 2320</t>
  </si>
  <si>
    <t>Eliana Garyalde</t>
  </si>
  <si>
    <t>Asistente Gerencia</t>
  </si>
  <si>
    <t>asistente.gerencia@polymax.com.uy</t>
  </si>
  <si>
    <t>+598 94 507 590</t>
  </si>
  <si>
    <t>Equador</t>
  </si>
  <si>
    <t>Guayaquil</t>
  </si>
  <si>
    <t>Productos Paraiso do Ecuador</t>
  </si>
  <si>
    <t>Diego Perez</t>
  </si>
  <si>
    <t>diegoperez@paraiso.com.ec</t>
  </si>
  <si>
    <t>+593 98 728 8947</t>
  </si>
  <si>
    <t>Francisco Rivas</t>
  </si>
  <si>
    <t>gerencia.c@paraiso.com.ec</t>
  </si>
  <si>
    <t>+593 99 440 2827</t>
  </si>
  <si>
    <t>Jose Luis Andrango</t>
  </si>
  <si>
    <t>joseandrango@paraiso.com.ec</t>
  </si>
  <si>
    <t>+593 99 161 0288</t>
  </si>
  <si>
    <t>Joana Ñato</t>
  </si>
  <si>
    <t>comexuio@paraiso.com.ec</t>
  </si>
  <si>
    <t>+593 99 784 7907</t>
  </si>
  <si>
    <t>pagamento</t>
  </si>
  <si>
    <t>Maria José Camacho</t>
  </si>
  <si>
    <t>+593 99 949 4115</t>
  </si>
  <si>
    <t>René Cortes</t>
  </si>
  <si>
    <t>gerenciagye@paraiso.com.ec</t>
  </si>
  <si>
    <t>+593 99 377 7690</t>
  </si>
  <si>
    <t>Cuenca</t>
  </si>
  <si>
    <t>Colineal</t>
  </si>
  <si>
    <t>Gabriela Briones</t>
  </si>
  <si>
    <t>gabrielabriones@colinealcorp.com</t>
  </si>
  <si>
    <t>+593 99 530 6517</t>
  </si>
  <si>
    <t>Patricio Culquer</t>
  </si>
  <si>
    <t>patricioculquer@colinealcorp.com</t>
  </si>
  <si>
    <t>+593 99 847 9284</t>
  </si>
  <si>
    <t>Patricia Arce</t>
  </si>
  <si>
    <t>importaciones@colinealcorp.com</t>
  </si>
  <si>
    <t>+593 99 151 9067</t>
  </si>
  <si>
    <t>Santa Cruz</t>
  </si>
  <si>
    <t>Maxi King</t>
  </si>
  <si>
    <t>Claudia Siles</t>
  </si>
  <si>
    <t>importaciones@maxiking.com.bo</t>
  </si>
  <si>
    <t>+591 75002325</t>
  </si>
  <si>
    <t>+591 76640034</t>
  </si>
  <si>
    <t>Silvia Zerda</t>
  </si>
  <si>
    <t>silviazerda@maxiking.com.bo</t>
  </si>
  <si>
    <t>+591 76640036</t>
  </si>
  <si>
    <t>Heaven (David Moreno)</t>
  </si>
  <si>
    <t>+591 78516162</t>
  </si>
  <si>
    <t>+591 70871171</t>
  </si>
  <si>
    <t>Daniel Garnica</t>
  </si>
  <si>
    <t>+591 75501534</t>
  </si>
  <si>
    <t>Siro</t>
  </si>
  <si>
    <t>siro22091975@gmail.com</t>
  </si>
  <si>
    <t>+591 67898756</t>
  </si>
  <si>
    <t>Wenturs Trade (Distribuidor)</t>
  </si>
  <si>
    <t>Sr. Josimar  Kronembold</t>
  </si>
  <si>
    <t>+591 75381793</t>
  </si>
  <si>
    <t>Arnaldo</t>
  </si>
  <si>
    <t>+591 69050221</t>
  </si>
  <si>
    <t>Venezuela</t>
  </si>
  <si>
    <t>Valencia</t>
  </si>
  <si>
    <t>Corporacion CLC (Colchones CLC)</t>
  </si>
  <si>
    <t>Jasmin Dugga</t>
  </si>
  <si>
    <t>+58 412-8317925</t>
  </si>
  <si>
    <t>Colombia</t>
  </si>
  <si>
    <t>Medellin</t>
  </si>
  <si>
    <t>Comodissimo (Espumas Plasticas)</t>
  </si>
  <si>
    <t>Manuela Torres</t>
  </si>
  <si>
    <t>+57 311 7282925</t>
  </si>
  <si>
    <t>Veronica Ardila</t>
  </si>
  <si>
    <t>+57 300 2422425</t>
  </si>
  <si>
    <t>Guatemala</t>
  </si>
  <si>
    <t>Facenco</t>
  </si>
  <si>
    <t>Nestor Alvarado</t>
  </si>
  <si>
    <t>+502 5191 1018</t>
  </si>
  <si>
    <t>Mishell Fernandez</t>
  </si>
  <si>
    <t>+502 5525 8000</t>
  </si>
  <si>
    <t>Rudy</t>
  </si>
  <si>
    <t>Vendas</t>
  </si>
  <si>
    <t>+502 5702 8641</t>
  </si>
  <si>
    <t>Dir. Comercial / Socio</t>
  </si>
  <si>
    <t>Industria Ultra</t>
  </si>
  <si>
    <t>Juan Solares</t>
  </si>
  <si>
    <t>+502 5306 1895</t>
  </si>
  <si>
    <t>Luis Pedro Solares</t>
  </si>
  <si>
    <t>+502 5204 8138</t>
  </si>
  <si>
    <t>Camas Florida</t>
  </si>
  <si>
    <t>Annie</t>
  </si>
  <si>
    <t>+504 3151-3705</t>
  </si>
  <si>
    <t>Jacqueline</t>
  </si>
  <si>
    <t>+502 4570 7194</t>
  </si>
  <si>
    <t>Honduras</t>
  </si>
  <si>
    <t>Tegucigalpa</t>
  </si>
  <si>
    <t>Proahfoam</t>
  </si>
  <si>
    <t>Arturo</t>
  </si>
  <si>
    <t>+504 9990-8010</t>
  </si>
  <si>
    <t>Mariela Aguilar</t>
  </si>
  <si>
    <t>+504 9443-2161</t>
  </si>
  <si>
    <t>Claudia Acosta</t>
  </si>
  <si>
    <t>+504 3157-3432</t>
  </si>
  <si>
    <t>Cuba</t>
  </si>
  <si>
    <t>Mariel</t>
  </si>
  <si>
    <t>Sueños Tropicales (AGT)</t>
  </si>
  <si>
    <t>Neorquides</t>
  </si>
  <si>
    <t>+34 641 91 60 94</t>
  </si>
  <si>
    <t>Komfort Cuba</t>
  </si>
  <si>
    <t>Ricardo</t>
  </si>
  <si>
    <t>+53 5 2639277</t>
  </si>
  <si>
    <t>Walter Castro</t>
  </si>
  <si>
    <t>+1 (809) 224-3758</t>
  </si>
  <si>
    <t>DATA  COLETA</t>
  </si>
  <si>
    <t>SUNLOCK</t>
  </si>
  <si>
    <t>149.25</t>
  </si>
  <si>
    <t>Pre-payment</t>
  </si>
  <si>
    <t>days</t>
  </si>
  <si>
    <t>VALOR TOTAL
R$</t>
  </si>
  <si>
    <t>DIVINO</t>
  </si>
  <si>
    <t>135.24</t>
  </si>
  <si>
    <t>50% Pre Payment - 50% After Received</t>
  </si>
  <si>
    <t>136.25</t>
  </si>
  <si>
    <t>DATA VENCIMENTO/
DEADLINE</t>
  </si>
  <si>
    <t>DAVID MORENO VISCARRA</t>
  </si>
  <si>
    <t>148.25</t>
  </si>
  <si>
    <t>Pre Payment - 100% Counter Expedition</t>
  </si>
  <si>
    <t>SUPERSPUMA PARAGUAY (SAECA)</t>
  </si>
  <si>
    <t>145.25</t>
  </si>
  <si>
    <t>144.25</t>
  </si>
  <si>
    <t>30 days after received</t>
  </si>
  <si>
    <t>152.25</t>
  </si>
  <si>
    <t>90 Days</t>
  </si>
  <si>
    <t>FLEX CHILE</t>
  </si>
  <si>
    <t>158.25</t>
  </si>
  <si>
    <t>30 - 60 DAYS</t>
  </si>
  <si>
    <t>162.25</t>
  </si>
  <si>
    <t>156.25</t>
  </si>
  <si>
    <t>161.25</t>
  </si>
  <si>
    <t>CUBA - David Rosabal Container 2</t>
  </si>
  <si>
    <t>CUBA - David Rosabal Container 1</t>
  </si>
  <si>
    <t>160.25</t>
  </si>
  <si>
    <t>151.25</t>
  </si>
  <si>
    <t>TOTAL DUE PAYMENT-AS PER INVOICE
US$</t>
  </si>
  <si>
    <t>147.25</t>
  </si>
  <si>
    <t>PARAÍSO DEL ECUADOR</t>
  </si>
  <si>
    <t>60 Days</t>
  </si>
  <si>
    <t>PAYMENT
TERMS</t>
  </si>
  <si>
    <t>INMAPOL</t>
  </si>
  <si>
    <t>167.25</t>
  </si>
  <si>
    <t>DATA INVOICE</t>
  </si>
  <si>
    <t>163.25</t>
  </si>
  <si>
    <t>159.25</t>
  </si>
  <si>
    <t>SEA TRADING (MATERASSI)</t>
  </si>
  <si>
    <t>166.25</t>
  </si>
  <si>
    <t>174.25</t>
  </si>
  <si>
    <t>176.25</t>
  </si>
  <si>
    <t>175.25</t>
  </si>
  <si>
    <t>BED TIME</t>
  </si>
  <si>
    <t>30 days, after customs clearance</t>
  </si>
  <si>
    <t>173.25</t>
  </si>
  <si>
    <t>168.25</t>
  </si>
  <si>
    <t>153.25</t>
  </si>
  <si>
    <t>177.25</t>
  </si>
  <si>
    <t>25% Advanced - 2 Cuotes 60/90</t>
  </si>
  <si>
    <t>MAXI KING</t>
  </si>
  <si>
    <t>172.25</t>
  </si>
  <si>
    <t>171.25</t>
  </si>
  <si>
    <t>PEDIDO 
TOTVS</t>
  </si>
  <si>
    <t>56.541 / 56.509</t>
  </si>
  <si>
    <t>PV 5165 / 6043 / 5386 - NF 56.544 clxd</t>
  </si>
  <si>
    <t>PV5321 - NF 56.528 clxd</t>
  </si>
  <si>
    <t>56.800/56.801</t>
  </si>
  <si>
    <t>57492/ 57.489/ 57.559/57.558</t>
  </si>
  <si>
    <t>4725 / 6114 / 6236</t>
  </si>
  <si>
    <t>57600/57.144</t>
  </si>
  <si>
    <t xml:space="preserve">PV 6623 / 6561
</t>
  </si>
  <si>
    <t>57985 / 57.984</t>
  </si>
  <si>
    <t>PV 6752 / 6868 / 6949</t>
  </si>
  <si>
    <t>58048/57.898</t>
  </si>
  <si>
    <t>58050/57.900</t>
  </si>
  <si>
    <t xml:space="preserve">57673/57.493
</t>
  </si>
  <si>
    <t>GESTÃO DE PAGAMENTO</t>
  </si>
  <si>
    <t>TOTAL VALUE $</t>
  </si>
  <si>
    <t>ADVANCE PAYMENT</t>
  </si>
  <si>
    <t>TOTAL DUE BALANCE</t>
  </si>
  <si>
    <t>INDUSTRIAS MORENO (HEAVEN)</t>
  </si>
  <si>
    <t>INMAPOL (Industria de la Madera y el Poliuretano)</t>
  </si>
  <si>
    <t>MATERASSI (SEA TRADING)</t>
  </si>
  <si>
    <t>ADVANCE 
PAYMENT (US$)</t>
  </si>
  <si>
    <t>TOTAL DUE 
BALANCE (US$)</t>
  </si>
  <si>
    <t>NÚMERO 
NF</t>
  </si>
  <si>
    <t xml:space="preserve">6353 /6561 /6039 /6353
</t>
  </si>
  <si>
    <t>CLIENTES</t>
  </si>
  <si>
    <t>INVOICE 
(EXPORT.)</t>
  </si>
  <si>
    <t>178.25</t>
  </si>
  <si>
    <t>parcialmente atendido</t>
  </si>
  <si>
    <t>6623 / 6561</t>
  </si>
  <si>
    <t>6816 / 6623</t>
  </si>
  <si>
    <t>6752 / 6868 / 6949</t>
  </si>
  <si>
    <t>6536 / 6827</t>
  </si>
  <si>
    <t>30 days</t>
  </si>
  <si>
    <t xml:space="preserve">will Charge--Rep. Qualidade.  2.222,72 </t>
  </si>
  <si>
    <t>paga</t>
  </si>
  <si>
    <t>futura</t>
  </si>
  <si>
    <t>pendente</t>
  </si>
  <si>
    <t>Informo que el (los) siguiente(s) pedido(s) ya ha(n) sido despachados y quedamos atentos a la confirmación del (los) respectivo(s) pago(s) con copia del documento SWIFT:</t>
  </si>
  <si>
    <t>Anexo documento con la información sobre los detalles bancarios y copia de la factura.</t>
  </si>
  <si>
    <t>Mil Gracias de antemano por su atención.   Quedamos a su disposición.</t>
  </si>
  <si>
    <t>Cordiales Saludos,</t>
  </si>
  <si>
    <r>
      <t xml:space="preserve">Señores </t>
    </r>
    <r>
      <rPr>
        <b/>
        <sz val="11"/>
        <color rgb="FF000000"/>
        <rFont val="Aptos"/>
        <family val="2"/>
      </rPr>
      <t>__________</t>
    </r>
  </si>
  <si>
    <t>Buenos días Estimados ______,</t>
  </si>
  <si>
    <t>CONEXÃO MALHAS  - CONTATOS CHAVES  / CLIENTES ATIVOS</t>
  </si>
  <si>
    <t>+595 981 485190</t>
  </si>
  <si>
    <t>Liliana Jare Arias</t>
  </si>
  <si>
    <t>Administrativo</t>
  </si>
  <si>
    <t>contabilidad@maxiking.com.bo</t>
  </si>
  <si>
    <t>+591 33485151</t>
  </si>
  <si>
    <t>cuida de transporte asignado</t>
  </si>
  <si>
    <t>josimar.vicunha@gmail.com</t>
  </si>
  <si>
    <t>Arnaldo Balcazar</t>
  </si>
  <si>
    <t>j.dugga@clccolchones.com</t>
  </si>
  <si>
    <t>Comodisimos (Espumas Plasticas)</t>
  </si>
  <si>
    <t>manuela.torres@comodisimos.com</t>
  </si>
  <si>
    <t>veronica.ardila@comodisimos.com</t>
  </si>
  <si>
    <t>coordinadorcompras@camasfacenco.net</t>
  </si>
  <si>
    <t>Rudy Fuentes</t>
  </si>
  <si>
    <t>rfuentes@camasfacenco.net</t>
  </si>
  <si>
    <t>jpsolares@ultraindustrias.com</t>
  </si>
  <si>
    <t>luispsolares@ultraindustrias.com</t>
  </si>
  <si>
    <t>Annie Mejia</t>
  </si>
  <si>
    <t>compras.hn@industriasflorida.com</t>
  </si>
  <si>
    <t>Jacqueline Centeno</t>
  </si>
  <si>
    <t>compras@industriasflorida.com</t>
  </si>
  <si>
    <t>Arturo Castillo</t>
  </si>
  <si>
    <t>acastillo@prohfoam.com</t>
  </si>
  <si>
    <t>compras@prohfoam.com</t>
  </si>
  <si>
    <t>gerenciadelogistica.hn@industriasflorida.com</t>
  </si>
  <si>
    <t>Neorquides Hernández</t>
  </si>
  <si>
    <t>neorquidessag@gmail.com</t>
  </si>
  <si>
    <t>waltercastrosuarez@gmail.com</t>
  </si>
  <si>
    <t>180.25</t>
  </si>
  <si>
    <t>181.25</t>
  </si>
  <si>
    <t>SUNLOCK SPA</t>
  </si>
  <si>
    <t>Total general (DUE)</t>
  </si>
  <si>
    <t>6752 / 6868 / 6949; ajustada para 164.25.  Ver valores nessa cell</t>
  </si>
  <si>
    <t>183.25</t>
  </si>
  <si>
    <t>184.25</t>
  </si>
  <si>
    <t>Ok - pago de US$ 15168,15 (3jun25)</t>
  </si>
  <si>
    <t>Notificado/Pgo 03Jun 13980,26</t>
  </si>
  <si>
    <t>pgo $15168,15 /enviado cubre 130.24/150.25/157.25</t>
  </si>
  <si>
    <t>RECIB. 
PGTO</t>
  </si>
  <si>
    <t>09/06- ajuste de qtde invoice final despacho/pgo 06/06- Taxa $60</t>
  </si>
  <si>
    <t>58048/57.898/57.985/57.984</t>
  </si>
  <si>
    <t xml:space="preserve">6752 / 6868 / 6949/6816 /6623
</t>
  </si>
  <si>
    <t>6880/ 7178</t>
  </si>
  <si>
    <t>58433/58.358</t>
  </si>
  <si>
    <t>6880 / 7015</t>
  </si>
  <si>
    <t>DIST. CASEROS</t>
  </si>
  <si>
    <t xml:space="preserve">7178/6880/7015
</t>
  </si>
  <si>
    <t>Ok - pago de US$ 5,271,96 (13jun25)</t>
  </si>
  <si>
    <t>185.25</t>
  </si>
  <si>
    <t>INDUCOL</t>
  </si>
  <si>
    <t>parcial</t>
  </si>
  <si>
    <t>FLUXO DE CREDITO</t>
  </si>
  <si>
    <t>Não procede</t>
  </si>
  <si>
    <t>cancelar</t>
  </si>
  <si>
    <t>188.25</t>
  </si>
  <si>
    <t>email- cobrança não procede; pedido nunca foi despachado-devera ser dado de baixa do sist.</t>
  </si>
  <si>
    <t>despacho junto c/173.25 e 177.25/ Invoice revisada 02Jul -(esta Inv.- 30.148,81)</t>
  </si>
  <si>
    <t>7235 (7068 / 7235)</t>
  </si>
  <si>
    <t>(7178 / 7234)</t>
  </si>
  <si>
    <t>Alteraçã valor proforma por alteração código artigo</t>
  </si>
  <si>
    <t>Detalles de Suma de TOTAL DUE 
BALANCE (US$) - CLIENTE: DIVINO, RECIB. 
PGTO: futura</t>
  </si>
  <si>
    <t xml:space="preserve">YP  S.A. (Grupo Suenolar) </t>
  </si>
  <si>
    <t>NUEVO SWIFT</t>
  </si>
  <si>
    <t>Cual Invoice????</t>
  </si>
  <si>
    <t>despacho junto c/173.25 e 177.25/ Invoice revisada 02Jul -(esta Inv.- 30.148,81)- Swift 11jul 12475 +  taxa</t>
  </si>
  <si>
    <t>177.25+173.25+ 184.25 (consolida saida)- valor em 184.25</t>
  </si>
  <si>
    <t>189.25</t>
  </si>
  <si>
    <t>190.25</t>
  </si>
  <si>
    <t>191.25</t>
  </si>
  <si>
    <t>192.25</t>
  </si>
  <si>
    <t>193.25</t>
  </si>
  <si>
    <t>60 days, after customs clearance</t>
  </si>
  <si>
    <t>179.25</t>
  </si>
  <si>
    <t>(11.960,00)  - Devolução cliente processada 23/07 -NF 059.324 - R$ 41.676,25</t>
  </si>
  <si>
    <t>faturado  /  6880 / 7015 -- Invoice saida 167.25+168.25+181.25 (12.665,19) - 7.360,00</t>
  </si>
  <si>
    <t>167+168+181 - inv 167.25 + 168.25 juntas para faturamento - Fup</t>
  </si>
  <si>
    <t>167+168+181/ add +400/+200 dos mesmos artigos 19/5 (125.25 amostras)</t>
  </si>
  <si>
    <t>Detalles de Suma de TOTAL DUE 
BALANCE (US$) - CLIENTE: FLEX CHILE, RECIB. 
PGTO: futura</t>
  </si>
  <si>
    <t>194.25</t>
  </si>
  <si>
    <t>195.25</t>
  </si>
  <si>
    <t>SPRINGWALL - VAZQUEZ SACII</t>
  </si>
  <si>
    <r>
      <t>7178/6880/7015/</t>
    </r>
    <r>
      <rPr>
        <b/>
        <sz val="8"/>
        <color rgb="FFFF0000"/>
        <rFont val="Calibri"/>
        <family val="2"/>
        <scheme val="minor"/>
      </rPr>
      <t xml:space="preserve">7797
</t>
    </r>
  </si>
  <si>
    <t xml:space="preserve">will NOT Charge--Rep. Qualidade.  2.222,72 </t>
  </si>
  <si>
    <t>Swift 25/6</t>
  </si>
  <si>
    <t>NF 56.540 cxld (8.017,81)- ESCLARECIDO/ Cancelar</t>
  </si>
  <si>
    <t>---</t>
  </si>
  <si>
    <t>Pedido nunca foi despachado/devem dar baixa do Sistema (US$8137,03/NF R$47380,3)</t>
  </si>
  <si>
    <t>Devolução</t>
  </si>
  <si>
    <r>
      <t>7780/7777/</t>
    </r>
    <r>
      <rPr>
        <b/>
        <sz val="8"/>
        <color rgb="FFFF0000"/>
        <rFont val="Calibri"/>
        <family val="2"/>
        <scheme val="minor"/>
      </rPr>
      <t>7857</t>
    </r>
  </si>
  <si>
    <t>01/07/2025  - 28/07 - 06/08</t>
  </si>
  <si>
    <t>parcialmente atendido- consolida invoice 164.25</t>
  </si>
  <si>
    <t>196.25</t>
  </si>
  <si>
    <t>197.25</t>
  </si>
  <si>
    <t>198.25</t>
  </si>
  <si>
    <t>199.25</t>
  </si>
  <si>
    <t>SIMMONS ARGENTINA</t>
  </si>
  <si>
    <t>59540/ 59677/59696</t>
  </si>
  <si>
    <t>187.25</t>
  </si>
  <si>
    <t>POLYMAX</t>
  </si>
  <si>
    <t>60 days</t>
  </si>
  <si>
    <t>01/07/2025 - 16/07 - 28/07- 05/08 - 06/08-25/08</t>
  </si>
  <si>
    <r>
      <rPr>
        <b/>
        <strike/>
        <sz val="8"/>
        <color rgb="FF7030A0"/>
        <rFont val="Calibri"/>
        <family val="2"/>
        <scheme val="minor"/>
      </rPr>
      <t>7672/</t>
    </r>
    <r>
      <rPr>
        <b/>
        <sz val="8"/>
        <color rgb="FF7030A0"/>
        <rFont val="Calibri"/>
        <family val="2"/>
        <scheme val="minor"/>
      </rPr>
      <t xml:space="preserve"> </t>
    </r>
    <r>
      <rPr>
        <b/>
        <sz val="8"/>
        <color rgb="FFC00000"/>
        <rFont val="Calibri"/>
        <family val="2"/>
        <scheme val="minor"/>
      </rPr>
      <t>8254</t>
    </r>
  </si>
  <si>
    <t>Ok pedido - Invoice unificada com 185.25-incçuye flete /59818 y 59554Clxd- Swift (2008) $33,411.94/ver adelanto em 185.25</t>
  </si>
  <si>
    <r>
      <t xml:space="preserve">7763/ </t>
    </r>
    <r>
      <rPr>
        <b/>
        <sz val="8"/>
        <color rgb="FFC00000"/>
        <rFont val="Calibri"/>
        <family val="2"/>
        <scheme val="minor"/>
      </rPr>
      <t>8220</t>
    </r>
  </si>
  <si>
    <t>200.25</t>
  </si>
  <si>
    <t>201.25</t>
  </si>
  <si>
    <t>MULTIESPUMAS VISCARRA</t>
  </si>
  <si>
    <t>SERVAN EXPORTADORA DE MANUFACTURADOS LTDA (ABBA)</t>
  </si>
  <si>
    <t>NF CXLD</t>
  </si>
  <si>
    <t>pgto 13Jun  VALOR DE FRETE:R$ 5.702,75/ NF 57.397 cxld/ não tem pasta</t>
  </si>
  <si>
    <t>Invoice saida 181.25-167.25</t>
  </si>
  <si>
    <t>Paga - sin documentación de soporte</t>
  </si>
  <si>
    <t>USD</t>
  </si>
  <si>
    <t>sinal</t>
  </si>
  <si>
    <t>Servan</t>
  </si>
  <si>
    <t>202.25</t>
  </si>
  <si>
    <t>203.25</t>
  </si>
  <si>
    <t xml:space="preserve">Pago </t>
  </si>
  <si>
    <t>F-up 24/04- sem novos comentários/ Ok - pago</t>
  </si>
  <si>
    <t>Recibido Swift Saldo 28/4. Solicita relatorio comisiones pendientes/rqtd Luciano/ OK - pago</t>
  </si>
  <si>
    <t>Envio CNPJ- Saldo recebido- email confirmando CR/ OK pago</t>
  </si>
  <si>
    <t>pgo confirmado 03Jun/ OK pago</t>
  </si>
  <si>
    <t>Swift recibido 14/08-saldo pendiente recbido 29/08 pago</t>
  </si>
  <si>
    <t>email s/ resposta 15/7- PAGA</t>
  </si>
  <si>
    <t>pagó - swift 05082025 pagA</t>
  </si>
  <si>
    <t>01/07/2025 - 16/07 - 28/07- 05/08 - 06/08-25/08-10/09</t>
  </si>
  <si>
    <t>13/08, 25/08, 27/08, 03/09-10/09</t>
  </si>
  <si>
    <t>205.25</t>
  </si>
  <si>
    <t>30 Days</t>
  </si>
  <si>
    <t>7523/8302</t>
  </si>
  <si>
    <t>TOTAL DUE BALANCE 
US$</t>
  </si>
  <si>
    <t>finalizado</t>
  </si>
  <si>
    <t>paga Swift 18sep</t>
  </si>
  <si>
    <t>60876/60877</t>
  </si>
  <si>
    <t>208.25</t>
  </si>
  <si>
    <t>206.25</t>
  </si>
  <si>
    <t>Swift 0807-taxa ($55) $29400 )(adiantamento) / Alteração valor proforma por alteração código artigo/juntó saldo de 184.25./Swift 1908 $31388,50/</t>
  </si>
  <si>
    <t>209.25</t>
  </si>
  <si>
    <t>61146 (R$ 29.893,05)</t>
  </si>
  <si>
    <t>210.25</t>
  </si>
  <si>
    <t>Ajuste invoice final- Swift pago 07/10</t>
  </si>
  <si>
    <t>211.25</t>
  </si>
  <si>
    <t>204.25</t>
  </si>
  <si>
    <t>COLCHONES PRINCE</t>
  </si>
  <si>
    <t>SIMMONS ARG</t>
  </si>
  <si>
    <t xml:space="preserve">58356/ 58476 (amostra fat)
</t>
  </si>
  <si>
    <t>213.25</t>
  </si>
  <si>
    <t>Paga -  saldo paga amostras 121.25</t>
  </si>
  <si>
    <t>faturado  -  57652 Devolução? R$  8017,81-Notificado 13/08/ Swift 30.363,32 (180925)- Recbimento -70 (Taxa)-Consolida 159.25+205.25</t>
  </si>
  <si>
    <r>
      <t>Swift pago 07/08-  PV 6752 / 6868 / 6949- Consolida 164.24+170.25+176.25- Dev. /57.898</t>
    </r>
    <r>
      <rPr>
        <strike/>
        <sz val="9"/>
        <rFont val="Calibri"/>
        <family val="2"/>
        <scheme val="minor"/>
      </rPr>
      <t>/57.985/57.984</t>
    </r>
  </si>
  <si>
    <t xml:space="preserve">Swift pago 21/7 - faturado; ajuste invoice final.  </t>
  </si>
  <si>
    <t>(11.960,00)  - Devolução cliente processada 23/07 -NF 059.324 - R$ 41.676,25&gt;40.155,07 - NF 58965 Clxd</t>
  </si>
  <si>
    <t>Swift Adv Paymt 23/6- Ojo invoice salida unifica com 193.25</t>
  </si>
  <si>
    <t>214.25</t>
  </si>
  <si>
    <t>PAGA</t>
  </si>
  <si>
    <t>Novembro -Swift 50% recebido 23/09-Pronto para coletar (17/10)</t>
  </si>
  <si>
    <t>61539/61540</t>
  </si>
  <si>
    <t xml:space="preserve">167+168+/ add +400/+200 dos mesmos artigos 19/5 (125.25 amostras)- SWIFT $12665,19 (030925)-   Fup   -Invoice saida 167.25+168.25+181.25 +189.25 (12.665,19) - </t>
  </si>
  <si>
    <t>167+168+ - inv 167.25 + 168.25 juntas para faturamento -</t>
  </si>
  <si>
    <r>
      <t>181.25+ pendentes anteriores - faturado/ 6880 / 7015 - NF 58965 CXLD - Devoluçao NF59.324 41.676,2/Discrepancia DUE (114</t>
    </r>
    <r>
      <rPr>
        <sz val="9"/>
        <color rgb="FFED0000"/>
        <rFont val="Calibri"/>
        <family val="2"/>
        <scheme val="minor"/>
      </rPr>
      <t>4</t>
    </r>
    <r>
      <rPr>
        <sz val="9"/>
        <rFont val="Calibri"/>
        <family val="2"/>
        <scheme val="minor"/>
      </rPr>
      <t>1,39) e Invoice (114</t>
    </r>
    <r>
      <rPr>
        <sz val="9"/>
        <color rgb="FFED0000"/>
        <rFont val="Calibri"/>
        <family val="2"/>
        <scheme val="minor"/>
      </rPr>
      <t>1</t>
    </r>
    <r>
      <rPr>
        <sz val="9"/>
        <rFont val="Calibri"/>
        <family val="2"/>
        <scheme val="minor"/>
      </rPr>
      <t>4,39)-Ordem SWIFT 2710 (11414,39)</t>
    </r>
  </si>
  <si>
    <t>212.25</t>
  </si>
  <si>
    <t>FRAZADAS ARTESANALES (LA GRANDE)</t>
  </si>
  <si>
    <t>30% Pre-Payment - 70% Counter Expedition</t>
  </si>
  <si>
    <t>8569/8798</t>
  </si>
  <si>
    <t>61357/61538</t>
  </si>
  <si>
    <t>216.25</t>
  </si>
  <si>
    <t>215.25</t>
  </si>
  <si>
    <t>TOTAL VALUE 
INVOICE US$</t>
  </si>
  <si>
    <t>DUE  
MONTH</t>
  </si>
  <si>
    <t>Notificar com fechamento Outubro-Faturamento em R$ - inclui frete (R$2.483,07 / Dif vs cotado)</t>
  </si>
  <si>
    <t>NOV/25</t>
  </si>
  <si>
    <t>F-UP Faturamento</t>
  </si>
  <si>
    <t>CUSTOMER</t>
  </si>
  <si>
    <t>217.25</t>
  </si>
  <si>
    <t>Notificar com fechamento novembro- Notificaciones serán hechas x F&amp;A</t>
  </si>
  <si>
    <t>Feito boleto Vence 20/11</t>
  </si>
  <si>
    <t>SUPERSPUMA PARAGUAY SAECA</t>
  </si>
  <si>
    <t>Pago 02/10/25 - Copia Swift enviada pelo cliente 13/11</t>
  </si>
  <si>
    <t>Outubro - pedido novo - Ok / ajuste invoice saída  - coleta 06/10- Swift 02/10 recibido 13/11</t>
  </si>
  <si>
    <t>--</t>
  </si>
  <si>
    <t>219.25</t>
  </si>
  <si>
    <t>220.25</t>
  </si>
  <si>
    <t>187.25 Final</t>
  </si>
  <si>
    <t>60215/60627</t>
  </si>
  <si>
    <t>Novembro Pgto feito via Boleto -Sinal R$ 5.310,00  (29Ago -Fx 5,41)- Cliente fatura em R$/ R$ 29.893,05 -Invoice inclui Frete R$ 2.483,07 /faturado</t>
  </si>
  <si>
    <t>62468/62395</t>
  </si>
  <si>
    <t>13/11/2025 - 24/11 - 26/11</t>
  </si>
  <si>
    <t>Notificado - pending</t>
  </si>
  <si>
    <t>Notificado - pending - 192.25 + saldo 205.25 ($42,12)</t>
  </si>
  <si>
    <t>Notificado - invoices consolidadas 204.25 +219.25</t>
  </si>
  <si>
    <r>
      <t xml:space="preserve">Dezembro - pedido novo - Ok  Paga SWIFT 26/11 (5506,62) - </t>
    </r>
    <r>
      <rPr>
        <sz val="9"/>
        <color rgb="FFC00000"/>
        <rFont val="Calibri"/>
        <family val="2"/>
        <scheme val="minor"/>
      </rPr>
      <t xml:space="preserve"> </t>
    </r>
    <r>
      <rPr>
        <sz val="9"/>
        <color rgb="FFB2B2B2"/>
        <rFont val="Calibri"/>
        <family val="2"/>
        <scheme val="minor"/>
      </rPr>
      <t>Revisar SWIFT 27/10 - Valor $ 11.414,39 - Difiere</t>
    </r>
  </si>
  <si>
    <t>220.25 C</t>
  </si>
  <si>
    <t>218.25</t>
  </si>
  <si>
    <t>Notificar antes de férias coletivas</t>
  </si>
  <si>
    <t>Novembro - pedido novo - Ok- Ajuste invoice saída- pre-payment/pedido llegó BsAs (21/10)-Pga SWIFT 05/12</t>
  </si>
  <si>
    <t>Dezembro- 50% pago Swift  23/10 - Fup fact 28/11- NF 626709 CXLD / Pgo saldo SWIFT 08/12</t>
  </si>
  <si>
    <t>SUPERSPUMA</t>
  </si>
  <si>
    <t>13/11/2025 - 24/11 - 10/12</t>
  </si>
  <si>
    <t xml:space="preserve">Pending  - Notificado </t>
  </si>
  <si>
    <t>221.25</t>
  </si>
  <si>
    <t>222.25</t>
  </si>
  <si>
    <t>LAMITEX S.A.</t>
  </si>
  <si>
    <t>Dezembro - Quant aumentadas 07/11- SWIFT 12/12 (19.504,93)</t>
  </si>
  <si>
    <t>Setembro -ok- F-up - Notificado diversas fechas/ OK PAGA SWIFT 12/12/25</t>
  </si>
  <si>
    <t>JAN/26</t>
  </si>
  <si>
    <r>
      <t xml:space="preserve">Novembro-Proforma incluye Flete ($ 690)/Swift $2000 (17/10)-  </t>
    </r>
    <r>
      <rPr>
        <sz val="9"/>
        <color rgb="FFC00000"/>
        <rFont val="Calibri"/>
        <family val="2"/>
        <scheme val="minor"/>
      </rPr>
      <t>carta justificativa-Valor pago-</t>
    </r>
    <r>
      <rPr>
        <sz val="9"/>
        <color rgb="FFFF0000"/>
        <rFont val="Calibri"/>
        <family val="2"/>
        <scheme val="minor"/>
      </rPr>
      <t>Consolida com 219.25</t>
    </r>
    <r>
      <rPr>
        <sz val="9"/>
        <color rgb="FFC00000"/>
        <rFont val="Calibri"/>
        <family val="2"/>
        <scheme val="minor"/>
      </rPr>
      <t>-Swift 4554,95 (27/11)</t>
    </r>
  </si>
  <si>
    <t>187.25 final</t>
  </si>
  <si>
    <t>Janeiro26 - Swift 50% recibido (10/11) - Fup fact Dez-&gt; ok- inferior - PGO SWIFT (16/12-$8.622,31)</t>
  </si>
  <si>
    <t>62680/62891</t>
  </si>
  <si>
    <t>59814 / 59.546/60215</t>
  </si>
  <si>
    <t>TOTAL DUE PAYMENT-AS PER FINAL INVOICE
US$</t>
  </si>
  <si>
    <r>
      <rPr>
        <b/>
        <strike/>
        <sz val="8"/>
        <color rgb="FF7030A0"/>
        <rFont val="Calibri"/>
        <family val="2"/>
        <scheme val="minor"/>
      </rPr>
      <t>8773</t>
    </r>
    <r>
      <rPr>
        <b/>
        <sz val="8"/>
        <color rgb="FF7030A0"/>
        <rFont val="Calibri"/>
        <family val="2"/>
        <scheme val="minor"/>
      </rPr>
      <t>/ 9137</t>
    </r>
  </si>
  <si>
    <t>62736 / 63143</t>
  </si>
  <si>
    <t>003.26</t>
  </si>
  <si>
    <t>IMPORTADORA TERRA (MOVELPRO SRL)</t>
  </si>
  <si>
    <t>Dezembro  - Paga SWIFT 06/01 ($4.288,53)</t>
  </si>
  <si>
    <t>GESTÃO DE CRÉDITO E PAGAMENTOS 2025 - 2026</t>
  </si>
  <si>
    <t>ADVANCE PAYMENT /CREDIT NOTE
US$</t>
  </si>
  <si>
    <t>161.25+162.25</t>
  </si>
  <si>
    <t>CUBA 1 - CUBA 2</t>
  </si>
  <si>
    <t>NOTIFICATION DATE/
EMAILs</t>
  </si>
  <si>
    <t>Janeiro26 -proforma nova 21/10- DUE difiere $17.810,82 (amostras? $34,20)-PAGA SWIFT 14Jan26</t>
  </si>
  <si>
    <t>Fechamento jan26</t>
  </si>
  <si>
    <t>004.26</t>
  </si>
  <si>
    <t>005.26</t>
  </si>
  <si>
    <t xml:space="preserve">SIMMONS ARGENTINA </t>
  </si>
  <si>
    <t>Janeiro26 -Alteraçao proforma-1item só - paga SWIFT 23/01</t>
  </si>
  <si>
    <t>006.26</t>
  </si>
  <si>
    <t>007.26</t>
  </si>
  <si>
    <t>008.26</t>
  </si>
  <si>
    <t>Janeiro-  Pgto recibido 05/12/overpayment</t>
  </si>
  <si>
    <t>009.26</t>
  </si>
  <si>
    <r>
      <t xml:space="preserve">Janeiro26 -ok - new credit rate- entrega para final Outubro / Ajuste Invoice saida/OJO - </t>
    </r>
    <r>
      <rPr>
        <sz val="9"/>
        <color rgb="FFD40000"/>
        <rFont val="Calibri"/>
        <family val="2"/>
        <scheme val="minor"/>
      </rPr>
      <t>NC EMITIDA X DIF EN TELAS Y PRECIOS-Aplicar descuento $1.547,62(</t>
    </r>
    <r>
      <rPr>
        <sz val="9"/>
        <rFont val="Calibri"/>
        <family val="2"/>
        <scheme val="minor"/>
      </rPr>
      <t>Taxa credit rate eliminado até 60d)- SWIFT Pgo 03/02 -$41.865,47</t>
    </r>
  </si>
  <si>
    <t xml:space="preserve">Swift recibido 03/02 </t>
  </si>
  <si>
    <t>3.428,31/6140,65</t>
  </si>
  <si>
    <t>15/01 - 04/02</t>
  </si>
  <si>
    <r>
      <t>ago-set-  06/11 - 26/11 - 10/12 - 16/12 -</t>
    </r>
    <r>
      <rPr>
        <b/>
        <sz val="10"/>
        <color rgb="FF3F3F3F"/>
        <rFont val="Calibri"/>
        <family val="2"/>
        <scheme val="minor"/>
      </rPr>
      <t xml:space="preserve"> 15/01 -04/02</t>
    </r>
  </si>
  <si>
    <t>FEB/26</t>
  </si>
  <si>
    <t>63819/  63820 -21</t>
  </si>
  <si>
    <t>010.26</t>
  </si>
  <si>
    <t>COLCHONES DEL PARAGUAY</t>
  </si>
  <si>
    <t>Fevereiro'26-Inclui Frete ($815)- paga SWIFT 20/02</t>
  </si>
  <si>
    <t>62892/63209</t>
  </si>
  <si>
    <t>MAR/26</t>
  </si>
  <si>
    <t>março'26- consolida 003.26 - ver acima</t>
  </si>
  <si>
    <t>Pending - pagos parciais / restrição cambio/ consolida 161.25 + 162.25</t>
  </si>
  <si>
    <t>PROFORMA
(2026)</t>
  </si>
  <si>
    <t>DIF PROFORM VS INVOICE FINAL 2026)</t>
  </si>
  <si>
    <t>comparative</t>
  </si>
  <si>
    <t>SWIFT 23/02</t>
  </si>
  <si>
    <t>011.26</t>
  </si>
  <si>
    <t>abril'26</t>
  </si>
  <si>
    <t>ADVANCE PAYMENT / FINAL PAYM'T/ NC 
(US$)</t>
  </si>
  <si>
    <t>TOTAL DUE 
BALANCE
 (US$)</t>
  </si>
  <si>
    <t>ORDER NBR</t>
  </si>
  <si>
    <t>STATUS
PGTO</t>
  </si>
  <si>
    <t>Suma de TOTAL DUE 
BALANCE
 (US$)</t>
  </si>
  <si>
    <t>STATUS</t>
  </si>
  <si>
    <t>Suma de DATA VENCIMENTO/</t>
  </si>
  <si>
    <t>Pending - Notificado- SWIFT 24/02 ($23905) - Saldo pendiente</t>
  </si>
  <si>
    <t>F-up restrição de cambio-trato direto F&amp;A-CR</t>
  </si>
  <si>
    <t>JUL/25</t>
  </si>
  <si>
    <t>Pending - swift final 22/12/25 - valor inferior notificado (25/02)</t>
  </si>
  <si>
    <t>GESTIÓN DE CRÉDITO Y PAGOS - 2025 / 2026</t>
  </si>
  <si>
    <t>FECHA DE PAGO</t>
  </si>
  <si>
    <t>8569/8798/8609</t>
  </si>
  <si>
    <t>SWIFT 17Oct POR $13.839,68</t>
  </si>
  <si>
    <t>DIAS ATRASO</t>
  </si>
  <si>
    <t>9030 /9035</t>
  </si>
  <si>
    <t>9157/9177/9207</t>
  </si>
  <si>
    <t>pendiente</t>
  </si>
  <si>
    <t>marzo'26</t>
  </si>
  <si>
    <t>N° ORDEN</t>
  </si>
  <si>
    <t>FECHA
PROFORM</t>
  </si>
  <si>
    <t>FECHA
COLECTA</t>
  </si>
  <si>
    <t>TERMINO
PAGO</t>
  </si>
  <si>
    <t>FECHA VENCIMENTO/
DEADLINE</t>
  </si>
  <si>
    <t>TOTAL A PAGAR SEGÚN INVOICE
US$</t>
  </si>
  <si>
    <t>ANTICIPO
(US$)</t>
  </si>
  <si>
    <t>NOTA CREDITO
US$</t>
  </si>
  <si>
    <t>PAGO FINAL
US$</t>
  </si>
  <si>
    <t>STATUS
PAGO</t>
  </si>
  <si>
    <t>209.25 + 210.25</t>
  </si>
  <si>
    <t>003.26+ 005.26 + 007.26</t>
  </si>
  <si>
    <t>PROFORMA-INVOICE 
(EXPORT.)</t>
  </si>
  <si>
    <t>TOTAL SALDO DEBIDO HOY
 (US$)</t>
  </si>
  <si>
    <r>
      <t xml:space="preserve">fevereiro'26 ( 23.247,07 + frete 1.800 =25.047,05 )-diverg. DUE- Swift (24/02) $23.905,00- </t>
    </r>
    <r>
      <rPr>
        <sz val="9"/>
        <color rgb="FFED0000"/>
        <rFont val="Calibri"/>
        <family val="2"/>
        <scheme val="minor"/>
      </rPr>
      <t xml:space="preserve">dif SWIFT (26/02)1.142,07 </t>
    </r>
  </si>
  <si>
    <t>012.26</t>
  </si>
  <si>
    <t>DATA
 PROFORM-INVOICE</t>
  </si>
  <si>
    <t>15/01/2026 - 23/02 - 03/03</t>
  </si>
  <si>
    <t>15/01/2026 - 23/02- 03/03</t>
  </si>
  <si>
    <t>Pending - Notificado  (consolidado)</t>
  </si>
  <si>
    <t>013.26</t>
  </si>
  <si>
    <t>março'26- Prepayment SWIFT 50% &gt;$6.040 (28/01)/SWIFT final $6.345,02 (4/3)</t>
  </si>
  <si>
    <t>014.26</t>
  </si>
  <si>
    <t>faturado 29/05 / cliente notiticado/Frete pago em destino ($2.458,33- R$ 14.791,13 /Swift 0508 (11335,23)</t>
  </si>
  <si>
    <t>015.26</t>
  </si>
  <si>
    <t>017.26</t>
  </si>
  <si>
    <t>SWIFT 23/02 cubre parcialmente</t>
  </si>
  <si>
    <t>Incluye flete</t>
  </si>
  <si>
    <t>urgent</t>
  </si>
  <si>
    <t>018.26</t>
  </si>
  <si>
    <t>019.26</t>
  </si>
  <si>
    <t>DATA  COLETA (ESTIMADA)</t>
  </si>
  <si>
    <t>020.26</t>
  </si>
  <si>
    <t>LIMANSKY S.S.</t>
  </si>
  <si>
    <t>021.26</t>
  </si>
  <si>
    <t>023.26</t>
  </si>
  <si>
    <t>julho'26</t>
  </si>
  <si>
    <t>022.26</t>
  </si>
  <si>
    <t>março'26  - SWIFT 31/03 (6.350,50)</t>
  </si>
  <si>
    <t>revisar abril- fim do mês</t>
  </si>
  <si>
    <t>024.26</t>
  </si>
  <si>
    <t>TEXTIL FIBREX</t>
  </si>
  <si>
    <t>20% Advance -80 % Counter Expedition</t>
  </si>
  <si>
    <t>04/02/2026 - Abril - consolidado 06/04 (WA CR)</t>
  </si>
  <si>
    <r>
      <t xml:space="preserve">Pending Notificado - enviar consolidado c/complemento (31.406,39+1,773,88)-saldo despues de carnaval/ </t>
    </r>
    <r>
      <rPr>
        <b/>
        <sz val="10"/>
        <rFont val="Calibri"/>
        <family val="2"/>
        <scheme val="minor"/>
      </rPr>
      <t>Nvo Swift 18Mar- esquema de abonos semanales (fup_)</t>
    </r>
  </si>
  <si>
    <t>pending - notificado</t>
  </si>
  <si>
    <r>
      <t>pending - notificado/</t>
    </r>
    <r>
      <rPr>
        <sz val="10"/>
        <color rgb="FFA20000"/>
        <rFont val="Calibri"/>
        <family val="2"/>
        <scheme val="minor"/>
      </rPr>
      <t xml:space="preserve"> Simmons efetuará o pagamento 17/04</t>
    </r>
  </si>
  <si>
    <t>abril'26 -Pick-up 08/01/26 - notificado- SWIFT 10/04  ($6.482,40)</t>
  </si>
  <si>
    <t>Esperar despacho  - 14 Abril - 100% counter expedition</t>
  </si>
  <si>
    <t>03/03/2026 - Abril - consolidado 06/04 (WA CR)/1004</t>
  </si>
  <si>
    <t>65382/65383</t>
  </si>
  <si>
    <t>abril'26 - SWIFT 17/04-recibido 21/04</t>
  </si>
  <si>
    <t>Swift recibido 21/04</t>
  </si>
  <si>
    <t>abril'26 - notificado  - SWIFT $22.216,20 (21 ABR 26)</t>
  </si>
  <si>
    <t>09/04/2026  - SWIFT 21/02</t>
  </si>
  <si>
    <t>Esquema de pagos:</t>
  </si>
  <si>
    <t xml:space="preserve"> error em deuda total según carta de pagos recibida 27/04</t>
  </si>
  <si>
    <t>ok 209/210- parcial 220.25</t>
  </si>
  <si>
    <t>33% anticipado 33% 30d 33% 60</t>
  </si>
  <si>
    <t>49.600,08</t>
  </si>
  <si>
    <t>025.26</t>
  </si>
  <si>
    <t>Com paga</t>
  </si>
  <si>
    <t>maio'26 - Pago SWIFT (30/04) $2,785.50</t>
  </si>
  <si>
    <t>022.26/022.26 2.0</t>
  </si>
  <si>
    <t xml:space="preserve">OK - 1ER ABONO </t>
  </si>
  <si>
    <r>
      <t>57547/57553/</t>
    </r>
    <r>
      <rPr>
        <sz val="9"/>
        <color rgb="FFC00000"/>
        <rFont val="Calibri"/>
        <family val="2"/>
        <scheme val="minor"/>
      </rPr>
      <t xml:space="preserve"> 57.566 ajuste</t>
    </r>
  </si>
  <si>
    <r>
      <rPr>
        <strike/>
        <sz val="9"/>
        <color rgb="FFFF0000"/>
        <rFont val="Calibri"/>
        <family val="2"/>
        <scheme val="minor"/>
      </rPr>
      <t xml:space="preserve">58965 </t>
    </r>
    <r>
      <rPr>
        <sz val="9"/>
        <color rgb="FFFF0000"/>
        <rFont val="Calibri"/>
        <family val="2"/>
        <scheme val="minor"/>
      </rPr>
      <t>/ 59.324</t>
    </r>
  </si>
  <si>
    <r>
      <rPr>
        <strike/>
        <sz val="9"/>
        <color theme="1"/>
        <rFont val="Calibri"/>
        <family val="2"/>
        <scheme val="minor"/>
      </rPr>
      <t>62679</t>
    </r>
    <r>
      <rPr>
        <sz val="9"/>
        <color theme="1"/>
        <rFont val="Calibri"/>
        <family val="2"/>
        <scheme val="minor"/>
      </rPr>
      <t>/</t>
    </r>
    <r>
      <rPr>
        <b/>
        <sz val="9"/>
        <color theme="1"/>
        <rFont val="Calibri"/>
        <family val="2"/>
        <scheme val="minor"/>
      </rPr>
      <t>62743</t>
    </r>
  </si>
  <si>
    <r>
      <t xml:space="preserve">abril'26 - SWIFT 26/03 (11.650)  + SWIFT 29/04 (11653.54)- </t>
    </r>
    <r>
      <rPr>
        <strike/>
        <sz val="9"/>
        <color rgb="FFC00000"/>
        <rFont val="Calibri"/>
        <family val="2"/>
        <scheme val="minor"/>
      </rPr>
      <t>Saldo 572.99- PAGO SWIFT 04/05</t>
    </r>
    <r>
      <rPr>
        <sz val="9"/>
        <rFont val="Calibri"/>
        <family val="2"/>
        <scheme val="minor"/>
      </rPr>
      <t xml:space="preserve"> + SWIFT (572,99) 06/05definit saldo| pensamos q pgto 4/5 voltou e fez de novo 5/5/ saldo -0,01</t>
    </r>
  </si>
  <si>
    <t>Total Suma de DATA VENCIMENTO/</t>
  </si>
  <si>
    <t>Total Suma de TOTAL DUE 
BALANCE
 (US$)</t>
  </si>
  <si>
    <t>2025</t>
  </si>
  <si>
    <t>2026</t>
  </si>
  <si>
    <t>PENDING VALUES</t>
  </si>
  <si>
    <t>DEADLINES - DATA - VALUE</t>
  </si>
  <si>
    <r>
      <t>6733/</t>
    </r>
    <r>
      <rPr>
        <b/>
        <sz val="9"/>
        <color rgb="FF5F198C"/>
        <rFont val="Calibri"/>
        <family val="2"/>
        <scheme val="minor"/>
      </rPr>
      <t xml:space="preserve">6783 /6782
</t>
    </r>
  </si>
  <si>
    <t>003.26+005.26+007.26</t>
  </si>
  <si>
    <t>PAGO Pending - Notificado  (consolida 209 + 210.25)- PARTE PGO SWIFT 23/03- saldo pendiente- Pago 24/04</t>
  </si>
  <si>
    <r>
      <t>SWIFTS RECIBIDOS -VR FILE  -</t>
    </r>
    <r>
      <rPr>
        <sz val="11"/>
        <color rgb="FFC00000"/>
        <rFont val="Calibri"/>
        <family val="2"/>
        <scheme val="minor"/>
      </rPr>
      <t xml:space="preserve"> 0,01 saldo</t>
    </r>
  </si>
  <si>
    <t>mês</t>
  </si>
  <si>
    <t>mar</t>
  </si>
  <si>
    <t>jul</t>
  </si>
  <si>
    <t>ago</t>
  </si>
  <si>
    <t>$6965</t>
  </si>
  <si>
    <t>PGO</t>
  </si>
  <si>
    <t>Pendente</t>
  </si>
  <si>
    <t>Saldo</t>
  </si>
  <si>
    <r>
      <t xml:space="preserve">Nuevo pago parcial  </t>
    </r>
    <r>
      <rPr>
        <sz val="11"/>
        <color rgb="FFC00000"/>
        <rFont val="Calibri"/>
        <family val="2"/>
        <scheme val="minor"/>
      </rPr>
      <t xml:space="preserve">12/05/2026 </t>
    </r>
  </si>
  <si>
    <t>POLYMAX EL GALO</t>
  </si>
  <si>
    <t>INDUSTRIAL REGAL</t>
  </si>
  <si>
    <t>027.26</t>
  </si>
  <si>
    <t>028.26</t>
  </si>
  <si>
    <t>ene</t>
  </si>
  <si>
    <t>sep</t>
  </si>
  <si>
    <t>oct</t>
  </si>
  <si>
    <t>016.26</t>
  </si>
  <si>
    <t>Invoice ref.</t>
  </si>
  <si>
    <t>acuerdo de pago em 6X</t>
  </si>
  <si>
    <t>1) Acuerdo de pagar en 6 cuotas de USD 5.777,03   (19/03 - 06/04)</t>
  </si>
  <si>
    <t>2)Última Invoice 011.26 - Condiciones de pago especiales(29/04/26)</t>
  </si>
  <si>
    <t>(19/03/2026)</t>
  </si>
  <si>
    <t>Pago</t>
  </si>
  <si>
    <t>Index</t>
  </si>
  <si>
    <t>Invoice(s)</t>
  </si>
  <si>
    <r>
      <t>2)**Última Invoice</t>
    </r>
    <r>
      <rPr>
        <b/>
        <sz val="10"/>
        <color rgb="FFC00000"/>
        <rFont val="Aptos"/>
        <family val="2"/>
      </rPr>
      <t xml:space="preserve"> 011.26</t>
    </r>
    <r>
      <rPr>
        <b/>
        <sz val="10"/>
        <color theme="1"/>
        <rFont val="Aptos"/>
        <family val="2"/>
      </rPr>
      <t xml:space="preserve">  </t>
    </r>
  </si>
  <si>
    <t>- Condiciones de pago especiales(29/4/26) &gt;</t>
  </si>
  <si>
    <t>33% anticipado /33% 30d /33% 60</t>
  </si>
  <si>
    <t>Dif.</t>
  </si>
  <si>
    <t>Invoice</t>
  </si>
  <si>
    <t>1er Abono</t>
  </si>
  <si>
    <t xml:space="preserve">Dif </t>
  </si>
  <si>
    <t>Balance</t>
  </si>
  <si>
    <t xml:space="preserve">Dif.de pago vs cuota </t>
  </si>
  <si>
    <r>
      <t>ajuste invoice final. Cliente notificado-NF 58355 devolução venda recusada-Swift 17Oct ($13839.68)/p</t>
    </r>
    <r>
      <rPr>
        <sz val="9"/>
        <color rgb="FFFF0000"/>
        <rFont val="Calibri"/>
        <family val="2"/>
        <scheme val="minor"/>
      </rPr>
      <t>aga amostra 121.25</t>
    </r>
  </si>
  <si>
    <r>
      <t>2025-Agosto -SWIFT 23/02 (14.591,42) -Ajuste monto invoice final+ Freight (4134,65+600,29)-Aplicar NC x problemas calidad</t>
    </r>
    <r>
      <rPr>
        <sz val="9"/>
        <color rgb="FFC00000"/>
        <rFont val="Calibri"/>
        <family val="2"/>
        <scheme val="minor"/>
      </rPr>
      <t xml:space="preserve"> Sertapedic (3.385,14) - NC filed</t>
    </r>
  </si>
  <si>
    <t>180/209/210 + parcial 220.25</t>
  </si>
  <si>
    <t>2025-Novembro - enviar consolidado com complemento (15/1)-SWiFT 03Feb26 ($15K)  + 18Mar ($7.978,50)  + SWIFT 24/03 ($ 6.978,5)+ porción Swift 12/05 abona</t>
  </si>
  <si>
    <t>ABONOS
US$</t>
  </si>
  <si>
    <t>TOTAL CREDITOS
US$</t>
  </si>
  <si>
    <r>
      <t>SWiFTs 03Feb26 ($15K)+18Mar ($7.978,50)+24/03 ($ 6.978,5)+</t>
    </r>
    <r>
      <rPr>
        <b/>
        <sz val="9"/>
        <rFont val="Calibri"/>
        <family val="2"/>
        <scheme val="minor"/>
      </rPr>
      <t>12May ($6695) cobre saldos 187.25/Final + parcial 215.</t>
    </r>
  </si>
  <si>
    <t>SWIFT 12/05 $6695- arriba utilizado para cobrir saldo</t>
  </si>
  <si>
    <t>julho'26 - final| Incluye frete | SWIFT 04/05 $6.575,25</t>
  </si>
  <si>
    <t>006.26 + 009.26</t>
  </si>
  <si>
    <t>Notificar fin de mês</t>
  </si>
  <si>
    <t>030.26</t>
  </si>
  <si>
    <t>AGT - AMERICAN GARMENT</t>
  </si>
  <si>
    <t>031.26</t>
  </si>
  <si>
    <t>maio'26 - div entre invoice y DUE?- SWIFT 26/05 ($17.749,85)/ Dif. 79 Sender charger</t>
  </si>
  <si>
    <t>017.26 &amp; 021.26</t>
  </si>
  <si>
    <t>pagó swift 28/05 - diferencia negativa de -0,03</t>
  </si>
  <si>
    <r>
      <t xml:space="preserve">1) *Invoices antiguas </t>
    </r>
    <r>
      <rPr>
        <b/>
        <sz val="10"/>
        <color rgb="FFC00000"/>
        <rFont val="Aptos"/>
        <family val="2"/>
      </rPr>
      <t>180.25/209.25/210.25</t>
    </r>
    <r>
      <rPr>
        <b/>
        <sz val="10"/>
        <color theme="1"/>
        <rFont val="Aptos"/>
        <family val="2"/>
      </rPr>
      <t xml:space="preserve"> /</t>
    </r>
    <r>
      <rPr>
        <b/>
        <sz val="10"/>
        <color rgb="FFC00000"/>
        <rFont val="Aptos"/>
        <family val="2"/>
      </rPr>
      <t xml:space="preserve">220.25 </t>
    </r>
    <r>
      <rPr>
        <b/>
        <sz val="10"/>
        <color theme="1"/>
        <rFont val="Aptos"/>
        <family val="2"/>
      </rPr>
      <t xml:space="preserve">(deuda de $34.416,09) - Acuerdo de pagar en 6 cuotas de USD  </t>
    </r>
  </si>
  <si>
    <t>sender charge 62+30</t>
  </si>
  <si>
    <t xml:space="preserve">Incluye flete|Swift 24/04 - credito parcial| SWIFT 01/06 (5597,15) abono parcial </t>
  </si>
  <si>
    <t>220.25 ©</t>
  </si>
  <si>
    <t>acuerdo pago de 33%-33%-33%</t>
  </si>
  <si>
    <t>pendiente?</t>
  </si>
  <si>
    <t>marzo</t>
  </si>
  <si>
    <t>julio</t>
  </si>
  <si>
    <t>junho'26 -SWIFT 10jun ($71.172,76)  - sender rate $85</t>
  </si>
  <si>
    <t>Total general</t>
  </si>
  <si>
    <t>(Varios elementos)</t>
  </si>
  <si>
    <t>034.26</t>
  </si>
  <si>
    <t>NC</t>
  </si>
  <si>
    <t>Nuevo pago   15/06/2026</t>
  </si>
  <si>
    <t>$10044</t>
  </si>
  <si>
    <t>036.26</t>
  </si>
  <si>
    <t>035.26</t>
  </si>
  <si>
    <r>
      <t>maio'26 - consolida 006.26 - ver acima | | SWIFT 28/05 ($ 3,711,25) -</t>
    </r>
    <r>
      <rPr>
        <sz val="9"/>
        <color rgb="FFFF0000"/>
        <rFont val="Calibri"/>
        <family val="2"/>
        <scheme val="minor"/>
      </rPr>
      <t xml:space="preserve"> Dif -0,03</t>
    </r>
  </si>
  <si>
    <t>pedido por reposição de qualidade - não havera faturamento - deve aplicar NC/ aplicar sobre prox. Pedido</t>
  </si>
  <si>
    <t>Saldo de SWIFT 23/02 ($14.591,42) cubre parcialmente + SWIFT 24/04 $5597,15 cierra cuenta</t>
  </si>
  <si>
    <t>pagos 1er ac.</t>
  </si>
  <si>
    <t>pagos 2do ac</t>
  </si>
  <si>
    <t>SWIFT 23/02  por $14.591,42  - menos NC 3385,14</t>
  </si>
  <si>
    <r>
      <t xml:space="preserve">1) *Invoices antiguas </t>
    </r>
    <r>
      <rPr>
        <b/>
        <sz val="10"/>
        <color rgb="FFC00000"/>
        <rFont val="Aptos"/>
        <family val="2"/>
      </rPr>
      <t>180.25/209.25/210.25</t>
    </r>
    <r>
      <rPr>
        <b/>
        <sz val="10"/>
        <color theme="1"/>
        <rFont val="Aptos"/>
        <family val="2"/>
      </rPr>
      <t xml:space="preserve"> /</t>
    </r>
    <r>
      <rPr>
        <b/>
        <sz val="10"/>
        <color rgb="FFC00000"/>
        <rFont val="Aptos"/>
        <family val="2"/>
      </rPr>
      <t xml:space="preserve">220.25 </t>
    </r>
    <r>
      <rPr>
        <b/>
        <sz val="10"/>
        <color theme="1"/>
        <rFont val="Aptos"/>
        <family val="2"/>
      </rPr>
      <t xml:space="preserve">(deuda de $31.030,95) - 1er Acuerdo (19marzo) de pagar en 6 cuotas de USD  </t>
    </r>
  </si>
  <si>
    <t>balance hoy</t>
  </si>
  <si>
    <t>33% anticipado /33% 30d /33% 60d</t>
  </si>
  <si>
    <t>atraso</t>
  </si>
  <si>
    <t>Total</t>
  </si>
  <si>
    <t>IND REGAL</t>
  </si>
  <si>
    <r>
      <t>F-UP Faturament</t>
    </r>
    <r>
      <rPr>
        <sz val="11"/>
        <color rgb="FFC00000"/>
        <rFont val="Calibri"/>
        <family val="2"/>
        <scheme val="minor"/>
      </rPr>
      <t>o</t>
    </r>
  </si>
  <si>
    <t>039.26</t>
  </si>
  <si>
    <t>038.26</t>
  </si>
  <si>
    <t xml:space="preserve">Pending - Notificado </t>
  </si>
  <si>
    <t>026.26 + 026.26 C</t>
  </si>
  <si>
    <t>10310 / 10634</t>
  </si>
  <si>
    <t>041.26</t>
  </si>
  <si>
    <t>029.26</t>
  </si>
  <si>
    <t>TEC NIPONA PERÚ  (AMAZHEL)</t>
  </si>
  <si>
    <t>040.26</t>
  </si>
  <si>
    <t>66930 / 66931</t>
  </si>
  <si>
    <t>AGO/26</t>
  </si>
  <si>
    <t>julho'26 - consolida com 017.26  - revisar esquema de pgos</t>
  </si>
  <si>
    <t>042.26</t>
  </si>
  <si>
    <t>044.26</t>
  </si>
  <si>
    <t>MANTAHUE SPA</t>
  </si>
  <si>
    <t>SEA TRADING</t>
  </si>
  <si>
    <t>COLOR LIVING</t>
  </si>
  <si>
    <t>30/60/90/120</t>
  </si>
  <si>
    <t>dez'26</t>
  </si>
  <si>
    <t>01/07/2026 / PAGO 1407</t>
  </si>
  <si>
    <t>junho'26   -  Fup despacho atraso para avisar./OK SWIFT 1407 $ 9706,74</t>
  </si>
  <si>
    <t/>
  </si>
  <si>
    <t>JUL/26</t>
  </si>
  <si>
    <t>JUN/26</t>
  </si>
  <si>
    <t>Ver esquema de pgos</t>
  </si>
  <si>
    <t>PARCIAL</t>
  </si>
  <si>
    <t>PENDING</t>
  </si>
  <si>
    <t>25/02/2026  -nunca respondeu sobre saldo pendiente</t>
  </si>
  <si>
    <t>Esperar despacho y facturación (atraso)</t>
  </si>
  <si>
    <t>Notificar</t>
  </si>
  <si>
    <t>Notificados varias veces</t>
  </si>
  <si>
    <t>Notificado 15/07</t>
  </si>
  <si>
    <t>junho'26 / Incluye frete ($2.682)-SWIFT (02/07) $18.804,07</t>
  </si>
  <si>
    <t>SWIFT 02JUL RECIBIDO 15JUL</t>
  </si>
  <si>
    <t>PAIS</t>
  </si>
  <si>
    <t>ARGENTINA</t>
  </si>
  <si>
    <t>CHILE</t>
  </si>
  <si>
    <t>PARAGUAY</t>
  </si>
  <si>
    <t>URUGUAY</t>
  </si>
  <si>
    <t>BOLIVIA</t>
  </si>
  <si>
    <t>ECUADOR</t>
  </si>
  <si>
    <t>VENEZUELA</t>
  </si>
  <si>
    <t>CUBA</t>
  </si>
  <si>
    <t>PERÚ</t>
  </si>
  <si>
    <t>N</t>
  </si>
  <si>
    <t>SALES COM.
PAID?</t>
  </si>
  <si>
    <t>S</t>
  </si>
  <si>
    <t>046.26</t>
  </si>
  <si>
    <t>037.26</t>
  </si>
  <si>
    <t>fin julho</t>
  </si>
  <si>
    <t>junho'26 - 2da NF por los 2K mts extra producidos/invoice única||SWIFT 21/07 $54303,27</t>
  </si>
  <si>
    <t>047.26</t>
  </si>
  <si>
    <t>on going</t>
  </si>
  <si>
    <t>049.26</t>
  </si>
  <si>
    <t>(Fx)</t>
  </si>
  <si>
    <t>PAGO 04/08 SWIFT</t>
  </si>
  <si>
    <t>2025-Pending-Ajuste Proforma EUROS (46.557,57)-Sinal US4 4.500 / Revisada para USD/Alinhada com DUE/ Wire Transfer recebido (18226,5)- devolvido -Restricciones cambio- Unifica 161.25 &amp; 162.25</t>
  </si>
  <si>
    <t>2025-Pending-Consolida 162.25 con 161.25- Invoice revisada novamente para USD - Detalhes em Ajustes CubaFile</t>
  </si>
  <si>
    <r>
      <t xml:space="preserve">Pending - Ofrece pago para </t>
    </r>
    <r>
      <rPr>
        <b/>
        <sz val="11"/>
        <color theme="1"/>
        <rFont val="Calibri"/>
        <family val="2"/>
        <scheme val="minor"/>
      </rPr>
      <t>final agosto</t>
    </r>
    <r>
      <rPr>
        <sz val="11"/>
        <color theme="1"/>
        <rFont val="Calibri"/>
        <family val="2"/>
        <scheme val="minor"/>
      </rPr>
      <t xml:space="preserve"> - Ver esquema especial</t>
    </r>
  </si>
  <si>
    <t>Notificado 04/08</t>
  </si>
  <si>
    <t>032.26</t>
  </si>
  <si>
    <t>TECNIPONA</t>
  </si>
  <si>
    <t>050.26</t>
  </si>
  <si>
    <t>051.26</t>
  </si>
  <si>
    <t>agosto'26 - SWIFT 13/08 ($8748,13)</t>
  </si>
  <si>
    <t>julho'26  - No hubo pre-payment-inclui frete /SWIFT 14/08 ($13551,35)</t>
  </si>
  <si>
    <t>033.26</t>
  </si>
  <si>
    <t>ATLAS EAS</t>
  </si>
  <si>
    <t>ago'26 - SWIFT 17/08 ($ 16.580,52)- inclui frete</t>
  </si>
  <si>
    <t>julho'26  -  OK SWIFT 03/08  ($8.008,46) / ok recibido pdto</t>
  </si>
  <si>
    <t>ago'26 |compra CNPJ USA/ SWIFT anticipo ($10.000) 15/05/pedido complementar-inclui frete/ORDEN (19/08) 42.172,02</t>
  </si>
  <si>
    <t>055.26</t>
  </si>
  <si>
    <t>PENDING-ESPECIAL</t>
  </si>
  <si>
    <t>muestra recibida (190mts) / sólo saldo pendiente</t>
  </si>
  <si>
    <t xml:space="preserve">Pending - esquema de pagos </t>
  </si>
  <si>
    <t>Pending - esquema de pagos</t>
  </si>
  <si>
    <t xml:space="preserve">Pending </t>
  </si>
  <si>
    <t>053.26</t>
  </si>
  <si>
    <t>056.26</t>
  </si>
  <si>
    <t>052.26</t>
  </si>
  <si>
    <t>054.26</t>
  </si>
  <si>
    <t>jan'27</t>
  </si>
  <si>
    <t>Anos</t>
  </si>
  <si>
    <t>Futura</t>
  </si>
  <si>
    <t>pedido nuevo en curso</t>
  </si>
  <si>
    <t>PAGA - SALDO NEG</t>
  </si>
  <si>
    <t>Pending/ amostra facturavel -pgto efetuado - saldo negativo</t>
  </si>
  <si>
    <t>Pending</t>
  </si>
  <si>
    <t>10759/10879</t>
  </si>
  <si>
    <t>10629&gt;11275</t>
  </si>
  <si>
    <t>10635&gt;11275</t>
  </si>
  <si>
    <t xml:space="preserve">039.26 +041.26+049.26 </t>
  </si>
  <si>
    <t>out'26 -pedido complementar ao 037.26</t>
  </si>
  <si>
    <t>Propuesta :</t>
  </si>
  <si>
    <t xml:space="preserve">Con Fecha 04/09/2026 se paga USD 17.235,78 ( Orden Fabricada ) </t>
  </si>
  <si>
    <t>Quedando un Saldo de USD 30.110,90, de este saldo se pagan USD 3.777,73 Mensual hasta Diciembre,</t>
  </si>
  <si>
    <t xml:space="preserve"> sumando estos 4 meses nos da USD 15.110,92 y Finalmente en Diciembre se paga el Saldo Final de USD 15.000 .</t>
  </si>
  <si>
    <t>Notificar- Fup faturamento e coleta</t>
  </si>
  <si>
    <t>4x3777,73</t>
  </si>
  <si>
    <t>dic</t>
  </si>
  <si>
    <r>
      <rPr>
        <sz val="11"/>
        <color rgb="FFC00000"/>
        <rFont val="Calibri"/>
        <family val="2"/>
        <scheme val="minor"/>
      </rPr>
      <t>sep</t>
    </r>
    <r>
      <rPr>
        <sz val="11"/>
        <color theme="1"/>
        <rFont val="Calibri"/>
        <family val="2"/>
        <scheme val="minor"/>
      </rPr>
      <t>/oct/nov/</t>
    </r>
    <r>
      <rPr>
        <sz val="11"/>
        <color rgb="FFC00000"/>
        <rFont val="Calibri"/>
        <family val="2"/>
        <scheme val="minor"/>
      </rPr>
      <t>dic</t>
    </r>
  </si>
  <si>
    <t>*contraints (sep &amp; dec)</t>
  </si>
  <si>
    <t>set'26 -30% prepaymente $3.150 SWIFT 14/07-70% $9.804,25 SWIFT 03/09</t>
  </si>
  <si>
    <r>
      <t xml:space="preserve">3) Nueva propuesta de pago colocada por el cliente via email (03/09/2026) - </t>
    </r>
    <r>
      <rPr>
        <b/>
        <sz val="11"/>
        <color rgb="FFC00000"/>
        <rFont val="Calibri"/>
        <family val="2"/>
        <scheme val="minor"/>
      </rPr>
      <t>En proceso de aprobación interna</t>
    </r>
  </si>
  <si>
    <t>Propuesta Interna (04/09)</t>
  </si>
  <si>
    <t>USD 17.235,78 correspondientes a la orden fabricada; y</t>
  </si>
  <si>
    <t>USD 15.000,00 como amortización de la deuda pendiente.</t>
  </si>
  <si>
    <t>saldo restante de USD 15.110,90 podríamos mantenerlo dentro de un calendario de pagos en 6 cuotas. Hasta marzo de 2027</t>
  </si>
  <si>
    <t>10812&gt;11309</t>
  </si>
  <si>
    <t>(Todas)</t>
  </si>
  <si>
    <t>nov</t>
  </si>
  <si>
    <t>PARAISO DEL ECUADOR</t>
  </si>
  <si>
    <t>pagos em mi ausencia</t>
  </si>
  <si>
    <t>059.26</t>
  </si>
  <si>
    <t>060.26</t>
  </si>
  <si>
    <t xml:space="preserve">061.26 </t>
  </si>
  <si>
    <t>062.26</t>
  </si>
  <si>
    <t>out'26  - SWIFT 18/09 $4.581,50</t>
  </si>
  <si>
    <t>032.26*</t>
  </si>
  <si>
    <t>COLCHONES ESPUMIX (GOVER SPA)</t>
  </si>
  <si>
    <t>15 Days</t>
  </si>
  <si>
    <t>SET/26</t>
  </si>
  <si>
    <t>out'26- tambiém despacho aéreo</t>
  </si>
  <si>
    <t>on hold</t>
  </si>
  <si>
    <t xml:space="preserve">parcialmente atendido .-change in original invoice/not doctd- 3 pgs parciales-Swift filed- -$30 </t>
  </si>
  <si>
    <t>junto com 177.25 y 184.25 - revisar valor único em 184.25</t>
  </si>
  <si>
    <t>Ok - SWIFT (26/11) ok - new credit rate- NF 59541 CXLD /NF 59.607 devolução/Faturado 2508/Novo pedido xa refletir credit rate 8254 (anterior Cxld)</t>
  </si>
  <si>
    <t>New credit rate  194.25 + 195.25-Novo pedido 7857 xa diluir credit rate (05/08)/ NF59537 Cxld/Swift recibido 17/10-$24320 ($24290 sin tasa)</t>
  </si>
  <si>
    <t>Incluso credit rate - complemento pedido anterior- Consolida Valor em 194.25 (pedido7857)-pago acima documet.</t>
  </si>
  <si>
    <t>pedido novo - Ok- 50% Swift pago 15/08 / saldo de 188.25 junto/Swift pgto final 3 oct</t>
  </si>
  <si>
    <t>Dezembro- consolida em 210.25- SWIFT (23/02) 14.591,42  /  SWIFT 24/04/26 $5.659,15 / Revisar o valor a cobrar- NC por problemas de Qualidade  ($2.180 Sertapedic -pedido 153.25)-aplicado em invoice vencida-</t>
  </si>
  <si>
    <t>Fevereiro'26- Envio parcial 11/12 + seguinte 19/12 (Fup)- sobra SWIFT 12/05 (6965-saldos 187.25+final)/SWIFT 15jun (10.044,00)</t>
  </si>
  <si>
    <t>Janeiro26 - complemento 3 items novos- consolida em 220.25 - ver acima</t>
  </si>
  <si>
    <t>março'26- consolida:003.26+005.26+007.26-Proformas (15.534)-Invoice final (15,282,67 + 2.899,98 frete=18.182,65)/SWIFT 12/08 ($5.659,15)</t>
  </si>
  <si>
    <t>julho'26 - SWIFT anticipo ($7000) 20/05- consolidar com 031.26 - Total   $22.539,58  | SWIFT 07JUL (15.504,40)</t>
  </si>
  <si>
    <t xml:space="preserve">julho'26 - consolidar com 028.26- total de $  22.539,58 </t>
  </si>
  <si>
    <t>out'26 / aplica NC001 ($10.239,84)-valor diluido em preço/sistema</t>
  </si>
  <si>
    <r>
      <t>cliente notificado 1/7 - sem resposta --25/08 / NF 153-</t>
    </r>
    <r>
      <rPr>
        <sz val="9"/>
        <color rgb="FFC00000"/>
        <rFont val="Calibri"/>
        <family val="2"/>
        <scheme val="minor"/>
      </rPr>
      <t xml:space="preserve"> Invoice 157- SWIFT recibido 12/09- </t>
    </r>
    <r>
      <rPr>
        <sz val="9"/>
        <color rgb="FFFF0000"/>
        <rFont val="Calibri"/>
        <family val="2"/>
        <scheme val="minor"/>
      </rPr>
      <t>PROBLEMAS DE QA</t>
    </r>
  </si>
  <si>
    <r>
      <rPr>
        <strike/>
        <sz val="9"/>
        <rFont val="Calibri"/>
        <family val="2"/>
        <scheme val="minor"/>
      </rPr>
      <t>cliente notificado</t>
    </r>
    <r>
      <rPr>
        <sz val="9"/>
        <rFont val="Calibri"/>
        <family val="2"/>
        <scheme val="minor"/>
      </rPr>
      <t>-Swift recibido 14/08-saldo pendiente</t>
    </r>
  </si>
  <si>
    <r>
      <t>Janeiro26  - invoices x pdtos faltante &amp; reposição qualidade (1.144 + 629,88)- Foi ajustada a data-solic Cliente Via CR (26/11)-</t>
    </r>
    <r>
      <rPr>
        <sz val="9"/>
        <color rgb="FFC00000"/>
        <rFont val="Calibri"/>
        <family val="2"/>
        <scheme val="minor"/>
      </rPr>
      <t xml:space="preserve"> Saldo SWIFT12/05 ($6965) abona</t>
    </r>
  </si>
  <si>
    <r>
      <t>Dezembro  - Ajuste inv saida/</t>
    </r>
    <r>
      <rPr>
        <sz val="9"/>
        <color rgb="FFFF0000"/>
        <rFont val="Calibri"/>
        <family val="2"/>
        <scheme val="minor"/>
      </rPr>
      <t>consolida 209.25 + 210.25-</t>
    </r>
    <r>
      <rPr>
        <sz val="9"/>
        <rFont val="Calibri"/>
        <family val="2"/>
        <scheme val="minor"/>
      </rPr>
      <t xml:space="preserve"> Inclui frete / Pago SWIFT (23/02) $14.591,42 (dif luego de pagar 209.25)/ SWIFT 24/04/26 $5.659,15</t>
    </r>
  </si>
  <si>
    <r>
      <t xml:space="preserve">Novembro - ($2112,80) </t>
    </r>
    <r>
      <rPr>
        <sz val="9"/>
        <color rgb="FFFF0000"/>
        <rFont val="Calibri"/>
        <family val="2"/>
        <scheme val="minor"/>
      </rPr>
      <t>Consolida com 204.25</t>
    </r>
    <r>
      <rPr>
        <sz val="9"/>
        <rFont val="Calibri"/>
        <family val="2"/>
        <scheme val="minor"/>
      </rPr>
      <t>- Material já em stock- inclui frete ($690)- SWIFT 27/11</t>
    </r>
  </si>
  <si>
    <r>
      <t xml:space="preserve">maio'26. 006.26 + 009.26 | SWIFT 28/05 ($ 3,711,25) - </t>
    </r>
    <r>
      <rPr>
        <sz val="9"/>
        <color rgb="FFFF0000"/>
        <rFont val="Calibri"/>
        <family val="2"/>
        <scheme val="minor"/>
      </rPr>
      <t>Dif -0,03</t>
    </r>
  </si>
  <si>
    <r>
      <t xml:space="preserve">set'26  - </t>
    </r>
    <r>
      <rPr>
        <strike/>
        <sz val="9"/>
        <rFont val="Calibri"/>
        <family val="2"/>
        <scheme val="minor"/>
      </rPr>
      <t>Pgo ira diretamente para Jingme</t>
    </r>
    <r>
      <rPr>
        <sz val="9"/>
        <rFont val="Calibri"/>
        <family val="2"/>
        <scheme val="minor"/>
      </rPr>
      <t>i - Monitorar cambió la orden-</t>
    </r>
  </si>
  <si>
    <r>
      <t>outubro'26</t>
    </r>
    <r>
      <rPr>
        <sz val="9"/>
        <rFont val="Calibri"/>
        <family val="2"/>
        <scheme val="minor"/>
      </rPr>
      <t xml:space="preserve"> | Embarque aéreo urgencia, tela black|amostra junto (3.985,99 total DUE c/muestra)</t>
    </r>
  </si>
  <si>
    <t>043.26a-c</t>
  </si>
  <si>
    <t>10822/11316</t>
  </si>
  <si>
    <t>dez'26 - inclui frete aereo ($  571,10)</t>
  </si>
  <si>
    <t xml:space="preserve">Observ.:  </t>
  </si>
  <si>
    <t>*045.26 não aprovada/048.26 não aprovada/057.26 cxld/ 058.26 on hold</t>
  </si>
  <si>
    <t>sep'26/ notificar apenas salga- Fup Faturamento/incluye flete ($525)| SWIFT 24/09 $ 4.254,08</t>
  </si>
  <si>
    <t>Pending - ok swift</t>
  </si>
  <si>
    <t>2025 -Outubro- Ok- liberado 23/7-12.623,50--&gt;Ajuste invoice- Notificado- Swift ($12.429,30 - taxa $30) 08/12</t>
  </si>
  <si>
    <t>2025 - Outubro- Inclui frete (334 + 360,80)-  Swift 30.363,32 (180925)- Invoice final 738,92 (334 vs. 378,12/ dif de $44,12). Consolida 205.25+159.25-Pgo inferior</t>
  </si>
  <si>
    <t>Jan'26 - Sinal 30% OK (30/10)/Swift final 22/12 ($31.096,25) Underpayment  - Proforma ($ 43.290 ) Fup Invoice final ($  44.228,25 )-67236 Entrada / NF 63097 Cxld-</t>
  </si>
  <si>
    <r>
      <t>julho'26  - Ok finalizado- notificado 2X.</t>
    </r>
    <r>
      <rPr>
        <sz val="9"/>
        <color rgb="FFC00000"/>
        <rFont val="Calibri"/>
        <family val="2"/>
        <scheme val="minor"/>
      </rPr>
      <t xml:space="preserve"> F</t>
    </r>
    <r>
      <rPr>
        <sz val="9"/>
        <rFont val="Calibri"/>
        <family val="2"/>
        <scheme val="minor"/>
      </rPr>
      <t>up 356mts problema QA&gt;Aplica NC (28/08)</t>
    </r>
  </si>
  <si>
    <t>ago'26- Amostra para faturar SWIFT 03/07 ($ 2.129,13)- SWIFT 30/07 ($1.017,27) |frete final $2327,40 + pdto R$5.346,22/ fx 5,0998= 1.048,32)-saldo pendente/ajustar c/pedido</t>
  </si>
  <si>
    <t>out'26  - consolidará saida 039.+041+ 049.26- Prepayment</t>
  </si>
  <si>
    <t>out'26  final - pedido 9772 Cxld por reajuste de precios/nuevo 10299|SWIFT 25/09 $12.215,97</t>
  </si>
  <si>
    <t>Janeiro26 - Fup complemento - 14.183,74 + frete 1.588,50 =15.772,24|SWIFT 24/04 ($5.659,15)- abono anterior= diferencia abona parcialmente|SWIFT (01/06) $5.597,15 abono + SWIFT (18/06) $5.592,15-cierra cta y sobra saldo de $346,92 que abona invoice 003.26</t>
  </si>
  <si>
    <t xml:space="preserve"> Fup pgtos (pedido on hold será liberado 28/09 )|inclui frete </t>
  </si>
  <si>
    <t>SWIFT 23/02  por $14.591,42  - aplicação NC 3385,14</t>
  </si>
  <si>
    <t>Saldo anterior ($13.241,62) + SWIFT 24/04 ($5659,15)</t>
  </si>
  <si>
    <t>saldo anterior (4.991,86) + SWIFT 01/06 (5597,15) +SWIFT 18/06 ($5.592,15)</t>
  </si>
  <si>
    <t>Saldo anterior $408,91 + SWIFT 12/08 ($5.659,15)+SWIFT 18/09 $21.013,51</t>
  </si>
  <si>
    <t>Incluye frete |saldo sobrante anterior ($8.898,93)+ SWIFT 04/05 $6.575,25</t>
  </si>
  <si>
    <r>
      <t xml:space="preserve">julho'26 -FINAL/ </t>
    </r>
    <r>
      <rPr>
        <sz val="9"/>
        <color theme="5" tint="-0.499984740745262"/>
        <rFont val="Calibri"/>
        <family val="2"/>
        <scheme val="minor"/>
      </rPr>
      <t>acuerdo pago 33% A vista/ 33% a 30 d / 33% a 60D</t>
    </r>
    <r>
      <rPr>
        <sz val="9"/>
        <rFont val="Calibri"/>
        <family val="2"/>
        <scheme val="minor"/>
      </rPr>
      <t>|Incluye Frete| SWIFT 1($6575,25)filed04may.SWIFT 18sep $21.013,51</t>
    </r>
  </si>
  <si>
    <r>
      <rPr>
        <sz val="9"/>
        <color rgb="FFC00000"/>
        <rFont val="Calibri"/>
        <family val="2"/>
        <scheme val="minor"/>
      </rPr>
      <t>out'26</t>
    </r>
    <r>
      <rPr>
        <sz val="9"/>
        <rFont val="Calibri"/>
        <family val="2"/>
        <scheme val="minor"/>
      </rPr>
      <t xml:space="preserve">  </t>
    </r>
    <r>
      <rPr>
        <sz val="9"/>
        <color rgb="FFC00000"/>
        <rFont val="Calibri"/>
        <family val="2"/>
        <scheme val="minor"/>
      </rPr>
      <t>- pedido no despachado/</t>
    </r>
    <r>
      <rPr>
        <strike/>
        <sz val="9"/>
        <color rgb="FFC00000"/>
        <rFont val="Calibri"/>
        <family val="2"/>
        <scheme val="minor"/>
      </rPr>
      <t>agd pago deuda</t>
    </r>
    <r>
      <rPr>
        <sz val="9"/>
        <color rgb="FFC00000"/>
        <rFont val="Calibri"/>
        <family val="2"/>
        <scheme val="minor"/>
      </rPr>
      <t>-|i</t>
    </r>
    <r>
      <rPr>
        <sz val="9"/>
        <rFont val="Calibri"/>
        <family val="2"/>
        <scheme val="minor"/>
      </rPr>
      <t>nclui frete $1.598,60|</t>
    </r>
  </si>
  <si>
    <t>julho'26- consolida com 017 + 021.26 - revisar esquema de pgos/muestras $297| SWIFT 17/07 $6.000| SWIFT 10/09 $8000+SWIFT 28/09 $8.000</t>
  </si>
  <si>
    <t>consolida con 021.26 / considerar $108 como juros/taxa - saldar | SWIFT 17/07 $6000+ SWIFT 10Sep $8.000+SWIFT 28/09 $8.000</t>
  </si>
  <si>
    <t>Saldo SWIFT 12/05 arriba abona parcialmente esta invoice|SWIFT 15jun (10.044,00) cierra cuenta/ saldado 0,73 del swift de 28/09</t>
  </si>
  <si>
    <t>set'26 - SWIFT 30% ($11.521,50) 06/07- Está vindo descontando USD 120,00 taxa |SWIFT 28/09 $28.270,94</t>
  </si>
  <si>
    <t>set'26 - consolida c/060.26 - SWIFT 10/09 $4.680 + SWIFT 30/09 $16.445,49</t>
  </si>
  <si>
    <t>set'26 - consolida c/050.26 - SWIFT 10/09 $4.680 + SWIFT 30/09 $16.445,49</t>
  </si>
  <si>
    <t>out'26 consolida com 039.+041+049.26 Fup facturación/ despacho/NF 67598 cxld / Novo pedido criado subsituindo 10629+10635</t>
  </si>
  <si>
    <t>out'26- consolida com 039.+041+ 049.26-</t>
  </si>
  <si>
    <t>OUT/26</t>
  </si>
  <si>
    <t>ajuste de terminos pago 30 días</t>
  </si>
  <si>
    <t>Notificado 04/08 - 24/08, 25, 26/08, 28/08/31/08-  Aplica NC por problemas QA/acuerdo de pgo semana 30/09</t>
  </si>
  <si>
    <r>
      <t>set'26- DUE incluye amostras/Pagó SWIFT 10sep (2,312,60)-</t>
    </r>
    <r>
      <rPr>
        <sz val="9"/>
        <color rgb="FFFF0000"/>
        <rFont val="Calibri"/>
        <family val="2"/>
        <scheme val="minor"/>
      </rPr>
      <t xml:space="preserve"> minimo saldo negativo</t>
    </r>
  </si>
  <si>
    <t>nov'26 - ver esquema especial de pgos/antiicipo saldo pago</t>
  </si>
  <si>
    <t>**pedido estuvo on hold-ya despachado 22/09</t>
  </si>
  <si>
    <t>SEP/26</t>
  </si>
  <si>
    <t>set'26 - $28.425 + frete $620 - SWIFT 21/09 $10.000</t>
  </si>
  <si>
    <t xml:space="preserve">out'26 -nov'26- dez'26-jan'27| 1er pgo (30d)-out- aprox </t>
  </si>
  <si>
    <t xml:space="preserve">set'26 -  SWIFT 30/10 </t>
  </si>
  <si>
    <t>063.26</t>
  </si>
  <si>
    <t>064.26</t>
  </si>
  <si>
    <t>YP  S.A.    (SUEÑOLAR)</t>
  </si>
  <si>
    <t>out'26</t>
  </si>
  <si>
    <t>out'26 - inclui frete| SWIFT 50% (30/9) $3685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</si>
</sst>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dd/mm/yy;@"/>
    <numFmt numFmtId="166" formatCode="[$$-409]#,##0.00"/>
    <numFmt numFmtId="167" formatCode="0.000"/>
    <numFmt numFmtId="168" formatCode="[$-416]d\-mmm\-yy;@"/>
    <numFmt numFmtId="169" formatCode="d/m/yy;@"/>
    <numFmt numFmtId="170" formatCode="yyyy\-mm\-dd;@"/>
    <numFmt numFmtId="171" formatCode="_-* #,##0.00\ _€_-;\-* #,##0.00\ _€_-;_-* &quot;-&quot;??\ _€_-;_-@_-"/>
    <numFmt numFmtId="172" formatCode="#,##0.0000"/>
    <numFmt numFmtId="173" formatCode="#,##0.00\ [$BRL]"/>
    <numFmt numFmtId="174" formatCode="#,##0.000"/>
  </numFmts>
  <fonts count="1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1"/>
      <color theme="1"/>
      <name val="Aptos"/>
      <family val="2"/>
    </font>
    <font>
      <sz val="11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8"/>
      <color rgb="FFFF0000"/>
      <name val="Calibri"/>
      <family val="2"/>
      <scheme val="minor"/>
    </font>
    <font>
      <sz val="9.5"/>
      <color theme="1"/>
      <name val="Calibri"/>
      <family val="2"/>
      <scheme val="minor"/>
    </font>
    <font>
      <sz val="9.5"/>
      <color theme="1"/>
      <name val="Aptos"/>
      <family val="2"/>
    </font>
    <font>
      <sz val="12"/>
      <color theme="1"/>
      <name val="Calibri"/>
      <family val="2"/>
      <scheme val="minor"/>
    </font>
    <font>
      <b/>
      <sz val="12"/>
      <color rgb="FF000000"/>
      <name val="Aptos"/>
      <family val="2"/>
    </font>
    <font>
      <b/>
      <sz val="11"/>
      <color rgb="FF000000"/>
      <name val="Aptos"/>
      <family val="2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9.5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8"/>
      <color rgb="FF7030A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7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EE0000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rgb="FFFF0000"/>
      <name val="Calibri"/>
      <family val="2"/>
      <scheme val="minor"/>
    </font>
    <font>
      <strike/>
      <sz val="9"/>
      <name val="Calibri"/>
      <family val="2"/>
      <scheme val="minor"/>
    </font>
    <font>
      <b/>
      <strike/>
      <sz val="8"/>
      <color rgb="FF7030A0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10"/>
      <color rgb="FFED0000"/>
      <name val="Calibri"/>
      <family val="2"/>
      <scheme val="minor"/>
    </font>
    <font>
      <strike/>
      <sz val="9.5"/>
      <color theme="1"/>
      <name val="Calibri"/>
      <family val="2"/>
      <scheme val="minor"/>
    </font>
    <font>
      <strike/>
      <sz val="8"/>
      <color rgb="FFC0000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trike/>
      <sz val="8"/>
      <color theme="1"/>
      <name val="Calibri"/>
      <family val="2"/>
      <scheme val="minor"/>
    </font>
    <font>
      <strike/>
      <sz val="10"/>
      <name val="Calibri"/>
      <family val="2"/>
      <scheme val="minor"/>
    </font>
    <font>
      <sz val="10"/>
      <color rgb="FF969696"/>
      <name val="Calibri"/>
      <family val="2"/>
      <scheme val="minor"/>
    </font>
    <font>
      <b/>
      <strike/>
      <sz val="10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347A00"/>
      <name val="Calibri"/>
      <family val="2"/>
      <scheme val="minor"/>
    </font>
    <font>
      <sz val="10"/>
      <color rgb="FFD40000"/>
      <name val="Calibri"/>
      <family val="2"/>
      <scheme val="minor"/>
    </font>
    <font>
      <sz val="9"/>
      <color rgb="FF5F198C"/>
      <name val="Calibri"/>
      <family val="2"/>
      <scheme val="minor"/>
    </font>
    <font>
      <b/>
      <sz val="9"/>
      <color rgb="FF5F198C"/>
      <name val="Calibri"/>
      <family val="2"/>
      <scheme val="minor"/>
    </font>
    <font>
      <sz val="11"/>
      <color rgb="FFD4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color rgb="FFD40000"/>
      <name val="Calibri"/>
      <family val="2"/>
      <scheme val="minor"/>
    </font>
    <font>
      <sz val="9"/>
      <color rgb="FFED000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4C00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rgb="FF501000"/>
      <name val="Calibri"/>
      <family val="2"/>
      <scheme val="minor"/>
    </font>
    <font>
      <sz val="10"/>
      <color rgb="FF3F3F3F"/>
      <name val="Calibri"/>
      <family val="2"/>
      <scheme val="minor"/>
    </font>
    <font>
      <b/>
      <sz val="10"/>
      <color rgb="FFED0000"/>
      <name val="Calibri"/>
      <family val="2"/>
      <scheme val="minor"/>
    </font>
    <font>
      <sz val="9"/>
      <color rgb="FFB2B2B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0"/>
      <color rgb="FFA2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9"/>
      <color rgb="FF247A00"/>
      <name val="Calibri"/>
      <family val="2"/>
      <scheme val="minor"/>
    </font>
    <font>
      <b/>
      <sz val="10"/>
      <color rgb="FF3F3F3F"/>
      <name val="Calibri"/>
      <family val="2"/>
      <scheme val="minor"/>
    </font>
    <font>
      <sz val="10"/>
      <color rgb="FF347A00"/>
      <name val="Calibri"/>
      <family val="2"/>
      <scheme val="minor"/>
    </font>
    <font>
      <b/>
      <sz val="10"/>
      <color rgb="FF347A00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b/>
      <sz val="10"/>
      <color rgb="FFEAEAEA"/>
      <name val="Calibri"/>
      <family val="2"/>
      <scheme val="minor"/>
    </font>
    <font>
      <sz val="10"/>
      <color rgb="FFF8F8F8"/>
      <name val="Calibri"/>
      <family val="2"/>
      <scheme val="minor"/>
    </font>
    <font>
      <b/>
      <sz val="10"/>
      <color rgb="FF005E00"/>
      <name val="Calibri"/>
      <family val="2"/>
      <scheme val="minor"/>
    </font>
    <font>
      <b/>
      <sz val="10"/>
      <color rgb="FF3F0065"/>
      <name val="Calibri"/>
      <family val="2"/>
      <scheme val="minor"/>
    </font>
    <font>
      <b/>
      <sz val="10"/>
      <color rgb="FF8E0000"/>
      <name val="Calibri"/>
      <family val="2"/>
      <scheme val="minor"/>
    </font>
    <font>
      <b/>
      <sz val="10"/>
      <color rgb="FFD40000"/>
      <name val="Calibri"/>
      <family val="2"/>
      <scheme val="minor"/>
    </font>
    <font>
      <sz val="11"/>
      <color rgb="FFFF3300"/>
      <name val="Calibri"/>
      <family val="2"/>
      <scheme val="minor"/>
    </font>
    <font>
      <b/>
      <sz val="12"/>
      <color theme="1"/>
      <name val="Aptos"/>
      <family val="2"/>
    </font>
    <font>
      <sz val="11"/>
      <color theme="2" tint="-0.499984740745262"/>
      <name val="Calibri"/>
      <family val="2"/>
      <scheme val="minor"/>
    </font>
    <font>
      <sz val="11"/>
      <color rgb="FFA20000"/>
      <name val="Calibri"/>
      <family val="2"/>
      <scheme val="minor"/>
    </font>
    <font>
      <strike/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rgb="FF52017D"/>
      <name val="Calibri"/>
      <family val="2"/>
      <scheme val="minor"/>
    </font>
    <font>
      <b/>
      <sz val="9"/>
      <color rgb="FF9A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0"/>
      <name val="Calibri"/>
      <family val="2"/>
      <scheme val="minor"/>
    </font>
    <font>
      <b/>
      <sz val="10"/>
      <color theme="1"/>
      <name val="Aptos"/>
      <family val="2"/>
    </font>
    <font>
      <b/>
      <sz val="10"/>
      <color rgb="FFC00000"/>
      <name val="Aptos"/>
      <family val="2"/>
    </font>
    <font>
      <b/>
      <sz val="12"/>
      <color rgb="FF002060"/>
      <name val="Aptos"/>
      <family val="2"/>
    </font>
    <font>
      <sz val="10"/>
      <color theme="9" tint="0.79998168889431442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0"/>
      <color rgb="FF7030A0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0" tint="-0.499984740745262"/>
      <name val="Calibri"/>
      <family val="2"/>
      <scheme val="minor"/>
    </font>
    <font>
      <b/>
      <sz val="12"/>
      <color theme="0" tint="-0.34998626667073579"/>
      <name val="Aptos"/>
      <family val="2"/>
    </font>
    <font>
      <b/>
      <sz val="10"/>
      <color rgb="FF7030A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0"/>
      <color theme="1"/>
      <name val="Aptos"/>
      <family val="2"/>
    </font>
    <font>
      <u/>
      <sz val="11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9"/>
      <color theme="5" tint="-0.499984740745262"/>
      <name val="Calibri"/>
      <family val="2"/>
      <scheme val="minor"/>
    </font>
    <font>
      <sz val="10"/>
      <color theme="8" tint="0.79998168889431442"/>
      <name val="Calibri"/>
      <family val="2"/>
      <scheme val="minor"/>
    </font>
    <font>
      <b/>
      <sz val="10"/>
      <color theme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/>
      <right/>
      <top/>
      <bottom style="medium">
        <color rgb="FF44B3E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</cellStyleXfs>
  <cellXfs count="514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3" fillId="0" borderId="0" xfId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applyBorder="1"/>
    <xf numFmtId="0" fontId="3" fillId="0" borderId="1" xfId="1" applyBorder="1"/>
    <xf numFmtId="0" fontId="0" fillId="0" borderId="1" xfId="0" applyBorder="1" applyAlignment="1">
      <alignment horizontal="left"/>
    </xf>
    <xf numFmtId="0" fontId="3" fillId="0" borderId="1" xfId="1" applyBorder="1" applyAlignment="1">
      <alignment vertical="center"/>
    </xf>
    <xf numFmtId="0" fontId="0" fillId="2" borderId="1" xfId="0" applyFill="1" applyBorder="1"/>
    <xf numFmtId="0" fontId="3" fillId="2" borderId="1" xfId="1" applyFill="1" applyBorder="1"/>
    <xf numFmtId="0" fontId="3" fillId="0" borderId="0" xfId="1" applyBorder="1"/>
    <xf numFmtId="0" fontId="3" fillId="2" borderId="0" xfId="1" applyFill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4" fontId="8" fillId="0" borderId="0" xfId="0" applyNumberFormat="1" applyFont="1"/>
    <xf numFmtId="0" fontId="8" fillId="0" borderId="0" xfId="0" applyFont="1" applyAlignment="1">
      <alignment horizontal="center" wrapText="1"/>
    </xf>
    <xf numFmtId="4" fontId="10" fillId="0" borderId="0" xfId="0" applyNumberFormat="1" applyFont="1"/>
    <xf numFmtId="4" fontId="11" fillId="0" borderId="0" xfId="0" applyNumberFormat="1" applyFont="1"/>
    <xf numFmtId="4" fontId="0" fillId="0" borderId="0" xfId="0" quotePrefix="1" applyNumberFormat="1"/>
    <xf numFmtId="4" fontId="1" fillId="0" borderId="0" xfId="0" applyNumberFormat="1" applyFont="1"/>
    <xf numFmtId="16" fontId="0" fillId="0" borderId="0" xfId="0" applyNumberFormat="1"/>
    <xf numFmtId="0" fontId="15" fillId="0" borderId="0" xfId="0" applyFont="1" applyAlignment="1">
      <alignment vertical="center"/>
    </xf>
    <xf numFmtId="4" fontId="0" fillId="0" borderId="0" xfId="0" applyNumberFormat="1" applyAlignment="1">
      <alignment horizontal="right"/>
    </xf>
    <xf numFmtId="4" fontId="18" fillId="0" borderId="0" xfId="0" applyNumberFormat="1" applyFont="1"/>
    <xf numFmtId="0" fontId="13" fillId="0" borderId="0" xfId="0" pivotButton="1" applyFont="1"/>
    <xf numFmtId="4" fontId="8" fillId="0" borderId="0" xfId="0" applyNumberFormat="1" applyFont="1" applyAlignment="1">
      <alignment horizontal="center"/>
    </xf>
    <xf numFmtId="14" fontId="0" fillId="0" borderId="0" xfId="0" applyNumberFormat="1"/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8" fillId="5" borderId="5" xfId="0" applyFont="1" applyFill="1" applyBorder="1" applyAlignment="1">
      <alignment vertical="center"/>
    </xf>
    <xf numFmtId="4" fontId="28" fillId="5" borderId="6" xfId="0" applyNumberFormat="1" applyFont="1" applyFill="1" applyBorder="1" applyAlignment="1">
      <alignment horizontal="right" vertical="center"/>
    </xf>
    <xf numFmtId="0" fontId="28" fillId="5" borderId="6" xfId="0" applyFont="1" applyFill="1" applyBorder="1" applyAlignment="1">
      <alignment horizontal="right" vertical="center"/>
    </xf>
    <xf numFmtId="0" fontId="29" fillId="0" borderId="0" xfId="0" applyFont="1"/>
    <xf numFmtId="0" fontId="3" fillId="0" borderId="0" xfId="1"/>
    <xf numFmtId="0" fontId="3" fillId="6" borderId="7" xfId="1" applyFill="1" applyBorder="1" applyAlignment="1">
      <alignment vertical="center"/>
    </xf>
    <xf numFmtId="0" fontId="3" fillId="0" borderId="7" xfId="1" applyBorder="1" applyAlignment="1">
      <alignment vertical="center"/>
    </xf>
    <xf numFmtId="0" fontId="30" fillId="0" borderId="7" xfId="0" applyFont="1" applyBorder="1" applyAlignment="1">
      <alignment vertical="center"/>
    </xf>
    <xf numFmtId="0" fontId="30" fillId="0" borderId="7" xfId="0" applyFont="1" applyBorder="1" applyAlignment="1">
      <alignment horizontal="center" vertical="center"/>
    </xf>
    <xf numFmtId="0" fontId="31" fillId="0" borderId="0" xfId="0" applyFont="1"/>
    <xf numFmtId="4" fontId="38" fillId="0" borderId="0" xfId="0" applyNumberFormat="1" applyFont="1"/>
    <xf numFmtId="0" fontId="0" fillId="3" borderId="0" xfId="0" applyFill="1"/>
    <xf numFmtId="4" fontId="17" fillId="0" borderId="0" xfId="0" applyNumberFormat="1" applyFont="1"/>
    <xf numFmtId="0" fontId="31" fillId="3" borderId="0" xfId="0" applyFont="1" applyFill="1"/>
    <xf numFmtId="0" fontId="44" fillId="3" borderId="0" xfId="0" applyFont="1" applyFill="1"/>
    <xf numFmtId="0" fontId="1" fillId="0" borderId="0" xfId="0" applyFont="1" applyAlignment="1">
      <alignment wrapText="1"/>
    </xf>
    <xf numFmtId="2" fontId="0" fillId="0" borderId="0" xfId="0" applyNumberFormat="1"/>
    <xf numFmtId="4" fontId="0" fillId="3" borderId="0" xfId="0" applyNumberFormat="1" applyFill="1"/>
    <xf numFmtId="16" fontId="0" fillId="3" borderId="0" xfId="0" applyNumberFormat="1" applyFill="1"/>
    <xf numFmtId="4" fontId="13" fillId="3" borderId="0" xfId="0" applyNumberFormat="1" applyFont="1" applyFill="1"/>
    <xf numFmtId="0" fontId="45" fillId="0" borderId="0" xfId="0" applyFont="1"/>
    <xf numFmtId="4" fontId="42" fillId="0" borderId="0" xfId="0" applyNumberFormat="1" applyFont="1"/>
    <xf numFmtId="4" fontId="37" fillId="0" borderId="0" xfId="0" applyNumberFormat="1" applyFont="1"/>
    <xf numFmtId="0" fontId="0" fillId="0" borderId="0" xfId="0" applyAlignment="1">
      <alignment wrapText="1"/>
    </xf>
    <xf numFmtId="4" fontId="12" fillId="0" borderId="0" xfId="0" applyNumberFormat="1" applyFont="1"/>
    <xf numFmtId="4" fontId="47" fillId="0" borderId="0" xfId="0" applyNumberFormat="1" applyFont="1"/>
    <xf numFmtId="16" fontId="1" fillId="3" borderId="0" xfId="0" applyNumberFormat="1" applyFont="1" applyFill="1" applyAlignment="1">
      <alignment horizontal="center"/>
    </xf>
    <xf numFmtId="16" fontId="1" fillId="0" borderId="0" xfId="0" applyNumberFormat="1" applyFont="1" applyAlignment="1">
      <alignment horizontal="right"/>
    </xf>
    <xf numFmtId="4" fontId="36" fillId="0" borderId="0" xfId="0" applyNumberFormat="1" applyFont="1"/>
    <xf numFmtId="16" fontId="1" fillId="0" borderId="0" xfId="0" applyNumberFormat="1" applyFont="1" applyAlignment="1">
      <alignment horizontal="left"/>
    </xf>
    <xf numFmtId="4" fontId="53" fillId="0" borderId="0" xfId="0" applyNumberFormat="1" applyFont="1"/>
    <xf numFmtId="4" fontId="59" fillId="0" borderId="0" xfId="0" applyNumberFormat="1" applyFont="1"/>
    <xf numFmtId="4" fontId="60" fillId="0" borderId="0" xfId="0" applyNumberFormat="1" applyFont="1"/>
    <xf numFmtId="4" fontId="61" fillId="0" borderId="0" xfId="0" applyNumberFormat="1" applyFont="1"/>
    <xf numFmtId="0" fontId="62" fillId="0" borderId="0" xfId="0" applyFont="1"/>
    <xf numFmtId="0" fontId="66" fillId="0" borderId="0" xfId="0" applyFont="1"/>
    <xf numFmtId="17" fontId="1" fillId="0" borderId="0" xfId="0" quotePrefix="1" applyNumberFormat="1" applyFont="1" applyAlignment="1">
      <alignment horizontal="center"/>
    </xf>
    <xf numFmtId="4" fontId="42" fillId="0" borderId="0" xfId="0" quotePrefix="1" applyNumberFormat="1" applyFont="1"/>
    <xf numFmtId="4" fontId="9" fillId="0" borderId="0" xfId="0" applyNumberFormat="1" applyFont="1"/>
    <xf numFmtId="4" fontId="11" fillId="0" borderId="0" xfId="0" quotePrefix="1" applyNumberFormat="1" applyFont="1"/>
    <xf numFmtId="4" fontId="45" fillId="0" borderId="0" xfId="0" applyNumberFormat="1" applyFont="1" applyAlignment="1">
      <alignment horizontal="center"/>
    </xf>
    <xf numFmtId="4" fontId="67" fillId="0" borderId="0" xfId="0" applyNumberFormat="1" applyFont="1" applyAlignment="1">
      <alignment horizontal="center"/>
    </xf>
    <xf numFmtId="4" fontId="19" fillId="0" borderId="0" xfId="0" applyNumberFormat="1" applyFont="1"/>
    <xf numFmtId="4" fontId="73" fillId="0" borderId="0" xfId="0" applyNumberFormat="1" applyFont="1"/>
    <xf numFmtId="14" fontId="74" fillId="0" borderId="0" xfId="0" applyNumberFormat="1" applyFont="1"/>
    <xf numFmtId="0" fontId="75" fillId="0" borderId="0" xfId="0" applyFont="1"/>
    <xf numFmtId="0" fontId="76" fillId="0" borderId="0" xfId="0" applyFont="1"/>
    <xf numFmtId="4" fontId="67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left"/>
    </xf>
    <xf numFmtId="16" fontId="75" fillId="0" borderId="0" xfId="0" applyNumberFormat="1" applyFont="1" applyAlignment="1">
      <alignment horizontal="center"/>
    </xf>
    <xf numFmtId="16" fontId="78" fillId="0" borderId="0" xfId="0" applyNumberFormat="1" applyFont="1" applyAlignment="1">
      <alignment horizontal="left"/>
    </xf>
    <xf numFmtId="0" fontId="9" fillId="0" borderId="0" xfId="0" applyFont="1"/>
    <xf numFmtId="16" fontId="75" fillId="0" borderId="0" xfId="0" applyNumberFormat="1" applyFont="1" applyAlignment="1">
      <alignment horizontal="left"/>
    </xf>
    <xf numFmtId="4" fontId="16" fillId="0" borderId="0" xfId="0" applyNumberFormat="1" applyFont="1"/>
    <xf numFmtId="0" fontId="81" fillId="0" borderId="0" xfId="0" applyFont="1"/>
    <xf numFmtId="0" fontId="82" fillId="0" borderId="0" xfId="0" applyFont="1"/>
    <xf numFmtId="0" fontId="0" fillId="4" borderId="0" xfId="0" applyFill="1"/>
    <xf numFmtId="0" fontId="83" fillId="0" borderId="0" xfId="0" applyFont="1"/>
    <xf numFmtId="4" fontId="84" fillId="0" borderId="0" xfId="0" quotePrefix="1" applyNumberFormat="1" applyFont="1" applyAlignment="1">
      <alignment horizontal="center"/>
    </xf>
    <xf numFmtId="166" fontId="31" fillId="0" borderId="0" xfId="0" applyNumberFormat="1" applyFont="1"/>
    <xf numFmtId="166" fontId="31" fillId="0" borderId="0" xfId="0" applyNumberFormat="1" applyFont="1" applyAlignment="1">
      <alignment horizontal="right"/>
    </xf>
    <xf numFmtId="4" fontId="31" fillId="0" borderId="0" xfId="0" quotePrefix="1" applyNumberFormat="1" applyFont="1" applyAlignment="1">
      <alignment horizontal="center"/>
    </xf>
    <xf numFmtId="0" fontId="81" fillId="0" borderId="0" xfId="0" applyFont="1" applyAlignment="1">
      <alignment horizontal="left"/>
    </xf>
    <xf numFmtId="17" fontId="0" fillId="0" borderId="0" xfId="0" applyNumberFormat="1" applyAlignment="1">
      <alignment horizontal="center"/>
    </xf>
    <xf numFmtId="4" fontId="45" fillId="0" borderId="0" xfId="0" quotePrefix="1" applyNumberFormat="1" applyFont="1" applyAlignment="1">
      <alignment horizontal="center"/>
    </xf>
    <xf numFmtId="0" fontId="18" fillId="0" borderId="0" xfId="0" applyFont="1"/>
    <xf numFmtId="4" fontId="11" fillId="0" borderId="0" xfId="0" applyNumberFormat="1" applyFont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" fontId="0" fillId="0" borderId="11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4" fontId="0" fillId="0" borderId="13" xfId="0" applyNumberFormat="1" applyBorder="1" applyAlignment="1">
      <alignment horizontal="right"/>
    </xf>
    <xf numFmtId="4" fontId="0" fillId="0" borderId="14" xfId="0" applyNumberFormat="1" applyBorder="1" applyAlignment="1">
      <alignment horizontal="right"/>
    </xf>
    <xf numFmtId="4" fontId="0" fillId="0" borderId="15" xfId="0" applyNumberFormat="1" applyBorder="1" applyAlignment="1">
      <alignment horizontal="right"/>
    </xf>
    <xf numFmtId="4" fontId="0" fillId="0" borderId="16" xfId="0" applyNumberFormat="1" applyBorder="1" applyAlignment="1">
      <alignment horizontal="right"/>
    </xf>
    <xf numFmtId="4" fontId="92" fillId="0" borderId="0" xfId="0" applyNumberFormat="1" applyFont="1"/>
    <xf numFmtId="168" fontId="0" fillId="0" borderId="0" xfId="0" applyNumberFormat="1" applyAlignment="1">
      <alignment horizontal="center"/>
    </xf>
    <xf numFmtId="0" fontId="36" fillId="0" borderId="17" xfId="0" applyFont="1" applyBorder="1" applyAlignment="1">
      <alignment horizontal="center" vertical="center" wrapText="1"/>
    </xf>
    <xf numFmtId="0" fontId="21" fillId="7" borderId="18" xfId="0" applyFont="1" applyFill="1" applyBorder="1"/>
    <xf numFmtId="0" fontId="34" fillId="7" borderId="18" xfId="0" applyFont="1" applyFill="1" applyBorder="1" applyAlignment="1">
      <alignment horizontal="center" vertical="center"/>
    </xf>
    <xf numFmtId="165" fontId="8" fillId="7" borderId="18" xfId="0" applyNumberFormat="1" applyFont="1" applyFill="1" applyBorder="1" applyAlignment="1">
      <alignment horizontal="left"/>
    </xf>
    <xf numFmtId="0" fontId="5" fillId="7" borderId="18" xfId="0" applyFont="1" applyFill="1" applyBorder="1"/>
    <xf numFmtId="4" fontId="8" fillId="7" borderId="18" xfId="0" applyNumberFormat="1" applyFont="1" applyFill="1" applyBorder="1"/>
    <xf numFmtId="165" fontId="87" fillId="7" borderId="18" xfId="0" applyNumberFormat="1" applyFont="1" applyFill="1" applyBorder="1" applyAlignment="1">
      <alignment horizontal="center"/>
    </xf>
    <xf numFmtId="0" fontId="19" fillId="7" borderId="18" xfId="0" applyFont="1" applyFill="1" applyBorder="1"/>
    <xf numFmtId="0" fontId="32" fillId="0" borderId="18" xfId="0" applyFont="1" applyBorder="1" applyAlignment="1">
      <alignment horizontal="left"/>
    </xf>
    <xf numFmtId="0" fontId="34" fillId="0" borderId="18" xfId="0" applyFont="1" applyBorder="1" applyAlignment="1">
      <alignment horizontal="center" vertical="center"/>
    </xf>
    <xf numFmtId="165" fontId="8" fillId="0" borderId="18" xfId="0" applyNumberFormat="1" applyFont="1" applyBorder="1" applyAlignment="1">
      <alignment horizontal="left"/>
    </xf>
    <xf numFmtId="0" fontId="5" fillId="0" borderId="18" xfId="0" applyFont="1" applyBorder="1"/>
    <xf numFmtId="4" fontId="11" fillId="0" borderId="18" xfId="0" applyNumberFormat="1" applyFont="1" applyBorder="1"/>
    <xf numFmtId="4" fontId="53" fillId="0" borderId="18" xfId="0" applyNumberFormat="1" applyFont="1" applyBorder="1"/>
    <xf numFmtId="4" fontId="8" fillId="0" borderId="18" xfId="0" applyNumberFormat="1" applyFont="1" applyBorder="1"/>
    <xf numFmtId="165" fontId="87" fillId="0" borderId="18" xfId="0" applyNumberFormat="1" applyFont="1" applyBorder="1" applyAlignment="1">
      <alignment horizontal="center"/>
    </xf>
    <xf numFmtId="0" fontId="19" fillId="0" borderId="18" xfId="0" applyFont="1" applyBorder="1"/>
    <xf numFmtId="0" fontId="21" fillId="7" borderId="18" xfId="0" applyFont="1" applyFill="1" applyBorder="1" applyAlignment="1">
      <alignment horizontal="left"/>
    </xf>
    <xf numFmtId="0" fontId="21" fillId="0" borderId="18" xfId="0" applyFont="1" applyBorder="1" applyAlignment="1">
      <alignment horizontal="left"/>
    </xf>
    <xf numFmtId="4" fontId="11" fillId="7" borderId="18" xfId="0" applyNumberFormat="1" applyFont="1" applyFill="1" applyBorder="1"/>
    <xf numFmtId="164" fontId="11" fillId="7" borderId="18" xfId="0" applyNumberFormat="1" applyFont="1" applyFill="1" applyBorder="1"/>
    <xf numFmtId="165" fontId="37" fillId="7" borderId="18" xfId="0" applyNumberFormat="1" applyFont="1" applyFill="1" applyBorder="1" applyAlignment="1">
      <alignment horizontal="center"/>
    </xf>
    <xf numFmtId="14" fontId="8" fillId="0" borderId="18" xfId="0" applyNumberFormat="1" applyFont="1" applyBorder="1" applyAlignment="1">
      <alignment horizontal="center"/>
    </xf>
    <xf numFmtId="164" fontId="11" fillId="0" borderId="18" xfId="0" applyNumberFormat="1" applyFont="1" applyBorder="1"/>
    <xf numFmtId="167" fontId="21" fillId="0" borderId="18" xfId="0" applyNumberFormat="1" applyFont="1" applyBorder="1"/>
    <xf numFmtId="14" fontId="8" fillId="0" borderId="0" xfId="0" applyNumberFormat="1" applyFont="1"/>
    <xf numFmtId="0" fontId="17" fillId="0" borderId="1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wrapText="1"/>
    </xf>
    <xf numFmtId="0" fontId="36" fillId="0" borderId="17" xfId="0" applyFont="1" applyBorder="1" applyAlignment="1">
      <alignment horizontal="center" wrapText="1"/>
    </xf>
    <xf numFmtId="0" fontId="14" fillId="7" borderId="18" xfId="0" applyFont="1" applyFill="1" applyBorder="1" applyAlignment="1">
      <alignment horizontal="center"/>
    </xf>
    <xf numFmtId="0" fontId="14" fillId="0" borderId="18" xfId="0" applyFont="1" applyBorder="1" applyAlignment="1">
      <alignment horizontal="center"/>
    </xf>
    <xf numFmtId="4" fontId="8" fillId="7" borderId="18" xfId="0" quotePrefix="1" applyNumberFormat="1" applyFont="1" applyFill="1" applyBorder="1"/>
    <xf numFmtId="43" fontId="92" fillId="7" borderId="18" xfId="0" applyNumberFormat="1" applyFont="1" applyFill="1" applyBorder="1"/>
    <xf numFmtId="14" fontId="53" fillId="0" borderId="18" xfId="0" applyNumberFormat="1" applyFont="1" applyBorder="1" applyAlignment="1">
      <alignment horizontal="center"/>
    </xf>
    <xf numFmtId="14" fontId="53" fillId="7" borderId="18" xfId="0" applyNumberFormat="1" applyFont="1" applyFill="1" applyBorder="1" applyAlignment="1">
      <alignment horizontal="center"/>
    </xf>
    <xf numFmtId="17" fontId="19" fillId="0" borderId="18" xfId="0" applyNumberFormat="1" applyFont="1" applyBorder="1" applyAlignment="1">
      <alignment horizontal="left"/>
    </xf>
    <xf numFmtId="2" fontId="63" fillId="7" borderId="18" xfId="0" applyNumberFormat="1" applyFont="1" applyFill="1" applyBorder="1" applyAlignment="1">
      <alignment horizontal="center"/>
    </xf>
    <xf numFmtId="0" fontId="36" fillId="0" borderId="18" xfId="0" applyFont="1" applyBorder="1" applyAlignment="1">
      <alignment horizontal="left"/>
    </xf>
    <xf numFmtId="167" fontId="36" fillId="0" borderId="18" xfId="0" applyNumberFormat="1" applyFont="1" applyBorder="1" applyAlignment="1">
      <alignment horizontal="left"/>
    </xf>
    <xf numFmtId="165" fontId="94" fillId="7" borderId="18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168" fontId="45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/>
    </xf>
    <xf numFmtId="166" fontId="45" fillId="0" borderId="0" xfId="0" applyNumberFormat="1" applyFont="1"/>
    <xf numFmtId="4" fontId="11" fillId="0" borderId="18" xfId="0" quotePrefix="1" applyNumberFormat="1" applyFont="1" applyBorder="1" applyAlignment="1">
      <alignment horizontal="center"/>
    </xf>
    <xf numFmtId="165" fontId="96" fillId="0" borderId="18" xfId="0" applyNumberFormat="1" applyFont="1" applyBorder="1" applyAlignment="1">
      <alignment horizontal="center"/>
    </xf>
    <xf numFmtId="4" fontId="77" fillId="0" borderId="18" xfId="0" applyNumberFormat="1" applyFont="1" applyBorder="1"/>
    <xf numFmtId="0" fontId="36" fillId="0" borderId="19" xfId="0" applyFont="1" applyBorder="1" applyAlignment="1">
      <alignment horizontal="left"/>
    </xf>
    <xf numFmtId="0" fontId="19" fillId="7" borderId="20" xfId="0" applyFont="1" applyFill="1" applyBorder="1"/>
    <xf numFmtId="0" fontId="19" fillId="0" borderId="20" xfId="0" applyFont="1" applyBorder="1"/>
    <xf numFmtId="0" fontId="17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wrapText="1"/>
    </xf>
    <xf numFmtId="0" fontId="93" fillId="0" borderId="22" xfId="0" applyFont="1" applyBorder="1" applyAlignment="1">
      <alignment horizontal="center" wrapText="1"/>
    </xf>
    <xf numFmtId="0" fontId="36" fillId="0" borderId="22" xfId="0" applyFont="1" applyBorder="1" applyAlignment="1">
      <alignment horizontal="center" wrapText="1"/>
    </xf>
    <xf numFmtId="0" fontId="36" fillId="0" borderId="22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/>
    </xf>
    <xf numFmtId="0" fontId="21" fillId="0" borderId="18" xfId="0" applyFont="1" applyBorder="1"/>
    <xf numFmtId="167" fontId="36" fillId="0" borderId="24" xfId="0" applyNumberFormat="1" applyFont="1" applyBorder="1" applyAlignment="1">
      <alignment horizontal="left"/>
    </xf>
    <xf numFmtId="167" fontId="21" fillId="0" borderId="25" xfId="0" applyNumberFormat="1" applyFont="1" applyBorder="1"/>
    <xf numFmtId="0" fontId="34" fillId="0" borderId="25" xfId="0" applyFont="1" applyBorder="1" applyAlignment="1">
      <alignment horizontal="center" vertical="center"/>
    </xf>
    <xf numFmtId="165" fontId="8" fillId="0" borderId="25" xfId="0" applyNumberFormat="1" applyFont="1" applyBorder="1" applyAlignment="1">
      <alignment horizontal="left"/>
    </xf>
    <xf numFmtId="0" fontId="5" fillId="0" borderId="25" xfId="0" applyFont="1" applyBorder="1"/>
    <xf numFmtId="165" fontId="97" fillId="0" borderId="18" xfId="0" applyNumberFormat="1" applyFont="1" applyBorder="1" applyAlignment="1">
      <alignment horizontal="center"/>
    </xf>
    <xf numFmtId="14" fontId="63" fillId="0" borderId="18" xfId="0" applyNumberFormat="1" applyFont="1" applyBorder="1" applyAlignment="1">
      <alignment horizontal="center"/>
    </xf>
    <xf numFmtId="165" fontId="37" fillId="0" borderId="18" xfId="0" applyNumberFormat="1" applyFont="1" applyBorder="1" applyAlignment="1">
      <alignment horizontal="center"/>
    </xf>
    <xf numFmtId="165" fontId="94" fillId="0" borderId="18" xfId="0" applyNumberFormat="1" applyFont="1" applyBorder="1" applyAlignment="1">
      <alignment horizontal="center"/>
    </xf>
    <xf numFmtId="14" fontId="8" fillId="0" borderId="25" xfId="0" applyNumberFormat="1" applyFont="1" applyBorder="1" applyAlignment="1">
      <alignment horizontal="center"/>
    </xf>
    <xf numFmtId="4" fontId="8" fillId="0" borderId="25" xfId="0" applyNumberFormat="1" applyFont="1" applyBorder="1"/>
    <xf numFmtId="4" fontId="11" fillId="0" borderId="25" xfId="0" quotePrefix="1" applyNumberFormat="1" applyFont="1" applyBorder="1" applyAlignment="1">
      <alignment horizontal="center"/>
    </xf>
    <xf numFmtId="165" fontId="94" fillId="0" borderId="25" xfId="0" applyNumberFormat="1" applyFont="1" applyBorder="1" applyAlignment="1">
      <alignment horizontal="center"/>
    </xf>
    <xf numFmtId="17" fontId="19" fillId="0" borderId="26" xfId="0" applyNumberFormat="1" applyFont="1" applyBorder="1" applyAlignment="1">
      <alignment horizontal="left"/>
    </xf>
    <xf numFmtId="0" fontId="9" fillId="0" borderId="23" xfId="0" applyFont="1" applyBorder="1" applyAlignment="1">
      <alignment horizontal="center"/>
    </xf>
    <xf numFmtId="1" fontId="63" fillId="0" borderId="18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36" fillId="7" borderId="18" xfId="0" applyFont="1" applyFill="1" applyBorder="1" applyAlignment="1">
      <alignment horizontal="left"/>
    </xf>
    <xf numFmtId="4" fontId="95" fillId="7" borderId="18" xfId="0" applyNumberFormat="1" applyFont="1" applyFill="1" applyBorder="1"/>
    <xf numFmtId="4" fontId="11" fillId="7" borderId="18" xfId="0" quotePrefix="1" applyNumberFormat="1" applyFont="1" applyFill="1" applyBorder="1" applyAlignment="1">
      <alignment horizontal="center"/>
    </xf>
    <xf numFmtId="4" fontId="53" fillId="7" borderId="18" xfId="0" applyNumberFormat="1" applyFont="1" applyFill="1" applyBorder="1"/>
    <xf numFmtId="165" fontId="97" fillId="7" borderId="18" xfId="0" applyNumberFormat="1" applyFont="1" applyFill="1" applyBorder="1" applyAlignment="1">
      <alignment horizontal="center"/>
    </xf>
    <xf numFmtId="1" fontId="63" fillId="7" borderId="18" xfId="0" applyNumberFormat="1" applyFont="1" applyFill="1" applyBorder="1" applyAlignment="1">
      <alignment horizontal="center"/>
    </xf>
    <xf numFmtId="0" fontId="70" fillId="7" borderId="18" xfId="0" applyFont="1" applyFill="1" applyBorder="1"/>
    <xf numFmtId="14" fontId="98" fillId="7" borderId="18" xfId="0" applyNumberFormat="1" applyFont="1" applyFill="1" applyBorder="1" applyAlignment="1">
      <alignment horizontal="center"/>
    </xf>
    <xf numFmtId="14" fontId="79" fillId="7" borderId="18" xfId="0" applyNumberFormat="1" applyFont="1" applyFill="1" applyBorder="1" applyAlignment="1">
      <alignment horizontal="center"/>
    </xf>
    <xf numFmtId="14" fontId="99" fillId="0" borderId="18" xfId="0" applyNumberFormat="1" applyFont="1" applyBorder="1" applyAlignment="1">
      <alignment horizontal="center"/>
    </xf>
    <xf numFmtId="4" fontId="31" fillId="0" borderId="0" xfId="0" applyNumberFormat="1" applyFont="1" applyAlignment="1">
      <alignment horizontal="right"/>
    </xf>
    <xf numFmtId="0" fontId="17" fillId="4" borderId="17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wrapText="1"/>
    </xf>
    <xf numFmtId="0" fontId="32" fillId="7" borderId="18" xfId="0" applyFont="1" applyFill="1" applyBorder="1" applyAlignment="1">
      <alignment horizontal="left"/>
    </xf>
    <xf numFmtId="0" fontId="35" fillId="7" borderId="18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4" fontId="8" fillId="7" borderId="18" xfId="0" applyNumberFormat="1" applyFont="1" applyFill="1" applyBorder="1" applyAlignment="1">
      <alignment horizontal="center"/>
    </xf>
    <xf numFmtId="165" fontId="39" fillId="7" borderId="18" xfId="0" applyNumberFormat="1" applyFont="1" applyFill="1" applyBorder="1" applyAlignment="1">
      <alignment horizontal="center"/>
    </xf>
    <xf numFmtId="0" fontId="99" fillId="7" borderId="18" xfId="0" applyFont="1" applyFill="1" applyBorder="1" applyAlignment="1">
      <alignment horizontal="center"/>
    </xf>
    <xf numFmtId="167" fontId="0" fillId="0" borderId="0" xfId="0" applyNumberFormat="1"/>
    <xf numFmtId="16" fontId="11" fillId="0" borderId="0" xfId="0" applyNumberFormat="1" applyFont="1" applyAlignment="1">
      <alignment horizontal="left"/>
    </xf>
    <xf numFmtId="4" fontId="100" fillId="0" borderId="0" xfId="0" quotePrefix="1" applyNumberFormat="1" applyFont="1" applyAlignment="1">
      <alignment horizontal="center"/>
    </xf>
    <xf numFmtId="0" fontId="11" fillId="0" borderId="0" xfId="0" applyFont="1"/>
    <xf numFmtId="16" fontId="10" fillId="0" borderId="0" xfId="0" applyNumberFormat="1" applyFont="1" applyAlignment="1">
      <alignment horizontal="left"/>
    </xf>
    <xf numFmtId="0" fontId="101" fillId="0" borderId="0" xfId="0" applyFont="1"/>
    <xf numFmtId="2" fontId="102" fillId="0" borderId="0" xfId="0" applyNumberFormat="1" applyFont="1" applyAlignment="1">
      <alignment horizontal="left"/>
    </xf>
    <xf numFmtId="0" fontId="103" fillId="0" borderId="0" xfId="0" applyFont="1"/>
    <xf numFmtId="9" fontId="103" fillId="0" borderId="0" xfId="2" applyFont="1" applyAlignment="1">
      <alignment horizontal="center"/>
    </xf>
    <xf numFmtId="16" fontId="103" fillId="0" borderId="0" xfId="0" applyNumberFormat="1" applyFont="1" applyAlignment="1">
      <alignment horizontal="left"/>
    </xf>
    <xf numFmtId="14" fontId="11" fillId="0" borderId="18" xfId="0" applyNumberFormat="1" applyFont="1" applyBorder="1" applyAlignment="1">
      <alignment horizontal="center"/>
    </xf>
    <xf numFmtId="4" fontId="11" fillId="0" borderId="0" xfId="0" applyNumberFormat="1" applyFont="1" applyAlignment="1">
      <alignment horizontal="right"/>
    </xf>
    <xf numFmtId="0" fontId="0" fillId="0" borderId="0" xfId="0" quotePrefix="1"/>
    <xf numFmtId="4" fontId="2" fillId="0" borderId="0" xfId="0" applyNumberFormat="1" applyFont="1"/>
    <xf numFmtId="4" fontId="0" fillId="0" borderId="0" xfId="0" applyNumberFormat="1" applyAlignment="1">
      <alignment horizontal="left"/>
    </xf>
    <xf numFmtId="4" fontId="14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 wrapText="1"/>
    </xf>
    <xf numFmtId="4" fontId="21" fillId="0" borderId="0" xfId="0" applyNumberFormat="1" applyFont="1"/>
    <xf numFmtId="4" fontId="5" fillId="0" borderId="0" xfId="0" applyNumberFormat="1" applyFont="1"/>
    <xf numFmtId="4" fontId="87" fillId="0" borderId="0" xfId="0" applyNumberFormat="1" applyFont="1" applyAlignment="1">
      <alignment horizontal="center"/>
    </xf>
    <xf numFmtId="4" fontId="22" fillId="0" borderId="0" xfId="0" applyNumberFormat="1" applyFont="1" applyAlignment="1">
      <alignment vertical="center"/>
    </xf>
    <xf numFmtId="4" fontId="62" fillId="0" borderId="0" xfId="0" applyNumberFormat="1" applyFont="1" applyAlignment="1">
      <alignment horizontal="center"/>
    </xf>
    <xf numFmtId="4" fontId="90" fillId="0" borderId="0" xfId="0" applyNumberFormat="1" applyFont="1" applyAlignment="1">
      <alignment horizontal="center"/>
    </xf>
    <xf numFmtId="4" fontId="20" fillId="0" borderId="0" xfId="0" applyNumberFormat="1" applyFont="1"/>
    <xf numFmtId="4" fontId="19" fillId="0" borderId="0" xfId="0" applyNumberFormat="1" applyFont="1" applyAlignment="1">
      <alignment horizontal="left" vertical="top" wrapText="1"/>
    </xf>
    <xf numFmtId="4" fontId="54" fillId="0" borderId="0" xfId="0" applyNumberFormat="1" applyFont="1"/>
    <xf numFmtId="4" fontId="57" fillId="0" borderId="0" xfId="0" applyNumberFormat="1" applyFont="1"/>
    <xf numFmtId="4" fontId="56" fillId="0" borderId="0" xfId="0" applyNumberFormat="1" applyFont="1" applyAlignment="1">
      <alignment horizontal="center"/>
    </xf>
    <xf numFmtId="4" fontId="58" fillId="0" borderId="0" xfId="0" applyNumberFormat="1" applyFont="1"/>
    <xf numFmtId="4" fontId="46" fillId="0" borderId="0" xfId="0" applyNumberFormat="1" applyFont="1"/>
    <xf numFmtId="4" fontId="37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91" fillId="0" borderId="0" xfId="0" applyNumberFormat="1" applyFont="1" applyAlignment="1">
      <alignment vertical="center"/>
    </xf>
    <xf numFmtId="4" fontId="39" fillId="0" borderId="0" xfId="0" applyNumberFormat="1" applyFont="1" applyAlignment="1">
      <alignment horizontal="center"/>
    </xf>
    <xf numFmtId="4" fontId="43" fillId="0" borderId="0" xfId="0" applyNumberFormat="1" applyFont="1"/>
    <xf numFmtId="4" fontId="19" fillId="0" borderId="0" xfId="0" quotePrefix="1" applyNumberFormat="1" applyFont="1"/>
    <xf numFmtId="4" fontId="17" fillId="0" borderId="0" xfId="0" applyNumberFormat="1" applyFont="1" applyAlignment="1">
      <alignment horizontal="center"/>
    </xf>
    <xf numFmtId="4" fontId="32" fillId="0" borderId="0" xfId="0" applyNumberFormat="1" applyFont="1" applyAlignment="1">
      <alignment horizontal="left"/>
    </xf>
    <xf numFmtId="4" fontId="63" fillId="0" borderId="0" xfId="0" applyNumberFormat="1" applyFont="1" applyAlignment="1">
      <alignment horizontal="center"/>
    </xf>
    <xf numFmtId="4" fontId="88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left"/>
    </xf>
    <xf numFmtId="4" fontId="43" fillId="0" borderId="0" xfId="0" applyNumberFormat="1" applyFont="1" applyAlignment="1">
      <alignment horizontal="left"/>
    </xf>
    <xf numFmtId="4" fontId="77" fillId="0" borderId="0" xfId="0" applyNumberFormat="1" applyFont="1" applyAlignment="1">
      <alignment horizontal="center"/>
    </xf>
    <xf numFmtId="4" fontId="69" fillId="0" borderId="0" xfId="0" applyNumberFormat="1" applyFont="1"/>
    <xf numFmtId="4" fontId="19" fillId="0" borderId="0" xfId="0" applyNumberFormat="1" applyFont="1" applyAlignment="1">
      <alignment horizontal="left"/>
    </xf>
    <xf numFmtId="4" fontId="85" fillId="0" borderId="0" xfId="0" applyNumberFormat="1" applyFont="1"/>
    <xf numFmtId="4" fontId="21" fillId="0" borderId="0" xfId="0" applyNumberFormat="1" applyFont="1" applyAlignment="1">
      <alignment horizontal="left" vertical="center"/>
    </xf>
    <xf numFmtId="4" fontId="5" fillId="0" borderId="0" xfId="0" applyNumberFormat="1" applyFont="1" applyAlignment="1">
      <alignment vertical="center"/>
    </xf>
    <xf numFmtId="4" fontId="89" fillId="0" borderId="0" xfId="0" applyNumberFormat="1" applyFont="1" applyAlignment="1">
      <alignment horizontal="center"/>
    </xf>
    <xf numFmtId="4" fontId="91" fillId="0" borderId="0" xfId="0" applyNumberFormat="1" applyFont="1"/>
    <xf numFmtId="4" fontId="91" fillId="0" borderId="0" xfId="2" quotePrefix="1" applyNumberFormat="1" applyFont="1" applyAlignment="1">
      <alignment vertical="center"/>
    </xf>
    <xf numFmtId="4" fontId="0" fillId="0" borderId="0" xfId="2" applyNumberFormat="1" applyFont="1"/>
    <xf numFmtId="14" fontId="47" fillId="0" borderId="0" xfId="0" applyNumberFormat="1" applyFont="1" applyAlignment="1">
      <alignment horizontal="left"/>
    </xf>
    <xf numFmtId="14" fontId="60" fillId="0" borderId="0" xfId="0" applyNumberFormat="1" applyFont="1" applyAlignment="1">
      <alignment horizontal="left"/>
    </xf>
    <xf numFmtId="14" fontId="47" fillId="0" borderId="0" xfId="0" applyNumberFormat="1" applyFont="1" applyAlignment="1">
      <alignment horizontal="left" vertical="center"/>
    </xf>
    <xf numFmtId="14" fontId="47" fillId="0" borderId="0" xfId="0" applyNumberFormat="1" applyFont="1" applyAlignment="1">
      <alignment horizontal="center"/>
    </xf>
    <xf numFmtId="14" fontId="60" fillId="0" borderId="0" xfId="0" applyNumberFormat="1" applyFont="1" applyAlignment="1">
      <alignment horizontal="center"/>
    </xf>
    <xf numFmtId="14" fontId="47" fillId="0" borderId="0" xfId="0" applyNumberFormat="1" applyFont="1" applyAlignment="1">
      <alignment horizontal="center" vertical="center"/>
    </xf>
    <xf numFmtId="9" fontId="91" fillId="0" borderId="0" xfId="2" applyFont="1" applyAlignment="1">
      <alignment vertical="center"/>
    </xf>
    <xf numFmtId="9" fontId="8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9" fontId="63" fillId="0" borderId="0" xfId="0" applyNumberFormat="1" applyFont="1" applyAlignment="1">
      <alignment horizontal="center"/>
    </xf>
    <xf numFmtId="9" fontId="77" fillId="0" borderId="0" xfId="0" applyNumberFormat="1" applyFont="1" applyAlignment="1">
      <alignment horizontal="center"/>
    </xf>
    <xf numFmtId="9" fontId="91" fillId="0" borderId="0" xfId="2" quotePrefix="1" applyFont="1" applyAlignment="1">
      <alignment vertical="center"/>
    </xf>
    <xf numFmtId="0" fontId="35" fillId="0" borderId="0" xfId="0" applyFont="1" applyAlignment="1">
      <alignment horizontal="center" vertical="center"/>
    </xf>
    <xf numFmtId="0" fontId="74" fillId="0" borderId="0" xfId="0" applyFont="1" applyAlignment="1">
      <alignment horizontal="center"/>
    </xf>
    <xf numFmtId="0" fontId="19" fillId="0" borderId="0" xfId="0" quotePrefix="1" applyFont="1" applyAlignment="1">
      <alignment horizontal="center"/>
    </xf>
    <xf numFmtId="0" fontId="104" fillId="0" borderId="0" xfId="0" applyFont="1" applyAlignment="1">
      <alignment horizontal="center"/>
    </xf>
    <xf numFmtId="0" fontId="74" fillId="0" borderId="0" xfId="0" quotePrefix="1" applyFont="1" applyAlignment="1">
      <alignment horizontal="center" wrapText="1"/>
    </xf>
    <xf numFmtId="0" fontId="70" fillId="0" borderId="0" xfId="0" quotePrefix="1" applyFont="1" applyAlignment="1">
      <alignment horizontal="center"/>
    </xf>
    <xf numFmtId="0" fontId="19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106" fillId="0" borderId="0" xfId="0" quotePrefix="1" applyFont="1" applyAlignment="1">
      <alignment horizontal="center"/>
    </xf>
    <xf numFmtId="0" fontId="7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top" wrapText="1"/>
    </xf>
    <xf numFmtId="0" fontId="34" fillId="0" borderId="0" xfId="0" applyFont="1" applyAlignment="1">
      <alignment horizontal="center" vertical="top" wrapText="1"/>
    </xf>
    <xf numFmtId="0" fontId="34" fillId="0" borderId="0" xfId="0" quotePrefix="1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4" fontId="74" fillId="4" borderId="0" xfId="0" applyNumberFormat="1" applyFont="1" applyFill="1" applyAlignment="1">
      <alignment horizontal="center" vertical="center" wrapText="1"/>
    </xf>
    <xf numFmtId="4" fontId="74" fillId="0" borderId="0" xfId="0" applyNumberFormat="1" applyFont="1" applyAlignment="1">
      <alignment horizontal="center" vertical="center" wrapText="1"/>
    </xf>
    <xf numFmtId="4" fontId="74" fillId="0" borderId="0" xfId="0" applyNumberFormat="1" applyFont="1" applyAlignment="1">
      <alignment horizontal="center" wrapText="1"/>
    </xf>
    <xf numFmtId="4" fontId="74" fillId="4" borderId="0" xfId="0" applyNumberFormat="1" applyFont="1" applyFill="1" applyAlignment="1">
      <alignment horizontal="center" wrapText="1"/>
    </xf>
    <xf numFmtId="4" fontId="19" fillId="4" borderId="0" xfId="0" applyNumberFormat="1" applyFont="1" applyFill="1" applyAlignment="1">
      <alignment horizontal="center" wrapText="1"/>
    </xf>
    <xf numFmtId="4" fontId="108" fillId="8" borderId="0" xfId="0" applyNumberFormat="1" applyFont="1" applyFill="1" applyAlignment="1">
      <alignment horizontal="center" wrapText="1"/>
    </xf>
    <xf numFmtId="4" fontId="74" fillId="3" borderId="0" xfId="0" applyNumberFormat="1" applyFont="1" applyFill="1" applyAlignment="1">
      <alignment horizontal="center" vertical="center" wrapText="1"/>
    </xf>
    <xf numFmtId="0" fontId="13" fillId="0" borderId="0" xfId="0" applyFont="1"/>
    <xf numFmtId="0" fontId="0" fillId="0" borderId="0" xfId="0" pivotButton="1"/>
    <xf numFmtId="0" fontId="0" fillId="0" borderId="0" xfId="0" pivotButton="1" applyAlignment="1">
      <alignment horizontal="center"/>
    </xf>
    <xf numFmtId="169" fontId="0" fillId="0" borderId="0" xfId="0" applyNumberFormat="1" applyAlignment="1">
      <alignment horizontal="center"/>
    </xf>
    <xf numFmtId="169" fontId="45" fillId="0" borderId="0" xfId="0" applyNumberFormat="1" applyFont="1" applyAlignment="1">
      <alignment horizontal="center"/>
    </xf>
    <xf numFmtId="4" fontId="111" fillId="0" borderId="0" xfId="0" quotePrefix="1" applyNumberFormat="1" applyFont="1" applyAlignment="1">
      <alignment horizontal="center"/>
    </xf>
    <xf numFmtId="4" fontId="58" fillId="0" borderId="0" xfId="0" applyNumberFormat="1" applyFont="1" applyAlignment="1">
      <alignment horizontal="center"/>
    </xf>
    <xf numFmtId="4" fontId="11" fillId="9" borderId="0" xfId="0" applyNumberFormat="1" applyFont="1" applyFill="1" applyAlignment="1">
      <alignment horizontal="center"/>
    </xf>
    <xf numFmtId="4" fontId="10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 applyProtection="1">
      <alignment horizontal="left"/>
      <protection locked="0" hidden="1"/>
    </xf>
    <xf numFmtId="4" fontId="11" fillId="0" borderId="0" xfId="0" quotePrefix="1" applyNumberFormat="1" applyFont="1" applyAlignment="1" applyProtection="1">
      <alignment horizontal="center"/>
      <protection locked="0" hidden="1"/>
    </xf>
    <xf numFmtId="4" fontId="48" fillId="3" borderId="0" xfId="0" applyNumberFormat="1" applyFont="1" applyFill="1" applyAlignment="1">
      <alignment horizontal="center" vertical="center" wrapText="1"/>
    </xf>
    <xf numFmtId="4" fontId="109" fillId="3" borderId="0" xfId="0" applyNumberFormat="1" applyFont="1" applyFill="1" applyAlignment="1">
      <alignment horizontal="center" vertical="center" wrapText="1"/>
    </xf>
    <xf numFmtId="4" fontId="48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" fontId="100" fillId="0" borderId="0" xfId="0" applyNumberFormat="1" applyFont="1" applyAlignment="1">
      <alignment horizontal="center"/>
    </xf>
    <xf numFmtId="2" fontId="1" fillId="0" borderId="0" xfId="0" applyNumberFormat="1" applyFont="1"/>
    <xf numFmtId="0" fontId="11" fillId="7" borderId="18" xfId="0" applyFont="1" applyFill="1" applyBorder="1"/>
    <xf numFmtId="4" fontId="88" fillId="7" borderId="18" xfId="0" applyNumberFormat="1" applyFont="1" applyFill="1" applyBorder="1" applyAlignment="1">
      <alignment horizontal="center"/>
    </xf>
    <xf numFmtId="4" fontId="88" fillId="0" borderId="18" xfId="0" applyNumberFormat="1" applyFont="1" applyBorder="1" applyAlignment="1">
      <alignment horizontal="center"/>
    </xf>
    <xf numFmtId="4" fontId="11" fillId="0" borderId="0" xfId="0" applyNumberFormat="1" applyFont="1" applyAlignment="1" applyProtection="1">
      <alignment horizontal="center"/>
      <protection locked="0" hidden="1"/>
    </xf>
    <xf numFmtId="0" fontId="0" fillId="0" borderId="2" xfId="0" applyBorder="1" applyAlignment="1">
      <alignment horizontal="center"/>
    </xf>
    <xf numFmtId="9" fontId="0" fillId="0" borderId="0" xfId="2" applyFont="1"/>
    <xf numFmtId="0" fontId="2" fillId="0" borderId="0" xfId="0" applyFont="1" applyAlignment="1">
      <alignment horizontal="center"/>
    </xf>
    <xf numFmtId="0" fontId="115" fillId="0" borderId="0" xfId="0" applyFont="1"/>
    <xf numFmtId="4" fontId="117" fillId="4" borderId="0" xfId="0" applyNumberFormat="1" applyFont="1" applyFill="1" applyAlignment="1">
      <alignment horizontal="center"/>
    </xf>
    <xf numFmtId="0" fontId="114" fillId="0" borderId="0" xfId="0" applyFont="1" applyAlignment="1">
      <alignment horizontal="left"/>
    </xf>
    <xf numFmtId="170" fontId="45" fillId="0" borderId="0" xfId="0" applyNumberFormat="1" applyFont="1" applyAlignment="1">
      <alignment horizontal="left"/>
    </xf>
    <xf numFmtId="0" fontId="45" fillId="0" borderId="0" xfId="0" applyFont="1" applyAlignment="1">
      <alignment horizontal="center"/>
    </xf>
    <xf numFmtId="2" fontId="45" fillId="0" borderId="0" xfId="0" applyNumberFormat="1" applyFont="1" applyAlignment="1">
      <alignment horizontal="center"/>
    </xf>
    <xf numFmtId="9" fontId="45" fillId="0" borderId="0" xfId="2" applyFont="1" applyAlignment="1">
      <alignment horizontal="center"/>
    </xf>
    <xf numFmtId="0" fontId="45" fillId="0" borderId="0" xfId="0" applyFont="1" applyAlignment="1">
      <alignment horizontal="left"/>
    </xf>
    <xf numFmtId="0" fontId="1" fillId="0" borderId="0" xfId="0" quotePrefix="1" applyFont="1"/>
    <xf numFmtId="4" fontId="118" fillId="0" borderId="18" xfId="0" applyNumberFormat="1" applyFont="1" applyBorder="1"/>
    <xf numFmtId="0" fontId="74" fillId="0" borderId="0" xfId="0" applyFont="1"/>
    <xf numFmtId="4" fontId="107" fillId="0" borderId="0" xfId="0" applyNumberFormat="1" applyFont="1" applyAlignment="1">
      <alignment horizontal="center"/>
    </xf>
    <xf numFmtId="0" fontId="48" fillId="0" borderId="17" xfId="0" applyFont="1" applyBorder="1" applyAlignment="1">
      <alignment horizontal="center" vertical="center" wrapText="1"/>
    </xf>
    <xf numFmtId="4" fontId="38" fillId="0" borderId="18" xfId="0" applyNumberFormat="1" applyFont="1" applyBorder="1"/>
    <xf numFmtId="0" fontId="1" fillId="0" borderId="0" xfId="0" quotePrefix="1" applyFont="1" applyAlignment="1">
      <alignment horizontal="center"/>
    </xf>
    <xf numFmtId="4" fontId="74" fillId="0" borderId="0" xfId="0" applyNumberFormat="1" applyFont="1"/>
    <xf numFmtId="4" fontId="104" fillId="0" borderId="0" xfId="0" applyNumberFormat="1" applyFont="1"/>
    <xf numFmtId="4" fontId="106" fillId="3" borderId="0" xfId="0" applyNumberFormat="1" applyFont="1" applyFill="1"/>
    <xf numFmtId="4" fontId="70" fillId="0" borderId="0" xfId="0" quotePrefix="1" applyNumberFormat="1" applyFont="1"/>
    <xf numFmtId="4" fontId="74" fillId="0" borderId="0" xfId="0" applyNumberFormat="1" applyFont="1" applyAlignment="1">
      <alignment vertical="center"/>
    </xf>
    <xf numFmtId="4" fontId="74" fillId="0" borderId="0" xfId="0" applyNumberFormat="1" applyFont="1" applyAlignment="1">
      <alignment horizontal="right"/>
    </xf>
    <xf numFmtId="4" fontId="39" fillId="10" borderId="0" xfId="0" applyNumberFormat="1" applyFont="1" applyFill="1" applyAlignment="1">
      <alignment horizontal="center"/>
    </xf>
    <xf numFmtId="2" fontId="11" fillId="7" borderId="18" xfId="0" applyNumberFormat="1" applyFont="1" applyFill="1" applyBorder="1" applyAlignment="1">
      <alignment horizontal="center"/>
    </xf>
    <xf numFmtId="14" fontId="106" fillId="0" borderId="0" xfId="0" applyNumberFormat="1" applyFont="1"/>
    <xf numFmtId="14" fontId="119" fillId="0" borderId="0" xfId="0" applyNumberFormat="1" applyFont="1" applyAlignment="1">
      <alignment horizontal="left"/>
    </xf>
    <xf numFmtId="4" fontId="19" fillId="3" borderId="0" xfId="0" applyNumberFormat="1" applyFont="1" applyFill="1"/>
    <xf numFmtId="4" fontId="31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84" fillId="0" borderId="0" xfId="0" applyNumberFormat="1" applyFont="1" applyAlignment="1">
      <alignment horizontal="center"/>
    </xf>
    <xf numFmtId="4" fontId="120" fillId="0" borderId="0" xfId="0" applyNumberFormat="1" applyFont="1" applyAlignment="1">
      <alignment horizontal="center"/>
    </xf>
    <xf numFmtId="4" fontId="121" fillId="0" borderId="0" xfId="0" applyNumberFormat="1" applyFont="1"/>
    <xf numFmtId="2" fontId="45" fillId="0" borderId="0" xfId="2" applyNumberFormat="1" applyFont="1" applyAlignment="1">
      <alignment horizontal="center"/>
    </xf>
    <xf numFmtId="2" fontId="122" fillId="7" borderId="18" xfId="0" applyNumberFormat="1" applyFont="1" applyFill="1" applyBorder="1" applyAlignment="1">
      <alignment horizontal="center"/>
    </xf>
    <xf numFmtId="0" fontId="33" fillId="0" borderId="0" xfId="0" applyFont="1"/>
    <xf numFmtId="0" fontId="69" fillId="0" borderId="0" xfId="0" applyFont="1" applyAlignment="1">
      <alignment horizontal="left"/>
    </xf>
    <xf numFmtId="4" fontId="68" fillId="3" borderId="0" xfId="0" applyNumberFormat="1" applyFont="1" applyFill="1"/>
    <xf numFmtId="0" fontId="124" fillId="0" borderId="0" xfId="0" applyFont="1" applyAlignment="1">
      <alignment horizontal="left" vertical="center" indent="1"/>
    </xf>
    <xf numFmtId="0" fontId="123" fillId="0" borderId="0" xfId="0" applyFont="1" applyAlignment="1">
      <alignment horizontal="left" vertical="center" indent="1"/>
    </xf>
    <xf numFmtId="0" fontId="123" fillId="0" borderId="0" xfId="0" applyFont="1" applyAlignment="1">
      <alignment horizontal="left"/>
    </xf>
    <xf numFmtId="10" fontId="91" fillId="0" borderId="0" xfId="2" applyNumberFormat="1" applyFont="1" applyAlignment="1">
      <alignment vertical="center"/>
    </xf>
    <xf numFmtId="4" fontId="70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left"/>
    </xf>
    <xf numFmtId="4" fontId="0" fillId="0" borderId="27" xfId="0" applyNumberFormat="1" applyBorder="1"/>
    <xf numFmtId="14" fontId="18" fillId="0" borderId="18" xfId="0" applyNumberFormat="1" applyFont="1" applyBorder="1" applyAlignment="1">
      <alignment horizontal="center"/>
    </xf>
    <xf numFmtId="4" fontId="61" fillId="0" borderId="0" xfId="0" applyNumberFormat="1" applyFont="1" applyAlignment="1">
      <alignment horizontal="center"/>
    </xf>
    <xf numFmtId="4" fontId="117" fillId="0" borderId="0" xfId="0" applyNumberFormat="1" applyFont="1" applyAlignment="1">
      <alignment horizontal="center"/>
    </xf>
    <xf numFmtId="4" fontId="125" fillId="0" borderId="0" xfId="0" applyNumberFormat="1" applyFont="1"/>
    <xf numFmtId="0" fontId="2" fillId="0" borderId="0" xfId="0" applyFont="1" applyAlignment="1">
      <alignment horizontal="left"/>
    </xf>
    <xf numFmtId="4" fontId="126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14" fontId="13" fillId="3" borderId="0" xfId="0" applyNumberFormat="1" applyFont="1" applyFill="1" applyAlignment="1">
      <alignment horizontal="left"/>
    </xf>
    <xf numFmtId="17" fontId="0" fillId="0" borderId="0" xfId="0" quotePrefix="1" applyNumberFormat="1" applyAlignment="1">
      <alignment horizontal="center"/>
    </xf>
    <xf numFmtId="4" fontId="12" fillId="8" borderId="0" xfId="0" applyNumberFormat="1" applyFont="1" applyFill="1"/>
    <xf numFmtId="14" fontId="11" fillId="0" borderId="0" xfId="0" applyNumberFormat="1" applyFont="1" applyAlignment="1">
      <alignment horizontal="left"/>
    </xf>
    <xf numFmtId="167" fontId="21" fillId="0" borderId="0" xfId="0" applyNumberFormat="1" applyFont="1"/>
    <xf numFmtId="4" fontId="32" fillId="0" borderId="0" xfId="0" applyNumberFormat="1" applyFont="1"/>
    <xf numFmtId="4" fontId="11" fillId="11" borderId="0" xfId="0" applyNumberFormat="1" applyFont="1" applyFill="1" applyAlignment="1">
      <alignment horizontal="center"/>
    </xf>
    <xf numFmtId="167" fontId="36" fillId="0" borderId="19" xfId="0" applyNumberFormat="1" applyFont="1" applyBorder="1" applyAlignment="1">
      <alignment horizontal="left"/>
    </xf>
    <xf numFmtId="4" fontId="13" fillId="0" borderId="0" xfId="0" applyNumberFormat="1" applyFont="1"/>
    <xf numFmtId="4" fontId="0" fillId="0" borderId="18" xfId="0" applyNumberFormat="1" applyBorder="1"/>
    <xf numFmtId="4" fontId="11" fillId="7" borderId="0" xfId="0" applyNumberFormat="1" applyFont="1" applyFill="1"/>
    <xf numFmtId="166" fontId="31" fillId="0" borderId="18" xfId="0" applyNumberFormat="1" applyFont="1" applyBorder="1" applyAlignment="1">
      <alignment horizontal="right"/>
    </xf>
    <xf numFmtId="4" fontId="45" fillId="0" borderId="0" xfId="0" quotePrefix="1" applyNumberFormat="1" applyFont="1" applyAlignment="1">
      <alignment horizontal="left"/>
    </xf>
    <xf numFmtId="0" fontId="120" fillId="0" borderId="0" xfId="0" applyFont="1"/>
    <xf numFmtId="165" fontId="127" fillId="0" borderId="18" xfId="0" applyNumberFormat="1" applyFont="1" applyBorder="1" applyAlignment="1">
      <alignment horizontal="center"/>
    </xf>
    <xf numFmtId="166" fontId="0" fillId="0" borderId="0" xfId="0" applyNumberFormat="1" applyAlignment="1">
      <alignment horizontal="right"/>
    </xf>
    <xf numFmtId="14" fontId="8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center"/>
    </xf>
    <xf numFmtId="165" fontId="74" fillId="7" borderId="18" xfId="0" applyNumberFormat="1" applyFont="1" applyFill="1" applyBorder="1" applyAlignment="1">
      <alignment horizontal="left"/>
    </xf>
    <xf numFmtId="165" fontId="74" fillId="0" borderId="18" xfId="0" applyNumberFormat="1" applyFont="1" applyBorder="1" applyAlignment="1">
      <alignment horizontal="left"/>
    </xf>
    <xf numFmtId="14" fontId="74" fillId="7" borderId="18" xfId="0" applyNumberFormat="1" applyFont="1" applyFill="1" applyBorder="1" applyAlignment="1">
      <alignment horizontal="left"/>
    </xf>
    <xf numFmtId="14" fontId="74" fillId="0" borderId="18" xfId="0" applyNumberFormat="1" applyFont="1" applyBorder="1" applyAlignment="1">
      <alignment horizontal="left"/>
    </xf>
    <xf numFmtId="166" fontId="0" fillId="0" borderId="0" xfId="0" applyNumberFormat="1"/>
    <xf numFmtId="4" fontId="0" fillId="3" borderId="0" xfId="0" applyNumberFormat="1" applyFill="1" applyAlignment="1">
      <alignment horizontal="center"/>
    </xf>
    <xf numFmtId="172" fontId="0" fillId="0" borderId="0" xfId="0" applyNumberFormat="1"/>
    <xf numFmtId="173" fontId="0" fillId="0" borderId="0" xfId="0" applyNumberFormat="1"/>
    <xf numFmtId="4" fontId="45" fillId="0" borderId="0" xfId="0" applyNumberFormat="1" applyFont="1" applyAlignment="1">
      <alignment horizontal="right"/>
    </xf>
    <xf numFmtId="0" fontId="31" fillId="4" borderId="0" xfId="0" applyFont="1" applyFill="1"/>
    <xf numFmtId="166" fontId="31" fillId="4" borderId="0" xfId="0" applyNumberFormat="1" applyFont="1" applyFill="1" applyAlignment="1">
      <alignment horizontal="right"/>
    </xf>
    <xf numFmtId="4" fontId="31" fillId="4" borderId="0" xfId="0" applyNumberFormat="1" applyFont="1" applyFill="1" applyAlignment="1">
      <alignment horizontal="right"/>
    </xf>
    <xf numFmtId="166" fontId="45" fillId="4" borderId="0" xfId="0" applyNumberFormat="1" applyFont="1" applyFill="1"/>
    <xf numFmtId="4" fontId="0" fillId="4" borderId="0" xfId="0" applyNumberFormat="1" applyFill="1"/>
    <xf numFmtId="16" fontId="11" fillId="4" borderId="0" xfId="0" applyNumberFormat="1" applyFont="1" applyFill="1"/>
    <xf numFmtId="0" fontId="11" fillId="4" borderId="0" xfId="0" applyFont="1" applyFill="1"/>
    <xf numFmtId="4" fontId="31" fillId="4" borderId="0" xfId="0" quotePrefix="1" applyNumberFormat="1" applyFont="1" applyFill="1" applyAlignment="1">
      <alignment horizontal="left"/>
    </xf>
    <xf numFmtId="17" fontId="31" fillId="4" borderId="0" xfId="0" quotePrefix="1" applyNumberFormat="1" applyFont="1" applyFill="1" applyAlignment="1">
      <alignment horizontal="left"/>
    </xf>
    <xf numFmtId="17" fontId="128" fillId="0" borderId="0" xfId="0" quotePrefix="1" applyNumberFormat="1" applyFont="1" applyAlignment="1">
      <alignment horizontal="left"/>
    </xf>
    <xf numFmtId="4" fontId="13" fillId="0" borderId="0" xfId="0" quotePrefix="1" applyNumberFormat="1" applyFont="1" applyAlignment="1">
      <alignment horizontal="left"/>
    </xf>
    <xf numFmtId="14" fontId="8" fillId="0" borderId="0" xfId="0" applyNumberFormat="1" applyFont="1" applyAlignment="1">
      <alignment horizontal="center"/>
    </xf>
    <xf numFmtId="171" fontId="1" fillId="3" borderId="28" xfId="0" applyNumberFormat="1" applyFont="1" applyFill="1" applyBorder="1"/>
    <xf numFmtId="171" fontId="0" fillId="0" borderId="0" xfId="0" applyNumberFormat="1"/>
    <xf numFmtId="166" fontId="120" fillId="0" borderId="0" xfId="0" applyNumberFormat="1" applyFont="1"/>
    <xf numFmtId="4" fontId="11" fillId="4" borderId="0" xfId="0" applyNumberFormat="1" applyFont="1" applyFill="1" applyAlignment="1">
      <alignment horizontal="center"/>
    </xf>
    <xf numFmtId="4" fontId="21" fillId="4" borderId="0" xfId="0" applyNumberFormat="1" applyFont="1" applyFill="1"/>
    <xf numFmtId="0" fontId="35" fillId="4" borderId="0" xfId="0" applyFont="1" applyFill="1" applyAlignment="1">
      <alignment horizontal="center" vertical="center"/>
    </xf>
    <xf numFmtId="14" fontId="47" fillId="4" borderId="0" xfId="0" applyNumberFormat="1" applyFont="1" applyFill="1" applyAlignment="1">
      <alignment horizontal="left"/>
    </xf>
    <xf numFmtId="4" fontId="5" fillId="4" borderId="0" xfId="0" applyNumberFormat="1" applyFont="1" applyFill="1" applyAlignment="1">
      <alignment vertical="center"/>
    </xf>
    <xf numFmtId="0" fontId="14" fillId="4" borderId="0" xfId="0" applyFont="1" applyFill="1" applyAlignment="1">
      <alignment horizontal="center"/>
    </xf>
    <xf numFmtId="14" fontId="47" fillId="4" borderId="0" xfId="0" applyNumberFormat="1" applyFont="1" applyFill="1" applyAlignment="1">
      <alignment horizontal="center"/>
    </xf>
    <xf numFmtId="4" fontId="91" fillId="4" borderId="0" xfId="0" applyNumberFormat="1" applyFont="1" applyFill="1" applyAlignment="1">
      <alignment vertical="center"/>
    </xf>
    <xf numFmtId="9" fontId="91" fillId="4" borderId="0" xfId="2" applyFont="1" applyFill="1" applyAlignment="1">
      <alignment vertical="center"/>
    </xf>
    <xf numFmtId="4" fontId="8" fillId="4" borderId="0" xfId="0" applyNumberFormat="1" applyFont="1" applyFill="1"/>
    <xf numFmtId="4" fontId="92" fillId="4" borderId="0" xfId="0" applyNumberFormat="1" applyFont="1" applyFill="1"/>
    <xf numFmtId="4" fontId="19" fillId="4" borderId="0" xfId="0" applyNumberFormat="1" applyFont="1" applyFill="1" applyAlignment="1">
      <alignment horizontal="left"/>
    </xf>
    <xf numFmtId="4" fontId="0" fillId="4" borderId="0" xfId="0" applyNumberForma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2" fontId="11" fillId="0" borderId="0" xfId="0" applyNumberFormat="1" applyFont="1" applyAlignment="1" applyProtection="1">
      <alignment horizontal="center"/>
      <protection locked="0" hidden="1"/>
    </xf>
    <xf numFmtId="4" fontId="19" fillId="0" borderId="0" xfId="0" applyNumberFormat="1" applyFont="1" applyAlignment="1">
      <alignment horizontal="left" wrapText="1"/>
    </xf>
    <xf numFmtId="4" fontId="19" fillId="0" borderId="0" xfId="0" applyNumberFormat="1" applyFont="1" applyAlignment="1">
      <alignment wrapText="1"/>
    </xf>
    <xf numFmtId="0" fontId="107" fillId="0" borderId="0" xfId="0" applyFont="1"/>
    <xf numFmtId="4" fontId="31" fillId="0" borderId="0" xfId="0" applyNumberFormat="1" applyFont="1"/>
    <xf numFmtId="167" fontId="36" fillId="0" borderId="18" xfId="0" quotePrefix="1" applyNumberFormat="1" applyFont="1" applyBorder="1" applyAlignment="1">
      <alignment horizontal="left"/>
    </xf>
    <xf numFmtId="164" fontId="8" fillId="0" borderId="0" xfId="0" applyNumberFormat="1" applyFont="1"/>
    <xf numFmtId="164" fontId="0" fillId="0" borderId="0" xfId="0" applyNumberFormat="1"/>
    <xf numFmtId="9" fontId="91" fillId="0" borderId="0" xfId="2" applyFont="1" applyAlignment="1"/>
    <xf numFmtId="0" fontId="35" fillId="0" borderId="0" xfId="0" applyFont="1" applyAlignment="1">
      <alignment horizontal="center"/>
    </xf>
    <xf numFmtId="4" fontId="45" fillId="0" borderId="0" xfId="0" applyNumberFormat="1" applyFont="1"/>
    <xf numFmtId="0" fontId="52" fillId="0" borderId="0" xfId="0" applyFont="1" applyAlignment="1">
      <alignment horizontal="center" vertical="center"/>
    </xf>
    <xf numFmtId="4" fontId="8" fillId="0" borderId="0" xfId="0" applyNumberFormat="1" applyFont="1" applyAlignment="1">
      <alignment vertical="center"/>
    </xf>
    <xf numFmtId="4" fontId="92" fillId="0" borderId="0" xfId="0" applyNumberFormat="1" applyFont="1" applyAlignment="1">
      <alignment vertical="center"/>
    </xf>
    <xf numFmtId="166" fontId="1" fillId="0" borderId="0" xfId="0" applyNumberFormat="1" applyFont="1"/>
    <xf numFmtId="4" fontId="1" fillId="0" borderId="0" xfId="0" quotePrefix="1" applyNumberFormat="1" applyFont="1" applyAlignment="1">
      <alignment horizontal="left"/>
    </xf>
    <xf numFmtId="0" fontId="101" fillId="0" borderId="0" xfId="0" applyFont="1" applyAlignment="1">
      <alignment vertical="center"/>
    </xf>
    <xf numFmtId="14" fontId="1" fillId="3" borderId="0" xfId="0" applyNumberFormat="1" applyFont="1" applyFill="1" applyAlignment="1">
      <alignment horizontal="left"/>
    </xf>
    <xf numFmtId="0" fontId="0" fillId="0" borderId="0" xfId="0" quotePrefix="1" applyAlignment="1">
      <alignment horizontal="right"/>
    </xf>
    <xf numFmtId="0" fontId="101" fillId="0" borderId="0" xfId="0" applyFont="1" applyAlignment="1">
      <alignment horizontal="left"/>
    </xf>
    <xf numFmtId="0" fontId="129" fillId="0" borderId="0" xfId="0" applyFont="1" applyAlignment="1">
      <alignment vertical="center"/>
    </xf>
    <xf numFmtId="4" fontId="96" fillId="0" borderId="0" xfId="0" applyNumberFormat="1" applyFont="1"/>
    <xf numFmtId="4" fontId="91" fillId="0" borderId="0" xfId="0" quotePrefix="1" applyNumberFormat="1" applyFont="1" applyAlignment="1">
      <alignment vertical="center"/>
    </xf>
    <xf numFmtId="4" fontId="8" fillId="0" borderId="0" xfId="0" quotePrefix="1" applyNumberFormat="1" applyFont="1"/>
    <xf numFmtId="0" fontId="34" fillId="7" borderId="18" xfId="0" applyFont="1" applyFill="1" applyBorder="1" applyAlignment="1">
      <alignment horizontal="left"/>
    </xf>
    <xf numFmtId="0" fontId="34" fillId="0" borderId="18" xfId="0" applyFont="1" applyBorder="1" applyAlignment="1">
      <alignment horizontal="left"/>
    </xf>
    <xf numFmtId="0" fontId="34" fillId="0" borderId="25" xfId="0" applyFont="1" applyBorder="1" applyAlignment="1">
      <alignment horizontal="left"/>
    </xf>
    <xf numFmtId="165" fontId="11" fillId="0" borderId="25" xfId="0" applyNumberFormat="1" applyFont="1" applyBorder="1" applyAlignment="1">
      <alignment horizontal="left"/>
    </xf>
    <xf numFmtId="9" fontId="8" fillId="0" borderId="0" xfId="2" applyFont="1"/>
    <xf numFmtId="174" fontId="11" fillId="0" borderId="0" xfId="0" applyNumberFormat="1" applyFont="1"/>
    <xf numFmtId="4" fontId="34" fillId="0" borderId="0" xfId="0" applyNumberFormat="1" applyFont="1" applyAlignment="1">
      <alignment horizontal="center"/>
    </xf>
    <xf numFmtId="4" fontId="19" fillId="4" borderId="0" xfId="0" applyNumberFormat="1" applyFont="1" applyFill="1" applyAlignment="1">
      <alignment horizontal="center" vertical="center" wrapText="1"/>
    </xf>
    <xf numFmtId="4" fontId="130" fillId="0" borderId="0" xfId="0" applyNumberFormat="1" applyFont="1" applyAlignment="1">
      <alignment horizontal="left"/>
    </xf>
    <xf numFmtId="167" fontId="11" fillId="0" borderId="0" xfId="0" applyNumberFormat="1" applyFont="1" applyAlignment="1" applyProtection="1">
      <alignment horizontal="center"/>
      <protection locked="0" hidden="1"/>
    </xf>
    <xf numFmtId="4" fontId="131" fillId="4" borderId="0" xfId="0" applyNumberFormat="1" applyFont="1" applyFill="1" applyAlignment="1">
      <alignment horizontal="center"/>
    </xf>
    <xf numFmtId="4" fontId="19" fillId="3" borderId="0" xfId="0" applyNumberFormat="1" applyFont="1" applyFill="1" applyAlignment="1">
      <alignment wrapText="1"/>
    </xf>
    <xf numFmtId="4" fontId="19" fillId="0" borderId="0" xfId="0" applyNumberFormat="1" applyFont="1" applyAlignment="1">
      <alignment horizontal="left" vertical="center" wrapText="1"/>
    </xf>
    <xf numFmtId="4" fontId="74" fillId="0" borderId="0" xfId="0" applyNumberFormat="1" applyFont="1" applyAlignment="1">
      <alignment horizontal="right" vertical="center"/>
    </xf>
    <xf numFmtId="4" fontId="127" fillId="0" borderId="0" xfId="0" applyNumberFormat="1" applyFont="1" applyAlignment="1">
      <alignment horizontal="center"/>
    </xf>
    <xf numFmtId="4" fontId="0" fillId="12" borderId="0" xfId="0" applyNumberFormat="1" applyFill="1" applyAlignment="1">
      <alignment horizontal="center"/>
    </xf>
    <xf numFmtId="4" fontId="19" fillId="3" borderId="0" xfId="0" applyNumberFormat="1" applyFont="1" applyFill="1" applyAlignment="1">
      <alignment horizontal="left" wrapText="1"/>
    </xf>
    <xf numFmtId="17" fontId="19" fillId="0" borderId="0" xfId="0" applyNumberFormat="1" applyFont="1" applyAlignment="1">
      <alignment horizontal="left" wrapText="1"/>
    </xf>
    <xf numFmtId="2" fontId="87" fillId="7" borderId="18" xfId="0" applyNumberFormat="1" applyFont="1" applyFill="1" applyBorder="1" applyAlignment="1">
      <alignment horizontal="center"/>
    </xf>
    <xf numFmtId="4" fontId="92" fillId="0" borderId="0" xfId="0" applyNumberFormat="1" applyFont="1" applyAlignment="1">
      <alignment horizontal="center"/>
    </xf>
    <xf numFmtId="4" fontId="74" fillId="0" borderId="0" xfId="0" applyNumberFormat="1" applyFont="1" applyAlignment="1">
      <alignment horizontal="center"/>
    </xf>
    <xf numFmtId="4" fontId="91" fillId="0" borderId="0" xfId="0" applyNumberFormat="1" applyFont="1" applyAlignment="1">
      <alignment horizontal="center"/>
    </xf>
    <xf numFmtId="9" fontId="91" fillId="0" borderId="0" xfId="2" applyFont="1" applyAlignment="1">
      <alignment horizontal="center"/>
    </xf>
    <xf numFmtId="165" fontId="133" fillId="0" borderId="18" xfId="0" applyNumberFormat="1" applyFont="1" applyBorder="1" applyAlignment="1">
      <alignment horizontal="center"/>
    </xf>
    <xf numFmtId="0" fontId="19" fillId="0" borderId="20" xfId="0" applyFont="1" applyBorder="1" applyAlignment="1">
      <alignment horizontal="left"/>
    </xf>
    <xf numFmtId="0" fontId="19" fillId="0" borderId="20" xfId="0" applyFont="1" applyBorder="1" applyAlignment="1">
      <alignment horizontal="left" wrapText="1"/>
    </xf>
    <xf numFmtId="17" fontId="19" fillId="0" borderId="26" xfId="0" applyNumberFormat="1" applyFont="1" applyBorder="1" applyAlignment="1">
      <alignment wrapText="1"/>
    </xf>
    <xf numFmtId="165" fontId="9" fillId="0" borderId="18" xfId="0" applyNumberFormat="1" applyFont="1" applyBorder="1" applyAlignment="1">
      <alignment horizontal="center"/>
    </xf>
    <xf numFmtId="0" fontId="19" fillId="0" borderId="18" xfId="0" applyFont="1" applyBorder="1" applyAlignment="1">
      <alignment wrapText="1"/>
    </xf>
    <xf numFmtId="0" fontId="134" fillId="7" borderId="18" xfId="0" applyFont="1" applyFill="1" applyBorder="1" applyAlignment="1">
      <alignment horizontal="center"/>
    </xf>
    <xf numFmtId="0" fontId="19" fillId="7" borderId="18" xfId="0" applyFont="1" applyFill="1" applyBorder="1" applyAlignment="1">
      <alignment wrapText="1"/>
    </xf>
    <xf numFmtId="4" fontId="120" fillId="0" borderId="0" xfId="0" applyNumberFormat="1" applyFont="1"/>
    <xf numFmtId="17" fontId="19" fillId="7" borderId="18" xfId="0" applyNumberFormat="1" applyFont="1" applyFill="1" applyBorder="1" applyAlignment="1">
      <alignment horizontal="left" wrapText="1"/>
    </xf>
    <xf numFmtId="4" fontId="81" fillId="0" borderId="0" xfId="0" applyNumberFormat="1" applyFont="1"/>
    <xf numFmtId="167" fontId="43" fillId="0" borderId="0" xfId="0" applyNumberFormat="1" applyFont="1"/>
    <xf numFmtId="4" fontId="48" fillId="0" borderId="0" xfId="0" quotePrefix="1" applyNumberFormat="1" applyFont="1" applyAlignment="1">
      <alignment horizontal="center"/>
    </xf>
    <xf numFmtId="0" fontId="48" fillId="0" borderId="0" xfId="0" quotePrefix="1" applyFont="1" applyAlignment="1">
      <alignment horizontal="center"/>
    </xf>
    <xf numFmtId="4" fontId="0" fillId="0" borderId="0" xfId="0" quotePrefix="1" applyNumberFormat="1" applyAlignment="1">
      <alignment horizontal="left"/>
    </xf>
    <xf numFmtId="4" fontId="17" fillId="8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4" fontId="11" fillId="0" borderId="0" xfId="0" applyNumberFormat="1" applyFont="1" applyFill="1" applyAlignment="1" applyProtection="1">
      <alignment horizontal="center"/>
      <protection locked="0" hidden="1"/>
    </xf>
    <xf numFmtId="4" fontId="35" fillId="0" borderId="0" xfId="0" applyNumberFormat="1" applyFont="1" applyAlignment="1">
      <alignment horizontal="center" vertical="center"/>
    </xf>
    <xf numFmtId="4" fontId="47" fillId="0" borderId="0" xfId="0" applyNumberFormat="1" applyFont="1" applyAlignment="1">
      <alignment horizontal="left"/>
    </xf>
    <xf numFmtId="4" fontId="91" fillId="0" borderId="0" xfId="2" applyNumberFormat="1" applyFont="1" applyAlignment="1">
      <alignment vertical="center"/>
    </xf>
    <xf numFmtId="0" fontId="70" fillId="0" borderId="0" xfId="0" quotePrefix="1" applyNumberFormat="1" applyFont="1" applyAlignment="1">
      <alignment horizontal="center"/>
    </xf>
    <xf numFmtId="4" fontId="19" fillId="0" borderId="0" xfId="0" applyNumberFormat="1" applyFont="1" applyFill="1" applyAlignment="1">
      <alignment horizontal="left"/>
    </xf>
    <xf numFmtId="4" fontId="1" fillId="0" borderId="0" xfId="0" applyNumberFormat="1" applyFont="1" applyFill="1" applyAlignment="1">
      <alignment horizontal="center"/>
    </xf>
    <xf numFmtId="4" fontId="0" fillId="0" borderId="0" xfId="0" applyNumberFormat="1" applyAlignment="1"/>
    <xf numFmtId="4" fontId="45" fillId="0" borderId="0" xfId="0" applyNumberFormat="1" applyFont="1" applyAlignment="1"/>
    <xf numFmtId="4" fontId="111" fillId="0" borderId="0" xfId="0" applyNumberFormat="1" applyFont="1" applyAlignment="1"/>
    <xf numFmtId="4" fontId="13" fillId="0" borderId="0" xfId="0" applyNumberFormat="1" applyFont="1" applyAlignment="1"/>
    <xf numFmtId="0" fontId="0" fillId="0" borderId="0" xfId="0" applyFont="1" applyFill="1"/>
  </cellXfs>
  <cellStyles count="9">
    <cellStyle name="Hipervínculo" xfId="1" builtinId="8"/>
    <cellStyle name="Millares 2" xfId="4" xr:uid="{D08BE825-F579-444B-8FCB-5073BDA859F9}"/>
    <cellStyle name="Millares 2 2" xfId="7" xr:uid="{16F6CC87-C57D-48DA-9678-ABD24E196521}"/>
    <cellStyle name="Millares 3" xfId="5" xr:uid="{567D5E10-C863-4B39-A5EC-EE9B999839D2}"/>
    <cellStyle name="Millares 3 2" xfId="8" xr:uid="{33C64DAB-14E1-4426-8B6A-F86A92788D98}"/>
    <cellStyle name="Millares 4" xfId="3" xr:uid="{0ADA8709-D21B-4DFC-AD2B-9D502BACC950}"/>
    <cellStyle name="Normal" xfId="0" builtinId="0"/>
    <cellStyle name="Porcentaje" xfId="2" builtinId="5"/>
    <cellStyle name="Vírgula 2" xfId="6" xr:uid="{FC2CB42B-52C4-496B-9F2E-224AFE617E00}"/>
  </cellStyles>
  <dxfs count="1315">
    <dxf>
      <numFmt numFmtId="4" formatCode="#,##0.00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numFmt numFmtId="168" formatCode="[$-416]d\-mmm\-yy;@"/>
    </dxf>
    <dxf>
      <font>
        <color rgb="FF005E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d/m/yy;@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numFmt numFmtId="168" formatCode="[$-416]d\-mmm\-yy;@"/>
    </dxf>
    <dxf>
      <font>
        <color rgb="FF005E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d/m/yy;@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alignment horizontal="right"/>
    </dxf>
    <dxf>
      <numFmt numFmtId="175" formatCode="[$-416]d\-mmm;@"/>
    </dxf>
    <dxf>
      <numFmt numFmtId="165" formatCode="dd/mm/yy;@"/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numFmt numFmtId="4" formatCode="#,##0.00"/>
    </dxf>
    <dxf>
      <alignment horizontal="right"/>
    </dxf>
    <dxf>
      <alignment horizontal="right"/>
    </dxf>
    <dxf>
      <alignment horizontal="center"/>
    </dxf>
    <dxf>
      <font>
        <color rgb="FFFF0000"/>
      </font>
    </dxf>
    <dxf>
      <alignment horizontal="center"/>
    </dxf>
    <dxf>
      <numFmt numFmtId="4" formatCode="#,##0.00"/>
    </dxf>
    <dxf>
      <alignment horizontal="right"/>
    </dxf>
    <dxf>
      <numFmt numFmtId="175" formatCode="[$-416]d\-mmm;@"/>
    </dxf>
    <dxf>
      <numFmt numFmtId="165" formatCode="dd/mm/yy;@"/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numFmt numFmtId="4" formatCode="#,##0.00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numFmt numFmtId="168" formatCode="[$-416]d\-mmm\-yy;@"/>
    </dxf>
    <dxf>
      <font>
        <color rgb="FF005E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d/m/yy;@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alignment horizontal="right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b/>
      </font>
    </dxf>
    <dxf>
      <font>
        <b/>
      </font>
    </dxf>
    <dxf>
      <font>
        <color rgb="FF00B050"/>
      </font>
    </dxf>
    <dxf>
      <font>
        <b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C00000"/>
      </font>
      <alignment horizontal="center"/>
    </dxf>
    <dxf>
      <font>
        <color rgb="FFC00000"/>
      </font>
    </dxf>
    <dxf>
      <font>
        <color rgb="FFC00000"/>
      </font>
    </dxf>
    <dxf>
      <alignment horizontal="right"/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4" formatCode="#,##0.00"/>
    </dxf>
    <dxf>
      <alignment horizontal="right"/>
    </dxf>
    <dxf>
      <alignment horizontal="right"/>
    </dxf>
    <dxf>
      <alignment horizontal="center"/>
    </dxf>
    <dxf>
      <font>
        <color rgb="FFFF0000"/>
      </font>
    </dxf>
    <dxf>
      <alignment horizontal="center"/>
    </dxf>
    <dxf>
      <numFmt numFmtId="4" formatCode="#,##0.00"/>
    </dxf>
    <dxf>
      <alignment horizontal="right"/>
    </dxf>
    <dxf>
      <numFmt numFmtId="175" formatCode="[$-416]d\-mmm;@"/>
    </dxf>
    <dxf>
      <numFmt numFmtId="165" formatCode="dd/mm/yy;@"/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numFmt numFmtId="4" formatCode="#,##0.00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numFmt numFmtId="168" formatCode="[$-416]d\-mmm\-yy;@"/>
    </dxf>
    <dxf>
      <font>
        <color rgb="FF005E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d/m/yy;@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alignment horizontal="right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b/>
      </font>
    </dxf>
    <dxf>
      <font>
        <b/>
      </font>
    </dxf>
    <dxf>
      <font>
        <color rgb="FF00B050"/>
      </font>
    </dxf>
    <dxf>
      <font>
        <b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C00000"/>
      </font>
      <alignment horizontal="center"/>
    </dxf>
    <dxf>
      <font>
        <color rgb="FFC00000"/>
      </font>
    </dxf>
    <dxf>
      <font>
        <color rgb="FFC00000"/>
      </font>
    </dxf>
    <dxf>
      <alignment horizontal="right"/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4" formatCode="#,##0.00"/>
    </dxf>
    <dxf>
      <alignment horizontal="right"/>
    </dxf>
    <dxf>
      <alignment horizontal="right"/>
    </dxf>
    <dxf>
      <alignment horizontal="center"/>
    </dxf>
    <dxf>
      <font>
        <color rgb="FFFF0000"/>
      </font>
    </dxf>
    <dxf>
      <alignment horizontal="center"/>
    </dxf>
    <dxf>
      <numFmt numFmtId="4" formatCode="#,##0.00"/>
    </dxf>
    <dxf>
      <alignment horizontal="right"/>
    </dxf>
    <dxf>
      <numFmt numFmtId="175" formatCode="[$-416]d\-mmm;@"/>
    </dxf>
    <dxf>
      <numFmt numFmtId="165" formatCode="dd/mm/yy;@"/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numFmt numFmtId="4" formatCode="#,##0.00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numFmt numFmtId="168" formatCode="[$-416]d\-mmm\-yy;@"/>
    </dxf>
    <dxf>
      <font>
        <color rgb="FF005E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d/m/yy;@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alignment horizontal="right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b/>
      </font>
    </dxf>
    <dxf>
      <font>
        <b/>
      </font>
    </dxf>
    <dxf>
      <font>
        <color rgb="FF00B050"/>
      </font>
    </dxf>
    <dxf>
      <font>
        <b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C00000"/>
      </font>
      <alignment horizontal="center"/>
    </dxf>
    <dxf>
      <font>
        <color rgb="FFC00000"/>
      </font>
    </dxf>
    <dxf>
      <font>
        <color rgb="FFC00000"/>
      </font>
    </dxf>
    <dxf>
      <alignment horizontal="right"/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4" formatCode="#,##0.00"/>
    </dxf>
    <dxf>
      <alignment horizontal="right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b/>
      </font>
    </dxf>
    <dxf>
      <font>
        <b/>
      </font>
    </dxf>
    <dxf>
      <font>
        <color rgb="FF00B050"/>
      </font>
    </dxf>
    <dxf>
      <font>
        <b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C00000"/>
      </font>
      <alignment horizontal="center"/>
    </dxf>
    <dxf>
      <font>
        <color rgb="FFC00000"/>
      </font>
    </dxf>
    <dxf>
      <font>
        <color rgb="FFC00000"/>
      </font>
    </dxf>
    <dxf>
      <alignment horizontal="right"/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4" formatCode="#,##0.00"/>
    </dxf>
    <dxf>
      <alignment horizontal="right"/>
    </dxf>
    <dxf>
      <alignment horizontal="right"/>
    </dxf>
    <dxf>
      <alignment horizontal="center"/>
    </dxf>
    <dxf>
      <font>
        <color rgb="FFFF0000"/>
      </font>
    </dxf>
    <dxf>
      <alignment horizontal="center"/>
    </dxf>
    <dxf>
      <numFmt numFmtId="4" formatCode="#,##0.00"/>
    </dxf>
    <dxf>
      <alignment horizontal="right"/>
    </dxf>
    <dxf>
      <numFmt numFmtId="175" formatCode="[$-416]d\-mmm;@"/>
    </dxf>
    <dxf>
      <numFmt numFmtId="165" formatCode="dd/mm/yy;@"/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numFmt numFmtId="4" formatCode="#,##0.00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numFmt numFmtId="168" formatCode="[$-416]d\-mmm\-yy;@"/>
    </dxf>
    <dxf>
      <font>
        <color rgb="FF005E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d/m/yy;@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alignment horizontal="right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b/>
      </font>
    </dxf>
    <dxf>
      <font>
        <b/>
      </font>
    </dxf>
    <dxf>
      <font>
        <color rgb="FF00B050"/>
      </font>
    </dxf>
    <dxf>
      <font>
        <b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C00000"/>
      </font>
      <alignment horizontal="center"/>
    </dxf>
    <dxf>
      <font>
        <color rgb="FFC00000"/>
      </font>
    </dxf>
    <dxf>
      <font>
        <color rgb="FFC00000"/>
      </font>
    </dxf>
    <dxf>
      <alignment horizontal="right"/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alignment horizontal="right"/>
    </dxf>
    <dxf>
      <alignment horizontal="right"/>
    </dxf>
    <dxf>
      <alignment horizontal="center"/>
    </dxf>
    <dxf>
      <font>
        <color rgb="FFFF0000"/>
      </font>
    </dxf>
    <dxf>
      <alignment horizontal="center"/>
    </dxf>
    <dxf>
      <numFmt numFmtId="4" formatCode="#,##0.00"/>
    </dxf>
    <dxf>
      <alignment horizontal="right"/>
    </dxf>
    <dxf>
      <numFmt numFmtId="175" formatCode="[$-416]d\-mmm;@"/>
    </dxf>
    <dxf>
      <numFmt numFmtId="165" formatCode="dd/mm/yy;@"/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numFmt numFmtId="4" formatCode="#,##0.00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numFmt numFmtId="168" formatCode="[$-416]d\-mmm\-yy;@"/>
    </dxf>
    <dxf>
      <font>
        <color rgb="FF005E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d/m/yy;@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alignment horizontal="right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b/>
      </font>
    </dxf>
    <dxf>
      <font>
        <b/>
      </font>
    </dxf>
    <dxf>
      <font>
        <color rgb="FF00B050"/>
      </font>
    </dxf>
    <dxf>
      <font>
        <b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C00000"/>
      </font>
      <alignment horizontal="center"/>
    </dxf>
    <dxf>
      <font>
        <color rgb="FFC00000"/>
      </font>
    </dxf>
    <dxf>
      <font>
        <color rgb="FFC00000"/>
      </font>
    </dxf>
    <dxf>
      <alignment horizontal="right"/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4" formatCode="#,##0.00"/>
    </dxf>
    <dxf>
      <alignment horizontal="right"/>
    </dxf>
    <dxf>
      <alignment horizontal="right"/>
    </dxf>
    <dxf>
      <alignment horizontal="center"/>
    </dxf>
    <dxf>
      <font>
        <color rgb="FFFF0000"/>
      </font>
    </dxf>
    <dxf>
      <alignment horizontal="center"/>
    </dxf>
    <dxf>
      <numFmt numFmtId="4" formatCode="#,##0.00"/>
    </dxf>
    <dxf>
      <alignment horizontal="right"/>
    </dxf>
    <dxf>
      <numFmt numFmtId="175" formatCode="[$-416]d\-mmm;@"/>
    </dxf>
    <dxf>
      <numFmt numFmtId="165" formatCode="dd/mm/yy;@"/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numFmt numFmtId="4" formatCode="#,##0.00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numFmt numFmtId="168" formatCode="[$-416]d\-mmm\-yy;@"/>
    </dxf>
    <dxf>
      <font>
        <color rgb="FF005E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d/m/yy;@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  <dxf>
      <alignment horizontal="right"/>
    </dxf>
    <dxf>
      <alignment horizontal="right"/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b/>
      </font>
    </dxf>
    <dxf>
      <font>
        <b/>
      </font>
    </dxf>
    <dxf>
      <font>
        <color rgb="FF00B050"/>
      </font>
    </dxf>
    <dxf>
      <font>
        <b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C00000"/>
      </font>
      <alignment horizontal="center"/>
    </dxf>
    <dxf>
      <font>
        <color rgb="FFC00000"/>
      </font>
    </dxf>
    <dxf>
      <font>
        <color rgb="FFC00000"/>
      </font>
    </dxf>
    <dxf>
      <alignment horizontal="right"/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40000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EAEAEA"/>
        <name val="Calibri"/>
        <family val="2"/>
        <scheme val="minor"/>
      </font>
      <numFmt numFmtId="165" formatCode="dd/mm/yy;@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ED0000"/>
        <name val="Calibri"/>
        <family val="2"/>
        <scheme val="minor"/>
      </font>
      <numFmt numFmtId="4" formatCode="#,##0.0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3499862666707357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/mm/yy;@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/mm/yy;@"/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7030A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40000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EAEAEA"/>
        <name val="Calibri"/>
        <family val="2"/>
        <scheme val="minor"/>
      </font>
      <numFmt numFmtId="165" formatCode="dd/mm/yy;@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ED0000"/>
        <name val="Calibri"/>
        <family val="2"/>
        <scheme val="minor"/>
      </font>
      <numFmt numFmtId="4" formatCode="#,##0.0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numFmt numFmtId="4" formatCode="#,##0.00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3499862666707357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/mm/yy;@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/mm/yy;@"/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7030A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right style="thin">
          <color theme="9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b/>
      </font>
      <numFmt numFmtId="166" formatCode="[$$-409]#,##0.00"/>
    </dxf>
    <dxf>
      <numFmt numFmtId="4" formatCode="#,##0.00"/>
    </dxf>
    <dxf>
      <numFmt numFmtId="4" formatCode="#,##0.00"/>
    </dxf>
    <dxf>
      <alignment horizontal="center" vertical="bottom" textRotation="0" wrapText="0" indent="0" justifyLastLine="0" shrinkToFit="0" readingOrder="0"/>
    </dxf>
    <dxf>
      <alignment horizontal="center"/>
    </dxf>
    <dxf>
      <font>
        <color rgb="FFFF0000"/>
      </font>
    </dxf>
    <dxf>
      <alignment horizontal="center"/>
    </dxf>
    <dxf>
      <alignment horizontal="right"/>
    </dxf>
    <dxf>
      <alignment horizontal="right"/>
    </dxf>
    <dxf>
      <numFmt numFmtId="4" formatCode="#,##0.00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alignment horizontal="right"/>
    </dxf>
    <dxf>
      <font>
        <color rgb="FFC00000"/>
      </font>
    </dxf>
    <dxf>
      <font>
        <color rgb="FFC00000"/>
      </font>
    </dxf>
    <dxf>
      <font>
        <color rgb="FFC00000"/>
      </font>
      <alignment horizontal="center"/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b/>
      </font>
    </dxf>
    <dxf>
      <font>
        <color rgb="FF00B050"/>
      </font>
    </dxf>
    <dxf>
      <font>
        <b/>
      </font>
    </dxf>
    <dxf>
      <font>
        <b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0000"/>
      </font>
    </dxf>
    <dxf>
      <alignment horizontal="right"/>
    </dxf>
    <dxf>
      <alignment horizontal="right"/>
    </dxf>
    <dxf>
      <numFmt numFmtId="4" formatCode="#,##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69" formatCode="d/m/yy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5E00"/>
      </font>
    </dxf>
    <dxf>
      <numFmt numFmtId="168" formatCode="[$-416]d\-mmm\-yy;@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0000"/>
      </font>
    </dxf>
    <dxf>
      <alignment horizontal="right"/>
    </dxf>
    <dxf>
      <numFmt numFmtId="4" formatCode="#,##0.00"/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0000"/>
      </font>
    </dxf>
    <dxf>
      <font>
        <color rgb="FFFF0000"/>
      </font>
    </dxf>
    <dxf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FF33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font>
        <color theme="1"/>
      </font>
    </dxf>
    <dxf>
      <numFmt numFmtId="165" formatCode="dd/mm/yy;@"/>
    </dxf>
    <dxf>
      <numFmt numFmtId="175" formatCode="[$-416]d\-mmm;@"/>
    </dxf>
    <dxf>
      <alignment horizontal="right"/>
    </dxf>
    <dxf>
      <numFmt numFmtId="4" formatCode="#,##0.0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C00000"/>
        <name val="Calibri"/>
        <family val="2"/>
        <scheme val="minor"/>
      </font>
      <numFmt numFmtId="0" formatCode="General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C00000"/>
        <name val="Calibri"/>
        <family val="2"/>
        <scheme val="minor"/>
      </font>
      <numFmt numFmtId="4" formatCode="#,##0.00"/>
    </dxf>
    <dxf>
      <font>
        <b val="0"/>
        <strike val="0"/>
        <outline val="0"/>
        <shadow val="0"/>
        <u val="none"/>
        <vertAlign val="baseline"/>
        <sz val="10"/>
        <color rgb="FF002060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34998626667073579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rgb="FF7030A0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theme="1"/>
        <name val="Calibri"/>
        <family val="2"/>
        <scheme val="minor"/>
      </font>
      <numFmt numFmtId="167" formatCode="0.000"/>
    </dxf>
    <dxf>
      <font>
        <strike val="0"/>
        <outline val="0"/>
        <shadow val="0"/>
        <u val="none"/>
        <vertAlign val="baseline"/>
        <sz val="9.5"/>
      </font>
      <numFmt numFmtId="4" formatCode="#,##0.0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4" formatCode="#,##0.0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00"/>
      <color rgb="FF347A00"/>
      <color rgb="FFFFFF00"/>
      <color rgb="FFA188E8"/>
      <color rgb="FFE6DFF9"/>
      <color rgb="FFF8F8F8"/>
      <color rgb="FFEAEAEA"/>
      <color rgb="FFCCCCFF"/>
      <color rgb="FFC0C0C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143639</xdr:colOff>
      <xdr:row>25</xdr:row>
      <xdr:rowOff>29244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846810-2062-4BD6-A97E-24006CCA7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77639" cy="4791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50800</xdr:rowOff>
    </xdr:from>
    <xdr:to>
      <xdr:col>2</xdr:col>
      <xdr:colOff>563211</xdr:colOff>
      <xdr:row>56</xdr:row>
      <xdr:rowOff>177800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841889-499C-437C-8116-4C67C66B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46750"/>
          <a:ext cx="3325461" cy="2178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600839</xdr:colOff>
      <xdr:row>25</xdr:row>
      <xdr:rowOff>29244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3751BC-3CA4-A02F-0FFD-FC4925FF5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77639" cy="47917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y.martinez\Documents\PEDIDOS%20CLIENTES\ZZBack-up%20de%20pedidos\Copia%20de%20PEDIDOS-FOLLOW_UP-V2-%20Fx-%20Venci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LOW-UP DIÁRIO PEDIDOS"/>
      <sheetName val="S&amp;OP- info em progresso"/>
      <sheetName val="Detalhes  pedidos"/>
      <sheetName val=" DinamicaVOL-VALOR-PROGRAM. MES"/>
      <sheetName val="Sequência interna invoicing"/>
      <sheetName val="Inducol"/>
      <sheetName val="Dinâmicas"/>
      <sheetName val="info geral"/>
      <sheetName val="Copia de PEDIDOS-FOLLOW_UP-V2- "/>
    </sheetNames>
    <sheetDataSet>
      <sheetData sheetId="0">
        <row r="5">
          <cell r="A5" t="str">
            <v>PRO-FORM /EXPORT INVOICE
NBR</v>
          </cell>
          <cell r="B5" t="str">
            <v>CLIENTE</v>
          </cell>
          <cell r="C5" t="str">
            <v>DATA 
PRO-FORMA</v>
          </cell>
          <cell r="D5" t="str">
            <v>DATA MAX ENVIO</v>
          </cell>
          <cell r="E5" t="str">
            <v>NÚM. PEDIDO
TOTVS</v>
          </cell>
          <cell r="F5" t="str">
            <v>TOTAL METROS</v>
          </cell>
          <cell r="G5" t="str">
            <v>DATA ESTIMADA 
PCP (PROD./ACAB.)</v>
          </cell>
          <cell r="H5" t="str">
            <v>SEPARAÇÃO
 EXPEDIÇÃO</v>
          </cell>
          <cell r="I5" t="str">
            <v>FATURAMENTO</v>
          </cell>
          <cell r="J5" t="str">
            <v>INVOICE/
PACK LIST</v>
          </cell>
          <cell r="K5" t="str">
            <v>CERT. 
ORIGEM</v>
          </cell>
          <cell r="L5" t="str">
            <v>COLETA/
DESPACHO</v>
          </cell>
          <cell r="M5" t="str">
            <v>TRANSPORT</v>
          </cell>
          <cell r="N5" t="str">
            <v>PREVISÃO
ENTREGA</v>
          </cell>
          <cell r="O5" t="str">
            <v>INVOICE 
DESPACHO</v>
          </cell>
          <cell r="P5" t="str">
            <v>OBSERVAÇÃO/PROXIMO PASSO</v>
          </cell>
          <cell r="Q5" t="str">
            <v>OBSERVAÇÃO/PROXIMO PASSO3</v>
          </cell>
          <cell r="R5"/>
          <cell r="S5"/>
        </row>
        <row r="6">
          <cell r="A6" t="str">
            <v>157.25</v>
          </cell>
          <cell r="B6" t="str">
            <v>David Moreno (Heaven)</v>
          </cell>
          <cell r="C6">
            <v>45701</v>
          </cell>
          <cell r="D6" t="str">
            <v>fevereiro</v>
          </cell>
          <cell r="E6"/>
          <cell r="F6" t="e">
            <v>#N/A</v>
          </cell>
          <cell r="G6" t="str">
            <v>NA</v>
          </cell>
          <cell r="H6" t="str">
            <v>OK</v>
          </cell>
          <cell r="I6" t="str">
            <v>OK</v>
          </cell>
          <cell r="J6" t="str">
            <v>OK</v>
          </cell>
          <cell r="K6" t="str">
            <v>OK</v>
          </cell>
          <cell r="L6">
            <v>45757</v>
          </cell>
          <cell r="M6" t="str">
            <v>DINAMICO EXPRESS</v>
          </cell>
          <cell r="N6">
            <v>45763</v>
          </cell>
          <cell r="O6"/>
          <cell r="P6"/>
          <cell r="Q6"/>
          <cell r="R6"/>
          <cell r="S6"/>
        </row>
        <row r="7">
          <cell r="A7" t="str">
            <v>165.25</v>
          </cell>
          <cell r="B7" t="str">
            <v>Inmapol (Industria de la Madera y el Poliuretano)</v>
          </cell>
          <cell r="C7">
            <v>45722</v>
          </cell>
          <cell r="D7" t="str">
            <v>março</v>
          </cell>
          <cell r="E7"/>
          <cell r="F7" t="e">
            <v>#N/A</v>
          </cell>
          <cell r="G7" t="str">
            <v>NA</v>
          </cell>
          <cell r="H7" t="str">
            <v>OK</v>
          </cell>
          <cell r="I7" t="str">
            <v>OK</v>
          </cell>
          <cell r="J7" t="str">
            <v>OK</v>
          </cell>
          <cell r="K7" t="str">
            <v>OK</v>
          </cell>
          <cell r="L7">
            <v>45761</v>
          </cell>
          <cell r="M7" t="str">
            <v>BTR</v>
          </cell>
          <cell r="N7">
            <v>45772</v>
          </cell>
          <cell r="O7"/>
          <cell r="P7"/>
          <cell r="Q7"/>
          <cell r="R7"/>
          <cell r="S7"/>
        </row>
        <row r="8">
          <cell r="A8" t="str">
            <v>159.25</v>
          </cell>
          <cell r="B8" t="str">
            <v>Productos Paraiso del Ecuador</v>
          </cell>
          <cell r="C8">
            <v>45712</v>
          </cell>
          <cell r="D8" t="str">
            <v>fevereiro</v>
          </cell>
          <cell r="E8">
            <v>6536</v>
          </cell>
          <cell r="F8" t="e">
            <v>#N/A</v>
          </cell>
          <cell r="G8" t="str">
            <v xml:space="preserve">já finalizada </v>
          </cell>
          <cell r="H8" t="str">
            <v>OK</v>
          </cell>
          <cell r="I8" t="str">
            <v>OK</v>
          </cell>
          <cell r="J8" t="str">
            <v>OK</v>
          </cell>
          <cell r="K8" t="str">
            <v>ok</v>
          </cell>
          <cell r="L8">
            <v>45791</v>
          </cell>
          <cell r="M8" t="str">
            <v>AM TRANS</v>
          </cell>
          <cell r="N8"/>
          <cell r="O8"/>
          <cell r="P8" t="str">
            <v xml:space="preserve">docs ok e em mãos, descer para expedição </v>
          </cell>
          <cell r="Q8"/>
          <cell r="R8"/>
          <cell r="S8"/>
        </row>
        <row r="9">
          <cell r="A9" t="str">
            <v>158.25 Rev.2</v>
          </cell>
          <cell r="B9" t="str">
            <v>Sea Trading Company SA (MATERASSI)</v>
          </cell>
          <cell r="C9">
            <v>45694</v>
          </cell>
          <cell r="D9" t="str">
            <v>fevereiro</v>
          </cell>
          <cell r="E9"/>
          <cell r="F9" t="e">
            <v>#N/A</v>
          </cell>
          <cell r="G9" t="str">
            <v>NA</v>
          </cell>
          <cell r="H9" t="str">
            <v>OK</v>
          </cell>
          <cell r="I9" t="str">
            <v>OK</v>
          </cell>
          <cell r="J9" t="str">
            <v>OK</v>
          </cell>
          <cell r="K9" t="str">
            <v>OK</v>
          </cell>
          <cell r="L9">
            <v>45761</v>
          </cell>
          <cell r="M9" t="str">
            <v>BTR</v>
          </cell>
          <cell r="N9">
            <v>45772</v>
          </cell>
          <cell r="O9"/>
          <cell r="P9"/>
          <cell r="Q9"/>
          <cell r="R9"/>
          <cell r="S9"/>
        </row>
        <row r="10">
          <cell r="A10" t="str">
            <v>160.25</v>
          </cell>
          <cell r="B10" t="str">
            <v>Divino Sociedad Anonima</v>
          </cell>
          <cell r="C10">
            <v>45729</v>
          </cell>
          <cell r="D10" t="str">
            <v>março</v>
          </cell>
          <cell r="E10"/>
          <cell r="F10" t="e">
            <v>#N/A</v>
          </cell>
          <cell r="G10" t="str">
            <v>NA</v>
          </cell>
          <cell r="H10" t="str">
            <v>OK</v>
          </cell>
          <cell r="I10" t="str">
            <v>OK</v>
          </cell>
          <cell r="J10" t="str">
            <v>OK</v>
          </cell>
          <cell r="K10" t="str">
            <v>OK</v>
          </cell>
          <cell r="L10">
            <v>45754</v>
          </cell>
          <cell r="M10" t="str">
            <v>BOETTE</v>
          </cell>
          <cell r="N10"/>
          <cell r="O10" t="str">
            <v>dif. 2335 mts; enviado</v>
          </cell>
          <cell r="P10" t="str">
            <v>dif. 2335 mts; enviado</v>
          </cell>
          <cell r="Q10"/>
          <cell r="R10"/>
          <cell r="S10"/>
        </row>
        <row r="11">
          <cell r="A11" t="str">
            <v>164.25</v>
          </cell>
          <cell r="B11" t="str">
            <v>Divino Sociedad Anonima</v>
          </cell>
          <cell r="C11">
            <v>45756</v>
          </cell>
          <cell r="D11" t="str">
            <v>abril</v>
          </cell>
          <cell r="E11">
            <v>6816</v>
          </cell>
          <cell r="F11" t="e">
            <v>#N/A</v>
          </cell>
          <cell r="G11">
            <v>45784</v>
          </cell>
          <cell r="H11"/>
          <cell r="I11"/>
          <cell r="J11"/>
          <cell r="K11"/>
          <cell r="L11">
            <v>45786</v>
          </cell>
          <cell r="M11" t="str">
            <v>BOETTE</v>
          </cell>
          <cell r="N11"/>
          <cell r="O11"/>
          <cell r="P11" t="str">
            <v>Faturamento maio 2 +   saldo da 159. Entrega estimada maio 9/saldo art final 17 cancelado para acresc pedido 7235(27/6)</v>
          </cell>
          <cell r="Q11"/>
          <cell r="R11" t="str">
            <v>164-Divino</v>
          </cell>
          <cell r="S11"/>
        </row>
        <row r="12">
          <cell r="A12" t="str">
            <v>153.25</v>
          </cell>
          <cell r="B12" t="str">
            <v>Comercializadora SL Sunlock LTDA</v>
          </cell>
          <cell r="C12">
            <v>45691</v>
          </cell>
          <cell r="D12" t="str">
            <v>fevereiro</v>
          </cell>
          <cell r="E12">
            <v>6309</v>
          </cell>
          <cell r="F12" t="e">
            <v>#N/A</v>
          </cell>
          <cell r="G12">
            <v>45765</v>
          </cell>
          <cell r="H12">
            <v>45777</v>
          </cell>
          <cell r="I12" t="str">
            <v>ok/30/04</v>
          </cell>
          <cell r="J12" t="str">
            <v>ok</v>
          </cell>
          <cell r="K12" t="str">
            <v>ok</v>
          </cell>
          <cell r="L12" t="str">
            <v>coletada 07/05</v>
          </cell>
          <cell r="M12" t="str">
            <v>CEVA LOGISTICS</v>
          </cell>
          <cell r="N12"/>
          <cell r="O12"/>
          <cell r="P12" t="str">
            <v>Faturar até o fim do mês. Enviado parcialmente; separando 28/4 artigo (Sertapedic)</v>
          </cell>
          <cell r="Q12"/>
          <cell r="R12"/>
          <cell r="S12"/>
        </row>
        <row r="13">
          <cell r="A13" t="str">
            <v>163.25</v>
          </cell>
          <cell r="B13" t="str">
            <v>Grupo Empresarial Maxi King S.R.L.</v>
          </cell>
          <cell r="C13">
            <v>45742</v>
          </cell>
          <cell r="D13" t="str">
            <v>março</v>
          </cell>
          <cell r="E13">
            <v>6706</v>
          </cell>
          <cell r="F13" t="e">
            <v>#N/A</v>
          </cell>
          <cell r="G13" t="str">
            <v>08/05 e 13/05</v>
          </cell>
          <cell r="H13" t="str">
            <v>30/04 e 13/05</v>
          </cell>
          <cell r="I13" t="str">
            <v>30/04 e pendente</v>
          </cell>
          <cell r="J13" t="str">
            <v>ok</v>
          </cell>
          <cell r="K13" t="str">
            <v>ok</v>
          </cell>
          <cell r="L13">
            <v>45793</v>
          </cell>
          <cell r="M13" t="str">
            <v>EXW- Sueños Bolivianos S.R.L.</v>
          </cell>
          <cell r="N13"/>
          <cell r="O13">
            <v>163.25</v>
          </cell>
          <cell r="P13" t="str">
            <v>Docs ok  coleta 16/05 as 13:30</v>
          </cell>
          <cell r="Q13"/>
          <cell r="R13"/>
          <cell r="S13"/>
        </row>
        <row r="14">
          <cell r="A14" t="str">
            <v>170.25+164+176</v>
          </cell>
          <cell r="B14" t="str">
            <v>Flex Equipos De Descanso</v>
          </cell>
          <cell r="C14">
            <v>45761</v>
          </cell>
          <cell r="D14" t="str">
            <v>abril</v>
          </cell>
          <cell r="E14">
            <v>6868</v>
          </cell>
          <cell r="F14" t="e">
            <v>#N/A</v>
          </cell>
          <cell r="G14">
            <v>45789</v>
          </cell>
          <cell r="H14">
            <v>45790</v>
          </cell>
          <cell r="I14" t="str">
            <v>ok/14/05</v>
          </cell>
          <cell r="J14" t="str">
            <v>ok</v>
          </cell>
          <cell r="K14" t="str">
            <v>ok</v>
          </cell>
          <cell r="L14">
            <v>45792</v>
          </cell>
          <cell r="M14" t="str">
            <v>EXW-ANDESUR</v>
          </cell>
          <cell r="N14"/>
          <cell r="O14" t="str">
            <v xml:space="preserve">164.25 = 164.25+176.25+170 </v>
          </cell>
          <cell r="P14" t="str">
            <v>artigo final 011 /conferir se esta pronto consolidar c/164.25+176</v>
          </cell>
          <cell r="Q14"/>
          <cell r="R14"/>
          <cell r="S14"/>
        </row>
        <row r="15">
          <cell r="A15" t="str">
            <v>159.25</v>
          </cell>
          <cell r="B15" t="str">
            <v>Divino Sociedad Anonima</v>
          </cell>
          <cell r="C15">
            <v>45743</v>
          </cell>
          <cell r="D15" t="str">
            <v>março</v>
          </cell>
          <cell r="E15"/>
          <cell r="F15" t="e">
            <v>#N/A</v>
          </cell>
          <cell r="G15">
            <v>45769</v>
          </cell>
          <cell r="H15">
            <v>45769</v>
          </cell>
          <cell r="I15">
            <v>45769</v>
          </cell>
          <cell r="J15">
            <v>45769</v>
          </cell>
          <cell r="K15">
            <v>45771</v>
          </cell>
          <cell r="L15">
            <v>45769</v>
          </cell>
          <cell r="M15" t="str">
            <v>BOETTE</v>
          </cell>
          <cell r="N15"/>
          <cell r="O15" t="str">
            <v xml:space="preserve">Incluso no F-up 17/4.   valor já revisado 
</v>
          </cell>
          <cell r="P15" t="str">
            <v xml:space="preserve">Incluso no F-up 17/4.   valor já revisado 
</v>
          </cell>
          <cell r="Q15"/>
          <cell r="R15"/>
          <cell r="S15"/>
        </row>
        <row r="16">
          <cell r="A16" t="str">
            <v xml:space="preserve">164.25+176+170 </v>
          </cell>
          <cell r="B16" t="str">
            <v>Flex Equipos De Descanso</v>
          </cell>
          <cell r="C16">
            <v>45754</v>
          </cell>
          <cell r="D16" t="str">
            <v>abril</v>
          </cell>
          <cell r="E16">
            <v>6752</v>
          </cell>
          <cell r="F16" t="e">
            <v>#N/A</v>
          </cell>
          <cell r="G16">
            <v>45785</v>
          </cell>
          <cell r="H16">
            <v>45777</v>
          </cell>
          <cell r="I16" t="str">
            <v>ok/30/04</v>
          </cell>
          <cell r="J16" t="str">
            <v>ok</v>
          </cell>
          <cell r="K16" t="str">
            <v>ok</v>
          </cell>
          <cell r="L16">
            <v>45792</v>
          </cell>
          <cell r="M16" t="str">
            <v>EXW-ANDESUR</v>
          </cell>
          <cell r="N16"/>
          <cell r="O16" t="str">
            <v xml:space="preserve">164.25 = 164.25+176.25+170 </v>
          </cell>
          <cell r="P16" t="str">
            <v>3er Item cancelado -  Seq 163.25 alterada juntar 164.25 (05 e 09 ) 176.25 (13) e 170.25 (11) (artigos)</v>
          </cell>
          <cell r="Q16"/>
          <cell r="R16"/>
          <cell r="S16"/>
        </row>
        <row r="17">
          <cell r="A17" t="str">
            <v>171.25</v>
          </cell>
          <cell r="B17" t="str">
            <v>Distribuidora Caseros</v>
          </cell>
          <cell r="C17">
            <v>45763</v>
          </cell>
          <cell r="D17" t="str">
            <v>abril</v>
          </cell>
          <cell r="E17">
            <v>6881</v>
          </cell>
          <cell r="F17" t="e">
            <v>#N/A</v>
          </cell>
          <cell r="G17">
            <v>45794</v>
          </cell>
          <cell r="H17">
            <v>45800</v>
          </cell>
          <cell r="I17" t="str">
            <v>ok</v>
          </cell>
          <cell r="J17" t="str">
            <v>ok</v>
          </cell>
          <cell r="K17" t="str">
            <v>agrd aprov</v>
          </cell>
          <cell r="L17">
            <v>45810</v>
          </cell>
          <cell r="M17" t="str">
            <v>VENTO</v>
          </cell>
          <cell r="N17"/>
          <cell r="O17" t="str">
            <v>171.25</v>
          </cell>
          <cell r="P17" t="str">
            <v>adicionado 4,500 MTS do saldo do cliente painco (3520004)/ coleta 02/06 as 8:00 (navío)</v>
          </cell>
          <cell r="Q17"/>
          <cell r="R17"/>
          <cell r="S17"/>
        </row>
        <row r="18">
          <cell r="A18" t="str">
            <v>166.25</v>
          </cell>
          <cell r="B18" t="str">
            <v>Flex Equipos De Descanso</v>
          </cell>
          <cell r="C18">
            <v>45764</v>
          </cell>
          <cell r="D18" t="str">
            <v>abril</v>
          </cell>
          <cell r="E18">
            <v>6875</v>
          </cell>
          <cell r="F18" t="e">
            <v>#N/A</v>
          </cell>
          <cell r="G18">
            <v>45770</v>
          </cell>
          <cell r="H18" t="str">
            <v>OK</v>
          </cell>
          <cell r="I18">
            <v>45771</v>
          </cell>
          <cell r="J18">
            <v>45771</v>
          </cell>
          <cell r="K18">
            <v>45771</v>
          </cell>
          <cell r="L18">
            <v>45771</v>
          </cell>
          <cell r="M18" t="str">
            <v>VENTO</v>
          </cell>
          <cell r="N18"/>
          <cell r="O18"/>
          <cell r="P18" t="str">
            <v>Enviado, cliente notificado/ Reposição por defeito. Tela black/enviar email-Luciano  x faturamento custo 0</v>
          </cell>
          <cell r="Q18"/>
          <cell r="R18"/>
          <cell r="S18"/>
        </row>
        <row r="19">
          <cell r="A19" t="str">
            <v>174.25</v>
          </cell>
          <cell r="B19" t="str">
            <v>Comercializadora SL Sunlock LTDA</v>
          </cell>
          <cell r="C19">
            <v>45772</v>
          </cell>
          <cell r="D19" t="str">
            <v>finalizado</v>
          </cell>
          <cell r="E19">
            <v>6940</v>
          </cell>
          <cell r="F19" t="e">
            <v>#N/A</v>
          </cell>
          <cell r="G19">
            <v>45787</v>
          </cell>
          <cell r="H19">
            <v>45807</v>
          </cell>
          <cell r="I19" t="str">
            <v>ok</v>
          </cell>
          <cell r="J19" t="str">
            <v>ok</v>
          </cell>
          <cell r="K19" t="str">
            <v>ok</v>
          </cell>
          <cell r="L19">
            <v>45817</v>
          </cell>
          <cell r="M19" t="str">
            <v>vento</v>
          </cell>
          <cell r="N19"/>
          <cell r="O19" t="str">
            <v>174.25</v>
          </cell>
          <cell r="P19" t="str">
            <v>Novo nome SUNLOCK SPA. Add +546 mts cód. A09682 (2860015)Pdto já produzido e disponível-26mai</v>
          </cell>
          <cell r="Q19"/>
          <cell r="R19"/>
          <cell r="S19"/>
        </row>
        <row r="20">
          <cell r="A20" t="str">
            <v>172.25</v>
          </cell>
          <cell r="B20" t="str">
            <v>David Moreno (Heaven)</v>
          </cell>
          <cell r="C20">
            <v>45763</v>
          </cell>
          <cell r="D20" t="str">
            <v>abril</v>
          </cell>
          <cell r="E20">
            <v>6882</v>
          </cell>
          <cell r="F20" t="e">
            <v>#N/A</v>
          </cell>
          <cell r="G20">
            <v>45785</v>
          </cell>
          <cell r="H20">
            <v>45793</v>
          </cell>
          <cell r="I20" t="str">
            <v>ok</v>
          </cell>
          <cell r="J20" t="str">
            <v>ok</v>
          </cell>
          <cell r="K20" t="str">
            <v>ok</v>
          </cell>
          <cell r="L20">
            <v>45810</v>
          </cell>
          <cell r="M20" t="str">
            <v>cardoso e cardoso</v>
          </cell>
          <cell r="N20"/>
          <cell r="O20"/>
          <cell r="P20" t="str">
            <v xml:space="preserve">peças prontas 15/05 / coleta 02/06 as 13:00/ enviado duas amostras junto </v>
          </cell>
          <cell r="Q20"/>
          <cell r="R20"/>
          <cell r="S20"/>
        </row>
        <row r="21">
          <cell r="A21" t="str">
            <v>167.25</v>
          </cell>
          <cell r="B21" t="str">
            <v>Flex Equipos De Descanso</v>
          </cell>
          <cell r="C21">
            <v>45769</v>
          </cell>
          <cell r="D21" t="str">
            <v>finalizado</v>
          </cell>
          <cell r="E21">
            <v>6880</v>
          </cell>
          <cell r="F21" t="e">
            <v>#N/A</v>
          </cell>
          <cell r="G21">
            <v>45804</v>
          </cell>
          <cell r="H21">
            <v>45807</v>
          </cell>
          <cell r="I21" t="str">
            <v>ok</v>
          </cell>
          <cell r="J21" t="str">
            <v>ok</v>
          </cell>
          <cell r="K21" t="str">
            <v>agrd assinar</v>
          </cell>
          <cell r="L21">
            <v>45813</v>
          </cell>
          <cell r="M21" t="str">
            <v>andesur</v>
          </cell>
          <cell r="N21"/>
          <cell r="O21" t="str">
            <v>167.25=168.25 +181</v>
          </cell>
          <cell r="P21" t="str">
            <v xml:space="preserve">ped recebido 22/04 Added Cod. 281.0005 +400 metros /Cod. 281.0009 +200 metros (19/5) + amostras + 168.25
</v>
          </cell>
          <cell r="Q21"/>
          <cell r="R21"/>
          <cell r="S21"/>
        </row>
        <row r="22">
          <cell r="A22" t="str">
            <v>168.25</v>
          </cell>
          <cell r="B22" t="str">
            <v>Flex Equipos De Descanso</v>
          </cell>
          <cell r="C22">
            <v>45784</v>
          </cell>
          <cell r="D22" t="str">
            <v>finalizado</v>
          </cell>
          <cell r="E22">
            <v>7015</v>
          </cell>
          <cell r="F22" t="e">
            <v>#N/A</v>
          </cell>
          <cell r="G22">
            <v>45815</v>
          </cell>
          <cell r="H22">
            <v>45807</v>
          </cell>
          <cell r="I22" t="str">
            <v>ok</v>
          </cell>
          <cell r="J22" t="str">
            <v>ok</v>
          </cell>
          <cell r="K22" t="str">
            <v>agrd assinar</v>
          </cell>
          <cell r="L22">
            <v>45813</v>
          </cell>
          <cell r="M22" t="str">
            <v>andesur</v>
          </cell>
          <cell r="N22"/>
          <cell r="O22" t="str">
            <v>167.25=168.25 +181</v>
          </cell>
          <cell r="P22" t="str">
            <v>aprovado 1500mts</v>
          </cell>
          <cell r="Q22"/>
          <cell r="R22"/>
          <cell r="S22"/>
        </row>
        <row r="23">
          <cell r="A23" t="str">
            <v>175.25</v>
          </cell>
          <cell r="B23" t="str">
            <v>BED TIME</v>
          </cell>
          <cell r="C23">
            <v>45775</v>
          </cell>
          <cell r="D23" t="str">
            <v>abril</v>
          </cell>
          <cell r="E23">
            <v>6954</v>
          </cell>
          <cell r="F23">
            <v>20000</v>
          </cell>
          <cell r="G23">
            <v>45800</v>
          </cell>
          <cell r="H23">
            <v>45800</v>
          </cell>
          <cell r="I23" t="str">
            <v>ok</v>
          </cell>
          <cell r="J23" t="str">
            <v>ok</v>
          </cell>
          <cell r="K23" t="str">
            <v>ok</v>
          </cell>
          <cell r="L23">
            <v>45806</v>
          </cell>
          <cell r="M23" t="str">
            <v>transmaas</v>
          </cell>
          <cell r="N23"/>
          <cell r="O23" t="str">
            <v>175.25</v>
          </cell>
          <cell r="P23" t="str">
            <v>peças prontas 21/05 atraso de saída por conta da transportadora</v>
          </cell>
          <cell r="Q23"/>
          <cell r="R23"/>
          <cell r="S23"/>
        </row>
        <row r="24">
          <cell r="A24" t="str">
            <v>176.25</v>
          </cell>
          <cell r="B24" t="str">
            <v>Flex Equipos De Descanso</v>
          </cell>
          <cell r="C24">
            <v>45775</v>
          </cell>
          <cell r="D24" t="str">
            <v>abril</v>
          </cell>
          <cell r="E24">
            <v>6949</v>
          </cell>
          <cell r="F24" t="e">
            <v>#N/A</v>
          </cell>
          <cell r="G24">
            <v>45789</v>
          </cell>
          <cell r="H24">
            <v>45790</v>
          </cell>
          <cell r="I24" t="str">
            <v>ok/14/05</v>
          </cell>
          <cell r="J24" t="str">
            <v>ok</v>
          </cell>
          <cell r="K24" t="str">
            <v>ok</v>
          </cell>
          <cell r="L24" t="str">
            <v>consultar</v>
          </cell>
          <cell r="M24" t="str">
            <v>EXW-ANDESUR</v>
          </cell>
          <cell r="N24"/>
          <cell r="O24" t="str">
            <v xml:space="preserve">164.25 = 164.25+176.25+170 </v>
          </cell>
          <cell r="P24" t="str">
            <v xml:space="preserve">Tela Black (13) . Envio junto com o pedido 164.25 </v>
          </cell>
          <cell r="Q24" t="str">
            <v xml:space="preserve">Tela Black (13) . Envio junto com o pedido 164.25 </v>
          </cell>
          <cell r="R24"/>
          <cell r="S24"/>
        </row>
        <row r="25">
          <cell r="A25" t="str">
            <v>173.25</v>
          </cell>
          <cell r="B25" t="str">
            <v>Divino Sociedad Anonima</v>
          </cell>
          <cell r="C25">
            <v>45771</v>
          </cell>
          <cell r="D25" t="str">
            <v>finalizado</v>
          </cell>
          <cell r="E25">
            <v>6816</v>
          </cell>
          <cell r="F25">
            <v>1000</v>
          </cell>
          <cell r="G25" t="str">
            <v>07/05-já finalizado</v>
          </cell>
          <cell r="H25">
            <v>45785</v>
          </cell>
          <cell r="I25" t="str">
            <v xml:space="preserve">parcial 30/06 </v>
          </cell>
          <cell r="J25" t="str">
            <v>ok</v>
          </cell>
          <cell r="K25" t="str">
            <v>ok</v>
          </cell>
          <cell r="L25" t="str">
            <v>consultar</v>
          </cell>
          <cell r="M25" t="str">
            <v xml:space="preserve">Boette </v>
          </cell>
          <cell r="N25"/>
          <cell r="O25" t="str">
            <v>184.25 = 173+177</v>
          </cell>
          <cell r="P25" t="str">
            <v>vai sair com junto com o pedido 177.25 e184.25. Startar 4 maq (12-22-17-25)-entrega até 3a (1jul)</v>
          </cell>
          <cell r="Q25"/>
          <cell r="R25"/>
          <cell r="S25"/>
        </row>
        <row r="26">
          <cell r="A26" t="str">
            <v>177.25</v>
          </cell>
          <cell r="B26" t="str">
            <v>Divino Sociedad Anonima</v>
          </cell>
          <cell r="C26">
            <v>45792</v>
          </cell>
          <cell r="D26" t="str">
            <v>finalizado</v>
          </cell>
          <cell r="E26">
            <v>7068</v>
          </cell>
          <cell r="F26">
            <v>4500</v>
          </cell>
          <cell r="G26" t="str">
            <v>17/jun - sai de maq</v>
          </cell>
          <cell r="H26"/>
          <cell r="I26" t="str">
            <v xml:space="preserve">parcial 30/06 </v>
          </cell>
          <cell r="J26" t="str">
            <v>ok</v>
          </cell>
          <cell r="K26" t="str">
            <v>ok</v>
          </cell>
          <cell r="L26" t="str">
            <v>consultar</v>
          </cell>
          <cell r="M26" t="str">
            <v xml:space="preserve">Boette </v>
          </cell>
          <cell r="N26"/>
          <cell r="O26" t="str">
            <v>184.25 = 173+177</v>
          </cell>
          <cell r="P26" t="str">
            <v>falta so o artigo 012 (03/06)/ eliminação art. 254003 e inclusao do 2540031 (500Mts)03/06</v>
          </cell>
          <cell r="Q26"/>
          <cell r="R26"/>
          <cell r="S26"/>
        </row>
        <row r="27">
          <cell r="A27" t="str">
            <v>178.25</v>
          </cell>
          <cell r="B27" t="str">
            <v xml:space="preserve">YP  S.A. (Grupo Suenolar) </v>
          </cell>
          <cell r="C27">
            <v>45796</v>
          </cell>
          <cell r="D27" t="str">
            <v>finalizado</v>
          </cell>
          <cell r="E27">
            <v>7095</v>
          </cell>
          <cell r="F27" t="e">
            <v>#N/A</v>
          </cell>
          <cell r="G27">
            <v>45812</v>
          </cell>
          <cell r="H27">
            <v>45812</v>
          </cell>
          <cell r="I27" t="str">
            <v>ok</v>
          </cell>
          <cell r="J27" t="str">
            <v>ok</v>
          </cell>
          <cell r="K27" t="str">
            <v>ok</v>
          </cell>
          <cell r="L27" t="str">
            <v>consultar</v>
          </cell>
          <cell r="M27" t="str">
            <v>BTR</v>
          </cell>
          <cell r="N27"/>
          <cell r="O27" t="str">
            <v>178.25</v>
          </cell>
          <cell r="P27" t="str">
            <v>enviado 3 caixas de bandeiras junto !</v>
          </cell>
          <cell r="Q27"/>
          <cell r="R27"/>
          <cell r="S27"/>
        </row>
        <row r="28">
          <cell r="A28" t="str">
            <v>179.25</v>
          </cell>
          <cell r="B28" t="str">
            <v>SUPERSPUMA PARAGUAY (SAECA)</v>
          </cell>
          <cell r="C28">
            <v>45805</v>
          </cell>
          <cell r="D28" t="str">
            <v xml:space="preserve">agrd nova data </v>
          </cell>
          <cell r="E28">
            <v>7211</v>
          </cell>
          <cell r="F28" t="e">
            <v>#N/A</v>
          </cell>
          <cell r="G28" t="str">
            <v>09/07- artigo 15</v>
          </cell>
          <cell r="H28">
            <v>45830</v>
          </cell>
          <cell r="I28" t="str">
            <v xml:space="preserve">parcial 23/06 </v>
          </cell>
          <cell r="J28" t="str">
            <v xml:space="preserve">parcial 23/06 </v>
          </cell>
          <cell r="K28" t="str">
            <v>ok</v>
          </cell>
          <cell r="L28" t="str">
            <v>consultar</v>
          </cell>
          <cell r="M28" t="str">
            <v>Global</v>
          </cell>
          <cell r="N28"/>
          <cell r="O28" t="str">
            <v>179.25</v>
          </cell>
          <cell r="P28" t="str">
            <v xml:space="preserve">todos finalizados só falta artigo Final 15/ faltou fio - cliente vai levar oq tem pronto e dps pega o resto </v>
          </cell>
          <cell r="Q28"/>
          <cell r="R28"/>
          <cell r="S28"/>
        </row>
        <row r="29">
          <cell r="A29" t="str">
            <v>180.25</v>
          </cell>
          <cell r="B29" t="str">
            <v>SUNLOCK SPA</v>
          </cell>
          <cell r="C29">
            <v>45805</v>
          </cell>
          <cell r="D29">
            <v>45848</v>
          </cell>
          <cell r="E29">
            <v>7173</v>
          </cell>
          <cell r="F29" t="e">
            <v>#N/A</v>
          </cell>
          <cell r="G29">
            <v>45818</v>
          </cell>
          <cell r="H29" t="str">
            <v>disponível</v>
          </cell>
          <cell r="I29" t="str">
            <v>ok</v>
          </cell>
          <cell r="J29" t="str">
            <v>ok</v>
          </cell>
          <cell r="K29" t="str">
            <v>agrd aprov</v>
          </cell>
          <cell r="L29" t="str">
            <v>consultar</v>
          </cell>
          <cell r="M29" t="str">
            <v xml:space="preserve">cotando </v>
          </cell>
          <cell r="N29"/>
          <cell r="O29" t="str">
            <v>180.25</v>
          </cell>
          <cell r="P29" t="str">
            <v>vento : 3.303/ Brunin :        / ceva :</v>
          </cell>
          <cell r="Q29"/>
          <cell r="R29"/>
          <cell r="S29"/>
        </row>
        <row r="30">
          <cell r="A30" t="str">
            <v>181.25</v>
          </cell>
          <cell r="B30" t="str">
            <v>Flex Equipos De Descanso</v>
          </cell>
          <cell r="C30">
            <v>45806</v>
          </cell>
          <cell r="D30">
            <v>45840</v>
          </cell>
          <cell r="E30">
            <v>7178</v>
          </cell>
          <cell r="F30" t="e">
            <v>#N/A</v>
          </cell>
          <cell r="G30">
            <v>45847</v>
          </cell>
          <cell r="H30"/>
          <cell r="I30" t="str">
            <v xml:space="preserve">parcial 30/06 </v>
          </cell>
          <cell r="J30"/>
          <cell r="K30"/>
          <cell r="L30" t="str">
            <v>consultar</v>
          </cell>
          <cell r="M30" t="str">
            <v>andesur?</v>
          </cell>
          <cell r="N30"/>
          <cell r="O30" t="str">
            <v>167.25=168.25 +181</v>
          </cell>
          <cell r="P30" t="str">
            <v>1500 metros que faltaram dos 2.000 - 500 foi enviado com o 167.25</v>
          </cell>
          <cell r="Q30"/>
          <cell r="R30"/>
          <cell r="S30"/>
        </row>
        <row r="31">
          <cell r="A31" t="str">
            <v>181.25</v>
          </cell>
          <cell r="B31" t="str">
            <v>Flex Equipos De Descanso</v>
          </cell>
          <cell r="C31">
            <v>45806</v>
          </cell>
          <cell r="D31" t="str">
            <v>finalizado</v>
          </cell>
          <cell r="E31">
            <v>7178</v>
          </cell>
          <cell r="F31" t="e">
            <v>#N/A</v>
          </cell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6296.633395949073" createdVersion="8" refreshedVersion="8" minRefreshableVersion="3" recordCount="140" xr:uid="{DB0E553A-3B00-420D-A34C-B2DBE6B448AA}">
  <cacheSource type="worksheet">
    <worksheetSource name="Tabela1"/>
  </cacheSource>
  <cacheFields count="21">
    <cacheField name="INVOICE _x000a_(EXPORT.)" numFmtId="0">
      <sharedItems containsBlank="1" containsMixedTypes="1" containsNumber="1" minValue="0" maxValue="25.26" count="136">
        <s v="135.24"/>
        <s v="136.25"/>
        <s v="144.25"/>
        <s v="145.25"/>
        <s v="147.25"/>
        <s v="148.25"/>
        <s v="149.25"/>
        <s v="150.25"/>
        <s v="151.25"/>
        <s v="152.25"/>
        <s v="153.25"/>
        <s v="156.25"/>
        <s v="157.25"/>
        <s v="158.25"/>
        <s v="159.25"/>
        <s v="160.25"/>
        <s v="161.25"/>
        <s v="162.25"/>
        <s v="163.25"/>
        <s v="164.25"/>
        <s v="165.25"/>
        <s v="166.25"/>
        <s v="167.25"/>
        <s v="168.25"/>
        <s v="171.25"/>
        <s v="172.25"/>
        <s v="173.25"/>
        <s v="174.25"/>
        <s v="175.25"/>
        <s v="176.25"/>
        <s v="177.25"/>
        <s v="178.25"/>
        <s v="179.25"/>
        <s v="180.25"/>
        <s v="181.25"/>
        <s v="183.25"/>
        <s v="184.25"/>
        <s v="185.25"/>
        <s v="187.25"/>
        <s v="187.25 Final"/>
        <s v="188.25"/>
        <s v="189.25"/>
        <s v="190.25"/>
        <s v="191.25"/>
        <s v="192.25"/>
        <s v="193.25"/>
        <s v="194.25"/>
        <s v="195.25"/>
        <s v="196.25"/>
        <s v="197.25"/>
        <s v="198.25"/>
        <s v="199.25"/>
        <s v="200.25"/>
        <s v="201.25"/>
        <s v="202.25"/>
        <s v="203.25"/>
        <s v="205.25"/>
        <s v="206.25"/>
        <s v="208.25"/>
        <s v="209.25"/>
        <s v="210.25"/>
        <s v="211.25"/>
        <s v="204.25"/>
        <s v="213.25"/>
        <s v="214.25"/>
        <s v="212.25"/>
        <s v="215.25"/>
        <s v="216.25"/>
        <s v="217.25"/>
        <s v="219.25"/>
        <s v="220.25"/>
        <s v="220.25 C"/>
        <s v="218.25"/>
        <s v="221.25"/>
        <s v="222.25"/>
        <s v="003.26"/>
        <s v="004.26"/>
        <s v="005.26"/>
        <s v="006.26"/>
        <s v="007.26"/>
        <s v="008.26"/>
        <s v="009.26"/>
        <s v="010.26"/>
        <s v="011.26"/>
        <s v="012.26"/>
        <s v="013.26"/>
        <s v="014.26"/>
        <s v="015.26"/>
        <s v="016.26"/>
        <s v="017.26"/>
        <s v="018.26"/>
        <s v="019.26"/>
        <s v="020.26"/>
        <s v="021.26"/>
        <s v="023.26"/>
        <s v="022.26/022.26 2.0"/>
        <s v="024.26"/>
        <s v="025.26"/>
        <s v="026.26 + 026.26 C"/>
        <s v="027.26"/>
        <s v="028.26"/>
        <s v="030.26"/>
        <s v="031.26"/>
        <s v="032.26"/>
        <s v="033.26"/>
        <s v="034.26"/>
        <s v="035.26"/>
        <s v="036.26"/>
        <s v="037.26"/>
        <s v="038.26"/>
        <s v="039.26"/>
        <s v="041.26"/>
        <s v="029.26"/>
        <s v="040.26"/>
        <s v="042.26"/>
        <s v="043.26a-c"/>
        <s v="044.26"/>
        <s v="046.26"/>
        <s v="047.26"/>
        <s v="049.26"/>
        <s v="050.26"/>
        <s v="051.26"/>
        <s v="052.26"/>
        <s v="055.26"/>
        <s v="053.26"/>
        <s v="054.26"/>
        <s v="056.26"/>
        <s v="059.26"/>
        <s v="060.26"/>
        <s v="061.26 "/>
        <s v="062.26"/>
        <s v="063.26"/>
        <s v="064.26"/>
        <m/>
        <n v="0" u="1"/>
        <n v="25.26" u="1"/>
      </sharedItems>
    </cacheField>
    <cacheField name="CUSTOMER" numFmtId="0">
      <sharedItems containsBlank="1" count="42">
        <s v="DIVINO"/>
        <s v="SIMMONS ARGENTINA"/>
        <s v="FLEX CHILE"/>
        <s v="PARAISO DEL ECUADOR"/>
        <s v="SUPERSPUMA PARAGUAY (SAECA)"/>
        <s v="SUNLOCK"/>
        <s v="DAVID MORENO VISCARRA"/>
        <s v="CUBA - David Rosabal Container 1"/>
        <s v="CUBA - David Rosabal Container 2"/>
        <s v="MAXI KING"/>
        <s v="SEA TRADING (MATERASSI)"/>
        <s v="INMAPOL"/>
        <s v="DIST. CASEROS"/>
        <s v="SUNLOCK SPA"/>
        <s v="BED TIME"/>
        <s v="YP  S.A. (Grupo Suenolar) "/>
        <s v="INDUCOL"/>
        <s v="POLYMAX EL GALO"/>
        <s v="SPRINGWALL - VAZQUEZ SACII"/>
        <s v="MULTIESPUMAS VISCARRA"/>
        <s v="SERVAN EXPORTADORA DE MANUFACTURADOS LTDA (ABBA)"/>
        <s v="COLCHONES DEL PARAGUAY"/>
        <s v="FRAZADAS ARTESANALES (LA GRANDE)"/>
        <s v="IMPORTADORA TERRA (MOVELPRO SRL)"/>
        <s v="LAMITEX S.A."/>
        <s v="LIMANSKY S.S."/>
        <s v="TEXTIL FIBREX"/>
        <s v="INDUSTRIAL REGAL"/>
        <s v="AGT - AMERICAN GARMENT"/>
        <s v="ATLAS EAS"/>
        <s v="TEC NIPONA PERÚ  (AMAZHEL)"/>
        <s v="COLOR LIVING"/>
        <s v="MANTAHUE SPA"/>
        <s v="COLCHONES ESPUMIX (GOVER SPA)"/>
        <s v="YP  S.A.    (SUEÑOLAR)"/>
        <m/>
        <s v="COLCHONES PRINCE" u="1"/>
        <s v="SEA TRADING" u="1"/>
        <s v="COLCHONES ESPUMIX" u="1"/>
        <s v="PARAÍSO DEL ECUADOR" u="1"/>
        <s v="POLYMAX" u="1"/>
        <s v="SIMMONS ARGENTINA " u="1"/>
      </sharedItems>
    </cacheField>
    <cacheField name="PAIS" numFmtId="0">
      <sharedItems containsBlank="1"/>
    </cacheField>
    <cacheField name="ORDER NBR" numFmtId="0">
      <sharedItems containsBlank="1" containsMixedTypes="1" containsNumber="1" containsInteger="1" minValue="4645" maxValue="11454" count="144">
        <n v="5889"/>
        <n v="6042"/>
        <n v="6113"/>
        <n v="6039"/>
        <n v="5929"/>
        <n v="6168"/>
        <n v="4645"/>
        <n v="6142"/>
        <s v="4725 / 6114 / 6236"/>
        <n v="6114"/>
        <n v="6309"/>
        <n v="6353"/>
        <n v="6384"/>
        <n v="6310"/>
        <s v="6623 / 6561"/>
        <s v="6536 / 6827"/>
        <s v="6353 /6561 /6039 /6353_x000a_"/>
        <n v="6732"/>
        <s v="6733/6783 /6782_x000a_"/>
        <s v="6752 / 6868 / 6949"/>
        <n v="6706"/>
        <s v="6816 / 6623"/>
        <n v="6597"/>
        <s v="6752 / 6868 / 6949/6816 /6623_x000a_"/>
        <n v="6495"/>
        <n v="6875"/>
        <s v="6880/ 7178"/>
        <s v="6880 / 7015"/>
        <n v="6881"/>
        <n v="6882"/>
        <n v="6816"/>
        <n v="6940"/>
        <n v="6954"/>
        <n v="6949"/>
        <n v="7068"/>
        <n v="7095"/>
        <n v="7211"/>
        <n v="7173"/>
        <s v="7178/6880/7015/7797_x000a_"/>
        <s v="(7178 / 7234)"/>
        <s v="7235 (7068 / 7235)"/>
        <n v="7442"/>
        <s v="7523/8302"/>
        <n v="7523"/>
        <n v="7503"/>
        <n v="7630"/>
        <s v="7672/ 8254"/>
        <n v="7673"/>
        <n v="7758"/>
        <s v="7763/ 8220"/>
        <s v="7780/7777/7857"/>
        <n v="7777"/>
        <n v="8123"/>
        <n v="8154"/>
        <n v="8172"/>
        <n v="8155"/>
        <n v="8315"/>
        <n v="8312"/>
        <n v="8348"/>
        <n v="8353"/>
        <n v="8387"/>
        <n v="8465"/>
        <n v="8509"/>
        <s v="8569/8798"/>
        <n v="8609"/>
        <n v="8614"/>
        <n v="8681"/>
        <n v="8726"/>
        <n v="9070"/>
        <s v="8773/ 9137"/>
        <n v="8811"/>
        <n v="9075"/>
        <n v="8863"/>
        <n v="8953"/>
        <n v="9030"/>
        <n v="9035"/>
        <n v="9037"/>
        <n v="9125"/>
        <n v="9124"/>
        <n v="9157"/>
        <n v="9176"/>
        <n v="9177"/>
        <n v="9206"/>
        <n v="9207"/>
        <n v="9233"/>
        <n v="9246"/>
        <n v="9469"/>
        <n v="9522"/>
        <n v="9534"/>
        <n v="9634"/>
        <n v="9691"/>
        <n v="9695"/>
        <n v="9942"/>
        <n v="9747"/>
        <n v="9771"/>
        <n v="10299"/>
        <n v="9776"/>
        <n v="9778"/>
        <n v="9777"/>
        <n v="9802"/>
        <n v="9939"/>
        <n v="10169"/>
        <s v="10310 / 10634"/>
        <n v="10308"/>
        <n v="10309"/>
        <n v="10344"/>
        <n v="10352"/>
        <n v="10497"/>
        <n v="10756"/>
        <n v="10499"/>
        <n v="10506"/>
        <n v="10514"/>
        <n v="10572"/>
        <n v="10609"/>
        <s v="10629&gt;11275"/>
        <s v="10635&gt;11275"/>
        <n v="10700"/>
        <s v="10759/10879"/>
        <s v="10812&gt;11309"/>
        <s v="10822/11316"/>
        <n v="10814"/>
        <n v="10820"/>
        <n v="10856"/>
        <n v="10882"/>
        <n v="10946"/>
        <n v="10963"/>
        <n v="11136"/>
        <n v="11048"/>
        <n v="11186"/>
        <n v="11137"/>
        <n v="11239"/>
        <n v="11324"/>
        <n v="11355"/>
        <n v="11363"/>
        <n v="11364"/>
        <n v="11446"/>
        <n v="11454"/>
        <m/>
        <n v="10822" u="1"/>
        <n v="10812" u="1"/>
        <n v="10629" u="1"/>
        <n v="10635" u="1"/>
        <n v="10310" u="1"/>
        <n v="9772" u="1"/>
      </sharedItems>
    </cacheField>
    <cacheField name="DATA_x000a_ PROFORM-INVOICE" numFmtId="0">
      <sharedItems containsNonDate="0" containsDate="1" containsString="0" containsBlank="1" minDate="2025-01-02T00:00:00" maxDate="2026-09-29T00:00:00"/>
    </cacheField>
    <cacheField name="DATA  COLETA (ESTIMADA)" numFmtId="0">
      <sharedItems containsNonDate="0" containsDate="1" containsString="0" containsBlank="1" minDate="2025-01-02T00:00:00" maxDate="2026-11-11T00:00:00"/>
    </cacheField>
    <cacheField name="PAYMENT_x000a_TERMS" numFmtId="4">
      <sharedItems containsBlank="1"/>
    </cacheField>
    <cacheField name="days" numFmtId="0">
      <sharedItems containsString="0" containsBlank="1" containsNumber="1" containsInteger="1" minValue="0" maxValue="90"/>
    </cacheField>
    <cacheField name="DATA VENCIMENTO/_x000a_DEADLINE" numFmtId="14">
      <sharedItems containsSemiMixedTypes="0" containsNonDate="0" containsDate="1" containsString="0" minDate="1899-12-30T00:00:00" maxDate="2027-01-20T00:00:00" count="118">
        <d v="2025-02-02T00:00:00"/>
        <d v="2025-02-21T00:00:00"/>
        <d v="2025-02-01T00:00:00"/>
        <d v="2025-04-08T00:00:00"/>
        <d v="2025-03-09T00:00:00"/>
        <d v="2025-07-13T00:00:00"/>
        <d v="2025-01-20T00:00:00"/>
        <d v="2025-01-03T00:00:00"/>
        <d v="2025-03-01T00:00:00"/>
        <d v="2025-04-29T00:00:00"/>
        <d v="2025-05-29T00:00:00"/>
        <d v="2025-06-25T00:00:00"/>
        <d v="2025-03-30T00:00:00"/>
        <d v="2025-04-09T00:00:00"/>
        <d v="2025-04-24T00:00:00"/>
        <d v="2025-03-25T00:00:00"/>
        <d v="2025-05-22T00:00:00"/>
        <d v="2025-05-07T00:00:00"/>
        <d v="2025-07-22T00:00:00"/>
        <d v="2025-08-13T00:00:00"/>
        <d v="2025-08-14T00:00:00"/>
        <d v="2025-06-08T00:00:00"/>
        <d v="2025-04-11T00:00:00"/>
        <d v="2025-07-23T00:00:00"/>
        <d v="2025-08-28T00:00:00"/>
        <d v="2025-09-04T00:00:00"/>
        <d v="2025-06-28T00:00:00"/>
        <d v="2025-05-21T00:00:00"/>
        <d v="2025-07-31T00:00:00"/>
        <d v="2025-07-09T00:00:00"/>
        <d v="2025-06-27T00:00:00"/>
        <d v="2025-06-19T00:00:00"/>
        <d v="2025-07-30T00:00:00"/>
        <d v="2025-08-16T00:00:00"/>
        <d v="2025-10-23T00:00:00"/>
        <d v="2025-09-28T00:00:00"/>
        <d v="2025-08-01T00:00:00"/>
        <d v="2025-08-18T00:00:00"/>
        <d v="2025-11-16T00:00:00"/>
        <d v="2026-01-25T00:00:00"/>
        <d v="2025-09-01T00:00:00"/>
        <d v="2025-11-08T00:00:00"/>
        <d v="2025-11-04T00:00:00"/>
        <d v="2026-01-15T00:00:00"/>
        <d v="2025-10-27T00:00:00"/>
        <d v="2025-11-06T00:00:00"/>
        <d v="2025-12-10T00:00:00"/>
        <d v="2025-10-22T00:00:00"/>
        <d v="2025-11-09T00:00:00"/>
        <d v="2025-10-06T00:00:00"/>
        <d v="2025-09-30T00:00:00"/>
        <d v="2025-11-20T00:00:00"/>
        <d v="2025-11-05T00:00:00"/>
        <d v="2025-11-18T00:00:00"/>
        <d v="2026-01-20T00:00:00"/>
        <d v="2025-12-25T00:00:00"/>
        <d v="2025-12-07T00:00:00"/>
        <d v="2025-12-02T00:00:00"/>
        <d v="2025-11-19T00:00:00"/>
        <d v="2026-01-07T00:00:00"/>
        <d v="2025-12-31T00:00:00"/>
        <d v="2026-01-06T00:00:00"/>
        <d v="2026-02-14T00:00:00"/>
        <d v="2026-01-14T00:00:00"/>
        <d v="2026-04-08T00:00:00"/>
        <d v="2026-01-18T00:00:00"/>
        <d v="2025-12-19T00:00:00"/>
        <d v="2026-02-06T00:00:00"/>
        <d v="2026-05-13T00:00:00"/>
        <d v="2026-03-22T00:00:00"/>
        <d v="2026-04-10T00:00:00"/>
        <d v="2026-05-25T00:00:00"/>
        <d v="2026-03-27T00:00:00"/>
        <d v="2026-02-24T00:00:00"/>
        <d v="2026-07-27T00:00:00"/>
        <d v="2026-04-07T00:00:00"/>
        <d v="2026-07-14T00:00:00"/>
        <d v="2026-04-14T00:00:00"/>
        <d v="2026-06-30T00:00:00"/>
        <d v="2026-06-13T00:00:00"/>
        <d v="2026-07-05T00:00:00"/>
        <d v="2026-08-02T00:00:00"/>
        <d v="2026-10-06T00:00:00"/>
        <d v="2026-06-05T00:00:00"/>
        <d v="2026-07-21T00:00:00"/>
        <d v="2026-04-29T00:00:00"/>
        <d v="2026-05-23T00:00:00"/>
        <d v="2026-06-10T00:00:00"/>
        <d v="2026-08-20T00:00:00"/>
        <d v="2026-07-08T00:00:00"/>
        <d v="2026-07-15T00:00:00"/>
        <d v="2026-11-23T00:00:00"/>
        <d v="2026-12-27T00:00:00"/>
        <d v="2026-08-14T00:00:00"/>
        <d v="2026-08-04T00:00:00"/>
        <d v="2026-10-20T00:00:00"/>
        <d v="2026-09-18T00:00:00"/>
        <d v="2026-11-10T00:00:00"/>
        <d v="2026-10-21T00:00:00"/>
        <d v="2026-08-11T00:00:00"/>
        <d v="2026-10-13T00:00:00"/>
        <d v="2026-09-10T00:00:00"/>
        <d v="2026-10-30T00:00:00"/>
        <d v="2026-09-13T00:00:00"/>
        <d v="2026-10-08T00:00:00"/>
        <d v="2026-10-10T00:00:00"/>
        <d v="2026-09-03T00:00:00"/>
        <d v="2026-12-20T00:00:00"/>
        <d v="2026-12-02T00:00:00"/>
        <d v="2026-11-27T00:00:00"/>
        <d v="2027-01-11T00:00:00"/>
        <d v="2026-09-28T00:00:00"/>
        <d v="2026-09-24T00:00:00"/>
        <d v="2026-12-19T00:00:00"/>
        <d v="2027-01-19T00:00:00"/>
        <d v="2026-10-19T00:00:00"/>
        <d v="2026-10-16T00:00:00"/>
        <d v="1899-12-30T00:00:00"/>
      </sharedItems>
      <fieldGroup par="20" base="8">
        <rangePr groupBy="months" startDate="1899-12-30T00:00:00" endDate="2027-01-20T00:00:00"/>
        <groupItems count="14">
          <s v="&lt;00/01/190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0/01/2027"/>
        </groupItems>
      </fieldGroup>
    </cacheField>
    <cacheField name="PROFORMA_x000a_(2026)" numFmtId="0">
      <sharedItems containsBlank="1" containsMixedTypes="1" containsNumber="1" minValue="694.8" maxValue="93450"/>
    </cacheField>
    <cacheField name="DIF PROFORM VS INVOICE FINAL 2026)" numFmtId="0">
      <sharedItems containsBlank="1" containsMixedTypes="1" containsNumber="1" minValue="0" maxValue="1.5854926660185145"/>
    </cacheField>
    <cacheField name="TOTAL DUE PAYMENT-AS PER FINAL INVOICE_x000a_US$" numFmtId="0">
      <sharedItems containsBlank="1" containsMixedTypes="1" containsNumber="1" minValue="0" maxValue="71172.759999999995"/>
    </cacheField>
    <cacheField name="ADVANCE PAYMENT / FINAL PAYM'T/ NC _x000a_(US$)" numFmtId="0">
      <sharedItems containsBlank="1" containsMixedTypes="1" containsNumber="1" minValue="0" maxValue="71172.759999999995"/>
    </cacheField>
    <cacheField name="TOTAL DUE _x000a_BALANCE_x000a_ (US$)" numFmtId="4">
      <sharedItems containsSemiMixedTypes="0" containsString="0" containsNumber="1" minValue="-70079.896999999997" maxValue="13241.620000000003"/>
    </cacheField>
    <cacheField name="VALOR TOTAL_x000a_R$" numFmtId="0">
      <sharedItems containsBlank="1" containsMixedTypes="1" containsNumber="1" minValue="0" maxValue="367577.43"/>
    </cacheField>
    <cacheField name="NÚMERO _x000a_NF" numFmtId="0">
      <sharedItems containsBlank="1" containsMixedTypes="1" containsNumber="1" containsInteger="1" minValue="56529" maxValue="68475"/>
    </cacheField>
    <cacheField name="STATUS_x000a_PGTO" numFmtId="4">
      <sharedItems containsBlank="1" count="10">
        <s v="paga"/>
        <s v="cancelar"/>
        <s v="Não procede"/>
        <s v="parcial"/>
        <s v="Devolução"/>
        <s v="pendente"/>
        <s v="on hold"/>
        <s v="NC"/>
        <s v="futura"/>
        <m/>
      </sharedItems>
    </cacheField>
    <cacheField name="OBSERV." numFmtId="4">
      <sharedItems containsBlank="1"/>
    </cacheField>
    <cacheField name="SALES COM._x000a_PAID?" numFmtId="0">
      <sharedItems containsBlank="1" containsMixedTypes="1" containsNumber="1" containsInteger="1" minValue="2025" maxValue="2025"/>
    </cacheField>
    <cacheField name="Trimestres" numFmtId="0" databaseField="0">
      <fieldGroup base="8">
        <rangePr groupBy="quarters" startDate="1899-12-30T00:00:00" endDate="2027-01-20T00:00:00"/>
        <groupItems count="6">
          <s v="&lt;00/01/1900"/>
          <s v="Trim.1"/>
          <s v="Trim.2"/>
          <s v="Trim.3"/>
          <s v="Trim.4"/>
          <s v="&gt;20/01/2027"/>
        </groupItems>
      </fieldGroup>
    </cacheField>
    <cacheField name="Anos" numFmtId="0" databaseField="0">
      <fieldGroup base="8">
        <rangePr groupBy="years" startDate="1899-12-30T00:00:00" endDate="2027-01-20T00:00:00"/>
        <groupItems count="130">
          <s v="&lt;00/0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&gt;20/0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x v="0"/>
    <m/>
    <x v="0"/>
    <d v="2025-01-03T00:00:00"/>
    <d v="2025-01-03T00:00:00"/>
    <s v="50% Pre Payment - 50% After Received"/>
    <n v="30"/>
    <x v="0"/>
    <m/>
    <m/>
    <n v="22814.539999999997"/>
    <n v="22814.539999999997"/>
    <n v="0"/>
    <n v="84449.340000000011"/>
    <s v="56.541 / 56.509"/>
    <x v="0"/>
    <s v="PV5321 - NF 56.528 clxd"/>
    <m/>
  </r>
  <r>
    <x v="1"/>
    <x v="0"/>
    <m/>
    <x v="0"/>
    <d v="2025-01-22T00:00:00"/>
    <d v="2025-01-22T00:00:00"/>
    <s v="50% Pre Payment - 50% After Received"/>
    <n v="30"/>
    <x v="1"/>
    <m/>
    <m/>
    <n v="1623.4199999999998"/>
    <n v="1623.4199999999998"/>
    <n v="0"/>
    <n v="9811.9500000000007"/>
    <n v="56691"/>
    <x v="0"/>
    <m/>
    <m/>
  </r>
  <r>
    <x v="2"/>
    <x v="1"/>
    <s v="ARGENTINA"/>
    <x v="1"/>
    <d v="2025-01-02T00:00:00"/>
    <d v="2025-01-02T00:00:00"/>
    <s v="30 days after received"/>
    <n v="30"/>
    <x v="2"/>
    <m/>
    <m/>
    <n v="24931.07"/>
    <n v="24931.07"/>
    <n v="0"/>
    <n v="153428.31"/>
    <n v="56529"/>
    <x v="0"/>
    <m/>
    <m/>
  </r>
  <r>
    <x v="3"/>
    <x v="2"/>
    <m/>
    <x v="2"/>
    <d v="2025-01-08T00:00:00"/>
    <d v="2025-01-08T00:00:00"/>
    <s v="90 Days"/>
    <n v="90"/>
    <x v="3"/>
    <m/>
    <m/>
    <n v="6236.1479999999992"/>
    <n v="6236.1479999999992"/>
    <n v="0"/>
    <n v="41965.93"/>
    <n v="56569"/>
    <x v="0"/>
    <s v="Paga - sin documentación de soporte"/>
    <m/>
  </r>
  <r>
    <x v="3"/>
    <x v="0"/>
    <m/>
    <x v="3"/>
    <d v="2025-02-07T00:00:00"/>
    <d v="2025-02-07T00:00:00"/>
    <s v="50% Pre Payment - 50% After Received"/>
    <n v="30"/>
    <x v="4"/>
    <m/>
    <m/>
    <n v="39447.859999999993"/>
    <n v="39447.859999999993"/>
    <n v="0"/>
    <n v="231148.68"/>
    <s v="56.800/56.801"/>
    <x v="0"/>
    <m/>
    <m/>
  </r>
  <r>
    <x v="4"/>
    <x v="3"/>
    <s v="ECUADOR"/>
    <x v="4"/>
    <d v="2025-01-03T00:00:00"/>
    <d v="2025-05-14T00:00:00"/>
    <s v="60 Days"/>
    <n v="60"/>
    <x v="5"/>
    <m/>
    <m/>
    <n v="1302.8399999999999"/>
    <n v="1302.8399999999999"/>
    <n v="0"/>
    <n v="8017.81"/>
    <s v="---"/>
    <x v="1"/>
    <s v="NF 56.540 cxld (8.017,81)- ESCLARECIDO/ Cancelar"/>
    <m/>
  </r>
  <r>
    <x v="5"/>
    <x v="4"/>
    <m/>
    <x v="5"/>
    <d v="2025-01-20T00:00:00"/>
    <d v="2025-01-20T00:00:00"/>
    <s v="Pre Payment - 100% Counter Expedition"/>
    <n v="0"/>
    <x v="6"/>
    <m/>
    <m/>
    <n v="6099.58"/>
    <n v="6099.58"/>
    <n v="0"/>
    <n v="37706.53"/>
    <n v="56743"/>
    <x v="0"/>
    <s v="PV 5165 / 6043 / 5386 - NF 56.544 clxd"/>
    <m/>
  </r>
  <r>
    <x v="6"/>
    <x v="5"/>
    <s v="CHILE"/>
    <x v="6"/>
    <d v="2025-01-03T00:00:00"/>
    <d v="2025-01-03T00:00:00"/>
    <s v="Pre-payment"/>
    <n v="0"/>
    <x v="7"/>
    <m/>
    <m/>
    <n v="2839.2"/>
    <n v="2839.2"/>
    <n v="0"/>
    <n v="17472.72"/>
    <n v="56543"/>
    <x v="0"/>
    <s v="NF CXLD"/>
    <m/>
  </r>
  <r>
    <x v="7"/>
    <x v="6"/>
    <m/>
    <x v="7"/>
    <d v="2025-01-14T00:00:00"/>
    <d v="2025-01-30T00:00:00"/>
    <s v="30 days"/>
    <n v="30"/>
    <x v="8"/>
    <m/>
    <m/>
    <n v="4583.75"/>
    <n v="4583.75"/>
    <n v="0"/>
    <n v="26858.94"/>
    <n v="56802"/>
    <x v="0"/>
    <s v="pgo $15168,15 /enviado cubre 130.24/150.25/157.25"/>
    <m/>
  </r>
  <r>
    <x v="8"/>
    <x v="2"/>
    <m/>
    <x v="8"/>
    <d v="2025-01-29T00:00:00"/>
    <d v="2025-01-29T00:00:00"/>
    <s v="90 Days"/>
    <n v="90"/>
    <x v="9"/>
    <m/>
    <m/>
    <n v="13980.26"/>
    <n v="13980.26"/>
    <n v="0"/>
    <n v="82385.67"/>
    <n v="56774"/>
    <x v="0"/>
    <s v="Notificado/Pgo 03Jun 13980,26"/>
    <m/>
  </r>
  <r>
    <x v="9"/>
    <x v="2"/>
    <m/>
    <x v="9"/>
    <d v="2025-02-28T00:00:00"/>
    <d v="2025-02-28T00:00:00"/>
    <s v="90 Days"/>
    <n v="90"/>
    <x v="10"/>
    <m/>
    <m/>
    <m/>
    <m/>
    <n v="0"/>
    <n v="47380.3"/>
    <n v="57134"/>
    <x v="2"/>
    <s v="Pedido nunca foi despachado/devem dar baixa do Sistema (US$8137,03/NF R$47380,3)"/>
    <m/>
  </r>
  <r>
    <x v="10"/>
    <x v="5"/>
    <s v="CHILE"/>
    <x v="10"/>
    <d v="2025-04-30T00:00:00"/>
    <d v="2025-05-26T00:00:00"/>
    <s v="30 days"/>
    <n v="30"/>
    <x v="11"/>
    <m/>
    <m/>
    <n v="3385.14"/>
    <n v="3385.14"/>
    <n v="0"/>
    <n v="15748.19"/>
    <n v="57899"/>
    <x v="0"/>
    <s v="cliente notificado 1/7 - sem resposta --25/08 / NF 153- Invoice 157- SWIFT recibido 12/09- PROBLEMAS DE QA"/>
    <m/>
  </r>
  <r>
    <x v="11"/>
    <x v="0"/>
    <m/>
    <x v="11"/>
    <d v="2025-02-28T00:00:00"/>
    <d v="2025-02-28T00:00:00"/>
    <s v="50% Pre Payment - 50% After Received"/>
    <n v="30"/>
    <x v="12"/>
    <m/>
    <m/>
    <n v="42371.047399999996"/>
    <n v="42371.047399999996"/>
    <n v="0"/>
    <n v="246718.14"/>
    <n v="57145"/>
    <x v="0"/>
    <m/>
    <m/>
  </r>
  <r>
    <x v="12"/>
    <x v="6"/>
    <m/>
    <x v="12"/>
    <d v="2025-02-13T00:00:00"/>
    <d v="2025-03-10T00:00:00"/>
    <s v="30 days"/>
    <n v="30"/>
    <x v="13"/>
    <m/>
    <m/>
    <n v="10252.799999999999"/>
    <n v="10252.799999999999"/>
    <n v="0"/>
    <n v="60323.35"/>
    <s v="57600/57.144"/>
    <x v="0"/>
    <s v="pgo $15168,15 /enviado cubre 130.24/150.25/157.25"/>
    <m/>
  </r>
  <r>
    <x v="12"/>
    <x v="5"/>
    <s v="CHILE"/>
    <x v="10"/>
    <d v="2025-03-25T00:00:00"/>
    <d v="2025-03-25T00:00:00"/>
    <s v="30 days"/>
    <n v="30"/>
    <x v="14"/>
    <m/>
    <m/>
    <n v="5271.96"/>
    <n v="5271.96"/>
    <n v="0"/>
    <n v="24559.87"/>
    <n v="57401"/>
    <x v="0"/>
    <s v="pgto 13Jun  VALOR DE FRETE:R$ 5.702,75/ NF 57.397 cxld/ não tem pasta"/>
    <m/>
  </r>
  <r>
    <x v="13"/>
    <x v="4"/>
    <m/>
    <x v="13"/>
    <d v="2025-03-25T00:00:00"/>
    <d v="2025-03-25T00:00:00"/>
    <s v="Pre Payment - 100% Counter Expedition"/>
    <n v="0"/>
    <x v="15"/>
    <m/>
    <m/>
    <n v="3483.0436"/>
    <n v="3483.0436"/>
    <n v="0"/>
    <n v="19993.72"/>
    <n v="57396"/>
    <x v="0"/>
    <m/>
    <m/>
  </r>
  <r>
    <x v="14"/>
    <x v="0"/>
    <m/>
    <x v="14"/>
    <d v="2025-03-27T00:00:00"/>
    <d v="2025-04-22T00:00:00"/>
    <s v="50% Pre Payment - 50% After Received"/>
    <n v="30"/>
    <x v="16"/>
    <m/>
    <m/>
    <n v="50430.38"/>
    <n v="50430.38"/>
    <n v="0"/>
    <n v="295315.24"/>
    <n v="57746"/>
    <x v="0"/>
    <s v="PV 6623 / 6561_x000a_"/>
    <m/>
  </r>
  <r>
    <x v="14"/>
    <x v="3"/>
    <s v="ECUADOR"/>
    <x v="15"/>
    <d v="2025-04-14T00:00:00"/>
    <d v="2025-05-14T00:00:00"/>
    <s v="60 Days"/>
    <n v="60"/>
    <x v="5"/>
    <m/>
    <m/>
    <n v="29668.52"/>
    <n v="30363.32"/>
    <n v="694.79999999999927"/>
    <n v="105997.81"/>
    <s v="57673/57.493_x000a_"/>
    <x v="0"/>
    <s v="faturado  -  57652 Devolução? R$  8017,81-Notificado 13/08/ Swift 30.363,32 (180925)- Recbimento -70 (Taxa)-Consolida 159.25+205.25"/>
    <m/>
  </r>
  <r>
    <x v="15"/>
    <x v="0"/>
    <m/>
    <x v="16"/>
    <d v="2025-04-07T00:00:00"/>
    <d v="2025-04-07T00:00:00"/>
    <s v="50% Pre Payment - 50% After Received"/>
    <n v="30"/>
    <x v="17"/>
    <m/>
    <m/>
    <n v="55384.549999999996"/>
    <n v="55384.549999999996"/>
    <n v="0"/>
    <n v="319438.59999999998"/>
    <s v="57492/ 57.489/ 57.559/57.558"/>
    <x v="0"/>
    <m/>
    <m/>
  </r>
  <r>
    <x v="16"/>
    <x v="7"/>
    <m/>
    <x v="17"/>
    <d v="2025-04-04T00:00:00"/>
    <d v="2025-05-23T00:00:00"/>
    <s v="30 - 60 DAYS"/>
    <n v="60"/>
    <x v="18"/>
    <n v="24544.55"/>
    <m/>
    <n v="51274.55"/>
    <n v="38156.36"/>
    <n v="-13118.190000000002"/>
    <n v="287481.02"/>
    <s v="57547/57553/ 57.566 ajuste"/>
    <x v="3"/>
    <s v="2025-Pending-Ajuste Proforma EUROS (46.557,57)-Sinal US4 4.500 / Revisada para USD/Alinhada com DUE/ Wire Transfer recebido (18226,5)- devolvido -Restricciones cambio- Unifica 161.25 &amp; 162.25"/>
    <m/>
  </r>
  <r>
    <x v="17"/>
    <x v="8"/>
    <m/>
    <x v="18"/>
    <d v="2025-04-04T00:00:00"/>
    <d v="2025-05-23T00:00:00"/>
    <s v="30 - 60 DAYS"/>
    <n v="60"/>
    <x v="18"/>
    <n v="26730"/>
    <m/>
    <m/>
    <m/>
    <n v="0"/>
    <n v="149867.09"/>
    <n v="57547"/>
    <x v="3"/>
    <s v="2025-Pending-Consolida 162.25 con 161.25- Invoice revisada novamente para USD - Detalhes em Ajustes CubaFile"/>
    <m/>
  </r>
  <r>
    <x v="18"/>
    <x v="2"/>
    <m/>
    <x v="19"/>
    <d v="2025-04-07T00:00:00"/>
    <d v="2025-05-15T00:00:00"/>
    <s v="90 Days"/>
    <n v="90"/>
    <x v="19"/>
    <m/>
    <m/>
    <m/>
    <m/>
    <n v="0"/>
    <s v="-"/>
    <s v="58048/57.898"/>
    <x v="0"/>
    <s v="6752 / 6868 / 6949; ajustada para 164.25.  Ver valores nessa cell"/>
    <m/>
  </r>
  <r>
    <x v="18"/>
    <x v="9"/>
    <m/>
    <x v="20"/>
    <d v="2025-05-13T00:00:00"/>
    <d v="2025-05-16T00:00:00"/>
    <s v="25% Advanced - 2 Cuotes 60/90"/>
    <n v="90"/>
    <x v="20"/>
    <m/>
    <m/>
    <n v="24721.14"/>
    <n v="24721.14"/>
    <n v="0"/>
    <n v="139359.38999999998"/>
    <s v="58050/57.900"/>
    <x v="0"/>
    <s v="parcialmente atendido .-change in original invoice/not doctd- 3 pgs parciales-Swift filed- -$30 "/>
    <m/>
  </r>
  <r>
    <x v="19"/>
    <x v="0"/>
    <m/>
    <x v="21"/>
    <d v="2025-04-09T00:00:00"/>
    <d v="2025-05-09T00:00:00"/>
    <s v="50% Pre Payment - 50% After Received"/>
    <n v="30"/>
    <x v="21"/>
    <m/>
    <m/>
    <n v="63969.62000000001"/>
    <n v="63969.62000000001"/>
    <n v="0"/>
    <n v="363731.24"/>
    <s v="57985 / 57.984"/>
    <x v="0"/>
    <m/>
    <m/>
  </r>
  <r>
    <x v="19"/>
    <x v="10"/>
    <s v="PARAGUAY"/>
    <x v="22"/>
    <d v="2025-04-11T00:00:00"/>
    <d v="2025-04-11T00:00:00"/>
    <s v="Pre-payment"/>
    <n v="0"/>
    <x v="22"/>
    <m/>
    <m/>
    <n v="1610.8200000000002"/>
    <n v="1610.8200000000002"/>
    <n v="0"/>
    <n v="9522.36"/>
    <n v="57657"/>
    <x v="0"/>
    <m/>
    <m/>
  </r>
  <r>
    <x v="19"/>
    <x v="2"/>
    <m/>
    <x v="23"/>
    <d v="2025-04-30T00:00:00"/>
    <d v="2025-05-15T00:00:00"/>
    <s v="90 Days"/>
    <n v="90"/>
    <x v="19"/>
    <m/>
    <m/>
    <n v="8953.4299999999985"/>
    <n v="8953.43"/>
    <n v="0"/>
    <n v="23579.07"/>
    <n v="58048"/>
    <x v="0"/>
    <s v="Swift pago 07/08-  PV 6752 / 6868 / 6949- Consolida 164.24+170.25+176.25- Dev. /57.898/57.985/57.984"/>
    <m/>
  </r>
  <r>
    <x v="20"/>
    <x v="11"/>
    <m/>
    <x v="24"/>
    <d v="2025-04-11T00:00:00"/>
    <d v="2025-04-11T00:00:00"/>
    <s v="Pre-payment"/>
    <n v="0"/>
    <x v="22"/>
    <m/>
    <m/>
    <n v="6438.41"/>
    <n v="6438.41"/>
    <n v="0"/>
    <n v="38060.65"/>
    <n v="57658"/>
    <x v="0"/>
    <m/>
    <m/>
  </r>
  <r>
    <x v="21"/>
    <x v="2"/>
    <m/>
    <x v="25"/>
    <d v="2025-04-07T00:00:00"/>
    <d v="2025-04-24T00:00:00"/>
    <s v="90 Days"/>
    <n v="90"/>
    <x v="23"/>
    <m/>
    <m/>
    <n v="2222.7199999999998"/>
    <n v="2222.7199999999998"/>
    <n v="0"/>
    <n v="12642.83"/>
    <n v="57775"/>
    <x v="1"/>
    <s v="will NOT Charge--Rep. Qualidade.  2.222,72 "/>
    <m/>
  </r>
  <r>
    <x v="22"/>
    <x v="2"/>
    <m/>
    <x v="26"/>
    <d v="2025-04-22T00:00:00"/>
    <d v="2025-05-30T00:00:00"/>
    <s v="90 Days"/>
    <n v="90"/>
    <x v="24"/>
    <m/>
    <m/>
    <n v="12665.19"/>
    <n v="12665.19"/>
    <n v="0"/>
    <s v="-"/>
    <s v="58433/58.358"/>
    <x v="0"/>
    <s v="167+168+/ add +400/+200 dos mesmos artigos 19/5 (125.25 amostras)- SWIFT $12665,19 (030925)-   Fup   -Invoice saida 167.25+168.25+181.25 +189.25 (12.665,19) - "/>
    <m/>
  </r>
  <r>
    <x v="23"/>
    <x v="2"/>
    <m/>
    <x v="27"/>
    <d v="2025-05-07T00:00:00"/>
    <d v="2025-06-06T00:00:00"/>
    <s v="90 Days"/>
    <n v="90"/>
    <x v="25"/>
    <m/>
    <m/>
    <m/>
    <m/>
    <n v="0"/>
    <s v="-"/>
    <s v="-"/>
    <x v="0"/>
    <s v="167+168+ - inv 167.25 + 168.25 juntas para faturamento -"/>
    <m/>
  </r>
  <r>
    <x v="24"/>
    <x v="12"/>
    <m/>
    <x v="28"/>
    <d v="2025-04-16T00:00:00"/>
    <d v="2025-05-29T00:00:00"/>
    <s v="30 days"/>
    <n v="30"/>
    <x v="26"/>
    <m/>
    <m/>
    <n v="11129.9"/>
    <n v="11335.23"/>
    <n v="205.32999999999993"/>
    <n v="77365.960000000006"/>
    <n v="58340"/>
    <x v="0"/>
    <s v="faturado 29/05 / cliente notiticado/Frete pago em destino ($2.458,33- R$ 14.791,13 /Swift 0508 (11335,23)"/>
    <m/>
  </r>
  <r>
    <x v="25"/>
    <x v="6"/>
    <m/>
    <x v="29"/>
    <d v="2025-05-16T00:00:00"/>
    <d v="2025-05-21T00:00:00"/>
    <s v="Pre-payment"/>
    <n v="0"/>
    <x v="27"/>
    <m/>
    <m/>
    <n v="5543.9"/>
    <n v="5543.9"/>
    <n v="0"/>
    <n v="31389.01"/>
    <n v="58293"/>
    <x v="0"/>
    <s v="cliente notificado-Swift recibido 14/08-saldo pendiente"/>
    <m/>
  </r>
  <r>
    <x v="26"/>
    <x v="0"/>
    <m/>
    <x v="30"/>
    <d v="2025-04-24T00:00:00"/>
    <d v="2025-07-01T00:00:00"/>
    <s v="50% Pre Payment - 50% After Received"/>
    <n v="30"/>
    <x v="28"/>
    <m/>
    <m/>
    <n v="0"/>
    <n v="0"/>
    <n v="0"/>
    <n v="0"/>
    <n v="58963"/>
    <x v="1"/>
    <s v="junto com 177.25 y 184.25 - revisar valor único em 184.25"/>
    <m/>
  </r>
  <r>
    <x v="27"/>
    <x v="13"/>
    <s v="CHILE"/>
    <x v="31"/>
    <d v="2025-04-25T00:00:00"/>
    <d v="2025-06-09T00:00:00"/>
    <s v="30 days"/>
    <n v="30"/>
    <x v="29"/>
    <m/>
    <m/>
    <n v="13839.679999999998"/>
    <n v="13839.68"/>
    <n v="0"/>
    <n v="67566.509999999995"/>
    <s v="58356/ 58476 (amostra fat)_x000a_"/>
    <x v="0"/>
    <s v="ajuste invoice final. Cliente notificado-NF 58355 devolução venda recusada-Swift 17Oct ($13839.68)/paga amostra 121.25"/>
    <m/>
  </r>
  <r>
    <x v="28"/>
    <x v="14"/>
    <s v="ARGENTINA"/>
    <x v="32"/>
    <d v="2025-04-28T00:00:00"/>
    <d v="2025-05-23T00:00:00"/>
    <s v="30 days, after customs clearance"/>
    <n v="35"/>
    <x v="30"/>
    <m/>
    <m/>
    <n v="37823.39"/>
    <n v="37823.39"/>
    <n v="0"/>
    <n v="215336.13"/>
    <n v="58275"/>
    <x v="0"/>
    <s v="Swift pago 21/7 - faturado; ajuste invoice final.  "/>
    <n v="2025"/>
  </r>
  <r>
    <x v="29"/>
    <x v="2"/>
    <m/>
    <x v="33"/>
    <d v="2025-04-29T00:00:00"/>
    <d v="2025-05-15T00:00:00"/>
    <s v="90 Days"/>
    <n v="90"/>
    <x v="19"/>
    <m/>
    <m/>
    <m/>
    <m/>
    <n v="0"/>
    <s v="-"/>
    <s v="-"/>
    <x v="0"/>
    <s v="parcialmente atendido- consolida invoice 164.25"/>
    <m/>
  </r>
  <r>
    <x v="30"/>
    <x v="0"/>
    <m/>
    <x v="34"/>
    <d v="2025-05-15T00:00:00"/>
    <d v="2025-07-01T00:00:00"/>
    <s v="50% Pre Payment - 50% After Received"/>
    <n v="30"/>
    <x v="28"/>
    <m/>
    <m/>
    <n v="0"/>
    <n v="0"/>
    <n v="0"/>
    <n v="0"/>
    <n v="58963"/>
    <x v="1"/>
    <s v="177.25+173.25+ 184.25 (consolida saida)- valor em 184.25"/>
    <m/>
  </r>
  <r>
    <x v="31"/>
    <x v="15"/>
    <m/>
    <x v="35"/>
    <d v="2025-05-19T00:00:00"/>
    <d v="2025-06-19T00:00:00"/>
    <s v="Pre-payment"/>
    <n v="0"/>
    <x v="31"/>
    <m/>
    <m/>
    <n v="1235.3900000000001"/>
    <n v="1235.3900000000001"/>
    <n v="0"/>
    <m/>
    <m/>
    <x v="0"/>
    <s v="09/06- ajuste de qtde invoice final despacho/pgo 06/06- Taxa $60"/>
    <m/>
  </r>
  <r>
    <x v="32"/>
    <x v="4"/>
    <m/>
    <x v="36"/>
    <d v="2025-05-28T00:00:00"/>
    <d v="2025-07-30T00:00:00"/>
    <s v="Pre Payment - 100% Counter Expedition"/>
    <n v="0"/>
    <x v="32"/>
    <m/>
    <m/>
    <n v="11163.27"/>
    <n v="11163.27"/>
    <n v="0"/>
    <n v="61349.98"/>
    <n v="58807"/>
    <x v="0"/>
    <s v="Swift 25/6"/>
    <m/>
  </r>
  <r>
    <x v="33"/>
    <x v="13"/>
    <s v="CHILE"/>
    <x v="37"/>
    <d v="2025-05-28T00:00:00"/>
    <d v="2025-07-17T00:00:00"/>
    <s v="30 days"/>
    <n v="30"/>
    <x v="33"/>
    <m/>
    <m/>
    <n v="4734.9399999999996"/>
    <n v="17976.560000000001"/>
    <n v="13241.620000000003"/>
    <n v="22640.93"/>
    <n v="58964"/>
    <x v="0"/>
    <s v="2025-Agosto -SWIFT 23/02 (14.591,42) -Ajuste monto invoice final+ Freight (4134,65+600,29)-Aplicar NC x problemas calidad Sertapedic (3.385,14) - NC filed"/>
    <m/>
  </r>
  <r>
    <x v="34"/>
    <x v="2"/>
    <m/>
    <x v="38"/>
    <d v="2025-05-29T00:00:00"/>
    <d v="2025-07-25T00:00:00"/>
    <s v="90 Days"/>
    <n v="90"/>
    <x v="34"/>
    <m/>
    <m/>
    <n v="11414.39"/>
    <n v="11414.39"/>
    <n v="0"/>
    <n v="63051.94"/>
    <n v="59373"/>
    <x v="0"/>
    <s v="181.25+ pendentes anteriores - faturado/ 6880 / 7015 - NF 58965 CXLD - Devoluçao NF59.324 41.676,2/Discrepancia DUE (11441,39) e Invoice (11414,39)-Ordem SWIFT 2710 (11414,39)"/>
    <m/>
  </r>
  <r>
    <x v="35"/>
    <x v="2"/>
    <m/>
    <x v="39"/>
    <d v="2025-06-02T00:00:00"/>
    <d v="2025-06-30T00:00:00"/>
    <s v="90 Days"/>
    <n v="90"/>
    <x v="35"/>
    <m/>
    <m/>
    <n v="11960"/>
    <n v="11960"/>
    <n v="0"/>
    <n v="41676.25"/>
    <s v="58965 / 59.324"/>
    <x v="4"/>
    <s v="(11.960,00)  - Devolução cliente processada 23/07 -NF 059.324 - R$ 41.676,25&gt;40.155,07 - NF 58965 Clxd"/>
    <m/>
  </r>
  <r>
    <x v="36"/>
    <x v="0"/>
    <m/>
    <x v="40"/>
    <d v="2025-06-02T00:00:00"/>
    <d v="2025-07-02T00:00:00"/>
    <s v="50% Pre Payment - 50% After Received"/>
    <n v="30"/>
    <x v="36"/>
    <m/>
    <m/>
    <n v="30148.81"/>
    <n v="30148.81"/>
    <n v="0"/>
    <n v="165091.87"/>
    <n v="58963"/>
    <x v="0"/>
    <s v="despacho junto c/173.25 e 177.25/ Invoice revisada 02Jul -(esta Inv.- 30.148,81)- Swift 11jul 12475 +  taxa"/>
    <m/>
  </r>
  <r>
    <x v="37"/>
    <x v="16"/>
    <m/>
    <x v="41"/>
    <d v="2025-06-18T00:00:00"/>
    <d v="2025-08-18T00:00:00"/>
    <s v="Pre-payment"/>
    <n v="0"/>
    <x v="37"/>
    <m/>
    <m/>
    <m/>
    <m/>
    <n v="0"/>
    <s v="-"/>
    <s v="-"/>
    <x v="0"/>
    <s v="Swift Adv Paymt 23/6- Ojo invoice salida unifica com 193.25"/>
    <m/>
  </r>
  <r>
    <x v="38"/>
    <x v="17"/>
    <m/>
    <x v="42"/>
    <d v="2025-07-10T00:00:00"/>
    <d v="2025-09-17T00:00:00"/>
    <s v="60 Days"/>
    <n v="60"/>
    <x v="38"/>
    <n v="30596"/>
    <n v="1.0264867956595634"/>
    <n v="31406.39"/>
    <n v="31514.39"/>
    <n v="108"/>
    <n v="182253.67"/>
    <s v="59814 / 59.546/60215"/>
    <x v="0"/>
    <s v="2025-Novembro - enviar consolidado com complemento (15/1)-SWiFT 03Feb26 ($15K)  + 18Mar ($7.978,50)  + SWIFT 24/03 ($ 6.978,5)+ porción Swift 12/05 abona"/>
    <m/>
  </r>
  <r>
    <x v="39"/>
    <x v="17"/>
    <m/>
    <x v="43"/>
    <d v="2025-11-01T00:00:00"/>
    <d v="2025-11-26T00:00:00"/>
    <s v="60 Days"/>
    <n v="60"/>
    <x v="39"/>
    <m/>
    <m/>
    <n v="1773.88"/>
    <n v="1773.88"/>
    <n v="0"/>
    <s v="3.428,31/6140,65"/>
    <s v="60215/60627"/>
    <x v="0"/>
    <s v="Janeiro26  - invoices x pdtos faltante &amp; reposição qualidade (1.144 + 629,88)- Foi ajustada a data-solic Cliente Via CR (26/11)- Saldo SWIFT12/05 ($6965) abona"/>
    <m/>
  </r>
  <r>
    <x v="40"/>
    <x v="0"/>
    <m/>
    <x v="44"/>
    <d v="2025-07-02T00:00:00"/>
    <d v="2025-08-02T00:00:00"/>
    <s v="50% Pre Payment - 50% After Received"/>
    <n v="30"/>
    <x v="40"/>
    <m/>
    <m/>
    <n v="60788.5"/>
    <n v="60788.5"/>
    <n v="0"/>
    <n v="339888.24999999994"/>
    <s v="59540/ 59677/59696"/>
    <x v="0"/>
    <s v="Swift 0807-taxa ($55) $29400 )(adiantamento) / Alteração valor proforma por alteração código artigo/juntó saldo de 184.25./Swift 1908 $31388,50/"/>
    <m/>
  </r>
  <r>
    <x v="41"/>
    <x v="2"/>
    <m/>
    <x v="45"/>
    <d v="2025-07-10T00:00:00"/>
    <d v="2025-08-10T00:00:00"/>
    <s v="90 Days"/>
    <n v="90"/>
    <x v="41"/>
    <m/>
    <m/>
    <m/>
    <m/>
    <n v="0"/>
    <s v="-"/>
    <s v="-"/>
    <x v="0"/>
    <s v="Invoice saida 181.25-167.25"/>
    <m/>
  </r>
  <r>
    <x v="42"/>
    <x v="14"/>
    <s v="ARGENTINA"/>
    <x v="46"/>
    <d v="2025-07-14T00:00:00"/>
    <d v="2025-08-26T00:00:00"/>
    <s v="60 days, after customs clearance"/>
    <n v="70"/>
    <x v="42"/>
    <m/>
    <m/>
    <n v="43540.78"/>
    <n v="43540.78"/>
    <n v="0"/>
    <n v="236827.01"/>
    <n v="60101"/>
    <x v="0"/>
    <s v="Ok - SWIFT (26/11) ok - new credit rate- NF 59541 CXLD /NF 59.607 devolução/Faturado 2508/Novo pedido xa refletir credit rate 8254 (anterior Cxld)"/>
    <n v="2025"/>
  </r>
  <r>
    <x v="43"/>
    <x v="14"/>
    <s v="ARGENTINA"/>
    <x v="47"/>
    <d v="2025-07-14T00:00:00"/>
    <d v="2025-11-06T00:00:00"/>
    <s v="60 days, after customs clearance"/>
    <n v="70"/>
    <x v="43"/>
    <m/>
    <m/>
    <n v="43413.09"/>
    <n v="43413.090000000004"/>
    <n v="0"/>
    <n v="231083.53"/>
    <n v="61051"/>
    <x v="0"/>
    <s v="Janeiro26 -ok - new credit rate- entrega para final Outubro / Ajuste Invoice saida/OJO - NC EMITIDA X DIF EN TELAS Y PRECIOS-Aplicar descuento $1.547,62(Taxa credit rate eliminado até 60d)- SWIFT Pgo 03/02 -$41.865,47"/>
    <n v="2025"/>
  </r>
  <r>
    <x v="44"/>
    <x v="3"/>
    <s v="ECUADOR"/>
    <x v="48"/>
    <d v="2025-07-14T00:00:00"/>
    <d v="2025-08-28T00:00:00"/>
    <s v="60 Days"/>
    <n v="60"/>
    <x v="44"/>
    <n v="12623.5"/>
    <n v="0.9873886006258169"/>
    <n v="12464.3"/>
    <n v="12429.3"/>
    <n v="-35"/>
    <n v="67578.94"/>
    <n v="60186"/>
    <x v="3"/>
    <s v="2025 -Outubro- Ok- liberado 23/7-12.623,50--&gt;Ajuste invoice- Notificado- Swift ($12.429,30 - taxa $30) 08/12"/>
    <m/>
  </r>
  <r>
    <x v="45"/>
    <x v="16"/>
    <m/>
    <x v="49"/>
    <d v="2025-07-14T00:00:00"/>
    <d v="2025-08-18T00:00:00"/>
    <s v="Pre-payment"/>
    <n v="0"/>
    <x v="37"/>
    <m/>
    <m/>
    <n v="47432.44"/>
    <n v="47432.44"/>
    <n v="0"/>
    <n v="256870.39"/>
    <n v="59929"/>
    <x v="0"/>
    <s v="Ok pedido - Invoice unificada com 185.25-incçuye flete /59818 y 59554Clxd- Swift (2008) $33,411.94/ver adelanto em 185.25"/>
    <m/>
  </r>
  <r>
    <x v="46"/>
    <x v="18"/>
    <m/>
    <x v="50"/>
    <d v="2025-07-15T00:00:00"/>
    <d v="2025-08-07T00:00:00"/>
    <s v="60 Days"/>
    <n v="60"/>
    <x v="45"/>
    <m/>
    <m/>
    <n v="24320"/>
    <n v="24320"/>
    <n v="0"/>
    <n v="133278.46"/>
    <n v="59640"/>
    <x v="0"/>
    <s v="New credit rate  194.25 + 195.25-Novo pedido 7857 xa diluir credit rate (05/08)/ NF59537 Cxld/Swift recibido 17/10-$24320 ($24290 sin tasa)"/>
    <m/>
  </r>
  <r>
    <x v="47"/>
    <x v="18"/>
    <m/>
    <x v="51"/>
    <d v="2025-07-23T00:00:00"/>
    <d v="2025-08-22T00:00:00"/>
    <s v="60 Days"/>
    <n v="60"/>
    <x v="45"/>
    <m/>
    <m/>
    <m/>
    <m/>
    <n v="0"/>
    <s v="---"/>
    <s v="---"/>
    <x v="0"/>
    <s v="Incluso credit rate - complemento pedido anterior- Consolida Valor em 194.25 (pedido7857)-pago acima documet."/>
    <m/>
  </r>
  <r>
    <x v="48"/>
    <x v="2"/>
    <m/>
    <x v="52"/>
    <d v="2025-08-11T00:00:00"/>
    <d v="2025-09-11T00:00:00"/>
    <s v="90 Days"/>
    <n v="90"/>
    <x v="46"/>
    <m/>
    <m/>
    <n v="5506.62"/>
    <n v="5506.62"/>
    <n v="0"/>
    <n v="29951.61"/>
    <n v="60119"/>
    <x v="0"/>
    <s v="Dezembro - pedido novo - Ok  Paga SWIFT 26/11 (5506,62) -  Revisar SWIFT 27/10 - Valor $ 11.414,39 - Difiere"/>
    <m/>
  </r>
  <r>
    <x v="49"/>
    <x v="0"/>
    <m/>
    <x v="53"/>
    <d v="2025-08-11T00:00:00"/>
    <d v="2025-09-22T00:00:00"/>
    <s v="50% Pre Payment - 50% After Received"/>
    <n v="30"/>
    <x v="47"/>
    <m/>
    <m/>
    <n v="19511.330000000002"/>
    <n v="19511.330000000002"/>
    <n v="0"/>
    <n v="104301.72"/>
    <s v="60876/60877"/>
    <x v="0"/>
    <s v="pedido novo - Ok- 50% Swift pago 15/08 / saldo de 188.25 junto/Swift pgto final 3 oct"/>
    <m/>
  </r>
  <r>
    <x v="50"/>
    <x v="1"/>
    <s v="ARGENTINA"/>
    <x v="54"/>
    <d v="2025-08-14T00:00:00"/>
    <d v="2025-10-10T00:00:00"/>
    <s v="30 days after received"/>
    <n v="30"/>
    <x v="48"/>
    <m/>
    <m/>
    <n v="33840.5"/>
    <n v="33840.5"/>
    <n v="0"/>
    <n v="180129.59"/>
    <n v="61049"/>
    <x v="0"/>
    <s v="Novembro - pedido novo - Ok- Ajuste invoice saída- pre-payment/pedido llegó BsAs (21/10)-Pga SWIFT 05/12"/>
    <m/>
  </r>
  <r>
    <x v="51"/>
    <x v="4"/>
    <m/>
    <x v="55"/>
    <d v="2025-08-12T00:00:00"/>
    <d v="2025-10-06T00:00:00"/>
    <s v="Pre Payment - 100% Counter Expedition"/>
    <n v="0"/>
    <x v="49"/>
    <m/>
    <m/>
    <n v="14004.62"/>
    <n v="14004.62"/>
    <n v="0"/>
    <n v="74545.2"/>
    <n v="61050"/>
    <x v="0"/>
    <s v="Outubro - pedido novo - Ok / ajuste invoice saída  - coleta 06/10- Swift 02/10 recibido 13/11"/>
    <m/>
  </r>
  <r>
    <x v="52"/>
    <x v="19"/>
    <s v="BOLIVIA"/>
    <x v="56"/>
    <d v="2025-08-21T00:00:00"/>
    <d v="2025-09-30T00:00:00"/>
    <s v="Pre-payment"/>
    <n v="0"/>
    <x v="50"/>
    <m/>
    <m/>
    <n v="16624.3"/>
    <n v="16624.3"/>
    <n v="0"/>
    <n v="90359.72"/>
    <s v="61539/61540"/>
    <x v="0"/>
    <s v="Setembro -ok- F-up - Notificado diversas fechas/ OK PAGA SWIFT 12/12/25"/>
    <m/>
  </r>
  <r>
    <x v="53"/>
    <x v="20"/>
    <m/>
    <x v="57"/>
    <d v="2025-08-25T00:00:00"/>
    <d v="2025-10-03T00:00:00"/>
    <s v="Pre-payment"/>
    <n v="0"/>
    <x v="51"/>
    <m/>
    <m/>
    <n v="5515.3228782287824"/>
    <n v="5515.3228782287824"/>
    <n v="0"/>
    <n v="24583.05"/>
    <s v="61146 (R$ 29.893,05)"/>
    <x v="0"/>
    <s v="Novembro Pgto feito via Boleto -Sinal R$ 5.310,00  (29Ago -Fx 5,41)- Cliente fatura em R$/ R$ 29.893,05 -Invoice inclui Frete R$ 2.483,07 /faturado"/>
    <m/>
  </r>
  <r>
    <x v="54"/>
    <x v="0"/>
    <m/>
    <x v="58"/>
    <d v="2025-09-04T00:00:00"/>
    <d v="2025-10-06T00:00:00"/>
    <s v="50% Pre Payment - 50% After Received"/>
    <n v="30"/>
    <x v="52"/>
    <m/>
    <m/>
    <n v="11088.02"/>
    <n v="11088.02"/>
    <n v="0"/>
    <n v="60267.83"/>
    <s v="61357/61538"/>
    <x v="0"/>
    <s v="Novembro -Swift 50% recebido 23/09-Pronto para coletar (17/10)"/>
    <m/>
  </r>
  <r>
    <x v="55"/>
    <x v="11"/>
    <m/>
    <x v="59"/>
    <d v="2025-09-09T00:00:00"/>
    <d v="2025-09-30T00:00:00"/>
    <s v="Pre-payment"/>
    <n v="0"/>
    <x v="50"/>
    <m/>
    <m/>
    <n v="6942.6"/>
    <n v="6942.6"/>
    <n v="0"/>
    <n v="36954.769999999997"/>
    <n v="61063"/>
    <x v="0"/>
    <s v="Ajuste invoice final- Swift pago 07/10"/>
    <m/>
  </r>
  <r>
    <x v="56"/>
    <x v="3"/>
    <s v="ECUADOR"/>
    <x v="60"/>
    <d v="2025-09-12T00:00:00"/>
    <d v="2025-10-19T00:00:00"/>
    <s v="30 days"/>
    <n v="30"/>
    <x v="53"/>
    <n v="694.8"/>
    <n v="1.0635002878526194"/>
    <n v="738.92"/>
    <n v="694.8"/>
    <n v="-44.120000000000005"/>
    <n v="3917.02"/>
    <n v="60777"/>
    <x v="3"/>
    <s v="2025 - Outubro- Inclui frete (334 + 360,80)-  Swift 30.363,32 (180925)- Invoice final 738,92 (334 vs. 378,12/ dif de $44,12). Consolida 205.25+159.25-Pgo inferior"/>
    <m/>
  </r>
  <r>
    <x v="57"/>
    <x v="2"/>
    <m/>
    <x v="61"/>
    <d v="2025-09-17T00:00:00"/>
    <d v="2025-10-22T00:00:00"/>
    <s v="90 Days"/>
    <n v="90"/>
    <x v="54"/>
    <m/>
    <m/>
    <n v="2826"/>
    <n v="2826"/>
    <n v="0"/>
    <n v="15215.18"/>
    <n v="61771"/>
    <x v="0"/>
    <s v="Janeiro26 -Alteraçao proforma-1item só - paga SWIFT 23/01"/>
    <m/>
  </r>
  <r>
    <x v="58"/>
    <x v="2"/>
    <m/>
    <x v="62"/>
    <d v="2025-09-24T00:00:00"/>
    <d v="2025-09-26T00:00:00"/>
    <s v="90 Days"/>
    <n v="90"/>
    <x v="55"/>
    <m/>
    <m/>
    <n v="4288.53"/>
    <n v="4288.53"/>
    <n v="0"/>
    <n v="22777.24"/>
    <n v="60927"/>
    <x v="0"/>
    <s v="Dezembro  - Paga SWIFT 06/01 ($4.288,53)"/>
    <m/>
  </r>
  <r>
    <x v="59"/>
    <x v="13"/>
    <s v="CHILE"/>
    <x v="63"/>
    <d v="2025-09-25T00:00:00"/>
    <d v="2025-11-07T00:00:00"/>
    <s v="30 days"/>
    <n v="30"/>
    <x v="56"/>
    <m/>
    <m/>
    <n v="0"/>
    <m/>
    <n v="0"/>
    <m/>
    <s v="--"/>
    <x v="0"/>
    <s v="Dezembro- consolida em 210.25- SWIFT (23/02) 14.591,42  /  SWIFT 24/04/26 $5.659,15 / Revisar o valor a cobrar- NC por problemas de Qualidade  ($2.180 Sertapedic -pedido 153.25)-aplicado em invoice vencida-"/>
    <m/>
  </r>
  <r>
    <x v="60"/>
    <x v="13"/>
    <s v="CHILE"/>
    <x v="64"/>
    <d v="2025-10-07T00:00:00"/>
    <d v="2025-11-07T00:00:00"/>
    <s v="30 days"/>
    <n v="30"/>
    <x v="56"/>
    <n v="13135"/>
    <n v="1.0589196802436238"/>
    <n v="13908.91"/>
    <n v="18900.77"/>
    <n v="4991.8600000000006"/>
    <n v="73968.98"/>
    <n v="62206"/>
    <x v="0"/>
    <s v="Dezembro  - Ajuste inv saida/consolida 209.25 + 210.25- Inclui frete / Pago SWIFT (23/02) $14.591,42 (dif luego de pagar 209.25)/ SWIFT 24/04/26 $5.659,15"/>
    <m/>
  </r>
  <r>
    <x v="61"/>
    <x v="4"/>
    <m/>
    <x v="65"/>
    <d v="2025-10-08T00:00:00"/>
    <d v="2025-12-02T00:00:00"/>
    <s v="Pre Payment - 100% Counter Expedition"/>
    <n v="0"/>
    <x v="57"/>
    <m/>
    <m/>
    <n v="19504.93"/>
    <n v="19504.93"/>
    <n v="0"/>
    <m/>
    <n v="62739"/>
    <x v="0"/>
    <s v="Dezembro - Quant aumentadas 07/11- SWIFT 12/12 (19.504,93)"/>
    <m/>
  </r>
  <r>
    <x v="62"/>
    <x v="21"/>
    <m/>
    <x v="66"/>
    <d v="2025-10-09T00:00:00"/>
    <d v="2025-11-19T00:00:00"/>
    <s v="Pre-payment"/>
    <n v="0"/>
    <x v="58"/>
    <m/>
    <m/>
    <n v="0"/>
    <m/>
    <n v="0"/>
    <n v="0"/>
    <s v="--"/>
    <x v="0"/>
    <s v="Novembro-Proforma incluye Flete ($ 690)/Swift $2000 (17/10)-  carta justificativa-Valor pago-Consolida com 219.25-Swift 4554,95 (27/11)"/>
    <m/>
  </r>
  <r>
    <x v="63"/>
    <x v="1"/>
    <s v="ARGENTINA"/>
    <x v="67"/>
    <d v="2025-10-21T00:00:00"/>
    <d v="2025-12-08T00:00:00"/>
    <s v="30 days after received"/>
    <n v="30"/>
    <x v="59"/>
    <m/>
    <m/>
    <n v="17776.62"/>
    <n v="17776.62"/>
    <n v="0"/>
    <n v="95819.54"/>
    <n v="62567"/>
    <x v="0"/>
    <s v="Janeiro26 -proforma nova 21/10- DUE difiere $17.810,82 (amostras? $34,20)-PAGA SWIFT 14Jan26"/>
    <m/>
  </r>
  <r>
    <x v="64"/>
    <x v="0"/>
    <m/>
    <x v="68"/>
    <d v="2025-10-21T00:00:00"/>
    <d v="2025-12-01T00:00:00"/>
    <s v="50% Pre Payment - 50% After Received"/>
    <n v="30"/>
    <x v="60"/>
    <m/>
    <m/>
    <n v="18180.800000000003"/>
    <n v="18180.8"/>
    <n v="0"/>
    <n v="96972.75"/>
    <s v="62679/62743"/>
    <x v="0"/>
    <s v="Dezembro- 50% pago Swift  23/10 - Fup fact 28/11- NF 626709 CXLD / Pgo saldo SWIFT 08/12"/>
    <m/>
  </r>
  <r>
    <x v="65"/>
    <x v="22"/>
    <s v="PERÚ"/>
    <x v="69"/>
    <d v="2025-10-20T00:00:00"/>
    <d v="2025-12-17T00:00:00"/>
    <s v="30% Pre-Payment - 70% Counter Expedition"/>
    <n v="20"/>
    <x v="61"/>
    <n v="43290"/>
    <n v="1.0216734811734813"/>
    <n v="44228.245000000003"/>
    <n v="44083.25"/>
    <n v="-144.99500000000262"/>
    <n v="367577.43"/>
    <s v="62736 / 63143"/>
    <x v="3"/>
    <s v="Jan'26 - Sinal 30% OK (30/10)/Swift final 22/12 ($31.096,25) Underpayment  - Proforma ($ 43.290 ) Fup Invoice final ($  44.228,25 )-67236 Entrada / NF 63097 Cxld-"/>
    <m/>
  </r>
  <r>
    <x v="66"/>
    <x v="17"/>
    <m/>
    <x v="70"/>
    <d v="2025-11-03T00:00:00"/>
    <d v="2025-12-16T00:00:00"/>
    <s v="60 Days"/>
    <n v="60"/>
    <x v="62"/>
    <n v="15055"/>
    <n v="0.90856592494187971"/>
    <n v="13678.46"/>
    <n v="13678.46"/>
    <n v="0"/>
    <n v="74803.740000000005"/>
    <s v="62892/63209"/>
    <x v="0"/>
    <s v="Fevereiro'26- Envio parcial 11/12 + seguinte 19/12 (Fup)- sobra SWIFT 12/05 (6965-saldos 187.25+final)/SWIFT 15jun (10.044,00)"/>
    <m/>
  </r>
  <r>
    <x v="67"/>
    <x v="0"/>
    <m/>
    <x v="71"/>
    <d v="2025-11-03T00:00:00"/>
    <d v="2025-12-15T00:00:00"/>
    <s v="50% Pre Payment - 50% After Received"/>
    <n v="30"/>
    <x v="63"/>
    <m/>
    <m/>
    <n v="20124.810000000001"/>
    <n v="20124.809999999998"/>
    <n v="0"/>
    <n v="108817.22"/>
    <s v="62680/62891"/>
    <x v="0"/>
    <s v="Janeiro26 - Swift 50% recibido (10/11) - Fup fact Dez-&gt; ok- inferior - PGO SWIFT (16/12-$8.622,31)"/>
    <m/>
  </r>
  <r>
    <x v="68"/>
    <x v="2"/>
    <m/>
    <x v="72"/>
    <d v="2025-11-10T00:00:00"/>
    <d v="2026-01-08T00:00:00"/>
    <s v="90 Days"/>
    <n v="90"/>
    <x v="64"/>
    <n v="6250"/>
    <n v="1.0371839999999999"/>
    <n v="6482.4"/>
    <n v="6482.4"/>
    <n v="0"/>
    <n v="35232.5"/>
    <n v="63251"/>
    <x v="0"/>
    <s v="abril'26 -Pick-up 08/01/26 - notificado- SWIFT 10/04  ($6.482,40)"/>
    <m/>
  </r>
  <r>
    <x v="69"/>
    <x v="21"/>
    <m/>
    <x v="73"/>
    <d v="2025-11-18T00:00:00"/>
    <d v="2025-11-19T00:00:00"/>
    <s v="Pre-payment"/>
    <n v="0"/>
    <x v="58"/>
    <m/>
    <m/>
    <n v="6554.95"/>
    <n v="6554.95"/>
    <n v="0"/>
    <n v="34804.380000000005"/>
    <s v="62468/62395"/>
    <x v="0"/>
    <s v="Novembro - ($2112,80) Consolida com 204.25- Material já em stock- inclui frete ($690)- SWIFT 27/11"/>
    <m/>
  </r>
  <r>
    <x v="70"/>
    <x v="13"/>
    <s v="CHILE"/>
    <x v="74"/>
    <d v="2025-11-24T00:00:00"/>
    <d v="2025-12-19T00:00:00"/>
    <s v="30 days"/>
    <n v="30"/>
    <x v="65"/>
    <n v="14285"/>
    <n v="1.10411200560028"/>
    <n v="15772.24"/>
    <n v="16181.159999999998"/>
    <n v="408.91999999999825"/>
    <n v="86999.65"/>
    <n v="63248"/>
    <x v="0"/>
    <s v="Janeiro26 - Fup complemento - 14.183,74 + frete 1.588,50 =15.772,24|SWIFT 24/04 ($5.659,15)- abono anterior= diferencia abona parcialmente|SWIFT (01/06) $5.597,15 abono + SWIFT (18/06) $5.592,15-cierra cta y sobra saldo de $346,92 que abona invoice 003.26"/>
    <m/>
  </r>
  <r>
    <x v="71"/>
    <x v="13"/>
    <s v="CHILE"/>
    <x v="75"/>
    <d v="2025-11-24T00:00:00"/>
    <d v="2025-12-19T00:00:00"/>
    <s v="30 days"/>
    <n v="30"/>
    <x v="65"/>
    <m/>
    <m/>
    <m/>
    <m/>
    <n v="0"/>
    <s v="--"/>
    <s v="--"/>
    <x v="0"/>
    <s v="Janeiro26 - complemento 3 items novos- consolida em 220.25 - ver acima"/>
    <m/>
  </r>
  <r>
    <x v="72"/>
    <x v="23"/>
    <s v="BOLIVIA"/>
    <x v="76"/>
    <d v="2025-11-27T00:00:00"/>
    <d v="2025-12-19T00:00:00"/>
    <s v="30% Pre-Payment - 70% Counter Expedition"/>
    <n v="0"/>
    <x v="66"/>
    <m/>
    <m/>
    <n v="8103.3"/>
    <n v="8618"/>
    <n v="514.69999999999982"/>
    <n v="44697.82"/>
    <n v="63243"/>
    <x v="0"/>
    <s v="Janeiro-  Pgto recibido 05/12/overpayment"/>
    <m/>
  </r>
  <r>
    <x v="73"/>
    <x v="24"/>
    <m/>
    <x v="77"/>
    <d v="2025-12-11T00:00:00"/>
    <d v="2026-02-06T00:00:00"/>
    <s v="30% Pre-Payment - 70% Counter Expedition"/>
    <n v="0"/>
    <x v="67"/>
    <n v="23970"/>
    <n v="1.0449340842720067"/>
    <n v="25047.07"/>
    <n v="25047.07"/>
    <n v="0"/>
    <n v="131697.49"/>
    <s v="63819/  63820 -21"/>
    <x v="0"/>
    <s v="fevereiro'26 ( 23.247,07 + frete 1.800 =25.047,05 )-diverg. DUE- Swift (24/02) $23.905,00- dif SWIFT (26/02)1.142,07 "/>
    <m/>
  </r>
  <r>
    <x v="74"/>
    <x v="2"/>
    <s v="CHILE"/>
    <x v="78"/>
    <d v="2025-12-11T00:00:00"/>
    <d v="2026-02-12T00:00:00"/>
    <s v="90 Days"/>
    <n v="90"/>
    <x v="68"/>
    <n v="2925"/>
    <n v="0.9523076923076923"/>
    <n v="2785.5"/>
    <n v="2785.5"/>
    <n v="0"/>
    <n v="14593.79"/>
    <n v="63662"/>
    <x v="0"/>
    <s v="maio'26 - Pago SWIFT (30/04) $2,785.50"/>
    <m/>
  </r>
  <r>
    <x v="75"/>
    <x v="13"/>
    <s v="CHILE"/>
    <x v="79"/>
    <d v="2025-12-19T00:00:00"/>
    <d v="2026-02-20T00:00:00"/>
    <s v="30 days"/>
    <n v="30"/>
    <x v="69"/>
    <n v="15534"/>
    <n v="1.1705066306167118"/>
    <n v="18182.650000000001"/>
    <n v="27081.579999999998"/>
    <n v="8898.9299999999967"/>
    <n v="95173.45"/>
    <n v="64026"/>
    <x v="3"/>
    <s v="março'26- consolida:003.26+005.26+007.26-Proformas (15.534)-Invoice final (15,282,67 + 2.899,98 frete=18.182,65)/SWIFT 12/08 ($5.659,15)"/>
    <m/>
  </r>
  <r>
    <x v="76"/>
    <x v="1"/>
    <s v="ARGENTINA"/>
    <x v="80"/>
    <d v="2026-01-09T00:00:00"/>
    <d v="2026-03-06T00:00:00"/>
    <s v="30 days after received"/>
    <n v="35"/>
    <x v="70"/>
    <n v="21960"/>
    <n v="1.0116666666666667"/>
    <n v="22216.2"/>
    <n v="22216.2"/>
    <n v="0"/>
    <n v="114700.02"/>
    <n v="64130"/>
    <x v="0"/>
    <s v="abril'26 - notificado  - SWIFT $22.216,20 (21 ABR 26)"/>
    <s v="S"/>
  </r>
  <r>
    <x v="77"/>
    <x v="13"/>
    <s v="CHILE"/>
    <x v="81"/>
    <d v="2026-01-09T00:00:00"/>
    <d v="2026-02-20T00:00:00"/>
    <s v="30 days"/>
    <n v="30"/>
    <x v="69"/>
    <s v="-"/>
    <s v="-"/>
    <m/>
    <m/>
    <n v="0"/>
    <s v="--"/>
    <s v="--"/>
    <x v="3"/>
    <s v="março'26- consolida 003.26 - ver acima"/>
    <m/>
  </r>
  <r>
    <x v="78"/>
    <x v="2"/>
    <s v="CHILE"/>
    <x v="82"/>
    <d v="2026-01-16T00:00:00"/>
    <d v="2026-02-24T00:00:00"/>
    <s v="90 Days"/>
    <n v="90"/>
    <x v="71"/>
    <n v="4220"/>
    <n v="0.87945023696682467"/>
    <n v="3711.28"/>
    <n v="3711.25"/>
    <n v="-3.0000000000200089E-2"/>
    <n v="19160.97"/>
    <n v="64173"/>
    <x v="0"/>
    <s v="maio'26. 006.26 + 009.26 | SWIFT 28/05 ($ 3,711,25) - Dif -0,03"/>
    <m/>
  </r>
  <r>
    <x v="79"/>
    <x v="13"/>
    <s v="CHILE"/>
    <x v="83"/>
    <d v="2026-01-16T00:00:00"/>
    <d v="2026-02-20T00:00:00"/>
    <s v="30 days"/>
    <n v="30"/>
    <x v="69"/>
    <s v="-"/>
    <s v="-"/>
    <m/>
    <m/>
    <n v="0"/>
    <s v="--"/>
    <s v="--"/>
    <x v="3"/>
    <s v="março'26- consolida 003.26 - ver acima"/>
    <m/>
  </r>
  <r>
    <x v="80"/>
    <x v="0"/>
    <s v="URUGUAY"/>
    <x v="84"/>
    <d v="2026-01-26T00:00:00"/>
    <d v="2026-02-25T00:00:00"/>
    <s v="50% Pre Payment - 50% After Received"/>
    <n v="30"/>
    <x v="72"/>
    <n v="12080"/>
    <n v="1.02525"/>
    <n v="12385.02"/>
    <n v="12385.02"/>
    <n v="0"/>
    <n v="63701.11"/>
    <n v="64233"/>
    <x v="0"/>
    <s v="março'26- Prepayment SWIFT 50% &gt;$6.040 (28/01)/SWIFT final $6.345,02 (4/3)"/>
    <m/>
  </r>
  <r>
    <x v="81"/>
    <x v="2"/>
    <s v="CHILE"/>
    <x v="85"/>
    <d v="2026-01-30T00:00:00"/>
    <d v="2026-02-24T00:00:00"/>
    <s v="90 Days"/>
    <n v="90"/>
    <x v="71"/>
    <m/>
    <s v="-"/>
    <m/>
    <m/>
    <n v="0"/>
    <s v="--"/>
    <s v="--"/>
    <x v="0"/>
    <s v="maio'26 - consolida 006.26 - ver acima | | SWIFT 28/05 ($ 3,711,25) - Dif -0,03"/>
    <m/>
  </r>
  <r>
    <x v="82"/>
    <x v="21"/>
    <s v="PARAGUAY"/>
    <x v="86"/>
    <d v="2026-02-13T00:00:00"/>
    <d v="2026-02-24T00:00:00"/>
    <s v="Pre-payment"/>
    <n v="0"/>
    <x v="73"/>
    <n v="5496.5"/>
    <n v="0.96752478850177381"/>
    <n v="5318"/>
    <n v="5318"/>
    <n v="0"/>
    <n v="27836"/>
    <n v="64034"/>
    <x v="0"/>
    <s v="Fevereiro'26-Inclui Frete ($815)- paga SWIFT 20/02"/>
    <m/>
  </r>
  <r>
    <x v="83"/>
    <x v="13"/>
    <s v="CHILE"/>
    <x v="87"/>
    <d v="2026-02-24T00:00:00"/>
    <d v="2026-04-28T00:00:00"/>
    <s v="30 days"/>
    <n v="90"/>
    <x v="74"/>
    <n v="19925"/>
    <n v="1.2126805520702635"/>
    <n v="24162.66"/>
    <n v="15474.18"/>
    <n v="-8688.48"/>
    <n v="118967.26"/>
    <n v="65751"/>
    <x v="3"/>
    <s v="julho'26 -FINAL/ acuerdo pago 33% A vista/ 33% a 30 d / 33% a 60D|Incluye Frete| SWIFT 1($6575,25)filed04may.SWIFT 18sep $21.013,51"/>
    <m/>
  </r>
  <r>
    <x v="84"/>
    <x v="19"/>
    <s v="BOLIVIA"/>
    <x v="88"/>
    <d v="2026-02-25T00:00:00"/>
    <d v="2026-04-07T00:00:00"/>
    <s v="Pre-payment"/>
    <n v="0"/>
    <x v="75"/>
    <n v="6500"/>
    <n v="0.97699999999999998"/>
    <n v="6350.5"/>
    <n v="6350.5"/>
    <n v="0"/>
    <n v="33242.959999999999"/>
    <n v="65010"/>
    <x v="0"/>
    <s v="março'26  - SWIFT 31/03 (6.350,50)"/>
    <m/>
  </r>
  <r>
    <x v="85"/>
    <x v="2"/>
    <s v="CHILE"/>
    <x v="89"/>
    <d v="2026-03-03T00:00:00"/>
    <d v="2026-04-15T00:00:00"/>
    <s v="90 Days"/>
    <n v="90"/>
    <x v="76"/>
    <n v="10258"/>
    <n v="0.97019496977968422"/>
    <n v="9952.26"/>
    <n v="9952.26"/>
    <n v="0"/>
    <s v="49.600,08"/>
    <n v="65456"/>
    <x v="0"/>
    <s v="julho'26"/>
    <m/>
  </r>
  <r>
    <x v="86"/>
    <x v="4"/>
    <s v="PARAGUAY"/>
    <x v="90"/>
    <d v="2026-03-06T00:00:00"/>
    <d v="2026-04-14T00:00:00"/>
    <s v="Pre Payment - 100% Counter Expedition"/>
    <n v="0"/>
    <x v="77"/>
    <n v="8189"/>
    <n v="0.92085968982781785"/>
    <n v="7540.92"/>
    <n v="7540.92"/>
    <n v="0"/>
    <n v="39474.47"/>
    <n v="65022"/>
    <x v="0"/>
    <s v="abril'26 - SWIFT 17/04-recibido 21/04"/>
    <m/>
  </r>
  <r>
    <x v="87"/>
    <x v="14"/>
    <s v="ARGENTINA"/>
    <x v="91"/>
    <d v="2026-03-10T00:00:00"/>
    <d v="2026-04-21T00:00:00"/>
    <s v="60 days, after customs clearance"/>
    <n v="70"/>
    <x v="78"/>
    <n v="48160"/>
    <n v="1.1275595930232558"/>
    <n v="54303.27"/>
    <n v="54303.27"/>
    <n v="0"/>
    <n v="271521.79000000004"/>
    <s v="65382/65383"/>
    <x v="0"/>
    <s v="junho'26 - 2da NF por los 2K mts extra producidos/invoice única||SWIFT 21/07 $54303,27"/>
    <s v="N"/>
  </r>
  <r>
    <x v="88"/>
    <x v="12"/>
    <s v="ARGENTINA"/>
    <x v="92"/>
    <d v="2026-04-06T00:00:00"/>
    <d v="2026-05-14T00:00:00"/>
    <s v="30 days"/>
    <n v="30"/>
    <x v="79"/>
    <n v="15370"/>
    <n v="1.223426805465192"/>
    <n v="18804.07"/>
    <n v="18804.07"/>
    <n v="0"/>
    <n v="94595.71"/>
    <n v="66068"/>
    <x v="0"/>
    <s v="junho'26 / Incluye frete ($2.682)-SWIFT (02/07) $18.804,07"/>
    <s v="on going"/>
  </r>
  <r>
    <x v="89"/>
    <x v="17"/>
    <s v="URUGUAY"/>
    <x v="93"/>
    <d v="2026-03-13T00:00:00"/>
    <d v="2026-05-06T00:00:00"/>
    <s v="60 Days"/>
    <n v="60"/>
    <x v="80"/>
    <n v="21658"/>
    <n v="1.0088881706528765"/>
    <n v="21850.5"/>
    <n v="21999.27"/>
    <n v="148.77000000000044"/>
    <n v="108972.81"/>
    <n v="65581"/>
    <x v="0"/>
    <s v="julho'26- consolida com 017 + 021.26 - revisar esquema de pgos/muestras $297| SWIFT 17/07 $6.000| SWIFT 10/09 $8000+SWIFT 28/09 $8.000"/>
    <m/>
  </r>
  <r>
    <x v="90"/>
    <x v="2"/>
    <s v="CHILE"/>
    <x v="94"/>
    <d v="2026-03-18T00:00:00"/>
    <d v="2026-05-04T00:00:00"/>
    <s v="90 Days"/>
    <n v="90"/>
    <x v="81"/>
    <n v="8168"/>
    <n v="1.0710247306562193"/>
    <n v="8748.1299999999992"/>
    <n v="8748.1299999999992"/>
    <n v="0"/>
    <n v="44066.080000000002"/>
    <n v="66014"/>
    <x v="0"/>
    <s v="agosto'26 - SWIFT 13/08 ($8748,13)"/>
    <m/>
  </r>
  <r>
    <x v="91"/>
    <x v="2"/>
    <s v="CHILE"/>
    <x v="95"/>
    <d v="2026-03-18T00:00:00"/>
    <d v="2026-07-08T00:00:00"/>
    <s v="90 Days"/>
    <n v="90"/>
    <x v="82"/>
    <n v="11400"/>
    <n v="1.0715763157894735"/>
    <n v="12215.97"/>
    <n v="12215.97"/>
    <n v="0"/>
    <n v="63169.99"/>
    <n v="66960"/>
    <x v="0"/>
    <s v="out'26  final - pedido 9772 Cxld por reajuste de precios/nuevo 10299|SWIFT 25/09 $12.215,97"/>
    <m/>
  </r>
  <r>
    <x v="92"/>
    <x v="25"/>
    <s v="ARGENTINA"/>
    <x v="96"/>
    <d v="2026-03-19T00:00:00"/>
    <d v="2026-05-01T00:00:00"/>
    <s v="30 days, after customs clearance"/>
    <n v="35"/>
    <x v="83"/>
    <n v="71940"/>
    <n v="0.98933500139004715"/>
    <n v="71172.759999999995"/>
    <n v="71172.759999999995"/>
    <n v="0"/>
    <n v="355714.35"/>
    <n v="65619"/>
    <x v="0"/>
    <s v="junho'26 -SWIFT 10jun ($71.172,76)  - sender rate $85"/>
    <s v="on going"/>
  </r>
  <r>
    <x v="93"/>
    <x v="17"/>
    <s v="URUGUAY"/>
    <x v="97"/>
    <d v="2026-03-19T00:00:00"/>
    <d v="2026-05-06T00:00:00"/>
    <s v="60 Days"/>
    <n v="60"/>
    <x v="80"/>
    <m/>
    <m/>
    <m/>
    <m/>
    <n v="0"/>
    <s v="--"/>
    <s v="--"/>
    <x v="0"/>
    <s v="julho'26 - consolida com 017.26  - revisar esquema de pgos"/>
    <m/>
  </r>
  <r>
    <x v="94"/>
    <x v="3"/>
    <s v="ECUADOR"/>
    <x v="98"/>
    <d v="2026-03-20T00:00:00"/>
    <d v="2026-05-22T00:00:00"/>
    <s v="60 Days"/>
    <n v="60"/>
    <x v="84"/>
    <n v="8344"/>
    <n v="1.0717617449664429"/>
    <n v="8942.7800000000007"/>
    <n v="776.08"/>
    <n v="-8166.7000000000007"/>
    <n v="43790.11"/>
    <n v="65857"/>
    <x v="5"/>
    <s v="julho'26  - Ok finalizado- notificado 2X. Fup 356mts problema QA&gt;Aplica NC (28/08)"/>
    <m/>
  </r>
  <r>
    <x v="95"/>
    <x v="16"/>
    <s v="BOLIVIA"/>
    <x v="99"/>
    <d v="2026-03-25T00:00:00"/>
    <d v="2026-04-29T00:00:00"/>
    <s v="Pre-payment"/>
    <n v="0"/>
    <x v="85"/>
    <n v="23205"/>
    <n v="1.0289394527041587"/>
    <n v="23876.54"/>
    <n v="23876.530000000002"/>
    <n v="-9.9999999983992893E-3"/>
    <n v="119332.52"/>
    <n v="65649"/>
    <x v="0"/>
    <s v="abril'26 - SWIFT 26/03 (11.650)  + SWIFT 29/04 (11653.54)- Saldo 572.99- PAGO SWIFT 04/05 + SWIFT (572,99) 06/05definit saldo| pensamos q pgto 4/5 voltou e fez de novo 5/5/ saldo -0,01"/>
    <m/>
  </r>
  <r>
    <x v="96"/>
    <x v="26"/>
    <s v="ARGENTINA"/>
    <x v="100"/>
    <d v="2026-03-31T00:00:00"/>
    <d v="2026-05-13T00:00:00"/>
    <s v="20% Advance -80 % Counter Expedition"/>
    <n v="10"/>
    <x v="86"/>
    <n v="18075"/>
    <n v="0.98638174273858914"/>
    <n v="17828.849999999999"/>
    <n v="17749.849999999999"/>
    <n v="-79"/>
    <n v="87348.88"/>
    <n v="65824"/>
    <x v="0"/>
    <s v="maio'26 - div entre invoice y DUE?- SWIFT 26/05 ($17.749,85)/ Dif. 79 Sender charger"/>
    <s v="on going"/>
  </r>
  <r>
    <x v="97"/>
    <x v="19"/>
    <s v="BOLIVIA"/>
    <x v="101"/>
    <d v="2026-04-29T00:00:00"/>
    <d v="2026-06-10T00:00:00"/>
    <s v="Pre-payment"/>
    <n v="0"/>
    <x v="87"/>
    <n v="9690"/>
    <n v="1.0017275541795665"/>
    <n v="9706.74"/>
    <n v="9706.74"/>
    <n v="0"/>
    <n v="50181.58"/>
    <n v="66480"/>
    <x v="0"/>
    <s v="junho'26   -  Fup despacho atraso para avisar./OK SWIFT 1407 $ 9706,74"/>
    <m/>
  </r>
  <r>
    <x v="98"/>
    <x v="27"/>
    <s v="VENEZUELA"/>
    <x v="102"/>
    <d v="2026-05-13T00:00:00"/>
    <d v="2026-08-20T00:00:00"/>
    <s v="30% Pre-Payment - 70% Counter Expedition"/>
    <n v="0"/>
    <x v="88"/>
    <n v="47640"/>
    <n v="1.0951305625524768"/>
    <n v="52172.02"/>
    <n v="52172.02"/>
    <n v="0"/>
    <n v="271336.26"/>
    <n v="67814"/>
    <x v="0"/>
    <s v="ago'26 |compra CNPJ USA/ SWIFT anticipo ($10.000) 15/05/pedido complementar-inclui frete/ORDEN (19/08) 42.172,02"/>
    <m/>
  </r>
  <r>
    <x v="99"/>
    <x v="24"/>
    <s v="URUGUAY"/>
    <x v="103"/>
    <d v="2026-05-15T00:00:00"/>
    <d v="2026-07-08T00:00:00"/>
    <s v="30% Pre-Payment - 70% Counter Expedition"/>
    <n v="0"/>
    <x v="89"/>
    <n v="11260"/>
    <n v="1.2034946714031971"/>
    <n v="13551.35"/>
    <n v="13551.35"/>
    <n v="0"/>
    <n v="70075.41"/>
    <n v="67052"/>
    <x v="0"/>
    <s v="julho'26  - No hubo pre-payment-inclui frete /SWIFT 14/08 ($13551,35)"/>
    <m/>
  </r>
  <r>
    <x v="100"/>
    <x v="0"/>
    <s v="URUGUAY"/>
    <x v="104"/>
    <d v="2026-05-15T00:00:00"/>
    <d v="2026-06-15T00:00:00"/>
    <s v="50% Pre Payment - 50% After Received"/>
    <n v="30"/>
    <x v="90"/>
    <n v="21910"/>
    <n v="1.0271291647649476"/>
    <n v="22504.400000000001"/>
    <n v="22504.400000000001"/>
    <n v="0"/>
    <n v="116322.94"/>
    <s v="66930 / 66931"/>
    <x v="0"/>
    <s v="julho'26 - SWIFT anticipo ($7000) 20/05- consolidar com 031.26 - Total   $22.539,58  | SWIFT 07JUL (15.504,40)"/>
    <m/>
  </r>
  <r>
    <x v="101"/>
    <x v="28"/>
    <s v="CUBA"/>
    <x v="105"/>
    <d v="2026-05-21T00:00:00"/>
    <d v="2026-09-24T00:00:00"/>
    <s v="30 - 60 DAYS"/>
    <n v="60"/>
    <x v="91"/>
    <n v="67760"/>
    <n v="1"/>
    <n v="67760"/>
    <m/>
    <n v="-67760"/>
    <s v="--"/>
    <s v="--"/>
    <x v="6"/>
    <s v="set'26  - Pgo ira diretamente para Jingmei - Monitorar cambió la orden-"/>
    <m/>
  </r>
  <r>
    <x v="102"/>
    <x v="0"/>
    <s v="URUGUAY"/>
    <x v="106"/>
    <d v="2026-05-25T00:00:00"/>
    <d v="2026-06-15T00:00:00"/>
    <s v="50% Pre Payment - 50% After Received"/>
    <n v="30"/>
    <x v="90"/>
    <m/>
    <m/>
    <m/>
    <m/>
    <n v="0"/>
    <s v="--"/>
    <s v="--"/>
    <x v="0"/>
    <s v="julho'26 - consolidar com 028.26- total de $  22.539,58 "/>
    <m/>
  </r>
  <r>
    <x v="103"/>
    <x v="13"/>
    <s v="CHILE"/>
    <x v="107"/>
    <d v="2026-06-09T00:00:00"/>
    <d v="2026-09-28T00:00:00"/>
    <s v="30 days"/>
    <n v="90"/>
    <x v="92"/>
    <n v="15065"/>
    <n v="1.0776050448058414"/>
    <n v="16234.12"/>
    <m/>
    <n v="-16234.12"/>
    <n v="82974.210000000006"/>
    <n v="68348"/>
    <x v="5"/>
    <s v="out'26  - pedido no despachado/agd pago deuda-|inclui frete $1.598,60|"/>
    <m/>
  </r>
  <r>
    <x v="104"/>
    <x v="29"/>
    <s v="PARAGUAY"/>
    <x v="108"/>
    <d v="2026-06-24T00:00:00"/>
    <d v="2026-08-14T00:00:00"/>
    <s v="Pre-payment"/>
    <n v="0"/>
    <x v="93"/>
    <n v="14065"/>
    <n v="1.1788496267330253"/>
    <n v="16580.52"/>
    <n v="16580.52"/>
    <n v="0"/>
    <n v="86600.06"/>
    <n v="67801"/>
    <x v="0"/>
    <s v="ago'26 - SWIFT 17/08 ($ 16.580,52)- inclui frete"/>
    <m/>
  </r>
  <r>
    <x v="105"/>
    <x v="25"/>
    <s v="ARGENTINA"/>
    <x v="109"/>
    <d v="2026-06-11T00:00:00"/>
    <d v="2026-06-30T00:00:00"/>
    <s v="30 days, after customs clearance"/>
    <n v="35"/>
    <x v="94"/>
    <n v="2808"/>
    <n v="1.2753276353276353"/>
    <n v="3581.12"/>
    <n v="2845.44"/>
    <n v="-735.67999999999984"/>
    <n v="18133"/>
    <n v="66685"/>
    <x v="7"/>
    <s v="pedido por reposição de qualidade - não havera faturamento - deve aplicar NC/ aplicar sobre prox. Pedido"/>
    <s v="NA"/>
  </r>
  <r>
    <x v="106"/>
    <x v="2"/>
    <s v="CHILE"/>
    <x v="110"/>
    <d v="2026-06-11T00:00:00"/>
    <d v="2026-07-22T00:00:00"/>
    <s v="90 Days"/>
    <n v="90"/>
    <x v="95"/>
    <n v="5320"/>
    <n v="0.99840789473684211"/>
    <n v="5311.53"/>
    <m/>
    <n v="-5311.53"/>
    <n v="27427.17"/>
    <n v="67938"/>
    <x v="8"/>
    <s v="out'26- tambiém despacho aéreo"/>
    <m/>
  </r>
  <r>
    <x v="107"/>
    <x v="4"/>
    <s v="PARAGUAY"/>
    <x v="111"/>
    <d v="2026-06-12T00:00:00"/>
    <d v="2026-08-04T00:00:00"/>
    <s v="Pre Payment - 100% Counter Expedition"/>
    <n v="0"/>
    <x v="94"/>
    <n v="6866"/>
    <n v="1.1663938246431693"/>
    <n v="8008.46"/>
    <n v="8008.46"/>
    <n v="0"/>
    <n v="40841.54"/>
    <n v="67490"/>
    <x v="0"/>
    <s v="julho'26  -  OK SWIFT 03/08  ($8.008,46) / ok recibido pdto"/>
    <m/>
  </r>
  <r>
    <x v="108"/>
    <x v="25"/>
    <s v="ARGENTINA"/>
    <x v="112"/>
    <d v="2026-06-23T00:00:00"/>
    <d v="2026-08-14T00:00:00"/>
    <s v="30 days, after customs clearance"/>
    <n v="35"/>
    <x v="96"/>
    <n v="3534"/>
    <n v="0.98333333333333328"/>
    <n v="3475.1"/>
    <n v="3475.1"/>
    <n v="0"/>
    <n v="17942.64"/>
    <n v="67766"/>
    <x v="0"/>
    <s v="set'26 -  SWIFT 30/10 "/>
    <s v="N"/>
  </r>
  <r>
    <x v="109"/>
    <x v="2"/>
    <s v="CHILE"/>
    <x v="113"/>
    <d v="2026-06-24T00:00:00"/>
    <d v="2026-08-12T00:00:00"/>
    <s v="90 Days"/>
    <n v="90"/>
    <x v="97"/>
    <n v="4480"/>
    <n v="0.88571205357142857"/>
    <n v="3967.99"/>
    <m/>
    <n v="-3967.99"/>
    <n v="20219.68"/>
    <n v="67743"/>
    <x v="8"/>
    <s v="outubro'26 | Embarque aéreo urgencia, tela black|amostra junto (3.985,99 total DUE c/muestra)"/>
    <m/>
  </r>
  <r>
    <x v="110"/>
    <x v="19"/>
    <s v="BOLIVIA"/>
    <x v="114"/>
    <d v="2026-06-26T00:00:00"/>
    <d v="2026-09-21T00:00:00"/>
    <s v="30 days"/>
    <n v="30"/>
    <x v="98"/>
    <n v="12770"/>
    <n v="0.97105716523101016"/>
    <n v="12400.4"/>
    <m/>
    <n v="-12400.4"/>
    <n v="30120.42"/>
    <n v="68032"/>
    <x v="8"/>
    <s v="out'26 consolida com 039.+041+049.26 Fup facturación/ despacho/NF 67598 cxld / Novo pedido criado subsituindo 10629+10635"/>
    <m/>
  </r>
  <r>
    <x v="111"/>
    <x v="19"/>
    <s v="BOLIVIA"/>
    <x v="115"/>
    <d v="2026-07-01T00:00:00"/>
    <d v="2026-09-21T00:00:00"/>
    <s v="30 days"/>
    <n v="30"/>
    <x v="98"/>
    <s v="--"/>
    <s v="--"/>
    <m/>
    <m/>
    <n v="0"/>
    <s v="--"/>
    <s v="--"/>
    <x v="8"/>
    <s v="out'26- consolida com 039.+041+ 049.26-"/>
    <m/>
  </r>
  <r>
    <x v="112"/>
    <x v="30"/>
    <s v="PERÚ"/>
    <x v="116"/>
    <d v="2026-07-03T00:00:00"/>
    <d v="2026-08-11T00:00:00"/>
    <s v="Pre-payment"/>
    <n v="0"/>
    <x v="99"/>
    <n v="2129.13"/>
    <n v="1.5854926660185145"/>
    <n v="3375.72"/>
    <n v="3146.4"/>
    <n v="-229.31999999999971"/>
    <n v="17215.490000000002"/>
    <n v="67488"/>
    <x v="3"/>
    <s v="ago'26- Amostra para faturar SWIFT 03/07 ($ 2.129,13)- SWIFT 30/07 ($1.017,27) |frete final $2327,40 + pdto R$5.346,22/ fx 5,0998= 1.048,32)-saldo pendente/ajustar c/pedido"/>
    <m/>
  </r>
  <r>
    <x v="113"/>
    <x v="22"/>
    <s v="PERÚ"/>
    <x v="117"/>
    <d v="2026-06-29T00:00:00"/>
    <d v="2026-09-23T00:00:00"/>
    <s v="30% Pre-Payment - 70% Counter Expedition"/>
    <n v="20"/>
    <x v="100"/>
    <n v="38405"/>
    <n v="1.0361265460226534"/>
    <n v="39792.44"/>
    <n v="39792.44"/>
    <n v="0"/>
    <n v="206916.72"/>
    <n v="67971"/>
    <x v="0"/>
    <s v="set'26 - SWIFT 30% ($11.521,50) 06/07- Está vindo descontando USD 120,00 taxa |SWIFT 28/09 $28.270,94"/>
    <m/>
  </r>
  <r>
    <x v="114"/>
    <x v="10"/>
    <s v="PARAGUAY"/>
    <x v="118"/>
    <d v="2026-07-07T00:00:00"/>
    <d v="2026-08-26T00:00:00"/>
    <s v="15 Days"/>
    <n v="15"/>
    <x v="101"/>
    <n v="3460"/>
    <n v="1.2295028901734104"/>
    <n v="4254.08"/>
    <n v="4254.08"/>
    <n v="0"/>
    <n v="19390.849999999999"/>
    <n v="67972"/>
    <x v="0"/>
    <s v="sep'26/ notificar apenas salga- Fup Faturamento/incluye flete ($525)| SWIFT 24/09 $ 4.254,08"/>
    <m/>
  </r>
  <r>
    <x v="115"/>
    <x v="31"/>
    <s v="ARGENTINA"/>
    <x v="119"/>
    <d v="2026-07-07T00:00:00"/>
    <d v="2026-09-30T00:00:00"/>
    <s v="30/60/90/120"/>
    <n v="30"/>
    <x v="102"/>
    <n v="93450"/>
    <n v="0.70385778491171747"/>
    <n v="65775.509999999995"/>
    <m/>
    <n v="-65775.509999999995"/>
    <n v="343335"/>
    <n v="68475"/>
    <x v="8"/>
    <s v="out'26 -nov'26- dez'26-jan'27| 1er pgo (30d)-out- aprox "/>
    <s v="N"/>
  </r>
  <r>
    <x v="116"/>
    <x v="32"/>
    <s v="CHILE"/>
    <x v="120"/>
    <d v="2026-07-10T00:00:00"/>
    <d v="2026-08-24T00:00:00"/>
    <s v="30% Pre-Payment - 70% Counter Expedition"/>
    <n v="20"/>
    <x v="103"/>
    <n v="10500"/>
    <n v="1.2337380952380952"/>
    <n v="12954.25"/>
    <n v="12954.25"/>
    <n v="0"/>
    <n v="66797.3"/>
    <n v="68022"/>
    <x v="0"/>
    <s v="set'26 -30% prepaymente $3.150 SWIFT 14/07-70% $9.804,25 SWIFT 03/09"/>
    <m/>
  </r>
  <r>
    <x v="117"/>
    <x v="25"/>
    <s v="ARGENTINA"/>
    <x v="121"/>
    <d v="2026-07-17T00:00:00"/>
    <d v="2026-09-03T00:00:00"/>
    <s v="30 days, after customs clearance"/>
    <n v="35"/>
    <x v="104"/>
    <n v="8246"/>
    <n v="1.0971428571428572"/>
    <n v="9047.0400000000009"/>
    <m/>
    <n v="-9047.0400000000009"/>
    <n v="46381.4"/>
    <n v="68036"/>
    <x v="8"/>
    <s v="out'26 -pedido complementar ao 037.26"/>
    <s v="N"/>
  </r>
  <r>
    <x v="118"/>
    <x v="25"/>
    <s v="ARGENTINA"/>
    <x v="122"/>
    <d v="2026-07-21T00:00:00"/>
    <d v="2026-09-03T00:00:00"/>
    <s v="30 days, after customs clearance"/>
    <n v="35"/>
    <x v="104"/>
    <n v="80250"/>
    <n v="0.87326974454828654"/>
    <n v="70079.896999999997"/>
    <m/>
    <n v="-70079.896999999997"/>
    <n v="359278.99"/>
    <n v="68057"/>
    <x v="8"/>
    <s v="out'26 / aplica NC001 ($10.239,84)-valor diluido em preço/sistema"/>
    <s v="N"/>
  </r>
  <r>
    <x v="119"/>
    <x v="19"/>
    <s v="BOLIVIA"/>
    <x v="123"/>
    <d v="2026-07-29T00:00:00"/>
    <d v="2026-09-21T00:00:00"/>
    <s v="30 days"/>
    <n v="30"/>
    <x v="98"/>
    <s v="--"/>
    <s v="--"/>
    <s v="--"/>
    <s v="--"/>
    <n v="0"/>
    <s v="--"/>
    <s v="--"/>
    <x v="8"/>
    <s v="out'26  - consolidará saida 039.+041+ 049.26- Prepayment"/>
    <m/>
  </r>
  <r>
    <x v="120"/>
    <x v="0"/>
    <s v="URUGUAY"/>
    <x v="124"/>
    <d v="2026-08-10T00:00:00"/>
    <d v="2026-09-10T00:00:00"/>
    <s v="50% Pre Payment - 50% After Received"/>
    <n v="30"/>
    <x v="105"/>
    <n v="8750"/>
    <n v="1.0236000000000001"/>
    <n v="8956.5"/>
    <n v="8956.5"/>
    <n v="0"/>
    <n v="45806.23"/>
    <n v="68171"/>
    <x v="0"/>
    <s v="out'26  - SWIFT 18/09 $4.581,50"/>
    <m/>
  </r>
  <r>
    <x v="121"/>
    <x v="15"/>
    <s v="PARAGUAY"/>
    <x v="125"/>
    <d v="2026-08-12T00:00:00"/>
    <d v="2026-09-03T00:00:00"/>
    <s v="Pre-payment"/>
    <n v="0"/>
    <x v="106"/>
    <n v="2400"/>
    <n v="0.97899999999999998"/>
    <n v="2349.6"/>
    <n v="2312.6"/>
    <n v="-37"/>
    <n v="12041"/>
    <n v="68085"/>
    <x v="3"/>
    <s v="set'26- DUE incluye amostras/Pagó SWIFT 10sep (2,312,60)- minimo saldo negativo"/>
    <m/>
  </r>
  <r>
    <x v="122"/>
    <x v="2"/>
    <s v="CHILE"/>
    <x v="126"/>
    <d v="2026-08-20T00:00:00"/>
    <d v="2026-09-21T00:00:00"/>
    <s v="90 Days"/>
    <n v="90"/>
    <x v="107"/>
    <n v="9660"/>
    <n v="1"/>
    <n v="9660"/>
    <m/>
    <n v="-9660"/>
    <m/>
    <m/>
    <x v="8"/>
    <s v="dez'26"/>
    <m/>
  </r>
  <r>
    <x v="123"/>
    <x v="2"/>
    <s v="CHILE"/>
    <x v="127"/>
    <d v="2026-08-20T00:00:00"/>
    <d v="2026-09-03T00:00:00"/>
    <s v="90 Days"/>
    <n v="90"/>
    <x v="108"/>
    <n v="2666.1"/>
    <n v="1.0451258392408387"/>
    <n v="2786.41"/>
    <m/>
    <n v="-2786.41"/>
    <n v="14489.05"/>
    <n v="67969"/>
    <x v="8"/>
    <s v="dez'26 - inclui frete aereo ($  571,10)"/>
    <m/>
  </r>
  <r>
    <x v="124"/>
    <x v="17"/>
    <s v="URUGUAY"/>
    <x v="128"/>
    <d v="2026-08-26T00:00:00"/>
    <d v="2026-09-28T00:00:00"/>
    <s v="60 Days"/>
    <n v="60"/>
    <x v="109"/>
    <n v="19243"/>
    <n v="1.0412560411578236"/>
    <n v="20036.89"/>
    <n v="148.77000000000001"/>
    <n v="-19888.12"/>
    <n v="104588.54"/>
    <n v="68453"/>
    <x v="8"/>
    <s v="nov'26 - ver esquema especial de pgos/antiicipo saldo pago"/>
    <m/>
  </r>
  <r>
    <x v="125"/>
    <x v="2"/>
    <s v="CHILE"/>
    <x v="129"/>
    <d v="2026-08-19T00:00:00"/>
    <d v="2026-10-13T00:00:00"/>
    <s v="90 Days"/>
    <n v="90"/>
    <x v="110"/>
    <n v="2560"/>
    <n v="1"/>
    <n v="2560"/>
    <m/>
    <n v="-2560"/>
    <m/>
    <m/>
    <x v="8"/>
    <s v="jan'27"/>
    <m/>
  </r>
  <r>
    <x v="126"/>
    <x v="33"/>
    <s v="CHILE"/>
    <x v="130"/>
    <d v="2026-08-25T00:00:00"/>
    <d v="2026-09-28T00:00:00"/>
    <s v="30% Pre-Payment - 70% Counter Expedition"/>
    <n v="0"/>
    <x v="111"/>
    <n v="29045"/>
    <n v="1.185914270958857"/>
    <n v="34444.880000000005"/>
    <n v="10000"/>
    <n v="-24444.880000000005"/>
    <m/>
    <m/>
    <x v="3"/>
    <s v="set'26 - $28.425 + frete $620 - SWIFT 21/09 $10.000"/>
    <m/>
  </r>
  <r>
    <x v="127"/>
    <x v="23"/>
    <s v="BOLIVIA"/>
    <x v="131"/>
    <d v="2026-09-09T00:00:00"/>
    <d v="2026-09-24T00:00:00"/>
    <s v="30% Pre-Payment - 70% Counter Expedition"/>
    <n v="0"/>
    <x v="112"/>
    <n v="18510"/>
    <n v="1.1413014586709886"/>
    <n v="21125.49"/>
    <n v="21125.49"/>
    <n v="0"/>
    <n v="108067.45"/>
    <n v="68356"/>
    <x v="0"/>
    <s v="set'26 - consolida c/060.26 - SWIFT 10/09 $4.680 + SWIFT 30/09 $16.445,49"/>
    <m/>
  </r>
  <r>
    <x v="128"/>
    <x v="23"/>
    <s v="BOLIVIA"/>
    <x v="132"/>
    <d v="2026-09-14T00:00:00"/>
    <d v="2026-09-24T00:00:00"/>
    <s v="30% Pre-Payment - 70% Counter Expedition"/>
    <n v="0"/>
    <x v="112"/>
    <s v="--"/>
    <s v="--"/>
    <s v="--"/>
    <s v="--"/>
    <n v="0"/>
    <s v="--"/>
    <s v="--"/>
    <x v="0"/>
    <s v="set'26 - consolida c/050.26 - SWIFT 10/09 $4.680 + SWIFT 30/09 $16.445,49"/>
    <m/>
  </r>
  <r>
    <x v="129"/>
    <x v="14"/>
    <s v="ARGENTINA"/>
    <x v="133"/>
    <d v="2026-09-17T00:00:00"/>
    <d v="2026-10-10T00:00:00"/>
    <s v="60 days, after customs clearance"/>
    <n v="70"/>
    <x v="113"/>
    <n v="43810"/>
    <n v="1"/>
    <n v="43810"/>
    <m/>
    <n v="-43810"/>
    <m/>
    <m/>
    <x v="8"/>
    <s v="dez'26"/>
    <s v="N"/>
  </r>
  <r>
    <x v="130"/>
    <x v="14"/>
    <s v="ARGENTINA"/>
    <x v="134"/>
    <d v="2026-09-17T00:00:00"/>
    <d v="2026-11-10T00:00:00"/>
    <s v="60 days, after customs clearance"/>
    <n v="70"/>
    <x v="114"/>
    <n v="40170"/>
    <n v="1"/>
    <n v="40170"/>
    <m/>
    <n v="-40170"/>
    <m/>
    <m/>
    <x v="8"/>
    <s v="jan'27"/>
    <s v="N"/>
  </r>
  <r>
    <x v="131"/>
    <x v="34"/>
    <s v="PARAGUAY"/>
    <x v="135"/>
    <d v="2026-09-24T00:00:00"/>
    <d v="2026-10-19T00:00:00"/>
    <s v="Pre-payment"/>
    <n v="0"/>
    <x v="115"/>
    <n v="9600"/>
    <n v="1"/>
    <n v="9600"/>
    <m/>
    <n v="-9600"/>
    <m/>
    <m/>
    <x v="8"/>
    <s v="out'26"/>
    <m/>
  </r>
  <r>
    <x v="132"/>
    <x v="21"/>
    <s v="PARAGUAY"/>
    <x v="136"/>
    <d v="2026-09-28T00:00:00"/>
    <d v="2026-10-16T00:00:00"/>
    <s v="Pre-payment"/>
    <n v="0"/>
    <x v="116"/>
    <n v="7370"/>
    <n v="1"/>
    <n v="7370"/>
    <n v="3685"/>
    <n v="-3685"/>
    <m/>
    <m/>
    <x v="8"/>
    <s v="out'26 - inclui frete| SWIFT 50% (30/9) $3685"/>
    <m/>
  </r>
  <r>
    <x v="133"/>
    <x v="35"/>
    <m/>
    <x v="137"/>
    <m/>
    <m/>
    <m/>
    <m/>
    <x v="117"/>
    <m/>
    <n v="0"/>
    <m/>
    <m/>
    <n v="0"/>
    <m/>
    <m/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A832D-4055-43DC-8A88-EEDAE3388098}" name="Tabela dinâmica1" cacheId="135" applyNumberFormats="0" applyBorderFormats="0" applyFontFormats="0" applyPatternFormats="0" applyAlignmentFormats="0" applyWidthHeightFormats="1" dataCaption="Valores" grandTotalCaption="Total general (DUE)" updatedVersion="8" minRefreshableVersion="3" useAutoFormatting="1" itemPrintTitles="1" createdVersion="8" indent="0" outline="1" outlineData="1" multipleFieldFilters="0" rowHeaderCaption="CLIENTES" colHeaderCaption="STATUS">
  <location ref="A3:K40" firstHeaderRow="1" firstDataRow="2" firstDataCol="1"/>
  <pivotFields count="21">
    <pivotField showAll="0"/>
    <pivotField axis="axisRow" showAll="0">
      <items count="43">
        <item x="14"/>
        <item x="21"/>
        <item m="1" x="36"/>
        <item x="7"/>
        <item x="8"/>
        <item x="6"/>
        <item x="12"/>
        <item x="0"/>
        <item x="2"/>
        <item x="22"/>
        <item x="23"/>
        <item x="16"/>
        <item x="11"/>
        <item x="24"/>
        <item x="9"/>
        <item x="19"/>
        <item m="1" x="39"/>
        <item m="1" x="40"/>
        <item x="10"/>
        <item x="20"/>
        <item x="1"/>
        <item m="1" x="41"/>
        <item x="18"/>
        <item x="5"/>
        <item x="13"/>
        <item x="4"/>
        <item x="15"/>
        <item x="35"/>
        <item x="25"/>
        <item x="26"/>
        <item x="17"/>
        <item x="27"/>
        <item x="28"/>
        <item x="30"/>
        <item m="1" x="37"/>
        <item x="31"/>
        <item x="32"/>
        <item x="29"/>
        <item m="1" x="38"/>
        <item x="3"/>
        <item x="33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showAll="0"/>
    <pivotField axis="axisCol" showAll="0">
      <items count="11">
        <item x="1"/>
        <item x="4"/>
        <item x="8"/>
        <item x="2"/>
        <item x="0"/>
        <item x="3"/>
        <item x="5"/>
        <item h="1" x="9"/>
        <item x="7"/>
        <item x="6"/>
        <item t="default"/>
      </items>
    </pivotField>
    <pivotField multipleItemSelectionAllowed="1" showAll="0"/>
    <pivotField showAll="0"/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131">
        <item x="126"/>
        <item x="127"/>
        <item x="128"/>
        <item x="1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</pivotFields>
  <rowFields count="1">
    <field x="1"/>
  </rowFields>
  <rowItems count="36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9"/>
    </i>
    <i>
      <x v="40"/>
    </i>
    <i>
      <x v="41"/>
    </i>
    <i t="grand">
      <x/>
    </i>
  </rowItems>
  <colFields count="1">
    <field x="1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colItems>
  <dataFields count="1">
    <dataField name="Suma de TOTAL DUE _x000a_BALANCE_x000a_ (US$)" fld="13" baseField="0" baseItem="0" numFmtId="4"/>
  </dataFields>
  <formats count="50">
    <format dxfId="1190">
      <pivotArea outline="0" collapsedLevelsAreSubtotals="1" fieldPosition="0"/>
    </format>
    <format dxfId="1189">
      <pivotArea outline="0" collapsedLevelsAreSubtotals="1" fieldPosition="0"/>
    </format>
    <format dxfId="1188">
      <pivotArea field="8" type="button" dataOnly="0" labelOnly="1" outline="0"/>
    </format>
    <format dxfId="1187">
      <pivotArea type="origin" dataOnly="0" labelOnly="1" outline="0" fieldPosition="0"/>
    </format>
    <format dxfId="1186">
      <pivotArea dataOnly="0" labelOnly="1" grandCol="1" outline="0" fieldPosition="0"/>
    </format>
    <format dxfId="1185">
      <pivotArea outline="0" collapsedLevelsAreSubtotals="1" fieldPosition="0">
        <references count="1">
          <reference field="16" count="0" selected="0"/>
        </references>
      </pivotArea>
    </format>
    <format dxfId="1184">
      <pivotArea field="16" type="button" dataOnly="0" labelOnly="1" outline="0" axis="axisCol" fieldPosition="0"/>
    </format>
    <format dxfId="1183">
      <pivotArea type="topRight" dataOnly="0" labelOnly="1" outline="0" fieldPosition="0"/>
    </format>
    <format dxfId="1182">
      <pivotArea dataOnly="0" labelOnly="1" fieldPosition="0">
        <references count="1">
          <reference field="16" count="0"/>
        </references>
      </pivotArea>
    </format>
    <format dxfId="1181">
      <pivotArea grandCol="1" outline="0" collapsedLevelsAreSubtotals="1" fieldPosition="0"/>
    </format>
    <format dxfId="1180">
      <pivotArea collapsedLevelsAreSubtotals="1" fieldPosition="0">
        <references count="2">
          <reference field="1" count="1">
            <x v="17"/>
          </reference>
          <reference field="16" count="2" selected="0">
            <x v="5"/>
            <x v="6"/>
          </reference>
        </references>
      </pivotArea>
    </format>
    <format dxfId="1179">
      <pivotArea collapsedLevelsAreSubtotals="1" fieldPosition="0">
        <references count="2">
          <reference field="1" count="1">
            <x v="24"/>
          </reference>
          <reference field="16" count="2" selected="0">
            <x v="5"/>
            <x v="6"/>
          </reference>
        </references>
      </pivotArea>
    </format>
    <format dxfId="1178">
      <pivotArea collapsedLevelsAreSubtotals="1" fieldPosition="0">
        <references count="2">
          <reference field="1" count="1">
            <x v="3"/>
          </reference>
          <reference field="16" count="1" selected="0">
            <x v="6"/>
          </reference>
        </references>
      </pivotArea>
    </format>
    <format dxfId="1177">
      <pivotArea collapsedLevelsAreSubtotals="1" fieldPosition="0">
        <references count="2">
          <reference field="1" count="1">
            <x v="11"/>
          </reference>
          <reference field="16" count="1" selected="0">
            <x v="5"/>
          </reference>
        </references>
      </pivotArea>
    </format>
    <format dxfId="1176">
      <pivotArea collapsedLevelsAreSubtotals="1" fieldPosition="0">
        <references count="2">
          <reference field="1" count="1">
            <x v="15"/>
          </reference>
          <reference field="16" count="1" selected="0">
            <x v="6"/>
          </reference>
        </references>
      </pivotArea>
    </format>
    <format dxfId="1175">
      <pivotArea field="16" grandRow="1" outline="0" collapsedLevelsAreSubtotals="1" axis="axisCol" fieldPosition="0">
        <references count="1">
          <reference field="16" count="1" selected="0">
            <x v="6"/>
          </reference>
        </references>
      </pivotArea>
    </format>
    <format dxfId="1174">
      <pivotArea collapsedLevelsAreSubtotals="1" fieldPosition="0">
        <references count="2">
          <reference field="1" count="1">
            <x v="11"/>
          </reference>
          <reference field="16" count="1" selected="0">
            <x v="4"/>
          </reference>
        </references>
      </pivotArea>
    </format>
    <format dxfId="1173">
      <pivotArea collapsedLevelsAreSubtotals="1" fieldPosition="0">
        <references count="2">
          <reference field="1" count="1">
            <x v="30"/>
          </reference>
          <reference field="16" count="1" selected="0">
            <x v="5"/>
          </reference>
        </references>
      </pivotArea>
    </format>
    <format dxfId="1172">
      <pivotArea collapsedLevelsAreSubtotals="1" fieldPosition="0">
        <references count="2">
          <reference field="1" count="1">
            <x v="8"/>
          </reference>
          <reference field="16" count="1" selected="0">
            <x v="6"/>
          </reference>
        </references>
      </pivotArea>
    </format>
    <format dxfId="1171">
      <pivotArea collapsedLevelsAreSubtotals="1" fieldPosition="0">
        <references count="2">
          <reference field="1" count="1">
            <x v="29"/>
          </reference>
          <reference field="16" count="1" selected="0">
            <x v="6"/>
          </reference>
        </references>
      </pivotArea>
    </format>
    <format dxfId="1170">
      <pivotArea collapsedLevelsAreSubtotals="1" fieldPosition="0">
        <references count="2">
          <reference field="1" count="5">
            <x v="3"/>
            <x v="4"/>
            <x v="5"/>
            <x v="6"/>
            <x v="7"/>
          </reference>
          <reference field="16" count="1" selected="0">
            <x v="5"/>
          </reference>
        </references>
      </pivotArea>
    </format>
    <format dxfId="1169">
      <pivotArea collapsedLevelsAreSubtotals="1" fieldPosition="0">
        <references count="2">
          <reference field="1" count="1">
            <x v="31"/>
          </reference>
          <reference field="16" count="1" selected="0">
            <x v="5"/>
          </reference>
        </references>
      </pivotArea>
    </format>
    <format dxfId="1168">
      <pivotArea collapsedLevelsAreSubtotals="1" fieldPosition="0">
        <references count="2">
          <reference field="1" count="1">
            <x v="4"/>
          </reference>
          <reference field="16" count="1" selected="0">
            <x v="5"/>
          </reference>
        </references>
      </pivotArea>
    </format>
    <format dxfId="1167">
      <pivotArea collapsedLevelsAreSubtotals="1" fieldPosition="0">
        <references count="2">
          <reference field="1" count="1">
            <x v="16"/>
          </reference>
          <reference field="16" count="1" selected="0">
            <x v="4"/>
          </reference>
        </references>
      </pivotArea>
    </format>
    <format dxfId="1166">
      <pivotArea collapsedLevelsAreSubtotals="1" fieldPosition="0">
        <references count="2">
          <reference field="1" count="1">
            <x v="29"/>
          </reference>
          <reference field="16" count="1" selected="0">
            <x v="4"/>
          </reference>
        </references>
      </pivotArea>
    </format>
    <format dxfId="1165">
      <pivotArea collapsedLevelsAreSubtotals="1" fieldPosition="0">
        <references count="2">
          <reference field="1" count="1">
            <x v="6"/>
          </reference>
          <reference field="16" count="1" selected="0">
            <x v="4"/>
          </reference>
        </references>
      </pivotArea>
    </format>
    <format dxfId="1164">
      <pivotArea collapsedLevelsAreSubtotals="1" fieldPosition="0">
        <references count="2">
          <reference field="1" count="1">
            <x v="10"/>
          </reference>
          <reference field="16" count="1" selected="0">
            <x v="4"/>
          </reference>
        </references>
      </pivotArea>
    </format>
    <format dxfId="1163">
      <pivotArea collapsedLevelsAreSubtotals="1" fieldPosition="0">
        <references count="2">
          <reference field="1" count="1">
            <x v="6"/>
          </reference>
          <reference field="16" count="1" selected="0">
            <x v="4"/>
          </reference>
        </references>
      </pivotArea>
    </format>
    <format dxfId="1162">
      <pivotArea collapsedLevelsAreSubtotals="1" fieldPosition="0">
        <references count="2">
          <reference field="1" count="1">
            <x v="16"/>
          </reference>
          <reference field="16" count="1" selected="0">
            <x v="4"/>
          </reference>
        </references>
      </pivotArea>
    </format>
    <format dxfId="1161">
      <pivotArea collapsedLevelsAreSubtotals="1" fieldPosition="0">
        <references count="2">
          <reference field="1" count="1">
            <x v="10"/>
          </reference>
          <reference field="16" count="1" selected="0">
            <x v="4"/>
          </reference>
        </references>
      </pivotArea>
    </format>
    <format dxfId="1160">
      <pivotArea collapsedLevelsAreSubtotals="1" fieldPosition="0">
        <references count="2">
          <reference field="1" count="1">
            <x v="11"/>
          </reference>
          <reference field="16" count="1" selected="0">
            <x v="4"/>
          </reference>
        </references>
      </pivotArea>
    </format>
    <format dxfId="1159">
      <pivotArea collapsedLevelsAreSubtotals="1" fieldPosition="0">
        <references count="2">
          <reference field="1" count="1">
            <x v="29"/>
          </reference>
          <reference field="16" count="1" selected="0">
            <x v="4"/>
          </reference>
        </references>
      </pivotArea>
    </format>
    <format dxfId="1158">
      <pivotArea collapsedLevelsAreSubtotals="1" fieldPosition="0">
        <references count="2">
          <reference field="1" count="1">
            <x v="30"/>
          </reference>
          <reference field="16" count="1" selected="0">
            <x v="4"/>
          </reference>
        </references>
      </pivotArea>
    </format>
    <format dxfId="1157">
      <pivotArea collapsedLevelsAreSubtotals="1" fieldPosition="0">
        <references count="2">
          <reference field="1" count="1">
            <x v="30"/>
          </reference>
          <reference field="16" count="1" selected="0">
            <x v="4"/>
          </reference>
        </references>
      </pivotArea>
    </format>
    <format dxfId="1156">
      <pivotArea field="1" grandCol="1" collapsedLevelsAreSubtotals="1" axis="axisRow" fieldPosition="0">
        <references count="1">
          <reference field="1" count="1">
            <x v="15"/>
          </reference>
        </references>
      </pivotArea>
    </format>
    <format dxfId="1155">
      <pivotArea collapsedLevelsAreSubtotals="1" fieldPosition="0">
        <references count="2">
          <reference field="1" count="1">
            <x v="33"/>
          </reference>
          <reference field="16" count="1" selected="0">
            <x v="5"/>
          </reference>
        </references>
      </pivotArea>
    </format>
    <format dxfId="1154">
      <pivotArea field="1" grandCol="1" collapsedLevelsAreSubtotals="1" axis="axisRow" fieldPosition="0">
        <references count="1">
          <reference field="1" count="1">
            <x v="33"/>
          </reference>
        </references>
      </pivotArea>
    </format>
    <format dxfId="1153">
      <pivotArea field="1" grandCol="1" collapsedLevelsAreSubtotals="1" axis="axisRow" fieldPosition="0">
        <references count="1">
          <reference field="1" count="1">
            <x v="15"/>
          </reference>
        </references>
      </pivotArea>
    </format>
    <format dxfId="1152">
      <pivotArea field="1" grandCol="1" collapsedLevelsAreSubtotals="1" axis="axisRow" fieldPosition="0">
        <references count="1">
          <reference field="1" count="1">
            <x v="10"/>
          </reference>
        </references>
      </pivotArea>
    </format>
    <format dxfId="1151">
      <pivotArea field="16" grandRow="1" outline="0" collapsedLevelsAreSubtotals="1" axis="axisCol" fieldPosition="0">
        <references count="1">
          <reference field="16" count="1" selected="0">
            <x v="5"/>
          </reference>
        </references>
      </pivotArea>
    </format>
    <format dxfId="1150">
      <pivotArea collapsedLevelsAreSubtotals="1" fieldPosition="0">
        <references count="2">
          <reference field="1" count="1">
            <x v="24"/>
          </reference>
          <reference field="16" count="1" selected="0">
            <x v="2"/>
          </reference>
        </references>
      </pivotArea>
    </format>
    <format dxfId="1149">
      <pivotArea field="1" grandCol="1" collapsedLevelsAreSubtotals="1" axis="axisRow" fieldPosition="0">
        <references count="1">
          <reference field="1" count="1">
            <x v="24"/>
          </reference>
        </references>
      </pivotArea>
    </format>
    <format dxfId="1148">
      <pivotArea collapsedLevelsAreSubtotals="1" fieldPosition="0">
        <references count="2">
          <reference field="1" count="1">
            <x v="8"/>
          </reference>
          <reference field="16" count="1" selected="0">
            <x v="4"/>
          </reference>
        </references>
      </pivotArea>
    </format>
    <format dxfId="1147">
      <pivotArea collapsedLevelsAreSubtotals="1" fieldPosition="0">
        <references count="2">
          <reference field="1" count="1">
            <x v="26"/>
          </reference>
          <reference field="16" count="1" selected="0">
            <x v="5"/>
          </reference>
        </references>
      </pivotArea>
    </format>
    <format dxfId="1146">
      <pivotArea collapsedLevelsAreSubtotals="1" fieldPosition="0">
        <references count="2">
          <reference field="1" count="1">
            <x v="39"/>
          </reference>
          <reference field="16" count="1" selected="0">
            <x v="5"/>
          </reference>
        </references>
      </pivotArea>
    </format>
    <format dxfId="1145">
      <pivotArea collapsedLevelsAreSubtotals="1" fieldPosition="0">
        <references count="2">
          <reference field="1" count="1">
            <x v="8"/>
          </reference>
          <reference field="16" count="1" selected="0">
            <x v="4"/>
          </reference>
        </references>
      </pivotArea>
    </format>
    <format dxfId="1144">
      <pivotArea collapsedLevelsAreSubtotals="1" fieldPosition="0">
        <references count="2">
          <reference field="1" count="1">
            <x v="8"/>
          </reference>
          <reference field="16" count="1" selected="0">
            <x v="4"/>
          </reference>
        </references>
      </pivotArea>
    </format>
    <format dxfId="1143">
      <pivotArea collapsedLevelsAreSubtotals="1" fieldPosition="0">
        <references count="2">
          <reference field="1" count="1">
            <x v="9"/>
          </reference>
          <reference field="16" count="1" selected="0">
            <x v="5"/>
          </reference>
        </references>
      </pivotArea>
    </format>
    <format dxfId="1142">
      <pivotArea collapsedLevelsAreSubtotals="1" fieldPosition="0">
        <references count="2">
          <reference field="1" count="1">
            <x v="39"/>
          </reference>
          <reference field="16" count="1" selected="0">
            <x v="6"/>
          </reference>
        </references>
      </pivotArea>
    </format>
    <format dxfId="1141">
      <pivotArea collapsedLevelsAreSubtotals="1" fieldPosition="0">
        <references count="2">
          <reference field="1" count="1">
            <x v="40"/>
          </reference>
          <reference field="16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5A204-58BE-45F5-827A-30962C49FAF9}" name="TablaDinámica3" cacheId="135" applyNumberFormats="0" applyBorderFormats="0" applyFontFormats="0" applyPatternFormats="0" applyAlignmentFormats="0" applyWidthHeightFormats="1" dataCaption="Valores" grandTotalCaption="Total general (DUE)" updatedVersion="8" minRefreshableVersion="3" useAutoFormatting="1" itemPrintTitles="1" createdVersion="8" indent="0" outline="1" outlineData="1" multipleFieldFilters="0" rowHeaderCaption="CLIENTES" colHeaderCaption="STATUS">
  <location ref="AK4:AQ15" firstHeaderRow="1" firstDataRow="4" firstDataCol="1" rowPageCount="1" colPageCount="1"/>
  <pivotFields count="21">
    <pivotField axis="axisRow" showAll="0">
      <items count="137">
        <item m="1" x="134"/>
        <item x="75"/>
        <item x="76"/>
        <item x="77"/>
        <item x="78"/>
        <item x="79"/>
        <item x="80"/>
        <item x="81"/>
        <item x="82"/>
        <item x="8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sd="0" x="38"/>
        <item sd="0"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62"/>
        <item x="56"/>
        <item x="57"/>
        <item x="58"/>
        <item x="59"/>
        <item sd="0" x="60"/>
        <item x="61"/>
        <item x="65"/>
        <item x="63"/>
        <item x="64"/>
        <item sd="0" x="66"/>
        <item x="67"/>
        <item x="68"/>
        <item x="72"/>
        <item x="69"/>
        <item x="70"/>
        <item x="71"/>
        <item x="73"/>
        <item x="74"/>
        <item x="84"/>
        <item x="85"/>
        <item x="86"/>
        <item sd="0" x="87"/>
        <item x="89"/>
        <item x="90"/>
        <item x="91"/>
        <item x="92"/>
        <item x="93"/>
        <item x="94"/>
        <item x="96"/>
        <item m="1" x="135"/>
        <item x="97"/>
        <item x="95"/>
        <item x="99"/>
        <item x="100"/>
        <item x="88"/>
        <item x="101"/>
        <item x="102"/>
        <item x="105"/>
        <item x="106"/>
        <item x="107"/>
        <item x="109"/>
        <item x="110"/>
        <item x="98"/>
        <item x="111"/>
        <item sd="0" x="112"/>
        <item x="113"/>
        <item x="114"/>
        <item x="116"/>
        <item x="108"/>
        <item x="117"/>
        <item x="118"/>
        <item x="119"/>
        <item x="103"/>
        <item x="120"/>
        <item sd="0" x="121"/>
        <item x="104"/>
        <item x="123"/>
        <item x="122"/>
        <item x="124"/>
        <item x="125"/>
        <item x="126"/>
        <item x="127"/>
        <item x="128"/>
        <item x="129"/>
        <item x="130"/>
        <item x="115"/>
        <item x="131"/>
        <item x="132"/>
        <item x="133"/>
        <item t="default"/>
      </items>
    </pivotField>
    <pivotField axis="axisRow" showAll="0">
      <items count="43">
        <item sd="0" x="14"/>
        <item x="21"/>
        <item m="1" x="36"/>
        <item sd="0" x="7"/>
        <item sd="0" x="8"/>
        <item x="6"/>
        <item x="12"/>
        <item sd="0" x="0"/>
        <item x="2"/>
        <item sd="0" x="22"/>
        <item x="23"/>
        <item sd="0" x="16"/>
        <item x="11"/>
        <item sd="0" x="24"/>
        <item x="9"/>
        <item sd="0" x="19"/>
        <item sd="0" m="1" x="39"/>
        <item sd="0" m="1" x="40"/>
        <item x="10"/>
        <item x="20"/>
        <item x="1"/>
        <item sd="0" m="1" x="41"/>
        <item x="18"/>
        <item x="5"/>
        <item sd="0" x="13"/>
        <item sd="0" x="4"/>
        <item sd="0" x="15"/>
        <item h="1" x="35"/>
        <item x="25"/>
        <item x="26"/>
        <item sd="0" x="17"/>
        <item sd="0" x="27"/>
        <item x="28"/>
        <item sd="0" x="30"/>
        <item sd="0" m="1" x="37"/>
        <item x="31"/>
        <item sd="0" x="32"/>
        <item x="29"/>
        <item m="1" x="38"/>
        <item sd="0" x="3"/>
        <item h="1" x="33"/>
        <item h="1" x="34"/>
        <item t="default"/>
      </items>
    </pivotField>
    <pivotField showAll="0"/>
    <pivotField axis="axisRow" showAll="0">
      <items count="145">
        <item x="6"/>
        <item x="0"/>
        <item x="4"/>
        <item x="3"/>
        <item x="1"/>
        <item x="2"/>
        <item x="9"/>
        <item x="7"/>
        <item x="5"/>
        <item x="10"/>
        <item x="13"/>
        <item x="11"/>
        <item x="12"/>
        <item x="24"/>
        <item x="22"/>
        <item x="20"/>
        <item x="17"/>
        <item x="30"/>
        <item x="25"/>
        <item x="28"/>
        <item x="29"/>
        <item x="31"/>
        <item x="33"/>
        <item x="32"/>
        <item x="34"/>
        <item x="35"/>
        <item x="37"/>
        <item x="36"/>
        <item x="41"/>
        <item x="44"/>
        <item x="43"/>
        <item x="45"/>
        <item x="47"/>
        <item x="48"/>
        <item x="51"/>
        <item x="52"/>
        <item x="53"/>
        <item x="55"/>
        <item x="54"/>
        <item x="57"/>
        <item x="56"/>
        <item x="58"/>
        <item x="59"/>
        <item x="60"/>
        <item x="61"/>
        <item x="62"/>
        <item x="64"/>
        <item x="65"/>
        <item x="66"/>
        <item x="67"/>
        <item x="70"/>
        <item x="72"/>
        <item x="73"/>
        <item x="74"/>
        <item x="75"/>
        <item x="76"/>
        <item x="68"/>
        <item x="71"/>
        <item x="78"/>
        <item x="77"/>
        <item x="79"/>
        <item x="80"/>
        <item x="81"/>
        <item x="82"/>
        <item x="83"/>
        <item x="84"/>
        <item x="85"/>
        <item x="86"/>
        <item x="87"/>
        <item x="39"/>
        <item x="8"/>
        <item x="16"/>
        <item x="15"/>
        <item x="14"/>
        <item x="18"/>
        <item x="19"/>
        <item x="23"/>
        <item x="21"/>
        <item x="27"/>
        <item x="26"/>
        <item x="38"/>
        <item x="40"/>
        <item x="42"/>
        <item x="46"/>
        <item x="49"/>
        <item x="50"/>
        <item x="63"/>
        <item x="69"/>
        <item x="88"/>
        <item x="89"/>
        <item x="90"/>
        <item x="91"/>
        <item x="93"/>
        <item x="94"/>
        <item m="1" x="143"/>
        <item x="96"/>
        <item x="97"/>
        <item x="98"/>
        <item x="99"/>
        <item x="100"/>
        <item x="101"/>
        <item x="95"/>
        <item x="103"/>
        <item x="104"/>
        <item x="92"/>
        <item m="1" x="142"/>
        <item x="105"/>
        <item x="106"/>
        <item x="109"/>
        <item x="110"/>
        <item x="111"/>
        <item x="113"/>
        <item m="1" x="140"/>
        <item x="102"/>
        <item m="1" x="141"/>
        <item x="116"/>
        <item m="1" x="139"/>
        <item x="120"/>
        <item x="112"/>
        <item m="1" x="138"/>
        <item x="121"/>
        <item x="122"/>
        <item x="123"/>
        <item x="107"/>
        <item x="124"/>
        <item x="108"/>
        <item x="125"/>
        <item x="127"/>
        <item x="126"/>
        <item x="129"/>
        <item x="128"/>
        <item x="130"/>
        <item x="117"/>
        <item x="114"/>
        <item x="115"/>
        <item x="118"/>
        <item x="131"/>
        <item x="132"/>
        <item x="133"/>
        <item x="134"/>
        <item x="119"/>
        <item x="135"/>
        <item x="136"/>
        <item x="137"/>
        <item t="default"/>
      </items>
    </pivotField>
    <pivotField showAll="0"/>
    <pivotField showAll="0"/>
    <pivotField showAll="0"/>
    <pivotField showAll="0"/>
    <pivotField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showAll="0"/>
    <pivotField axis="axisPage" multipleItemSelectionAllowed="1" showAll="0">
      <items count="11">
        <item h="1" x="1"/>
        <item h="1" x="4"/>
        <item h="1" x="8"/>
        <item h="1" x="2"/>
        <item h="1" x="0"/>
        <item x="3"/>
        <item x="5"/>
        <item h="1" x="9"/>
        <item h="1" x="7"/>
        <item h="1" x="6"/>
        <item t="default"/>
      </items>
    </pivotField>
    <pivotField multipleItemSelectionAllowed="1" showAll="0"/>
    <pivotField showAll="0"/>
    <pivotField axis="axisCol" showAll="0">
      <items count="7">
        <item x="1"/>
        <item x="2"/>
        <item x="3"/>
        <item x="4"/>
        <item x="5"/>
        <item x="0"/>
        <item t="default"/>
      </items>
    </pivotField>
    <pivotField axis="axisCol" showAll="0">
      <items count="131">
        <item sd="0" x="126"/>
        <item sd="0" x="127"/>
        <item x="128"/>
        <item x="1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</pivotFields>
  <rowFields count="3">
    <field x="1"/>
    <field x="0"/>
    <field x="3"/>
  </rowFields>
  <rowItems count="8">
    <i>
      <x v="3"/>
    </i>
    <i>
      <x v="4"/>
    </i>
    <i>
      <x v="9"/>
    </i>
    <i>
      <x v="24"/>
    </i>
    <i>
      <x v="26"/>
    </i>
    <i>
      <x v="33"/>
    </i>
    <i>
      <x v="39"/>
    </i>
    <i t="grand">
      <x/>
    </i>
  </rowItems>
  <colFields count="3">
    <field x="-2"/>
    <field x="20"/>
    <field x="19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16" hier="-1"/>
  </pageFields>
  <dataFields count="2">
    <dataField name="Suma de DATA VENCIMENTO/" fld="8" baseField="1" baseItem="3" numFmtId="168"/>
    <dataField name="Suma de TOTAL DUE _x000a_BALANCE_x000a_ (US$)" fld="13" baseField="0" baseItem="0" numFmtId="4"/>
  </dataFields>
  <formats count="45">
    <format dxfId="1235">
      <pivotArea outline="0" collapsedLevelsAreSubtotals="1" fieldPosition="0"/>
    </format>
    <format dxfId="1234">
      <pivotArea field="8" type="button" dataOnly="0" labelOnly="1" outline="0"/>
    </format>
    <format dxfId="1233">
      <pivotArea type="origin" dataOnly="0" labelOnly="1" outline="0" fieldPosition="0"/>
    </format>
    <format dxfId="1232">
      <pivotArea dataOnly="0" labelOnly="1" grandCol="1" outline="0" fieldPosition="0"/>
    </format>
    <format dxfId="1231">
      <pivotArea outline="0" collapsedLevelsAreSubtotals="1" fieldPosition="0">
        <references count="1">
          <reference field="16" count="0" selected="0"/>
        </references>
      </pivotArea>
    </format>
    <format dxfId="1230">
      <pivotArea field="16" type="button" dataOnly="0" labelOnly="1" outline="0" axis="axisPage" fieldPosition="0"/>
    </format>
    <format dxfId="1229">
      <pivotArea type="topRight" dataOnly="0" labelOnly="1" outline="0" fieldPosition="0"/>
    </format>
    <format dxfId="1228">
      <pivotArea dataOnly="0" labelOnly="1" fieldPosition="0">
        <references count="1">
          <reference field="16" count="0"/>
        </references>
      </pivotArea>
    </format>
    <format dxfId="1227">
      <pivotArea grandCol="1" outline="0" collapsedLevelsAreSubtotals="1" fieldPosition="0"/>
    </format>
    <format dxfId="12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25">
      <pivotArea collapsedLevelsAreSubtotals="1" fieldPosition="0">
        <references count="2">
          <reference field="4294967294" count="1" selected="0">
            <x v="0"/>
          </reference>
          <reference field="1" count="1">
            <x v="7"/>
          </reference>
        </references>
      </pivotArea>
    </format>
    <format dxfId="1224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1223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1222">
      <pivotArea collapsedLevelsAreSubtotals="1" fieldPosition="0">
        <references count="2">
          <reference field="4294967294" count="1" selected="0">
            <x v="0"/>
          </reference>
          <reference field="1" count="1">
            <x v="17"/>
          </reference>
        </references>
      </pivotArea>
    </format>
    <format dxfId="1221">
      <pivotArea collapsedLevelsAreSubtotals="1" fieldPosition="0">
        <references count="2">
          <reference field="4294967294" count="1" selected="0">
            <x v="0"/>
          </reference>
          <reference field="1" count="1">
            <x v="24"/>
          </reference>
        </references>
      </pivotArea>
    </format>
    <format dxfId="1220">
      <pivotArea collapsedLevelsAreSubtotals="1" fieldPosition="0">
        <references count="3">
          <reference field="4294967294" count="1" selected="0">
            <x v="0"/>
          </reference>
          <reference field="0" count="1">
            <x v="48"/>
          </reference>
          <reference field="1" count="1" selected="0">
            <x v="17"/>
          </reference>
        </references>
      </pivotArea>
    </format>
    <format dxfId="1219">
      <pivotArea collapsedLevelsAreSubtotals="1" fieldPosition="0">
        <references count="3">
          <reference field="4294967294" count="1" selected="0">
            <x v="0"/>
          </reference>
          <reference field="0" count="1">
            <x v="49"/>
          </reference>
          <reference field="1" count="1" selected="0">
            <x v="17"/>
          </reference>
        </references>
      </pivotArea>
    </format>
    <format dxfId="1218">
      <pivotArea collapsedLevelsAreSubtotals="1" fieldPosition="0">
        <references count="3">
          <reference field="4294967294" count="1" selected="0">
            <x v="0"/>
          </reference>
          <reference field="0" count="1">
            <x v="76"/>
          </reference>
          <reference field="1" count="1" selected="0">
            <x v="17"/>
          </reference>
        </references>
      </pivotArea>
    </format>
    <format dxfId="1217">
      <pivotArea collapsedLevelsAreSubtotals="1" fieldPosition="0">
        <references count="2">
          <reference field="4294967294" count="1" selected="0">
            <x v="0"/>
          </reference>
          <reference field="1" count="1">
            <x v="9"/>
          </reference>
        </references>
      </pivotArea>
    </format>
    <format dxfId="1216">
      <pivotArea collapsedLevelsAreSubtotals="1" fieldPosition="0">
        <references count="3">
          <reference field="4294967294" count="1" selected="0">
            <x v="0"/>
          </reference>
          <reference field="0" count="1">
            <x v="78"/>
          </reference>
          <reference field="1" count="1" selected="0">
            <x v="8"/>
          </reference>
        </references>
      </pivotArea>
    </format>
    <format dxfId="1215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78"/>
          </reference>
          <reference field="1" count="1" selected="0">
            <x v="8"/>
          </reference>
          <reference field="3" count="1">
            <x v="51"/>
          </reference>
        </references>
      </pivotArea>
    </format>
    <format dxfId="1214">
      <pivotArea outline="0" collapsedLevelsAreSubtotals="1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format>
    <format dxfId="1213">
      <pivotArea collapsedLevelsAreSubtotals="1" fieldPosition="0">
        <references count="3">
          <reference field="4294967294" count="1" selected="0">
            <x v="0"/>
          </reference>
          <reference field="1" count="1">
            <x v="3"/>
          </reference>
          <reference field="20" count="1" selected="0">
            <x v="0"/>
          </reference>
        </references>
      </pivotArea>
    </format>
    <format dxfId="1212">
      <pivotArea collapsedLevelsAreSubtotals="1" fieldPosition="0">
        <references count="3">
          <reference field="4294967294" count="1" selected="0">
            <x v="0"/>
          </reference>
          <reference field="1" count="1">
            <x v="4"/>
          </reference>
          <reference field="20" count="1" selected="0">
            <x v="0"/>
          </reference>
        </references>
      </pivotArea>
    </format>
    <format dxfId="1211">
      <pivotArea collapsedLevelsAreSubtotals="1" fieldPosition="0">
        <references count="3">
          <reference field="4294967294" count="1" selected="0">
            <x v="0"/>
          </reference>
          <reference field="1" count="1">
            <x v="9"/>
          </reference>
          <reference field="20" count="1" selected="0">
            <x v="0"/>
          </reference>
        </references>
      </pivotArea>
    </format>
    <format dxfId="1210">
      <pivotArea collapsedLevelsAreSubtotals="1" fieldPosition="0">
        <references count="3">
          <reference field="4294967294" count="1" selected="0">
            <x v="0"/>
          </reference>
          <reference field="1" count="1">
            <x v="17"/>
          </reference>
          <reference field="20" count="1" selected="0">
            <x v="0"/>
          </reference>
        </references>
      </pivotArea>
    </format>
    <format dxfId="1209">
      <pivotArea collapsedLevelsAreSubtotals="1" fieldPosition="0">
        <references count="3">
          <reference field="4294967294" count="1" selected="0">
            <x v="0"/>
          </reference>
          <reference field="1" count="1">
            <x v="24"/>
          </reference>
          <reference field="20" count="1" selected="0">
            <x v="0"/>
          </reference>
        </references>
      </pivotArea>
    </format>
    <format dxfId="1208">
      <pivotArea field="20" grandRow="1" outline="0" collapsedLevelsAreSubtotals="1" axis="axisCol" fieldPosition="1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format>
    <format dxfId="1207">
      <pivotArea outline="0" collapsedLevelsAreSubtotals="1" fieldPosition="0"/>
    </format>
    <format dxfId="1206">
      <pivotArea field="20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205">
      <pivotArea field="20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204">
      <pivotArea dataOnly="0" labelOnly="1" fieldPosition="0">
        <references count="2">
          <reference field="4294967294" count="1" selected="0">
            <x v="0"/>
          </reference>
          <reference field="20" count="1">
            <x v="1"/>
          </reference>
        </references>
      </pivotArea>
    </format>
    <format dxfId="1203">
      <pivotArea dataOnly="0" labelOnly="1" fieldPosition="0">
        <references count="2">
          <reference field="4294967294" count="2" selected="0">
            <x v="0"/>
            <x v="1"/>
          </reference>
          <reference field="20" count="0" defaultSubtotal="1"/>
        </references>
      </pivotArea>
    </format>
    <format dxfId="1202">
      <pivotArea dataOnly="0" labelOnly="1" fieldPosition="0">
        <references count="2">
          <reference field="4294967294" count="1" selected="0">
            <x v="1"/>
          </reference>
          <reference field="20" count="1" defaultSubtotal="1">
            <x v="0"/>
          </reference>
        </references>
      </pivotArea>
    </format>
    <format dxfId="1201">
      <pivotArea dataOnly="0" labelOnly="1" fieldPosition="0">
        <references count="2">
          <reference field="4294967294" count="1" selected="0">
            <x v="1"/>
          </reference>
          <reference field="20" count="1">
            <x v="1"/>
          </reference>
        </references>
      </pivotArea>
    </format>
    <format dxfId="1200">
      <pivotArea outline="0" collapsedLevelsAreSubtotals="1" fieldPosition="0">
        <references count="2">
          <reference field="4294967294" count="1" selected="0">
            <x v="0"/>
          </reference>
          <reference field="20" count="2" selected="0" defaultSubtotal="1">
            <x v="0"/>
            <x v="1"/>
          </reference>
        </references>
      </pivotArea>
    </format>
    <format dxfId="1199">
      <pivotArea collapsedLevelsAreSubtotals="1" fieldPosition="0">
        <references count="3">
          <reference field="4294967294" count="1" selected="0">
            <x v="1"/>
          </reference>
          <reference field="1" count="1">
            <x v="9"/>
          </reference>
          <reference field="20" count="1" selected="0">
            <x v="1"/>
          </reference>
        </references>
      </pivotArea>
    </format>
    <format dxfId="1198">
      <pivotArea collapsedLevelsAreSubtotals="1" fieldPosition="0">
        <references count="3">
          <reference field="4294967294" count="1" selected="0">
            <x v="1"/>
          </reference>
          <reference field="1" count="1">
            <x v="24"/>
          </reference>
          <reference field="20" count="1" selected="0">
            <x v="1"/>
          </reference>
        </references>
      </pivotArea>
    </format>
    <format dxfId="1197">
      <pivotArea collapsedLevelsAreSubtotals="1" fieldPosition="0">
        <references count="3">
          <reference field="4294967294" count="1" selected="0">
            <x v="1"/>
          </reference>
          <reference field="1" count="1">
            <x v="30"/>
          </reference>
          <reference field="20" count="1" selected="0">
            <x v="1"/>
          </reference>
        </references>
      </pivotArea>
    </format>
    <format dxfId="1196">
      <pivotArea collapsedLevelsAreSubtotals="1" fieldPosition="0">
        <references count="3">
          <reference field="4294967294" count="1" selected="0">
            <x v="1"/>
          </reference>
          <reference field="1" count="1">
            <x v="31"/>
          </reference>
          <reference field="20" count="1" selected="0">
            <x v="1"/>
          </reference>
        </references>
      </pivotArea>
    </format>
    <format dxfId="11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4"/>
          </reference>
          <reference field="3" count="1">
            <x v="60"/>
          </reference>
          <reference field="20" count="1" selected="0">
            <x v="1"/>
          </reference>
        </references>
      </pivotArea>
    </format>
    <format dxfId="11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4"/>
          </reference>
          <reference field="3" count="1">
            <x v="62"/>
          </reference>
          <reference field="20" count="1" selected="0">
            <x v="1"/>
          </reference>
        </references>
      </pivotArea>
    </format>
    <format dxfId="11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4"/>
          </reference>
          <reference field="3" count="1">
            <x v="64"/>
          </reference>
          <reference field="20" count="1" selected="0">
            <x v="1"/>
          </reference>
        </references>
      </pivotArea>
    </format>
    <format dxfId="11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1"/>
          </reference>
          <reference field="1" count="1" selected="0">
            <x v="24"/>
          </reference>
          <reference field="3" count="1">
            <x v="53"/>
          </reference>
          <reference field="20" count="1" selected="0">
            <x v="1"/>
          </reference>
        </references>
      </pivotArea>
    </format>
    <format dxfId="11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2"/>
          </reference>
          <reference field="1" count="1" selected="0">
            <x v="24"/>
          </reference>
          <reference field="3" count="1">
            <x v="54"/>
          </reference>
          <reference field="20" count="1" selected="0">
            <x v="1"/>
          </reference>
        </references>
      </pivotArea>
    </format>
  </formats>
  <conditionalFormats count="1">
    <conditionalFormat priority="1">
      <pivotAreas count="13"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1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17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24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0" count="1">
              <x v="71"/>
            </reference>
            <reference field="1" count="1" selected="0">
              <x v="24"/>
            </reference>
          </references>
        </pivotArea>
        <pivotArea type="data" collapsedLevelsAreSubtotals="1" fieldPosition="0">
          <references count="4">
            <reference field="4294967294" count="1" selected="0">
              <x v="1"/>
            </reference>
            <reference field="0" count="1" selected="0">
              <x v="71"/>
            </reference>
            <reference field="1" count="1" selected="0">
              <x v="24"/>
            </reference>
            <reference field="3" count="1">
              <x v="46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0" count="1">
              <x v="81"/>
            </reference>
            <reference field="1" count="1" selected="0">
              <x v="24"/>
            </reference>
          </references>
        </pivotArea>
        <pivotArea type="data" collapsedLevelsAreSubtotals="1" fieldPosition="0">
          <references count="4">
            <reference field="4294967294" count="1" selected="0">
              <x v="1"/>
            </reference>
            <reference field="0" count="1" selected="0">
              <x v="81"/>
            </reference>
            <reference field="1" count="1" selected="0">
              <x v="24"/>
            </reference>
            <reference field="3" count="1">
              <x v="5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0" count="1">
              <x v="82"/>
            </reference>
            <reference field="1" count="1" selected="0">
              <x v="24"/>
            </reference>
          </references>
        </pivotArea>
        <pivotArea type="data" collapsedLevelsAreSubtotals="1" fieldPosition="0">
          <references count="4">
            <reference field="4294967294" count="1" selected="0">
              <x v="1"/>
            </reference>
            <reference field="0" count="1" selected="0">
              <x v="82"/>
            </reference>
            <reference field="1" count="1" selected="0">
              <x v="24"/>
            </reference>
            <reference field="3" count="1">
              <x v="5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366D5-B376-4663-9B92-A5C7BB44F9EC}" name="TablaDinámica2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 colHeaderCaption="mês">
  <location ref="S5:AB14" firstHeaderRow="1" firstDataRow="2" firstDataCol="1" rowPageCount="2" colPageCount="1"/>
  <pivotFields count="21">
    <pivotField showAll="0"/>
    <pivotField axis="axisRow" showAll="0">
      <items count="43">
        <item x="14"/>
        <item x="21"/>
        <item m="1" x="36"/>
        <item x="7"/>
        <item x="8"/>
        <item x="6"/>
        <item x="12"/>
        <item x="0"/>
        <item x="2"/>
        <item x="22"/>
        <item x="23"/>
        <item x="16"/>
        <item x="11"/>
        <item x="24"/>
        <item x="9"/>
        <item x="19"/>
        <item m="1" x="39"/>
        <item m="1" x="40"/>
        <item x="10"/>
        <item x="20"/>
        <item x="1"/>
        <item m="1" x="41"/>
        <item x="18"/>
        <item x="5"/>
        <item x="13"/>
        <item x="4"/>
        <item x="15"/>
        <item h="1" x="35"/>
        <item x="25"/>
        <item x="26"/>
        <item x="17"/>
        <item x="27"/>
        <item x="28"/>
        <item x="30"/>
        <item m="1" x="37"/>
        <item x="31"/>
        <item x="32"/>
        <item x="29"/>
        <item m="1" x="38"/>
        <item x="3"/>
        <item h="1" x="33"/>
        <item h="1" x="34"/>
        <item t="default"/>
      </items>
    </pivotField>
    <pivotField showAll="0"/>
    <pivotField showAll="0"/>
    <pivotField showAll="0"/>
    <pivotField showAll="0"/>
    <pivotField showAll="0"/>
    <pivotField showAll="0"/>
    <pivotField axis="axisCol" numFmtId="14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showAll="0"/>
    <pivotField axis="axisPage" multipleItemSelectionAllowed="1" showAll="0">
      <items count="11">
        <item h="1" x="1"/>
        <item h="1" x="4"/>
        <item h="1" x="8"/>
        <item h="1" x="2"/>
        <item h="1" x="7"/>
        <item h="1" x="0"/>
        <item x="3"/>
        <item x="5"/>
        <item x="9"/>
        <item h="1" x="6"/>
        <item t="default"/>
      </items>
    </pivotField>
    <pivotField multipleItemSelectionAllowed="1" showAll="0"/>
    <pivotField showAll="0"/>
    <pivotField showAll="0">
      <items count="7">
        <item x="1"/>
        <item x="2"/>
        <item x="3"/>
        <item x="4"/>
        <item x="5"/>
        <item x="0"/>
        <item t="default"/>
      </items>
    </pivotField>
    <pivotField axis="axisPage" multipleItemSelectionAllowed="1" showAll="0">
      <items count="131">
        <item x="126"/>
        <item x="127"/>
        <item x="128"/>
        <item x="1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</pivotFields>
  <rowFields count="1">
    <field x="1"/>
  </rowFields>
  <rowItems count="8">
    <i>
      <x v="3"/>
    </i>
    <i>
      <x v="4"/>
    </i>
    <i>
      <x v="9"/>
    </i>
    <i>
      <x v="24"/>
    </i>
    <i>
      <x v="26"/>
    </i>
    <i>
      <x v="33"/>
    </i>
    <i>
      <x v="39"/>
    </i>
    <i t="grand">
      <x/>
    </i>
  </rowItems>
  <colFields count="1">
    <field x="8"/>
  </colFields>
  <colItems count="9">
    <i>
      <x v="1"/>
    </i>
    <i>
      <x v="3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2">
    <pageField fld="20" hier="-1"/>
    <pageField fld="16" hier="-1"/>
  </pageFields>
  <dataFields count="1">
    <dataField name="Suma de TOTAL DUE _x000a_BALANCE_x000a_ (US$)" fld="13" baseField="0" baseItem="0" numFmtId="4"/>
  </dataFields>
  <formats count="46">
    <format dxfId="1281">
      <pivotArea outline="0" collapsedLevelsAreSubtotals="1" fieldPosition="0"/>
    </format>
    <format dxfId="1280">
      <pivotArea outline="0" collapsedLevelsAreSubtotals="1" fieldPosition="0"/>
    </format>
    <format dxfId="1279">
      <pivotArea outline="0" collapsedLevelsAreSubtotals="1" fieldPosition="0"/>
    </format>
    <format dxfId="1278">
      <pivotArea grandRow="1" outline="0" collapsedLevelsAreSubtotals="1" fieldPosition="0"/>
    </format>
    <format dxfId="1277">
      <pivotArea type="origin" dataOnly="0" labelOnly="1" outline="0" fieldPosition="0"/>
    </format>
    <format dxfId="1276">
      <pivotArea outline="0" collapsedLevelsAreSubtotals="1" fieldPosition="0"/>
    </format>
    <format dxfId="1275">
      <pivotArea type="topRight" dataOnly="0" labelOnly="1" outline="0" fieldPosition="0"/>
    </format>
    <format dxfId="1274">
      <pivotArea dataOnly="0" labelOnly="1" grandCol="1" outline="0" fieldPosition="0"/>
    </format>
    <format dxfId="1273">
      <pivotArea outline="0" collapsedLevelsAreSubtotals="1" fieldPosition="0"/>
    </format>
    <format dxfId="1272">
      <pivotArea type="origin" dataOnly="0" labelOnly="1" outline="0" fieldPosition="0"/>
    </format>
    <format dxfId="1271">
      <pivotArea field="8" type="button" dataOnly="0" labelOnly="1" outline="0" axis="axisCol" fieldPosition="0"/>
    </format>
    <format dxfId="1270">
      <pivotArea dataOnly="0" labelOnly="1" fieldPosition="0">
        <references count="1"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69">
      <pivotArea collapsedLevelsAreSubtotals="1" fieldPosition="0">
        <references count="2">
          <reference field="1" count="1">
            <x v="9"/>
          </reference>
          <reference field="8" count="1" selected="0">
            <x v="1"/>
          </reference>
        </references>
      </pivotArea>
    </format>
    <format dxfId="1268">
      <pivotArea collapsedLevelsAreSubtotals="1" fieldPosition="0">
        <references count="2">
          <reference field="1" count="1">
            <x v="17"/>
          </reference>
          <reference field="8" count="1" selected="0">
            <x v="1"/>
          </reference>
        </references>
      </pivotArea>
    </format>
    <format dxfId="1267">
      <pivotArea collapsedLevelsAreSubtotals="1" fieldPosition="0">
        <references count="2">
          <reference field="1" count="1">
            <x v="24"/>
          </reference>
          <reference field="8" count="1" selected="0">
            <x v="1"/>
          </reference>
        </references>
      </pivotArea>
    </format>
    <format dxfId="1266">
      <pivotArea collapsedLevelsAreSubtotals="1" fieldPosition="0">
        <references count="2">
          <reference field="1" count="1">
            <x v="17"/>
          </reference>
          <reference field="8" count="1" selected="0">
            <x v="2"/>
          </reference>
        </references>
      </pivotArea>
    </format>
    <format dxfId="1265">
      <pivotArea collapsedLevelsAreSubtotals="1" fieldPosition="0">
        <references count="2">
          <reference field="1" count="1">
            <x v="24"/>
          </reference>
          <reference field="8" count="1" selected="0">
            <x v="3"/>
          </reference>
        </references>
      </pivotArea>
    </format>
    <format dxfId="1264">
      <pivotArea collapsedLevelsAreSubtotals="1" fieldPosition="0">
        <references count="2">
          <reference field="1" count="1">
            <x v="8"/>
          </reference>
          <reference field="8" count="1" selected="0">
            <x v="5"/>
          </reference>
        </references>
      </pivotArea>
    </format>
    <format dxfId="1263">
      <pivotArea collapsedLevelsAreSubtotals="1" fieldPosition="0">
        <references count="2">
          <reference field="1" count="2">
            <x v="28"/>
            <x v="29"/>
          </reference>
          <reference field="8" count="1" selected="0">
            <x v="5"/>
          </reference>
        </references>
      </pivotArea>
    </format>
    <format dxfId="1262">
      <pivotArea collapsedLevelsAreSubtotals="1" fieldPosition="0">
        <references count="2">
          <reference field="1" count="1">
            <x v="0"/>
          </reference>
          <reference field="8" count="1" selected="0">
            <x v="6"/>
          </reference>
        </references>
      </pivotArea>
    </format>
    <format dxfId="1261">
      <pivotArea collapsedLevelsAreSubtotals="1" fieldPosition="0">
        <references count="2">
          <reference field="1" count="1">
            <x v="6"/>
          </reference>
          <reference field="8" count="1" selected="0">
            <x v="6"/>
          </reference>
        </references>
      </pivotArea>
    </format>
    <format dxfId="1260">
      <pivotArea collapsedLevelsAreSubtotals="1" fieldPosition="0">
        <references count="2">
          <reference field="1" count="1">
            <x v="17"/>
          </reference>
          <reference field="8" count="1" selected="0">
            <x v="6"/>
          </reference>
        </references>
      </pivotArea>
    </format>
    <format dxfId="1259">
      <pivotArea collapsedLevelsAreSubtotals="1" fieldPosition="0">
        <references count="2">
          <reference field="1" count="1">
            <x v="3"/>
          </reference>
          <reference field="8" count="1" selected="0">
            <x v="7"/>
          </reference>
        </references>
      </pivotArea>
    </format>
    <format dxfId="1258">
      <pivotArea collapsedLevelsAreSubtotals="1" fieldPosition="0">
        <references count="2">
          <reference field="1" count="1">
            <x v="8"/>
          </reference>
          <reference field="8" count="1" selected="0">
            <x v="7"/>
          </reference>
        </references>
      </pivotArea>
    </format>
    <format dxfId="1257">
      <pivotArea collapsedLevelsAreSubtotals="1" fieldPosition="0">
        <references count="2">
          <reference field="1" count="1">
            <x v="16"/>
          </reference>
          <reference field="8" count="1" selected="0">
            <x v="7"/>
          </reference>
        </references>
      </pivotArea>
    </format>
    <format dxfId="1256">
      <pivotArea collapsedLevelsAreSubtotals="1" fieldPosition="0">
        <references count="2">
          <reference field="1" count="1">
            <x v="24"/>
          </reference>
          <reference field="8" count="1" selected="0">
            <x v="7"/>
          </reference>
        </references>
      </pivotArea>
    </format>
    <format dxfId="1255">
      <pivotArea collapsedLevelsAreSubtotals="1" fieldPosition="0">
        <references count="2">
          <reference field="1" count="1">
            <x v="8"/>
          </reference>
          <reference field="8" count="1" selected="0">
            <x v="8"/>
          </reference>
        </references>
      </pivotArea>
    </format>
    <format dxfId="1254">
      <pivotArea collapsedLevelsAreSubtotals="1" fieldPosition="0">
        <references count="2">
          <reference field="1" count="1">
            <x v="16"/>
          </reference>
          <reference field="8" count="1" selected="0">
            <x v="10"/>
          </reference>
        </references>
      </pivotArea>
    </format>
    <format dxfId="1253">
      <pivotArea collapsedLevelsAreSubtotals="1" fieldPosition="0">
        <references count="2">
          <reference field="1" count="1">
            <x v="16"/>
          </reference>
          <reference field="8" count="1" selected="0">
            <x v="11"/>
          </reference>
        </references>
      </pivotArea>
    </format>
    <format dxfId="1252">
      <pivotArea collapsedLevelsAreSubtotals="1" fieldPosition="0">
        <references count="2">
          <reference field="1" count="1">
            <x v="17"/>
          </reference>
          <reference field="8" count="1" selected="0">
            <x v="11"/>
          </reference>
        </references>
      </pivotArea>
    </format>
    <format dxfId="1251">
      <pivotArea collapsedLevelsAreSubtotals="1" fieldPosition="0">
        <references count="2">
          <reference field="1" count="1">
            <x v="30"/>
          </reference>
          <reference field="8" count="1" selected="0">
            <x v="2"/>
          </reference>
        </references>
      </pivotArea>
    </format>
    <format dxfId="1250">
      <pivotArea field="1" grandCol="1" collapsedLevelsAreSubtotals="1" axis="axisRow" fieldPosition="0">
        <references count="1">
          <reference field="1" count="1">
            <x v="24"/>
          </reference>
        </references>
      </pivotArea>
    </format>
    <format dxfId="1249">
      <pivotArea field="1" grandCol="1" collapsedLevelsAreSubtotals="1" axis="axisRow" fieldPosition="0">
        <references count="1">
          <reference field="1" count="1">
            <x v="28"/>
          </reference>
        </references>
      </pivotArea>
    </format>
    <format dxfId="1248">
      <pivotArea field="1" grandCol="1" collapsedLevelsAreSubtotals="1" axis="axisRow" fieldPosition="0">
        <references count="1">
          <reference field="1" count="1">
            <x v="29"/>
          </reference>
        </references>
      </pivotArea>
    </format>
    <format dxfId="1247">
      <pivotArea field="1" grandCol="1" collapsedLevelsAreSubtotals="1" axis="axisRow" fieldPosition="0">
        <references count="1">
          <reference field="1" count="1">
            <x v="30"/>
          </reference>
        </references>
      </pivotArea>
    </format>
    <format dxfId="1246">
      <pivotArea field="1" grandCol="1" collapsedLevelsAreSubtotals="1" axis="axisRow" fieldPosition="0">
        <references count="1">
          <reference field="1" count="1">
            <x v="31"/>
          </reference>
        </references>
      </pivotArea>
    </format>
    <format dxfId="1245">
      <pivotArea field="1" grandCol="1" collapsedLevelsAreSubtotals="1" axis="axisRow" fieldPosition="0">
        <references count="1">
          <reference field="1" count="1">
            <x v="31"/>
          </reference>
        </references>
      </pivotArea>
    </format>
    <format dxfId="1244">
      <pivotArea collapsedLevelsAreSubtotals="1" fieldPosition="0">
        <references count="2">
          <reference field="1" count="2">
            <x v="30"/>
            <x v="31"/>
          </reference>
          <reference field="8" count="1" selected="0">
            <x v="6"/>
          </reference>
        </references>
      </pivotArea>
    </format>
    <format dxfId="1243">
      <pivotArea collapsedLevelsAreSubtotals="1" fieldPosition="0">
        <references count="2">
          <reference field="1" count="1">
            <x v="24"/>
          </reference>
          <reference field="8" count="1" selected="0">
            <x v="10"/>
          </reference>
        </references>
      </pivotArea>
    </format>
    <format dxfId="1242">
      <pivotArea collapsedLevelsAreSubtotals="1" fieldPosition="0">
        <references count="2">
          <reference field="1" count="1">
            <x v="39"/>
          </reference>
          <reference field="8" count="1" selected="0">
            <x v="7"/>
          </reference>
        </references>
      </pivotArea>
    </format>
    <format dxfId="1241">
      <pivotArea collapsedLevelsAreSubtotals="1" fieldPosition="0">
        <references count="2">
          <reference field="1" count="1">
            <x v="33"/>
          </reference>
          <reference field="8" count="1" selected="0">
            <x v="8"/>
          </reference>
        </references>
      </pivotArea>
    </format>
    <format dxfId="1240">
      <pivotArea collapsedLevelsAreSubtotals="1" fieldPosition="0">
        <references count="2">
          <reference field="1" count="1">
            <x v="26"/>
          </reference>
          <reference field="8" count="1" selected="0">
            <x v="9"/>
          </reference>
        </references>
      </pivotArea>
    </format>
    <format dxfId="1239">
      <pivotArea collapsedLevelsAreSubtotals="1" fieldPosition="0">
        <references count="2">
          <reference field="1" count="1">
            <x v="28"/>
          </reference>
          <reference field="8" count="1" selected="0">
            <x v="9"/>
          </reference>
        </references>
      </pivotArea>
    </format>
    <format dxfId="1238">
      <pivotArea collapsedLevelsAreSubtotals="1" fieldPosition="0">
        <references count="2">
          <reference field="1" count="2">
            <x v="24"/>
            <x v="26"/>
          </reference>
          <reference field="8" count="1" selected="0">
            <x v="12"/>
          </reference>
        </references>
      </pivotArea>
    </format>
    <format dxfId="1237">
      <pivotArea collapsedLevelsAreSubtotals="1" fieldPosition="0">
        <references count="2">
          <reference field="1" count="1">
            <x v="39"/>
          </reference>
          <reference field="8" count="1" selected="0">
            <x v="11"/>
          </reference>
        </references>
      </pivotArea>
    </format>
    <format dxfId="1236">
      <pivotArea collapsedLevelsAreSubtotals="1" fieldPosition="0">
        <references count="2">
          <reference field="1" count="1">
            <x v="39"/>
          </reference>
          <reference field="8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4A8DE-4DE8-4968-9A10-597CB75D019E}" name="TablaDinámica4" cacheId="135" applyNumberFormats="0" applyBorderFormats="0" applyFontFormats="0" applyPatternFormats="0" applyAlignmentFormats="0" applyWidthHeightFormats="1" dataCaption="Valores" grandTotalCaption="Total general (DUE)" updatedVersion="8" minRefreshableVersion="3" useAutoFormatting="1" itemPrintTitles="1" createdVersion="8" indent="0" outline="1" outlineData="1" multipleFieldFilters="0" rowHeaderCaption="CLIENTES" colHeaderCaption="mês">
  <location ref="A1:C18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4" showAll="0"/>
    <pivotField showAll="0"/>
    <pivotField showAll="0"/>
    <pivotField showAll="0"/>
    <pivotField multipleItemSelectionAllowed="1" showAll="0"/>
    <pivotField showAll="0"/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131">
        <item x="126"/>
        <item x="127"/>
        <item x="128"/>
        <item x="1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</pivotFields>
  <formats count="6">
    <format dxfId="1140">
      <pivotArea outline="0" collapsedLevelsAreSubtotals="1" fieldPosition="0"/>
    </format>
    <format dxfId="1139">
      <pivotArea outline="0" collapsedLevelsAreSubtotals="1" fieldPosition="0"/>
    </format>
    <format dxfId="1138">
      <pivotArea field="8" type="button" dataOnly="0" labelOnly="1" outline="0"/>
    </format>
    <format dxfId="1137">
      <pivotArea dataOnly="0" labelOnly="1" grandCol="1" outline="0" fieldPosition="0"/>
    </format>
    <format dxfId="1136">
      <pivotArea type="origin" dataOnly="0" labelOnly="1" outline="0" fieldPosition="0"/>
    </format>
    <format dxfId="1135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CED51-92AC-4E7A-B463-80FDF7E52367}" name="Tabela1" displayName="Tabela1" ref="A3:S143" totalsRowShown="0" headerRowDxfId="1314" dataDxfId="1313">
  <autoFilter ref="A3:S143" xr:uid="{95DCED51-92AC-4E7A-B463-80FDF7E52367}"/>
  <sortState xmlns:xlrd2="http://schemas.microsoft.com/office/spreadsheetml/2017/richdata2" ref="A4:R50">
    <sortCondition ref="A3:A50"/>
  </sortState>
  <tableColumns count="19">
    <tableColumn id="1" xr3:uid="{70492957-5314-4549-B3E9-C7115C97F401}" name="INVOICE _x000a_(EXPORT.)" dataDxfId="1312"/>
    <tableColumn id="15" xr3:uid="{6C396BEC-F081-4D3A-AC39-B5F2ADB88925}" name="CUSTOMER" dataDxfId="1311"/>
    <tableColumn id="18" xr3:uid="{20F4DCD0-BBA5-447E-B274-CC397AA778DA}" name="PAIS" dataDxfId="1310"/>
    <tableColumn id="14" xr3:uid="{4CE89A3E-7816-4AD5-902E-10FA3BE7F14B}" name="ORDER NBR" dataDxfId="1309">
      <calculatedColumnFormula>VLOOKUP(#REF!,[1]!Tabela13[#All],6,0)</calculatedColumnFormula>
    </tableColumn>
    <tableColumn id="13" xr3:uid="{217E6739-FE9A-4A32-812A-8D1639CC39E8}" name="DATA_x000a_ PROFORM-INVOICE" dataDxfId="1308"/>
    <tableColumn id="8" xr3:uid="{008FF469-63D6-485E-ABD0-D6B61C5D8D4B}" name="DATA  COLETA (ESTIMADA)" dataDxfId="1307"/>
    <tableColumn id="10" xr3:uid="{BA79B133-E014-4393-9C87-5A33A81DB4FF}" name="PAYMENT_x000a_TERMS" dataDxfId="1306"/>
    <tableColumn id="11" xr3:uid="{53F15104-7ABD-4B45-A24C-4A06F6B44093}" name="days" dataDxfId="1305"/>
    <tableColumn id="9" xr3:uid="{A9F1AAD0-1386-47A7-B654-BF3D1F06DC4B}" name="DATA VENCIMENTO/_x000a_DEADLINE" dataDxfId="1304">
      <calculatedColumnFormula>Tabela1[[#This Row],[DATA  COLETA (ESTIMADA)]]+Tabela1[[#This Row],[days]]</calculatedColumnFormula>
    </tableColumn>
    <tableColumn id="2" xr3:uid="{DA561D58-CD09-404B-AD84-F24A2771646B}" name="PROFORMA_x000a_(2026)" dataDxfId="1303"/>
    <tableColumn id="17" xr3:uid="{4C5759E9-2593-43CF-86C0-F2280D40236B}" name="DIF PROFORM VS INVOICE FINAL 2026)" dataDxfId="1302">
      <calculatedColumnFormula>Tabela1[[#This Row],[PROFORMA
(2026)]]-Tabela1[[#This Row],[TOTAL DUE PAYMENT-AS PER FINAL INVOICE
US$]]</calculatedColumnFormula>
    </tableColumn>
    <tableColumn id="3" xr3:uid="{65383457-8DCA-44B7-BE18-A748F1B9F506}" name="TOTAL DUE PAYMENT-AS PER FINAL INVOICE_x000a_US$" dataDxfId="1301"/>
    <tableColumn id="6" xr3:uid="{634D4187-7ED1-4520-A44F-5C9EE2E8B003}" name="ADVANCE PAYMENT / FINAL PAYM'T/ NC _x000a_(US$)" dataDxfId="1300"/>
    <tableColumn id="7" xr3:uid="{E3DEFE27-DBC9-4665-957A-C07EC6AA5A6B}" name="TOTAL DUE _x000a_BALANCE_x000a_ (US$)" dataDxfId="1299">
      <calculatedColumnFormula>Tabela1[[#This Row],[TOTAL DUE PAYMENT-AS PER FINAL INVOICE
US$]]-Tabela1[[#This Row],[ADVANCE PAYMENT / FINAL PAYM''T/ NC 
(US$)]]</calculatedColumnFormula>
    </tableColumn>
    <tableColumn id="12" xr3:uid="{E71A8FCF-DE4D-46EA-BE06-F20B8AA4A98C}" name="VALOR TOTAL_x000a_R$" dataDxfId="1298"/>
    <tableColumn id="16" xr3:uid="{8EB147BD-1B23-4940-911C-6C0D71CB3486}" name="NÚMERO _x000a_NF" dataDxfId="1297"/>
    <tableColumn id="4" xr3:uid="{016A5F14-DF81-40D0-ACCE-1B232CF4F86C}" name="STATUS_x000a_PGTO" dataDxfId="1296"/>
    <tableColumn id="5" xr3:uid="{00B92C02-A452-4406-B82D-DE5D21CD0D58}" name="OBSERV." dataDxfId="1295"/>
    <tableColumn id="19" xr3:uid="{C1AD34A7-3663-4725-9D50-72391F7C0C03}" name="SALES COM._x000a_PAID?" dataDxfId="129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E759E-EA02-4275-BE48-034B3254D7FF}" name="Tabela5" displayName="Tabela5" ref="A3:N67" totalsRowShown="0" headerRowDxfId="1293" dataDxfId="1292">
  <autoFilter ref="A3:N67" xr:uid="{291E759E-EA02-4275-BE48-034B3254D7FF}"/>
  <tableColumns count="14">
    <tableColumn id="1" xr3:uid="{3561DA26-55E9-4391-8252-B8DDF09B6746}" name="Regiao"/>
    <tableColumn id="2" xr3:uid="{30977F67-8523-4DE2-B040-CE6813F6B318}" name="Sub-regiao"/>
    <tableColumn id="3" xr3:uid="{73A2A841-C635-434A-8B1D-CE081CD2A4CB}" name="Clientes"/>
    <tableColumn id="4" xr3:uid="{17467538-1937-4901-B2DC-38559A23B7CA}" name="Ativos" dataDxfId="1291"/>
    <tableColumn id="5" xr3:uid="{6567D674-8440-4DAB-8737-2BCF2B48F7C5}" name="Inativos" dataDxfId="1290"/>
    <tableColumn id="6" xr3:uid="{4E7403A9-AF10-460E-8444-C4784B1B9B80}" name="Prospect" dataDxfId="1289"/>
    <tableColumn id="7" xr3:uid="{12810E2E-12F4-4F6A-8701-120B3F2D536B}" name="Potencial" dataDxfId="1288"/>
    <tableColumn id="8" xr3:uid="{48456790-3003-43FF-8253-F0CA75DBB8B5}" name="Estrategicos" dataDxfId="1287"/>
    <tableColumn id="9" xr3:uid="{8E0E3A43-32D0-4043-A333-675F8F7F4B59}" name="Sensiveis" dataDxfId="1286"/>
    <tableColumn id="10" xr3:uid="{0B55BDAE-B483-4C00-8E45-A32F50CA7732}" name="contato" dataDxfId="1285"/>
    <tableColumn id="11" xr3:uid="{3654D315-2649-4095-A68B-A0A91CF73925}" name="cargo" dataDxfId="1284"/>
    <tableColumn id="12" xr3:uid="{40C245A9-A7C3-484C-AF1B-57925F8C4098}" name="email " dataDxfId="1283"/>
    <tableColumn id="13" xr3:uid="{26BDC6DE-7CBD-420C-A335-76C40E513FE4}" name="telefone" dataDxfId="1282"/>
    <tableColumn id="14" xr3:uid="{8A25D8E9-8A44-4F04-B578-AC9E2B1E241F}" name="Observ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7A28B9-3507-48A9-918A-8FBABE4A1EFD}" name="Tabela13" displayName="Tabela13" ref="B3:J60" totalsRowShown="0" headerRowDxfId="1134">
  <autoFilter ref="B3:J60" xr:uid="{A47A28B9-3507-48A9-918A-8FBABE4A1EFD}">
    <filterColumn colId="6">
      <filters blank="1">
        <filter val="PARCIAL"/>
        <filter val="PENDING"/>
      </filters>
    </filterColumn>
  </autoFilter>
  <sortState xmlns:xlrd2="http://schemas.microsoft.com/office/spreadsheetml/2017/richdata2" ref="B9:J50">
    <sortCondition descending="1" ref="B3:B50"/>
  </sortState>
  <tableColumns count="9">
    <tableColumn id="1" xr3:uid="{F1E4F788-8A4E-45F6-A338-C53CCFE129B8}" name="INVOICE"/>
    <tableColumn id="8" xr3:uid="{8EEBD4A1-A54A-4B18-8BB7-906698E2E981}" name="CUSTOMER"/>
    <tableColumn id="3" xr3:uid="{3BA843A0-26DC-4FF8-A186-4FE4134060FC}" name="TOTAL VALUE _x000a_INVOICE US$" dataDxfId="1133"/>
    <tableColumn id="6" xr3:uid="{A9BCD112-29EF-47B5-B0B3-8F02D2A0DB52}" name="ADVANCE PAYMENT /CREDIT NOTE_x000a_US$" dataDxfId="1132"/>
    <tableColumn id="7" xr3:uid="{53142B38-1028-4C35-A712-FC13115A9CF5}" name="TOTAL DUE BALANCE _x000a_US$" dataDxfId="1131">
      <calculatedColumnFormula>'GESTAO CREDITO E PAGAMENTOS'!L23</calculatedColumnFormula>
    </tableColumn>
    <tableColumn id="2" xr3:uid="{6A2A6F82-8C67-4BAF-8C42-D5BCBB5CA12F}" name="DUE  _x000a_MONTH" dataDxfId="1130"/>
    <tableColumn id="9" xr3:uid="{E82E59BC-E1B4-41BA-A76A-9BB515B9B0C1}" name="STATUS"/>
    <tableColumn id="4" xr3:uid="{3E01D568-2D0F-47B3-A881-9D1535528929}" name="NOTIFICATION DATE/_x000a_EMAILs"/>
    <tableColumn id="5" xr3:uid="{002887A7-F68B-4246-9E16-6F27766C916B}" name="OBSERV.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101CF9-76F7-4BAB-A515-C09895932854}" name="Tabla79" displayName="Tabla79" ref="A4:Q11" totalsRowShown="0" headerRowDxfId="1129" headerRowBorderDxfId="1128" tableBorderDxfId="1127" totalsRowBorderDxfId="1126">
  <autoFilter ref="A4:Q11" xr:uid="{CE101CF9-76F7-4BAB-A515-C09895932854}"/>
  <tableColumns count="17">
    <tableColumn id="1" xr3:uid="{BD5AD44B-32D1-4650-905C-6AFFE585B043}" name="PROFORMA-INVOICE _x000a_(EXPORT.)" dataDxfId="1125"/>
    <tableColumn id="2" xr3:uid="{DD1DEA3F-3FB3-4216-8032-EBACBCF3F4EF}" name="CLIENTE" dataDxfId="1124"/>
    <tableColumn id="3" xr3:uid="{9A85CED4-A42C-4C24-9C54-244738D6C7FA}" name="N° ORDEN" dataDxfId="1123"/>
    <tableColumn id="4" xr3:uid="{458A26B3-795C-463A-A2E4-CAEF274BD5C6}" name="FECHA_x000a_PROFORM" dataDxfId="1122"/>
    <tableColumn id="5" xr3:uid="{8A1CFD78-747E-4700-B9DE-CF076CAAAA32}" name="FECHA_x000a_COLECTA" dataDxfId="1121"/>
    <tableColumn id="6" xr3:uid="{463F7891-E79A-41FB-ABE5-956DF28D9E92}" name="TERMINO_x000a_PAGO" dataDxfId="1120"/>
    <tableColumn id="7" xr3:uid="{5C90E48D-4894-42EA-9C22-56206082D15F}" name="days" dataDxfId="1119"/>
    <tableColumn id="8" xr3:uid="{D096EEFD-9128-4D05-903C-87E4C6CE03E1}" name="FECHA VENCIMENTO/_x000a_DEADLINE"/>
    <tableColumn id="9" xr3:uid="{C14F0DF3-C150-469B-BCF6-3ED7212B299D}" name="TOTAL A PAGAR SEGÚN INVOICE_x000a_US$" dataDxfId="1118"/>
    <tableColumn id="10" xr3:uid="{DCC18DB1-30AA-4005-8245-E3E204414A58}" name="ANTICIPO_x000a_(US$)" dataDxfId="1117">
      <calculatedColumnFormula>M4</calculatedColumnFormula>
    </tableColumn>
    <tableColumn id="11" xr3:uid="{1950EA1B-9158-4B88-9E0E-E3CE90C97C5E}" name="NOTA CREDITO_x000a_US$" dataDxfId="1116"/>
    <tableColumn id="12" xr3:uid="{661EFEFC-0DBE-4A44-A643-9A4649151483}" name="PAGO FINAL_x000a_US$" dataDxfId="1115">
      <calculatedColumnFormula>13468.25+105</calculatedColumnFormula>
    </tableColumn>
    <tableColumn id="13" xr3:uid="{794762D8-B69E-4749-9118-793E0F403430}" name="TOTAL SALDO DEBIDO HOY_x000a_ (US$)" dataDxfId="1114"/>
    <tableColumn id="14" xr3:uid="{556846B0-890E-4863-9F05-9F39EFFCC2F3}" name="STATUS_x000a_PAGO"/>
    <tableColumn id="15" xr3:uid="{2210656E-4303-4239-8EE2-557E13265DFE}" name="FECHA DE PAGO" dataDxfId="1113"/>
    <tableColumn id="16" xr3:uid="{38CD78FA-F341-48C2-AC0E-8267B293321A}" name="DIAS ATRASO" dataDxfId="1112">
      <calculatedColumnFormula>O5-H5</calculatedColumnFormula>
    </tableColumn>
    <tableColumn id="17" xr3:uid="{4FFA89D1-FB87-4018-ACF3-EDF618FCE343}" name="OBSERV.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836B52-5B63-4817-A044-A7E558A3548C}" name="Tabla7" displayName="Tabla7" ref="A4:Q10" totalsRowShown="0" headerRowDxfId="1111" headerRowBorderDxfId="1110" tableBorderDxfId="1109" totalsRowBorderDxfId="1108">
  <autoFilter ref="A4:Q10" xr:uid="{9ED66345-5C2D-414B-A123-4D5B5E8DF12A}"/>
  <tableColumns count="17">
    <tableColumn id="1" xr3:uid="{7A7C487D-9760-482E-981D-D8802AE21B71}" name="PROFORMA-INVOICE _x000a_(EXPORT.)" dataDxfId="1107"/>
    <tableColumn id="2" xr3:uid="{3A2162F4-D521-420D-9DB4-321B3B1D12C9}" name="CLIENTE"/>
    <tableColumn id="3" xr3:uid="{24E20C1B-5CCE-43F2-9FD7-AAE81E0ACB92}" name="N° ORDEN" dataDxfId="1106"/>
    <tableColumn id="4" xr3:uid="{D254B252-4D92-4C1B-A103-76A0D0D06689}" name="FECHA_x000a_PROFORM" dataDxfId="1105"/>
    <tableColumn id="5" xr3:uid="{4677BFAF-A9B5-4475-B20B-8AC47407D400}" name="FECHA_x000a_COLECTA" dataDxfId="1104"/>
    <tableColumn id="6" xr3:uid="{5E28283A-2BEA-4B9B-9B67-1CF0EC832FB3}" name="TERMINO_x000a_PAGO" dataDxfId="1103"/>
    <tableColumn id="7" xr3:uid="{A415B86B-CE53-4DBE-94C5-790A7D845CB2}" name="days" dataDxfId="1102"/>
    <tableColumn id="8" xr3:uid="{D5427598-3670-40DF-8E87-9E678CE6227D}" name="FECHA VENCIMENTO/_x000a_DEADLINE"/>
    <tableColumn id="9" xr3:uid="{B45B5EF0-37E1-4B72-A707-3D6028C3A75C}" name="TOTAL A PAGAR SEGÚN INVOICE_x000a_US$" dataDxfId="1101"/>
    <tableColumn id="10" xr3:uid="{3B1F0AC2-AE1A-4666-94D3-2F3FDC86E0EF}" name="ANTICIPO_x000a_(US$)"/>
    <tableColumn id="11" xr3:uid="{E0994809-DE37-4B49-9759-A83740B96EF6}" name="NOTA CREDITO_x000a_US$" dataDxfId="1100"/>
    <tableColumn id="12" xr3:uid="{274B8CEC-EC79-49B3-ACBA-48C0CBA066A5}" name="PAGO FINAL_x000a_US$"/>
    <tableColumn id="13" xr3:uid="{C4341B84-1445-4313-911A-4EA77369CEF2}" name="TOTAL SALDO DEBIDO HOY_x000a_ (US$)" dataDxfId="1099"/>
    <tableColumn id="14" xr3:uid="{D8AAA6CB-304F-4BDE-B7A9-9DE322CAA0A9}" name="STATUS_x000a_PAGO"/>
    <tableColumn id="15" xr3:uid="{BF8DE0BE-4485-46B6-86E4-E3FA8A8AC58E}" name="FECHA DE PAGO" dataDxfId="1098"/>
    <tableColumn id="16" xr3:uid="{CB4BE121-87AD-47AB-BAB0-42BF5D8AC6A3}" name="DIAS ATRASO" dataDxfId="1097"/>
    <tableColumn id="17" xr3:uid="{47F34674-93E3-4721-ADA8-AC921F9426A1}" name="OBSERV.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A8DCFF-70E1-4FF3-8559-A62A4E156C31}" name="Tabla5" displayName="Tabla5" ref="A3:O12" totalsRowShown="0">
  <autoFilter ref="A3:O12" xr:uid="{AAA8DCFF-70E1-4FF3-8559-A62A4E156C31}"/>
  <sortState xmlns:xlrd2="http://schemas.microsoft.com/office/spreadsheetml/2017/richdata2" ref="A4:O12">
    <sortCondition ref="K3:K12"/>
  </sortState>
  <tableColumns count="15">
    <tableColumn id="1" xr3:uid="{0AC611A8-4F36-445E-A244-E8C97F18AA57}" name="INVOICE _x000a_(EXPORT.)"/>
    <tableColumn id="2" xr3:uid="{3A371F12-9D3F-40B3-9168-7DB1018B1EA7}" name="CLIENTE"/>
    <tableColumn id="3" xr3:uid="{920A92DB-8E51-46E9-8BFE-D54ACD0F6C82}" name="PEDIDO _x000a_TOTVS"/>
    <tableColumn id="4" xr3:uid="{34057784-0C05-4EAD-97C2-A7B64A1A98CA}" name="DATA INVOICE" dataDxfId="1096"/>
    <tableColumn id="5" xr3:uid="{505EFAE9-6367-4442-9B48-3196F9110A69}" name="DATA  COLETA" dataDxfId="1095"/>
    <tableColumn id="6" xr3:uid="{56B28781-532E-4B60-812C-C08FFA14F356}" name="PAYMENT_x000a_TERMS"/>
    <tableColumn id="7" xr3:uid="{CE15B99A-F87A-40BF-8A84-76DA5AECA456}" name="days"/>
    <tableColumn id="8" xr3:uid="{A35F1475-1A6B-4B50-A06B-EE0C33471026}" name="DATA VENCIMENTO/_x000a_DEADLINE" dataDxfId="1094"/>
    <tableColumn id="9" xr3:uid="{57E80E9F-52A3-4157-9FF8-7F47F60E3BCE}" name="TOTAL DUE PAYMENT-AS PER INVOICE_x000a_US$"/>
    <tableColumn id="10" xr3:uid="{8E0D4857-5CD0-4FEC-B764-17EF238724C3}" name="ADVANCE _x000a_PAYMENT (US$)"/>
    <tableColumn id="11" xr3:uid="{BEBF8346-EF21-42F1-9709-E91ABA98E0FF}" name="TOTAL DUE _x000a_BALANCE (US$)"/>
    <tableColumn id="12" xr3:uid="{07B019D6-9764-4966-9DE6-18B8C3528E5A}" name="VALOR TOTAL_x000a_R$"/>
    <tableColumn id="13" xr3:uid="{A3C310D0-716E-4EC5-ACC9-8D1DCEAF112C}" name="NÚMERO _x000a_NF"/>
    <tableColumn id="14" xr3:uid="{F15128DF-AFA3-452F-81DD-E880C59E59A6}" name="RECIB. _x000a_PGTO"/>
    <tableColumn id="15" xr3:uid="{203B283C-B05F-4C40-AE7E-915FE82C707B}" name="OBSERV.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399E23-D4A1-45EA-9091-366F4C4ACB1B}" name="Tabla6" displayName="Tabla6" ref="A3:O5" totalsRowShown="0">
  <autoFilter ref="A3:O5" xr:uid="{03399E23-D4A1-45EA-9091-366F4C4ACB1B}"/>
  <sortState xmlns:xlrd2="http://schemas.microsoft.com/office/spreadsheetml/2017/richdata2" ref="A4:O5">
    <sortCondition ref="K3:K5"/>
  </sortState>
  <tableColumns count="15">
    <tableColumn id="1" xr3:uid="{63994E5B-6AFA-4A83-A791-BA5B14F9D2C9}" name="INVOICE _x000a_(EXPORT.)"/>
    <tableColumn id="2" xr3:uid="{C5787668-0925-4475-8F22-75B6FDDB0C14}" name="CLIENTE"/>
    <tableColumn id="3" xr3:uid="{96AFC151-618B-408D-8C46-95C34D406F1B}" name="PEDIDO _x000a_TOTVS" dataDxfId="1093"/>
    <tableColumn id="4" xr3:uid="{2E263662-66B4-4DA4-9D7E-B1618295B290}" name="DATA INVOICE" dataDxfId="1092"/>
    <tableColumn id="5" xr3:uid="{A9A1098F-381B-46E7-916E-E9ADD214E57D}" name="DATA  COLETA" dataDxfId="1091"/>
    <tableColumn id="6" xr3:uid="{521F8B8A-87C1-4D49-8FC9-9D9D8032FBFF}" name="PAYMENT_x000a_TERMS"/>
    <tableColumn id="7" xr3:uid="{B70DD464-8351-4059-B153-3C17BE15C8B2}" name="days"/>
    <tableColumn id="8" xr3:uid="{37D0D4C1-77DC-46BB-8BCE-2B398BD09C8A}" name="DATA VENCIMENTO/_x000a_DEADLINE" dataDxfId="1090"/>
    <tableColumn id="9" xr3:uid="{89389DAE-8612-4CCC-94D2-B757EAB04B8A}" name="TOTAL DUE PAYMENT-AS PER INVOICE_x000a_US$" dataDxfId="1089"/>
    <tableColumn id="10" xr3:uid="{FA191435-5379-4A6D-ACFA-C001C79D3D8A}" name="ADVANCE _x000a_PAYMENT (US$)"/>
    <tableColumn id="11" xr3:uid="{1E6D3836-16D7-4B4A-87F1-98D3F0C99C47}" name="TOTAL DUE _x000a_BALANCE (US$)"/>
    <tableColumn id="12" xr3:uid="{541D9424-4622-412A-ABD4-2656F35E5525}" name="VALOR TOTAL_x000a_R$"/>
    <tableColumn id="13" xr3:uid="{67FA9F15-08B4-4F8B-B0DA-06BC31A45B32}" name="NÚMERO _x000a_NF"/>
    <tableColumn id="14" xr3:uid="{3C153B49-2414-4C0C-8B94-327D7F2700CC}" name="RECIB. _x000a_PGTO"/>
    <tableColumn id="15" xr3:uid="{462BBB21-ACA7-4305-B14E-BFAACDBBD078}" name="OBSERV.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67470B-2483-4966-9CE1-7DF546D88DE5}" name="Tabela55" displayName="Tabela55" ref="A3:N68" totalsRowShown="0" headerRowDxfId="1088" dataDxfId="1087">
  <autoFilter ref="A3:N68" xr:uid="{5B67470B-2483-4966-9CE1-7DF546D88DE5}"/>
  <tableColumns count="14">
    <tableColumn id="1" xr3:uid="{8730F7E3-96F3-4C90-88C2-85593800236D}" name="Regiao"/>
    <tableColumn id="2" xr3:uid="{0E6F3F8A-3174-4222-BA51-CCDB244FFC96}" name="Sub-regiao"/>
    <tableColumn id="3" xr3:uid="{9D58779B-E30F-43AB-8873-9AEE17ACDDA4}" name="Clientes"/>
    <tableColumn id="4" xr3:uid="{E851C262-146C-40B0-B1B7-5BD2AED718EF}" name="Ativos" dataDxfId="1086"/>
    <tableColumn id="5" xr3:uid="{CF5739A7-B039-418F-8B63-2E0F7E449768}" name="Inativos" dataDxfId="1085"/>
    <tableColumn id="6" xr3:uid="{7A32CB8D-3148-40BB-B540-AAFD881B1115}" name="Prospect" dataDxfId="1084"/>
    <tableColumn id="7" xr3:uid="{B4332139-A256-420E-9A97-2EE6E8FEC425}" name="Potencial" dataDxfId="1083"/>
    <tableColumn id="8" xr3:uid="{86371E3B-5CAF-4B80-BADE-C927CDCF7135}" name="Estrategicos" dataDxfId="1082"/>
    <tableColumn id="9" xr3:uid="{FCD2F629-3385-47EF-9063-C57F4143875F}" name="Sensiveis" dataDxfId="1081"/>
    <tableColumn id="10" xr3:uid="{B97BCE24-C3A9-4EC7-A399-AA4A7C08CCE7}" name="contato" dataDxfId="1080"/>
    <tableColumn id="11" xr3:uid="{BBBD71E4-0AB5-4585-9596-1FAF2BA79DFF}" name="cargo" dataDxfId="1079"/>
    <tableColumn id="12" xr3:uid="{8D78C4A9-86EE-40CF-84C5-A380397A1656}" name="email " dataDxfId="1078"/>
    <tableColumn id="13" xr3:uid="{A05E58A3-9843-4E6D-A267-78E9CC69A5F6}" name="telefone" dataDxfId="1077"/>
    <tableColumn id="14" xr3:uid="{E1039B73-2807-4C40-A6A3-D501D89F95BB}" name="Observ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essicanuf@gmail.com" TargetMode="External"/><Relationship Id="rId18" Type="http://schemas.openxmlformats.org/officeDocument/2006/relationships/hyperlink" Target="mailto:comercial@martinmiller.com.ar" TargetMode="External"/><Relationship Id="rId26" Type="http://schemas.openxmlformats.org/officeDocument/2006/relationships/hyperlink" Target="mailto:emilia.torres@divino.com.uy" TargetMode="External"/><Relationship Id="rId39" Type="http://schemas.openxmlformats.org/officeDocument/2006/relationships/hyperlink" Target="mailto:importaciones@colinealcorp.com" TargetMode="External"/><Relationship Id="rId21" Type="http://schemas.openxmlformats.org/officeDocument/2006/relationships/hyperlink" Target="mailto:hernan.berro@divino.com.uy" TargetMode="External"/><Relationship Id="rId34" Type="http://schemas.openxmlformats.org/officeDocument/2006/relationships/hyperlink" Target="mailto:comexgye@paraiso.com.ec" TargetMode="External"/><Relationship Id="rId42" Type="http://schemas.openxmlformats.org/officeDocument/2006/relationships/hyperlink" Target="mailto:importaciones@maxiking.com.bo" TargetMode="External"/><Relationship Id="rId47" Type="http://schemas.openxmlformats.org/officeDocument/2006/relationships/table" Target="../tables/table2.xml"/><Relationship Id="rId7" Type="http://schemas.openxmlformats.org/officeDocument/2006/relationships/hyperlink" Target="mailto:mpr.muebleria@gmail.com" TargetMode="External"/><Relationship Id="rId2" Type="http://schemas.openxmlformats.org/officeDocument/2006/relationships/hyperlink" Target="mailto:danae.briones@flex.es" TargetMode="External"/><Relationship Id="rId16" Type="http://schemas.openxmlformats.org/officeDocument/2006/relationships/hyperlink" Target="mailto:jorge@nunez.com.py" TargetMode="External"/><Relationship Id="rId29" Type="http://schemas.openxmlformats.org/officeDocument/2006/relationships/hyperlink" Target="mailto:grodriguez@polymax.com.uy" TargetMode="External"/><Relationship Id="rId1" Type="http://schemas.openxmlformats.org/officeDocument/2006/relationships/hyperlink" Target="mailto:paulina.mena@flex.es" TargetMode="External"/><Relationship Id="rId6" Type="http://schemas.openxmlformats.org/officeDocument/2006/relationships/hyperlink" Target="mailto:fsanmartin@multimetal.cl" TargetMode="External"/><Relationship Id="rId11" Type="http://schemas.openxmlformats.org/officeDocument/2006/relationships/hyperlink" Target="mailto:ale@erwinabraham.com" TargetMode="External"/><Relationship Id="rId24" Type="http://schemas.openxmlformats.org/officeDocument/2006/relationships/hyperlink" Target="mailto:federico.duran@divino.com.uy" TargetMode="External"/><Relationship Id="rId32" Type="http://schemas.openxmlformats.org/officeDocument/2006/relationships/hyperlink" Target="mailto:gerencia.c@paraiso.com.ec" TargetMode="External"/><Relationship Id="rId37" Type="http://schemas.openxmlformats.org/officeDocument/2006/relationships/hyperlink" Target="mailto:gabrielabriones@colinealcorp.com" TargetMode="External"/><Relationship Id="rId40" Type="http://schemas.openxmlformats.org/officeDocument/2006/relationships/hyperlink" Target="mailto:liviozozzoli@maxiking.com.bo" TargetMode="External"/><Relationship Id="rId45" Type="http://schemas.openxmlformats.org/officeDocument/2006/relationships/hyperlink" Target="mailto:compras@colchonesheaven.com" TargetMode="External"/><Relationship Id="rId5" Type="http://schemas.openxmlformats.org/officeDocument/2006/relationships/hyperlink" Target="mailto:jcvillarroel@sunlock.cl" TargetMode="External"/><Relationship Id="rId15" Type="http://schemas.openxmlformats.org/officeDocument/2006/relationships/hyperlink" Target="mailto:federico@nunez.com.py" TargetMode="External"/><Relationship Id="rId23" Type="http://schemas.openxmlformats.org/officeDocument/2006/relationships/hyperlink" Target="mailto:fernando.rugiero@divino.com.uy" TargetMode="External"/><Relationship Id="rId28" Type="http://schemas.openxmlformats.org/officeDocument/2006/relationships/hyperlink" Target="mailto:comex@divino.com.uy" TargetMode="External"/><Relationship Id="rId36" Type="http://schemas.openxmlformats.org/officeDocument/2006/relationships/hyperlink" Target="mailto:gerenciagye@paraiso.com.ec" TargetMode="External"/><Relationship Id="rId10" Type="http://schemas.openxmlformats.org/officeDocument/2006/relationships/hyperlink" Target="mailto:ruth.sosa@superspuma.com.py" TargetMode="External"/><Relationship Id="rId19" Type="http://schemas.openxmlformats.org/officeDocument/2006/relationships/hyperlink" Target="mailto:franco.machao@divino.com.uy" TargetMode="External"/><Relationship Id="rId31" Type="http://schemas.openxmlformats.org/officeDocument/2006/relationships/hyperlink" Target="mailto:diegoperez@paraiso.com.ec" TargetMode="External"/><Relationship Id="rId44" Type="http://schemas.openxmlformats.org/officeDocument/2006/relationships/hyperlink" Target="mailto:jefecompras@colchonesheaven.com" TargetMode="External"/><Relationship Id="rId4" Type="http://schemas.openxmlformats.org/officeDocument/2006/relationships/hyperlink" Target="mailto:angelo.almonacid@flex.es" TargetMode="External"/><Relationship Id="rId9" Type="http://schemas.openxmlformats.org/officeDocument/2006/relationships/hyperlink" Target="mailto:maria.laura@superspuma.com.py" TargetMode="External"/><Relationship Id="rId14" Type="http://schemas.openxmlformats.org/officeDocument/2006/relationships/hyperlink" Target="mailto:unicornio_py@yahoo.es" TargetMode="External"/><Relationship Id="rId22" Type="http://schemas.openxmlformats.org/officeDocument/2006/relationships/hyperlink" Target="mailto:francisco.studer@divino.com.uy" TargetMode="External"/><Relationship Id="rId27" Type="http://schemas.openxmlformats.org/officeDocument/2006/relationships/hyperlink" Target="mailto:agustina.vuco@divino.com.uy" TargetMode="External"/><Relationship Id="rId30" Type="http://schemas.openxmlformats.org/officeDocument/2006/relationships/hyperlink" Target="mailto:asistente.gerencia@polymax.com.uy" TargetMode="External"/><Relationship Id="rId35" Type="http://schemas.openxmlformats.org/officeDocument/2006/relationships/hyperlink" Target="mailto:comexuio@paraiso.com.ec" TargetMode="External"/><Relationship Id="rId43" Type="http://schemas.openxmlformats.org/officeDocument/2006/relationships/hyperlink" Target="mailto:david_moreno_2000@yahoo.com" TargetMode="External"/><Relationship Id="rId8" Type="http://schemas.openxmlformats.org/officeDocument/2006/relationships/hyperlink" Target="mailto:leticia.roig@superspuma.com.py" TargetMode="External"/><Relationship Id="rId3" Type="http://schemas.openxmlformats.org/officeDocument/2006/relationships/hyperlink" Target="mailto:francesca.seitz@flex.es" TargetMode="External"/><Relationship Id="rId12" Type="http://schemas.openxmlformats.org/officeDocument/2006/relationships/hyperlink" Target="mailto:madrisa@inmapol.com.py" TargetMode="External"/><Relationship Id="rId17" Type="http://schemas.openxmlformats.org/officeDocument/2006/relationships/hyperlink" Target="mailto:administracion@nature.com.py" TargetMode="External"/><Relationship Id="rId25" Type="http://schemas.openxmlformats.org/officeDocument/2006/relationships/hyperlink" Target="mailto:esteban.saibene@divino.com.uy" TargetMode="External"/><Relationship Id="rId33" Type="http://schemas.openxmlformats.org/officeDocument/2006/relationships/hyperlink" Target="mailto:joseandrango@paraiso.com.ec" TargetMode="External"/><Relationship Id="rId38" Type="http://schemas.openxmlformats.org/officeDocument/2006/relationships/hyperlink" Target="mailto:patricioculquer@colinealcorp.com" TargetMode="External"/><Relationship Id="rId46" Type="http://schemas.openxmlformats.org/officeDocument/2006/relationships/hyperlink" Target="mailto:siro22091975@gmail.com" TargetMode="External"/><Relationship Id="rId20" Type="http://schemas.openxmlformats.org/officeDocument/2006/relationships/hyperlink" Target="mailto:cecilia.solodilin@divino.com.uy" TargetMode="External"/><Relationship Id="rId41" Type="http://schemas.openxmlformats.org/officeDocument/2006/relationships/hyperlink" Target="mailto:silviazerda@maxiking.com.b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5.xml"/><Relationship Id="rId4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mailto:emilia.torres@divino.com.uy" TargetMode="External"/><Relationship Id="rId21" Type="http://schemas.openxmlformats.org/officeDocument/2006/relationships/hyperlink" Target="mailto:hernan.berro@divino.com.uy" TargetMode="External"/><Relationship Id="rId34" Type="http://schemas.openxmlformats.org/officeDocument/2006/relationships/hyperlink" Target="mailto:comexgye@paraiso.com.ec" TargetMode="External"/><Relationship Id="rId42" Type="http://schemas.openxmlformats.org/officeDocument/2006/relationships/hyperlink" Target="mailto:importaciones@maxiking.com.bo" TargetMode="External"/><Relationship Id="rId47" Type="http://schemas.openxmlformats.org/officeDocument/2006/relationships/hyperlink" Target="mailto:david_moreno_2000@yahoo.com" TargetMode="External"/><Relationship Id="rId50" Type="http://schemas.openxmlformats.org/officeDocument/2006/relationships/hyperlink" Target="mailto:veronica.ardila@comodisimos.com" TargetMode="External"/><Relationship Id="rId55" Type="http://schemas.openxmlformats.org/officeDocument/2006/relationships/hyperlink" Target="mailto:jpsolares@ultraindustrias.com" TargetMode="External"/><Relationship Id="rId63" Type="http://schemas.openxmlformats.org/officeDocument/2006/relationships/hyperlink" Target="mailto:waltercastrosuarez@gmail.com" TargetMode="External"/><Relationship Id="rId7" Type="http://schemas.openxmlformats.org/officeDocument/2006/relationships/hyperlink" Target="mailto:mpr.muebleria@gmail.com" TargetMode="External"/><Relationship Id="rId2" Type="http://schemas.openxmlformats.org/officeDocument/2006/relationships/hyperlink" Target="mailto:danae.briones@flex.es" TargetMode="External"/><Relationship Id="rId16" Type="http://schemas.openxmlformats.org/officeDocument/2006/relationships/hyperlink" Target="mailto:jorge@nunez.com.py" TargetMode="External"/><Relationship Id="rId29" Type="http://schemas.openxmlformats.org/officeDocument/2006/relationships/hyperlink" Target="mailto:grodriguez@polymax.com.uy" TargetMode="External"/><Relationship Id="rId11" Type="http://schemas.openxmlformats.org/officeDocument/2006/relationships/hyperlink" Target="mailto:ale@erwinabraham.com" TargetMode="External"/><Relationship Id="rId24" Type="http://schemas.openxmlformats.org/officeDocument/2006/relationships/hyperlink" Target="mailto:federico.duran@divino.com.uy" TargetMode="External"/><Relationship Id="rId32" Type="http://schemas.openxmlformats.org/officeDocument/2006/relationships/hyperlink" Target="mailto:gerencia.c@paraiso.com.ec" TargetMode="External"/><Relationship Id="rId37" Type="http://schemas.openxmlformats.org/officeDocument/2006/relationships/hyperlink" Target="mailto:gabrielabriones@colinealcorp.com" TargetMode="External"/><Relationship Id="rId40" Type="http://schemas.openxmlformats.org/officeDocument/2006/relationships/hyperlink" Target="mailto:liviozozzoli@maxiking.com.bo" TargetMode="External"/><Relationship Id="rId45" Type="http://schemas.openxmlformats.org/officeDocument/2006/relationships/hyperlink" Target="mailto:compras@colchonesheaven.com" TargetMode="External"/><Relationship Id="rId53" Type="http://schemas.openxmlformats.org/officeDocument/2006/relationships/hyperlink" Target="mailto:coordinadorcompras@camasfacenco.net" TargetMode="External"/><Relationship Id="rId58" Type="http://schemas.openxmlformats.org/officeDocument/2006/relationships/hyperlink" Target="mailto:compras@industriasflorida.com" TargetMode="External"/><Relationship Id="rId5" Type="http://schemas.openxmlformats.org/officeDocument/2006/relationships/hyperlink" Target="mailto:jcvillarroel@sunlock.cl" TargetMode="External"/><Relationship Id="rId61" Type="http://schemas.openxmlformats.org/officeDocument/2006/relationships/hyperlink" Target="mailto:gerenciadelogistica.hn@industriasflorida.com" TargetMode="External"/><Relationship Id="rId19" Type="http://schemas.openxmlformats.org/officeDocument/2006/relationships/hyperlink" Target="mailto:franco.machao@divino.com.uy" TargetMode="External"/><Relationship Id="rId14" Type="http://schemas.openxmlformats.org/officeDocument/2006/relationships/hyperlink" Target="mailto:unicornio_py@yahoo.es" TargetMode="External"/><Relationship Id="rId22" Type="http://schemas.openxmlformats.org/officeDocument/2006/relationships/hyperlink" Target="mailto:francisco.studer@divino.com.uy" TargetMode="External"/><Relationship Id="rId27" Type="http://schemas.openxmlformats.org/officeDocument/2006/relationships/hyperlink" Target="mailto:agustina.vuco@divino.com.uy" TargetMode="External"/><Relationship Id="rId30" Type="http://schemas.openxmlformats.org/officeDocument/2006/relationships/hyperlink" Target="mailto:asistente.gerencia@polymax.com.uy" TargetMode="External"/><Relationship Id="rId35" Type="http://schemas.openxmlformats.org/officeDocument/2006/relationships/hyperlink" Target="mailto:comexuio@paraiso.com.ec" TargetMode="External"/><Relationship Id="rId43" Type="http://schemas.openxmlformats.org/officeDocument/2006/relationships/hyperlink" Target="mailto:david_moreno_2000@yahoo.com" TargetMode="External"/><Relationship Id="rId48" Type="http://schemas.openxmlformats.org/officeDocument/2006/relationships/hyperlink" Target="mailto:josimar.vicunha@gmail.com" TargetMode="External"/><Relationship Id="rId56" Type="http://schemas.openxmlformats.org/officeDocument/2006/relationships/hyperlink" Target="mailto:luispsolares@ultraindustrias.com" TargetMode="External"/><Relationship Id="rId64" Type="http://schemas.openxmlformats.org/officeDocument/2006/relationships/hyperlink" Target="mailto:contabilidad@maxiking.com.bo" TargetMode="External"/><Relationship Id="rId8" Type="http://schemas.openxmlformats.org/officeDocument/2006/relationships/hyperlink" Target="mailto:leticia.roig@superspuma.com.py" TargetMode="External"/><Relationship Id="rId51" Type="http://schemas.openxmlformats.org/officeDocument/2006/relationships/hyperlink" Target="mailto:manuela.torres@comodisimos.com" TargetMode="External"/><Relationship Id="rId3" Type="http://schemas.openxmlformats.org/officeDocument/2006/relationships/hyperlink" Target="mailto:francesca.seitz@flex.es" TargetMode="External"/><Relationship Id="rId12" Type="http://schemas.openxmlformats.org/officeDocument/2006/relationships/hyperlink" Target="mailto:madrisa@inmapol.com.py" TargetMode="External"/><Relationship Id="rId17" Type="http://schemas.openxmlformats.org/officeDocument/2006/relationships/hyperlink" Target="mailto:administracion@nature.com.py" TargetMode="External"/><Relationship Id="rId25" Type="http://schemas.openxmlformats.org/officeDocument/2006/relationships/hyperlink" Target="mailto:esteban.saibene@divino.com.uy" TargetMode="External"/><Relationship Id="rId33" Type="http://schemas.openxmlformats.org/officeDocument/2006/relationships/hyperlink" Target="mailto:joseandrango@paraiso.com.ec" TargetMode="External"/><Relationship Id="rId38" Type="http://schemas.openxmlformats.org/officeDocument/2006/relationships/hyperlink" Target="mailto:patricioculquer@colinealcorp.com" TargetMode="External"/><Relationship Id="rId46" Type="http://schemas.openxmlformats.org/officeDocument/2006/relationships/hyperlink" Target="mailto:siro22091975@gmail.com" TargetMode="External"/><Relationship Id="rId59" Type="http://schemas.openxmlformats.org/officeDocument/2006/relationships/hyperlink" Target="mailto:acastillo@prohfoam.com" TargetMode="External"/><Relationship Id="rId20" Type="http://schemas.openxmlformats.org/officeDocument/2006/relationships/hyperlink" Target="mailto:cecilia.solodilin@divino.com.uy" TargetMode="External"/><Relationship Id="rId41" Type="http://schemas.openxmlformats.org/officeDocument/2006/relationships/hyperlink" Target="mailto:silviazerda@maxiking.com.bo" TargetMode="External"/><Relationship Id="rId54" Type="http://schemas.openxmlformats.org/officeDocument/2006/relationships/hyperlink" Target="mailto:rfuentes@camasfacenco.net" TargetMode="External"/><Relationship Id="rId62" Type="http://schemas.openxmlformats.org/officeDocument/2006/relationships/hyperlink" Target="mailto:neorquidessag@gmail.com" TargetMode="External"/><Relationship Id="rId1" Type="http://schemas.openxmlformats.org/officeDocument/2006/relationships/hyperlink" Target="mailto:paulina.mena@flex.es" TargetMode="External"/><Relationship Id="rId6" Type="http://schemas.openxmlformats.org/officeDocument/2006/relationships/hyperlink" Target="mailto:fsanmartin@multimetal.cl" TargetMode="External"/><Relationship Id="rId15" Type="http://schemas.openxmlformats.org/officeDocument/2006/relationships/hyperlink" Target="mailto:federico@nunez.com.py" TargetMode="External"/><Relationship Id="rId23" Type="http://schemas.openxmlformats.org/officeDocument/2006/relationships/hyperlink" Target="mailto:fernando.rugiero@divino.com.uy" TargetMode="External"/><Relationship Id="rId28" Type="http://schemas.openxmlformats.org/officeDocument/2006/relationships/hyperlink" Target="mailto:comex@divino.com.uy" TargetMode="External"/><Relationship Id="rId36" Type="http://schemas.openxmlformats.org/officeDocument/2006/relationships/hyperlink" Target="mailto:gerenciagye@paraiso.com.ec" TargetMode="External"/><Relationship Id="rId49" Type="http://schemas.openxmlformats.org/officeDocument/2006/relationships/hyperlink" Target="mailto:j.dugga@clccolchones.com" TargetMode="External"/><Relationship Id="rId57" Type="http://schemas.openxmlformats.org/officeDocument/2006/relationships/hyperlink" Target="mailto:compras.hn@industriasflorida.com" TargetMode="External"/><Relationship Id="rId10" Type="http://schemas.openxmlformats.org/officeDocument/2006/relationships/hyperlink" Target="mailto:ruth.sosa@superspuma.com.py" TargetMode="External"/><Relationship Id="rId31" Type="http://schemas.openxmlformats.org/officeDocument/2006/relationships/hyperlink" Target="mailto:diegoperez@paraiso.com.ec" TargetMode="External"/><Relationship Id="rId44" Type="http://schemas.openxmlformats.org/officeDocument/2006/relationships/hyperlink" Target="mailto:jefecompras@colchonesheaven.com" TargetMode="External"/><Relationship Id="rId52" Type="http://schemas.openxmlformats.org/officeDocument/2006/relationships/hyperlink" Target="mailto:coordinadorcompras@camasfacenco.net" TargetMode="External"/><Relationship Id="rId60" Type="http://schemas.openxmlformats.org/officeDocument/2006/relationships/hyperlink" Target="mailto:compras@prohfoam.com" TargetMode="External"/><Relationship Id="rId65" Type="http://schemas.openxmlformats.org/officeDocument/2006/relationships/table" Target="../tables/table8.xml"/><Relationship Id="rId4" Type="http://schemas.openxmlformats.org/officeDocument/2006/relationships/hyperlink" Target="mailto:angelo.almonacid@flex.es" TargetMode="External"/><Relationship Id="rId9" Type="http://schemas.openxmlformats.org/officeDocument/2006/relationships/hyperlink" Target="mailto:maria.laura@superspuma.com.py" TargetMode="External"/><Relationship Id="rId13" Type="http://schemas.openxmlformats.org/officeDocument/2006/relationships/hyperlink" Target="mailto:Yessicanuf@gmail.com" TargetMode="External"/><Relationship Id="rId18" Type="http://schemas.openxmlformats.org/officeDocument/2006/relationships/hyperlink" Target="mailto:comercial@martinmiller.com.ar" TargetMode="External"/><Relationship Id="rId39" Type="http://schemas.openxmlformats.org/officeDocument/2006/relationships/hyperlink" Target="mailto:importaciones@colinealcorp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5E23-097D-49F6-A367-3B79642B8BDB}">
  <dimension ref="A1:Z150"/>
  <sheetViews>
    <sheetView showGridLines="0" tabSelected="1" zoomScale="90" zoomScaleNormal="90" workbookViewId="0">
      <pane xSplit="9" ySplit="3" topLeftCell="J135" activePane="bottomRight" state="frozen"/>
      <selection pane="topRight" activeCell="I1" sqref="I1"/>
      <selection pane="bottomLeft" activeCell="A4" sqref="A4"/>
      <selection pane="bottomRight" activeCell="L147" sqref="L147"/>
    </sheetView>
  </sheetViews>
  <sheetFormatPr baseColWidth="10" defaultColWidth="9.1796875" defaultRowHeight="14.5" x14ac:dyDescent="0.35"/>
  <cols>
    <col min="1" max="1" width="9.90625" style="358" customWidth="1"/>
    <col min="2" max="2" width="20.90625" style="1" customWidth="1"/>
    <col min="3" max="3" width="11.1796875" style="1" customWidth="1"/>
    <col min="4" max="4" width="9.26953125" style="468" customWidth="1"/>
    <col min="5" max="5" width="10.81640625" style="227" customWidth="1"/>
    <col min="6" max="6" width="10.1796875" style="227" customWidth="1"/>
    <col min="7" max="7" width="10.453125" style="1" customWidth="1"/>
    <col min="8" max="8" width="9.453125" style="228" hidden="1" customWidth="1"/>
    <col min="9" max="9" width="13" style="23" customWidth="1"/>
    <col min="10" max="10" width="9.26953125" style="23" customWidth="1"/>
    <col min="11" max="11" width="9.1796875" style="23" customWidth="1"/>
    <col min="12" max="12" width="11.453125" style="1" customWidth="1"/>
    <col min="13" max="13" width="10.26953125" style="1" customWidth="1"/>
    <col min="14" max="14" width="9.08984375" style="94" customWidth="1"/>
    <col min="15" max="15" width="8.54296875" style="1" customWidth="1"/>
    <col min="16" max="16" width="8.7265625" style="34" customWidth="1"/>
    <col min="17" max="17" width="10.453125" style="159" customWidth="1"/>
    <col min="18" max="18" width="54.54296875" style="1" customWidth="1"/>
    <col min="19" max="19" width="12.453125" style="159" customWidth="1"/>
    <col min="20" max="20" width="10.54296875" style="1" bestFit="1" customWidth="1"/>
    <col min="21" max="21" width="9.54296875" style="1" bestFit="1" customWidth="1"/>
    <col min="22" max="23" width="9.1796875" style="1"/>
    <col min="24" max="24" width="11.26953125" style="1" bestFit="1" customWidth="1"/>
    <col min="25" max="16384" width="9.1796875" style="1"/>
  </cols>
  <sheetData>
    <row r="1" spans="1:21" x14ac:dyDescent="0.35">
      <c r="A1" s="470" t="s">
        <v>587</v>
      </c>
      <c r="B1" s="226"/>
      <c r="C1" s="226"/>
      <c r="F1" s="356">
        <f ca="1">NOW()</f>
        <v>46296.633567708333</v>
      </c>
      <c r="L1" s="159"/>
    </row>
    <row r="2" spans="1:21" ht="19" customHeight="1" x14ac:dyDescent="0.35">
      <c r="J2" s="500" t="s">
        <v>619</v>
      </c>
      <c r="K2" s="500"/>
    </row>
    <row r="3" spans="1:21" s="23" customFormat="1" ht="48" customHeight="1" x14ac:dyDescent="0.3">
      <c r="A3" s="469" t="s">
        <v>352</v>
      </c>
      <c r="B3" s="301" t="s">
        <v>543</v>
      </c>
      <c r="C3" s="301" t="s">
        <v>837</v>
      </c>
      <c r="D3" s="300" t="s">
        <v>625</v>
      </c>
      <c r="E3" s="302" t="s">
        <v>659</v>
      </c>
      <c r="F3" s="303" t="s">
        <v>674</v>
      </c>
      <c r="G3" s="302" t="s">
        <v>305</v>
      </c>
      <c r="H3" s="229" t="s">
        <v>275</v>
      </c>
      <c r="I3" s="304" t="s">
        <v>281</v>
      </c>
      <c r="J3" s="305" t="s">
        <v>617</v>
      </c>
      <c r="K3" s="305" t="s">
        <v>618</v>
      </c>
      <c r="L3" s="306" t="s">
        <v>581</v>
      </c>
      <c r="M3" s="319" t="s">
        <v>623</v>
      </c>
      <c r="N3" s="319" t="s">
        <v>624</v>
      </c>
      <c r="O3" s="321" t="s">
        <v>276</v>
      </c>
      <c r="P3" s="321" t="s">
        <v>349</v>
      </c>
      <c r="Q3" s="320" t="s">
        <v>626</v>
      </c>
      <c r="R3" s="315" t="s">
        <v>6</v>
      </c>
      <c r="S3" s="302" t="s">
        <v>848</v>
      </c>
    </row>
    <row r="4" spans="1:21" x14ac:dyDescent="0.35">
      <c r="A4" s="244" t="s">
        <v>278</v>
      </c>
      <c r="B4" s="230" t="s">
        <v>277</v>
      </c>
      <c r="C4" s="230"/>
      <c r="D4" s="291">
        <v>5889</v>
      </c>
      <c r="E4" s="266">
        <v>45660</v>
      </c>
      <c r="F4" s="266">
        <v>45660</v>
      </c>
      <c r="G4" s="231" t="s">
        <v>279</v>
      </c>
      <c r="H4" s="228">
        <v>30</v>
      </c>
      <c r="I4" s="269">
        <f>Tabela1[[#This Row],[DATA  COLETA (ESTIMADA)]]+Tabela1[[#This Row],[days]]</f>
        <v>45690</v>
      </c>
      <c r="J4" s="34"/>
      <c r="K4" s="34"/>
      <c r="L4" s="26">
        <v>22814.539999999997</v>
      </c>
      <c r="M4" s="26">
        <v>22814.539999999997</v>
      </c>
      <c r="N4" s="117">
        <f>Tabela1[[#This Row],[ADVANCE PAYMENT / FINAL PAYM''T/ NC 
(US$)]]-Tabela1[[#This Row],[TOTAL DUE PAYMENT-AS PER FINAL INVOICE
US$]]</f>
        <v>0</v>
      </c>
      <c r="O4" s="83">
        <f>10017.52+ 74431.82</f>
        <v>84449.340000000011</v>
      </c>
      <c r="P4" s="280" t="s">
        <v>327</v>
      </c>
      <c r="Q4" s="232" t="s">
        <v>361</v>
      </c>
      <c r="R4" s="83" t="s">
        <v>329</v>
      </c>
    </row>
    <row r="5" spans="1:21" x14ac:dyDescent="0.35">
      <c r="A5" s="244" t="s">
        <v>280</v>
      </c>
      <c r="B5" s="233" t="s">
        <v>277</v>
      </c>
      <c r="C5" s="233"/>
      <c r="D5" s="291">
        <v>5889</v>
      </c>
      <c r="E5" s="266">
        <v>45679</v>
      </c>
      <c r="F5" s="266">
        <v>45679</v>
      </c>
      <c r="G5" s="231" t="s">
        <v>279</v>
      </c>
      <c r="H5" s="228">
        <v>30</v>
      </c>
      <c r="I5" s="269">
        <f>Tabela1[[#This Row],[DATA  COLETA (ESTIMADA)]]+Tabela1[[#This Row],[days]]</f>
        <v>45709</v>
      </c>
      <c r="J5" s="34"/>
      <c r="K5" s="34"/>
      <c r="L5" s="26">
        <v>1623.4199999999998</v>
      </c>
      <c r="M5" s="26">
        <v>1623.4199999999998</v>
      </c>
      <c r="N5" s="117">
        <f>Tabela1[[#This Row],[ADVANCE PAYMENT / FINAL PAYM''T/ NC 
(US$)]]-Tabela1[[#This Row],[TOTAL DUE PAYMENT-AS PER FINAL INVOICE
US$]]</f>
        <v>0</v>
      </c>
      <c r="O5" s="83">
        <v>9811.9500000000007</v>
      </c>
      <c r="P5" s="280">
        <v>56691</v>
      </c>
      <c r="Q5" s="232" t="s">
        <v>361</v>
      </c>
      <c r="R5" s="83"/>
    </row>
    <row r="6" spans="1:21" x14ac:dyDescent="0.35">
      <c r="A6" s="244" t="s">
        <v>287</v>
      </c>
      <c r="B6" s="230" t="s">
        <v>466</v>
      </c>
      <c r="C6" s="230" t="s">
        <v>838</v>
      </c>
      <c r="D6" s="279">
        <v>6042</v>
      </c>
      <c r="E6" s="266">
        <v>45659</v>
      </c>
      <c r="F6" s="266">
        <v>45659</v>
      </c>
      <c r="G6" s="231" t="s">
        <v>288</v>
      </c>
      <c r="H6" s="228">
        <v>30</v>
      </c>
      <c r="I6" s="269">
        <f>Tabela1[[#This Row],[DATA  COLETA (ESTIMADA)]]+Tabela1[[#This Row],[days]]</f>
        <v>45689</v>
      </c>
      <c r="J6" s="34"/>
      <c r="K6" s="34"/>
      <c r="L6" s="26">
        <v>24931.07</v>
      </c>
      <c r="M6" s="26">
        <v>24931.07</v>
      </c>
      <c r="N6" s="117">
        <f>Tabela1[[#This Row],[ADVANCE PAYMENT / FINAL PAYM''T/ NC 
(US$)]]-Tabela1[[#This Row],[TOTAL DUE PAYMENT-AS PER FINAL INVOICE
US$]]</f>
        <v>0</v>
      </c>
      <c r="O6" s="347">
        <v>153428.31</v>
      </c>
      <c r="P6" s="280">
        <v>56529</v>
      </c>
      <c r="Q6" s="232" t="s">
        <v>361</v>
      </c>
      <c r="R6" s="83"/>
      <c r="U6" s="1" t="s">
        <v>704</v>
      </c>
    </row>
    <row r="7" spans="1:21" x14ac:dyDescent="0.35">
      <c r="A7" s="244" t="s">
        <v>286</v>
      </c>
      <c r="B7" s="230" t="s">
        <v>291</v>
      </c>
      <c r="C7" s="230"/>
      <c r="D7" s="291">
        <v>6113</v>
      </c>
      <c r="E7" s="266">
        <v>45665</v>
      </c>
      <c r="F7" s="266">
        <v>45665</v>
      </c>
      <c r="G7" s="231" t="s">
        <v>290</v>
      </c>
      <c r="H7" s="228">
        <v>90</v>
      </c>
      <c r="I7" s="269">
        <f>Tabela1[[#This Row],[DATA  COLETA (ESTIMADA)]]+Tabela1[[#This Row],[days]]</f>
        <v>45755</v>
      </c>
      <c r="J7" s="34"/>
      <c r="K7" s="34"/>
      <c r="L7" s="26">
        <v>6236.1479999999992</v>
      </c>
      <c r="M7" s="66">
        <v>6236.1479999999992</v>
      </c>
      <c r="N7" s="117">
        <f>Tabela1[[#This Row],[ADVANCE PAYMENT / FINAL PAYM''T/ NC 
(US$)]]-Tabela1[[#This Row],[TOTAL DUE PAYMENT-AS PER FINAL INVOICE
US$]]</f>
        <v>0</v>
      </c>
      <c r="O7" s="347">
        <v>41965.93</v>
      </c>
      <c r="P7" s="280">
        <v>56569</v>
      </c>
      <c r="Q7" s="232" t="s">
        <v>361</v>
      </c>
      <c r="R7" s="83" t="s">
        <v>482</v>
      </c>
    </row>
    <row r="8" spans="1:21" x14ac:dyDescent="0.35">
      <c r="A8" s="244" t="s">
        <v>286</v>
      </c>
      <c r="B8" s="230" t="s">
        <v>277</v>
      </c>
      <c r="C8" s="230"/>
      <c r="D8" s="291">
        <v>6039</v>
      </c>
      <c r="E8" s="266">
        <v>45695</v>
      </c>
      <c r="F8" s="266">
        <v>45695</v>
      </c>
      <c r="G8" s="231" t="s">
        <v>279</v>
      </c>
      <c r="H8" s="228">
        <v>30</v>
      </c>
      <c r="I8" s="269">
        <f>Tabela1[[#This Row],[DATA  COLETA (ESTIMADA)]]+Tabela1[[#This Row],[days]]</f>
        <v>45725</v>
      </c>
      <c r="J8" s="34"/>
      <c r="K8" s="34"/>
      <c r="L8" s="26">
        <v>39447.859999999993</v>
      </c>
      <c r="M8" s="26">
        <v>39447.859999999993</v>
      </c>
      <c r="N8" s="117">
        <f>Tabela1[[#This Row],[ADVANCE PAYMENT / FINAL PAYM''T/ NC 
(US$)]]-Tabela1[[#This Row],[TOTAL DUE PAYMENT-AS PER FINAL INVOICE
US$]]</f>
        <v>0</v>
      </c>
      <c r="O8" s="347">
        <f>220531.08+10617.6</f>
        <v>231148.68</v>
      </c>
      <c r="P8" s="280" t="s">
        <v>330</v>
      </c>
      <c r="Q8" s="234" t="s">
        <v>361</v>
      </c>
      <c r="R8" s="83"/>
    </row>
    <row r="9" spans="1:21" ht="17.25" customHeight="1" x14ac:dyDescent="0.35">
      <c r="A9" s="244" t="s">
        <v>302</v>
      </c>
      <c r="B9" s="230" t="s">
        <v>914</v>
      </c>
      <c r="C9" s="230" t="s">
        <v>843</v>
      </c>
      <c r="D9" s="279">
        <v>5929</v>
      </c>
      <c r="E9" s="266">
        <v>45660</v>
      </c>
      <c r="F9" s="266">
        <v>45791</v>
      </c>
      <c r="G9" s="231" t="s">
        <v>304</v>
      </c>
      <c r="H9" s="228">
        <v>60</v>
      </c>
      <c r="I9" s="269">
        <f>Tabela1[[#This Row],[DATA  COLETA (ESTIMADA)]]+Tabela1[[#This Row],[days]]</f>
        <v>45851</v>
      </c>
      <c r="J9" s="34"/>
      <c r="K9" s="34"/>
      <c r="L9" s="26">
        <v>1302.8399999999999</v>
      </c>
      <c r="M9" s="69">
        <v>1302.8399999999999</v>
      </c>
      <c r="N9" s="117">
        <f>Tabela1[[#This Row],[ADVANCE PAYMENT / FINAL PAYM''T/ NC 
(US$)]]-Tabela1[[#This Row],[TOTAL DUE PAYMENT-AS PER FINAL INVOICE
US$]]</f>
        <v>0</v>
      </c>
      <c r="O9" s="83">
        <v>8017.81</v>
      </c>
      <c r="P9" s="281" t="s">
        <v>456</v>
      </c>
      <c r="Q9" s="235" t="s">
        <v>424</v>
      </c>
      <c r="R9" s="83" t="s">
        <v>455</v>
      </c>
    </row>
    <row r="10" spans="1:21" x14ac:dyDescent="0.35">
      <c r="A10" s="244" t="s">
        <v>283</v>
      </c>
      <c r="B10" s="230" t="s">
        <v>285</v>
      </c>
      <c r="C10" s="230"/>
      <c r="D10" s="291">
        <v>6168</v>
      </c>
      <c r="E10" s="266">
        <v>45677</v>
      </c>
      <c r="F10" s="266">
        <v>45677</v>
      </c>
      <c r="G10" s="231" t="s">
        <v>284</v>
      </c>
      <c r="H10" s="228">
        <v>0</v>
      </c>
      <c r="I10" s="269">
        <f>Tabela1[[#This Row],[DATA  COLETA (ESTIMADA)]]+Tabela1[[#This Row],[days]]</f>
        <v>45677</v>
      </c>
      <c r="J10" s="34"/>
      <c r="K10" s="34"/>
      <c r="L10" s="26">
        <v>6099.58</v>
      </c>
      <c r="M10" s="26">
        <v>6099.58</v>
      </c>
      <c r="N10" s="117">
        <f>Tabela1[[#This Row],[ADVANCE PAYMENT / FINAL PAYM''T/ NC 
(US$)]]-Tabela1[[#This Row],[TOTAL DUE PAYMENT-AS PER FINAL INVOICE
US$]]</f>
        <v>0</v>
      </c>
      <c r="O10" s="347">
        <v>37706.53</v>
      </c>
      <c r="P10" s="280">
        <v>56743</v>
      </c>
      <c r="Q10" s="232" t="s">
        <v>361</v>
      </c>
      <c r="R10" s="83" t="s">
        <v>328</v>
      </c>
    </row>
    <row r="11" spans="1:21" x14ac:dyDescent="0.35">
      <c r="A11" s="244" t="s">
        <v>273</v>
      </c>
      <c r="B11" s="230" t="s">
        <v>272</v>
      </c>
      <c r="C11" s="230" t="s">
        <v>839</v>
      </c>
      <c r="D11" s="291">
        <v>4645</v>
      </c>
      <c r="E11" s="266">
        <v>45660</v>
      </c>
      <c r="F11" s="266">
        <v>45660</v>
      </c>
      <c r="G11" s="231" t="s">
        <v>274</v>
      </c>
      <c r="H11" s="228">
        <v>0</v>
      </c>
      <c r="I11" s="269">
        <f>Tabela1[[#This Row],[DATA  COLETA (ESTIMADA)]]+Tabela1[[#This Row],[days]]</f>
        <v>45660</v>
      </c>
      <c r="J11" s="34"/>
      <c r="K11" s="34"/>
      <c r="L11" s="26">
        <v>2839.2</v>
      </c>
      <c r="M11" s="26">
        <v>2839.2</v>
      </c>
      <c r="N11" s="117">
        <f>Tabela1[[#This Row],[ADVANCE PAYMENT / FINAL PAYM''T/ NC 
(US$)]]-Tabela1[[#This Row],[TOTAL DUE PAYMENT-AS PER FINAL INVOICE
US$]]</f>
        <v>0</v>
      </c>
      <c r="O11" s="83">
        <v>17472.72</v>
      </c>
      <c r="P11" s="280">
        <v>56543</v>
      </c>
      <c r="Q11" s="232" t="s">
        <v>361</v>
      </c>
      <c r="R11" s="83" t="s">
        <v>479</v>
      </c>
    </row>
    <row r="12" spans="1:21" ht="15" customHeight="1" x14ac:dyDescent="0.35">
      <c r="A12" s="244" t="s">
        <v>0</v>
      </c>
      <c r="B12" s="230" t="s">
        <v>282</v>
      </c>
      <c r="C12" s="230"/>
      <c r="D12" s="291">
        <v>6142</v>
      </c>
      <c r="E12" s="266">
        <v>45671</v>
      </c>
      <c r="F12" s="266">
        <v>45687</v>
      </c>
      <c r="G12" s="236" t="s">
        <v>359</v>
      </c>
      <c r="H12" s="228">
        <v>30</v>
      </c>
      <c r="I12" s="269">
        <f>Tabela1[[#This Row],[DATA  COLETA (ESTIMADA)]]+Tabela1[[#This Row],[days]]</f>
        <v>45717</v>
      </c>
      <c r="J12" s="34"/>
      <c r="K12" s="34"/>
      <c r="L12" s="26">
        <v>4583.75</v>
      </c>
      <c r="M12" s="51">
        <f>4213.29+370.46</f>
        <v>4583.75</v>
      </c>
      <c r="N12" s="117">
        <f>Tabela1[[#This Row],[ADVANCE PAYMENT / FINAL PAYM''T/ NC 
(US$)]]-Tabela1[[#This Row],[TOTAL DUE PAYMENT-AS PER FINAL INVOICE
US$]]</f>
        <v>0</v>
      </c>
      <c r="O12" s="347">
        <v>26858.94</v>
      </c>
      <c r="P12" s="280">
        <v>56802</v>
      </c>
      <c r="Q12" s="232" t="s">
        <v>361</v>
      </c>
      <c r="R12" s="237" t="s">
        <v>408</v>
      </c>
    </row>
    <row r="13" spans="1:21" ht="15" customHeight="1" x14ac:dyDescent="0.35">
      <c r="A13" s="244" t="s">
        <v>300</v>
      </c>
      <c r="B13" s="230" t="s">
        <v>291</v>
      </c>
      <c r="C13" s="230"/>
      <c r="D13" s="293" t="s">
        <v>332</v>
      </c>
      <c r="E13" s="266">
        <v>45686</v>
      </c>
      <c r="F13" s="266">
        <v>45686</v>
      </c>
      <c r="G13" s="231" t="s">
        <v>290</v>
      </c>
      <c r="H13" s="228">
        <v>90</v>
      </c>
      <c r="I13" s="269">
        <f>Tabela1[[#This Row],[DATA  COLETA (ESTIMADA)]]+Tabela1[[#This Row],[days]]</f>
        <v>45776</v>
      </c>
      <c r="J13" s="34"/>
      <c r="K13" s="34"/>
      <c r="L13" s="26">
        <v>13980.26</v>
      </c>
      <c r="M13" s="66">
        <v>13980.26</v>
      </c>
      <c r="N13" s="117">
        <f>Tabela1[[#This Row],[ADVANCE PAYMENT / FINAL PAYM''T/ NC 
(US$)]]-Tabela1[[#This Row],[TOTAL DUE PAYMENT-AS PER FINAL INVOICE
US$]]</f>
        <v>0</v>
      </c>
      <c r="O13" s="347">
        <v>82385.67</v>
      </c>
      <c r="P13" s="280">
        <v>56774</v>
      </c>
      <c r="Q13" s="232" t="s">
        <v>361</v>
      </c>
      <c r="R13" s="83" t="s">
        <v>407</v>
      </c>
    </row>
    <row r="14" spans="1:21" ht="12.75" customHeight="1" x14ac:dyDescent="0.35">
      <c r="A14" s="313" t="s">
        <v>289</v>
      </c>
      <c r="B14" s="238" t="s">
        <v>291</v>
      </c>
      <c r="C14" s="238"/>
      <c r="D14" s="292">
        <v>6114</v>
      </c>
      <c r="E14" s="267">
        <v>45716</v>
      </c>
      <c r="F14" s="267">
        <v>45716</v>
      </c>
      <c r="G14" s="239" t="s">
        <v>290</v>
      </c>
      <c r="H14" s="228">
        <v>90</v>
      </c>
      <c r="I14" s="270">
        <f>Tabela1[[#This Row],[DATA  COLETA (ESTIMADA)]]+Tabela1[[#This Row],[days]]</f>
        <v>45806</v>
      </c>
      <c r="J14" s="240"/>
      <c r="K14" s="240"/>
      <c r="L14" s="241"/>
      <c r="M14" s="73"/>
      <c r="N14" s="117">
        <f>Tabela1[[#This Row],[ADVANCE PAYMENT / FINAL PAYM''T/ NC 
(US$)]]-Tabela1[[#This Row],[TOTAL DUE PAYMENT-AS PER FINAL INVOICE
US$]]</f>
        <v>0</v>
      </c>
      <c r="O14" s="348">
        <v>47380.3</v>
      </c>
      <c r="P14" s="282">
        <v>57134</v>
      </c>
      <c r="Q14" s="235" t="s">
        <v>423</v>
      </c>
      <c r="R14" s="83" t="s">
        <v>457</v>
      </c>
    </row>
    <row r="15" spans="1:21" x14ac:dyDescent="0.35">
      <c r="A15" s="244" t="s">
        <v>320</v>
      </c>
      <c r="B15" s="230" t="s">
        <v>272</v>
      </c>
      <c r="C15" s="230" t="s">
        <v>839</v>
      </c>
      <c r="D15" s="290">
        <v>6309</v>
      </c>
      <c r="E15" s="266">
        <v>45777</v>
      </c>
      <c r="F15" s="266">
        <v>45803</v>
      </c>
      <c r="G15" s="242" t="s">
        <v>359</v>
      </c>
      <c r="H15" s="228">
        <v>30</v>
      </c>
      <c r="I15" s="269">
        <f>Tabela1[[#This Row],[DATA  COLETA (ESTIMADA)]]+Tabela1[[#This Row],[days]]</f>
        <v>45833</v>
      </c>
      <c r="J15" s="243"/>
      <c r="K15" s="243"/>
      <c r="L15" s="26">
        <v>3385.14</v>
      </c>
      <c r="M15" s="23">
        <v>3385.14</v>
      </c>
      <c r="N15" s="117">
        <f>Tabela1[[#This Row],[ADVANCE PAYMENT / FINAL PAYM''T/ NC 
(US$)]]-Tabela1[[#This Row],[TOTAL DUE PAYMENT-AS PER FINAL INVOICE
US$]]</f>
        <v>0</v>
      </c>
      <c r="O15" s="347">
        <v>15748.19</v>
      </c>
      <c r="P15" s="280">
        <v>57899</v>
      </c>
      <c r="Q15" s="232" t="s">
        <v>361</v>
      </c>
      <c r="R15" s="83" t="s">
        <v>940</v>
      </c>
    </row>
    <row r="16" spans="1:21" ht="14.25" customHeight="1" x14ac:dyDescent="0.35">
      <c r="A16" s="244" t="s">
        <v>295</v>
      </c>
      <c r="B16" s="230" t="s">
        <v>277</v>
      </c>
      <c r="C16" s="230"/>
      <c r="D16" s="291">
        <v>6353</v>
      </c>
      <c r="E16" s="266">
        <v>45716</v>
      </c>
      <c r="F16" s="266">
        <v>45716</v>
      </c>
      <c r="G16" s="231" t="s">
        <v>279</v>
      </c>
      <c r="H16" s="228">
        <v>30</v>
      </c>
      <c r="I16" s="269">
        <f>Tabela1[[#This Row],[DATA  COLETA (ESTIMADA)]]+Tabela1[[#This Row],[days]]</f>
        <v>45746</v>
      </c>
      <c r="J16" s="34"/>
      <c r="K16" s="34"/>
      <c r="L16" s="26">
        <v>42371.047399999996</v>
      </c>
      <c r="M16" s="26">
        <v>42371.047399999996</v>
      </c>
      <c r="N16" s="117">
        <f>Tabela1[[#This Row],[ADVANCE PAYMENT / FINAL PAYM''T/ NC 
(US$)]]-Tabela1[[#This Row],[TOTAL DUE PAYMENT-AS PER FINAL INVOICE
US$]]</f>
        <v>0</v>
      </c>
      <c r="O16" s="347">
        <v>246718.14</v>
      </c>
      <c r="P16" s="280">
        <v>57145</v>
      </c>
      <c r="Q16" s="232" t="s">
        <v>361</v>
      </c>
      <c r="R16" s="83"/>
    </row>
    <row r="17" spans="1:18" x14ac:dyDescent="0.35">
      <c r="A17" s="244" t="s">
        <v>5</v>
      </c>
      <c r="B17" s="230" t="s">
        <v>282</v>
      </c>
      <c r="C17" s="230"/>
      <c r="D17" s="291">
        <v>6384</v>
      </c>
      <c r="E17" s="266">
        <v>45701</v>
      </c>
      <c r="F17" s="266">
        <v>45726</v>
      </c>
      <c r="G17" s="236" t="s">
        <v>359</v>
      </c>
      <c r="H17" s="228">
        <v>30</v>
      </c>
      <c r="I17" s="269">
        <f>Tabela1[[#This Row],[DATA  COLETA (ESTIMADA)]]+Tabela1[[#This Row],[days]]</f>
        <v>45756</v>
      </c>
      <c r="J17" s="34"/>
      <c r="K17" s="34"/>
      <c r="L17" s="26">
        <v>10252.799999999999</v>
      </c>
      <c r="M17" s="51">
        <v>10252.799999999999</v>
      </c>
      <c r="N17" s="117">
        <f>Tabela1[[#This Row],[ADVANCE PAYMENT / FINAL PAYM''T/ NC 
(US$)]]-Tabela1[[#This Row],[TOTAL DUE PAYMENT-AS PER FINAL INVOICE
US$]]</f>
        <v>0</v>
      </c>
      <c r="O17" s="347">
        <f>27860.93+32462.42</f>
        <v>60323.35</v>
      </c>
      <c r="P17" s="280" t="s">
        <v>333</v>
      </c>
      <c r="Q17" s="234" t="s">
        <v>361</v>
      </c>
      <c r="R17" s="237" t="s">
        <v>408</v>
      </c>
    </row>
    <row r="18" spans="1:18" x14ac:dyDescent="0.35">
      <c r="A18" s="244" t="s">
        <v>5</v>
      </c>
      <c r="B18" s="230" t="s">
        <v>272</v>
      </c>
      <c r="C18" s="230" t="s">
        <v>839</v>
      </c>
      <c r="D18" s="291">
        <v>6309</v>
      </c>
      <c r="E18" s="266">
        <v>45741</v>
      </c>
      <c r="F18" s="266">
        <v>45741</v>
      </c>
      <c r="G18" s="231" t="s">
        <v>359</v>
      </c>
      <c r="H18" s="228">
        <v>30</v>
      </c>
      <c r="I18" s="269">
        <f>Tabela1[[#This Row],[DATA  COLETA (ESTIMADA)]]+Tabela1[[#This Row],[days]]</f>
        <v>45771</v>
      </c>
      <c r="J18" s="34"/>
      <c r="K18" s="34"/>
      <c r="L18" s="26">
        <v>5271.96</v>
      </c>
      <c r="M18" s="23">
        <v>5271.96</v>
      </c>
      <c r="N18" s="117">
        <f>Tabela1[[#This Row],[ADVANCE PAYMENT / FINAL PAYM''T/ NC 
(US$)]]-Tabela1[[#This Row],[TOTAL DUE PAYMENT-AS PER FINAL INVOICE
US$]]</f>
        <v>0</v>
      </c>
      <c r="O18" s="347">
        <v>24559.87</v>
      </c>
      <c r="P18" s="280">
        <v>57401</v>
      </c>
      <c r="Q18" s="232" t="s">
        <v>361</v>
      </c>
      <c r="R18" s="83" t="s">
        <v>480</v>
      </c>
    </row>
    <row r="19" spans="1:18" x14ac:dyDescent="0.35">
      <c r="A19" s="244" t="s">
        <v>292</v>
      </c>
      <c r="B19" s="230" t="s">
        <v>285</v>
      </c>
      <c r="C19" s="230"/>
      <c r="D19" s="291">
        <v>6310</v>
      </c>
      <c r="E19" s="266">
        <v>45741</v>
      </c>
      <c r="F19" s="266">
        <v>45741</v>
      </c>
      <c r="G19" s="231" t="s">
        <v>284</v>
      </c>
      <c r="H19" s="228">
        <v>0</v>
      </c>
      <c r="I19" s="269">
        <f>Tabela1[[#This Row],[DATA  COLETA (ESTIMADA)]]+Tabela1[[#This Row],[days]]</f>
        <v>45741</v>
      </c>
      <c r="J19" s="34"/>
      <c r="K19" s="34"/>
      <c r="L19" s="26">
        <v>3483.0436</v>
      </c>
      <c r="M19" s="26">
        <v>3483.0436</v>
      </c>
      <c r="N19" s="117">
        <f>Tabela1[[#This Row],[ADVANCE PAYMENT / FINAL PAYM''T/ NC 
(US$)]]-Tabela1[[#This Row],[TOTAL DUE PAYMENT-AS PER FINAL INVOICE
US$]]</f>
        <v>0</v>
      </c>
      <c r="O19" s="347">
        <v>19993.72</v>
      </c>
      <c r="P19" s="280">
        <v>57396</v>
      </c>
      <c r="Q19" s="232" t="s">
        <v>361</v>
      </c>
      <c r="R19" s="83"/>
    </row>
    <row r="20" spans="1:18" x14ac:dyDescent="0.35">
      <c r="A20" s="244" t="s">
        <v>310</v>
      </c>
      <c r="B20" s="230" t="s">
        <v>277</v>
      </c>
      <c r="C20" s="230"/>
      <c r="D20" s="290" t="s">
        <v>355</v>
      </c>
      <c r="E20" s="266">
        <v>45743</v>
      </c>
      <c r="F20" s="266">
        <v>45769</v>
      </c>
      <c r="G20" s="231" t="s">
        <v>279</v>
      </c>
      <c r="H20" s="228">
        <v>30</v>
      </c>
      <c r="I20" s="269">
        <f>Tabela1[[#This Row],[DATA  COLETA (ESTIMADA)]]+Tabela1[[#This Row],[days]]</f>
        <v>45799</v>
      </c>
      <c r="J20" s="34"/>
      <c r="K20" s="34"/>
      <c r="L20" s="26">
        <v>50430.38</v>
      </c>
      <c r="M20" s="26">
        <v>50430.38</v>
      </c>
      <c r="N20" s="117">
        <f>Tabela1[[#This Row],[ADVANCE PAYMENT / FINAL PAYM''T/ NC 
(US$)]]-Tabela1[[#This Row],[TOTAL DUE PAYMENT-AS PER FINAL INVOICE
US$]]</f>
        <v>0</v>
      </c>
      <c r="O20" s="347">
        <v>295315.24</v>
      </c>
      <c r="P20" s="280">
        <v>57746</v>
      </c>
      <c r="Q20" s="232" t="s">
        <v>361</v>
      </c>
      <c r="R20" s="83" t="s">
        <v>334</v>
      </c>
    </row>
    <row r="21" spans="1:18" x14ac:dyDescent="0.35">
      <c r="A21" s="244" t="s">
        <v>310</v>
      </c>
      <c r="B21" s="230" t="s">
        <v>914</v>
      </c>
      <c r="C21" s="230" t="s">
        <v>843</v>
      </c>
      <c r="D21" s="279" t="s">
        <v>358</v>
      </c>
      <c r="E21" s="266">
        <v>45761</v>
      </c>
      <c r="F21" s="266">
        <v>45791</v>
      </c>
      <c r="G21" s="231" t="s">
        <v>304</v>
      </c>
      <c r="H21" s="228">
        <v>60</v>
      </c>
      <c r="I21" s="269">
        <f>Tabela1[[#This Row],[DATA  COLETA (ESTIMADA)]]+Tabela1[[#This Row],[days]]</f>
        <v>45851</v>
      </c>
      <c r="J21" s="244"/>
      <c r="K21" s="244"/>
      <c r="L21" s="26">
        <v>29668.52</v>
      </c>
      <c r="M21" s="69">
        <v>30363.32</v>
      </c>
      <c r="N21" s="459">
        <f>Tabela1[[#This Row],[ADVANCE PAYMENT / FINAL PAYM''T/ NC 
(US$)]]-Tabela1[[#This Row],[TOTAL DUE PAYMENT-AS PER FINAL INVOICE
US$]]</f>
        <v>694.79999999999927</v>
      </c>
      <c r="O21" s="347">
        <v>105997.81</v>
      </c>
      <c r="P21" s="280" t="s">
        <v>339</v>
      </c>
      <c r="Q21" s="232" t="s">
        <v>361</v>
      </c>
      <c r="R21" s="83" t="s">
        <v>519</v>
      </c>
    </row>
    <row r="22" spans="1:18" ht="13.5" customHeight="1" x14ac:dyDescent="0.35">
      <c r="A22" s="244" t="s">
        <v>299</v>
      </c>
      <c r="B22" s="230" t="s">
        <v>277</v>
      </c>
      <c r="C22" s="230"/>
      <c r="D22" s="293" t="s">
        <v>350</v>
      </c>
      <c r="E22" s="266">
        <v>45754</v>
      </c>
      <c r="F22" s="266">
        <v>45754</v>
      </c>
      <c r="G22" s="231" t="s">
        <v>279</v>
      </c>
      <c r="H22" s="228">
        <v>30</v>
      </c>
      <c r="I22" s="269">
        <f>Tabela1[[#This Row],[DATA  COLETA (ESTIMADA)]]+Tabela1[[#This Row],[days]]</f>
        <v>45784</v>
      </c>
      <c r="J22" s="34"/>
      <c r="K22" s="34"/>
      <c r="L22" s="26">
        <v>55384.549999999996</v>
      </c>
      <c r="M22" s="26">
        <v>55384.549999999996</v>
      </c>
      <c r="N22" s="117">
        <f>Tabela1[[#This Row],[ADVANCE PAYMENT / FINAL PAYM''T/ NC 
(US$)]]-Tabela1[[#This Row],[TOTAL DUE PAYMENT-AS PER FINAL INVOICE
US$]]</f>
        <v>0</v>
      </c>
      <c r="O22" s="347">
        <f>11933.14+262432.92+9160.55+35911.99</f>
        <v>319438.59999999998</v>
      </c>
      <c r="P22" s="280" t="s">
        <v>331</v>
      </c>
      <c r="Q22" s="232" t="s">
        <v>361</v>
      </c>
      <c r="R22" s="83"/>
    </row>
    <row r="23" spans="1:18" ht="24.5" customHeight="1" x14ac:dyDescent="0.35">
      <c r="A23" s="244" t="s">
        <v>296</v>
      </c>
      <c r="B23" s="230" t="s">
        <v>298</v>
      </c>
      <c r="C23" s="230"/>
      <c r="D23" s="294">
        <v>6732</v>
      </c>
      <c r="E23" s="266">
        <v>45751</v>
      </c>
      <c r="F23" s="266">
        <v>45800</v>
      </c>
      <c r="G23" s="231" t="s">
        <v>293</v>
      </c>
      <c r="H23" s="359">
        <v>60</v>
      </c>
      <c r="I23" s="269">
        <f>Tabela1[[#This Row],[DATA  COLETA (ESTIMADA)]]+Tabela1[[#This Row],[days]]</f>
        <v>45860</v>
      </c>
      <c r="J23" s="246">
        <v>24544.55</v>
      </c>
      <c r="K23" s="245"/>
      <c r="L23" s="26">
        <v>51274.55</v>
      </c>
      <c r="M23" s="71">
        <f>33656.36+4500</f>
        <v>38156.36</v>
      </c>
      <c r="N23" s="117">
        <f>Tabela1[[#This Row],[ADVANCE PAYMENT / FINAL PAYM''T/ NC 
(US$)]]-Tabela1[[#This Row],[TOTAL DUE PAYMENT-AS PER FINAL INVOICE
US$]]</f>
        <v>-13118.190000000002</v>
      </c>
      <c r="O23" s="347">
        <v>287481.02</v>
      </c>
      <c r="P23" s="280" t="s">
        <v>708</v>
      </c>
      <c r="Q23" s="353" t="s">
        <v>421</v>
      </c>
      <c r="R23" s="473" t="s">
        <v>859</v>
      </c>
    </row>
    <row r="24" spans="1:18" ht="21.5" customHeight="1" x14ac:dyDescent="0.35">
      <c r="A24" s="244" t="s">
        <v>294</v>
      </c>
      <c r="B24" s="230" t="s">
        <v>297</v>
      </c>
      <c r="C24" s="230"/>
      <c r="D24" s="279" t="s">
        <v>718</v>
      </c>
      <c r="E24" s="266">
        <v>45751</v>
      </c>
      <c r="F24" s="266">
        <v>45800</v>
      </c>
      <c r="G24" s="231" t="s">
        <v>293</v>
      </c>
      <c r="H24" s="359">
        <v>60</v>
      </c>
      <c r="I24" s="269">
        <f>Tabela1[[#This Row],[DATA  COLETA (ESTIMADA)]]+Tabela1[[#This Row],[days]]</f>
        <v>45860</v>
      </c>
      <c r="J24" s="246">
        <v>26730</v>
      </c>
      <c r="K24" s="245"/>
      <c r="L24" s="80"/>
      <c r="M24" s="80"/>
      <c r="N24" s="117">
        <f>Tabela1[[#This Row],[ADVANCE PAYMENT / FINAL PAYM''T/ NC 
(US$)]]-Tabela1[[#This Row],[TOTAL DUE PAYMENT-AS PER FINAL INVOICE
US$]]</f>
        <v>0</v>
      </c>
      <c r="O24" s="347">
        <v>149867.09</v>
      </c>
      <c r="P24" s="280">
        <v>57547</v>
      </c>
      <c r="Q24" s="353" t="s">
        <v>421</v>
      </c>
      <c r="R24" s="473" t="s">
        <v>860</v>
      </c>
    </row>
    <row r="25" spans="1:18" ht="19" x14ac:dyDescent="0.35">
      <c r="A25" s="244" t="s">
        <v>309</v>
      </c>
      <c r="B25" s="230" t="s">
        <v>291</v>
      </c>
      <c r="C25" s="230"/>
      <c r="D25" s="295" t="s">
        <v>357</v>
      </c>
      <c r="E25" s="266">
        <v>45754</v>
      </c>
      <c r="F25" s="266">
        <v>45792</v>
      </c>
      <c r="G25" s="231" t="s">
        <v>290</v>
      </c>
      <c r="H25" s="228">
        <v>90</v>
      </c>
      <c r="I25" s="269">
        <f>Tabela1[[#This Row],[DATA  COLETA (ESTIMADA)]]+Tabela1[[#This Row],[days]]</f>
        <v>45882</v>
      </c>
      <c r="J25" s="34"/>
      <c r="K25" s="34"/>
      <c r="L25" s="26"/>
      <c r="M25" s="66"/>
      <c r="N25" s="117">
        <f>Tabela1[[#This Row],[ADVANCE PAYMENT / FINAL PAYM''T/ NC 
(US$)]]-Tabela1[[#This Row],[TOTAL DUE PAYMENT-AS PER FINAL INVOICE
US$]]</f>
        <v>0</v>
      </c>
      <c r="O25" s="347" t="s">
        <v>55</v>
      </c>
      <c r="P25" s="280" t="s">
        <v>337</v>
      </c>
      <c r="Q25" s="232" t="s">
        <v>361</v>
      </c>
      <c r="R25" s="83" t="s">
        <v>403</v>
      </c>
    </row>
    <row r="26" spans="1:18" x14ac:dyDescent="0.35">
      <c r="A26" s="244" t="s">
        <v>309</v>
      </c>
      <c r="B26" s="248" t="s">
        <v>323</v>
      </c>
      <c r="C26" s="248"/>
      <c r="D26" s="290">
        <v>6706</v>
      </c>
      <c r="E26" s="266">
        <v>45790</v>
      </c>
      <c r="F26" s="266">
        <v>45793</v>
      </c>
      <c r="G26" s="231" t="s">
        <v>322</v>
      </c>
      <c r="H26" s="228">
        <v>90</v>
      </c>
      <c r="I26" s="269">
        <f>Tabela1[[#This Row],[DATA  COLETA (ESTIMADA)]]+Tabela1[[#This Row],[days]]</f>
        <v>45883</v>
      </c>
      <c r="J26" s="34"/>
      <c r="K26" s="34"/>
      <c r="L26" s="26">
        <v>24721.14</v>
      </c>
      <c r="M26" s="23">
        <f>4970+10000+9721.14+30</f>
        <v>24721.14</v>
      </c>
      <c r="N26" s="117">
        <f>Tabela1[[#This Row],[ADVANCE PAYMENT / FINAL PAYM''T/ NC 
(US$)]]-Tabela1[[#This Row],[TOTAL DUE PAYMENT-AS PER FINAL INVOICE
US$]]</f>
        <v>0</v>
      </c>
      <c r="O26" s="347">
        <f>64073.52+75285.87</f>
        <v>139359.38999999998</v>
      </c>
      <c r="P26" s="280" t="s">
        <v>338</v>
      </c>
      <c r="Q26" s="232" t="s">
        <v>361</v>
      </c>
      <c r="R26" s="83" t="s">
        <v>927</v>
      </c>
    </row>
    <row r="27" spans="1:18" x14ac:dyDescent="0.35">
      <c r="A27" s="244" t="s">
        <v>4</v>
      </c>
      <c r="B27" s="230" t="s">
        <v>277</v>
      </c>
      <c r="C27" s="230"/>
      <c r="D27" s="290" t="s">
        <v>356</v>
      </c>
      <c r="E27" s="266">
        <v>45756</v>
      </c>
      <c r="F27" s="266">
        <v>45786</v>
      </c>
      <c r="G27" s="231" t="s">
        <v>279</v>
      </c>
      <c r="H27" s="228">
        <v>30</v>
      </c>
      <c r="I27" s="269">
        <f>Tabela1[[#This Row],[DATA  COLETA (ESTIMADA)]]+Tabela1[[#This Row],[days]]</f>
        <v>45816</v>
      </c>
      <c r="J27" s="34"/>
      <c r="K27" s="34"/>
      <c r="L27" s="26">
        <v>63969.62000000001</v>
      </c>
      <c r="M27" s="26">
        <v>63969.62000000001</v>
      </c>
      <c r="N27" s="117">
        <f>Tabela1[[#This Row],[ADVANCE PAYMENT / FINAL PAYM''T/ NC 
(US$)]]-Tabela1[[#This Row],[TOTAL DUE PAYMENT-AS PER FINAL INVOICE
US$]]</f>
        <v>0</v>
      </c>
      <c r="O27" s="347">
        <f>34858.59+328872.65</f>
        <v>363731.24</v>
      </c>
      <c r="P27" s="280" t="s">
        <v>335</v>
      </c>
      <c r="Q27" s="232" t="s">
        <v>361</v>
      </c>
      <c r="R27" s="83"/>
    </row>
    <row r="28" spans="1:18" x14ac:dyDescent="0.35">
      <c r="A28" s="244" t="s">
        <v>4</v>
      </c>
      <c r="B28" s="230" t="s">
        <v>311</v>
      </c>
      <c r="C28" s="386" t="s">
        <v>840</v>
      </c>
      <c r="D28" s="290">
        <v>6597</v>
      </c>
      <c r="E28" s="266">
        <v>45758</v>
      </c>
      <c r="F28" s="266">
        <v>45758</v>
      </c>
      <c r="G28" s="231" t="s">
        <v>274</v>
      </c>
      <c r="H28" s="228">
        <v>0</v>
      </c>
      <c r="I28" s="269">
        <f>Tabela1[[#This Row],[DATA  COLETA (ESTIMADA)]]+Tabela1[[#This Row],[days]]</f>
        <v>45758</v>
      </c>
      <c r="J28" s="34"/>
      <c r="K28" s="34"/>
      <c r="L28" s="26">
        <v>1610.8200000000002</v>
      </c>
      <c r="M28" s="26">
        <v>1610.8200000000002</v>
      </c>
      <c r="N28" s="117">
        <f>Tabela1[[#This Row],[ADVANCE PAYMENT / FINAL PAYM''T/ NC 
(US$)]]-Tabela1[[#This Row],[TOTAL DUE PAYMENT-AS PER FINAL INVOICE
US$]]</f>
        <v>0</v>
      </c>
      <c r="O28" s="347">
        <v>9522.36</v>
      </c>
      <c r="P28" s="280">
        <v>57657</v>
      </c>
      <c r="Q28" s="232" t="s">
        <v>361</v>
      </c>
      <c r="R28" s="83"/>
    </row>
    <row r="29" spans="1:18" ht="16.5" customHeight="1" x14ac:dyDescent="0.35">
      <c r="A29" s="244" t="s">
        <v>4</v>
      </c>
      <c r="B29" s="230" t="s">
        <v>291</v>
      </c>
      <c r="C29" s="230"/>
      <c r="D29" s="296" t="s">
        <v>412</v>
      </c>
      <c r="E29" s="266">
        <v>45777</v>
      </c>
      <c r="F29" s="266">
        <v>45792</v>
      </c>
      <c r="G29" s="231" t="s">
        <v>290</v>
      </c>
      <c r="H29" s="228">
        <v>90</v>
      </c>
      <c r="I29" s="269">
        <f>Tabela1[[#This Row],[DATA  COLETA (ESTIMADA)]]+Tabela1[[#This Row],[days]]</f>
        <v>45882</v>
      </c>
      <c r="J29" s="34"/>
      <c r="K29" s="34"/>
      <c r="L29" s="32">
        <v>8953.4299999999985</v>
      </c>
      <c r="M29" s="74">
        <v>8953.43</v>
      </c>
      <c r="N29" s="117">
        <f>Tabela1[[#This Row],[ADVANCE PAYMENT / FINAL PAYM''T/ NC 
(US$)]]-Tabela1[[#This Row],[TOTAL DUE PAYMENT-AS PER FINAL INVOICE
US$]]</f>
        <v>0</v>
      </c>
      <c r="O29" s="347">
        <v>23579.07</v>
      </c>
      <c r="P29" s="280">
        <v>58048</v>
      </c>
      <c r="Q29" s="232" t="s">
        <v>361</v>
      </c>
      <c r="R29" s="83" t="s">
        <v>520</v>
      </c>
    </row>
    <row r="30" spans="1:18" x14ac:dyDescent="0.35">
      <c r="A30" s="244" t="s">
        <v>3</v>
      </c>
      <c r="B30" s="230" t="s">
        <v>306</v>
      </c>
      <c r="C30" s="230"/>
      <c r="D30" s="291">
        <v>6495</v>
      </c>
      <c r="E30" s="266">
        <v>45758</v>
      </c>
      <c r="F30" s="266">
        <v>45758</v>
      </c>
      <c r="G30" s="231" t="s">
        <v>274</v>
      </c>
      <c r="H30" s="228">
        <v>0</v>
      </c>
      <c r="I30" s="269">
        <f>Tabela1[[#This Row],[DATA  COLETA (ESTIMADA)]]+Tabela1[[#This Row],[days]]</f>
        <v>45758</v>
      </c>
      <c r="J30" s="34"/>
      <c r="K30" s="34"/>
      <c r="L30" s="26">
        <v>6438.41</v>
      </c>
      <c r="M30" s="26">
        <f>5906+532.41</f>
        <v>6438.41</v>
      </c>
      <c r="N30" s="117">
        <f>Tabela1[[#This Row],[ADVANCE PAYMENT / FINAL PAYM''T/ NC 
(US$)]]-Tabela1[[#This Row],[TOTAL DUE PAYMENT-AS PER FINAL INVOICE
US$]]</f>
        <v>0</v>
      </c>
      <c r="O30" s="347">
        <v>38060.65</v>
      </c>
      <c r="P30" s="280">
        <v>57658</v>
      </c>
      <c r="Q30" s="232" t="s">
        <v>361</v>
      </c>
      <c r="R30" s="83"/>
    </row>
    <row r="31" spans="1:18" x14ac:dyDescent="0.35">
      <c r="A31" s="313" t="s">
        <v>312</v>
      </c>
      <c r="B31" s="230" t="s">
        <v>291</v>
      </c>
      <c r="C31" s="230"/>
      <c r="D31" s="290">
        <v>6875</v>
      </c>
      <c r="E31" s="266">
        <v>45754</v>
      </c>
      <c r="F31" s="266">
        <v>45771</v>
      </c>
      <c r="G31" s="231" t="s">
        <v>290</v>
      </c>
      <c r="H31" s="228">
        <v>90</v>
      </c>
      <c r="I31" s="269">
        <f>Tabela1[[#This Row],[DATA  COLETA (ESTIMADA)]]+Tabela1[[#This Row],[days]]</f>
        <v>45861</v>
      </c>
      <c r="J31" s="34"/>
      <c r="K31" s="34"/>
      <c r="L31" s="72">
        <v>2222.7199999999998</v>
      </c>
      <c r="M31" s="66">
        <v>2222.7199999999998</v>
      </c>
      <c r="N31" s="117">
        <f>Tabela1[[#This Row],[ADVANCE PAYMENT / FINAL PAYM''T/ NC 
(US$)]]-Tabela1[[#This Row],[TOTAL DUE PAYMENT-AS PER FINAL INVOICE
US$]]</f>
        <v>0</v>
      </c>
      <c r="O31" s="347">
        <v>12642.83</v>
      </c>
      <c r="P31" s="280">
        <v>57775</v>
      </c>
      <c r="Q31" s="235" t="s">
        <v>424</v>
      </c>
      <c r="R31" s="83" t="s">
        <v>453</v>
      </c>
    </row>
    <row r="32" spans="1:18" x14ac:dyDescent="0.35">
      <c r="A32" s="244" t="s">
        <v>307</v>
      </c>
      <c r="B32" s="230" t="s">
        <v>291</v>
      </c>
      <c r="C32" s="230"/>
      <c r="D32" s="290" t="s">
        <v>413</v>
      </c>
      <c r="E32" s="266">
        <v>45769</v>
      </c>
      <c r="F32" s="266">
        <v>45807</v>
      </c>
      <c r="G32" s="231" t="s">
        <v>290</v>
      </c>
      <c r="H32" s="228">
        <v>90</v>
      </c>
      <c r="I32" s="269">
        <f>Tabela1[[#This Row],[DATA  COLETA (ESTIMADA)]]+Tabela1[[#This Row],[days]]</f>
        <v>45897</v>
      </c>
      <c r="J32" s="34"/>
      <c r="K32" s="34"/>
      <c r="L32" s="26">
        <v>12665.19</v>
      </c>
      <c r="M32" s="66">
        <v>12665.19</v>
      </c>
      <c r="N32" s="117">
        <f>Tabela1[[#This Row],[ADVANCE PAYMENT / FINAL PAYM''T/ NC 
(US$)]]-Tabela1[[#This Row],[TOTAL DUE PAYMENT-AS PER FINAL INVOICE
US$]]</f>
        <v>0</v>
      </c>
      <c r="O32" s="347" t="s">
        <v>55</v>
      </c>
      <c r="P32" s="280" t="s">
        <v>414</v>
      </c>
      <c r="Q32" s="232" t="s">
        <v>361</v>
      </c>
      <c r="R32" s="249" t="s">
        <v>528</v>
      </c>
    </row>
    <row r="33" spans="1:19" x14ac:dyDescent="0.35">
      <c r="A33" s="244" t="s">
        <v>319</v>
      </c>
      <c r="B33" s="230" t="s">
        <v>291</v>
      </c>
      <c r="C33" s="230"/>
      <c r="D33" s="290" t="s">
        <v>415</v>
      </c>
      <c r="E33" s="266">
        <v>45784</v>
      </c>
      <c r="F33" s="266">
        <v>45814</v>
      </c>
      <c r="G33" s="231" t="s">
        <v>290</v>
      </c>
      <c r="H33" s="228">
        <v>90</v>
      </c>
      <c r="I33" s="269">
        <f>Tabela1[[#This Row],[DATA  COLETA (ESTIMADA)]]+Tabela1[[#This Row],[days]]</f>
        <v>45904</v>
      </c>
      <c r="J33" s="34"/>
      <c r="K33" s="34"/>
      <c r="L33" s="32"/>
      <c r="M33" s="66"/>
      <c r="N33" s="117">
        <f>Tabela1[[#This Row],[ADVANCE PAYMENT / FINAL PAYM''T/ NC 
(US$)]]-Tabela1[[#This Row],[TOTAL DUE PAYMENT-AS PER FINAL INVOICE
US$]]</f>
        <v>0</v>
      </c>
      <c r="O33" s="347" t="s">
        <v>55</v>
      </c>
      <c r="P33" s="283" t="s">
        <v>55</v>
      </c>
      <c r="Q33" s="232" t="s">
        <v>361</v>
      </c>
      <c r="R33" s="249" t="s">
        <v>529</v>
      </c>
    </row>
    <row r="34" spans="1:19" x14ac:dyDescent="0.35">
      <c r="A34" s="244" t="s">
        <v>325</v>
      </c>
      <c r="B34" s="230" t="s">
        <v>416</v>
      </c>
      <c r="C34" s="230"/>
      <c r="D34" s="290">
        <v>6881</v>
      </c>
      <c r="E34" s="266">
        <v>45763</v>
      </c>
      <c r="F34" s="266">
        <v>45806</v>
      </c>
      <c r="G34" s="231" t="s">
        <v>359</v>
      </c>
      <c r="H34" s="228">
        <v>30</v>
      </c>
      <c r="I34" s="269">
        <f>Tabela1[[#This Row],[DATA  COLETA (ESTIMADA)]]+Tabela1[[#This Row],[days]]</f>
        <v>45836</v>
      </c>
      <c r="J34" s="243"/>
      <c r="K34" s="243"/>
      <c r="L34" s="26">
        <f>13588.23-2458.33</f>
        <v>11129.9</v>
      </c>
      <c r="M34" s="23">
        <v>11335.23</v>
      </c>
      <c r="N34" s="117">
        <f>Tabela1[[#This Row],[ADVANCE PAYMENT / FINAL PAYM''T/ NC 
(US$)]]-Tabela1[[#This Row],[TOTAL DUE PAYMENT-AS PER FINAL INVOICE
US$]]</f>
        <v>205.32999999999993</v>
      </c>
      <c r="O34" s="347">
        <v>77365.960000000006</v>
      </c>
      <c r="P34" s="280">
        <v>58340</v>
      </c>
      <c r="Q34" s="232" t="s">
        <v>361</v>
      </c>
      <c r="R34" s="83" t="s">
        <v>666</v>
      </c>
    </row>
    <row r="35" spans="1:19" x14ac:dyDescent="0.35">
      <c r="A35" s="244" t="s">
        <v>324</v>
      </c>
      <c r="B35" s="230" t="s">
        <v>282</v>
      </c>
      <c r="C35" s="230"/>
      <c r="D35" s="290">
        <v>6882</v>
      </c>
      <c r="E35" s="266">
        <v>45793</v>
      </c>
      <c r="F35" s="266">
        <v>45798</v>
      </c>
      <c r="G35" s="231" t="s">
        <v>274</v>
      </c>
      <c r="H35" s="228">
        <v>0</v>
      </c>
      <c r="I35" s="269">
        <f>Tabela1[[#This Row],[DATA  COLETA (ESTIMADA)]]+Tabela1[[#This Row],[days]]</f>
        <v>45798</v>
      </c>
      <c r="J35" s="243"/>
      <c r="K35" s="243"/>
      <c r="L35" s="26">
        <v>5543.9</v>
      </c>
      <c r="M35" s="69">
        <f>5283.16+260.74</f>
        <v>5543.9</v>
      </c>
      <c r="N35" s="117">
        <f>Tabela1[[#This Row],[ADVANCE PAYMENT / FINAL PAYM''T/ NC 
(US$)]]-Tabela1[[#This Row],[TOTAL DUE PAYMENT-AS PER FINAL INVOICE
US$]]</f>
        <v>0</v>
      </c>
      <c r="O35" s="347">
        <v>31389.01</v>
      </c>
      <c r="P35" s="280">
        <v>58293</v>
      </c>
      <c r="Q35" s="232" t="s">
        <v>361</v>
      </c>
      <c r="R35" s="83" t="s">
        <v>941</v>
      </c>
    </row>
    <row r="36" spans="1:19" ht="18" customHeight="1" x14ac:dyDescent="0.35">
      <c r="A36" s="244" t="s">
        <v>318</v>
      </c>
      <c r="B36" s="230" t="s">
        <v>277</v>
      </c>
      <c r="C36" s="230"/>
      <c r="D36" s="290">
        <v>6816</v>
      </c>
      <c r="E36" s="266">
        <v>45771</v>
      </c>
      <c r="F36" s="266">
        <v>45839</v>
      </c>
      <c r="G36" s="231" t="s">
        <v>279</v>
      </c>
      <c r="H36" s="228">
        <v>30</v>
      </c>
      <c r="I36" s="269">
        <f>Tabela1[[#This Row],[DATA  COLETA (ESTIMADA)]]+Tabela1[[#This Row],[days]]</f>
        <v>45869</v>
      </c>
      <c r="J36" s="250"/>
      <c r="K36" s="250"/>
      <c r="L36" s="78">
        <v>0</v>
      </c>
      <c r="M36" s="23">
        <v>0</v>
      </c>
      <c r="N36" s="117">
        <f>Tabela1[[#This Row],[ADVANCE PAYMENT / FINAL PAYM''T/ NC 
(US$)]]-Tabela1[[#This Row],[TOTAL DUE PAYMENT-AS PER FINAL INVOICE
US$]]</f>
        <v>0</v>
      </c>
      <c r="O36" s="347">
        <v>0</v>
      </c>
      <c r="P36" s="280">
        <v>58963</v>
      </c>
      <c r="Q36" s="235" t="s">
        <v>424</v>
      </c>
      <c r="R36" s="83" t="s">
        <v>928</v>
      </c>
    </row>
    <row r="37" spans="1:19" ht="24.5" x14ac:dyDescent="0.35">
      <c r="A37" s="244" t="s">
        <v>313</v>
      </c>
      <c r="B37" s="230" t="s">
        <v>401</v>
      </c>
      <c r="C37" s="230" t="s">
        <v>839</v>
      </c>
      <c r="D37" s="290">
        <v>6940</v>
      </c>
      <c r="E37" s="266">
        <v>45772</v>
      </c>
      <c r="F37" s="266">
        <v>45817</v>
      </c>
      <c r="G37" s="231" t="s">
        <v>359</v>
      </c>
      <c r="H37" s="228">
        <v>30</v>
      </c>
      <c r="I37" s="269">
        <f>Tabela1[[#This Row],[DATA  COLETA (ESTIMADA)]]+Tabela1[[#This Row],[days]]</f>
        <v>45847</v>
      </c>
      <c r="J37" s="243"/>
      <c r="K37" s="243"/>
      <c r="L37" s="79">
        <f>13702.88+136.8</f>
        <v>13839.679999999998</v>
      </c>
      <c r="M37" s="23">
        <f>13839.68</f>
        <v>13839.68</v>
      </c>
      <c r="N37" s="117">
        <f>Tabela1[[#This Row],[ADVANCE PAYMENT / FINAL PAYM''T/ NC 
(US$)]]-Tabela1[[#This Row],[TOTAL DUE PAYMENT-AS PER FINAL INVOICE
US$]]</f>
        <v>0</v>
      </c>
      <c r="O37" s="347">
        <v>67566.509999999995</v>
      </c>
      <c r="P37" s="280" t="s">
        <v>516</v>
      </c>
      <c r="Q37" s="232" t="s">
        <v>361</v>
      </c>
      <c r="R37" s="440" t="s">
        <v>756</v>
      </c>
    </row>
    <row r="38" spans="1:19" x14ac:dyDescent="0.35">
      <c r="A38" s="244" t="s">
        <v>315</v>
      </c>
      <c r="B38" s="230" t="s">
        <v>316</v>
      </c>
      <c r="C38" s="230" t="s">
        <v>838</v>
      </c>
      <c r="D38" s="290">
        <v>6954</v>
      </c>
      <c r="E38" s="266">
        <v>45775</v>
      </c>
      <c r="F38" s="266">
        <v>45800</v>
      </c>
      <c r="G38" s="242" t="s">
        <v>317</v>
      </c>
      <c r="H38" s="228">
        <v>35</v>
      </c>
      <c r="I38" s="269">
        <f>Tabela1[[#This Row],[DATA  COLETA (ESTIMADA)]]+Tabela1[[#This Row],[days]]</f>
        <v>45835</v>
      </c>
      <c r="J38" s="243"/>
      <c r="K38" s="243"/>
      <c r="L38" s="26">
        <v>37823.39</v>
      </c>
      <c r="M38" s="23">
        <v>37823.39</v>
      </c>
      <c r="N38" s="117">
        <f>Tabela1[[#This Row],[ADVANCE PAYMENT / FINAL PAYM''T/ NC 
(US$)]]-Tabela1[[#This Row],[TOTAL DUE PAYMENT-AS PER FINAL INVOICE
US$]]</f>
        <v>0</v>
      </c>
      <c r="O38" s="347">
        <v>215336.13</v>
      </c>
      <c r="P38" s="280">
        <v>58275</v>
      </c>
      <c r="Q38" s="232" t="s">
        <v>361</v>
      </c>
      <c r="R38" s="83" t="s">
        <v>521</v>
      </c>
      <c r="S38" s="280">
        <v>2025</v>
      </c>
    </row>
    <row r="39" spans="1:19" x14ac:dyDescent="0.35">
      <c r="A39" s="244" t="s">
        <v>314</v>
      </c>
      <c r="B39" s="230" t="s">
        <v>291</v>
      </c>
      <c r="C39" s="230"/>
      <c r="D39" s="291">
        <v>6949</v>
      </c>
      <c r="E39" s="266">
        <v>45776</v>
      </c>
      <c r="F39" s="266">
        <v>45792</v>
      </c>
      <c r="G39" s="231" t="s">
        <v>290</v>
      </c>
      <c r="H39" s="228">
        <v>90</v>
      </c>
      <c r="I39" s="269">
        <f>Tabela1[[#This Row],[DATA  COLETA (ESTIMADA)]]+Tabela1[[#This Row],[days]]</f>
        <v>45882</v>
      </c>
      <c r="J39" s="34"/>
      <c r="K39" s="34"/>
      <c r="L39" s="26"/>
      <c r="M39" s="66"/>
      <c r="N39" s="117">
        <f>Tabela1[[#This Row],[ADVANCE PAYMENT / FINAL PAYM''T/ NC 
(US$)]]-Tabela1[[#This Row],[TOTAL DUE PAYMENT-AS PER FINAL INVOICE
US$]]</f>
        <v>0</v>
      </c>
      <c r="O39" s="347" t="s">
        <v>55</v>
      </c>
      <c r="P39" s="284" t="s">
        <v>55</v>
      </c>
      <c r="Q39" s="232" t="s">
        <v>361</v>
      </c>
      <c r="R39" s="83" t="s">
        <v>461</v>
      </c>
    </row>
    <row r="40" spans="1:19" ht="16.5" customHeight="1" x14ac:dyDescent="0.35">
      <c r="A40" s="244" t="s">
        <v>321</v>
      </c>
      <c r="B40" s="230" t="s">
        <v>277</v>
      </c>
      <c r="C40" s="230"/>
      <c r="D40" s="290">
        <v>7068</v>
      </c>
      <c r="E40" s="266">
        <v>45792</v>
      </c>
      <c r="F40" s="266">
        <v>45839</v>
      </c>
      <c r="G40" s="231" t="s">
        <v>279</v>
      </c>
      <c r="H40" s="228">
        <v>30</v>
      </c>
      <c r="I40" s="269">
        <f>Tabela1[[#This Row],[DATA  COLETA (ESTIMADA)]]+Tabela1[[#This Row],[days]]</f>
        <v>45869</v>
      </c>
      <c r="J40" s="34"/>
      <c r="K40" s="34"/>
      <c r="L40" s="63">
        <v>0</v>
      </c>
      <c r="M40" s="23">
        <v>0</v>
      </c>
      <c r="N40" s="117">
        <f>Tabela1[[#This Row],[ADVANCE PAYMENT / FINAL PAYM''T/ NC 
(US$)]]-Tabela1[[#This Row],[TOTAL DUE PAYMENT-AS PER FINAL INVOICE
US$]]</f>
        <v>0</v>
      </c>
      <c r="O40" s="347">
        <v>0</v>
      </c>
      <c r="P40" s="280">
        <v>58963</v>
      </c>
      <c r="Q40" s="235" t="s">
        <v>424</v>
      </c>
      <c r="R40" s="83" t="s">
        <v>436</v>
      </c>
    </row>
    <row r="41" spans="1:19" x14ac:dyDescent="0.35">
      <c r="A41" s="244" t="s">
        <v>353</v>
      </c>
      <c r="B41" s="251" t="str">
        <f>VLOOKUP(Tabela1[[#This Row],[INVOICE 
(EXPORT.)]],'[1]FOLLOW-UP DIÁRIO PEDIDOS'!$A$5:$S$31,2,0)</f>
        <v xml:space="preserve">YP  S.A. (Grupo Suenolar) </v>
      </c>
      <c r="C41" s="251"/>
      <c r="D41" s="290">
        <v>7095</v>
      </c>
      <c r="E41" s="266">
        <v>45796</v>
      </c>
      <c r="F41" s="266">
        <v>45827</v>
      </c>
      <c r="G41" s="231" t="s">
        <v>274</v>
      </c>
      <c r="H41" s="228">
        <v>0</v>
      </c>
      <c r="I41" s="269">
        <f>Tabela1[[#This Row],[DATA  COLETA (ESTIMADA)]]+Tabela1[[#This Row],[days]]</f>
        <v>45827</v>
      </c>
      <c r="J41" s="34"/>
      <c r="K41" s="34"/>
      <c r="L41" s="26">
        <v>1235.3900000000001</v>
      </c>
      <c r="M41" s="1">
        <f>1175.39+60</f>
        <v>1235.3900000000001</v>
      </c>
      <c r="N41" s="117">
        <f>Tabela1[[#This Row],[ADVANCE PAYMENT / FINAL PAYM''T/ NC 
(US$)]]-Tabela1[[#This Row],[TOTAL DUE PAYMENT-AS PER FINAL INVOICE
US$]]</f>
        <v>0</v>
      </c>
      <c r="O41" s="347"/>
      <c r="P41" s="280"/>
      <c r="Q41" s="232" t="s">
        <v>361</v>
      </c>
      <c r="R41" s="83" t="s">
        <v>410</v>
      </c>
    </row>
    <row r="42" spans="1:19" x14ac:dyDescent="0.35">
      <c r="A42" s="244" t="s">
        <v>443</v>
      </c>
      <c r="B42" s="251" t="s">
        <v>285</v>
      </c>
      <c r="C42" s="251"/>
      <c r="D42" s="279">
        <v>7211</v>
      </c>
      <c r="E42" s="266">
        <v>45805</v>
      </c>
      <c r="F42" s="266">
        <v>45868</v>
      </c>
      <c r="G42" s="231" t="s">
        <v>284</v>
      </c>
      <c r="H42" s="228">
        <v>0</v>
      </c>
      <c r="I42" s="269">
        <f>Tabela1[[#This Row],[DATA  COLETA (ESTIMADA)]]+Tabela1[[#This Row],[days]]</f>
        <v>45868</v>
      </c>
      <c r="J42" s="34"/>
      <c r="K42" s="34"/>
      <c r="L42" s="26">
        <f>11163.27</f>
        <v>11163.27</v>
      </c>
      <c r="M42" s="23">
        <v>11163.27</v>
      </c>
      <c r="N42" s="117">
        <f>Tabela1[[#This Row],[ADVANCE PAYMENT / FINAL PAYM''T/ NC 
(US$)]]-Tabela1[[#This Row],[TOTAL DUE PAYMENT-AS PER FINAL INVOICE
US$]]</f>
        <v>0</v>
      </c>
      <c r="O42" s="347">
        <v>61349.98</v>
      </c>
      <c r="P42" s="280">
        <v>58807</v>
      </c>
      <c r="Q42" s="232" t="s">
        <v>361</v>
      </c>
      <c r="R42" s="83" t="s">
        <v>454</v>
      </c>
    </row>
    <row r="43" spans="1:19" ht="36.5" x14ac:dyDescent="0.35">
      <c r="A43" s="244" t="s">
        <v>399</v>
      </c>
      <c r="B43" s="251" t="str">
        <f>VLOOKUP(Tabela1[[#This Row],[INVOICE 
(EXPORT.)]],'[1]FOLLOW-UP DIÁRIO PEDIDOS'!$A$5:$S$31,2,0)</f>
        <v>SUNLOCK SPA</v>
      </c>
      <c r="C43" s="230" t="s">
        <v>839</v>
      </c>
      <c r="D43" s="290">
        <v>7173</v>
      </c>
      <c r="E43" s="266">
        <v>45805</v>
      </c>
      <c r="F43" s="266">
        <v>45855</v>
      </c>
      <c r="G43" s="231" t="s">
        <v>359</v>
      </c>
      <c r="H43" s="228">
        <v>30</v>
      </c>
      <c r="I43" s="269">
        <f>Tabela1[[#This Row],[DATA  COLETA (ESTIMADA)]]+Tabela1[[#This Row],[days]]</f>
        <v>45885</v>
      </c>
      <c r="J43" s="252"/>
      <c r="K43" s="252"/>
      <c r="L43" s="69">
        <f>4134.65+600.29</f>
        <v>4734.9399999999996</v>
      </c>
      <c r="M43" s="26">
        <f>3385.14+14591.42</f>
        <v>17976.560000000001</v>
      </c>
      <c r="N43" s="117">
        <f>Tabela1[[#This Row],[ADVANCE PAYMENT / FINAL PAYM''T/ NC 
(US$)]]-Tabela1[[#This Row],[TOTAL DUE PAYMENT-AS PER FINAL INVOICE
US$]]</f>
        <v>13241.620000000003</v>
      </c>
      <c r="O43" s="347">
        <v>22640.93</v>
      </c>
      <c r="P43" s="280">
        <v>58964</v>
      </c>
      <c r="Q43" s="232" t="s">
        <v>361</v>
      </c>
      <c r="R43" s="440" t="s">
        <v>757</v>
      </c>
    </row>
    <row r="44" spans="1:19" ht="16.5" customHeight="1" x14ac:dyDescent="0.35">
      <c r="A44" s="244" t="s">
        <v>400</v>
      </c>
      <c r="B44" s="230" t="s">
        <v>291</v>
      </c>
      <c r="C44" s="230"/>
      <c r="D44" s="297" t="s">
        <v>452</v>
      </c>
      <c r="E44" s="266">
        <v>45806</v>
      </c>
      <c r="F44" s="266">
        <v>45863</v>
      </c>
      <c r="G44" s="231" t="s">
        <v>290</v>
      </c>
      <c r="H44" s="228">
        <v>90</v>
      </c>
      <c r="I44" s="269">
        <f>Tabela1[[#This Row],[DATA  COLETA (ESTIMADA)]]+Tabela1[[#This Row],[days]]</f>
        <v>45953</v>
      </c>
      <c r="J44" s="34"/>
      <c r="K44" s="34"/>
      <c r="L44" s="26">
        <v>11414.39</v>
      </c>
      <c r="M44" s="66">
        <v>11414.39</v>
      </c>
      <c r="N44" s="117">
        <f>Tabela1[[#This Row],[ADVANCE PAYMENT / FINAL PAYM''T/ NC 
(US$)]]-Tabela1[[#This Row],[TOTAL DUE PAYMENT-AS PER FINAL INVOICE
US$]]</f>
        <v>0</v>
      </c>
      <c r="O44" s="347">
        <v>63051.94</v>
      </c>
      <c r="P44" s="285">
        <v>59373</v>
      </c>
      <c r="Q44" s="232" t="s">
        <v>361</v>
      </c>
      <c r="R44" s="237" t="s">
        <v>530</v>
      </c>
    </row>
    <row r="45" spans="1:19" ht="13.5" customHeight="1" x14ac:dyDescent="0.35">
      <c r="A45" s="313" t="s">
        <v>404</v>
      </c>
      <c r="B45" s="230" t="s">
        <v>291</v>
      </c>
      <c r="C45" s="230"/>
      <c r="D45" s="298" t="s">
        <v>429</v>
      </c>
      <c r="E45" s="266">
        <v>45810</v>
      </c>
      <c r="F45" s="266">
        <v>45838</v>
      </c>
      <c r="G45" s="231" t="s">
        <v>290</v>
      </c>
      <c r="H45" s="228">
        <v>90</v>
      </c>
      <c r="I45" s="269">
        <f>Tabela1[[#This Row],[DATA  COLETA (ESTIMADA)]]+Tabela1[[#This Row],[days]]</f>
        <v>45928</v>
      </c>
      <c r="J45" s="34"/>
      <c r="K45" s="34"/>
      <c r="L45" s="65">
        <v>11960</v>
      </c>
      <c r="M45" s="66">
        <v>11960</v>
      </c>
      <c r="N45" s="117">
        <f>Tabela1[[#This Row],[ADVANCE PAYMENT / FINAL PAYM''T/ NC 
(US$)]]-Tabela1[[#This Row],[TOTAL DUE PAYMENT-AS PER FINAL INVOICE
US$]]</f>
        <v>0</v>
      </c>
      <c r="O45" s="347">
        <v>41676.25</v>
      </c>
      <c r="P45" s="286" t="s">
        <v>709</v>
      </c>
      <c r="Q45" s="235" t="s">
        <v>458</v>
      </c>
      <c r="R45" s="249" t="s">
        <v>522</v>
      </c>
    </row>
    <row r="46" spans="1:19" x14ac:dyDescent="0.35">
      <c r="A46" s="244" t="s">
        <v>405</v>
      </c>
      <c r="B46" s="251" t="s">
        <v>277</v>
      </c>
      <c r="C46" s="251"/>
      <c r="D46" s="290" t="s">
        <v>428</v>
      </c>
      <c r="E46" s="266">
        <v>45810</v>
      </c>
      <c r="F46" s="266">
        <v>45840</v>
      </c>
      <c r="G46" s="231" t="s">
        <v>279</v>
      </c>
      <c r="H46" s="228">
        <v>30</v>
      </c>
      <c r="I46" s="269">
        <f>Tabela1[[#This Row],[DATA  COLETA (ESTIMADA)]]+Tabela1[[#This Row],[days]]</f>
        <v>45870</v>
      </c>
      <c r="J46" s="34"/>
      <c r="K46" s="34"/>
      <c r="L46" s="62">
        <v>30148.81</v>
      </c>
      <c r="M46" s="62">
        <f>17563.81+55+ 12475+55</f>
        <v>30148.81</v>
      </c>
      <c r="N46" s="117">
        <f>Tabela1[[#This Row],[ADVANCE PAYMENT / FINAL PAYM''T/ NC 
(US$)]]-Tabela1[[#This Row],[TOTAL DUE PAYMENT-AS PER FINAL INVOICE
US$]]</f>
        <v>0</v>
      </c>
      <c r="O46" s="347">
        <v>165091.87</v>
      </c>
      <c r="P46" s="280">
        <v>58963</v>
      </c>
      <c r="Q46" s="253" t="s">
        <v>361</v>
      </c>
      <c r="R46" s="83" t="s">
        <v>435</v>
      </c>
    </row>
    <row r="47" spans="1:19" x14ac:dyDescent="0.35">
      <c r="A47" s="244" t="s">
        <v>419</v>
      </c>
      <c r="B47" s="251" t="s">
        <v>420</v>
      </c>
      <c r="C47" s="251"/>
      <c r="D47" s="290">
        <v>7442</v>
      </c>
      <c r="E47" s="266">
        <v>45826</v>
      </c>
      <c r="F47" s="266">
        <v>45887</v>
      </c>
      <c r="G47" s="231" t="s">
        <v>274</v>
      </c>
      <c r="H47" s="228">
        <v>0</v>
      </c>
      <c r="I47" s="269">
        <f>Tabela1[[#This Row],[DATA  COLETA (ESTIMADA)]]+Tabela1[[#This Row],[days]]</f>
        <v>45887</v>
      </c>
      <c r="J47" s="34"/>
      <c r="K47" s="34"/>
      <c r="L47" s="26"/>
      <c r="M47" s="53"/>
      <c r="N47" s="117">
        <f>Tabela1[[#This Row],[ADVANCE PAYMENT / FINAL PAYM''T/ NC 
(US$)]]-Tabela1[[#This Row],[TOTAL DUE PAYMENT-AS PER FINAL INVOICE
US$]]</f>
        <v>0</v>
      </c>
      <c r="O47" s="347" t="s">
        <v>55</v>
      </c>
      <c r="P47" s="283" t="s">
        <v>55</v>
      </c>
      <c r="Q47" s="232" t="s">
        <v>361</v>
      </c>
      <c r="R47" s="83" t="s">
        <v>523</v>
      </c>
    </row>
    <row r="48" spans="1:19" x14ac:dyDescent="0.35">
      <c r="A48" s="244" t="s">
        <v>468</v>
      </c>
      <c r="B48" s="251" t="s">
        <v>731</v>
      </c>
      <c r="C48" s="251"/>
      <c r="D48" s="279" t="s">
        <v>500</v>
      </c>
      <c r="E48" s="266">
        <v>45848</v>
      </c>
      <c r="F48" s="266">
        <v>45917</v>
      </c>
      <c r="G48" s="231" t="s">
        <v>470</v>
      </c>
      <c r="H48" s="228">
        <v>60</v>
      </c>
      <c r="I48" s="269">
        <f>Tabela1[[#This Row],[DATA  COLETA (ESTIMADA)]]+Tabela1[[#This Row],[days]]</f>
        <v>45977</v>
      </c>
      <c r="J48" s="246">
        <v>30596</v>
      </c>
      <c r="K48" s="272">
        <f>Tabela1[[#This Row],[TOTAL DUE PAYMENT-AS PER FINAL INVOICE
US$]]/Tabela1[[#This Row],[PROFORMA
(2026)]]</f>
        <v>1.0264867956595634</v>
      </c>
      <c r="L48" s="26">
        <f>31514.39-108</f>
        <v>31406.39</v>
      </c>
      <c r="M48" s="23">
        <f>15000+7978.5+6978.5+1557.39</f>
        <v>31514.39</v>
      </c>
      <c r="N48" s="117">
        <f>Tabela1[[#This Row],[ADVANCE PAYMENT / FINAL PAYM''T/ NC 
(US$)]]-Tabela1[[#This Row],[TOTAL DUE PAYMENT-AS PER FINAL INVOICE
US$]]</f>
        <v>108</v>
      </c>
      <c r="O48" s="347">
        <f>84447.74+88236.97+3428.31+6140.65</f>
        <v>182253.67</v>
      </c>
      <c r="P48" s="287" t="s">
        <v>580</v>
      </c>
      <c r="Q48" s="253" t="s">
        <v>361</v>
      </c>
      <c r="R48" s="83" t="s">
        <v>759</v>
      </c>
    </row>
    <row r="49" spans="1:23" x14ac:dyDescent="0.35">
      <c r="A49" s="244" t="s">
        <v>553</v>
      </c>
      <c r="B49" s="251" t="s">
        <v>731</v>
      </c>
      <c r="C49" s="251"/>
      <c r="D49" s="279">
        <v>7523</v>
      </c>
      <c r="E49" s="266">
        <v>45962</v>
      </c>
      <c r="F49" s="266">
        <v>45987</v>
      </c>
      <c r="G49" s="231" t="s">
        <v>470</v>
      </c>
      <c r="H49" s="228">
        <v>60</v>
      </c>
      <c r="I49" s="269">
        <f>Tabela1[[#This Row],[DATA  COLETA (ESTIMADA)]]+Tabela1[[#This Row],[days]]</f>
        <v>46047</v>
      </c>
      <c r="J49" s="34"/>
      <c r="K49" s="273"/>
      <c r="L49" s="26">
        <f>1144+629.88</f>
        <v>1773.88</v>
      </c>
      <c r="M49" s="23">
        <f>1773.88</f>
        <v>1773.88</v>
      </c>
      <c r="N49" s="117">
        <f>Tabela1[[#This Row],[ADVANCE PAYMENT / FINAL PAYM''T/ NC 
(US$)]]-Tabela1[[#This Row],[TOTAL DUE PAYMENT-AS PER FINAL INVOICE
US$]]</f>
        <v>0</v>
      </c>
      <c r="O49" s="347" t="s">
        <v>605</v>
      </c>
      <c r="P49" s="287" t="s">
        <v>554</v>
      </c>
      <c r="Q49" s="253" t="s">
        <v>361</v>
      </c>
      <c r="R49" s="83" t="s">
        <v>942</v>
      </c>
    </row>
    <row r="50" spans="1:23" x14ac:dyDescent="0.35">
      <c r="A50" s="244" t="s">
        <v>425</v>
      </c>
      <c r="B50" s="251" t="s">
        <v>277</v>
      </c>
      <c r="C50" s="251"/>
      <c r="D50" s="279">
        <v>7503</v>
      </c>
      <c r="E50" s="266">
        <v>45840</v>
      </c>
      <c r="F50" s="266">
        <v>45871</v>
      </c>
      <c r="G50" s="231" t="s">
        <v>279</v>
      </c>
      <c r="H50" s="228">
        <v>30</v>
      </c>
      <c r="I50" s="269">
        <f>Tabela1[[#This Row],[DATA  COLETA (ESTIMADA)]]+Tabela1[[#This Row],[days]]</f>
        <v>45901</v>
      </c>
      <c r="J50" s="34"/>
      <c r="K50" s="273"/>
      <c r="L50" s="69">
        <f>60788.5</f>
        <v>60788.5</v>
      </c>
      <c r="M50" s="53">
        <f>29345+55+31333.5+55</f>
        <v>60788.5</v>
      </c>
      <c r="N50" s="117">
        <f>Tabela1[[#This Row],[ADVANCE PAYMENT / FINAL PAYM''T/ NC 
(US$)]]-Tabela1[[#This Row],[TOTAL DUE PAYMENT-AS PER FINAL INVOICE
US$]]</f>
        <v>0</v>
      </c>
      <c r="O50" s="347">
        <f>315190.66+10510.17+14187.42</f>
        <v>339888.24999999994</v>
      </c>
      <c r="P50" s="285" t="s">
        <v>467</v>
      </c>
      <c r="Q50" s="232" t="s">
        <v>361</v>
      </c>
      <c r="R50" s="83" t="s">
        <v>507</v>
      </c>
    </row>
    <row r="51" spans="1:23" x14ac:dyDescent="0.35">
      <c r="A51" s="244" t="s">
        <v>437</v>
      </c>
      <c r="B51" s="251" t="s">
        <v>291</v>
      </c>
      <c r="C51" s="251"/>
      <c r="D51" s="279">
        <v>7630</v>
      </c>
      <c r="E51" s="266">
        <v>45848</v>
      </c>
      <c r="F51" s="266">
        <v>45879</v>
      </c>
      <c r="G51" s="231" t="s">
        <v>290</v>
      </c>
      <c r="H51" s="228">
        <v>90</v>
      </c>
      <c r="I51" s="269">
        <f>Tabela1[[#This Row],[DATA  COLETA (ESTIMADA)]]+Tabela1[[#This Row],[days]]</f>
        <v>45969</v>
      </c>
      <c r="J51" s="34"/>
      <c r="K51" s="273"/>
      <c r="L51" s="26"/>
      <c r="M51" s="66"/>
      <c r="N51" s="117">
        <f>Tabela1[[#This Row],[ADVANCE PAYMENT / FINAL PAYM''T/ NC 
(US$)]]-Tabela1[[#This Row],[TOTAL DUE PAYMENT-AS PER FINAL INVOICE
US$]]</f>
        <v>0</v>
      </c>
      <c r="O51" s="347" t="s">
        <v>55</v>
      </c>
      <c r="P51" s="283" t="s">
        <v>55</v>
      </c>
      <c r="Q51" s="232" t="s">
        <v>361</v>
      </c>
      <c r="R51" s="83" t="s">
        <v>481</v>
      </c>
    </row>
    <row r="52" spans="1:23" x14ac:dyDescent="0.35">
      <c r="A52" s="244" t="s">
        <v>438</v>
      </c>
      <c r="B52" s="251" t="s">
        <v>316</v>
      </c>
      <c r="C52" s="230" t="s">
        <v>838</v>
      </c>
      <c r="D52" s="279" t="s">
        <v>472</v>
      </c>
      <c r="E52" s="266">
        <v>45852</v>
      </c>
      <c r="F52" s="266">
        <v>45895</v>
      </c>
      <c r="G52" s="242" t="s">
        <v>442</v>
      </c>
      <c r="H52" s="228">
        <v>70</v>
      </c>
      <c r="I52" s="269">
        <f>Tabela1[[#This Row],[DATA  COLETA (ESTIMADA)]]+Tabela1[[#This Row],[days]]</f>
        <v>45965</v>
      </c>
      <c r="J52" s="34"/>
      <c r="K52" s="273"/>
      <c r="L52" s="69">
        <v>43540.78</v>
      </c>
      <c r="M52" s="23">
        <v>43540.78</v>
      </c>
      <c r="N52" s="117">
        <f>Tabela1[[#This Row],[ADVANCE PAYMENT / FINAL PAYM''T/ NC 
(US$)]]-Tabela1[[#This Row],[TOTAL DUE PAYMENT-AS PER FINAL INVOICE
US$]]</f>
        <v>0</v>
      </c>
      <c r="O52" s="347">
        <v>236827.01</v>
      </c>
      <c r="P52" s="280">
        <v>60101</v>
      </c>
      <c r="Q52" s="232" t="s">
        <v>361</v>
      </c>
      <c r="R52" s="83" t="s">
        <v>929</v>
      </c>
      <c r="S52" s="280">
        <v>2025</v>
      </c>
    </row>
    <row r="53" spans="1:23" x14ac:dyDescent="0.35">
      <c r="A53" s="244" t="s">
        <v>439</v>
      </c>
      <c r="B53" s="251" t="s">
        <v>316</v>
      </c>
      <c r="C53" s="230" t="s">
        <v>838</v>
      </c>
      <c r="D53" s="279">
        <v>7673</v>
      </c>
      <c r="E53" s="266">
        <v>45852</v>
      </c>
      <c r="F53" s="266">
        <v>45967</v>
      </c>
      <c r="G53" s="242" t="s">
        <v>442</v>
      </c>
      <c r="H53" s="228">
        <v>70</v>
      </c>
      <c r="I53" s="269">
        <f>Tabela1[[#This Row],[DATA  COLETA (ESTIMADA)]]+Tabela1[[#This Row],[days]]</f>
        <v>46037</v>
      </c>
      <c r="J53" s="250"/>
      <c r="K53" s="274"/>
      <c r="L53" s="25">
        <v>43413.09</v>
      </c>
      <c r="M53" s="25">
        <f>1547.62+41865.47</f>
        <v>43413.090000000004</v>
      </c>
      <c r="N53" s="117">
        <f>Tabela1[[#This Row],[ADVANCE PAYMENT / FINAL PAYM''T/ NC 
(US$)]]-Tabela1[[#This Row],[TOTAL DUE PAYMENT-AS PER FINAL INVOICE
US$]]</f>
        <v>0</v>
      </c>
      <c r="O53" s="347">
        <v>231083.53</v>
      </c>
      <c r="P53" s="280">
        <v>61051</v>
      </c>
      <c r="Q53" s="232" t="s">
        <v>361</v>
      </c>
      <c r="R53" s="83" t="s">
        <v>603</v>
      </c>
      <c r="S53" s="280">
        <v>2025</v>
      </c>
    </row>
    <row r="54" spans="1:23" x14ac:dyDescent="0.35">
      <c r="A54" s="244" t="s">
        <v>440</v>
      </c>
      <c r="B54" s="230" t="s">
        <v>914</v>
      </c>
      <c r="C54" s="230" t="s">
        <v>843</v>
      </c>
      <c r="D54" s="279">
        <v>7758</v>
      </c>
      <c r="E54" s="266">
        <v>45852</v>
      </c>
      <c r="F54" s="266">
        <v>45897</v>
      </c>
      <c r="G54" s="231" t="s">
        <v>304</v>
      </c>
      <c r="H54" s="228">
        <v>60</v>
      </c>
      <c r="I54" s="269">
        <f>Tabela1[[#This Row],[DATA  COLETA (ESTIMADA)]]+Tabela1[[#This Row],[days]]</f>
        <v>45957</v>
      </c>
      <c r="J54" s="263">
        <v>12623.5</v>
      </c>
      <c r="K54" s="272">
        <f>Tabela1[[#This Row],[TOTAL DUE PAYMENT-AS PER FINAL INVOICE
US$]]/Tabela1[[#This Row],[PROFORMA
(2026)]]</f>
        <v>0.9873886006258169</v>
      </c>
      <c r="L54" s="26">
        <v>12464.3</v>
      </c>
      <c r="M54" s="53">
        <v>12429.3</v>
      </c>
      <c r="N54" s="117">
        <f>Tabela1[[#This Row],[ADVANCE PAYMENT / FINAL PAYM''T/ NC 
(US$)]]-Tabela1[[#This Row],[TOTAL DUE PAYMENT-AS PER FINAL INVOICE
US$]]</f>
        <v>-35</v>
      </c>
      <c r="O54" s="347">
        <v>67578.94</v>
      </c>
      <c r="P54" s="280">
        <v>60186</v>
      </c>
      <c r="Q54" s="353" t="s">
        <v>421</v>
      </c>
      <c r="R54" s="83" t="s">
        <v>955</v>
      </c>
      <c r="V54" s="1">
        <f>12623.5-Tabela1[[#This Row],[TOTAL DUE PAYMENT-AS PER FINAL INVOICE
US$]]</f>
        <v>159.20000000000073</v>
      </c>
    </row>
    <row r="55" spans="1:23" x14ac:dyDescent="0.35">
      <c r="A55" s="244" t="s">
        <v>441</v>
      </c>
      <c r="B55" s="254" t="s">
        <v>420</v>
      </c>
      <c r="C55" s="254"/>
      <c r="D55" s="279" t="s">
        <v>474</v>
      </c>
      <c r="E55" s="266">
        <v>45852</v>
      </c>
      <c r="F55" s="266">
        <v>45887</v>
      </c>
      <c r="G55" s="231" t="s">
        <v>274</v>
      </c>
      <c r="H55" s="228">
        <v>0</v>
      </c>
      <c r="I55" s="269">
        <f>Tabela1[[#This Row],[DATA  COLETA (ESTIMADA)]]+Tabela1[[#This Row],[days]]</f>
        <v>45887</v>
      </c>
      <c r="J55" s="252"/>
      <c r="K55" s="276"/>
      <c r="L55" s="26">
        <v>47432.44</v>
      </c>
      <c r="M55" s="23">
        <f>14020.5+33411.94</f>
        <v>47432.44</v>
      </c>
      <c r="N55" s="117">
        <f>Tabela1[[#This Row],[ADVANCE PAYMENT / FINAL PAYM''T/ NC 
(US$)]]-Tabela1[[#This Row],[TOTAL DUE PAYMENT-AS PER FINAL INVOICE
US$]]</f>
        <v>0</v>
      </c>
      <c r="O55" s="347">
        <v>256870.39</v>
      </c>
      <c r="P55" s="280">
        <v>59929</v>
      </c>
      <c r="Q55" s="232" t="s">
        <v>361</v>
      </c>
      <c r="R55" s="83" t="s">
        <v>473</v>
      </c>
    </row>
    <row r="56" spans="1:23" x14ac:dyDescent="0.35">
      <c r="A56" s="244" t="s">
        <v>449</v>
      </c>
      <c r="B56" s="254" t="s">
        <v>451</v>
      </c>
      <c r="C56" s="254"/>
      <c r="D56" s="279" t="s">
        <v>459</v>
      </c>
      <c r="E56" s="266">
        <v>45853</v>
      </c>
      <c r="F56" s="266">
        <v>45876</v>
      </c>
      <c r="G56" s="231" t="s">
        <v>304</v>
      </c>
      <c r="H56" s="228">
        <v>60</v>
      </c>
      <c r="I56" s="269">
        <v>45967</v>
      </c>
      <c r="J56" s="252"/>
      <c r="K56" s="276"/>
      <c r="L56" s="26">
        <v>24320</v>
      </c>
      <c r="M56" s="23">
        <v>24320</v>
      </c>
      <c r="N56" s="117">
        <f>Tabela1[[#This Row],[ADVANCE PAYMENT / FINAL PAYM''T/ NC 
(US$)]]-Tabela1[[#This Row],[TOTAL DUE PAYMENT-AS PER FINAL INVOICE
US$]]</f>
        <v>0</v>
      </c>
      <c r="O56" s="347">
        <v>133278.46</v>
      </c>
      <c r="P56" s="280">
        <v>59640</v>
      </c>
      <c r="Q56" s="232" t="s">
        <v>361</v>
      </c>
      <c r="R56" s="83" t="s">
        <v>930</v>
      </c>
    </row>
    <row r="57" spans="1:23" x14ac:dyDescent="0.35">
      <c r="A57" s="244" t="s">
        <v>450</v>
      </c>
      <c r="B57" s="254" t="s">
        <v>451</v>
      </c>
      <c r="C57" s="254"/>
      <c r="D57" s="279">
        <v>7777</v>
      </c>
      <c r="E57" s="266">
        <v>45861</v>
      </c>
      <c r="F57" s="266">
        <v>45891</v>
      </c>
      <c r="G57" s="231" t="s">
        <v>304</v>
      </c>
      <c r="H57" s="228">
        <v>60</v>
      </c>
      <c r="I57" s="269">
        <v>45967</v>
      </c>
      <c r="J57" s="252"/>
      <c r="K57" s="276"/>
      <c r="L57" s="80"/>
      <c r="M57" s="23"/>
      <c r="N57" s="117">
        <f>Tabela1[[#This Row],[ADVANCE PAYMENT / FINAL PAYM''T/ NC 
(US$)]]-Tabela1[[#This Row],[TOTAL DUE PAYMENT-AS PER FINAL INVOICE
US$]]</f>
        <v>0</v>
      </c>
      <c r="O57" s="347" t="s">
        <v>456</v>
      </c>
      <c r="P57" s="288" t="s">
        <v>456</v>
      </c>
      <c r="Q57" s="232" t="s">
        <v>361</v>
      </c>
      <c r="R57" s="83" t="s">
        <v>931</v>
      </c>
    </row>
    <row r="58" spans="1:23" x14ac:dyDescent="0.35">
      <c r="A58" s="244" t="s">
        <v>462</v>
      </c>
      <c r="B58" s="254" t="s">
        <v>291</v>
      </c>
      <c r="C58" s="254"/>
      <c r="D58" s="279">
        <v>8123</v>
      </c>
      <c r="E58" s="266">
        <v>45880</v>
      </c>
      <c r="F58" s="266">
        <v>45911</v>
      </c>
      <c r="G58" s="231" t="s">
        <v>290</v>
      </c>
      <c r="H58" s="228">
        <v>90</v>
      </c>
      <c r="I58" s="269">
        <f>Tabela1[[#This Row],[DATA  COLETA (ESTIMADA)]]+Tabela1[[#This Row],[days]]</f>
        <v>46001</v>
      </c>
      <c r="J58" s="244"/>
      <c r="K58" s="275"/>
      <c r="L58" s="26">
        <v>5506.62</v>
      </c>
      <c r="M58" s="23">
        <v>5506.62</v>
      </c>
      <c r="N58" s="117">
        <f>Tabela1[[#This Row],[ADVANCE PAYMENT / FINAL PAYM''T/ NC 
(US$)]]-Tabela1[[#This Row],[TOTAL DUE PAYMENT-AS PER FINAL INVOICE
US$]]</f>
        <v>0</v>
      </c>
      <c r="O58" s="347">
        <v>29951.61</v>
      </c>
      <c r="P58" s="280">
        <v>60119</v>
      </c>
      <c r="Q58" s="232" t="s">
        <v>361</v>
      </c>
      <c r="R58" s="83" t="s">
        <v>561</v>
      </c>
    </row>
    <row r="59" spans="1:23" x14ac:dyDescent="0.35">
      <c r="A59" s="244" t="s">
        <v>463</v>
      </c>
      <c r="B59" s="255" t="s">
        <v>277</v>
      </c>
      <c r="C59" s="255"/>
      <c r="D59" s="279">
        <v>8154</v>
      </c>
      <c r="E59" s="266">
        <v>45880</v>
      </c>
      <c r="F59" s="266">
        <v>45922</v>
      </c>
      <c r="G59" s="231" t="s">
        <v>279</v>
      </c>
      <c r="H59" s="228">
        <v>30</v>
      </c>
      <c r="I59" s="269">
        <f>Tabela1[[#This Row],[DATA  COLETA (ESTIMADA)]]+Tabela1[[#This Row],[days]]</f>
        <v>45952</v>
      </c>
      <c r="J59" s="252"/>
      <c r="K59" s="276"/>
      <c r="L59" s="26">
        <v>19511.330000000002</v>
      </c>
      <c r="M59" s="23">
        <f>9364+10147.33</f>
        <v>19511.330000000002</v>
      </c>
      <c r="N59" s="117">
        <f>Tabela1[[#This Row],[ADVANCE PAYMENT / FINAL PAYM''T/ NC 
(US$)]]-Tabela1[[#This Row],[TOTAL DUE PAYMENT-AS PER FINAL INVOICE
US$]]</f>
        <v>0</v>
      </c>
      <c r="O59" s="347">
        <f>19881.36+84420.36</f>
        <v>104301.72</v>
      </c>
      <c r="P59" s="280" t="s">
        <v>504</v>
      </c>
      <c r="Q59" s="232" t="s">
        <v>361</v>
      </c>
      <c r="R59" s="83" t="s">
        <v>932</v>
      </c>
    </row>
    <row r="60" spans="1:23" x14ac:dyDescent="0.35">
      <c r="A60" s="244" t="s">
        <v>464</v>
      </c>
      <c r="B60" s="230" t="s">
        <v>466</v>
      </c>
      <c r="C60" s="230" t="s">
        <v>838</v>
      </c>
      <c r="D60" s="279">
        <v>8172</v>
      </c>
      <c r="E60" s="266">
        <v>45883</v>
      </c>
      <c r="F60" s="266">
        <v>45940</v>
      </c>
      <c r="G60" s="231" t="s">
        <v>288</v>
      </c>
      <c r="H60" s="228">
        <v>30</v>
      </c>
      <c r="I60" s="269">
        <f>Tabela1[[#This Row],[DATA  COLETA (ESTIMADA)]]+Tabela1[[#This Row],[days]]</f>
        <v>45970</v>
      </c>
      <c r="J60" s="244"/>
      <c r="K60" s="275"/>
      <c r="L60" s="26">
        <v>33840.5</v>
      </c>
      <c r="M60" s="23">
        <v>33840.5</v>
      </c>
      <c r="N60" s="117">
        <f>Tabela1[[#This Row],[ADVANCE PAYMENT / FINAL PAYM''T/ NC 
(US$)]]-Tabela1[[#This Row],[TOTAL DUE PAYMENT-AS PER FINAL INVOICE
US$]]</f>
        <v>0</v>
      </c>
      <c r="O60" s="347">
        <v>180129.59</v>
      </c>
      <c r="P60" s="280">
        <v>61049</v>
      </c>
      <c r="Q60" s="232" t="s">
        <v>361</v>
      </c>
      <c r="R60" s="83" t="s">
        <v>565</v>
      </c>
      <c r="U60" s="1" t="s">
        <v>704</v>
      </c>
    </row>
    <row r="61" spans="1:23" x14ac:dyDescent="0.35">
      <c r="A61" s="244" t="s">
        <v>465</v>
      </c>
      <c r="B61" s="254" t="s">
        <v>285</v>
      </c>
      <c r="C61" s="254"/>
      <c r="D61" s="279">
        <v>8155</v>
      </c>
      <c r="E61" s="266">
        <v>45881</v>
      </c>
      <c r="F61" s="266">
        <v>45936</v>
      </c>
      <c r="G61" s="231" t="s">
        <v>284</v>
      </c>
      <c r="H61" s="228">
        <v>0</v>
      </c>
      <c r="I61" s="269">
        <f>Tabela1[[#This Row],[DATA  COLETA (ESTIMADA)]]+Tabela1[[#This Row],[days]]</f>
        <v>45936</v>
      </c>
      <c r="J61" s="252"/>
      <c r="K61" s="276"/>
      <c r="L61" s="26">
        <v>14004.62</v>
      </c>
      <c r="M61" s="23">
        <v>14004.62</v>
      </c>
      <c r="N61" s="117">
        <f>Tabela1[[#This Row],[ADVANCE PAYMENT / FINAL PAYM''T/ NC 
(US$)]]-Tabela1[[#This Row],[TOTAL DUE PAYMENT-AS PER FINAL INVOICE
US$]]</f>
        <v>0</v>
      </c>
      <c r="O61" s="347">
        <v>74545.2</v>
      </c>
      <c r="P61" s="280">
        <v>61050</v>
      </c>
      <c r="Q61" s="232" t="s">
        <v>361</v>
      </c>
      <c r="R61" s="83" t="s">
        <v>549</v>
      </c>
    </row>
    <row r="62" spans="1:23" x14ac:dyDescent="0.35">
      <c r="A62" s="244" t="s">
        <v>475</v>
      </c>
      <c r="B62" s="254" t="s">
        <v>477</v>
      </c>
      <c r="C62" s="230" t="s">
        <v>842</v>
      </c>
      <c r="D62" s="279">
        <v>8315</v>
      </c>
      <c r="E62" s="266">
        <v>45890</v>
      </c>
      <c r="F62" s="266">
        <v>45930</v>
      </c>
      <c r="G62" s="231" t="s">
        <v>274</v>
      </c>
      <c r="H62" s="228">
        <v>0</v>
      </c>
      <c r="I62" s="269">
        <f>Tabela1[[#This Row],[DATA  COLETA (ESTIMADA)]]+Tabela1[[#This Row],[days]]</f>
        <v>45930</v>
      </c>
      <c r="J62" s="252"/>
      <c r="K62" s="276"/>
      <c r="L62" s="26">
        <v>16624.3</v>
      </c>
      <c r="M62" s="26">
        <v>16624.3</v>
      </c>
      <c r="N62" s="117">
        <f>Tabela1[[#This Row],[ADVANCE PAYMENT / FINAL PAYM''T/ NC 
(US$)]]-Tabela1[[#This Row],[TOTAL DUE PAYMENT-AS PER FINAL INVOICE
US$]]</f>
        <v>0</v>
      </c>
      <c r="O62" s="347">
        <f>47291.51+43068.21</f>
        <v>90359.72</v>
      </c>
      <c r="P62" s="280" t="s">
        <v>527</v>
      </c>
      <c r="Q62" s="232" t="s">
        <v>361</v>
      </c>
      <c r="R62" s="83" t="s">
        <v>574</v>
      </c>
      <c r="U62" s="159" t="s">
        <v>483</v>
      </c>
      <c r="V62" s="159" t="s">
        <v>484</v>
      </c>
    </row>
    <row r="63" spans="1:23" x14ac:dyDescent="0.35">
      <c r="A63" s="244" t="s">
        <v>476</v>
      </c>
      <c r="B63" s="254" t="s">
        <v>478</v>
      </c>
      <c r="C63" s="254"/>
      <c r="D63" s="279">
        <v>8312</v>
      </c>
      <c r="E63" s="266">
        <v>45894</v>
      </c>
      <c r="F63" s="266">
        <v>45933</v>
      </c>
      <c r="G63" s="231" t="s">
        <v>274</v>
      </c>
      <c r="H63" s="228">
        <v>0</v>
      </c>
      <c r="I63" s="269">
        <v>45981</v>
      </c>
      <c r="J63" s="252"/>
      <c r="K63" s="276"/>
      <c r="L63" s="84">
        <f>29893.05/5.42</f>
        <v>5515.3228782287824</v>
      </c>
      <c r="M63" s="84">
        <f>29893.05/5.42</f>
        <v>5515.3228782287824</v>
      </c>
      <c r="N63" s="117">
        <f>Tabela1[[#This Row],[ADVANCE PAYMENT / FINAL PAYM''T/ NC 
(US$)]]-Tabela1[[#This Row],[TOTAL DUE PAYMENT-AS PER FINAL INVOICE
US$]]</f>
        <v>0</v>
      </c>
      <c r="O63" s="349">
        <f>29893.05-5310</f>
        <v>24583.05</v>
      </c>
      <c r="P63" s="280" t="s">
        <v>509</v>
      </c>
      <c r="Q63" s="232" t="s">
        <v>361</v>
      </c>
      <c r="R63" s="83" t="s">
        <v>555</v>
      </c>
      <c r="T63" s="1" t="s">
        <v>485</v>
      </c>
      <c r="U63" s="159">
        <f>Tabela1[[#This Row],[TOTAL DUE PAYMENT-AS PER FINAL INVOICE
US$]]</f>
        <v>5515.3228782287824</v>
      </c>
      <c r="V63" s="159">
        <f>5000/5.42</f>
        <v>922.50922509225097</v>
      </c>
      <c r="W63" s="1">
        <f>U63-V63</f>
        <v>4592.8136531365317</v>
      </c>
    </row>
    <row r="64" spans="1:23" x14ac:dyDescent="0.35">
      <c r="A64" s="244" t="s">
        <v>486</v>
      </c>
      <c r="B64" s="254" t="s">
        <v>277</v>
      </c>
      <c r="C64" s="254"/>
      <c r="D64" s="279">
        <v>8348</v>
      </c>
      <c r="E64" s="266">
        <v>45904</v>
      </c>
      <c r="F64" s="266">
        <v>45936</v>
      </c>
      <c r="G64" s="231" t="s">
        <v>279</v>
      </c>
      <c r="H64" s="228">
        <v>30</v>
      </c>
      <c r="I64" s="269">
        <f>Tabela1[[#This Row],[DATA  COLETA (ESTIMADA)]]+Tabela1[[#This Row],[days]]</f>
        <v>45966</v>
      </c>
      <c r="J64" s="252"/>
      <c r="K64" s="276"/>
      <c r="L64" s="26">
        <v>11088.02</v>
      </c>
      <c r="M64" s="26">
        <f>5559+5529.02</f>
        <v>11088.02</v>
      </c>
      <c r="N64" s="117">
        <f>Tabela1[[#This Row],[ADVANCE PAYMENT / FINAL PAYM''T/ NC 
(US$)]]-Tabela1[[#This Row],[TOTAL DUE PAYMENT-AS PER FINAL INVOICE
US$]]</f>
        <v>0</v>
      </c>
      <c r="O64" s="347">
        <f>51650+8617.83</f>
        <v>60267.83</v>
      </c>
      <c r="P64" s="280" t="s">
        <v>535</v>
      </c>
      <c r="Q64" s="232" t="s">
        <v>361</v>
      </c>
      <c r="R64" s="83" t="s">
        <v>526</v>
      </c>
    </row>
    <row r="65" spans="1:18" x14ac:dyDescent="0.35">
      <c r="A65" s="244" t="s">
        <v>487</v>
      </c>
      <c r="B65" s="254" t="s">
        <v>306</v>
      </c>
      <c r="C65" s="254"/>
      <c r="D65" s="279">
        <v>8353</v>
      </c>
      <c r="E65" s="266">
        <v>45909</v>
      </c>
      <c r="F65" s="266">
        <v>45930</v>
      </c>
      <c r="G65" s="231" t="s">
        <v>274</v>
      </c>
      <c r="H65" s="228">
        <v>0</v>
      </c>
      <c r="I65" s="269">
        <f>Tabela1[[#This Row],[DATA  COLETA (ESTIMADA)]]+Tabela1[[#This Row],[days]]</f>
        <v>45930</v>
      </c>
      <c r="J65" s="252"/>
      <c r="K65" s="276"/>
      <c r="L65" s="26">
        <v>6942.6</v>
      </c>
      <c r="M65" s="26">
        <v>6942.6</v>
      </c>
      <c r="N65" s="117">
        <f>Tabela1[[#This Row],[ADVANCE PAYMENT / FINAL PAYM''T/ NC 
(US$)]]-Tabela1[[#This Row],[TOTAL DUE PAYMENT-AS PER FINAL INVOICE
US$]]</f>
        <v>0</v>
      </c>
      <c r="O65" s="347">
        <v>36954.769999999997</v>
      </c>
      <c r="P65" s="280">
        <v>61063</v>
      </c>
      <c r="Q65" s="232" t="s">
        <v>361</v>
      </c>
      <c r="R65" s="83" t="s">
        <v>511</v>
      </c>
    </row>
    <row r="66" spans="1:18" x14ac:dyDescent="0.35">
      <c r="A66" s="244" t="s">
        <v>498</v>
      </c>
      <c r="B66" s="230" t="s">
        <v>914</v>
      </c>
      <c r="C66" s="230" t="s">
        <v>843</v>
      </c>
      <c r="D66" s="279">
        <v>8387</v>
      </c>
      <c r="E66" s="266">
        <v>45912</v>
      </c>
      <c r="F66" s="266">
        <v>45949</v>
      </c>
      <c r="G66" s="231" t="s">
        <v>499</v>
      </c>
      <c r="H66" s="228">
        <v>30</v>
      </c>
      <c r="I66" s="269">
        <f>Tabela1[[#This Row],[DATA  COLETA (ESTIMADA)]]+Tabela1[[#This Row],[days]]</f>
        <v>45979</v>
      </c>
      <c r="J66" s="263">
        <v>694.8</v>
      </c>
      <c r="K66" s="272">
        <f>Tabela1[[#This Row],[TOTAL DUE PAYMENT-AS PER FINAL INVOICE
US$]]/Tabela1[[#This Row],[PROFORMA
(2026)]]</f>
        <v>1.0635002878526194</v>
      </c>
      <c r="L66" s="26">
        <v>738.92</v>
      </c>
      <c r="M66" s="69">
        <v>694.8</v>
      </c>
      <c r="N66" s="117">
        <f>Tabela1[[#This Row],[ADVANCE PAYMENT / FINAL PAYM''T/ NC 
(US$)]]-Tabela1[[#This Row],[TOTAL DUE PAYMENT-AS PER FINAL INVOICE
US$]]</f>
        <v>-44.120000000000005</v>
      </c>
      <c r="O66" s="347">
        <v>3917.02</v>
      </c>
      <c r="P66" s="280">
        <v>60777</v>
      </c>
      <c r="Q66" s="353" t="s">
        <v>421</v>
      </c>
      <c r="R66" s="83" t="s">
        <v>956</v>
      </c>
    </row>
    <row r="67" spans="1:18" x14ac:dyDescent="0.35">
      <c r="A67" s="244" t="s">
        <v>506</v>
      </c>
      <c r="B67" s="254" t="s">
        <v>291</v>
      </c>
      <c r="C67" s="254"/>
      <c r="D67" s="279">
        <v>8465</v>
      </c>
      <c r="E67" s="266">
        <v>45917</v>
      </c>
      <c r="F67" s="266">
        <v>45952</v>
      </c>
      <c r="G67" s="231" t="s">
        <v>290</v>
      </c>
      <c r="H67" s="228">
        <v>90</v>
      </c>
      <c r="I67" s="269">
        <f>Tabela1[[#This Row],[DATA  COLETA (ESTIMADA)]]+Tabela1[[#This Row],[days]]</f>
        <v>46042</v>
      </c>
      <c r="J67" s="244"/>
      <c r="K67" s="275"/>
      <c r="L67" s="26">
        <v>2826</v>
      </c>
      <c r="M67" s="26">
        <v>2826</v>
      </c>
      <c r="N67" s="117">
        <f>Tabela1[[#This Row],[ADVANCE PAYMENT / FINAL PAYM''T/ NC 
(US$)]]-Tabela1[[#This Row],[TOTAL DUE PAYMENT-AS PER FINAL INVOICE
US$]]</f>
        <v>0</v>
      </c>
      <c r="O67" s="347">
        <v>15215.18</v>
      </c>
      <c r="P67" s="280">
        <v>61771</v>
      </c>
      <c r="Q67" s="232" t="s">
        <v>361</v>
      </c>
      <c r="R67" s="83" t="s">
        <v>597</v>
      </c>
    </row>
    <row r="68" spans="1:18" x14ac:dyDescent="0.35">
      <c r="A68" s="244" t="s">
        <v>505</v>
      </c>
      <c r="B68" s="254" t="s">
        <v>291</v>
      </c>
      <c r="C68" s="254"/>
      <c r="D68" s="279">
        <v>8509</v>
      </c>
      <c r="E68" s="266">
        <v>45924</v>
      </c>
      <c r="F68" s="266">
        <v>45926</v>
      </c>
      <c r="G68" s="231" t="s">
        <v>290</v>
      </c>
      <c r="H68" s="228">
        <v>90</v>
      </c>
      <c r="I68" s="269">
        <f>Tabela1[[#This Row],[DATA  COLETA (ESTIMADA)]]+Tabela1[[#This Row],[days]]</f>
        <v>46016</v>
      </c>
      <c r="J68" s="244"/>
      <c r="K68" s="275"/>
      <c r="L68" s="26">
        <v>4288.53</v>
      </c>
      <c r="M68" s="26">
        <v>4288.53</v>
      </c>
      <c r="N68" s="117">
        <f>Tabela1[[#This Row],[ADVANCE PAYMENT / FINAL PAYM''T/ NC 
(US$)]]-Tabela1[[#This Row],[TOTAL DUE PAYMENT-AS PER FINAL INVOICE
US$]]</f>
        <v>0</v>
      </c>
      <c r="O68" s="347">
        <v>22777.24</v>
      </c>
      <c r="P68" s="280">
        <v>60927</v>
      </c>
      <c r="Q68" s="232" t="s">
        <v>361</v>
      </c>
      <c r="R68" s="83" t="s">
        <v>586</v>
      </c>
    </row>
    <row r="69" spans="1:18" x14ac:dyDescent="0.35">
      <c r="A69" s="244" t="s">
        <v>508</v>
      </c>
      <c r="B69" s="254" t="s">
        <v>401</v>
      </c>
      <c r="C69" s="230" t="s">
        <v>839</v>
      </c>
      <c r="D69" s="279" t="s">
        <v>534</v>
      </c>
      <c r="E69" s="266">
        <v>45925</v>
      </c>
      <c r="F69" s="266">
        <v>45968</v>
      </c>
      <c r="G69" s="231" t="s">
        <v>359</v>
      </c>
      <c r="H69" s="228">
        <v>30</v>
      </c>
      <c r="I69" s="269">
        <f>Tabela1[[#This Row],[DATA  COLETA (ESTIMADA)]]+Tabela1[[#This Row],[days]]</f>
        <v>45998</v>
      </c>
      <c r="J69" s="256"/>
      <c r="K69" s="277"/>
      <c r="L69" s="26">
        <v>0</v>
      </c>
      <c r="M69" s="26"/>
      <c r="N69" s="117">
        <f>Tabela1[[#This Row],[ADVANCE PAYMENT / FINAL PAYM''T/ NC 
(US$)]]-Tabela1[[#This Row],[TOTAL DUE PAYMENT-AS PER FINAL INVOICE
US$]]</f>
        <v>0</v>
      </c>
      <c r="O69" s="347"/>
      <c r="P69" s="284" t="s">
        <v>550</v>
      </c>
      <c r="Q69" s="232" t="s">
        <v>361</v>
      </c>
      <c r="R69" s="257" t="s">
        <v>933</v>
      </c>
    </row>
    <row r="70" spans="1:18" ht="36.5" x14ac:dyDescent="0.35">
      <c r="A70" s="244" t="s">
        <v>510</v>
      </c>
      <c r="B70" s="254" t="s">
        <v>401</v>
      </c>
      <c r="C70" s="230" t="s">
        <v>839</v>
      </c>
      <c r="D70" s="279">
        <v>8609</v>
      </c>
      <c r="E70" s="266">
        <v>45937</v>
      </c>
      <c r="F70" s="266">
        <v>45968</v>
      </c>
      <c r="G70" s="231" t="s">
        <v>359</v>
      </c>
      <c r="H70" s="228">
        <v>30</v>
      </c>
      <c r="I70" s="269">
        <f>Tabela1[[#This Row],[DATA  COLETA (ESTIMADA)]]+Tabela1[[#This Row],[days]]</f>
        <v>45998</v>
      </c>
      <c r="J70" s="483">
        <f>4855+8280</f>
        <v>13135</v>
      </c>
      <c r="K70" s="484">
        <f>Tabela1[[#This Row],[TOTAL DUE PAYMENT-AS PER FINAL INVOICE
US$]]/Tabela1[[#This Row],[PROFORMA
(2026)]]</f>
        <v>1.0589196802436238</v>
      </c>
      <c r="L70" s="26">
        <v>13908.91</v>
      </c>
      <c r="M70" s="26">
        <f>13241.62+5659.15</f>
        <v>18900.77</v>
      </c>
      <c r="N70" s="117">
        <f>Tabela1[[#This Row],[ADVANCE PAYMENT / FINAL PAYM''T/ NC 
(US$)]]-Tabela1[[#This Row],[TOTAL DUE PAYMENT-AS PER FINAL INVOICE
US$]]</f>
        <v>4991.8600000000006</v>
      </c>
      <c r="O70" s="347">
        <v>73968.98</v>
      </c>
      <c r="P70" s="280">
        <v>62206</v>
      </c>
      <c r="Q70" s="232" t="s">
        <v>361</v>
      </c>
      <c r="R70" s="440" t="s">
        <v>943</v>
      </c>
    </row>
    <row r="71" spans="1:18" x14ac:dyDescent="0.35">
      <c r="A71" s="244" t="s">
        <v>512</v>
      </c>
      <c r="B71" s="254" t="s">
        <v>285</v>
      </c>
      <c r="C71" s="254"/>
      <c r="D71" s="279">
        <v>8614</v>
      </c>
      <c r="E71" s="266">
        <v>45938</v>
      </c>
      <c r="F71" s="266">
        <v>45993</v>
      </c>
      <c r="G71" s="231" t="s">
        <v>284</v>
      </c>
      <c r="H71" s="228">
        <v>0</v>
      </c>
      <c r="I71" s="269">
        <f>Tabela1[[#This Row],[DATA  COLETA (ESTIMADA)]]+Tabela1[[#This Row],[days]]</f>
        <v>45993</v>
      </c>
      <c r="J71" s="256"/>
      <c r="K71" s="277"/>
      <c r="L71" s="26">
        <v>19504.93</v>
      </c>
      <c r="M71" s="26">
        <v>19504.93</v>
      </c>
      <c r="N71" s="117">
        <f>Tabela1[[#This Row],[ADVANCE PAYMENT / FINAL PAYM''T/ NC 
(US$)]]-Tabela1[[#This Row],[TOTAL DUE PAYMENT-AS PER FINAL INVOICE
US$]]</f>
        <v>0</v>
      </c>
      <c r="O71" s="347"/>
      <c r="P71" s="280">
        <v>62739</v>
      </c>
      <c r="Q71" s="232" t="s">
        <v>361</v>
      </c>
      <c r="R71" s="83" t="s">
        <v>573</v>
      </c>
    </row>
    <row r="72" spans="1:18" x14ac:dyDescent="0.35">
      <c r="A72" s="244" t="s">
        <v>513</v>
      </c>
      <c r="B72" s="254" t="s">
        <v>611</v>
      </c>
      <c r="C72" s="254"/>
      <c r="D72" s="279">
        <v>8681</v>
      </c>
      <c r="E72" s="266">
        <v>45939</v>
      </c>
      <c r="F72" s="266">
        <v>45980</v>
      </c>
      <c r="G72" s="231" t="s">
        <v>274</v>
      </c>
      <c r="H72" s="228">
        <v>0</v>
      </c>
      <c r="I72" s="269">
        <f>Tabela1[[#This Row],[DATA  COLETA (ESTIMADA)]]+Tabela1[[#This Row],[days]]</f>
        <v>45980</v>
      </c>
      <c r="J72" s="34"/>
      <c r="K72" s="273"/>
      <c r="L72" s="26">
        <v>0</v>
      </c>
      <c r="M72" s="25"/>
      <c r="N72" s="117">
        <f>Tabela1[[#This Row],[ADVANCE PAYMENT / FINAL PAYM''T/ NC 
(US$)]]-Tabela1[[#This Row],[TOTAL DUE PAYMENT-AS PER FINAL INVOICE
US$]]</f>
        <v>0</v>
      </c>
      <c r="O72" s="347">
        <v>0</v>
      </c>
      <c r="P72" s="284" t="s">
        <v>550</v>
      </c>
      <c r="Q72" s="232" t="s">
        <v>361</v>
      </c>
      <c r="R72" s="83" t="s">
        <v>576</v>
      </c>
    </row>
    <row r="73" spans="1:18" x14ac:dyDescent="0.35">
      <c r="A73" s="314" t="s">
        <v>517</v>
      </c>
      <c r="B73" s="230" t="s">
        <v>466</v>
      </c>
      <c r="C73" s="230" t="s">
        <v>838</v>
      </c>
      <c r="D73" s="279">
        <v>8726</v>
      </c>
      <c r="E73" s="266">
        <v>45951</v>
      </c>
      <c r="F73" s="266">
        <v>45999</v>
      </c>
      <c r="G73" s="231" t="s">
        <v>288</v>
      </c>
      <c r="H73" s="228">
        <v>30</v>
      </c>
      <c r="I73" s="269">
        <f>Tabela1[[#This Row],[DATA  COLETA (ESTIMADA)]]+Tabela1[[#This Row],[days]]</f>
        <v>46029</v>
      </c>
      <c r="J73" s="34"/>
      <c r="K73" s="273"/>
      <c r="L73" s="26">
        <v>17776.62</v>
      </c>
      <c r="M73" s="26">
        <v>17776.62</v>
      </c>
      <c r="N73" s="117">
        <f>Tabela1[[#This Row],[ADVANCE PAYMENT / FINAL PAYM''T/ NC 
(US$)]]-Tabela1[[#This Row],[TOTAL DUE PAYMENT-AS PER FINAL INVOICE
US$]]</f>
        <v>0</v>
      </c>
      <c r="O73" s="347">
        <v>95819.54</v>
      </c>
      <c r="P73" s="280">
        <v>62567</v>
      </c>
      <c r="Q73" s="232" t="s">
        <v>361</v>
      </c>
      <c r="R73" s="83" t="s">
        <v>592</v>
      </c>
    </row>
    <row r="74" spans="1:18" x14ac:dyDescent="0.35">
      <c r="A74" s="244" t="s">
        <v>524</v>
      </c>
      <c r="B74" s="254" t="s">
        <v>277</v>
      </c>
      <c r="C74" s="254"/>
      <c r="D74" s="299">
        <v>9070</v>
      </c>
      <c r="E74" s="266">
        <v>45951</v>
      </c>
      <c r="F74" s="266">
        <v>45992</v>
      </c>
      <c r="G74" s="231" t="s">
        <v>279</v>
      </c>
      <c r="H74" s="228">
        <v>30</v>
      </c>
      <c r="I74" s="269">
        <f>Tabela1[[#This Row],[DATA  COLETA (ESTIMADA)]]+Tabela1[[#This Row],[days]]</f>
        <v>46022</v>
      </c>
      <c r="J74" s="34"/>
      <c r="K74" s="273"/>
      <c r="L74" s="26">
        <v>18180.800000000003</v>
      </c>
      <c r="M74" s="26">
        <f>9770+8410.8</f>
        <v>18180.8</v>
      </c>
      <c r="N74" s="117">
        <f>Tabela1[[#This Row],[ADVANCE PAYMENT / FINAL PAYM''T/ NC 
(US$)]]-Tabela1[[#This Row],[TOTAL DUE PAYMENT-AS PER FINAL INVOICE
US$]]</f>
        <v>0</v>
      </c>
      <c r="O74" s="347">
        <f>96972.75</f>
        <v>96972.75</v>
      </c>
      <c r="P74" s="280" t="s">
        <v>710</v>
      </c>
      <c r="Q74" s="232" t="s">
        <v>361</v>
      </c>
      <c r="R74" s="83" t="s">
        <v>566</v>
      </c>
    </row>
    <row r="75" spans="1:18" ht="36.5" x14ac:dyDescent="0.35">
      <c r="A75" s="244" t="s">
        <v>531</v>
      </c>
      <c r="B75" s="254" t="s">
        <v>532</v>
      </c>
      <c r="C75" s="254" t="s">
        <v>846</v>
      </c>
      <c r="D75" s="279" t="s">
        <v>582</v>
      </c>
      <c r="E75" s="266">
        <v>45950</v>
      </c>
      <c r="F75" s="266">
        <v>46008</v>
      </c>
      <c r="G75" s="231" t="s">
        <v>533</v>
      </c>
      <c r="H75" s="228">
        <v>20</v>
      </c>
      <c r="I75" s="269">
        <f>Tabela1[[#This Row],[DATA  COLETA (ESTIMADA)]]+Tabela1[[#This Row],[days]]</f>
        <v>46028</v>
      </c>
      <c r="J75" s="246">
        <v>43290</v>
      </c>
      <c r="K75" s="272">
        <f>Tabela1[[#This Row],[TOTAL DUE PAYMENT-AS PER FINAL INVOICE
US$]]/Tabela1[[#This Row],[PROFORMA
(2026)]]</f>
        <v>1.0216734811734813</v>
      </c>
      <c r="L75" s="26">
        <v>44228.245000000003</v>
      </c>
      <c r="M75" s="26">
        <f>12987+31096.25</f>
        <v>44083.25</v>
      </c>
      <c r="N75" s="117">
        <f>Tabela1[[#This Row],[ADVANCE PAYMENT / FINAL PAYM''T/ NC 
(US$)]]-Tabela1[[#This Row],[TOTAL DUE PAYMENT-AS PER FINAL INVOICE
US$]]</f>
        <v>-144.99500000000262</v>
      </c>
      <c r="O75" s="347">
        <f>126511.33+241066.1</f>
        <v>367577.43</v>
      </c>
      <c r="P75" s="280" t="s">
        <v>583</v>
      </c>
      <c r="Q75" s="353" t="s">
        <v>421</v>
      </c>
      <c r="R75" s="440" t="s">
        <v>957</v>
      </c>
    </row>
    <row r="76" spans="1:18" ht="24.5" x14ac:dyDescent="0.35">
      <c r="A76" s="244" t="s">
        <v>537</v>
      </c>
      <c r="B76" s="251" t="s">
        <v>731</v>
      </c>
      <c r="C76" s="251"/>
      <c r="D76" s="279">
        <v>8811</v>
      </c>
      <c r="E76" s="266">
        <v>45964</v>
      </c>
      <c r="F76" s="266">
        <v>46007</v>
      </c>
      <c r="G76" s="231" t="s">
        <v>470</v>
      </c>
      <c r="H76" s="228">
        <v>60</v>
      </c>
      <c r="I76" s="269">
        <f>Tabela1[[#This Row],[DATA  COLETA (ESTIMADA)]]+Tabela1[[#This Row],[days]]</f>
        <v>46067</v>
      </c>
      <c r="J76" s="246">
        <v>15055</v>
      </c>
      <c r="K76" s="272">
        <f>Tabela1[[#This Row],[TOTAL DUE PAYMENT-AS PER FINAL INVOICE
US$]]/Tabela1[[#This Row],[PROFORMA
(2026)]]</f>
        <v>0.90856592494187971</v>
      </c>
      <c r="L76" s="26">
        <f>7880.78+5797.68</f>
        <v>13678.46</v>
      </c>
      <c r="M76" s="23">
        <f>3633.73+10044+0.73</f>
        <v>13678.46</v>
      </c>
      <c r="N76" s="117">
        <f>Tabela1[[#This Row],[ADVANCE PAYMENT / FINAL PAYM''T/ NC 
(US$)]]-Tabela1[[#This Row],[TOTAL DUE PAYMENT-AS PER FINAL INVOICE
US$]]</f>
        <v>0</v>
      </c>
      <c r="O76" s="347">
        <f>42752.43+32051.31</f>
        <v>74803.740000000005</v>
      </c>
      <c r="P76" s="280" t="s">
        <v>613</v>
      </c>
      <c r="Q76" s="253" t="s">
        <v>361</v>
      </c>
      <c r="R76" s="478" t="s">
        <v>934</v>
      </c>
    </row>
    <row r="77" spans="1:18" ht="24.5" x14ac:dyDescent="0.35">
      <c r="A77" s="244" t="s">
        <v>536</v>
      </c>
      <c r="B77" s="254" t="s">
        <v>277</v>
      </c>
      <c r="C77" s="254"/>
      <c r="D77" s="299">
        <v>9075</v>
      </c>
      <c r="E77" s="266">
        <v>45964</v>
      </c>
      <c r="F77" s="266">
        <v>46006</v>
      </c>
      <c r="G77" s="231" t="s">
        <v>279</v>
      </c>
      <c r="H77" s="228">
        <v>30</v>
      </c>
      <c r="I77" s="269">
        <f>Tabela1[[#This Row],[DATA  COLETA (ESTIMADA)]]+Tabela1[[#This Row],[days]]</f>
        <v>46036</v>
      </c>
      <c r="J77" s="246"/>
      <c r="K77" s="273"/>
      <c r="L77" s="26">
        <v>20124.810000000001</v>
      </c>
      <c r="M77" s="26">
        <f>11502.5+8622.31</f>
        <v>20124.809999999998</v>
      </c>
      <c r="N77" s="117">
        <f>Tabela1[[#This Row],[ADVANCE PAYMENT / FINAL PAYM''T/ NC 
(US$)]]-Tabela1[[#This Row],[TOTAL DUE PAYMENT-AS PER FINAL INVOICE
US$]]</f>
        <v>0</v>
      </c>
      <c r="O77" s="347">
        <f>34620.28+74196.94</f>
        <v>108817.22</v>
      </c>
      <c r="P77" s="280" t="s">
        <v>579</v>
      </c>
      <c r="Q77" s="232" t="s">
        <v>361</v>
      </c>
      <c r="R77" s="440" t="s">
        <v>578</v>
      </c>
    </row>
    <row r="78" spans="1:18" x14ac:dyDescent="0.35">
      <c r="A78" s="244" t="s">
        <v>544</v>
      </c>
      <c r="B78" s="254" t="s">
        <v>291</v>
      </c>
      <c r="C78" s="254"/>
      <c r="D78" s="279">
        <v>8863</v>
      </c>
      <c r="E78" s="266">
        <v>45971</v>
      </c>
      <c r="F78" s="266">
        <v>46030</v>
      </c>
      <c r="G78" s="231" t="s">
        <v>290</v>
      </c>
      <c r="H78" s="228">
        <v>90</v>
      </c>
      <c r="I78" s="269">
        <f>Tabela1[[#This Row],[DATA  COLETA (ESTIMADA)]]+Tabela1[[#This Row],[days]]</f>
        <v>46120</v>
      </c>
      <c r="J78" s="246">
        <v>6250</v>
      </c>
      <c r="K78" s="272">
        <f>Tabela1[[#This Row],[TOTAL DUE PAYMENT-AS PER FINAL INVOICE
US$]]/Tabela1[[#This Row],[PROFORMA
(2026)]]</f>
        <v>1.0371839999999999</v>
      </c>
      <c r="L78" s="26">
        <v>6482.4</v>
      </c>
      <c r="M78" s="26">
        <v>6482.4</v>
      </c>
      <c r="N78" s="117">
        <f>Tabela1[[#This Row],[ADVANCE PAYMENT / FINAL PAYM''T/ NC 
(US$)]]-Tabela1[[#This Row],[TOTAL DUE PAYMENT-AS PER FINAL INVOICE
US$]]</f>
        <v>0</v>
      </c>
      <c r="O78" s="347">
        <v>35232.5</v>
      </c>
      <c r="P78" s="280">
        <v>63251</v>
      </c>
      <c r="Q78" s="232" t="s">
        <v>361</v>
      </c>
      <c r="R78" s="83" t="s">
        <v>690</v>
      </c>
    </row>
    <row r="79" spans="1:18" x14ac:dyDescent="0.35">
      <c r="A79" s="244" t="s">
        <v>551</v>
      </c>
      <c r="B79" s="254" t="s">
        <v>611</v>
      </c>
      <c r="C79" s="251"/>
      <c r="D79" s="279">
        <v>8953</v>
      </c>
      <c r="E79" s="266">
        <v>45979</v>
      </c>
      <c r="F79" s="266">
        <v>45980</v>
      </c>
      <c r="G79" s="231" t="s">
        <v>274</v>
      </c>
      <c r="H79" s="228">
        <v>0</v>
      </c>
      <c r="I79" s="269">
        <f>Tabela1[[#This Row],[DATA  COLETA (ESTIMADA)]]+Tabela1[[#This Row],[days]]</f>
        <v>45980</v>
      </c>
      <c r="J79" s="246"/>
      <c r="K79" s="273"/>
      <c r="L79" s="26">
        <v>6554.95</v>
      </c>
      <c r="M79" s="26">
        <f>2000+4554.95</f>
        <v>6554.95</v>
      </c>
      <c r="N79" s="117">
        <f>Tabela1[[#This Row],[ADVANCE PAYMENT / FINAL PAYM''T/ NC 
(US$)]]-Tabela1[[#This Row],[TOTAL DUE PAYMENT-AS PER FINAL INVOICE
US$]]</f>
        <v>0</v>
      </c>
      <c r="O79" s="347">
        <f>12341.34+22463.04</f>
        <v>34804.380000000005</v>
      </c>
      <c r="P79" s="280" t="s">
        <v>556</v>
      </c>
      <c r="Q79" s="232" t="s">
        <v>361</v>
      </c>
      <c r="R79" s="83" t="s">
        <v>944</v>
      </c>
    </row>
    <row r="80" spans="1:18" ht="48.5" x14ac:dyDescent="0.35">
      <c r="A80" s="244" t="s">
        <v>552</v>
      </c>
      <c r="B80" s="254" t="s">
        <v>401</v>
      </c>
      <c r="C80" s="230" t="s">
        <v>839</v>
      </c>
      <c r="D80" s="279">
        <v>9030</v>
      </c>
      <c r="E80" s="266">
        <v>45985</v>
      </c>
      <c r="F80" s="266">
        <v>46010</v>
      </c>
      <c r="G80" s="231" t="s">
        <v>359</v>
      </c>
      <c r="H80" s="228">
        <v>30</v>
      </c>
      <c r="I80" s="269">
        <f>Tabela1[[#This Row],[DATA  COLETA (ESTIMADA)]]+Tabela1[[#This Row],[days]]</f>
        <v>46040</v>
      </c>
      <c r="J80" s="483">
        <v>14285</v>
      </c>
      <c r="K80" s="484">
        <f>Tabela1[[#This Row],[TOTAL DUE PAYMENT-AS PER FINAL INVOICE
US$]]/Tabela1[[#This Row],[PROFORMA
(2026)]]</f>
        <v>1.10411200560028</v>
      </c>
      <c r="L80" s="244">
        <f>15772.24</f>
        <v>15772.24</v>
      </c>
      <c r="M80" s="244">
        <f>4991.86+5597.15+5592.15</f>
        <v>16181.159999999998</v>
      </c>
      <c r="N80" s="481">
        <f>Tabela1[[#This Row],[ADVANCE PAYMENT / FINAL PAYM''T/ NC 
(US$)]]-Tabela1[[#This Row],[TOTAL DUE PAYMENT-AS PER FINAL INVOICE
US$]]</f>
        <v>408.91999999999825</v>
      </c>
      <c r="O80" s="482">
        <v>86999.65</v>
      </c>
      <c r="P80" s="280">
        <v>63248</v>
      </c>
      <c r="Q80" s="232" t="s">
        <v>361</v>
      </c>
      <c r="R80" s="473" t="s">
        <v>962</v>
      </c>
    </row>
    <row r="81" spans="1:19" x14ac:dyDescent="0.35">
      <c r="A81" s="244" t="s">
        <v>562</v>
      </c>
      <c r="B81" s="254" t="s">
        <v>401</v>
      </c>
      <c r="C81" s="230" t="s">
        <v>839</v>
      </c>
      <c r="D81" s="279">
        <v>9035</v>
      </c>
      <c r="E81" s="266">
        <v>45985</v>
      </c>
      <c r="F81" s="266">
        <v>46010</v>
      </c>
      <c r="G81" s="231" t="s">
        <v>359</v>
      </c>
      <c r="H81" s="228">
        <v>30</v>
      </c>
      <c r="I81" s="269">
        <f>Tabela1[[#This Row],[DATA  COLETA (ESTIMADA)]]+Tabela1[[#This Row],[days]]</f>
        <v>46040</v>
      </c>
      <c r="J81" s="246"/>
      <c r="K81" s="273"/>
      <c r="L81" s="26"/>
      <c r="M81" s="26"/>
      <c r="N81" s="117">
        <f>Tabela1[[#This Row],[ADVANCE PAYMENT / FINAL PAYM''T/ NC 
(US$)]]-Tabela1[[#This Row],[TOTAL DUE PAYMENT-AS PER FINAL INVOICE
US$]]</f>
        <v>0</v>
      </c>
      <c r="O81" s="350" t="s">
        <v>550</v>
      </c>
      <c r="P81" s="284" t="s">
        <v>550</v>
      </c>
      <c r="Q81" s="232" t="s">
        <v>361</v>
      </c>
      <c r="R81" s="357" t="s">
        <v>935</v>
      </c>
    </row>
    <row r="82" spans="1:19" x14ac:dyDescent="0.35">
      <c r="A82" s="244" t="s">
        <v>563</v>
      </c>
      <c r="B82" s="254" t="s">
        <v>585</v>
      </c>
      <c r="C82" s="386" t="s">
        <v>842</v>
      </c>
      <c r="D82" s="279">
        <v>9037</v>
      </c>
      <c r="E82" s="266">
        <v>45988</v>
      </c>
      <c r="F82" s="266">
        <v>46010</v>
      </c>
      <c r="G82" s="231" t="s">
        <v>533</v>
      </c>
      <c r="H82" s="228">
        <v>0</v>
      </c>
      <c r="I82" s="269">
        <f>Tabela1[[#This Row],[DATA  COLETA (ESTIMADA)]]+Tabela1[[#This Row],[days]]</f>
        <v>46010</v>
      </c>
      <c r="J82" s="34"/>
      <c r="K82" s="273"/>
      <c r="L82" s="26">
        <v>8103.3</v>
      </c>
      <c r="M82" s="26">
        <v>8618</v>
      </c>
      <c r="N82" s="51">
        <f>Tabela1[[#This Row],[ADVANCE PAYMENT / FINAL PAYM''T/ NC 
(US$)]]-Tabela1[[#This Row],[TOTAL DUE PAYMENT-AS PER FINAL INVOICE
US$]]</f>
        <v>514.69999999999982</v>
      </c>
      <c r="O82" s="347">
        <v>44697.82</v>
      </c>
      <c r="P82" s="280">
        <v>63243</v>
      </c>
      <c r="Q82" s="232" t="s">
        <v>361</v>
      </c>
      <c r="R82" s="259" t="s">
        <v>601</v>
      </c>
    </row>
    <row r="83" spans="1:19" ht="18.75" customHeight="1" x14ac:dyDescent="0.35">
      <c r="A83" s="316" t="s">
        <v>570</v>
      </c>
      <c r="B83" s="260" t="s">
        <v>572</v>
      </c>
      <c r="C83" s="260"/>
      <c r="D83" s="279">
        <v>9125</v>
      </c>
      <c r="E83" s="268">
        <v>46002</v>
      </c>
      <c r="F83" s="268">
        <v>46059</v>
      </c>
      <c r="G83" s="261" t="s">
        <v>533</v>
      </c>
      <c r="H83" s="228">
        <v>0</v>
      </c>
      <c r="I83" s="271">
        <f>Tabela1[[#This Row],[DATA  COLETA (ESTIMADA)]]+Tabela1[[#This Row],[days]]</f>
        <v>46059</v>
      </c>
      <c r="J83" s="246">
        <v>23970</v>
      </c>
      <c r="K83" s="272">
        <f>Tabela1[[#This Row],[TOTAL DUE PAYMENT-AS PER FINAL INVOICE
US$]]/Tabela1[[#This Row],[PROFORMA
(2026)]]</f>
        <v>1.0449340842720067</v>
      </c>
      <c r="L83" s="26">
        <v>25047.07</v>
      </c>
      <c r="M83" s="107">
        <f>23905+1142.07</f>
        <v>25047.07</v>
      </c>
      <c r="N83" s="117">
        <f>Tabela1[[#This Row],[ADVANCE PAYMENT / FINAL PAYM''T/ NC 
(US$)]]-Tabela1[[#This Row],[TOTAL DUE PAYMENT-AS PER FINAL INVOICE
US$]]</f>
        <v>0</v>
      </c>
      <c r="O83" s="351">
        <v>131697.49</v>
      </c>
      <c r="P83" s="289" t="s">
        <v>609</v>
      </c>
      <c r="Q83" s="232" t="s">
        <v>361</v>
      </c>
      <c r="R83" s="440" t="s">
        <v>657</v>
      </c>
    </row>
    <row r="84" spans="1:19" x14ac:dyDescent="0.35">
      <c r="A84" s="244" t="s">
        <v>571</v>
      </c>
      <c r="B84" s="230" t="s">
        <v>291</v>
      </c>
      <c r="C84" s="230" t="s">
        <v>839</v>
      </c>
      <c r="D84" s="279">
        <v>9124</v>
      </c>
      <c r="E84" s="266">
        <v>46002</v>
      </c>
      <c r="F84" s="266">
        <v>46065</v>
      </c>
      <c r="G84" s="231" t="s">
        <v>290</v>
      </c>
      <c r="H84" s="228">
        <v>90</v>
      </c>
      <c r="I84" s="269">
        <f>Tabela1[[#This Row],[DATA  COLETA (ESTIMADA)]]+Tabela1[[#This Row],[days]]</f>
        <v>46155</v>
      </c>
      <c r="J84" s="246">
        <v>2925</v>
      </c>
      <c r="K84" s="272">
        <f>Tabela1[[#This Row],[TOTAL DUE PAYMENT-AS PER FINAL INVOICE
US$]]/Tabela1[[#This Row],[PROFORMA
(2026)]]</f>
        <v>0.9523076923076923</v>
      </c>
      <c r="L84" s="26">
        <v>2785.5</v>
      </c>
      <c r="M84" s="244">
        <v>2785.5</v>
      </c>
      <c r="N84" s="117">
        <f>Tabela1[[#This Row],[ADVANCE PAYMENT / FINAL PAYM''T/ NC 
(US$)]]-Tabela1[[#This Row],[TOTAL DUE PAYMENT-AS PER FINAL INVOICE
US$]]</f>
        <v>0</v>
      </c>
      <c r="O84" s="347">
        <v>14593.79</v>
      </c>
      <c r="P84" s="280">
        <v>63662</v>
      </c>
      <c r="Q84" s="232" t="s">
        <v>361</v>
      </c>
      <c r="R84" s="83" t="s">
        <v>705</v>
      </c>
    </row>
    <row r="85" spans="1:19" ht="24.5" x14ac:dyDescent="0.35">
      <c r="A85" s="244" t="s">
        <v>584</v>
      </c>
      <c r="B85" s="230" t="s">
        <v>401</v>
      </c>
      <c r="C85" s="230" t="s">
        <v>839</v>
      </c>
      <c r="D85" s="279">
        <v>9157</v>
      </c>
      <c r="E85" s="266">
        <v>46010</v>
      </c>
      <c r="F85" s="266">
        <v>46073</v>
      </c>
      <c r="G85" s="231" t="s">
        <v>359</v>
      </c>
      <c r="H85" s="228">
        <v>30</v>
      </c>
      <c r="I85" s="269">
        <f>Tabela1[[#This Row],[DATA  COLETA (ESTIMADA)]]+Tabela1[[#This Row],[days]]</f>
        <v>46103</v>
      </c>
      <c r="J85" s="263">
        <f>5170+6490+3874</f>
        <v>15534</v>
      </c>
      <c r="K85" s="272">
        <f>Tabela1[[#This Row],[TOTAL DUE PAYMENT-AS PER FINAL INVOICE
US$]]/Tabela1[[#This Row],[PROFORMA
(2026)]]</f>
        <v>1.1705066306167118</v>
      </c>
      <c r="L85" s="26">
        <v>18182.650000000001</v>
      </c>
      <c r="M85" s="23">
        <f>408.92+5659.15+21013.51</f>
        <v>27081.579999999998</v>
      </c>
      <c r="N85" s="117">
        <f>Tabela1[[#This Row],[ADVANCE PAYMENT / FINAL PAYM''T/ NC 
(US$)]]-Tabela1[[#This Row],[TOTAL DUE PAYMENT-AS PER FINAL INVOICE
US$]]</f>
        <v>8898.9299999999967</v>
      </c>
      <c r="O85" s="347">
        <v>95173.45</v>
      </c>
      <c r="P85" s="280">
        <v>64026</v>
      </c>
      <c r="Q85" s="247" t="s">
        <v>421</v>
      </c>
      <c r="R85" s="440" t="s">
        <v>936</v>
      </c>
    </row>
    <row r="86" spans="1:19" x14ac:dyDescent="0.35">
      <c r="A86" s="314" t="s">
        <v>594</v>
      </c>
      <c r="B86" s="230" t="s">
        <v>466</v>
      </c>
      <c r="C86" s="230" t="s">
        <v>838</v>
      </c>
      <c r="D86" s="279">
        <v>9176</v>
      </c>
      <c r="E86" s="266">
        <v>46031</v>
      </c>
      <c r="F86" s="266">
        <v>46087</v>
      </c>
      <c r="G86" s="231" t="s">
        <v>288</v>
      </c>
      <c r="H86" s="228">
        <v>35</v>
      </c>
      <c r="I86" s="269">
        <f>Tabela1[[#This Row],[DATA  COLETA (ESTIMADA)]]+Tabela1[[#This Row],[days]]</f>
        <v>46122</v>
      </c>
      <c r="J86" s="263">
        <v>21960</v>
      </c>
      <c r="K86" s="272">
        <f>Tabela1[[#This Row],[TOTAL DUE PAYMENT-AS PER FINAL INVOICE
US$]]/Tabela1[[#This Row],[PROFORMA
(2026)]]</f>
        <v>1.0116666666666667</v>
      </c>
      <c r="L86" s="26">
        <v>22216.2</v>
      </c>
      <c r="M86" s="23">
        <v>22216.2</v>
      </c>
      <c r="N86" s="117">
        <f>Tabela1[[#This Row],[ADVANCE PAYMENT / FINAL PAYM''T/ NC 
(US$)]]-Tabela1[[#This Row],[TOTAL DUE PAYMENT-AS PER FINAL INVOICE
US$]]</f>
        <v>0</v>
      </c>
      <c r="O86" s="347">
        <v>114700.02</v>
      </c>
      <c r="P86" s="280">
        <v>64130</v>
      </c>
      <c r="Q86" s="232" t="s">
        <v>361</v>
      </c>
      <c r="R86" s="258" t="s">
        <v>696</v>
      </c>
      <c r="S86" s="399" t="s">
        <v>849</v>
      </c>
    </row>
    <row r="87" spans="1:19" x14ac:dyDescent="0.35">
      <c r="A87" s="244" t="s">
        <v>595</v>
      </c>
      <c r="B87" s="230" t="s">
        <v>401</v>
      </c>
      <c r="C87" s="230" t="s">
        <v>839</v>
      </c>
      <c r="D87" s="279">
        <v>9177</v>
      </c>
      <c r="E87" s="266">
        <v>46031</v>
      </c>
      <c r="F87" s="266">
        <v>46073</v>
      </c>
      <c r="G87" s="231" t="s">
        <v>359</v>
      </c>
      <c r="H87" s="228">
        <v>30</v>
      </c>
      <c r="I87" s="269">
        <f>Tabela1[[#This Row],[DATA  COLETA (ESTIMADA)]]+Tabela1[[#This Row],[days]]</f>
        <v>46103</v>
      </c>
      <c r="J87" s="264" t="s">
        <v>55</v>
      </c>
      <c r="K87" s="278" t="s">
        <v>55</v>
      </c>
      <c r="L87" s="69"/>
      <c r="M87" s="23"/>
      <c r="N87" s="117">
        <f>Tabela1[[#This Row],[ADVANCE PAYMENT / FINAL PAYM''T/ NC 
(US$)]]-Tabela1[[#This Row],[TOTAL DUE PAYMENT-AS PER FINAL INVOICE
US$]]</f>
        <v>0</v>
      </c>
      <c r="O87" s="350" t="s">
        <v>550</v>
      </c>
      <c r="P87" s="284" t="s">
        <v>550</v>
      </c>
      <c r="Q87" s="247" t="s">
        <v>421</v>
      </c>
      <c r="R87" s="83" t="s">
        <v>615</v>
      </c>
    </row>
    <row r="88" spans="1:19" x14ac:dyDescent="0.35">
      <c r="A88" s="244" t="s">
        <v>598</v>
      </c>
      <c r="B88" s="230" t="s">
        <v>291</v>
      </c>
      <c r="C88" s="230" t="s">
        <v>839</v>
      </c>
      <c r="D88" s="279">
        <v>9206</v>
      </c>
      <c r="E88" s="266">
        <v>46038</v>
      </c>
      <c r="F88" s="266">
        <v>46077</v>
      </c>
      <c r="G88" s="231" t="s">
        <v>290</v>
      </c>
      <c r="H88" s="228">
        <v>90</v>
      </c>
      <c r="I88" s="269">
        <f>Tabela1[[#This Row],[DATA  COLETA (ESTIMADA)]]+Tabela1[[#This Row],[days]]</f>
        <v>46167</v>
      </c>
      <c r="J88" s="263">
        <f>2250+1970</f>
        <v>4220</v>
      </c>
      <c r="K88" s="272">
        <f>Tabela1[[#This Row],[TOTAL DUE PAYMENT-AS PER FINAL INVOICE
US$]]/Tabela1[[#This Row],[PROFORMA
(2026)]]</f>
        <v>0.87945023696682467</v>
      </c>
      <c r="L88" s="26">
        <v>3711.28</v>
      </c>
      <c r="M88" s="23">
        <v>3711.25</v>
      </c>
      <c r="N88" s="117">
        <f>Tabela1[[#This Row],[ADVANCE PAYMENT / FINAL PAYM''T/ NC 
(US$)]]-Tabela1[[#This Row],[TOTAL DUE PAYMENT-AS PER FINAL INVOICE
US$]]</f>
        <v>-3.0000000000200089E-2</v>
      </c>
      <c r="O88" s="347">
        <v>19160.97</v>
      </c>
      <c r="P88" s="280">
        <v>64173</v>
      </c>
      <c r="Q88" s="232" t="s">
        <v>361</v>
      </c>
      <c r="R88" s="258" t="s">
        <v>945</v>
      </c>
    </row>
    <row r="89" spans="1:19" x14ac:dyDescent="0.35">
      <c r="A89" s="244" t="s">
        <v>599</v>
      </c>
      <c r="B89" s="230" t="s">
        <v>401</v>
      </c>
      <c r="C89" s="230" t="s">
        <v>839</v>
      </c>
      <c r="D89" s="279">
        <v>9207</v>
      </c>
      <c r="E89" s="266">
        <v>46038</v>
      </c>
      <c r="F89" s="266">
        <v>46073</v>
      </c>
      <c r="G89" s="231" t="s">
        <v>359</v>
      </c>
      <c r="H89" s="228">
        <v>30</v>
      </c>
      <c r="I89" s="269">
        <f>Tabela1[[#This Row],[DATA  COLETA (ESTIMADA)]]+Tabela1[[#This Row],[days]]</f>
        <v>46103</v>
      </c>
      <c r="J89" s="264" t="s">
        <v>55</v>
      </c>
      <c r="K89" s="278" t="s">
        <v>55</v>
      </c>
      <c r="L89" s="69"/>
      <c r="M89" s="23"/>
      <c r="N89" s="117">
        <f>Tabela1[[#This Row],[ADVANCE PAYMENT / FINAL PAYM''T/ NC 
(US$)]]-Tabela1[[#This Row],[TOTAL DUE PAYMENT-AS PER FINAL INVOICE
US$]]</f>
        <v>0</v>
      </c>
      <c r="O89" s="350" t="s">
        <v>550</v>
      </c>
      <c r="P89" s="284" t="s">
        <v>550</v>
      </c>
      <c r="Q89" s="247" t="s">
        <v>421</v>
      </c>
      <c r="R89" s="83" t="s">
        <v>615</v>
      </c>
    </row>
    <row r="90" spans="1:19" x14ac:dyDescent="0.35">
      <c r="A90" s="244" t="s">
        <v>600</v>
      </c>
      <c r="B90" s="230" t="s">
        <v>277</v>
      </c>
      <c r="C90" s="230" t="s">
        <v>841</v>
      </c>
      <c r="D90" s="279">
        <v>9233</v>
      </c>
      <c r="E90" s="266">
        <v>46048</v>
      </c>
      <c r="F90" s="266">
        <v>46078</v>
      </c>
      <c r="G90" s="231" t="s">
        <v>279</v>
      </c>
      <c r="H90" s="228">
        <v>30</v>
      </c>
      <c r="I90" s="269">
        <f>Tabela1[[#This Row],[DATA  COLETA (ESTIMADA)]]+Tabela1[[#This Row],[days]]</f>
        <v>46108</v>
      </c>
      <c r="J90" s="263">
        <v>12080</v>
      </c>
      <c r="K90" s="272">
        <f>Tabela1[[#This Row],[TOTAL DUE PAYMENT-AS PER FINAL INVOICE
US$]]/Tabela1[[#This Row],[PROFORMA
(2026)]]</f>
        <v>1.02525</v>
      </c>
      <c r="L90" s="26">
        <v>12385.02</v>
      </c>
      <c r="M90" s="23">
        <f>6040+6345.02</f>
        <v>12385.02</v>
      </c>
      <c r="N90" s="117">
        <f>Tabela1[[#This Row],[ADVANCE PAYMENT / FINAL PAYM''T/ NC 
(US$)]]-Tabela1[[#This Row],[TOTAL DUE PAYMENT-AS PER FINAL INVOICE
US$]]</f>
        <v>0</v>
      </c>
      <c r="O90" s="347">
        <v>63701.11</v>
      </c>
      <c r="P90" s="280">
        <v>64233</v>
      </c>
      <c r="Q90" s="232" t="s">
        <v>361</v>
      </c>
      <c r="R90" s="258" t="s">
        <v>664</v>
      </c>
    </row>
    <row r="91" spans="1:19" x14ac:dyDescent="0.35">
      <c r="A91" s="244" t="s">
        <v>602</v>
      </c>
      <c r="B91" s="230" t="s">
        <v>291</v>
      </c>
      <c r="C91" s="230" t="s">
        <v>839</v>
      </c>
      <c r="D91" s="279">
        <v>9246</v>
      </c>
      <c r="E91" s="266">
        <v>46052</v>
      </c>
      <c r="F91" s="266">
        <v>46077</v>
      </c>
      <c r="G91" s="231" t="s">
        <v>290</v>
      </c>
      <c r="H91" s="228">
        <v>90</v>
      </c>
      <c r="I91" s="269">
        <f>Tabela1[[#This Row],[DATA  COLETA (ESTIMADA)]]+Tabela1[[#This Row],[days]]</f>
        <v>46167</v>
      </c>
      <c r="J91" s="263"/>
      <c r="K91" s="278" t="s">
        <v>55</v>
      </c>
      <c r="L91" s="26"/>
      <c r="M91" s="23"/>
      <c r="N91" s="117">
        <f>Tabela1[[#This Row],[ADVANCE PAYMENT / FINAL PAYM''T/ NC 
(US$)]]-Tabela1[[#This Row],[TOTAL DUE PAYMENT-AS PER FINAL INVOICE
US$]]</f>
        <v>0</v>
      </c>
      <c r="O91" s="347" t="s">
        <v>550</v>
      </c>
      <c r="P91" s="284" t="s">
        <v>550</v>
      </c>
      <c r="Q91" s="232" t="s">
        <v>361</v>
      </c>
      <c r="R91" s="258" t="s">
        <v>790</v>
      </c>
    </row>
    <row r="92" spans="1:19" x14ac:dyDescent="0.35">
      <c r="A92" s="244" t="s">
        <v>610</v>
      </c>
      <c r="B92" s="230" t="s">
        <v>611</v>
      </c>
      <c r="C92" s="230" t="s">
        <v>840</v>
      </c>
      <c r="D92" s="279">
        <v>9469</v>
      </c>
      <c r="E92" s="266">
        <v>46066</v>
      </c>
      <c r="F92" s="266">
        <v>46077</v>
      </c>
      <c r="G92" s="231" t="s">
        <v>274</v>
      </c>
      <c r="H92" s="228">
        <v>0</v>
      </c>
      <c r="I92" s="269">
        <f>Tabela1[[#This Row],[DATA  COLETA (ESTIMADA)]]+Tabela1[[#This Row],[days]]</f>
        <v>46077</v>
      </c>
      <c r="J92" s="263">
        <v>5496.5</v>
      </c>
      <c r="K92" s="272">
        <f>Tabela1[[#This Row],[TOTAL DUE PAYMENT-AS PER FINAL INVOICE
US$]]/Tabela1[[#This Row],[PROFORMA
(2026)]]</f>
        <v>0.96752478850177381</v>
      </c>
      <c r="L92" s="26">
        <v>5318</v>
      </c>
      <c r="M92" s="23">
        <v>5318</v>
      </c>
      <c r="N92" s="117">
        <f>Tabela1[[#This Row],[ADVANCE PAYMENT / FINAL PAYM''T/ NC 
(US$)]]-Tabela1[[#This Row],[TOTAL DUE PAYMENT-AS PER FINAL INVOICE
US$]]</f>
        <v>0</v>
      </c>
      <c r="O92" s="347">
        <v>27836</v>
      </c>
      <c r="P92" s="280">
        <v>64034</v>
      </c>
      <c r="Q92" s="232" t="s">
        <v>361</v>
      </c>
      <c r="R92" s="258" t="s">
        <v>612</v>
      </c>
    </row>
    <row r="93" spans="1:19" ht="24.5" x14ac:dyDescent="0.35">
      <c r="A93" s="244" t="s">
        <v>621</v>
      </c>
      <c r="B93" s="230" t="s">
        <v>401</v>
      </c>
      <c r="C93" s="230" t="s">
        <v>839</v>
      </c>
      <c r="D93" s="279">
        <v>9522</v>
      </c>
      <c r="E93" s="266">
        <v>46077</v>
      </c>
      <c r="F93" s="266">
        <v>46140</v>
      </c>
      <c r="G93" s="231" t="s">
        <v>359</v>
      </c>
      <c r="H93" s="228">
        <v>90</v>
      </c>
      <c r="I93" s="269">
        <f>Tabela1[[#This Row],[DATA  COLETA (ESTIMADA)]]+Tabela1[[#This Row],[days]]</f>
        <v>46230</v>
      </c>
      <c r="J93" s="263">
        <v>19925</v>
      </c>
      <c r="K93" s="272">
        <f>Tabela1[[#This Row],[TOTAL DUE PAYMENT-AS PER FINAL INVOICE
US$]]/Tabela1[[#This Row],[PROFORMA
(2026)]]</f>
        <v>1.2126805520702635</v>
      </c>
      <c r="L93" s="26">
        <f>21016.12+3146.54</f>
        <v>24162.66</v>
      </c>
      <c r="M93" s="26">
        <f>8898.93+6575.25</f>
        <v>15474.18</v>
      </c>
      <c r="N93" s="117">
        <f>Tabela1[[#This Row],[ADVANCE PAYMENT / FINAL PAYM''T/ NC 
(US$)]]-Tabela1[[#This Row],[TOTAL DUE PAYMENT-AS PER FINAL INVOICE
US$]]</f>
        <v>-8688.48</v>
      </c>
      <c r="O93" s="347">
        <v>118967.26</v>
      </c>
      <c r="P93" s="280">
        <v>65751</v>
      </c>
      <c r="Q93" s="247" t="s">
        <v>421</v>
      </c>
      <c r="R93" s="439" t="s">
        <v>969</v>
      </c>
    </row>
    <row r="94" spans="1:19" x14ac:dyDescent="0.35">
      <c r="A94" s="244" t="s">
        <v>658</v>
      </c>
      <c r="B94" s="230" t="s">
        <v>477</v>
      </c>
      <c r="C94" s="230" t="s">
        <v>842</v>
      </c>
      <c r="D94" s="279">
        <v>9534</v>
      </c>
      <c r="E94" s="266">
        <v>46078</v>
      </c>
      <c r="F94" s="266">
        <v>46119</v>
      </c>
      <c r="G94" s="231" t="s">
        <v>274</v>
      </c>
      <c r="H94" s="228">
        <v>0</v>
      </c>
      <c r="I94" s="269">
        <f>Tabela1[[#This Row],[DATA  COLETA (ESTIMADA)]]+Tabela1[[#This Row],[days]]</f>
        <v>46119</v>
      </c>
      <c r="J94" s="263">
        <v>6500</v>
      </c>
      <c r="K94" s="272">
        <f>Tabela1[[#This Row],[TOTAL DUE PAYMENT-AS PER FINAL INVOICE
US$]]/Tabela1[[#This Row],[PROFORMA
(2026)]]</f>
        <v>0.97699999999999998</v>
      </c>
      <c r="L94" s="26">
        <v>6350.5</v>
      </c>
      <c r="M94" s="23">
        <v>6350.5</v>
      </c>
      <c r="N94" s="117">
        <f>Tabela1[[#This Row],[ADVANCE PAYMENT / FINAL PAYM''T/ NC 
(US$)]]-Tabela1[[#This Row],[TOTAL DUE PAYMENT-AS PER FINAL INVOICE
US$]]</f>
        <v>0</v>
      </c>
      <c r="O94" s="347">
        <v>33242.959999999999</v>
      </c>
      <c r="P94" s="280">
        <v>65010</v>
      </c>
      <c r="Q94" s="232" t="s">
        <v>361</v>
      </c>
      <c r="R94" s="258" t="s">
        <v>681</v>
      </c>
    </row>
    <row r="95" spans="1:19" x14ac:dyDescent="0.35">
      <c r="A95" s="244" t="s">
        <v>663</v>
      </c>
      <c r="B95" s="248" t="s">
        <v>291</v>
      </c>
      <c r="C95" s="248" t="s">
        <v>839</v>
      </c>
      <c r="D95" s="279">
        <v>9634</v>
      </c>
      <c r="E95" s="266">
        <v>46084</v>
      </c>
      <c r="F95" s="266">
        <v>46127</v>
      </c>
      <c r="G95" s="231" t="s">
        <v>290</v>
      </c>
      <c r="H95" s="228">
        <v>90</v>
      </c>
      <c r="I95" s="269">
        <f>Tabela1[[#This Row],[DATA  COLETA (ESTIMADA)]]+Tabela1[[#This Row],[days]]</f>
        <v>46217</v>
      </c>
      <c r="J95" s="263">
        <v>10258</v>
      </c>
      <c r="K95" s="272">
        <f>Tabela1[[#This Row],[TOTAL DUE PAYMENT-AS PER FINAL INVOICE
US$]]/Tabela1[[#This Row],[PROFORMA
(2026)]]</f>
        <v>0.97019496977968422</v>
      </c>
      <c r="L95" s="26">
        <v>9952.26</v>
      </c>
      <c r="M95" s="23">
        <v>9952.26</v>
      </c>
      <c r="N95" s="117">
        <f>Tabela1[[#This Row],[ADVANCE PAYMENT / FINAL PAYM''T/ NC 
(US$)]]-Tabela1[[#This Row],[TOTAL DUE PAYMENT-AS PER FINAL INVOICE
US$]]</f>
        <v>0</v>
      </c>
      <c r="O95" s="352" t="s">
        <v>702</v>
      </c>
      <c r="P95" s="280">
        <v>65456</v>
      </c>
      <c r="Q95" s="232" t="s">
        <v>361</v>
      </c>
      <c r="R95" s="258" t="s">
        <v>679</v>
      </c>
    </row>
    <row r="96" spans="1:19" x14ac:dyDescent="0.35">
      <c r="A96" s="244" t="s">
        <v>665</v>
      </c>
      <c r="B96" s="230" t="s">
        <v>285</v>
      </c>
      <c r="C96" s="230" t="s">
        <v>840</v>
      </c>
      <c r="D96" s="279">
        <v>9691</v>
      </c>
      <c r="E96" s="266">
        <v>46087</v>
      </c>
      <c r="F96" s="266">
        <v>46126</v>
      </c>
      <c r="G96" s="231" t="s">
        <v>284</v>
      </c>
      <c r="H96" s="228">
        <v>0</v>
      </c>
      <c r="I96" s="269">
        <f>Tabela1[[#This Row],[DATA  COLETA (ESTIMADA)]]+Tabela1[[#This Row],[days]]</f>
        <v>46126</v>
      </c>
      <c r="J96" s="263">
        <v>8189</v>
      </c>
      <c r="K96" s="272">
        <f>Tabela1[[#This Row],[TOTAL DUE PAYMENT-AS PER FINAL INVOICE
US$]]/Tabela1[[#This Row],[PROFORMA
(2026)]]</f>
        <v>0.92085968982781785</v>
      </c>
      <c r="L96" s="26">
        <v>7540.92</v>
      </c>
      <c r="M96" s="26">
        <v>7540.92</v>
      </c>
      <c r="N96" s="117">
        <f>Tabela1[[#This Row],[ADVANCE PAYMENT / FINAL PAYM''T/ NC 
(US$)]]-Tabela1[[#This Row],[TOTAL DUE PAYMENT-AS PER FINAL INVOICE
US$]]</f>
        <v>0</v>
      </c>
      <c r="O96" s="352">
        <v>39474.47</v>
      </c>
      <c r="P96" s="280">
        <v>65022</v>
      </c>
      <c r="Q96" s="232" t="s">
        <v>361</v>
      </c>
      <c r="R96" s="258" t="s">
        <v>694</v>
      </c>
    </row>
    <row r="97" spans="1:19" x14ac:dyDescent="0.35">
      <c r="A97" s="244" t="s">
        <v>667</v>
      </c>
      <c r="B97" s="230" t="s">
        <v>316</v>
      </c>
      <c r="C97" s="230" t="s">
        <v>838</v>
      </c>
      <c r="D97" s="279">
        <v>9695</v>
      </c>
      <c r="E97" s="266">
        <v>46091</v>
      </c>
      <c r="F97" s="266">
        <v>46133</v>
      </c>
      <c r="G97" s="242" t="s">
        <v>442</v>
      </c>
      <c r="H97" s="228">
        <v>70</v>
      </c>
      <c r="I97" s="269">
        <f>Tabela1[[#This Row],[DATA  COLETA (ESTIMADA)]]+Tabela1[[#This Row],[days]]</f>
        <v>46203</v>
      </c>
      <c r="J97" s="263">
        <v>48160</v>
      </c>
      <c r="K97" s="272">
        <f>Tabela1[[#This Row],[TOTAL DUE PAYMENT-AS PER FINAL INVOICE
US$]]/Tabela1[[#This Row],[PROFORMA
(2026)]]</f>
        <v>1.1275595930232558</v>
      </c>
      <c r="L97" s="26">
        <v>54303.27</v>
      </c>
      <c r="M97" s="23">
        <v>54303.27</v>
      </c>
      <c r="N97" s="117">
        <f>Tabela1[[#This Row],[ADVANCE PAYMENT / FINAL PAYM''T/ NC 
(US$)]]-Tabela1[[#This Row],[TOTAL DUE PAYMENT-AS PER FINAL INVOICE
US$]]</f>
        <v>0</v>
      </c>
      <c r="O97" s="352">
        <f>240761.17+30760.62</f>
        <v>271521.79000000004</v>
      </c>
      <c r="P97" s="280" t="s">
        <v>693</v>
      </c>
      <c r="Q97" s="232" t="s">
        <v>361</v>
      </c>
      <c r="R97" s="258" t="s">
        <v>853</v>
      </c>
      <c r="S97" s="405" t="s">
        <v>847</v>
      </c>
    </row>
    <row r="98" spans="1:19" x14ac:dyDescent="0.35">
      <c r="A98" s="244" t="s">
        <v>738</v>
      </c>
      <c r="B98" s="230" t="s">
        <v>416</v>
      </c>
      <c r="C98" s="230" t="s">
        <v>838</v>
      </c>
      <c r="D98" s="279">
        <v>9942</v>
      </c>
      <c r="E98" s="266">
        <v>46118</v>
      </c>
      <c r="F98" s="266">
        <v>46156</v>
      </c>
      <c r="G98" s="231" t="s">
        <v>359</v>
      </c>
      <c r="H98" s="228">
        <v>30</v>
      </c>
      <c r="I98" s="269">
        <f>Tabela1[[#This Row],[DATA  COLETA (ESTIMADA)]]+Tabela1[[#This Row],[days]]</f>
        <v>46186</v>
      </c>
      <c r="J98" s="263">
        <v>15370</v>
      </c>
      <c r="K98" s="272">
        <f>Tabela1[[#This Row],[TOTAL DUE PAYMENT-AS PER FINAL INVOICE
US$]]/Tabela1[[#This Row],[PROFORMA
(2026)]]</f>
        <v>1.223426805465192</v>
      </c>
      <c r="L98" s="26">
        <f>16122.07+2682</f>
        <v>18804.07</v>
      </c>
      <c r="M98" s="23">
        <v>18804.07</v>
      </c>
      <c r="N98" s="117">
        <f>Tabela1[[#This Row],[ADVANCE PAYMENT / FINAL PAYM''T/ NC 
(US$)]]-Tabela1[[#This Row],[TOTAL DUE PAYMENT-AS PER FINAL INVOICE
US$]]</f>
        <v>0</v>
      </c>
      <c r="O98" s="352">
        <v>94595.71</v>
      </c>
      <c r="P98" s="280">
        <v>66068</v>
      </c>
      <c r="Q98" s="232" t="s">
        <v>361</v>
      </c>
      <c r="R98" s="258" t="s">
        <v>835</v>
      </c>
      <c r="S98" s="477" t="s">
        <v>855</v>
      </c>
    </row>
    <row r="99" spans="1:19" ht="24.5" x14ac:dyDescent="0.35">
      <c r="A99" s="244" t="s">
        <v>668</v>
      </c>
      <c r="B99" s="251" t="s">
        <v>731</v>
      </c>
      <c r="C99" s="251" t="s">
        <v>841</v>
      </c>
      <c r="D99" s="279">
        <v>9747</v>
      </c>
      <c r="E99" s="266">
        <v>46094</v>
      </c>
      <c r="F99" s="266">
        <v>46148</v>
      </c>
      <c r="G99" s="231" t="s">
        <v>470</v>
      </c>
      <c r="H99" s="228">
        <v>60</v>
      </c>
      <c r="I99" s="269">
        <f>Tabela1[[#This Row],[DATA  COLETA (ESTIMADA)]]+Tabela1[[#This Row],[days]]</f>
        <v>46208</v>
      </c>
      <c r="J99" s="263">
        <f>8500+13158</f>
        <v>21658</v>
      </c>
      <c r="K99" s="272">
        <f>Tabela1[[#This Row],[TOTAL DUE PAYMENT-AS PER FINAL INVOICE
US$]]/Tabela1[[#This Row],[PROFORMA
(2026)]]</f>
        <v>1.0088881706528765</v>
      </c>
      <c r="L99" s="26">
        <f>21850.5</f>
        <v>21850.5</v>
      </c>
      <c r="M99" s="23">
        <f>6000+8000+8000-0.73</f>
        <v>21999.27</v>
      </c>
      <c r="N99" s="117">
        <f>Tabela1[[#This Row],[ADVANCE PAYMENT / FINAL PAYM''T/ NC 
(US$)]]-Tabela1[[#This Row],[TOTAL DUE PAYMENT-AS PER FINAL INVOICE
US$]]</f>
        <v>148.77000000000044</v>
      </c>
      <c r="O99" s="352">
        <v>108972.81</v>
      </c>
      <c r="P99" s="280">
        <v>65581</v>
      </c>
      <c r="Q99" s="253" t="s">
        <v>361</v>
      </c>
      <c r="R99" s="439" t="s">
        <v>971</v>
      </c>
    </row>
    <row r="100" spans="1:19" x14ac:dyDescent="0.35">
      <c r="A100" s="244" t="s">
        <v>672</v>
      </c>
      <c r="B100" s="230" t="s">
        <v>291</v>
      </c>
      <c r="C100" s="230" t="s">
        <v>839</v>
      </c>
      <c r="D100" s="279">
        <v>9771</v>
      </c>
      <c r="E100" s="266">
        <v>46099</v>
      </c>
      <c r="F100" s="266">
        <v>46146</v>
      </c>
      <c r="G100" s="231" t="s">
        <v>290</v>
      </c>
      <c r="H100" s="228">
        <v>90</v>
      </c>
      <c r="I100" s="269">
        <f>Tabela1[[#This Row],[DATA  COLETA (ESTIMADA)]]+Tabela1[[#This Row],[days]]</f>
        <v>46236</v>
      </c>
      <c r="J100" s="263">
        <v>8168</v>
      </c>
      <c r="K100" s="272">
        <f>Tabela1[[#This Row],[TOTAL DUE PAYMENT-AS PER FINAL INVOICE
US$]]/Tabela1[[#This Row],[PROFORMA
(2026)]]</f>
        <v>1.0710247306562193</v>
      </c>
      <c r="L100" s="26">
        <v>8748.1299999999992</v>
      </c>
      <c r="M100" s="23">
        <v>8748.1299999999992</v>
      </c>
      <c r="N100" s="117">
        <f>Tabela1[[#This Row],[ADVANCE PAYMENT / FINAL PAYM''T/ NC 
(US$)]]-Tabela1[[#This Row],[TOTAL DUE PAYMENT-AS PER FINAL INVOICE
US$]]</f>
        <v>0</v>
      </c>
      <c r="O100" s="352">
        <v>44066.080000000002</v>
      </c>
      <c r="P100" s="280">
        <v>66014</v>
      </c>
      <c r="Q100" s="232" t="s">
        <v>361</v>
      </c>
      <c r="R100" s="258" t="s">
        <v>867</v>
      </c>
    </row>
    <row r="101" spans="1:19" ht="24.5" x14ac:dyDescent="0.35">
      <c r="A101" s="244" t="s">
        <v>673</v>
      </c>
      <c r="B101" s="230" t="s">
        <v>291</v>
      </c>
      <c r="C101" s="230" t="s">
        <v>839</v>
      </c>
      <c r="D101" s="279">
        <v>10299</v>
      </c>
      <c r="E101" s="266">
        <v>46099</v>
      </c>
      <c r="F101" s="266">
        <v>46211</v>
      </c>
      <c r="G101" s="231" t="s">
        <v>290</v>
      </c>
      <c r="H101" s="228">
        <v>90</v>
      </c>
      <c r="I101" s="269">
        <f>Tabela1[[#This Row],[DATA  COLETA (ESTIMADA)]]+Tabela1[[#This Row],[days]]</f>
        <v>46301</v>
      </c>
      <c r="J101" s="263">
        <v>11400</v>
      </c>
      <c r="K101" s="272">
        <f>Tabela1[[#This Row],[TOTAL DUE PAYMENT-AS PER FINAL INVOICE
US$]]/Tabela1[[#This Row],[PROFORMA
(2026)]]</f>
        <v>1.0715763157894735</v>
      </c>
      <c r="L101" s="26">
        <v>12215.97</v>
      </c>
      <c r="M101" s="23">
        <v>12215.97</v>
      </c>
      <c r="N101" s="117">
        <f>Tabela1[[#This Row],[ADVANCE PAYMENT / FINAL PAYM''T/ NC 
(US$)]]-Tabela1[[#This Row],[TOTAL DUE PAYMENT-AS PER FINAL INVOICE
US$]]</f>
        <v>0</v>
      </c>
      <c r="O101" s="352">
        <v>63169.99</v>
      </c>
      <c r="P101" s="280">
        <v>66960</v>
      </c>
      <c r="Q101" s="232" t="s">
        <v>361</v>
      </c>
      <c r="R101" s="439" t="s">
        <v>961</v>
      </c>
    </row>
    <row r="102" spans="1:19" x14ac:dyDescent="0.35">
      <c r="A102" s="244" t="s">
        <v>675</v>
      </c>
      <c r="B102" s="230" t="s">
        <v>676</v>
      </c>
      <c r="C102" s="230" t="s">
        <v>838</v>
      </c>
      <c r="D102" s="279">
        <v>9776</v>
      </c>
      <c r="E102" s="266">
        <v>46100</v>
      </c>
      <c r="F102" s="266">
        <v>46143</v>
      </c>
      <c r="G102" s="242" t="s">
        <v>317</v>
      </c>
      <c r="H102" s="228">
        <v>35</v>
      </c>
      <c r="I102" s="269">
        <f>Tabela1[[#This Row],[DATA  COLETA (ESTIMADA)]]+Tabela1[[#This Row],[days]]</f>
        <v>46178</v>
      </c>
      <c r="J102" s="263">
        <v>71940</v>
      </c>
      <c r="K102" s="272">
        <f>Tabela1[[#This Row],[TOTAL DUE PAYMENT-AS PER FINAL INVOICE
US$]]/Tabela1[[#This Row],[PROFORMA
(2026)]]</f>
        <v>0.98933500139004715</v>
      </c>
      <c r="L102" s="26">
        <v>71172.759999999995</v>
      </c>
      <c r="M102" s="23">
        <v>71172.759999999995</v>
      </c>
      <c r="N102" s="117">
        <f>Tabela1[[#This Row],[ADVANCE PAYMENT / FINAL PAYM''T/ NC 
(US$)]]-Tabela1[[#This Row],[TOTAL DUE PAYMENT-AS PER FINAL INVOICE
US$]]</f>
        <v>0</v>
      </c>
      <c r="O102" s="352">
        <v>355714.35</v>
      </c>
      <c r="P102" s="280">
        <v>65619</v>
      </c>
      <c r="Q102" s="232" t="s">
        <v>361</v>
      </c>
      <c r="R102" s="258" t="s">
        <v>781</v>
      </c>
      <c r="S102" s="477" t="s">
        <v>855</v>
      </c>
    </row>
    <row r="103" spans="1:19" x14ac:dyDescent="0.35">
      <c r="A103" s="244" t="s">
        <v>677</v>
      </c>
      <c r="B103" s="251" t="s">
        <v>731</v>
      </c>
      <c r="C103" s="251" t="s">
        <v>841</v>
      </c>
      <c r="D103" s="279">
        <v>9778</v>
      </c>
      <c r="E103" s="266">
        <v>46100</v>
      </c>
      <c r="F103" s="266">
        <v>46148</v>
      </c>
      <c r="G103" s="231" t="s">
        <v>470</v>
      </c>
      <c r="H103" s="228">
        <v>60</v>
      </c>
      <c r="I103" s="269">
        <f>Tabela1[[#This Row],[DATA  COLETA (ESTIMADA)]]+Tabela1[[#This Row],[days]]</f>
        <v>46208</v>
      </c>
      <c r="J103" s="263"/>
      <c r="K103" s="272"/>
      <c r="L103" s="26"/>
      <c r="M103" s="23"/>
      <c r="N103" s="117">
        <f>Tabela1[[#This Row],[ADVANCE PAYMENT / FINAL PAYM''T/ NC 
(US$)]]-Tabela1[[#This Row],[TOTAL DUE PAYMENT-AS PER FINAL INVOICE
US$]]</f>
        <v>0</v>
      </c>
      <c r="O103" s="352" t="s">
        <v>550</v>
      </c>
      <c r="P103" s="284" t="s">
        <v>550</v>
      </c>
      <c r="Q103" s="253" t="s">
        <v>361</v>
      </c>
      <c r="R103" s="258" t="s">
        <v>814</v>
      </c>
    </row>
    <row r="104" spans="1:19" ht="14" customHeight="1" x14ac:dyDescent="0.35">
      <c r="A104" s="244" t="s">
        <v>678</v>
      </c>
      <c r="B104" s="230" t="s">
        <v>914</v>
      </c>
      <c r="C104" s="230" t="s">
        <v>843</v>
      </c>
      <c r="D104" s="279">
        <v>9777</v>
      </c>
      <c r="E104" s="266">
        <v>46101</v>
      </c>
      <c r="F104" s="266">
        <v>46164</v>
      </c>
      <c r="G104" s="231" t="s">
        <v>304</v>
      </c>
      <c r="H104" s="228">
        <v>60</v>
      </c>
      <c r="I104" s="269">
        <f>Tabela1[[#This Row],[DATA  COLETA (ESTIMADA)]]+Tabela1[[#This Row],[days]]</f>
        <v>46224</v>
      </c>
      <c r="J104" s="263">
        <v>8344</v>
      </c>
      <c r="K104" s="272">
        <f>Tabela1[[#This Row],[TOTAL DUE PAYMENT-AS PER FINAL INVOICE
US$]]/Tabela1[[#This Row],[PROFORMA
(2026)]]</f>
        <v>1.0717617449664429</v>
      </c>
      <c r="L104" s="26">
        <v>8942.7800000000007</v>
      </c>
      <c r="M104" s="444">
        <f>776.08</f>
        <v>776.08</v>
      </c>
      <c r="N104" s="117">
        <f>Tabela1[[#This Row],[ADVANCE PAYMENT / FINAL PAYM''T/ NC 
(US$)]]-Tabela1[[#This Row],[TOTAL DUE PAYMENT-AS PER FINAL INVOICE
US$]]</f>
        <v>-8166.7000000000007</v>
      </c>
      <c r="O104" s="352">
        <v>43790.11</v>
      </c>
      <c r="P104" s="280">
        <v>65857</v>
      </c>
      <c r="Q104" s="262" t="s">
        <v>363</v>
      </c>
      <c r="R104" s="474" t="s">
        <v>958</v>
      </c>
    </row>
    <row r="105" spans="1:19" ht="36.5" x14ac:dyDescent="0.35">
      <c r="A105" s="317" t="s">
        <v>706</v>
      </c>
      <c r="B105" s="230" t="s">
        <v>420</v>
      </c>
      <c r="C105" s="230" t="s">
        <v>842</v>
      </c>
      <c r="D105" s="279">
        <v>9802</v>
      </c>
      <c r="E105" s="266">
        <v>46106</v>
      </c>
      <c r="F105" s="266">
        <v>46141</v>
      </c>
      <c r="G105" s="231" t="s">
        <v>274</v>
      </c>
      <c r="H105" s="228">
        <v>0</v>
      </c>
      <c r="I105" s="269">
        <f>Tabela1[[#This Row],[DATA  COLETA (ESTIMADA)]]+Tabela1[[#This Row],[days]]</f>
        <v>46141</v>
      </c>
      <c r="J105" s="263">
        <v>23205</v>
      </c>
      <c r="K105" s="272">
        <f>Tabela1[[#This Row],[TOTAL DUE PAYMENT-AS PER FINAL INVOICE
US$]]/Tabela1[[#This Row],[PROFORMA
(2026)]]</f>
        <v>1.0289394527041587</v>
      </c>
      <c r="L105" s="26">
        <v>23876.54</v>
      </c>
      <c r="M105" s="224">
        <f>11650+11653.54+572.99</f>
        <v>23876.530000000002</v>
      </c>
      <c r="N105" s="117">
        <f>Tabela1[[#This Row],[ADVANCE PAYMENT / FINAL PAYM''T/ NC 
(US$)]]-Tabela1[[#This Row],[TOTAL DUE PAYMENT-AS PER FINAL INVOICE
US$]]</f>
        <v>-9.9999999983992893E-3</v>
      </c>
      <c r="O105" s="352">
        <v>119332.52</v>
      </c>
      <c r="P105" s="280">
        <v>65649</v>
      </c>
      <c r="Q105" s="232" t="s">
        <v>361</v>
      </c>
      <c r="R105" s="439" t="s">
        <v>711</v>
      </c>
    </row>
    <row r="106" spans="1:19" x14ac:dyDescent="0.35">
      <c r="A106" s="244" t="s">
        <v>683</v>
      </c>
      <c r="B106" s="230" t="s">
        <v>684</v>
      </c>
      <c r="C106" s="230" t="s">
        <v>838</v>
      </c>
      <c r="D106" s="279">
        <v>9939</v>
      </c>
      <c r="E106" s="266">
        <v>46112</v>
      </c>
      <c r="F106" s="266">
        <v>46155</v>
      </c>
      <c r="G106" s="231" t="s">
        <v>685</v>
      </c>
      <c r="H106" s="228">
        <v>10</v>
      </c>
      <c r="I106" s="269">
        <f>Tabela1[[#This Row],[DATA  COLETA (ESTIMADA)]]+Tabela1[[#This Row],[days]]</f>
        <v>46165</v>
      </c>
      <c r="J106" s="263">
        <v>18075</v>
      </c>
      <c r="K106" s="272">
        <f>Tabela1[[#This Row],[TOTAL DUE PAYMENT-AS PER FINAL INVOICE
US$]]/Tabela1[[#This Row],[PROFORMA
(2026)]]</f>
        <v>0.98638174273858914</v>
      </c>
      <c r="L106" s="26">
        <v>17828.849999999999</v>
      </c>
      <c r="M106" s="23">
        <v>17749.849999999999</v>
      </c>
      <c r="N106" s="117">
        <f>Tabela1[[#This Row],[ADVANCE PAYMENT / FINAL PAYM''T/ NC 
(US$)]]-Tabela1[[#This Row],[TOTAL DUE PAYMENT-AS PER FINAL INVOICE
US$]]</f>
        <v>-79</v>
      </c>
      <c r="O106" s="352">
        <v>87348.88</v>
      </c>
      <c r="P106" s="280">
        <v>65824</v>
      </c>
      <c r="Q106" s="232" t="s">
        <v>361</v>
      </c>
      <c r="R106" s="258" t="s">
        <v>770</v>
      </c>
      <c r="S106" s="477" t="s">
        <v>855</v>
      </c>
    </row>
    <row r="107" spans="1:19" x14ac:dyDescent="0.35">
      <c r="A107" s="318" t="s">
        <v>703</v>
      </c>
      <c r="B107" s="230" t="s">
        <v>477</v>
      </c>
      <c r="C107" s="230" t="s">
        <v>842</v>
      </c>
      <c r="D107" s="279">
        <v>10169</v>
      </c>
      <c r="E107" s="266">
        <v>46141</v>
      </c>
      <c r="F107" s="266">
        <v>46183</v>
      </c>
      <c r="G107" s="231" t="s">
        <v>274</v>
      </c>
      <c r="H107" s="228">
        <v>0</v>
      </c>
      <c r="I107" s="269">
        <f>Tabela1[[#This Row],[DATA  COLETA (ESTIMADA)]]+Tabela1[[#This Row],[days]]</f>
        <v>46183</v>
      </c>
      <c r="J107" s="263">
        <v>9690</v>
      </c>
      <c r="K107" s="371">
        <f>Tabela1[[#This Row],[TOTAL DUE PAYMENT-AS PER FINAL INVOICE
US$]]/Tabela1[[#This Row],[PROFORMA
(2026)]]</f>
        <v>1.0017275541795665</v>
      </c>
      <c r="L107" s="26">
        <v>9706.74</v>
      </c>
      <c r="M107" s="23">
        <v>9706.74</v>
      </c>
      <c r="N107" s="117">
        <f>Tabela1[[#This Row],[ADVANCE PAYMENT / FINAL PAYM''T/ NC 
(US$)]]-Tabela1[[#This Row],[TOTAL DUE PAYMENT-AS PER FINAL INVOICE
US$]]</f>
        <v>0</v>
      </c>
      <c r="O107" s="352">
        <v>50181.58</v>
      </c>
      <c r="P107" s="280">
        <v>66480</v>
      </c>
      <c r="Q107" s="232" t="s">
        <v>361</v>
      </c>
      <c r="R107" s="258" t="s">
        <v>823</v>
      </c>
    </row>
    <row r="108" spans="1:19" ht="24.5" x14ac:dyDescent="0.35">
      <c r="A108" s="317" t="s">
        <v>806</v>
      </c>
      <c r="B108" s="248" t="s">
        <v>732</v>
      </c>
      <c r="C108" s="248" t="s">
        <v>844</v>
      </c>
      <c r="D108" s="279" t="s">
        <v>807</v>
      </c>
      <c r="E108" s="266">
        <v>46155</v>
      </c>
      <c r="F108" s="385">
        <v>46254</v>
      </c>
      <c r="G108" s="231" t="s">
        <v>533</v>
      </c>
      <c r="H108" s="228">
        <v>0</v>
      </c>
      <c r="I108" s="269">
        <f>Tabela1[[#This Row],[DATA  COLETA (ESTIMADA)]]+Tabela1[[#This Row],[days]]</f>
        <v>46254</v>
      </c>
      <c r="J108" s="246">
        <v>47640</v>
      </c>
      <c r="K108" s="272">
        <f>Tabela1[[#This Row],[TOTAL DUE PAYMENT-AS PER FINAL INVOICE
US$]]/Tabela1[[#This Row],[PROFORMA
(2026)]]</f>
        <v>1.0951305625524768</v>
      </c>
      <c r="L108" s="26">
        <v>52172.02</v>
      </c>
      <c r="M108" s="23">
        <f>10000+42172.02</f>
        <v>52172.02</v>
      </c>
      <c r="N108" s="117">
        <f>Tabela1[[#This Row],[ADVANCE PAYMENT / FINAL PAYM''T/ NC 
(US$)]]-Tabela1[[#This Row],[TOTAL DUE PAYMENT-AS PER FINAL INVOICE
US$]]</f>
        <v>0</v>
      </c>
      <c r="O108" s="352">
        <v>271336.26</v>
      </c>
      <c r="P108" s="280">
        <v>67814</v>
      </c>
      <c r="Q108" s="232" t="s">
        <v>361</v>
      </c>
      <c r="R108" s="439" t="s">
        <v>873</v>
      </c>
    </row>
    <row r="109" spans="1:19" x14ac:dyDescent="0.35">
      <c r="A109" s="328" t="s">
        <v>733</v>
      </c>
      <c r="B109" s="230" t="s">
        <v>572</v>
      </c>
      <c r="C109" s="230" t="s">
        <v>841</v>
      </c>
      <c r="D109" s="279">
        <v>10308</v>
      </c>
      <c r="E109" s="266">
        <v>46157</v>
      </c>
      <c r="F109" s="266">
        <v>46211</v>
      </c>
      <c r="G109" s="261" t="s">
        <v>533</v>
      </c>
      <c r="H109" s="228">
        <v>0</v>
      </c>
      <c r="I109" s="269">
        <f>Tabela1[[#This Row],[DATA  COLETA (ESTIMADA)]]+Tabela1[[#This Row],[days]]</f>
        <v>46211</v>
      </c>
      <c r="J109" s="246">
        <v>11260</v>
      </c>
      <c r="K109" s="272">
        <f>Tabela1[[#This Row],[TOTAL DUE PAYMENT-AS PER FINAL INVOICE
US$]]/Tabela1[[#This Row],[PROFORMA
(2026)]]</f>
        <v>1.2034946714031971</v>
      </c>
      <c r="L109" s="26">
        <v>13551.35</v>
      </c>
      <c r="M109" s="23">
        <v>13551.35</v>
      </c>
      <c r="N109" s="117">
        <f>Tabela1[[#This Row],[ADVANCE PAYMENT / FINAL PAYM''T/ NC 
(US$)]]-Tabela1[[#This Row],[TOTAL DUE PAYMENT-AS PER FINAL INVOICE
US$]]</f>
        <v>0</v>
      </c>
      <c r="O109" s="352">
        <v>70075.41</v>
      </c>
      <c r="P109" s="280">
        <v>67052</v>
      </c>
      <c r="Q109" s="232" t="s">
        <v>361</v>
      </c>
      <c r="R109" s="258" t="s">
        <v>868</v>
      </c>
    </row>
    <row r="110" spans="1:19" ht="24.5" x14ac:dyDescent="0.35">
      <c r="A110" s="244" t="s">
        <v>734</v>
      </c>
      <c r="B110" s="387" t="s">
        <v>277</v>
      </c>
      <c r="C110" s="387" t="s">
        <v>841</v>
      </c>
      <c r="D110" s="279">
        <v>10309</v>
      </c>
      <c r="E110" s="266">
        <v>46157</v>
      </c>
      <c r="F110" s="266">
        <v>46188</v>
      </c>
      <c r="G110" s="231" t="s">
        <v>279</v>
      </c>
      <c r="H110" s="228">
        <v>30</v>
      </c>
      <c r="I110" s="269">
        <f>Tabela1[[#This Row],[DATA  COLETA (ESTIMADA)]]+Tabela1[[#This Row],[days]]</f>
        <v>46218</v>
      </c>
      <c r="J110" s="246">
        <f>14000+7910</f>
        <v>21910</v>
      </c>
      <c r="K110" s="272">
        <f>Tabela1[[#This Row],[TOTAL DUE PAYMENT-AS PER FINAL INVOICE
US$]]/Tabela1[[#This Row],[PROFORMA
(2026)]]</f>
        <v>1.0271291647649476</v>
      </c>
      <c r="L110" s="26">
        <v>22504.400000000001</v>
      </c>
      <c r="M110" s="23">
        <f>7000+15504.4</f>
        <v>22504.400000000001</v>
      </c>
      <c r="N110" s="117">
        <f>Tabela1[[#This Row],[ADVANCE PAYMENT / FINAL PAYM''T/ NC 
(US$)]]-Tabela1[[#This Row],[TOTAL DUE PAYMENT-AS PER FINAL INVOICE
US$]]</f>
        <v>0</v>
      </c>
      <c r="O110" s="347">
        <f>72861.12+43461.82</f>
        <v>116322.94</v>
      </c>
      <c r="P110" s="280" t="s">
        <v>812</v>
      </c>
      <c r="Q110" s="232" t="s">
        <v>361</v>
      </c>
      <c r="R110" s="439" t="s">
        <v>937</v>
      </c>
    </row>
    <row r="111" spans="1:19" x14ac:dyDescent="0.35">
      <c r="A111" s="424" t="s">
        <v>767</v>
      </c>
      <c r="B111" s="425" t="s">
        <v>768</v>
      </c>
      <c r="C111" s="425" t="s">
        <v>845</v>
      </c>
      <c r="D111" s="426">
        <v>10344</v>
      </c>
      <c r="E111" s="427">
        <v>46163</v>
      </c>
      <c r="F111" s="427">
        <v>46289</v>
      </c>
      <c r="G111" s="428" t="s">
        <v>293</v>
      </c>
      <c r="H111" s="429">
        <v>60</v>
      </c>
      <c r="I111" s="430">
        <f>Tabela1[[#This Row],[DATA  COLETA (ESTIMADA)]]+Tabela1[[#This Row],[days]]</f>
        <v>46349</v>
      </c>
      <c r="J111" s="431">
        <v>67760</v>
      </c>
      <c r="K111" s="432">
        <f>Tabela1[[#This Row],[TOTAL DUE PAYMENT-AS PER FINAL INVOICE
US$]]/Tabela1[[#This Row],[PROFORMA
(2026)]]</f>
        <v>1</v>
      </c>
      <c r="L111" s="26">
        <v>67760</v>
      </c>
      <c r="M111" s="433"/>
      <c r="N111" s="434">
        <f>Tabela1[[#This Row],[ADVANCE PAYMENT / FINAL PAYM''T/ NC 
(US$)]]-Tabela1[[#This Row],[TOTAL DUE PAYMENT-AS PER FINAL INVOICE
US$]]</f>
        <v>-67760</v>
      </c>
      <c r="O111" s="352" t="s">
        <v>550</v>
      </c>
      <c r="P111" s="281" t="s">
        <v>550</v>
      </c>
      <c r="Q111" s="472" t="s">
        <v>926</v>
      </c>
      <c r="R111" s="435" t="s">
        <v>946</v>
      </c>
      <c r="S111" s="436"/>
    </row>
    <row r="112" spans="1:19" x14ac:dyDescent="0.35">
      <c r="A112" s="388" t="s">
        <v>769</v>
      </c>
      <c r="B112" s="387" t="s">
        <v>277</v>
      </c>
      <c r="C112" s="387" t="s">
        <v>841</v>
      </c>
      <c r="D112" s="279">
        <v>10352</v>
      </c>
      <c r="E112" s="266">
        <v>46167</v>
      </c>
      <c r="F112" s="266">
        <v>46188</v>
      </c>
      <c r="G112" s="231" t="s">
        <v>279</v>
      </c>
      <c r="H112" s="228">
        <v>30</v>
      </c>
      <c r="I112" s="269">
        <f>Tabela1[[#This Row],[DATA  COLETA (ESTIMADA)]]+Tabela1[[#This Row],[days]]</f>
        <v>46218</v>
      </c>
      <c r="J112" s="246"/>
      <c r="K112" s="272"/>
      <c r="L112" s="26"/>
      <c r="M112" s="23"/>
      <c r="N112" s="117">
        <f>Tabela1[[#This Row],[ADVANCE PAYMENT / FINAL PAYM''T/ NC 
(US$)]]-Tabela1[[#This Row],[TOTAL DUE PAYMENT-AS PER FINAL INVOICE
US$]]</f>
        <v>0</v>
      </c>
      <c r="O112" s="352" t="s">
        <v>550</v>
      </c>
      <c r="P112" s="281" t="s">
        <v>550</v>
      </c>
      <c r="Q112" s="232" t="s">
        <v>361</v>
      </c>
      <c r="R112" s="258" t="s">
        <v>938</v>
      </c>
    </row>
    <row r="113" spans="1:26" x14ac:dyDescent="0.35">
      <c r="A113" s="244" t="s">
        <v>863</v>
      </c>
      <c r="B113" s="230" t="s">
        <v>401</v>
      </c>
      <c r="C113" s="230" t="s">
        <v>839</v>
      </c>
      <c r="D113" s="279">
        <v>10497</v>
      </c>
      <c r="E113" s="266">
        <v>46182</v>
      </c>
      <c r="F113" s="266">
        <v>46293</v>
      </c>
      <c r="G113" s="231" t="s">
        <v>359</v>
      </c>
      <c r="H113" s="228">
        <v>90</v>
      </c>
      <c r="I113" s="269">
        <f>Tabela1[[#This Row],[DATA  COLETA (ESTIMADA)]]+Tabela1[[#This Row],[days]]</f>
        <v>46383</v>
      </c>
      <c r="J113" s="263">
        <v>15065</v>
      </c>
      <c r="K113" s="272">
        <f>Tabela1[[#This Row],[TOTAL DUE PAYMENT-AS PER FINAL INVOICE
US$]]/Tabela1[[#This Row],[PROFORMA
(2026)]]</f>
        <v>1.0776050448058414</v>
      </c>
      <c r="L113" s="26">
        <v>16234.12</v>
      </c>
      <c r="M113" s="23"/>
      <c r="N113" s="117">
        <f>Tabela1[[#This Row],[ADVANCE PAYMENT / FINAL PAYM''T/ NC 
(US$)]]-Tabela1[[#This Row],[TOTAL DUE PAYMENT-AS PER FINAL INVOICE
US$]]</f>
        <v>-16234.12</v>
      </c>
      <c r="O113" s="347">
        <v>82974.210000000006</v>
      </c>
      <c r="P113" s="280">
        <v>68348</v>
      </c>
      <c r="Q113" s="315" t="s">
        <v>363</v>
      </c>
      <c r="R113" s="258" t="s">
        <v>970</v>
      </c>
    </row>
    <row r="114" spans="1:26" x14ac:dyDescent="0.35">
      <c r="A114" s="244" t="s">
        <v>869</v>
      </c>
      <c r="B114" s="230" t="s">
        <v>870</v>
      </c>
      <c r="C114" s="386" t="s">
        <v>840</v>
      </c>
      <c r="D114" s="279">
        <v>10756</v>
      </c>
      <c r="E114" s="266">
        <v>46197</v>
      </c>
      <c r="F114" s="266">
        <v>46248</v>
      </c>
      <c r="G114" s="231" t="s">
        <v>274</v>
      </c>
      <c r="H114" s="228">
        <v>0</v>
      </c>
      <c r="I114" s="269">
        <f>Tabela1[[#This Row],[DATA  COLETA (ESTIMADA)]]+Tabela1[[#This Row],[days]]</f>
        <v>46248</v>
      </c>
      <c r="J114" s="263">
        <v>14065</v>
      </c>
      <c r="K114" s="272">
        <f>Tabela1[[#This Row],[TOTAL DUE PAYMENT-AS PER FINAL INVOICE
US$]]/Tabela1[[#This Row],[PROFORMA
(2026)]]</f>
        <v>1.1788496267330253</v>
      </c>
      <c r="L114" s="26">
        <v>16580.52</v>
      </c>
      <c r="M114" s="23">
        <v>16580.52</v>
      </c>
      <c r="N114" s="117">
        <f>Tabela1[[#This Row],[ADVANCE PAYMENT / FINAL PAYM''T/ NC 
(US$)]]-Tabela1[[#This Row],[TOTAL DUE PAYMENT-AS PER FINAL INVOICE
US$]]</f>
        <v>0</v>
      </c>
      <c r="O114" s="352">
        <v>86600.06</v>
      </c>
      <c r="P114" s="280">
        <v>67801</v>
      </c>
      <c r="Q114" s="232" t="s">
        <v>361</v>
      </c>
      <c r="R114" s="258" t="s">
        <v>871</v>
      </c>
    </row>
    <row r="115" spans="1:26" x14ac:dyDescent="0.35">
      <c r="A115" s="328" t="s">
        <v>784</v>
      </c>
      <c r="B115" s="230" t="s">
        <v>676</v>
      </c>
      <c r="C115" s="230" t="s">
        <v>838</v>
      </c>
      <c r="D115" s="279">
        <v>10499</v>
      </c>
      <c r="E115" s="266">
        <v>46184</v>
      </c>
      <c r="F115" s="266">
        <v>46203</v>
      </c>
      <c r="G115" s="242" t="s">
        <v>317</v>
      </c>
      <c r="H115" s="228">
        <v>35</v>
      </c>
      <c r="I115" s="269">
        <f>Tabela1[[#This Row],[DATA  COLETA (ESTIMADA)]]+Tabela1[[#This Row],[days]]</f>
        <v>46238</v>
      </c>
      <c r="J115" s="246">
        <v>2808</v>
      </c>
      <c r="K115" s="272">
        <f>Tabela1[[#This Row],[TOTAL DUE PAYMENT-AS PER FINAL INVOICE
US$]]/Tabela1[[#This Row],[PROFORMA
(2026)]]</f>
        <v>1.2753276353276353</v>
      </c>
      <c r="L115" s="26">
        <v>3581.12</v>
      </c>
      <c r="M115" s="384">
        <v>2845.44</v>
      </c>
      <c r="N115" s="117">
        <f>Tabela1[[#This Row],[ADVANCE PAYMENT / FINAL PAYM''T/ NC 
(US$)]]-Tabela1[[#This Row],[TOTAL DUE PAYMENT-AS PER FINAL INVOICE
US$]]</f>
        <v>-735.67999999999984</v>
      </c>
      <c r="O115" s="352">
        <v>18133</v>
      </c>
      <c r="P115" s="280">
        <v>66685</v>
      </c>
      <c r="Q115" s="476" t="s">
        <v>785</v>
      </c>
      <c r="R115" s="258" t="s">
        <v>791</v>
      </c>
      <c r="S115" s="159" t="s">
        <v>12</v>
      </c>
    </row>
    <row r="116" spans="1:26" x14ac:dyDescent="0.35">
      <c r="A116" s="328" t="s">
        <v>789</v>
      </c>
      <c r="B116" s="230" t="s">
        <v>291</v>
      </c>
      <c r="C116" s="230" t="s">
        <v>839</v>
      </c>
      <c r="D116" s="279">
        <v>10506</v>
      </c>
      <c r="E116" s="266">
        <v>46184</v>
      </c>
      <c r="F116" s="266">
        <v>46225</v>
      </c>
      <c r="G116" s="231" t="s">
        <v>290</v>
      </c>
      <c r="H116" s="228">
        <v>90</v>
      </c>
      <c r="I116" s="269">
        <f>Tabela1[[#This Row],[DATA  COLETA (ESTIMADA)]]+Tabela1[[#This Row],[days]]</f>
        <v>46315</v>
      </c>
      <c r="J116" s="246">
        <v>5320</v>
      </c>
      <c r="K116" s="371">
        <f>Tabela1[[#This Row],[TOTAL DUE PAYMENT-AS PER FINAL INVOICE
US$]]/Tabela1[[#This Row],[PROFORMA
(2026)]]</f>
        <v>0.99840789473684211</v>
      </c>
      <c r="L116" s="26">
        <v>5311.53</v>
      </c>
      <c r="M116" s="23"/>
      <c r="N116" s="117">
        <f>Tabela1[[#This Row],[ADVANCE PAYMENT / FINAL PAYM''T/ NC 
(US$)]]-Tabela1[[#This Row],[TOTAL DUE PAYMENT-AS PER FINAL INVOICE
US$]]</f>
        <v>-5311.53</v>
      </c>
      <c r="O116" s="352">
        <v>27427.17</v>
      </c>
      <c r="P116" s="280">
        <v>67938</v>
      </c>
      <c r="Q116" s="476" t="s">
        <v>362</v>
      </c>
      <c r="R116" s="258" t="s">
        <v>925</v>
      </c>
    </row>
    <row r="117" spans="1:26" ht="14" customHeight="1" x14ac:dyDescent="0.35">
      <c r="A117" s="328" t="s">
        <v>788</v>
      </c>
      <c r="B117" s="230" t="s">
        <v>285</v>
      </c>
      <c r="C117" s="230" t="s">
        <v>840</v>
      </c>
      <c r="D117" s="279">
        <v>10514</v>
      </c>
      <c r="E117" s="266">
        <v>46185</v>
      </c>
      <c r="F117" s="266">
        <v>46238</v>
      </c>
      <c r="G117" s="231" t="s">
        <v>284</v>
      </c>
      <c r="H117" s="228">
        <v>0</v>
      </c>
      <c r="I117" s="269">
        <f>Tabela1[[#This Row],[DATA  COLETA (ESTIMADA)]]+Tabela1[[#This Row],[days]]</f>
        <v>46238</v>
      </c>
      <c r="J117" s="246">
        <v>6866</v>
      </c>
      <c r="K117" s="272">
        <f>Tabela1[[#This Row],[TOTAL DUE PAYMENT-AS PER FINAL INVOICE
US$]]/Tabela1[[#This Row],[PROFORMA
(2026)]]</f>
        <v>1.1663938246431693</v>
      </c>
      <c r="L117" s="26">
        <v>8008.46</v>
      </c>
      <c r="M117" s="23">
        <v>8008.46</v>
      </c>
      <c r="N117" s="117">
        <f>Tabela1[[#This Row],[ADVANCE PAYMENT / FINAL PAYM''T/ NC 
(US$)]]-Tabela1[[#This Row],[TOTAL DUE PAYMENT-AS PER FINAL INVOICE
US$]]</f>
        <v>0</v>
      </c>
      <c r="O117" s="352">
        <v>40841.54</v>
      </c>
      <c r="P117" s="280">
        <v>67490</v>
      </c>
      <c r="Q117" s="232" t="s">
        <v>361</v>
      </c>
      <c r="R117" s="258" t="s">
        <v>872</v>
      </c>
    </row>
    <row r="118" spans="1:26" ht="14" customHeight="1" x14ac:dyDescent="0.35">
      <c r="A118" s="328" t="s">
        <v>851</v>
      </c>
      <c r="B118" s="230" t="s">
        <v>676</v>
      </c>
      <c r="C118" s="230" t="s">
        <v>838</v>
      </c>
      <c r="D118" s="279">
        <v>10572</v>
      </c>
      <c r="E118" s="398">
        <v>46196</v>
      </c>
      <c r="F118" s="266">
        <v>46248</v>
      </c>
      <c r="G118" s="242" t="s">
        <v>317</v>
      </c>
      <c r="H118" s="228">
        <v>35</v>
      </c>
      <c r="I118" s="269">
        <f>Tabela1[[#This Row],[DATA  COLETA (ESTIMADA)]]+Tabela1[[#This Row],[days]]</f>
        <v>46283</v>
      </c>
      <c r="J118" s="246">
        <v>3534</v>
      </c>
      <c r="K118" s="272">
        <f>Tabela1[[#This Row],[TOTAL DUE PAYMENT-AS PER FINAL INVOICE
US$]]/Tabela1[[#This Row],[PROFORMA
(2026)]]</f>
        <v>0.98333333333333328</v>
      </c>
      <c r="L118" s="26">
        <v>3475.1</v>
      </c>
      <c r="M118" s="23">
        <v>3475.1</v>
      </c>
      <c r="N118" s="117">
        <f>Tabela1[[#This Row],[ADVANCE PAYMENT / FINAL PAYM''T/ NC 
(US$)]]-Tabela1[[#This Row],[TOTAL DUE PAYMENT-AS PER FINAL INVOICE
US$]]</f>
        <v>0</v>
      </c>
      <c r="O118" s="352">
        <v>17942.64</v>
      </c>
      <c r="P118" s="280">
        <v>67766</v>
      </c>
      <c r="Q118" s="232" t="s">
        <v>361</v>
      </c>
      <c r="R118" s="258" t="s">
        <v>988</v>
      </c>
      <c r="S118" s="437" t="s">
        <v>847</v>
      </c>
    </row>
    <row r="119" spans="1:26" ht="24.5" x14ac:dyDescent="0.35">
      <c r="A119" s="328" t="s">
        <v>804</v>
      </c>
      <c r="B119" s="230" t="s">
        <v>291</v>
      </c>
      <c r="C119" s="230" t="s">
        <v>839</v>
      </c>
      <c r="D119" s="279">
        <v>10609</v>
      </c>
      <c r="E119" s="266">
        <v>46197</v>
      </c>
      <c r="F119" s="266">
        <v>46246</v>
      </c>
      <c r="G119" s="231" t="s">
        <v>290</v>
      </c>
      <c r="H119" s="228">
        <v>90</v>
      </c>
      <c r="I119" s="269">
        <f>Tabela1[[#This Row],[DATA  COLETA (ESTIMADA)]]+Tabela1[[#This Row],[days]]</f>
        <v>46336</v>
      </c>
      <c r="J119" s="246">
        <v>4480</v>
      </c>
      <c r="K119" s="272">
        <f>Tabela1[[#This Row],[TOTAL DUE PAYMENT-AS PER FINAL INVOICE
US$]]/Tabela1[[#This Row],[PROFORMA
(2026)]]</f>
        <v>0.88571205357142857</v>
      </c>
      <c r="L119" s="107">
        <v>3967.99</v>
      </c>
      <c r="M119" s="23"/>
      <c r="N119" s="117">
        <f>Tabela1[[#This Row],[ADVANCE PAYMENT / FINAL PAYM''T/ NC 
(US$)]]-Tabela1[[#This Row],[TOTAL DUE PAYMENT-AS PER FINAL INVOICE
US$]]</f>
        <v>-3967.99</v>
      </c>
      <c r="O119" s="352">
        <v>20219.68</v>
      </c>
      <c r="P119" s="280">
        <v>67743</v>
      </c>
      <c r="Q119" s="476" t="s">
        <v>362</v>
      </c>
      <c r="R119" s="439" t="s">
        <v>947</v>
      </c>
    </row>
    <row r="120" spans="1:26" ht="19.5" customHeight="1" x14ac:dyDescent="0.35">
      <c r="A120" s="328" t="s">
        <v>803</v>
      </c>
      <c r="B120" s="230" t="s">
        <v>477</v>
      </c>
      <c r="C120" s="230" t="s">
        <v>842</v>
      </c>
      <c r="D120" s="449" t="s">
        <v>892</v>
      </c>
      <c r="E120" s="266">
        <v>46199</v>
      </c>
      <c r="F120" s="266">
        <v>46286</v>
      </c>
      <c r="G120" s="231" t="s">
        <v>499</v>
      </c>
      <c r="H120" s="228">
        <v>30</v>
      </c>
      <c r="I120" s="269">
        <f>Tabela1[[#This Row],[DATA  COLETA (ESTIMADA)]]+Tabela1[[#This Row],[days]]</f>
        <v>46316</v>
      </c>
      <c r="J120" s="246">
        <f>4620+1650+6500</f>
        <v>12770</v>
      </c>
      <c r="K120" s="272">
        <f>Tabela1[[#This Row],[TOTAL DUE PAYMENT-AS PER FINAL INVOICE
US$]]/Tabela1[[#This Row],[PROFORMA
(2026)]]</f>
        <v>0.97105716523101016</v>
      </c>
      <c r="L120" s="26">
        <v>12400.4</v>
      </c>
      <c r="M120" s="23"/>
      <c r="N120" s="117">
        <f>Tabela1[[#This Row],[ADVANCE PAYMENT / FINAL PAYM''T/ NC 
(US$)]]-Tabela1[[#This Row],[TOTAL DUE PAYMENT-AS PER FINAL INVOICE
US$]]</f>
        <v>-12400.4</v>
      </c>
      <c r="O120" s="352">
        <v>30120.42</v>
      </c>
      <c r="P120" s="280">
        <v>68032</v>
      </c>
      <c r="Q120" s="476" t="s">
        <v>362</v>
      </c>
      <c r="R120" s="474" t="s">
        <v>977</v>
      </c>
    </row>
    <row r="121" spans="1:26" x14ac:dyDescent="0.35">
      <c r="A121" s="328" t="s">
        <v>808</v>
      </c>
      <c r="B121" s="230" t="s">
        <v>477</v>
      </c>
      <c r="C121" s="230" t="s">
        <v>842</v>
      </c>
      <c r="D121" s="449" t="s">
        <v>893</v>
      </c>
      <c r="E121" s="266">
        <v>46204</v>
      </c>
      <c r="F121" s="266">
        <v>46286</v>
      </c>
      <c r="G121" s="231" t="s">
        <v>499</v>
      </c>
      <c r="H121" s="228">
        <v>30</v>
      </c>
      <c r="I121" s="269">
        <f>Tabela1[[#This Row],[DATA  COLETA (ESTIMADA)]]+Tabela1[[#This Row],[days]]</f>
        <v>46316</v>
      </c>
      <c r="J121" s="460" t="s">
        <v>550</v>
      </c>
      <c r="K121" s="278" t="s">
        <v>550</v>
      </c>
      <c r="L121" s="80"/>
      <c r="M121" s="23"/>
      <c r="N121" s="117">
        <f>Tabela1[[#This Row],[ADVANCE PAYMENT / FINAL PAYM''T/ NC 
(US$)]]-Tabela1[[#This Row],[TOTAL DUE PAYMENT-AS PER FINAL INVOICE
US$]]</f>
        <v>0</v>
      </c>
      <c r="O121" s="497" t="s">
        <v>550</v>
      </c>
      <c r="P121" s="498" t="s">
        <v>550</v>
      </c>
      <c r="Q121" s="476" t="s">
        <v>362</v>
      </c>
      <c r="R121" s="258" t="s">
        <v>978</v>
      </c>
      <c r="Y121" s="159" t="s">
        <v>857</v>
      </c>
    </row>
    <row r="122" spans="1:26" ht="36" x14ac:dyDescent="0.35">
      <c r="A122" s="438" t="s">
        <v>809</v>
      </c>
      <c r="B122" s="386" t="s">
        <v>810</v>
      </c>
      <c r="C122" s="386" t="s">
        <v>846</v>
      </c>
      <c r="D122" s="279">
        <v>10700</v>
      </c>
      <c r="E122" s="266">
        <v>46206</v>
      </c>
      <c r="F122" s="266">
        <v>46245</v>
      </c>
      <c r="G122" s="231" t="s">
        <v>274</v>
      </c>
      <c r="H122" s="228">
        <v>0</v>
      </c>
      <c r="I122" s="269">
        <f>Tabela1[[#This Row],[DATA  COLETA (ESTIMADA)]]+Tabela1[[#This Row],[days]]</f>
        <v>46245</v>
      </c>
      <c r="J122" s="246">
        <v>2129.13</v>
      </c>
      <c r="K122" s="272">
        <f>Tabela1[[#This Row],[TOTAL DUE PAYMENT-AS PER FINAL INVOICE
US$]]/Tabela1[[#This Row],[PROFORMA
(2026)]]</f>
        <v>1.5854926660185145</v>
      </c>
      <c r="L122" s="107">
        <v>3375.72</v>
      </c>
      <c r="M122" s="450">
        <f>2129.13+1017.27</f>
        <v>3146.4</v>
      </c>
      <c r="N122" s="451">
        <f>Tabela1[[#This Row],[ADVANCE PAYMENT / FINAL PAYM''T/ NC 
(US$)]]-Tabela1[[#This Row],[TOTAL DUE PAYMENT-AS PER FINAL INVOICE
US$]]</f>
        <v>-229.31999999999971</v>
      </c>
      <c r="O122" s="475">
        <v>17215.490000000002</v>
      </c>
      <c r="P122" s="289">
        <v>67488</v>
      </c>
      <c r="Q122" s="247" t="s">
        <v>421</v>
      </c>
      <c r="R122" s="474" t="s">
        <v>959</v>
      </c>
      <c r="X122" s="407"/>
      <c r="Y122" s="406">
        <v>5.0998000000000001</v>
      </c>
      <c r="Z122" s="404">
        <f>X122/Y122</f>
        <v>0</v>
      </c>
    </row>
    <row r="123" spans="1:26" ht="24.5" x14ac:dyDescent="0.35">
      <c r="A123" s="328" t="s">
        <v>811</v>
      </c>
      <c r="B123" s="230" t="s">
        <v>532</v>
      </c>
      <c r="C123" s="230" t="s">
        <v>846</v>
      </c>
      <c r="D123" s="447" t="s">
        <v>891</v>
      </c>
      <c r="E123" s="266">
        <v>46202</v>
      </c>
      <c r="F123" s="266">
        <v>46288</v>
      </c>
      <c r="G123" s="231" t="s">
        <v>533</v>
      </c>
      <c r="H123" s="228">
        <v>20</v>
      </c>
      <c r="I123" s="269">
        <f>Tabela1[[#This Row],[DATA  COLETA (ESTIMADA)]]+Tabela1[[#This Row],[days]]</f>
        <v>46308</v>
      </c>
      <c r="J123" s="263">
        <v>38405</v>
      </c>
      <c r="K123" s="446">
        <f>Tabela1[[#This Row],[TOTAL DUE PAYMENT-AS PER FINAL INVOICE
US$]]/Tabela1[[#This Row],[PROFORMA
(2026)]]</f>
        <v>1.0361265460226534</v>
      </c>
      <c r="L123" s="26">
        <v>39792.44</v>
      </c>
      <c r="M123" s="34">
        <f>11521.5+28270.94</f>
        <v>39792.44</v>
      </c>
      <c r="N123" s="117">
        <f>Tabela1[[#This Row],[ADVANCE PAYMENT / FINAL PAYM''T/ NC 
(US$)]]-Tabela1[[#This Row],[TOTAL DUE PAYMENT-AS PER FINAL INVOICE
US$]]</f>
        <v>0</v>
      </c>
      <c r="O123" s="352">
        <v>206916.72</v>
      </c>
      <c r="P123" s="280">
        <v>67971</v>
      </c>
      <c r="Q123" s="232" t="s">
        <v>361</v>
      </c>
      <c r="R123" s="439" t="s">
        <v>974</v>
      </c>
    </row>
    <row r="124" spans="1:26" ht="24.5" x14ac:dyDescent="0.35">
      <c r="A124" s="328" t="s">
        <v>815</v>
      </c>
      <c r="B124" s="230" t="s">
        <v>311</v>
      </c>
      <c r="C124" s="386" t="s">
        <v>840</v>
      </c>
      <c r="D124" s="279" t="s">
        <v>911</v>
      </c>
      <c r="E124" s="266">
        <v>46210</v>
      </c>
      <c r="F124" s="266">
        <v>46260</v>
      </c>
      <c r="G124" s="231" t="s">
        <v>923</v>
      </c>
      <c r="H124" s="228">
        <v>15</v>
      </c>
      <c r="I124" s="269">
        <f>Tabela1[[#This Row],[DATA  COLETA (ESTIMADA)]]+Tabela1[[#This Row],[days]]</f>
        <v>46275</v>
      </c>
      <c r="J124" s="246">
        <v>3460</v>
      </c>
      <c r="K124" s="272">
        <f>Tabela1[[#This Row],[TOTAL DUE PAYMENT-AS PER FINAL INVOICE
US$]]/Tabela1[[#This Row],[PROFORMA
(2026)]]</f>
        <v>1.2295028901734104</v>
      </c>
      <c r="L124" s="107">
        <f>3729.08+525</f>
        <v>4254.08</v>
      </c>
      <c r="M124" s="450">
        <f>4254.08</f>
        <v>4254.08</v>
      </c>
      <c r="N124" s="117">
        <f>Tabela1[[#This Row],[ADVANCE PAYMENT / FINAL PAYM''T/ NC 
(US$)]]-Tabela1[[#This Row],[TOTAL DUE PAYMENT-AS PER FINAL INVOICE
US$]]</f>
        <v>0</v>
      </c>
      <c r="O124" s="352">
        <v>19390.849999999999</v>
      </c>
      <c r="P124" s="280">
        <v>67972</v>
      </c>
      <c r="Q124" s="232" t="s">
        <v>361</v>
      </c>
      <c r="R124" s="439" t="s">
        <v>953</v>
      </c>
    </row>
    <row r="125" spans="1:26" x14ac:dyDescent="0.35">
      <c r="A125" s="328" t="s">
        <v>948</v>
      </c>
      <c r="B125" s="496" t="s">
        <v>819</v>
      </c>
      <c r="C125" s="386" t="s">
        <v>838</v>
      </c>
      <c r="D125" s="279" t="s">
        <v>949</v>
      </c>
      <c r="E125" s="266">
        <v>46210</v>
      </c>
      <c r="F125" s="266">
        <v>46295</v>
      </c>
      <c r="G125" s="231" t="s">
        <v>820</v>
      </c>
      <c r="H125" s="228">
        <v>30</v>
      </c>
      <c r="I125" s="269">
        <f>Tabela1[[#This Row],[DATA  COLETA (ESTIMADA)]]+Tabela1[[#This Row],[days]]</f>
        <v>46325</v>
      </c>
      <c r="J125" s="246">
        <v>93450</v>
      </c>
      <c r="K125" s="272">
        <f>Tabela1[[#This Row],[TOTAL DUE PAYMENT-AS PER FINAL INVOICE
US$]]/Tabela1[[#This Row],[PROFORMA
(2026)]]</f>
        <v>0.70385778491171747</v>
      </c>
      <c r="L125" s="107">
        <v>65775.509999999995</v>
      </c>
      <c r="M125" s="450"/>
      <c r="N125" s="117">
        <f>Tabela1[[#This Row],[ADVANCE PAYMENT / FINAL PAYM''T/ NC 
(US$)]]-Tabela1[[#This Row],[TOTAL DUE PAYMENT-AS PER FINAL INVOICE
US$]]</f>
        <v>-65775.509999999995</v>
      </c>
      <c r="O125" s="352">
        <v>343335</v>
      </c>
      <c r="P125" s="280">
        <v>68475</v>
      </c>
      <c r="Q125" s="476" t="s">
        <v>362</v>
      </c>
      <c r="R125" s="258" t="s">
        <v>987</v>
      </c>
      <c r="S125" s="437" t="s">
        <v>847</v>
      </c>
    </row>
    <row r="126" spans="1:26" x14ac:dyDescent="0.35">
      <c r="A126" s="328" t="s">
        <v>816</v>
      </c>
      <c r="B126" s="230" t="s">
        <v>817</v>
      </c>
      <c r="C126" s="230" t="s">
        <v>839</v>
      </c>
      <c r="D126" s="279">
        <v>10814</v>
      </c>
      <c r="E126" s="266">
        <v>46213</v>
      </c>
      <c r="F126" s="266">
        <v>46258</v>
      </c>
      <c r="G126" s="231" t="s">
        <v>533</v>
      </c>
      <c r="H126" s="228">
        <v>20</v>
      </c>
      <c r="I126" s="269">
        <f>Tabela1[[#This Row],[DATA  COLETA (ESTIMADA)]]+Tabela1[[#This Row],[days]]</f>
        <v>46278</v>
      </c>
      <c r="J126" s="246">
        <v>10500</v>
      </c>
      <c r="K126" s="272">
        <f>Tabela1[[#This Row],[TOTAL DUE PAYMENT-AS PER FINAL INVOICE
US$]]/Tabela1[[#This Row],[PROFORMA
(2026)]]</f>
        <v>1.2337380952380952</v>
      </c>
      <c r="L126" s="107">
        <v>12954.25</v>
      </c>
      <c r="M126" s="450">
        <f>3150+9804.25</f>
        <v>12954.25</v>
      </c>
      <c r="N126" s="117">
        <f>Tabela1[[#This Row],[ADVANCE PAYMENT / FINAL PAYM''T/ NC 
(US$)]]-Tabela1[[#This Row],[TOTAL DUE PAYMENT-AS PER FINAL INVOICE
US$]]</f>
        <v>0</v>
      </c>
      <c r="O126" s="352">
        <v>66797.3</v>
      </c>
      <c r="P126" s="280">
        <v>68022</v>
      </c>
      <c r="Q126" s="232" t="s">
        <v>361</v>
      </c>
      <c r="R126" s="439" t="s">
        <v>905</v>
      </c>
    </row>
    <row r="127" spans="1:26" x14ac:dyDescent="0.35">
      <c r="A127" s="328" t="s">
        <v>850</v>
      </c>
      <c r="B127" s="230" t="s">
        <v>676</v>
      </c>
      <c r="C127" s="230" t="s">
        <v>838</v>
      </c>
      <c r="D127" s="279">
        <v>10820</v>
      </c>
      <c r="E127" s="266">
        <v>46220</v>
      </c>
      <c r="F127" s="266">
        <v>46268</v>
      </c>
      <c r="G127" s="242" t="s">
        <v>317</v>
      </c>
      <c r="H127" s="228">
        <v>35</v>
      </c>
      <c r="I127" s="269">
        <f>Tabela1[[#This Row],[DATA  COLETA (ESTIMADA)]]+Tabela1[[#This Row],[days]]</f>
        <v>46303</v>
      </c>
      <c r="J127" s="246">
        <v>8246</v>
      </c>
      <c r="K127" s="272">
        <f>Tabela1[[#This Row],[TOTAL DUE PAYMENT-AS PER FINAL INVOICE
US$]]/Tabela1[[#This Row],[PROFORMA
(2026)]]</f>
        <v>1.0971428571428572</v>
      </c>
      <c r="L127" s="26">
        <v>9047.0400000000009</v>
      </c>
      <c r="M127" s="450"/>
      <c r="N127" s="117">
        <f>Tabela1[[#This Row],[ADVANCE PAYMENT / FINAL PAYM''T/ NC 
(US$)]]-Tabela1[[#This Row],[TOTAL DUE PAYMENT-AS PER FINAL INVOICE
US$]]</f>
        <v>-9047.0400000000009</v>
      </c>
      <c r="O127" s="352">
        <v>46381.4</v>
      </c>
      <c r="P127" s="280">
        <v>68036</v>
      </c>
      <c r="Q127" s="476" t="s">
        <v>362</v>
      </c>
      <c r="R127" s="258" t="s">
        <v>895</v>
      </c>
      <c r="S127" s="437" t="s">
        <v>847</v>
      </c>
    </row>
    <row r="128" spans="1:26" x14ac:dyDescent="0.35">
      <c r="A128" s="328" t="s">
        <v>854</v>
      </c>
      <c r="B128" s="230" t="s">
        <v>676</v>
      </c>
      <c r="C128" s="230" t="s">
        <v>838</v>
      </c>
      <c r="D128" s="426">
        <v>10856</v>
      </c>
      <c r="E128" s="266">
        <v>46224</v>
      </c>
      <c r="F128" s="266">
        <v>46268</v>
      </c>
      <c r="G128" s="242" t="s">
        <v>317</v>
      </c>
      <c r="H128" s="228">
        <v>35</v>
      </c>
      <c r="I128" s="269">
        <f>Tabela1[[#This Row],[DATA  COLETA (ESTIMADA)]]+Tabela1[[#This Row],[days]]</f>
        <v>46303</v>
      </c>
      <c r="J128" s="246">
        <v>80250</v>
      </c>
      <c r="K128" s="272">
        <f>Tabela1[[#This Row],[TOTAL DUE PAYMENT-AS PER FINAL INVOICE
US$]]/Tabela1[[#This Row],[PROFORMA
(2026)]]</f>
        <v>0.87326974454828654</v>
      </c>
      <c r="L128" s="467">
        <v>70079.896999999997</v>
      </c>
      <c r="M128" s="450"/>
      <c r="N128" s="117">
        <f>Tabela1[[#This Row],[ADVANCE PAYMENT / FINAL PAYM''T/ NC 
(US$)]]-Tabela1[[#This Row],[TOTAL DUE PAYMENT-AS PER FINAL INVOICE
US$]]</f>
        <v>-70079.896999999997</v>
      </c>
      <c r="O128" s="352">
        <v>359278.99</v>
      </c>
      <c r="P128" s="280">
        <v>68057</v>
      </c>
      <c r="Q128" s="476" t="s">
        <v>362</v>
      </c>
      <c r="R128" s="258" t="s">
        <v>939</v>
      </c>
      <c r="S128" s="437" t="s">
        <v>847</v>
      </c>
    </row>
    <row r="129" spans="1:19" x14ac:dyDescent="0.35">
      <c r="A129" s="328" t="s">
        <v>856</v>
      </c>
      <c r="B129" s="230" t="s">
        <v>477</v>
      </c>
      <c r="C129" s="230" t="s">
        <v>842</v>
      </c>
      <c r="D129" s="279">
        <v>10882</v>
      </c>
      <c r="E129" s="266">
        <v>46232</v>
      </c>
      <c r="F129" s="266">
        <v>46286</v>
      </c>
      <c r="G129" s="231" t="s">
        <v>499</v>
      </c>
      <c r="H129" s="228">
        <v>30</v>
      </c>
      <c r="I129" s="269">
        <f>Tabela1[[#This Row],[DATA  COLETA (ESTIMADA)]]+Tabela1[[#This Row],[days]]</f>
        <v>46316</v>
      </c>
      <c r="J129" s="278" t="s">
        <v>550</v>
      </c>
      <c r="K129" s="278" t="s">
        <v>550</v>
      </c>
      <c r="L129" s="278" t="s">
        <v>550</v>
      </c>
      <c r="M129" s="278" t="s">
        <v>550</v>
      </c>
      <c r="N129" s="117">
        <v>0</v>
      </c>
      <c r="O129" s="278" t="s">
        <v>550</v>
      </c>
      <c r="P129" s="278" t="s">
        <v>550</v>
      </c>
      <c r="Q129" s="476" t="s">
        <v>362</v>
      </c>
      <c r="R129" s="258" t="s">
        <v>960</v>
      </c>
      <c r="S129" s="399"/>
    </row>
    <row r="130" spans="1:19" x14ac:dyDescent="0.35">
      <c r="A130" s="328" t="s">
        <v>865</v>
      </c>
      <c r="B130" s="230" t="s">
        <v>277</v>
      </c>
      <c r="C130" s="386" t="s">
        <v>841</v>
      </c>
      <c r="D130" s="279">
        <v>10946</v>
      </c>
      <c r="E130" s="266">
        <v>46244</v>
      </c>
      <c r="F130" s="266">
        <v>46275</v>
      </c>
      <c r="G130" s="231" t="s">
        <v>279</v>
      </c>
      <c r="H130" s="228">
        <v>30</v>
      </c>
      <c r="I130" s="269">
        <f>Tabela1[[#This Row],[DATA  COLETA (ESTIMADA)]]+Tabela1[[#This Row],[days]]</f>
        <v>46305</v>
      </c>
      <c r="J130" s="246">
        <v>8750</v>
      </c>
      <c r="K130" s="272">
        <f>Tabela1[[#This Row],[TOTAL DUE PAYMENT-AS PER FINAL INVOICE
US$]]/Tabela1[[#This Row],[PROFORMA
(2026)]]</f>
        <v>1.0236000000000001</v>
      </c>
      <c r="L130" s="26">
        <v>8956.5</v>
      </c>
      <c r="M130" s="450">
        <f>4375+4581.5</f>
        <v>8956.5</v>
      </c>
      <c r="N130" s="117">
        <f>Tabela1[[#This Row],[ADVANCE PAYMENT / FINAL PAYM''T/ NC 
(US$)]]-Tabela1[[#This Row],[TOTAL DUE PAYMENT-AS PER FINAL INVOICE
US$]]</f>
        <v>0</v>
      </c>
      <c r="O130" s="347">
        <v>45806.23</v>
      </c>
      <c r="P130" s="280">
        <v>68171</v>
      </c>
      <c r="Q130" s="232" t="s">
        <v>361</v>
      </c>
      <c r="R130" s="258" t="s">
        <v>920</v>
      </c>
      <c r="S130" s="399"/>
    </row>
    <row r="131" spans="1:19" x14ac:dyDescent="0.35">
      <c r="A131" s="328" t="s">
        <v>866</v>
      </c>
      <c r="B131" s="230" t="s">
        <v>432</v>
      </c>
      <c r="C131" s="386" t="s">
        <v>840</v>
      </c>
      <c r="D131" s="279">
        <v>10963</v>
      </c>
      <c r="E131" s="266">
        <v>46246</v>
      </c>
      <c r="F131" s="266">
        <v>46268</v>
      </c>
      <c r="G131" s="231" t="s">
        <v>274</v>
      </c>
      <c r="H131" s="228">
        <v>0</v>
      </c>
      <c r="I131" s="269">
        <f>Tabela1[[#This Row],[DATA  COLETA (ESTIMADA)]]+Tabela1[[#This Row],[days]]</f>
        <v>46268</v>
      </c>
      <c r="J131" s="246">
        <v>2400</v>
      </c>
      <c r="K131" s="272">
        <f>Tabela1[[#This Row],[TOTAL DUE PAYMENT-AS PER FINAL INVOICE
US$]]/Tabela1[[#This Row],[PROFORMA
(2026)]]</f>
        <v>0.97899999999999998</v>
      </c>
      <c r="L131" s="26">
        <v>2349.6</v>
      </c>
      <c r="M131" s="23">
        <v>2312.6</v>
      </c>
      <c r="N131" s="117">
        <f>Tabela1[[#This Row],[ADVANCE PAYMENT / FINAL PAYM''T/ NC 
(US$)]]-Tabela1[[#This Row],[TOTAL DUE PAYMENT-AS PER FINAL INVOICE
US$]]</f>
        <v>-37</v>
      </c>
      <c r="O131" s="352">
        <v>12041</v>
      </c>
      <c r="P131" s="280">
        <v>68085</v>
      </c>
      <c r="Q131" s="247" t="s">
        <v>421</v>
      </c>
      <c r="R131" s="258" t="s">
        <v>982</v>
      </c>
      <c r="S131" s="399"/>
    </row>
    <row r="132" spans="1:19" x14ac:dyDescent="0.35">
      <c r="A132" s="328" t="s">
        <v>882</v>
      </c>
      <c r="B132" s="230" t="s">
        <v>291</v>
      </c>
      <c r="C132" s="386" t="s">
        <v>839</v>
      </c>
      <c r="D132" s="279">
        <v>11136</v>
      </c>
      <c r="E132" s="266">
        <v>46254</v>
      </c>
      <c r="F132" s="266">
        <v>46286</v>
      </c>
      <c r="G132" s="231" t="s">
        <v>290</v>
      </c>
      <c r="H132" s="228">
        <v>90</v>
      </c>
      <c r="I132" s="269">
        <f>Tabela1[[#This Row],[DATA  COLETA (ESTIMADA)]]+Tabela1[[#This Row],[days]]</f>
        <v>46376</v>
      </c>
      <c r="J132" s="246">
        <v>9660</v>
      </c>
      <c r="K132" s="272">
        <f>Tabela1[[#This Row],[TOTAL DUE PAYMENT-AS PER FINAL INVOICE
US$]]/Tabela1[[#This Row],[PROFORMA
(2026)]]</f>
        <v>1</v>
      </c>
      <c r="L132" s="26">
        <v>9660</v>
      </c>
      <c r="M132" s="23"/>
      <c r="N132" s="117">
        <f>Tabela1[[#This Row],[ADVANCE PAYMENT / FINAL PAYM''T/ NC 
(US$)]]-Tabela1[[#This Row],[TOTAL DUE PAYMENT-AS PER FINAL INVOICE
US$]]</f>
        <v>-9660</v>
      </c>
      <c r="O132" s="372"/>
      <c r="P132" s="280"/>
      <c r="Q132" s="476" t="s">
        <v>362</v>
      </c>
      <c r="R132" s="258" t="s">
        <v>821</v>
      </c>
      <c r="S132" s="399"/>
    </row>
    <row r="133" spans="1:19" x14ac:dyDescent="0.35">
      <c r="A133" s="328" t="s">
        <v>874</v>
      </c>
      <c r="B133" s="230" t="s">
        <v>291</v>
      </c>
      <c r="C133" s="386" t="s">
        <v>839</v>
      </c>
      <c r="D133" s="279">
        <v>11048</v>
      </c>
      <c r="E133" s="266">
        <v>46254</v>
      </c>
      <c r="F133" s="266">
        <v>46268</v>
      </c>
      <c r="G133" s="231" t="s">
        <v>290</v>
      </c>
      <c r="H133" s="228">
        <v>90</v>
      </c>
      <c r="I133" s="269">
        <f>Tabela1[[#This Row],[DATA  COLETA (ESTIMADA)]]+Tabela1[[#This Row],[days]]</f>
        <v>46358</v>
      </c>
      <c r="J133" s="246">
        <f>2095+571.1</f>
        <v>2666.1</v>
      </c>
      <c r="K133" s="272">
        <f>Tabela1[[#This Row],[TOTAL DUE PAYMENT-AS PER FINAL INVOICE
US$]]/Tabela1[[#This Row],[PROFORMA
(2026)]]</f>
        <v>1.0451258392408387</v>
      </c>
      <c r="L133" s="26">
        <v>2786.41</v>
      </c>
      <c r="M133" s="23"/>
      <c r="N133" s="117">
        <f>Tabela1[[#This Row],[ADVANCE PAYMENT / FINAL PAYM''T/ NC 
(US$)]]-Tabela1[[#This Row],[TOTAL DUE PAYMENT-AS PER FINAL INVOICE
US$]]</f>
        <v>-2786.41</v>
      </c>
      <c r="O133" s="352">
        <v>14489.05</v>
      </c>
      <c r="P133" s="280">
        <v>67969</v>
      </c>
      <c r="Q133" s="476" t="s">
        <v>362</v>
      </c>
      <c r="R133" s="258" t="s">
        <v>950</v>
      </c>
      <c r="S133" s="399"/>
    </row>
    <row r="134" spans="1:19" x14ac:dyDescent="0.35">
      <c r="A134" s="328" t="s">
        <v>880</v>
      </c>
      <c r="B134" s="230" t="s">
        <v>731</v>
      </c>
      <c r="C134" s="386" t="s">
        <v>841</v>
      </c>
      <c r="D134" s="279">
        <v>11186</v>
      </c>
      <c r="E134" s="266">
        <v>46260</v>
      </c>
      <c r="F134" s="266">
        <v>46293</v>
      </c>
      <c r="G134" s="231" t="s">
        <v>470</v>
      </c>
      <c r="H134" s="228">
        <v>60</v>
      </c>
      <c r="I134" s="269">
        <f>Tabela1[[#This Row],[DATA  COLETA (ESTIMADA)]]+Tabela1[[#This Row],[days]]</f>
        <v>46353</v>
      </c>
      <c r="J134" s="246">
        <v>19243</v>
      </c>
      <c r="K134" s="272">
        <f>Tabela1[[#This Row],[TOTAL DUE PAYMENT-AS PER FINAL INVOICE
US$]]/Tabela1[[#This Row],[PROFORMA
(2026)]]</f>
        <v>1.0412560411578236</v>
      </c>
      <c r="L134" s="26">
        <v>20036.89</v>
      </c>
      <c r="M134" s="23">
        <f>148.77</f>
        <v>148.77000000000001</v>
      </c>
      <c r="N134" s="117">
        <f>Tabela1[[#This Row],[ADVANCE PAYMENT / FINAL PAYM''T/ NC 
(US$)]]-Tabela1[[#This Row],[TOTAL DUE PAYMENT-AS PER FINAL INVOICE
US$]]</f>
        <v>-19888.12</v>
      </c>
      <c r="O134" s="352">
        <v>104588.54</v>
      </c>
      <c r="P134" s="280">
        <v>68453</v>
      </c>
      <c r="Q134" s="476" t="s">
        <v>362</v>
      </c>
      <c r="R134" s="258" t="s">
        <v>983</v>
      </c>
      <c r="S134" s="399"/>
    </row>
    <row r="135" spans="1:19" x14ac:dyDescent="0.35">
      <c r="A135" s="328" t="s">
        <v>883</v>
      </c>
      <c r="B135" s="230" t="s">
        <v>291</v>
      </c>
      <c r="C135" s="386" t="s">
        <v>839</v>
      </c>
      <c r="D135" s="279">
        <v>11137</v>
      </c>
      <c r="E135" s="266">
        <v>46253</v>
      </c>
      <c r="F135" s="266">
        <v>46308</v>
      </c>
      <c r="G135" s="231" t="s">
        <v>290</v>
      </c>
      <c r="H135" s="228">
        <v>90</v>
      </c>
      <c r="I135" s="269">
        <f>Tabela1[[#This Row],[DATA  COLETA (ESTIMADA)]]+Tabela1[[#This Row],[days]]</f>
        <v>46398</v>
      </c>
      <c r="J135" s="246">
        <v>2560</v>
      </c>
      <c r="K135" s="272">
        <f>Tabela1[[#This Row],[TOTAL DUE PAYMENT-AS PER FINAL INVOICE
US$]]/Tabela1[[#This Row],[PROFORMA
(2026)]]</f>
        <v>1</v>
      </c>
      <c r="L135" s="26">
        <v>2560</v>
      </c>
      <c r="M135" s="26"/>
      <c r="N135" s="117">
        <f>Tabela1[[#This Row],[ADVANCE PAYMENT / FINAL PAYM''T/ NC 
(US$)]]-Tabela1[[#This Row],[TOTAL DUE PAYMENT-AS PER FINAL INVOICE
US$]]</f>
        <v>-2560</v>
      </c>
      <c r="O135" s="372"/>
      <c r="P135" s="284"/>
      <c r="Q135" s="476" t="s">
        <v>362</v>
      </c>
      <c r="R135" s="258" t="s">
        <v>884</v>
      </c>
      <c r="S135" s="399"/>
    </row>
    <row r="136" spans="1:19" x14ac:dyDescent="0.35">
      <c r="A136" s="328" t="s">
        <v>881</v>
      </c>
      <c r="B136" s="248" t="s">
        <v>922</v>
      </c>
      <c r="C136" s="386" t="s">
        <v>839</v>
      </c>
      <c r="D136" s="279">
        <v>11239</v>
      </c>
      <c r="E136" s="266">
        <v>46259</v>
      </c>
      <c r="F136" s="266">
        <v>46293</v>
      </c>
      <c r="G136" s="261" t="s">
        <v>533</v>
      </c>
      <c r="H136" s="228">
        <v>0</v>
      </c>
      <c r="I136" s="269">
        <f>Tabela1[[#This Row],[DATA  COLETA (ESTIMADA)]]+Tabela1[[#This Row],[days]]</f>
        <v>46293</v>
      </c>
      <c r="J136" s="246">
        <f>28425+620</f>
        <v>29045</v>
      </c>
      <c r="K136" s="272">
        <f>Tabela1[[#This Row],[TOTAL DUE PAYMENT-AS PER FINAL INVOICE
US$]]/Tabela1[[#This Row],[PROFORMA
(2026)]]</f>
        <v>1.185914270958857</v>
      </c>
      <c r="L136" s="26">
        <f>27944.88+6500</f>
        <v>34444.880000000005</v>
      </c>
      <c r="M136" s="26">
        <f>10000</f>
        <v>10000</v>
      </c>
      <c r="N136" s="117">
        <f>Tabela1[[#This Row],[ADVANCE PAYMENT / FINAL PAYM''T/ NC 
(US$)]]-Tabela1[[#This Row],[TOTAL DUE PAYMENT-AS PER FINAL INVOICE
US$]]</f>
        <v>-24444.880000000005</v>
      </c>
      <c r="O136" s="372"/>
      <c r="P136" s="284"/>
      <c r="Q136" s="247" t="s">
        <v>421</v>
      </c>
      <c r="R136" s="258" t="s">
        <v>986</v>
      </c>
      <c r="S136" s="399"/>
    </row>
    <row r="137" spans="1:19" x14ac:dyDescent="0.35">
      <c r="A137" s="328" t="s">
        <v>916</v>
      </c>
      <c r="B137" s="230" t="s">
        <v>585</v>
      </c>
      <c r="C137" s="386" t="s">
        <v>842</v>
      </c>
      <c r="D137" s="279">
        <v>11324</v>
      </c>
      <c r="E137" s="266">
        <v>46274</v>
      </c>
      <c r="F137" s="266">
        <v>46289</v>
      </c>
      <c r="G137" s="261" t="s">
        <v>533</v>
      </c>
      <c r="H137" s="228">
        <v>0</v>
      </c>
      <c r="I137" s="269">
        <f>Tabela1[[#This Row],[DATA  COLETA (ESTIMADA)]]+Tabela1[[#This Row],[days]]</f>
        <v>46289</v>
      </c>
      <c r="J137" s="246">
        <f>15600+2910</f>
        <v>18510</v>
      </c>
      <c r="K137" s="272">
        <f>Tabela1[[#This Row],[TOTAL DUE PAYMENT-AS PER FINAL INVOICE
US$]]/Tabela1[[#This Row],[PROFORMA
(2026)]]</f>
        <v>1.1413014586709886</v>
      </c>
      <c r="L137" s="26">
        <v>21125.49</v>
      </c>
      <c r="M137" s="26">
        <f>4680+16445.49</f>
        <v>21125.49</v>
      </c>
      <c r="N137" s="117">
        <f>Tabela1[[#This Row],[ADVANCE PAYMENT / FINAL PAYM''T/ NC 
(US$)]]-Tabela1[[#This Row],[TOTAL DUE PAYMENT-AS PER FINAL INVOICE
US$]]</f>
        <v>0</v>
      </c>
      <c r="O137" s="352">
        <v>108067.45</v>
      </c>
      <c r="P137" s="280">
        <v>68356</v>
      </c>
      <c r="Q137" s="232" t="s">
        <v>361</v>
      </c>
      <c r="R137" s="258" t="s">
        <v>975</v>
      </c>
      <c r="S137" s="399"/>
    </row>
    <row r="138" spans="1:19" x14ac:dyDescent="0.35">
      <c r="A138" s="328" t="s">
        <v>917</v>
      </c>
      <c r="B138" s="230" t="s">
        <v>585</v>
      </c>
      <c r="C138" s="386" t="s">
        <v>842</v>
      </c>
      <c r="D138" s="279">
        <v>11355</v>
      </c>
      <c r="E138" s="266">
        <v>46279</v>
      </c>
      <c r="F138" s="266">
        <v>46289</v>
      </c>
      <c r="G138" s="261" t="s">
        <v>533</v>
      </c>
      <c r="H138" s="228">
        <v>0</v>
      </c>
      <c r="I138" s="269">
        <f>Tabela1[[#This Row],[DATA  COLETA (ESTIMADA)]]+Tabela1[[#This Row],[days]]</f>
        <v>46289</v>
      </c>
      <c r="J138" s="460" t="s">
        <v>550</v>
      </c>
      <c r="K138" s="278" t="s">
        <v>550</v>
      </c>
      <c r="L138" s="26" t="s">
        <v>550</v>
      </c>
      <c r="M138" s="461" t="s">
        <v>550</v>
      </c>
      <c r="N138" s="117">
        <v>0</v>
      </c>
      <c r="O138" s="461" t="s">
        <v>550</v>
      </c>
      <c r="P138" s="461" t="s">
        <v>550</v>
      </c>
      <c r="Q138" s="232" t="s">
        <v>361</v>
      </c>
      <c r="R138" s="258" t="s">
        <v>976</v>
      </c>
      <c r="S138" s="399"/>
    </row>
    <row r="139" spans="1:19" x14ac:dyDescent="0.35">
      <c r="A139" s="471" t="s">
        <v>918</v>
      </c>
      <c r="B139" s="230" t="s">
        <v>316</v>
      </c>
      <c r="C139" s="230" t="s">
        <v>838</v>
      </c>
      <c r="D139" s="279">
        <v>11363</v>
      </c>
      <c r="E139" s="266">
        <v>46282</v>
      </c>
      <c r="F139" s="266">
        <v>46305</v>
      </c>
      <c r="G139" s="242" t="s">
        <v>442</v>
      </c>
      <c r="H139" s="228">
        <v>70</v>
      </c>
      <c r="I139" s="269">
        <f>Tabela1[[#This Row],[DATA  COLETA (ESTIMADA)]]+Tabela1[[#This Row],[days]]</f>
        <v>46375</v>
      </c>
      <c r="J139" s="246">
        <v>43810</v>
      </c>
      <c r="K139" s="272">
        <f>Tabela1[[#This Row],[TOTAL DUE PAYMENT-AS PER FINAL INVOICE
US$]]/Tabela1[[#This Row],[PROFORMA
(2026)]]</f>
        <v>1</v>
      </c>
      <c r="L139" s="26">
        <v>43810</v>
      </c>
      <c r="M139" s="23"/>
      <c r="N139" s="117">
        <f>Tabela1[[#This Row],[ADVANCE PAYMENT / FINAL PAYM''T/ NC 
(US$)]]-Tabela1[[#This Row],[TOTAL DUE PAYMENT-AS PER FINAL INVOICE
US$]]</f>
        <v>-43810</v>
      </c>
      <c r="O139" s="372"/>
      <c r="P139" s="284"/>
      <c r="Q139" s="476" t="s">
        <v>362</v>
      </c>
      <c r="R139" s="258" t="s">
        <v>821</v>
      </c>
      <c r="S139" s="437" t="s">
        <v>847</v>
      </c>
    </row>
    <row r="140" spans="1:19" x14ac:dyDescent="0.35">
      <c r="A140" s="471" t="s">
        <v>919</v>
      </c>
      <c r="B140" s="230" t="s">
        <v>316</v>
      </c>
      <c r="C140" s="230" t="s">
        <v>838</v>
      </c>
      <c r="D140" s="279">
        <v>11364</v>
      </c>
      <c r="E140" s="266">
        <v>46282</v>
      </c>
      <c r="F140" s="266">
        <v>46336</v>
      </c>
      <c r="G140" s="242" t="s">
        <v>442</v>
      </c>
      <c r="H140" s="228">
        <v>70</v>
      </c>
      <c r="I140" s="269">
        <f>Tabela1[[#This Row],[DATA  COLETA (ESTIMADA)]]+Tabela1[[#This Row],[days]]</f>
        <v>46406</v>
      </c>
      <c r="J140" s="246">
        <v>40170</v>
      </c>
      <c r="K140" s="272">
        <f>Tabela1[[#This Row],[TOTAL DUE PAYMENT-AS PER FINAL INVOICE
US$]]/Tabela1[[#This Row],[PROFORMA
(2026)]]</f>
        <v>1</v>
      </c>
      <c r="L140" s="26">
        <v>40170</v>
      </c>
      <c r="M140" s="23"/>
      <c r="N140" s="117">
        <f>Tabela1[[#This Row],[ADVANCE PAYMENT / FINAL PAYM''T/ NC 
(US$)]]-Tabela1[[#This Row],[TOTAL DUE PAYMENT-AS PER FINAL INVOICE
US$]]</f>
        <v>-40170</v>
      </c>
      <c r="O140" s="372"/>
      <c r="P140" s="284"/>
      <c r="Q140" s="476" t="s">
        <v>362</v>
      </c>
      <c r="R140" s="258" t="s">
        <v>884</v>
      </c>
      <c r="S140" s="437" t="s">
        <v>847</v>
      </c>
    </row>
    <row r="141" spans="1:19" x14ac:dyDescent="0.35">
      <c r="A141" s="502" t="s">
        <v>989</v>
      </c>
      <c r="B141" s="230" t="s">
        <v>991</v>
      </c>
      <c r="C141" s="386" t="s">
        <v>840</v>
      </c>
      <c r="D141" s="279">
        <v>11446</v>
      </c>
      <c r="E141" s="266">
        <v>46289</v>
      </c>
      <c r="F141" s="266">
        <v>46314</v>
      </c>
      <c r="G141" s="231" t="s">
        <v>274</v>
      </c>
      <c r="H141" s="228">
        <v>0</v>
      </c>
      <c r="I141" s="269">
        <f>Tabela1[[#This Row],[DATA  COLETA (ESTIMADA)]]+Tabela1[[#This Row],[days]]</f>
        <v>46314</v>
      </c>
      <c r="J141" s="246">
        <v>9600</v>
      </c>
      <c r="K141" s="272">
        <f>Tabela1[[#This Row],[TOTAL DUE PAYMENT-AS PER FINAL INVOICE
US$]]/Tabela1[[#This Row],[PROFORMA
(2026)]]</f>
        <v>1</v>
      </c>
      <c r="L141" s="26">
        <v>9600</v>
      </c>
      <c r="M141" s="23"/>
      <c r="N141" s="117">
        <f>Tabela1[[#This Row],[ADVANCE PAYMENT / FINAL PAYM''T/ NC 
(US$)]]-Tabela1[[#This Row],[TOTAL DUE PAYMENT-AS PER FINAL INVOICE
US$]]</f>
        <v>-9600</v>
      </c>
      <c r="O141" s="372"/>
      <c r="P141" s="506"/>
      <c r="Q141" s="476" t="s">
        <v>362</v>
      </c>
      <c r="R141" s="507" t="s">
        <v>992</v>
      </c>
      <c r="S141" s="508"/>
    </row>
    <row r="142" spans="1:19" x14ac:dyDescent="0.35">
      <c r="A142" s="502" t="s">
        <v>990</v>
      </c>
      <c r="B142" s="230" t="s">
        <v>611</v>
      </c>
      <c r="C142" s="386" t="s">
        <v>840</v>
      </c>
      <c r="D142" s="279">
        <v>11454</v>
      </c>
      <c r="E142" s="266">
        <v>46293</v>
      </c>
      <c r="F142" s="266">
        <v>46311</v>
      </c>
      <c r="G142" s="231" t="s">
        <v>274</v>
      </c>
      <c r="H142" s="228">
        <v>0</v>
      </c>
      <c r="I142" s="269">
        <f>Tabela1[[#This Row],[DATA  COLETA (ESTIMADA)]]+Tabela1[[#This Row],[days]]</f>
        <v>46311</v>
      </c>
      <c r="J142" s="246">
        <f>6750+620</f>
        <v>7370</v>
      </c>
      <c r="K142" s="272">
        <f>Tabela1[[#This Row],[TOTAL DUE PAYMENT-AS PER FINAL INVOICE
US$]]/Tabela1[[#This Row],[PROFORMA
(2026)]]</f>
        <v>1</v>
      </c>
      <c r="L142" s="107">
        <v>7370</v>
      </c>
      <c r="M142" s="23">
        <f>3685</f>
        <v>3685</v>
      </c>
      <c r="N142" s="117">
        <f>Tabela1[[#This Row],[ADVANCE PAYMENT / FINAL PAYM''T/ NC 
(US$)]]-Tabela1[[#This Row],[TOTAL DUE PAYMENT-AS PER FINAL INVOICE
US$]]</f>
        <v>-3685</v>
      </c>
      <c r="O142" s="372"/>
      <c r="P142" s="506"/>
      <c r="Q142" s="476" t="s">
        <v>362</v>
      </c>
      <c r="R142" s="507" t="s">
        <v>993</v>
      </c>
      <c r="S142" s="508"/>
    </row>
    <row r="143" spans="1:19" x14ac:dyDescent="0.35">
      <c r="A143" s="502"/>
      <c r="B143" s="230"/>
      <c r="C143" s="386"/>
      <c r="D143" s="503"/>
      <c r="E143" s="504"/>
      <c r="F143" s="504"/>
      <c r="G143" s="231"/>
      <c r="I143" s="269">
        <f>Tabela1[[#This Row],[DATA  COLETA (ESTIMADA)]]+Tabela1[[#This Row],[days]]</f>
        <v>0</v>
      </c>
      <c r="J143" s="34"/>
      <c r="K143" s="505">
        <f>Tabela1[[#This Row],[PROFORMA
(2026)]]-Tabela1[[#This Row],[TOTAL DUE PAYMENT-AS PER FINAL INVOICE
US$]]</f>
        <v>0</v>
      </c>
      <c r="L143" s="107"/>
      <c r="M143" s="23"/>
      <c r="N143" s="117">
        <f>Tabela1[[#This Row],[TOTAL DUE PAYMENT-AS PER FINAL INVOICE
US$]]-Tabela1[[#This Row],[ADVANCE PAYMENT / FINAL PAYM''T/ NC 
(US$)]]</f>
        <v>0</v>
      </c>
      <c r="O143" s="372"/>
      <c r="P143" s="506"/>
      <c r="Q143" s="476"/>
      <c r="R143" s="507"/>
      <c r="S143" s="508"/>
    </row>
    <row r="145" spans="1:14" x14ac:dyDescent="0.35">
      <c r="M145" s="265"/>
      <c r="N145" s="448"/>
    </row>
    <row r="146" spans="1:14" x14ac:dyDescent="0.35">
      <c r="A146" s="258" t="s">
        <v>951</v>
      </c>
    </row>
    <row r="147" spans="1:14" x14ac:dyDescent="0.35">
      <c r="A147" s="258" t="s">
        <v>952</v>
      </c>
      <c r="J147" s="466"/>
      <c r="K147" s="1"/>
    </row>
    <row r="148" spans="1:14" x14ac:dyDescent="0.35">
      <c r="K148"/>
    </row>
    <row r="150" spans="1:14" x14ac:dyDescent="0.35">
      <c r="J150" s="1"/>
    </row>
  </sheetData>
  <mergeCells count="1">
    <mergeCell ref="J2:K2"/>
  </mergeCells>
  <conditionalFormatting sqref="I4:K22 I82:K82 I75:I81 K77 I49:K53 I48 I25:K47 I23:I24 K23:K24 K81 I71:K74 I70 K79 I67:K69 I66 I55:K65 I54 I83:I143">
    <cfRule type="iconSet" priority="15">
      <iconSet>
        <cfvo type="percent" val="0"/>
        <cfvo type="formula" val="$F$1-12"/>
        <cfvo type="formula" val="$F$1-20"/>
      </iconSet>
    </cfRule>
  </conditionalFormatting>
  <conditionalFormatting sqref="N4:N143">
    <cfRule type="cellIs" dxfId="782" priority="1" operator="lessThan">
      <formula>0</formula>
    </cfRule>
  </conditionalFormatting>
  <dataValidations disablePrompts="1" count="2">
    <dataValidation type="list" allowBlank="1" showInputMessage="1" showErrorMessage="1" sqref="G16 G25" xr:uid="{EAA8FE3E-4FAD-4C73-A669-59145B32E58F}">
      <formula1>$AG$3:$AG$10</formula1>
    </dataValidation>
    <dataValidation type="date" allowBlank="1" showInputMessage="1" showErrorMessage="1" sqref="E32" xr:uid="{1FFE139E-45B2-46A4-8F2E-7A3285CDDF68}">
      <formula1>1</formula1>
      <formula2>55153</formula2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Preparado por Mary Martinez &amp;D&amp;RPágina &amp;P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4A26-F1EA-4D8F-BB6E-345FEB747589}">
  <dimension ref="A1:N67"/>
  <sheetViews>
    <sheetView showGridLines="0" workbookViewId="0">
      <selection activeCell="J2" sqref="J2"/>
    </sheetView>
  </sheetViews>
  <sheetFormatPr baseColWidth="10" defaultColWidth="9.1796875" defaultRowHeight="14.5" x14ac:dyDescent="0.35"/>
  <cols>
    <col min="1" max="1" width="9.1796875" customWidth="1"/>
    <col min="2" max="2" width="12.81640625" customWidth="1"/>
    <col min="3" max="3" width="31.453125" customWidth="1"/>
    <col min="4" max="4" width="9.1796875" style="4"/>
    <col min="5" max="5" width="10.1796875" hidden="1" customWidth="1"/>
    <col min="6" max="6" width="11.1796875" hidden="1" customWidth="1"/>
    <col min="7" max="7" width="11.54296875" hidden="1" customWidth="1"/>
    <col min="8" max="8" width="14.1796875" hidden="1" customWidth="1"/>
    <col min="9" max="9" width="11.81640625" hidden="1" customWidth="1"/>
    <col min="10" max="10" width="22.81640625" style="5" customWidth="1"/>
    <col min="11" max="11" width="16.453125" style="4" customWidth="1"/>
    <col min="12" max="12" width="34.1796875" style="5" bestFit="1" customWidth="1"/>
    <col min="13" max="13" width="17.1796875" style="5" bestFit="1" customWidth="1"/>
    <col min="14" max="14" width="29.1796875" customWidth="1"/>
  </cols>
  <sheetData>
    <row r="1" spans="1:14" ht="21" x14ac:dyDescent="0.5">
      <c r="A1" s="6" t="s">
        <v>37</v>
      </c>
    </row>
    <row r="3" spans="1:14" x14ac:dyDescent="0.35">
      <c r="A3" s="7" t="s">
        <v>38</v>
      </c>
      <c r="B3" s="7" t="s">
        <v>39</v>
      </c>
      <c r="C3" s="7" t="s">
        <v>40</v>
      </c>
      <c r="D3" s="8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9" t="s">
        <v>47</v>
      </c>
      <c r="K3" s="8" t="s">
        <v>48</v>
      </c>
      <c r="L3" s="9" t="s">
        <v>49</v>
      </c>
      <c r="M3" s="9" t="s">
        <v>50</v>
      </c>
      <c r="N3" s="2" t="s">
        <v>51</v>
      </c>
    </row>
    <row r="4" spans="1:14" x14ac:dyDescent="0.35">
      <c r="A4" t="s">
        <v>28</v>
      </c>
      <c r="B4" t="s">
        <v>52</v>
      </c>
      <c r="C4" t="s">
        <v>53</v>
      </c>
      <c r="D4" s="4" t="s">
        <v>54</v>
      </c>
      <c r="E4" s="10" t="s">
        <v>55</v>
      </c>
      <c r="F4" s="10" t="s">
        <v>55</v>
      </c>
      <c r="G4" s="10" t="s">
        <v>56</v>
      </c>
      <c r="H4" s="10" t="s">
        <v>54</v>
      </c>
      <c r="I4" s="10" t="s">
        <v>54</v>
      </c>
      <c r="J4" s="5" t="s">
        <v>29</v>
      </c>
      <c r="K4" s="4" t="s">
        <v>57</v>
      </c>
      <c r="L4" s="11" t="s">
        <v>30</v>
      </c>
      <c r="M4" s="5" t="s">
        <v>31</v>
      </c>
      <c r="N4" t="s">
        <v>58</v>
      </c>
    </row>
    <row r="5" spans="1:14" x14ac:dyDescent="0.35">
      <c r="A5" t="s">
        <v>28</v>
      </c>
      <c r="B5" t="s">
        <v>52</v>
      </c>
      <c r="C5" t="s">
        <v>53</v>
      </c>
      <c r="D5" s="4" t="s">
        <v>54</v>
      </c>
      <c r="E5" s="10"/>
      <c r="F5" s="10"/>
      <c r="G5" s="10" t="s">
        <v>56</v>
      </c>
      <c r="H5" s="10" t="s">
        <v>54</v>
      </c>
      <c r="I5" s="10" t="s">
        <v>54</v>
      </c>
      <c r="J5" s="5" t="s">
        <v>59</v>
      </c>
      <c r="K5" s="4" t="s">
        <v>60</v>
      </c>
      <c r="L5" s="11" t="s">
        <v>61</v>
      </c>
      <c r="M5" s="12" t="s">
        <v>62</v>
      </c>
    </row>
    <row r="6" spans="1:14" x14ac:dyDescent="0.35">
      <c r="A6" t="s">
        <v>28</v>
      </c>
      <c r="B6" t="s">
        <v>52</v>
      </c>
      <c r="C6" t="s">
        <v>53</v>
      </c>
      <c r="D6" s="4" t="s">
        <v>54</v>
      </c>
      <c r="E6" s="10"/>
      <c r="F6" s="10"/>
      <c r="G6" s="10" t="s">
        <v>56</v>
      </c>
      <c r="H6" s="10" t="s">
        <v>54</v>
      </c>
      <c r="I6" s="10" t="s">
        <v>54</v>
      </c>
      <c r="J6" s="5" t="s">
        <v>63</v>
      </c>
      <c r="K6" s="4" t="s">
        <v>64</v>
      </c>
      <c r="L6" s="11" t="s">
        <v>65</v>
      </c>
      <c r="M6" s="12" t="s">
        <v>66</v>
      </c>
    </row>
    <row r="7" spans="1:14" x14ac:dyDescent="0.35">
      <c r="A7" t="s">
        <v>28</v>
      </c>
      <c r="B7" t="s">
        <v>52</v>
      </c>
      <c r="C7" t="s">
        <v>53</v>
      </c>
      <c r="D7" s="4" t="s">
        <v>54</v>
      </c>
      <c r="E7" s="10"/>
      <c r="F7" s="10"/>
      <c r="G7" s="10" t="s">
        <v>56</v>
      </c>
      <c r="H7" s="10" t="s">
        <v>54</v>
      </c>
      <c r="I7" s="10" t="s">
        <v>54</v>
      </c>
      <c r="J7" s="5" t="s">
        <v>67</v>
      </c>
      <c r="K7" s="4" t="s">
        <v>68</v>
      </c>
      <c r="L7" s="11" t="s">
        <v>69</v>
      </c>
      <c r="M7" s="12" t="s">
        <v>70</v>
      </c>
      <c r="N7" t="s">
        <v>71</v>
      </c>
    </row>
    <row r="8" spans="1:14" x14ac:dyDescent="0.35">
      <c r="A8" t="s">
        <v>28</v>
      </c>
      <c r="B8" t="s">
        <v>52</v>
      </c>
      <c r="C8" t="s">
        <v>72</v>
      </c>
      <c r="D8" s="4" t="s">
        <v>54</v>
      </c>
      <c r="E8" s="10" t="s">
        <v>55</v>
      </c>
      <c r="F8" s="10" t="s">
        <v>55</v>
      </c>
      <c r="G8" s="10" t="s">
        <v>73</v>
      </c>
      <c r="H8" s="10" t="s">
        <v>55</v>
      </c>
      <c r="I8" s="10" t="s">
        <v>55</v>
      </c>
      <c r="J8" s="5" t="s">
        <v>32</v>
      </c>
      <c r="K8" s="4" t="s">
        <v>57</v>
      </c>
      <c r="L8" s="11" t="s">
        <v>33</v>
      </c>
      <c r="M8" s="12" t="s">
        <v>34</v>
      </c>
    </row>
    <row r="9" spans="1:14" x14ac:dyDescent="0.35">
      <c r="A9" t="s">
        <v>28</v>
      </c>
      <c r="B9" t="s">
        <v>52</v>
      </c>
      <c r="C9" t="s">
        <v>72</v>
      </c>
      <c r="D9" s="4" t="s">
        <v>54</v>
      </c>
      <c r="E9" s="10"/>
      <c r="F9" s="10"/>
      <c r="G9" s="10" t="s">
        <v>73</v>
      </c>
      <c r="H9" s="10" t="s">
        <v>55</v>
      </c>
      <c r="I9" s="10" t="s">
        <v>55</v>
      </c>
      <c r="J9" s="5" t="s">
        <v>74</v>
      </c>
      <c r="K9" s="4" t="s">
        <v>75</v>
      </c>
      <c r="L9" s="11" t="s">
        <v>76</v>
      </c>
      <c r="M9" s="12" t="s">
        <v>77</v>
      </c>
      <c r="N9" t="s">
        <v>78</v>
      </c>
    </row>
    <row r="10" spans="1:14" x14ac:dyDescent="0.35">
      <c r="A10" t="s">
        <v>28</v>
      </c>
      <c r="B10" t="s">
        <v>52</v>
      </c>
      <c r="C10" t="s">
        <v>79</v>
      </c>
      <c r="D10" s="4" t="s">
        <v>54</v>
      </c>
      <c r="E10" s="10" t="s">
        <v>55</v>
      </c>
      <c r="F10" s="10" t="s">
        <v>55</v>
      </c>
      <c r="G10" s="10" t="s">
        <v>73</v>
      </c>
      <c r="H10" s="10" t="s">
        <v>55</v>
      </c>
      <c r="I10" s="10" t="s">
        <v>55</v>
      </c>
      <c r="J10" s="5" t="s">
        <v>80</v>
      </c>
      <c r="K10" s="4" t="s">
        <v>81</v>
      </c>
      <c r="L10" s="5" t="s">
        <v>12</v>
      </c>
      <c r="M10" s="12" t="s">
        <v>82</v>
      </c>
    </row>
    <row r="11" spans="1:14" x14ac:dyDescent="0.35">
      <c r="A11" t="s">
        <v>28</v>
      </c>
      <c r="B11" t="s">
        <v>52</v>
      </c>
      <c r="C11" t="s">
        <v>79</v>
      </c>
      <c r="D11" s="4" t="s">
        <v>54</v>
      </c>
      <c r="E11" s="10"/>
      <c r="F11" s="10"/>
      <c r="G11" s="10" t="s">
        <v>73</v>
      </c>
      <c r="H11" s="10" t="s">
        <v>55</v>
      </c>
      <c r="I11" s="10" t="s">
        <v>55</v>
      </c>
      <c r="J11" s="5" t="s">
        <v>83</v>
      </c>
      <c r="K11" s="4" t="s">
        <v>75</v>
      </c>
      <c r="L11" s="11" t="s">
        <v>84</v>
      </c>
      <c r="M11" s="5" t="s">
        <v>85</v>
      </c>
    </row>
    <row r="12" spans="1:14" x14ac:dyDescent="0.35">
      <c r="A12" t="s">
        <v>86</v>
      </c>
      <c r="B12" t="s">
        <v>87</v>
      </c>
      <c r="C12" t="s">
        <v>88</v>
      </c>
      <c r="D12" s="4" t="s">
        <v>54</v>
      </c>
      <c r="E12" s="10" t="s">
        <v>55</v>
      </c>
      <c r="F12" s="10" t="s">
        <v>55</v>
      </c>
      <c r="G12" s="10" t="s">
        <v>89</v>
      </c>
      <c r="H12" s="10" t="s">
        <v>55</v>
      </c>
      <c r="I12" s="10" t="s">
        <v>55</v>
      </c>
      <c r="J12" s="5" t="s">
        <v>90</v>
      </c>
      <c r="K12" s="4" t="s">
        <v>57</v>
      </c>
      <c r="L12" s="11" t="s">
        <v>91</v>
      </c>
      <c r="M12" s="5" t="s">
        <v>92</v>
      </c>
    </row>
    <row r="13" spans="1:14" x14ac:dyDescent="0.35">
      <c r="A13" t="s">
        <v>86</v>
      </c>
      <c r="B13" t="s">
        <v>87</v>
      </c>
      <c r="C13" t="s">
        <v>88</v>
      </c>
      <c r="D13" s="4" t="s">
        <v>54</v>
      </c>
      <c r="E13" s="10" t="s">
        <v>55</v>
      </c>
      <c r="F13" s="10" t="s">
        <v>55</v>
      </c>
      <c r="G13" s="10" t="s">
        <v>89</v>
      </c>
      <c r="H13" s="10" t="s">
        <v>55</v>
      </c>
      <c r="I13" s="10" t="s">
        <v>55</v>
      </c>
      <c r="J13" s="5" t="s">
        <v>93</v>
      </c>
      <c r="K13" s="4" t="s">
        <v>64</v>
      </c>
      <c r="L13" s="11" t="s">
        <v>94</v>
      </c>
      <c r="M13" s="5" t="s">
        <v>95</v>
      </c>
    </row>
    <row r="14" spans="1:14" x14ac:dyDescent="0.35">
      <c r="A14" t="s">
        <v>86</v>
      </c>
      <c r="B14" t="s">
        <v>87</v>
      </c>
      <c r="C14" t="s">
        <v>88</v>
      </c>
      <c r="D14" s="4" t="s">
        <v>54</v>
      </c>
      <c r="E14" s="10" t="s">
        <v>55</v>
      </c>
      <c r="F14" s="10" t="s">
        <v>55</v>
      </c>
      <c r="G14" s="10" t="s">
        <v>89</v>
      </c>
      <c r="H14" s="10" t="s">
        <v>55</v>
      </c>
      <c r="I14" s="10" t="s">
        <v>55</v>
      </c>
      <c r="J14" s="5" t="s">
        <v>96</v>
      </c>
      <c r="K14" s="4" t="s">
        <v>60</v>
      </c>
      <c r="L14" s="11" t="s">
        <v>97</v>
      </c>
      <c r="M14" s="5" t="s">
        <v>98</v>
      </c>
    </row>
    <row r="15" spans="1:14" x14ac:dyDescent="0.35">
      <c r="A15" t="s">
        <v>86</v>
      </c>
      <c r="B15" t="s">
        <v>87</v>
      </c>
      <c r="C15" t="s">
        <v>99</v>
      </c>
      <c r="D15" s="4" t="s">
        <v>54</v>
      </c>
      <c r="E15" s="10" t="s">
        <v>55</v>
      </c>
      <c r="F15" s="10" t="s">
        <v>55</v>
      </c>
      <c r="G15" s="10" t="s">
        <v>73</v>
      </c>
      <c r="H15" s="10" t="s">
        <v>55</v>
      </c>
      <c r="I15" s="10" t="s">
        <v>55</v>
      </c>
      <c r="J15" s="13" t="s">
        <v>14</v>
      </c>
      <c r="K15" s="4" t="s">
        <v>75</v>
      </c>
      <c r="L15" s="14" t="s">
        <v>15</v>
      </c>
      <c r="M15" s="15" t="s">
        <v>16</v>
      </c>
    </row>
    <row r="16" spans="1:14" x14ac:dyDescent="0.35">
      <c r="A16" t="s">
        <v>86</v>
      </c>
      <c r="B16" t="s">
        <v>87</v>
      </c>
      <c r="C16" t="s">
        <v>99</v>
      </c>
      <c r="D16" s="4" t="s">
        <v>54</v>
      </c>
      <c r="E16" s="10" t="s">
        <v>55</v>
      </c>
      <c r="F16" s="10" t="s">
        <v>55</v>
      </c>
      <c r="G16" s="10" t="s">
        <v>73</v>
      </c>
      <c r="H16" s="10" t="s">
        <v>55</v>
      </c>
      <c r="I16" s="10" t="s">
        <v>55</v>
      </c>
      <c r="J16" s="13" t="s">
        <v>17</v>
      </c>
      <c r="K16" s="4" t="s">
        <v>100</v>
      </c>
      <c r="L16" s="11" t="s">
        <v>18</v>
      </c>
      <c r="M16" s="15" t="s">
        <v>12</v>
      </c>
      <c r="N16" t="s">
        <v>101</v>
      </c>
    </row>
    <row r="17" spans="1:14" x14ac:dyDescent="0.35">
      <c r="A17" t="s">
        <v>86</v>
      </c>
      <c r="B17" t="s">
        <v>102</v>
      </c>
      <c r="C17" t="s">
        <v>103</v>
      </c>
      <c r="D17" s="4" t="s">
        <v>54</v>
      </c>
      <c r="E17" s="10" t="s">
        <v>55</v>
      </c>
      <c r="F17" s="10" t="s">
        <v>55</v>
      </c>
      <c r="G17" s="10" t="s">
        <v>73</v>
      </c>
      <c r="H17" s="10" t="s">
        <v>55</v>
      </c>
      <c r="I17" s="10" t="s">
        <v>55</v>
      </c>
      <c r="J17" s="13" t="s">
        <v>20</v>
      </c>
      <c r="K17" s="4" t="s">
        <v>75</v>
      </c>
      <c r="L17" s="11" t="s">
        <v>21</v>
      </c>
      <c r="M17" s="15" t="s">
        <v>22</v>
      </c>
    </row>
    <row r="18" spans="1:14" x14ac:dyDescent="0.35">
      <c r="A18" t="s">
        <v>86</v>
      </c>
      <c r="B18" t="s">
        <v>102</v>
      </c>
      <c r="C18" t="s">
        <v>103</v>
      </c>
      <c r="D18" s="4" t="s">
        <v>54</v>
      </c>
      <c r="E18" s="10" t="s">
        <v>55</v>
      </c>
      <c r="F18" s="10" t="s">
        <v>55</v>
      </c>
      <c r="G18" s="10" t="s">
        <v>73</v>
      </c>
      <c r="H18" s="10" t="s">
        <v>55</v>
      </c>
      <c r="I18" s="10" t="s">
        <v>55</v>
      </c>
      <c r="J18" s="13" t="s">
        <v>23</v>
      </c>
      <c r="K18" s="4" t="s">
        <v>57</v>
      </c>
      <c r="L18" s="16" t="s">
        <v>24</v>
      </c>
      <c r="M18" s="15" t="s">
        <v>12</v>
      </c>
    </row>
    <row r="19" spans="1:14" x14ac:dyDescent="0.35">
      <c r="A19" t="s">
        <v>86</v>
      </c>
      <c r="B19" t="s">
        <v>104</v>
      </c>
      <c r="C19" t="s">
        <v>105</v>
      </c>
      <c r="D19" s="4" t="s">
        <v>54</v>
      </c>
      <c r="E19" s="10" t="s">
        <v>55</v>
      </c>
      <c r="F19" s="10" t="s">
        <v>55</v>
      </c>
      <c r="G19" s="10" t="s">
        <v>73</v>
      </c>
      <c r="H19" s="10" t="s">
        <v>55</v>
      </c>
      <c r="I19" s="10" t="s">
        <v>55</v>
      </c>
      <c r="J19" s="5" t="s">
        <v>106</v>
      </c>
      <c r="K19" s="4" t="s">
        <v>81</v>
      </c>
      <c r="L19" s="11" t="s">
        <v>107</v>
      </c>
      <c r="M19" s="5" t="s">
        <v>108</v>
      </c>
    </row>
    <row r="20" spans="1:14" x14ac:dyDescent="0.35">
      <c r="A20" t="s">
        <v>86</v>
      </c>
      <c r="B20" t="s">
        <v>104</v>
      </c>
      <c r="C20" t="s">
        <v>105</v>
      </c>
      <c r="D20" s="4" t="s">
        <v>54</v>
      </c>
      <c r="E20" s="10" t="s">
        <v>55</v>
      </c>
      <c r="F20" s="10" t="s">
        <v>55</v>
      </c>
      <c r="G20" s="10" t="s">
        <v>73</v>
      </c>
      <c r="H20" s="10" t="s">
        <v>55</v>
      </c>
      <c r="I20" s="10" t="s">
        <v>55</v>
      </c>
      <c r="J20" s="5" t="s">
        <v>109</v>
      </c>
      <c r="K20" s="4" t="s">
        <v>75</v>
      </c>
      <c r="L20" s="11" t="s">
        <v>110</v>
      </c>
      <c r="M20" s="5" t="s">
        <v>111</v>
      </c>
    </row>
    <row r="21" spans="1:14" x14ac:dyDescent="0.35">
      <c r="A21" t="s">
        <v>86</v>
      </c>
      <c r="B21" t="s">
        <v>104</v>
      </c>
      <c r="C21" t="s">
        <v>105</v>
      </c>
      <c r="D21" s="4" t="s">
        <v>54</v>
      </c>
      <c r="E21" s="10" t="s">
        <v>55</v>
      </c>
      <c r="F21" s="10" t="s">
        <v>55</v>
      </c>
      <c r="G21" s="10" t="s">
        <v>73</v>
      </c>
      <c r="H21" s="10" t="s">
        <v>55</v>
      </c>
      <c r="I21" s="10" t="s">
        <v>55</v>
      </c>
      <c r="J21" s="5" t="s">
        <v>112</v>
      </c>
      <c r="K21" s="4" t="s">
        <v>57</v>
      </c>
      <c r="L21" s="11" t="s">
        <v>113</v>
      </c>
      <c r="M21" s="5" t="s">
        <v>114</v>
      </c>
      <c r="N21" t="s">
        <v>115</v>
      </c>
    </row>
    <row r="22" spans="1:14" x14ac:dyDescent="0.35">
      <c r="A22" t="s">
        <v>116</v>
      </c>
      <c r="B22" t="s">
        <v>117</v>
      </c>
      <c r="C22" t="s">
        <v>118</v>
      </c>
      <c r="D22" s="4" t="s">
        <v>54</v>
      </c>
      <c r="E22" s="10" t="s">
        <v>55</v>
      </c>
      <c r="F22" s="10" t="s">
        <v>55</v>
      </c>
      <c r="G22" s="10" t="s">
        <v>56</v>
      </c>
      <c r="H22" s="10" t="s">
        <v>54</v>
      </c>
      <c r="I22" s="10" t="s">
        <v>54</v>
      </c>
      <c r="J22" s="5" t="s">
        <v>119</v>
      </c>
      <c r="K22" s="4" t="s">
        <v>100</v>
      </c>
      <c r="L22" s="11" t="s">
        <v>120</v>
      </c>
      <c r="M22" s="5" t="s">
        <v>121</v>
      </c>
      <c r="N22" t="s">
        <v>101</v>
      </c>
    </row>
    <row r="23" spans="1:14" x14ac:dyDescent="0.35">
      <c r="A23" t="s">
        <v>122</v>
      </c>
      <c r="B23" t="s">
        <v>123</v>
      </c>
      <c r="C23" t="s">
        <v>124</v>
      </c>
      <c r="D23" s="4" t="s">
        <v>54</v>
      </c>
      <c r="E23" s="10" t="s">
        <v>55</v>
      </c>
      <c r="F23" s="10" t="s">
        <v>55</v>
      </c>
      <c r="G23" s="10" t="s">
        <v>56</v>
      </c>
      <c r="H23" s="10" t="s">
        <v>54</v>
      </c>
      <c r="I23" s="10" t="s">
        <v>54</v>
      </c>
      <c r="J23" s="17" t="s">
        <v>25</v>
      </c>
      <c r="K23" s="4" t="s">
        <v>125</v>
      </c>
      <c r="L23" s="18" t="s">
        <v>26</v>
      </c>
      <c r="M23" s="17" t="s">
        <v>27</v>
      </c>
    </row>
    <row r="24" spans="1:14" x14ac:dyDescent="0.35">
      <c r="A24" t="s">
        <v>122</v>
      </c>
      <c r="B24" t="s">
        <v>123</v>
      </c>
      <c r="C24" t="s">
        <v>124</v>
      </c>
      <c r="D24" s="4" t="s">
        <v>54</v>
      </c>
      <c r="E24" s="10" t="s">
        <v>55</v>
      </c>
      <c r="F24" s="10" t="s">
        <v>55</v>
      </c>
      <c r="G24" s="10" t="s">
        <v>56</v>
      </c>
      <c r="H24" s="10" t="s">
        <v>54</v>
      </c>
      <c r="I24" s="10" t="s">
        <v>54</v>
      </c>
      <c r="J24" s="5" t="s">
        <v>126</v>
      </c>
      <c r="K24" s="4" t="s">
        <v>125</v>
      </c>
      <c r="L24" s="11" t="s">
        <v>127</v>
      </c>
      <c r="M24" s="5" t="s">
        <v>128</v>
      </c>
    </row>
    <row r="25" spans="1:14" x14ac:dyDescent="0.35">
      <c r="A25" t="s">
        <v>122</v>
      </c>
      <c r="B25" t="s">
        <v>123</v>
      </c>
      <c r="C25" t="s">
        <v>124</v>
      </c>
      <c r="D25" s="4" t="s">
        <v>54</v>
      </c>
      <c r="E25" s="10" t="s">
        <v>55</v>
      </c>
      <c r="F25" s="10" t="s">
        <v>55</v>
      </c>
      <c r="G25" s="10" t="s">
        <v>56</v>
      </c>
      <c r="H25" s="10" t="s">
        <v>54</v>
      </c>
      <c r="I25" s="10" t="s">
        <v>54</v>
      </c>
      <c r="J25" s="5" t="s">
        <v>129</v>
      </c>
      <c r="K25" s="4" t="s">
        <v>125</v>
      </c>
      <c r="L25" s="11" t="s">
        <v>130</v>
      </c>
      <c r="M25" s="5" t="s">
        <v>131</v>
      </c>
      <c r="N25" s="19" t="s">
        <v>132</v>
      </c>
    </row>
    <row r="26" spans="1:14" x14ac:dyDescent="0.35">
      <c r="A26" t="s">
        <v>122</v>
      </c>
      <c r="B26" t="s">
        <v>123</v>
      </c>
      <c r="C26" t="s">
        <v>124</v>
      </c>
      <c r="D26" s="4" t="s">
        <v>54</v>
      </c>
      <c r="E26" s="10" t="s">
        <v>55</v>
      </c>
      <c r="F26" s="10" t="s">
        <v>55</v>
      </c>
      <c r="G26" s="10" t="s">
        <v>56</v>
      </c>
      <c r="H26" s="10" t="s">
        <v>54</v>
      </c>
      <c r="I26" s="10" t="s">
        <v>54</v>
      </c>
      <c r="J26" s="5" t="s">
        <v>133</v>
      </c>
      <c r="K26" s="4" t="s">
        <v>57</v>
      </c>
      <c r="L26" s="11" t="s">
        <v>134</v>
      </c>
      <c r="M26" s="5" t="s">
        <v>135</v>
      </c>
      <c r="N26" s="5" t="s">
        <v>136</v>
      </c>
    </row>
    <row r="27" spans="1:14" x14ac:dyDescent="0.35">
      <c r="A27" t="s">
        <v>122</v>
      </c>
      <c r="B27" t="s">
        <v>123</v>
      </c>
      <c r="C27" t="s">
        <v>124</v>
      </c>
      <c r="D27" s="4" t="s">
        <v>54</v>
      </c>
      <c r="E27" s="10" t="s">
        <v>55</v>
      </c>
      <c r="F27" s="10" t="s">
        <v>55</v>
      </c>
      <c r="G27" s="10" t="s">
        <v>56</v>
      </c>
      <c r="H27" s="10" t="s">
        <v>54</v>
      </c>
      <c r="I27" s="10" t="s">
        <v>54</v>
      </c>
      <c r="J27" s="5" t="s">
        <v>137</v>
      </c>
      <c r="K27" s="4" t="s">
        <v>138</v>
      </c>
      <c r="L27" s="11" t="s">
        <v>139</v>
      </c>
      <c r="M27" s="5" t="s">
        <v>140</v>
      </c>
      <c r="N27" s="5" t="s">
        <v>141</v>
      </c>
    </row>
    <row r="28" spans="1:14" x14ac:dyDescent="0.35">
      <c r="A28" t="s">
        <v>122</v>
      </c>
      <c r="B28" t="s">
        <v>123</v>
      </c>
      <c r="C28" t="s">
        <v>124</v>
      </c>
      <c r="D28" s="4" t="s">
        <v>54</v>
      </c>
      <c r="E28" s="10" t="s">
        <v>55</v>
      </c>
      <c r="F28" s="10" t="s">
        <v>55</v>
      </c>
      <c r="G28" s="10" t="s">
        <v>56</v>
      </c>
      <c r="H28" s="10" t="s">
        <v>54</v>
      </c>
      <c r="I28" s="10" t="s">
        <v>54</v>
      </c>
      <c r="J28" s="5" t="s">
        <v>142</v>
      </c>
      <c r="K28" s="4" t="s">
        <v>57</v>
      </c>
      <c r="L28" s="11" t="s">
        <v>143</v>
      </c>
      <c r="M28" s="5" t="s">
        <v>144</v>
      </c>
      <c r="N28" s="5" t="s">
        <v>145</v>
      </c>
    </row>
    <row r="29" spans="1:14" x14ac:dyDescent="0.35">
      <c r="A29" t="s">
        <v>122</v>
      </c>
      <c r="B29" t="s">
        <v>123</v>
      </c>
      <c r="C29" t="s">
        <v>124</v>
      </c>
      <c r="D29" s="4" t="s">
        <v>54</v>
      </c>
      <c r="E29" s="10" t="s">
        <v>55</v>
      </c>
      <c r="F29" s="10" t="s">
        <v>55</v>
      </c>
      <c r="G29" s="10" t="s">
        <v>56</v>
      </c>
      <c r="H29" s="10" t="s">
        <v>54</v>
      </c>
      <c r="I29" s="10" t="s">
        <v>54</v>
      </c>
      <c r="J29" s="5" t="s">
        <v>146</v>
      </c>
      <c r="K29" s="4" t="s">
        <v>125</v>
      </c>
      <c r="L29" s="11" t="s">
        <v>147</v>
      </c>
      <c r="M29" s="5" t="s">
        <v>148</v>
      </c>
      <c r="N29" s="5" t="s">
        <v>71</v>
      </c>
    </row>
    <row r="30" spans="1:14" x14ac:dyDescent="0.35">
      <c r="A30" t="s">
        <v>122</v>
      </c>
      <c r="B30" t="s">
        <v>123</v>
      </c>
      <c r="C30" t="s">
        <v>124</v>
      </c>
      <c r="D30" s="4" t="s">
        <v>54</v>
      </c>
      <c r="E30" s="10" t="s">
        <v>55</v>
      </c>
      <c r="F30" s="10" t="s">
        <v>55</v>
      </c>
      <c r="G30" s="10" t="s">
        <v>56</v>
      </c>
      <c r="H30" s="10" t="s">
        <v>54</v>
      </c>
      <c r="I30" s="10" t="s">
        <v>54</v>
      </c>
      <c r="J30" s="5" t="s">
        <v>149</v>
      </c>
      <c r="K30" s="4" t="s">
        <v>68</v>
      </c>
      <c r="L30" s="11" t="s">
        <v>150</v>
      </c>
      <c r="M30" s="5" t="s">
        <v>151</v>
      </c>
      <c r="N30" s="5" t="s">
        <v>152</v>
      </c>
    </row>
    <row r="31" spans="1:14" x14ac:dyDescent="0.35">
      <c r="A31" t="s">
        <v>122</v>
      </c>
      <c r="B31" t="s">
        <v>123</v>
      </c>
      <c r="C31" t="s">
        <v>124</v>
      </c>
      <c r="D31" s="4" t="s">
        <v>54</v>
      </c>
      <c r="E31" s="10" t="s">
        <v>55</v>
      </c>
      <c r="F31" s="10" t="s">
        <v>55</v>
      </c>
      <c r="G31" s="10" t="s">
        <v>56</v>
      </c>
      <c r="H31" s="10" t="s">
        <v>54</v>
      </c>
      <c r="I31" s="10" t="s">
        <v>54</v>
      </c>
      <c r="J31" s="5" t="s">
        <v>153</v>
      </c>
      <c r="K31" s="4" t="s">
        <v>57</v>
      </c>
      <c r="L31" s="11" t="s">
        <v>154</v>
      </c>
      <c r="M31" s="12" t="s">
        <v>155</v>
      </c>
      <c r="N31" s="5" t="s">
        <v>156</v>
      </c>
    </row>
    <row r="32" spans="1:14" x14ac:dyDescent="0.35">
      <c r="A32" t="s">
        <v>122</v>
      </c>
      <c r="B32" t="s">
        <v>123</v>
      </c>
      <c r="C32" t="s">
        <v>157</v>
      </c>
      <c r="D32" s="4" t="s">
        <v>54</v>
      </c>
      <c r="E32" s="10" t="s">
        <v>55</v>
      </c>
      <c r="F32" s="10" t="s">
        <v>55</v>
      </c>
      <c r="G32" s="10" t="s">
        <v>89</v>
      </c>
      <c r="H32" s="10" t="s">
        <v>54</v>
      </c>
      <c r="I32" s="10" t="s">
        <v>54</v>
      </c>
      <c r="J32" s="5" t="s">
        <v>158</v>
      </c>
      <c r="K32" s="4" t="s">
        <v>159</v>
      </c>
      <c r="L32" s="11" t="s">
        <v>160</v>
      </c>
      <c r="M32" s="5" t="s">
        <v>161</v>
      </c>
    </row>
    <row r="33" spans="1:14" x14ac:dyDescent="0.35">
      <c r="A33" t="s">
        <v>122</v>
      </c>
      <c r="B33" t="s">
        <v>123</v>
      </c>
      <c r="C33" t="s">
        <v>157</v>
      </c>
      <c r="D33" s="4" t="s">
        <v>54</v>
      </c>
      <c r="E33" s="10" t="s">
        <v>55</v>
      </c>
      <c r="F33" s="10" t="s">
        <v>55</v>
      </c>
      <c r="G33" s="10" t="s">
        <v>89</v>
      </c>
      <c r="H33" s="10" t="s">
        <v>54</v>
      </c>
      <c r="I33" s="10" t="s">
        <v>54</v>
      </c>
      <c r="J33" s="5" t="s">
        <v>162</v>
      </c>
      <c r="K33" s="4" t="s">
        <v>163</v>
      </c>
      <c r="L33" s="11" t="s">
        <v>164</v>
      </c>
      <c r="M33" s="5" t="s">
        <v>165</v>
      </c>
    </row>
    <row r="34" spans="1:14" x14ac:dyDescent="0.35">
      <c r="A34" t="s">
        <v>166</v>
      </c>
      <c r="B34" t="s">
        <v>167</v>
      </c>
      <c r="C34" t="s">
        <v>168</v>
      </c>
      <c r="D34" s="4" t="s">
        <v>54</v>
      </c>
      <c r="E34" s="10" t="s">
        <v>55</v>
      </c>
      <c r="F34" s="10" t="s">
        <v>55</v>
      </c>
      <c r="G34" s="10" t="s">
        <v>56</v>
      </c>
      <c r="H34" s="10" t="s">
        <v>54</v>
      </c>
      <c r="I34" s="10" t="s">
        <v>55</v>
      </c>
      <c r="J34" s="5" t="s">
        <v>169</v>
      </c>
      <c r="K34" s="4" t="s">
        <v>138</v>
      </c>
      <c r="L34" s="11" t="s">
        <v>170</v>
      </c>
      <c r="M34" s="5" t="s">
        <v>171</v>
      </c>
      <c r="N34" s="5" t="s">
        <v>141</v>
      </c>
    </row>
    <row r="35" spans="1:14" x14ac:dyDescent="0.35">
      <c r="A35" t="s">
        <v>166</v>
      </c>
      <c r="B35" t="s">
        <v>167</v>
      </c>
      <c r="C35" t="s">
        <v>168</v>
      </c>
      <c r="D35" s="4" t="s">
        <v>54</v>
      </c>
      <c r="E35" s="10" t="s">
        <v>55</v>
      </c>
      <c r="F35" s="10" t="s">
        <v>55</v>
      </c>
      <c r="G35" s="10" t="s">
        <v>56</v>
      </c>
      <c r="H35" s="10" t="s">
        <v>54</v>
      </c>
      <c r="I35" s="10" t="s">
        <v>55</v>
      </c>
      <c r="J35" s="5" t="s">
        <v>172</v>
      </c>
      <c r="K35" s="4" t="s">
        <v>64</v>
      </c>
      <c r="L35" s="11" t="s">
        <v>173</v>
      </c>
      <c r="M35" s="5" t="s">
        <v>174</v>
      </c>
    </row>
    <row r="36" spans="1:14" x14ac:dyDescent="0.35">
      <c r="A36" t="s">
        <v>166</v>
      </c>
      <c r="B36" t="s">
        <v>167</v>
      </c>
      <c r="C36" t="s">
        <v>168</v>
      </c>
      <c r="D36" s="4" t="s">
        <v>54</v>
      </c>
      <c r="E36" s="10" t="s">
        <v>55</v>
      </c>
      <c r="F36" s="10" t="s">
        <v>55</v>
      </c>
      <c r="G36" s="10" t="s">
        <v>56</v>
      </c>
      <c r="H36" s="10" t="s">
        <v>54</v>
      </c>
      <c r="I36" s="10" t="s">
        <v>55</v>
      </c>
      <c r="J36" s="5" t="s">
        <v>175</v>
      </c>
      <c r="K36" s="4" t="s">
        <v>57</v>
      </c>
      <c r="L36" s="11" t="s">
        <v>176</v>
      </c>
      <c r="M36" s="5" t="s">
        <v>177</v>
      </c>
    </row>
    <row r="37" spans="1:14" x14ac:dyDescent="0.35">
      <c r="A37" t="s">
        <v>166</v>
      </c>
      <c r="B37" t="s">
        <v>167</v>
      </c>
      <c r="C37" t="s">
        <v>168</v>
      </c>
      <c r="D37" s="4" t="s">
        <v>54</v>
      </c>
      <c r="E37" s="10" t="s">
        <v>55</v>
      </c>
      <c r="F37" s="10" t="s">
        <v>55</v>
      </c>
      <c r="G37" s="10" t="s">
        <v>56</v>
      </c>
      <c r="H37" s="10" t="s">
        <v>54</v>
      </c>
      <c r="I37" s="10" t="s">
        <v>55</v>
      </c>
      <c r="J37" s="5" t="s">
        <v>178</v>
      </c>
      <c r="K37" s="4" t="s">
        <v>81</v>
      </c>
      <c r="L37" s="11" t="s">
        <v>179</v>
      </c>
      <c r="M37" s="5" t="s">
        <v>180</v>
      </c>
      <c r="N37" s="5" t="s">
        <v>181</v>
      </c>
    </row>
    <row r="38" spans="1:14" x14ac:dyDescent="0.35">
      <c r="A38" t="s">
        <v>166</v>
      </c>
      <c r="B38" t="s">
        <v>167</v>
      </c>
      <c r="C38" t="s">
        <v>168</v>
      </c>
      <c r="D38" s="4" t="s">
        <v>54</v>
      </c>
      <c r="E38" s="10" t="s">
        <v>55</v>
      </c>
      <c r="F38" s="10" t="s">
        <v>55</v>
      </c>
      <c r="G38" s="10" t="s">
        <v>56</v>
      </c>
      <c r="H38" s="10" t="s">
        <v>54</v>
      </c>
      <c r="I38" s="10" t="s">
        <v>55</v>
      </c>
      <c r="J38" s="5" t="s">
        <v>182</v>
      </c>
      <c r="K38" s="4" t="s">
        <v>125</v>
      </c>
      <c r="L38" s="11" t="s">
        <v>19</v>
      </c>
      <c r="M38" s="5" t="s">
        <v>183</v>
      </c>
    </row>
    <row r="39" spans="1:14" x14ac:dyDescent="0.35">
      <c r="A39" t="s">
        <v>166</v>
      </c>
      <c r="B39" t="s">
        <v>167</v>
      </c>
      <c r="C39" t="s">
        <v>168</v>
      </c>
      <c r="D39" s="4" t="s">
        <v>54</v>
      </c>
      <c r="E39" s="10" t="s">
        <v>55</v>
      </c>
      <c r="F39" s="10" t="s">
        <v>55</v>
      </c>
      <c r="G39" s="10" t="s">
        <v>56</v>
      </c>
      <c r="H39" s="10" t="s">
        <v>54</v>
      </c>
      <c r="I39" s="10" t="s">
        <v>55</v>
      </c>
      <c r="J39" s="5" t="s">
        <v>184</v>
      </c>
      <c r="K39" s="4" t="s">
        <v>159</v>
      </c>
      <c r="L39" s="11" t="s">
        <v>185</v>
      </c>
      <c r="M39" s="5" t="s">
        <v>186</v>
      </c>
      <c r="N39" s="5" t="s">
        <v>181</v>
      </c>
    </row>
    <row r="40" spans="1:14" x14ac:dyDescent="0.35">
      <c r="A40" t="s">
        <v>166</v>
      </c>
      <c r="B40" t="s">
        <v>187</v>
      </c>
      <c r="C40" t="s">
        <v>188</v>
      </c>
      <c r="D40" s="4" t="s">
        <v>54</v>
      </c>
      <c r="E40" s="10" t="s">
        <v>55</v>
      </c>
      <c r="F40" s="10" t="s">
        <v>55</v>
      </c>
      <c r="G40" s="10" t="s">
        <v>89</v>
      </c>
      <c r="H40" s="10" t="s">
        <v>55</v>
      </c>
      <c r="I40" s="10" t="s">
        <v>55</v>
      </c>
      <c r="J40" s="5" t="s">
        <v>189</v>
      </c>
      <c r="K40" s="4" t="s">
        <v>64</v>
      </c>
      <c r="L40" s="11" t="s">
        <v>190</v>
      </c>
      <c r="M40" s="5" t="s">
        <v>191</v>
      </c>
    </row>
    <row r="41" spans="1:14" x14ac:dyDescent="0.35">
      <c r="A41" t="s">
        <v>166</v>
      </c>
      <c r="B41" t="s">
        <v>187</v>
      </c>
      <c r="C41" t="s">
        <v>188</v>
      </c>
      <c r="D41" s="4" t="s">
        <v>54</v>
      </c>
      <c r="E41" s="10" t="s">
        <v>55</v>
      </c>
      <c r="F41" s="10" t="s">
        <v>55</v>
      </c>
      <c r="G41" s="10" t="s">
        <v>89</v>
      </c>
      <c r="H41" s="10" t="s">
        <v>55</v>
      </c>
      <c r="I41" s="10" t="s">
        <v>55</v>
      </c>
      <c r="J41" s="5" t="s">
        <v>192</v>
      </c>
      <c r="K41" s="4" t="s">
        <v>57</v>
      </c>
      <c r="L41" s="11" t="s">
        <v>193</v>
      </c>
      <c r="M41" s="5" t="s">
        <v>194</v>
      </c>
    </row>
    <row r="42" spans="1:14" x14ac:dyDescent="0.35">
      <c r="A42" t="s">
        <v>166</v>
      </c>
      <c r="B42" t="s">
        <v>187</v>
      </c>
      <c r="C42" t="s">
        <v>188</v>
      </c>
      <c r="D42" s="4" t="s">
        <v>54</v>
      </c>
      <c r="E42" s="10" t="s">
        <v>55</v>
      </c>
      <c r="F42" s="10" t="s">
        <v>55</v>
      </c>
      <c r="G42" s="10" t="s">
        <v>89</v>
      </c>
      <c r="H42" s="10" t="s">
        <v>55</v>
      </c>
      <c r="I42" s="10" t="s">
        <v>55</v>
      </c>
      <c r="J42" s="5" t="s">
        <v>195</v>
      </c>
      <c r="K42" s="4" t="s">
        <v>125</v>
      </c>
      <c r="L42" s="11" t="s">
        <v>196</v>
      </c>
      <c r="M42" s="5" t="s">
        <v>197</v>
      </c>
    </row>
    <row r="43" spans="1:14" x14ac:dyDescent="0.35">
      <c r="A43" t="s">
        <v>7</v>
      </c>
      <c r="B43" t="s">
        <v>198</v>
      </c>
      <c r="C43" t="s">
        <v>199</v>
      </c>
      <c r="D43" s="4" t="s">
        <v>54</v>
      </c>
      <c r="E43" s="10" t="s">
        <v>55</v>
      </c>
      <c r="F43" s="10" t="s">
        <v>55</v>
      </c>
      <c r="G43" s="10" t="s">
        <v>56</v>
      </c>
      <c r="H43" s="10" t="s">
        <v>55</v>
      </c>
      <c r="I43" s="10" t="s">
        <v>55</v>
      </c>
      <c r="J43" s="5" t="s">
        <v>200</v>
      </c>
      <c r="K43" s="4" t="s">
        <v>125</v>
      </c>
      <c r="L43" s="11" t="s">
        <v>201</v>
      </c>
      <c r="M43" s="5" t="s">
        <v>202</v>
      </c>
      <c r="N43" s="5" t="s">
        <v>181</v>
      </c>
    </row>
    <row r="44" spans="1:14" x14ac:dyDescent="0.35">
      <c r="A44" t="s">
        <v>7</v>
      </c>
      <c r="B44" t="s">
        <v>198</v>
      </c>
      <c r="C44" t="s">
        <v>199</v>
      </c>
      <c r="D44" s="4" t="s">
        <v>54</v>
      </c>
      <c r="E44" s="10" t="s">
        <v>55</v>
      </c>
      <c r="F44" s="10" t="s">
        <v>55</v>
      </c>
      <c r="G44" s="10" t="s">
        <v>56</v>
      </c>
      <c r="H44" s="10" t="s">
        <v>55</v>
      </c>
      <c r="I44" s="10" t="s">
        <v>55</v>
      </c>
      <c r="J44" s="13" t="s">
        <v>35</v>
      </c>
      <c r="K44" s="4" t="s">
        <v>75</v>
      </c>
      <c r="L44" s="14" t="s">
        <v>36</v>
      </c>
      <c r="M44" s="5" t="s">
        <v>203</v>
      </c>
    </row>
    <row r="45" spans="1:14" x14ac:dyDescent="0.35">
      <c r="A45" t="s">
        <v>7</v>
      </c>
      <c r="B45" t="s">
        <v>198</v>
      </c>
      <c r="C45" t="s">
        <v>199</v>
      </c>
      <c r="D45" s="4" t="s">
        <v>54</v>
      </c>
      <c r="E45" s="10" t="s">
        <v>55</v>
      </c>
      <c r="F45" s="10" t="s">
        <v>55</v>
      </c>
      <c r="G45" s="10" t="s">
        <v>56</v>
      </c>
      <c r="H45" s="10" t="s">
        <v>55</v>
      </c>
      <c r="I45" s="10" t="s">
        <v>55</v>
      </c>
      <c r="J45" s="5" t="s">
        <v>204</v>
      </c>
      <c r="K45" s="4" t="s">
        <v>75</v>
      </c>
      <c r="L45" s="11" t="s">
        <v>205</v>
      </c>
      <c r="M45" s="5" t="s">
        <v>206</v>
      </c>
    </row>
    <row r="46" spans="1:14" x14ac:dyDescent="0.35">
      <c r="A46" t="s">
        <v>7</v>
      </c>
      <c r="B46" t="s">
        <v>198</v>
      </c>
      <c r="C46" t="s">
        <v>207</v>
      </c>
      <c r="D46" s="4" t="s">
        <v>54</v>
      </c>
      <c r="E46" s="10" t="s">
        <v>55</v>
      </c>
      <c r="F46" s="10" t="s">
        <v>55</v>
      </c>
      <c r="G46" s="10" t="s">
        <v>73</v>
      </c>
      <c r="H46" s="10" t="s">
        <v>55</v>
      </c>
      <c r="I46" s="10" t="s">
        <v>55</v>
      </c>
      <c r="J46" s="17" t="s">
        <v>8</v>
      </c>
      <c r="K46" s="4" t="s">
        <v>81</v>
      </c>
      <c r="L46" s="18" t="s">
        <v>9</v>
      </c>
      <c r="M46" s="17" t="s">
        <v>208</v>
      </c>
    </row>
    <row r="47" spans="1:14" x14ac:dyDescent="0.35">
      <c r="A47" t="s">
        <v>7</v>
      </c>
      <c r="B47" t="s">
        <v>198</v>
      </c>
      <c r="C47" t="s">
        <v>207</v>
      </c>
      <c r="D47" s="4" t="s">
        <v>54</v>
      </c>
      <c r="E47" s="10" t="s">
        <v>55</v>
      </c>
      <c r="F47" s="10" t="s">
        <v>55</v>
      </c>
      <c r="G47" s="10" t="s">
        <v>73</v>
      </c>
      <c r="H47" s="10" t="s">
        <v>55</v>
      </c>
      <c r="I47" s="10" t="s">
        <v>55</v>
      </c>
      <c r="J47" s="13" t="s">
        <v>10</v>
      </c>
      <c r="K47" s="4" t="s">
        <v>75</v>
      </c>
      <c r="L47" s="16" t="s">
        <v>11</v>
      </c>
      <c r="M47" s="13" t="s">
        <v>209</v>
      </c>
      <c r="N47" s="20" t="s">
        <v>13</v>
      </c>
    </row>
    <row r="48" spans="1:14" x14ac:dyDescent="0.35">
      <c r="A48" t="s">
        <v>7</v>
      </c>
      <c r="B48" t="s">
        <v>198</v>
      </c>
      <c r="C48" t="s">
        <v>207</v>
      </c>
      <c r="D48" s="4" t="s">
        <v>54</v>
      </c>
      <c r="E48" s="10" t="s">
        <v>55</v>
      </c>
      <c r="F48" s="10" t="s">
        <v>55</v>
      </c>
      <c r="G48" s="10" t="s">
        <v>73</v>
      </c>
      <c r="H48" s="10" t="s">
        <v>55</v>
      </c>
      <c r="I48" s="10" t="s">
        <v>55</v>
      </c>
      <c r="J48" s="5" t="s">
        <v>210</v>
      </c>
      <c r="K48" s="4" t="s">
        <v>57</v>
      </c>
      <c r="L48" s="5" t="s">
        <v>12</v>
      </c>
      <c r="M48" s="5" t="s">
        <v>211</v>
      </c>
    </row>
    <row r="49" spans="1:14" x14ac:dyDescent="0.35">
      <c r="A49" t="s">
        <v>7</v>
      </c>
      <c r="B49" t="s">
        <v>198</v>
      </c>
      <c r="C49" t="s">
        <v>207</v>
      </c>
      <c r="D49" s="4" t="s">
        <v>54</v>
      </c>
      <c r="E49" s="10" t="s">
        <v>55</v>
      </c>
      <c r="F49" s="10" t="s">
        <v>55</v>
      </c>
      <c r="G49" s="10" t="s">
        <v>73</v>
      </c>
      <c r="H49" s="10" t="s">
        <v>55</v>
      </c>
      <c r="I49" s="10" t="s">
        <v>55</v>
      </c>
      <c r="J49" s="5" t="s">
        <v>212</v>
      </c>
      <c r="K49" s="4" t="s">
        <v>57</v>
      </c>
      <c r="L49" s="11" t="s">
        <v>213</v>
      </c>
      <c r="M49" s="5" t="s">
        <v>214</v>
      </c>
    </row>
    <row r="50" spans="1:14" x14ac:dyDescent="0.35">
      <c r="A50" t="s">
        <v>7</v>
      </c>
      <c r="B50" t="s">
        <v>198</v>
      </c>
      <c r="C50" t="s">
        <v>215</v>
      </c>
      <c r="D50" s="4" t="s">
        <v>54</v>
      </c>
      <c r="E50" s="10" t="s">
        <v>55</v>
      </c>
      <c r="F50" s="10" t="s">
        <v>55</v>
      </c>
      <c r="G50" s="10" t="s">
        <v>73</v>
      </c>
      <c r="H50" s="10" t="s">
        <v>55</v>
      </c>
      <c r="I50" s="10" t="s">
        <v>55</v>
      </c>
      <c r="J50" s="5" t="s">
        <v>216</v>
      </c>
      <c r="K50" s="4" t="s">
        <v>75</v>
      </c>
      <c r="L50" s="5" t="s">
        <v>12</v>
      </c>
      <c r="M50" s="5" t="s">
        <v>217</v>
      </c>
    </row>
    <row r="51" spans="1:14" x14ac:dyDescent="0.35">
      <c r="A51" t="s">
        <v>7</v>
      </c>
      <c r="B51" t="s">
        <v>198</v>
      </c>
      <c r="C51" t="s">
        <v>215</v>
      </c>
      <c r="D51" s="4" t="s">
        <v>54</v>
      </c>
      <c r="E51" s="10" t="s">
        <v>55</v>
      </c>
      <c r="F51" s="10" t="s">
        <v>55</v>
      </c>
      <c r="G51" s="10" t="s">
        <v>73</v>
      </c>
      <c r="H51" s="10" t="s">
        <v>55</v>
      </c>
      <c r="I51" s="10" t="s">
        <v>55</v>
      </c>
      <c r="J51" s="5" t="s">
        <v>218</v>
      </c>
      <c r="K51" s="4" t="s">
        <v>75</v>
      </c>
      <c r="L51" s="5" t="s">
        <v>12</v>
      </c>
      <c r="M51" s="5" t="s">
        <v>219</v>
      </c>
    </row>
    <row r="52" spans="1:14" x14ac:dyDescent="0.35">
      <c r="A52" t="s">
        <v>220</v>
      </c>
      <c r="B52" t="s">
        <v>221</v>
      </c>
      <c r="C52" t="s">
        <v>222</v>
      </c>
      <c r="D52" s="4" t="s">
        <v>54</v>
      </c>
      <c r="E52" s="10" t="s">
        <v>55</v>
      </c>
      <c r="F52" s="10" t="s">
        <v>55</v>
      </c>
      <c r="G52" s="10" t="s">
        <v>56</v>
      </c>
      <c r="H52" s="10" t="s">
        <v>55</v>
      </c>
      <c r="I52" s="10" t="s">
        <v>55</v>
      </c>
      <c r="J52" s="5" t="s">
        <v>223</v>
      </c>
      <c r="K52" s="4" t="s">
        <v>57</v>
      </c>
      <c r="L52" s="5" t="s">
        <v>12</v>
      </c>
      <c r="M52" s="5" t="s">
        <v>224</v>
      </c>
    </row>
    <row r="53" spans="1:14" x14ac:dyDescent="0.35">
      <c r="A53" t="s">
        <v>225</v>
      </c>
      <c r="B53" t="s">
        <v>226</v>
      </c>
      <c r="C53" t="s">
        <v>227</v>
      </c>
      <c r="D53" s="4" t="s">
        <v>54</v>
      </c>
      <c r="E53" s="10" t="s">
        <v>55</v>
      </c>
      <c r="F53" s="10" t="s">
        <v>55</v>
      </c>
      <c r="G53" s="10" t="s">
        <v>56</v>
      </c>
      <c r="H53" s="10" t="s">
        <v>54</v>
      </c>
      <c r="I53" s="10" t="s">
        <v>55</v>
      </c>
      <c r="J53" s="5" t="s">
        <v>228</v>
      </c>
      <c r="K53" s="4" t="s">
        <v>57</v>
      </c>
      <c r="L53" s="5" t="s">
        <v>12</v>
      </c>
      <c r="M53" s="5" t="s">
        <v>229</v>
      </c>
    </row>
    <row r="54" spans="1:14" x14ac:dyDescent="0.35">
      <c r="A54" t="s">
        <v>225</v>
      </c>
      <c r="B54" t="s">
        <v>226</v>
      </c>
      <c r="C54" t="s">
        <v>227</v>
      </c>
      <c r="D54" s="4" t="s">
        <v>54</v>
      </c>
      <c r="E54" s="10" t="s">
        <v>55</v>
      </c>
      <c r="F54" s="10" t="s">
        <v>55</v>
      </c>
      <c r="G54" s="10" t="s">
        <v>56</v>
      </c>
      <c r="H54" s="10" t="s">
        <v>54</v>
      </c>
      <c r="I54" s="10" t="s">
        <v>55</v>
      </c>
      <c r="J54" s="5" t="s">
        <v>230</v>
      </c>
      <c r="K54" s="4" t="s">
        <v>64</v>
      </c>
      <c r="L54" s="5" t="s">
        <v>12</v>
      </c>
      <c r="M54" s="5" t="s">
        <v>231</v>
      </c>
    </row>
    <row r="55" spans="1:14" x14ac:dyDescent="0.35">
      <c r="A55" t="s">
        <v>232</v>
      </c>
      <c r="B55" t="s">
        <v>232</v>
      </c>
      <c r="C55" t="s">
        <v>233</v>
      </c>
      <c r="D55" s="4" t="s">
        <v>54</v>
      </c>
      <c r="E55" s="10" t="s">
        <v>55</v>
      </c>
      <c r="F55" s="10" t="s">
        <v>55</v>
      </c>
      <c r="G55" s="10" t="s">
        <v>56</v>
      </c>
      <c r="H55" s="10" t="s">
        <v>54</v>
      </c>
      <c r="I55" s="10" t="s">
        <v>54</v>
      </c>
      <c r="J55" s="5" t="s">
        <v>234</v>
      </c>
      <c r="K55" s="4" t="s">
        <v>57</v>
      </c>
      <c r="L55" s="5" t="s">
        <v>12</v>
      </c>
      <c r="M55" s="5" t="s">
        <v>235</v>
      </c>
    </row>
    <row r="56" spans="1:14" x14ac:dyDescent="0.35">
      <c r="A56" t="s">
        <v>232</v>
      </c>
      <c r="B56" t="s">
        <v>232</v>
      </c>
      <c r="C56" t="s">
        <v>233</v>
      </c>
      <c r="D56" s="4" t="s">
        <v>54</v>
      </c>
      <c r="E56" s="10" t="s">
        <v>55</v>
      </c>
      <c r="F56" s="10" t="s">
        <v>55</v>
      </c>
      <c r="G56" s="10" t="s">
        <v>56</v>
      </c>
      <c r="H56" s="10" t="s">
        <v>54</v>
      </c>
      <c r="I56" s="10" t="s">
        <v>54</v>
      </c>
      <c r="J56" s="5" t="s">
        <v>236</v>
      </c>
      <c r="K56" s="4" t="s">
        <v>64</v>
      </c>
      <c r="L56" s="5" t="s">
        <v>12</v>
      </c>
      <c r="M56" s="5" t="s">
        <v>237</v>
      </c>
    </row>
    <row r="57" spans="1:14" x14ac:dyDescent="0.35">
      <c r="A57" t="s">
        <v>232</v>
      </c>
      <c r="B57" t="s">
        <v>232</v>
      </c>
      <c r="C57" t="s">
        <v>233</v>
      </c>
      <c r="D57" s="4" t="s">
        <v>54</v>
      </c>
      <c r="E57" s="10" t="s">
        <v>55</v>
      </c>
      <c r="F57" s="10" t="s">
        <v>55</v>
      </c>
      <c r="G57" s="10" t="s">
        <v>56</v>
      </c>
      <c r="H57" s="10" t="s">
        <v>54</v>
      </c>
      <c r="I57" s="10" t="s">
        <v>54</v>
      </c>
      <c r="J57" s="5" t="s">
        <v>238</v>
      </c>
      <c r="K57" s="4" t="s">
        <v>239</v>
      </c>
      <c r="L57" s="5" t="s">
        <v>12</v>
      </c>
      <c r="M57" s="5" t="s">
        <v>240</v>
      </c>
      <c r="N57" s="5" t="s">
        <v>241</v>
      </c>
    </row>
    <row r="58" spans="1:14" x14ac:dyDescent="0.35">
      <c r="A58" t="s">
        <v>232</v>
      </c>
      <c r="B58" t="s">
        <v>232</v>
      </c>
      <c r="C58" t="s">
        <v>242</v>
      </c>
      <c r="D58" s="4" t="s">
        <v>54</v>
      </c>
      <c r="E58" s="10" t="s">
        <v>55</v>
      </c>
      <c r="F58" s="10" t="s">
        <v>55</v>
      </c>
      <c r="G58" s="10" t="s">
        <v>89</v>
      </c>
      <c r="H58" s="10" t="s">
        <v>55</v>
      </c>
      <c r="I58" s="10" t="s">
        <v>55</v>
      </c>
      <c r="J58" s="5" t="s">
        <v>243</v>
      </c>
      <c r="K58" s="4" t="s">
        <v>75</v>
      </c>
      <c r="L58" s="5" t="s">
        <v>12</v>
      </c>
      <c r="M58" s="5" t="s">
        <v>244</v>
      </c>
    </row>
    <row r="59" spans="1:14" x14ac:dyDescent="0.35">
      <c r="A59" t="s">
        <v>232</v>
      </c>
      <c r="B59" t="s">
        <v>232</v>
      </c>
      <c r="C59" t="s">
        <v>242</v>
      </c>
      <c r="D59" s="4" t="s">
        <v>54</v>
      </c>
      <c r="E59" s="10" t="s">
        <v>55</v>
      </c>
      <c r="F59" s="10" t="s">
        <v>55</v>
      </c>
      <c r="G59" s="10" t="s">
        <v>89</v>
      </c>
      <c r="H59" s="10" t="s">
        <v>55</v>
      </c>
      <c r="I59" s="10" t="s">
        <v>55</v>
      </c>
      <c r="J59" s="5" t="s">
        <v>245</v>
      </c>
      <c r="K59" s="4" t="s">
        <v>75</v>
      </c>
      <c r="L59" s="5" t="s">
        <v>12</v>
      </c>
      <c r="M59" s="5" t="s">
        <v>246</v>
      </c>
    </row>
    <row r="60" spans="1:14" x14ac:dyDescent="0.35">
      <c r="A60" t="s">
        <v>232</v>
      </c>
      <c r="B60" t="s">
        <v>232</v>
      </c>
      <c r="C60" t="s">
        <v>247</v>
      </c>
      <c r="D60" s="4" t="s">
        <v>54</v>
      </c>
      <c r="E60" s="10" t="s">
        <v>55</v>
      </c>
      <c r="F60" s="10" t="s">
        <v>55</v>
      </c>
      <c r="G60" s="10" t="s">
        <v>56</v>
      </c>
      <c r="H60" s="10" t="s">
        <v>55</v>
      </c>
      <c r="I60" s="10" t="s">
        <v>55</v>
      </c>
      <c r="J60" s="5" t="s">
        <v>248</v>
      </c>
      <c r="K60" s="4" t="s">
        <v>12</v>
      </c>
      <c r="L60" s="5" t="s">
        <v>12</v>
      </c>
      <c r="M60" s="5" t="s">
        <v>249</v>
      </c>
    </row>
    <row r="61" spans="1:14" x14ac:dyDescent="0.35">
      <c r="A61" t="s">
        <v>232</v>
      </c>
      <c r="B61" t="s">
        <v>232</v>
      </c>
      <c r="C61" t="s">
        <v>247</v>
      </c>
      <c r="D61" s="4" t="s">
        <v>54</v>
      </c>
      <c r="E61" s="10" t="s">
        <v>55</v>
      </c>
      <c r="F61" s="10" t="s">
        <v>55</v>
      </c>
      <c r="G61" s="10" t="s">
        <v>56</v>
      </c>
      <c r="H61" s="10" t="s">
        <v>55</v>
      </c>
      <c r="I61" s="10" t="s">
        <v>55</v>
      </c>
      <c r="J61" s="5" t="s">
        <v>250</v>
      </c>
      <c r="K61" s="4" t="s">
        <v>12</v>
      </c>
      <c r="L61" s="5" t="s">
        <v>12</v>
      </c>
      <c r="M61" s="5" t="s">
        <v>251</v>
      </c>
    </row>
    <row r="62" spans="1:14" x14ac:dyDescent="0.35">
      <c r="A62" t="s">
        <v>252</v>
      </c>
      <c r="B62" t="s">
        <v>253</v>
      </c>
      <c r="C62" t="s">
        <v>254</v>
      </c>
      <c r="D62" s="4" t="s">
        <v>54</v>
      </c>
      <c r="E62" s="10" t="s">
        <v>55</v>
      </c>
      <c r="F62" s="10" t="s">
        <v>55</v>
      </c>
      <c r="G62" s="10" t="s">
        <v>89</v>
      </c>
      <c r="H62" s="10" t="s">
        <v>55</v>
      </c>
      <c r="I62" s="10" t="s">
        <v>55</v>
      </c>
      <c r="J62" s="5" t="s">
        <v>255</v>
      </c>
      <c r="K62" s="4" t="s">
        <v>12</v>
      </c>
      <c r="L62" s="5" t="s">
        <v>12</v>
      </c>
      <c r="M62" s="5" t="s">
        <v>256</v>
      </c>
    </row>
    <row r="63" spans="1:14" x14ac:dyDescent="0.35">
      <c r="A63" t="s">
        <v>252</v>
      </c>
      <c r="B63" t="s">
        <v>253</v>
      </c>
      <c r="C63" t="s">
        <v>254</v>
      </c>
      <c r="D63" s="4" t="s">
        <v>54</v>
      </c>
      <c r="E63" s="10" t="s">
        <v>55</v>
      </c>
      <c r="F63" s="10" t="s">
        <v>55</v>
      </c>
      <c r="G63" s="10" t="s">
        <v>89</v>
      </c>
      <c r="H63" s="10" t="s">
        <v>55</v>
      </c>
      <c r="I63" s="10" t="s">
        <v>55</v>
      </c>
      <c r="J63" s="5" t="s">
        <v>257</v>
      </c>
      <c r="K63" s="4" t="s">
        <v>12</v>
      </c>
      <c r="L63" s="5" t="s">
        <v>12</v>
      </c>
      <c r="M63" s="5" t="s">
        <v>258</v>
      </c>
    </row>
    <row r="64" spans="1:14" x14ac:dyDescent="0.35">
      <c r="A64" t="s">
        <v>252</v>
      </c>
      <c r="B64" t="s">
        <v>253</v>
      </c>
      <c r="C64" t="s">
        <v>247</v>
      </c>
      <c r="D64" s="4" t="s">
        <v>54</v>
      </c>
      <c r="E64" s="10" t="s">
        <v>55</v>
      </c>
      <c r="F64" s="10" t="s">
        <v>55</v>
      </c>
      <c r="G64" s="10" t="s">
        <v>89</v>
      </c>
      <c r="H64" s="10" t="s">
        <v>55</v>
      </c>
      <c r="I64" s="10" t="s">
        <v>55</v>
      </c>
      <c r="J64" s="5" t="s">
        <v>259</v>
      </c>
      <c r="K64" s="4" t="s">
        <v>12</v>
      </c>
      <c r="L64" s="5" t="s">
        <v>12</v>
      </c>
      <c r="M64" s="5" t="s">
        <v>260</v>
      </c>
    </row>
    <row r="65" spans="1:14" x14ac:dyDescent="0.35">
      <c r="A65" t="s">
        <v>261</v>
      </c>
      <c r="B65" t="s">
        <v>262</v>
      </c>
      <c r="C65" t="s">
        <v>263</v>
      </c>
      <c r="D65" s="4" t="s">
        <v>54</v>
      </c>
      <c r="E65" s="10" t="s">
        <v>55</v>
      </c>
      <c r="F65" s="10" t="s">
        <v>55</v>
      </c>
      <c r="G65" s="10" t="s">
        <v>56</v>
      </c>
      <c r="H65" s="10" t="s">
        <v>55</v>
      </c>
      <c r="I65" s="10" t="s">
        <v>55</v>
      </c>
      <c r="J65" s="5" t="s">
        <v>264</v>
      </c>
      <c r="K65" s="4" t="s">
        <v>12</v>
      </c>
      <c r="L65" s="5" t="s">
        <v>12</v>
      </c>
      <c r="M65" s="5" t="s">
        <v>265</v>
      </c>
      <c r="N65" s="5" t="s">
        <v>266</v>
      </c>
    </row>
    <row r="66" spans="1:14" x14ac:dyDescent="0.35">
      <c r="A66" t="s">
        <v>261</v>
      </c>
      <c r="B66" t="s">
        <v>262</v>
      </c>
      <c r="C66" t="s">
        <v>263</v>
      </c>
      <c r="D66" s="4" t="s">
        <v>54</v>
      </c>
      <c r="E66" s="10" t="s">
        <v>55</v>
      </c>
      <c r="F66" s="10" t="s">
        <v>55</v>
      </c>
      <c r="G66" s="10" t="s">
        <v>56</v>
      </c>
      <c r="H66" s="10" t="s">
        <v>55</v>
      </c>
      <c r="I66" s="10" t="s">
        <v>55</v>
      </c>
      <c r="J66" s="5" t="s">
        <v>267</v>
      </c>
      <c r="K66" s="4" t="s">
        <v>12</v>
      </c>
      <c r="L66" s="5" t="s">
        <v>12</v>
      </c>
      <c r="M66" s="5" t="s">
        <v>268</v>
      </c>
    </row>
    <row r="67" spans="1:14" x14ac:dyDescent="0.35">
      <c r="A67" t="s">
        <v>261</v>
      </c>
      <c r="B67" t="s">
        <v>262</v>
      </c>
      <c r="C67" t="s">
        <v>263</v>
      </c>
      <c r="D67" s="4" t="s">
        <v>54</v>
      </c>
      <c r="E67" s="10" t="s">
        <v>55</v>
      </c>
      <c r="F67" s="10" t="s">
        <v>55</v>
      </c>
      <c r="G67" s="10" t="s">
        <v>56</v>
      </c>
      <c r="H67" s="10" t="s">
        <v>55</v>
      </c>
      <c r="I67" s="10" t="s">
        <v>55</v>
      </c>
      <c r="J67" s="5" t="s">
        <v>269</v>
      </c>
      <c r="K67" s="4" t="s">
        <v>12</v>
      </c>
      <c r="L67" s="5" t="s">
        <v>12</v>
      </c>
      <c r="M67" s="5" t="s">
        <v>270</v>
      </c>
    </row>
  </sheetData>
  <conditionalFormatting sqref="A14:B14">
    <cfRule type="expression" dxfId="781" priority="1" stopIfTrue="1">
      <formula>A14=0</formula>
    </cfRule>
  </conditionalFormatting>
  <hyperlinks>
    <hyperlink ref="L4" r:id="rId1" xr:uid="{7130C5FE-0174-44A4-8253-7B346F1E1AED}"/>
    <hyperlink ref="L5" r:id="rId2" xr:uid="{BA52FB01-26EA-4476-AAF4-06C08FE9A33B}"/>
    <hyperlink ref="L6" r:id="rId3" xr:uid="{79325661-4002-40BE-938E-659B3C1885E8}"/>
    <hyperlink ref="L7" r:id="rId4" xr:uid="{448DAFD6-296B-458E-86E7-15B0AF488C04}"/>
    <hyperlink ref="L8" r:id="rId5" xr:uid="{7A029C23-906B-452F-8FA5-613B715F9522}"/>
    <hyperlink ref="L9" r:id="rId6" xr:uid="{AFDD05B6-BA05-4706-A634-FC61EB387AC3}"/>
    <hyperlink ref="L11" r:id="rId7" xr:uid="{CA1A976D-5F00-4E04-8D4A-2C40673446AF}"/>
    <hyperlink ref="L12" r:id="rId8" xr:uid="{8BAB37F8-2D52-4DC8-A36F-34D04651731E}"/>
    <hyperlink ref="L13" r:id="rId9" xr:uid="{89BD1240-6D09-43F9-AB90-15A72D308FE3}"/>
    <hyperlink ref="L14" r:id="rId10" xr:uid="{595C7B05-28AC-4AFB-8F0D-D2316DDB1AE7}"/>
    <hyperlink ref="L16" r:id="rId11" display="mailto:ale@erwinabraham.com" xr:uid="{EB9E2376-1C82-4008-AFBB-8A427E4FCC6C}"/>
    <hyperlink ref="L15" r:id="rId12" xr:uid="{B9C01487-E850-4EA3-A5A5-7B2493DF7C7D}"/>
    <hyperlink ref="L18" r:id="rId13" display="mailto:Yessicanuf@gmail.com" xr:uid="{D06E49C8-FF14-44FB-AE0A-0A44EDB7522A}"/>
    <hyperlink ref="L17" r:id="rId14" xr:uid="{BD590F65-15A9-4F95-80F6-F1D6D1EBD8F8}"/>
    <hyperlink ref="L19" r:id="rId15" xr:uid="{8D53A6A3-487C-414B-A075-669817BD7E50}"/>
    <hyperlink ref="L20" r:id="rId16" xr:uid="{69B7E114-24E7-4AB7-8284-B91DC1B9BD8C}"/>
    <hyperlink ref="L21" r:id="rId17" xr:uid="{6913D9E5-5B63-448E-8350-55B28F99D320}"/>
    <hyperlink ref="L22" r:id="rId18" xr:uid="{0667EBA7-3BCE-4B8A-AF68-53939645D0A7}"/>
    <hyperlink ref="L23" r:id="rId19" xr:uid="{2B28F42F-A9AF-48EF-9620-A25A6CCAEE5B}"/>
    <hyperlink ref="L31" r:id="rId20" xr:uid="{4C606937-0A8D-4F8A-AF02-47BA5450BB9F}"/>
    <hyperlink ref="L30" r:id="rId21" xr:uid="{6A90ABB8-07A9-4D8F-B8AB-B34C9832817D}"/>
    <hyperlink ref="L29" r:id="rId22" xr:uid="{6AA6BE68-8516-40E8-9789-15FB361A3EFA}"/>
    <hyperlink ref="L28" r:id="rId23" xr:uid="{E73CBA60-615F-444D-97EC-9C7FDE139C19}"/>
    <hyperlink ref="L27" r:id="rId24" xr:uid="{398092C9-866C-445F-8D60-4DCF31B44536}"/>
    <hyperlink ref="L26" r:id="rId25" xr:uid="{B9E28355-5D77-4591-8C71-100E06459737}"/>
    <hyperlink ref="L25" r:id="rId26" xr:uid="{0F7A25F0-32EB-4701-9B35-9F038BD2A3AA}"/>
    <hyperlink ref="L24" r:id="rId27" xr:uid="{9DBA070A-1500-4C8F-B8EC-AB14D23A1869}"/>
    <hyperlink ref="N25" r:id="rId28" xr:uid="{539342C7-E1CF-4DCE-8BBD-86971054FC24}"/>
    <hyperlink ref="L32" r:id="rId29" xr:uid="{DDE99B34-0D98-405C-B8CF-63749CCF6C66}"/>
    <hyperlink ref="L33" r:id="rId30" xr:uid="{90423007-A732-4FB9-BA8E-AFB49B63ADB2}"/>
    <hyperlink ref="L34" r:id="rId31" xr:uid="{7D932430-DBD4-4110-8881-8728F73DA791}"/>
    <hyperlink ref="L35" r:id="rId32" xr:uid="{3E4871CE-EDF5-4172-A7DD-B88A9B2BEC7D}"/>
    <hyperlink ref="L36" r:id="rId33" xr:uid="{B2FF0882-C992-414E-A188-4107CC621AC7}"/>
    <hyperlink ref="L38" r:id="rId34" xr:uid="{72B86495-E620-4600-AB18-F20A6C0C27BD}"/>
    <hyperlink ref="L37" r:id="rId35" xr:uid="{C3EA050C-2B7D-4EC7-B972-7979DFB9F061}"/>
    <hyperlink ref="L39" r:id="rId36" xr:uid="{E8FDCF27-CCE4-47EC-9FAB-CBE99BBA7324}"/>
    <hyperlink ref="L40" r:id="rId37" xr:uid="{21F5346D-28B3-4FFA-94B4-AC1CC15640E1}"/>
    <hyperlink ref="L41" r:id="rId38" xr:uid="{9E17F048-FF09-408D-8AA9-5516B8E9602C}"/>
    <hyperlink ref="L42" r:id="rId39" xr:uid="{8CAEF9E4-D379-4463-A9E1-E6D37D4D0254}"/>
    <hyperlink ref="L44" r:id="rId40" xr:uid="{6E07AC22-2F45-4FD0-A836-5F83B29584D8}"/>
    <hyperlink ref="L45" r:id="rId41" xr:uid="{58157F33-C756-4892-ADCA-2DCA6D0E2D1A}"/>
    <hyperlink ref="L43" r:id="rId42" xr:uid="{3C75DDD1-C292-45FE-9963-FD14734D2210}"/>
    <hyperlink ref="L47" r:id="rId43" display="mailto:david_moreno_2000@yahoo.com" xr:uid="{5266ABE6-BA55-45BC-ADA1-1172A403E598}"/>
    <hyperlink ref="L46" r:id="rId44" xr:uid="{3ACF55E3-492D-4A04-B33A-D735CEC22772}"/>
    <hyperlink ref="N47" r:id="rId45" display="mailto:compras@colchonesheaven.com" xr:uid="{E54667CC-1FDA-4642-A8F4-8034349E2741}"/>
    <hyperlink ref="L49" r:id="rId46" xr:uid="{339F5A3F-BB43-4A1E-86F2-13D32E2B9870}"/>
  </hyperlinks>
  <pageMargins left="0.511811024" right="0.511811024" top="0.78740157499999996" bottom="0.78740157499999996" header="0.31496062000000002" footer="0.31496062000000002"/>
  <tableParts count="1">
    <tablePart r:id="rId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55CF-EB84-4AB8-954C-01EF6C19404C}">
  <dimension ref="A1:AQ95"/>
  <sheetViews>
    <sheetView showGridLines="0" zoomScale="90" zoomScaleNormal="90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K40" sqref="K40"/>
    </sheetView>
  </sheetViews>
  <sheetFormatPr baseColWidth="10" defaultColWidth="9.1796875" defaultRowHeight="14.5" x14ac:dyDescent="0.35"/>
  <cols>
    <col min="1" max="1" width="52.6328125" bestFit="1" customWidth="1"/>
    <col min="2" max="2" width="12.26953125" style="4" bestFit="1" customWidth="1"/>
    <col min="3" max="3" width="9.81640625" style="4" bestFit="1" customWidth="1"/>
    <col min="4" max="4" width="10.6328125" style="4" bestFit="1" customWidth="1"/>
    <col min="5" max="5" width="11.7265625" style="4" bestFit="1" customWidth="1"/>
    <col min="6" max="6" width="9" style="4" bestFit="1" customWidth="1"/>
    <col min="7" max="8" width="9.54296875" style="4" bestFit="1" customWidth="1"/>
    <col min="9" max="9" width="7.08984375" style="4" bestFit="1" customWidth="1"/>
    <col min="10" max="10" width="9.54296875" style="4" bestFit="1" customWidth="1"/>
    <col min="11" max="11" width="17.453125" style="4" bestFit="1" customWidth="1"/>
    <col min="12" max="12" width="2" style="4" customWidth="1"/>
    <col min="13" max="13" width="2" customWidth="1"/>
    <col min="14" max="16" width="2" style="10" customWidth="1"/>
    <col min="17" max="17" width="1.81640625" style="10" customWidth="1"/>
    <col min="18" max="18" width="2.1796875" style="10" customWidth="1"/>
    <col min="19" max="19" width="33.90625" style="10" bestFit="1" customWidth="1"/>
    <col min="20" max="20" width="19.36328125" style="4" bestFit="1" customWidth="1"/>
    <col min="21" max="21" width="8" style="4" bestFit="1" customWidth="1"/>
    <col min="22" max="22" width="9.54296875" style="4" bestFit="1" customWidth="1"/>
    <col min="23" max="23" width="7.08984375" style="4" bestFit="1" customWidth="1"/>
    <col min="24" max="26" width="6.08984375" style="4" bestFit="1" customWidth="1"/>
    <col min="27" max="27" width="9.54296875" bestFit="1" customWidth="1"/>
    <col min="28" max="28" width="12" bestFit="1" customWidth="1"/>
    <col min="29" max="29" width="10.6328125" hidden="1" customWidth="1"/>
    <col min="30" max="30" width="9.54296875" hidden="1" customWidth="1"/>
    <col min="31" max="31" width="10.6328125" hidden="1" customWidth="1"/>
    <col min="32" max="33" width="12" hidden="1" customWidth="1"/>
    <col min="34" max="34" width="4.26953125" customWidth="1"/>
    <col min="35" max="36" width="2.7265625" customWidth="1"/>
    <col min="37" max="37" width="35.6328125" bestFit="1" customWidth="1"/>
    <col min="38" max="38" width="26.7265625" bestFit="1" customWidth="1"/>
    <col min="39" max="39" width="7.7265625" bestFit="1" customWidth="1"/>
    <col min="40" max="40" width="33.90625" bestFit="1" customWidth="1"/>
    <col min="41" max="41" width="9.54296875" bestFit="1" customWidth="1"/>
    <col min="42" max="42" width="31.7265625" bestFit="1" customWidth="1"/>
    <col min="43" max="43" width="38.90625" bestFit="1" customWidth="1"/>
    <col min="44" max="45" width="9.81640625" bestFit="1" customWidth="1"/>
    <col min="46" max="46" width="31.6328125" bestFit="1" customWidth="1"/>
    <col min="47" max="47" width="39.08984375" bestFit="1" customWidth="1"/>
    <col min="48" max="48" width="10.453125" bestFit="1" customWidth="1"/>
    <col min="49" max="49" width="10.08984375" bestFit="1" customWidth="1"/>
    <col min="50" max="50" width="34.36328125" bestFit="1" customWidth="1"/>
    <col min="51" max="51" width="10.453125" bestFit="1" customWidth="1"/>
    <col min="52" max="52" width="8.81640625" bestFit="1" customWidth="1"/>
    <col min="53" max="53" width="10.453125" bestFit="1" customWidth="1"/>
    <col min="54" max="57" width="9.81640625" bestFit="1" customWidth="1"/>
    <col min="58" max="58" width="10.453125" bestFit="1" customWidth="1"/>
    <col min="59" max="59" width="9.81640625" bestFit="1" customWidth="1"/>
    <col min="60" max="60" width="10.453125" bestFit="1" customWidth="1"/>
    <col min="61" max="61" width="9.81640625" bestFit="1" customWidth="1"/>
    <col min="62" max="62" width="31.6328125" bestFit="1" customWidth="1"/>
    <col min="63" max="63" width="39.08984375" bestFit="1" customWidth="1"/>
    <col min="64" max="64" width="15.54296875" bestFit="1" customWidth="1"/>
    <col min="65" max="65" width="12.54296875" bestFit="1" customWidth="1"/>
    <col min="66" max="66" width="15.54296875" bestFit="1" customWidth="1"/>
    <col min="67" max="67" width="12.54296875" bestFit="1" customWidth="1"/>
    <col min="68" max="68" width="15.54296875" bestFit="1" customWidth="1"/>
    <col min="69" max="69" width="12.54296875" bestFit="1" customWidth="1"/>
    <col min="70" max="70" width="15.54296875" bestFit="1" customWidth="1"/>
    <col min="71" max="71" width="12.54296875" bestFit="1" customWidth="1"/>
    <col min="72" max="72" width="15.54296875" bestFit="1" customWidth="1"/>
    <col min="73" max="73" width="12.54296875" bestFit="1" customWidth="1"/>
    <col min="74" max="74" width="15.54296875" bestFit="1" customWidth="1"/>
    <col min="75" max="75" width="12.54296875" bestFit="1" customWidth="1"/>
    <col min="76" max="76" width="15.54296875" bestFit="1" customWidth="1"/>
    <col min="77" max="77" width="12.54296875" bestFit="1" customWidth="1"/>
    <col min="78" max="78" width="15.54296875" bestFit="1" customWidth="1"/>
    <col min="79" max="79" width="12.54296875" bestFit="1" customWidth="1"/>
    <col min="80" max="80" width="15.54296875" bestFit="1" customWidth="1"/>
    <col min="81" max="81" width="12.54296875" bestFit="1" customWidth="1"/>
    <col min="82" max="82" width="15.54296875" bestFit="1" customWidth="1"/>
    <col min="83" max="83" width="12.54296875" bestFit="1" customWidth="1"/>
    <col min="84" max="84" width="34.1796875" bestFit="1" customWidth="1"/>
    <col min="85" max="85" width="34" bestFit="1" customWidth="1"/>
    <col min="86" max="86" width="34.1796875" bestFit="1" customWidth="1"/>
    <col min="87" max="87" width="39" bestFit="1" customWidth="1"/>
    <col min="88" max="88" width="39.1796875" bestFit="1" customWidth="1"/>
  </cols>
  <sheetData>
    <row r="1" spans="1:43" x14ac:dyDescent="0.35">
      <c r="A1" s="501" t="s">
        <v>422</v>
      </c>
      <c r="B1" s="501"/>
      <c r="C1" s="501"/>
      <c r="D1" s="501"/>
      <c r="E1" s="501"/>
      <c r="F1" s="501"/>
      <c r="G1" s="501"/>
      <c r="H1" s="501"/>
      <c r="I1" s="501"/>
      <c r="S1" s="501" t="s">
        <v>716</v>
      </c>
      <c r="T1" s="501"/>
      <c r="U1" s="501"/>
      <c r="AK1" s="501" t="s">
        <v>717</v>
      </c>
      <c r="AL1" s="501"/>
      <c r="AM1" s="501"/>
    </row>
    <row r="2" spans="1:43" ht="11.25" customHeight="1" x14ac:dyDescent="0.35">
      <c r="S2" s="308" t="s">
        <v>885</v>
      </c>
      <c r="T2" t="s">
        <v>912</v>
      </c>
      <c r="AK2" s="309" t="s">
        <v>626</v>
      </c>
      <c r="AL2" s="4" t="s">
        <v>783</v>
      </c>
    </row>
    <row r="3" spans="1:43" x14ac:dyDescent="0.35">
      <c r="A3" s="33" t="s">
        <v>627</v>
      </c>
      <c r="B3" s="309" t="s">
        <v>628</v>
      </c>
      <c r="N3"/>
      <c r="O3"/>
      <c r="P3"/>
      <c r="Q3"/>
      <c r="R3"/>
      <c r="S3" s="308" t="s">
        <v>626</v>
      </c>
      <c r="T3" t="s">
        <v>783</v>
      </c>
      <c r="AG3" s="4"/>
      <c r="AH3" s="4"/>
      <c r="AI3" s="4"/>
      <c r="AJ3" s="4"/>
    </row>
    <row r="4" spans="1:43" x14ac:dyDescent="0.35">
      <c r="A4" s="308" t="s">
        <v>351</v>
      </c>
      <c r="B4" s="4" t="s">
        <v>424</v>
      </c>
      <c r="C4" s="4" t="s">
        <v>458</v>
      </c>
      <c r="D4" s="4" t="s">
        <v>362</v>
      </c>
      <c r="E4" s="4" t="s">
        <v>423</v>
      </c>
      <c r="F4" s="4" t="s">
        <v>361</v>
      </c>
      <c r="G4" s="4" t="s">
        <v>421</v>
      </c>
      <c r="H4" s="4" t="s">
        <v>363</v>
      </c>
      <c r="I4" s="4" t="s">
        <v>785</v>
      </c>
      <c r="J4" s="4" t="s">
        <v>926</v>
      </c>
      <c r="K4" s="4" t="s">
        <v>402</v>
      </c>
      <c r="N4"/>
      <c r="O4"/>
      <c r="P4"/>
      <c r="Q4"/>
      <c r="R4"/>
      <c r="AG4" s="322"/>
      <c r="AH4" s="322"/>
      <c r="AI4" s="322"/>
      <c r="AJ4" s="322"/>
      <c r="AK4" s="307"/>
      <c r="AL4" s="308" t="s">
        <v>628</v>
      </c>
      <c r="AO4" s="4"/>
      <c r="AP4" s="4"/>
      <c r="AQ4" s="4"/>
    </row>
    <row r="5" spans="1:43" x14ac:dyDescent="0.35">
      <c r="A5" s="5" t="s">
        <v>316</v>
      </c>
      <c r="B5" s="159"/>
      <c r="C5" s="159"/>
      <c r="D5" s="159">
        <v>-83980</v>
      </c>
      <c r="E5" s="159"/>
      <c r="F5" s="159">
        <v>0</v>
      </c>
      <c r="G5" s="159"/>
      <c r="H5" s="159"/>
      <c r="I5" s="159"/>
      <c r="J5" s="159"/>
      <c r="K5" s="509">
        <v>-83980</v>
      </c>
      <c r="L5" s="1"/>
      <c r="N5"/>
      <c r="O5"/>
      <c r="P5"/>
      <c r="Q5"/>
      <c r="R5"/>
      <c r="S5" s="513" t="s">
        <v>627</v>
      </c>
      <c r="T5" s="309" t="s">
        <v>722</v>
      </c>
      <c r="AA5" s="4"/>
      <c r="AB5" s="4"/>
      <c r="AG5" s="159"/>
      <c r="AH5" s="159"/>
      <c r="AI5" s="159"/>
      <c r="AJ5" s="159"/>
      <c r="AK5" s="307"/>
      <c r="AL5" t="s">
        <v>629</v>
      </c>
      <c r="AN5" t="s">
        <v>627</v>
      </c>
      <c r="AP5" s="4" t="s">
        <v>712</v>
      </c>
      <c r="AQ5" s="4" t="s">
        <v>713</v>
      </c>
    </row>
    <row r="6" spans="1:43" x14ac:dyDescent="0.35">
      <c r="A6" s="5" t="s">
        <v>611</v>
      </c>
      <c r="B6" s="159"/>
      <c r="C6" s="159"/>
      <c r="D6" s="159">
        <v>-3685</v>
      </c>
      <c r="E6" s="159"/>
      <c r="F6" s="159">
        <v>0</v>
      </c>
      <c r="G6" s="159"/>
      <c r="H6" s="159"/>
      <c r="I6" s="159"/>
      <c r="J6" s="159"/>
      <c r="K6" s="509">
        <v>-3685</v>
      </c>
      <c r="L6" s="1"/>
      <c r="N6"/>
      <c r="O6"/>
      <c r="P6"/>
      <c r="Q6"/>
      <c r="R6"/>
      <c r="S6" s="308" t="s">
        <v>351</v>
      </c>
      <c r="T6" s="322" t="s">
        <v>735</v>
      </c>
      <c r="U6" s="322" t="s">
        <v>723</v>
      </c>
      <c r="V6" s="322" t="s">
        <v>724</v>
      </c>
      <c r="W6" s="322" t="s">
        <v>725</v>
      </c>
      <c r="X6" s="322" t="s">
        <v>736</v>
      </c>
      <c r="Y6" s="322" t="s">
        <v>737</v>
      </c>
      <c r="Z6" s="322" t="s">
        <v>913</v>
      </c>
      <c r="AA6" s="322" t="s">
        <v>902</v>
      </c>
      <c r="AB6" s="322" t="s">
        <v>782</v>
      </c>
      <c r="AG6" s="159"/>
      <c r="AH6" s="159"/>
      <c r="AI6" s="159"/>
      <c r="AJ6" s="159"/>
      <c r="AK6" s="307"/>
      <c r="AL6" t="s">
        <v>714</v>
      </c>
      <c r="AM6" s="4" t="s">
        <v>715</v>
      </c>
      <c r="AN6" t="s">
        <v>714</v>
      </c>
      <c r="AO6" s="4" t="s">
        <v>715</v>
      </c>
      <c r="AP6" s="4"/>
      <c r="AQ6" s="4"/>
    </row>
    <row r="7" spans="1:43" x14ac:dyDescent="0.35">
      <c r="A7" s="5" t="s">
        <v>298</v>
      </c>
      <c r="B7" s="159"/>
      <c r="C7" s="159"/>
      <c r="D7" s="159"/>
      <c r="E7" s="159"/>
      <c r="F7" s="159"/>
      <c r="G7" s="81">
        <v>-13118.190000000002</v>
      </c>
      <c r="H7" s="161"/>
      <c r="I7" s="159"/>
      <c r="J7" s="159"/>
      <c r="K7" s="509">
        <v>-13118.190000000002</v>
      </c>
      <c r="L7" s="1"/>
      <c r="N7"/>
      <c r="O7"/>
      <c r="P7"/>
      <c r="Q7"/>
      <c r="R7"/>
      <c r="S7" s="5" t="s">
        <v>298</v>
      </c>
      <c r="T7" s="159"/>
      <c r="U7" s="159"/>
      <c r="V7" s="323">
        <v>-13118.190000000002</v>
      </c>
      <c r="W7" s="159"/>
      <c r="X7" s="159"/>
      <c r="Y7" s="159"/>
      <c r="Z7" s="159"/>
      <c r="AA7" s="159"/>
      <c r="AB7" s="159">
        <v>-13118.190000000002</v>
      </c>
      <c r="AG7" s="159"/>
      <c r="AH7" s="159"/>
      <c r="AI7" s="159"/>
      <c r="AJ7" s="159"/>
      <c r="AK7" s="308" t="s">
        <v>351</v>
      </c>
      <c r="AP7" s="4"/>
      <c r="AQ7" s="4"/>
    </row>
    <row r="8" spans="1:43" x14ac:dyDescent="0.35">
      <c r="A8" s="5" t="s">
        <v>297</v>
      </c>
      <c r="B8" s="159"/>
      <c r="C8" s="159"/>
      <c r="D8" s="159"/>
      <c r="E8" s="159"/>
      <c r="F8" s="159"/>
      <c r="G8" s="358">
        <v>0</v>
      </c>
      <c r="H8" s="159"/>
      <c r="I8" s="159"/>
      <c r="J8" s="159"/>
      <c r="K8" s="509">
        <v>0</v>
      </c>
      <c r="L8" s="1"/>
      <c r="N8"/>
      <c r="O8"/>
      <c r="P8"/>
      <c r="Q8"/>
      <c r="R8"/>
      <c r="S8" s="5" t="s">
        <v>297</v>
      </c>
      <c r="T8" s="159"/>
      <c r="U8" s="159"/>
      <c r="V8" s="159">
        <v>0</v>
      </c>
      <c r="W8" s="159"/>
      <c r="X8" s="159"/>
      <c r="Y8" s="159"/>
      <c r="Z8" s="159"/>
      <c r="AA8" s="159"/>
      <c r="AB8" s="159">
        <v>0</v>
      </c>
      <c r="AG8" s="159"/>
      <c r="AH8" s="159"/>
      <c r="AI8" s="159"/>
      <c r="AJ8" s="159"/>
      <c r="AK8" s="5" t="s">
        <v>298</v>
      </c>
      <c r="AL8" s="311">
        <v>45860</v>
      </c>
      <c r="AM8" s="310"/>
      <c r="AN8" s="159">
        <v>-13118.190000000002</v>
      </c>
      <c r="AO8" s="159"/>
      <c r="AP8" s="160">
        <v>45860</v>
      </c>
      <c r="AQ8" s="159">
        <v>-13118.190000000002</v>
      </c>
    </row>
    <row r="9" spans="1:43" x14ac:dyDescent="0.35">
      <c r="A9" s="5" t="s">
        <v>282</v>
      </c>
      <c r="B9" s="159"/>
      <c r="C9" s="159"/>
      <c r="D9" s="159"/>
      <c r="E9" s="159"/>
      <c r="F9" s="159">
        <v>0</v>
      </c>
      <c r="G9" s="81"/>
      <c r="H9" s="159"/>
      <c r="I9" s="159"/>
      <c r="J9" s="159"/>
      <c r="K9" s="509">
        <v>0</v>
      </c>
      <c r="L9" s="1"/>
      <c r="N9"/>
      <c r="O9"/>
      <c r="P9"/>
      <c r="Q9"/>
      <c r="R9"/>
      <c r="S9" s="5" t="s">
        <v>532</v>
      </c>
      <c r="T9" s="161">
        <v>-144.99500000000262</v>
      </c>
      <c r="U9" s="159"/>
      <c r="V9" s="159"/>
      <c r="W9" s="159"/>
      <c r="X9" s="159"/>
      <c r="Y9" s="159"/>
      <c r="Z9" s="159"/>
      <c r="AA9" s="159"/>
      <c r="AB9" s="159">
        <v>-144.99500000000262</v>
      </c>
      <c r="AG9" s="159"/>
      <c r="AH9" s="159"/>
      <c r="AI9" s="159"/>
      <c r="AJ9" s="159"/>
      <c r="AK9" s="5" t="s">
        <v>297</v>
      </c>
      <c r="AL9" s="311">
        <v>45860</v>
      </c>
      <c r="AM9" s="310"/>
      <c r="AN9" s="159">
        <v>0</v>
      </c>
      <c r="AO9" s="159"/>
      <c r="AP9" s="160">
        <v>45860</v>
      </c>
      <c r="AQ9" s="159">
        <v>0</v>
      </c>
    </row>
    <row r="10" spans="1:43" x14ac:dyDescent="0.35">
      <c r="A10" s="5" t="s">
        <v>416</v>
      </c>
      <c r="B10" s="159"/>
      <c r="C10" s="159"/>
      <c r="D10" s="159"/>
      <c r="E10" s="159"/>
      <c r="F10" s="360">
        <v>205.32999999999993</v>
      </c>
      <c r="G10" s="81"/>
      <c r="H10" s="159"/>
      <c r="I10" s="159"/>
      <c r="J10" s="159"/>
      <c r="K10" s="509">
        <v>205.32999999999993</v>
      </c>
      <c r="L10" s="1"/>
      <c r="N10"/>
      <c r="O10"/>
      <c r="P10"/>
      <c r="Q10"/>
      <c r="R10"/>
      <c r="S10" s="5" t="s">
        <v>401</v>
      </c>
      <c r="T10" s="161"/>
      <c r="U10" s="161">
        <v>8898.9299999999967</v>
      </c>
      <c r="V10" s="323">
        <v>-8688.48</v>
      </c>
      <c r="W10" s="159"/>
      <c r="X10" s="159"/>
      <c r="Y10" s="161"/>
      <c r="Z10" s="159"/>
      <c r="AA10" s="323">
        <v>-16234.12</v>
      </c>
      <c r="AB10" s="161">
        <v>-16023.670000000004</v>
      </c>
      <c r="AG10" s="159"/>
      <c r="AH10" s="159"/>
      <c r="AI10" s="159"/>
      <c r="AJ10" s="159"/>
      <c r="AK10" s="5" t="s">
        <v>532</v>
      </c>
      <c r="AL10" s="311"/>
      <c r="AM10" s="310">
        <v>46028</v>
      </c>
      <c r="AN10" s="159"/>
      <c r="AO10" s="81">
        <v>-144.99500000000262</v>
      </c>
      <c r="AP10" s="160">
        <v>46028</v>
      </c>
      <c r="AQ10" s="159">
        <v>-144.99500000000262</v>
      </c>
    </row>
    <row r="11" spans="1:43" x14ac:dyDescent="0.35">
      <c r="A11" s="5" t="s">
        <v>277</v>
      </c>
      <c r="B11" s="159">
        <v>0</v>
      </c>
      <c r="C11" s="159"/>
      <c r="D11" s="159"/>
      <c r="E11" s="159"/>
      <c r="F11" s="159">
        <v>0</v>
      </c>
      <c r="G11" s="81"/>
      <c r="H11" s="159"/>
      <c r="I11" s="159"/>
      <c r="J11" s="159"/>
      <c r="K11" s="509">
        <v>0</v>
      </c>
      <c r="L11" s="1"/>
      <c r="N11"/>
      <c r="O11"/>
      <c r="P11"/>
      <c r="Q11"/>
      <c r="R11"/>
      <c r="S11" s="5" t="s">
        <v>432</v>
      </c>
      <c r="T11" s="159"/>
      <c r="U11" s="159"/>
      <c r="V11" s="159"/>
      <c r="W11" s="159"/>
      <c r="X11" s="323">
        <v>-37</v>
      </c>
      <c r="Y11" s="159"/>
      <c r="Z11" s="159"/>
      <c r="AA11" s="323"/>
      <c r="AB11" s="159">
        <v>-37</v>
      </c>
      <c r="AG11" s="159"/>
      <c r="AH11" s="159"/>
      <c r="AI11" s="159"/>
      <c r="AJ11" s="159"/>
      <c r="AK11" s="5" t="s">
        <v>401</v>
      </c>
      <c r="AL11" s="311"/>
      <c r="AM11" s="310">
        <v>230922</v>
      </c>
      <c r="AN11" s="159"/>
      <c r="AO11" s="81">
        <v>-16023.670000000002</v>
      </c>
      <c r="AP11" s="160">
        <v>230922</v>
      </c>
      <c r="AQ11" s="159">
        <v>-16023.670000000002</v>
      </c>
    </row>
    <row r="12" spans="1:43" x14ac:dyDescent="0.35">
      <c r="A12" s="5" t="s">
        <v>291</v>
      </c>
      <c r="B12" s="159">
        <v>0</v>
      </c>
      <c r="C12" s="159">
        <v>0</v>
      </c>
      <c r="D12" s="159">
        <v>-24285.93</v>
      </c>
      <c r="E12" s="159">
        <v>0</v>
      </c>
      <c r="F12" s="361">
        <v>-3.0000000000200089E-2</v>
      </c>
      <c r="G12" s="159"/>
      <c r="H12" s="81"/>
      <c r="I12" s="159"/>
      <c r="J12" s="159"/>
      <c r="K12" s="509">
        <v>-24285.96</v>
      </c>
      <c r="L12" s="1"/>
      <c r="N12"/>
      <c r="O12"/>
      <c r="P12"/>
      <c r="Q12"/>
      <c r="R12"/>
      <c r="S12" s="5" t="s">
        <v>810</v>
      </c>
      <c r="T12" s="159"/>
      <c r="U12" s="159"/>
      <c r="V12" s="159"/>
      <c r="W12" s="323">
        <v>-229.31999999999971</v>
      </c>
      <c r="X12" s="159"/>
      <c r="Y12" s="159"/>
      <c r="Z12" s="159"/>
      <c r="AA12" s="159"/>
      <c r="AB12" s="159">
        <v>-229.31999999999971</v>
      </c>
      <c r="AG12" s="159"/>
      <c r="AH12" s="159"/>
      <c r="AI12" s="159"/>
      <c r="AJ12" s="159"/>
      <c r="AK12" s="5" t="s">
        <v>432</v>
      </c>
      <c r="AL12" s="311"/>
      <c r="AM12" s="310">
        <v>46268</v>
      </c>
      <c r="AN12" s="159"/>
      <c r="AO12" s="159">
        <v>-37</v>
      </c>
      <c r="AP12" s="118">
        <v>46268</v>
      </c>
      <c r="AQ12" s="159">
        <v>-37</v>
      </c>
    </row>
    <row r="13" spans="1:43" x14ac:dyDescent="0.35">
      <c r="A13" s="5" t="s">
        <v>532</v>
      </c>
      <c r="B13" s="159"/>
      <c r="C13" s="159"/>
      <c r="D13" s="159"/>
      <c r="E13" s="159"/>
      <c r="F13" s="159">
        <v>0</v>
      </c>
      <c r="G13" s="81">
        <v>-144.99500000000262</v>
      </c>
      <c r="H13" s="159"/>
      <c r="I13" s="159"/>
      <c r="J13" s="159"/>
      <c r="K13" s="509">
        <v>-144.99500000000262</v>
      </c>
      <c r="L13" s="1"/>
      <c r="N13"/>
      <c r="O13"/>
      <c r="P13"/>
      <c r="Q13"/>
      <c r="R13"/>
      <c r="S13" s="5" t="s">
        <v>914</v>
      </c>
      <c r="T13" s="159"/>
      <c r="U13" s="159"/>
      <c r="V13" s="323">
        <v>-8166.7000000000007</v>
      </c>
      <c r="W13" s="159"/>
      <c r="X13" s="159"/>
      <c r="Y13" s="323">
        <v>-35</v>
      </c>
      <c r="Z13" s="323">
        <v>-44.120000000000005</v>
      </c>
      <c r="AA13" s="159"/>
      <c r="AB13" s="159">
        <v>-8245.8200000000015</v>
      </c>
      <c r="AG13" s="159"/>
      <c r="AH13" s="159"/>
      <c r="AI13" s="159"/>
      <c r="AJ13" s="159"/>
      <c r="AK13" s="5" t="s">
        <v>810</v>
      </c>
      <c r="AL13" s="311"/>
      <c r="AM13" s="310">
        <v>46245</v>
      </c>
      <c r="AN13" s="159"/>
      <c r="AO13" s="159">
        <v>-229.31999999999971</v>
      </c>
      <c r="AP13" s="118">
        <v>46245</v>
      </c>
      <c r="AQ13" s="159">
        <v>-229.31999999999971</v>
      </c>
    </row>
    <row r="14" spans="1:43" x14ac:dyDescent="0.35">
      <c r="A14" s="5" t="s">
        <v>585</v>
      </c>
      <c r="B14" s="159"/>
      <c r="C14" s="159"/>
      <c r="D14" s="159"/>
      <c r="E14" s="159"/>
      <c r="F14" s="360">
        <v>514.69999999999982</v>
      </c>
      <c r="G14" s="159"/>
      <c r="H14" s="159"/>
      <c r="I14" s="159"/>
      <c r="J14" s="159"/>
      <c r="K14" s="511">
        <v>514.69999999999982</v>
      </c>
      <c r="L14" s="1"/>
      <c r="N14"/>
      <c r="O14"/>
      <c r="P14"/>
      <c r="Q14"/>
      <c r="R14"/>
      <c r="S14" s="5" t="s">
        <v>782</v>
      </c>
      <c r="T14" s="159">
        <v>-144.99500000000262</v>
      </c>
      <c r="U14" s="159">
        <v>8898.9299999999967</v>
      </c>
      <c r="V14" s="159">
        <v>-29973.370000000003</v>
      </c>
      <c r="W14" s="159">
        <v>-229.31999999999971</v>
      </c>
      <c r="X14" s="159">
        <v>-37</v>
      </c>
      <c r="Y14" s="159">
        <v>-35</v>
      </c>
      <c r="Z14" s="159">
        <v>-44.120000000000005</v>
      </c>
      <c r="AA14" s="159">
        <v>-16234.12</v>
      </c>
      <c r="AB14" s="159">
        <v>-37798.99500000001</v>
      </c>
      <c r="AG14" s="159"/>
      <c r="AH14" s="159"/>
      <c r="AI14" s="159"/>
      <c r="AJ14" s="159"/>
      <c r="AK14" s="5" t="s">
        <v>914</v>
      </c>
      <c r="AL14" s="311">
        <v>91936</v>
      </c>
      <c r="AM14" s="310">
        <v>46224</v>
      </c>
      <c r="AN14" s="159">
        <v>-79.12</v>
      </c>
      <c r="AO14" s="159">
        <v>-8166.7000000000007</v>
      </c>
      <c r="AP14" s="118">
        <v>138160</v>
      </c>
      <c r="AQ14" s="159">
        <v>-8245.8200000000015</v>
      </c>
    </row>
    <row r="15" spans="1:43" x14ac:dyDescent="0.35">
      <c r="A15" s="5" t="s">
        <v>420</v>
      </c>
      <c r="B15" s="159"/>
      <c r="C15" s="159"/>
      <c r="D15" s="159"/>
      <c r="E15" s="159"/>
      <c r="F15" s="343">
        <v>-9.9999999983992893E-3</v>
      </c>
      <c r="G15" s="81"/>
      <c r="H15" s="159"/>
      <c r="I15" s="159"/>
      <c r="J15" s="159"/>
      <c r="K15" s="509">
        <v>-9.9999999983992893E-3</v>
      </c>
      <c r="L15" s="1"/>
      <c r="N15"/>
      <c r="O15"/>
      <c r="P15"/>
      <c r="Q15"/>
      <c r="R15"/>
      <c r="S15"/>
      <c r="T15"/>
      <c r="U15"/>
      <c r="V15"/>
      <c r="W15"/>
      <c r="X15"/>
      <c r="Y15"/>
      <c r="Z15"/>
      <c r="AG15" s="159"/>
      <c r="AH15" s="159"/>
      <c r="AI15" s="159"/>
      <c r="AJ15" s="159"/>
      <c r="AK15" s="5" t="s">
        <v>402</v>
      </c>
      <c r="AL15" s="311">
        <v>183656</v>
      </c>
      <c r="AM15" s="310">
        <v>415687</v>
      </c>
      <c r="AN15" s="159">
        <v>-13197.310000000003</v>
      </c>
      <c r="AO15" s="159">
        <v>-24601.685000000005</v>
      </c>
      <c r="AP15" s="118">
        <v>599343</v>
      </c>
      <c r="AQ15" s="159">
        <v>-37798.99500000001</v>
      </c>
    </row>
    <row r="16" spans="1:43" x14ac:dyDescent="0.35">
      <c r="A16" s="5" t="s">
        <v>306</v>
      </c>
      <c r="B16" s="159"/>
      <c r="C16" s="159"/>
      <c r="D16" s="159"/>
      <c r="E16" s="159"/>
      <c r="F16" s="159">
        <v>0</v>
      </c>
      <c r="G16" s="159"/>
      <c r="H16" s="159"/>
      <c r="I16" s="159"/>
      <c r="J16" s="159"/>
      <c r="K16" s="509">
        <v>0</v>
      </c>
      <c r="L16" s="1"/>
      <c r="N16"/>
      <c r="O16"/>
      <c r="P16"/>
      <c r="Q16"/>
      <c r="R16"/>
      <c r="S16"/>
      <c r="T16"/>
      <c r="U16"/>
      <c r="V16"/>
      <c r="W16"/>
      <c r="X16"/>
      <c r="Y16"/>
      <c r="Z16"/>
      <c r="AG16" s="159"/>
      <c r="AH16" s="159"/>
      <c r="AI16" s="159"/>
      <c r="AJ16" s="159"/>
    </row>
    <row r="17" spans="1:36" x14ac:dyDescent="0.35">
      <c r="A17" s="5" t="s">
        <v>572</v>
      </c>
      <c r="B17" s="159"/>
      <c r="C17" s="159"/>
      <c r="D17" s="159"/>
      <c r="E17" s="159"/>
      <c r="F17" s="159">
        <v>0</v>
      </c>
      <c r="G17" s="159"/>
      <c r="H17" s="159"/>
      <c r="I17" s="159"/>
      <c r="J17" s="159"/>
      <c r="K17" s="509">
        <v>0</v>
      </c>
      <c r="L17" s="1"/>
      <c r="N17"/>
      <c r="O17"/>
      <c r="P17"/>
      <c r="Q17"/>
      <c r="R17"/>
      <c r="S17"/>
      <c r="T17"/>
      <c r="U17"/>
      <c r="V17"/>
      <c r="W17"/>
      <c r="X17"/>
      <c r="Y17"/>
      <c r="Z17"/>
      <c r="AG17" s="159"/>
      <c r="AH17" s="159"/>
      <c r="AI17" s="159"/>
      <c r="AJ17" s="159"/>
    </row>
    <row r="18" spans="1:36" x14ac:dyDescent="0.35">
      <c r="A18" s="5" t="s">
        <v>323</v>
      </c>
      <c r="B18" s="159"/>
      <c r="C18" s="159"/>
      <c r="D18" s="159"/>
      <c r="E18" s="159"/>
      <c r="F18" s="159">
        <v>0</v>
      </c>
      <c r="G18" s="159"/>
      <c r="H18" s="159"/>
      <c r="I18" s="159"/>
      <c r="J18" s="159"/>
      <c r="K18" s="509">
        <v>0</v>
      </c>
      <c r="L18" s="1"/>
      <c r="N18"/>
      <c r="O18"/>
      <c r="P18"/>
      <c r="Q18"/>
      <c r="R18"/>
      <c r="S18"/>
      <c r="T18"/>
      <c r="U18"/>
      <c r="V18"/>
      <c r="W18"/>
      <c r="X18"/>
      <c r="Y18"/>
      <c r="Z18"/>
      <c r="AG18" s="159"/>
      <c r="AH18" s="159"/>
      <c r="AI18" s="159"/>
      <c r="AJ18" s="159"/>
    </row>
    <row r="19" spans="1:36" x14ac:dyDescent="0.35">
      <c r="A19" s="5" t="s">
        <v>477</v>
      </c>
      <c r="B19" s="159"/>
      <c r="C19" s="159"/>
      <c r="D19" s="159">
        <v>-12400.4</v>
      </c>
      <c r="E19" s="159"/>
      <c r="F19" s="159">
        <v>0</v>
      </c>
      <c r="G19" s="159"/>
      <c r="H19" s="81"/>
      <c r="I19" s="159"/>
      <c r="J19" s="159"/>
      <c r="K19" s="408">
        <v>-12400.4</v>
      </c>
      <c r="L19" s="1"/>
      <c r="N19"/>
      <c r="O19"/>
      <c r="P19"/>
      <c r="Q19"/>
      <c r="R19"/>
      <c r="S19"/>
      <c r="T19"/>
      <c r="U19"/>
      <c r="V19"/>
      <c r="W19"/>
      <c r="X19"/>
      <c r="Y19"/>
      <c r="Z19"/>
      <c r="AG19" s="159"/>
      <c r="AH19" s="159"/>
      <c r="AI19" s="159"/>
      <c r="AJ19" s="159"/>
    </row>
    <row r="20" spans="1:36" x14ac:dyDescent="0.35">
      <c r="A20" s="5" t="s">
        <v>311</v>
      </c>
      <c r="B20" s="159"/>
      <c r="C20" s="159"/>
      <c r="D20" s="159"/>
      <c r="E20" s="159"/>
      <c r="F20" s="159">
        <v>0</v>
      </c>
      <c r="G20" s="159"/>
      <c r="H20" s="159"/>
      <c r="I20" s="159"/>
      <c r="J20" s="159"/>
      <c r="K20" s="509">
        <v>0</v>
      </c>
      <c r="L20" s="1"/>
      <c r="N20"/>
      <c r="O20"/>
      <c r="P20"/>
      <c r="Q20"/>
      <c r="R20"/>
      <c r="S20"/>
      <c r="T20"/>
      <c r="U20"/>
      <c r="V20"/>
      <c r="W20"/>
      <c r="X20"/>
      <c r="Y20"/>
      <c r="Z20"/>
      <c r="AG20" s="159"/>
      <c r="AH20" s="159"/>
      <c r="AI20" s="159"/>
      <c r="AJ20" s="159"/>
    </row>
    <row r="21" spans="1:36" x14ac:dyDescent="0.35">
      <c r="A21" s="5" t="s">
        <v>478</v>
      </c>
      <c r="B21" s="159"/>
      <c r="C21" s="159"/>
      <c r="D21" s="159"/>
      <c r="E21" s="159"/>
      <c r="F21" s="159">
        <v>0</v>
      </c>
      <c r="G21" s="159"/>
      <c r="H21" s="159"/>
      <c r="I21" s="159"/>
      <c r="J21" s="159"/>
      <c r="K21" s="509">
        <v>0</v>
      </c>
      <c r="L21" s="1"/>
      <c r="N21"/>
      <c r="O21"/>
      <c r="P21"/>
      <c r="Q21"/>
      <c r="R21"/>
      <c r="S21"/>
      <c r="T21"/>
      <c r="U21"/>
      <c r="V21"/>
      <c r="W21"/>
      <c r="X21"/>
      <c r="Y21"/>
      <c r="Z21"/>
      <c r="AG21" s="159"/>
      <c r="AH21" s="159"/>
      <c r="AI21" s="159"/>
      <c r="AJ21" s="159"/>
    </row>
    <row r="22" spans="1:36" x14ac:dyDescent="0.35">
      <c r="A22" s="5" t="s">
        <v>466</v>
      </c>
      <c r="B22" s="159"/>
      <c r="C22" s="159"/>
      <c r="D22" s="159"/>
      <c r="E22" s="159"/>
      <c r="F22" s="159">
        <v>0</v>
      </c>
      <c r="G22" s="159"/>
      <c r="H22" s="159"/>
      <c r="I22" s="159"/>
      <c r="J22" s="159"/>
      <c r="K22" s="509">
        <v>0</v>
      </c>
      <c r="L22" s="1"/>
      <c r="N22"/>
      <c r="O22"/>
      <c r="P22"/>
      <c r="Q22"/>
      <c r="R22"/>
      <c r="S22"/>
      <c r="T22"/>
      <c r="U22"/>
      <c r="V22"/>
      <c r="W22"/>
      <c r="X22"/>
      <c r="Y22"/>
      <c r="Z22"/>
      <c r="AG22" s="159"/>
      <c r="AH22" s="159"/>
      <c r="AI22" s="159"/>
      <c r="AJ22" s="159"/>
    </row>
    <row r="23" spans="1:36" x14ac:dyDescent="0.35">
      <c r="A23" s="5" t="s">
        <v>451</v>
      </c>
      <c r="B23" s="159"/>
      <c r="C23" s="159"/>
      <c r="D23" s="159"/>
      <c r="E23" s="159"/>
      <c r="F23" s="159">
        <v>0</v>
      </c>
      <c r="G23" s="159"/>
      <c r="H23" s="159"/>
      <c r="I23" s="159"/>
      <c r="J23" s="159"/>
      <c r="K23" s="509">
        <v>0</v>
      </c>
      <c r="L23" s="1"/>
      <c r="N23"/>
      <c r="O23"/>
      <c r="P23"/>
      <c r="Q23"/>
      <c r="R23"/>
      <c r="S23"/>
      <c r="T23"/>
      <c r="U23"/>
      <c r="V23"/>
      <c r="W23"/>
      <c r="X23"/>
      <c r="Y23"/>
      <c r="Z23"/>
      <c r="AG23" s="159"/>
      <c r="AH23" s="159"/>
      <c r="AI23" s="159"/>
      <c r="AJ23" s="159"/>
    </row>
    <row r="24" spans="1:36" x14ac:dyDescent="0.35">
      <c r="A24" s="5" t="s">
        <v>272</v>
      </c>
      <c r="B24" s="159"/>
      <c r="C24" s="159"/>
      <c r="D24" s="159"/>
      <c r="E24" s="159"/>
      <c r="F24" s="159">
        <v>0</v>
      </c>
      <c r="G24" s="159"/>
      <c r="H24" s="159"/>
      <c r="I24" s="159"/>
      <c r="J24" s="159"/>
      <c r="K24" s="509">
        <v>0</v>
      </c>
      <c r="L24" s="1"/>
      <c r="N24"/>
      <c r="O24"/>
      <c r="P24"/>
      <c r="Q24"/>
      <c r="R24"/>
      <c r="S24"/>
      <c r="T24"/>
      <c r="U24"/>
      <c r="V24"/>
      <c r="W24"/>
      <c r="X24"/>
      <c r="Y24"/>
      <c r="Z24"/>
      <c r="AG24" s="159"/>
      <c r="AH24" s="159"/>
      <c r="AI24" s="159"/>
      <c r="AJ24" s="159"/>
    </row>
    <row r="25" spans="1:36" x14ac:dyDescent="0.35">
      <c r="A25" s="5" t="s">
        <v>401</v>
      </c>
      <c r="B25" s="159"/>
      <c r="C25" s="159"/>
      <c r="D25" s="161"/>
      <c r="E25" s="159"/>
      <c r="F25" s="159">
        <v>18642.400000000001</v>
      </c>
      <c r="G25" s="161">
        <v>210.44999999999709</v>
      </c>
      <c r="H25" s="161">
        <v>-16234.12</v>
      </c>
      <c r="I25" s="159"/>
      <c r="J25" s="159"/>
      <c r="K25" s="512">
        <v>2618.7299999999977</v>
      </c>
      <c r="L25" s="1"/>
      <c r="N25"/>
      <c r="O25"/>
      <c r="P25"/>
      <c r="Q25" s="31"/>
      <c r="S25"/>
      <c r="T25"/>
      <c r="U25"/>
      <c r="V25"/>
      <c r="W25"/>
      <c r="X25"/>
      <c r="Y25"/>
      <c r="Z25"/>
      <c r="AG25" s="159"/>
      <c r="AH25" s="159"/>
      <c r="AI25" s="159"/>
      <c r="AJ25" s="159"/>
    </row>
    <row r="26" spans="1:36" x14ac:dyDescent="0.35">
      <c r="A26" s="5" t="s">
        <v>285</v>
      </c>
      <c r="B26" s="159"/>
      <c r="C26" s="159"/>
      <c r="D26" s="159"/>
      <c r="E26" s="159"/>
      <c r="F26" s="159">
        <v>0</v>
      </c>
      <c r="G26" s="159"/>
      <c r="H26" s="159"/>
      <c r="I26" s="159"/>
      <c r="J26" s="159"/>
      <c r="K26" s="509">
        <v>0</v>
      </c>
      <c r="L26" s="1"/>
      <c r="N26"/>
      <c r="O26"/>
      <c r="P26"/>
      <c r="Q26" s="31"/>
      <c r="S26"/>
      <c r="T26"/>
      <c r="U26"/>
      <c r="V26"/>
      <c r="W26"/>
      <c r="X26"/>
      <c r="Y26"/>
      <c r="Z26"/>
      <c r="AG26" s="159"/>
      <c r="AH26" s="159"/>
      <c r="AI26" s="159"/>
      <c r="AJ26" s="159"/>
    </row>
    <row r="27" spans="1:36" x14ac:dyDescent="0.35">
      <c r="A27" s="5" t="s">
        <v>432</v>
      </c>
      <c r="B27" s="159"/>
      <c r="C27" s="159"/>
      <c r="D27" s="159"/>
      <c r="E27" s="159"/>
      <c r="F27" s="159">
        <v>0</v>
      </c>
      <c r="G27" s="161">
        <v>-37</v>
      </c>
      <c r="H27" s="159"/>
      <c r="I27" s="159"/>
      <c r="J27" s="159"/>
      <c r="K27" s="509">
        <v>-37</v>
      </c>
      <c r="L27" s="1"/>
      <c r="N27"/>
      <c r="O27"/>
      <c r="P27"/>
      <c r="Q27" s="31"/>
      <c r="S27"/>
      <c r="T27"/>
      <c r="U27"/>
      <c r="V27"/>
      <c r="W27"/>
      <c r="X27"/>
      <c r="Y27"/>
      <c r="Z27"/>
      <c r="AG27" s="161"/>
      <c r="AH27" s="159"/>
      <c r="AI27" s="159"/>
      <c r="AJ27" s="159"/>
    </row>
    <row r="28" spans="1:36" x14ac:dyDescent="0.35">
      <c r="A28" s="5" t="s">
        <v>676</v>
      </c>
      <c r="B28" s="159"/>
      <c r="C28" s="159"/>
      <c r="D28" s="159">
        <v>-79126.937000000005</v>
      </c>
      <c r="E28" s="159"/>
      <c r="F28" s="159">
        <v>0</v>
      </c>
      <c r="G28" s="159"/>
      <c r="H28" s="159"/>
      <c r="I28" s="159">
        <v>-735.67999999999984</v>
      </c>
      <c r="J28" s="159"/>
      <c r="K28" s="509">
        <v>-79862.616999999998</v>
      </c>
      <c r="L28" s="1"/>
      <c r="N28"/>
      <c r="O28"/>
      <c r="P28"/>
      <c r="Q28" s="31"/>
      <c r="S28"/>
      <c r="T28"/>
      <c r="U28"/>
      <c r="V28"/>
      <c r="W28"/>
      <c r="X28"/>
      <c r="Y28"/>
      <c r="Z28"/>
      <c r="AG28" s="159"/>
      <c r="AH28" s="159"/>
      <c r="AI28" s="159"/>
      <c r="AJ28" s="159"/>
    </row>
    <row r="29" spans="1:36" x14ac:dyDescent="0.35">
      <c r="A29" s="5" t="s">
        <v>684</v>
      </c>
      <c r="B29" s="159"/>
      <c r="C29" s="159"/>
      <c r="D29" s="159"/>
      <c r="E29" s="159"/>
      <c r="F29" s="361">
        <v>-79</v>
      </c>
      <c r="G29" s="159"/>
      <c r="H29" s="81"/>
      <c r="I29" s="159"/>
      <c r="J29" s="159"/>
      <c r="K29" s="509">
        <v>-79</v>
      </c>
      <c r="L29" s="1"/>
      <c r="N29"/>
      <c r="O29"/>
      <c r="P29"/>
      <c r="Q29" s="31"/>
      <c r="S29"/>
      <c r="T29"/>
      <c r="U29"/>
      <c r="V29"/>
      <c r="W29"/>
      <c r="X29"/>
      <c r="Y29"/>
      <c r="Z29"/>
      <c r="AG29" s="159"/>
      <c r="AH29" s="159"/>
      <c r="AI29" s="159"/>
      <c r="AJ29" s="159"/>
    </row>
    <row r="30" spans="1:36" x14ac:dyDescent="0.35">
      <c r="A30" s="5" t="s">
        <v>731</v>
      </c>
      <c r="B30" s="159"/>
      <c r="C30" s="159"/>
      <c r="D30" s="159">
        <v>-19888.12</v>
      </c>
      <c r="E30" s="159"/>
      <c r="F30" s="360">
        <v>256.77000000000044</v>
      </c>
      <c r="G30" s="81"/>
      <c r="H30" s="159"/>
      <c r="I30" s="159"/>
      <c r="J30" s="159"/>
      <c r="K30" s="509">
        <v>-19631.349999999999</v>
      </c>
      <c r="L30" s="1"/>
      <c r="N30"/>
      <c r="O30"/>
      <c r="P30"/>
      <c r="Q30" s="31"/>
      <c r="S30"/>
      <c r="T30"/>
      <c r="U30"/>
      <c r="V30"/>
      <c r="W30"/>
      <c r="X30"/>
      <c r="Y30"/>
      <c r="Z30"/>
      <c r="AG30" s="161"/>
      <c r="AH30" s="159"/>
      <c r="AI30" s="159"/>
      <c r="AJ30" s="159"/>
    </row>
    <row r="31" spans="1:36" x14ac:dyDescent="0.35">
      <c r="A31" s="5" t="s">
        <v>732</v>
      </c>
      <c r="B31" s="159"/>
      <c r="C31" s="159"/>
      <c r="D31" s="159"/>
      <c r="E31" s="159"/>
      <c r="F31" s="159">
        <v>0</v>
      </c>
      <c r="G31" s="81"/>
      <c r="H31" s="159"/>
      <c r="I31" s="159"/>
      <c r="J31" s="159"/>
      <c r="K31" s="509">
        <v>0</v>
      </c>
      <c r="L31" s="1"/>
      <c r="N31"/>
      <c r="O31"/>
      <c r="P31"/>
      <c r="Q31" s="31"/>
      <c r="S31"/>
      <c r="T31"/>
      <c r="U31"/>
      <c r="V31"/>
      <c r="W31"/>
      <c r="X31"/>
      <c r="Y31"/>
      <c r="Z31"/>
      <c r="AG31" s="161"/>
      <c r="AH31" s="159"/>
      <c r="AI31" s="159"/>
      <c r="AJ31" s="159"/>
    </row>
    <row r="32" spans="1:36" x14ac:dyDescent="0.35">
      <c r="A32" s="5" t="s">
        <v>768</v>
      </c>
      <c r="B32" s="159"/>
      <c r="C32" s="159"/>
      <c r="D32" s="159"/>
      <c r="E32" s="159"/>
      <c r="F32" s="159"/>
      <c r="G32" s="159"/>
      <c r="H32" s="159"/>
      <c r="I32" s="159"/>
      <c r="J32" s="159">
        <v>-67760</v>
      </c>
      <c r="K32" s="509">
        <v>-67760</v>
      </c>
      <c r="L32" s="1"/>
      <c r="N32"/>
      <c r="O32"/>
      <c r="P32"/>
      <c r="Q32" s="31"/>
      <c r="S32"/>
      <c r="T32"/>
      <c r="U32"/>
      <c r="V32"/>
      <c r="W32"/>
      <c r="X32"/>
      <c r="Y32"/>
      <c r="Z32"/>
      <c r="AG32" s="161"/>
      <c r="AH32" s="159"/>
      <c r="AI32" s="159"/>
      <c r="AJ32" s="159"/>
    </row>
    <row r="33" spans="1:36" x14ac:dyDescent="0.35">
      <c r="A33" s="5" t="s">
        <v>810</v>
      </c>
      <c r="B33" s="159"/>
      <c r="C33" s="159"/>
      <c r="D33" s="159"/>
      <c r="E33" s="159"/>
      <c r="F33" s="159"/>
      <c r="G33" s="81">
        <v>-229.31999999999971</v>
      </c>
      <c r="H33" s="159"/>
      <c r="I33" s="159"/>
      <c r="J33" s="159"/>
      <c r="K33" s="510">
        <v>-229.31999999999971</v>
      </c>
      <c r="L33"/>
      <c r="N33"/>
      <c r="O33"/>
      <c r="P33"/>
      <c r="Q33"/>
      <c r="S33"/>
      <c r="T33"/>
      <c r="U33"/>
      <c r="V33"/>
      <c r="W33"/>
      <c r="X33"/>
      <c r="Y33"/>
      <c r="Z33"/>
      <c r="AG33" s="161"/>
      <c r="AH33" s="159"/>
      <c r="AI33" s="159"/>
      <c r="AJ33" s="159"/>
    </row>
    <row r="34" spans="1:36" x14ac:dyDescent="0.35">
      <c r="A34" s="5" t="s">
        <v>819</v>
      </c>
      <c r="B34" s="159"/>
      <c r="C34" s="159"/>
      <c r="D34" s="159">
        <v>-65775.509999999995</v>
      </c>
      <c r="E34" s="159"/>
      <c r="F34" s="159"/>
      <c r="G34" s="159"/>
      <c r="H34" s="159"/>
      <c r="I34" s="159"/>
      <c r="J34" s="159"/>
      <c r="K34" s="509">
        <v>-65775.509999999995</v>
      </c>
      <c r="N34"/>
      <c r="O34"/>
      <c r="P34"/>
      <c r="Q34"/>
      <c r="S34"/>
      <c r="T34"/>
      <c r="U34"/>
      <c r="V34"/>
      <c r="W34"/>
      <c r="X34"/>
      <c r="Y34"/>
      <c r="Z34"/>
      <c r="AG34" s="159"/>
      <c r="AH34" s="159"/>
      <c r="AI34" s="159"/>
      <c r="AJ34" s="159"/>
    </row>
    <row r="35" spans="1:36" x14ac:dyDescent="0.35">
      <c r="A35" s="5" t="s">
        <v>817</v>
      </c>
      <c r="B35" s="159"/>
      <c r="C35" s="159"/>
      <c r="D35" s="159"/>
      <c r="E35" s="159"/>
      <c r="F35" s="159">
        <v>0</v>
      </c>
      <c r="G35" s="159"/>
      <c r="H35" s="159"/>
      <c r="I35" s="159"/>
      <c r="J35" s="159"/>
      <c r="K35" s="509">
        <v>0</v>
      </c>
      <c r="N35"/>
      <c r="O35"/>
      <c r="P35"/>
      <c r="Q35"/>
      <c r="S35"/>
      <c r="T35"/>
      <c r="U35"/>
      <c r="V35"/>
      <c r="W35"/>
      <c r="X35"/>
      <c r="Y35"/>
      <c r="Z35"/>
      <c r="AG35" s="159"/>
    </row>
    <row r="36" spans="1:36" x14ac:dyDescent="0.35">
      <c r="A36" s="5" t="s">
        <v>870</v>
      </c>
      <c r="B36" s="159"/>
      <c r="C36" s="159"/>
      <c r="D36" s="159"/>
      <c r="E36" s="159"/>
      <c r="F36" s="159">
        <v>0</v>
      </c>
      <c r="G36" s="159"/>
      <c r="H36" s="159"/>
      <c r="I36" s="159"/>
      <c r="J36" s="159"/>
      <c r="K36" s="509">
        <v>0</v>
      </c>
      <c r="N36"/>
      <c r="O36"/>
      <c r="P36"/>
      <c r="Q36"/>
      <c r="S36"/>
      <c r="T36"/>
      <c r="U36"/>
      <c r="V36"/>
      <c r="W36"/>
      <c r="X36"/>
      <c r="Y36"/>
      <c r="Z36"/>
      <c r="AG36" s="159"/>
    </row>
    <row r="37" spans="1:36" x14ac:dyDescent="0.35">
      <c r="A37" s="5" t="s">
        <v>914</v>
      </c>
      <c r="B37" s="159">
        <v>0</v>
      </c>
      <c r="C37" s="159"/>
      <c r="D37" s="159"/>
      <c r="E37" s="159"/>
      <c r="F37" s="159">
        <v>694.79999999999927</v>
      </c>
      <c r="G37" s="161">
        <v>-79.12</v>
      </c>
      <c r="H37" s="81">
        <v>-8166.7000000000007</v>
      </c>
      <c r="I37" s="159"/>
      <c r="J37" s="159"/>
      <c r="K37" s="509">
        <v>-7551.0200000000013</v>
      </c>
      <c r="N37"/>
      <c r="O37"/>
      <c r="P37"/>
      <c r="Q37"/>
      <c r="S37"/>
      <c r="T37"/>
      <c r="U37"/>
      <c r="V37"/>
      <c r="W37"/>
      <c r="X37"/>
      <c r="Y37"/>
      <c r="Z37"/>
      <c r="AG37" s="159"/>
    </row>
    <row r="38" spans="1:36" x14ac:dyDescent="0.35">
      <c r="A38" s="5" t="s">
        <v>922</v>
      </c>
      <c r="B38" s="159"/>
      <c r="C38" s="159"/>
      <c r="D38" s="159"/>
      <c r="E38" s="159"/>
      <c r="F38" s="159"/>
      <c r="G38" s="81">
        <v>-24444.880000000005</v>
      </c>
      <c r="H38" s="159"/>
      <c r="I38" s="159"/>
      <c r="J38" s="159"/>
      <c r="K38" s="509">
        <v>-24444.880000000005</v>
      </c>
      <c r="N38"/>
      <c r="O38"/>
      <c r="P38"/>
      <c r="Q38"/>
      <c r="S38"/>
      <c r="T38"/>
      <c r="U38"/>
      <c r="V38"/>
      <c r="W38"/>
      <c r="X38"/>
      <c r="Y38"/>
      <c r="Z38"/>
      <c r="AG38" s="159"/>
    </row>
    <row r="39" spans="1:36" x14ac:dyDescent="0.35">
      <c r="A39" s="5" t="s">
        <v>991</v>
      </c>
      <c r="B39" s="159"/>
      <c r="C39" s="159"/>
      <c r="D39" s="159">
        <v>-9600</v>
      </c>
      <c r="E39" s="159"/>
      <c r="F39" s="159"/>
      <c r="G39" s="159"/>
      <c r="H39" s="159"/>
      <c r="I39" s="159"/>
      <c r="J39" s="159"/>
      <c r="K39" s="509">
        <v>-9600</v>
      </c>
      <c r="N39"/>
      <c r="O39"/>
      <c r="P39"/>
      <c r="Q39"/>
      <c r="S39"/>
      <c r="T39"/>
      <c r="U39"/>
      <c r="V39"/>
      <c r="W39"/>
      <c r="X39"/>
      <c r="Y39"/>
      <c r="Z39"/>
      <c r="AG39" s="159"/>
    </row>
    <row r="40" spans="1:36" x14ac:dyDescent="0.35">
      <c r="A40" s="5" t="s">
        <v>402</v>
      </c>
      <c r="B40" s="159">
        <v>0</v>
      </c>
      <c r="C40" s="159">
        <v>0</v>
      </c>
      <c r="D40" s="159">
        <v>-298741.897</v>
      </c>
      <c r="E40" s="159">
        <v>0</v>
      </c>
      <c r="F40" s="159">
        <v>20234.960000000003</v>
      </c>
      <c r="G40" s="81">
        <v>-37843.055000000015</v>
      </c>
      <c r="H40" s="81">
        <v>-24400.82</v>
      </c>
      <c r="I40" s="159">
        <v>-735.67999999999984</v>
      </c>
      <c r="J40" s="159">
        <v>-67760</v>
      </c>
      <c r="K40" s="509">
        <v>-409246.49200000003</v>
      </c>
      <c r="N40"/>
      <c r="O40"/>
      <c r="P40"/>
      <c r="Q40"/>
      <c r="S40"/>
      <c r="T40"/>
      <c r="U40"/>
      <c r="V40"/>
      <c r="W40"/>
      <c r="X40"/>
      <c r="Y40"/>
      <c r="Z40"/>
      <c r="AG40" s="159"/>
    </row>
    <row r="41" spans="1:36" x14ac:dyDescent="0.35">
      <c r="B41"/>
      <c r="C41"/>
      <c r="D41"/>
      <c r="E41"/>
      <c r="F41"/>
      <c r="G41"/>
      <c r="H41"/>
      <c r="I41"/>
      <c r="J41"/>
      <c r="K41"/>
      <c r="N41"/>
      <c r="O41"/>
      <c r="P41"/>
      <c r="Q41"/>
      <c r="S41"/>
      <c r="T41"/>
      <c r="U41"/>
      <c r="V41"/>
      <c r="W41"/>
      <c r="X41"/>
      <c r="Y41"/>
      <c r="Z41"/>
      <c r="AG41" s="159"/>
    </row>
    <row r="42" spans="1:36" x14ac:dyDescent="0.35">
      <c r="N42"/>
      <c r="O42"/>
      <c r="P42"/>
      <c r="Q42"/>
      <c r="S42"/>
      <c r="T42"/>
      <c r="U42"/>
      <c r="V42"/>
      <c r="W42"/>
      <c r="X42"/>
      <c r="Y42"/>
      <c r="Z42"/>
    </row>
    <row r="43" spans="1:36" x14ac:dyDescent="0.35">
      <c r="N43"/>
      <c r="O43"/>
      <c r="P43"/>
      <c r="Q43"/>
      <c r="S43"/>
      <c r="T43"/>
      <c r="U43"/>
      <c r="V43"/>
      <c r="W43"/>
      <c r="X43"/>
      <c r="Y43"/>
      <c r="Z43"/>
    </row>
    <row r="44" spans="1:36" x14ac:dyDescent="0.35">
      <c r="N44"/>
      <c r="O44"/>
      <c r="P44"/>
      <c r="Q44"/>
      <c r="S44"/>
      <c r="T44"/>
      <c r="U44"/>
      <c r="V44"/>
      <c r="W44"/>
      <c r="X44"/>
      <c r="Y44"/>
      <c r="Z44"/>
    </row>
    <row r="45" spans="1:36" x14ac:dyDescent="0.35">
      <c r="N45"/>
      <c r="O45"/>
      <c r="P45"/>
      <c r="Q45"/>
      <c r="S45"/>
      <c r="T45"/>
      <c r="U45"/>
      <c r="V45"/>
      <c r="W45"/>
      <c r="X45"/>
      <c r="Y45"/>
      <c r="Z45"/>
    </row>
    <row r="46" spans="1:36" x14ac:dyDescent="0.35">
      <c r="N46"/>
      <c r="O46"/>
      <c r="P46"/>
      <c r="Q46"/>
      <c r="S46"/>
      <c r="T46"/>
      <c r="U46"/>
      <c r="V46"/>
      <c r="W46"/>
      <c r="X46"/>
      <c r="Y46"/>
      <c r="Z46"/>
    </row>
    <row r="47" spans="1:36" x14ac:dyDescent="0.35">
      <c r="N47"/>
      <c r="O47"/>
      <c r="P47"/>
      <c r="Q47"/>
      <c r="S47"/>
      <c r="T47"/>
      <c r="U47"/>
      <c r="V47"/>
      <c r="W47"/>
      <c r="X47"/>
      <c r="Y47"/>
      <c r="Z47"/>
    </row>
    <row r="48" spans="1:36" x14ac:dyDescent="0.35">
      <c r="N48"/>
      <c r="O48"/>
      <c r="P48"/>
      <c r="Q48"/>
      <c r="S48"/>
      <c r="T48"/>
      <c r="U48"/>
      <c r="V48"/>
      <c r="W48"/>
      <c r="X48"/>
      <c r="Y48"/>
      <c r="Z48"/>
    </row>
    <row r="49" spans="14:26" x14ac:dyDescent="0.35">
      <c r="N49"/>
      <c r="O49"/>
      <c r="P49"/>
      <c r="Q49"/>
      <c r="S49"/>
      <c r="T49"/>
      <c r="U49"/>
      <c r="V49"/>
      <c r="W49"/>
      <c r="X49"/>
      <c r="Y49"/>
      <c r="Z49"/>
    </row>
    <row r="50" spans="14:26" x14ac:dyDescent="0.35">
      <c r="N50"/>
      <c r="O50"/>
      <c r="P50"/>
      <c r="Q50"/>
      <c r="S50"/>
      <c r="T50"/>
      <c r="U50"/>
      <c r="V50"/>
      <c r="W50"/>
      <c r="X50"/>
      <c r="Y50"/>
      <c r="Z50"/>
    </row>
    <row r="51" spans="14:26" x14ac:dyDescent="0.35">
      <c r="N51"/>
      <c r="O51"/>
      <c r="P51"/>
      <c r="Q51"/>
      <c r="S51"/>
      <c r="T51"/>
      <c r="U51"/>
      <c r="V51"/>
      <c r="W51"/>
      <c r="X51"/>
      <c r="Y51"/>
      <c r="Z51"/>
    </row>
    <row r="52" spans="14:26" x14ac:dyDescent="0.35">
      <c r="N52"/>
      <c r="O52"/>
      <c r="P52"/>
      <c r="Q52"/>
      <c r="S52"/>
      <c r="T52"/>
      <c r="U52"/>
      <c r="V52"/>
      <c r="W52"/>
      <c r="X52"/>
      <c r="Y52"/>
      <c r="Z52"/>
    </row>
    <row r="53" spans="14:26" x14ac:dyDescent="0.35">
      <c r="N53"/>
      <c r="O53"/>
      <c r="P53"/>
      <c r="Q53"/>
      <c r="S53"/>
      <c r="T53"/>
      <c r="U53"/>
      <c r="V53"/>
      <c r="W53"/>
      <c r="X53"/>
      <c r="Y53"/>
      <c r="Z53"/>
    </row>
    <row r="54" spans="14:26" x14ac:dyDescent="0.35">
      <c r="N54"/>
      <c r="O54"/>
      <c r="P54"/>
      <c r="Q54"/>
      <c r="S54"/>
      <c r="T54"/>
      <c r="U54"/>
      <c r="V54"/>
      <c r="W54"/>
      <c r="X54"/>
      <c r="Y54"/>
      <c r="Z54"/>
    </row>
    <row r="55" spans="14:26" x14ac:dyDescent="0.35">
      <c r="N55"/>
      <c r="O55"/>
      <c r="P55"/>
      <c r="Q55"/>
      <c r="S55"/>
      <c r="T55"/>
      <c r="U55"/>
      <c r="V55"/>
      <c r="W55"/>
      <c r="X55"/>
      <c r="Y55"/>
      <c r="Z55"/>
    </row>
    <row r="56" spans="14:26" x14ac:dyDescent="0.35">
      <c r="N56"/>
      <c r="O56"/>
      <c r="P56"/>
      <c r="Q56"/>
      <c r="S56"/>
      <c r="T56"/>
      <c r="U56"/>
      <c r="V56"/>
      <c r="W56"/>
      <c r="X56"/>
      <c r="Y56"/>
      <c r="Z56"/>
    </row>
    <row r="57" spans="14:26" x14ac:dyDescent="0.35">
      <c r="S57"/>
      <c r="T57"/>
      <c r="U57"/>
      <c r="V57"/>
      <c r="W57"/>
      <c r="X57"/>
      <c r="Y57"/>
      <c r="Z57"/>
    </row>
    <row r="58" spans="14:26" x14ac:dyDescent="0.35">
      <c r="S58"/>
      <c r="T58"/>
      <c r="U58"/>
      <c r="V58"/>
      <c r="W58"/>
      <c r="X58"/>
      <c r="Y58"/>
      <c r="Z58"/>
    </row>
    <row r="59" spans="14:26" x14ac:dyDescent="0.35">
      <c r="S59"/>
      <c r="T59"/>
      <c r="U59"/>
      <c r="V59"/>
      <c r="W59"/>
      <c r="X59"/>
      <c r="Y59"/>
      <c r="Z59"/>
    </row>
    <row r="60" spans="14:26" x14ac:dyDescent="0.35">
      <c r="S60"/>
      <c r="T60"/>
      <c r="U60"/>
      <c r="V60"/>
      <c r="W60"/>
      <c r="X60"/>
      <c r="Y60"/>
      <c r="Z60"/>
    </row>
    <row r="61" spans="14:26" x14ac:dyDescent="0.35">
      <c r="S61"/>
      <c r="T61"/>
      <c r="U61"/>
      <c r="V61"/>
      <c r="W61"/>
      <c r="X61"/>
      <c r="Y61"/>
      <c r="Z61"/>
    </row>
    <row r="62" spans="14:26" x14ac:dyDescent="0.35">
      <c r="S62"/>
      <c r="T62"/>
      <c r="U62"/>
      <c r="V62"/>
      <c r="W62"/>
      <c r="X62"/>
      <c r="Y62"/>
      <c r="Z62"/>
    </row>
    <row r="63" spans="14:26" x14ac:dyDescent="0.35">
      <c r="S63"/>
      <c r="T63"/>
      <c r="U63"/>
      <c r="V63"/>
      <c r="W63"/>
      <c r="X63"/>
      <c r="Y63"/>
      <c r="Z63"/>
    </row>
    <row r="64" spans="14:26" x14ac:dyDescent="0.35">
      <c r="S64"/>
      <c r="T64"/>
      <c r="U64"/>
      <c r="V64"/>
      <c r="W64"/>
      <c r="X64"/>
      <c r="Y64"/>
      <c r="Z64"/>
    </row>
    <row r="65" spans="19:26" x14ac:dyDescent="0.35">
      <c r="S65"/>
      <c r="T65"/>
      <c r="U65"/>
      <c r="V65"/>
      <c r="W65"/>
      <c r="X65"/>
      <c r="Y65"/>
      <c r="Z65"/>
    </row>
    <row r="66" spans="19:26" x14ac:dyDescent="0.35">
      <c r="S66"/>
      <c r="T66"/>
      <c r="U66"/>
      <c r="V66"/>
      <c r="W66"/>
      <c r="X66"/>
      <c r="Y66"/>
      <c r="Z66"/>
    </row>
    <row r="67" spans="19:26" x14ac:dyDescent="0.35">
      <c r="S67"/>
      <c r="T67"/>
      <c r="U67"/>
      <c r="V67"/>
      <c r="W67"/>
      <c r="X67"/>
      <c r="Y67"/>
      <c r="Z67"/>
    </row>
    <row r="68" spans="19:26" x14ac:dyDescent="0.35">
      <c r="S68"/>
      <c r="T68"/>
      <c r="U68"/>
      <c r="V68"/>
      <c r="W68"/>
      <c r="X68"/>
      <c r="Y68"/>
      <c r="Z68"/>
    </row>
    <row r="69" spans="19:26" x14ac:dyDescent="0.35">
      <c r="S69"/>
      <c r="T69"/>
      <c r="U69"/>
      <c r="V69"/>
      <c r="W69"/>
      <c r="X69"/>
      <c r="Y69"/>
      <c r="Z69"/>
    </row>
    <row r="70" spans="19:26" x14ac:dyDescent="0.35">
      <c r="S70"/>
      <c r="T70"/>
      <c r="U70"/>
      <c r="V70"/>
      <c r="W70"/>
      <c r="X70"/>
      <c r="Y70"/>
      <c r="Z70"/>
    </row>
    <row r="71" spans="19:26" x14ac:dyDescent="0.35">
      <c r="S71"/>
      <c r="T71"/>
      <c r="U71"/>
      <c r="V71"/>
      <c r="W71"/>
      <c r="X71"/>
      <c r="Y71"/>
      <c r="Z71"/>
    </row>
    <row r="72" spans="19:26" x14ac:dyDescent="0.35">
      <c r="S72"/>
      <c r="T72"/>
      <c r="U72"/>
      <c r="V72"/>
      <c r="W72"/>
      <c r="X72"/>
      <c r="Y72"/>
      <c r="Z72"/>
    </row>
    <row r="73" spans="19:26" x14ac:dyDescent="0.35">
      <c r="S73"/>
      <c r="T73"/>
      <c r="U73"/>
      <c r="V73"/>
      <c r="W73"/>
      <c r="X73"/>
      <c r="Y73"/>
      <c r="Z73"/>
    </row>
    <row r="74" spans="19:26" x14ac:dyDescent="0.35">
      <c r="S74"/>
      <c r="T74"/>
      <c r="U74"/>
      <c r="V74"/>
      <c r="W74"/>
      <c r="X74"/>
      <c r="Y74"/>
      <c r="Z74"/>
    </row>
    <row r="75" spans="19:26" x14ac:dyDescent="0.35">
      <c r="S75"/>
      <c r="T75"/>
      <c r="U75"/>
      <c r="V75"/>
      <c r="W75"/>
      <c r="X75"/>
      <c r="Y75"/>
      <c r="Z75"/>
    </row>
    <row r="76" spans="19:26" x14ac:dyDescent="0.35">
      <c r="S76"/>
      <c r="T76"/>
      <c r="U76"/>
      <c r="V76"/>
      <c r="W76"/>
      <c r="X76"/>
      <c r="Y76"/>
      <c r="Z76"/>
    </row>
    <row r="77" spans="19:26" x14ac:dyDescent="0.35">
      <c r="S77"/>
      <c r="T77"/>
      <c r="U77"/>
      <c r="V77"/>
      <c r="W77"/>
      <c r="X77"/>
      <c r="Y77"/>
      <c r="Z77"/>
    </row>
    <row r="78" spans="19:26" x14ac:dyDescent="0.35">
      <c r="S78"/>
      <c r="T78"/>
      <c r="U78"/>
      <c r="V78"/>
      <c r="W78"/>
      <c r="X78"/>
      <c r="Y78"/>
      <c r="Z78"/>
    </row>
    <row r="79" spans="19:26" x14ac:dyDescent="0.35">
      <c r="S79"/>
      <c r="T79"/>
      <c r="U79"/>
      <c r="V79"/>
      <c r="W79"/>
      <c r="X79"/>
      <c r="Y79"/>
      <c r="Z79"/>
    </row>
    <row r="80" spans="19:26" x14ac:dyDescent="0.35">
      <c r="S80"/>
      <c r="T80"/>
      <c r="U80"/>
      <c r="V80"/>
      <c r="W80"/>
      <c r="X80"/>
      <c r="Y80"/>
      <c r="Z80"/>
    </row>
    <row r="81" spans="19:26" x14ac:dyDescent="0.35">
      <c r="S81"/>
      <c r="T81"/>
      <c r="U81"/>
      <c r="V81"/>
      <c r="W81"/>
      <c r="X81"/>
      <c r="Y81"/>
      <c r="Z81"/>
    </row>
    <row r="82" spans="19:26" x14ac:dyDescent="0.35">
      <c r="S82"/>
      <c r="T82"/>
      <c r="U82"/>
      <c r="V82"/>
      <c r="W82"/>
      <c r="X82"/>
      <c r="Y82"/>
      <c r="Z82"/>
    </row>
    <row r="83" spans="19:26" x14ac:dyDescent="0.35">
      <c r="S83"/>
      <c r="T83"/>
      <c r="U83"/>
      <c r="V83"/>
      <c r="W83"/>
      <c r="X83"/>
      <c r="Y83"/>
      <c r="Z83"/>
    </row>
    <row r="84" spans="19:26" x14ac:dyDescent="0.35">
      <c r="S84"/>
      <c r="T84"/>
      <c r="U84"/>
      <c r="V84"/>
      <c r="W84"/>
      <c r="X84"/>
      <c r="Y84"/>
      <c r="Z84"/>
    </row>
    <row r="85" spans="19:26" x14ac:dyDescent="0.35">
      <c r="S85"/>
      <c r="T85"/>
      <c r="U85"/>
      <c r="V85"/>
      <c r="W85"/>
      <c r="X85"/>
      <c r="Y85"/>
      <c r="Z85"/>
    </row>
    <row r="86" spans="19:26" x14ac:dyDescent="0.35">
      <c r="S86"/>
      <c r="T86"/>
      <c r="U86"/>
      <c r="V86"/>
      <c r="W86"/>
      <c r="X86"/>
      <c r="Y86"/>
      <c r="Z86"/>
    </row>
    <row r="87" spans="19:26" x14ac:dyDescent="0.35">
      <c r="S87"/>
      <c r="T87"/>
      <c r="U87"/>
      <c r="V87"/>
      <c r="W87"/>
      <c r="X87"/>
      <c r="Y87"/>
      <c r="Z87"/>
    </row>
    <row r="88" spans="19:26" x14ac:dyDescent="0.35">
      <c r="S88"/>
      <c r="T88"/>
      <c r="U88"/>
      <c r="V88"/>
      <c r="W88"/>
      <c r="X88"/>
      <c r="Y88"/>
      <c r="Z88"/>
    </row>
    <row r="89" spans="19:26" x14ac:dyDescent="0.35">
      <c r="S89"/>
      <c r="T89"/>
      <c r="U89"/>
      <c r="V89"/>
      <c r="W89"/>
      <c r="X89"/>
      <c r="Y89"/>
      <c r="Z89"/>
    </row>
    <row r="90" spans="19:26" x14ac:dyDescent="0.35">
      <c r="S90"/>
      <c r="T90"/>
      <c r="U90"/>
      <c r="V90"/>
      <c r="W90"/>
      <c r="X90"/>
      <c r="Y90"/>
      <c r="Z90"/>
    </row>
    <row r="91" spans="19:26" x14ac:dyDescent="0.35">
      <c r="S91"/>
      <c r="T91"/>
      <c r="U91"/>
      <c r="V91"/>
      <c r="W91"/>
      <c r="X91"/>
      <c r="Y91"/>
      <c r="Z91"/>
    </row>
    <row r="92" spans="19:26" x14ac:dyDescent="0.35">
      <c r="S92"/>
      <c r="T92"/>
      <c r="U92"/>
      <c r="V92"/>
      <c r="W92"/>
      <c r="X92"/>
      <c r="Y92"/>
      <c r="Z92"/>
    </row>
    <row r="93" spans="19:26" x14ac:dyDescent="0.35">
      <c r="S93"/>
      <c r="T93"/>
      <c r="U93"/>
      <c r="V93"/>
      <c r="W93"/>
      <c r="X93"/>
      <c r="Y93"/>
      <c r="Z93"/>
    </row>
    <row r="94" spans="19:26" x14ac:dyDescent="0.35">
      <c r="S94"/>
      <c r="T94"/>
      <c r="U94"/>
      <c r="V94"/>
      <c r="W94"/>
      <c r="X94"/>
      <c r="Y94"/>
      <c r="Z94"/>
    </row>
    <row r="95" spans="19:26" x14ac:dyDescent="0.35">
      <c r="S95"/>
      <c r="T95"/>
      <c r="U95"/>
      <c r="V95"/>
      <c r="W95"/>
      <c r="X95"/>
      <c r="Y95"/>
      <c r="Z95"/>
    </row>
  </sheetData>
  <mergeCells count="3">
    <mergeCell ref="A1:I1"/>
    <mergeCell ref="AK1:AM1"/>
    <mergeCell ref="S1:U1"/>
  </mergeCells>
  <conditionalFormatting sqref="A3:L4 AK4:AM4 AK5:AK32 A5:A32 L5:L32">
    <cfRule type="cellIs" dxfId="780" priority="4" operator="lessThan">
      <formula>0</formula>
    </cfRule>
  </conditionalFormatting>
  <conditionalFormatting sqref="AN3:AS4">
    <cfRule type="cellIs" dxfId="779" priority="3" operator="lessThan">
      <formula>0</formula>
    </cfRule>
  </conditionalFormatting>
  <conditionalFormatting pivot="1" sqref="AQ8 AQ9 AQ10 AQ11">
    <cfRule type="cellIs" dxfId="778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54A8-4CF6-4A06-8DFA-3A9F9A516BA3}">
  <dimension ref="A1:C18"/>
  <sheetViews>
    <sheetView showGridLines="0" workbookViewId="0">
      <selection activeCell="C17" sqref="C17"/>
    </sheetView>
  </sheetViews>
  <sheetFormatPr baseColWidth="10" defaultColWidth="10.90625" defaultRowHeight="14.5" x14ac:dyDescent="0.35"/>
  <cols>
    <col min="1" max="1" width="18.1796875" bestFit="1" customWidth="1"/>
    <col min="2" max="2" width="7" bestFit="1" customWidth="1"/>
    <col min="3" max="4" width="18.1796875" bestFit="1" customWidth="1"/>
    <col min="5" max="5" width="53.1796875" bestFit="1" customWidth="1"/>
  </cols>
  <sheetData>
    <row r="1" spans="1:3" x14ac:dyDescent="0.35">
      <c r="A1" s="108"/>
      <c r="B1" s="109"/>
      <c r="C1" s="110"/>
    </row>
    <row r="2" spans="1:3" x14ac:dyDescent="0.35">
      <c r="A2" s="111"/>
      <c r="B2" s="112"/>
      <c r="C2" s="113"/>
    </row>
    <row r="3" spans="1:3" x14ac:dyDescent="0.35">
      <c r="A3" s="111"/>
      <c r="B3" s="112"/>
      <c r="C3" s="113"/>
    </row>
    <row r="4" spans="1:3" x14ac:dyDescent="0.35">
      <c r="A4" s="111"/>
      <c r="B4" s="112"/>
      <c r="C4" s="113"/>
    </row>
    <row r="5" spans="1:3" x14ac:dyDescent="0.35">
      <c r="A5" s="111"/>
      <c r="B5" s="112"/>
      <c r="C5" s="113"/>
    </row>
    <row r="6" spans="1:3" x14ac:dyDescent="0.35">
      <c r="A6" s="111"/>
      <c r="B6" s="112"/>
      <c r="C6" s="113"/>
    </row>
    <row r="7" spans="1:3" x14ac:dyDescent="0.35">
      <c r="A7" s="111"/>
      <c r="B7" s="112"/>
      <c r="C7" s="113"/>
    </row>
    <row r="8" spans="1:3" x14ac:dyDescent="0.35">
      <c r="A8" s="111"/>
      <c r="B8" s="112"/>
      <c r="C8" s="113"/>
    </row>
    <row r="9" spans="1:3" x14ac:dyDescent="0.35">
      <c r="A9" s="111"/>
      <c r="B9" s="112"/>
      <c r="C9" s="113"/>
    </row>
    <row r="10" spans="1:3" x14ac:dyDescent="0.35">
      <c r="A10" s="111"/>
      <c r="B10" s="112"/>
      <c r="C10" s="113"/>
    </row>
    <row r="11" spans="1:3" x14ac:dyDescent="0.35">
      <c r="A11" s="111"/>
      <c r="B11" s="112"/>
      <c r="C11" s="113"/>
    </row>
    <row r="12" spans="1:3" x14ac:dyDescent="0.35">
      <c r="A12" s="111"/>
      <c r="B12" s="112"/>
      <c r="C12" s="113"/>
    </row>
    <row r="13" spans="1:3" x14ac:dyDescent="0.35">
      <c r="A13" s="111"/>
      <c r="B13" s="112"/>
      <c r="C13" s="113"/>
    </row>
    <row r="14" spans="1:3" x14ac:dyDescent="0.35">
      <c r="A14" s="111"/>
      <c r="B14" s="112"/>
      <c r="C14" s="113"/>
    </row>
    <row r="15" spans="1:3" x14ac:dyDescent="0.35">
      <c r="A15" s="111"/>
      <c r="B15" s="112"/>
      <c r="C15" s="113"/>
    </row>
    <row r="16" spans="1:3" x14ac:dyDescent="0.35">
      <c r="A16" s="111"/>
      <c r="B16" s="112"/>
      <c r="C16" s="113"/>
    </row>
    <row r="17" spans="1:3" x14ac:dyDescent="0.35">
      <c r="A17" s="111"/>
      <c r="B17" s="112"/>
      <c r="C17" s="113"/>
    </row>
    <row r="18" spans="1:3" x14ac:dyDescent="0.35">
      <c r="A18" s="114"/>
      <c r="B18" s="115"/>
      <c r="C18" s="1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861D-ED63-46E8-BAE5-054CC56FCC5D}">
  <dimension ref="B1:J67"/>
  <sheetViews>
    <sheetView showGridLines="0" workbookViewId="0">
      <pane xSplit="3" ySplit="3" topLeftCell="D9" activePane="bottomRight" state="frozen"/>
      <selection pane="topRight" activeCell="C1" sqref="C1"/>
      <selection pane="bottomLeft" activeCell="A4" sqref="A4"/>
      <selection pane="bottomRight" activeCell="I65" sqref="I65"/>
    </sheetView>
  </sheetViews>
  <sheetFormatPr baseColWidth="10" defaultColWidth="9.1796875" defaultRowHeight="14.5" x14ac:dyDescent="0.35"/>
  <cols>
    <col min="1" max="1" width="1.1796875" customWidth="1"/>
    <col min="2" max="2" width="22.81640625" customWidth="1"/>
    <col min="3" max="3" width="33.54296875" customWidth="1"/>
    <col min="4" max="4" width="16" customWidth="1"/>
    <col min="5" max="5" width="16.1796875" customWidth="1"/>
    <col min="6" max="6" width="16.81640625" customWidth="1"/>
    <col min="7" max="7" width="11.54296875" customWidth="1"/>
    <col min="8" max="8" width="13.54296875" customWidth="1"/>
    <col min="9" max="9" width="49" customWidth="1"/>
    <col min="10" max="10" width="57.6328125" customWidth="1"/>
  </cols>
  <sheetData>
    <row r="1" spans="2:10" x14ac:dyDescent="0.35">
      <c r="B1" s="3" t="s">
        <v>340</v>
      </c>
      <c r="C1" s="3"/>
      <c r="D1" s="85">
        <f ca="1">TODAY()</f>
        <v>46296</v>
      </c>
      <c r="I1" t="s">
        <v>682</v>
      </c>
    </row>
    <row r="3" spans="2:10" ht="36.75" customHeight="1" x14ac:dyDescent="0.35">
      <c r="B3" s="89" t="s">
        <v>2</v>
      </c>
      <c r="C3" s="22" t="s">
        <v>543</v>
      </c>
      <c r="D3" s="24" t="s">
        <v>538</v>
      </c>
      <c r="E3" s="24" t="s">
        <v>588</v>
      </c>
      <c r="F3" s="24" t="s">
        <v>501</v>
      </c>
      <c r="G3" s="24" t="s">
        <v>539</v>
      </c>
      <c r="H3" s="24" t="s">
        <v>628</v>
      </c>
      <c r="I3" s="24" t="s">
        <v>591</v>
      </c>
      <c r="J3" s="4" t="s">
        <v>6</v>
      </c>
    </row>
    <row r="4" spans="2:10" hidden="1" x14ac:dyDescent="0.35">
      <c r="B4" t="s">
        <v>570</v>
      </c>
      <c r="C4" t="s">
        <v>572</v>
      </c>
      <c r="D4" s="101">
        <v>25047.07</v>
      </c>
      <c r="E4" s="204">
        <f>23905+1142.07</f>
        <v>25047.07</v>
      </c>
      <c r="F4" s="162">
        <f>Tabela13[[#This Row],[TOTAL VALUE 
INVOICE US$]]-Tabela13[[#This Row],[ADVANCE PAYMENT /CREDIT NOTE
US$]]</f>
        <v>0</v>
      </c>
      <c r="G4" s="105" t="s">
        <v>525</v>
      </c>
      <c r="H4" s="1" t="s">
        <v>525</v>
      </c>
      <c r="I4" s="91">
        <v>46076</v>
      </c>
      <c r="J4" s="106" t="s">
        <v>630</v>
      </c>
    </row>
    <row r="5" spans="2:10" hidden="1" x14ac:dyDescent="0.35">
      <c r="B5" t="s">
        <v>552</v>
      </c>
      <c r="C5" s="50" t="s">
        <v>401</v>
      </c>
      <c r="D5" s="101">
        <f>15772.24+346.92</f>
        <v>16119.16</v>
      </c>
      <c r="E5" s="204">
        <f>4929.86+5597.15+5592.15</f>
        <v>16119.159999999998</v>
      </c>
      <c r="F5" s="162">
        <f>Tabela13[[#This Row],[TOTAL VALUE 
INVOICE US$]]-Tabela13[[#This Row],[ADVANCE PAYMENT /CREDIT NOTE
US$]]</f>
        <v>0</v>
      </c>
      <c r="G5" s="215" t="s">
        <v>575</v>
      </c>
      <c r="H5" s="1" t="s">
        <v>525</v>
      </c>
      <c r="I5" s="214" t="s">
        <v>686</v>
      </c>
      <c r="J5" s="216" t="s">
        <v>662</v>
      </c>
    </row>
    <row r="6" spans="2:10" hidden="1" x14ac:dyDescent="0.35">
      <c r="B6" t="s">
        <v>544</v>
      </c>
      <c r="C6" t="s">
        <v>291</v>
      </c>
      <c r="D6" s="101">
        <v>6482.4</v>
      </c>
      <c r="E6" s="1"/>
      <c r="F6" s="162">
        <f>Tabela13[[#This Row],[TOTAL VALUE 
INVOICE US$]]-Tabela13[[#This Row],[ADVANCE PAYMENT /CREDIT NOTE
US$]]</f>
        <v>6482.4</v>
      </c>
      <c r="G6" s="312" t="s">
        <v>525</v>
      </c>
      <c r="H6" s="1" t="s">
        <v>525</v>
      </c>
      <c r="I6" s="214">
        <v>46121</v>
      </c>
      <c r="J6" s="216" t="s">
        <v>688</v>
      </c>
    </row>
    <row r="7" spans="2:10" hidden="1" x14ac:dyDescent="0.35">
      <c r="B7" s="50" t="s">
        <v>536</v>
      </c>
      <c r="C7" s="50" t="s">
        <v>277</v>
      </c>
      <c r="D7" s="101">
        <v>20124.810000000001</v>
      </c>
      <c r="E7" s="204">
        <f>11502.5+8622.31</f>
        <v>20124.809999999998</v>
      </c>
      <c r="F7" s="162">
        <f>Tabela13[[#This Row],[TOTAL VALUE 
INVOICE US$]]-Tabela13[[#This Row],[ADVANCE PAYMENT /CREDIT NOTE
US$]]</f>
        <v>0</v>
      </c>
      <c r="G7" s="99" t="s">
        <v>525</v>
      </c>
      <c r="H7" s="1" t="s">
        <v>525</v>
      </c>
      <c r="I7" s="91"/>
      <c r="J7" s="104" t="s">
        <v>593</v>
      </c>
    </row>
    <row r="8" spans="2:10" hidden="1" x14ac:dyDescent="0.35">
      <c r="B8" t="s">
        <v>537</v>
      </c>
      <c r="C8" s="50" t="s">
        <v>469</v>
      </c>
      <c r="D8" s="392">
        <v>13678.46</v>
      </c>
      <c r="E8" s="392">
        <f>3633.73+10044</f>
        <v>13677.73</v>
      </c>
      <c r="F8" s="162">
        <f>Tabela13[[#This Row],[TOTAL VALUE 
INVOICE US$]]-Tabela13[[#This Row],[ADVANCE PAYMENT /CREDIT NOTE
US$]]</f>
        <v>0.72999999999956344</v>
      </c>
      <c r="G8" s="215" t="s">
        <v>608</v>
      </c>
      <c r="H8" s="1" t="s">
        <v>525</v>
      </c>
      <c r="I8" s="214" t="s">
        <v>692</v>
      </c>
      <c r="J8" s="216" t="s">
        <v>827</v>
      </c>
    </row>
    <row r="9" spans="2:10" x14ac:dyDescent="0.35">
      <c r="B9" s="97" t="s">
        <v>531</v>
      </c>
      <c r="C9" s="409" t="s">
        <v>532</v>
      </c>
      <c r="D9" s="410">
        <v>44228.245000000003</v>
      </c>
      <c r="E9" s="411">
        <v>44083.25</v>
      </c>
      <c r="F9" s="412">
        <f>Tabela13[[#This Row],[TOTAL VALUE 
INVOICE US$]]-Tabela13[[#This Row],[ADVANCE PAYMENT /CREDIT NOTE
US$]]</f>
        <v>144.99500000000262</v>
      </c>
      <c r="G9" s="416" t="s">
        <v>575</v>
      </c>
      <c r="H9" s="413" t="s">
        <v>828</v>
      </c>
      <c r="I9" s="414" t="s">
        <v>830</v>
      </c>
      <c r="J9" s="415" t="s">
        <v>633</v>
      </c>
    </row>
    <row r="10" spans="2:10" hidden="1" x14ac:dyDescent="0.35">
      <c r="B10" t="s">
        <v>512</v>
      </c>
      <c r="C10" t="s">
        <v>285</v>
      </c>
      <c r="D10" s="101">
        <v>6552</v>
      </c>
      <c r="E10" s="101"/>
      <c r="F10" s="162">
        <f>Tabela13[[#This Row],[TOTAL VALUE 
INVOICE US$]]-Tabela13[[#This Row],[ADVANCE PAYMENT /CREDIT NOTE
US$]]</f>
        <v>6552</v>
      </c>
      <c r="G10" s="102" t="s">
        <v>525</v>
      </c>
      <c r="H10" s="1" t="s">
        <v>525</v>
      </c>
      <c r="I10" s="86"/>
      <c r="J10" s="21" t="s">
        <v>542</v>
      </c>
    </row>
    <row r="11" spans="2:10" hidden="1" x14ac:dyDescent="0.35">
      <c r="B11" s="103" t="s">
        <v>512</v>
      </c>
      <c r="C11" s="50" t="s">
        <v>567</v>
      </c>
      <c r="D11" s="101">
        <v>19504.93</v>
      </c>
      <c r="E11" s="204">
        <v>19504.93</v>
      </c>
      <c r="F11" s="162">
        <f>Tabela13[[#This Row],[TOTAL VALUE 
INVOICE US$]]-Tabela13[[#This Row],[ADVANCE PAYMENT /CREDIT NOTE
US$]]</f>
        <v>0</v>
      </c>
      <c r="G11" s="88" t="s">
        <v>525</v>
      </c>
      <c r="H11" s="1" t="s">
        <v>525</v>
      </c>
      <c r="J11" t="s">
        <v>564</v>
      </c>
    </row>
    <row r="12" spans="2:10" hidden="1" x14ac:dyDescent="0.35">
      <c r="B12" s="50" t="s">
        <v>510</v>
      </c>
      <c r="C12" s="61" t="s">
        <v>401</v>
      </c>
      <c r="D12" s="26">
        <v>13908.91</v>
      </c>
      <c r="E12" s="204">
        <f>'GESTAO CREDITO E PAGAMENTOS'!M70</f>
        <v>18900.77</v>
      </c>
      <c r="F12" s="162">
        <f>Tabela13[[#This Row],[TOTAL VALUE 
INVOICE US$]]-Tabela13[[#This Row],[ADVANCE PAYMENT /CREDIT NOTE
US$]]</f>
        <v>-4991.8600000000006</v>
      </c>
      <c r="G12" s="215" t="s">
        <v>525</v>
      </c>
      <c r="H12" s="1" t="s">
        <v>525</v>
      </c>
      <c r="I12" s="91" t="s">
        <v>606</v>
      </c>
      <c r="J12" s="216" t="s">
        <v>720</v>
      </c>
    </row>
    <row r="13" spans="2:10" hidden="1" x14ac:dyDescent="0.35">
      <c r="B13" s="95" t="s">
        <v>505</v>
      </c>
      <c r="C13" s="50" t="s">
        <v>291</v>
      </c>
      <c r="D13" s="101">
        <v>4288.53</v>
      </c>
      <c r="E13" s="204"/>
      <c r="F13" s="162">
        <f>Tabela13[[#This Row],[TOTAL VALUE 
INVOICE US$]]-Tabela13[[#This Row],[ADVANCE PAYMENT /CREDIT NOTE
US$]]</f>
        <v>4288.53</v>
      </c>
      <c r="G13" s="88" t="s">
        <v>525</v>
      </c>
      <c r="H13" s="1" t="s">
        <v>525</v>
      </c>
      <c r="I13" s="91"/>
      <c r="J13" s="87"/>
    </row>
    <row r="14" spans="2:10" hidden="1" x14ac:dyDescent="0.35">
      <c r="B14" t="s">
        <v>506</v>
      </c>
      <c r="C14" s="50" t="s">
        <v>291</v>
      </c>
      <c r="D14" s="101">
        <v>2826</v>
      </c>
      <c r="E14" s="204">
        <v>2826</v>
      </c>
      <c r="F14" s="162">
        <f>Tabela13[[#This Row],[TOTAL VALUE 
INVOICE US$]]-Tabela13[[#This Row],[ADVANCE PAYMENT /CREDIT NOTE
US$]]</f>
        <v>0</v>
      </c>
      <c r="G14" s="99" t="s">
        <v>525</v>
      </c>
      <c r="H14" s="1" t="s">
        <v>525</v>
      </c>
      <c r="I14" s="91"/>
      <c r="J14" s="104" t="s">
        <v>593</v>
      </c>
    </row>
    <row r="15" spans="2:10" hidden="1" x14ac:dyDescent="0.35">
      <c r="B15" s="95" t="s">
        <v>498</v>
      </c>
      <c r="C15" t="s">
        <v>303</v>
      </c>
      <c r="D15" s="101">
        <v>738.92</v>
      </c>
      <c r="E15" s="101">
        <v>694.8</v>
      </c>
      <c r="F15" s="162">
        <f>Tabela13[[#This Row],[TOTAL VALUE 
INVOICE US$]]-Tabela13[[#This Row],[ADVANCE PAYMENT /CREDIT NOTE
US$]]</f>
        <v>44.120000000000005</v>
      </c>
      <c r="G15" s="82" t="s">
        <v>525</v>
      </c>
      <c r="H15" s="1" t="s">
        <v>525</v>
      </c>
      <c r="I15" s="93" t="s">
        <v>557</v>
      </c>
      <c r="J15" s="87" t="s">
        <v>559</v>
      </c>
    </row>
    <row r="16" spans="2:10" hidden="1" x14ac:dyDescent="0.35">
      <c r="B16" s="96" t="s">
        <v>513</v>
      </c>
      <c r="C16" t="s">
        <v>514</v>
      </c>
      <c r="D16" s="101">
        <f>6554.95</f>
        <v>6554.95</v>
      </c>
      <c r="E16" s="101">
        <v>2000</v>
      </c>
      <c r="F16" s="162">
        <f>Tabela13[[#This Row],[TOTAL VALUE 
INVOICE US$]]-Tabela13[[#This Row],[ADVANCE PAYMENT /CREDIT NOTE
US$]]</f>
        <v>4554.95</v>
      </c>
      <c r="G16" s="102" t="s">
        <v>525</v>
      </c>
      <c r="H16" s="1" t="s">
        <v>525</v>
      </c>
      <c r="I16" s="93">
        <v>45987</v>
      </c>
      <c r="J16" s="87" t="s">
        <v>560</v>
      </c>
    </row>
    <row r="17" spans="2:10" hidden="1" x14ac:dyDescent="0.35">
      <c r="B17" t="s">
        <v>476</v>
      </c>
      <c r="C17" t="s">
        <v>478</v>
      </c>
      <c r="D17" s="101">
        <v>29893.05</v>
      </c>
      <c r="E17" s="101">
        <v>5310</v>
      </c>
      <c r="F17" s="162">
        <f>Tabela13[[#This Row],[TOTAL VALUE 
INVOICE US$]]-Tabela13[[#This Row],[ADVANCE PAYMENT /CREDIT NOTE
US$]]</f>
        <v>24583.05</v>
      </c>
      <c r="G17" s="82" t="s">
        <v>502</v>
      </c>
      <c r="H17" s="1" t="s">
        <v>525</v>
      </c>
      <c r="I17" s="86" t="s">
        <v>546</v>
      </c>
      <c r="J17" s="87" t="s">
        <v>540</v>
      </c>
    </row>
    <row r="18" spans="2:10" hidden="1" x14ac:dyDescent="0.35">
      <c r="B18" s="61" t="s">
        <v>475</v>
      </c>
      <c r="C18" s="97" t="s">
        <v>477</v>
      </c>
      <c r="D18" s="101">
        <v>16624.3</v>
      </c>
      <c r="E18" s="393">
        <v>16624.3</v>
      </c>
      <c r="F18" s="162">
        <f>Tabela13[[#This Row],[TOTAL VALUE 
INVOICE US$]]-Tabela13[[#This Row],[ADVANCE PAYMENT /CREDIT NOTE
US$]]</f>
        <v>0</v>
      </c>
      <c r="G18" s="82" t="s">
        <v>525</v>
      </c>
      <c r="H18" s="1" t="s">
        <v>525</v>
      </c>
      <c r="I18" s="93" t="s">
        <v>568</v>
      </c>
      <c r="J18" s="98" t="s">
        <v>569</v>
      </c>
    </row>
    <row r="19" spans="2:10" hidden="1" x14ac:dyDescent="0.35">
      <c r="B19" t="s">
        <v>465</v>
      </c>
      <c r="C19" t="s">
        <v>547</v>
      </c>
      <c r="D19" s="101">
        <v>14004.62</v>
      </c>
      <c r="E19" s="101">
        <v>0</v>
      </c>
      <c r="F19" s="162">
        <f>Tabela13[[#This Row],[TOTAL VALUE 
INVOICE US$]]-Tabela13[[#This Row],[ADVANCE PAYMENT /CREDIT NOTE
US$]]</f>
        <v>14004.62</v>
      </c>
      <c r="G19" s="82" t="s">
        <v>525</v>
      </c>
      <c r="H19" s="1" t="s">
        <v>525</v>
      </c>
      <c r="I19" s="90">
        <v>45974</v>
      </c>
      <c r="J19" s="92" t="s">
        <v>548</v>
      </c>
    </row>
    <row r="20" spans="2:10" hidden="1" x14ac:dyDescent="0.35">
      <c r="B20" s="50" t="s">
        <v>464</v>
      </c>
      <c r="C20" t="s">
        <v>515</v>
      </c>
      <c r="D20" s="101">
        <v>33840.5</v>
      </c>
      <c r="E20" s="101">
        <v>0</v>
      </c>
      <c r="F20" s="162">
        <f>Tabela13[[#This Row],[TOTAL VALUE 
INVOICE US$]]-Tabela13[[#This Row],[ADVANCE PAYMENT /CREDIT NOTE
US$]]</f>
        <v>33840.5</v>
      </c>
      <c r="G20" s="82" t="s">
        <v>525</v>
      </c>
      <c r="H20" s="1" t="s">
        <v>525</v>
      </c>
      <c r="I20" s="86"/>
      <c r="J20" s="87" t="s">
        <v>545</v>
      </c>
    </row>
    <row r="21" spans="2:10" hidden="1" x14ac:dyDescent="0.35">
      <c r="B21" s="95" t="s">
        <v>440</v>
      </c>
      <c r="C21" t="s">
        <v>303</v>
      </c>
      <c r="D21" s="101">
        <v>12464.3</v>
      </c>
      <c r="E21" s="101">
        <v>12429.3</v>
      </c>
      <c r="F21" s="162">
        <f>Tabela13[[#This Row],[TOTAL VALUE 
INVOICE US$]]-Tabela13[[#This Row],[ADVANCE PAYMENT /CREDIT NOTE
US$]]</f>
        <v>35</v>
      </c>
      <c r="G21" s="82" t="s">
        <v>525</v>
      </c>
      <c r="H21" s="1" t="s">
        <v>525</v>
      </c>
      <c r="I21" s="93" t="s">
        <v>557</v>
      </c>
      <c r="J21" s="87" t="s">
        <v>558</v>
      </c>
    </row>
    <row r="22" spans="2:10" hidden="1" x14ac:dyDescent="0.35">
      <c r="B22" t="s">
        <v>439</v>
      </c>
      <c r="C22" s="50" t="s">
        <v>316</v>
      </c>
      <c r="D22" s="101">
        <v>43413.09</v>
      </c>
      <c r="E22" s="204">
        <v>43413.090000000004</v>
      </c>
      <c r="F22" s="162">
        <f>Tabela13[[#This Row],[TOTAL VALUE 
INVOICE US$]]-Tabela13[[#This Row],[ADVANCE PAYMENT /CREDIT NOTE
US$]]</f>
        <v>0</v>
      </c>
      <c r="G22" s="99" t="s">
        <v>525</v>
      </c>
      <c r="H22" s="1" t="s">
        <v>525</v>
      </c>
      <c r="I22" s="91"/>
      <c r="J22" s="104" t="s">
        <v>604</v>
      </c>
    </row>
    <row r="23" spans="2:10" hidden="1" x14ac:dyDescent="0.35">
      <c r="B23" s="50" t="s">
        <v>577</v>
      </c>
      <c r="C23" s="50" t="s">
        <v>469</v>
      </c>
      <c r="D23" s="101">
        <v>1773.88</v>
      </c>
      <c r="E23" s="26"/>
      <c r="F23" s="162">
        <f>Tabela13[[#This Row],[TOTAL VALUE 
INVOICE US$]]-Tabela13[[#This Row],[ADVANCE PAYMENT /CREDIT NOTE
US$]]</f>
        <v>1773.88</v>
      </c>
      <c r="G23" s="215" t="s">
        <v>575</v>
      </c>
      <c r="H23" s="1" t="s">
        <v>525</v>
      </c>
      <c r="I23" s="91" t="s">
        <v>661</v>
      </c>
      <c r="J23" s="216" t="s">
        <v>827</v>
      </c>
    </row>
    <row r="24" spans="2:10" hidden="1" x14ac:dyDescent="0.35">
      <c r="B24" s="50" t="s">
        <v>468</v>
      </c>
      <c r="C24" s="50" t="s">
        <v>469</v>
      </c>
      <c r="D24" s="101">
        <f>30596</f>
        <v>30596</v>
      </c>
      <c r="E24" s="204"/>
      <c r="F24" s="162">
        <f>Tabela13[[#This Row],[TOTAL VALUE 
INVOICE US$]]-Tabela13[[#This Row],[ADVANCE PAYMENT /CREDIT NOTE
US$]]</f>
        <v>30596</v>
      </c>
      <c r="G24" s="215" t="s">
        <v>541</v>
      </c>
      <c r="H24" s="1" t="s">
        <v>525</v>
      </c>
      <c r="I24" s="91" t="s">
        <v>660</v>
      </c>
      <c r="J24" s="216" t="s">
        <v>687</v>
      </c>
    </row>
    <row r="25" spans="2:10" hidden="1" x14ac:dyDescent="0.35">
      <c r="B25" s="50" t="s">
        <v>399</v>
      </c>
      <c r="C25" s="50" t="s">
        <v>401</v>
      </c>
      <c r="D25" s="101">
        <v>4734.9399999999996</v>
      </c>
      <c r="E25" s="101">
        <f>3385.14+1349.8</f>
        <v>4734.9399999999996</v>
      </c>
      <c r="F25" s="162">
        <f>Tabela13[[#This Row],[TOTAL VALUE 
INVOICE US$]]-Tabela13[[#This Row],[ADVANCE PAYMENT /CREDIT NOTE
US$]]</f>
        <v>0</v>
      </c>
      <c r="G25" s="81" t="s">
        <v>525</v>
      </c>
      <c r="H25" s="1" t="s">
        <v>525</v>
      </c>
      <c r="I25" s="91" t="s">
        <v>607</v>
      </c>
      <c r="J25" s="106" t="s">
        <v>620</v>
      </c>
    </row>
    <row r="26" spans="2:10" hidden="1" x14ac:dyDescent="0.35">
      <c r="B26" t="s">
        <v>315</v>
      </c>
      <c r="C26" t="s">
        <v>316</v>
      </c>
      <c r="D26" s="101">
        <f>VLOOKUP(Tabela13[[#This Row],[INVOICE]],'GESTAO CREDITO E PAGAMENTOS'!A$4:R145,11,0)</f>
        <v>0</v>
      </c>
      <c r="E26" s="1">
        <v>0</v>
      </c>
      <c r="F26" s="390">
        <f>'GESTAO CREDITO E PAGAMENTOS'!L34</f>
        <v>11129.9</v>
      </c>
      <c r="G26" s="28" t="s">
        <v>502</v>
      </c>
      <c r="H26" s="1" t="s">
        <v>525</v>
      </c>
      <c r="I26" s="68" t="s">
        <v>361</v>
      </c>
      <c r="J26" t="s">
        <v>494</v>
      </c>
    </row>
    <row r="27" spans="2:10" hidden="1" x14ac:dyDescent="0.35">
      <c r="B27" t="s">
        <v>313</v>
      </c>
      <c r="C27" s="2" t="s">
        <v>401</v>
      </c>
      <c r="D27" s="397">
        <f>VLOOKUP(Tabela13[[#This Row],[INVOICE]],'GESTAO CREDITO E PAGAMENTOS'!A$4:R143,11,0)</f>
        <v>0</v>
      </c>
      <c r="E27" s="1">
        <v>0</v>
      </c>
      <c r="F27" s="390">
        <f>'GESTAO CREDITO E PAGAMENTOS'!L33</f>
        <v>0</v>
      </c>
      <c r="G27" s="1" t="s">
        <v>502</v>
      </c>
      <c r="H27" s="1" t="s">
        <v>525</v>
      </c>
      <c r="I27" s="70" t="s">
        <v>496</v>
      </c>
      <c r="J27" s="76" t="s">
        <v>518</v>
      </c>
    </row>
    <row r="28" spans="2:10" hidden="1" x14ac:dyDescent="0.35">
      <c r="B28" t="s">
        <v>324</v>
      </c>
      <c r="C28" s="2" t="s">
        <v>282</v>
      </c>
      <c r="D28" s="101">
        <v>5543.9</v>
      </c>
      <c r="E28" s="391">
        <f>5283.16+260.74</f>
        <v>5543.9</v>
      </c>
      <c r="F28" s="390">
        <f>'GESTAO CREDITO E PAGAMENTOS'!L30</f>
        <v>6438.41</v>
      </c>
      <c r="G28" s="1" t="s">
        <v>502</v>
      </c>
      <c r="H28" s="1" t="s">
        <v>525</v>
      </c>
      <c r="I28" s="68" t="s">
        <v>460</v>
      </c>
      <c r="J28" s="75" t="s">
        <v>493</v>
      </c>
    </row>
    <row r="29" spans="2:10" hidden="1" x14ac:dyDescent="0.35">
      <c r="B29" t="s">
        <v>325</v>
      </c>
      <c r="C29" s="2" t="s">
        <v>416</v>
      </c>
      <c r="D29" s="101">
        <f>VLOOKUP(Tabela13[[#This Row],[INVOICE]],'GESTAO CREDITO E PAGAMENTOS'!A$4:R146,11,0)</f>
        <v>0</v>
      </c>
      <c r="E29" s="1">
        <v>0</v>
      </c>
      <c r="F29" s="390">
        <f>'GESTAO CREDITO E PAGAMENTOS'!L35</f>
        <v>5543.9</v>
      </c>
      <c r="G29" s="28" t="s">
        <v>502</v>
      </c>
      <c r="H29" s="1" t="s">
        <v>525</v>
      </c>
      <c r="I29" s="68" t="s">
        <v>361</v>
      </c>
      <c r="J29" t="s">
        <v>495</v>
      </c>
    </row>
    <row r="30" spans="2:10" hidden="1" x14ac:dyDescent="0.35">
      <c r="B30" t="s">
        <v>3</v>
      </c>
      <c r="C30" s="30" t="s">
        <v>345</v>
      </c>
      <c r="D30" s="101">
        <v>6438.41</v>
      </c>
      <c r="E30" s="1">
        <v>5906</v>
      </c>
      <c r="F30" s="390">
        <f>'GESTAO CREDITO E PAGAMENTOS'!L25</f>
        <v>0</v>
      </c>
      <c r="G30" s="1" t="s">
        <v>502</v>
      </c>
      <c r="H30" s="1" t="s">
        <v>525</v>
      </c>
      <c r="I30" s="29">
        <v>45764</v>
      </c>
      <c r="J30" s="50" t="s">
        <v>490</v>
      </c>
    </row>
    <row r="31" spans="2:10" hidden="1" x14ac:dyDescent="0.35">
      <c r="B31" t="s">
        <v>4</v>
      </c>
      <c r="C31" t="s">
        <v>346</v>
      </c>
      <c r="D31" s="101">
        <v>1610.82</v>
      </c>
      <c r="E31" s="1">
        <v>0</v>
      </c>
      <c r="F31" s="390">
        <f>'GESTAO CREDITO E PAGAMENTOS'!L26</f>
        <v>24721.14</v>
      </c>
      <c r="G31" s="1" t="s">
        <v>502</v>
      </c>
      <c r="H31" s="1" t="s">
        <v>525</v>
      </c>
      <c r="I31" s="29">
        <v>45764</v>
      </c>
      <c r="J31" s="50" t="s">
        <v>491</v>
      </c>
    </row>
    <row r="32" spans="2:10" x14ac:dyDescent="0.35">
      <c r="B32" s="409" t="s">
        <v>589</v>
      </c>
      <c r="C32" s="409" t="s">
        <v>590</v>
      </c>
      <c r="D32" s="410">
        <v>51274.55</v>
      </c>
      <c r="E32" s="411">
        <v>38156.36</v>
      </c>
      <c r="F32" s="412">
        <f>Tabela13[[#This Row],[TOTAL VALUE 
INVOICE US$]]-Tabela13[[#This Row],[ADVANCE PAYMENT /CREDIT NOTE
US$]]</f>
        <v>13118.190000000002</v>
      </c>
      <c r="G32" s="417" t="s">
        <v>632</v>
      </c>
      <c r="H32" s="413" t="s">
        <v>828</v>
      </c>
      <c r="I32" s="415" t="s">
        <v>631</v>
      </c>
      <c r="J32" s="415" t="s">
        <v>616</v>
      </c>
    </row>
    <row r="33" spans="2:10" hidden="1" x14ac:dyDescent="0.35">
      <c r="B33" t="s">
        <v>310</v>
      </c>
      <c r="C33" s="2" t="s">
        <v>303</v>
      </c>
      <c r="D33" s="101">
        <v>29668.52</v>
      </c>
      <c r="E33" s="1">
        <v>29668.52</v>
      </c>
      <c r="F33" s="390">
        <f>'GESTAO CREDITO E PAGAMENTOS'!L36</f>
        <v>0</v>
      </c>
      <c r="G33" s="77" t="s">
        <v>525</v>
      </c>
      <c r="H33" s="1" t="s">
        <v>525</v>
      </c>
      <c r="I33" s="70" t="s">
        <v>497</v>
      </c>
      <c r="J33" s="50" t="s">
        <v>503</v>
      </c>
    </row>
    <row r="34" spans="2:10" hidden="1" x14ac:dyDescent="0.35">
      <c r="B34" t="s">
        <v>5</v>
      </c>
      <c r="C34" t="s">
        <v>344</v>
      </c>
      <c r="D34" s="101">
        <v>10252.799999999999</v>
      </c>
      <c r="E34" s="1">
        <v>0</v>
      </c>
      <c r="F34" s="390">
        <f>'GESTAO CREDITO E PAGAMENTOS'!L24</f>
        <v>0</v>
      </c>
      <c r="G34" s="1" t="s">
        <v>502</v>
      </c>
      <c r="H34" s="1" t="s">
        <v>525</v>
      </c>
      <c r="I34" s="29">
        <v>45764</v>
      </c>
      <c r="J34" s="50" t="s">
        <v>489</v>
      </c>
    </row>
    <row r="35" spans="2:10" hidden="1" x14ac:dyDescent="0.35">
      <c r="B35" t="s">
        <v>5</v>
      </c>
      <c r="C35" t="s">
        <v>282</v>
      </c>
      <c r="D35" s="101">
        <f>VLOOKUP(Tabela13[[#This Row],[INVOICE]],'GESTAO CREDITO E PAGAMENTOS'!A4:R19,11,0)</f>
        <v>0</v>
      </c>
      <c r="E35" s="1">
        <v>0</v>
      </c>
      <c r="F35" s="390">
        <f>'GESTAO CREDITO E PAGAMENTOS'!L28</f>
        <v>1610.8200000000002</v>
      </c>
      <c r="G35" s="1" t="s">
        <v>502</v>
      </c>
      <c r="H35" s="1" t="s">
        <v>525</v>
      </c>
      <c r="I35" s="29">
        <v>45799</v>
      </c>
      <c r="J35" s="54" t="s">
        <v>406</v>
      </c>
    </row>
    <row r="36" spans="2:10" hidden="1" x14ac:dyDescent="0.35">
      <c r="B36" t="s">
        <v>5</v>
      </c>
      <c r="C36" t="s">
        <v>272</v>
      </c>
      <c r="D36" s="101">
        <v>5271.96</v>
      </c>
      <c r="E36" s="1">
        <v>5271.96</v>
      </c>
      <c r="F36" s="390">
        <f>'GESTAO CREDITO E PAGAMENTOS'!L29</f>
        <v>8953.4299999999985</v>
      </c>
      <c r="G36" s="1" t="s">
        <v>502</v>
      </c>
      <c r="H36" s="1" t="s">
        <v>525</v>
      </c>
      <c r="I36" s="29">
        <v>45799</v>
      </c>
      <c r="J36" s="54" t="s">
        <v>418</v>
      </c>
    </row>
    <row r="37" spans="2:10" hidden="1" x14ac:dyDescent="0.35">
      <c r="B37" t="s">
        <v>320</v>
      </c>
      <c r="C37" s="2" t="s">
        <v>272</v>
      </c>
      <c r="D37" s="397">
        <f>VLOOKUP(Tabela13[[#This Row],[INVOICE]],'GESTAO CREDITO E PAGAMENTOS'!A$4:R143,11,0)</f>
        <v>0</v>
      </c>
      <c r="E37" s="1">
        <v>0</v>
      </c>
      <c r="F37" s="390">
        <f>'GESTAO CREDITO E PAGAMENTOS'!L32</f>
        <v>12665.19</v>
      </c>
      <c r="G37" s="1" t="s">
        <v>502</v>
      </c>
      <c r="H37" s="1" t="s">
        <v>525</v>
      </c>
      <c r="I37" s="70" t="s">
        <v>471</v>
      </c>
      <c r="J37" s="50" t="s">
        <v>488</v>
      </c>
    </row>
    <row r="38" spans="2:10" hidden="1" x14ac:dyDescent="0.35">
      <c r="B38" s="52" t="s">
        <v>289</v>
      </c>
      <c r="C38" s="52" t="s">
        <v>291</v>
      </c>
      <c r="D38" s="101">
        <v>8137.03</v>
      </c>
      <c r="E38" s="58">
        <v>0</v>
      </c>
      <c r="F38" s="60">
        <f>'GESTAO CREDITO E PAGAMENTOS'!L31</f>
        <v>2222.7199999999998</v>
      </c>
      <c r="G38" s="58" t="s">
        <v>502</v>
      </c>
      <c r="H38" s="1" t="s">
        <v>525</v>
      </c>
      <c r="I38" s="67">
        <v>45839</v>
      </c>
      <c r="J38" s="55" t="s">
        <v>426</v>
      </c>
    </row>
    <row r="39" spans="2:10" hidden="1" x14ac:dyDescent="0.35">
      <c r="B39" t="s">
        <v>300</v>
      </c>
      <c r="C39" t="s">
        <v>291</v>
      </c>
      <c r="D39" s="101">
        <f>VLOOKUP(Tabela13[[#This Row],[INVOICE]],'GESTAO CREDITO E PAGAMENTOS'!A3:R18,11,0)</f>
        <v>0</v>
      </c>
      <c r="E39" s="1">
        <v>0</v>
      </c>
      <c r="F39" s="390">
        <f>'GESTAO CREDITO E PAGAMENTOS'!L27</f>
        <v>63969.62000000001</v>
      </c>
      <c r="G39" s="1" t="s">
        <v>502</v>
      </c>
      <c r="H39" s="1" t="s">
        <v>525</v>
      </c>
      <c r="I39" s="29">
        <v>45799</v>
      </c>
      <c r="J39" s="50" t="s">
        <v>492</v>
      </c>
    </row>
    <row r="40" spans="2:10" hidden="1" x14ac:dyDescent="0.35">
      <c r="B40" t="s">
        <v>0</v>
      </c>
      <c r="C40" t="s">
        <v>344</v>
      </c>
      <c r="D40" s="101">
        <v>4213.29</v>
      </c>
      <c r="E40" s="27">
        <v>0</v>
      </c>
      <c r="F40" s="390">
        <f>'GESTAO CREDITO E PAGAMENTOS'!L23</f>
        <v>51274.55</v>
      </c>
      <c r="G40" s="1" t="s">
        <v>502</v>
      </c>
      <c r="H40" s="1" t="s">
        <v>525</v>
      </c>
      <c r="I40" s="29">
        <v>45764</v>
      </c>
      <c r="J40" s="50" t="s">
        <v>489</v>
      </c>
    </row>
    <row r="41" spans="2:10" hidden="1" x14ac:dyDescent="0.35">
      <c r="B41" t="s">
        <v>806</v>
      </c>
      <c r="C41" t="s">
        <v>801</v>
      </c>
      <c r="D41" s="101">
        <v>39750</v>
      </c>
      <c r="E41" s="1"/>
      <c r="F41" s="162">
        <f>Tabela13[[#This Row],[TOTAL VALUE 
INVOICE US$]]-Tabela13[[#This Row],[ADVANCE PAYMENT /CREDIT NOTE
US$]]</f>
        <v>39750</v>
      </c>
      <c r="G41" s="418" t="s">
        <v>813</v>
      </c>
      <c r="H41" s="1" t="s">
        <v>525</v>
      </c>
      <c r="I41" s="50" t="s">
        <v>831</v>
      </c>
      <c r="J41" t="s">
        <v>802</v>
      </c>
    </row>
    <row r="42" spans="2:10" hidden="1" x14ac:dyDescent="0.35">
      <c r="B42" t="s">
        <v>703</v>
      </c>
      <c r="C42" s="1" t="s">
        <v>477</v>
      </c>
      <c r="D42" s="101">
        <v>9706.74</v>
      </c>
      <c r="E42" s="101">
        <v>9706.74</v>
      </c>
      <c r="F42" s="162">
        <f>Tabela13[[#This Row],[TOTAL VALUE 
INVOICE US$]]-Tabela13[[#This Row],[ADVANCE PAYMENT /CREDIT NOTE
US$]]</f>
        <v>0</v>
      </c>
      <c r="G42" s="383" t="s">
        <v>525</v>
      </c>
      <c r="H42" s="1" t="s">
        <v>525</v>
      </c>
      <c r="I42" s="385" t="s">
        <v>822</v>
      </c>
      <c r="J42" s="216" t="s">
        <v>805</v>
      </c>
    </row>
    <row r="43" spans="2:10" hidden="1" x14ac:dyDescent="0.35">
      <c r="B43" t="s">
        <v>683</v>
      </c>
      <c r="C43" s="1" t="s">
        <v>684</v>
      </c>
      <c r="D43" s="101">
        <f>'GESTAO CREDITO E PAGAMENTOS'!L106</f>
        <v>17828.849999999999</v>
      </c>
      <c r="E43" s="1"/>
      <c r="F43" s="162">
        <f>Tabela13[[#This Row],[TOTAL VALUE 
INVOICE US$]]-Tabela13[[#This Row],[ADVANCE PAYMENT /CREDIT NOTE
US$]]</f>
        <v>17828.849999999999</v>
      </c>
      <c r="G43" s="346" t="s">
        <v>525</v>
      </c>
      <c r="H43" s="1" t="s">
        <v>525</v>
      </c>
      <c r="J43" t="s">
        <v>766</v>
      </c>
    </row>
    <row r="44" spans="2:10" hidden="1" x14ac:dyDescent="0.35">
      <c r="B44" s="225" t="s">
        <v>680</v>
      </c>
      <c r="C44" t="s">
        <v>420</v>
      </c>
      <c r="D44" s="101">
        <f>'GESTAO CREDITO E PAGAMENTOS'!L105</f>
        <v>23876.54</v>
      </c>
      <c r="E44" s="1">
        <f>'GESTAO CREDITO E PAGAMENTOS'!M105</f>
        <v>23876.530000000002</v>
      </c>
      <c r="F44" s="162">
        <f>Tabela13[[#This Row],[TOTAL VALUE 
INVOICE US$]]-Tabela13[[#This Row],[ADVANCE PAYMENT /CREDIT NOTE
US$]]</f>
        <v>9.9999999983992893E-3</v>
      </c>
      <c r="G44" s="312" t="s">
        <v>525</v>
      </c>
      <c r="H44" s="1" t="s">
        <v>525</v>
      </c>
      <c r="J44" t="s">
        <v>721</v>
      </c>
    </row>
    <row r="45" spans="2:10" hidden="1" x14ac:dyDescent="0.35">
      <c r="B45" s="50" t="s">
        <v>738</v>
      </c>
      <c r="C45" t="s">
        <v>416</v>
      </c>
      <c r="D45" s="101">
        <f>16122.07+2682</f>
        <v>18804.07</v>
      </c>
      <c r="E45" s="1"/>
      <c r="F45" s="162">
        <f>Tabela13[[#This Row],[TOTAL VALUE 
INVOICE US$]]-Tabela13[[#This Row],[ADVANCE PAYMENT /CREDIT NOTE
US$]]</f>
        <v>18804.07</v>
      </c>
      <c r="G45" s="394" t="s">
        <v>826</v>
      </c>
      <c r="H45" s="1" t="s">
        <v>525</v>
      </c>
      <c r="I45" s="50" t="s">
        <v>834</v>
      </c>
      <c r="J45" t="s">
        <v>836</v>
      </c>
    </row>
    <row r="46" spans="2:10" hidden="1" x14ac:dyDescent="0.35">
      <c r="B46" s="395" t="s">
        <v>667</v>
      </c>
      <c r="C46" t="s">
        <v>316</v>
      </c>
      <c r="D46" s="101">
        <v>54303.27</v>
      </c>
      <c r="E46" s="1"/>
      <c r="F46" s="162">
        <f>Tabela13[[#This Row],[TOTAL VALUE 
INVOICE US$]]-Tabela13[[#This Row],[ADVANCE PAYMENT /CREDIT NOTE
US$]]</f>
        <v>54303.27</v>
      </c>
      <c r="G46" s="394" t="s">
        <v>826</v>
      </c>
      <c r="H46" s="1" t="s">
        <v>525</v>
      </c>
      <c r="I46" s="61" t="s">
        <v>834</v>
      </c>
      <c r="J46" t="s">
        <v>832</v>
      </c>
    </row>
    <row r="47" spans="2:10" hidden="1" x14ac:dyDescent="0.35">
      <c r="B47" t="s">
        <v>665</v>
      </c>
      <c r="C47" s="213" t="s">
        <v>285</v>
      </c>
      <c r="D47" s="101">
        <v>7540.92</v>
      </c>
      <c r="E47" s="26"/>
      <c r="F47" s="162">
        <f>Tabela13[[#This Row],[TOTAL VALUE 
INVOICE US$]]-Tabela13[[#This Row],[ADVANCE PAYMENT /CREDIT NOTE
US$]]</f>
        <v>7540.92</v>
      </c>
      <c r="G47" s="312" t="s">
        <v>525</v>
      </c>
      <c r="H47" s="1" t="s">
        <v>525</v>
      </c>
      <c r="I47" s="217" t="s">
        <v>691</v>
      </c>
      <c r="J47" s="216" t="s">
        <v>695</v>
      </c>
    </row>
    <row r="48" spans="2:10" hidden="1" x14ac:dyDescent="0.35">
      <c r="B48" t="s">
        <v>765</v>
      </c>
      <c r="C48" s="1" t="s">
        <v>291</v>
      </c>
      <c r="D48" s="101">
        <v>3711.28</v>
      </c>
      <c r="E48" s="1"/>
      <c r="F48" s="162">
        <f>Tabela13[[#This Row],[TOTAL VALUE 
INVOICE US$]]-Tabela13[[#This Row],[ADVANCE PAYMENT /CREDIT NOTE
US$]]</f>
        <v>3711.28</v>
      </c>
      <c r="G48" s="346" t="s">
        <v>525</v>
      </c>
      <c r="H48" s="1" t="s">
        <v>525</v>
      </c>
      <c r="J48" s="2" t="s">
        <v>772</v>
      </c>
    </row>
    <row r="49" spans="2:10" hidden="1" x14ac:dyDescent="0.35">
      <c r="B49" t="s">
        <v>594</v>
      </c>
      <c r="C49" t="s">
        <v>596</v>
      </c>
      <c r="D49" s="101">
        <v>22216.2</v>
      </c>
      <c r="E49" s="1"/>
      <c r="F49" s="162">
        <f>Tabela13[[#This Row],[TOTAL VALUE 
INVOICE US$]]-Tabela13[[#This Row],[ADVANCE PAYMENT /CREDIT NOTE
US$]]</f>
        <v>22216.2</v>
      </c>
      <c r="G49" s="312" t="s">
        <v>525</v>
      </c>
      <c r="H49" s="1" t="s">
        <v>525</v>
      </c>
      <c r="I49" s="214" t="s">
        <v>697</v>
      </c>
      <c r="J49" s="216" t="s">
        <v>689</v>
      </c>
    </row>
    <row r="50" spans="2:10" hidden="1" x14ac:dyDescent="0.35">
      <c r="B50" t="s">
        <v>719</v>
      </c>
      <c r="C50" s="50" t="s">
        <v>401</v>
      </c>
      <c r="D50" s="101">
        <v>18182.650000000001</v>
      </c>
      <c r="E50" s="204"/>
      <c r="F50" s="162">
        <f>Tabela13[[#This Row],[TOTAL VALUE 
INVOICE US$]]-Tabela13[[#This Row],[ADVANCE PAYMENT /CREDIT NOTE
US$]]</f>
        <v>18182.650000000001</v>
      </c>
      <c r="G50" s="419" t="s">
        <v>614</v>
      </c>
      <c r="H50" s="1" t="s">
        <v>875</v>
      </c>
      <c r="I50" t="s">
        <v>833</v>
      </c>
      <c r="J50" t="s">
        <v>877</v>
      </c>
    </row>
    <row r="51" spans="2:10" x14ac:dyDescent="0.35">
      <c r="B51" s="1" t="s">
        <v>678</v>
      </c>
      <c r="C51" s="495" t="s">
        <v>303</v>
      </c>
      <c r="D51" s="101">
        <v>8942.7800000000007</v>
      </c>
      <c r="E51" s="445">
        <v>776.08</v>
      </c>
      <c r="F51" s="100">
        <f>Tabela13[[#This Row],[TOTAL VALUE 
INVOICE US$]]-Tabela13[[#This Row],[ADVANCE PAYMENT /CREDIT NOTE
US$]]</f>
        <v>8166.7000000000007</v>
      </c>
      <c r="G51" s="394" t="s">
        <v>825</v>
      </c>
      <c r="H51" s="448" t="s">
        <v>829</v>
      </c>
      <c r="I51" s="50" t="s">
        <v>981</v>
      </c>
      <c r="J51" t="s">
        <v>879</v>
      </c>
    </row>
    <row r="52" spans="2:10" hidden="1" x14ac:dyDescent="0.35">
      <c r="B52" s="1" t="s">
        <v>733</v>
      </c>
      <c r="C52" s="1" t="s">
        <v>572</v>
      </c>
      <c r="D52" s="101">
        <v>13551.35</v>
      </c>
      <c r="E52" s="1"/>
      <c r="F52" s="100">
        <f>Tabela13[[#This Row],[TOTAL VALUE 
INVOICE US$]]-Tabela13[[#This Row],[ADVANCE PAYMENT /CREDIT NOTE
US$]]</f>
        <v>13551.35</v>
      </c>
      <c r="G52" s="394" t="s">
        <v>525</v>
      </c>
      <c r="H52" s="1" t="s">
        <v>525</v>
      </c>
      <c r="I52" t="s">
        <v>862</v>
      </c>
      <c r="J52" t="s">
        <v>832</v>
      </c>
    </row>
    <row r="53" spans="2:10" hidden="1" x14ac:dyDescent="0.35">
      <c r="B53" s="1" t="s">
        <v>788</v>
      </c>
      <c r="C53" s="1" t="s">
        <v>285</v>
      </c>
      <c r="D53" s="101">
        <v>8008.46</v>
      </c>
      <c r="E53" s="1"/>
      <c r="F53" s="100">
        <f>Tabela13[[#This Row],[TOTAL VALUE 
INVOICE US$]]-Tabela13[[#This Row],[ADVANCE PAYMENT /CREDIT NOTE
US$]]</f>
        <v>8008.46</v>
      </c>
      <c r="G53" s="394" t="s">
        <v>825</v>
      </c>
      <c r="H53" s="1" t="s">
        <v>525</v>
      </c>
      <c r="I53" t="s">
        <v>852</v>
      </c>
      <c r="J53" t="s">
        <v>858</v>
      </c>
    </row>
    <row r="54" spans="2:10" hidden="1" x14ac:dyDescent="0.35">
      <c r="B54" s="1" t="s">
        <v>621</v>
      </c>
      <c r="C54" s="1" t="s">
        <v>401</v>
      </c>
      <c r="D54" s="101">
        <v>24162.66</v>
      </c>
      <c r="E54" s="100">
        <v>6575.25</v>
      </c>
      <c r="F54" s="404">
        <f>Tabela13[[#This Row],[TOTAL VALUE 
INVOICE US$]]-Tabela13[[#This Row],[ADVANCE PAYMENT /CREDIT NOTE
US$]]</f>
        <v>17587.41</v>
      </c>
      <c r="G54" s="419" t="s">
        <v>825</v>
      </c>
      <c r="H54" s="1" t="s">
        <v>875</v>
      </c>
      <c r="I54" t="s">
        <v>833</v>
      </c>
      <c r="J54" t="s">
        <v>878</v>
      </c>
    </row>
    <row r="55" spans="2:10" hidden="1" x14ac:dyDescent="0.35">
      <c r="B55" s="1" t="s">
        <v>771</v>
      </c>
      <c r="C55" s="1" t="s">
        <v>731</v>
      </c>
      <c r="D55" s="101">
        <v>21850.5</v>
      </c>
      <c r="E55" s="100">
        <v>6000</v>
      </c>
      <c r="F55" s="404">
        <f>Tabela13[[#This Row],[TOTAL VALUE 
INVOICE US$]]-Tabela13[[#This Row],[ADVANCE PAYMENT /CREDIT NOTE
US$]]</f>
        <v>15850.5</v>
      </c>
      <c r="G55" s="419" t="s">
        <v>825</v>
      </c>
      <c r="H55" s="1" t="s">
        <v>875</v>
      </c>
      <c r="I55" t="s">
        <v>833</v>
      </c>
      <c r="J55" t="s">
        <v>861</v>
      </c>
    </row>
    <row r="56" spans="2:10" hidden="1" x14ac:dyDescent="0.35">
      <c r="B56" s="442" t="s">
        <v>809</v>
      </c>
      <c r="C56" s="1" t="s">
        <v>864</v>
      </c>
      <c r="D56" s="101">
        <v>3375.72</v>
      </c>
      <c r="E56" s="100">
        <v>3146.4</v>
      </c>
      <c r="F56" s="423">
        <f>Tabela13[[#This Row],[TOTAL VALUE 
INVOICE US$]]-Tabela13[[#This Row],[ADVANCE PAYMENT /CREDIT NOTE
US$]]</f>
        <v>229.31999999999971</v>
      </c>
      <c r="G56" s="418" t="s">
        <v>813</v>
      </c>
      <c r="H56" s="1" t="s">
        <v>888</v>
      </c>
      <c r="I56" t="s">
        <v>876</v>
      </c>
      <c r="J56" t="s">
        <v>889</v>
      </c>
    </row>
    <row r="57" spans="2:10" hidden="1" x14ac:dyDescent="0.35">
      <c r="B57" s="1" t="s">
        <v>815</v>
      </c>
      <c r="C57" s="2" t="s">
        <v>818</v>
      </c>
      <c r="D57" s="100">
        <v>3729.08</v>
      </c>
      <c r="E57" s="100">
        <v>525</v>
      </c>
      <c r="F57" s="404">
        <f>Tabela13[[#This Row],[TOTAL VALUE 
INVOICE US$]]+Tabela13[[#This Row],[ADVANCE PAYMENT /CREDIT NOTE
US$]]</f>
        <v>4254.08</v>
      </c>
      <c r="G57" s="418" t="s">
        <v>924</v>
      </c>
      <c r="H57" s="442" t="s">
        <v>525</v>
      </c>
      <c r="I57" s="441" t="s">
        <v>900</v>
      </c>
      <c r="J57" s="50" t="s">
        <v>954</v>
      </c>
    </row>
    <row r="58" spans="2:10" x14ac:dyDescent="0.35">
      <c r="B58" t="s">
        <v>894</v>
      </c>
      <c r="C58" s="2" t="s">
        <v>477</v>
      </c>
      <c r="D58" s="1">
        <v>12400.4</v>
      </c>
      <c r="E58" s="1"/>
      <c r="F58" s="404">
        <f>Tabela13[[#This Row],[TOTAL VALUE 
INVOICE US$]]-Tabela13[[#This Row],[ADVANCE PAYMENT /CREDIT NOTE
US$]]</f>
        <v>12400.4</v>
      </c>
      <c r="G58" s="418" t="s">
        <v>979</v>
      </c>
      <c r="H58" s="448" t="s">
        <v>829</v>
      </c>
      <c r="I58" s="61" t="s">
        <v>980</v>
      </c>
      <c r="J58" s="61" t="s">
        <v>890</v>
      </c>
    </row>
    <row r="59" spans="2:10" x14ac:dyDescent="0.35">
      <c r="C59" s="2"/>
      <c r="D59" s="1"/>
      <c r="E59" s="1"/>
      <c r="F59" s="452"/>
      <c r="G59" s="499" t="s">
        <v>985</v>
      </c>
      <c r="H59" s="448"/>
      <c r="I59" s="61"/>
    </row>
    <row r="60" spans="2:10" x14ac:dyDescent="0.35">
      <c r="C60" s="2"/>
      <c r="D60" s="1"/>
      <c r="E60" s="1"/>
      <c r="F60" s="452">
        <f>'GESTAO CREDITO E PAGAMENTOS'!L79</f>
        <v>6554.95</v>
      </c>
      <c r="G60" s="453"/>
      <c r="H60" s="448"/>
      <c r="I60" s="61"/>
    </row>
    <row r="61" spans="2:10" x14ac:dyDescent="0.35">
      <c r="F61" s="225" t="s">
        <v>824</v>
      </c>
    </row>
    <row r="67" spans="4:4" x14ac:dyDescent="0.35">
      <c r="D67" s="131">
        <f>21850.5+297</f>
        <v>22147.5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86424-2212-45B0-9216-26297E284A15}">
  <dimension ref="A1:T44"/>
  <sheetViews>
    <sheetView showGridLines="0" zoomScale="80" zoomScaleNormal="80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F14" sqref="F14"/>
    </sheetView>
  </sheetViews>
  <sheetFormatPr baseColWidth="10" defaultColWidth="10.90625" defaultRowHeight="14.5" x14ac:dyDescent="0.35"/>
  <cols>
    <col min="1" max="1" width="18.81640625" customWidth="1"/>
    <col min="2" max="2" width="12.7265625" customWidth="1"/>
    <col min="3" max="3" width="9.90625" customWidth="1"/>
    <col min="4" max="4" width="11.1796875" customWidth="1"/>
    <col min="5" max="5" width="9.08984375" customWidth="1"/>
    <col min="6" max="6" width="7.26953125" customWidth="1"/>
    <col min="7" max="7" width="4.453125" hidden="1" customWidth="1"/>
    <col min="8" max="8" width="10.08984375" customWidth="1"/>
    <col min="9" max="9" width="11.90625" customWidth="1"/>
    <col min="10" max="10" width="10.453125" customWidth="1"/>
    <col min="11" max="11" width="9.6328125" customWidth="1"/>
    <col min="12" max="12" width="11" customWidth="1"/>
    <col min="13" max="13" width="12.81640625" customWidth="1"/>
    <col min="14" max="14" width="9.1796875" customWidth="1"/>
    <col min="15" max="15" width="11.6328125" customWidth="1"/>
    <col min="16" max="16" width="7.36328125" customWidth="1"/>
    <col min="17" max="17" width="44.7265625" customWidth="1"/>
    <col min="19" max="19" width="12.6328125" customWidth="1"/>
    <col min="20" max="20" width="12.54296875" customWidth="1"/>
  </cols>
  <sheetData>
    <row r="1" spans="1:20" x14ac:dyDescent="0.35">
      <c r="A1" s="2" t="s">
        <v>634</v>
      </c>
      <c r="B1" s="2"/>
      <c r="C1" s="2"/>
      <c r="D1" s="355">
        <f ca="1">TODAY()</f>
        <v>46296</v>
      </c>
      <c r="G1" s="144"/>
      <c r="H1" s="75"/>
    </row>
    <row r="3" spans="1:20" x14ac:dyDescent="0.35">
      <c r="S3" s="1">
        <f>SUM(I6:I8)-K6</f>
        <v>31030.949999999997</v>
      </c>
    </row>
    <row r="4" spans="1:20" ht="53" thickBot="1" x14ac:dyDescent="0.4">
      <c r="A4" s="169" t="s">
        <v>655</v>
      </c>
      <c r="B4" s="170" t="s">
        <v>1</v>
      </c>
      <c r="C4" s="170" t="s">
        <v>643</v>
      </c>
      <c r="D4" s="171" t="s">
        <v>644</v>
      </c>
      <c r="E4" s="171" t="s">
        <v>645</v>
      </c>
      <c r="F4" s="171" t="s">
        <v>646</v>
      </c>
      <c r="G4" s="172" t="s">
        <v>275</v>
      </c>
      <c r="H4" s="173" t="s">
        <v>647</v>
      </c>
      <c r="I4" s="170" t="s">
        <v>648</v>
      </c>
      <c r="J4" s="174" t="s">
        <v>649</v>
      </c>
      <c r="K4" s="174" t="s">
        <v>650</v>
      </c>
      <c r="L4" s="174" t="s">
        <v>651</v>
      </c>
      <c r="M4" s="174" t="s">
        <v>656</v>
      </c>
      <c r="N4" s="174" t="s">
        <v>652</v>
      </c>
      <c r="O4" s="174" t="s">
        <v>635</v>
      </c>
      <c r="P4" s="174" t="s">
        <v>638</v>
      </c>
      <c r="Q4" s="191" t="s">
        <v>6</v>
      </c>
      <c r="S4" s="4" t="s">
        <v>793</v>
      </c>
      <c r="T4" s="4" t="s">
        <v>794</v>
      </c>
    </row>
    <row r="5" spans="1:20" x14ac:dyDescent="0.35">
      <c r="A5" s="166" t="s">
        <v>313</v>
      </c>
      <c r="B5" s="120" t="s">
        <v>401</v>
      </c>
      <c r="C5" s="462">
        <v>6940</v>
      </c>
      <c r="D5" s="122">
        <v>45772</v>
      </c>
      <c r="E5" s="122">
        <v>45817</v>
      </c>
      <c r="F5" s="123" t="s">
        <v>359</v>
      </c>
      <c r="G5" s="148">
        <v>30</v>
      </c>
      <c r="H5" s="153">
        <v>45847</v>
      </c>
      <c r="I5" s="23">
        <v>13839.679999999998</v>
      </c>
      <c r="J5" s="124"/>
      <c r="K5" s="150"/>
      <c r="L5" s="124">
        <v>13839.68</v>
      </c>
      <c r="M5" s="151">
        <f>SUM(J5:L5)-I5</f>
        <v>0</v>
      </c>
      <c r="N5" s="125" t="s">
        <v>361</v>
      </c>
      <c r="O5" s="125">
        <v>45947</v>
      </c>
      <c r="P5" s="364">
        <f>O5-H5</f>
        <v>100</v>
      </c>
      <c r="Q5" s="167" t="s">
        <v>637</v>
      </c>
      <c r="S5" s="10">
        <v>14591.42</v>
      </c>
      <c r="T5" s="10">
        <v>6575.25</v>
      </c>
    </row>
    <row r="6" spans="1:20" x14ac:dyDescent="0.35">
      <c r="A6" s="166" t="s">
        <v>399</v>
      </c>
      <c r="B6" s="127" t="s">
        <v>401</v>
      </c>
      <c r="C6" s="463">
        <v>7173</v>
      </c>
      <c r="D6" s="129">
        <v>45805</v>
      </c>
      <c r="E6" s="129">
        <v>45855</v>
      </c>
      <c r="F6" s="130" t="s">
        <v>359</v>
      </c>
      <c r="G6" s="149">
        <v>30</v>
      </c>
      <c r="H6" s="152">
        <v>45885</v>
      </c>
      <c r="I6" s="23">
        <v>4734.9399999999996</v>
      </c>
      <c r="J6" s="132"/>
      <c r="K6" s="131">
        <v>3385.14</v>
      </c>
      <c r="L6" s="124">
        <v>14591.42</v>
      </c>
      <c r="M6" s="151">
        <f t="shared" ref="M6:M11" si="0">SUM(J6:L6)-I6</f>
        <v>13241.620000000003</v>
      </c>
      <c r="N6" s="134" t="s">
        <v>361</v>
      </c>
      <c r="O6" s="134">
        <v>46076</v>
      </c>
      <c r="P6" s="364">
        <f t="shared" ref="P6:P11" si="1">O6-H6</f>
        <v>191</v>
      </c>
      <c r="Q6" s="168" t="s">
        <v>964</v>
      </c>
      <c r="S6" s="10">
        <v>5597.15</v>
      </c>
      <c r="T6" s="10"/>
    </row>
    <row r="7" spans="1:20" x14ac:dyDescent="0.35">
      <c r="A7" s="166" t="s">
        <v>653</v>
      </c>
      <c r="B7" s="137" t="s">
        <v>401</v>
      </c>
      <c r="C7" s="463" t="s">
        <v>636</v>
      </c>
      <c r="D7" s="129">
        <v>45937</v>
      </c>
      <c r="E7" s="129">
        <v>45968</v>
      </c>
      <c r="F7" s="130" t="s">
        <v>359</v>
      </c>
      <c r="G7" s="149">
        <v>30</v>
      </c>
      <c r="H7" s="375">
        <v>45998</v>
      </c>
      <c r="I7" s="23">
        <v>13908.91</v>
      </c>
      <c r="J7" s="131">
        <f t="shared" ref="J7" si="2">M6</f>
        <v>13241.620000000003</v>
      </c>
      <c r="K7" s="163"/>
      <c r="L7" s="131">
        <v>5659.15</v>
      </c>
      <c r="M7" s="151">
        <f t="shared" si="0"/>
        <v>4991.8600000000042</v>
      </c>
      <c r="N7" s="134" t="s">
        <v>361</v>
      </c>
      <c r="O7" s="134">
        <v>46136</v>
      </c>
      <c r="P7" s="364">
        <f t="shared" si="1"/>
        <v>138</v>
      </c>
      <c r="Q7" s="486" t="s">
        <v>965</v>
      </c>
      <c r="S7" s="10">
        <v>5597.15</v>
      </c>
      <c r="T7" s="10"/>
    </row>
    <row r="8" spans="1:20" ht="24.5" x14ac:dyDescent="0.35">
      <c r="A8" s="166" t="s">
        <v>776</v>
      </c>
      <c r="B8" s="137" t="s">
        <v>401</v>
      </c>
      <c r="C8" s="463" t="s">
        <v>639</v>
      </c>
      <c r="D8" s="129">
        <v>45985</v>
      </c>
      <c r="E8" s="129">
        <v>46010</v>
      </c>
      <c r="F8" s="130" t="s">
        <v>359</v>
      </c>
      <c r="G8" s="148">
        <v>30</v>
      </c>
      <c r="H8" s="183">
        <v>46040</v>
      </c>
      <c r="I8" s="23">
        <f>15772.24</f>
        <v>15772.24</v>
      </c>
      <c r="J8" s="131">
        <f>M7</f>
        <v>4991.8600000000042</v>
      </c>
      <c r="K8" s="163"/>
      <c r="L8" s="131">
        <f>5597.15+5592.15</f>
        <v>11189.3</v>
      </c>
      <c r="M8" s="151">
        <f t="shared" si="0"/>
        <v>408.92000000000371</v>
      </c>
      <c r="N8" s="134" t="s">
        <v>361</v>
      </c>
      <c r="O8" s="134">
        <v>46191</v>
      </c>
      <c r="P8" s="364">
        <f t="shared" si="1"/>
        <v>151</v>
      </c>
      <c r="Q8" s="487" t="s">
        <v>966</v>
      </c>
      <c r="S8" s="10">
        <v>5659.15</v>
      </c>
    </row>
    <row r="9" spans="1:20" ht="24.5" x14ac:dyDescent="0.35">
      <c r="A9" s="166" t="s">
        <v>654</v>
      </c>
      <c r="B9" s="176" t="s">
        <v>401</v>
      </c>
      <c r="C9" s="463" t="s">
        <v>640</v>
      </c>
      <c r="D9" s="129">
        <v>46010</v>
      </c>
      <c r="E9" s="129">
        <v>46073</v>
      </c>
      <c r="F9" s="130" t="s">
        <v>359</v>
      </c>
      <c r="G9" s="148">
        <v>30</v>
      </c>
      <c r="H9" s="375">
        <v>46103</v>
      </c>
      <c r="I9" s="26">
        <v>18182.650000000001</v>
      </c>
      <c r="J9" s="133">
        <f>408.92</f>
        <v>408.92</v>
      </c>
      <c r="K9" s="163"/>
      <c r="L9" s="133">
        <f>5659.15+21013.51</f>
        <v>26672.659999999996</v>
      </c>
      <c r="M9" s="151">
        <f t="shared" si="0"/>
        <v>8898.929999999993</v>
      </c>
      <c r="N9" s="134" t="s">
        <v>361</v>
      </c>
      <c r="O9" s="134">
        <v>46283</v>
      </c>
      <c r="P9" s="364">
        <f t="shared" si="1"/>
        <v>180</v>
      </c>
      <c r="Q9" s="487" t="s">
        <v>967</v>
      </c>
      <c r="S9" s="374">
        <f>SUM(S5:S8)</f>
        <v>31444.870000000003</v>
      </c>
      <c r="T9" s="374">
        <f>SUM(T5:T8)</f>
        <v>6575.25</v>
      </c>
    </row>
    <row r="10" spans="1:20" ht="24.5" x14ac:dyDescent="0.35">
      <c r="A10" s="177" t="s">
        <v>621</v>
      </c>
      <c r="B10" s="178" t="s">
        <v>401</v>
      </c>
      <c r="C10" s="464">
        <v>9522</v>
      </c>
      <c r="D10" s="180">
        <v>46077</v>
      </c>
      <c r="E10" s="180">
        <v>46140</v>
      </c>
      <c r="F10" s="181" t="s">
        <v>359</v>
      </c>
      <c r="G10" s="175">
        <v>30</v>
      </c>
      <c r="H10" s="186">
        <v>46230</v>
      </c>
      <c r="I10" s="26">
        <v>24162.66</v>
      </c>
      <c r="J10" s="131">
        <f>8898.93+6575.25</f>
        <v>15474.18</v>
      </c>
      <c r="K10" s="188"/>
      <c r="L10" s="187"/>
      <c r="M10" s="151">
        <f t="shared" si="0"/>
        <v>-8688.48</v>
      </c>
      <c r="N10" s="182" t="s">
        <v>421</v>
      </c>
      <c r="O10" s="134">
        <v>46146</v>
      </c>
      <c r="P10" s="364">
        <f t="shared" si="1"/>
        <v>-84</v>
      </c>
      <c r="Q10" s="488" t="s">
        <v>968</v>
      </c>
      <c r="S10" s="1">
        <f>S3-S9</f>
        <v>-413.92000000000553</v>
      </c>
    </row>
    <row r="11" spans="1:20" ht="15" thickBot="1" x14ac:dyDescent="0.4">
      <c r="A11" s="389" t="s">
        <v>921</v>
      </c>
      <c r="B11" s="178" t="s">
        <v>401</v>
      </c>
      <c r="C11" s="464">
        <v>10497</v>
      </c>
      <c r="D11" s="180">
        <v>46182</v>
      </c>
      <c r="E11" s="465">
        <v>46293</v>
      </c>
      <c r="F11" s="181" t="s">
        <v>359</v>
      </c>
      <c r="G11" s="149"/>
      <c r="H11" s="420">
        <v>46293</v>
      </c>
      <c r="I11" s="26">
        <v>16234.12</v>
      </c>
      <c r="J11" s="26"/>
      <c r="K11" s="163"/>
      <c r="L11" s="69"/>
      <c r="M11" s="151">
        <f t="shared" si="0"/>
        <v>-16234.12</v>
      </c>
      <c r="N11" s="489" t="s">
        <v>363</v>
      </c>
      <c r="O11" s="485">
        <v>46293</v>
      </c>
      <c r="P11" s="480">
        <f t="shared" si="1"/>
        <v>0</v>
      </c>
      <c r="Q11" s="479" t="s">
        <v>963</v>
      </c>
    </row>
    <row r="12" spans="1:20" ht="15" thickBot="1" x14ac:dyDescent="0.4">
      <c r="L12" t="s">
        <v>800</v>
      </c>
      <c r="M12" s="421">
        <f>SUM(M10:M11)</f>
        <v>-24922.6</v>
      </c>
    </row>
    <row r="13" spans="1:20" x14ac:dyDescent="0.35">
      <c r="M13" s="1"/>
    </row>
    <row r="14" spans="1:20" x14ac:dyDescent="0.35">
      <c r="A14" t="s">
        <v>984</v>
      </c>
    </row>
    <row r="15" spans="1:20" x14ac:dyDescent="0.35">
      <c r="A15" s="5"/>
      <c r="D15" s="330"/>
    </row>
    <row r="17" spans="1:16" x14ac:dyDescent="0.35">
      <c r="P17" s="422"/>
    </row>
    <row r="18" spans="1:16" ht="16" x14ac:dyDescent="0.4">
      <c r="A18" s="332" t="s">
        <v>796</v>
      </c>
      <c r="I18" s="377"/>
      <c r="J18" s="347"/>
      <c r="K18" s="378">
        <f>SUM(I6:I8)-K6</f>
        <v>31030.949999999997</v>
      </c>
      <c r="L18" s="57">
        <f>K18/6</f>
        <v>5171.8249999999998</v>
      </c>
    </row>
    <row r="19" spans="1:16" x14ac:dyDescent="0.35">
      <c r="A19" s="334"/>
    </row>
    <row r="20" spans="1:16" ht="11" customHeight="1" x14ac:dyDescent="0.35">
      <c r="A20" s="3" t="s">
        <v>698</v>
      </c>
      <c r="B20" s="331" t="s">
        <v>744</v>
      </c>
      <c r="C20" s="331" t="s">
        <v>753</v>
      </c>
      <c r="D20" s="331" t="s">
        <v>745</v>
      </c>
      <c r="E20" s="379" t="s">
        <v>797</v>
      </c>
      <c r="H20" s="331"/>
      <c r="I20" s="331"/>
    </row>
    <row r="21" spans="1:16" ht="11" customHeight="1" x14ac:dyDescent="0.35">
      <c r="A21" s="335">
        <v>46136</v>
      </c>
      <c r="B21" s="343">
        <v>5597.15</v>
      </c>
      <c r="C21" s="363"/>
      <c r="D21" s="338"/>
      <c r="E21" s="365"/>
      <c r="F21" s="61"/>
      <c r="G21" s="61"/>
      <c r="H21" s="366"/>
      <c r="I21" s="1"/>
      <c r="K21" s="1"/>
      <c r="L21" s="159"/>
    </row>
    <row r="22" spans="1:16" ht="12" customHeight="1" x14ac:dyDescent="0.35">
      <c r="A22" s="335">
        <v>46174</v>
      </c>
      <c r="B22" s="343">
        <f>5597.15</f>
        <v>5597.15</v>
      </c>
      <c r="C22" s="363"/>
      <c r="D22" s="338"/>
      <c r="E22" s="365"/>
      <c r="H22" s="342"/>
      <c r="I22" s="1"/>
    </row>
    <row r="23" spans="1:16" ht="12" customHeight="1" x14ac:dyDescent="0.35">
      <c r="A23" s="335">
        <v>46191</v>
      </c>
      <c r="B23" s="376">
        <v>5592.15</v>
      </c>
      <c r="E23" s="378">
        <f>K18-(SUM(B21:B23))</f>
        <v>14244.5</v>
      </c>
      <c r="I23" s="1"/>
    </row>
    <row r="24" spans="1:16" x14ac:dyDescent="0.35">
      <c r="A24" s="335">
        <v>46246</v>
      </c>
      <c r="B24" s="376">
        <v>5659.15</v>
      </c>
      <c r="E24" s="1"/>
      <c r="I24" s="1"/>
    </row>
    <row r="26" spans="1:16" ht="16" x14ac:dyDescent="0.4">
      <c r="A26" s="332" t="s">
        <v>747</v>
      </c>
      <c r="B26" s="380">
        <f>I10</f>
        <v>24162.66</v>
      </c>
      <c r="C26" s="340" t="s">
        <v>748</v>
      </c>
      <c r="H26" s="2" t="s">
        <v>798</v>
      </c>
      <c r="I26" s="213"/>
      <c r="J26" s="57"/>
      <c r="K26" s="57"/>
    </row>
    <row r="27" spans="1:16" x14ac:dyDescent="0.35">
      <c r="A27" s="332"/>
      <c r="F27" s="2"/>
      <c r="I27" s="213"/>
    </row>
    <row r="28" spans="1:16" x14ac:dyDescent="0.35">
      <c r="A28" s="3" t="s">
        <v>698</v>
      </c>
      <c r="B28" s="331" t="s">
        <v>744</v>
      </c>
      <c r="C28" s="331" t="s">
        <v>750</v>
      </c>
      <c r="D28" s="331" t="s">
        <v>745</v>
      </c>
      <c r="E28" s="3" t="s">
        <v>751</v>
      </c>
      <c r="H28" s="331" t="s">
        <v>51</v>
      </c>
      <c r="I28" s="331" t="s">
        <v>754</v>
      </c>
    </row>
    <row r="29" spans="1:16" x14ac:dyDescent="0.35">
      <c r="A29" s="335">
        <v>46146</v>
      </c>
      <c r="B29" s="336">
        <v>6575.25</v>
      </c>
      <c r="C29" s="337"/>
      <c r="D29" s="338">
        <f>B29/24162.66</f>
        <v>0.27212442669805392</v>
      </c>
      <c r="E29" s="61" t="s">
        <v>621</v>
      </c>
      <c r="F29" s="61"/>
      <c r="G29" s="61"/>
      <c r="H29" s="339" t="s">
        <v>752</v>
      </c>
      <c r="I29" s="378">
        <f>I10-B29</f>
        <v>17587.41</v>
      </c>
    </row>
    <row r="30" spans="1:16" x14ac:dyDescent="0.35">
      <c r="A30" s="382">
        <v>46179</v>
      </c>
      <c r="H30" s="307" t="s">
        <v>799</v>
      </c>
    </row>
    <row r="31" spans="1:16" x14ac:dyDescent="0.35">
      <c r="A31" s="381">
        <v>46210</v>
      </c>
      <c r="H31" s="307" t="s">
        <v>799</v>
      </c>
    </row>
    <row r="32" spans="1:16" x14ac:dyDescent="0.35">
      <c r="A32" s="381"/>
    </row>
    <row r="33" spans="1:17" x14ac:dyDescent="0.35">
      <c r="A33" s="381"/>
    </row>
    <row r="34" spans="1:17" x14ac:dyDescent="0.35">
      <c r="A34" s="455" t="s">
        <v>906</v>
      </c>
      <c r="B34" s="52"/>
      <c r="C34" s="52"/>
      <c r="D34" s="52"/>
      <c r="E34" s="52"/>
      <c r="F34" s="52"/>
      <c r="G34" s="52"/>
      <c r="H34" s="52"/>
      <c r="I34" s="52"/>
      <c r="J34" s="52"/>
    </row>
    <row r="36" spans="1:17" ht="16" x14ac:dyDescent="0.35">
      <c r="A36" s="454" t="s">
        <v>896</v>
      </c>
    </row>
    <row r="37" spans="1:17" x14ac:dyDescent="0.35">
      <c r="A37" s="458" t="s">
        <v>897</v>
      </c>
    </row>
    <row r="38" spans="1:17" x14ac:dyDescent="0.35">
      <c r="A38" s="458" t="s">
        <v>898</v>
      </c>
      <c r="M38" s="422"/>
      <c r="N38" s="1">
        <v>47346.69</v>
      </c>
      <c r="O38" s="1"/>
    </row>
    <row r="39" spans="1:17" x14ac:dyDescent="0.35">
      <c r="A39" s="458" t="s">
        <v>899</v>
      </c>
      <c r="M39" s="456" t="s">
        <v>55</v>
      </c>
      <c r="N39" s="1">
        <v>17235.78</v>
      </c>
      <c r="O39" s="1">
        <f>N38-N39</f>
        <v>30110.910000000003</v>
      </c>
      <c r="P39" s="61" t="s">
        <v>736</v>
      </c>
      <c r="Q39" s="227">
        <f>17235.78+3777.73</f>
        <v>21013.51</v>
      </c>
    </row>
    <row r="40" spans="1:17" ht="16" x14ac:dyDescent="0.35">
      <c r="A40" s="369"/>
      <c r="M40" s="456" t="s">
        <v>55</v>
      </c>
      <c r="N40" t="s">
        <v>901</v>
      </c>
      <c r="O40" s="1">
        <f>4*3777.73</f>
        <v>15110.92</v>
      </c>
      <c r="P40" t="s">
        <v>903</v>
      </c>
    </row>
    <row r="41" spans="1:17" ht="16" x14ac:dyDescent="0.4">
      <c r="A41" s="457" t="s">
        <v>907</v>
      </c>
      <c r="O41" s="1">
        <f>O39-O40</f>
        <v>14999.990000000003</v>
      </c>
      <c r="P41" s="61" t="s">
        <v>902</v>
      </c>
      <c r="Q41" s="5">
        <f>15000+3777.73</f>
        <v>18777.73</v>
      </c>
    </row>
    <row r="42" spans="1:17" x14ac:dyDescent="0.35">
      <c r="A42" s="458" t="s">
        <v>908</v>
      </c>
      <c r="P42" t="s">
        <v>904</v>
      </c>
    </row>
    <row r="43" spans="1:17" x14ac:dyDescent="0.35">
      <c r="A43" s="458" t="s">
        <v>909</v>
      </c>
    </row>
    <row r="44" spans="1:17" x14ac:dyDescent="0.35">
      <c r="A44" s="458" t="s">
        <v>910</v>
      </c>
    </row>
  </sheetData>
  <conditionalFormatting sqref="M5:M11">
    <cfRule type="cellIs" dxfId="777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4FCA-64AF-4507-BF4B-D62499C69610}">
  <dimension ref="A1:Q26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20" sqref="G20"/>
    </sheetView>
  </sheetViews>
  <sheetFormatPr baseColWidth="10" defaultColWidth="10.90625" defaultRowHeight="14.5" x14ac:dyDescent="0.35"/>
  <cols>
    <col min="1" max="1" width="13.81640625" customWidth="1"/>
    <col min="2" max="2" width="14.26953125" customWidth="1"/>
    <col min="3" max="3" width="7.90625" customWidth="1"/>
    <col min="5" max="5" width="10.1796875" customWidth="1"/>
    <col min="6" max="6" width="9.36328125" hidden="1" customWidth="1"/>
    <col min="7" max="7" width="12.6328125" customWidth="1"/>
    <col min="8" max="8" width="13.1796875" customWidth="1"/>
    <col min="9" max="9" width="8" customWidth="1"/>
    <col min="10" max="10" width="7.08984375" customWidth="1"/>
    <col min="11" max="11" width="8.81640625" customWidth="1"/>
    <col min="12" max="12" width="13.26953125" customWidth="1"/>
    <col min="13" max="13" width="12.81640625" customWidth="1"/>
    <col min="14" max="14" width="8.08984375" customWidth="1"/>
    <col min="15" max="15" width="10.81640625" customWidth="1"/>
    <col min="16" max="16" width="8.26953125" customWidth="1"/>
    <col min="17" max="17" width="75.7265625" customWidth="1"/>
  </cols>
  <sheetData>
    <row r="1" spans="1:17" x14ac:dyDescent="0.35">
      <c r="A1" s="2" t="s">
        <v>731</v>
      </c>
      <c r="E1" s="85">
        <f ca="1">TODAY()</f>
        <v>46296</v>
      </c>
    </row>
    <row r="4" spans="1:17" ht="40" thickBot="1" x14ac:dyDescent="0.4">
      <c r="A4" s="205" t="s">
        <v>352</v>
      </c>
      <c r="B4" s="145" t="s">
        <v>543</v>
      </c>
      <c r="C4" s="205" t="s">
        <v>625</v>
      </c>
      <c r="D4" s="146" t="s">
        <v>659</v>
      </c>
      <c r="E4" s="206" t="s">
        <v>674</v>
      </c>
      <c r="F4" s="146" t="s">
        <v>646</v>
      </c>
      <c r="G4" s="147" t="s">
        <v>647</v>
      </c>
      <c r="H4" s="145" t="s">
        <v>648</v>
      </c>
      <c r="I4" s="344" t="s">
        <v>649</v>
      </c>
      <c r="J4" s="344" t="s">
        <v>650</v>
      </c>
      <c r="K4" s="344" t="s">
        <v>760</v>
      </c>
      <c r="L4" s="344" t="s">
        <v>761</v>
      </c>
      <c r="M4" s="119" t="s">
        <v>656</v>
      </c>
      <c r="N4" s="119" t="s">
        <v>652</v>
      </c>
      <c r="O4" s="119" t="s">
        <v>635</v>
      </c>
      <c r="P4" s="119" t="s">
        <v>638</v>
      </c>
      <c r="Q4" s="146" t="s">
        <v>6</v>
      </c>
    </row>
    <row r="5" spans="1:17" ht="24.5" x14ac:dyDescent="0.35">
      <c r="A5" s="194" t="s">
        <v>468</v>
      </c>
      <c r="B5" s="207" t="s">
        <v>731</v>
      </c>
      <c r="C5" s="208" t="s">
        <v>500</v>
      </c>
      <c r="D5" s="400">
        <v>45848</v>
      </c>
      <c r="E5" s="401">
        <v>45917</v>
      </c>
      <c r="F5" s="130" t="s">
        <v>470</v>
      </c>
      <c r="G5" s="210">
        <v>45977</v>
      </c>
      <c r="H5" s="138">
        <f>30596</f>
        <v>30596</v>
      </c>
      <c r="I5" s="124">
        <v>15000</v>
      </c>
      <c r="J5" s="124"/>
      <c r="K5" s="124">
        <f>7978.5+6978.5+6965</f>
        <v>21922</v>
      </c>
      <c r="L5" s="124">
        <f>SUM(I5:K5)</f>
        <v>36922</v>
      </c>
      <c r="M5" s="345">
        <f>L5-H5</f>
        <v>6326</v>
      </c>
      <c r="N5" s="326" t="s">
        <v>361</v>
      </c>
      <c r="O5" s="211">
        <v>46154</v>
      </c>
      <c r="P5" s="212">
        <f ca="1">$E$1-G5</f>
        <v>319</v>
      </c>
      <c r="Q5" s="492" t="s">
        <v>762</v>
      </c>
    </row>
    <row r="6" spans="1:17" x14ac:dyDescent="0.35">
      <c r="A6" s="156" t="s">
        <v>553</v>
      </c>
      <c r="B6" s="207" t="s">
        <v>731</v>
      </c>
      <c r="C6" s="209">
        <v>7523</v>
      </c>
      <c r="D6" s="401">
        <v>45962</v>
      </c>
      <c r="E6" s="401">
        <v>45987</v>
      </c>
      <c r="F6" s="130" t="s">
        <v>470</v>
      </c>
      <c r="G6" s="141">
        <v>46047</v>
      </c>
      <c r="H6" s="131">
        <v>1773.88</v>
      </c>
      <c r="I6" s="133"/>
      <c r="J6" s="133"/>
      <c r="K6" s="133">
        <f>M5</f>
        <v>6326</v>
      </c>
      <c r="L6" s="124">
        <f>SUM(I6:K6)</f>
        <v>6326</v>
      </c>
      <c r="M6" s="345">
        <f>L6-H6</f>
        <v>4552.12</v>
      </c>
      <c r="N6" s="327" t="s">
        <v>361</v>
      </c>
      <c r="O6" s="211">
        <v>46154</v>
      </c>
      <c r="P6" s="212">
        <f ca="1">$E$1-G6</f>
        <v>249</v>
      </c>
      <c r="Q6" s="135" t="s">
        <v>763</v>
      </c>
    </row>
    <row r="7" spans="1:17" ht="24.5" x14ac:dyDescent="0.35">
      <c r="A7" s="194" t="s">
        <v>537</v>
      </c>
      <c r="B7" s="207" t="s">
        <v>731</v>
      </c>
      <c r="C7" s="208">
        <v>8811</v>
      </c>
      <c r="D7" s="402">
        <v>45964</v>
      </c>
      <c r="E7" s="401">
        <v>46007</v>
      </c>
      <c r="F7" s="123" t="s">
        <v>470</v>
      </c>
      <c r="G7" s="210">
        <v>46067</v>
      </c>
      <c r="H7" s="138">
        <v>13678.46</v>
      </c>
      <c r="I7" s="325"/>
      <c r="J7" s="325"/>
      <c r="K7" s="138">
        <f>3633.73+10044+0.73</f>
        <v>13678.46</v>
      </c>
      <c r="L7" s="124">
        <f t="shared" ref="L7:L9" si="0">SUM(I7:K7)</f>
        <v>13678.46</v>
      </c>
      <c r="M7" s="345">
        <f t="shared" ref="M7:M9" si="1">L7-H7</f>
        <v>0</v>
      </c>
      <c r="N7" s="327" t="s">
        <v>361</v>
      </c>
      <c r="O7" s="211">
        <v>46293</v>
      </c>
      <c r="P7" s="212">
        <f ca="1">$E$1-G7</f>
        <v>229</v>
      </c>
      <c r="Q7" s="494" t="s">
        <v>973</v>
      </c>
    </row>
    <row r="8" spans="1:17" ht="24.5" x14ac:dyDescent="0.35">
      <c r="A8" s="157" t="s">
        <v>771</v>
      </c>
      <c r="B8" s="207" t="s">
        <v>731</v>
      </c>
      <c r="C8" s="209">
        <v>9747</v>
      </c>
      <c r="D8" s="403">
        <v>46094</v>
      </c>
      <c r="E8" s="401">
        <v>46148</v>
      </c>
      <c r="F8" s="130" t="s">
        <v>470</v>
      </c>
      <c r="G8" s="210">
        <v>46208</v>
      </c>
      <c r="H8" s="131">
        <v>21850.5</v>
      </c>
      <c r="I8" s="133"/>
      <c r="J8" s="133"/>
      <c r="K8" s="133">
        <f>6000+8000+8000-0.73</f>
        <v>21999.27</v>
      </c>
      <c r="L8" s="124">
        <f t="shared" si="0"/>
        <v>21999.27</v>
      </c>
      <c r="M8" s="345">
        <f>L8-H8</f>
        <v>148.77000000000044</v>
      </c>
      <c r="N8" s="327" t="s">
        <v>361</v>
      </c>
      <c r="O8" s="211">
        <v>46293</v>
      </c>
      <c r="P8" s="212">
        <f ca="1">$E$1-G8</f>
        <v>88</v>
      </c>
      <c r="Q8" s="490" t="s">
        <v>972</v>
      </c>
    </row>
    <row r="9" spans="1:17" x14ac:dyDescent="0.35">
      <c r="A9" s="443" t="s">
        <v>880</v>
      </c>
      <c r="B9" s="207" t="s">
        <v>731</v>
      </c>
      <c r="C9" s="209">
        <v>11186</v>
      </c>
      <c r="D9" s="403">
        <v>46260</v>
      </c>
      <c r="E9" s="403">
        <v>46300</v>
      </c>
      <c r="F9" s="130"/>
      <c r="G9" s="210">
        <v>46360</v>
      </c>
      <c r="H9" s="131">
        <v>19243</v>
      </c>
      <c r="I9" s="133">
        <v>148.77000000000001</v>
      </c>
      <c r="J9" s="133"/>
      <c r="K9" s="133"/>
      <c r="L9" s="124">
        <f t="shared" si="0"/>
        <v>148.77000000000001</v>
      </c>
      <c r="M9" s="345">
        <f t="shared" si="1"/>
        <v>-19094.23</v>
      </c>
      <c r="N9" s="396" t="s">
        <v>886</v>
      </c>
      <c r="O9" s="211">
        <v>46360</v>
      </c>
      <c r="P9" s="491">
        <f ca="1">$E$1-G9</f>
        <v>-64</v>
      </c>
      <c r="Q9" s="135" t="s">
        <v>887</v>
      </c>
    </row>
    <row r="10" spans="1:17" x14ac:dyDescent="0.35">
      <c r="L10" s="4"/>
      <c r="M10" s="493"/>
    </row>
    <row r="11" spans="1:17" x14ac:dyDescent="0.35">
      <c r="M11" s="1"/>
    </row>
    <row r="13" spans="1:17" hidden="1" x14ac:dyDescent="0.35"/>
    <row r="14" spans="1:17" hidden="1" x14ac:dyDescent="0.35">
      <c r="E14" s="329" t="s">
        <v>727</v>
      </c>
      <c r="F14" s="329" t="s">
        <v>728</v>
      </c>
      <c r="G14" s="329" t="s">
        <v>729</v>
      </c>
      <c r="H14" s="329" t="s">
        <v>739</v>
      </c>
    </row>
    <row r="15" spans="1:17" hidden="1" x14ac:dyDescent="0.35">
      <c r="A15" t="s">
        <v>730</v>
      </c>
      <c r="D15" s="324" t="s">
        <v>726</v>
      </c>
      <c r="E15" s="4">
        <v>6965</v>
      </c>
      <c r="F15" s="4">
        <v>1557.39</v>
      </c>
      <c r="G15" s="4">
        <f>E15-F15</f>
        <v>5407.61</v>
      </c>
      <c r="H15" s="10" t="s">
        <v>468</v>
      </c>
      <c r="K15" s="1"/>
    </row>
    <row r="16" spans="1:17" hidden="1" x14ac:dyDescent="0.35">
      <c r="E16" s="4"/>
      <c r="F16" s="4">
        <v>1773.88</v>
      </c>
      <c r="G16" s="4">
        <f>G15-F16</f>
        <v>3633.7299999999996</v>
      </c>
      <c r="H16" s="10" t="s">
        <v>577</v>
      </c>
    </row>
    <row r="17" spans="1:8" hidden="1" x14ac:dyDescent="0.35">
      <c r="E17" s="4">
        <f>E15-F15-F16</f>
        <v>3633.7299999999996</v>
      </c>
      <c r="F17" s="4">
        <v>13678.46</v>
      </c>
      <c r="G17" s="4">
        <f>F17-E17</f>
        <v>10044.73</v>
      </c>
      <c r="H17" s="10" t="s">
        <v>537</v>
      </c>
    </row>
    <row r="18" spans="1:8" hidden="1" x14ac:dyDescent="0.35">
      <c r="A18" t="s">
        <v>786</v>
      </c>
      <c r="D18" s="373" t="s">
        <v>787</v>
      </c>
      <c r="E18" s="4">
        <v>10044</v>
      </c>
      <c r="F18" s="4"/>
      <c r="G18" s="4">
        <v>0.73</v>
      </c>
      <c r="H18" s="4" t="s">
        <v>537</v>
      </c>
    </row>
    <row r="19" spans="1:8" hidden="1" x14ac:dyDescent="0.35"/>
    <row r="25" spans="1:8" x14ac:dyDescent="0.35">
      <c r="A25" t="s">
        <v>915</v>
      </c>
    </row>
    <row r="26" spans="1:8" x14ac:dyDescent="0.35">
      <c r="A26" s="29">
        <v>46275</v>
      </c>
      <c r="B26">
        <v>8000</v>
      </c>
    </row>
  </sheetData>
  <conditionalFormatting sqref="G5:G9">
    <cfRule type="iconSet" priority="13">
      <iconSet>
        <cfvo type="percent" val="0"/>
        <cfvo type="formula" val="$E$1-10"/>
        <cfvo type="formula" val="$E$1-20"/>
      </iconSet>
    </cfRule>
  </conditionalFormatting>
  <conditionalFormatting sqref="M5:M9">
    <cfRule type="cellIs" dxfId="776" priority="2" operator="lessThan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8F1A-EFB4-46BF-984C-EA18CC58FD26}">
  <dimension ref="A1"/>
  <sheetViews>
    <sheetView showGridLines="0" topLeftCell="A7" workbookViewId="0">
      <selection activeCell="L16" sqref="L16"/>
    </sheetView>
  </sheetViews>
  <sheetFormatPr baseColWidth="10" defaultColWidth="9.1796875"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6345-5C2D-414B-A123-4D5B5E8DF12A}">
  <dimension ref="A1:T57"/>
  <sheetViews>
    <sheetView showGridLines="0" zoomScaleNormal="100"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I7" sqref="I7"/>
    </sheetView>
  </sheetViews>
  <sheetFormatPr baseColWidth="10" defaultColWidth="10.90625" defaultRowHeight="14.5" x14ac:dyDescent="0.35"/>
  <cols>
    <col min="1" max="1" width="23.36328125" customWidth="1"/>
    <col min="2" max="2" width="16.1796875" customWidth="1"/>
    <col min="3" max="3" width="14.36328125" customWidth="1"/>
    <col min="4" max="4" width="10.1796875" customWidth="1"/>
    <col min="5" max="5" width="10.81640625" customWidth="1"/>
    <col min="6" max="6" width="9.54296875" customWidth="1"/>
    <col min="7" max="7" width="4.453125" hidden="1" customWidth="1"/>
    <col min="8" max="8" width="15.26953125" customWidth="1"/>
    <col min="9" max="9" width="13.90625" customWidth="1"/>
    <col min="10" max="10" width="11.1796875" customWidth="1"/>
    <col min="11" max="11" width="10" customWidth="1"/>
    <col min="12" max="12" width="11" customWidth="1"/>
    <col min="13" max="13" width="13.1796875" customWidth="1"/>
    <col min="14" max="14" width="10.81640625" customWidth="1"/>
    <col min="15" max="15" width="14.81640625" bestFit="1" customWidth="1"/>
    <col min="16" max="16" width="11.1796875" customWidth="1"/>
    <col min="17" max="17" width="36.90625" customWidth="1"/>
    <col min="19" max="19" width="12.6328125" customWidth="1"/>
    <col min="20" max="20" width="12.54296875" customWidth="1"/>
  </cols>
  <sheetData>
    <row r="1" spans="1:20" x14ac:dyDescent="0.35">
      <c r="A1" s="2" t="s">
        <v>634</v>
      </c>
      <c r="B1" s="2"/>
      <c r="C1" s="2"/>
      <c r="D1" s="355">
        <f ca="1">TODAY()</f>
        <v>46296</v>
      </c>
      <c r="G1" s="144"/>
    </row>
    <row r="3" spans="1:20" x14ac:dyDescent="0.35">
      <c r="S3" s="1">
        <f>SUM(I6:I8)</f>
        <v>34416.089999999997</v>
      </c>
    </row>
    <row r="4" spans="1:20" ht="40" thickBot="1" x14ac:dyDescent="0.4">
      <c r="A4" s="169" t="s">
        <v>655</v>
      </c>
      <c r="B4" s="170" t="s">
        <v>1</v>
      </c>
      <c r="C4" s="170" t="s">
        <v>643</v>
      </c>
      <c r="D4" s="171" t="s">
        <v>644</v>
      </c>
      <c r="E4" s="171" t="s">
        <v>645</v>
      </c>
      <c r="F4" s="171" t="s">
        <v>646</v>
      </c>
      <c r="G4" s="172" t="s">
        <v>275</v>
      </c>
      <c r="H4" s="173" t="s">
        <v>647</v>
      </c>
      <c r="I4" s="170" t="s">
        <v>648</v>
      </c>
      <c r="J4" s="174" t="s">
        <v>649</v>
      </c>
      <c r="K4" s="174" t="s">
        <v>650</v>
      </c>
      <c r="L4" s="174" t="s">
        <v>651</v>
      </c>
      <c r="M4" s="174" t="s">
        <v>656</v>
      </c>
      <c r="N4" s="174" t="s">
        <v>652</v>
      </c>
      <c r="O4" s="174" t="s">
        <v>635</v>
      </c>
      <c r="P4" s="174" t="s">
        <v>638</v>
      </c>
      <c r="Q4" s="191" t="s">
        <v>6</v>
      </c>
      <c r="S4" s="4" t="s">
        <v>793</v>
      </c>
      <c r="T4" s="4" t="s">
        <v>794</v>
      </c>
    </row>
    <row r="5" spans="1:20" x14ac:dyDescent="0.35">
      <c r="A5" s="166" t="s">
        <v>313</v>
      </c>
      <c r="B5" s="120" t="s">
        <v>401</v>
      </c>
      <c r="C5" s="121">
        <v>6940</v>
      </c>
      <c r="D5" s="122">
        <v>45772</v>
      </c>
      <c r="E5" s="122">
        <v>45817</v>
      </c>
      <c r="F5" s="123" t="s">
        <v>359</v>
      </c>
      <c r="G5" s="148">
        <v>30</v>
      </c>
      <c r="H5" s="153">
        <v>45847</v>
      </c>
      <c r="I5" s="23">
        <v>13839.679999999998</v>
      </c>
      <c r="J5" s="124"/>
      <c r="K5" s="150"/>
      <c r="L5" s="124">
        <v>13839.68</v>
      </c>
      <c r="M5" s="151">
        <f>SUM(J5:L5)-I5</f>
        <v>0</v>
      </c>
      <c r="N5" s="125" t="s">
        <v>361</v>
      </c>
      <c r="O5" s="125">
        <v>45947</v>
      </c>
      <c r="P5" s="364">
        <f>O5-H5</f>
        <v>100</v>
      </c>
      <c r="Q5" s="167" t="s">
        <v>637</v>
      </c>
      <c r="S5" s="10">
        <v>14591.42</v>
      </c>
      <c r="T5" s="10">
        <v>6575.25</v>
      </c>
    </row>
    <row r="6" spans="1:20" x14ac:dyDescent="0.35">
      <c r="A6" s="166" t="s">
        <v>399</v>
      </c>
      <c r="B6" s="127" t="s">
        <v>401</v>
      </c>
      <c r="C6" s="128">
        <v>7173</v>
      </c>
      <c r="D6" s="129">
        <v>45805</v>
      </c>
      <c r="E6" s="129">
        <v>45855</v>
      </c>
      <c r="F6" s="130" t="s">
        <v>359</v>
      </c>
      <c r="G6" s="149">
        <v>30</v>
      </c>
      <c r="H6" s="152">
        <v>45885</v>
      </c>
      <c r="I6" s="23">
        <v>4734.9399999999996</v>
      </c>
      <c r="J6" s="132"/>
      <c r="K6" s="131">
        <v>3385.14</v>
      </c>
      <c r="L6" s="124">
        <f>Tabla7[[#This Row],[TOTAL A PAGAR SEGÚN INVOICE
US$]]-K6</f>
        <v>1349.7999999999997</v>
      </c>
      <c r="M6" s="151">
        <f>SUM(J6:L6)-I6</f>
        <v>0</v>
      </c>
      <c r="N6" s="134" t="s">
        <v>361</v>
      </c>
      <c r="O6" s="134">
        <v>46076</v>
      </c>
      <c r="P6" s="364">
        <f t="shared" ref="P6:P10" si="0">O6-H6</f>
        <v>191</v>
      </c>
      <c r="Q6" s="168" t="s">
        <v>795</v>
      </c>
      <c r="S6" s="10">
        <v>5597.15</v>
      </c>
      <c r="T6" s="10"/>
    </row>
    <row r="7" spans="1:20" x14ac:dyDescent="0.35">
      <c r="A7" s="166" t="s">
        <v>653</v>
      </c>
      <c r="B7" s="137" t="s">
        <v>401</v>
      </c>
      <c r="C7" s="128" t="s">
        <v>636</v>
      </c>
      <c r="D7" s="129">
        <v>45937</v>
      </c>
      <c r="E7" s="129">
        <v>45968</v>
      </c>
      <c r="F7" s="130" t="s">
        <v>359</v>
      </c>
      <c r="G7" s="149">
        <v>30</v>
      </c>
      <c r="H7" s="223">
        <v>45998</v>
      </c>
      <c r="I7" s="23">
        <v>13908.91</v>
      </c>
      <c r="J7" s="341">
        <v>13908.91</v>
      </c>
      <c r="K7" s="163"/>
      <c r="L7" s="131">
        <f>14591.42-1349.8+667.29</f>
        <v>13908.91</v>
      </c>
      <c r="M7" s="131">
        <f>J7-I7</f>
        <v>0</v>
      </c>
      <c r="N7" s="134" t="s">
        <v>361</v>
      </c>
      <c r="O7" s="134">
        <v>46136</v>
      </c>
      <c r="P7" s="364">
        <f t="shared" si="0"/>
        <v>138</v>
      </c>
      <c r="Q7" s="168" t="s">
        <v>792</v>
      </c>
      <c r="S7" s="10">
        <v>5597.15</v>
      </c>
      <c r="T7" s="10"/>
    </row>
    <row r="8" spans="1:20" x14ac:dyDescent="0.35">
      <c r="A8" s="166" t="s">
        <v>776</v>
      </c>
      <c r="B8" s="137" t="s">
        <v>401</v>
      </c>
      <c r="C8" s="128" t="s">
        <v>639</v>
      </c>
      <c r="D8" s="129">
        <v>45985</v>
      </c>
      <c r="E8" s="129">
        <v>46010</v>
      </c>
      <c r="F8" s="130" t="s">
        <v>359</v>
      </c>
      <c r="G8" s="148">
        <v>30</v>
      </c>
      <c r="H8" s="183">
        <v>46040</v>
      </c>
      <c r="I8" s="23">
        <v>15772.24</v>
      </c>
      <c r="J8" s="131">
        <f>4991.86</f>
        <v>4991.8599999999997</v>
      </c>
      <c r="K8" s="163"/>
      <c r="L8" s="131">
        <v>5597.15</v>
      </c>
      <c r="M8" s="151">
        <f>SUM(J8:L8)-I8</f>
        <v>-5183.2300000000014</v>
      </c>
      <c r="N8" s="182" t="s">
        <v>421</v>
      </c>
      <c r="O8" s="185">
        <f ca="1">TODAY()</f>
        <v>46296</v>
      </c>
      <c r="P8" s="155">
        <f t="shared" ca="1" si="0"/>
        <v>256</v>
      </c>
      <c r="Q8" s="168" t="s">
        <v>775</v>
      </c>
    </row>
    <row r="9" spans="1:20" x14ac:dyDescent="0.35">
      <c r="A9" s="166" t="s">
        <v>654</v>
      </c>
      <c r="B9" s="176" t="s">
        <v>401</v>
      </c>
      <c r="C9" s="128" t="s">
        <v>640</v>
      </c>
      <c r="D9" s="129">
        <v>46010</v>
      </c>
      <c r="E9" s="129">
        <v>46073</v>
      </c>
      <c r="F9" s="130" t="s">
        <v>359</v>
      </c>
      <c r="G9" s="148">
        <v>30</v>
      </c>
      <c r="H9" s="141">
        <v>46103</v>
      </c>
      <c r="I9" s="26">
        <v>18182.650000000001</v>
      </c>
      <c r="J9" s="133"/>
      <c r="K9" s="163"/>
      <c r="L9" s="133"/>
      <c r="M9" s="132">
        <v>-18182.650000000001</v>
      </c>
      <c r="N9" s="184" t="s">
        <v>641</v>
      </c>
      <c r="O9" s="185">
        <f ca="1">TODAY()</f>
        <v>46296</v>
      </c>
      <c r="P9" s="155">
        <f t="shared" ca="1" si="0"/>
        <v>193</v>
      </c>
      <c r="Q9" s="168" t="s">
        <v>642</v>
      </c>
      <c r="S9" s="374">
        <f>SUM(S5:S8)</f>
        <v>25785.72</v>
      </c>
      <c r="T9" s="374">
        <f>SUM(T5:T8)</f>
        <v>6575.25</v>
      </c>
    </row>
    <row r="10" spans="1:20" x14ac:dyDescent="0.35">
      <c r="A10" s="177" t="s">
        <v>621</v>
      </c>
      <c r="B10" s="178" t="s">
        <v>401</v>
      </c>
      <c r="C10" s="179">
        <v>9522</v>
      </c>
      <c r="D10" s="180">
        <v>46077</v>
      </c>
      <c r="E10" s="180">
        <v>46140</v>
      </c>
      <c r="F10" s="181" t="s">
        <v>359</v>
      </c>
      <c r="G10" s="175">
        <v>30</v>
      </c>
      <c r="H10" s="186">
        <v>46230</v>
      </c>
      <c r="I10" s="26">
        <v>24162.66</v>
      </c>
      <c r="J10" s="131">
        <v>6575.25</v>
      </c>
      <c r="K10" s="188"/>
      <c r="L10" s="187"/>
      <c r="M10" s="132">
        <v>-17587.41</v>
      </c>
      <c r="N10" s="182" t="s">
        <v>421</v>
      </c>
      <c r="O10" s="189">
        <v>46230</v>
      </c>
      <c r="P10" s="354">
        <f t="shared" si="0"/>
        <v>0</v>
      </c>
      <c r="Q10" s="190" t="s">
        <v>764</v>
      </c>
      <c r="S10" s="1">
        <f>S3-S9</f>
        <v>8630.3699999999953</v>
      </c>
    </row>
    <row r="11" spans="1:20" ht="7.5" customHeight="1" x14ac:dyDescent="0.35"/>
    <row r="12" spans="1:20" ht="7.5" customHeight="1" x14ac:dyDescent="0.35">
      <c r="M12" s="1"/>
    </row>
    <row r="13" spans="1:20" x14ac:dyDescent="0.35">
      <c r="I13" s="367">
        <f>SUM(I6:I8)</f>
        <v>34416.089999999997</v>
      </c>
      <c r="J13" s="280" t="s">
        <v>671</v>
      </c>
      <c r="K13" s="342" t="s">
        <v>740</v>
      </c>
      <c r="L13" s="342"/>
      <c r="M13" s="362"/>
    </row>
    <row r="14" spans="1:20" x14ac:dyDescent="0.35">
      <c r="I14" s="257">
        <f>I9</f>
        <v>18182.650000000001</v>
      </c>
      <c r="J14" s="280" t="s">
        <v>779</v>
      </c>
      <c r="K14" s="342" t="s">
        <v>778</v>
      </c>
      <c r="L14" s="342"/>
      <c r="M14" s="1"/>
      <c r="N14" s="2"/>
    </row>
    <row r="15" spans="1:20" x14ac:dyDescent="0.35">
      <c r="I15" s="257">
        <f>I10</f>
        <v>24162.66</v>
      </c>
      <c r="J15" s="280" t="s">
        <v>780</v>
      </c>
      <c r="K15" s="342" t="s">
        <v>777</v>
      </c>
      <c r="L15" s="342"/>
    </row>
    <row r="16" spans="1:20" ht="7.5" customHeight="1" x14ac:dyDescent="0.35"/>
    <row r="17" spans="1:10" ht="7.5" customHeight="1" x14ac:dyDescent="0.35"/>
    <row r="19" spans="1:10" ht="16" hidden="1" x14ac:dyDescent="0.4">
      <c r="A19" s="218" t="s">
        <v>741</v>
      </c>
    </row>
    <row r="20" spans="1:10" hidden="1" x14ac:dyDescent="0.35">
      <c r="A20" s="5">
        <f>6*5777.03</f>
        <v>34662.18</v>
      </c>
    </row>
    <row r="21" spans="1:10" hidden="1" x14ac:dyDescent="0.35">
      <c r="A21" s="3" t="s">
        <v>698</v>
      </c>
      <c r="I21" s="331" t="s">
        <v>51</v>
      </c>
    </row>
    <row r="22" spans="1:10" hidden="1" x14ac:dyDescent="0.35">
      <c r="A22" s="222">
        <v>46136</v>
      </c>
      <c r="B22" s="220">
        <v>5659.15</v>
      </c>
      <c r="C22" s="220">
        <f>B22-5777.03</f>
        <v>-117.88000000000011</v>
      </c>
      <c r="D22" s="221">
        <f>B22/5777.03</f>
        <v>0.97959505143646475</v>
      </c>
      <c r="E22" t="s">
        <v>700</v>
      </c>
      <c r="I22">
        <f>5659.15-667.29</f>
        <v>4991.8599999999997</v>
      </c>
      <c r="J22" t="s">
        <v>699</v>
      </c>
    </row>
    <row r="23" spans="1:10" hidden="1" x14ac:dyDescent="0.35">
      <c r="A23" s="219"/>
    </row>
    <row r="24" spans="1:10" hidden="1" x14ac:dyDescent="0.35">
      <c r="A24" s="219"/>
    </row>
    <row r="25" spans="1:10" hidden="1" x14ac:dyDescent="0.35"/>
    <row r="26" spans="1:10" ht="16" hidden="1" x14ac:dyDescent="0.4">
      <c r="A26" s="218" t="s">
        <v>742</v>
      </c>
    </row>
    <row r="27" spans="1:10" hidden="1" x14ac:dyDescent="0.35">
      <c r="A27" s="2" t="s">
        <v>701</v>
      </c>
    </row>
    <row r="28" spans="1:10" hidden="1" x14ac:dyDescent="0.35">
      <c r="A28" s="5">
        <f>I10*33%</f>
        <v>7973.6778000000004</v>
      </c>
      <c r="B28" t="s">
        <v>707</v>
      </c>
      <c r="D28" s="330">
        <f>6575.25/I10</f>
        <v>0.27212442669805392</v>
      </c>
    </row>
    <row r="29" spans="1:10" hidden="1" x14ac:dyDescent="0.35"/>
    <row r="31" spans="1:10" ht="16" x14ac:dyDescent="0.4">
      <c r="A31" s="332" t="s">
        <v>773</v>
      </c>
      <c r="I31" s="333">
        <f>34416.09/6</f>
        <v>5736.0149999999994</v>
      </c>
      <c r="J31" s="342" t="s">
        <v>743</v>
      </c>
    </row>
    <row r="32" spans="1:10" ht="5.5" customHeight="1" x14ac:dyDescent="0.35">
      <c r="A32" s="334"/>
    </row>
    <row r="33" spans="1:12" x14ac:dyDescent="0.35">
      <c r="A33" s="3" t="s">
        <v>698</v>
      </c>
      <c r="B33" s="331" t="s">
        <v>744</v>
      </c>
      <c r="C33" s="331" t="s">
        <v>753</v>
      </c>
      <c r="D33" s="331" t="s">
        <v>745</v>
      </c>
      <c r="E33" s="331" t="s">
        <v>746</v>
      </c>
      <c r="H33" s="331" t="s">
        <v>51</v>
      </c>
      <c r="I33" s="331" t="s">
        <v>754</v>
      </c>
    </row>
    <row r="34" spans="1:12" x14ac:dyDescent="0.35">
      <c r="A34" s="335">
        <v>46136</v>
      </c>
      <c r="B34" s="343">
        <v>5597.15</v>
      </c>
      <c r="C34" s="363">
        <f>B34-$I$31</f>
        <v>-138.86499999999978</v>
      </c>
      <c r="D34" s="338">
        <f>B34/$I$31</f>
        <v>0.97579068395044299</v>
      </c>
      <c r="E34" s="365" t="s">
        <v>758</v>
      </c>
      <c r="F34" s="61"/>
      <c r="G34" s="61"/>
      <c r="H34" s="366" t="s">
        <v>755</v>
      </c>
      <c r="I34" s="1">
        <f>I13-B34</f>
        <v>28818.939999999995</v>
      </c>
      <c r="K34" s="1"/>
      <c r="L34" s="159"/>
    </row>
    <row r="35" spans="1:12" ht="11" customHeight="1" x14ac:dyDescent="0.35">
      <c r="A35" s="335">
        <v>46174</v>
      </c>
      <c r="B35" s="343">
        <f>5597.15</f>
        <v>5597.15</v>
      </c>
      <c r="C35" s="363">
        <f>B35-$I$31</f>
        <v>-138.86499999999978</v>
      </c>
      <c r="D35" s="338">
        <f>B35/$I$31</f>
        <v>0.97579068395044299</v>
      </c>
      <c r="E35" s="365" t="s">
        <v>758</v>
      </c>
      <c r="H35" s="342" t="s">
        <v>774</v>
      </c>
      <c r="I35" s="1">
        <f>I34-B35</f>
        <v>23221.789999999994</v>
      </c>
    </row>
    <row r="36" spans="1:12" ht="11" customHeight="1" x14ac:dyDescent="0.35">
      <c r="A36" s="219"/>
      <c r="I36" s="1"/>
    </row>
    <row r="37" spans="1:12" ht="11" customHeight="1" x14ac:dyDescent="0.35">
      <c r="A37" s="219"/>
      <c r="I37" s="1"/>
    </row>
    <row r="38" spans="1:12" ht="11" customHeight="1" x14ac:dyDescent="0.35">
      <c r="A38" s="219"/>
      <c r="I38" s="1"/>
    </row>
    <row r="39" spans="1:12" ht="11" customHeight="1" x14ac:dyDescent="0.35">
      <c r="A39" s="219"/>
      <c r="I39" s="1"/>
    </row>
    <row r="40" spans="1:12" ht="9" customHeight="1" x14ac:dyDescent="0.35"/>
    <row r="41" spans="1:12" ht="16" x14ac:dyDescent="0.4">
      <c r="A41" s="332" t="s">
        <v>747</v>
      </c>
      <c r="B41" s="333">
        <f>I10</f>
        <v>24162.66</v>
      </c>
      <c r="C41" s="340" t="s">
        <v>748</v>
      </c>
      <c r="F41" s="2" t="s">
        <v>749</v>
      </c>
      <c r="I41" s="213"/>
      <c r="J41" s="57">
        <v>8793.7000000000007</v>
      </c>
      <c r="K41" s="57">
        <f>B41*33%</f>
        <v>7973.6778000000004</v>
      </c>
    </row>
    <row r="42" spans="1:12" ht="2.5" customHeight="1" x14ac:dyDescent="0.35">
      <c r="A42" s="332"/>
      <c r="F42" s="2"/>
      <c r="I42" s="213"/>
    </row>
    <row r="43" spans="1:12" x14ac:dyDescent="0.35">
      <c r="A43" s="3" t="s">
        <v>698</v>
      </c>
      <c r="B43" s="331" t="s">
        <v>744</v>
      </c>
      <c r="C43" s="331" t="s">
        <v>750</v>
      </c>
      <c r="D43" s="331" t="s">
        <v>745</v>
      </c>
      <c r="E43" s="3" t="s">
        <v>751</v>
      </c>
      <c r="H43" s="331" t="s">
        <v>51</v>
      </c>
      <c r="I43" s="331" t="s">
        <v>754</v>
      </c>
    </row>
    <row r="44" spans="1:12" x14ac:dyDescent="0.35">
      <c r="A44" s="335">
        <v>46146</v>
      </c>
      <c r="B44" s="336">
        <v>6575.25</v>
      </c>
      <c r="C44" s="337"/>
      <c r="D44" s="338">
        <f>B44/24162.66</f>
        <v>0.27212442669805392</v>
      </c>
      <c r="E44" s="61" t="s">
        <v>621</v>
      </c>
      <c r="F44" s="61"/>
      <c r="G44" s="61"/>
      <c r="H44" s="339" t="s">
        <v>752</v>
      </c>
      <c r="I44" s="1">
        <f>I10-B44</f>
        <v>17587.41</v>
      </c>
    </row>
    <row r="49" spans="1:4" x14ac:dyDescent="0.35">
      <c r="D49">
        <f>5841.47*4</f>
        <v>23365.88</v>
      </c>
    </row>
    <row r="55" spans="1:4" ht="16" x14ac:dyDescent="0.35">
      <c r="A55" s="368"/>
      <c r="D55">
        <f>6575.25+8793.7+8793.7</f>
        <v>24162.65</v>
      </c>
    </row>
    <row r="56" spans="1:4" ht="16" x14ac:dyDescent="0.35">
      <c r="A56" s="369"/>
    </row>
    <row r="57" spans="1:4" ht="16" x14ac:dyDescent="0.4">
      <c r="A57" s="370"/>
    </row>
  </sheetData>
  <conditionalFormatting sqref="M5:M10">
    <cfRule type="cellIs" dxfId="775" priority="1" operator="lessThan">
      <formula>0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C8B5-927D-4440-AC0E-8DE0AFBA1E76}">
  <dimension ref="A5:N9"/>
  <sheetViews>
    <sheetView showGridLines="0" workbookViewId="0">
      <selection activeCell="J16" sqref="J16"/>
    </sheetView>
  </sheetViews>
  <sheetFormatPr baseColWidth="10" defaultColWidth="10.90625" defaultRowHeight="14.5" x14ac:dyDescent="0.35"/>
  <cols>
    <col min="1" max="1" width="20.453125" bestFit="1" customWidth="1"/>
    <col min="4" max="4" width="8.453125" customWidth="1"/>
    <col min="5" max="5" width="12.453125" bestFit="1" customWidth="1"/>
    <col min="6" max="6" width="10.54296875" customWidth="1"/>
    <col min="8" max="8" width="10.54296875" customWidth="1"/>
    <col min="13" max="13" width="11.1796875" customWidth="1"/>
    <col min="14" max="14" width="24.453125" bestFit="1" customWidth="1"/>
  </cols>
  <sheetData>
    <row r="5" spans="1:14" ht="38.25" customHeight="1" thickBot="1" x14ac:dyDescent="0.4">
      <c r="A5" s="145" t="s">
        <v>655</v>
      </c>
      <c r="B5" s="145" t="s">
        <v>1</v>
      </c>
      <c r="C5" s="146" t="s">
        <v>645</v>
      </c>
      <c r="D5" s="146" t="s">
        <v>646</v>
      </c>
      <c r="E5" s="147" t="s">
        <v>647</v>
      </c>
      <c r="F5" s="145" t="s">
        <v>648</v>
      </c>
      <c r="G5" s="119" t="s">
        <v>649</v>
      </c>
      <c r="H5" s="119" t="s">
        <v>650</v>
      </c>
      <c r="I5" s="119" t="s">
        <v>651</v>
      </c>
      <c r="J5" s="119" t="s">
        <v>656</v>
      </c>
      <c r="K5" s="119" t="s">
        <v>652</v>
      </c>
      <c r="L5" s="119" t="s">
        <v>635</v>
      </c>
      <c r="M5" s="119" t="s">
        <v>638</v>
      </c>
      <c r="N5" s="193" t="s">
        <v>6</v>
      </c>
    </row>
    <row r="6" spans="1:14" x14ac:dyDescent="0.35">
      <c r="A6" s="194" t="s">
        <v>653</v>
      </c>
      <c r="B6" s="136" t="s">
        <v>401</v>
      </c>
      <c r="C6" s="122">
        <v>45968</v>
      </c>
      <c r="D6" s="123" t="s">
        <v>359</v>
      </c>
      <c r="E6" s="202">
        <v>45998</v>
      </c>
      <c r="F6" s="138">
        <v>13908.91</v>
      </c>
      <c r="G6" s="195">
        <v>13241.62</v>
      </c>
      <c r="H6" s="196"/>
      <c r="I6" s="138">
        <v>13241.62</v>
      </c>
      <c r="J6" s="197">
        <v>-667.28999999999905</v>
      </c>
      <c r="K6" s="198" t="s">
        <v>421</v>
      </c>
      <c r="L6" s="125">
        <v>46076</v>
      </c>
      <c r="M6" s="199">
        <v>101</v>
      </c>
      <c r="N6" s="200" t="s">
        <v>669</v>
      </c>
    </row>
    <row r="7" spans="1:14" x14ac:dyDescent="0.35">
      <c r="A7" s="156" t="s">
        <v>552</v>
      </c>
      <c r="B7" s="137" t="s">
        <v>401</v>
      </c>
      <c r="C7" s="129">
        <v>46010</v>
      </c>
      <c r="D7" s="130" t="s">
        <v>359</v>
      </c>
      <c r="E7" s="203">
        <v>46040</v>
      </c>
      <c r="F7" s="142">
        <v>15772.24</v>
      </c>
      <c r="G7" s="131"/>
      <c r="H7" s="163"/>
      <c r="I7" s="131"/>
      <c r="J7" s="132">
        <v>-15772.24</v>
      </c>
      <c r="K7" s="184" t="s">
        <v>641</v>
      </c>
      <c r="L7" s="185">
        <v>46099</v>
      </c>
      <c r="M7" s="192">
        <v>59</v>
      </c>
      <c r="N7" s="135" t="s">
        <v>670</v>
      </c>
    </row>
    <row r="8" spans="1:14" x14ac:dyDescent="0.35">
      <c r="A8" s="194" t="s">
        <v>654</v>
      </c>
      <c r="B8" s="120" t="s">
        <v>401</v>
      </c>
      <c r="C8" s="122">
        <v>46073</v>
      </c>
      <c r="D8" s="123" t="s">
        <v>359</v>
      </c>
      <c r="E8" s="201">
        <v>46103</v>
      </c>
      <c r="F8" s="139">
        <v>18182.650000000001</v>
      </c>
      <c r="G8" s="124"/>
      <c r="H8" s="196"/>
      <c r="I8" s="124"/>
      <c r="J8" s="197">
        <v>-18182.650000000001</v>
      </c>
      <c r="K8" s="140" t="s">
        <v>641</v>
      </c>
      <c r="L8" s="158">
        <v>46099</v>
      </c>
      <c r="M8" s="199"/>
      <c r="N8" s="126" t="s">
        <v>642</v>
      </c>
    </row>
    <row r="9" spans="1:14" x14ac:dyDescent="0.35">
      <c r="A9" s="157" t="s">
        <v>621</v>
      </c>
      <c r="B9" s="143" t="s">
        <v>401</v>
      </c>
      <c r="C9" s="129">
        <v>46112</v>
      </c>
      <c r="D9" s="130" t="s">
        <v>359</v>
      </c>
      <c r="E9" s="141">
        <v>46142</v>
      </c>
      <c r="F9" s="142">
        <v>19925</v>
      </c>
      <c r="G9" s="133"/>
      <c r="H9" s="163"/>
      <c r="I9" s="133"/>
      <c r="J9" s="165">
        <v>-19925</v>
      </c>
      <c r="K9" s="164" t="s">
        <v>362</v>
      </c>
      <c r="L9" s="185">
        <v>46099</v>
      </c>
      <c r="M9" s="192"/>
      <c r="N9" s="154" t="s">
        <v>622</v>
      </c>
    </row>
  </sheetData>
  <conditionalFormatting sqref="J6:J8">
    <cfRule type="cellIs" dxfId="774" priority="1" operator="lessThan">
      <formula>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998F-12AE-4F16-95E9-E7B16986C241}">
  <dimension ref="A1:O12"/>
  <sheetViews>
    <sheetView workbookViewId="0">
      <selection activeCell="K11" sqref="K11"/>
    </sheetView>
  </sheetViews>
  <sheetFormatPr baseColWidth="10" defaultColWidth="10.90625" defaultRowHeight="14.5" x14ac:dyDescent="0.35"/>
  <cols>
    <col min="1" max="1" width="21.1796875" bestFit="1" customWidth="1"/>
    <col min="2" max="2" width="11.54296875" bestFit="1" customWidth="1"/>
    <col min="3" max="3" width="28.1796875" bestFit="1" customWidth="1"/>
    <col min="4" max="4" width="16" bestFit="1" customWidth="1"/>
    <col min="5" max="5" width="15.81640625" bestFit="1" customWidth="1"/>
    <col min="6" max="6" width="19.453125" bestFit="1" customWidth="1"/>
    <col min="7" max="7" width="11.54296875" bestFit="1" customWidth="1"/>
    <col min="8" max="8" width="31.81640625" bestFit="1" customWidth="1"/>
    <col min="9" max="9" width="42.1796875" bestFit="1" customWidth="1"/>
    <col min="10" max="10" width="28" bestFit="1" customWidth="1"/>
    <col min="11" max="11" width="28.1796875" bestFit="1" customWidth="1"/>
    <col min="12" max="12" width="18.81640625" bestFit="1" customWidth="1"/>
    <col min="13" max="13" width="25.54296875" bestFit="1" customWidth="1"/>
    <col min="14" max="14" width="15.453125" bestFit="1" customWidth="1"/>
    <col min="15" max="15" width="74.1796875" bestFit="1" customWidth="1"/>
  </cols>
  <sheetData>
    <row r="1" spans="1:15" ht="36.75" customHeight="1" x14ac:dyDescent="0.35">
      <c r="A1" s="56" t="s">
        <v>448</v>
      </c>
    </row>
    <row r="3" spans="1:15" x14ac:dyDescent="0.35">
      <c r="A3" t="s">
        <v>352</v>
      </c>
      <c r="B3" t="s">
        <v>1</v>
      </c>
      <c r="C3" t="s">
        <v>326</v>
      </c>
      <c r="D3" t="s">
        <v>308</v>
      </c>
      <c r="E3" t="s">
        <v>271</v>
      </c>
      <c r="F3" t="s">
        <v>305</v>
      </c>
      <c r="G3" t="s">
        <v>275</v>
      </c>
      <c r="H3" t="s">
        <v>281</v>
      </c>
      <c r="I3" t="s">
        <v>301</v>
      </c>
      <c r="J3" t="s">
        <v>347</v>
      </c>
      <c r="K3" t="s">
        <v>348</v>
      </c>
      <c r="L3" t="s">
        <v>276</v>
      </c>
      <c r="M3" t="s">
        <v>349</v>
      </c>
      <c r="N3" t="s">
        <v>409</v>
      </c>
      <c r="O3" t="s">
        <v>6</v>
      </c>
    </row>
    <row r="4" spans="1:15" x14ac:dyDescent="0.35">
      <c r="A4" t="s">
        <v>404</v>
      </c>
      <c r="B4" t="s">
        <v>291</v>
      </c>
      <c r="C4" t="s">
        <v>429</v>
      </c>
      <c r="D4" s="35">
        <v>45810</v>
      </c>
      <c r="E4" s="35">
        <v>45838</v>
      </c>
      <c r="F4" t="s">
        <v>290</v>
      </c>
      <c r="G4">
        <v>90</v>
      </c>
      <c r="H4" s="35">
        <v>45928</v>
      </c>
      <c r="I4">
        <v>11960</v>
      </c>
      <c r="J4">
        <v>11960</v>
      </c>
      <c r="K4">
        <v>0</v>
      </c>
      <c r="L4">
        <v>41676.25</v>
      </c>
      <c r="M4">
        <v>58965</v>
      </c>
      <c r="N4" t="s">
        <v>362</v>
      </c>
      <c r="O4" t="s">
        <v>444</v>
      </c>
    </row>
    <row r="5" spans="1:15" ht="29" x14ac:dyDescent="0.35">
      <c r="A5" t="s">
        <v>400</v>
      </c>
      <c r="B5" t="s">
        <v>291</v>
      </c>
      <c r="C5" s="64" t="s">
        <v>417</v>
      </c>
      <c r="D5" s="35">
        <v>45806</v>
      </c>
      <c r="E5" s="35">
        <v>45837</v>
      </c>
      <c r="F5" t="s">
        <v>290</v>
      </c>
      <c r="G5">
        <v>90</v>
      </c>
      <c r="H5" s="35">
        <v>45927</v>
      </c>
      <c r="I5">
        <v>7360</v>
      </c>
      <c r="J5">
        <v>7360</v>
      </c>
      <c r="K5">
        <v>0</v>
      </c>
      <c r="L5" t="s">
        <v>55</v>
      </c>
      <c r="M5">
        <v>58965</v>
      </c>
      <c r="N5" t="s">
        <v>362</v>
      </c>
      <c r="O5" t="s">
        <v>445</v>
      </c>
    </row>
    <row r="6" spans="1:15" x14ac:dyDescent="0.35">
      <c r="A6" t="s">
        <v>309</v>
      </c>
      <c r="B6" t="s">
        <v>291</v>
      </c>
      <c r="C6" t="s">
        <v>357</v>
      </c>
      <c r="D6" s="35">
        <v>45754</v>
      </c>
      <c r="E6" s="35">
        <v>45792</v>
      </c>
      <c r="F6" t="s">
        <v>290</v>
      </c>
      <c r="G6">
        <v>90</v>
      </c>
      <c r="H6" s="35">
        <v>45882</v>
      </c>
      <c r="K6">
        <v>0</v>
      </c>
      <c r="L6" t="s">
        <v>55</v>
      </c>
      <c r="M6" t="s">
        <v>337</v>
      </c>
      <c r="N6" t="s">
        <v>362</v>
      </c>
      <c r="O6" t="s">
        <v>403</v>
      </c>
    </row>
    <row r="7" spans="1:15" x14ac:dyDescent="0.35">
      <c r="A7" t="s">
        <v>314</v>
      </c>
      <c r="B7" t="s">
        <v>291</v>
      </c>
      <c r="C7">
        <v>6949</v>
      </c>
      <c r="D7" s="35">
        <v>45776</v>
      </c>
      <c r="E7" s="35">
        <v>45792</v>
      </c>
      <c r="F7" t="s">
        <v>290</v>
      </c>
      <c r="G7">
        <v>90</v>
      </c>
      <c r="H7" s="35">
        <v>45882</v>
      </c>
      <c r="I7">
        <v>1840</v>
      </c>
      <c r="K7">
        <v>1840</v>
      </c>
      <c r="L7" t="s">
        <v>55</v>
      </c>
      <c r="N7" t="s">
        <v>362</v>
      </c>
      <c r="O7" t="s">
        <v>354</v>
      </c>
    </row>
    <row r="8" spans="1:15" x14ac:dyDescent="0.35">
      <c r="A8" t="s">
        <v>312</v>
      </c>
      <c r="B8" t="s">
        <v>291</v>
      </c>
      <c r="C8">
        <v>6875</v>
      </c>
      <c r="D8" s="35">
        <v>45754</v>
      </c>
      <c r="E8" s="35">
        <v>45771</v>
      </c>
      <c r="F8" t="s">
        <v>290</v>
      </c>
      <c r="G8">
        <v>90</v>
      </c>
      <c r="H8" s="35">
        <v>45861</v>
      </c>
      <c r="I8">
        <v>2222.7199999999998</v>
      </c>
      <c r="K8">
        <v>2222.7199999999998</v>
      </c>
      <c r="L8">
        <v>12642.83</v>
      </c>
      <c r="M8">
        <v>57775</v>
      </c>
      <c r="N8" t="s">
        <v>362</v>
      </c>
      <c r="O8" t="s">
        <v>360</v>
      </c>
    </row>
    <row r="9" spans="1:15" x14ac:dyDescent="0.35">
      <c r="A9" t="s">
        <v>319</v>
      </c>
      <c r="B9" t="s">
        <v>291</v>
      </c>
      <c r="C9" t="s">
        <v>415</v>
      </c>
      <c r="D9" s="35">
        <v>45784</v>
      </c>
      <c r="E9" s="35">
        <v>45814</v>
      </c>
      <c r="F9" t="s">
        <v>290</v>
      </c>
      <c r="G9">
        <v>90</v>
      </c>
      <c r="H9" s="35">
        <v>45904</v>
      </c>
      <c r="I9">
        <v>3375</v>
      </c>
      <c r="K9">
        <v>3375</v>
      </c>
      <c r="L9" t="s">
        <v>55</v>
      </c>
      <c r="M9" t="s">
        <v>55</v>
      </c>
      <c r="N9" t="s">
        <v>362</v>
      </c>
      <c r="O9" t="s">
        <v>446</v>
      </c>
    </row>
    <row r="10" spans="1:15" x14ac:dyDescent="0.35">
      <c r="A10" t="s">
        <v>437</v>
      </c>
      <c r="B10" t="s">
        <v>291</v>
      </c>
      <c r="C10">
        <v>7630</v>
      </c>
      <c r="D10" s="35">
        <v>45848</v>
      </c>
      <c r="E10" s="35">
        <v>45879</v>
      </c>
      <c r="F10" t="s">
        <v>290</v>
      </c>
      <c r="G10">
        <v>90</v>
      </c>
      <c r="H10" s="35">
        <v>45969</v>
      </c>
      <c r="I10">
        <v>4123</v>
      </c>
      <c r="K10">
        <v>4123</v>
      </c>
      <c r="N10" t="s">
        <v>362</v>
      </c>
    </row>
    <row r="11" spans="1:15" x14ac:dyDescent="0.35">
      <c r="A11" t="s">
        <v>307</v>
      </c>
      <c r="B11" t="s">
        <v>291</v>
      </c>
      <c r="C11" t="s">
        <v>413</v>
      </c>
      <c r="D11" s="35">
        <v>45769</v>
      </c>
      <c r="E11" s="35">
        <v>45807</v>
      </c>
      <c r="F11" t="s">
        <v>290</v>
      </c>
      <c r="G11">
        <v>90</v>
      </c>
      <c r="H11" s="35">
        <v>45897</v>
      </c>
      <c r="I11">
        <v>12665.19</v>
      </c>
      <c r="K11">
        <v>12665.19</v>
      </c>
      <c r="L11">
        <v>71657.84</v>
      </c>
      <c r="M11" t="s">
        <v>414</v>
      </c>
      <c r="N11" t="s">
        <v>362</v>
      </c>
      <c r="O11" t="s">
        <v>447</v>
      </c>
    </row>
    <row r="12" spans="1:15" ht="29" x14ac:dyDescent="0.35">
      <c r="A12" t="s">
        <v>4</v>
      </c>
      <c r="B12" t="s">
        <v>291</v>
      </c>
      <c r="C12" s="64" t="s">
        <v>412</v>
      </c>
      <c r="D12" s="35">
        <v>45777</v>
      </c>
      <c r="E12" s="35">
        <v>45792</v>
      </c>
      <c r="F12" t="s">
        <v>290</v>
      </c>
      <c r="G12">
        <v>90</v>
      </c>
      <c r="H12" s="35">
        <v>45882</v>
      </c>
      <c r="I12">
        <v>63969.62</v>
      </c>
      <c r="K12">
        <v>63969.62</v>
      </c>
      <c r="L12">
        <v>414202.66000000003</v>
      </c>
      <c r="M12" t="s">
        <v>411</v>
      </c>
      <c r="N12" t="s">
        <v>362</v>
      </c>
      <c r="O12" t="s">
        <v>336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0D8A-5B46-4BD4-85AE-E837ECAB3CD0}">
  <dimension ref="A1:O10"/>
  <sheetViews>
    <sheetView workbookViewId="0">
      <selection activeCell="I14" sqref="I14"/>
    </sheetView>
  </sheetViews>
  <sheetFormatPr baseColWidth="10" defaultColWidth="10.90625" defaultRowHeight="14.5" x14ac:dyDescent="0.35"/>
  <cols>
    <col min="1" max="1" width="21.1796875" bestFit="1" customWidth="1"/>
    <col min="2" max="2" width="11.54296875" bestFit="1" customWidth="1"/>
    <col min="3" max="3" width="17.1796875" bestFit="1" customWidth="1"/>
    <col min="4" max="4" width="16" bestFit="1" customWidth="1"/>
    <col min="5" max="5" width="15.81640625" hidden="1" customWidth="1"/>
    <col min="6" max="6" width="35.54296875" hidden="1" customWidth="1"/>
    <col min="7" max="7" width="11.54296875" hidden="1" customWidth="1"/>
    <col min="8" max="8" width="31.81640625" hidden="1" customWidth="1"/>
    <col min="9" max="9" width="36.1796875" customWidth="1"/>
    <col min="10" max="10" width="28" hidden="1" customWidth="1"/>
    <col min="11" max="11" width="28.1796875" hidden="1" customWidth="1"/>
    <col min="12" max="12" width="16.453125" customWidth="1"/>
    <col min="13" max="13" width="13.453125" customWidth="1"/>
    <col min="14" max="14" width="15.453125" bestFit="1" customWidth="1"/>
    <col min="15" max="15" width="71.1796875" bestFit="1" customWidth="1"/>
  </cols>
  <sheetData>
    <row r="1" spans="1:15" ht="87" x14ac:dyDescent="0.35">
      <c r="A1" s="56" t="s">
        <v>431</v>
      </c>
    </row>
    <row r="3" spans="1:15" x14ac:dyDescent="0.35">
      <c r="A3" t="s">
        <v>352</v>
      </c>
      <c r="B3" t="s">
        <v>1</v>
      </c>
      <c r="C3" s="4" t="s">
        <v>326</v>
      </c>
      <c r="D3" t="s">
        <v>308</v>
      </c>
      <c r="E3" t="s">
        <v>271</v>
      </c>
      <c r="F3" t="s">
        <v>305</v>
      </c>
      <c r="G3" t="s">
        <v>275</v>
      </c>
      <c r="H3" t="s">
        <v>281</v>
      </c>
      <c r="I3" t="s">
        <v>301</v>
      </c>
      <c r="J3" t="s">
        <v>347</v>
      </c>
      <c r="K3" t="s">
        <v>348</v>
      </c>
      <c r="L3" t="s">
        <v>276</v>
      </c>
      <c r="M3" t="s">
        <v>349</v>
      </c>
      <c r="N3" t="s">
        <v>409</v>
      </c>
      <c r="O3" t="s">
        <v>6</v>
      </c>
    </row>
    <row r="4" spans="1:15" x14ac:dyDescent="0.35">
      <c r="A4" t="s">
        <v>405</v>
      </c>
      <c r="B4" t="s">
        <v>277</v>
      </c>
      <c r="C4" s="4" t="s">
        <v>428</v>
      </c>
      <c r="D4" s="35">
        <v>45810</v>
      </c>
      <c r="E4" s="35">
        <v>45840</v>
      </c>
      <c r="F4" t="s">
        <v>279</v>
      </c>
      <c r="G4">
        <v>30</v>
      </c>
      <c r="H4" s="35">
        <v>45870</v>
      </c>
      <c r="I4" s="57">
        <v>30148.81</v>
      </c>
      <c r="K4">
        <v>30148.81</v>
      </c>
      <c r="L4">
        <v>165091.87</v>
      </c>
      <c r="M4">
        <v>58963</v>
      </c>
      <c r="N4" t="s">
        <v>362</v>
      </c>
      <c r="O4" t="s">
        <v>427</v>
      </c>
    </row>
    <row r="5" spans="1:15" x14ac:dyDescent="0.35">
      <c r="A5" t="s">
        <v>425</v>
      </c>
      <c r="B5" t="s">
        <v>277</v>
      </c>
      <c r="C5" s="4">
        <v>7503</v>
      </c>
      <c r="D5" s="35">
        <v>45840</v>
      </c>
      <c r="E5" s="35">
        <v>45871</v>
      </c>
      <c r="F5" t="s">
        <v>279</v>
      </c>
      <c r="G5">
        <v>30</v>
      </c>
      <c r="H5" s="35">
        <v>45901</v>
      </c>
      <c r="I5" s="57">
        <v>58465</v>
      </c>
      <c r="K5">
        <v>58465</v>
      </c>
      <c r="N5" t="s">
        <v>362</v>
      </c>
      <c r="O5" t="s">
        <v>430</v>
      </c>
    </row>
    <row r="8" spans="1:15" x14ac:dyDescent="0.35">
      <c r="A8" s="52" t="s">
        <v>433</v>
      </c>
      <c r="B8" s="52"/>
      <c r="C8" s="52"/>
    </row>
    <row r="9" spans="1:15" x14ac:dyDescent="0.35">
      <c r="A9" s="58">
        <v>17563.810000000001</v>
      </c>
      <c r="B9" s="59">
        <v>45848</v>
      </c>
      <c r="C9" s="52" t="s">
        <v>434</v>
      </c>
    </row>
    <row r="10" spans="1:15" x14ac:dyDescent="0.35">
      <c r="A10" s="52"/>
      <c r="B10" s="52"/>
      <c r="C10" s="52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A0D5-3E4D-45C9-9F23-D4E5244E7608}">
  <dimension ref="A1:D14"/>
  <sheetViews>
    <sheetView showGridLines="0" workbookViewId="0">
      <selection activeCell="D15" sqref="D15"/>
    </sheetView>
  </sheetViews>
  <sheetFormatPr baseColWidth="10" defaultColWidth="10.90625" defaultRowHeight="14.5" x14ac:dyDescent="0.35"/>
  <cols>
    <col min="1" max="1" width="19.54296875" customWidth="1"/>
    <col min="2" max="2" width="14.1796875" bestFit="1" customWidth="1"/>
    <col min="3" max="3" width="19.1796875" bestFit="1" customWidth="1"/>
    <col min="4" max="4" width="19.453125" bestFit="1" customWidth="1"/>
  </cols>
  <sheetData>
    <row r="1" spans="1:4" ht="16" x14ac:dyDescent="0.35">
      <c r="A1" s="36" t="s">
        <v>368</v>
      </c>
    </row>
    <row r="2" spans="1:4" ht="21" x14ac:dyDescent="0.35">
      <c r="A2" s="38"/>
    </row>
    <row r="3" spans="1:4" ht="15.5" x14ac:dyDescent="0.35">
      <c r="A3" s="37" t="s">
        <v>369</v>
      </c>
    </row>
    <row r="4" spans="1:4" ht="15.5" x14ac:dyDescent="0.35">
      <c r="A4" s="37"/>
    </row>
    <row r="5" spans="1:4" ht="15.5" x14ac:dyDescent="0.35">
      <c r="A5" s="37" t="s">
        <v>364</v>
      </c>
    </row>
    <row r="6" spans="1:4" ht="16" thickBot="1" x14ac:dyDescent="0.4">
      <c r="A6" s="37"/>
    </row>
    <row r="7" spans="1:4" ht="15" thickBot="1" x14ac:dyDescent="0.4">
      <c r="A7" s="39" t="s">
        <v>2</v>
      </c>
      <c r="B7" s="40" t="s">
        <v>341</v>
      </c>
      <c r="C7" s="40" t="s">
        <v>342</v>
      </c>
      <c r="D7" s="40" t="s">
        <v>343</v>
      </c>
    </row>
    <row r="8" spans="1:4" ht="15" thickBot="1" x14ac:dyDescent="0.4">
      <c r="A8" s="41"/>
      <c r="B8" s="42"/>
      <c r="C8" s="43"/>
      <c r="D8" s="42"/>
    </row>
    <row r="9" spans="1:4" ht="15.5" x14ac:dyDescent="0.35">
      <c r="A9" s="37"/>
    </row>
    <row r="10" spans="1:4" ht="15.5" x14ac:dyDescent="0.35">
      <c r="A10" s="37" t="s">
        <v>365</v>
      </c>
    </row>
    <row r="11" spans="1:4" ht="15.5" x14ac:dyDescent="0.35">
      <c r="A11" s="37"/>
    </row>
    <row r="12" spans="1:4" ht="15.5" x14ac:dyDescent="0.35">
      <c r="A12" s="37" t="s">
        <v>366</v>
      </c>
    </row>
    <row r="13" spans="1:4" ht="15.5" x14ac:dyDescent="0.35">
      <c r="A13" s="37"/>
    </row>
    <row r="14" spans="1:4" ht="15.5" x14ac:dyDescent="0.35">
      <c r="A14" s="37" t="s">
        <v>367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AB2D-2B32-48CB-AEDE-5A068146B0C6}">
  <dimension ref="A1:N68"/>
  <sheetViews>
    <sheetView showGridLines="0" workbookViewId="0">
      <selection activeCell="D9" sqref="D9"/>
    </sheetView>
  </sheetViews>
  <sheetFormatPr baseColWidth="10" defaultColWidth="9.1796875" defaultRowHeight="14.5" x14ac:dyDescent="0.35"/>
  <cols>
    <col min="1" max="1" width="11.1796875" customWidth="1"/>
    <col min="2" max="2" width="12.81640625" customWidth="1"/>
    <col min="3" max="3" width="29.81640625" customWidth="1"/>
    <col min="4" max="4" width="9.1796875" style="4"/>
    <col min="5" max="5" width="10.1796875" hidden="1" customWidth="1"/>
    <col min="6" max="6" width="11.1796875" hidden="1" customWidth="1"/>
    <col min="7" max="7" width="11.54296875" hidden="1" customWidth="1"/>
    <col min="8" max="8" width="14.1796875" hidden="1" customWidth="1"/>
    <col min="9" max="9" width="11.81640625" hidden="1" customWidth="1"/>
    <col min="10" max="10" width="22.81640625" style="5" bestFit="1" customWidth="1"/>
    <col min="11" max="11" width="16.453125" style="4" customWidth="1"/>
    <col min="12" max="12" width="34.453125" style="5" bestFit="1" customWidth="1"/>
    <col min="13" max="13" width="17.1796875" style="5" bestFit="1" customWidth="1"/>
    <col min="14" max="14" width="41" customWidth="1"/>
  </cols>
  <sheetData>
    <row r="1" spans="1:14" ht="21" x14ac:dyDescent="0.5">
      <c r="A1" s="6" t="s">
        <v>370</v>
      </c>
    </row>
    <row r="2" spans="1:14" ht="12" customHeight="1" x14ac:dyDescent="0.35"/>
    <row r="3" spans="1:14" x14ac:dyDescent="0.35">
      <c r="A3" s="7" t="s">
        <v>38</v>
      </c>
      <c r="B3" s="7" t="s">
        <v>39</v>
      </c>
      <c r="C3" s="7" t="s">
        <v>40</v>
      </c>
      <c r="D3" s="8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9" t="s">
        <v>47</v>
      </c>
      <c r="K3" s="8" t="s">
        <v>48</v>
      </c>
      <c r="L3" s="9" t="s">
        <v>49</v>
      </c>
      <c r="M3" s="9" t="s">
        <v>50</v>
      </c>
      <c r="N3" s="2" t="s">
        <v>51</v>
      </c>
    </row>
    <row r="4" spans="1:14" x14ac:dyDescent="0.35">
      <c r="A4" t="s">
        <v>28</v>
      </c>
      <c r="B4" t="s">
        <v>52</v>
      </c>
      <c r="C4" t="s">
        <v>53</v>
      </c>
      <c r="D4" s="4" t="s">
        <v>54</v>
      </c>
      <c r="E4" s="10" t="s">
        <v>55</v>
      </c>
      <c r="F4" s="10" t="s">
        <v>55</v>
      </c>
      <c r="G4" s="10" t="s">
        <v>56</v>
      </c>
      <c r="H4" s="10" t="s">
        <v>54</v>
      </c>
      <c r="I4" s="10" t="s">
        <v>54</v>
      </c>
      <c r="J4" s="5" t="s">
        <v>29</v>
      </c>
      <c r="K4" s="4" t="s">
        <v>57</v>
      </c>
      <c r="L4" s="11" t="s">
        <v>30</v>
      </c>
      <c r="M4" s="5" t="s">
        <v>31</v>
      </c>
      <c r="N4" t="s">
        <v>58</v>
      </c>
    </row>
    <row r="5" spans="1:14" x14ac:dyDescent="0.35">
      <c r="A5" t="s">
        <v>28</v>
      </c>
      <c r="B5" t="s">
        <v>52</v>
      </c>
      <c r="C5" t="s">
        <v>53</v>
      </c>
      <c r="D5" s="4" t="s">
        <v>54</v>
      </c>
      <c r="E5" s="10"/>
      <c r="F5" s="10"/>
      <c r="G5" s="10" t="s">
        <v>56</v>
      </c>
      <c r="H5" s="10" t="s">
        <v>54</v>
      </c>
      <c r="I5" s="10" t="s">
        <v>54</v>
      </c>
      <c r="J5" s="5" t="s">
        <v>59</v>
      </c>
      <c r="K5" s="4" t="s">
        <v>60</v>
      </c>
      <c r="L5" s="11" t="s">
        <v>61</v>
      </c>
      <c r="M5" s="12" t="s">
        <v>62</v>
      </c>
    </row>
    <row r="6" spans="1:14" x14ac:dyDescent="0.35">
      <c r="A6" t="s">
        <v>28</v>
      </c>
      <c r="B6" t="s">
        <v>52</v>
      </c>
      <c r="C6" t="s">
        <v>53</v>
      </c>
      <c r="D6" s="4" t="s">
        <v>54</v>
      </c>
      <c r="E6" s="10"/>
      <c r="F6" s="10"/>
      <c r="G6" s="10" t="s">
        <v>56</v>
      </c>
      <c r="H6" s="10" t="s">
        <v>54</v>
      </c>
      <c r="I6" s="10" t="s">
        <v>54</v>
      </c>
      <c r="J6" s="5" t="s">
        <v>63</v>
      </c>
      <c r="K6" s="4" t="s">
        <v>64</v>
      </c>
      <c r="L6" s="11" t="s">
        <v>65</v>
      </c>
      <c r="M6" s="12" t="s">
        <v>66</v>
      </c>
    </row>
    <row r="7" spans="1:14" x14ac:dyDescent="0.35">
      <c r="A7" t="s">
        <v>28</v>
      </c>
      <c r="B7" t="s">
        <v>52</v>
      </c>
      <c r="C7" t="s">
        <v>53</v>
      </c>
      <c r="D7" s="4" t="s">
        <v>54</v>
      </c>
      <c r="E7" s="10"/>
      <c r="F7" s="10"/>
      <c r="G7" s="10" t="s">
        <v>56</v>
      </c>
      <c r="H7" s="10" t="s">
        <v>54</v>
      </c>
      <c r="I7" s="10" t="s">
        <v>54</v>
      </c>
      <c r="J7" s="5" t="s">
        <v>67</v>
      </c>
      <c r="K7" s="4" t="s">
        <v>68</v>
      </c>
      <c r="L7" s="11" t="s">
        <v>69</v>
      </c>
      <c r="M7" s="12" t="s">
        <v>70</v>
      </c>
      <c r="N7" t="s">
        <v>71</v>
      </c>
    </row>
    <row r="8" spans="1:14" x14ac:dyDescent="0.35">
      <c r="A8" t="s">
        <v>28</v>
      </c>
      <c r="B8" t="s">
        <v>52</v>
      </c>
      <c r="C8" t="s">
        <v>72</v>
      </c>
      <c r="D8" s="4" t="s">
        <v>54</v>
      </c>
      <c r="E8" s="10" t="s">
        <v>55</v>
      </c>
      <c r="F8" s="10" t="s">
        <v>55</v>
      </c>
      <c r="G8" s="10" t="s">
        <v>73</v>
      </c>
      <c r="H8" s="10" t="s">
        <v>55</v>
      </c>
      <c r="I8" s="10" t="s">
        <v>55</v>
      </c>
      <c r="J8" s="5" t="s">
        <v>32</v>
      </c>
      <c r="K8" s="4" t="s">
        <v>57</v>
      </c>
      <c r="L8" s="11" t="s">
        <v>33</v>
      </c>
      <c r="M8" s="12" t="s">
        <v>34</v>
      </c>
    </row>
    <row r="9" spans="1:14" x14ac:dyDescent="0.35">
      <c r="A9" t="s">
        <v>28</v>
      </c>
      <c r="B9" t="s">
        <v>52</v>
      </c>
      <c r="C9" t="s">
        <v>72</v>
      </c>
      <c r="D9" s="4" t="s">
        <v>54</v>
      </c>
      <c r="E9" s="10"/>
      <c r="F9" s="10"/>
      <c r="G9" s="10" t="s">
        <v>73</v>
      </c>
      <c r="H9" s="10" t="s">
        <v>55</v>
      </c>
      <c r="I9" s="10" t="s">
        <v>55</v>
      </c>
      <c r="J9" s="5" t="s">
        <v>74</v>
      </c>
      <c r="K9" s="4" t="s">
        <v>75</v>
      </c>
      <c r="L9" s="11" t="s">
        <v>76</v>
      </c>
      <c r="M9" s="12" t="s">
        <v>77</v>
      </c>
      <c r="N9" t="s">
        <v>78</v>
      </c>
    </row>
    <row r="10" spans="1:14" x14ac:dyDescent="0.35">
      <c r="A10" t="s">
        <v>28</v>
      </c>
      <c r="B10" t="s">
        <v>52</v>
      </c>
      <c r="C10" t="s">
        <v>79</v>
      </c>
      <c r="D10" s="4" t="s">
        <v>54</v>
      </c>
      <c r="E10" s="10" t="s">
        <v>55</v>
      </c>
      <c r="F10" s="10" t="s">
        <v>55</v>
      </c>
      <c r="G10" s="10" t="s">
        <v>73</v>
      </c>
      <c r="H10" s="10" t="s">
        <v>55</v>
      </c>
      <c r="I10" s="10" t="s">
        <v>55</v>
      </c>
      <c r="J10" s="5" t="s">
        <v>80</v>
      </c>
      <c r="K10" s="4" t="s">
        <v>81</v>
      </c>
      <c r="L10" s="5" t="s">
        <v>12</v>
      </c>
      <c r="M10" s="12" t="s">
        <v>82</v>
      </c>
    </row>
    <row r="11" spans="1:14" x14ac:dyDescent="0.35">
      <c r="A11" t="s">
        <v>28</v>
      </c>
      <c r="B11" t="s">
        <v>52</v>
      </c>
      <c r="C11" t="s">
        <v>79</v>
      </c>
      <c r="D11" s="4" t="s">
        <v>54</v>
      </c>
      <c r="E11" s="10"/>
      <c r="F11" s="10"/>
      <c r="G11" s="10" t="s">
        <v>73</v>
      </c>
      <c r="H11" s="10" t="s">
        <v>55</v>
      </c>
      <c r="I11" s="10" t="s">
        <v>55</v>
      </c>
      <c r="J11" s="5" t="s">
        <v>83</v>
      </c>
      <c r="K11" s="4" t="s">
        <v>75</v>
      </c>
      <c r="L11" s="11" t="s">
        <v>84</v>
      </c>
      <c r="M11" s="5" t="s">
        <v>85</v>
      </c>
    </row>
    <row r="12" spans="1:14" x14ac:dyDescent="0.35">
      <c r="A12" t="s">
        <v>86</v>
      </c>
      <c r="B12" t="s">
        <v>87</v>
      </c>
      <c r="C12" t="s">
        <v>88</v>
      </c>
      <c r="D12" s="4" t="s">
        <v>54</v>
      </c>
      <c r="E12" s="10" t="s">
        <v>55</v>
      </c>
      <c r="F12" s="10" t="s">
        <v>55</v>
      </c>
      <c r="G12" s="10" t="s">
        <v>89</v>
      </c>
      <c r="H12" s="10" t="s">
        <v>55</v>
      </c>
      <c r="I12" s="10" t="s">
        <v>55</v>
      </c>
      <c r="J12" s="5" t="s">
        <v>90</v>
      </c>
      <c r="K12" s="4" t="s">
        <v>57</v>
      </c>
      <c r="L12" s="11" t="s">
        <v>91</v>
      </c>
      <c r="M12" s="5" t="s">
        <v>92</v>
      </c>
    </row>
    <row r="13" spans="1:14" x14ac:dyDescent="0.35">
      <c r="A13" t="s">
        <v>86</v>
      </c>
      <c r="B13" t="s">
        <v>87</v>
      </c>
      <c r="C13" t="s">
        <v>88</v>
      </c>
      <c r="D13" s="4" t="s">
        <v>54</v>
      </c>
      <c r="E13" s="10" t="s">
        <v>55</v>
      </c>
      <c r="F13" s="10" t="s">
        <v>55</v>
      </c>
      <c r="G13" s="10" t="s">
        <v>89</v>
      </c>
      <c r="H13" s="10" t="s">
        <v>55</v>
      </c>
      <c r="I13" s="10" t="s">
        <v>55</v>
      </c>
      <c r="J13" s="5" t="s">
        <v>93</v>
      </c>
      <c r="K13" s="4" t="s">
        <v>64</v>
      </c>
      <c r="L13" s="11" t="s">
        <v>94</v>
      </c>
      <c r="M13" s="5" t="s">
        <v>95</v>
      </c>
    </row>
    <row r="14" spans="1:14" x14ac:dyDescent="0.35">
      <c r="A14" t="s">
        <v>86</v>
      </c>
      <c r="B14" t="s">
        <v>87</v>
      </c>
      <c r="C14" t="s">
        <v>88</v>
      </c>
      <c r="D14" s="4" t="s">
        <v>54</v>
      </c>
      <c r="E14" s="10" t="s">
        <v>55</v>
      </c>
      <c r="F14" s="10" t="s">
        <v>55</v>
      </c>
      <c r="G14" s="10" t="s">
        <v>89</v>
      </c>
      <c r="H14" s="10" t="s">
        <v>55</v>
      </c>
      <c r="I14" s="10" t="s">
        <v>55</v>
      </c>
      <c r="J14" s="5" t="s">
        <v>96</v>
      </c>
      <c r="K14" s="4" t="s">
        <v>60</v>
      </c>
      <c r="L14" s="11" t="s">
        <v>97</v>
      </c>
      <c r="M14" s="5" t="s">
        <v>98</v>
      </c>
    </row>
    <row r="15" spans="1:14" x14ac:dyDescent="0.35">
      <c r="A15" t="s">
        <v>86</v>
      </c>
      <c r="B15" t="s">
        <v>87</v>
      </c>
      <c r="C15" t="s">
        <v>99</v>
      </c>
      <c r="D15" s="4" t="s">
        <v>54</v>
      </c>
      <c r="E15" s="10" t="s">
        <v>55</v>
      </c>
      <c r="F15" s="10" t="s">
        <v>55</v>
      </c>
      <c r="G15" s="10" t="s">
        <v>73</v>
      </c>
      <c r="H15" s="10" t="s">
        <v>55</v>
      </c>
      <c r="I15" s="10" t="s">
        <v>55</v>
      </c>
      <c r="J15" s="13" t="s">
        <v>14</v>
      </c>
      <c r="K15" s="4" t="s">
        <v>75</v>
      </c>
      <c r="L15" s="14" t="s">
        <v>15</v>
      </c>
      <c r="M15" s="15" t="s">
        <v>16</v>
      </c>
    </row>
    <row r="16" spans="1:14" x14ac:dyDescent="0.35">
      <c r="A16" t="s">
        <v>86</v>
      </c>
      <c r="B16" t="s">
        <v>87</v>
      </c>
      <c r="C16" t="s">
        <v>99</v>
      </c>
      <c r="D16" s="4" t="s">
        <v>54</v>
      </c>
      <c r="E16" s="10" t="s">
        <v>55</v>
      </c>
      <c r="F16" s="10" t="s">
        <v>55</v>
      </c>
      <c r="G16" s="10" t="s">
        <v>73</v>
      </c>
      <c r="H16" s="10" t="s">
        <v>55</v>
      </c>
      <c r="I16" s="10" t="s">
        <v>55</v>
      </c>
      <c r="J16" s="13" t="s">
        <v>17</v>
      </c>
      <c r="K16" s="4" t="s">
        <v>100</v>
      </c>
      <c r="L16" s="11" t="s">
        <v>18</v>
      </c>
      <c r="M16" s="44" t="s">
        <v>371</v>
      </c>
      <c r="N16" t="s">
        <v>101</v>
      </c>
    </row>
    <row r="17" spans="1:14" x14ac:dyDescent="0.35">
      <c r="A17" t="s">
        <v>86</v>
      </c>
      <c r="B17" t="s">
        <v>102</v>
      </c>
      <c r="C17" t="s">
        <v>103</v>
      </c>
      <c r="D17" s="4" t="s">
        <v>54</v>
      </c>
      <c r="E17" s="10" t="s">
        <v>55</v>
      </c>
      <c r="F17" s="10" t="s">
        <v>55</v>
      </c>
      <c r="G17" s="10" t="s">
        <v>73</v>
      </c>
      <c r="H17" s="10" t="s">
        <v>55</v>
      </c>
      <c r="I17" s="10" t="s">
        <v>55</v>
      </c>
      <c r="J17" s="13" t="s">
        <v>20</v>
      </c>
      <c r="K17" s="4" t="s">
        <v>75</v>
      </c>
      <c r="L17" s="11" t="s">
        <v>21</v>
      </c>
      <c r="M17" s="15" t="s">
        <v>22</v>
      </c>
    </row>
    <row r="18" spans="1:14" x14ac:dyDescent="0.35">
      <c r="A18" t="s">
        <v>86</v>
      </c>
      <c r="B18" t="s">
        <v>102</v>
      </c>
      <c r="C18" t="s">
        <v>103</v>
      </c>
      <c r="D18" s="4" t="s">
        <v>54</v>
      </c>
      <c r="E18" s="10" t="s">
        <v>55</v>
      </c>
      <c r="F18" s="10" t="s">
        <v>55</v>
      </c>
      <c r="G18" s="10" t="s">
        <v>73</v>
      </c>
      <c r="H18" s="10" t="s">
        <v>55</v>
      </c>
      <c r="I18" s="10" t="s">
        <v>55</v>
      </c>
      <c r="J18" s="13" t="s">
        <v>23</v>
      </c>
      <c r="K18" s="4" t="s">
        <v>57</v>
      </c>
      <c r="L18" s="16" t="s">
        <v>24</v>
      </c>
      <c r="M18" s="15" t="s">
        <v>12</v>
      </c>
    </row>
    <row r="19" spans="1:14" x14ac:dyDescent="0.35">
      <c r="A19" t="s">
        <v>86</v>
      </c>
      <c r="B19" t="s">
        <v>104</v>
      </c>
      <c r="C19" t="s">
        <v>105</v>
      </c>
      <c r="D19" s="4" t="s">
        <v>54</v>
      </c>
      <c r="E19" s="10" t="s">
        <v>55</v>
      </c>
      <c r="F19" s="10" t="s">
        <v>55</v>
      </c>
      <c r="G19" s="10" t="s">
        <v>73</v>
      </c>
      <c r="H19" s="10" t="s">
        <v>55</v>
      </c>
      <c r="I19" s="10" t="s">
        <v>55</v>
      </c>
      <c r="J19" s="5" t="s">
        <v>106</v>
      </c>
      <c r="K19" s="4" t="s">
        <v>81</v>
      </c>
      <c r="L19" s="11" t="s">
        <v>107</v>
      </c>
      <c r="M19" s="5" t="s">
        <v>108</v>
      </c>
    </row>
    <row r="20" spans="1:14" x14ac:dyDescent="0.35">
      <c r="A20" t="s">
        <v>86</v>
      </c>
      <c r="B20" t="s">
        <v>104</v>
      </c>
      <c r="C20" t="s">
        <v>105</v>
      </c>
      <c r="D20" s="4" t="s">
        <v>54</v>
      </c>
      <c r="E20" s="10" t="s">
        <v>55</v>
      </c>
      <c r="F20" s="10" t="s">
        <v>55</v>
      </c>
      <c r="G20" s="10" t="s">
        <v>73</v>
      </c>
      <c r="H20" s="10" t="s">
        <v>55</v>
      </c>
      <c r="I20" s="10" t="s">
        <v>55</v>
      </c>
      <c r="J20" s="5" t="s">
        <v>109</v>
      </c>
      <c r="K20" s="4" t="s">
        <v>75</v>
      </c>
      <c r="L20" s="11" t="s">
        <v>110</v>
      </c>
      <c r="M20" s="5" t="s">
        <v>111</v>
      </c>
    </row>
    <row r="21" spans="1:14" x14ac:dyDescent="0.35">
      <c r="A21" t="s">
        <v>86</v>
      </c>
      <c r="B21" t="s">
        <v>104</v>
      </c>
      <c r="C21" t="s">
        <v>105</v>
      </c>
      <c r="D21" s="4" t="s">
        <v>54</v>
      </c>
      <c r="E21" s="10" t="s">
        <v>55</v>
      </c>
      <c r="F21" s="10" t="s">
        <v>55</v>
      </c>
      <c r="G21" s="10" t="s">
        <v>73</v>
      </c>
      <c r="H21" s="10" t="s">
        <v>55</v>
      </c>
      <c r="I21" s="10" t="s">
        <v>55</v>
      </c>
      <c r="J21" s="5" t="s">
        <v>112</v>
      </c>
      <c r="K21" s="4" t="s">
        <v>57</v>
      </c>
      <c r="L21" s="11" t="s">
        <v>113</v>
      </c>
      <c r="M21" s="5" t="s">
        <v>114</v>
      </c>
      <c r="N21" t="s">
        <v>115</v>
      </c>
    </row>
    <row r="22" spans="1:14" x14ac:dyDescent="0.35">
      <c r="A22" t="s">
        <v>116</v>
      </c>
      <c r="B22" t="s">
        <v>117</v>
      </c>
      <c r="C22" t="s">
        <v>118</v>
      </c>
      <c r="D22" s="4" t="s">
        <v>54</v>
      </c>
      <c r="E22" s="10" t="s">
        <v>55</v>
      </c>
      <c r="F22" s="10" t="s">
        <v>55</v>
      </c>
      <c r="G22" s="10" t="s">
        <v>56</v>
      </c>
      <c r="H22" s="10" t="s">
        <v>54</v>
      </c>
      <c r="I22" s="10" t="s">
        <v>54</v>
      </c>
      <c r="J22" s="5" t="s">
        <v>119</v>
      </c>
      <c r="K22" s="4" t="s">
        <v>100</v>
      </c>
      <c r="L22" s="11" t="s">
        <v>120</v>
      </c>
      <c r="M22" s="5" t="s">
        <v>121</v>
      </c>
      <c r="N22" t="s">
        <v>101</v>
      </c>
    </row>
    <row r="23" spans="1:14" x14ac:dyDescent="0.35">
      <c r="A23" t="s">
        <v>122</v>
      </c>
      <c r="B23" t="s">
        <v>123</v>
      </c>
      <c r="C23" t="s">
        <v>124</v>
      </c>
      <c r="D23" s="4" t="s">
        <v>54</v>
      </c>
      <c r="E23" s="10" t="s">
        <v>55</v>
      </c>
      <c r="F23" s="10" t="s">
        <v>55</v>
      </c>
      <c r="G23" s="10" t="s">
        <v>56</v>
      </c>
      <c r="H23" s="10" t="s">
        <v>54</v>
      </c>
      <c r="I23" s="10" t="s">
        <v>54</v>
      </c>
      <c r="J23" s="17" t="s">
        <v>25</v>
      </c>
      <c r="K23" s="4" t="s">
        <v>125</v>
      </c>
      <c r="L23" s="18" t="s">
        <v>26</v>
      </c>
      <c r="M23" s="17" t="s">
        <v>27</v>
      </c>
    </row>
    <row r="24" spans="1:14" x14ac:dyDescent="0.35">
      <c r="A24" t="s">
        <v>122</v>
      </c>
      <c r="B24" t="s">
        <v>123</v>
      </c>
      <c r="C24" t="s">
        <v>124</v>
      </c>
      <c r="D24" s="4" t="s">
        <v>54</v>
      </c>
      <c r="E24" s="10" t="s">
        <v>55</v>
      </c>
      <c r="F24" s="10" t="s">
        <v>55</v>
      </c>
      <c r="G24" s="10" t="s">
        <v>56</v>
      </c>
      <c r="H24" s="10" t="s">
        <v>54</v>
      </c>
      <c r="I24" s="10" t="s">
        <v>54</v>
      </c>
      <c r="J24" s="5" t="s">
        <v>126</v>
      </c>
      <c r="K24" s="4" t="s">
        <v>125</v>
      </c>
      <c r="L24" s="11" t="s">
        <v>127</v>
      </c>
      <c r="M24" s="5" t="s">
        <v>128</v>
      </c>
    </row>
    <row r="25" spans="1:14" x14ac:dyDescent="0.35">
      <c r="A25" t="s">
        <v>122</v>
      </c>
      <c r="B25" t="s">
        <v>123</v>
      </c>
      <c r="C25" t="s">
        <v>124</v>
      </c>
      <c r="D25" s="4" t="s">
        <v>54</v>
      </c>
      <c r="E25" s="10" t="s">
        <v>55</v>
      </c>
      <c r="F25" s="10" t="s">
        <v>55</v>
      </c>
      <c r="G25" s="10" t="s">
        <v>56</v>
      </c>
      <c r="H25" s="10" t="s">
        <v>54</v>
      </c>
      <c r="I25" s="10" t="s">
        <v>54</v>
      </c>
      <c r="J25" s="5" t="s">
        <v>129</v>
      </c>
      <c r="K25" s="4" t="s">
        <v>125</v>
      </c>
      <c r="L25" s="11" t="s">
        <v>130</v>
      </c>
      <c r="M25" s="5" t="s">
        <v>131</v>
      </c>
      <c r="N25" s="19" t="s">
        <v>132</v>
      </c>
    </row>
    <row r="26" spans="1:14" x14ac:dyDescent="0.35">
      <c r="A26" t="s">
        <v>122</v>
      </c>
      <c r="B26" t="s">
        <v>123</v>
      </c>
      <c r="C26" t="s">
        <v>124</v>
      </c>
      <c r="D26" s="4" t="s">
        <v>54</v>
      </c>
      <c r="E26" s="10" t="s">
        <v>55</v>
      </c>
      <c r="F26" s="10" t="s">
        <v>55</v>
      </c>
      <c r="G26" s="10" t="s">
        <v>56</v>
      </c>
      <c r="H26" s="10" t="s">
        <v>54</v>
      </c>
      <c r="I26" s="10" t="s">
        <v>54</v>
      </c>
      <c r="J26" s="5" t="s">
        <v>133</v>
      </c>
      <c r="K26" s="4" t="s">
        <v>57</v>
      </c>
      <c r="L26" s="11" t="s">
        <v>134</v>
      </c>
      <c r="M26" s="5" t="s">
        <v>135</v>
      </c>
      <c r="N26" s="5" t="s">
        <v>136</v>
      </c>
    </row>
    <row r="27" spans="1:14" x14ac:dyDescent="0.35">
      <c r="A27" t="s">
        <v>122</v>
      </c>
      <c r="B27" t="s">
        <v>123</v>
      </c>
      <c r="C27" t="s">
        <v>124</v>
      </c>
      <c r="D27" s="4" t="s">
        <v>54</v>
      </c>
      <c r="E27" s="10" t="s">
        <v>55</v>
      </c>
      <c r="F27" s="10" t="s">
        <v>55</v>
      </c>
      <c r="G27" s="10" t="s">
        <v>56</v>
      </c>
      <c r="H27" s="10" t="s">
        <v>54</v>
      </c>
      <c r="I27" s="10" t="s">
        <v>54</v>
      </c>
      <c r="J27" s="5" t="s">
        <v>137</v>
      </c>
      <c r="K27" s="4" t="s">
        <v>138</v>
      </c>
      <c r="L27" s="11" t="s">
        <v>139</v>
      </c>
      <c r="M27" s="5" t="s">
        <v>140</v>
      </c>
      <c r="N27" s="5" t="s">
        <v>141</v>
      </c>
    </row>
    <row r="28" spans="1:14" x14ac:dyDescent="0.35">
      <c r="A28" t="s">
        <v>122</v>
      </c>
      <c r="B28" t="s">
        <v>123</v>
      </c>
      <c r="C28" t="s">
        <v>124</v>
      </c>
      <c r="D28" s="4" t="s">
        <v>54</v>
      </c>
      <c r="E28" s="10" t="s">
        <v>55</v>
      </c>
      <c r="F28" s="10" t="s">
        <v>55</v>
      </c>
      <c r="G28" s="10" t="s">
        <v>56</v>
      </c>
      <c r="H28" s="10" t="s">
        <v>54</v>
      </c>
      <c r="I28" s="10" t="s">
        <v>54</v>
      </c>
      <c r="J28" s="5" t="s">
        <v>142</v>
      </c>
      <c r="K28" s="4" t="s">
        <v>57</v>
      </c>
      <c r="L28" s="11" t="s">
        <v>143</v>
      </c>
      <c r="M28" s="5" t="s">
        <v>144</v>
      </c>
      <c r="N28" s="5" t="s">
        <v>145</v>
      </c>
    </row>
    <row r="29" spans="1:14" x14ac:dyDescent="0.35">
      <c r="A29" t="s">
        <v>122</v>
      </c>
      <c r="B29" t="s">
        <v>123</v>
      </c>
      <c r="C29" t="s">
        <v>124</v>
      </c>
      <c r="D29" s="4" t="s">
        <v>54</v>
      </c>
      <c r="E29" s="10" t="s">
        <v>55</v>
      </c>
      <c r="F29" s="10" t="s">
        <v>55</v>
      </c>
      <c r="G29" s="10" t="s">
        <v>56</v>
      </c>
      <c r="H29" s="10" t="s">
        <v>54</v>
      </c>
      <c r="I29" s="10" t="s">
        <v>54</v>
      </c>
      <c r="J29" s="5" t="s">
        <v>146</v>
      </c>
      <c r="K29" s="4" t="s">
        <v>125</v>
      </c>
      <c r="L29" s="11" t="s">
        <v>147</v>
      </c>
      <c r="M29" s="5" t="s">
        <v>148</v>
      </c>
      <c r="N29" s="5" t="s">
        <v>71</v>
      </c>
    </row>
    <row r="30" spans="1:14" x14ac:dyDescent="0.35">
      <c r="A30" t="s">
        <v>122</v>
      </c>
      <c r="B30" t="s">
        <v>123</v>
      </c>
      <c r="C30" t="s">
        <v>124</v>
      </c>
      <c r="D30" s="4" t="s">
        <v>54</v>
      </c>
      <c r="E30" s="10" t="s">
        <v>55</v>
      </c>
      <c r="F30" s="10" t="s">
        <v>55</v>
      </c>
      <c r="G30" s="10" t="s">
        <v>56</v>
      </c>
      <c r="H30" s="10" t="s">
        <v>54</v>
      </c>
      <c r="I30" s="10" t="s">
        <v>54</v>
      </c>
      <c r="J30" s="5" t="s">
        <v>149</v>
      </c>
      <c r="K30" s="4" t="s">
        <v>68</v>
      </c>
      <c r="L30" s="11" t="s">
        <v>150</v>
      </c>
      <c r="M30" s="5" t="s">
        <v>151</v>
      </c>
      <c r="N30" s="5" t="s">
        <v>152</v>
      </c>
    </row>
    <row r="31" spans="1:14" x14ac:dyDescent="0.35">
      <c r="A31" t="s">
        <v>122</v>
      </c>
      <c r="B31" t="s">
        <v>123</v>
      </c>
      <c r="C31" t="s">
        <v>124</v>
      </c>
      <c r="D31" s="4" t="s">
        <v>54</v>
      </c>
      <c r="E31" s="10" t="s">
        <v>55</v>
      </c>
      <c r="F31" s="10" t="s">
        <v>55</v>
      </c>
      <c r="G31" s="10" t="s">
        <v>56</v>
      </c>
      <c r="H31" s="10" t="s">
        <v>54</v>
      </c>
      <c r="I31" s="10" t="s">
        <v>54</v>
      </c>
      <c r="J31" s="5" t="s">
        <v>153</v>
      </c>
      <c r="K31" s="4" t="s">
        <v>57</v>
      </c>
      <c r="L31" s="11" t="s">
        <v>154</v>
      </c>
      <c r="M31" s="12" t="s">
        <v>155</v>
      </c>
      <c r="N31" s="5" t="s">
        <v>156</v>
      </c>
    </row>
    <row r="32" spans="1:14" x14ac:dyDescent="0.35">
      <c r="A32" t="s">
        <v>122</v>
      </c>
      <c r="B32" t="s">
        <v>123</v>
      </c>
      <c r="C32" t="s">
        <v>157</v>
      </c>
      <c r="D32" s="4" t="s">
        <v>54</v>
      </c>
      <c r="E32" s="10" t="s">
        <v>55</v>
      </c>
      <c r="F32" s="10" t="s">
        <v>55</v>
      </c>
      <c r="G32" s="10" t="s">
        <v>89</v>
      </c>
      <c r="H32" s="10" t="s">
        <v>54</v>
      </c>
      <c r="I32" s="10" t="s">
        <v>54</v>
      </c>
      <c r="J32" s="5" t="s">
        <v>158</v>
      </c>
      <c r="K32" s="4" t="s">
        <v>159</v>
      </c>
      <c r="L32" s="11" t="s">
        <v>160</v>
      </c>
      <c r="M32" s="5" t="s">
        <v>161</v>
      </c>
    </row>
    <row r="33" spans="1:14" x14ac:dyDescent="0.35">
      <c r="A33" t="s">
        <v>122</v>
      </c>
      <c r="B33" t="s">
        <v>123</v>
      </c>
      <c r="C33" t="s">
        <v>157</v>
      </c>
      <c r="D33" s="4" t="s">
        <v>54</v>
      </c>
      <c r="E33" s="10" t="s">
        <v>55</v>
      </c>
      <c r="F33" s="10" t="s">
        <v>55</v>
      </c>
      <c r="G33" s="10" t="s">
        <v>89</v>
      </c>
      <c r="H33" s="10" t="s">
        <v>54</v>
      </c>
      <c r="I33" s="10" t="s">
        <v>54</v>
      </c>
      <c r="J33" s="5" t="s">
        <v>162</v>
      </c>
      <c r="K33" s="4" t="s">
        <v>163</v>
      </c>
      <c r="L33" s="11" t="s">
        <v>164</v>
      </c>
      <c r="M33" s="5" t="s">
        <v>165</v>
      </c>
    </row>
    <row r="34" spans="1:14" x14ac:dyDescent="0.35">
      <c r="A34" t="s">
        <v>166</v>
      </c>
      <c r="B34" t="s">
        <v>167</v>
      </c>
      <c r="C34" t="s">
        <v>168</v>
      </c>
      <c r="D34" s="4" t="s">
        <v>54</v>
      </c>
      <c r="E34" s="10" t="s">
        <v>55</v>
      </c>
      <c r="F34" s="10" t="s">
        <v>55</v>
      </c>
      <c r="G34" s="10" t="s">
        <v>56</v>
      </c>
      <c r="H34" s="10" t="s">
        <v>54</v>
      </c>
      <c r="I34" s="10" t="s">
        <v>55</v>
      </c>
      <c r="J34" s="5" t="s">
        <v>169</v>
      </c>
      <c r="K34" s="4" t="s">
        <v>138</v>
      </c>
      <c r="L34" s="11" t="s">
        <v>170</v>
      </c>
      <c r="M34" s="5" t="s">
        <v>171</v>
      </c>
      <c r="N34" s="5" t="s">
        <v>141</v>
      </c>
    </row>
    <row r="35" spans="1:14" x14ac:dyDescent="0.35">
      <c r="A35" t="s">
        <v>166</v>
      </c>
      <c r="B35" t="s">
        <v>167</v>
      </c>
      <c r="C35" t="s">
        <v>168</v>
      </c>
      <c r="D35" s="4" t="s">
        <v>54</v>
      </c>
      <c r="E35" s="10" t="s">
        <v>55</v>
      </c>
      <c r="F35" s="10" t="s">
        <v>55</v>
      </c>
      <c r="G35" s="10" t="s">
        <v>56</v>
      </c>
      <c r="H35" s="10" t="s">
        <v>54</v>
      </c>
      <c r="I35" s="10" t="s">
        <v>55</v>
      </c>
      <c r="J35" s="5" t="s">
        <v>172</v>
      </c>
      <c r="K35" s="4" t="s">
        <v>64</v>
      </c>
      <c r="L35" s="11" t="s">
        <v>173</v>
      </c>
      <c r="M35" s="5" t="s">
        <v>174</v>
      </c>
    </row>
    <row r="36" spans="1:14" x14ac:dyDescent="0.35">
      <c r="A36" t="s">
        <v>166</v>
      </c>
      <c r="B36" t="s">
        <v>167</v>
      </c>
      <c r="C36" t="s">
        <v>168</v>
      </c>
      <c r="D36" s="4" t="s">
        <v>54</v>
      </c>
      <c r="E36" s="10" t="s">
        <v>55</v>
      </c>
      <c r="F36" s="10" t="s">
        <v>55</v>
      </c>
      <c r="G36" s="10" t="s">
        <v>56</v>
      </c>
      <c r="H36" s="10" t="s">
        <v>54</v>
      </c>
      <c r="I36" s="10" t="s">
        <v>55</v>
      </c>
      <c r="J36" s="5" t="s">
        <v>175</v>
      </c>
      <c r="K36" s="4" t="s">
        <v>57</v>
      </c>
      <c r="L36" s="11" t="s">
        <v>176</v>
      </c>
      <c r="M36" s="5" t="s">
        <v>177</v>
      </c>
    </row>
    <row r="37" spans="1:14" x14ac:dyDescent="0.35">
      <c r="A37" t="s">
        <v>166</v>
      </c>
      <c r="B37" t="s">
        <v>167</v>
      </c>
      <c r="C37" t="s">
        <v>168</v>
      </c>
      <c r="D37" s="4" t="s">
        <v>54</v>
      </c>
      <c r="E37" s="10" t="s">
        <v>55</v>
      </c>
      <c r="F37" s="10" t="s">
        <v>55</v>
      </c>
      <c r="G37" s="10" t="s">
        <v>56</v>
      </c>
      <c r="H37" s="10" t="s">
        <v>54</v>
      </c>
      <c r="I37" s="10" t="s">
        <v>55</v>
      </c>
      <c r="J37" s="5" t="s">
        <v>178</v>
      </c>
      <c r="K37" s="4" t="s">
        <v>81</v>
      </c>
      <c r="L37" s="11" t="s">
        <v>179</v>
      </c>
      <c r="M37" s="5" t="s">
        <v>180</v>
      </c>
      <c r="N37" s="5" t="s">
        <v>181</v>
      </c>
    </row>
    <row r="38" spans="1:14" x14ac:dyDescent="0.35">
      <c r="A38" t="s">
        <v>166</v>
      </c>
      <c r="B38" t="s">
        <v>167</v>
      </c>
      <c r="C38" t="s">
        <v>168</v>
      </c>
      <c r="D38" s="4" t="s">
        <v>54</v>
      </c>
      <c r="E38" s="10" t="s">
        <v>55</v>
      </c>
      <c r="F38" s="10" t="s">
        <v>55</v>
      </c>
      <c r="G38" s="10" t="s">
        <v>56</v>
      </c>
      <c r="H38" s="10" t="s">
        <v>54</v>
      </c>
      <c r="I38" s="10" t="s">
        <v>55</v>
      </c>
      <c r="J38" s="5" t="s">
        <v>182</v>
      </c>
      <c r="K38" s="4" t="s">
        <v>125</v>
      </c>
      <c r="L38" s="11" t="s">
        <v>19</v>
      </c>
      <c r="M38" s="5" t="s">
        <v>183</v>
      </c>
    </row>
    <row r="39" spans="1:14" x14ac:dyDescent="0.35">
      <c r="A39" t="s">
        <v>166</v>
      </c>
      <c r="B39" t="s">
        <v>167</v>
      </c>
      <c r="C39" t="s">
        <v>168</v>
      </c>
      <c r="D39" s="4" t="s">
        <v>54</v>
      </c>
      <c r="E39" s="10" t="s">
        <v>55</v>
      </c>
      <c r="F39" s="10" t="s">
        <v>55</v>
      </c>
      <c r="G39" s="10" t="s">
        <v>56</v>
      </c>
      <c r="H39" s="10" t="s">
        <v>54</v>
      </c>
      <c r="I39" s="10" t="s">
        <v>55</v>
      </c>
      <c r="J39" s="5" t="s">
        <v>184</v>
      </c>
      <c r="K39" s="4" t="s">
        <v>159</v>
      </c>
      <c r="L39" s="11" t="s">
        <v>185</v>
      </c>
      <c r="M39" s="5" t="s">
        <v>186</v>
      </c>
      <c r="N39" s="5" t="s">
        <v>181</v>
      </c>
    </row>
    <row r="40" spans="1:14" x14ac:dyDescent="0.35">
      <c r="A40" t="s">
        <v>166</v>
      </c>
      <c r="B40" t="s">
        <v>187</v>
      </c>
      <c r="C40" t="s">
        <v>188</v>
      </c>
      <c r="D40" s="4" t="s">
        <v>54</v>
      </c>
      <c r="E40" s="10" t="s">
        <v>55</v>
      </c>
      <c r="F40" s="10" t="s">
        <v>55</v>
      </c>
      <c r="G40" s="10" t="s">
        <v>89</v>
      </c>
      <c r="H40" s="10" t="s">
        <v>55</v>
      </c>
      <c r="I40" s="10" t="s">
        <v>55</v>
      </c>
      <c r="J40" s="5" t="s">
        <v>189</v>
      </c>
      <c r="K40" s="4" t="s">
        <v>64</v>
      </c>
      <c r="L40" s="11" t="s">
        <v>190</v>
      </c>
      <c r="M40" s="5" t="s">
        <v>191</v>
      </c>
    </row>
    <row r="41" spans="1:14" x14ac:dyDescent="0.35">
      <c r="A41" t="s">
        <v>166</v>
      </c>
      <c r="B41" t="s">
        <v>187</v>
      </c>
      <c r="C41" t="s">
        <v>188</v>
      </c>
      <c r="D41" s="4" t="s">
        <v>54</v>
      </c>
      <c r="E41" s="10" t="s">
        <v>55</v>
      </c>
      <c r="F41" s="10" t="s">
        <v>55</v>
      </c>
      <c r="G41" s="10" t="s">
        <v>89</v>
      </c>
      <c r="H41" s="10" t="s">
        <v>55</v>
      </c>
      <c r="I41" s="10" t="s">
        <v>55</v>
      </c>
      <c r="J41" s="5" t="s">
        <v>192</v>
      </c>
      <c r="K41" s="4" t="s">
        <v>57</v>
      </c>
      <c r="L41" s="11" t="s">
        <v>193</v>
      </c>
      <c r="M41" s="5" t="s">
        <v>194</v>
      </c>
    </row>
    <row r="42" spans="1:14" x14ac:dyDescent="0.35">
      <c r="A42" t="s">
        <v>166</v>
      </c>
      <c r="B42" t="s">
        <v>187</v>
      </c>
      <c r="C42" t="s">
        <v>188</v>
      </c>
      <c r="D42" s="4" t="s">
        <v>54</v>
      </c>
      <c r="E42" s="10" t="s">
        <v>55</v>
      </c>
      <c r="F42" s="10" t="s">
        <v>55</v>
      </c>
      <c r="G42" s="10" t="s">
        <v>89</v>
      </c>
      <c r="H42" s="10" t="s">
        <v>55</v>
      </c>
      <c r="I42" s="10" t="s">
        <v>55</v>
      </c>
      <c r="J42" s="5" t="s">
        <v>195</v>
      </c>
      <c r="K42" s="4" t="s">
        <v>125</v>
      </c>
      <c r="L42" s="11" t="s">
        <v>196</v>
      </c>
      <c r="M42" s="5" t="s">
        <v>197</v>
      </c>
    </row>
    <row r="43" spans="1:14" x14ac:dyDescent="0.35">
      <c r="A43" t="s">
        <v>7</v>
      </c>
      <c r="B43" t="s">
        <v>198</v>
      </c>
      <c r="C43" t="s">
        <v>199</v>
      </c>
      <c r="D43" s="4" t="s">
        <v>54</v>
      </c>
      <c r="E43" s="10" t="s">
        <v>55</v>
      </c>
      <c r="F43" s="10" t="s">
        <v>55</v>
      </c>
      <c r="G43" s="10" t="s">
        <v>56</v>
      </c>
      <c r="H43" s="10" t="s">
        <v>55</v>
      </c>
      <c r="I43" s="10" t="s">
        <v>55</v>
      </c>
      <c r="J43" s="5" t="s">
        <v>200</v>
      </c>
      <c r="K43" s="4" t="s">
        <v>125</v>
      </c>
      <c r="L43" s="11" t="s">
        <v>201</v>
      </c>
      <c r="M43" s="5" t="s">
        <v>202</v>
      </c>
      <c r="N43" s="5" t="s">
        <v>181</v>
      </c>
    </row>
    <row r="44" spans="1:14" x14ac:dyDescent="0.35">
      <c r="A44" t="s">
        <v>7</v>
      </c>
      <c r="B44" t="s">
        <v>198</v>
      </c>
      <c r="C44" t="s">
        <v>199</v>
      </c>
      <c r="D44" s="4" t="s">
        <v>54</v>
      </c>
      <c r="E44" s="10" t="s">
        <v>55</v>
      </c>
      <c r="F44" s="10" t="s">
        <v>55</v>
      </c>
      <c r="G44" s="10" t="s">
        <v>56</v>
      </c>
      <c r="H44" s="10" t="s">
        <v>55</v>
      </c>
      <c r="I44" s="10" t="s">
        <v>55</v>
      </c>
      <c r="J44" s="13" t="s">
        <v>35</v>
      </c>
      <c r="K44" s="4" t="s">
        <v>75</v>
      </c>
      <c r="L44" s="14" t="s">
        <v>36</v>
      </c>
      <c r="M44" s="5" t="s">
        <v>203</v>
      </c>
    </row>
    <row r="45" spans="1:14" x14ac:dyDescent="0.35">
      <c r="A45" t="s">
        <v>7</v>
      </c>
      <c r="B45" t="s">
        <v>198</v>
      </c>
      <c r="C45" t="s">
        <v>199</v>
      </c>
      <c r="D45" s="4" t="s">
        <v>54</v>
      </c>
      <c r="E45" s="10" t="s">
        <v>55</v>
      </c>
      <c r="F45" s="10" t="s">
        <v>55</v>
      </c>
      <c r="G45" s="10" t="s">
        <v>56</v>
      </c>
      <c r="H45" s="10" t="s">
        <v>55</v>
      </c>
      <c r="I45" s="10" t="s">
        <v>55</v>
      </c>
      <c r="J45" s="5" t="s">
        <v>204</v>
      </c>
      <c r="K45" s="4" t="s">
        <v>75</v>
      </c>
      <c r="L45" s="11" t="s">
        <v>205</v>
      </c>
      <c r="M45" s="5" t="s">
        <v>206</v>
      </c>
    </row>
    <row r="46" spans="1:14" x14ac:dyDescent="0.35">
      <c r="A46" t="s">
        <v>7</v>
      </c>
      <c r="B46" t="s">
        <v>198</v>
      </c>
      <c r="C46" t="s">
        <v>199</v>
      </c>
      <c r="D46" s="4" t="s">
        <v>54</v>
      </c>
      <c r="E46" s="10"/>
      <c r="F46" s="10"/>
      <c r="G46" s="10"/>
      <c r="H46" s="10"/>
      <c r="I46" s="10"/>
      <c r="J46" s="5" t="s">
        <v>372</v>
      </c>
      <c r="K46" s="4" t="s">
        <v>373</v>
      </c>
      <c r="L46" s="45" t="s">
        <v>374</v>
      </c>
      <c r="M46" s="12" t="s">
        <v>375</v>
      </c>
      <c r="N46" t="s">
        <v>376</v>
      </c>
    </row>
    <row r="47" spans="1:14" x14ac:dyDescent="0.35">
      <c r="A47" t="s">
        <v>7</v>
      </c>
      <c r="B47" t="s">
        <v>198</v>
      </c>
      <c r="C47" t="s">
        <v>207</v>
      </c>
      <c r="D47" s="4" t="s">
        <v>54</v>
      </c>
      <c r="E47" s="10" t="s">
        <v>55</v>
      </c>
      <c r="F47" s="10" t="s">
        <v>55</v>
      </c>
      <c r="G47" s="10" t="s">
        <v>73</v>
      </c>
      <c r="H47" s="10" t="s">
        <v>55</v>
      </c>
      <c r="I47" s="10" t="s">
        <v>55</v>
      </c>
      <c r="J47" s="17" t="s">
        <v>8</v>
      </c>
      <c r="K47" s="4" t="s">
        <v>81</v>
      </c>
      <c r="L47" s="18" t="s">
        <v>9</v>
      </c>
      <c r="M47" s="17" t="s">
        <v>208</v>
      </c>
    </row>
    <row r="48" spans="1:14" x14ac:dyDescent="0.35">
      <c r="A48" t="s">
        <v>7</v>
      </c>
      <c r="B48" t="s">
        <v>198</v>
      </c>
      <c r="C48" t="s">
        <v>207</v>
      </c>
      <c r="D48" s="4" t="s">
        <v>54</v>
      </c>
      <c r="E48" s="10" t="s">
        <v>55</v>
      </c>
      <c r="F48" s="10" t="s">
        <v>55</v>
      </c>
      <c r="G48" s="10" t="s">
        <v>73</v>
      </c>
      <c r="H48" s="10" t="s">
        <v>55</v>
      </c>
      <c r="I48" s="10" t="s">
        <v>55</v>
      </c>
      <c r="J48" s="13" t="s">
        <v>10</v>
      </c>
      <c r="K48" s="4" t="s">
        <v>75</v>
      </c>
      <c r="L48" s="16" t="s">
        <v>11</v>
      </c>
      <c r="M48" s="13" t="s">
        <v>209</v>
      </c>
      <c r="N48" s="20" t="s">
        <v>13</v>
      </c>
    </row>
    <row r="49" spans="1:14" ht="15" thickBot="1" x14ac:dyDescent="0.4">
      <c r="A49" t="s">
        <v>7</v>
      </c>
      <c r="B49" t="s">
        <v>198</v>
      </c>
      <c r="C49" t="s">
        <v>207</v>
      </c>
      <c r="D49" s="4" t="s">
        <v>54</v>
      </c>
      <c r="E49" s="10" t="s">
        <v>55</v>
      </c>
      <c r="F49" s="10" t="s">
        <v>55</v>
      </c>
      <c r="G49" s="10" t="s">
        <v>73</v>
      </c>
      <c r="H49" s="10" t="s">
        <v>55</v>
      </c>
      <c r="I49" s="10" t="s">
        <v>55</v>
      </c>
      <c r="J49" s="5" t="s">
        <v>210</v>
      </c>
      <c r="K49" s="4" t="s">
        <v>57</v>
      </c>
      <c r="L49" s="46" t="s">
        <v>11</v>
      </c>
      <c r="M49" s="5" t="s">
        <v>211</v>
      </c>
    </row>
    <row r="50" spans="1:14" x14ac:dyDescent="0.35">
      <c r="A50" t="s">
        <v>7</v>
      </c>
      <c r="B50" t="s">
        <v>198</v>
      </c>
      <c r="C50" t="s">
        <v>207</v>
      </c>
      <c r="D50" s="4" t="s">
        <v>54</v>
      </c>
      <c r="E50" s="10" t="s">
        <v>55</v>
      </c>
      <c r="F50" s="10" t="s">
        <v>55</v>
      </c>
      <c r="G50" s="10" t="s">
        <v>73</v>
      </c>
      <c r="H50" s="10" t="s">
        <v>55</v>
      </c>
      <c r="I50" s="10" t="s">
        <v>55</v>
      </c>
      <c r="J50" s="5" t="s">
        <v>212</v>
      </c>
      <c r="K50" s="4" t="s">
        <v>57</v>
      </c>
      <c r="L50" s="11" t="s">
        <v>213</v>
      </c>
      <c r="M50" s="5" t="s">
        <v>214</v>
      </c>
    </row>
    <row r="51" spans="1:14" ht="15" thickBot="1" x14ac:dyDescent="0.4">
      <c r="A51" t="s">
        <v>7</v>
      </c>
      <c r="B51" t="s">
        <v>198</v>
      </c>
      <c r="C51" t="s">
        <v>215</v>
      </c>
      <c r="D51" s="4" t="s">
        <v>54</v>
      </c>
      <c r="E51" s="10" t="s">
        <v>55</v>
      </c>
      <c r="F51" s="10" t="s">
        <v>55</v>
      </c>
      <c r="G51" s="10" t="s">
        <v>73</v>
      </c>
      <c r="H51" s="10" t="s">
        <v>55</v>
      </c>
      <c r="I51" s="10" t="s">
        <v>55</v>
      </c>
      <c r="J51" s="5" t="s">
        <v>216</v>
      </c>
      <c r="K51" s="4" t="s">
        <v>75</v>
      </c>
      <c r="L51" s="47" t="s">
        <v>377</v>
      </c>
      <c r="M51" s="5" t="s">
        <v>217</v>
      </c>
    </row>
    <row r="52" spans="1:14" x14ac:dyDescent="0.35">
      <c r="A52" t="s">
        <v>7</v>
      </c>
      <c r="B52" t="s">
        <v>198</v>
      </c>
      <c r="C52" t="s">
        <v>215</v>
      </c>
      <c r="D52" s="4" t="s">
        <v>54</v>
      </c>
      <c r="E52" s="10" t="s">
        <v>55</v>
      </c>
      <c r="F52" s="10" t="s">
        <v>55</v>
      </c>
      <c r="G52" s="10" t="s">
        <v>73</v>
      </c>
      <c r="H52" s="10" t="s">
        <v>55</v>
      </c>
      <c r="I52" s="10" t="s">
        <v>55</v>
      </c>
      <c r="J52" s="44" t="s">
        <v>378</v>
      </c>
      <c r="K52" s="4" t="s">
        <v>75</v>
      </c>
      <c r="L52" s="5" t="s">
        <v>12</v>
      </c>
      <c r="M52" s="5" t="s">
        <v>219</v>
      </c>
    </row>
    <row r="53" spans="1:14" x14ac:dyDescent="0.35">
      <c r="A53" t="s">
        <v>220</v>
      </c>
      <c r="B53" t="s">
        <v>221</v>
      </c>
      <c r="C53" t="s">
        <v>222</v>
      </c>
      <c r="D53" s="4" t="s">
        <v>54</v>
      </c>
      <c r="E53" s="10" t="s">
        <v>55</v>
      </c>
      <c r="F53" s="10" t="s">
        <v>55</v>
      </c>
      <c r="G53" s="10" t="s">
        <v>56</v>
      </c>
      <c r="H53" s="10" t="s">
        <v>55</v>
      </c>
      <c r="I53" s="10" t="s">
        <v>55</v>
      </c>
      <c r="J53" s="5" t="s">
        <v>223</v>
      </c>
      <c r="K53" s="4" t="s">
        <v>57</v>
      </c>
      <c r="L53" s="45" t="s">
        <v>379</v>
      </c>
      <c r="M53" s="5" t="s">
        <v>224</v>
      </c>
    </row>
    <row r="54" spans="1:14" x14ac:dyDescent="0.35">
      <c r="A54" t="s">
        <v>225</v>
      </c>
      <c r="B54" t="s">
        <v>226</v>
      </c>
      <c r="C54" t="s">
        <v>380</v>
      </c>
      <c r="D54" s="4" t="s">
        <v>54</v>
      </c>
      <c r="E54" s="10" t="s">
        <v>55</v>
      </c>
      <c r="F54" s="10" t="s">
        <v>55</v>
      </c>
      <c r="G54" s="10" t="s">
        <v>56</v>
      </c>
      <c r="H54" s="10" t="s">
        <v>54</v>
      </c>
      <c r="I54" s="10" t="s">
        <v>55</v>
      </c>
      <c r="J54" s="5" t="s">
        <v>228</v>
      </c>
      <c r="K54" s="4" t="s">
        <v>57</v>
      </c>
      <c r="L54" s="45" t="s">
        <v>381</v>
      </c>
      <c r="M54" s="5" t="s">
        <v>229</v>
      </c>
    </row>
    <row r="55" spans="1:14" x14ac:dyDescent="0.35">
      <c r="A55" t="s">
        <v>225</v>
      </c>
      <c r="B55" t="s">
        <v>226</v>
      </c>
      <c r="C55" t="s">
        <v>380</v>
      </c>
      <c r="D55" s="4" t="s">
        <v>54</v>
      </c>
      <c r="E55" s="10" t="s">
        <v>55</v>
      </c>
      <c r="F55" s="10" t="s">
        <v>55</v>
      </c>
      <c r="G55" s="10" t="s">
        <v>56</v>
      </c>
      <c r="H55" s="10" t="s">
        <v>54</v>
      </c>
      <c r="I55" s="10" t="s">
        <v>55</v>
      </c>
      <c r="J55" s="5" t="s">
        <v>230</v>
      </c>
      <c r="K55" s="4" t="s">
        <v>64</v>
      </c>
      <c r="L55" s="45" t="s">
        <v>382</v>
      </c>
      <c r="M55" s="5" t="s">
        <v>231</v>
      </c>
    </row>
    <row r="56" spans="1:14" x14ac:dyDescent="0.35">
      <c r="A56" t="s">
        <v>232</v>
      </c>
      <c r="B56" t="s">
        <v>232</v>
      </c>
      <c r="C56" t="s">
        <v>233</v>
      </c>
      <c r="D56" s="4" t="s">
        <v>54</v>
      </c>
      <c r="E56" s="10" t="s">
        <v>55</v>
      </c>
      <c r="F56" s="10" t="s">
        <v>55</v>
      </c>
      <c r="G56" s="10" t="s">
        <v>56</v>
      </c>
      <c r="H56" s="10" t="s">
        <v>54</v>
      </c>
      <c r="I56" s="10" t="s">
        <v>54</v>
      </c>
      <c r="J56" s="5" t="s">
        <v>234</v>
      </c>
      <c r="K56" s="4" t="s">
        <v>57</v>
      </c>
      <c r="L56" s="45" t="s">
        <v>383</v>
      </c>
      <c r="M56" s="5" t="s">
        <v>235</v>
      </c>
    </row>
    <row r="57" spans="1:14" ht="15" thickBot="1" x14ac:dyDescent="0.4">
      <c r="A57" t="s">
        <v>232</v>
      </c>
      <c r="B57" t="s">
        <v>232</v>
      </c>
      <c r="C57" t="s">
        <v>233</v>
      </c>
      <c r="D57" s="4" t="s">
        <v>54</v>
      </c>
      <c r="E57" s="10" t="s">
        <v>55</v>
      </c>
      <c r="F57" s="10" t="s">
        <v>55</v>
      </c>
      <c r="G57" s="10" t="s">
        <v>56</v>
      </c>
      <c r="H57" s="10" t="s">
        <v>54</v>
      </c>
      <c r="I57" s="10" t="s">
        <v>54</v>
      </c>
      <c r="J57" s="5" t="s">
        <v>236</v>
      </c>
      <c r="K57" s="4" t="s">
        <v>64</v>
      </c>
      <c r="L57" s="47" t="s">
        <v>383</v>
      </c>
      <c r="M57" s="5" t="s">
        <v>237</v>
      </c>
    </row>
    <row r="58" spans="1:14" ht="15" thickBot="1" x14ac:dyDescent="0.4">
      <c r="A58" t="s">
        <v>232</v>
      </c>
      <c r="B58" t="s">
        <v>232</v>
      </c>
      <c r="C58" t="s">
        <v>233</v>
      </c>
      <c r="D58" s="4" t="s">
        <v>54</v>
      </c>
      <c r="E58" s="10" t="s">
        <v>55</v>
      </c>
      <c r="F58" s="10" t="s">
        <v>55</v>
      </c>
      <c r="G58" s="10" t="s">
        <v>56</v>
      </c>
      <c r="H58" s="10" t="s">
        <v>54</v>
      </c>
      <c r="I58" s="10" t="s">
        <v>54</v>
      </c>
      <c r="J58" s="44" t="s">
        <v>384</v>
      </c>
      <c r="K58" s="4" t="s">
        <v>239</v>
      </c>
      <c r="L58" s="46" t="s">
        <v>385</v>
      </c>
      <c r="M58" s="5" t="s">
        <v>240</v>
      </c>
      <c r="N58" s="5" t="s">
        <v>241</v>
      </c>
    </row>
    <row r="59" spans="1:14" ht="15" thickBot="1" x14ac:dyDescent="0.4">
      <c r="A59" t="s">
        <v>232</v>
      </c>
      <c r="B59" t="s">
        <v>232</v>
      </c>
      <c r="C59" t="s">
        <v>242</v>
      </c>
      <c r="D59" s="4" t="s">
        <v>54</v>
      </c>
      <c r="E59" s="10" t="s">
        <v>55</v>
      </c>
      <c r="F59" s="10" t="s">
        <v>55</v>
      </c>
      <c r="G59" s="10" t="s">
        <v>89</v>
      </c>
      <c r="H59" s="10" t="s">
        <v>55</v>
      </c>
      <c r="I59" s="10" t="s">
        <v>55</v>
      </c>
      <c r="J59" s="5" t="s">
        <v>243</v>
      </c>
      <c r="K59" s="4" t="s">
        <v>75</v>
      </c>
      <c r="L59" s="47" t="s">
        <v>386</v>
      </c>
      <c r="M59" s="5" t="s">
        <v>244</v>
      </c>
    </row>
    <row r="60" spans="1:14" x14ac:dyDescent="0.35">
      <c r="A60" t="s">
        <v>232</v>
      </c>
      <c r="B60" t="s">
        <v>232</v>
      </c>
      <c r="C60" t="s">
        <v>242</v>
      </c>
      <c r="D60" s="4" t="s">
        <v>54</v>
      </c>
      <c r="E60" s="10" t="s">
        <v>55</v>
      </c>
      <c r="F60" s="10" t="s">
        <v>55</v>
      </c>
      <c r="G60" s="10" t="s">
        <v>89</v>
      </c>
      <c r="H60" s="10" t="s">
        <v>55</v>
      </c>
      <c r="I60" s="10" t="s">
        <v>55</v>
      </c>
      <c r="J60" s="5" t="s">
        <v>245</v>
      </c>
      <c r="K60" s="4" t="s">
        <v>75</v>
      </c>
      <c r="L60" s="45" t="s">
        <v>387</v>
      </c>
      <c r="M60" s="5" t="s">
        <v>246</v>
      </c>
    </row>
    <row r="61" spans="1:14" ht="15" thickBot="1" x14ac:dyDescent="0.4">
      <c r="A61" t="s">
        <v>232</v>
      </c>
      <c r="B61" t="s">
        <v>232</v>
      </c>
      <c r="C61" t="s">
        <v>247</v>
      </c>
      <c r="D61" s="4" t="s">
        <v>54</v>
      </c>
      <c r="E61" s="10" t="s">
        <v>55</v>
      </c>
      <c r="F61" s="10" t="s">
        <v>55</v>
      </c>
      <c r="G61" s="10" t="s">
        <v>56</v>
      </c>
      <c r="H61" s="10" t="s">
        <v>55</v>
      </c>
      <c r="I61" s="10" t="s">
        <v>55</v>
      </c>
      <c r="J61" s="44" t="s">
        <v>388</v>
      </c>
      <c r="K61" s="4" t="s">
        <v>57</v>
      </c>
      <c r="L61" s="47" t="s">
        <v>389</v>
      </c>
      <c r="M61" s="5" t="s">
        <v>249</v>
      </c>
    </row>
    <row r="62" spans="1:14" x14ac:dyDescent="0.35">
      <c r="A62" t="s">
        <v>232</v>
      </c>
      <c r="B62" t="s">
        <v>232</v>
      </c>
      <c r="C62" t="s">
        <v>247</v>
      </c>
      <c r="D62" s="4" t="s">
        <v>54</v>
      </c>
      <c r="E62" s="10" t="s">
        <v>55</v>
      </c>
      <c r="F62" s="10" t="s">
        <v>55</v>
      </c>
      <c r="G62" s="10" t="s">
        <v>56</v>
      </c>
      <c r="H62" s="10" t="s">
        <v>55</v>
      </c>
      <c r="I62" s="10" t="s">
        <v>55</v>
      </c>
      <c r="J62" s="44" t="s">
        <v>390</v>
      </c>
      <c r="K62" s="4" t="s">
        <v>57</v>
      </c>
      <c r="L62" s="45" t="s">
        <v>391</v>
      </c>
      <c r="M62" s="5" t="s">
        <v>251</v>
      </c>
    </row>
    <row r="63" spans="1:14" ht="15" thickBot="1" x14ac:dyDescent="0.4">
      <c r="A63" t="s">
        <v>252</v>
      </c>
      <c r="B63" t="s">
        <v>253</v>
      </c>
      <c r="C63" t="s">
        <v>254</v>
      </c>
      <c r="D63" s="4" t="s">
        <v>54</v>
      </c>
      <c r="E63" s="10" t="s">
        <v>55</v>
      </c>
      <c r="F63" s="10" t="s">
        <v>55</v>
      </c>
      <c r="G63" s="10" t="s">
        <v>89</v>
      </c>
      <c r="H63" s="10" t="s">
        <v>55</v>
      </c>
      <c r="I63" s="10" t="s">
        <v>55</v>
      </c>
      <c r="J63" s="48" t="s">
        <v>392</v>
      </c>
      <c r="K63" s="49" t="s">
        <v>75</v>
      </c>
      <c r="L63" s="47" t="s">
        <v>393</v>
      </c>
      <c r="M63" s="5" t="s">
        <v>256</v>
      </c>
    </row>
    <row r="64" spans="1:14" x14ac:dyDescent="0.35">
      <c r="A64" t="s">
        <v>252</v>
      </c>
      <c r="B64" t="s">
        <v>253</v>
      </c>
      <c r="C64" t="s">
        <v>254</v>
      </c>
      <c r="D64" s="4" t="s">
        <v>54</v>
      </c>
      <c r="E64" s="10" t="s">
        <v>55</v>
      </c>
      <c r="F64" s="10" t="s">
        <v>55</v>
      </c>
      <c r="G64" s="10" t="s">
        <v>89</v>
      </c>
      <c r="H64" s="10" t="s">
        <v>55</v>
      </c>
      <c r="I64" s="10" t="s">
        <v>55</v>
      </c>
      <c r="J64" s="5" t="s">
        <v>257</v>
      </c>
      <c r="K64" s="4" t="s">
        <v>57</v>
      </c>
      <c r="L64" s="45" t="s">
        <v>394</v>
      </c>
      <c r="M64" s="5" t="s">
        <v>258</v>
      </c>
    </row>
    <row r="65" spans="1:14" ht="15" thickBot="1" x14ac:dyDescent="0.4">
      <c r="A65" t="s">
        <v>252</v>
      </c>
      <c r="B65" t="s">
        <v>253</v>
      </c>
      <c r="C65" t="s">
        <v>247</v>
      </c>
      <c r="D65" s="4" t="s">
        <v>54</v>
      </c>
      <c r="E65" s="10" t="s">
        <v>55</v>
      </c>
      <c r="F65" s="10" t="s">
        <v>55</v>
      </c>
      <c r="G65" s="10" t="s">
        <v>89</v>
      </c>
      <c r="H65" s="10" t="s">
        <v>55</v>
      </c>
      <c r="I65" s="10" t="s">
        <v>55</v>
      </c>
      <c r="J65" s="48" t="s">
        <v>259</v>
      </c>
      <c r="K65" s="49" t="s">
        <v>125</v>
      </c>
      <c r="L65" s="47" t="s">
        <v>395</v>
      </c>
      <c r="M65" s="5" t="s">
        <v>260</v>
      </c>
    </row>
    <row r="66" spans="1:14" x14ac:dyDescent="0.35">
      <c r="A66" t="s">
        <v>261</v>
      </c>
      <c r="B66" t="s">
        <v>262</v>
      </c>
      <c r="C66" t="s">
        <v>263</v>
      </c>
      <c r="D66" s="4" t="s">
        <v>54</v>
      </c>
      <c r="E66" s="10" t="s">
        <v>55</v>
      </c>
      <c r="F66" s="10" t="s">
        <v>55</v>
      </c>
      <c r="G66" s="10" t="s">
        <v>56</v>
      </c>
      <c r="H66" s="10" t="s">
        <v>55</v>
      </c>
      <c r="I66" s="10" t="s">
        <v>55</v>
      </c>
      <c r="J66" s="5" t="s">
        <v>396</v>
      </c>
      <c r="K66" s="4" t="s">
        <v>100</v>
      </c>
      <c r="L66" s="45" t="s">
        <v>397</v>
      </c>
      <c r="M66" s="5" t="s">
        <v>265</v>
      </c>
      <c r="N66" s="5" t="s">
        <v>266</v>
      </c>
    </row>
    <row r="67" spans="1:14" x14ac:dyDescent="0.35">
      <c r="A67" t="s">
        <v>261</v>
      </c>
      <c r="B67" t="s">
        <v>262</v>
      </c>
      <c r="C67" t="s">
        <v>263</v>
      </c>
      <c r="D67" s="4" t="s">
        <v>54</v>
      </c>
      <c r="E67" s="10" t="s">
        <v>55</v>
      </c>
      <c r="F67" s="10" t="s">
        <v>55</v>
      </c>
      <c r="G67" s="10" t="s">
        <v>56</v>
      </c>
      <c r="H67" s="10" t="s">
        <v>55</v>
      </c>
      <c r="I67" s="10" t="s">
        <v>55</v>
      </c>
      <c r="J67" s="5" t="s">
        <v>267</v>
      </c>
      <c r="K67" s="4" t="s">
        <v>75</v>
      </c>
      <c r="L67" s="5" t="s">
        <v>12</v>
      </c>
      <c r="M67" s="5" t="s">
        <v>268</v>
      </c>
    </row>
    <row r="68" spans="1:14" x14ac:dyDescent="0.35">
      <c r="A68" t="s">
        <v>261</v>
      </c>
      <c r="B68" t="s">
        <v>262</v>
      </c>
      <c r="C68" t="s">
        <v>263</v>
      </c>
      <c r="D68" s="4" t="s">
        <v>54</v>
      </c>
      <c r="E68" s="10" t="s">
        <v>55</v>
      </c>
      <c r="F68" s="10" t="s">
        <v>55</v>
      </c>
      <c r="G68" s="10" t="s">
        <v>56</v>
      </c>
      <c r="H68" s="10" t="s">
        <v>55</v>
      </c>
      <c r="I68" s="10" t="s">
        <v>55</v>
      </c>
      <c r="J68" s="5" t="s">
        <v>269</v>
      </c>
      <c r="K68" s="4" t="s">
        <v>81</v>
      </c>
      <c r="L68" s="45" t="s">
        <v>398</v>
      </c>
      <c r="M68" s="5" t="s">
        <v>270</v>
      </c>
    </row>
  </sheetData>
  <hyperlinks>
    <hyperlink ref="L4" r:id="rId1" xr:uid="{58610882-96C9-4016-A8DD-F32818B03089}"/>
    <hyperlink ref="L5" r:id="rId2" xr:uid="{71D34DF9-5DBC-4634-84D7-3BD1A7C8F81A}"/>
    <hyperlink ref="L6" r:id="rId3" xr:uid="{94AD305A-4445-4A2A-9D9E-FD71C7DDEFA0}"/>
    <hyperlink ref="L7" r:id="rId4" xr:uid="{90513F74-F219-4641-95EC-1D0B9E4C1CE2}"/>
    <hyperlink ref="L8" r:id="rId5" xr:uid="{88878572-5647-4A31-858F-58E4D16F5106}"/>
    <hyperlink ref="L9" r:id="rId6" xr:uid="{27B4BDD0-A44A-4DE1-A2DC-78FAB658B8A4}"/>
    <hyperlink ref="L11" r:id="rId7" xr:uid="{F79C0BDA-4981-416C-ADB3-B06542525653}"/>
    <hyperlink ref="L12" r:id="rId8" xr:uid="{3B7DF47C-4311-44F3-88BF-22D1BC541101}"/>
    <hyperlink ref="L13" r:id="rId9" xr:uid="{3BA9553A-1D2E-4D86-896E-4A0AE90350E1}"/>
    <hyperlink ref="L14" r:id="rId10" xr:uid="{D5F78A6D-84B7-4587-9679-945228014974}"/>
    <hyperlink ref="L16" r:id="rId11" display="mailto:ale@erwinabraham.com" xr:uid="{0BF9D9AE-F0B6-4515-9490-137CFC2C447E}"/>
    <hyperlink ref="L15" r:id="rId12" xr:uid="{4D9BE68A-B38B-452B-8A4D-30A80A04FB73}"/>
    <hyperlink ref="L18" r:id="rId13" display="mailto:Yessicanuf@gmail.com" xr:uid="{E2604BD3-850C-4403-B3A6-3D148E83CA6B}"/>
    <hyperlink ref="L17" r:id="rId14" xr:uid="{CCA72578-7A85-4B76-B1A3-3BCEF9B0ABE2}"/>
    <hyperlink ref="L19" r:id="rId15" xr:uid="{5C562D09-36DF-4C41-8AE6-DE0D437BEE70}"/>
    <hyperlink ref="L20" r:id="rId16" xr:uid="{FC30FEE8-36BC-48EE-B785-02A4E339B5B9}"/>
    <hyperlink ref="L21" r:id="rId17" xr:uid="{A8DF64E7-5313-4D7D-8CCA-2B45631B0284}"/>
    <hyperlink ref="L22" r:id="rId18" xr:uid="{9664D1C3-C40E-42AA-B479-04AC3E06ABB3}"/>
    <hyperlink ref="L23" r:id="rId19" xr:uid="{5C041DA0-C903-455A-9D39-48DF4F815F35}"/>
    <hyperlink ref="L31" r:id="rId20" xr:uid="{236AF266-E182-41A1-AD60-230401390C43}"/>
    <hyperlink ref="L30" r:id="rId21" xr:uid="{70FDD8F5-6C5C-41CA-A096-98D36AF51947}"/>
    <hyperlink ref="L29" r:id="rId22" xr:uid="{930E5131-29AA-4E11-95B7-0BB71C425E3B}"/>
    <hyperlink ref="L28" r:id="rId23" xr:uid="{8C54F392-B507-45C6-A420-31BEDAA0694B}"/>
    <hyperlink ref="L27" r:id="rId24" xr:uid="{3AB96A6B-D835-449E-8EE0-47DF9D30338C}"/>
    <hyperlink ref="L26" r:id="rId25" xr:uid="{8BB529B8-D35E-4A25-BF0C-B067695B9D47}"/>
    <hyperlink ref="L25" r:id="rId26" xr:uid="{4322C9AA-5A05-446E-8925-8F01399AC58B}"/>
    <hyperlink ref="L24" r:id="rId27" xr:uid="{A161EB65-CF0A-4486-8CDE-6F2C3759210B}"/>
    <hyperlink ref="N25" r:id="rId28" xr:uid="{321A20B1-58B0-4BBB-858C-F25E8B8AA2C0}"/>
    <hyperlink ref="L32" r:id="rId29" xr:uid="{E0923B8C-C2DD-40A7-9B38-868340D17B4E}"/>
    <hyperlink ref="L33" r:id="rId30" xr:uid="{B151C28E-F371-46DF-BF46-E92165F43E5D}"/>
    <hyperlink ref="L34" r:id="rId31" xr:uid="{42801A80-F322-4191-9264-33B5C46F2625}"/>
    <hyperlink ref="L35" r:id="rId32" xr:uid="{8E4223AD-F31E-4E73-B622-02AB603F9978}"/>
    <hyperlink ref="L36" r:id="rId33" xr:uid="{8311858C-E549-4C94-B03A-E5649FA1BEEA}"/>
    <hyperlink ref="L38" r:id="rId34" xr:uid="{5D4F7750-24E7-4711-9633-DE5E1D01C8EE}"/>
    <hyperlink ref="L37" r:id="rId35" xr:uid="{58AAA3B7-6E01-4569-A406-E8CDD4883BB9}"/>
    <hyperlink ref="L39" r:id="rId36" xr:uid="{257B13FD-F70C-4C00-911E-39F153FB71C4}"/>
    <hyperlink ref="L40" r:id="rId37" xr:uid="{56A4009B-C22C-4724-95E8-966C6C15DAB1}"/>
    <hyperlink ref="L41" r:id="rId38" xr:uid="{DC8DF213-50DB-4DC8-B828-E3D39FC7374A}"/>
    <hyperlink ref="L42" r:id="rId39" xr:uid="{F7E349A0-2BFC-46A5-BA8C-0099812EC19D}"/>
    <hyperlink ref="L44" r:id="rId40" xr:uid="{859E3038-4FEF-4B91-8AFF-057514234A78}"/>
    <hyperlink ref="L45" r:id="rId41" xr:uid="{F2F2F578-E1F5-400B-936B-B4186802BDC4}"/>
    <hyperlink ref="L43" r:id="rId42" xr:uid="{3CA2B4AC-25B9-4B99-957E-1A8E2F388507}"/>
    <hyperlink ref="L48" r:id="rId43" display="mailto:david_moreno_2000@yahoo.com" xr:uid="{5BB1DC35-CE0C-4DAF-9557-28FF7131CB9A}"/>
    <hyperlink ref="L47" r:id="rId44" xr:uid="{3C0E645F-136D-49E8-9C7A-4E9A188BFD69}"/>
    <hyperlink ref="N48" r:id="rId45" display="mailto:compras@colchonesheaven.com" xr:uid="{0A8BE08D-7FD2-4F57-BABB-301FCBC22541}"/>
    <hyperlink ref="L50" r:id="rId46" xr:uid="{0B08ED87-B991-45E7-ADA0-AD5DDB7801F8}"/>
    <hyperlink ref="L49" r:id="rId47" display="mailto:david_moreno_2000@yahoo.com" xr:uid="{748EBE15-B101-4BC2-BB09-C0A5A12FB097}"/>
    <hyperlink ref="L51" r:id="rId48" display="mailto:josimar.vicunha@gmail.com" xr:uid="{852CF896-85FB-4629-9C8D-E45221A4C8D7}"/>
    <hyperlink ref="L53" r:id="rId49" display="mailto:j.dugga@clccolchones.com" xr:uid="{C58C8B8A-B10D-4FDD-8E08-81561684BC38}"/>
    <hyperlink ref="L55" r:id="rId50" display="mailto:veronica.ardila@comodisimos.com" xr:uid="{C4B0AE61-C540-4C3E-8C23-4BAD50869D09}"/>
    <hyperlink ref="L54" r:id="rId51" display="mailto:manuela.torres@comodisimos.com" xr:uid="{38B47A9E-4972-46E0-B4D6-A1F86BBBBA72}"/>
    <hyperlink ref="L56" r:id="rId52" display="mailto:coordinadorcompras@camasfacenco.net" xr:uid="{06A33E3C-E3E3-462C-925A-6EA8D6D36E94}"/>
    <hyperlink ref="L57" r:id="rId53" display="mailto:coordinadorcompras@camasfacenco.net" xr:uid="{59626E61-B280-4564-9E61-68521B369C44}"/>
    <hyperlink ref="L58" r:id="rId54" display="mailto:rfuentes@camasfacenco.net" xr:uid="{8ADAB8D2-463E-45B6-A484-A46B5C9147DC}"/>
    <hyperlink ref="L59" r:id="rId55" display="mailto:jpsolares@ultraindustrias.com" xr:uid="{04A175D7-DD7B-45C7-BDFB-4D2FDA61954D}"/>
    <hyperlink ref="L60" r:id="rId56" display="mailto:luispsolares@ultraindustrias.com" xr:uid="{888B5567-7E1D-4F9F-95D9-BCAA3DBD5BA1}"/>
    <hyperlink ref="L61" r:id="rId57" display="mailto:compras.hn@industriasflorida.com" xr:uid="{3F8E2D35-3446-4E0E-89F5-76CA8D6DC72D}"/>
    <hyperlink ref="L62" r:id="rId58" display="mailto:compras@industriasflorida.com" xr:uid="{8841A223-6DB6-409D-8710-B9EC04F46651}"/>
    <hyperlink ref="L63" r:id="rId59" display="mailto:acastillo@prohfoam.com" xr:uid="{753973E3-40F0-4A3D-95A7-94D4F963C999}"/>
    <hyperlink ref="L64" r:id="rId60" display="mailto:compras@prohfoam.com" xr:uid="{3F45795F-478D-46D7-B9B0-6E46F994EFD9}"/>
    <hyperlink ref="L65" r:id="rId61" display="mailto:gerenciadelogistica.hn@industriasflorida.com" xr:uid="{847D8DCF-15CF-466D-9C61-760790A3DD37}"/>
    <hyperlink ref="L66" r:id="rId62" display="mailto:neorquidessag@gmail.com" xr:uid="{9BB8C61A-A727-443A-90FE-C98F960795B0}"/>
    <hyperlink ref="L68" r:id="rId63" display="mailto:waltercastrosuarez@gmail.com" xr:uid="{1B4F4546-7984-498B-889F-725284991A2A}"/>
    <hyperlink ref="L46" r:id="rId64" display="mailto:contabilidad@maxiking.com.bo" xr:uid="{DCFD21D5-A8FF-4F82-9058-B042FEEEF111}"/>
  </hyperlinks>
  <pageMargins left="0.7" right="0.7" top="0.75" bottom="0.75" header="0.3" footer="0.3"/>
  <tableParts count="1">
    <tablePart r:id="rId6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133B-2A49-4896-98F0-50CAFC9A9350}">
  <dimension ref="A1"/>
  <sheetViews>
    <sheetView showGridLines="0" topLeftCell="A4" workbookViewId="0">
      <selection activeCell="M18" sqref="M18"/>
    </sheetView>
  </sheetViews>
  <sheetFormatPr baseColWidth="10" defaultColWidth="9.1796875"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GESTAO CREDITO E PAGAMENTOS</vt:lpstr>
      <vt:lpstr>BASE DADOS CONTATOS</vt:lpstr>
      <vt:lpstr>SUMMARY</vt:lpstr>
      <vt:lpstr>INMAPOL</vt:lpstr>
      <vt:lpstr>notificação clientes</vt:lpstr>
      <vt:lpstr>SUNLOCK SPA -flujo crédito1906 </vt:lpstr>
      <vt:lpstr>POLYMAX -flujo de crédito 1805</vt:lpstr>
      <vt:lpstr>Banking Data Conexao</vt:lpstr>
      <vt:lpstr>SUNLOCK-flujo de credito 180526</vt:lpstr>
      <vt:lpstr>Hoja1</vt:lpstr>
      <vt:lpstr>FLEX  CHILE</vt:lpstr>
      <vt:lpstr>DIVINO</vt:lpstr>
      <vt:lpstr>template de comunicação</vt:lpstr>
      <vt:lpstr>contatos chaves</vt:lpstr>
      <vt:lpstr>BANKING DATA CONEXAO MALHAS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Martinez</dc:creator>
  <cp:lastModifiedBy>Mary Martinez</cp:lastModifiedBy>
  <dcterms:created xsi:type="dcterms:W3CDTF">2025-04-17T13:06:53Z</dcterms:created>
  <dcterms:modified xsi:type="dcterms:W3CDTF">2026-10-01T18:14:26Z</dcterms:modified>
</cp:coreProperties>
</file>